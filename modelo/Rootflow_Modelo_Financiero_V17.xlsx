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Producto" sheetId="3" state="visible" r:id="rId5"/>
    <sheet name="Tarifas" sheetId="4" state="visible" r:id="rId6"/>
    <sheet name="Restaurantes" sheetId="5" state="visible" r:id="rId7"/>
    <sheet name="Pipeline" sheetId="6" state="visible" r:id="rId8"/>
    <sheet name="Logistica" sheetId="7" state="visible" r:id="rId9"/>
    <sheet name="Hipótesis" sheetId="8" state="visible" r:id="rId10"/>
    <sheet name="Mano_de_obra" sheetId="9" state="visible" r:id="rId11"/>
    <sheet name="CAPEX" sheetId="10" state="visible" r:id="rId12"/>
    <sheet name="Modelo_Mensual" sheetId="11" state="visible" r:id="rId13"/>
    <sheet name="Resumen_Anual" sheetId="12" state="visible" r:id="rId14"/>
    <sheet name="Lineas_Negocio" sheetId="13" state="visible" r:id="rId15"/>
    <sheet name="Sensibilidad" sheetId="14" state="visible" r:id="rId16"/>
    <sheet name="Esc_Conservador" sheetId="15" state="visible" r:id="rId17"/>
    <sheet name="Esc_Base" sheetId="16" state="visible" r:id="rId18"/>
    <sheet name="Esc_Optimis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<sst xmlns="http://schemas.openxmlformats.org/spreadsheetml/2006/main" count="1803" uniqueCount="975">
  <si>
    <t xml:space="preserve">ROOTFLOW HYDROPONICS S.L.</t>
  </si>
  <si>
    <t xml:space="preserve">Modelo financiero V17 — Ronda: inversor privado (capital) + ENISA</t>
  </si>
  <si>
    <t xml:space="preserve">Microbrotes y flores comestibles · Madrid · DOS líneas de negocio: distribución + restaurantes</t>
  </si>
  <si>
    <t xml:space="preserve">Qué hay dentro</t>
  </si>
  <si>
    <t xml:space="preserve">· PRODUCTO: rendimiento, ciclos y coste bottom-up por variedad; TARIFAS REALES por canal (mayorista, tienda, restaurante).</t>
  </si>
  <si>
    <t xml:space="preserve">· TARIFAS: hoja para cargar el export del ERP (no alimenta todavía el modelo).</t>
  </si>
  <si>
    <t xml:space="preserve">· RESTAURANTES: la palanca (% de la nave para restaurantes), ticket, riders, microhub, lanzadera, captación, agosto y techo de mercado con el censo municipal.</t>
  </si>
  <si>
    <t xml:space="preserve">· PIPELINE: clientes de distribución identificados. Alimentan la demanda de la línea de distribución.</t>
  </si>
  <si>
    <t xml:space="preserve">· HIPÓTESIS: escenarios, nóminas, financiación y estructura del inversor (capital 10 %, suelo 1,5×, salida año 4).</t>
  </si>
  <si>
    <t xml:space="preserve">· LOGÍSTICA: distribución con furgo propia en Madrid y Athos fuera. CAPEX: nave, automatización, microhub y fianzas.</t>
  </si>
  <si>
    <t xml:space="preserve">· MODELO_MENSUAL (escenario activo) y Esc_* (los tres casos, 84 meses). Bloque de líneas de negocio en filas 168-217.</t>
  </si>
  <si>
    <t xml:space="preserve">· LINEAS_NEGOCIO: cuenta de resultados por línea (distribución, restaurantes y costes comunes), cuadrada con el EBITDA.</t>
  </si>
  <si>
    <t xml:space="preserve">Cómo funciona la mezcla de canales</t>
  </si>
  <si>
    <t xml:space="preserve">La nave produce. Restaurantes!D7 fija qué parte de su capacidad se vende a restaurantes: SALE de la distribución, no se suma.</t>
  </si>
  <si>
    <t xml:space="preserve">Orden: clientes identificados de distribución → restaurantes (con rampa y techo de mercado) → nuevas cuentas de distribución.</t>
  </si>
  <si>
    <t xml:space="preserve">Con 0 % el modelo es solo distribución (volúmenes idénticos al V16). Más % = más ingreso por kg, pero más restaurantes, riders y captación.</t>
  </si>
  <si>
    <t xml:space="preserve">Criterios de prudencia del caso BASE (V17)</t>
  </si>
  <si>
    <t xml:space="preserve">· Precios = tarifas actuales (índice 100 %); conservador −10 %, optimista +10 %. Restaurante en formato de 30 g, el de menor €/g.</t>
  </si>
  <si>
    <t xml:space="preserve">· Costes de producto = bottom-up (índice 100 %). Rendimientos validados por producción.</t>
  </si>
  <si>
    <t xml:space="preserve">· Agosto: la demanda de restaurantes cae un 85 %. Riders con turno mínimo pagado. Captación y rotación de restaurantes con coste.</t>
  </si>
  <si>
    <t xml:space="preserve">AVISO CLAVE — minutos por bandeja</t>
  </si>
  <si>
    <t xml:space="preserve">Es la palanca de coste más sensible. El caso base asume 3 min/bandeja con la automatización incluida en CAPEX (lavadora + cinta).</t>
  </si>
  <si>
    <t xml:space="preserve">La hoja de costes operativa usa 4 min/bandeja. Ver la hoja Sensibilidad antes de presentar.</t>
  </si>
  <si>
    <t xml:space="preserve">ESTRUCTURA DE FINANCIACIÓN</t>
  </si>
  <si>
    <t xml:space="preserve">Inversor privado: capital (10 % por 100.000 €), suelo de cobro 1,5×, salida pactada desde el año 4, vía nota convertible.</t>
  </si>
  <si>
    <t xml:space="preserve">ENISA: préstamo participativo, carencia 24 meses. Exige fondos propios ≥ préstamo (chequeo en la fila 165 de cada escenario).</t>
  </si>
  <si>
    <t xml:space="preserve">Factoring del 60 % solo sobre facturas de distribución. Póliza de crédito para el resto del circulante.</t>
  </si>
  <si>
    <t xml:space="preserve">Dividendos bloqueados hasta amortizar toda la deuda (condición ENISA).</t>
  </si>
  <si>
    <t xml:space="preserve">Leyenda: amarillo = input · verde = cálculo · negro = fórmula. No insertes filas: el modelo depende de ellas.</t>
  </si>
  <si>
    <t xml:space="preserve">V17 · Octubre 2026</t>
  </si>
  <si>
    <t xml:space="preserve">ROOTFLOW — Resumen para ENISA e inversores</t>
  </si>
  <si>
    <t xml:space="preserve">Cuadro de mando. Portfolio real + demanda identificada + capital stack.</t>
  </si>
  <si>
    <t xml:space="preserve">COMPARATIVA DE ESCENARIOS  —  se recalcula sola al cambiar cualquier variable del modelo</t>
  </si>
  <si>
    <t xml:space="preserve">Palanca / resultado</t>
  </si>
  <si>
    <t xml:space="preserve">CONSERVADOR</t>
  </si>
  <si>
    <t xml:space="preserve">BASE</t>
  </si>
  <si>
    <t xml:space="preserve">OPTIMISTA</t>
  </si>
  <si>
    <t xml:space="preserve">LO QUE SE MODIFICA EN CADA CASO</t>
  </si>
  <si>
    <t xml:space="preserve">Minutos por bandeja</t>
  </si>
  <si>
    <t xml:space="preserve">Precio — línea distribución (índice sobre tarifa actual)</t>
  </si>
  <si>
    <t xml:space="preserve">Coste de producto (índice sobre el coste bottom-up)</t>
  </si>
  <si>
    <t xml:space="preserve">Inversión en automatización (€)</t>
  </si>
  <si>
    <t xml:space="preserve">Inversión total = necesidad de financiación (€)</t>
  </si>
  <si>
    <t xml:space="preserve">PLANTILLA (se calcula sola según los minutos)</t>
  </si>
  <si>
    <t xml:space="preserve">Operarios de cultivo en régimen (nº)</t>
  </si>
  <si>
    <t xml:space="preserve">Plantilla TOTAL en régimen (nº)</t>
  </si>
  <si>
    <t xml:space="preserve">Coste de nóminas en régimen (€/mes)</t>
  </si>
  <si>
    <t xml:space="preserve">RESULTADO EN RÉGIMEN (año 5)</t>
  </si>
  <si>
    <t xml:space="preserve">Ingresos (€)</t>
  </si>
  <si>
    <t xml:space="preserve">EBITDA (€)</t>
  </si>
  <si>
    <t xml:space="preserve">Margen EBITDA (%)</t>
  </si>
  <si>
    <t xml:space="preserve">Producción (kg/mes)</t>
  </si>
  <si>
    <t xml:space="preserve">RESULTADO DE LA OPERACIÓN</t>
  </si>
  <si>
    <t xml:space="preserve">Ingresos año 1 (€)</t>
  </si>
  <si>
    <t xml:space="preserve">Caja mínima del plan (€)</t>
  </si>
  <si>
    <t xml:space="preserve">DSCR mínimo (años 2-7)</t>
  </si>
  <si>
    <t xml:space="preserve">TIR del inversor (TAE)</t>
  </si>
  <si>
    <t xml:space="preserve">MOIC (múltiplo)</t>
  </si>
  <si>
    <t xml:space="preserve">Payback del inversor (meses)</t>
  </si>
  <si>
    <t xml:space="preserve">Financiación levantada (€)</t>
  </si>
  <si>
    <t xml:space="preserve">Póliza de crédito — máximo dispuesto (€)</t>
  </si>
  <si>
    <t xml:space="preserve">LO QUE SE LLEVA CADA SOCIO (30% cada uno)</t>
  </si>
  <si>
    <t xml:space="preserve">Neto €/mes en el año 3 (sueldo)</t>
  </si>
  <si>
    <t xml:space="preserve">Neto €/mes en el año 5 (sueldo + dividendo)</t>
  </si>
  <si>
    <t xml:space="preserve">Neto €/mes en el año 7 (sueldo + dividendo)</t>
  </si>
  <si>
    <t xml:space="preserve">Dividendos cobrados por socio en 7 años (neto)</t>
  </si>
  <si>
    <t xml:space="preserve">Fondo Hito 4 acumulado (€)</t>
  </si>
  <si>
    <t xml:space="preserve">Caja + fondo Hito 4 en la empresa (año 7)</t>
  </si>
  <si>
    <t xml:space="preserve">  · de eso, le corresponde a CADA socio (30%)</t>
  </si>
  <si>
    <t xml:space="preserve">Valor de su 30% al múltiplo de salida</t>
  </si>
  <si>
    <t xml:space="preserve">¿La financiación CUBRE la necesidad?</t>
  </si>
  <si>
    <t xml:space="preserve">Todo lo de arriba son FÓRMULAS: cambia precios, minutos, SUELDOS, circulante o CAPEX y los tres casos se actualizan a la vez.</t>
  </si>
  <si>
    <t xml:space="preserve">El circulante (clientes a 30 días) se financia con la póliza, no con la ronda de la caja. El fondo Hito 4 aparta dinero para la siguiente ampliación.</t>
  </si>
  <si>
    <t xml:space="preserve">ESCENARIO ACTIVO EN EL MODELO (detalle mensual y financiación)</t>
  </si>
  <si>
    <t xml:space="preserve">Caja mínima acumulada (€)</t>
  </si>
  <si>
    <t xml:space="preserve">DSCR mínimo años 2-7</t>
  </si>
  <si>
    <t xml:space="preserve">Precio medio ponderado — mayorista (€/kg)</t>
  </si>
  <si>
    <t xml:space="preserve">Plantilla total en régimen (nº)</t>
  </si>
  <si>
    <t xml:space="preserve">Producción en régimen (kg/mes)</t>
  </si>
  <si>
    <t xml:space="preserve">% del AÑO 1 ya identificado</t>
  </si>
  <si>
    <t xml:space="preserve">Pipeline ponderado por probabilidad (€/mes)</t>
  </si>
  <si>
    <t xml:space="preserve">Payback (meses)</t>
  </si>
  <si>
    <t xml:space="preserve">Estructura del tramo inversor</t>
  </si>
  <si>
    <t xml:space="preserve">Coste efectivo ENISA (TAE)</t>
  </si>
  <si>
    <t xml:space="preserve">Múltiplo (MOIC)</t>
  </si>
  <si>
    <t xml:space="preserve">DEMANDA — PIPELINE (escenario activo)</t>
  </si>
  <si>
    <t xml:space="preserve">TIR anual del inversor (TAE)</t>
  </si>
  <si>
    <t xml:space="preserve">¿Cubre la inversión?</t>
  </si>
  <si>
    <t xml:space="preserve">Necesidad de inversión (€)</t>
  </si>
  <si>
    <t xml:space="preserve">Total financiación levantada (€)</t>
  </si>
  <si>
    <t xml:space="preserve">Escenario activo</t>
  </si>
  <si>
    <t xml:space="preserve">LÍNEA RESTAURANTES vs DISTRIBUCIÓN — año 5 (régimen)</t>
  </si>
  <si>
    <t xml:space="preserve">Precio restaurantes (índice sobre tarifa 30 g)</t>
  </si>
  <si>
    <t xml:space="preserve">% de la nave reservado a restaurantes (objetivo)</t>
  </si>
  <si>
    <t xml:space="preserve">Restaurantes en cartera (mes 60)</t>
  </si>
  <si>
    <t xml:space="preserve">Techo de restaurantes alcanzables</t>
  </si>
  <si>
    <t xml:space="preserve">Pedidos al mes (media año 5)</t>
  </si>
  <si>
    <t xml:space="preserve">Riders (mes 60)</t>
  </si>
  <si>
    <t xml:space="preserve">% de la producción (kg) a restaurantes</t>
  </si>
  <si>
    <t xml:space="preserve">Ingresos restaurantes (año 5)</t>
  </si>
  <si>
    <t xml:space="preserve">% de los ingresos de restaurantes</t>
  </si>
  <si>
    <t xml:space="preserve">Margen de contribución restaurantes (año 5)</t>
  </si>
  <si>
    <t xml:space="preserve">  · sobre sus ingresos</t>
  </si>
  <si>
    <t xml:space="preserve">Margen de contribución distribución (año 5)</t>
  </si>
  <si>
    <t xml:space="preserve">Coste de última milla por pedido (año 5)</t>
  </si>
  <si>
    <t xml:space="preserve">ROOTFLOW — Portfolio de producto y COGS reales</t>
  </si>
  <si>
    <t xml:space="preserve">Coste real por bandeja (semilla + sustrato + envase, sin IVA). Solo se produce lo ACTIVO. El % de luz de las activas debe sumar 100%.</t>
  </si>
  <si>
    <t xml:space="preserve">Parámetros globales</t>
  </si>
  <si>
    <t xml:space="preserve">(obsoleto desde V17) Ratio precio DIRECTO ÷ DISTRIBUCIÓN — los precios por canal están en las columnas de tarifas</t>
  </si>
  <si>
    <t xml:space="preserve">Días medios por mes (365/12)</t>
  </si>
  <si>
    <t xml:space="preserve">Días muertos entre ciclos (limpieza/resiembra)</t>
  </si>
  <si>
    <t xml:space="preserve">INPUT. Ciclos/mes = 30,42 ÷ (días de luz + días muertos). Con 1 día muerto, un rábano de 3 días de luz pasa de 10,1 a 7,6 ciclos/mes.</t>
  </si>
  <si>
    <t xml:space="preserve">Minutos por bandeja — CONSERVADOR (a mano, sin automatización)</t>
  </si>
  <si>
    <t xml:space="preserve">CLAVE: el tiempo por bandeja es LA variable del negocio y define cuántos operarios hacen falta. Cada nivel de minutos se consigue con la automatización del CAPEX (ver hoja CAPEX).</t>
  </si>
  <si>
    <t xml:space="preserve">Minutos por bandeja — BASE (lavadora + cinta/cosecha asistida)</t>
  </si>
  <si>
    <t xml:space="preserve">Minutos por bandeja — OPTIMISTA (+ sembradora automática)</t>
  </si>
  <si>
    <t xml:space="preserve">MINUTOS POR BANDEJA — según escenario activo</t>
  </si>
  <si>
    <t xml:space="preserve">Coste envase tarrina PEQUEÑA (5-15 g), sin IVA</t>
  </si>
  <si>
    <t xml:space="preserve">COSTES_ROOTFLOW.xlsx · hoja 1</t>
  </si>
  <si>
    <t xml:space="preserve">Coste envase tarrina GRANDE (30-100 g), sin IVA</t>
  </si>
  <si>
    <t xml:space="preserve">Sustrato por bandeja, sin IVA (saco 100 L a 18 € con IVA; 2,5 L por bandeja)</t>
  </si>
  <si>
    <t xml:space="preserve">Variedad</t>
  </si>
  <si>
    <t xml:space="preserve">Estado dato</t>
  </si>
  <si>
    <t xml:space="preserve">Activo
(1/0)</t>
  </si>
  <si>
    <t xml:space="preserve">% luz
(bandejas)</t>
  </si>
  <si>
    <t xml:space="preserve">Formato
MAYORISTA (g)</t>
  </si>
  <si>
    <t xml:space="preserve">Precio MAYORISTA
€/tarrina</t>
  </si>
  <si>
    <t xml:space="preserve">€/kg
MAYORISTA</t>
  </si>
  <si>
    <t xml:space="preserve">Días
luz</t>
  </si>
  <si>
    <t xml:space="preserve">Días
germ.</t>
  </si>
  <si>
    <t xml:space="preserve">Ciclos/mes
— calc</t>
  </si>
  <si>
    <t xml:space="preserve">Rendim.
(g/band)</t>
  </si>
  <si>
    <t xml:space="preserve">Tarrinas/band
mayorista</t>
  </si>
  <si>
    <t xml:space="preserve">kg/band
/mes — calc</t>
  </si>
  <si>
    <t xml:space="preserve">Semilla
€/band</t>
  </si>
  <si>
    <t xml:space="preserve">Sustrato
€/band</t>
  </si>
  <si>
    <t xml:space="preserve">Envase
€/tarrina (may.)</t>
  </si>
  <si>
    <t xml:space="preserve">Envase
€/band — calc</t>
  </si>
  <si>
    <t xml:space="preserve">COGS €/band
/ciclo (may.)</t>
  </si>
  <si>
    <t xml:space="preserve">COGS MAYOR.
€/band/mes</t>
  </si>
  <si>
    <t xml:space="preserve">Ingreso MAYOR.
€/band/mes</t>
  </si>
  <si>
    <t xml:space="preserve">MB
%</t>
  </si>
  <si>
    <t xml:space="preserve">MARGEN
€/hora trabajo</t>
  </si>
  <si>
    <t xml:space="preserve">Formato
RESTAUR. (g)</t>
  </si>
  <si>
    <t xml:space="preserve">Precio RESTAUR.
€/tarrina</t>
  </si>
  <si>
    <t xml:space="preserve">€/kg
RESTAUR.</t>
  </si>
  <si>
    <t xml:space="preserve">Tarrinas/band
restaur.</t>
  </si>
  <si>
    <t xml:space="preserve">Envase rest.
€/tarrina</t>
  </si>
  <si>
    <t xml:space="preserve">Ingreso RESTAUR.
€/band/mes</t>
  </si>
  <si>
    <t xml:space="preserve">COGS RESTAUR.
€/band/mes</t>
  </si>
  <si>
    <t xml:space="preserve">Formato
TIENDA (g)</t>
  </si>
  <si>
    <t xml:space="preserve">Precio TIENDA
€/tarrina</t>
  </si>
  <si>
    <t xml:space="preserve">€/kg
TIENDA</t>
  </si>
  <si>
    <t xml:space="preserve">Tarrinas/band
tienda</t>
  </si>
  <si>
    <t xml:space="preserve">Envase tienda
€/tarrina</t>
  </si>
  <si>
    <t xml:space="preserve">Ingreso TIENDA
€/band/mes</t>
  </si>
  <si>
    <t xml:space="preserve">COGS TIENDA
€/band/mes</t>
  </si>
  <si>
    <t xml:space="preserve">Micromezclum (mix 7 var.)</t>
  </si>
  <si>
    <t xml:space="preserve">PROVISIONAL</t>
  </si>
  <si>
    <t xml:space="preserve">Cilantro split</t>
  </si>
  <si>
    <t xml:space="preserve">CONFIRMADO</t>
  </si>
  <si>
    <t xml:space="preserve">Albahaca genovesa</t>
  </si>
  <si>
    <t xml:space="preserve">Rábano daikon</t>
  </si>
  <si>
    <t xml:space="preserve">Rúcula rocket</t>
  </si>
  <si>
    <t xml:space="preserve">Rábano rose</t>
  </si>
  <si>
    <t xml:space="preserve">Mostaza Red Giant</t>
  </si>
  <si>
    <t xml:space="preserve">Brócoli calabrese</t>
  </si>
  <si>
    <t xml:space="preserve">Amaranto rojo</t>
  </si>
  <si>
    <t xml:space="preserve">Rábano red</t>
  </si>
  <si>
    <t xml:space="preserve">INACTIVO</t>
  </si>
  <si>
    <t xml:space="preserve">Guisante (pea shoots)</t>
  </si>
  <si>
    <t xml:space="preserve">Remolacha roja</t>
  </si>
  <si>
    <t xml:space="preserve">Remolacha amarilla</t>
  </si>
  <si>
    <t xml:space="preserve">Hinojo</t>
  </si>
  <si>
    <t xml:space="preserve">Cebolla Barbra</t>
  </si>
  <si>
    <t xml:space="preserve">Cebollino chino</t>
  </si>
  <si>
    <t xml:space="preserve">PORTFOLIO ACTIVO (media ponderada por % de luz)</t>
  </si>
  <si>
    <t xml:space="preserve">Comprobación: % de luz de las ACTIVAS suma</t>
  </si>
  <si>
    <t xml:space="preserve">MARGEN €/HORA de trabajo: la métrica que manda cuando la mano de obra es el cuello de botella. Compárala con el coste/hora cargado (~14 €/h).</t>
  </si>
  <si>
    <t xml:space="preserve">Precio medio ponderado MAYORISTA (€/kg)</t>
  </si>
  <si>
    <t xml:space="preserve">Margen bruto del portfolio (s/ ingreso directo)</t>
  </si>
  <si>
    <t xml:space="preserve">REVISIÓN OPERATIVA (socio de producción) — 23/09/2026</t>
  </si>
  <si>
    <t xml:space="preserve">Rendimientos actualizados: cilantro 120→145 g · albahaca 100→90 g · rábano daikon y rose 175→245 g (solo los ACTIVOS).</t>
  </si>
  <si>
    <t xml:space="preserve">PENDIENTE DE CONFIRMAR: 'Rábano red' (INACTIVO) sigue en 200 g y 'Micromezclum' (mix de 7 variedades) sigue en 170 g. Si el mix lleva rábano, su rendimiento sube también — revisar con producción.</t>
  </si>
  <si>
    <t xml:space="preserve">OJO: los rábanos ACTIVOS tienen 3 días de luz (10,1 ciclos/mes). El 'rábano de ciclo corto' del deck (2 días de luz, 15 ciclos/mes) es el rábano red, que está INACTIVO.</t>
  </si>
  <si>
    <t xml:space="preserve">PRECIO MEDIO PONDERADO POR CANAL (tarifa, sin índice de escenario)</t>
  </si>
  <si>
    <t xml:space="preserve">Mayorista (distribución, Mercamadrid)</t>
  </si>
  <si>
    <t xml:space="preserve">Tienda / retail</t>
  </si>
  <si>
    <t xml:space="preserve">Restaurante (formato de 30 g, el de menor €/g)</t>
  </si>
  <si>
    <t xml:space="preserve">MARGEN BRUTO DE PRODUCTO POR CANAL (antes de logística y merma)</t>
  </si>
  <si>
    <t xml:space="preserve">Mayorista</t>
  </si>
  <si>
    <t xml:space="preserve">Restaurante</t>
  </si>
  <si>
    <t xml:space="preserve">Tarifas: COSTES_ROOTFLOW.xlsx (hoja 4). Restaurante usa el formato de 30 g, el de MENOR margen por gramo (criterio de la propia hoja). Las variedades inactivas toman la tarifa facilitada de 30 g y, en tienda, la de mayorista. El rendimiento por bandeja sigue siendo el validado por producción (V16).</t>
  </si>
  <si>
    <t xml:space="preserve">ROOTFLOW — Tarifas reales por cliente, variedad y formato</t>
  </si>
  <si>
    <t xml:space="preserve">Pega aquí el export del ERP. El precio medio ponderado por variedad se calcula solo y se copia a mano en Producto!F (Precio DIR €/tarrina). NADA de esta hoja alimenta el modelo todavía: primero hay que revisar los datos.</t>
  </si>
  <si>
    <t xml:space="preserve">Cliente</t>
  </si>
  <si>
    <t xml:space="preserve">Canal (DIR/DIST)</t>
  </si>
  <si>
    <t xml:space="preserve">Formato (g/tarrina)</t>
  </si>
  <si>
    <t xml:space="preserve">Precio €/tarrina</t>
  </si>
  <si>
    <t xml:space="preserve">Tarrinas/mes</t>
  </si>
  <si>
    <t xml:space="preserve">€/mes — calc</t>
  </si>
  <si>
    <t xml:space="preserve">kg/mes — calc</t>
  </si>
  <si>
    <t xml:space="preserve">€/kg — calc</t>
  </si>
  <si>
    <t xml:space="preserve">RESUMEN POR VARIEDAD (se rellena solo desde la tabla)</t>
  </si>
  <si>
    <t xml:space="preserve">€/mes</t>
  </si>
  <si>
    <t xml:space="preserve">kg/mes</t>
  </si>
  <si>
    <t xml:space="preserve">€/kg ponderado</t>
  </si>
  <si>
    <t xml:space="preserve">€/tarrina medio</t>
  </si>
  <si>
    <t xml:space="preserve">TOTAL / PONDERADO</t>
  </si>
  <si>
    <t xml:space="preserve">Precio medio ponderado que usa HOY el modelo (Producto!D35):</t>
  </si>
  <si>
    <t xml:space="preserve">Diferencia vs. tarifas reales (€/kg):</t>
  </si>
  <si>
    <t xml:space="preserve">ROOTFLOW — Línea RESTAURANTES (reparto propio con riders desde un microhub)</t>
  </si>
  <si>
    <t xml:space="preserve">Segunda línea de negocio. La nave produce; una parte se reserva para restaurantes de las 8 zonas calientes, que reciben dos pedidos por semana con riders desde una cámara refrigerada alquilada. Celdas amarillas = inputs. El resto se calcula. La columna F sigue al selector de escenario (Hipótesis!C4).</t>
  </si>
  <si>
    <t xml:space="preserve">Concepto</t>
  </si>
  <si>
    <t xml:space="preserve">Unidad</t>
  </si>
  <si>
    <t xml:space="preserve">Conservador</t>
  </si>
  <si>
    <t xml:space="preserve">Base</t>
  </si>
  <si>
    <t xml:space="preserve">Optimista</t>
  </si>
  <si>
    <t xml:space="preserve">Activo</t>
  </si>
  <si>
    <t xml:space="preserve">Fuente / nota</t>
  </si>
  <si>
    <t xml:space="preserve">1 · CUÁNTO DE LA NAVE VA A RESTAURANTES — la palanca del modelo</t>
  </si>
  <si>
    <t xml:space="preserve">% de la capacidad de la nave que se destina a restaurantes (objetivo)</t>
  </si>
  <si>
    <t xml:space="preserve">%</t>
  </si>
  <si>
    <t xml:space="preserve">LA PALANCA. Sale de la distribución: la ocupación total no sube, cambia a quién se vende. 0 % = solo distribución. 5 % = reparto de COSTES_ROOTFLOW (5 % restaurante).</t>
  </si>
  <si>
    <t xml:space="preserve">Mes de lanzamiento de la línea</t>
  </si>
  <si>
    <t xml:space="preserve">mes</t>
  </si>
  <si>
    <t xml:space="preserve">Mes del modelo en que arrancan microhub, riders y lanzadera.</t>
  </si>
  <si>
    <t xml:space="preserve">Meses de rampa hasta alcanzar el objetivo</t>
  </si>
  <si>
    <t xml:space="preserve">meses</t>
  </si>
  <si>
    <t xml:space="preserve">Ritmo comercial. Base: 24 meses (~5 restaurantes netos nuevos al mes). Conservador más lento.</t>
  </si>
  <si>
    <t xml:space="preserve">¿Limitar al mercado real de las zonas? (1 = sí)</t>
  </si>
  <si>
    <t xml:space="preserve">1/0</t>
  </si>
  <si>
    <t xml:space="preserve">Con 1, nunca se vende a más restaurantes de los que el techo de abajo permite.</t>
  </si>
  <si>
    <t xml:space="preserve">Restaurantes abiertos en las 8 zonas (censo municipal)</t>
  </si>
  <si>
    <t xml:space="preserve">nº</t>
  </si>
  <si>
    <t xml:space="preserve">Enlazado a la tabla de zonas (sección 7).</t>
  </si>
  <si>
    <t xml:space="preserve">Penetración máxima alcanzable</t>
  </si>
  <si>
    <t xml:space="preserve">Supuesto prudente: 3 de cada 10 restaurantes de la zona. Validar con los primeros meses.</t>
  </si>
  <si>
    <t xml:space="preserve">TECHO de restaurantes alcanzables</t>
  </si>
  <si>
    <t xml:space="preserve">2 · TICKET, FRECUENCIA Y PRECIO (modelo MICROHUB_COSTES · hoja Facturación)</t>
  </si>
  <si>
    <t xml:space="preserve">Cliente MÍNIMO — % de restaurantes</t>
  </si>
  <si>
    <t xml:space="preserve">MICROHUB_COSTES.xlsx</t>
  </si>
  <si>
    <t xml:space="preserve">Cliente MÍNIMO — ticket por pedido</t>
  </si>
  <si>
    <t xml:space="preserve">€</t>
  </si>
  <si>
    <t xml:space="preserve">Cliente MEDIO — % de restaurantes</t>
  </si>
  <si>
    <t xml:space="preserve">Cliente MEDIO — ticket por pedido</t>
  </si>
  <si>
    <t xml:space="preserve">Cliente PREMIUM — % de restaurantes</t>
  </si>
  <si>
    <t xml:space="preserve">Cliente PREMIUM — ticket por pedido</t>
  </si>
  <si>
    <t xml:space="preserve">TICKET MEDIO PONDERADO por pedido</t>
  </si>
  <si>
    <t xml:space="preserve">28,93 € con el mix de MICROHUB.</t>
  </si>
  <si>
    <t xml:space="preserve">Comprobación del mix (debe sumar 100 %)</t>
  </si>
  <si>
    <t xml:space="preserve">Pedidos por semana y restaurante</t>
  </si>
  <si>
    <t xml:space="preserve">Dos pedidos para tenerlo siempre fresco.</t>
  </si>
  <si>
    <t xml:space="preserve">Semanas por mes</t>
  </si>
  <si>
    <t xml:space="preserve">Ajuste de PRECIO restaurantes (índice sobre la tarifa de 30 g)</t>
  </si>
  <si>
    <t xml:space="preserve">índice</t>
  </si>
  <si>
    <t xml:space="preserve">La tarifa de 30 g es la de MENOR €/g. Conservador = descuento de captación; optimista = más 15 g y 5 g.</t>
  </si>
  <si>
    <t xml:space="preserve">Merma + impagados restaurantes</t>
  </si>
  <si>
    <t xml:space="preserve">Igual que distribución.</t>
  </si>
  <si>
    <t xml:space="preserve">Días de cobro restaurantes</t>
  </si>
  <si>
    <t xml:space="preserve">días</t>
  </si>
  <si>
    <t xml:space="preserve">Prudente. Sin factoring: son facturas pequeñas.</t>
  </si>
  <si>
    <t xml:space="preserve">Porte cobrado a pedidos pequeños (0 = no se cobra)</t>
  </si>
  <si>
    <t xml:space="preserve">€/pedido</t>
  </si>
  <si>
    <t xml:space="preserve">Palanca de upside: la tarifa de referencia cobra 12 € a pedidos &lt;35 €. Desactivado.</t>
  </si>
  <si>
    <t xml:space="preserve">% de pedidos que pagarían porte</t>
  </si>
  <si>
    <t xml:space="preserve">El segmento 'mínimo'.</t>
  </si>
  <si>
    <t xml:space="preserve">Estacionalidad: demanda de restaurantes en AGOSTO (factor)</t>
  </si>
  <si>
    <t xml:space="preserve">x</t>
  </si>
  <si>
    <t xml:space="preserve">-85 % en agosto (MICROHUB). Esa producción no se siembra.</t>
  </si>
  <si>
    <t xml:space="preserve">Mes natural en que arranca el modelo (mes 1)</t>
  </si>
  <si>
    <t xml:space="preserve">1-12</t>
  </si>
  <si>
    <t xml:space="preserve">Abril de 2027 (nave tras cerrar la financiación). Solo sirve para ubicar agosto.</t>
  </si>
  <si>
    <t xml:space="preserve">3 · REPARTO CON RIDERS (autónomos, bici/moto, tipo Glovo)</t>
  </si>
  <si>
    <t xml:space="preserve">Días de reparto al mes</t>
  </si>
  <si>
    <t xml:space="preserve">Entregas por hora y rider (salida con la bolsa llena)</t>
  </si>
  <si>
    <t xml:space="preserve">entregas/h</t>
  </si>
  <si>
    <t xml:space="preserve">7-8 por salida de una hora (dato de producción). Conservador = 5.</t>
  </si>
  <si>
    <t xml:space="preserve">Coste rider (coste empresa)</t>
  </si>
  <si>
    <t xml:space="preserve">€/h</t>
  </si>
  <si>
    <t xml:space="preserve">Cobran 12-13 €/h brutos; 16 €/h coste empresa.</t>
  </si>
  <si>
    <t xml:space="preserve">Ventana de reparto por rider y día</t>
  </si>
  <si>
    <t xml:space="preserve">h/día</t>
  </si>
  <si>
    <t xml:space="preserve">Mañana antes del servicio + tarde antes de cenas. Fija cuándo hace falta el 2º rider.</t>
  </si>
  <si>
    <t xml:space="preserve">Horas mínimas pagadas por rider activo y día</t>
  </si>
  <si>
    <t xml:space="preserve">Prudente: con pocos pedidos se paga igualmente un turno mínimo.</t>
  </si>
  <si>
    <t xml:space="preserve">Kit por rider: mochila isotérmica + acumuladores (CAPEX)</t>
  </si>
  <si>
    <t xml:space="preserve">€/rider</t>
  </si>
  <si>
    <t xml:space="preserve">Riders previstos para el kit (CAPEX)</t>
  </si>
  <si>
    <t xml:space="preserve">4 · MICROHUB (cámara refrigerada alquilada en la zona de reparto)</t>
  </si>
  <si>
    <t xml:space="preserve">Alquiler del microhub con cámaras refrigeradas</t>
  </si>
  <si>
    <t xml:space="preserve">Suministros del microhub (luz de cámaras, si no van incluidos)</t>
  </si>
  <si>
    <t xml:space="preserve">Supuesto.</t>
  </si>
  <si>
    <t xml:space="preserve">Acondicionamiento: estanterías, mesa inox, balanza, etiquetadora, sondas APPCC (CAPEX)</t>
  </si>
  <si>
    <t xml:space="preserve">Supuesto. Validar con presupuesto.</t>
  </si>
  <si>
    <t xml:space="preserve">Cámara o armario refrigerado propio (CAPEX; 0 si va en el alquiler)</t>
  </si>
  <si>
    <t xml:space="preserve">La cámara va alquilada: 0.</t>
  </si>
  <si>
    <t xml:space="preserve">Fianza del alquiler del microhub</t>
  </si>
  <si>
    <t xml:space="preserve">5 · LANZADERA NAVE → MICROHUB Y PREPARACIÓN DE PEDIDOS</t>
  </si>
  <si>
    <t xml:space="preserve">Viajes nave → microhub al mes</t>
  </si>
  <si>
    <t xml:space="preserve">Uno por día de reparto.</t>
  </si>
  <si>
    <t xml:space="preserve">Kilómetros ida y vuelta por viaje</t>
  </si>
  <si>
    <t xml:space="preserve">km</t>
  </si>
  <si>
    <t xml:space="preserve">Nave en el sur de Madrid → Salamanca/Chamberí.</t>
  </si>
  <si>
    <t xml:space="preserve">Combustible por km (9 L/100 km × 2,09 €/L)</t>
  </si>
  <si>
    <t xml:space="preserve">€/km</t>
  </si>
  <si>
    <t xml:space="preserve">MICROHUB_COSTES · Furgoneta. El renting ya está en OPEX.</t>
  </si>
  <si>
    <t xml:space="preserve">Horas de conductor por viaje (con carga y descarga)</t>
  </si>
  <si>
    <t xml:space="preserve">h</t>
  </si>
  <si>
    <t xml:space="preserve">Coste hora de conductor</t>
  </si>
  <si>
    <t xml:space="preserve">Minutos de preparación por pedido (picking + etiquetado)</t>
  </si>
  <si>
    <t xml:space="preserve">min</t>
  </si>
  <si>
    <t xml:space="preserve">MICROHUB no lo incluía: se añade.</t>
  </si>
  <si>
    <t xml:space="preserve">Coste hora de preparación</t>
  </si>
  <si>
    <t xml:space="preserve">Embalaje por pedido (bolsa, etiqueta)</t>
  </si>
  <si>
    <t xml:space="preserve">6 · CAPTACIÓN Y CARTERA</t>
  </si>
  <si>
    <t xml:space="preserve">Coste de captación por restaurante (muestras, visitas)</t>
  </si>
  <si>
    <t xml:space="preserve">Rotación mensual de restaurantes (churn)</t>
  </si>
  <si>
    <t xml:space="preserve">≈17 % al año. Hay que reponerlos y eso cuesta captación.</t>
  </si>
  <si>
    <t xml:space="preserve">Restaurantes que puede atender un comercial</t>
  </si>
  <si>
    <t xml:space="preserve">Para el chequeo de capacidad comercial.</t>
  </si>
  <si>
    <t xml:space="preserve">LO QUE IMPLICA LA PALANCA — escenario activo, año 5 (se calcula solo)</t>
  </si>
  <si>
    <t xml:space="preserve">Riders necesarios (mes 60)</t>
  </si>
  <si>
    <t xml:space="preserve">Entregas al día (media del año 5)</t>
  </si>
  <si>
    <t xml:space="preserve">% de los kilos que van a restaurantes (año 5)</t>
  </si>
  <si>
    <t xml:space="preserve">% de los ingresos que vienen de restaurantes (año 5)</t>
  </si>
  <si>
    <t xml:space="preserve">¿El techo de mercado limita la palanca?</t>
  </si>
  <si>
    <t xml:space="preserve">7 · ZONAS CALIENTES — restaurantes abiertos (Censo de Locales, Ayto. de Madrid, epígrafe 561001)</t>
  </si>
  <si>
    <t xml:space="preserve">Barrio</t>
  </si>
  <si>
    <t xml:space="preserve">Distrito</t>
  </si>
  <si>
    <t xml:space="preserve">Restaurantes</t>
  </si>
  <si>
    <t xml:space="preserve">Justicia</t>
  </si>
  <si>
    <t xml:space="preserve">Centro</t>
  </si>
  <si>
    <t xml:space="preserve">Recoletos</t>
  </si>
  <si>
    <t xml:space="preserve">Salamanca</t>
  </si>
  <si>
    <t xml:space="preserve">Castellana</t>
  </si>
  <si>
    <t xml:space="preserve">Goya</t>
  </si>
  <si>
    <t xml:space="preserve">Trafalgar</t>
  </si>
  <si>
    <t xml:space="preserve">Chamberí</t>
  </si>
  <si>
    <t xml:space="preserve">Almagro</t>
  </si>
  <si>
    <t xml:space="preserve">Ríos Rosas</t>
  </si>
  <si>
    <t xml:space="preserve">Lista</t>
  </si>
  <si>
    <t xml:space="preserve">TOTAL 8 ZONAS</t>
  </si>
  <si>
    <t xml:space="preserve">Fuente: datos.madrid.es · Censo de locales, sus actividades y terrazas (actualizado 01/10/2026). Locales en situación 'Abierto' con epígrafe 561001 RESTAURANTE. No incluye 714 bar-restaurantes de las mismas zonas: son mercado adicional no contado.</t>
  </si>
  <si>
    <t xml:space="preserve">ROOTFLOW — Pipeline comercial: demanda identificada por cliente y variedad</t>
  </si>
  <si>
    <t xml:space="preserve">Esta hoja ALIMENTA el modelo: cada cliente pide tarrinas/semana de variedades concretas. El modelo sirve primero esta demanda y añade encima la capa de nuevas cuentas.</t>
  </si>
  <si>
    <t xml:space="preserve">Semanas por mes (365/7/12)</t>
  </si>
  <si>
    <t xml:space="preserve">Parámetros por variedad (enlazados de Producto — no tocar)</t>
  </si>
  <si>
    <t xml:space="preserve">Micromez.</t>
  </si>
  <si>
    <t xml:space="preserve">Cilantro</t>
  </si>
  <si>
    <t xml:space="preserve">Albahaca</t>
  </si>
  <si>
    <t xml:space="preserve">R. daikon</t>
  </si>
  <si>
    <t xml:space="preserve">Rúcula</t>
  </si>
  <si>
    <t xml:space="preserve">R. rose</t>
  </si>
  <si>
    <t xml:space="preserve">Mostaza</t>
  </si>
  <si>
    <t xml:space="preserve">Brócoli</t>
  </si>
  <si>
    <t xml:space="preserve">Amaranto</t>
  </si>
  <si>
    <t xml:space="preserve">Precio MAYORISTA €/tarrina</t>
  </si>
  <si>
    <t xml:space="preserve">Tarrinas por bandeja</t>
  </si>
  <si>
    <t xml:space="preserve">Ciclos/mes</t>
  </si>
  <si>
    <t xml:space="preserve">COGS €/tarrina</t>
  </si>
  <si>
    <t xml:space="preserve">Peso tarrina (g)</t>
  </si>
  <si>
    <t xml:space="preserve">Posiciones por tarrina·mes</t>
  </si>
  <si>
    <t xml:space="preserve">Bandejas por tarrina</t>
  </si>
  <si>
    <t xml:space="preserve">tarrinas por SEMANA que pide cada cliente, por variedad</t>
  </si>
  <si>
    <t xml:space="preserve">Estado</t>
  </si>
  <si>
    <t xml:space="preserve">Desc.
canal</t>
  </si>
  <si>
    <t xml:space="preserve">Prob.</t>
  </si>
  <si>
    <t xml:space="preserve">Mes
inicio</t>
  </si>
  <si>
    <t xml:space="preserve">Rampa
(meses)</t>
  </si>
  <si>
    <t xml:space="preserve">Tarrinas
/mes</t>
  </si>
  <si>
    <t xml:space="preserve">€/mes
POTENCIAL</t>
  </si>
  <si>
    <t xml:space="preserve">€/mes
PONDERADO</t>
  </si>
  <si>
    <t xml:space="preserve">Bandejas
/mes</t>
  </si>
  <si>
    <t xml:space="preserve">Posic.
de luz</t>
  </si>
  <si>
    <t xml:space="preserve">% de la
nave</t>
  </si>
  <si>
    <t xml:space="preserve">COGS
€/mes</t>
  </si>
  <si>
    <t xml:space="preserve">Notas / próximos pasos</t>
  </si>
  <si>
    <t xml:space="preserve">Frutería La Huerta de Aranjuez</t>
  </si>
  <si>
    <t xml:space="preserve">ACTIVO</t>
  </si>
  <si>
    <t xml:space="preserve">Cliente actual — crece gradual en nave nueva</t>
  </si>
  <si>
    <t xml:space="preserve">Sushita</t>
  </si>
  <si>
    <t xml:space="preserve">EN CONVERSACIÓN</t>
  </si>
  <si>
    <t xml:space="preserve">Cuenta HORECA pequeña — cerrar ya</t>
  </si>
  <si>
    <t xml:space="preserve">Frutas Eloy</t>
  </si>
  <si>
    <t xml:space="preserve">Cliente recurrente — sube despacio a micromezclum</t>
  </si>
  <si>
    <t xml:space="preserve">Mercamadrid (asentadores)</t>
  </si>
  <si>
    <t xml:space="preserve">POR ABRIR</t>
  </si>
  <si>
    <t xml:space="preserve">Micromezclum a granel — rampa larga de distribuidor</t>
  </si>
  <si>
    <t xml:space="preserve">Makro (cash &amp; carry)</t>
  </si>
  <si>
    <t xml:space="preserve">Gran cuenta: NO antes de capacidad probada. PENDIENTE LLAMADA</t>
  </si>
  <si>
    <t xml:space="preserve">Primaflor</t>
  </si>
  <si>
    <t xml:space="preserve">Co-packing: entra en año 2. PENDIENTE LLAMADA</t>
  </si>
  <si>
    <t xml:space="preserve">— hueco nueva cuenta —</t>
  </si>
  <si>
    <t xml:space="preserve">TOTAL PIPELINE</t>
  </si>
  <si>
    <t xml:space="preserve">MIX QUE PIDE LA DEMANDA — posiciones de luz ponderadas (guía de siembra)</t>
  </si>
  <si>
    <t xml:space="preserve">Posiciones ponderadas</t>
  </si>
  <si>
    <t xml:space="preserve">% del mix demandado</t>
  </si>
  <si>
    <t xml:space="preserve">ROOTFLOW — Logística: Madrid propio + resto de España (Athos)</t>
  </si>
  <si>
    <t xml:space="preserve">En Madrid repartimos con nuestras furgos (coste propio). Fuera de Madrid lo hace Athos: tarifa por CCAA y tramo de peso por envío. Ajusta el % de ventas fuera de Madrid y su reparto por CCAA.</t>
  </si>
  <si>
    <t xml:space="preserve">PARÁMETROS GENERALES</t>
  </si>
  <si>
    <t xml:space="preserve">% de las ventas (kg) que va FUERA de Madrid</t>
  </si>
  <si>
    <t xml:space="preserve">El resto se reparte en Madrid con furgo propia</t>
  </si>
  <si>
    <t xml:space="preserve">Peso medio por ENVÍO fuera de Madrid (kg)</t>
  </si>
  <si>
    <t xml:space="preserve">Determina el tramo de tarifa (0-25 / 26-50 / 51-100 / 101-150 / 151-200 / 201-299)</t>
  </si>
  <si>
    <t xml:space="preserve">Coste furgo PROPIA en Madrid (€/kg)</t>
  </si>
  <si>
    <t xml:space="preserve">Combustible + amortización furgo + parte de reparto (no nómina de reparto, que ya está en OPEX)</t>
  </si>
  <si>
    <t xml:space="preserve">Recargo Athos (recogida 3€/pedido, seguro, etc.) %</t>
  </si>
  <si>
    <t xml:space="preserve">TARIFA ATHOS POR CCAA Y TRAMO DE PESO (€ por ENVÍO) — editable</t>
  </si>
  <si>
    <t xml:space="preserve">Comunidad Autónoma</t>
  </si>
  <si>
    <t xml:space="preserve">0-25 kg</t>
  </si>
  <si>
    <t xml:space="preserve">26-50 kg</t>
  </si>
  <si>
    <t xml:space="preserve">51-100 kg</t>
  </si>
  <si>
    <t xml:space="preserve">101-150 kg</t>
  </si>
  <si>
    <t xml:space="preserve">151-200 kg</t>
  </si>
  <si>
    <t xml:space="preserve">201-299 kg</t>
  </si>
  <si>
    <t xml:space="preserve">% de ventas fuera</t>
  </si>
  <si>
    <t xml:space="preserve">€/kg equivalente</t>
  </si>
  <si>
    <t xml:space="preserve">kg/mes régimen</t>
  </si>
  <si>
    <t xml:space="preserve">Coste/mes régimen</t>
  </si>
  <si>
    <t xml:space="preserve">Andalucía</t>
  </si>
  <si>
    <t xml:space="preserve">Aragón</t>
  </si>
  <si>
    <t xml:space="preserve">Asturias</t>
  </si>
  <si>
    <t xml:space="preserve">Cantabria</t>
  </si>
  <si>
    <t xml:space="preserve">Castilla y León</t>
  </si>
  <si>
    <t xml:space="preserve">Castilla-La Mancha</t>
  </si>
  <si>
    <t xml:space="preserve">Cataluña</t>
  </si>
  <si>
    <t xml:space="preserve">C. Valenciana</t>
  </si>
  <si>
    <t xml:space="preserve">Extremadura</t>
  </si>
  <si>
    <t xml:space="preserve">Galicia</t>
  </si>
  <si>
    <t xml:space="preserve">La Rioja</t>
  </si>
  <si>
    <t xml:space="preserve">Murcia</t>
  </si>
  <si>
    <t xml:space="preserve">Navarra</t>
  </si>
  <si>
    <t xml:space="preserve">País Vasco</t>
  </si>
  <si>
    <t xml:space="preserve">TOTAL FUERA DE MADRID</t>
  </si>
  <si>
    <t xml:space="preserve">REPARTO DE LA PRODUCCIÓN (régimen, mes 84)</t>
  </si>
  <si>
    <t xml:space="preserve">Producción que va a DISTRIBUCIÓN (kg/mes, régimen)</t>
  </si>
  <si>
    <t xml:space="preserve">kg/mes en Madrid (furgo propia)</t>
  </si>
  <si>
    <t xml:space="preserve">kg/mes fuera de Madrid (Athos)</t>
  </si>
  <si>
    <t xml:space="preserve">Coste logístico Madrid (€/mes)</t>
  </si>
  <si>
    <t xml:space="preserve">Coste logístico fuera Madrid (€/mes)</t>
  </si>
  <si>
    <t xml:space="preserve">COSTE LOGÍSTICO TOTAL (€/mes régimen)</t>
  </si>
  <si>
    <t xml:space="preserve">Coste logístico medio (€/kg)</t>
  </si>
  <si>
    <t xml:space="preserve">Coste logístico de distribución como % de sus ingresos</t>
  </si>
  <si>
    <t xml:space="preserve">Nota: Athos cobra por ENVÍO según peso; agrupar pedidos de una misma CCAA en un envío mayor abarata mucho el €/kg (mira cómo baja al subir el peso medio por envío). Devoluciones +15%, aeropuerto +30€.</t>
  </si>
  <si>
    <t xml:space="preserve">€/kg medio ponderado FUERA (para el modelo mensual)</t>
  </si>
  <si>
    <t xml:space="preserve">ROOTFLOW — Hipótesis del modelo</t>
  </si>
  <si>
    <t xml:space="preserve">Celdas azules = inputs. El selector de escenario reescribe la columna "Activo".</t>
  </si>
  <si>
    <t xml:space="preserve">ESCENARIO ACTIVO  (1 = Conservador · 2 = Base · 3 = Optimista)</t>
  </si>
  <si>
    <t xml:space="preserve">GEOMETRÍA DEL RACK</t>
  </si>
  <si>
    <t xml:space="preserve">Rack ANTIGUO — bandejas por rack</t>
  </si>
  <si>
    <t xml:space="preserve">bandejas</t>
  </si>
  <si>
    <t xml:space="preserve">Rack NUEVO — superficie de cultivo POR NIVEL</t>
  </si>
  <si>
    <t xml:space="preserve">m²/nivel</t>
  </si>
  <si>
    <t xml:space="preserve">Rack NUEVO — nº de niveles</t>
  </si>
  <si>
    <t xml:space="preserve">niveles</t>
  </si>
  <si>
    <t xml:space="preserve">Superficie ocupada por bandeja</t>
  </si>
  <si>
    <t xml:space="preserve">m²/band</t>
  </si>
  <si>
    <t xml:space="preserve">Bandejas por nivel — CALCULADO</t>
  </si>
  <si>
    <t xml:space="preserve">BANDEJAS POR RACK NUEVO — CALCULADO</t>
  </si>
  <si>
    <t xml:space="preserve">Superficie de cultivo por rack — CALCULADO</t>
  </si>
  <si>
    <t xml:space="preserve">m²</t>
  </si>
  <si>
    <t xml:space="preserve">AJUSTE POR ESCENARIO (flexiona la economía de Producto)</t>
  </si>
  <si>
    <t xml:space="preserve">Ajuste de PRECIO — línea DISTRIBUCIÓN (índice sobre la tarifa mayorista/tienda actual)</t>
  </si>
  <si>
    <t xml:space="preserve">Ajuste de RENDIMIENTO / kg</t>
  </si>
  <si>
    <t xml:space="preserve">Ajuste de COSTE de producto (índice sobre el coste bottom-up)</t>
  </si>
  <si>
    <t xml:space="preserve">ECONOMÍA POR BANDEJA (Producto × escenario)</t>
  </si>
  <si>
    <t xml:space="preserve">Ingreso por bandeja — DISTRIBUCIÓN, nuevas cuentas (mezcla mayorista/tienda × índices)</t>
  </si>
  <si>
    <t xml:space="preserve">€/band/mes</t>
  </si>
  <si>
    <t xml:space="preserve">Ingreso por bandeja — RESTAURANTES (tarifa 30 g × índice de precio restaurantes)</t>
  </si>
  <si>
    <t xml:space="preserve">COGS por bandeja — DISTRIBUCIÓN (mezcla mayorista/tienda × índice de coste)</t>
  </si>
  <si>
    <t xml:space="preserve">Rendimiento por bandeja</t>
  </si>
  <si>
    <t xml:space="preserve">kg/band/mes</t>
  </si>
  <si>
    <t xml:space="preserve">Ciclos (siembras) por posición y mes</t>
  </si>
  <si>
    <t xml:space="preserve">ciclos/mes</t>
  </si>
  <si>
    <t xml:space="preserve">CAPACIDAD Y RAMPA</t>
  </si>
  <si>
    <t xml:space="preserve">Capacidad total de la nave (racks NUEVOS)  ← manda sobre el CAPEX</t>
  </si>
  <si>
    <t xml:space="preserve">racks</t>
  </si>
  <si>
    <t xml:space="preserve">Racks operativos al abrir (mes 1)</t>
  </si>
  <si>
    <t xml:space="preserve">Ritmo de instalación de racks</t>
  </si>
  <si>
    <t xml:space="preserve">racks/mes</t>
  </si>
  <si>
    <t xml:space="preserve">Capa ADICIONAL: mes de inicio de captación de nuevas cuentas</t>
  </si>
  <si>
    <t xml:space="preserve">Línea DISTRIBUCIÓN: % de las nuevas cuentas que son RETAIL (tienda) frente a mayorista</t>
  </si>
  <si>
    <t xml:space="preserve">Capa ADICIONAL (nuevas cuentas): utilización inicial</t>
  </si>
  <si>
    <t xml:space="preserve">Capa ADICIONAL: techo de utilización (igual en los 3 casos)</t>
  </si>
  <si>
    <t xml:space="preserve">Capa ADICIONAL: meses hasta el techo</t>
  </si>
  <si>
    <t xml:space="preserve">Merma + comercial + impagados (igual en los 3)</t>
  </si>
  <si>
    <t xml:space="preserve">COSTES FIJOS (mensual, sin nóminas)</t>
  </si>
  <si>
    <t xml:space="preserve">Alquiler de la nave (350 m²)</t>
  </si>
  <si>
    <t xml:space="preserve">Suministros — parte fija</t>
  </si>
  <si>
    <t xml:space="preserve">Electricidad variable por posición iluminada</t>
  </si>
  <si>
    <t xml:space="preserve">€/pos/mes</t>
  </si>
  <si>
    <t xml:space="preserve">Vehículo de reparto — renting + combustible</t>
  </si>
  <si>
    <t xml:space="preserve">Otros opex (gestoría, seguros, software, marketing)</t>
  </si>
  <si>
    <t xml:space="preserve">NÓMINAS — cada línea alimenta SU PROPIA fila de OPEX</t>
  </si>
  <si>
    <t xml:space="preserve">Coste Seguridad Social empresa (% s/ bruto)</t>
  </si>
  <si>
    <t xml:space="preserve">SOCIOS — bruto €/mes POR AÑO (editable año a año)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</si>
  <si>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</si>
  <si>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</si>
  <si>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</si>
  <si>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</si>
  <si>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</si>
  <si>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Año 6</t>
  </si>
  <si>
    <t xml:space="preserve">Año 7</t>
  </si>
  <si>
    <t xml:space="preserve">Bruto de CADA socio (aplica a las líneas con ¿Socio?=1)</t>
  </si>
  <si>
    <t xml:space="preserve">Incremento salarial anual del RESTO de plantilla</t>
  </si>
  <si>
    <t xml:space="preserve">%/año</t>
  </si>
  <si>
    <t xml:space="preserve">Los socios cobran lo de la tabla de arriba según el año. El resto de plantilla parte de su bruto y sube ese % cada año.</t>
  </si>
  <si>
    <t xml:space="preserve">Rol</t>
  </si>
  <si>
    <t xml:space="preserve">Activo (1/0)</t>
  </si>
  <si>
    <t xml:space="preserve">Bruto €/mes</t>
  </si>
  <si>
    <t xml:space="preserve">Alta (mes)</t>
  </si>
  <si>
    <t xml:space="preserve">Cargado €/mes</t>
  </si>
  <si>
    <t xml:space="preserve">Horas bandeja/mes</t>
  </si>
  <si>
    <t xml:space="preserve">¿Socio? (1/0)</t>
  </si>
  <si>
    <t xml:space="preserve">Pedro — socio (finanzas)</t>
  </si>
  <si>
    <t xml:space="preserve">Nico — socio (comercial)</t>
  </si>
  <si>
    <t xml:space="preserve">Guzmán — socio (producción)</t>
  </si>
  <si>
    <t xml:space="preserve">Encargado de producción</t>
  </si>
  <si>
    <t xml:space="preserve">Comercial / KAM</t>
  </si>
  <si>
    <t xml:space="preserve">(rol fijo libre)</t>
  </si>
  <si>
    <t xml:space="preserve">Nóminas en régimen (todas las activas)</t>
  </si>
  <si>
    <t xml:space="preserve">Nóminas activas en el MES 1 (para el colchón)</t>
  </si>
  <si>
    <t xml:space="preserve">RONDA OBJETIVO — cuánto queremos pedir en total</t>
  </si>
  <si>
    <t xml:space="preserve">SUELDO MÁXIMO de socio (año 1) para que la necesidad = ronda objetivo</t>
  </si>
  <si>
    <t xml:space="preserve">Copia ese importe en la casilla del AÑO 1 de la tabla de sueldos de arriba y la ronda cuadra sola. Columnas C/D/E = Conservador/Base/Optimista.</t>
  </si>
  <si>
    <t xml:space="preserve">Horas de bandeja de la plantilla FIJA (Guzmán + encargado)</t>
  </si>
  <si>
    <t xml:space="preserve">OPERARIOS DE CULTIVO — se calculan según los minutos del escenario</t>
  </si>
  <si>
    <t xml:space="preserve">Operario de cultivo — bruto €/mes</t>
  </si>
  <si>
    <t xml:space="preserve">Operario de cultivo — coste cargado (con SS)</t>
  </si>
  <si>
    <t xml:space="preserve">Operario de cultivo — horas de bandeja por mes</t>
  </si>
  <si>
    <t xml:space="preserve">h/mes</t>
  </si>
  <si>
    <t xml:space="preserve">Los operarios NO se listan a mano: el modelo calcula cuántos hacen falta cada mes según las bandejas y los minutos del escenario (a menos minutos, menos operarios).</t>
  </si>
  <si>
    <t xml:space="preserve">CIRCULANTE (NOF) — lo que tienes fuera en clientes</t>
  </si>
  <si>
    <t xml:space="preserve">Días de cobro a clientes (30 = máximo legal en perecederos)</t>
  </si>
  <si>
    <t xml:space="preserve">Días de pago a proveedores</t>
  </si>
  <si>
    <t xml:space="preserve">CAPEX de mantenimiento/reposición (% de ingresos)</t>
  </si>
  <si>
    <t xml:space="preserve">PÓLIZA DE CRÉDITO (para financiar el circulante)</t>
  </si>
  <si>
    <t xml:space="preserve">Límite de la póliza de crédito</t>
  </si>
  <si>
    <t xml:space="preserve">Tipo de interés de la póliza</t>
  </si>
  <si>
    <t xml:space="preserve">Caja objetivo — por debajo se dispone de la póliza</t>
  </si>
  <si>
    <t xml:space="preserve">% de facturas ANTICIPADAS (factoring sobre clientes grandes)</t>
  </si>
  <si>
    <t xml:space="preserve">Coste todo incluido del factoring (comisión + interés)</t>
  </si>
  <si>
    <t xml:space="preserve">REINVERSIÓN (Hito 4) Y REPARTO A SOCIOS</t>
  </si>
  <si>
    <t xml:space="preserve">Mes desde el que se aparta dinero para el Hito 4</t>
  </si>
  <si>
    <t xml:space="preserve">% del beneficio neto que se reinvierte en Hito 4</t>
  </si>
  <si>
    <t xml:space="preserve">Mes mínimo para repartir (además exige deuda a cero)</t>
  </si>
  <si>
    <t xml:space="preserve">% del beneficio distribuible que se reparte</t>
  </si>
  <si>
    <t xml:space="preserve">Caja mínima que NUNCA se reparte (colchón permanente)</t>
  </si>
  <si>
    <t xml:space="preserve">Capital social + prima tras la ampliación (base de la reserva legal)</t>
  </si>
  <si>
    <t xml:space="preserve">Participación de CADA socio</t>
  </si>
  <si>
    <t xml:space="preserve">Tipo efectivo IRPF + SS trabajador sobre nómina</t>
  </si>
  <si>
    <t xml:space="preserve">Tipo IRPF del ahorro sobre dividendos</t>
  </si>
  <si>
    <t xml:space="preserve">AMORTIZACIÓN E IMPUESTOS</t>
  </si>
  <si>
    <t xml:space="preserve">Vida útil media de la inversión</t>
  </si>
  <si>
    <t xml:space="preserve">años</t>
  </si>
  <si>
    <t xml:space="preserve">Tipo IS reducido (entidad de nueva creación)</t>
  </si>
  <si>
    <t xml:space="preserve">Tipo IS general (a partir del año indicado)</t>
  </si>
  <si>
    <t xml:space="preserve">Año desde el que aplica el tipo GENERAL</t>
  </si>
  <si>
    <t xml:space="preserve">año</t>
  </si>
  <si>
    <t xml:space="preserve">TRAMO 1 · FFF / INVERSOR PRIVADO  (aquí se calcula SU TIR y MOIC)</t>
  </si>
  <si>
    <t xml:space="preserve">¿Activo? (1 = sí / 0 = no)</t>
  </si>
  <si>
    <t xml:space="preserve">Importe FFF / inversor privado</t>
  </si>
  <si>
    <t xml:space="preserve">Capital FFF efectivo</t>
  </si>
  <si>
    <t xml:space="preserve">Estructura (1=Préstamo·2=Participativo·3=Ctas.particip.·4=Rev-share·5=CAPITAL)</t>
  </si>
  <si>
    <t xml:space="preserve">1-4</t>
  </si>
  <si>
    <t xml:space="preserve">Interés fijo anual</t>
  </si>
  <si>
    <t xml:space="preserve">Plazo (meses)</t>
  </si>
  <si>
    <t xml:space="preserve">Carencia de principal (meses)</t>
  </si>
  <si>
    <t xml:space="preserve">Componente variable s/ EBITDA (estructura 2)</t>
  </si>
  <si>
    <t xml:space="preserve">% del beneficio para el inversor (estructura 3)</t>
  </si>
  <si>
    <t xml:space="preserve">% de ingresos para el inversor (estructura 4)</t>
  </si>
  <si>
    <t xml:space="preserve">Múltiplo tope MOIC (estructuras 3 y 4)</t>
  </si>
  <si>
    <t xml:space="preserve">TRAMO 2 · ENISA AgroInnpulso — Línea Agro PYME (participativo). Términos EDITABLES: confírmalos con ENISA</t>
  </si>
  <si>
    <t xml:space="preserve">Importe ENISA</t>
  </si>
  <si>
    <t xml:space="preserve">Capital ENISA efectivo</t>
  </si>
  <si>
    <t xml:space="preserve">Interés fijo anual (tramo fijo — CONFIRMAR con ENISA)</t>
  </si>
  <si>
    <t xml:space="preserve">Interés variable s/ EBITDA</t>
  </si>
  <si>
    <t xml:space="preserve">Plazo total (meses)</t>
  </si>
  <si>
    <t xml:space="preserve">TRAMO 3 · ICO-SAECA (quita 15%) — DESACTIVADO</t>
  </si>
  <si>
    <t xml:space="preserve">¿Activo? (1 = sí / 0 = no)  ← ponlo a 1 para activarlo</t>
  </si>
  <si>
    <t xml:space="preserve">Importe ICO-SAECA</t>
  </si>
  <si>
    <t xml:space="preserve">Capital SAECA efectivo</t>
  </si>
  <si>
    <t xml:space="preserve">Interés fijo anual (bancario)</t>
  </si>
  <si>
    <t xml:space="preserve">Quita de principal (RD-ley 7/2026)</t>
  </si>
  <si>
    <t xml:space="preserve">KICKER Y VALORACIÓN (solo inversor privado)</t>
  </si>
  <si>
    <t xml:space="preserve">Equity cedido al inversor (estructura 5: su participación real)</t>
  </si>
  <si>
    <t xml:space="preserve">Múltiplo de salida sobre EBITDA</t>
  </si>
  <si>
    <t xml:space="preserve">x EBITDA</t>
  </si>
  <si>
    <t xml:space="preserve">Tasa de descuento para el VAN del inversor</t>
  </si>
  <si>
    <t xml:space="preserve">TOTAL FINANCIACIÓN LEVANTADA</t>
  </si>
  <si>
    <t xml:space="preserve">SALIDA DEL INVERSOR (solo estructura 5 · capital)</t>
  </si>
  <si>
    <t xml:space="preserve">Mes de salida del inversor (derecho pactado desde el año 4)</t>
  </si>
  <si>
    <t xml:space="preserve">¿Sumar la caja neta al valor de salida? (1=sí / 0=no)</t>
  </si>
  <si>
    <t xml:space="preserve">Mes previsto de formalización de ENISA (para el chequeo de fondos propios)</t>
  </si>
  <si>
    <t xml:space="preserve">Suelo de cobro a la salida (múltiplo mínimo sobre lo invertido) — protege la bajada</t>
  </si>
  <si>
    <t xml:space="preserve">LÍNEA RESTAURANTES — economía por bandeja (enlaza Producto y Restaurantes)</t>
  </si>
  <si>
    <t xml:space="preserve">COGS por bandeja — RESTAURANTES (€/band/mes × índice de coste)</t>
  </si>
  <si>
    <t xml:space="preserve">Ingreso por bandeja — RESTAURANTES a tarifa, SIN índice (sirve para contar pedidos)</t>
  </si>
  <si>
    <t xml:space="preserve">ROOTFLOW — Mano de obra y dimensionamiento de plantilla</t>
  </si>
  <si>
    <t xml:space="preserve">La mano de obra es el coste real del negocio. Aquí se ve cuántas horas exige la producción y cuántas cubre la plantilla.</t>
  </si>
  <si>
    <t xml:space="preserve">MINUTOS POR BANDEJA (según escenario activo)</t>
  </si>
  <si>
    <t xml:space="preserve">Conservador (a mano)</t>
  </si>
  <si>
    <t xml:space="preserve">Base (lavadora + cinta/cosecha)</t>
  </si>
  <si>
    <t xml:space="preserve">Optimista (+ sembradora)</t>
  </si>
  <si>
    <t xml:space="preserve">MINUTOS/bandeja ACTIVO</t>
  </si>
  <si>
    <t xml:space="preserve">Escenario</t>
  </si>
  <si>
    <t xml:space="preserve">PLANTILLA (viene de Hipótesis) — horas de bandeja por persona</t>
  </si>
  <si>
    <t xml:space="preserve">¿Socio?</t>
  </si>
  <si>
    <t xml:space="preserve">Horas de bandeja disponibles en régimen (plantilla activa)</t>
  </si>
  <si>
    <t xml:space="preserve">CARGA DE TRABAJO EN RÉGIMEN (mes 84)</t>
  </si>
  <si>
    <t xml:space="preserve">Bandejas sembradas/mes</t>
  </si>
  <si>
    <t xml:space="preserve">Horas de bandeja NECESARIAS/mes</t>
  </si>
  <si>
    <t xml:space="preserve">Horas de la plantilla FIJA (Guzmán + encargado)</t>
  </si>
  <si>
    <t xml:space="preserve">OPERARIOS DE CULTIVO necesarios (nº)</t>
  </si>
  <si>
    <t xml:space="preserve">Coste de esos operarios (€/mes)</t>
  </si>
  <si>
    <t xml:space="preserve">PLANTILLA TOTAL (fijos + operarios)</t>
  </si>
  <si>
    <t xml:space="preserve">Coste TOTAL de nóminas (€/mes)</t>
  </si>
  <si>
    <t xml:space="preserve">Los operarios se calculan solos: a menos minutos por bandeja (más automatización), menos operarios. Por eso el Optimista tiene más CAPEX pero menos nómina.</t>
  </si>
  <si>
    <t xml:space="preserve">ROOTFLOW — Plan de inversión y necesidad de financiación</t>
  </si>
  <si>
    <t xml:space="preserve">Bottom-up de cuánto dinero hay que levantar para el salto a la nave.</t>
  </si>
  <si>
    <t xml:space="preserve">Importe (€)</t>
  </si>
  <si>
    <t xml:space="preserve">Nota</t>
  </si>
  <si>
    <t xml:space="preserve">Adaptación de nave (clima, eléctrico trifásico, fontanería)</t>
  </si>
  <si>
    <t xml:space="preserve">AUTOMATIZACIÓN (se activa según escenario):</t>
  </si>
  <si>
    <t xml:space="preserve">  · Lavadora de bandejas</t>
  </si>
  <si>
    <t xml:space="preserve">Incluida en BASE y OPTIMISTA</t>
  </si>
  <si>
    <t xml:space="preserve">  · Cinta / cosecha asistida</t>
  </si>
  <si>
    <t xml:space="preserve">  · Sembradora automática</t>
  </si>
  <si>
    <t xml:space="preserve">Incluida solo en OPTIMISTA</t>
  </si>
  <si>
    <t xml:space="preserve">Automatización incluida en el escenario ACTIVO</t>
  </si>
  <si>
    <t xml:space="preserve">Conservador=0 · Base=10.000 · Optimista=35.000</t>
  </si>
  <si>
    <t xml:space="preserve">Coste de construcción por rack NUEVO</t>
  </si>
  <si>
    <t xml:space="preserve">Nº de racks a construir</t>
  </si>
  <si>
    <t xml:space="preserve">ENLAZADO a la capacidad de Hipótesis (una sola fuente)</t>
  </si>
  <si>
    <t xml:space="preserve">Racks de cultivo (total)</t>
  </si>
  <si>
    <t xml:space="preserve">Instalación y montaje (mano de obra)</t>
  </si>
  <si>
    <t xml:space="preserve">Vehículo de reparto (0 = renting)</t>
  </si>
  <si>
    <t xml:space="preserve">Mobiliario, utillaje, EPIs, varios</t>
  </si>
  <si>
    <t xml:space="preserve">Licencias, proyecto técnico e ingeniería</t>
  </si>
  <si>
    <t xml:space="preserve">Legal / estructuración (ENISA + inversor)</t>
  </si>
  <si>
    <t xml:space="preserve">SUBTOTAL CAPEX</t>
  </si>
  <si>
    <t xml:space="preserve">Incluye el microhub (fila 44).</t>
  </si>
  <si>
    <t xml:space="preserve">Contingencia (% s/ CAPEX)</t>
  </si>
  <si>
    <t xml:space="preserve">Imprevistos de obra/equipo</t>
  </si>
  <si>
    <t xml:space="preserve">Contingencia (€)</t>
  </si>
  <si>
    <t xml:space="preserve">CAPEX + Contingencia</t>
  </si>
  <si>
    <t xml:space="preserve">Meses de colchón de arranque (pérdidas de la rampa)</t>
  </si>
  <si>
    <t xml:space="preserve">El circulante va aparte, en su propia línea</t>
  </si>
  <si>
    <t xml:space="preserve">Coste fijo mensual al arrancar (€)</t>
  </si>
  <si>
    <t xml:space="preserve">Alquiler + suministros + vehículo + otros + NÓMINAS FIJAS DEL MES 1</t>
  </si>
  <si>
    <t xml:space="preserve">Colchón de circulante (€)</t>
  </si>
  <si>
    <t xml:space="preserve">TOTAL INVERSIÓN  =  NECESIDAD DE FINANCIACIÓN</t>
  </si>
  <si>
    <t xml:space="preserve">CAPEX + contingencia + colchón de arranque + fianzas.</t>
  </si>
  <si>
    <t xml:space="preserve">Circulante máximo (NOF) — NO se levanta: va a póliza de crédito</t>
  </si>
  <si>
    <t xml:space="preserve">Póliza máxima dispuesta en el plan (debe caber en el límite)</t>
  </si>
  <si>
    <t xml:space="preserve">Mes 1</t>
  </si>
  <si>
    <t xml:space="preserve">Mes 2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</si>
  <si>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</si>
  <si>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</si>
  <si>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</si>
  <si>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</si>
  <si>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</si>
  <si>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</si>
  <si>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</si>
  <si>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% desplegado</t>
  </si>
  <si>
    <t xml:space="preserve">Suma (debe ser 100%)</t>
  </si>
  <si>
    <t xml:space="preserve">Las columnas Conservador/Base/Optimista calculan la inversión de cada caso a la vez (el Resumen las usa para comparar). La columna C es la del escenario ACTIVO.</t>
  </si>
  <si>
    <t xml:space="preserve">PRESUPUESTO DE OBRA — pendiente del presupuesto real</t>
  </si>
  <si>
    <t xml:space="preserve">Bloque nave + racks + acondicionamiento — bottom-up actual (€)</t>
  </si>
  <si>
    <t xml:space="preserve">PRESUPUESTO REAL del bloque (0 = usar el bottom-up de arriba)</t>
  </si>
  <si>
    <t xml:space="preserve">Cuando llegue el presupuesto, escríbelo aquí y el modelo entero se recalcula.</t>
  </si>
  <si>
    <t xml:space="preserve">Ajuste % sobre el bloque (0 = ninguno · 0,25 = +25 %)</t>
  </si>
  <si>
    <t xml:space="preserve">Para la sensibilidad rápida sin tocar el desglose.</t>
  </si>
  <si>
    <t xml:space="preserve">BLOQUE DE OBRA APLICADO (€)</t>
  </si>
  <si>
    <t xml:space="preserve">MICROHUB Y REPARTO A RESTAURANTES</t>
  </si>
  <si>
    <t xml:space="preserve">Acondicionamiento del microhub</t>
  </si>
  <si>
    <t xml:space="preserve">Cámara / armario refrigerado propio</t>
  </si>
  <si>
    <t xml:space="preserve">Kit riders (mochilas isotérmicas + acumuladores)</t>
  </si>
  <si>
    <t xml:space="preserve">SUBTOTAL MICROHUB</t>
  </si>
  <si>
    <t xml:space="preserve">FIANZAS DE ALQUILER (salida de caja inicial; no se amortizan)</t>
  </si>
  <si>
    <t xml:space="preserve">Meses de fianza de la nave</t>
  </si>
  <si>
    <t xml:space="preserve">Fianza de la nave (€)</t>
  </si>
  <si>
    <t xml:space="preserve">Fianza del microhub (€)</t>
  </si>
  <si>
    <t xml:space="preserve">TOTAL FIANZAS</t>
  </si>
  <si>
    <t xml:space="preserve">ROOTFLOW — Modelo mensual · ESCENARIO ACTIVO (84 meses)</t>
  </si>
  <si>
    <t xml:space="preserve">Sigue al selector de Hipótesis!C4. Para el detalle mensual del caso que estés mirando.</t>
  </si>
  <si>
    <t xml:space="preserve">Mes</t>
  </si>
  <si>
    <t xml:space="preserve">Año</t>
  </si>
  <si>
    <t xml:space="preserve">CAPACIDAD, DEMANDA IDENTIFICADA Y MANO DE OBRA</t>
  </si>
  <si>
    <t xml:space="preserve">Racks instalados</t>
  </si>
  <si>
    <t xml:space="preserve">Posiciones de luz instaladas</t>
  </si>
  <si>
    <t xml:space="preserve">  · Frutería La Huerta de Aranjuez (€/mes pond.)</t>
  </si>
  <si>
    <t xml:space="preserve">  · Sushita (€/mes pond.)</t>
  </si>
  <si>
    <t xml:space="preserve">  · Frutas Eloy (€/mes pond.)</t>
  </si>
  <si>
    <t xml:space="preserve">  · Mercamadrid (asentadores) (€/mes pond.)</t>
  </si>
  <si>
    <t xml:space="preserve">  · Makro (cash &amp; carry) (€/mes pond.)</t>
  </si>
  <si>
    <t xml:space="preserve">  · Primaflor (€/mes pond.)</t>
  </si>
  <si>
    <t xml:space="preserve">  · — hueco nueva cuenta — (€/mes pond.)</t>
  </si>
  <si>
    <t xml:space="preserve">DEMANDA IDENTIFICADA — ingresos a tarifa mayorista (€/mes)</t>
  </si>
  <si>
    <t xml:space="preserve">  · bandejas/mes que exige</t>
  </si>
  <si>
    <t xml:space="preserve">  · posiciones de luz que exige</t>
  </si>
  <si>
    <t xml:space="preserve">  · COGS de la demanda identificada</t>
  </si>
  <si>
    <t xml:space="preserve">  · kg/mes identificados</t>
  </si>
  <si>
    <t xml:space="preserve">% de la demanda identificada SERVIBLE (capacidad)</t>
  </si>
  <si>
    <t xml:space="preserve">Nuevas cuentas (distribución + restaurantes) — utilización objetivo (%)</t>
  </si>
  <si>
    <t xml:space="preserve">Nuevas cuentas de DISTRIBUCIÓN — posiciones (objetivo menos restaurantes)</t>
  </si>
  <si>
    <t xml:space="preserve">Posiciones ocupadas TOTALES (distribución + restaurantes)</t>
  </si>
  <si>
    <t xml:space="preserve">Ocupación de la nave (%)</t>
  </si>
  <si>
    <t xml:space="preserve">Producción total (kg/mes)</t>
  </si>
  <si>
    <t xml:space="preserve">Horas de bandeja NECESARIAS (bandejas × min/escenario)</t>
  </si>
  <si>
    <t xml:space="preserve">Horas de bandeja de la plantilla FIJA activa</t>
  </si>
  <si>
    <t xml:space="preserve">OPERARIOS DE CULTIVO necesarios (calculado)</t>
  </si>
  <si>
    <t xml:space="preserve">PLANTILLA TOTAL (fijos activos + operarios)</t>
  </si>
  <si>
    <t xml:space="preserve">CUENTA DE RESULTADOS (€)</t>
  </si>
  <si>
    <t xml:space="preserve">Ingresos — línea DISTRIBUCIÓN (distribuidores, retail, Mercamadrid)</t>
  </si>
  <si>
    <t xml:space="preserve">Ingresos — línea RESTAURANTES (reparto propio con riders)</t>
  </si>
  <si>
    <t xml:space="preserve">Ingresos brutos</t>
  </si>
  <si>
    <t xml:space="preserve">(–) Merma / comercial / impagados (ambas líneas)</t>
  </si>
  <si>
    <t xml:space="preserve">Ingresos netos</t>
  </si>
  <si>
    <t xml:space="preserve">(–) COGS (semilla + sustrato + envases, ambas líneas)</t>
  </si>
  <si>
    <t xml:space="preserve">MARGEN BRUTO</t>
  </si>
  <si>
    <t xml:space="preserve">Margen bruto (%)</t>
  </si>
  <si>
    <t xml:space="preserve">(–) OPEX · Alquiler nave</t>
  </si>
  <si>
    <t xml:space="preserve">(–) OPEX · Suministros (fijo + luz por posición)</t>
  </si>
  <si>
    <t xml:space="preserve">(–) OPEX · Nómina · Pedro — socio (finanzas)</t>
  </si>
  <si>
    <t xml:space="preserve">(–) OPEX · Nómina · Nico — socio (comercial)</t>
  </si>
  <si>
    <t xml:space="preserve">(–) OPEX · Nómina · Guzmán — socio (producción)</t>
  </si>
  <si>
    <t xml:space="preserve">(–) OPEX · Nómina · Encargado de producción</t>
  </si>
  <si>
    <t xml:space="preserve">(–) OPEX · Nómina · Comercial / KAM</t>
  </si>
  <si>
    <t xml:space="preserve">(–) OPEX · Nómina · (rol fijo libre)</t>
  </si>
  <si>
    <t xml:space="preserve">(–) OPEX · Operarios de cultivo (calculado por escenario)</t>
  </si>
  <si>
    <t xml:space="preserve">(–) OPEX · TOTAL NÓMINAS (fijos + operarios)</t>
  </si>
  <si>
    <t xml:space="preserve">(–) OPEX · Logística: distribución + última milla restaurantes</t>
  </si>
  <si>
    <t xml:space="preserve">(–) OPEX · Vehículo (renting furgos)</t>
  </si>
  <si>
    <t xml:space="preserve">(–) OPEX · Otros (gestoría, seguros…) + captación de restaurantes</t>
  </si>
  <si>
    <t xml:space="preserve">(–) TOTAL OPEX</t>
  </si>
  <si>
    <t xml:space="preserve">EBITDA</t>
  </si>
  <si>
    <t xml:space="preserve">(–) Amortización</t>
  </si>
  <si>
    <t xml:space="preserve">EBIT</t>
  </si>
  <si>
    <t xml:space="preserve">(–) Gastos financieros (intereses de deuda y póliza)</t>
  </si>
  <si>
    <t xml:space="preserve">Beneficio antes de impuestos</t>
  </si>
  <si>
    <t xml:space="preserve">(–) Impuesto de sociedades (15% mientras sea startup, luego general)</t>
  </si>
  <si>
    <t xml:space="preserve">RESULTADO NETO</t>
  </si>
  <si>
    <t xml:space="preserve">FLUJO DE CAJA — con circulante y póliza de crédito (€)</t>
  </si>
  <si>
    <t xml:space="preserve">(–) Impuestos</t>
  </si>
  <si>
    <t xml:space="preserve">Saldo de CLIENTES (distribución + restaurantes)</t>
  </si>
  <si>
    <t xml:space="preserve">Saldo de PROVEEDORES</t>
  </si>
  <si>
    <t xml:space="preserve">NOF — circulante NETO (factoring solo sobre distribución)</t>
  </si>
  <si>
    <t xml:space="preserve">(–) Variación de circulante</t>
  </si>
  <si>
    <t xml:space="preserve">(–) CAPEX (despliegue inversión)</t>
  </si>
  <si>
    <t xml:space="preserve">(–) CAPEX de mantenimiento / reposición</t>
  </si>
  <si>
    <t xml:space="preserve">Flujo antes de financiación</t>
  </si>
  <si>
    <t xml:space="preserve">(+) Entrada de financiación (ronda)</t>
  </si>
  <si>
    <t xml:space="preserve">(–) Servicio de la deuda (ronda)</t>
  </si>
  <si>
    <t xml:space="preserve">Intereses de la póliza (sobre saldo del mes anterior)</t>
  </si>
  <si>
    <t xml:space="preserve">Flujo antes de póliza y reparto</t>
  </si>
  <si>
    <t xml:space="preserve">Caja antes de mover la póliza</t>
  </si>
  <si>
    <t xml:space="preserve">PÓLIZA — disposición (+) / amortización (–)</t>
  </si>
  <si>
    <t xml:space="preserve">PÓLIZA — saldo dispuesto</t>
  </si>
  <si>
    <t xml:space="preserve">Caja tras la póliza</t>
  </si>
  <si>
    <t xml:space="preserve">(–) Reinversión — fondo Hito 4</t>
  </si>
  <si>
    <t xml:space="preserve">(–) DIVIDENDO (solo con TODA la deuda pagada)</t>
  </si>
  <si>
    <t xml:space="preserve">Flujo de caja neto del periodo</t>
  </si>
  <si>
    <t xml:space="preserve">CAJA ACUMULADA</t>
  </si>
  <si>
    <t xml:space="preserve">FINANCIACIÓN — DETALLE POR TRAMO (€)</t>
  </si>
  <si>
    <t xml:space="preserve">FFF · saldo vivo</t>
  </si>
  <si>
    <t xml:space="preserve">FFF · amortización principal</t>
  </si>
  <si>
    <t xml:space="preserve">FFF · interés</t>
  </si>
  <si>
    <t xml:space="preserve">FFF · pago potencial (según estructura)</t>
  </si>
  <si>
    <t xml:space="preserve">FFF · pago efectivo (con tope MOIC)</t>
  </si>
  <si>
    <t xml:space="preserve">Inversor · acumulado cobrado</t>
  </si>
  <si>
    <t xml:space="preserve">ENISA · saldo vivo</t>
  </si>
  <si>
    <t xml:space="preserve">ENISA · amortización principal</t>
  </si>
  <si>
    <t xml:space="preserve">ENISA · interés fijo + variable</t>
  </si>
  <si>
    <t xml:space="preserve">ENISA · servicio</t>
  </si>
  <si>
    <t xml:space="preserve">SAECA · saldo vivo</t>
  </si>
  <si>
    <t xml:space="preserve">SAECA · amortización principal</t>
  </si>
  <si>
    <t xml:space="preserve">SAECA · interés</t>
  </si>
  <si>
    <t xml:space="preserve">SAECA · servicio</t>
  </si>
  <si>
    <t xml:space="preserve">SERVICIO TOTAL FINANCIACIÓN</t>
  </si>
  <si>
    <t xml:space="preserve">Acumulado servicio</t>
  </si>
  <si>
    <t xml:space="preserve">RESERVAS, BENEFICIO DISTRIBUIBLE Y LO QUE SE LLEVA CADA SOCIO</t>
  </si>
  <si>
    <t xml:space="preserve">Reservas acumuladas ANTES del reparto</t>
  </si>
  <si>
    <t xml:space="preserve">Reserva legal a dotar (20% del capital social)</t>
  </si>
  <si>
    <t xml:space="preserve">BENEFICIO DISTRIBUIBLE (tras pérdidas y reserva legal)</t>
  </si>
  <si>
    <t xml:space="preserve">Reservas acumuladas tras el reparto</t>
  </si>
  <si>
    <t xml:space="preserve">Dividendos repartidos — acumulado</t>
  </si>
  <si>
    <t xml:space="preserve">Fondo Hito 4 — acumulado</t>
  </si>
  <si>
    <t xml:space="preserve">  · CADA socio — sueldo NETO del mes</t>
  </si>
  <si>
    <t xml:space="preserve">  · CADA socio — dividendo NETO del mes</t>
  </si>
  <si>
    <t xml:space="preserve">  · CADA socio — TOTAL NETO del mes</t>
  </si>
  <si>
    <t xml:space="preserve">FLUJOS PARA RETORNO / COSTE</t>
  </si>
  <si>
    <t xml:space="preserve">Flujo de caja del INVERSOR PRIVADO</t>
  </si>
  <si>
    <t xml:space="preserve">Flujo del stack (empresa)</t>
  </si>
  <si>
    <t xml:space="preserve">Flujo del prestamista ENISA</t>
  </si>
  <si>
    <t xml:space="preserve">RESULTADOS (escalares)</t>
  </si>
  <si>
    <t xml:space="preserve">Capital invertido por el inversor privado (€)</t>
  </si>
  <si>
    <t xml:space="preserve">TIR mensual del inversor</t>
  </si>
  <si>
    <t xml:space="preserve">Múltiplo del inversor (MOIC)</t>
  </si>
  <si>
    <t xml:space="preserve">VAN del inversor (€)</t>
  </si>
  <si>
    <t xml:space="preserve">EBITDA año 5 (€)</t>
  </si>
  <si>
    <t xml:space="preserve">Valor de salida estimado (€)</t>
  </si>
  <si>
    <t xml:space="preserve">Pago de equity al inversor a la salida (€)</t>
  </si>
  <si>
    <t xml:space="preserve">Coste efectivo del tramo FFF (TAE)</t>
  </si>
  <si>
    <t xml:space="preserve">Coste medio ponderado del stack (TAE)</t>
  </si>
  <si>
    <t xml:space="preserve">Ahorro por quita SAECA (€)</t>
  </si>
  <si>
    <t xml:space="preserve">EBITDA anual</t>
  </si>
  <si>
    <t xml:space="preserve">Servicio de financiación anual</t>
  </si>
  <si>
    <t xml:space="preserve">DSCR anual</t>
  </si>
  <si>
    <t xml:space="preserve">DSCR MÍNIMO años 2-7</t>
  </si>
  <si>
    <t xml:space="preserve">CAJA MÍNIMA del plan</t>
  </si>
  <si>
    <t xml:space="preserve">Ingresos año 1</t>
  </si>
  <si>
    <t xml:space="preserve">Dividendo repartido en el año</t>
  </si>
  <si>
    <t xml:space="preserve">CADA socio — neto medio €/mes (sueldo + dividendo)</t>
  </si>
  <si>
    <t xml:space="preserve">PÓLIZA — máximo dispuesto en todo el plan</t>
  </si>
  <si>
    <t xml:space="preserve">SALIDA DEL INVERSOR — VALOR DEL EQUITY (estructura 5)</t>
  </si>
  <si>
    <t xml:space="preserve">EBITDA de los 12 meses previos a la salida (€)</t>
  </si>
  <si>
    <t xml:space="preserve">Valor de empresa a la salida (EV = EBITDA × múltiplo) (€)</t>
  </si>
  <si>
    <t xml:space="preserve">Caja acumulada en el mes de salida (€)</t>
  </si>
  <si>
    <t xml:space="preserve">Deuda viva en el mes de salida (ENISA + SAECA + FFF) (€)</t>
  </si>
  <si>
    <t xml:space="preserve">VALOR DEL EQUITY A LA SALIDA (€)</t>
  </si>
  <si>
    <t xml:space="preserve">Cobro del inversor a la salida (€) — con suelo de protección</t>
  </si>
  <si>
    <t xml:space="preserve">   · de los cuales, por el suelo de protección (€)</t>
  </si>
  <si>
    <t xml:space="preserve">CHEQUEO ENISA — FONDOS PROPIOS ≥ IMPORTE SOLICITADO</t>
  </si>
  <si>
    <t xml:space="preserve">Fondos propios aportados por la ronda (€)</t>
  </si>
  <si>
    <t xml:space="preserve">Resultado acumulado hasta el mes de formalización (€)</t>
  </si>
  <si>
    <t xml:space="preserve">FONDOS PROPIOS ESTIMADOS a la formalización (€)</t>
  </si>
  <si>
    <t xml:space="preserve">Importe de ENISA solicitado (€)</t>
  </si>
  <si>
    <t xml:space="preserve">¿CUMPLE el requisito de fondos propios de ENISA?</t>
  </si>
  <si>
    <t xml:space="preserve">LÍNEAS DE NEGOCIO — DISTRIBUCIÓN + RESTAURANTES (V17)</t>
  </si>
  <si>
    <t xml:space="preserve">Las filas de la cuenta de resultados (34, 35, 37, 39, 52, 54) leen de este bloque.</t>
  </si>
  <si>
    <t xml:space="preserve">Mes natural (1-12)</t>
  </si>
  <si>
    <t xml:space="preserve">Factor estacional restaurantes (agosto)</t>
  </si>
  <si>
    <t xml:space="preserve">Rampa de la línea restaurantes (0-100 %)</t>
  </si>
  <si>
    <t xml:space="preserve">Posiciones de clientes identificados servidas (pipeline)</t>
  </si>
  <si>
    <t xml:space="preserve">Techo de mercado expresado en posiciones</t>
  </si>
  <si>
    <t xml:space="preserve">Restaurantes — posiciones objetivo (cartera, sin estacionalidad)</t>
  </si>
  <si>
    <t xml:space="preserve">Restaurantes — posiciones asignadas (tras capacidad física)</t>
  </si>
  <si>
    <t xml:space="preserve">Restaurantes — posiciones en producción (con estacionalidad)</t>
  </si>
  <si>
    <t xml:space="preserve">Distribución — posiciones (pipeline + nuevas cuentas)</t>
  </si>
  <si>
    <t xml:space="preserve">Ocupación total de la nave</t>
  </si>
  <si>
    <t xml:space="preserve">kg/mes a RESTAURANTES</t>
  </si>
  <si>
    <t xml:space="preserve">kg/mes a DISTRIBUCIÓN</t>
  </si>
  <si>
    <t xml:space="preserve">% de la producción (kg) que va a restaurantes</t>
  </si>
  <si>
    <t xml:space="preserve">Ingresos DISTRIBUCIÓN — clientes identificados (pipeline a tarifa)</t>
  </si>
  <si>
    <t xml:space="preserve">Ingresos DISTRIBUCIÓN — nuevas cuentas</t>
  </si>
  <si>
    <t xml:space="preserve">INGRESOS LÍNEA DISTRIBUCIÓN (bruto)</t>
  </si>
  <si>
    <t xml:space="preserve">Ingresos restaurantes a tarifa, sin índice (base de pedidos)</t>
  </si>
  <si>
    <t xml:space="preserve">Pedidos al mes</t>
  </si>
  <si>
    <t xml:space="preserve">Ingresos por porte de pedidos pequeños</t>
  </si>
  <si>
    <t xml:space="preserve">INGRESOS LÍNEA RESTAURANTES (bruto)</t>
  </si>
  <si>
    <t xml:space="preserve">% de los ingresos que vienen de restaurantes</t>
  </si>
  <si>
    <t xml:space="preserve">(–) Merma DISTRIBUCIÓN</t>
  </si>
  <si>
    <t xml:space="preserve">(–) Merma RESTAURANTES</t>
  </si>
  <si>
    <t xml:space="preserve">(–) COGS DISTRIBUCIÓN</t>
  </si>
  <si>
    <t xml:space="preserve">(–) COGS RESTAURANTES</t>
  </si>
  <si>
    <t xml:space="preserve">Restaurantes en cartera</t>
  </si>
  <si>
    <t xml:space="preserve">Restaurantes captados en el mes (netos + reposición por rotación)</t>
  </si>
  <si>
    <t xml:space="preserve">Entregas al día</t>
  </si>
  <si>
    <t xml:space="preserve">Horas de reparto al día</t>
  </si>
  <si>
    <t xml:space="preserve">Riders necesarios</t>
  </si>
  <si>
    <t xml:space="preserve">Horas de rider pagadas al mes</t>
  </si>
  <si>
    <t xml:space="preserve">(–) Riders</t>
  </si>
  <si>
    <t xml:space="preserve">(–) Microhub (alquiler + suministros)</t>
  </si>
  <si>
    <t xml:space="preserve">(–) Lanzadera nave → microhub</t>
  </si>
  <si>
    <t xml:space="preserve">(–) Preparación de pedidos</t>
  </si>
  <si>
    <t xml:space="preserve">(–) Embalaje de pedidos</t>
  </si>
  <si>
    <t xml:space="preserve">(–) TOTAL ÚLTIMA MILLA RESTAURANTES</t>
  </si>
  <si>
    <t xml:space="preserve">Coste de última milla por pedido</t>
  </si>
  <si>
    <t xml:space="preserve">(–) Captación de restaurantes</t>
  </si>
  <si>
    <t xml:space="preserve">Restaurantes por comercial activo (Nico + KAM)</t>
  </si>
  <si>
    <t xml:space="preserve">(–) Logística DISTRIBUCIÓN (furgo propia en Madrid + Athos fuera)</t>
  </si>
  <si>
    <t xml:space="preserve">Saldo de clientes DISTRIBUCIÓN</t>
  </si>
  <si>
    <t xml:space="preserve">Saldo de clientes RESTAURANTES</t>
  </si>
  <si>
    <t xml:space="preserve">MARGEN DE CONTRIBUCIÓN — DISTRIBUCIÓN</t>
  </si>
  <si>
    <t xml:space="preserve">MARGEN DE CONTRIBUCIÓN — RESTAURANTES</t>
  </si>
  <si>
    <t xml:space="preserve">Comprobación: posiciones ≤ capacidad (1 = OK)</t>
  </si>
  <si>
    <t xml:space="preserve">Comprobación: restaurantes ≤ techo de mercado (1 = OK)</t>
  </si>
  <si>
    <t xml:space="preserve">ROOTFLOW — Resumen anual (7 años)</t>
  </si>
  <si>
    <t xml:space="preserve">Margen bruto, EBITDA y cobertura de deuda (DSCR).</t>
  </si>
  <si>
    <t xml:space="preserve">(–) COGS</t>
  </si>
  <si>
    <t xml:space="preserve">(–) OPEX total</t>
  </si>
  <si>
    <t xml:space="preserve">Resultado neto (antes financiación)</t>
  </si>
  <si>
    <t xml:space="preserve">(–) CAPEX</t>
  </si>
  <si>
    <t xml:space="preserve">(–) Servicio de financiación</t>
  </si>
  <si>
    <t xml:space="preserve">Flujo de caja neto</t>
  </si>
  <si>
    <t xml:space="preserve">Caja acumulada (fin de año)</t>
  </si>
  <si>
    <t xml:space="preserve">Producción (kg)</t>
  </si>
  <si>
    <t xml:space="preserve">DSCR (EBITDA ÷ servicio)</t>
  </si>
  <si>
    <t xml:space="preserve">(–) Nóminas</t>
  </si>
  <si>
    <t xml:space="preserve">(–) Logística: distribución + última milla restaurantes</t>
  </si>
  <si>
    <t xml:space="preserve">Ingresos de clientes identificados (pipeline)</t>
  </si>
  <si>
    <t xml:space="preserve">% de ingresos ya identificado</t>
  </si>
  <si>
    <t xml:space="preserve">Plantilla total (nº, fin de año)</t>
  </si>
  <si>
    <t xml:space="preserve">Operarios de cultivo (nº, fin de año)</t>
  </si>
  <si>
    <t xml:space="preserve">Saldo de clientes (fin de año)</t>
  </si>
  <si>
    <t xml:space="preserve">(–) Reinversión Hito 4</t>
  </si>
  <si>
    <t xml:space="preserve">(–) Dividendos a socios</t>
  </si>
  <si>
    <t xml:space="preserve">Beneficio distribuible (fin de año)</t>
  </si>
  <si>
    <t xml:space="preserve">Póliza dispuesta (fin de año)</t>
  </si>
  <si>
    <t xml:space="preserve">(–) Gastos financieros</t>
  </si>
  <si>
    <t xml:space="preserve">MIX DE CANALES (escenario activo)</t>
  </si>
  <si>
    <t xml:space="preserve">Ingresos línea DISTRIBUCIÓN</t>
  </si>
  <si>
    <t xml:space="preserve">Ingresos línea RESTAURANTES</t>
  </si>
  <si>
    <t xml:space="preserve">kg vendidos a restaurantes</t>
  </si>
  <si>
    <t xml:space="preserve">Margen de contribución DISTRIBUCIÓN</t>
  </si>
  <si>
    <t xml:space="preserve">Margen de contribución RESTAURANTES</t>
  </si>
  <si>
    <t xml:space="preserve">  · sobre ingresos de distribución</t>
  </si>
  <si>
    <t xml:space="preserve">  · sobre ingresos de restaurantes</t>
  </si>
  <si>
    <t xml:space="preserve">Restaurantes en cartera (fin de año)</t>
  </si>
  <si>
    <t xml:space="preserve">Pedidos en el año</t>
  </si>
  <si>
    <t xml:space="preserve">Riders (fin de año)</t>
  </si>
  <si>
    <t xml:space="preserve">(–) Coste de última milla restaurantes</t>
  </si>
  <si>
    <t xml:space="preserve">ROOTFLOW — Cuenta de resultados por LÍNEA DE NEGOCIO (escenario activo)</t>
  </si>
  <si>
    <t xml:space="preserve">Cada línea carga sus costes directos (producto, merma, logística o última milla, captación). Los costes de la nave y la estructura son comunes. La suma cuadra con el EBITDA del modelo mensual.</t>
  </si>
  <si>
    <t xml:space="preserve">LÍNEA 1 · DISTRIBUCIÓN (distribuidores, retail, Mercamadrid)</t>
  </si>
  <si>
    <t xml:space="preserve">kg vendidos</t>
  </si>
  <si>
    <t xml:space="preserve">  · de clientes identificados (pipeline)</t>
  </si>
  <si>
    <t xml:space="preserve">  · de nuevas cuentas</t>
  </si>
  <si>
    <t xml:space="preserve">(–) Merma / impagados</t>
  </si>
  <si>
    <t xml:space="preserve">(–) Coste de producto (semilla, sustrato, envase)</t>
  </si>
  <si>
    <t xml:space="preserve">(–) Logística (furgo propia Madrid + Athos fuera)</t>
  </si>
  <si>
    <t xml:space="preserve">  · % sobre sus ingresos</t>
  </si>
  <si>
    <t xml:space="preserve">  · € por kg</t>
  </si>
  <si>
    <t xml:space="preserve">LÍNEA 2 · RESTAURANTES (reparto propio desde el microhub)</t>
  </si>
  <si>
    <t xml:space="preserve">Pedidos servidos</t>
  </si>
  <si>
    <t xml:space="preserve">(–) Preparación y embalaje de pedidos</t>
  </si>
  <si>
    <t xml:space="preserve">  · € por pedido</t>
  </si>
  <si>
    <t xml:space="preserve">COSTES COMUNES (nave y estructura)</t>
  </si>
  <si>
    <t xml:space="preserve">(–) Alquiler de la nave</t>
  </si>
  <si>
    <t xml:space="preserve">(–) Suministros (fijo + luz por posición)</t>
  </si>
  <si>
    <t xml:space="preserve">(–) Nóminas (socios, encargado, operarios, KAM)</t>
  </si>
  <si>
    <t xml:space="preserve">(–) Vehículo (renting)</t>
  </si>
  <si>
    <t xml:space="preserve">(–) Otros (gestoría, seguros, software, marketing)</t>
  </si>
  <si>
    <t xml:space="preserve">TOTAL COSTES COMUNES</t>
  </si>
  <si>
    <t xml:space="preserve">EBITDA = margen distribución + margen restaurantes + costes comunes</t>
  </si>
  <si>
    <t xml:space="preserve">Comprobación contra el modelo mensual (debe ser 0)</t>
  </si>
  <si>
    <t xml:space="preserve">PESO DE CADA LÍNEA</t>
  </si>
  <si>
    <t xml:space="preserve">% de los kg que van a restaurantes</t>
  </si>
  <si>
    <t xml:space="preserve">% del margen de contribución que viene de restaurantes</t>
  </si>
  <si>
    <t xml:space="preserve">Lectura: restaurantes usa poca nave y mucho margen por kg; distribución da el volumen. La palanca está en Restaurantes!D7.</t>
  </si>
  <si>
    <t xml:space="preserve">ROOTFLOW — Sensibilidades (EBITDA de régimen)</t>
  </si>
  <si>
    <t xml:space="preserve">Calculadora transparente del EBITDA mensual en régimen a partir de las palancas clave. Cambia las celdas azules; no depende del motor de 84 meses, así que recalcula al instante.</t>
  </si>
  <si>
    <t xml:space="preserve">PALANCAS (celdas azules) — parten del caso base</t>
  </si>
  <si>
    <t xml:space="preserve">Posiciones de luz ocupadas (de 2.880)</t>
  </si>
  <si>
    <t xml:space="preserve">Ingreso medio por posición y mes (€) — mezcla de canales en régimen</t>
  </si>
  <si>
    <t xml:space="preserve">enlazado al modelo mensual (mes 84)</t>
  </si>
  <si>
    <t xml:space="preserve">COGS medio por posición y mes (€) — mezcla de canales</t>
  </si>
  <si>
    <t xml:space="preserve">Merma / comercial / impagados (%)</t>
  </si>
  <si>
    <t xml:space="preserve">MINUTOS POR BANDEJA</t>
  </si>
  <si>
    <t xml:space="preserve">FTE en nómina que tocan bandeja</t>
  </si>
  <si>
    <t xml:space="preserve">Horas de bandeja por FTE y mes</t>
  </si>
  <si>
    <t xml:space="preserve">Coste hora de refuerzo (€)</t>
  </si>
  <si>
    <t xml:space="preserve">Costes NO-bandeja (alquiler, luz, nóminas fijas, logística y última milla, otros) €/mes</t>
  </si>
  <si>
    <t xml:space="preserve">RESULTADO (recalcula solo)</t>
  </si>
  <si>
    <t xml:space="preserve">Ingresos brutos (€/mes)</t>
  </si>
  <si>
    <t xml:space="preserve">Ingresos netos (€/mes)</t>
  </si>
  <si>
    <t xml:space="preserve">COGS (€/mes)</t>
  </si>
  <si>
    <t xml:space="preserve">Margen bruto (€/mes)</t>
  </si>
  <si>
    <t xml:space="preserve">Horas de bandeja necesarias</t>
  </si>
  <si>
    <t xml:space="preserve">Horas disponibles (plantilla)</t>
  </si>
  <si>
    <t xml:space="preserve">Refuerzo necesario (€/mes)</t>
  </si>
  <si>
    <t xml:space="preserve">EBITDA (€/mes)</t>
  </si>
  <si>
    <t xml:space="preserve">EBITDA (€/año)</t>
  </si>
  <si>
    <t xml:space="preserve">TABLA · EBITDA mensual (€) según MINUTOS/BANDEJA (filas) × FTE en bandeja (columnas)</t>
  </si>
  <si>
    <t xml:space="preserve">min/band ↓   FTE →</t>
  </si>
  <si>
    <t xml:space="preserve">Cruza minutos por bandeja (según automatización) con el nº de operarios en bandeja. Busca la zona donde el EBITDA deja de crecer: ahí ya no hace falta más gente.</t>
  </si>
  <si>
    <t xml:space="preserve">TABLA · EBITDA mensual (€) según POSICIONES ocupadas (filas) × INGRESO/bandeja (columnas)</t>
  </si>
  <si>
    <t xml:space="preserve">posiciones ↓  €/band →</t>
  </si>
  <si>
    <t xml:space="preserve">Nota: estas tablas son un modelo cerrado y transparente del régimen; los importes finos (impuestos, financiación, rampa) están en el modelo mensual.</t>
  </si>
  <si>
    <t xml:space="preserve">ROOTFLOW — Motor mensual · CONSERVADOR</t>
  </si>
  <si>
    <t xml:space="preserve">Motor fijo de este escenario. Alimenta la tabla comparativa del Resumen (siempre vivo).</t>
  </si>
  <si>
    <t xml:space="preserve">ROOTFLOW — Motor mensual · BASE</t>
  </si>
  <si>
    <t xml:space="preserve">ROOTFLOW — Motor mensual · OPTIMISTA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</si>
</sst>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;\(#,##0.0\);\-"/>
    <numFmt numFmtId="166" formatCode="0%"/>
    <numFmt numFmtId="167" formatCode="#,##0&quot; €&quot;;\(#,##0&quot;) €&quot;;\-"/>
    <numFmt numFmtId="168" formatCode="#,##0;\(#,##0\);\-"/>
    <numFmt numFmtId="169" formatCode="0.00\x"/>
    <numFmt numFmtId="170" formatCode="0.0%"/>
    <numFmt numFmtId="171" formatCode="0.00"/>
    <numFmt numFmtId="172" formatCode="0.0\x"/>
    <numFmt numFmtId="173" formatCode="#,##0.00&quot; €&quot;;\(#,##0.00&quot;) €&quot;;\-"/>
    <numFmt numFmtId="174" formatCode="#,##0.00;\(#,##0.00\);\-"/>
    <numFmt numFmtId="175" formatCode="#,##0.00&quot; €/kg&quot;"/>
    <numFmt numFmtId="176" formatCode="0.0000"/>
    <numFmt numFmtId="177" formatCode="0.000"/>
    <numFmt numFmtId="178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theme="1"/>
      <name val="Arial"/>
      <family val="0"/>
      <charset val="1"/>
    </font>
    <font>
      <b val="true"/>
      <sz val="12"/>
      <color rgb="FF1F4D2B"/>
      <name val="Cambria"/>
      <family val="0"/>
      <charset val="1"/>
    </font>
    <font>
      <sz val="10"/>
      <color rgb="FF333333"/>
      <name val="Cambria"/>
      <family val="0"/>
      <charset val="1"/>
    </font>
    <font>
      <b val="true"/>
      <sz val="11"/>
      <color rgb="FF1F4D2B"/>
      <name val="Cambria"/>
      <family val="0"/>
      <charset val="1"/>
    </font>
    <font>
      <b val="true"/>
      <sz val="10"/>
      <color rgb="FF9C2A00"/>
      <name val="Cambria"/>
      <family val="0"/>
      <charset val="1"/>
    </font>
    <font>
      <b val="true"/>
      <sz val="15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9"/>
      <color theme="1"/>
      <name val="Arial"/>
      <family val="0"/>
      <charset val="1"/>
    </font>
    <font>
      <i val="true"/>
      <sz val="9"/>
      <color theme="1"/>
      <name val="Arial"/>
      <family val="0"/>
      <charset val="1"/>
    </font>
    <font>
      <b val="true"/>
      <sz val="14"/>
      <color rgb="FF1F4D2B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D4F37"/>
        <bgColor rgb="FF1F4D2B"/>
      </patternFill>
    </fill>
    <fill>
      <patternFill patternType="solid">
        <fgColor rgb="FFD9D9D9"/>
        <bgColor rgb="FFDCE9F7"/>
      </patternFill>
    </fill>
    <fill>
      <patternFill patternType="solid">
        <fgColor rgb="FFFCF1ED"/>
        <bgColor rgb="FFF2F2F2"/>
      </patternFill>
    </fill>
    <fill>
      <patternFill patternType="solid">
        <fgColor rgb="FFFFF2CC"/>
        <bgColor rgb="FFFCF1ED"/>
      </patternFill>
    </fill>
    <fill>
      <patternFill patternType="solid">
        <fgColor rgb="FFDCE9F7"/>
        <bgColor rgb="FFE2EFDA"/>
      </patternFill>
    </fill>
    <fill>
      <patternFill patternType="solid">
        <fgColor rgb="FFFCE4E4"/>
        <bgColor rgb="FFFCF1ED"/>
      </patternFill>
    </fill>
    <fill>
      <patternFill patternType="solid">
        <fgColor rgb="FFE2EFDA"/>
        <bgColor rgb="FFDCE9F7"/>
      </patternFill>
    </fill>
    <fill>
      <patternFill patternType="solid">
        <fgColor rgb="FF1F4D2B"/>
        <bgColor rgb="FF1D4F37"/>
      </patternFill>
    </fill>
    <fill>
      <patternFill patternType="solid">
        <fgColor rgb="FFF2F2F2"/>
        <bgColor rgb="FFFCF1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2"/>
      </left>
      <right style="thin">
        <color rgb="FFBFC9C2"/>
      </right>
      <top style="thin">
        <color rgb="FFBFC9C2"/>
      </top>
      <bottom style="thin">
        <color rgb="FFBFC9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2"/>
      <rgbColor rgb="FF808080"/>
      <rgbColor rgb="FF9999FF"/>
      <rgbColor rgb="FF993366"/>
      <rgbColor rgb="FFFFF2CC"/>
      <rgbColor rgb="FFDCE9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F1ED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D4F37"/>
      <rgbColor rgb="FF339966"/>
      <rgbColor rgb="FF003300"/>
      <rgbColor rgb="FF1F4D2B"/>
      <rgbColor rgb="FF9C2A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8"/>
  </cols>
  <sheetData>
    <row r="1" customFormat="false" ht="13.5" hidden="false" customHeight="true" outlineLevel="0" collapsed="false"/>
    <row r="2" customFormat="false" ht="26.25" hidden="false" customHeight="true" outlineLevel="0" collapsed="false">
      <c r="B2" s="2" t="s">
        <v>0</v>
      </c>
    </row>
    <row r="3" customFormat="false" ht="17.25" hidden="false" customHeight="true" outlineLevel="0" collapsed="false">
      <c r="B3" s="3" t="s">
        <v>1</v>
      </c>
    </row>
    <row r="4" customFormat="false" ht="13.5" hidden="false" customHeight="true" outlineLevel="0" collapsed="false">
      <c r="B4" s="4" t="s">
        <v>2</v>
      </c>
    </row>
    <row r="5" customFormat="false" ht="13.5" hidden="false" customHeight="true" outlineLevel="0" collapsed="false">
      <c r="B5" s="5"/>
    </row>
    <row r="6" customFormat="false" ht="13.5" hidden="false" customHeight="true" outlineLevel="0" collapsed="false">
      <c r="B6" s="6" t="s">
        <v>3</v>
      </c>
    </row>
    <row r="7" customFormat="false" ht="13.5" hidden="false" customHeight="true" outlineLevel="0" collapsed="false">
      <c r="B7" s="4" t="s">
        <v>4</v>
      </c>
    </row>
    <row r="8" customFormat="false" ht="13.5" hidden="false" customHeight="true" outlineLevel="0" collapsed="false">
      <c r="B8" s="4" t="s">
        <v>5</v>
      </c>
    </row>
    <row r="9" customFormat="false" ht="13.5" hidden="false" customHeight="true" outlineLevel="0" collapsed="false">
      <c r="B9" s="4" t="s">
        <v>6</v>
      </c>
    </row>
    <row r="10" customFormat="false" ht="13.5" hidden="false" customHeight="true" outlineLevel="0" collapsed="false">
      <c r="B10" s="4" t="s">
        <v>7</v>
      </c>
    </row>
    <row r="11" customFormat="false" ht="13.5" hidden="false" customHeight="true" outlineLevel="0" collapsed="false">
      <c r="B11" s="4" t="s">
        <v>8</v>
      </c>
    </row>
    <row r="12" customFormat="false" ht="13.5" hidden="false" customHeight="true" outlineLevel="0" collapsed="false">
      <c r="B12" s="5" t="s">
        <v>9</v>
      </c>
    </row>
    <row r="13" customFormat="false" ht="13.5" hidden="false" customHeight="true" outlineLevel="0" collapsed="false">
      <c r="B13" s="4" t="s">
        <v>10</v>
      </c>
    </row>
    <row r="14" customFormat="false" ht="13.5" hidden="false" customHeight="true" outlineLevel="0" collapsed="false">
      <c r="B14" s="4" t="s">
        <v>11</v>
      </c>
    </row>
    <row r="15" customFormat="false" ht="13.5" hidden="false" customHeight="true" outlineLevel="0" collapsed="false">
      <c r="B15" s="6" t="s">
        <v>12</v>
      </c>
    </row>
    <row r="16" customFormat="false" ht="13.5" hidden="false" customHeight="true" outlineLevel="0" collapsed="false">
      <c r="B16" s="4" t="s">
        <v>13</v>
      </c>
    </row>
    <row r="17" customFormat="false" ht="13.5" hidden="false" customHeight="true" outlineLevel="0" collapsed="false">
      <c r="B17" s="5" t="s">
        <v>14</v>
      </c>
    </row>
    <row r="18" customFormat="false" ht="13.5" hidden="false" customHeight="true" outlineLevel="0" collapsed="false">
      <c r="B18" s="4" t="s">
        <v>15</v>
      </c>
    </row>
    <row r="19" customFormat="false" ht="13.5" hidden="false" customHeight="true" outlineLevel="0" collapsed="false">
      <c r="B19" s="5"/>
    </row>
    <row r="20" customFormat="false" ht="13.5" hidden="false" customHeight="true" outlineLevel="0" collapsed="false">
      <c r="B20" s="6" t="s">
        <v>16</v>
      </c>
    </row>
    <row r="21" customFormat="false" ht="13.5" hidden="false" customHeight="true" outlineLevel="0" collapsed="false">
      <c r="B21" s="5" t="s">
        <v>17</v>
      </c>
    </row>
    <row r="22" customFormat="false" ht="13.5" hidden="false" customHeight="true" outlineLevel="0" collapsed="false">
      <c r="B22" s="4" t="s">
        <v>18</v>
      </c>
    </row>
    <row r="23" customFormat="false" ht="13.5" hidden="false" customHeight="true" outlineLevel="0" collapsed="false">
      <c r="B23" s="4" t="s">
        <v>19</v>
      </c>
    </row>
    <row r="24" customFormat="false" ht="13.5" hidden="false" customHeight="true" outlineLevel="0" collapsed="false">
      <c r="B24" s="4"/>
    </row>
    <row r="25" customFormat="false" ht="13.5" hidden="false" customHeight="true" outlineLevel="0" collapsed="false">
      <c r="B25" s="6" t="s">
        <v>20</v>
      </c>
    </row>
    <row r="26" customFormat="false" ht="13.5" hidden="false" customHeight="true" outlineLevel="0" collapsed="false">
      <c r="B26" s="7" t="s">
        <v>21</v>
      </c>
    </row>
    <row r="27" customFormat="false" ht="13.5" hidden="false" customHeight="true" outlineLevel="0" collapsed="false">
      <c r="B27" s="5" t="s">
        <v>22</v>
      </c>
    </row>
    <row r="28" customFormat="false" ht="13.5" hidden="false" customHeight="true" outlineLevel="0" collapsed="false">
      <c r="B28" s="4"/>
    </row>
    <row r="29" customFormat="false" ht="13.5" hidden="false" customHeight="true" outlineLevel="0" collapsed="false">
      <c r="B29" s="6" t="s">
        <v>23</v>
      </c>
    </row>
    <row r="30" customFormat="false" ht="13.5" hidden="false" customHeight="true" outlineLevel="0" collapsed="false">
      <c r="B30" s="4" t="s">
        <v>24</v>
      </c>
    </row>
    <row r="31" customFormat="false" ht="13.5" hidden="false" customHeight="true" outlineLevel="0" collapsed="false">
      <c r="B31" s="7" t="s">
        <v>25</v>
      </c>
    </row>
    <row r="32" customFormat="false" ht="13.5" hidden="false" customHeight="true" outlineLevel="0" collapsed="false">
      <c r="B32" s="5" t="s">
        <v>26</v>
      </c>
    </row>
    <row r="33" customFormat="false" ht="13.5" hidden="false" customHeight="true" outlineLevel="0" collapsed="false">
      <c r="B33" s="4" t="s">
        <v>27</v>
      </c>
    </row>
    <row r="34" customFormat="false" ht="13.5" hidden="false" customHeight="true" outlineLevel="0" collapsed="false">
      <c r="B34" s="4"/>
    </row>
    <row r="35" customFormat="false" ht="13.5" hidden="false" customHeight="true" outlineLevel="0" collapsed="false">
      <c r="B35" s="4" t="s">
        <v>28</v>
      </c>
    </row>
    <row r="36" customFormat="false" ht="13.5" hidden="false" customHeight="true" outlineLevel="0" collapsed="false">
      <c r="B36" s="4"/>
    </row>
    <row r="37" customFormat="false" ht="13.5" hidden="false" customHeight="true" outlineLevel="0" collapsed="false">
      <c r="B37" s="4" t="s">
        <v>29</v>
      </c>
    </row>
    <row r="38" customFormat="false" ht="15" hidden="false" customHeight="false" outlineLevel="0" collapsed="false">
      <c r="B38" s="5"/>
    </row>
    <row r="39" customFormat="false" ht="15" hidden="false" customHeight="false" outlineLevel="0" collapsed="false">
      <c r="B3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3"/>
    <col collapsed="false" customWidth="true" hidden="false" outlineLevel="0" max="5" min="3" style="1" width="18"/>
  </cols>
  <sheetData>
    <row r="1" customFormat="false" ht="18" hidden="false" customHeight="true" outlineLevel="0" collapsed="false">
      <c r="A1" s="8" t="s">
        <v>30</v>
      </c>
    </row>
    <row r="2" customFormat="false" ht="13.5" hidden="false" customHeight="true" outlineLevel="0" collapsed="false">
      <c r="A2" s="9" t="s">
        <v>31</v>
      </c>
    </row>
    <row r="3" customFormat="false" ht="13.5" hidden="false" customHeight="true" outlineLevel="0" collapsed="false"/>
    <row r="4" customFormat="false" ht="12.75" hidden="false" customHeight="true" outlineLevel="0" collapsed="false">
      <c r="A4" s="10" t="s">
        <v>32</v>
      </c>
      <c r="B4" s="10"/>
      <c r="C4" s="10"/>
      <c r="D4" s="10"/>
      <c r="E4" s="10"/>
    </row>
    <row r="5" customFormat="false" ht="13.5" hidden="false" customHeight="true" outlineLevel="0" collapsed="false">
      <c r="A5" s="11" t="s">
        <v>33</v>
      </c>
      <c r="C5" s="12" t="s">
        <v>34</v>
      </c>
      <c r="D5" s="12" t="s">
        <v>35</v>
      </c>
      <c r="E5" s="12" t="s">
        <v>36</v>
      </c>
    </row>
    <row r="6" customFormat="false" ht="12.75" hidden="false" customHeight="true" outlineLevel="0" collapsed="false">
      <c r="A6" s="10" t="s">
        <v>37</v>
      </c>
      <c r="B6" s="10"/>
      <c r="C6" s="10"/>
      <c r="D6" s="10"/>
      <c r="E6" s="10"/>
    </row>
    <row r="7" customFormat="false" ht="13.5" hidden="false" customHeight="true" outlineLevel="0" collapsed="false">
      <c r="A7" s="13" t="s">
        <v>38</v>
      </c>
      <c r="C7" s="14" t="n">
        <f aca="false">Producto!$D$8</f>
        <v>4</v>
      </c>
      <c r="D7" s="14" t="n">
        <f aca="false">Producto!$D$9</f>
        <v>3</v>
      </c>
      <c r="E7" s="14" t="n">
        <f aca="false">Producto!$D$10</f>
        <v>2</v>
      </c>
    </row>
    <row r="8" customFormat="false" ht="13.5" hidden="false" customHeight="true" outlineLevel="0" collapsed="false">
      <c r="A8" s="13" t="s">
        <v>39</v>
      </c>
      <c r="C8" s="15" t="n">
        <f aca="false">Hipótesis!$C$16</f>
        <v>0.9</v>
      </c>
      <c r="D8" s="15" t="n">
        <f aca="false">Hipótesis!$D$16</f>
        <v>1</v>
      </c>
      <c r="E8" s="15" t="n">
        <f aca="false">Hipótesis!$E$16</f>
        <v>1.1</v>
      </c>
    </row>
    <row r="9" customFormat="false" ht="13.5" hidden="false" customHeight="true" outlineLevel="0" collapsed="false">
      <c r="A9" s="13" t="s">
        <v>40</v>
      </c>
      <c r="C9" s="15" t="n">
        <f aca="false">Hipótesis!$C$18</f>
        <v>1.05</v>
      </c>
      <c r="D9" s="15" t="n">
        <f aca="false">Hipótesis!$D$18</f>
        <v>1</v>
      </c>
      <c r="E9" s="15" t="n">
        <f aca="false">Hipótesis!$E$18</f>
        <v>0.9</v>
      </c>
    </row>
    <row r="10" customFormat="false" ht="13.5" hidden="false" customHeight="true" outlineLevel="0" collapsed="false">
      <c r="A10" s="13" t="s">
        <v>41</v>
      </c>
      <c r="C10" s="16" t="n">
        <f aca="false">CAPEX!$E$10</f>
        <v>0</v>
      </c>
      <c r="D10" s="16" t="n">
        <f aca="false">CAPEX!$F$10</f>
        <v>10000</v>
      </c>
      <c r="E10" s="16" t="n">
        <f aca="false">CAPEX!$G$10</f>
        <v>35000</v>
      </c>
    </row>
    <row r="11" customFormat="false" ht="13.5" hidden="false" customHeight="true" outlineLevel="0" collapsed="false">
      <c r="A11" s="13" t="s">
        <v>42</v>
      </c>
      <c r="C11" s="16" t="n">
        <f aca="false">CAPEX!$E$26</f>
        <v>161048</v>
      </c>
      <c r="D11" s="16" t="n">
        <f aca="false">CAPEX!$F$26</f>
        <v>173048</v>
      </c>
      <c r="E11" s="16" t="n">
        <f aca="false">CAPEX!$G$26</f>
        <v>196598</v>
      </c>
    </row>
    <row r="12" customFormat="false" ht="12.75" hidden="false" customHeight="true" outlineLevel="0" collapsed="false">
      <c r="A12" s="10" t="s">
        <v>43</v>
      </c>
      <c r="B12" s="10"/>
      <c r="C12" s="10"/>
      <c r="D12" s="10"/>
      <c r="E12" s="10"/>
    </row>
    <row r="13" customFormat="false" ht="13.5" hidden="false" customHeight="true" outlineLevel="0" collapsed="false">
      <c r="A13" s="13" t="s">
        <v>44</v>
      </c>
      <c r="C13" s="17" t="n">
        <f aca="false">Esc_Conservador!$CH$30</f>
        <v>6</v>
      </c>
      <c r="D13" s="17" t="n">
        <f aca="false">Esc_Base!$CH$30</f>
        <v>4</v>
      </c>
      <c r="E13" s="17" t="n">
        <f aca="false">Esc_Optimista!$CH$30</f>
        <v>2</v>
      </c>
    </row>
    <row r="14" customFormat="false" ht="13.5" hidden="false" customHeight="true" outlineLevel="0" collapsed="false">
      <c r="A14" s="13" t="s">
        <v>45</v>
      </c>
      <c r="C14" s="17" t="n">
        <f aca="false">Esc_Conservador!$CH$31</f>
        <v>11</v>
      </c>
      <c r="D14" s="17" t="n">
        <f aca="false">Esc_Base!$CH$31</f>
        <v>9</v>
      </c>
      <c r="E14" s="17" t="n">
        <f aca="false">Esc_Optimista!$CH$31</f>
        <v>7</v>
      </c>
    </row>
    <row r="15" customFormat="false" ht="13.5" hidden="false" customHeight="true" outlineLevel="0" collapsed="false">
      <c r="A15" s="13" t="s">
        <v>46</v>
      </c>
      <c r="C15" s="16" t="n">
        <f aca="false">-Esc_Conservador!$CH$51</f>
        <v>46141.3162461396</v>
      </c>
      <c r="D15" s="16" t="n">
        <f aca="false">-Esc_Base!$CH$51</f>
        <v>40782.4095393174</v>
      </c>
      <c r="E15" s="16" t="n">
        <f aca="false">-Esc_Optimista!$CH$51</f>
        <v>35423.5028324953</v>
      </c>
    </row>
    <row r="16" customFormat="false" ht="12.75" hidden="false" customHeight="true" outlineLevel="0" collapsed="false">
      <c r="A16" s="10" t="s">
        <v>47</v>
      </c>
      <c r="B16" s="10"/>
      <c r="C16" s="10"/>
      <c r="D16" s="10"/>
      <c r="E16" s="10"/>
    </row>
    <row r="17" customFormat="false" ht="13.5" hidden="false" customHeight="true" outlineLevel="0" collapsed="false">
      <c r="A17" s="13" t="s">
        <v>48</v>
      </c>
      <c r="C17" s="16" t="n">
        <f aca="false">SUM(Esc_Conservador!$AY$36:$BJ$36)</f>
        <v>1452128.67466128</v>
      </c>
      <c r="D17" s="16" t="n">
        <f aca="false">SUM(Esc_Base!$AY$36:$BJ$36)</f>
        <v>1720250.30562957</v>
      </c>
      <c r="E17" s="16" t="n">
        <f aca="false">SUM(Esc_Optimista!$AY$36:$BJ$36)</f>
        <v>1980363.88656408</v>
      </c>
    </row>
    <row r="18" customFormat="false" ht="13.5" hidden="false" customHeight="true" outlineLevel="0" collapsed="false">
      <c r="A18" s="13" t="s">
        <v>49</v>
      </c>
      <c r="C18" s="16" t="n">
        <f aca="false">SUM(Esc_Conservador!$AY$56:$BJ$56)</f>
        <v>388642.636747247</v>
      </c>
      <c r="D18" s="16" t="n">
        <f aca="false">SUM(Esc_Base!$AY$56:$BJ$56)</f>
        <v>713969.369639479</v>
      </c>
      <c r="E18" s="16" t="n">
        <f aca="false">SUM(Esc_Optimista!$AY$56:$BJ$56)</f>
        <v>1051015.83793359</v>
      </c>
    </row>
    <row r="19" customFormat="false" ht="13.5" hidden="false" customHeight="true" outlineLevel="0" collapsed="false">
      <c r="A19" s="13" t="s">
        <v>50</v>
      </c>
      <c r="C19" s="15" t="n">
        <f aca="false">IFERROR(SUM(Esc_Conservador!$AY$56:$BJ$56)/SUM(Esc_Conservador!$AY$36:$BJ$36),0)</f>
        <v>0.267636500489807</v>
      </c>
      <c r="D19" s="15" t="n">
        <f aca="false">IFERROR(SUM(Esc_Base!$AY$56:$BJ$56)/SUM(Esc_Base!$AY$36:$BJ$36),0)</f>
        <v>0.41503807167073</v>
      </c>
      <c r="E19" s="15" t="n">
        <f aca="false">IFERROR(SUM(Esc_Optimista!$AY$56:$BJ$56)/SUM(Esc_Optimista!$AY$36:$BJ$36),0)</f>
        <v>0.530718543730413</v>
      </c>
    </row>
    <row r="20" customFormat="false" ht="13.5" hidden="false" customHeight="true" outlineLevel="0" collapsed="false">
      <c r="A20" s="13" t="s">
        <v>51</v>
      </c>
      <c r="C20" s="17" t="n">
        <f aca="false">Esc_Conservador!$CH$26</f>
        <v>2970.93929545946</v>
      </c>
      <c r="D20" s="17" t="n">
        <f aca="false">Esc_Base!$CH$26</f>
        <v>3128.45640810811</v>
      </c>
      <c r="E20" s="17" t="n">
        <f aca="false">Esc_Optimista!$CH$26</f>
        <v>3246.5942425946</v>
      </c>
    </row>
    <row r="21" customFormat="false" ht="12.75" hidden="false" customHeight="true" outlineLevel="0" collapsed="false">
      <c r="A21" s="10" t="s">
        <v>52</v>
      </c>
      <c r="B21" s="10"/>
      <c r="C21" s="10"/>
      <c r="D21" s="10"/>
      <c r="E21" s="10"/>
    </row>
    <row r="22" customFormat="false" ht="13.5" hidden="false" customHeight="true" outlineLevel="0" collapsed="false">
      <c r="A22" s="13" t="s">
        <v>53</v>
      </c>
      <c r="C22" s="16" t="n">
        <f aca="false">Esc_Conservador!$C$147</f>
        <v>193490.033462029</v>
      </c>
      <c r="D22" s="16" t="n">
        <f aca="false">Esc_Base!$C$147</f>
        <v>248408.39133152</v>
      </c>
      <c r="E22" s="16" t="n">
        <f aca="false">Esc_Optimista!$C$147</f>
        <v>311861.828471764</v>
      </c>
    </row>
    <row r="23" customFormat="false" ht="13.5" hidden="false" customHeight="true" outlineLevel="0" collapsed="false">
      <c r="A23" s="13" t="s">
        <v>54</v>
      </c>
      <c r="C23" s="16" t="n">
        <f aca="false">Esc_Conservador!$C$146</f>
        <v>30000</v>
      </c>
      <c r="D23" s="16" t="n">
        <f aca="false">Esc_Base!$C$146</f>
        <v>30000</v>
      </c>
      <c r="E23" s="16" t="n">
        <f aca="false">Esc_Optimista!$C$146</f>
        <v>30000</v>
      </c>
    </row>
    <row r="24" customFormat="false" ht="13.5" hidden="false" customHeight="true" outlineLevel="0" collapsed="false">
      <c r="A24" s="13" t="s">
        <v>55</v>
      </c>
      <c r="C24" s="18" t="n">
        <f aca="false">Esc_Conservador!$C$145</f>
        <v>9.54652525166342</v>
      </c>
      <c r="D24" s="18" t="n">
        <f aca="false">Esc_Base!$C$145</f>
        <v>15.9401806435671</v>
      </c>
      <c r="E24" s="18" t="n">
        <f aca="false">Esc_Optimista!$C$145</f>
        <v>20.4392193817784</v>
      </c>
    </row>
    <row r="25" customFormat="false" ht="13.5" hidden="false" customHeight="true" outlineLevel="0" collapsed="false">
      <c r="A25" s="13" t="s">
        <v>56</v>
      </c>
      <c r="C25" s="19" t="n">
        <f aca="false">IFERROR(Esc_Conservador!$C$128,0)</f>
        <v>0.282121579505954</v>
      </c>
      <c r="D25" s="19" t="n">
        <f aca="false">IFERROR(Esc_Base!$C$128,0)</f>
        <v>0.507160062726353</v>
      </c>
      <c r="E25" s="19" t="n">
        <f aca="false">IFERROR(Esc_Optimista!$C$128,0)</f>
        <v>0.665687218648705</v>
      </c>
    </row>
    <row r="26" customFormat="false" ht="13.5" hidden="false" customHeight="true" outlineLevel="0" collapsed="false">
      <c r="A26" s="13" t="s">
        <v>57</v>
      </c>
      <c r="C26" s="20" t="n">
        <f aca="false">Esc_Conservador!$C$129</f>
        <v>2.7021959553395</v>
      </c>
      <c r="D26" s="20" t="n">
        <f aca="false">Esc_Base!$C$129</f>
        <v>5.15985514958843</v>
      </c>
      <c r="E26" s="20" t="n">
        <f aca="false">Esc_Optimista!$C$129</f>
        <v>7.69792743883474</v>
      </c>
    </row>
    <row r="27" customFormat="false" ht="13.5" hidden="false" customHeight="true" outlineLevel="0" collapsed="false">
      <c r="A27" s="13" t="s">
        <v>58</v>
      </c>
      <c r="C27" s="17" t="n">
        <f aca="false">Esc_Conservador!$C$130</f>
        <v>48</v>
      </c>
      <c r="D27" s="17" t="n">
        <f aca="false">Esc_Base!$C$130</f>
        <v>48</v>
      </c>
      <c r="E27" s="17" t="n">
        <f aca="false">Esc_Optimista!$C$130</f>
        <v>48</v>
      </c>
    </row>
    <row r="28" customFormat="false" ht="13.5" hidden="false" customHeight="true" outlineLevel="0" collapsed="false">
      <c r="A28" s="13" t="s">
        <v>59</v>
      </c>
      <c r="C28" s="16" t="n">
        <f aca="false">Hipótesis!$D$122</f>
        <v>200000</v>
      </c>
      <c r="D28" s="16" t="n">
        <f aca="false">Hipótesis!$D$122</f>
        <v>200000</v>
      </c>
      <c r="E28" s="16" t="n">
        <f aca="false">Hipótesis!$D$122</f>
        <v>200000</v>
      </c>
    </row>
    <row r="29" customFormat="false" ht="13.5" hidden="false" customHeight="true" outlineLevel="0" collapsed="false">
      <c r="A29" s="13" t="s">
        <v>60</v>
      </c>
      <c r="C29" s="16" t="n">
        <f aca="false">Esc_Conservador!$C$150</f>
        <v>29593.7947918931</v>
      </c>
      <c r="D29" s="16" t="n">
        <f aca="false">Esc_Base!$C$150</f>
        <v>15580.8481667978</v>
      </c>
      <c r="E29" s="16" t="n">
        <f aca="false">Esc_Optimista!$C$150</f>
        <v>10049.7019256666</v>
      </c>
    </row>
    <row r="30" customFormat="false" ht="12.75" hidden="false" customHeight="true" outlineLevel="0" collapsed="false">
      <c r="A30" s="10" t="s">
        <v>61</v>
      </c>
      <c r="B30" s="10"/>
      <c r="C30" s="10"/>
      <c r="D30" s="10"/>
      <c r="E30" s="10"/>
    </row>
    <row r="31" customFormat="false" ht="13.5" hidden="false" customHeight="true" outlineLevel="0" collapsed="false">
      <c r="A31" s="13" t="s">
        <v>62</v>
      </c>
      <c r="C31" s="16" t="n">
        <f aca="false">Esc_Conservador!$E$149</f>
        <v>2800</v>
      </c>
      <c r="D31" s="16" t="n">
        <f aca="false">Esc_Base!$E$149</f>
        <v>2800</v>
      </c>
      <c r="E31" s="16" t="n">
        <f aca="false">Esc_Optimista!$E$149</f>
        <v>2800</v>
      </c>
    </row>
    <row r="32" customFormat="false" ht="13.5" hidden="false" customHeight="true" outlineLevel="0" collapsed="false">
      <c r="A32" s="13" t="s">
        <v>63</v>
      </c>
      <c r="C32" s="16" t="n">
        <f aca="false">Esc_Conservador!$G$149</f>
        <v>3500</v>
      </c>
      <c r="D32" s="16" t="n">
        <f aca="false">Esc_Base!$G$149</f>
        <v>3500</v>
      </c>
      <c r="E32" s="16" t="n">
        <f aca="false">Esc_Optimista!$G$149</f>
        <v>3500</v>
      </c>
    </row>
    <row r="33" customFormat="false" ht="13.5" hidden="false" customHeight="true" outlineLevel="0" collapsed="false">
      <c r="A33" s="13" t="s">
        <v>64</v>
      </c>
      <c r="C33" s="16" t="n">
        <f aca="false">Esc_Conservador!$I$149</f>
        <v>4200</v>
      </c>
      <c r="D33" s="16" t="n">
        <f aca="false">Esc_Base!$I$149</f>
        <v>4200</v>
      </c>
      <c r="E33" s="16" t="n">
        <f aca="false">Esc_Optimista!$I$149</f>
        <v>4200</v>
      </c>
    </row>
    <row r="34" customFormat="false" ht="13.5" hidden="false" customHeight="true" outlineLevel="0" collapsed="false">
      <c r="A34" s="13" t="s">
        <v>65</v>
      </c>
      <c r="C34" s="16" t="n">
        <f aca="false">SUM(Esc_Conservador!$C$117:$CH$117)</f>
        <v>0</v>
      </c>
      <c r="D34" s="16" t="n">
        <f aca="false">SUM(Esc_Base!$C$117:$CH$117)</f>
        <v>0</v>
      </c>
      <c r="E34" s="16" t="n">
        <f aca="false">SUM(Esc_Optimista!$C$117:$CH$117)</f>
        <v>0</v>
      </c>
    </row>
    <row r="35" customFormat="false" ht="13.5" hidden="false" customHeight="true" outlineLevel="0" collapsed="false">
      <c r="A35" s="13" t="s">
        <v>66</v>
      </c>
      <c r="C35" s="16" t="n">
        <f aca="false">Esc_Conservador!$CH$115</f>
        <v>408483.293470272</v>
      </c>
      <c r="D35" s="16" t="n">
        <f aca="false">Esc_Base!$CH$115</f>
        <v>789076.661201782</v>
      </c>
      <c r="E35" s="16" t="n">
        <f aca="false">Esc_Optimista!$CH$115</f>
        <v>1180015.93065802</v>
      </c>
    </row>
    <row r="36" customFormat="false" ht="13.5" hidden="false" customHeight="true" outlineLevel="0" collapsed="false">
      <c r="A36" s="13" t="s">
        <v>67</v>
      </c>
      <c r="C36" s="16" t="n">
        <f aca="false">Esc_Conservador!$CH$86+Esc_Conservador!$CH$115</f>
        <v>1131856.19884008</v>
      </c>
      <c r="D36" s="16" t="n">
        <f aca="false">Esc_Base!$CH$86+Esc_Base!$CH$115</f>
        <v>2484862.83459542</v>
      </c>
      <c r="E36" s="16" t="n">
        <f aca="false">Esc_Optimista!$CH$86+Esc_Optimista!$CH$115</f>
        <v>3878963.55985869</v>
      </c>
    </row>
    <row r="37" customFormat="false" ht="13.5" hidden="false" customHeight="true" outlineLevel="0" collapsed="false">
      <c r="A37" s="13" t="s">
        <v>68</v>
      </c>
      <c r="C37" s="16" t="n">
        <f aca="false">(Esc_Conservador!$CH$86+Esc_Conservador!$CH$115)*Hipótesis!$D$82</f>
        <v>339556.859652024</v>
      </c>
      <c r="D37" s="16" t="n">
        <f aca="false">(Esc_Base!$CH$86+Esc_Base!$CH$115)*Hipótesis!$D$82</f>
        <v>745458.850378625</v>
      </c>
      <c r="E37" s="16" t="n">
        <f aca="false">(Esc_Optimista!$CH$86+Esc_Optimista!$CH$115)*Hipótesis!$D$82</f>
        <v>1163689.06795761</v>
      </c>
    </row>
    <row r="38" customFormat="false" ht="13.5" hidden="false" customHeight="true" outlineLevel="0" collapsed="false">
      <c r="A38" s="13" t="s">
        <v>69</v>
      </c>
      <c r="C38" s="16" t="n">
        <f aca="false">Esc_Conservador!$C$133*Hipótesis!$D$82</f>
        <v>810658.786601849</v>
      </c>
      <c r="D38" s="16" t="n">
        <f aca="false">Esc_Base!$C$133*Hipótesis!$D$82</f>
        <v>1547956.54487653</v>
      </c>
      <c r="E38" s="16" t="n">
        <f aca="false">Esc_Optimista!$C$133*Hipótesis!$D$82</f>
        <v>2309378.23165042</v>
      </c>
    </row>
    <row r="39" customFormat="false" ht="13.5" hidden="false" customHeight="true" outlineLevel="0" collapsed="false"/>
    <row r="40" customFormat="false" ht="13.5" hidden="false" customHeight="true" outlineLevel="0" collapsed="false">
      <c r="A40" s="13" t="s">
        <v>70</v>
      </c>
      <c r="C40" s="21" t="str">
        <f aca="false">IF(Hipótesis!$D$122&gt;=CAPEX!$E$26,"SÍ","NO — faltan "&amp;TEXT(CAPEX!$E$26-Hipótesis!$D$122,"#,##0")&amp;" €")</f>
        <v>SÍ</v>
      </c>
      <c r="D40" s="21" t="str">
        <f aca="false">IF(Hipótesis!$D$122&gt;=CAPEX!$F$26,"SÍ","NO — faltan "&amp;TEXT(CAPEX!$F$26-Hipótesis!$D$122,"#,##0")&amp;" €")</f>
        <v>SÍ</v>
      </c>
      <c r="E40" s="21" t="str">
        <f aca="false">IF(Hipótesis!$D$122&gt;=CAPEX!$G$26,"SÍ","NO — faltan "&amp;TEXT(CAPEX!$G$26-Hipótesis!$D$122,"#,##0")&amp;" €")</f>
        <v>SÍ</v>
      </c>
    </row>
    <row r="41" customFormat="false" ht="13.5" hidden="false" customHeight="true" outlineLevel="0" collapsed="false">
      <c r="A41" s="9" t="s">
        <v>71</v>
      </c>
    </row>
    <row r="42" customFormat="false" ht="13.5" hidden="false" customHeight="true" outlineLevel="0" collapsed="false">
      <c r="A42" s="9" t="s">
        <v>72</v>
      </c>
    </row>
    <row r="43" customFormat="false" ht="13.5" hidden="false" customHeight="true" outlineLevel="0" collapsed="false"/>
    <row r="44" customFormat="false" ht="12.75" hidden="false" customHeight="true" outlineLevel="0" collapsed="false">
      <c r="A44" s="10" t="s">
        <v>73</v>
      </c>
      <c r="B44" s="10"/>
      <c r="C44" s="10"/>
      <c r="D44" s="10"/>
      <c r="E44" s="10"/>
    </row>
    <row r="45" customFormat="false" ht="13.5" hidden="false" customHeight="true" outlineLevel="0" collapsed="false">
      <c r="A45" s="13" t="s">
        <v>74</v>
      </c>
      <c r="C45" s="16" t="n">
        <f aca="false">MIN(Modelo_Mensual!$C$86:$CH$86)</f>
        <v>30000</v>
      </c>
    </row>
    <row r="46" customFormat="false" ht="13.5" hidden="false" customHeight="true" outlineLevel="0" collapsed="false">
      <c r="A46" s="13" t="s">
        <v>75</v>
      </c>
      <c r="C46" s="18" t="n">
        <f aca="false">MIN(Resumen_Anual!$D$23:$I$23)</f>
        <v>15.9401806435671</v>
      </c>
    </row>
    <row r="47" customFormat="false" ht="13.5" hidden="false" customHeight="true" outlineLevel="0" collapsed="false">
      <c r="A47" s="13" t="s">
        <v>76</v>
      </c>
      <c r="C47" s="16" t="n">
        <f aca="false">Producto!$D$35</f>
        <v>43.6700338127895</v>
      </c>
    </row>
    <row r="48" customFormat="false" ht="13.5" hidden="false" customHeight="true" outlineLevel="0" collapsed="false">
      <c r="A48" s="13" t="s">
        <v>77</v>
      </c>
      <c r="C48" s="17" t="n">
        <f aca="false">Modelo_Mensual!$CH$31</f>
        <v>9</v>
      </c>
    </row>
    <row r="49" customFormat="false" ht="13.5" hidden="false" customHeight="true" outlineLevel="0" collapsed="false">
      <c r="A49" s="13" t="s">
        <v>78</v>
      </c>
      <c r="C49" s="17" t="n">
        <f aca="false">Modelo_Mensual!$CH$26</f>
        <v>3128.45640810811</v>
      </c>
    </row>
    <row r="50" customFormat="false" ht="13.5" hidden="false" customHeight="true" outlineLevel="0" collapsed="false">
      <c r="A50" s="13" t="s">
        <v>79</v>
      </c>
      <c r="C50" s="19" t="n">
        <f aca="false">IFERROR(SUM(Modelo_Mensual!$C$184:$N$184)/SUM(Modelo_Mensual!$C$36:$N$36),0)</f>
        <v>0.483098112574801</v>
      </c>
    </row>
    <row r="51" customFormat="false" ht="13.5" hidden="false" customHeight="true" outlineLevel="0" collapsed="false">
      <c r="A51" s="13" t="s">
        <v>80</v>
      </c>
      <c r="C51" s="16" t="n">
        <f aca="false">Pipeline!$R$23</f>
        <v>32131.275</v>
      </c>
    </row>
    <row r="52" customFormat="false" ht="13.5" hidden="false" customHeight="true" outlineLevel="0" collapsed="false">
      <c r="A52" s="13" t="s">
        <v>81</v>
      </c>
      <c r="C52" s="17" t="n">
        <f aca="false">Modelo_Mensual!$C$130</f>
        <v>48</v>
      </c>
    </row>
    <row r="53" customFormat="false" ht="13.5" hidden="false" customHeight="true" outlineLevel="0" collapsed="false">
      <c r="A53" s="13" t="s">
        <v>82</v>
      </c>
      <c r="C53" s="22" t="str">
        <f aca="false">CHOOSE(Hipótesis!$D$94,"Préstamo simple","Préstamo participativo","Cuentas en participación","Revenue-share","Capital (equity)")</f>
        <v>Capital (equity)</v>
      </c>
    </row>
    <row r="54" customFormat="false" ht="13.5" hidden="false" customHeight="true" outlineLevel="0" collapsed="false">
      <c r="A54" s="13" t="s">
        <v>83</v>
      </c>
      <c r="C54" s="19" t="n">
        <f aca="false">Modelo_Mensual!$C$136</f>
        <v>0.174166818595914</v>
      </c>
    </row>
    <row r="55" customFormat="false" ht="13.5" hidden="false" customHeight="true" outlineLevel="0" collapsed="false">
      <c r="A55" s="13" t="s">
        <v>84</v>
      </c>
      <c r="C55" s="23" t="n">
        <f aca="false">Modelo_Mensual!$C$129</f>
        <v>5.15985514958843</v>
      </c>
    </row>
    <row r="56" customFormat="false" ht="13.5" hidden="false" customHeight="true" outlineLevel="0" collapsed="false"/>
    <row r="57" customFormat="false" ht="12.75" hidden="false" customHeight="true" outlineLevel="0" collapsed="false">
      <c r="A57" s="10" t="s">
        <v>85</v>
      </c>
      <c r="B57" s="10"/>
      <c r="C57" s="10"/>
      <c r="D57" s="10"/>
      <c r="E57" s="10"/>
    </row>
    <row r="58" customFormat="false" ht="13.5" hidden="false" customHeight="true" outlineLevel="0" collapsed="false">
      <c r="A58" s="13" t="s">
        <v>86</v>
      </c>
      <c r="C58" s="19" t="n">
        <f aca="false">Modelo_Mensual!$C$128</f>
        <v>0.507160062726353</v>
      </c>
    </row>
    <row r="59" customFormat="false" ht="13.5" hidden="false" customHeight="true" outlineLevel="0" collapsed="false">
      <c r="A59" s="13" t="s">
        <v>87</v>
      </c>
      <c r="C59" s="22" t="str">
        <f aca="false">IF(Hipótesis!$D$122&gt;=CAPEX!$C$26,"SÍ","NO — faltan "&amp;TEXT(CAPEX!$C$26-Hipótesis!$D$122,"#,##0")&amp;" €")</f>
        <v>SÍ</v>
      </c>
    </row>
    <row r="60" customFormat="false" ht="13.5" hidden="false" customHeight="true" outlineLevel="0" collapsed="false">
      <c r="A60" s="13" t="s">
        <v>88</v>
      </c>
      <c r="C60" s="16" t="n">
        <f aca="false">CAPEX!$C$26</f>
        <v>173048</v>
      </c>
    </row>
    <row r="61" customFormat="false" ht="13.5" hidden="false" customHeight="true" outlineLevel="0" collapsed="false">
      <c r="A61" s="13" t="s">
        <v>89</v>
      </c>
      <c r="C61" s="16" t="n">
        <f aca="false">Hipótesis!$D$122</f>
        <v>200000</v>
      </c>
    </row>
    <row r="62" customFormat="false" ht="13.5" hidden="false" customHeight="true" outlineLevel="0" collapsed="false">
      <c r="A62" s="13" t="s">
        <v>90</v>
      </c>
      <c r="C62" s="22" t="str">
        <f aca="false">CHOOSE(Hipótesis!$C$4,"CONSERVADOR","BASE","OPTIMISTA")</f>
        <v>BASE</v>
      </c>
    </row>
    <row r="64" customFormat="false" ht="15" hidden="false" customHeight="false" outlineLevel="0" collapsed="false">
      <c r="A64" s="24" t="s">
        <v>91</v>
      </c>
    </row>
    <row r="65" customFormat="false" ht="15" hidden="false" customHeight="false" outlineLevel="0" collapsed="false">
      <c r="C65" s="25" t="s">
        <v>34</v>
      </c>
      <c r="D65" s="25" t="s">
        <v>35</v>
      </c>
      <c r="E65" s="25" t="s">
        <v>36</v>
      </c>
    </row>
    <row r="66" customFormat="false" ht="15" hidden="false" customHeight="false" outlineLevel="0" collapsed="false">
      <c r="A66" s="1" t="s">
        <v>92</v>
      </c>
      <c r="C66" s="26" t="n">
        <f aca="false">Restaurantes!$C$26</f>
        <v>0.9</v>
      </c>
      <c r="D66" s="26" t="n">
        <f aca="false">Restaurantes!$D$26</f>
        <v>1</v>
      </c>
      <c r="E66" s="26" t="n">
        <f aca="false">Restaurantes!$E$26</f>
        <v>1.1</v>
      </c>
    </row>
    <row r="67" customFormat="false" ht="15" hidden="false" customHeight="false" outlineLevel="0" collapsed="false">
      <c r="A67" s="1" t="s">
        <v>93</v>
      </c>
      <c r="C67" s="26" t="n">
        <f aca="false">Restaurantes!$D$7</f>
        <v>0.05</v>
      </c>
      <c r="D67" s="26" t="n">
        <f aca="false">Restaurantes!$D$7</f>
        <v>0.05</v>
      </c>
      <c r="E67" s="26" t="n">
        <f aca="false">Restaurantes!$D$7</f>
        <v>0.05</v>
      </c>
    </row>
    <row r="68" customFormat="false" ht="15" hidden="false" customHeight="false" outlineLevel="0" collapsed="false">
      <c r="A68" s="1" t="s">
        <v>94</v>
      </c>
      <c r="C68" s="27" t="n">
        <f aca="false">Esc_Conservador!$BJ$196</f>
        <v>113.216216250717</v>
      </c>
      <c r="D68" s="27" t="n">
        <f aca="false">Esc_Base!$BJ$196</f>
        <v>123.061104620344</v>
      </c>
      <c r="E68" s="27" t="n">
        <f aca="false">Esc_Optimista!$BJ$196</f>
        <v>130.444770897565</v>
      </c>
    </row>
    <row r="69" customFormat="false" ht="15" hidden="false" customHeight="false" outlineLevel="0" collapsed="false">
      <c r="A69" s="1" t="s">
        <v>95</v>
      </c>
      <c r="C69" s="27" t="n">
        <f aca="false">Restaurantes!$D$13</f>
        <v>175.5</v>
      </c>
      <c r="D69" s="27" t="n">
        <f aca="false">Restaurantes!$D$13</f>
        <v>175.5</v>
      </c>
      <c r="E69" s="27" t="n">
        <f aca="false">Restaurantes!$D$13</f>
        <v>175.5</v>
      </c>
    </row>
    <row r="70" customFormat="false" ht="15" hidden="false" customHeight="false" outlineLevel="0" collapsed="false">
      <c r="A70" s="1" t="s">
        <v>96</v>
      </c>
      <c r="C70" s="27" t="n">
        <f aca="false">SUM(Esc_Conservador!$AY$188:$BJ$188)/12</f>
        <v>914.309901823019</v>
      </c>
      <c r="D70" s="27" t="n">
        <f aca="false">SUM(Esc_Base!$AY$188:$BJ$188)/12</f>
        <v>993.815110677194</v>
      </c>
      <c r="E70" s="27" t="n">
        <f aca="false">SUM(Esc_Optimista!$AY$188:$BJ$188)/12</f>
        <v>1053.44401731783</v>
      </c>
    </row>
    <row r="71" customFormat="false" ht="15" hidden="false" customHeight="false" outlineLevel="0" collapsed="false">
      <c r="A71" s="1" t="s">
        <v>97</v>
      </c>
      <c r="C71" s="27" t="n">
        <f aca="false">Esc_Conservador!$BJ$200</f>
        <v>2</v>
      </c>
      <c r="D71" s="27" t="n">
        <f aca="false">Esc_Base!$BJ$200</f>
        <v>2</v>
      </c>
      <c r="E71" s="27" t="n">
        <f aca="false">Esc_Optimista!$BJ$200</f>
        <v>2</v>
      </c>
    </row>
    <row r="72" customFormat="false" ht="15" hidden="false" customHeight="false" outlineLevel="0" collapsed="false">
      <c r="A72" s="1" t="s">
        <v>98</v>
      </c>
      <c r="C72" s="26" t="n">
        <f aca="false">IFERROR(SUM(Esc_Conservador!$AY$181:$BJ$181)/SUM(Esc_Conservador!$AY$26:$BJ$26),0)</f>
        <v>0.0517060356488935</v>
      </c>
      <c r="D72" s="26" t="n">
        <f aca="false">IFERROR(SUM(Esc_Base!$AY$181:$BJ$181)/SUM(Esc_Base!$AY$26:$BJ$26),0)</f>
        <v>0.053379224305316</v>
      </c>
      <c r="E72" s="26" t="n">
        <f aca="false">IFERROR(SUM(Esc_Optimista!$AY$181:$BJ$181)/SUM(Esc_Optimista!$AY$26:$BJ$26),0)</f>
        <v>0.0545278141828635</v>
      </c>
    </row>
    <row r="73" customFormat="false" ht="15" hidden="false" customHeight="false" outlineLevel="0" collapsed="false">
      <c r="A73" s="1" t="s">
        <v>99</v>
      </c>
      <c r="C73" s="28" t="n">
        <f aca="false">SUM(Esc_Conservador!$AY$35:$BJ$35)</f>
        <v>285621.270230493</v>
      </c>
      <c r="D73" s="28" t="n">
        <f aca="false">SUM(Esc_Base!$AY$35:$BJ$35)</f>
        <v>344953.224916054</v>
      </c>
      <c r="E73" s="28" t="n">
        <f aca="false">SUM(Esc_Optimista!$AY$35:$BJ$35)</f>
        <v>402215.460252119</v>
      </c>
    </row>
    <row r="74" customFormat="false" ht="15" hidden="false" customHeight="false" outlineLevel="0" collapsed="false">
      <c r="A74" s="1" t="s">
        <v>100</v>
      </c>
      <c r="C74" s="26" t="n">
        <f aca="false">IFERROR(SUM(Esc_Conservador!$AY$35:$BJ$35)/SUM(Esc_Conservador!$AY$36:$BJ$36),0)</f>
        <v>0.196691433214151</v>
      </c>
      <c r="D74" s="26" t="n">
        <f aca="false">IFERROR(SUM(Esc_Base!$AY$35:$BJ$35)/SUM(Esc_Base!$AY$36:$BJ$36),0)</f>
        <v>0.200525018822659</v>
      </c>
      <c r="E74" s="26" t="n">
        <f aca="false">IFERROR(SUM(Esc_Optimista!$AY$35:$BJ$35)/SUM(Esc_Optimista!$AY$36:$BJ$36),0)</f>
        <v>0.203101795069572</v>
      </c>
    </row>
    <row r="75" customFormat="false" ht="15" hidden="false" customHeight="false" outlineLevel="0" collapsed="false">
      <c r="A75" s="1" t="s">
        <v>101</v>
      </c>
      <c r="C75" s="28" t="n">
        <f aca="false">SUM(Esc_Conservador!$AY$215:$BJ$215)</f>
        <v>178850.586050156</v>
      </c>
      <c r="D75" s="28" t="n">
        <f aca="false">SUM(Esc_Base!$AY$215:$BJ$215)</f>
        <v>239866.594072378</v>
      </c>
      <c r="E75" s="28" t="n">
        <f aca="false">SUM(Esc_Optimista!$AY$215:$BJ$215)</f>
        <v>294318.425596285</v>
      </c>
    </row>
    <row r="76" customFormat="false" ht="15" hidden="false" customHeight="false" outlineLevel="0" collapsed="false">
      <c r="A76" s="1" t="s">
        <v>102</v>
      </c>
      <c r="C76" s="26" t="n">
        <f aca="false">IFERROR(SUM(Esc_Conservador!$AY$215:$BJ$215)/SUM(Esc_Conservador!$AY$35:$BJ$35),0)</f>
        <v>0.626180906995568</v>
      </c>
      <c r="D76" s="26" t="n">
        <f aca="false">IFERROR(SUM(Esc_Base!$AY$215:$BJ$215)/SUM(Esc_Base!$AY$35:$BJ$35),0)</f>
        <v>0.695359766909703</v>
      </c>
      <c r="E76" s="26" t="n">
        <f aca="false">IFERROR(SUM(Esc_Optimista!$AY$215:$BJ$215)/SUM(Esc_Optimista!$AY$35:$BJ$35),0)</f>
        <v>0.731743194087562</v>
      </c>
    </row>
    <row r="77" customFormat="false" ht="15" hidden="false" customHeight="false" outlineLevel="0" collapsed="false">
      <c r="A77" s="1" t="s">
        <v>103</v>
      </c>
      <c r="C77" s="28" t="n">
        <f aca="false">SUM(Esc_Conservador!$AY$214:$BJ$214)</f>
        <v>772833.760653197</v>
      </c>
      <c r="D77" s="28" t="n">
        <f aca="false">SUM(Esc_Base!$AY$214:$BJ$214)</f>
        <v>972655.094119762</v>
      </c>
      <c r="E77" s="28" t="n">
        <f aca="false">SUM(Esc_Optimista!$AY$214:$BJ$214)</f>
        <v>1179870.80792379</v>
      </c>
    </row>
    <row r="78" customFormat="false" ht="15" hidden="false" customHeight="false" outlineLevel="0" collapsed="false">
      <c r="A78" s="1" t="s">
        <v>102</v>
      </c>
      <c r="C78" s="26" t="n">
        <f aca="false">IFERROR(SUM(Esc_Conservador!$AY$214:$BJ$214)/SUM(Esc_Conservador!$AY$34:$BJ$34),0)</f>
        <v>0.662519378546345</v>
      </c>
      <c r="D78" s="26" t="n">
        <f aca="false">IFERROR(SUM(Esc_Base!$AY$214:$BJ$214)/SUM(Esc_Base!$AY$34:$BJ$34),0)</f>
        <v>0.707232719213759</v>
      </c>
      <c r="E78" s="26" t="n">
        <f aca="false">IFERROR(SUM(Esc_Optimista!$AY$214:$BJ$214)/SUM(Esc_Optimista!$AY$34:$BJ$34),0)</f>
        <v>0.747629809878582</v>
      </c>
    </row>
    <row r="79" customFormat="false" ht="15" hidden="false" customHeight="false" outlineLevel="0" collapsed="false">
      <c r="A79" s="1" t="s">
        <v>104</v>
      </c>
      <c r="C79" s="29" t="n">
        <f aca="false">IFERROR(-SUM(Esc_Conservador!$AY$207:$BJ$207)/SUM(Esc_Conservador!$AY$188:$BJ$188),0)</f>
        <v>5.42788317513596</v>
      </c>
      <c r="D79" s="29" t="n">
        <f aca="false">IFERROR(-SUM(Esc_Base!$AY$207:$BJ$207)/SUM(Esc_Base!$AY$188:$BJ$188),0)</f>
        <v>4.42022266846653</v>
      </c>
      <c r="E79" s="29" t="n">
        <f aca="false">IFERROR(-SUM(Esc_Optimista!$AY$207:$BJ$207)/SUM(Esc_Optimista!$AY$188:$BJ$188),0)</f>
        <v>4.06956388954604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5" min="4" style="1" width="9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9" min="8" style="1" width="8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1"/>
    <col collapsed="false" customWidth="true" hidden="false" outlineLevel="0" max="16" min="14" style="1" width="10"/>
    <col collapsed="false" customWidth="true" hidden="false" outlineLevel="0" max="17" min="17" style="1" width="11"/>
    <col collapsed="false" customWidth="true" hidden="false" outlineLevel="0" max="19" min="18" style="1" width="12"/>
    <col collapsed="false" customWidth="true" hidden="false" outlineLevel="0" max="20" min="20" style="1" width="13"/>
    <col collapsed="false" customWidth="true" hidden="false" outlineLevel="0" max="21" min="21" style="1" width="9"/>
    <col collapsed="false" customWidth="true" hidden="false" outlineLevel="0" max="22" min="22" style="1" width="12"/>
    <col collapsed="false" customWidth="true" hidden="false" outlineLevel="0" max="36" min="23" style="0" width="12.5"/>
  </cols>
  <sheetData>
    <row r="1" customFormat="false" ht="18" hidden="false" customHeight="true" outlineLevel="0" collapsed="false">
      <c r="A1" s="8" t="s">
        <v>105</v>
      </c>
    </row>
    <row r="2" customFormat="false" ht="13.5" hidden="false" customHeight="true" outlineLevel="0" collapsed="false">
      <c r="A2" s="9" t="s">
        <v>106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30" t="s">
        <v>107</v>
      </c>
    </row>
    <row r="5" customFormat="false" ht="13.5" hidden="false" customHeight="true" outlineLevel="0" collapsed="false">
      <c r="A5" s="13" t="s">
        <v>108</v>
      </c>
      <c r="D5" s="31" t="n">
        <v>1.3</v>
      </c>
    </row>
    <row r="6" customFormat="false" ht="13.5" hidden="false" customHeight="true" outlineLevel="0" collapsed="false">
      <c r="A6" s="13" t="s">
        <v>109</v>
      </c>
      <c r="D6" s="32" t="n">
        <v>30.42</v>
      </c>
    </row>
    <row r="7" customFormat="false" ht="13.5" hidden="false" customHeight="true" outlineLevel="0" collapsed="false">
      <c r="A7" s="13" t="s">
        <v>110</v>
      </c>
      <c r="D7" s="33" t="n">
        <v>0</v>
      </c>
      <c r="F7" s="1" t="s">
        <v>111</v>
      </c>
    </row>
    <row r="8" customFormat="false" ht="13.5" hidden="false" customHeight="true" outlineLevel="0" collapsed="false">
      <c r="A8" s="13" t="s">
        <v>112</v>
      </c>
      <c r="D8" s="34" t="n">
        <v>4</v>
      </c>
      <c r="F8" s="35" t="s">
        <v>113</v>
      </c>
    </row>
    <row r="9" customFormat="false" ht="13.5" hidden="false" customHeight="true" outlineLevel="0" collapsed="false">
      <c r="A9" s="13" t="s">
        <v>114</v>
      </c>
      <c r="D9" s="34" t="n">
        <v>3</v>
      </c>
    </row>
    <row r="10" customFormat="false" ht="13.5" hidden="false" customHeight="true" outlineLevel="0" collapsed="false">
      <c r="A10" s="13" t="s">
        <v>115</v>
      </c>
      <c r="D10" s="34" t="n">
        <v>2</v>
      </c>
    </row>
    <row r="11" customFormat="false" ht="13.5" hidden="false" customHeight="true" outlineLevel="0" collapsed="false">
      <c r="A11" s="30" t="s">
        <v>116</v>
      </c>
      <c r="D11" s="36" t="n">
        <f aca="false">CHOOSE(Hipótesis!$C$4,D8,D9,D10)</f>
        <v>3</v>
      </c>
    </row>
    <row r="12" customFormat="false" ht="13.5" hidden="false" customHeight="true" outlineLevel="0" collapsed="false">
      <c r="A12" s="1" t="s">
        <v>117</v>
      </c>
      <c r="D12" s="37" t="n">
        <v>0.1</v>
      </c>
      <c r="F12" s="1" t="s">
        <v>118</v>
      </c>
    </row>
    <row r="13" customFormat="false" ht="13.5" hidden="false" customHeight="true" outlineLevel="0" collapsed="false">
      <c r="A13" s="1" t="s">
        <v>119</v>
      </c>
      <c r="D13" s="37" t="n">
        <v>0.17</v>
      </c>
      <c r="F13" s="1" t="s">
        <v>118</v>
      </c>
    </row>
    <row r="14" customFormat="false" ht="13.5" hidden="false" customHeight="true" outlineLevel="0" collapsed="false">
      <c r="A14" s="1" t="s">
        <v>120</v>
      </c>
      <c r="D14" s="38" t="n">
        <f aca="false">(18/1.21)*(2.5/100)</f>
        <v>0.371900826446281</v>
      </c>
      <c r="F14" s="1" t="s">
        <v>118</v>
      </c>
    </row>
    <row r="15" customFormat="false" ht="42" hidden="false" customHeight="true" outlineLevel="0" collapsed="false">
      <c r="A15" s="39" t="s">
        <v>121</v>
      </c>
      <c r="B15" s="39" t="s">
        <v>122</v>
      </c>
      <c r="C15" s="39" t="s">
        <v>123</v>
      </c>
      <c r="D15" s="39" t="s">
        <v>124</v>
      </c>
      <c r="E15" s="39" t="s">
        <v>125</v>
      </c>
      <c r="F15" s="39" t="s">
        <v>126</v>
      </c>
      <c r="G15" s="39" t="s">
        <v>127</v>
      </c>
      <c r="H15" s="39" t="s">
        <v>128</v>
      </c>
      <c r="I15" s="39" t="s">
        <v>129</v>
      </c>
      <c r="J15" s="39" t="s">
        <v>130</v>
      </c>
      <c r="K15" s="39" t="s">
        <v>131</v>
      </c>
      <c r="L15" s="39" t="s">
        <v>132</v>
      </c>
      <c r="M15" s="39" t="s">
        <v>133</v>
      </c>
      <c r="N15" s="39" t="s">
        <v>134</v>
      </c>
      <c r="O15" s="39" t="s">
        <v>135</v>
      </c>
      <c r="P15" s="39" t="s">
        <v>136</v>
      </c>
      <c r="Q15" s="39" t="s">
        <v>137</v>
      </c>
      <c r="R15" s="39" t="s">
        <v>138</v>
      </c>
      <c r="S15" s="39" t="s">
        <v>139</v>
      </c>
      <c r="T15" s="39" t="s">
        <v>140</v>
      </c>
      <c r="U15" s="39" t="s">
        <v>141</v>
      </c>
      <c r="V15" s="39" t="s">
        <v>142</v>
      </c>
      <c r="W15" s="40" t="s">
        <v>143</v>
      </c>
      <c r="X15" s="40" t="s">
        <v>144</v>
      </c>
      <c r="Y15" s="40" t="s">
        <v>145</v>
      </c>
      <c r="Z15" s="40" t="s">
        <v>146</v>
      </c>
      <c r="AA15" s="40" t="s">
        <v>147</v>
      </c>
      <c r="AB15" s="40" t="s">
        <v>148</v>
      </c>
      <c r="AC15" s="40" t="s">
        <v>149</v>
      </c>
      <c r="AD15" s="40" t="s">
        <v>150</v>
      </c>
      <c r="AE15" s="40" t="s">
        <v>151</v>
      </c>
      <c r="AF15" s="40" t="s">
        <v>152</v>
      </c>
      <c r="AG15" s="40" t="s">
        <v>153</v>
      </c>
      <c r="AH15" s="40" t="s">
        <v>154</v>
      </c>
      <c r="AI15" s="40" t="s">
        <v>155</v>
      </c>
      <c r="AJ15" s="40" t="s">
        <v>156</v>
      </c>
    </row>
    <row r="16" customFormat="false" ht="12.75" hidden="false" customHeight="true" outlineLevel="0" collapsed="false">
      <c r="A16" s="41" t="s">
        <v>157</v>
      </c>
      <c r="B16" s="42" t="s">
        <v>158</v>
      </c>
      <c r="C16" s="43" t="n">
        <v>1</v>
      </c>
      <c r="D16" s="44" t="n">
        <v>0.4</v>
      </c>
      <c r="E16" s="43" t="n">
        <v>100</v>
      </c>
      <c r="F16" s="45" t="n">
        <v>3</v>
      </c>
      <c r="G16" s="46" t="n">
        <f aca="false">F16/E16*1000</f>
        <v>30</v>
      </c>
      <c r="H16" s="47" t="n">
        <v>3.7</v>
      </c>
      <c r="I16" s="47" t="n">
        <v>3.7</v>
      </c>
      <c r="J16" s="48" t="n">
        <f aca="false">Producto!$D$6/(H16+Producto!$D$7)</f>
        <v>8.22162162162162</v>
      </c>
      <c r="K16" s="43" t="n">
        <v>170</v>
      </c>
      <c r="L16" s="48" t="n">
        <f aca="false">K16/E16</f>
        <v>1.7</v>
      </c>
      <c r="M16" s="48" t="n">
        <f aca="false">J16*K16/1000</f>
        <v>1.39767567567568</v>
      </c>
      <c r="N16" s="45" t="n">
        <v>0.3144</v>
      </c>
      <c r="O16" s="49" t="n">
        <f aca="false">Producto!$D$14</f>
        <v>0.371900826446281</v>
      </c>
      <c r="P16" s="49" t="n">
        <f aca="false">IF(E16&lt;=15,Producto!$D$12,Producto!$D$13)</f>
        <v>0.17</v>
      </c>
      <c r="Q16" s="50" t="n">
        <f aca="false">L16*P16</f>
        <v>0.289</v>
      </c>
      <c r="R16" s="50" t="n">
        <f aca="false">N16+O16+Q16</f>
        <v>0.975300826446281</v>
      </c>
      <c r="S16" s="50" t="n">
        <f aca="false">R16*J16</f>
        <v>8.01855436229618</v>
      </c>
      <c r="T16" s="50" t="n">
        <f aca="false">L16*F16*J16</f>
        <v>41.9302702702703</v>
      </c>
      <c r="U16" s="51" t="n">
        <f aca="false">IFERROR((T16-S16)/T16,0)</f>
        <v>0.808764543834062</v>
      </c>
      <c r="V16" s="50" t="n">
        <f aca="false">IFERROR((T16-S16)/(J16*Producto!$D$11/60),0)</f>
        <v>82.4939834710744</v>
      </c>
      <c r="W16" s="52" t="n">
        <v>50</v>
      </c>
      <c r="X16" s="37" t="n">
        <v>5.5</v>
      </c>
      <c r="Y16" s="38" t="n">
        <f aca="false">IFERROR(X16/W16*1000,0)</f>
        <v>110</v>
      </c>
      <c r="Z16" s="53" t="n">
        <f aca="false">IFERROR(K16/W16,0)</f>
        <v>3.4</v>
      </c>
      <c r="AA16" s="38" t="n">
        <f aca="false">IF(W16&lt;=15,Producto!$D$12,Producto!$D$13)</f>
        <v>0.17</v>
      </c>
      <c r="AB16" s="38" t="n">
        <f aca="false">Z16*X16*J16</f>
        <v>153.744324324324</v>
      </c>
      <c r="AC16" s="38" t="n">
        <f aca="false">(N16+O16+Z16*AA16)*J16</f>
        <v>10.3946030109448</v>
      </c>
      <c r="AD16" s="52" t="n">
        <v>50</v>
      </c>
      <c r="AE16" s="37" t="n">
        <v>3</v>
      </c>
      <c r="AF16" s="38" t="n">
        <f aca="false">IFERROR(AE16/AD16*1000,0)</f>
        <v>60</v>
      </c>
      <c r="AG16" s="53" t="n">
        <f aca="false">IFERROR(K16/AD16,0)</f>
        <v>3.4</v>
      </c>
      <c r="AH16" s="38" t="n">
        <f aca="false">IF(AD16&lt;=15,Producto!$D$12,Producto!$D$13)</f>
        <v>0.17</v>
      </c>
      <c r="AI16" s="38" t="n">
        <f aca="false">AG16*AE16*J16</f>
        <v>83.8605405405405</v>
      </c>
      <c r="AJ16" s="38" t="n">
        <f aca="false">(N16+O16+AG16*AH16)*J16</f>
        <v>10.3946030109448</v>
      </c>
    </row>
    <row r="17" customFormat="false" ht="12.75" hidden="false" customHeight="true" outlineLevel="0" collapsed="false">
      <c r="A17" s="41" t="s">
        <v>159</v>
      </c>
      <c r="B17" s="42" t="s">
        <v>160</v>
      </c>
      <c r="C17" s="43" t="n">
        <v>1</v>
      </c>
      <c r="D17" s="44" t="n">
        <v>0.15</v>
      </c>
      <c r="E17" s="43" t="n">
        <v>30</v>
      </c>
      <c r="F17" s="45" t="n">
        <v>2.5</v>
      </c>
      <c r="G17" s="46" t="n">
        <f aca="false">F17/E17*1000</f>
        <v>83.3333333333333</v>
      </c>
      <c r="H17" s="54" t="n">
        <v>10</v>
      </c>
      <c r="I17" s="47" t="n">
        <v>5</v>
      </c>
      <c r="J17" s="48" t="n">
        <f aca="false">Producto!$D$6/(H17+Producto!$D$7)</f>
        <v>3.042</v>
      </c>
      <c r="K17" s="55" t="n">
        <v>145</v>
      </c>
      <c r="L17" s="48" t="n">
        <f aca="false">K17/E17</f>
        <v>4.83333333333333</v>
      </c>
      <c r="M17" s="48" t="n">
        <f aca="false">J17*K17/1000</f>
        <v>0.44109</v>
      </c>
      <c r="N17" s="45" t="n">
        <v>0.225</v>
      </c>
      <c r="O17" s="49" t="n">
        <f aca="false">Producto!$D$14</f>
        <v>0.371900826446281</v>
      </c>
      <c r="P17" s="49" t="n">
        <f aca="false">IF(E17&lt;=15,Producto!$D$12,Producto!$D$13)</f>
        <v>0.17</v>
      </c>
      <c r="Q17" s="50" t="n">
        <f aca="false">L17*P17</f>
        <v>0.821666666666667</v>
      </c>
      <c r="R17" s="50" t="n">
        <f aca="false">N17+O17+Q17</f>
        <v>1.41856749311295</v>
      </c>
      <c r="S17" s="50" t="n">
        <f aca="false">R17*J17</f>
        <v>4.31528231404959</v>
      </c>
      <c r="T17" s="50" t="n">
        <f aca="false">L17*F17*J17</f>
        <v>36.7575</v>
      </c>
      <c r="U17" s="51" t="n">
        <f aca="false">IFERROR((T17-S17)/T17,0)</f>
        <v>0.88260131091479</v>
      </c>
      <c r="V17" s="50" t="n">
        <f aca="false">IFERROR((T17-S17)/(J17*Producto!$D$11/60),0)</f>
        <v>213.295316804408</v>
      </c>
      <c r="W17" s="52" t="n">
        <v>30</v>
      </c>
      <c r="X17" s="37" t="n">
        <v>7.85</v>
      </c>
      <c r="Y17" s="38" t="n">
        <f aca="false">IFERROR(X17/W17*1000,0)</f>
        <v>261.666666666667</v>
      </c>
      <c r="Z17" s="53" t="n">
        <f aca="false">IFERROR(K17/W17,0)</f>
        <v>4.83333333333333</v>
      </c>
      <c r="AA17" s="38" t="n">
        <f aca="false">IF(W17&lt;=15,Producto!$D$12,Producto!$D$13)</f>
        <v>0.17</v>
      </c>
      <c r="AB17" s="38" t="n">
        <f aca="false">Z17*X17*J17</f>
        <v>115.41855</v>
      </c>
      <c r="AC17" s="38" t="n">
        <f aca="false">(N17+O17+Z17*AA17)*J17</f>
        <v>4.31528231404959</v>
      </c>
      <c r="AD17" s="52" t="n">
        <v>15</v>
      </c>
      <c r="AE17" s="37" t="n">
        <v>1.75</v>
      </c>
      <c r="AF17" s="38" t="n">
        <f aca="false">IFERROR(AE17/AD17*1000,0)</f>
        <v>116.666666666667</v>
      </c>
      <c r="AG17" s="53" t="n">
        <f aca="false">IFERROR(K17/AD17,0)</f>
        <v>9.66666666666667</v>
      </c>
      <c r="AH17" s="38" t="n">
        <f aca="false">IF(AD17&lt;=15,Producto!$D$12,Producto!$D$13)</f>
        <v>0.1</v>
      </c>
      <c r="AI17" s="38" t="n">
        <f aca="false">AG17*AE17*J17</f>
        <v>51.4605</v>
      </c>
      <c r="AJ17" s="38" t="n">
        <f aca="false">(N17+O17+AG17*AH17)*J17</f>
        <v>4.75637231404959</v>
      </c>
    </row>
    <row r="18" customFormat="false" ht="12.75" hidden="false" customHeight="true" outlineLevel="0" collapsed="false">
      <c r="A18" s="41" t="s">
        <v>161</v>
      </c>
      <c r="B18" s="42" t="s">
        <v>160</v>
      </c>
      <c r="C18" s="43" t="n">
        <v>1</v>
      </c>
      <c r="D18" s="44" t="n">
        <v>0.1</v>
      </c>
      <c r="E18" s="43" t="n">
        <v>30</v>
      </c>
      <c r="F18" s="45" t="n">
        <v>2.5</v>
      </c>
      <c r="G18" s="46" t="n">
        <f aca="false">F18/E18*1000</f>
        <v>83.3333333333333</v>
      </c>
      <c r="H18" s="47" t="n">
        <v>13</v>
      </c>
      <c r="I18" s="47" t="n">
        <v>5</v>
      </c>
      <c r="J18" s="48" t="n">
        <f aca="false">Producto!$D$6/(H18+Producto!$D$7)</f>
        <v>2.34</v>
      </c>
      <c r="K18" s="55" t="n">
        <v>90</v>
      </c>
      <c r="L18" s="48" t="n">
        <f aca="false">K18/E18</f>
        <v>3</v>
      </c>
      <c r="M18" s="48" t="n">
        <f aca="false">J18*K18/1000</f>
        <v>0.2106</v>
      </c>
      <c r="N18" s="45" t="n">
        <v>0.333</v>
      </c>
      <c r="O18" s="49" t="n">
        <f aca="false">Producto!$D$14</f>
        <v>0.371900826446281</v>
      </c>
      <c r="P18" s="49" t="n">
        <f aca="false">IF(E18&lt;=15,Producto!$D$12,Producto!$D$13)</f>
        <v>0.17</v>
      </c>
      <c r="Q18" s="50" t="n">
        <f aca="false">L18*P18</f>
        <v>0.51</v>
      </c>
      <c r="R18" s="50" t="n">
        <f aca="false">N18+O18+Q18</f>
        <v>1.21490082644628</v>
      </c>
      <c r="S18" s="50" t="n">
        <f aca="false">R18*J18</f>
        <v>2.8428679338843</v>
      </c>
      <c r="T18" s="50" t="n">
        <f aca="false">L18*F18*J18</f>
        <v>17.55</v>
      </c>
      <c r="U18" s="51" t="n">
        <f aca="false">IFERROR((T18-S18)/T18,0)</f>
        <v>0.838013223140496</v>
      </c>
      <c r="V18" s="50" t="n">
        <f aca="false">IFERROR((T18-S18)/(J18*Producto!$D$11/60),0)</f>
        <v>125.701983471074</v>
      </c>
      <c r="W18" s="52" t="n">
        <v>30</v>
      </c>
      <c r="X18" s="37" t="n">
        <v>9.3</v>
      </c>
      <c r="Y18" s="38" t="n">
        <f aca="false">IFERROR(X18/W18*1000,0)</f>
        <v>310</v>
      </c>
      <c r="Z18" s="53" t="n">
        <f aca="false">IFERROR(K18/W18,0)</f>
        <v>3</v>
      </c>
      <c r="AA18" s="38" t="n">
        <f aca="false">IF(W18&lt;=15,Producto!$D$12,Producto!$D$13)</f>
        <v>0.17</v>
      </c>
      <c r="AB18" s="38" t="n">
        <f aca="false">Z18*X18*J18</f>
        <v>65.286</v>
      </c>
      <c r="AC18" s="38" t="n">
        <f aca="false">(N18+O18+Z18*AA18)*J18</f>
        <v>2.8428679338843</v>
      </c>
      <c r="AD18" s="52" t="n">
        <v>15</v>
      </c>
      <c r="AE18" s="37" t="n">
        <v>1.65</v>
      </c>
      <c r="AF18" s="38" t="n">
        <f aca="false">IFERROR(AE18/AD18*1000,0)</f>
        <v>110</v>
      </c>
      <c r="AG18" s="53" t="n">
        <f aca="false">IFERROR(K18/AD18,0)</f>
        <v>6</v>
      </c>
      <c r="AH18" s="38" t="n">
        <f aca="false">IF(AD18&lt;=15,Producto!$D$12,Producto!$D$13)</f>
        <v>0.1</v>
      </c>
      <c r="AI18" s="38" t="n">
        <f aca="false">AG18*AE18*J18</f>
        <v>23.166</v>
      </c>
      <c r="AJ18" s="38" t="n">
        <f aca="false">(N18+O18+AG18*AH18)*J18</f>
        <v>3.0534679338843</v>
      </c>
    </row>
    <row r="19" customFormat="false" ht="12.75" hidden="false" customHeight="true" outlineLevel="0" collapsed="false">
      <c r="A19" s="41" t="s">
        <v>162</v>
      </c>
      <c r="B19" s="42" t="s">
        <v>158</v>
      </c>
      <c r="C19" s="43" t="n">
        <v>1</v>
      </c>
      <c r="D19" s="44" t="n">
        <v>0.08</v>
      </c>
      <c r="E19" s="43" t="n">
        <v>30</v>
      </c>
      <c r="F19" s="45" t="n">
        <v>1.5</v>
      </c>
      <c r="G19" s="46" t="n">
        <f aca="false">F19/E19*1000</f>
        <v>50</v>
      </c>
      <c r="H19" s="47" t="n">
        <v>3</v>
      </c>
      <c r="I19" s="47" t="n">
        <v>3</v>
      </c>
      <c r="J19" s="48" t="n">
        <f aca="false">Producto!$D$6/(H19+Producto!$D$7)</f>
        <v>10.14</v>
      </c>
      <c r="K19" s="55" t="n">
        <v>245</v>
      </c>
      <c r="L19" s="48" t="n">
        <f aca="false">K19/E19</f>
        <v>8.16666666666667</v>
      </c>
      <c r="M19" s="48" t="n">
        <f aca="false">J19*K19/1000</f>
        <v>2.4843</v>
      </c>
      <c r="N19" s="45" t="n">
        <v>0.34</v>
      </c>
      <c r="O19" s="49" t="n">
        <f aca="false">Producto!$D$14</f>
        <v>0.371900826446281</v>
      </c>
      <c r="P19" s="49" t="n">
        <f aca="false">IF(E19&lt;=15,Producto!$D$12,Producto!$D$13)</f>
        <v>0.17</v>
      </c>
      <c r="Q19" s="50" t="n">
        <f aca="false">L19*P19</f>
        <v>1.38833333333333</v>
      </c>
      <c r="R19" s="50" t="n">
        <f aca="false">N19+O19+Q19</f>
        <v>2.10023415977961</v>
      </c>
      <c r="S19" s="50" t="n">
        <f aca="false">R19*J19</f>
        <v>21.2963743801653</v>
      </c>
      <c r="T19" s="50" t="n">
        <f aca="false">L19*F19*J19</f>
        <v>124.215</v>
      </c>
      <c r="U19" s="51" t="n">
        <f aca="false">IFERROR((T19-S19)/T19,0)</f>
        <v>0.828552313487379</v>
      </c>
      <c r="V19" s="50" t="n">
        <f aca="false">IFERROR((T19-S19)/(J19*Producto!$D$11/60),0)</f>
        <v>202.995316804408</v>
      </c>
      <c r="W19" s="52" t="n">
        <v>30</v>
      </c>
      <c r="X19" s="37" t="n">
        <v>5.95</v>
      </c>
      <c r="Y19" s="38" t="n">
        <f aca="false">IFERROR(X19/W19*1000,0)</f>
        <v>198.333333333333</v>
      </c>
      <c r="Z19" s="53" t="n">
        <f aca="false">IFERROR(K19/W19,0)</f>
        <v>8.16666666666667</v>
      </c>
      <c r="AA19" s="38" t="n">
        <f aca="false">IF(W19&lt;=15,Producto!$D$12,Producto!$D$13)</f>
        <v>0.17</v>
      </c>
      <c r="AB19" s="38" t="n">
        <f aca="false">Z19*X19*J19</f>
        <v>492.7195</v>
      </c>
      <c r="AC19" s="38" t="n">
        <f aca="false">(N19+O19+Z19*AA19)*J19</f>
        <v>21.2963743801653</v>
      </c>
      <c r="AD19" s="52" t="n">
        <v>15</v>
      </c>
      <c r="AE19" s="37" t="n">
        <v>1.85</v>
      </c>
      <c r="AF19" s="38" t="n">
        <f aca="false">IFERROR(AE19/AD19*1000,0)</f>
        <v>123.333333333333</v>
      </c>
      <c r="AG19" s="53" t="n">
        <f aca="false">IFERROR(K19/AD19,0)</f>
        <v>16.3333333333333</v>
      </c>
      <c r="AH19" s="38" t="n">
        <f aca="false">IF(AD19&lt;=15,Producto!$D$12,Producto!$D$13)</f>
        <v>0.1</v>
      </c>
      <c r="AI19" s="38" t="n">
        <f aca="false">AG19*AE19*J19</f>
        <v>306.397</v>
      </c>
      <c r="AJ19" s="38" t="n">
        <f aca="false">(N19+O19+AG19*AH19)*J19</f>
        <v>23.7806743801653</v>
      </c>
    </row>
    <row r="20" customFormat="false" ht="12.75" hidden="false" customHeight="true" outlineLevel="0" collapsed="false">
      <c r="A20" s="41" t="s">
        <v>163</v>
      </c>
      <c r="B20" s="42" t="s">
        <v>158</v>
      </c>
      <c r="C20" s="43" t="n">
        <v>1</v>
      </c>
      <c r="D20" s="44" t="n">
        <v>0.08</v>
      </c>
      <c r="E20" s="43" t="n">
        <v>30</v>
      </c>
      <c r="F20" s="45" t="n">
        <v>1.5</v>
      </c>
      <c r="G20" s="46" t="n">
        <f aca="false">F20/E20*1000</f>
        <v>50</v>
      </c>
      <c r="H20" s="47" t="n">
        <v>4</v>
      </c>
      <c r="I20" s="47" t="n">
        <v>3</v>
      </c>
      <c r="J20" s="48" t="n">
        <f aca="false">Producto!$D$6/(H20+Producto!$D$7)</f>
        <v>7.605</v>
      </c>
      <c r="K20" s="43" t="n">
        <v>170</v>
      </c>
      <c r="L20" s="48" t="n">
        <f aca="false">K20/E20</f>
        <v>5.66666666666667</v>
      </c>
      <c r="M20" s="48" t="n">
        <f aca="false">J20*K20/1000</f>
        <v>1.29285</v>
      </c>
      <c r="N20" s="45" t="n">
        <v>0.165</v>
      </c>
      <c r="O20" s="49" t="n">
        <f aca="false">Producto!$D$14</f>
        <v>0.371900826446281</v>
      </c>
      <c r="P20" s="49" t="n">
        <f aca="false">IF(E20&lt;=15,Producto!$D$12,Producto!$D$13)</f>
        <v>0.17</v>
      </c>
      <c r="Q20" s="50" t="n">
        <f aca="false">L20*P20</f>
        <v>0.963333333333334</v>
      </c>
      <c r="R20" s="50" t="n">
        <f aca="false">N20+O20+Q20</f>
        <v>1.50023415977961</v>
      </c>
      <c r="S20" s="50" t="n">
        <f aca="false">R20*J20</f>
        <v>11.409280785124</v>
      </c>
      <c r="T20" s="50" t="n">
        <f aca="false">L20*F20*J20</f>
        <v>64.6425</v>
      </c>
      <c r="U20" s="51" t="n">
        <f aca="false">IFERROR((T20-S20)/T20,0)</f>
        <v>0.82350186355534</v>
      </c>
      <c r="V20" s="50" t="n">
        <f aca="false">IFERROR((T20-S20)/(J20*Producto!$D$11/60),0)</f>
        <v>139.995316804408</v>
      </c>
      <c r="W20" s="52" t="n">
        <v>30</v>
      </c>
      <c r="X20" s="37" t="n">
        <v>6.8</v>
      </c>
      <c r="Y20" s="38" t="n">
        <f aca="false">IFERROR(X20/W20*1000,0)</f>
        <v>226.666666666667</v>
      </c>
      <c r="Z20" s="53" t="n">
        <f aca="false">IFERROR(K20/W20,0)</f>
        <v>5.66666666666667</v>
      </c>
      <c r="AA20" s="38" t="n">
        <f aca="false">IF(W20&lt;=15,Producto!$D$12,Producto!$D$13)</f>
        <v>0.17</v>
      </c>
      <c r="AB20" s="38" t="n">
        <f aca="false">Z20*X20*J20</f>
        <v>293.046</v>
      </c>
      <c r="AC20" s="38" t="n">
        <f aca="false">(N20+O20+Z20*AA20)*J20</f>
        <v>11.409280785124</v>
      </c>
      <c r="AD20" s="52" t="n">
        <v>15</v>
      </c>
      <c r="AE20" s="37" t="n">
        <v>1.6</v>
      </c>
      <c r="AF20" s="38" t="n">
        <f aca="false">IFERROR(AE20/AD20*1000,0)</f>
        <v>106.666666666667</v>
      </c>
      <c r="AG20" s="53" t="n">
        <f aca="false">IFERROR(K20/AD20,0)</f>
        <v>11.3333333333333</v>
      </c>
      <c r="AH20" s="38" t="n">
        <f aca="false">IF(AD20&lt;=15,Producto!$D$12,Producto!$D$13)</f>
        <v>0.1</v>
      </c>
      <c r="AI20" s="38" t="n">
        <f aca="false">AG20*AE20*J20</f>
        <v>137.904</v>
      </c>
      <c r="AJ20" s="38" t="n">
        <f aca="false">(N20+O20+AG20*AH20)*J20</f>
        <v>12.702130785124</v>
      </c>
    </row>
    <row r="21" customFormat="false" ht="12.75" hidden="false" customHeight="true" outlineLevel="0" collapsed="false">
      <c r="A21" s="41" t="s">
        <v>164</v>
      </c>
      <c r="B21" s="42" t="s">
        <v>158</v>
      </c>
      <c r="C21" s="43" t="n">
        <v>1</v>
      </c>
      <c r="D21" s="44" t="n">
        <v>0.07</v>
      </c>
      <c r="E21" s="43" t="n">
        <v>30</v>
      </c>
      <c r="F21" s="45" t="n">
        <v>1.5</v>
      </c>
      <c r="G21" s="46" t="n">
        <f aca="false">F21/E21*1000</f>
        <v>50</v>
      </c>
      <c r="H21" s="47" t="n">
        <v>3</v>
      </c>
      <c r="I21" s="47" t="n">
        <v>3</v>
      </c>
      <c r="J21" s="48" t="n">
        <f aca="false">Producto!$D$6/(H21+Producto!$D$7)</f>
        <v>10.14</v>
      </c>
      <c r="K21" s="55" t="n">
        <v>245</v>
      </c>
      <c r="L21" s="48" t="n">
        <f aca="false">K21/E21</f>
        <v>8.16666666666667</v>
      </c>
      <c r="M21" s="48" t="n">
        <f aca="false">J21*K21/1000</f>
        <v>2.4843</v>
      </c>
      <c r="N21" s="45" t="n">
        <v>0.3366</v>
      </c>
      <c r="O21" s="49" t="n">
        <f aca="false">Producto!$D$14</f>
        <v>0.371900826446281</v>
      </c>
      <c r="P21" s="49" t="n">
        <f aca="false">IF(E21&lt;=15,Producto!$D$12,Producto!$D$13)</f>
        <v>0.17</v>
      </c>
      <c r="Q21" s="50" t="n">
        <f aca="false">L21*P21</f>
        <v>1.38833333333333</v>
      </c>
      <c r="R21" s="50" t="n">
        <f aca="false">N21+O21+Q21</f>
        <v>2.09683415977961</v>
      </c>
      <c r="S21" s="50" t="n">
        <f aca="false">R21*J21</f>
        <v>21.2618983801653</v>
      </c>
      <c r="T21" s="50" t="n">
        <f aca="false">L21*F21*J21</f>
        <v>124.215</v>
      </c>
      <c r="U21" s="51" t="n">
        <f aca="false">IFERROR((T21-S21)/T21,0)</f>
        <v>0.828829864507787</v>
      </c>
      <c r="V21" s="50" t="n">
        <f aca="false">IFERROR((T21-S21)/(J21*Producto!$D$11/60),0)</f>
        <v>203.063316804408</v>
      </c>
      <c r="W21" s="52" t="n">
        <v>30</v>
      </c>
      <c r="X21" s="37" t="n">
        <v>6.2</v>
      </c>
      <c r="Y21" s="38" t="n">
        <f aca="false">IFERROR(X21/W21*1000,0)</f>
        <v>206.666666666667</v>
      </c>
      <c r="Z21" s="53" t="n">
        <f aca="false">IFERROR(K21/W21,0)</f>
        <v>8.16666666666667</v>
      </c>
      <c r="AA21" s="38" t="n">
        <f aca="false">IF(W21&lt;=15,Producto!$D$12,Producto!$D$13)</f>
        <v>0.17</v>
      </c>
      <c r="AB21" s="38" t="n">
        <f aca="false">Z21*X21*J21</f>
        <v>513.422</v>
      </c>
      <c r="AC21" s="38" t="n">
        <f aca="false">(N21+O21+Z21*AA21)*J21</f>
        <v>21.2618983801653</v>
      </c>
      <c r="AD21" s="52" t="n">
        <v>15</v>
      </c>
      <c r="AE21" s="37" t="n">
        <v>1.85</v>
      </c>
      <c r="AF21" s="38" t="n">
        <f aca="false">IFERROR(AE21/AD21*1000,0)</f>
        <v>123.333333333333</v>
      </c>
      <c r="AG21" s="53" t="n">
        <f aca="false">IFERROR(K21/AD21,0)</f>
        <v>16.3333333333333</v>
      </c>
      <c r="AH21" s="38" t="n">
        <f aca="false">IF(AD21&lt;=15,Producto!$D$12,Producto!$D$13)</f>
        <v>0.1</v>
      </c>
      <c r="AI21" s="38" t="n">
        <f aca="false">AG21*AE21*J21</f>
        <v>306.397</v>
      </c>
      <c r="AJ21" s="38" t="n">
        <f aca="false">(N21+O21+AG21*AH21)*J21</f>
        <v>23.7461983801653</v>
      </c>
    </row>
    <row r="22" customFormat="false" ht="12.75" hidden="false" customHeight="true" outlineLevel="0" collapsed="false">
      <c r="A22" s="41" t="s">
        <v>165</v>
      </c>
      <c r="B22" s="42" t="s">
        <v>158</v>
      </c>
      <c r="C22" s="43" t="n">
        <v>1</v>
      </c>
      <c r="D22" s="44" t="n">
        <v>0.05</v>
      </c>
      <c r="E22" s="43" t="n">
        <v>30</v>
      </c>
      <c r="F22" s="45" t="n">
        <v>1.5</v>
      </c>
      <c r="G22" s="46" t="n">
        <f aca="false">F22/E22*1000</f>
        <v>50</v>
      </c>
      <c r="H22" s="47" t="n">
        <v>4</v>
      </c>
      <c r="I22" s="47" t="n">
        <v>3</v>
      </c>
      <c r="J22" s="48" t="n">
        <f aca="false">Producto!$D$6/(H22+Producto!$D$7)</f>
        <v>7.605</v>
      </c>
      <c r="K22" s="43" t="n">
        <v>160</v>
      </c>
      <c r="L22" s="48" t="n">
        <f aca="false">K22/E22</f>
        <v>5.33333333333333</v>
      </c>
      <c r="M22" s="48" t="n">
        <f aca="false">J22*K22/1000</f>
        <v>1.2168</v>
      </c>
      <c r="N22" s="45" t="n">
        <v>0.44</v>
      </c>
      <c r="O22" s="49" t="n">
        <f aca="false">Producto!$D$14</f>
        <v>0.371900826446281</v>
      </c>
      <c r="P22" s="49" t="n">
        <f aca="false">IF(E22&lt;=15,Producto!$D$12,Producto!$D$13)</f>
        <v>0.17</v>
      </c>
      <c r="Q22" s="50" t="n">
        <f aca="false">L22*P22</f>
        <v>0.906666666666667</v>
      </c>
      <c r="R22" s="50" t="n">
        <f aca="false">N22+O22+Q22</f>
        <v>1.71856749311295</v>
      </c>
      <c r="S22" s="50" t="n">
        <f aca="false">R22*J22</f>
        <v>13.069705785124</v>
      </c>
      <c r="T22" s="50" t="n">
        <f aca="false">L22*F22*J22</f>
        <v>60.84</v>
      </c>
      <c r="U22" s="51" t="n">
        <f aca="false">IFERROR((T22-S22)/T22,0)</f>
        <v>0.785179063360882</v>
      </c>
      <c r="V22" s="50" t="n">
        <f aca="false">IFERROR((T22-S22)/(J22*Producto!$D$11/60),0)</f>
        <v>125.628650137741</v>
      </c>
      <c r="W22" s="52" t="n">
        <v>30</v>
      </c>
      <c r="X22" s="37" t="n">
        <v>6.9</v>
      </c>
      <c r="Y22" s="38" t="n">
        <f aca="false">IFERROR(X22/W22*1000,0)</f>
        <v>230</v>
      </c>
      <c r="Z22" s="53" t="n">
        <f aca="false">IFERROR(K22/W22,0)</f>
        <v>5.33333333333333</v>
      </c>
      <c r="AA22" s="38" t="n">
        <f aca="false">IF(W22&lt;=15,Producto!$D$12,Producto!$D$13)</f>
        <v>0.17</v>
      </c>
      <c r="AB22" s="38" t="n">
        <f aca="false">Z22*X22*J22</f>
        <v>279.864</v>
      </c>
      <c r="AC22" s="38" t="n">
        <f aca="false">(N22+O22+Z22*AA22)*J22</f>
        <v>13.069705785124</v>
      </c>
      <c r="AD22" s="52" t="n">
        <v>15</v>
      </c>
      <c r="AE22" s="37" t="n">
        <v>1.55</v>
      </c>
      <c r="AF22" s="38" t="n">
        <f aca="false">IFERROR(AE22/AD22*1000,0)</f>
        <v>103.333333333333</v>
      </c>
      <c r="AG22" s="53" t="n">
        <f aca="false">IFERROR(K22/AD22,0)</f>
        <v>10.6666666666667</v>
      </c>
      <c r="AH22" s="38" t="n">
        <f aca="false">IF(AD22&lt;=15,Producto!$D$12,Producto!$D$13)</f>
        <v>0.1</v>
      </c>
      <c r="AI22" s="38" t="n">
        <f aca="false">AG22*AE22*J22</f>
        <v>125.736</v>
      </c>
      <c r="AJ22" s="38" t="n">
        <f aca="false">(N22+O22+AG22*AH22)*J22</f>
        <v>14.286505785124</v>
      </c>
    </row>
    <row r="23" customFormat="false" ht="12.75" hidden="false" customHeight="true" outlineLevel="0" collapsed="false">
      <c r="A23" s="41" t="s">
        <v>166</v>
      </c>
      <c r="B23" s="42" t="s">
        <v>158</v>
      </c>
      <c r="C23" s="43" t="n">
        <v>1</v>
      </c>
      <c r="D23" s="44" t="n">
        <v>0.04</v>
      </c>
      <c r="E23" s="43" t="n">
        <v>30</v>
      </c>
      <c r="F23" s="45" t="n">
        <v>1.5</v>
      </c>
      <c r="G23" s="46" t="n">
        <f aca="false">F23/E23*1000</f>
        <v>50</v>
      </c>
      <c r="H23" s="47" t="n">
        <v>4</v>
      </c>
      <c r="I23" s="47" t="n">
        <v>3</v>
      </c>
      <c r="J23" s="48" t="n">
        <f aca="false">Producto!$D$6/(H23+Producto!$D$7)</f>
        <v>7.605</v>
      </c>
      <c r="K23" s="43" t="n">
        <v>170</v>
      </c>
      <c r="L23" s="48" t="n">
        <f aca="false">K23/E23</f>
        <v>5.66666666666667</v>
      </c>
      <c r="M23" s="48" t="n">
        <f aca="false">J23*K23/1000</f>
        <v>1.29285</v>
      </c>
      <c r="N23" s="45" t="n">
        <v>0.484</v>
      </c>
      <c r="O23" s="49" t="n">
        <f aca="false">Producto!$D$14</f>
        <v>0.371900826446281</v>
      </c>
      <c r="P23" s="49" t="n">
        <f aca="false">IF(E23&lt;=15,Producto!$D$12,Producto!$D$13)</f>
        <v>0.17</v>
      </c>
      <c r="Q23" s="50" t="n">
        <f aca="false">L23*P23</f>
        <v>0.963333333333334</v>
      </c>
      <c r="R23" s="50" t="n">
        <f aca="false">N23+O23+Q23</f>
        <v>1.81923415977961</v>
      </c>
      <c r="S23" s="50" t="n">
        <f aca="false">R23*J23</f>
        <v>13.835275785124</v>
      </c>
      <c r="T23" s="50" t="n">
        <f aca="false">L23*F23*J23</f>
        <v>64.6425</v>
      </c>
      <c r="U23" s="51" t="n">
        <f aca="false">IFERROR((T23-S23)/T23,0)</f>
        <v>0.785972451790634</v>
      </c>
      <c r="V23" s="50" t="n">
        <f aca="false">IFERROR((T23-S23)/(J23*Producto!$D$11/60),0)</f>
        <v>133.615316804408</v>
      </c>
      <c r="W23" s="52" t="n">
        <v>15</v>
      </c>
      <c r="X23" s="37" t="n">
        <v>4</v>
      </c>
      <c r="Y23" s="38" t="n">
        <f aca="false">IFERROR(X23/W23*1000,0)</f>
        <v>266.666666666667</v>
      </c>
      <c r="Z23" s="53" t="n">
        <f aca="false">IFERROR(K23/W23,0)</f>
        <v>11.3333333333333</v>
      </c>
      <c r="AA23" s="38" t="n">
        <f aca="false">IF(W23&lt;=15,Producto!$D$12,Producto!$D$13)</f>
        <v>0.1</v>
      </c>
      <c r="AB23" s="38" t="n">
        <f aca="false">Z23*X23*J23</f>
        <v>344.76</v>
      </c>
      <c r="AC23" s="38" t="n">
        <f aca="false">(N23+O23+Z23*AA23)*J23</f>
        <v>15.128125785124</v>
      </c>
      <c r="AD23" s="52" t="n">
        <v>15</v>
      </c>
      <c r="AE23" s="37" t="n">
        <v>1.85</v>
      </c>
      <c r="AF23" s="38" t="n">
        <f aca="false">IFERROR(AE23/AD23*1000,0)</f>
        <v>123.333333333333</v>
      </c>
      <c r="AG23" s="53" t="n">
        <f aca="false">IFERROR(K23/AD23,0)</f>
        <v>11.3333333333333</v>
      </c>
      <c r="AH23" s="38" t="n">
        <f aca="false">IF(AD23&lt;=15,Producto!$D$12,Producto!$D$13)</f>
        <v>0.1</v>
      </c>
      <c r="AI23" s="38" t="n">
        <f aca="false">AG23*AE23*J23</f>
        <v>159.4515</v>
      </c>
      <c r="AJ23" s="38" t="n">
        <f aca="false">(N23+O23+AG23*AH23)*J23</f>
        <v>15.128125785124</v>
      </c>
    </row>
    <row r="24" customFormat="false" ht="12.75" hidden="false" customHeight="true" outlineLevel="0" collapsed="false">
      <c r="A24" s="41" t="s">
        <v>167</v>
      </c>
      <c r="B24" s="42" t="s">
        <v>158</v>
      </c>
      <c r="C24" s="43" t="n">
        <v>1</v>
      </c>
      <c r="D24" s="44" t="n">
        <v>0.03</v>
      </c>
      <c r="E24" s="43" t="n">
        <v>30</v>
      </c>
      <c r="F24" s="45" t="n">
        <v>3</v>
      </c>
      <c r="G24" s="46" t="n">
        <f aca="false">F24/E24*1000</f>
        <v>100</v>
      </c>
      <c r="H24" s="47" t="n">
        <v>9</v>
      </c>
      <c r="I24" s="47" t="n">
        <v>3</v>
      </c>
      <c r="J24" s="48" t="n">
        <f aca="false">Producto!$D$6/(H24+Producto!$D$7)</f>
        <v>3.38</v>
      </c>
      <c r="K24" s="43" t="n">
        <v>80</v>
      </c>
      <c r="L24" s="48" t="n">
        <f aca="false">K24/E24</f>
        <v>2.66666666666667</v>
      </c>
      <c r="M24" s="48" t="n">
        <f aca="false">J24*K24/1000</f>
        <v>0.2704</v>
      </c>
      <c r="N24" s="45" t="n">
        <v>0.45</v>
      </c>
      <c r="O24" s="49" t="n">
        <f aca="false">Producto!$D$14</f>
        <v>0.371900826446281</v>
      </c>
      <c r="P24" s="49" t="n">
        <f aca="false">IF(E24&lt;=15,Producto!$D$12,Producto!$D$13)</f>
        <v>0.17</v>
      </c>
      <c r="Q24" s="50" t="n">
        <f aca="false">L24*P24</f>
        <v>0.453333333333333</v>
      </c>
      <c r="R24" s="50" t="n">
        <f aca="false">N24+O24+Q24</f>
        <v>1.27523415977961</v>
      </c>
      <c r="S24" s="50" t="n">
        <f aca="false">R24*J24</f>
        <v>4.3102914600551</v>
      </c>
      <c r="T24" s="50" t="n">
        <f aca="false">L24*F24*J24</f>
        <v>27.04</v>
      </c>
      <c r="U24" s="51" t="n">
        <f aca="false">IFERROR((T24-S24)/T24,0)</f>
        <v>0.840595730027548</v>
      </c>
      <c r="V24" s="50" t="n">
        <f aca="false">IFERROR((T24-S24)/(J24*Producto!$D$11/60),0)</f>
        <v>134.495316804408</v>
      </c>
      <c r="W24" s="52" t="n">
        <v>30</v>
      </c>
      <c r="X24" s="37" t="n">
        <v>10.8</v>
      </c>
      <c r="Y24" s="38" t="n">
        <f aca="false">IFERROR(X24/W24*1000,0)</f>
        <v>360</v>
      </c>
      <c r="Z24" s="53" t="n">
        <f aca="false">IFERROR(K24/W24,0)</f>
        <v>2.66666666666667</v>
      </c>
      <c r="AA24" s="38" t="n">
        <f aca="false">IF(W24&lt;=15,Producto!$D$12,Producto!$D$13)</f>
        <v>0.17</v>
      </c>
      <c r="AB24" s="38" t="n">
        <f aca="false">Z24*X24*J24</f>
        <v>97.344</v>
      </c>
      <c r="AC24" s="38" t="n">
        <f aca="false">(N24+O24+Z24*AA24)*J24</f>
        <v>4.3102914600551</v>
      </c>
      <c r="AD24" s="52" t="n">
        <v>15</v>
      </c>
      <c r="AE24" s="37" t="n">
        <v>1.65</v>
      </c>
      <c r="AF24" s="38" t="n">
        <f aca="false">IFERROR(AE24/AD24*1000,0)</f>
        <v>110</v>
      </c>
      <c r="AG24" s="53" t="n">
        <f aca="false">IFERROR(K24/AD24,0)</f>
        <v>5.33333333333333</v>
      </c>
      <c r="AH24" s="38" t="n">
        <f aca="false">IF(AD24&lt;=15,Producto!$D$12,Producto!$D$13)</f>
        <v>0.1</v>
      </c>
      <c r="AI24" s="38" t="n">
        <f aca="false">AG24*AE24*J24</f>
        <v>29.744</v>
      </c>
      <c r="AJ24" s="38" t="n">
        <f aca="false">(N24+O24+AG24*AH24)*J24</f>
        <v>4.5806914600551</v>
      </c>
    </row>
    <row r="25" customFormat="false" ht="12.75" hidden="false" customHeight="true" outlineLevel="0" collapsed="false">
      <c r="A25" s="56" t="s">
        <v>168</v>
      </c>
      <c r="B25" s="57" t="s">
        <v>169</v>
      </c>
      <c r="C25" s="58" t="n">
        <v>0</v>
      </c>
      <c r="D25" s="59" t="n">
        <v>0</v>
      </c>
      <c r="E25" s="58" t="n">
        <v>30</v>
      </c>
      <c r="F25" s="60" t="n">
        <v>1.3</v>
      </c>
      <c r="G25" s="46" t="n">
        <f aca="false">F25/E25*1000</f>
        <v>43.3333333333333</v>
      </c>
      <c r="H25" s="61" t="n">
        <v>2</v>
      </c>
      <c r="I25" s="61" t="n">
        <v>3</v>
      </c>
      <c r="J25" s="48" t="n">
        <f aca="false">Producto!$D$6/(H25+Producto!$D$7)</f>
        <v>15.21</v>
      </c>
      <c r="K25" s="58" t="n">
        <v>200</v>
      </c>
      <c r="L25" s="48" t="n">
        <f aca="false">K25/E25</f>
        <v>6.66666666666667</v>
      </c>
      <c r="M25" s="48" t="n">
        <f aca="false">J25*K25/1000</f>
        <v>3.042</v>
      </c>
      <c r="N25" s="60" t="n">
        <v>0.3</v>
      </c>
      <c r="O25" s="62" t="n">
        <f aca="false">Producto!$D$14</f>
        <v>0.371900826446281</v>
      </c>
      <c r="P25" s="62" t="n">
        <f aca="false">IF(E25&lt;=15,Producto!$D$12,Producto!$D$13)</f>
        <v>0.17</v>
      </c>
      <c r="Q25" s="50" t="n">
        <f aca="false">L25*P25</f>
        <v>1.13333333333333</v>
      </c>
      <c r="R25" s="50" t="n">
        <f aca="false">N25+O25+Q25</f>
        <v>1.80523415977961</v>
      </c>
      <c r="S25" s="50" t="n">
        <f aca="false">R25*J25</f>
        <v>27.4576115702479</v>
      </c>
      <c r="T25" s="50" t="n">
        <f aca="false">L25*F25*J25</f>
        <v>131.82</v>
      </c>
      <c r="U25" s="51" t="n">
        <f aca="false">IFERROR((T25-S25)/T25,0)</f>
        <v>0.79170375079466</v>
      </c>
      <c r="V25" s="50" t="n">
        <f aca="false">IFERROR((T25-S25)/(J25*Producto!$D$11/60),0)</f>
        <v>137.228650137741</v>
      </c>
      <c r="W25" s="52" t="n">
        <v>30</v>
      </c>
      <c r="X25" s="37" t="n">
        <v>6.2</v>
      </c>
      <c r="Y25" s="38" t="n">
        <f aca="false">IFERROR(X25/W25*1000,0)</f>
        <v>206.666666666667</v>
      </c>
      <c r="Z25" s="53" t="n">
        <f aca="false">IFERROR(K25/W25,0)</f>
        <v>6.66666666666667</v>
      </c>
      <c r="AA25" s="38" t="n">
        <f aca="false">IF(W25&lt;=15,Producto!$D$12,Producto!$D$13)</f>
        <v>0.17</v>
      </c>
      <c r="AB25" s="38" t="n">
        <f aca="false">Z25*X25*J25</f>
        <v>628.68</v>
      </c>
      <c r="AC25" s="38" t="n">
        <f aca="false">(N25+O25+Z25*AA25)*J25</f>
        <v>27.4576115702479</v>
      </c>
      <c r="AD25" s="63" t="n">
        <f aca="false">E25</f>
        <v>30</v>
      </c>
      <c r="AE25" s="38" t="n">
        <f aca="false">F25</f>
        <v>1.3</v>
      </c>
      <c r="AF25" s="38" t="n">
        <f aca="false">IFERROR(AE25/AD25*1000,0)</f>
        <v>43.3333333333333</v>
      </c>
      <c r="AG25" s="53" t="n">
        <f aca="false">IFERROR(K25/AD25,0)</f>
        <v>6.66666666666667</v>
      </c>
      <c r="AH25" s="38" t="n">
        <f aca="false">IF(AD25&lt;=15,Producto!$D$12,Producto!$D$13)</f>
        <v>0.17</v>
      </c>
      <c r="AI25" s="38" t="n">
        <f aca="false">AG25*AE25*J25</f>
        <v>131.82</v>
      </c>
      <c r="AJ25" s="38" t="n">
        <f aca="false">(N25+O25+AG25*AH25)*J25</f>
        <v>27.4576115702479</v>
      </c>
    </row>
    <row r="26" customFormat="false" ht="12.75" hidden="false" customHeight="true" outlineLevel="0" collapsed="false">
      <c r="A26" s="56" t="s">
        <v>170</v>
      </c>
      <c r="B26" s="57" t="s">
        <v>169</v>
      </c>
      <c r="C26" s="58" t="n">
        <v>0</v>
      </c>
      <c r="D26" s="59" t="n">
        <v>0</v>
      </c>
      <c r="E26" s="58" t="n">
        <v>30</v>
      </c>
      <c r="F26" s="60" t="n">
        <v>1.44</v>
      </c>
      <c r="G26" s="46" t="n">
        <f aca="false">F26/E26*1000</f>
        <v>48</v>
      </c>
      <c r="H26" s="61" t="n">
        <v>8</v>
      </c>
      <c r="I26" s="61" t="n">
        <v>3</v>
      </c>
      <c r="J26" s="48" t="n">
        <f aca="false">Producto!$D$6/(H26+Producto!$D$7)</f>
        <v>3.8025</v>
      </c>
      <c r="K26" s="58" t="n">
        <v>220</v>
      </c>
      <c r="L26" s="48" t="n">
        <f aca="false">K26/E26</f>
        <v>7.33333333333333</v>
      </c>
      <c r="M26" s="48" t="n">
        <f aca="false">J26*K26/1000</f>
        <v>0.83655</v>
      </c>
      <c r="N26" s="60" t="n">
        <v>1.5</v>
      </c>
      <c r="O26" s="62" t="n">
        <f aca="false">Producto!$D$14</f>
        <v>0.371900826446281</v>
      </c>
      <c r="P26" s="62" t="n">
        <f aca="false">IF(E26&lt;=15,Producto!$D$12,Producto!$D$13)</f>
        <v>0.17</v>
      </c>
      <c r="Q26" s="50" t="n">
        <f aca="false">L26*P26</f>
        <v>1.24666666666667</v>
      </c>
      <c r="R26" s="50" t="n">
        <f aca="false">N26+O26+Q26</f>
        <v>3.11856749311295</v>
      </c>
      <c r="S26" s="50" t="n">
        <f aca="false">R26*J26</f>
        <v>11.858352892562</v>
      </c>
      <c r="T26" s="50" t="n">
        <f aca="false">L26*F26*J26</f>
        <v>40.1544</v>
      </c>
      <c r="U26" s="51" t="n">
        <f aca="false">IFERROR((T26-S26)/T26,0)</f>
        <v>0.704681108606728</v>
      </c>
      <c r="V26" s="50" t="n">
        <f aca="false">IFERROR((T26-S26)/(J26*Producto!$D$11/60),0)</f>
        <v>148.828650137741</v>
      </c>
      <c r="W26" s="52" t="n">
        <v>30</v>
      </c>
      <c r="X26" s="37" t="n">
        <v>6</v>
      </c>
      <c r="Y26" s="38" t="n">
        <f aca="false">IFERROR(X26/W26*1000,0)</f>
        <v>200</v>
      </c>
      <c r="Z26" s="53" t="n">
        <f aca="false">IFERROR(K26/W26,0)</f>
        <v>7.33333333333333</v>
      </c>
      <c r="AA26" s="38" t="n">
        <f aca="false">IF(W26&lt;=15,Producto!$D$12,Producto!$D$13)</f>
        <v>0.17</v>
      </c>
      <c r="AB26" s="38" t="n">
        <f aca="false">Z26*X26*J26</f>
        <v>167.31</v>
      </c>
      <c r="AC26" s="38" t="n">
        <f aca="false">(N26+O26+Z26*AA26)*J26</f>
        <v>11.858352892562</v>
      </c>
      <c r="AD26" s="63" t="n">
        <f aca="false">E26</f>
        <v>30</v>
      </c>
      <c r="AE26" s="38" t="n">
        <f aca="false">F26</f>
        <v>1.44</v>
      </c>
      <c r="AF26" s="38" t="n">
        <f aca="false">IFERROR(AE26/AD26*1000,0)</f>
        <v>48</v>
      </c>
      <c r="AG26" s="53" t="n">
        <f aca="false">IFERROR(K26/AD26,0)</f>
        <v>7.33333333333333</v>
      </c>
      <c r="AH26" s="38" t="n">
        <f aca="false">IF(AD26&lt;=15,Producto!$D$12,Producto!$D$13)</f>
        <v>0.17</v>
      </c>
      <c r="AI26" s="38" t="n">
        <f aca="false">AG26*AE26*J26</f>
        <v>40.1544</v>
      </c>
      <c r="AJ26" s="38" t="n">
        <f aca="false">(N26+O26+AG26*AH26)*J26</f>
        <v>11.858352892562</v>
      </c>
    </row>
    <row r="27" customFormat="false" ht="12.75" hidden="false" customHeight="true" outlineLevel="0" collapsed="false">
      <c r="A27" s="56" t="s">
        <v>171</v>
      </c>
      <c r="B27" s="57" t="s">
        <v>169</v>
      </c>
      <c r="C27" s="58" t="n">
        <v>0</v>
      </c>
      <c r="D27" s="59" t="n">
        <v>0</v>
      </c>
      <c r="E27" s="58" t="n">
        <v>30</v>
      </c>
      <c r="F27" s="60" t="n">
        <v>1.8</v>
      </c>
      <c r="G27" s="46" t="n">
        <f aca="false">F27/E27*1000</f>
        <v>60</v>
      </c>
      <c r="H27" s="61" t="n">
        <v>8</v>
      </c>
      <c r="I27" s="61" t="n">
        <v>4</v>
      </c>
      <c r="J27" s="48" t="n">
        <f aca="false">Producto!$D$6/(H27+Producto!$D$7)</f>
        <v>3.8025</v>
      </c>
      <c r="K27" s="58" t="n">
        <v>150</v>
      </c>
      <c r="L27" s="48" t="n">
        <f aca="false">K27/E27</f>
        <v>5</v>
      </c>
      <c r="M27" s="48" t="n">
        <f aca="false">J27*K27/1000</f>
        <v>0.570375</v>
      </c>
      <c r="N27" s="60" t="n">
        <v>0.6</v>
      </c>
      <c r="O27" s="62" t="n">
        <f aca="false">Producto!$D$14</f>
        <v>0.371900826446281</v>
      </c>
      <c r="P27" s="62" t="n">
        <f aca="false">IF(E27&lt;=15,Producto!$D$12,Producto!$D$13)</f>
        <v>0.17</v>
      </c>
      <c r="Q27" s="50" t="n">
        <f aca="false">L27*P27</f>
        <v>0.85</v>
      </c>
      <c r="R27" s="50" t="n">
        <f aca="false">N27+O27+Q27</f>
        <v>1.82190082644628</v>
      </c>
      <c r="S27" s="50" t="n">
        <f aca="false">R27*J27</f>
        <v>6.92777789256198</v>
      </c>
      <c r="T27" s="50" t="n">
        <f aca="false">L27*F27*J27</f>
        <v>34.2225</v>
      </c>
      <c r="U27" s="51" t="n">
        <f aca="false">IFERROR((T27-S27)/T27,0)</f>
        <v>0.797566574839302</v>
      </c>
      <c r="V27" s="50" t="n">
        <f aca="false">IFERROR((T27-S27)/(J27*Producto!$D$11/60),0)</f>
        <v>143.561983471074</v>
      </c>
      <c r="W27" s="52" t="n">
        <v>30</v>
      </c>
      <c r="X27" s="37" t="n">
        <v>8.05</v>
      </c>
      <c r="Y27" s="38" t="n">
        <f aca="false">IFERROR(X27/W27*1000,0)</f>
        <v>268.333333333333</v>
      </c>
      <c r="Z27" s="53" t="n">
        <f aca="false">IFERROR(K27/W27,0)</f>
        <v>5</v>
      </c>
      <c r="AA27" s="38" t="n">
        <f aca="false">IF(W27&lt;=15,Producto!$D$12,Producto!$D$13)</f>
        <v>0.17</v>
      </c>
      <c r="AB27" s="38" t="n">
        <f aca="false">Z27*X27*J27</f>
        <v>153.050625</v>
      </c>
      <c r="AC27" s="38" t="n">
        <f aca="false">(N27+O27+Z27*AA27)*J27</f>
        <v>6.92777789256198</v>
      </c>
      <c r="AD27" s="63" t="n">
        <f aca="false">E27</f>
        <v>30</v>
      </c>
      <c r="AE27" s="38" t="n">
        <f aca="false">F27</f>
        <v>1.8</v>
      </c>
      <c r="AF27" s="38" t="n">
        <f aca="false">IFERROR(AE27/AD27*1000,0)</f>
        <v>60</v>
      </c>
      <c r="AG27" s="53" t="n">
        <f aca="false">IFERROR(K27/AD27,0)</f>
        <v>5</v>
      </c>
      <c r="AH27" s="38" t="n">
        <f aca="false">IF(AD27&lt;=15,Producto!$D$12,Producto!$D$13)</f>
        <v>0.17</v>
      </c>
      <c r="AI27" s="38" t="n">
        <f aca="false">AG27*AE27*J27</f>
        <v>34.2225</v>
      </c>
      <c r="AJ27" s="38" t="n">
        <f aca="false">(N27+O27+AG27*AH27)*J27</f>
        <v>6.92777789256198</v>
      </c>
    </row>
    <row r="28" customFormat="false" ht="12.75" hidden="false" customHeight="true" outlineLevel="0" collapsed="false">
      <c r="A28" s="56" t="s">
        <v>172</v>
      </c>
      <c r="B28" s="57" t="s">
        <v>169</v>
      </c>
      <c r="C28" s="58" t="n">
        <v>0</v>
      </c>
      <c r="D28" s="59" t="n">
        <v>0</v>
      </c>
      <c r="E28" s="58" t="n">
        <v>30</v>
      </c>
      <c r="F28" s="60" t="n">
        <v>1.8</v>
      </c>
      <c r="G28" s="46" t="n">
        <f aca="false">F28/E28*1000</f>
        <v>60</v>
      </c>
      <c r="H28" s="61" t="n">
        <v>8</v>
      </c>
      <c r="I28" s="61" t="n">
        <v>4</v>
      </c>
      <c r="J28" s="48" t="n">
        <f aca="false">Producto!$D$6/(H28+Producto!$D$7)</f>
        <v>3.8025</v>
      </c>
      <c r="K28" s="58" t="n">
        <v>115</v>
      </c>
      <c r="L28" s="48" t="n">
        <f aca="false">K28/E28</f>
        <v>3.83333333333333</v>
      </c>
      <c r="M28" s="48" t="n">
        <f aca="false">J28*K28/1000</f>
        <v>0.4372875</v>
      </c>
      <c r="N28" s="60" t="n">
        <v>0.6</v>
      </c>
      <c r="O28" s="62" t="n">
        <f aca="false">Producto!$D$14</f>
        <v>0.371900826446281</v>
      </c>
      <c r="P28" s="62" t="n">
        <f aca="false">IF(E28&lt;=15,Producto!$D$12,Producto!$D$13)</f>
        <v>0.17</v>
      </c>
      <c r="Q28" s="50" t="n">
        <f aca="false">L28*P28</f>
        <v>0.651666666666667</v>
      </c>
      <c r="R28" s="50" t="n">
        <f aca="false">N28+O28+Q28</f>
        <v>1.62356749311295</v>
      </c>
      <c r="S28" s="50" t="n">
        <f aca="false">R28*J28</f>
        <v>6.17361539256198</v>
      </c>
      <c r="T28" s="50" t="n">
        <f aca="false">L28*F28*J28</f>
        <v>26.23725</v>
      </c>
      <c r="U28" s="51" t="n">
        <f aca="false">IFERROR((T28-S28)/T28,0)</f>
        <v>0.764700363316964</v>
      </c>
      <c r="V28" s="50" t="n">
        <f aca="false">IFERROR((T28-S28)/(J28*Producto!$D$11/60),0)</f>
        <v>105.528650137741</v>
      </c>
      <c r="W28" s="52" t="n">
        <v>30</v>
      </c>
      <c r="X28" s="37" t="n">
        <v>8.05</v>
      </c>
      <c r="Y28" s="38" t="n">
        <f aca="false">IFERROR(X28/W28*1000,0)</f>
        <v>268.333333333333</v>
      </c>
      <c r="Z28" s="53" t="n">
        <f aca="false">IFERROR(K28/W28,0)</f>
        <v>3.83333333333333</v>
      </c>
      <c r="AA28" s="38" t="n">
        <f aca="false">IF(W28&lt;=15,Producto!$D$12,Producto!$D$13)</f>
        <v>0.17</v>
      </c>
      <c r="AB28" s="38" t="n">
        <f aca="false">Z28*X28*J28</f>
        <v>117.3388125</v>
      </c>
      <c r="AC28" s="38" t="n">
        <f aca="false">(N28+O28+Z28*AA28)*J28</f>
        <v>6.17361539256198</v>
      </c>
      <c r="AD28" s="63" t="n">
        <f aca="false">E28</f>
        <v>30</v>
      </c>
      <c r="AE28" s="38" t="n">
        <f aca="false">F28</f>
        <v>1.8</v>
      </c>
      <c r="AF28" s="38" t="n">
        <f aca="false">IFERROR(AE28/AD28*1000,0)</f>
        <v>60</v>
      </c>
      <c r="AG28" s="53" t="n">
        <f aca="false">IFERROR(K28/AD28,0)</f>
        <v>3.83333333333333</v>
      </c>
      <c r="AH28" s="38" t="n">
        <f aca="false">IF(AD28&lt;=15,Producto!$D$12,Producto!$D$13)</f>
        <v>0.17</v>
      </c>
      <c r="AI28" s="38" t="n">
        <f aca="false">AG28*AE28*J28</f>
        <v>26.23725</v>
      </c>
      <c r="AJ28" s="38" t="n">
        <f aca="false">(N28+O28+AG28*AH28)*J28</f>
        <v>6.17361539256198</v>
      </c>
    </row>
    <row r="29" customFormat="false" ht="12.75" hidden="false" customHeight="true" outlineLevel="0" collapsed="false">
      <c r="A29" s="56" t="s">
        <v>173</v>
      </c>
      <c r="B29" s="57" t="s">
        <v>169</v>
      </c>
      <c r="C29" s="58" t="n">
        <v>0</v>
      </c>
      <c r="D29" s="59" t="n">
        <v>0</v>
      </c>
      <c r="E29" s="58" t="n">
        <v>30</v>
      </c>
      <c r="F29" s="60" t="n">
        <v>2.6</v>
      </c>
      <c r="G29" s="46" t="n">
        <f aca="false">F29/E29*1000</f>
        <v>86.6666666666667</v>
      </c>
      <c r="H29" s="61" t="n">
        <v>12</v>
      </c>
      <c r="I29" s="61" t="n">
        <v>5</v>
      </c>
      <c r="J29" s="48" t="n">
        <f aca="false">Producto!$D$6/(H29+Producto!$D$7)</f>
        <v>2.535</v>
      </c>
      <c r="K29" s="58" t="n">
        <v>90</v>
      </c>
      <c r="L29" s="48" t="n">
        <f aca="false">K29/E29</f>
        <v>3</v>
      </c>
      <c r="M29" s="48" t="n">
        <f aca="false">J29*K29/1000</f>
        <v>0.22815</v>
      </c>
      <c r="N29" s="60" t="n">
        <v>0.5</v>
      </c>
      <c r="O29" s="62" t="n">
        <f aca="false">Producto!$D$14</f>
        <v>0.371900826446281</v>
      </c>
      <c r="P29" s="62" t="n">
        <f aca="false">IF(E29&lt;=15,Producto!$D$12,Producto!$D$13)</f>
        <v>0.17</v>
      </c>
      <c r="Q29" s="50" t="n">
        <f aca="false">L29*P29</f>
        <v>0.51</v>
      </c>
      <c r="R29" s="50" t="n">
        <f aca="false">N29+O29+Q29</f>
        <v>1.38190082644628</v>
      </c>
      <c r="S29" s="50" t="n">
        <f aca="false">R29*J29</f>
        <v>3.50311859504132</v>
      </c>
      <c r="T29" s="50" t="n">
        <f aca="false">L29*F29*J29</f>
        <v>19.773</v>
      </c>
      <c r="U29" s="51" t="n">
        <f aca="false">IFERROR((T29-S29)/T29,0)</f>
        <v>0.822833227378682</v>
      </c>
      <c r="V29" s="50" t="n">
        <f aca="false">IFERROR((T29-S29)/(J29*Producto!$D$11/60),0)</f>
        <v>128.361983471074</v>
      </c>
      <c r="W29" s="52" t="n">
        <v>30</v>
      </c>
      <c r="X29" s="37" t="n">
        <v>9.3</v>
      </c>
      <c r="Y29" s="38" t="n">
        <f aca="false">IFERROR(X29/W29*1000,0)</f>
        <v>310</v>
      </c>
      <c r="Z29" s="53" t="n">
        <f aca="false">IFERROR(K29/W29,0)</f>
        <v>3</v>
      </c>
      <c r="AA29" s="38" t="n">
        <f aca="false">IF(W29&lt;=15,Producto!$D$12,Producto!$D$13)</f>
        <v>0.17</v>
      </c>
      <c r="AB29" s="38" t="n">
        <f aca="false">Z29*X29*J29</f>
        <v>70.7265</v>
      </c>
      <c r="AC29" s="38" t="n">
        <f aca="false">(N29+O29+Z29*AA29)*J29</f>
        <v>3.50311859504132</v>
      </c>
      <c r="AD29" s="63" t="n">
        <f aca="false">E29</f>
        <v>30</v>
      </c>
      <c r="AE29" s="38" t="n">
        <f aca="false">F29</f>
        <v>2.6</v>
      </c>
      <c r="AF29" s="38" t="n">
        <f aca="false">IFERROR(AE29/AD29*1000,0)</f>
        <v>86.6666666666667</v>
      </c>
      <c r="AG29" s="53" t="n">
        <f aca="false">IFERROR(K29/AD29,0)</f>
        <v>3</v>
      </c>
      <c r="AH29" s="38" t="n">
        <f aca="false">IF(AD29&lt;=15,Producto!$D$12,Producto!$D$13)</f>
        <v>0.17</v>
      </c>
      <c r="AI29" s="38" t="n">
        <f aca="false">AG29*AE29*J29</f>
        <v>19.773</v>
      </c>
      <c r="AJ29" s="38" t="n">
        <f aca="false">(N29+O29+AG29*AH29)*J29</f>
        <v>3.50311859504132</v>
      </c>
    </row>
    <row r="30" customFormat="false" ht="12.75" hidden="false" customHeight="true" outlineLevel="0" collapsed="false">
      <c r="A30" s="56" t="s">
        <v>174</v>
      </c>
      <c r="B30" s="57" t="s">
        <v>169</v>
      </c>
      <c r="C30" s="58" t="n">
        <v>0</v>
      </c>
      <c r="D30" s="59" t="n">
        <v>0</v>
      </c>
      <c r="E30" s="58" t="n">
        <v>30</v>
      </c>
      <c r="F30" s="60" t="n">
        <v>2.4</v>
      </c>
      <c r="G30" s="46" t="n">
        <f aca="false">F30/E30*1000</f>
        <v>80</v>
      </c>
      <c r="H30" s="61" t="n">
        <v>12</v>
      </c>
      <c r="I30" s="61" t="n">
        <v>6</v>
      </c>
      <c r="J30" s="48" t="n">
        <f aca="false">Producto!$D$6/(H30+Producto!$D$7)</f>
        <v>2.535</v>
      </c>
      <c r="K30" s="58" t="n">
        <v>75</v>
      </c>
      <c r="L30" s="48" t="n">
        <f aca="false">K30/E30</f>
        <v>2.5</v>
      </c>
      <c r="M30" s="48" t="n">
        <f aca="false">J30*K30/1000</f>
        <v>0.190125</v>
      </c>
      <c r="N30" s="60" t="n">
        <v>0.6</v>
      </c>
      <c r="O30" s="62" t="n">
        <f aca="false">Producto!$D$14</f>
        <v>0.371900826446281</v>
      </c>
      <c r="P30" s="62" t="n">
        <f aca="false">IF(E30&lt;=15,Producto!$D$12,Producto!$D$13)</f>
        <v>0.17</v>
      </c>
      <c r="Q30" s="50" t="n">
        <f aca="false">L30*P30</f>
        <v>0.425</v>
      </c>
      <c r="R30" s="50" t="n">
        <f aca="false">N30+O30+Q30</f>
        <v>1.39690082644628</v>
      </c>
      <c r="S30" s="50" t="n">
        <f aca="false">R30*J30</f>
        <v>3.54114359504132</v>
      </c>
      <c r="T30" s="50" t="n">
        <f aca="false">L30*F30*J30</f>
        <v>15.21</v>
      </c>
      <c r="U30" s="51" t="n">
        <f aca="false">IFERROR((T30-S30)/T30,0)</f>
        <v>0.767183195592286</v>
      </c>
      <c r="V30" s="50" t="n">
        <f aca="false">IFERROR((T30-S30)/(J30*Producto!$D$11/60),0)</f>
        <v>92.0619834710744</v>
      </c>
      <c r="W30" s="52" t="n">
        <v>30</v>
      </c>
      <c r="X30" s="37" t="n">
        <v>9.3</v>
      </c>
      <c r="Y30" s="38" t="n">
        <f aca="false">IFERROR(X30/W30*1000,0)</f>
        <v>310</v>
      </c>
      <c r="Z30" s="53" t="n">
        <f aca="false">IFERROR(K30/W30,0)</f>
        <v>2.5</v>
      </c>
      <c r="AA30" s="38" t="n">
        <f aca="false">IF(W30&lt;=15,Producto!$D$12,Producto!$D$13)</f>
        <v>0.17</v>
      </c>
      <c r="AB30" s="38" t="n">
        <f aca="false">Z30*X30*J30</f>
        <v>58.93875</v>
      </c>
      <c r="AC30" s="38" t="n">
        <f aca="false">(N30+O30+Z30*AA30)*J30</f>
        <v>3.54114359504132</v>
      </c>
      <c r="AD30" s="63" t="n">
        <f aca="false">E30</f>
        <v>30</v>
      </c>
      <c r="AE30" s="38" t="n">
        <f aca="false">F30</f>
        <v>2.4</v>
      </c>
      <c r="AF30" s="38" t="n">
        <f aca="false">IFERROR(AE30/AD30*1000,0)</f>
        <v>80</v>
      </c>
      <c r="AG30" s="53" t="n">
        <f aca="false">IFERROR(K30/AD30,0)</f>
        <v>2.5</v>
      </c>
      <c r="AH30" s="38" t="n">
        <f aca="false">IF(AD30&lt;=15,Producto!$D$12,Producto!$D$13)</f>
        <v>0.17</v>
      </c>
      <c r="AI30" s="38" t="n">
        <f aca="false">AG30*AE30*J30</f>
        <v>15.21</v>
      </c>
      <c r="AJ30" s="38" t="n">
        <f aca="false">(N30+O30+AG30*AH30)*J30</f>
        <v>3.54114359504132</v>
      </c>
    </row>
    <row r="31" customFormat="false" ht="12.75" hidden="false" customHeight="true" outlineLevel="0" collapsed="false">
      <c r="A31" s="56" t="s">
        <v>175</v>
      </c>
      <c r="B31" s="57" t="s">
        <v>169</v>
      </c>
      <c r="C31" s="58" t="n">
        <v>0</v>
      </c>
      <c r="D31" s="59" t="n">
        <v>0</v>
      </c>
      <c r="E31" s="58" t="n">
        <v>30</v>
      </c>
      <c r="F31" s="60" t="n">
        <v>2.6</v>
      </c>
      <c r="G31" s="46" t="n">
        <f aca="false">F31/E31*1000</f>
        <v>86.6666666666667</v>
      </c>
      <c r="H31" s="61" t="n">
        <v>14</v>
      </c>
      <c r="I31" s="61" t="n">
        <v>6</v>
      </c>
      <c r="J31" s="48" t="n">
        <f aca="false">Producto!$D$6/(H31+Producto!$D$7)</f>
        <v>2.17285714285714</v>
      </c>
      <c r="K31" s="58" t="n">
        <v>70</v>
      </c>
      <c r="L31" s="48" t="n">
        <f aca="false">K31/E31</f>
        <v>2.33333333333333</v>
      </c>
      <c r="M31" s="48" t="n">
        <f aca="false">J31*K31/1000</f>
        <v>0.1521</v>
      </c>
      <c r="N31" s="60" t="n">
        <v>0.7</v>
      </c>
      <c r="O31" s="62" t="n">
        <f aca="false">Producto!$D$14</f>
        <v>0.371900826446281</v>
      </c>
      <c r="P31" s="62" t="n">
        <f aca="false">IF(E31&lt;=15,Producto!$D$12,Producto!$D$13)</f>
        <v>0.17</v>
      </c>
      <c r="Q31" s="50" t="n">
        <f aca="false">L31*P31</f>
        <v>0.396666666666667</v>
      </c>
      <c r="R31" s="50" t="n">
        <f aca="false">N31+O31+Q31</f>
        <v>1.46856749311295</v>
      </c>
      <c r="S31" s="50" t="n">
        <f aca="false">R31*J31</f>
        <v>3.19098736717828</v>
      </c>
      <c r="T31" s="50" t="n">
        <f aca="false">L31*F31*J31</f>
        <v>13.182</v>
      </c>
      <c r="U31" s="51" t="n">
        <f aca="false">IFERROR((T31-S31)/T31,0)</f>
        <v>0.757928435201163</v>
      </c>
      <c r="V31" s="50" t="n">
        <f aca="false">IFERROR((T31-S31)/(J31*Producto!$D$11/60),0)</f>
        <v>91.9619834710744</v>
      </c>
      <c r="W31" s="52" t="n">
        <v>30</v>
      </c>
      <c r="X31" s="37" t="n">
        <v>10.15</v>
      </c>
      <c r="Y31" s="38" t="n">
        <f aca="false">IFERROR(X31/W31*1000,0)</f>
        <v>338.333333333333</v>
      </c>
      <c r="Z31" s="53" t="n">
        <f aca="false">IFERROR(K31/W31,0)</f>
        <v>2.33333333333333</v>
      </c>
      <c r="AA31" s="38" t="n">
        <f aca="false">IF(W31&lt;=15,Producto!$D$12,Producto!$D$13)</f>
        <v>0.17</v>
      </c>
      <c r="AB31" s="38" t="n">
        <f aca="false">Z31*X31*J31</f>
        <v>51.4605</v>
      </c>
      <c r="AC31" s="38" t="n">
        <f aca="false">(N31+O31+Z31*AA31)*J31</f>
        <v>3.19098736717828</v>
      </c>
      <c r="AD31" s="63" t="n">
        <f aca="false">E31</f>
        <v>30</v>
      </c>
      <c r="AE31" s="38" t="n">
        <f aca="false">F31</f>
        <v>2.6</v>
      </c>
      <c r="AF31" s="38" t="n">
        <f aca="false">IFERROR(AE31/AD31*1000,0)</f>
        <v>86.6666666666667</v>
      </c>
      <c r="AG31" s="53" t="n">
        <f aca="false">IFERROR(K31/AD31,0)</f>
        <v>2.33333333333333</v>
      </c>
      <c r="AH31" s="38" t="n">
        <f aca="false">IF(AD31&lt;=15,Producto!$D$12,Producto!$D$13)</f>
        <v>0.17</v>
      </c>
      <c r="AI31" s="38" t="n">
        <f aca="false">AG31*AE31*J31</f>
        <v>13.182</v>
      </c>
      <c r="AJ31" s="38" t="n">
        <f aca="false">(N31+O31+AG31*AH31)*J31</f>
        <v>3.19098736717828</v>
      </c>
    </row>
    <row r="32" customFormat="false" ht="12.75" hidden="false" customHeight="true" outlineLevel="0" collapsed="false">
      <c r="A32" s="64" t="s">
        <v>176</v>
      </c>
      <c r="B32" s="64"/>
      <c r="C32" s="64"/>
      <c r="D32" s="65" t="n">
        <f aca="false">SUMPRODUCT(C16:C31,D16:D31)</f>
        <v>1</v>
      </c>
      <c r="E32" s="64"/>
      <c r="F32" s="64"/>
      <c r="G32" s="64"/>
      <c r="H32" s="64"/>
      <c r="I32" s="64"/>
      <c r="J32" s="66" t="n">
        <f aca="false">SUMPRODUCT(C16:C31,D16:D31,J16:J31)</f>
        <v>6.89419864864865</v>
      </c>
      <c r="K32" s="64"/>
      <c r="L32" s="64"/>
      <c r="M32" s="66" t="n">
        <f aca="false">SUMPRODUCT(C16:C31,D16:D31,M16:M31)</f>
        <v>1.24303277027027</v>
      </c>
      <c r="N32" s="64"/>
      <c r="O32" s="64"/>
      <c r="P32" s="64"/>
      <c r="Q32" s="64"/>
      <c r="R32" s="64"/>
      <c r="S32" s="67" t="n">
        <f aca="false">SUMPRODUCT(C16:C31,D16:D31,S16:S31)</f>
        <v>9.57999124971186</v>
      </c>
      <c r="T32" s="67" t="n">
        <f aca="false">SUMPRODUCT(C16:C31,D16:D31,T16:T31)</f>
        <v>54.2832831081081</v>
      </c>
      <c r="U32" s="65" t="n">
        <f aca="false">IFERROR((T32-S32)/T32,0)</f>
        <v>0.823518573284656</v>
      </c>
      <c r="V32" s="67" t="n">
        <f aca="false">IFERROR((T32-S32)/(J32*Producto!$D$11/60),0)</f>
        <v>129.683793974108</v>
      </c>
      <c r="AB32" s="68" t="n">
        <f aca="false">SUMPRODUCT(C16:C31,D16:D31,AB16:AB31)</f>
        <v>214.84381222973</v>
      </c>
      <c r="AC32" s="68" t="n">
        <f aca="false">SUMPRODUCT(C16:C31,D16:D31,AC16:AC31)</f>
        <v>10.5821247091713</v>
      </c>
      <c r="AI32" s="68" t="n">
        <f aca="false">SUMPRODUCT(C16:C31,D16:D31,AI16:AI31)</f>
        <v>114.128941216216</v>
      </c>
      <c r="AJ32" s="68" t="n">
        <f aca="false">SUMPRODUCT(C16:C31,D16:D31,AJ16:AJ31)</f>
        <v>11.2143732091713</v>
      </c>
    </row>
    <row r="33" customFormat="false" ht="13.5" hidden="false" customHeight="true" outlineLevel="0" collapsed="false"/>
    <row r="34" customFormat="false" ht="13.5" hidden="false" customHeight="true" outlineLevel="0" collapsed="false">
      <c r="A34" s="13" t="s">
        <v>177</v>
      </c>
      <c r="D34" s="69" t="str">
        <f aca="false">IF(ABS(D32-1)&lt;0.001,"OK — 100%","REVISAR: "&amp;TEXT(D32,"0%"))</f>
        <v>OK — 100%</v>
      </c>
      <c r="F34" s="35" t="s">
        <v>178</v>
      </c>
    </row>
    <row r="35" customFormat="false" ht="13.5" hidden="false" customHeight="true" outlineLevel="0" collapsed="false">
      <c r="A35" s="13" t="s">
        <v>179</v>
      </c>
      <c r="D35" s="70" t="n">
        <f aca="false">IFERROR(T32/M32,0)</f>
        <v>43.6700338127895</v>
      </c>
    </row>
    <row r="36" customFormat="false" ht="13.5" hidden="false" customHeight="true" outlineLevel="0" collapsed="false">
      <c r="A36" s="13" t="s">
        <v>180</v>
      </c>
      <c r="D36" s="71" t="n">
        <f aca="false">U32</f>
        <v>0.823518573284656</v>
      </c>
    </row>
    <row r="38" customFormat="false" ht="15" hidden="false" customHeight="true" outlineLevel="0" collapsed="false">
      <c r="A38" s="72" t="s">
        <v>181</v>
      </c>
    </row>
    <row r="39" customFormat="false" ht="15" hidden="false" customHeight="true" outlineLevel="0" collapsed="false">
      <c r="A39" s="1" t="s">
        <v>182</v>
      </c>
    </row>
    <row r="40" customFormat="false" ht="15" hidden="false" customHeight="true" outlineLevel="0" collapsed="false">
      <c r="A40" s="1" t="s">
        <v>183</v>
      </c>
    </row>
    <row r="41" customFormat="false" ht="15" hidden="false" customHeight="true" outlineLevel="0" collapsed="false">
      <c r="A41" s="1" t="s">
        <v>184</v>
      </c>
    </row>
    <row r="43" customFormat="false" ht="15" hidden="false" customHeight="false" outlineLevel="0" collapsed="false">
      <c r="A43" s="25" t="s">
        <v>185</v>
      </c>
    </row>
    <row r="44" customFormat="false" ht="15" hidden="false" customHeight="false" outlineLevel="0" collapsed="false">
      <c r="A44" s="1" t="s">
        <v>186</v>
      </c>
      <c r="D44" s="73" t="n">
        <f aca="false">IFERROR(T32/M32,0)</f>
        <v>43.6700338127895</v>
      </c>
    </row>
    <row r="45" customFormat="false" ht="15" hidden="false" customHeight="false" outlineLevel="0" collapsed="false">
      <c r="A45" s="1" t="s">
        <v>187</v>
      </c>
      <c r="D45" s="73" t="n">
        <f aca="false">IFERROR(AI32/M32,0)</f>
        <v>91.8149094262425</v>
      </c>
    </row>
    <row r="46" customFormat="false" ht="15" hidden="false" customHeight="false" outlineLevel="0" collapsed="false">
      <c r="A46" s="1" t="s">
        <v>188</v>
      </c>
      <c r="D46" s="73" t="n">
        <f aca="false">IFERROR(AB32/M32,0)</f>
        <v>172.838413731455</v>
      </c>
    </row>
    <row r="47" customFormat="false" ht="15" hidden="false" customHeight="false" outlineLevel="0" collapsed="false">
      <c r="A47" s="25" t="s">
        <v>189</v>
      </c>
    </row>
    <row r="48" customFormat="false" ht="15" hidden="false" customHeight="false" outlineLevel="0" collapsed="false">
      <c r="A48" s="1" t="s">
        <v>190</v>
      </c>
      <c r="D48" s="74" t="n">
        <f aca="false">IFERROR((T32-S32)/T32,0)</f>
        <v>0.823518573284656</v>
      </c>
    </row>
    <row r="49" customFormat="false" ht="15" hidden="false" customHeight="false" outlineLevel="0" collapsed="false">
      <c r="A49" s="1" t="s">
        <v>187</v>
      </c>
      <c r="D49" s="74" t="n">
        <f aca="false">IFERROR((AI32-AJ32)/AI32,0)</f>
        <v>0.901739444091348</v>
      </c>
    </row>
    <row r="50" customFormat="false" ht="15" hidden="false" customHeight="false" outlineLevel="0" collapsed="false">
      <c r="A50" s="1" t="s">
        <v>191</v>
      </c>
      <c r="D50" s="74" t="n">
        <f aca="false">IFERROR((AB32-AC32)/AB32,0)</f>
        <v>0.950745033802249</v>
      </c>
    </row>
    <row r="52" customFormat="false" ht="15" hidden="false" customHeight="false" outlineLevel="0" collapsed="false">
      <c r="A52" s="1" t="s">
        <v>192</v>
      </c>
    </row>
  </sheetData>
  <dataValidations count="1">
    <dataValidation allowBlank="false" errorStyle="stop" operator="equal" showDropDown="false" showErrorMessage="false" showInputMessage="false" sqref="C16:C31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4" min="3" style="1" width="17"/>
    <col collapsed="false" customWidth="true" hidden="false" outlineLevel="0" max="5" min="5" style="1" width="15"/>
    <col collapsed="false" customWidth="true" hidden="false" outlineLevel="0" max="6" min="6" style="1" width="13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1" min="11" style="1" width="26"/>
    <col collapsed="false" customWidth="true" hidden="false" outlineLevel="0" max="13" min="12" style="1" width="14"/>
    <col collapsed="false" customWidth="true" hidden="false" outlineLevel="0" max="15" min="14" style="1" width="16"/>
  </cols>
  <sheetData>
    <row r="1" customFormat="false" ht="17.25" hidden="false" customHeight="true" outlineLevel="0" collapsed="false">
      <c r="A1" s="75" t="s">
        <v>193</v>
      </c>
    </row>
    <row r="2" customFormat="false" ht="15" hidden="false" customHeight="true" outlineLevel="0" collapsed="false">
      <c r="A2" s="1" t="s">
        <v>194</v>
      </c>
    </row>
    <row r="4" customFormat="false" ht="15" hidden="false" customHeight="true" outlineLevel="0" collapsed="false">
      <c r="A4" s="76" t="s">
        <v>195</v>
      </c>
      <c r="B4" s="76" t="s">
        <v>121</v>
      </c>
      <c r="C4" s="76" t="s">
        <v>196</v>
      </c>
      <c r="D4" s="76" t="s">
        <v>197</v>
      </c>
      <c r="E4" s="76" t="s">
        <v>198</v>
      </c>
      <c r="F4" s="76" t="s">
        <v>199</v>
      </c>
      <c r="G4" s="76" t="s">
        <v>200</v>
      </c>
      <c r="H4" s="76" t="s">
        <v>201</v>
      </c>
      <c r="I4" s="76" t="s">
        <v>202</v>
      </c>
      <c r="K4" s="72" t="s">
        <v>203</v>
      </c>
    </row>
    <row r="5" customFormat="false" ht="15" hidden="false" customHeight="true" outlineLevel="0" collapsed="false">
      <c r="A5" s="77"/>
      <c r="B5" s="77"/>
      <c r="C5" s="77"/>
      <c r="D5" s="77"/>
      <c r="E5" s="77"/>
      <c r="F5" s="77"/>
      <c r="G5" s="78" t="str">
        <f aca="false">IF(N(E5)*N(F5)=0,"",E5*F5)</f>
        <v/>
      </c>
      <c r="H5" s="78" t="str">
        <f aca="false">IF(N(D5)*N(F5)=0,"",D5*F5/1000)</f>
        <v/>
      </c>
      <c r="I5" s="78" t="str">
        <f aca="false">IFERROR(G5/H5,"")</f>
        <v/>
      </c>
      <c r="K5" s="79" t="s">
        <v>121</v>
      </c>
      <c r="L5" s="79" t="s">
        <v>204</v>
      </c>
      <c r="M5" s="79" t="s">
        <v>205</v>
      </c>
      <c r="N5" s="79" t="s">
        <v>206</v>
      </c>
      <c r="O5" s="79" t="s">
        <v>207</v>
      </c>
    </row>
    <row r="6" customFormat="false" ht="15" hidden="false" customHeight="true" outlineLevel="0" collapsed="false">
      <c r="A6" s="77"/>
      <c r="B6" s="77"/>
      <c r="C6" s="77"/>
      <c r="D6" s="77"/>
      <c r="E6" s="77"/>
      <c r="F6" s="77"/>
      <c r="G6" s="78" t="str">
        <f aca="false">IF(N(E6)*N(F6)=0,"",E6*F6)</f>
        <v/>
      </c>
      <c r="H6" s="78" t="str">
        <f aca="false">IF(N(D6)*N(F6)=0,"",D6*F6/1000)</f>
        <v/>
      </c>
      <c r="I6" s="78" t="str">
        <f aca="false">IFERROR(G6/H6,"")</f>
        <v/>
      </c>
      <c r="K6" s="78" t="str">
        <f aca="false">Producto!A16</f>
        <v>Micromezclum (mix 7 var.)</v>
      </c>
      <c r="L6" s="78" t="n">
        <f aca="false">SUMIF($B$5:$B$204,$K6,$G$5:$G$204)</f>
        <v>0</v>
      </c>
      <c r="M6" s="78" t="n">
        <f aca="false">SUMIF($B$5:$B$204,$K6,$H$5:$H$204)</f>
        <v>0</v>
      </c>
      <c r="N6" s="78" t="str">
        <f aca="false">IFERROR(L6/M6,"")</f>
        <v/>
      </c>
      <c r="O6" s="78" t="str">
        <f aca="false">IFERROR(SUMIF($B$5:$B$204,$K6,$G$5:$G$204)/SUMIF($B$5:$B$204,$K6,$F$5:$F$204),"")</f>
        <v/>
      </c>
    </row>
    <row r="7" customFormat="false" ht="15" hidden="false" customHeight="true" outlineLevel="0" collapsed="false">
      <c r="A7" s="77"/>
      <c r="B7" s="77"/>
      <c r="C7" s="77"/>
      <c r="D7" s="77"/>
      <c r="E7" s="77"/>
      <c r="F7" s="77"/>
      <c r="G7" s="78" t="str">
        <f aca="false">IF(N(E7)*N(F7)=0,"",E7*F7)</f>
        <v/>
      </c>
      <c r="H7" s="78" t="str">
        <f aca="false">IF(N(D7)*N(F7)=0,"",D7*F7/1000)</f>
        <v/>
      </c>
      <c r="I7" s="78" t="str">
        <f aca="false">IFERROR(G7/H7,"")</f>
        <v/>
      </c>
      <c r="K7" s="78" t="str">
        <f aca="false">Producto!A17</f>
        <v>Cilantro split</v>
      </c>
      <c r="L7" s="78" t="n">
        <f aca="false">SUMIF($B$5:$B$204,$K7,$G$5:$G$204)</f>
        <v>0</v>
      </c>
      <c r="M7" s="78" t="n">
        <f aca="false">SUMIF($B$5:$B$204,$K7,$H$5:$H$204)</f>
        <v>0</v>
      </c>
      <c r="N7" s="78" t="str">
        <f aca="false">IFERROR(L7/M7,"")</f>
        <v/>
      </c>
      <c r="O7" s="78" t="str">
        <f aca="false">IFERROR(SUMIF($B$5:$B$204,$K7,$G$5:$G$204)/SUMIF($B$5:$B$204,$K7,$F$5:$F$204),"")</f>
        <v/>
      </c>
    </row>
    <row r="8" customFormat="false" ht="15" hidden="false" customHeight="true" outlineLevel="0" collapsed="false">
      <c r="A8" s="77"/>
      <c r="B8" s="77"/>
      <c r="C8" s="77"/>
      <c r="D8" s="77"/>
      <c r="E8" s="77"/>
      <c r="F8" s="77"/>
      <c r="G8" s="78" t="str">
        <f aca="false">IF(N(E8)*N(F8)=0,"",E8*F8)</f>
        <v/>
      </c>
      <c r="H8" s="78" t="str">
        <f aca="false">IF(N(D8)*N(F8)=0,"",D8*F8/1000)</f>
        <v/>
      </c>
      <c r="I8" s="78" t="str">
        <f aca="false">IFERROR(G8/H8,"")</f>
        <v/>
      </c>
      <c r="K8" s="78" t="str">
        <f aca="false">Producto!A18</f>
        <v>Albahaca genovesa</v>
      </c>
      <c r="L8" s="78" t="n">
        <f aca="false">SUMIF($B$5:$B$204,$K8,$G$5:$G$204)</f>
        <v>0</v>
      </c>
      <c r="M8" s="78" t="n">
        <f aca="false">SUMIF($B$5:$B$204,$K8,$H$5:$H$204)</f>
        <v>0</v>
      </c>
      <c r="N8" s="78" t="str">
        <f aca="false">IFERROR(L8/M8,"")</f>
        <v/>
      </c>
      <c r="O8" s="78" t="str">
        <f aca="false">IFERROR(SUMIF($B$5:$B$204,$K8,$G$5:$G$204)/SUMIF($B$5:$B$204,$K8,$F$5:$F$204),"")</f>
        <v/>
      </c>
    </row>
    <row r="9" customFormat="false" ht="15" hidden="false" customHeight="true" outlineLevel="0" collapsed="false">
      <c r="A9" s="77"/>
      <c r="B9" s="77"/>
      <c r="C9" s="77"/>
      <c r="D9" s="77"/>
      <c r="E9" s="77"/>
      <c r="F9" s="77"/>
      <c r="G9" s="78" t="str">
        <f aca="false">IF(N(E9)*N(F9)=0,"",E9*F9)</f>
        <v/>
      </c>
      <c r="H9" s="78" t="str">
        <f aca="false">IF(N(D9)*N(F9)=0,"",D9*F9/1000)</f>
        <v/>
      </c>
      <c r="I9" s="78" t="str">
        <f aca="false">IFERROR(G9/H9,"")</f>
        <v/>
      </c>
      <c r="K9" s="78" t="str">
        <f aca="false">Producto!A19</f>
        <v>Rábano daikon</v>
      </c>
      <c r="L9" s="78" t="n">
        <f aca="false">SUMIF($B$5:$B$204,$K9,$G$5:$G$204)</f>
        <v>0</v>
      </c>
      <c r="M9" s="78" t="n">
        <f aca="false">SUMIF($B$5:$B$204,$K9,$H$5:$H$204)</f>
        <v>0</v>
      </c>
      <c r="N9" s="78" t="str">
        <f aca="false">IFERROR(L9/M9,"")</f>
        <v/>
      </c>
      <c r="O9" s="78" t="str">
        <f aca="false">IFERROR(SUMIF($B$5:$B$204,$K9,$G$5:$G$204)/SUMIF($B$5:$B$204,$K9,$F$5:$F$204),"")</f>
        <v/>
      </c>
    </row>
    <row r="10" customFormat="false" ht="15" hidden="false" customHeight="true" outlineLevel="0" collapsed="false">
      <c r="A10" s="77"/>
      <c r="B10" s="77"/>
      <c r="C10" s="77"/>
      <c r="D10" s="77"/>
      <c r="E10" s="77"/>
      <c r="F10" s="77"/>
      <c r="G10" s="78" t="str">
        <f aca="false">IF(N(E10)*N(F10)=0,"",E10*F10)</f>
        <v/>
      </c>
      <c r="H10" s="78" t="str">
        <f aca="false">IF(N(D10)*N(F10)=0,"",D10*F10/1000)</f>
        <v/>
      </c>
      <c r="I10" s="78" t="str">
        <f aca="false">IFERROR(G10/H10,"")</f>
        <v/>
      </c>
      <c r="K10" s="78" t="str">
        <f aca="false">Producto!A20</f>
        <v>Rúcula rocket</v>
      </c>
      <c r="L10" s="78" t="n">
        <f aca="false">SUMIF($B$5:$B$204,$K10,$G$5:$G$204)</f>
        <v>0</v>
      </c>
      <c r="M10" s="78" t="n">
        <f aca="false">SUMIF($B$5:$B$204,$K10,$H$5:$H$204)</f>
        <v>0</v>
      </c>
      <c r="N10" s="78" t="str">
        <f aca="false">IFERROR(L10/M10,"")</f>
        <v/>
      </c>
      <c r="O10" s="78" t="str">
        <f aca="false">IFERROR(SUMIF($B$5:$B$204,$K10,$G$5:$G$204)/SUMIF($B$5:$B$204,$K10,$F$5:$F$204),"")</f>
        <v/>
      </c>
    </row>
    <row r="11" customFormat="false" ht="15" hidden="false" customHeight="true" outlineLevel="0" collapsed="false">
      <c r="A11" s="77"/>
      <c r="B11" s="77"/>
      <c r="C11" s="77"/>
      <c r="D11" s="77"/>
      <c r="E11" s="77"/>
      <c r="F11" s="77"/>
      <c r="G11" s="78" t="str">
        <f aca="false">IF(N(E11)*N(F11)=0,"",E11*F11)</f>
        <v/>
      </c>
      <c r="H11" s="78" t="str">
        <f aca="false">IF(N(D11)*N(F11)=0,"",D11*F11/1000)</f>
        <v/>
      </c>
      <c r="I11" s="78" t="str">
        <f aca="false">IFERROR(G11/H11,"")</f>
        <v/>
      </c>
      <c r="K11" s="78" t="str">
        <f aca="false">Producto!A21</f>
        <v>Rábano rose</v>
      </c>
      <c r="L11" s="78" t="n">
        <f aca="false">SUMIF($B$5:$B$204,$K11,$G$5:$G$204)</f>
        <v>0</v>
      </c>
      <c r="M11" s="78" t="n">
        <f aca="false">SUMIF($B$5:$B$204,$K11,$H$5:$H$204)</f>
        <v>0</v>
      </c>
      <c r="N11" s="78" t="str">
        <f aca="false">IFERROR(L11/M11,"")</f>
        <v/>
      </c>
      <c r="O11" s="78" t="str">
        <f aca="false">IFERROR(SUMIF($B$5:$B$204,$K11,$G$5:$G$204)/SUMIF($B$5:$B$204,$K11,$F$5:$F$204),"")</f>
        <v/>
      </c>
    </row>
    <row r="12" customFormat="false" ht="15" hidden="false" customHeight="true" outlineLevel="0" collapsed="false">
      <c r="A12" s="77"/>
      <c r="B12" s="77"/>
      <c r="C12" s="77"/>
      <c r="D12" s="77"/>
      <c r="E12" s="77"/>
      <c r="F12" s="77"/>
      <c r="G12" s="78" t="str">
        <f aca="false">IF(N(E12)*N(F12)=0,"",E12*F12)</f>
        <v/>
      </c>
      <c r="H12" s="78" t="str">
        <f aca="false">IF(N(D12)*N(F12)=0,"",D12*F12/1000)</f>
        <v/>
      </c>
      <c r="I12" s="78" t="str">
        <f aca="false">IFERROR(G12/H12,"")</f>
        <v/>
      </c>
      <c r="K12" s="78" t="str">
        <f aca="false">Producto!A22</f>
        <v>Mostaza Red Giant</v>
      </c>
      <c r="L12" s="78" t="n">
        <f aca="false">SUMIF($B$5:$B$204,$K12,$G$5:$G$204)</f>
        <v>0</v>
      </c>
      <c r="M12" s="78" t="n">
        <f aca="false">SUMIF($B$5:$B$204,$K12,$H$5:$H$204)</f>
        <v>0</v>
      </c>
      <c r="N12" s="78" t="str">
        <f aca="false">IFERROR(L12/M12,"")</f>
        <v/>
      </c>
      <c r="O12" s="78" t="str">
        <f aca="false">IFERROR(SUMIF($B$5:$B$204,$K12,$G$5:$G$204)/SUMIF($B$5:$B$204,$K12,$F$5:$F$204),"")</f>
        <v/>
      </c>
    </row>
    <row r="13" customFormat="false" ht="15" hidden="false" customHeight="true" outlineLevel="0" collapsed="false">
      <c r="A13" s="77"/>
      <c r="B13" s="77"/>
      <c r="C13" s="77"/>
      <c r="D13" s="77"/>
      <c r="E13" s="77"/>
      <c r="F13" s="77"/>
      <c r="G13" s="78" t="str">
        <f aca="false">IF(N(E13)*N(F13)=0,"",E13*F13)</f>
        <v/>
      </c>
      <c r="H13" s="78" t="str">
        <f aca="false">IF(N(D13)*N(F13)=0,"",D13*F13/1000)</f>
        <v/>
      </c>
      <c r="I13" s="78" t="str">
        <f aca="false">IFERROR(G13/H13,"")</f>
        <v/>
      </c>
      <c r="K13" s="78" t="str">
        <f aca="false">Producto!A23</f>
        <v>Brócoli calabrese</v>
      </c>
      <c r="L13" s="78" t="n">
        <f aca="false">SUMIF($B$5:$B$204,$K13,$G$5:$G$204)</f>
        <v>0</v>
      </c>
      <c r="M13" s="78" t="n">
        <f aca="false">SUMIF($B$5:$B$204,$K13,$H$5:$H$204)</f>
        <v>0</v>
      </c>
      <c r="N13" s="78" t="str">
        <f aca="false">IFERROR(L13/M13,"")</f>
        <v/>
      </c>
      <c r="O13" s="78" t="str">
        <f aca="false">IFERROR(SUMIF($B$5:$B$204,$K13,$G$5:$G$204)/SUMIF($B$5:$B$204,$K13,$F$5:$F$204),"")</f>
        <v/>
      </c>
    </row>
    <row r="14" customFormat="false" ht="15" hidden="false" customHeight="true" outlineLevel="0" collapsed="false">
      <c r="A14" s="77"/>
      <c r="B14" s="77"/>
      <c r="C14" s="77"/>
      <c r="D14" s="77"/>
      <c r="E14" s="77"/>
      <c r="F14" s="77"/>
      <c r="G14" s="78" t="str">
        <f aca="false">IF(N(E14)*N(F14)=0,"",E14*F14)</f>
        <v/>
      </c>
      <c r="H14" s="78" t="str">
        <f aca="false">IF(N(D14)*N(F14)=0,"",D14*F14/1000)</f>
        <v/>
      </c>
      <c r="I14" s="78" t="str">
        <f aca="false">IFERROR(G14/H14,"")</f>
        <v/>
      </c>
      <c r="K14" s="78" t="str">
        <f aca="false">Producto!A24</f>
        <v>Amaranto rojo</v>
      </c>
      <c r="L14" s="78" t="n">
        <f aca="false">SUMIF($B$5:$B$204,$K14,$G$5:$G$204)</f>
        <v>0</v>
      </c>
      <c r="M14" s="78" t="n">
        <f aca="false">SUMIF($B$5:$B$204,$K14,$H$5:$H$204)</f>
        <v>0</v>
      </c>
      <c r="N14" s="78" t="str">
        <f aca="false">IFERROR(L14/M14,"")</f>
        <v/>
      </c>
      <c r="O14" s="78" t="str">
        <f aca="false">IFERROR(SUMIF($B$5:$B$204,$K14,$G$5:$G$204)/SUMIF($B$5:$B$204,$K14,$F$5:$F$204),"")</f>
        <v/>
      </c>
    </row>
    <row r="15" customFormat="false" ht="15" hidden="false" customHeight="true" outlineLevel="0" collapsed="false">
      <c r="A15" s="77"/>
      <c r="B15" s="77"/>
      <c r="C15" s="77"/>
      <c r="D15" s="77"/>
      <c r="E15" s="77"/>
      <c r="F15" s="77"/>
      <c r="G15" s="78" t="str">
        <f aca="false">IF(N(E15)*N(F15)=0,"",E15*F15)</f>
        <v/>
      </c>
      <c r="H15" s="78" t="str">
        <f aca="false">IF(N(D15)*N(F15)=0,"",D15*F15/1000)</f>
        <v/>
      </c>
      <c r="I15" s="78" t="str">
        <f aca="false">IFERROR(G15/H15,"")</f>
        <v/>
      </c>
      <c r="K15" s="78" t="str">
        <f aca="false">Producto!A25</f>
        <v>Rábano red</v>
      </c>
      <c r="L15" s="78" t="n">
        <f aca="false">SUMIF($B$5:$B$204,$K15,$G$5:$G$204)</f>
        <v>0</v>
      </c>
      <c r="M15" s="78" t="n">
        <f aca="false">SUMIF($B$5:$B$204,$K15,$H$5:$H$204)</f>
        <v>0</v>
      </c>
      <c r="N15" s="78" t="str">
        <f aca="false">IFERROR(L15/M15,"")</f>
        <v/>
      </c>
      <c r="O15" s="78" t="str">
        <f aca="false">IFERROR(SUMIF($B$5:$B$204,$K15,$G$5:$G$204)/SUMIF($B$5:$B$204,$K15,$F$5:$F$204),"")</f>
        <v/>
      </c>
    </row>
    <row r="16" customFormat="false" ht="15" hidden="false" customHeight="true" outlineLevel="0" collapsed="false">
      <c r="A16" s="77"/>
      <c r="B16" s="77"/>
      <c r="C16" s="77"/>
      <c r="D16" s="77"/>
      <c r="E16" s="77"/>
      <c r="F16" s="77"/>
      <c r="G16" s="78" t="str">
        <f aca="false">IF(N(E16)*N(F16)=0,"",E16*F16)</f>
        <v/>
      </c>
      <c r="H16" s="78" t="str">
        <f aca="false">IF(N(D16)*N(F16)=0,"",D16*F16/1000)</f>
        <v/>
      </c>
      <c r="I16" s="78" t="str">
        <f aca="false">IFERROR(G16/H16,"")</f>
        <v/>
      </c>
      <c r="K16" s="78" t="str">
        <f aca="false">Producto!A26</f>
        <v>Guisante (pea shoots)</v>
      </c>
      <c r="L16" s="78" t="n">
        <f aca="false">SUMIF($B$5:$B$204,$K16,$G$5:$G$204)</f>
        <v>0</v>
      </c>
      <c r="M16" s="78" t="n">
        <f aca="false">SUMIF($B$5:$B$204,$K16,$H$5:$H$204)</f>
        <v>0</v>
      </c>
      <c r="N16" s="78" t="str">
        <f aca="false">IFERROR(L16/M16,"")</f>
        <v/>
      </c>
      <c r="O16" s="78" t="str">
        <f aca="false">IFERROR(SUMIF($B$5:$B$204,$K16,$G$5:$G$204)/SUMIF($B$5:$B$204,$K16,$F$5:$F$204),"")</f>
        <v/>
      </c>
    </row>
    <row r="17" customFormat="false" ht="15" hidden="false" customHeight="true" outlineLevel="0" collapsed="false">
      <c r="A17" s="77"/>
      <c r="B17" s="77"/>
      <c r="C17" s="77"/>
      <c r="D17" s="77"/>
      <c r="E17" s="77"/>
      <c r="F17" s="77"/>
      <c r="G17" s="78" t="str">
        <f aca="false">IF(N(E17)*N(F17)=0,"",E17*F17)</f>
        <v/>
      </c>
      <c r="H17" s="78" t="str">
        <f aca="false">IF(N(D17)*N(F17)=0,"",D17*F17/1000)</f>
        <v/>
      </c>
      <c r="I17" s="78" t="str">
        <f aca="false">IFERROR(G17/H17,"")</f>
        <v/>
      </c>
      <c r="K17" s="78" t="str">
        <f aca="false">Producto!A27</f>
        <v>Remolacha roja</v>
      </c>
      <c r="L17" s="78" t="n">
        <f aca="false">SUMIF($B$5:$B$204,$K17,$G$5:$G$204)</f>
        <v>0</v>
      </c>
      <c r="M17" s="78" t="n">
        <f aca="false">SUMIF($B$5:$B$204,$K17,$H$5:$H$204)</f>
        <v>0</v>
      </c>
      <c r="N17" s="78" t="str">
        <f aca="false">IFERROR(L17/M17,"")</f>
        <v/>
      </c>
      <c r="O17" s="78" t="str">
        <f aca="false">IFERROR(SUMIF($B$5:$B$204,$K17,$G$5:$G$204)/SUMIF($B$5:$B$204,$K17,$F$5:$F$204),"")</f>
        <v/>
      </c>
    </row>
    <row r="18" customFormat="false" ht="15" hidden="false" customHeight="true" outlineLevel="0" collapsed="false">
      <c r="A18" s="77"/>
      <c r="B18" s="77"/>
      <c r="C18" s="77"/>
      <c r="D18" s="77"/>
      <c r="E18" s="77"/>
      <c r="F18" s="77"/>
      <c r="G18" s="78" t="str">
        <f aca="false">IF(N(E18)*N(F18)=0,"",E18*F18)</f>
        <v/>
      </c>
      <c r="H18" s="78" t="str">
        <f aca="false">IF(N(D18)*N(F18)=0,"",D18*F18/1000)</f>
        <v/>
      </c>
      <c r="I18" s="78" t="str">
        <f aca="false">IFERROR(G18/H18,"")</f>
        <v/>
      </c>
      <c r="K18" s="78" t="str">
        <f aca="false">Producto!A28</f>
        <v>Remolacha amarilla</v>
      </c>
      <c r="L18" s="78" t="n">
        <f aca="false">SUMIF($B$5:$B$204,$K18,$G$5:$G$204)</f>
        <v>0</v>
      </c>
      <c r="M18" s="78" t="n">
        <f aca="false">SUMIF($B$5:$B$204,$K18,$H$5:$H$204)</f>
        <v>0</v>
      </c>
      <c r="N18" s="78" t="str">
        <f aca="false">IFERROR(L18/M18,"")</f>
        <v/>
      </c>
      <c r="O18" s="78" t="str">
        <f aca="false">IFERROR(SUMIF($B$5:$B$204,$K18,$G$5:$G$204)/SUMIF($B$5:$B$204,$K18,$F$5:$F$204),"")</f>
        <v/>
      </c>
    </row>
    <row r="19" customFormat="false" ht="15" hidden="false" customHeight="true" outlineLevel="0" collapsed="false">
      <c r="A19" s="77"/>
      <c r="B19" s="77"/>
      <c r="C19" s="77"/>
      <c r="D19" s="77"/>
      <c r="E19" s="77"/>
      <c r="F19" s="77"/>
      <c r="G19" s="78" t="str">
        <f aca="false">IF(N(E19)*N(F19)=0,"",E19*F19)</f>
        <v/>
      </c>
      <c r="H19" s="78" t="str">
        <f aca="false">IF(N(D19)*N(F19)=0,"",D19*F19/1000)</f>
        <v/>
      </c>
      <c r="I19" s="78" t="str">
        <f aca="false">IFERROR(G19/H19,"")</f>
        <v/>
      </c>
      <c r="K19" s="78" t="str">
        <f aca="false">Producto!A29</f>
        <v>Hinojo</v>
      </c>
      <c r="L19" s="78" t="n">
        <f aca="false">SUMIF($B$5:$B$204,$K19,$G$5:$G$204)</f>
        <v>0</v>
      </c>
      <c r="M19" s="78" t="n">
        <f aca="false">SUMIF($B$5:$B$204,$K19,$H$5:$H$204)</f>
        <v>0</v>
      </c>
      <c r="N19" s="78" t="str">
        <f aca="false">IFERROR(L19/M19,"")</f>
        <v/>
      </c>
      <c r="O19" s="78" t="str">
        <f aca="false">IFERROR(SUMIF($B$5:$B$204,$K19,$G$5:$G$204)/SUMIF($B$5:$B$204,$K19,$F$5:$F$204),"")</f>
        <v/>
      </c>
    </row>
    <row r="20" customFormat="false" ht="15" hidden="false" customHeight="true" outlineLevel="0" collapsed="false">
      <c r="A20" s="77"/>
      <c r="B20" s="77"/>
      <c r="C20" s="77"/>
      <c r="D20" s="77"/>
      <c r="E20" s="77"/>
      <c r="F20" s="77"/>
      <c r="G20" s="78" t="str">
        <f aca="false">IF(N(E20)*N(F20)=0,"",E20*F20)</f>
        <v/>
      </c>
      <c r="H20" s="78" t="str">
        <f aca="false">IF(N(D20)*N(F20)=0,"",D20*F20/1000)</f>
        <v/>
      </c>
      <c r="I20" s="78" t="str">
        <f aca="false">IFERROR(G20/H20,"")</f>
        <v/>
      </c>
      <c r="K20" s="78" t="str">
        <f aca="false">Producto!A30</f>
        <v>Cebolla Barbra</v>
      </c>
      <c r="L20" s="78" t="n">
        <f aca="false">SUMIF($B$5:$B$204,$K20,$G$5:$G$204)</f>
        <v>0</v>
      </c>
      <c r="M20" s="78" t="n">
        <f aca="false">SUMIF($B$5:$B$204,$K20,$H$5:$H$204)</f>
        <v>0</v>
      </c>
      <c r="N20" s="78" t="str">
        <f aca="false">IFERROR(L20/M20,"")</f>
        <v/>
      </c>
      <c r="O20" s="78" t="str">
        <f aca="false">IFERROR(SUMIF($B$5:$B$204,$K20,$G$5:$G$204)/SUMIF($B$5:$B$204,$K20,$F$5:$F$204),"")</f>
        <v/>
      </c>
    </row>
    <row r="21" customFormat="false" ht="15" hidden="false" customHeight="true" outlineLevel="0" collapsed="false">
      <c r="A21" s="77"/>
      <c r="B21" s="77"/>
      <c r="C21" s="77"/>
      <c r="D21" s="77"/>
      <c r="E21" s="77"/>
      <c r="F21" s="77"/>
      <c r="G21" s="78" t="str">
        <f aca="false">IF(N(E21)*N(F21)=0,"",E21*F21)</f>
        <v/>
      </c>
      <c r="H21" s="78" t="str">
        <f aca="false">IF(N(D21)*N(F21)=0,"",D21*F21/1000)</f>
        <v/>
      </c>
      <c r="I21" s="78" t="str">
        <f aca="false">IFERROR(G21/H21,"")</f>
        <v/>
      </c>
      <c r="K21" s="78" t="str">
        <f aca="false">Producto!A31</f>
        <v>Cebollino chino</v>
      </c>
      <c r="L21" s="78" t="n">
        <f aca="false">SUMIF($B$5:$B$204,$K21,$G$5:$G$204)</f>
        <v>0</v>
      </c>
      <c r="M21" s="78" t="n">
        <f aca="false">SUMIF($B$5:$B$204,$K21,$H$5:$H$204)</f>
        <v>0</v>
      </c>
      <c r="N21" s="78" t="str">
        <f aca="false">IFERROR(L21/M21,"")</f>
        <v/>
      </c>
      <c r="O21" s="78" t="str">
        <f aca="false">IFERROR(SUMIF($B$5:$B$204,$K21,$G$5:$G$204)/SUMIF($B$5:$B$204,$K21,$F$5:$F$204),"")</f>
        <v/>
      </c>
    </row>
    <row r="22" customFormat="false" ht="15" hidden="false" customHeight="true" outlineLevel="0" collapsed="false">
      <c r="A22" s="77"/>
      <c r="B22" s="77"/>
      <c r="C22" s="77"/>
      <c r="D22" s="77"/>
      <c r="E22" s="77"/>
      <c r="F22" s="77"/>
      <c r="G22" s="78" t="str">
        <f aca="false">IF(N(E22)*N(F22)=0,"",E22*F22)</f>
        <v/>
      </c>
      <c r="H22" s="78" t="str">
        <f aca="false">IF(N(D22)*N(F22)=0,"",D22*F22/1000)</f>
        <v/>
      </c>
      <c r="I22" s="78" t="str">
        <f aca="false">IFERROR(G22/H22,"")</f>
        <v/>
      </c>
    </row>
    <row r="23" customFormat="false" ht="15" hidden="false" customHeight="true" outlineLevel="0" collapsed="false">
      <c r="A23" s="77"/>
      <c r="B23" s="77"/>
      <c r="C23" s="77"/>
      <c r="D23" s="77"/>
      <c r="E23" s="77"/>
      <c r="F23" s="77"/>
      <c r="G23" s="78" t="str">
        <f aca="false">IF(N(E23)*N(F23)=0,"",E23*F23)</f>
        <v/>
      </c>
      <c r="H23" s="78" t="str">
        <f aca="false">IF(N(D23)*N(F23)=0,"",D23*F23/1000)</f>
        <v/>
      </c>
      <c r="I23" s="78" t="str">
        <f aca="false">IFERROR(G23/H23,"")</f>
        <v/>
      </c>
      <c r="K23" s="72" t="s">
        <v>208</v>
      </c>
      <c r="L23" s="72" t="n">
        <f aca="false">SUM(L6:L21)</f>
        <v>0</v>
      </c>
      <c r="M23" s="72" t="n">
        <f aca="false">SUM(M6:M21)</f>
        <v>0</v>
      </c>
      <c r="N23" s="72" t="str">
        <f aca="false">IFERROR(L23/M23,"")</f>
        <v/>
      </c>
    </row>
    <row r="24" customFormat="false" ht="15" hidden="false" customHeight="true" outlineLevel="0" collapsed="false">
      <c r="A24" s="77"/>
      <c r="B24" s="77"/>
      <c r="C24" s="77"/>
      <c r="D24" s="77"/>
      <c r="E24" s="77"/>
      <c r="F24" s="77"/>
      <c r="G24" s="78" t="str">
        <f aca="false">IF(N(E24)*N(F24)=0,"",E24*F24)</f>
        <v/>
      </c>
      <c r="H24" s="78" t="str">
        <f aca="false">IF(N(D24)*N(F24)=0,"",D24*F24/1000)</f>
        <v/>
      </c>
      <c r="I24" s="78" t="str">
        <f aca="false">IFERROR(G24/H24,"")</f>
        <v/>
      </c>
    </row>
    <row r="25" customFormat="false" ht="15" hidden="false" customHeight="true" outlineLevel="0" collapsed="false">
      <c r="A25" s="77"/>
      <c r="B25" s="77"/>
      <c r="C25" s="77"/>
      <c r="D25" s="77"/>
      <c r="E25" s="77"/>
      <c r="F25" s="77"/>
      <c r="G25" s="78" t="str">
        <f aca="false">IF(N(E25)*N(F25)=0,"",E25*F25)</f>
        <v/>
      </c>
      <c r="H25" s="78" t="str">
        <f aca="false">IF(N(D25)*N(F25)=0,"",D25*F25/1000)</f>
        <v/>
      </c>
      <c r="I25" s="78" t="str">
        <f aca="false">IFERROR(G25/H25,"")</f>
        <v/>
      </c>
      <c r="K25" s="1" t="s">
        <v>209</v>
      </c>
      <c r="N25" s="80" t="n">
        <f aca="false">Producto!D35</f>
        <v>43.6700338127895</v>
      </c>
    </row>
    <row r="26" customFormat="false" ht="15" hidden="false" customHeight="true" outlineLevel="0" collapsed="false">
      <c r="A26" s="77"/>
      <c r="B26" s="77"/>
      <c r="C26" s="77"/>
      <c r="D26" s="77"/>
      <c r="E26" s="77"/>
      <c r="F26" s="77"/>
      <c r="G26" s="78" t="str">
        <f aca="false">IF(N(E26)*N(F26)=0,"",E26*F26)</f>
        <v/>
      </c>
      <c r="H26" s="78" t="str">
        <f aca="false">IF(N(D26)*N(F26)=0,"",D26*F26/1000)</f>
        <v/>
      </c>
      <c r="I26" s="78" t="str">
        <f aca="false">IFERROR(G26/H26,"")</f>
        <v/>
      </c>
      <c r="K26" s="1" t="s">
        <v>210</v>
      </c>
      <c r="N26" s="1" t="str">
        <f aca="false">IFERROR(N23-N25,"")</f>
        <v/>
      </c>
    </row>
    <row r="27" customFormat="false" ht="15" hidden="false" customHeight="true" outlineLevel="0" collapsed="false">
      <c r="A27" s="77"/>
      <c r="B27" s="77"/>
      <c r="C27" s="77"/>
      <c r="D27" s="77"/>
      <c r="E27" s="77"/>
      <c r="F27" s="77"/>
      <c r="G27" s="78" t="str">
        <f aca="false">IF(N(E27)*N(F27)=0,"",E27*F27)</f>
        <v/>
      </c>
      <c r="H27" s="78" t="str">
        <f aca="false">IF(N(D27)*N(F27)=0,"",D27*F27/1000)</f>
        <v/>
      </c>
      <c r="I27" s="78" t="str">
        <f aca="false">IFERROR(G27/H27,"")</f>
        <v/>
      </c>
    </row>
    <row r="28" customFormat="false" ht="15" hidden="false" customHeight="true" outlineLevel="0" collapsed="false">
      <c r="A28" s="77"/>
      <c r="B28" s="77"/>
      <c r="C28" s="77"/>
      <c r="D28" s="77"/>
      <c r="E28" s="77"/>
      <c r="F28" s="77"/>
      <c r="G28" s="78" t="str">
        <f aca="false">IF(N(E28)*N(F28)=0,"",E28*F28)</f>
        <v/>
      </c>
      <c r="H28" s="78" t="str">
        <f aca="false">IF(N(D28)*N(F28)=0,"",D28*F28/1000)</f>
        <v/>
      </c>
      <c r="I28" s="78" t="str">
        <f aca="false">IFERROR(G28/H28,"")</f>
        <v/>
      </c>
    </row>
    <row r="29" customFormat="false" ht="15" hidden="false" customHeight="true" outlineLevel="0" collapsed="false">
      <c r="A29" s="77"/>
      <c r="B29" s="77"/>
      <c r="C29" s="77"/>
      <c r="D29" s="77"/>
      <c r="E29" s="77"/>
      <c r="F29" s="77"/>
      <c r="G29" s="78" t="str">
        <f aca="false">IF(N(E29)*N(F29)=0,"",E29*F29)</f>
        <v/>
      </c>
      <c r="H29" s="78" t="str">
        <f aca="false">IF(N(D29)*N(F29)=0,"",D29*F29/1000)</f>
        <v/>
      </c>
      <c r="I29" s="78" t="str">
        <f aca="false">IFERROR(G29/H29,"")</f>
        <v/>
      </c>
    </row>
    <row r="30" customFormat="false" ht="15" hidden="false" customHeight="true" outlineLevel="0" collapsed="false">
      <c r="A30" s="77"/>
      <c r="B30" s="77"/>
      <c r="C30" s="77"/>
      <c r="D30" s="77"/>
      <c r="E30" s="77"/>
      <c r="F30" s="77"/>
      <c r="G30" s="78" t="str">
        <f aca="false">IF(N(E30)*N(F30)=0,"",E30*F30)</f>
        <v/>
      </c>
      <c r="H30" s="78" t="str">
        <f aca="false">IF(N(D30)*N(F30)=0,"",D30*F30/1000)</f>
        <v/>
      </c>
      <c r="I30" s="78" t="str">
        <f aca="false">IFERROR(G30/H30,"")</f>
        <v/>
      </c>
    </row>
    <row r="31" customFormat="false" ht="15" hidden="false" customHeight="true" outlineLevel="0" collapsed="false">
      <c r="A31" s="77"/>
      <c r="B31" s="77"/>
      <c r="C31" s="77"/>
      <c r="D31" s="77"/>
      <c r="E31" s="77"/>
      <c r="F31" s="77"/>
      <c r="G31" s="78" t="str">
        <f aca="false">IF(N(E31)*N(F31)=0,"",E31*F31)</f>
        <v/>
      </c>
      <c r="H31" s="78" t="str">
        <f aca="false">IF(N(D31)*N(F31)=0,"",D31*F31/1000)</f>
        <v/>
      </c>
      <c r="I31" s="78" t="str">
        <f aca="false">IFERROR(G31/H31,"")</f>
        <v/>
      </c>
    </row>
    <row r="32" customFormat="false" ht="15" hidden="false" customHeight="true" outlineLevel="0" collapsed="false">
      <c r="A32" s="77"/>
      <c r="B32" s="77"/>
      <c r="C32" s="77"/>
      <c r="D32" s="77"/>
      <c r="E32" s="77"/>
      <c r="F32" s="77"/>
      <c r="G32" s="78" t="str">
        <f aca="false">IF(N(E32)*N(F32)=0,"",E32*F32)</f>
        <v/>
      </c>
      <c r="H32" s="78" t="str">
        <f aca="false">IF(N(D32)*N(F32)=0,"",D32*F32/1000)</f>
        <v/>
      </c>
      <c r="I32" s="78" t="str">
        <f aca="false">IFERROR(G32/H32,"")</f>
        <v/>
      </c>
    </row>
    <row r="33" customFormat="false" ht="15" hidden="false" customHeight="true" outlineLevel="0" collapsed="false">
      <c r="A33" s="77"/>
      <c r="B33" s="77"/>
      <c r="C33" s="77"/>
      <c r="D33" s="77"/>
      <c r="E33" s="77"/>
      <c r="F33" s="77"/>
      <c r="G33" s="78" t="str">
        <f aca="false">IF(N(E33)*N(F33)=0,"",E33*F33)</f>
        <v/>
      </c>
      <c r="H33" s="78" t="str">
        <f aca="false">IF(N(D33)*N(F33)=0,"",D33*F33/1000)</f>
        <v/>
      </c>
      <c r="I33" s="78" t="str">
        <f aca="false">IFERROR(G33/H33,"")</f>
        <v/>
      </c>
    </row>
    <row r="34" customFormat="false" ht="15" hidden="false" customHeight="true" outlineLevel="0" collapsed="false">
      <c r="A34" s="77"/>
      <c r="B34" s="77"/>
      <c r="C34" s="77"/>
      <c r="D34" s="77"/>
      <c r="E34" s="77"/>
      <c r="F34" s="77"/>
      <c r="G34" s="78" t="str">
        <f aca="false">IF(N(E34)*N(F34)=0,"",E34*F34)</f>
        <v/>
      </c>
      <c r="H34" s="78" t="str">
        <f aca="false">IF(N(D34)*N(F34)=0,"",D34*F34/1000)</f>
        <v/>
      </c>
      <c r="I34" s="78" t="str">
        <f aca="false">IFERROR(G34/H34,"")</f>
        <v/>
      </c>
    </row>
    <row r="35" customFormat="false" ht="15" hidden="false" customHeight="true" outlineLevel="0" collapsed="false">
      <c r="A35" s="77"/>
      <c r="B35" s="77"/>
      <c r="C35" s="77"/>
      <c r="D35" s="77"/>
      <c r="E35" s="77"/>
      <c r="F35" s="77"/>
      <c r="G35" s="78" t="str">
        <f aca="false">IF(N(E35)*N(F35)=0,"",E35*F35)</f>
        <v/>
      </c>
      <c r="H35" s="78" t="str">
        <f aca="false">IF(N(D35)*N(F35)=0,"",D35*F35/1000)</f>
        <v/>
      </c>
      <c r="I35" s="78" t="str">
        <f aca="false">IFERROR(G35/H35,"")</f>
        <v/>
      </c>
    </row>
    <row r="36" customFormat="false" ht="15" hidden="false" customHeight="true" outlineLevel="0" collapsed="false">
      <c r="A36" s="77"/>
      <c r="B36" s="77"/>
      <c r="C36" s="77"/>
      <c r="D36" s="77"/>
      <c r="E36" s="77"/>
      <c r="F36" s="77"/>
      <c r="G36" s="78" t="str">
        <f aca="false">IF(N(E36)*N(F36)=0,"",E36*F36)</f>
        <v/>
      </c>
      <c r="H36" s="78" t="str">
        <f aca="false">IF(N(D36)*N(F36)=0,"",D36*F36/1000)</f>
        <v/>
      </c>
      <c r="I36" s="78" t="str">
        <f aca="false">IFERROR(G36/H36,"")</f>
        <v/>
      </c>
    </row>
    <row r="37" customFormat="false" ht="15" hidden="false" customHeight="true" outlineLevel="0" collapsed="false">
      <c r="A37" s="77"/>
      <c r="B37" s="77"/>
      <c r="C37" s="77"/>
      <c r="D37" s="77"/>
      <c r="E37" s="77"/>
      <c r="F37" s="77"/>
      <c r="G37" s="78" t="str">
        <f aca="false">IF(N(E37)*N(F37)=0,"",E37*F37)</f>
        <v/>
      </c>
      <c r="H37" s="78" t="str">
        <f aca="false">IF(N(D37)*N(F37)=0,"",D37*F37/1000)</f>
        <v/>
      </c>
      <c r="I37" s="78" t="str">
        <f aca="false">IFERROR(G37/H37,"")</f>
        <v/>
      </c>
    </row>
    <row r="38" customFormat="false" ht="15" hidden="false" customHeight="true" outlineLevel="0" collapsed="false">
      <c r="A38" s="77"/>
      <c r="B38" s="77"/>
      <c r="C38" s="77"/>
      <c r="D38" s="77"/>
      <c r="E38" s="77"/>
      <c r="F38" s="77"/>
      <c r="G38" s="78" t="str">
        <f aca="false">IF(N(E38)*N(F38)=0,"",E38*F38)</f>
        <v/>
      </c>
      <c r="H38" s="78" t="str">
        <f aca="false">IF(N(D38)*N(F38)=0,"",D38*F38/1000)</f>
        <v/>
      </c>
      <c r="I38" s="78" t="str">
        <f aca="false">IFERROR(G38/H38,"")</f>
        <v/>
      </c>
    </row>
    <row r="39" customFormat="false" ht="15" hidden="false" customHeight="true" outlineLevel="0" collapsed="false">
      <c r="A39" s="77"/>
      <c r="B39" s="77"/>
      <c r="C39" s="77"/>
      <c r="D39" s="77"/>
      <c r="E39" s="77"/>
      <c r="F39" s="77"/>
      <c r="G39" s="78" t="str">
        <f aca="false">IF(N(E39)*N(F39)=0,"",E39*F39)</f>
        <v/>
      </c>
      <c r="H39" s="78" t="str">
        <f aca="false">IF(N(D39)*N(F39)=0,"",D39*F39/1000)</f>
        <v/>
      </c>
      <c r="I39" s="78" t="str">
        <f aca="false">IFERROR(G39/H39,"")</f>
        <v/>
      </c>
    </row>
    <row r="40" customFormat="false" ht="15" hidden="false" customHeight="true" outlineLevel="0" collapsed="false">
      <c r="A40" s="77"/>
      <c r="B40" s="77"/>
      <c r="C40" s="77"/>
      <c r="D40" s="77"/>
      <c r="E40" s="77"/>
      <c r="F40" s="77"/>
      <c r="G40" s="78" t="str">
        <f aca="false">IF(N(E40)*N(F40)=0,"",E40*F40)</f>
        <v/>
      </c>
      <c r="H40" s="78" t="str">
        <f aca="false">IF(N(D40)*N(F40)=0,"",D40*F40/1000)</f>
        <v/>
      </c>
      <c r="I40" s="78" t="str">
        <f aca="false">IFERROR(G40/H40,"")</f>
        <v/>
      </c>
    </row>
    <row r="41" customFormat="false" ht="15" hidden="false" customHeight="true" outlineLevel="0" collapsed="false">
      <c r="A41" s="77"/>
      <c r="B41" s="77"/>
      <c r="C41" s="77"/>
      <c r="D41" s="77"/>
      <c r="E41" s="77"/>
      <c r="F41" s="77"/>
      <c r="G41" s="78" t="str">
        <f aca="false">IF(N(E41)*N(F41)=0,"",E41*F41)</f>
        <v/>
      </c>
      <c r="H41" s="78" t="str">
        <f aca="false">IF(N(D41)*N(F41)=0,"",D41*F41/1000)</f>
        <v/>
      </c>
      <c r="I41" s="78" t="str">
        <f aca="false">IFERROR(G41/H41,"")</f>
        <v/>
      </c>
    </row>
    <row r="42" customFormat="false" ht="15" hidden="false" customHeight="true" outlineLevel="0" collapsed="false">
      <c r="A42" s="77"/>
      <c r="B42" s="77"/>
      <c r="C42" s="77"/>
      <c r="D42" s="77"/>
      <c r="E42" s="77"/>
      <c r="F42" s="77"/>
      <c r="G42" s="78" t="str">
        <f aca="false">IF(N(E42)*N(F42)=0,"",E42*F42)</f>
        <v/>
      </c>
      <c r="H42" s="78" t="str">
        <f aca="false">IF(N(D42)*N(F42)=0,"",D42*F42/1000)</f>
        <v/>
      </c>
      <c r="I42" s="78" t="str">
        <f aca="false">IFERROR(G42/H42,"")</f>
        <v/>
      </c>
    </row>
    <row r="43" customFormat="false" ht="15" hidden="false" customHeight="true" outlineLevel="0" collapsed="false">
      <c r="A43" s="77"/>
      <c r="B43" s="77"/>
      <c r="C43" s="77"/>
      <c r="D43" s="77"/>
      <c r="E43" s="77"/>
      <c r="F43" s="77"/>
      <c r="G43" s="78" t="str">
        <f aca="false">IF(N(E43)*N(F43)=0,"",E43*F43)</f>
        <v/>
      </c>
      <c r="H43" s="78" t="str">
        <f aca="false">IF(N(D43)*N(F43)=0,"",D43*F43/1000)</f>
        <v/>
      </c>
      <c r="I43" s="78" t="str">
        <f aca="false">IFERROR(G43/H43,"")</f>
        <v/>
      </c>
    </row>
    <row r="44" customFormat="false" ht="15" hidden="false" customHeight="true" outlineLevel="0" collapsed="false">
      <c r="A44" s="77"/>
      <c r="B44" s="77"/>
      <c r="C44" s="77"/>
      <c r="D44" s="77"/>
      <c r="E44" s="77"/>
      <c r="F44" s="77"/>
      <c r="G44" s="78" t="str">
        <f aca="false">IF(N(E44)*N(F44)=0,"",E44*F44)</f>
        <v/>
      </c>
      <c r="H44" s="78" t="str">
        <f aca="false">IF(N(D44)*N(F44)=0,"",D44*F44/1000)</f>
        <v/>
      </c>
      <c r="I44" s="78" t="str">
        <f aca="false">IFERROR(G44/H44,"")</f>
        <v/>
      </c>
    </row>
    <row r="45" customFormat="false" ht="15" hidden="false" customHeight="true" outlineLevel="0" collapsed="false">
      <c r="A45" s="77"/>
      <c r="B45" s="77"/>
      <c r="C45" s="77"/>
      <c r="D45" s="77"/>
      <c r="E45" s="77"/>
      <c r="F45" s="77"/>
      <c r="G45" s="78" t="str">
        <f aca="false">IF(N(E45)*N(F45)=0,"",E45*F45)</f>
        <v/>
      </c>
      <c r="H45" s="78" t="str">
        <f aca="false">IF(N(D45)*N(F45)=0,"",D45*F45/1000)</f>
        <v/>
      </c>
      <c r="I45" s="78" t="str">
        <f aca="false">IFERROR(G45/H45,"")</f>
        <v/>
      </c>
    </row>
    <row r="46" customFormat="false" ht="15" hidden="false" customHeight="true" outlineLevel="0" collapsed="false">
      <c r="A46" s="77"/>
      <c r="B46" s="77"/>
      <c r="C46" s="77"/>
      <c r="D46" s="77"/>
      <c r="E46" s="77"/>
      <c r="F46" s="77"/>
      <c r="G46" s="78" t="str">
        <f aca="false">IF(N(E46)*N(F46)=0,"",E46*F46)</f>
        <v/>
      </c>
      <c r="H46" s="78" t="str">
        <f aca="false">IF(N(D46)*N(F46)=0,"",D46*F46/1000)</f>
        <v/>
      </c>
      <c r="I46" s="78" t="str">
        <f aca="false">IFERROR(G46/H46,"")</f>
        <v/>
      </c>
    </row>
    <row r="47" customFormat="false" ht="15" hidden="false" customHeight="true" outlineLevel="0" collapsed="false">
      <c r="A47" s="77"/>
      <c r="B47" s="77"/>
      <c r="C47" s="77"/>
      <c r="D47" s="77"/>
      <c r="E47" s="77"/>
      <c r="F47" s="77"/>
      <c r="G47" s="78" t="str">
        <f aca="false">IF(N(E47)*N(F47)=0,"",E47*F47)</f>
        <v/>
      </c>
      <c r="H47" s="78" t="str">
        <f aca="false">IF(N(D47)*N(F47)=0,"",D47*F47/1000)</f>
        <v/>
      </c>
      <c r="I47" s="78" t="str">
        <f aca="false">IFERROR(G47/H47,"")</f>
        <v/>
      </c>
    </row>
    <row r="48" customFormat="false" ht="15" hidden="false" customHeight="true" outlineLevel="0" collapsed="false">
      <c r="A48" s="77"/>
      <c r="B48" s="77"/>
      <c r="C48" s="77"/>
      <c r="D48" s="77"/>
      <c r="E48" s="77"/>
      <c r="F48" s="77"/>
      <c r="G48" s="78" t="str">
        <f aca="false">IF(N(E48)*N(F48)=0,"",E48*F48)</f>
        <v/>
      </c>
      <c r="H48" s="78" t="str">
        <f aca="false">IF(N(D48)*N(F48)=0,"",D48*F48/1000)</f>
        <v/>
      </c>
      <c r="I48" s="78" t="str">
        <f aca="false">IFERROR(G48/H48,"")</f>
        <v/>
      </c>
    </row>
    <row r="49" customFormat="false" ht="15" hidden="false" customHeight="true" outlineLevel="0" collapsed="false">
      <c r="A49" s="77"/>
      <c r="B49" s="77"/>
      <c r="C49" s="77"/>
      <c r="D49" s="77"/>
      <c r="E49" s="77"/>
      <c r="F49" s="77"/>
      <c r="G49" s="78" t="str">
        <f aca="false">IF(N(E49)*N(F49)=0,"",E49*F49)</f>
        <v/>
      </c>
      <c r="H49" s="78" t="str">
        <f aca="false">IF(N(D49)*N(F49)=0,"",D49*F49/1000)</f>
        <v/>
      </c>
      <c r="I49" s="78" t="str">
        <f aca="false">IFERROR(G49/H49,"")</f>
        <v/>
      </c>
    </row>
    <row r="50" customFormat="false" ht="15" hidden="false" customHeight="true" outlineLevel="0" collapsed="false">
      <c r="A50" s="77"/>
      <c r="B50" s="77"/>
      <c r="C50" s="77"/>
      <c r="D50" s="77"/>
      <c r="E50" s="77"/>
      <c r="F50" s="77"/>
      <c r="G50" s="78" t="str">
        <f aca="false">IF(N(E50)*N(F50)=0,"",E50*F50)</f>
        <v/>
      </c>
      <c r="H50" s="78" t="str">
        <f aca="false">IF(N(D50)*N(F50)=0,"",D50*F50/1000)</f>
        <v/>
      </c>
      <c r="I50" s="78" t="str">
        <f aca="false">IFERROR(G50/H50,"")</f>
        <v/>
      </c>
    </row>
    <row r="51" customFormat="false" ht="15" hidden="false" customHeight="true" outlineLevel="0" collapsed="false">
      <c r="A51" s="77"/>
      <c r="B51" s="77"/>
      <c r="C51" s="77"/>
      <c r="D51" s="77"/>
      <c r="E51" s="77"/>
      <c r="F51" s="77"/>
      <c r="G51" s="78" t="str">
        <f aca="false">IF(N(E51)*N(F51)=0,"",E51*F51)</f>
        <v/>
      </c>
      <c r="H51" s="78" t="str">
        <f aca="false">IF(N(D51)*N(F51)=0,"",D51*F51/1000)</f>
        <v/>
      </c>
      <c r="I51" s="78" t="str">
        <f aca="false">IFERROR(G51/H51,"")</f>
        <v/>
      </c>
    </row>
    <row r="52" customFormat="false" ht="15" hidden="false" customHeight="true" outlineLevel="0" collapsed="false">
      <c r="A52" s="77"/>
      <c r="B52" s="77"/>
      <c r="C52" s="77"/>
      <c r="D52" s="77"/>
      <c r="E52" s="77"/>
      <c r="F52" s="77"/>
      <c r="G52" s="78" t="str">
        <f aca="false">IF(N(E52)*N(F52)=0,"",E52*F52)</f>
        <v/>
      </c>
      <c r="H52" s="78" t="str">
        <f aca="false">IF(N(D52)*N(F52)=0,"",D52*F52/1000)</f>
        <v/>
      </c>
      <c r="I52" s="78" t="str">
        <f aca="false">IFERROR(G52/H52,"")</f>
        <v/>
      </c>
    </row>
    <row r="53" customFormat="false" ht="15" hidden="false" customHeight="true" outlineLevel="0" collapsed="false">
      <c r="A53" s="77"/>
      <c r="B53" s="77"/>
      <c r="C53" s="77"/>
      <c r="D53" s="77"/>
      <c r="E53" s="77"/>
      <c r="F53" s="77"/>
      <c r="G53" s="78" t="str">
        <f aca="false">IF(N(E53)*N(F53)=0,"",E53*F53)</f>
        <v/>
      </c>
      <c r="H53" s="78" t="str">
        <f aca="false">IF(N(D53)*N(F53)=0,"",D53*F53/1000)</f>
        <v/>
      </c>
      <c r="I53" s="78" t="str">
        <f aca="false">IFERROR(G53/H53,"")</f>
        <v/>
      </c>
    </row>
    <row r="54" customFormat="false" ht="15" hidden="false" customHeight="true" outlineLevel="0" collapsed="false">
      <c r="A54" s="77"/>
      <c r="B54" s="77"/>
      <c r="C54" s="77"/>
      <c r="D54" s="77"/>
      <c r="E54" s="77"/>
      <c r="F54" s="77"/>
      <c r="G54" s="78" t="str">
        <f aca="false">IF(N(E54)*N(F54)=0,"",E54*F54)</f>
        <v/>
      </c>
      <c r="H54" s="78" t="str">
        <f aca="false">IF(N(D54)*N(F54)=0,"",D54*F54/1000)</f>
        <v/>
      </c>
      <c r="I54" s="78" t="str">
        <f aca="false">IFERROR(G54/H54,"")</f>
        <v/>
      </c>
    </row>
    <row r="55" customFormat="false" ht="15" hidden="false" customHeight="true" outlineLevel="0" collapsed="false">
      <c r="A55" s="77"/>
      <c r="B55" s="77"/>
      <c r="C55" s="77"/>
      <c r="D55" s="77"/>
      <c r="E55" s="77"/>
      <c r="F55" s="77"/>
      <c r="G55" s="78" t="str">
        <f aca="false">IF(N(E55)*N(F55)=0,"",E55*F55)</f>
        <v/>
      </c>
      <c r="H55" s="78" t="str">
        <f aca="false">IF(N(D55)*N(F55)=0,"",D55*F55/1000)</f>
        <v/>
      </c>
      <c r="I55" s="78" t="str">
        <f aca="false">IFERROR(G55/H55,"")</f>
        <v/>
      </c>
    </row>
    <row r="56" customFormat="false" ht="15" hidden="false" customHeight="true" outlineLevel="0" collapsed="false">
      <c r="A56" s="77"/>
      <c r="B56" s="77"/>
      <c r="C56" s="77"/>
      <c r="D56" s="77"/>
      <c r="E56" s="77"/>
      <c r="F56" s="77"/>
      <c r="G56" s="78" t="str">
        <f aca="false">IF(N(E56)*N(F56)=0,"",E56*F56)</f>
        <v/>
      </c>
      <c r="H56" s="78" t="str">
        <f aca="false">IF(N(D56)*N(F56)=0,"",D56*F56/1000)</f>
        <v/>
      </c>
      <c r="I56" s="78" t="str">
        <f aca="false">IFERROR(G56/H56,"")</f>
        <v/>
      </c>
    </row>
    <row r="57" customFormat="false" ht="15" hidden="false" customHeight="true" outlineLevel="0" collapsed="false">
      <c r="A57" s="77"/>
      <c r="B57" s="77"/>
      <c r="C57" s="77"/>
      <c r="D57" s="77"/>
      <c r="E57" s="77"/>
      <c r="F57" s="77"/>
      <c r="G57" s="78" t="str">
        <f aca="false">IF(N(E57)*N(F57)=0,"",E57*F57)</f>
        <v/>
      </c>
      <c r="H57" s="78" t="str">
        <f aca="false">IF(N(D57)*N(F57)=0,"",D57*F57/1000)</f>
        <v/>
      </c>
      <c r="I57" s="78" t="str">
        <f aca="false">IFERROR(G57/H57,"")</f>
        <v/>
      </c>
    </row>
    <row r="58" customFormat="false" ht="15" hidden="false" customHeight="true" outlineLevel="0" collapsed="false">
      <c r="A58" s="77"/>
      <c r="B58" s="77"/>
      <c r="C58" s="77"/>
      <c r="D58" s="77"/>
      <c r="E58" s="77"/>
      <c r="F58" s="77"/>
      <c r="G58" s="78" t="str">
        <f aca="false">IF(N(E58)*N(F58)=0,"",E58*F58)</f>
        <v/>
      </c>
      <c r="H58" s="78" t="str">
        <f aca="false">IF(N(D58)*N(F58)=0,"",D58*F58/1000)</f>
        <v/>
      </c>
      <c r="I58" s="78" t="str">
        <f aca="false">IFERROR(G58/H58,"")</f>
        <v/>
      </c>
    </row>
    <row r="59" customFormat="false" ht="15" hidden="false" customHeight="true" outlineLevel="0" collapsed="false">
      <c r="A59" s="77"/>
      <c r="B59" s="77"/>
      <c r="C59" s="77"/>
      <c r="D59" s="77"/>
      <c r="E59" s="77"/>
      <c r="F59" s="77"/>
      <c r="G59" s="78" t="str">
        <f aca="false">IF(N(E59)*N(F59)=0,"",E59*F59)</f>
        <v/>
      </c>
      <c r="H59" s="78" t="str">
        <f aca="false">IF(N(D59)*N(F59)=0,"",D59*F59/1000)</f>
        <v/>
      </c>
      <c r="I59" s="78" t="str">
        <f aca="false">IFERROR(G59/H59,"")</f>
        <v/>
      </c>
    </row>
    <row r="60" customFormat="false" ht="15" hidden="false" customHeight="true" outlineLevel="0" collapsed="false">
      <c r="A60" s="77"/>
      <c r="B60" s="77"/>
      <c r="C60" s="77"/>
      <c r="D60" s="77"/>
      <c r="E60" s="77"/>
      <c r="F60" s="77"/>
      <c r="G60" s="78" t="str">
        <f aca="false">IF(N(E60)*N(F60)=0,"",E60*F60)</f>
        <v/>
      </c>
      <c r="H60" s="78" t="str">
        <f aca="false">IF(N(D60)*N(F60)=0,"",D60*F60/1000)</f>
        <v/>
      </c>
      <c r="I60" s="78" t="str">
        <f aca="false">IFERROR(G60/H60,"")</f>
        <v/>
      </c>
    </row>
    <row r="61" customFormat="false" ht="15" hidden="false" customHeight="true" outlineLevel="0" collapsed="false">
      <c r="A61" s="77"/>
      <c r="B61" s="77"/>
      <c r="C61" s="77"/>
      <c r="D61" s="77"/>
      <c r="E61" s="77"/>
      <c r="F61" s="77"/>
      <c r="G61" s="78" t="str">
        <f aca="false">IF(N(E61)*N(F61)=0,"",E61*F61)</f>
        <v/>
      </c>
      <c r="H61" s="78" t="str">
        <f aca="false">IF(N(D61)*N(F61)=0,"",D61*F61/1000)</f>
        <v/>
      </c>
      <c r="I61" s="78" t="str">
        <f aca="false">IFERROR(G61/H61,"")</f>
        <v/>
      </c>
    </row>
    <row r="62" customFormat="false" ht="15" hidden="false" customHeight="true" outlineLevel="0" collapsed="false">
      <c r="A62" s="77"/>
      <c r="B62" s="77"/>
      <c r="C62" s="77"/>
      <c r="D62" s="77"/>
      <c r="E62" s="77"/>
      <c r="F62" s="77"/>
      <c r="G62" s="78" t="str">
        <f aca="false">IF(N(E62)*N(F62)=0,"",E62*F62)</f>
        <v/>
      </c>
      <c r="H62" s="78" t="str">
        <f aca="false">IF(N(D62)*N(F62)=0,"",D62*F62/1000)</f>
        <v/>
      </c>
      <c r="I62" s="78" t="str">
        <f aca="false">IFERROR(G62/H62,"")</f>
        <v/>
      </c>
    </row>
    <row r="63" customFormat="false" ht="15" hidden="false" customHeight="true" outlineLevel="0" collapsed="false">
      <c r="A63" s="77"/>
      <c r="B63" s="77"/>
      <c r="C63" s="77"/>
      <c r="D63" s="77"/>
      <c r="E63" s="77"/>
      <c r="F63" s="77"/>
      <c r="G63" s="78" t="str">
        <f aca="false">IF(N(E63)*N(F63)=0,"",E63*F63)</f>
        <v/>
      </c>
      <c r="H63" s="78" t="str">
        <f aca="false">IF(N(D63)*N(F63)=0,"",D63*F63/1000)</f>
        <v/>
      </c>
      <c r="I63" s="78" t="str">
        <f aca="false">IFERROR(G63/H63,"")</f>
        <v/>
      </c>
    </row>
    <row r="64" customFormat="false" ht="15" hidden="false" customHeight="true" outlineLevel="0" collapsed="false">
      <c r="A64" s="77"/>
      <c r="B64" s="77"/>
      <c r="C64" s="77"/>
      <c r="D64" s="77"/>
      <c r="E64" s="77"/>
      <c r="F64" s="77"/>
      <c r="G64" s="78" t="str">
        <f aca="false">IF(N(E64)*N(F64)=0,"",E64*F64)</f>
        <v/>
      </c>
      <c r="H64" s="78" t="str">
        <f aca="false">IF(N(D64)*N(F64)=0,"",D64*F64/1000)</f>
        <v/>
      </c>
      <c r="I64" s="78" t="str">
        <f aca="false">IFERROR(G64/H64,"")</f>
        <v/>
      </c>
    </row>
    <row r="65" customFormat="false" ht="15" hidden="false" customHeight="true" outlineLevel="0" collapsed="false">
      <c r="A65" s="77"/>
      <c r="B65" s="77"/>
      <c r="C65" s="77"/>
      <c r="D65" s="77"/>
      <c r="E65" s="77"/>
      <c r="F65" s="77"/>
      <c r="G65" s="78" t="str">
        <f aca="false">IF(N(E65)*N(F65)=0,"",E65*F65)</f>
        <v/>
      </c>
      <c r="H65" s="78" t="str">
        <f aca="false">IF(N(D65)*N(F65)=0,"",D65*F65/1000)</f>
        <v/>
      </c>
      <c r="I65" s="78" t="str">
        <f aca="false">IFERROR(G65/H65,"")</f>
        <v/>
      </c>
    </row>
    <row r="66" customFormat="false" ht="15" hidden="false" customHeight="true" outlineLevel="0" collapsed="false">
      <c r="A66" s="77"/>
      <c r="B66" s="77"/>
      <c r="C66" s="77"/>
      <c r="D66" s="77"/>
      <c r="E66" s="77"/>
      <c r="F66" s="77"/>
      <c r="G66" s="78" t="str">
        <f aca="false">IF(N(E66)*N(F66)=0,"",E66*F66)</f>
        <v/>
      </c>
      <c r="H66" s="78" t="str">
        <f aca="false">IF(N(D66)*N(F66)=0,"",D66*F66/1000)</f>
        <v/>
      </c>
      <c r="I66" s="78" t="str">
        <f aca="false">IFERROR(G66/H66,"")</f>
        <v/>
      </c>
    </row>
    <row r="67" customFormat="false" ht="15" hidden="false" customHeight="true" outlineLevel="0" collapsed="false">
      <c r="A67" s="77"/>
      <c r="B67" s="77"/>
      <c r="C67" s="77"/>
      <c r="D67" s="77"/>
      <c r="E67" s="77"/>
      <c r="F67" s="77"/>
      <c r="G67" s="78" t="str">
        <f aca="false">IF(N(E67)*N(F67)=0,"",E67*F67)</f>
        <v/>
      </c>
      <c r="H67" s="78" t="str">
        <f aca="false">IF(N(D67)*N(F67)=0,"",D67*F67/1000)</f>
        <v/>
      </c>
      <c r="I67" s="78" t="str">
        <f aca="false">IFERROR(G67/H67,"")</f>
        <v/>
      </c>
    </row>
    <row r="68" customFormat="false" ht="15" hidden="false" customHeight="true" outlineLevel="0" collapsed="false">
      <c r="A68" s="77"/>
      <c r="B68" s="77"/>
      <c r="C68" s="77"/>
      <c r="D68" s="77"/>
      <c r="E68" s="77"/>
      <c r="F68" s="77"/>
      <c r="G68" s="78" t="str">
        <f aca="false">IF(N(E68)*N(F68)=0,"",E68*F68)</f>
        <v/>
      </c>
      <c r="H68" s="78" t="str">
        <f aca="false">IF(N(D68)*N(F68)=0,"",D68*F68/1000)</f>
        <v/>
      </c>
      <c r="I68" s="78" t="str">
        <f aca="false">IFERROR(G68/H68,"")</f>
        <v/>
      </c>
    </row>
    <row r="69" customFormat="false" ht="15" hidden="false" customHeight="true" outlineLevel="0" collapsed="false">
      <c r="A69" s="77"/>
      <c r="B69" s="77"/>
      <c r="C69" s="77"/>
      <c r="D69" s="77"/>
      <c r="E69" s="77"/>
      <c r="F69" s="77"/>
      <c r="G69" s="78" t="str">
        <f aca="false">IF(N(E69)*N(F69)=0,"",E69*F69)</f>
        <v/>
      </c>
      <c r="H69" s="78" t="str">
        <f aca="false">IF(N(D69)*N(F69)=0,"",D69*F69/1000)</f>
        <v/>
      </c>
      <c r="I69" s="78" t="str">
        <f aca="false">IFERROR(G69/H69,"")</f>
        <v/>
      </c>
    </row>
    <row r="70" customFormat="false" ht="15" hidden="false" customHeight="true" outlineLevel="0" collapsed="false">
      <c r="A70" s="77"/>
      <c r="B70" s="77"/>
      <c r="C70" s="77"/>
      <c r="D70" s="77"/>
      <c r="E70" s="77"/>
      <c r="F70" s="77"/>
      <c r="G70" s="78" t="str">
        <f aca="false">IF(N(E70)*N(F70)=0,"",E70*F70)</f>
        <v/>
      </c>
      <c r="H70" s="78" t="str">
        <f aca="false">IF(N(D70)*N(F70)=0,"",D70*F70/1000)</f>
        <v/>
      </c>
      <c r="I70" s="78" t="str">
        <f aca="false">IFERROR(G70/H70,"")</f>
        <v/>
      </c>
    </row>
    <row r="71" customFormat="false" ht="15" hidden="false" customHeight="true" outlineLevel="0" collapsed="false">
      <c r="A71" s="77"/>
      <c r="B71" s="77"/>
      <c r="C71" s="77"/>
      <c r="D71" s="77"/>
      <c r="E71" s="77"/>
      <c r="F71" s="77"/>
      <c r="G71" s="78" t="str">
        <f aca="false">IF(N(E71)*N(F71)=0,"",E71*F71)</f>
        <v/>
      </c>
      <c r="H71" s="78" t="str">
        <f aca="false">IF(N(D71)*N(F71)=0,"",D71*F71/1000)</f>
        <v/>
      </c>
      <c r="I71" s="78" t="str">
        <f aca="false">IFERROR(G71/H71,"")</f>
        <v/>
      </c>
    </row>
    <row r="72" customFormat="false" ht="15" hidden="false" customHeight="true" outlineLevel="0" collapsed="false">
      <c r="A72" s="77"/>
      <c r="B72" s="77"/>
      <c r="C72" s="77"/>
      <c r="D72" s="77"/>
      <c r="E72" s="77"/>
      <c r="F72" s="77"/>
      <c r="G72" s="78" t="str">
        <f aca="false">IF(N(E72)*N(F72)=0,"",E72*F72)</f>
        <v/>
      </c>
      <c r="H72" s="78" t="str">
        <f aca="false">IF(N(D72)*N(F72)=0,"",D72*F72/1000)</f>
        <v/>
      </c>
      <c r="I72" s="78" t="str">
        <f aca="false">IFERROR(G72/H72,"")</f>
        <v/>
      </c>
    </row>
    <row r="73" customFormat="false" ht="15" hidden="false" customHeight="true" outlineLevel="0" collapsed="false">
      <c r="A73" s="77"/>
      <c r="B73" s="77"/>
      <c r="C73" s="77"/>
      <c r="D73" s="77"/>
      <c r="E73" s="77"/>
      <c r="F73" s="77"/>
      <c r="G73" s="78" t="str">
        <f aca="false">IF(N(E73)*N(F73)=0,"",E73*F73)</f>
        <v/>
      </c>
      <c r="H73" s="78" t="str">
        <f aca="false">IF(N(D73)*N(F73)=0,"",D73*F73/1000)</f>
        <v/>
      </c>
      <c r="I73" s="78" t="str">
        <f aca="false">IFERROR(G73/H73,"")</f>
        <v/>
      </c>
    </row>
    <row r="74" customFormat="false" ht="15" hidden="false" customHeight="true" outlineLevel="0" collapsed="false">
      <c r="A74" s="77"/>
      <c r="B74" s="77"/>
      <c r="C74" s="77"/>
      <c r="D74" s="77"/>
      <c r="E74" s="77"/>
      <c r="F74" s="77"/>
      <c r="G74" s="78" t="str">
        <f aca="false">IF(N(E74)*N(F74)=0,"",E74*F74)</f>
        <v/>
      </c>
      <c r="H74" s="78" t="str">
        <f aca="false">IF(N(D74)*N(F74)=0,"",D74*F74/1000)</f>
        <v/>
      </c>
      <c r="I74" s="78" t="str">
        <f aca="false">IFERROR(G74/H74,"")</f>
        <v/>
      </c>
    </row>
    <row r="75" customFormat="false" ht="15" hidden="false" customHeight="true" outlineLevel="0" collapsed="false">
      <c r="A75" s="77"/>
      <c r="B75" s="77"/>
      <c r="C75" s="77"/>
      <c r="D75" s="77"/>
      <c r="E75" s="77"/>
      <c r="F75" s="77"/>
      <c r="G75" s="78" t="str">
        <f aca="false">IF(N(E75)*N(F75)=0,"",E75*F75)</f>
        <v/>
      </c>
      <c r="H75" s="78" t="str">
        <f aca="false">IF(N(D75)*N(F75)=0,"",D75*F75/1000)</f>
        <v/>
      </c>
      <c r="I75" s="78" t="str">
        <f aca="false">IFERROR(G75/H75,"")</f>
        <v/>
      </c>
    </row>
    <row r="76" customFormat="false" ht="15" hidden="false" customHeight="true" outlineLevel="0" collapsed="false">
      <c r="A76" s="77"/>
      <c r="B76" s="77"/>
      <c r="C76" s="77"/>
      <c r="D76" s="77"/>
      <c r="E76" s="77"/>
      <c r="F76" s="77"/>
      <c r="G76" s="78" t="str">
        <f aca="false">IF(N(E76)*N(F76)=0,"",E76*F76)</f>
        <v/>
      </c>
      <c r="H76" s="78" t="str">
        <f aca="false">IF(N(D76)*N(F76)=0,"",D76*F76/1000)</f>
        <v/>
      </c>
      <c r="I76" s="78" t="str">
        <f aca="false">IFERROR(G76/H76,"")</f>
        <v/>
      </c>
    </row>
    <row r="77" customFormat="false" ht="15" hidden="false" customHeight="true" outlineLevel="0" collapsed="false">
      <c r="A77" s="77"/>
      <c r="B77" s="77"/>
      <c r="C77" s="77"/>
      <c r="D77" s="77"/>
      <c r="E77" s="77"/>
      <c r="F77" s="77"/>
      <c r="G77" s="78" t="str">
        <f aca="false">IF(N(E77)*N(F77)=0,"",E77*F77)</f>
        <v/>
      </c>
      <c r="H77" s="78" t="str">
        <f aca="false">IF(N(D77)*N(F77)=0,"",D77*F77/1000)</f>
        <v/>
      </c>
      <c r="I77" s="78" t="str">
        <f aca="false">IFERROR(G77/H77,"")</f>
        <v/>
      </c>
    </row>
    <row r="78" customFormat="false" ht="15" hidden="false" customHeight="true" outlineLevel="0" collapsed="false">
      <c r="A78" s="77"/>
      <c r="B78" s="77"/>
      <c r="C78" s="77"/>
      <c r="D78" s="77"/>
      <c r="E78" s="77"/>
      <c r="F78" s="77"/>
      <c r="G78" s="78" t="str">
        <f aca="false">IF(N(E78)*N(F78)=0,"",E78*F78)</f>
        <v/>
      </c>
      <c r="H78" s="78" t="str">
        <f aca="false">IF(N(D78)*N(F78)=0,"",D78*F78/1000)</f>
        <v/>
      </c>
      <c r="I78" s="78" t="str">
        <f aca="false">IFERROR(G78/H78,"")</f>
        <v/>
      </c>
    </row>
    <row r="79" customFormat="false" ht="15" hidden="false" customHeight="true" outlineLevel="0" collapsed="false">
      <c r="A79" s="77"/>
      <c r="B79" s="77"/>
      <c r="C79" s="77"/>
      <c r="D79" s="77"/>
      <c r="E79" s="77"/>
      <c r="F79" s="77"/>
      <c r="G79" s="78" t="str">
        <f aca="false">IF(N(E79)*N(F79)=0,"",E79*F79)</f>
        <v/>
      </c>
      <c r="H79" s="78" t="str">
        <f aca="false">IF(N(D79)*N(F79)=0,"",D79*F79/1000)</f>
        <v/>
      </c>
      <c r="I79" s="78" t="str">
        <f aca="false">IFERROR(G79/H79,"")</f>
        <v/>
      </c>
    </row>
    <row r="80" customFormat="false" ht="15" hidden="false" customHeight="true" outlineLevel="0" collapsed="false">
      <c r="A80" s="77"/>
      <c r="B80" s="77"/>
      <c r="C80" s="77"/>
      <c r="D80" s="77"/>
      <c r="E80" s="77"/>
      <c r="F80" s="77"/>
      <c r="G80" s="78" t="str">
        <f aca="false">IF(N(E80)*N(F80)=0,"",E80*F80)</f>
        <v/>
      </c>
      <c r="H80" s="78" t="str">
        <f aca="false">IF(N(D80)*N(F80)=0,"",D80*F80/1000)</f>
        <v/>
      </c>
      <c r="I80" s="78" t="str">
        <f aca="false">IFERROR(G80/H80,"")</f>
        <v/>
      </c>
    </row>
    <row r="81" customFormat="false" ht="15" hidden="false" customHeight="true" outlineLevel="0" collapsed="false">
      <c r="A81" s="77"/>
      <c r="B81" s="77"/>
      <c r="C81" s="77"/>
      <c r="D81" s="77"/>
      <c r="E81" s="77"/>
      <c r="F81" s="77"/>
      <c r="G81" s="78" t="str">
        <f aca="false">IF(N(E81)*N(F81)=0,"",E81*F81)</f>
        <v/>
      </c>
      <c r="H81" s="78" t="str">
        <f aca="false">IF(N(D81)*N(F81)=0,"",D81*F81/1000)</f>
        <v/>
      </c>
      <c r="I81" s="78" t="str">
        <f aca="false">IFERROR(G81/H81,"")</f>
        <v/>
      </c>
    </row>
    <row r="82" customFormat="false" ht="15" hidden="false" customHeight="true" outlineLevel="0" collapsed="false">
      <c r="A82" s="77"/>
      <c r="B82" s="77"/>
      <c r="C82" s="77"/>
      <c r="D82" s="77"/>
      <c r="E82" s="77"/>
      <c r="F82" s="77"/>
      <c r="G82" s="78" t="str">
        <f aca="false">IF(N(E82)*N(F82)=0,"",E82*F82)</f>
        <v/>
      </c>
      <c r="H82" s="78" t="str">
        <f aca="false">IF(N(D82)*N(F82)=0,"",D82*F82/1000)</f>
        <v/>
      </c>
      <c r="I82" s="78" t="str">
        <f aca="false">IFERROR(G82/H82,"")</f>
        <v/>
      </c>
    </row>
    <row r="83" customFormat="false" ht="15" hidden="false" customHeight="true" outlineLevel="0" collapsed="false">
      <c r="A83" s="77"/>
      <c r="B83" s="77"/>
      <c r="C83" s="77"/>
      <c r="D83" s="77"/>
      <c r="E83" s="77"/>
      <c r="F83" s="77"/>
      <c r="G83" s="78" t="str">
        <f aca="false">IF(N(E83)*N(F83)=0,"",E83*F83)</f>
        <v/>
      </c>
      <c r="H83" s="78" t="str">
        <f aca="false">IF(N(D83)*N(F83)=0,"",D83*F83/1000)</f>
        <v/>
      </c>
      <c r="I83" s="78" t="str">
        <f aca="false">IFERROR(G83/H83,"")</f>
        <v/>
      </c>
    </row>
    <row r="84" customFormat="false" ht="15" hidden="false" customHeight="true" outlineLevel="0" collapsed="false">
      <c r="A84" s="77"/>
      <c r="B84" s="77"/>
      <c r="C84" s="77"/>
      <c r="D84" s="77"/>
      <c r="E84" s="77"/>
      <c r="F84" s="77"/>
      <c r="G84" s="78" t="str">
        <f aca="false">IF(N(E84)*N(F84)=0,"",E84*F84)</f>
        <v/>
      </c>
      <c r="H84" s="78" t="str">
        <f aca="false">IF(N(D84)*N(F84)=0,"",D84*F84/1000)</f>
        <v/>
      </c>
      <c r="I84" s="78" t="str">
        <f aca="false">IFERROR(G84/H84,"")</f>
        <v/>
      </c>
    </row>
    <row r="85" customFormat="false" ht="15" hidden="false" customHeight="true" outlineLevel="0" collapsed="false">
      <c r="A85" s="77"/>
      <c r="B85" s="77"/>
      <c r="C85" s="77"/>
      <c r="D85" s="77"/>
      <c r="E85" s="77"/>
      <c r="F85" s="77"/>
      <c r="G85" s="78" t="str">
        <f aca="false">IF(N(E85)*N(F85)=0,"",E85*F85)</f>
        <v/>
      </c>
      <c r="H85" s="78" t="str">
        <f aca="false">IF(N(D85)*N(F85)=0,"",D85*F85/1000)</f>
        <v/>
      </c>
      <c r="I85" s="78" t="str">
        <f aca="false">IFERROR(G85/H85,"")</f>
        <v/>
      </c>
    </row>
    <row r="86" customFormat="false" ht="15" hidden="false" customHeight="true" outlineLevel="0" collapsed="false">
      <c r="A86" s="77"/>
      <c r="B86" s="77"/>
      <c r="C86" s="77"/>
      <c r="D86" s="77"/>
      <c r="E86" s="77"/>
      <c r="F86" s="77"/>
      <c r="G86" s="78" t="str">
        <f aca="false">IF(N(E86)*N(F86)=0,"",E86*F86)</f>
        <v/>
      </c>
      <c r="H86" s="78" t="str">
        <f aca="false">IF(N(D86)*N(F86)=0,"",D86*F86/1000)</f>
        <v/>
      </c>
      <c r="I86" s="78" t="str">
        <f aca="false">IFERROR(G86/H86,"")</f>
        <v/>
      </c>
    </row>
    <row r="87" customFormat="false" ht="15" hidden="false" customHeight="true" outlineLevel="0" collapsed="false">
      <c r="A87" s="77"/>
      <c r="B87" s="77"/>
      <c r="C87" s="77"/>
      <c r="D87" s="77"/>
      <c r="E87" s="77"/>
      <c r="F87" s="77"/>
      <c r="G87" s="78" t="str">
        <f aca="false">IF(N(E87)*N(F87)=0,"",E87*F87)</f>
        <v/>
      </c>
      <c r="H87" s="78" t="str">
        <f aca="false">IF(N(D87)*N(F87)=0,"",D87*F87/1000)</f>
        <v/>
      </c>
      <c r="I87" s="78" t="str">
        <f aca="false">IFERROR(G87/H87,"")</f>
        <v/>
      </c>
    </row>
    <row r="88" customFormat="false" ht="15" hidden="false" customHeight="true" outlineLevel="0" collapsed="false">
      <c r="A88" s="77"/>
      <c r="B88" s="77"/>
      <c r="C88" s="77"/>
      <c r="D88" s="77"/>
      <c r="E88" s="77"/>
      <c r="F88" s="77"/>
      <c r="G88" s="78" t="str">
        <f aca="false">IF(N(E88)*N(F88)=0,"",E88*F88)</f>
        <v/>
      </c>
      <c r="H88" s="78" t="str">
        <f aca="false">IF(N(D88)*N(F88)=0,"",D88*F88/1000)</f>
        <v/>
      </c>
      <c r="I88" s="78" t="str">
        <f aca="false">IFERROR(G88/H88,"")</f>
        <v/>
      </c>
    </row>
    <row r="89" customFormat="false" ht="15" hidden="false" customHeight="true" outlineLevel="0" collapsed="false">
      <c r="A89" s="77"/>
      <c r="B89" s="77"/>
      <c r="C89" s="77"/>
      <c r="D89" s="77"/>
      <c r="E89" s="77"/>
      <c r="F89" s="77"/>
      <c r="G89" s="78" t="str">
        <f aca="false">IF(N(E89)*N(F89)=0,"",E89*F89)</f>
        <v/>
      </c>
      <c r="H89" s="78" t="str">
        <f aca="false">IF(N(D89)*N(F89)=0,"",D89*F89/1000)</f>
        <v/>
      </c>
      <c r="I89" s="78" t="str">
        <f aca="false">IFERROR(G89/H89,"")</f>
        <v/>
      </c>
    </row>
    <row r="90" customFormat="false" ht="15" hidden="false" customHeight="true" outlineLevel="0" collapsed="false">
      <c r="A90" s="77"/>
      <c r="B90" s="77"/>
      <c r="C90" s="77"/>
      <c r="D90" s="77"/>
      <c r="E90" s="77"/>
      <c r="F90" s="77"/>
      <c r="G90" s="78" t="str">
        <f aca="false">IF(N(E90)*N(F90)=0,"",E90*F90)</f>
        <v/>
      </c>
      <c r="H90" s="78" t="str">
        <f aca="false">IF(N(D90)*N(F90)=0,"",D90*F90/1000)</f>
        <v/>
      </c>
      <c r="I90" s="78" t="str">
        <f aca="false">IFERROR(G90/H90,"")</f>
        <v/>
      </c>
    </row>
    <row r="91" customFormat="false" ht="15" hidden="false" customHeight="true" outlineLevel="0" collapsed="false">
      <c r="A91" s="77"/>
      <c r="B91" s="77"/>
      <c r="C91" s="77"/>
      <c r="D91" s="77"/>
      <c r="E91" s="77"/>
      <c r="F91" s="77"/>
      <c r="G91" s="78" t="str">
        <f aca="false">IF(N(E91)*N(F91)=0,"",E91*F91)</f>
        <v/>
      </c>
      <c r="H91" s="78" t="str">
        <f aca="false">IF(N(D91)*N(F91)=0,"",D91*F91/1000)</f>
        <v/>
      </c>
      <c r="I91" s="78" t="str">
        <f aca="false">IFERROR(G91/H91,"")</f>
        <v/>
      </c>
    </row>
    <row r="92" customFormat="false" ht="15" hidden="false" customHeight="true" outlineLevel="0" collapsed="false">
      <c r="A92" s="77"/>
      <c r="B92" s="77"/>
      <c r="C92" s="77"/>
      <c r="D92" s="77"/>
      <c r="E92" s="77"/>
      <c r="F92" s="77"/>
      <c r="G92" s="78" t="str">
        <f aca="false">IF(N(E92)*N(F92)=0,"",E92*F92)</f>
        <v/>
      </c>
      <c r="H92" s="78" t="str">
        <f aca="false">IF(N(D92)*N(F92)=0,"",D92*F92/1000)</f>
        <v/>
      </c>
      <c r="I92" s="78" t="str">
        <f aca="false">IFERROR(G92/H92,"")</f>
        <v/>
      </c>
    </row>
    <row r="93" customFormat="false" ht="15" hidden="false" customHeight="true" outlineLevel="0" collapsed="false">
      <c r="A93" s="77"/>
      <c r="B93" s="77"/>
      <c r="C93" s="77"/>
      <c r="D93" s="77"/>
      <c r="E93" s="77"/>
      <c r="F93" s="77"/>
      <c r="G93" s="78" t="str">
        <f aca="false">IF(N(E93)*N(F93)=0,"",E93*F93)</f>
        <v/>
      </c>
      <c r="H93" s="78" t="str">
        <f aca="false">IF(N(D93)*N(F93)=0,"",D93*F93/1000)</f>
        <v/>
      </c>
      <c r="I93" s="78" t="str">
        <f aca="false">IFERROR(G93/H93,"")</f>
        <v/>
      </c>
    </row>
    <row r="94" customFormat="false" ht="15" hidden="false" customHeight="true" outlineLevel="0" collapsed="false">
      <c r="A94" s="77"/>
      <c r="B94" s="77"/>
      <c r="C94" s="77"/>
      <c r="D94" s="77"/>
      <c r="E94" s="77"/>
      <c r="F94" s="77"/>
      <c r="G94" s="78" t="str">
        <f aca="false">IF(N(E94)*N(F94)=0,"",E94*F94)</f>
        <v/>
      </c>
      <c r="H94" s="78" t="str">
        <f aca="false">IF(N(D94)*N(F94)=0,"",D94*F94/1000)</f>
        <v/>
      </c>
      <c r="I94" s="78" t="str">
        <f aca="false">IFERROR(G94/H94,"")</f>
        <v/>
      </c>
    </row>
    <row r="95" customFormat="false" ht="15" hidden="false" customHeight="true" outlineLevel="0" collapsed="false">
      <c r="A95" s="77"/>
      <c r="B95" s="77"/>
      <c r="C95" s="77"/>
      <c r="D95" s="77"/>
      <c r="E95" s="77"/>
      <c r="F95" s="77"/>
      <c r="G95" s="78" t="str">
        <f aca="false">IF(N(E95)*N(F95)=0,"",E95*F95)</f>
        <v/>
      </c>
      <c r="H95" s="78" t="str">
        <f aca="false">IF(N(D95)*N(F95)=0,"",D95*F95/1000)</f>
        <v/>
      </c>
      <c r="I95" s="78" t="str">
        <f aca="false">IFERROR(G95/H95,"")</f>
        <v/>
      </c>
    </row>
    <row r="96" customFormat="false" ht="15" hidden="false" customHeight="true" outlineLevel="0" collapsed="false">
      <c r="A96" s="77"/>
      <c r="B96" s="77"/>
      <c r="C96" s="77"/>
      <c r="D96" s="77"/>
      <c r="E96" s="77"/>
      <c r="F96" s="77"/>
      <c r="G96" s="78" t="str">
        <f aca="false">IF(N(E96)*N(F96)=0,"",E96*F96)</f>
        <v/>
      </c>
      <c r="H96" s="78" t="str">
        <f aca="false">IF(N(D96)*N(F96)=0,"",D96*F96/1000)</f>
        <v/>
      </c>
      <c r="I96" s="78" t="str">
        <f aca="false">IFERROR(G96/H96,"")</f>
        <v/>
      </c>
    </row>
    <row r="97" customFormat="false" ht="15" hidden="false" customHeight="true" outlineLevel="0" collapsed="false">
      <c r="A97" s="77"/>
      <c r="B97" s="77"/>
      <c r="C97" s="77"/>
      <c r="D97" s="77"/>
      <c r="E97" s="77"/>
      <c r="F97" s="77"/>
      <c r="G97" s="78" t="str">
        <f aca="false">IF(N(E97)*N(F97)=0,"",E97*F97)</f>
        <v/>
      </c>
      <c r="H97" s="78" t="str">
        <f aca="false">IF(N(D97)*N(F97)=0,"",D97*F97/1000)</f>
        <v/>
      </c>
      <c r="I97" s="78" t="str">
        <f aca="false">IFERROR(G97/H97,"")</f>
        <v/>
      </c>
    </row>
    <row r="98" customFormat="false" ht="15" hidden="false" customHeight="true" outlineLevel="0" collapsed="false">
      <c r="A98" s="77"/>
      <c r="B98" s="77"/>
      <c r="C98" s="77"/>
      <c r="D98" s="77"/>
      <c r="E98" s="77"/>
      <c r="F98" s="77"/>
      <c r="G98" s="78" t="str">
        <f aca="false">IF(N(E98)*N(F98)=0,"",E98*F98)</f>
        <v/>
      </c>
      <c r="H98" s="78" t="str">
        <f aca="false">IF(N(D98)*N(F98)=0,"",D98*F98/1000)</f>
        <v/>
      </c>
      <c r="I98" s="78" t="str">
        <f aca="false">IFERROR(G98/H98,"")</f>
        <v/>
      </c>
    </row>
    <row r="99" customFormat="false" ht="15" hidden="false" customHeight="true" outlineLevel="0" collapsed="false">
      <c r="A99" s="77"/>
      <c r="B99" s="77"/>
      <c r="C99" s="77"/>
      <c r="D99" s="77"/>
      <c r="E99" s="77"/>
      <c r="F99" s="77"/>
      <c r="G99" s="78" t="str">
        <f aca="false">IF(N(E99)*N(F99)=0,"",E99*F99)</f>
        <v/>
      </c>
      <c r="H99" s="78" t="str">
        <f aca="false">IF(N(D99)*N(F99)=0,"",D99*F99/1000)</f>
        <v/>
      </c>
      <c r="I99" s="78" t="str">
        <f aca="false">IFERROR(G99/H99,"")</f>
        <v/>
      </c>
    </row>
    <row r="100" customFormat="false" ht="15" hidden="false" customHeight="true" outlineLevel="0" collapsed="false">
      <c r="A100" s="77"/>
      <c r="B100" s="77"/>
      <c r="C100" s="77"/>
      <c r="D100" s="77"/>
      <c r="E100" s="77"/>
      <c r="F100" s="77"/>
      <c r="G100" s="78" t="str">
        <f aca="false">IF(N(E100)*N(F100)=0,"",E100*F100)</f>
        <v/>
      </c>
      <c r="H100" s="78" t="str">
        <f aca="false">IF(N(D100)*N(F100)=0,"",D100*F100/1000)</f>
        <v/>
      </c>
      <c r="I100" s="78" t="str">
        <f aca="false">IFERROR(G100/H100,"")</f>
        <v/>
      </c>
    </row>
    <row r="101" customFormat="false" ht="15" hidden="false" customHeight="true" outlineLevel="0" collapsed="false">
      <c r="A101" s="77"/>
      <c r="B101" s="77"/>
      <c r="C101" s="77"/>
      <c r="D101" s="77"/>
      <c r="E101" s="77"/>
      <c r="F101" s="77"/>
      <c r="G101" s="78" t="str">
        <f aca="false">IF(N(E101)*N(F101)=0,"",E101*F101)</f>
        <v/>
      </c>
      <c r="H101" s="78" t="str">
        <f aca="false">IF(N(D101)*N(F101)=0,"",D101*F101/1000)</f>
        <v/>
      </c>
      <c r="I101" s="78" t="str">
        <f aca="false">IFERROR(G101/H101,"")</f>
        <v/>
      </c>
    </row>
    <row r="102" customFormat="false" ht="15" hidden="false" customHeight="true" outlineLevel="0" collapsed="false">
      <c r="A102" s="77"/>
      <c r="B102" s="77"/>
      <c r="C102" s="77"/>
      <c r="D102" s="77"/>
      <c r="E102" s="77"/>
      <c r="F102" s="77"/>
      <c r="G102" s="78" t="str">
        <f aca="false">IF(N(E102)*N(F102)=0,"",E102*F102)</f>
        <v/>
      </c>
      <c r="H102" s="78" t="str">
        <f aca="false">IF(N(D102)*N(F102)=0,"",D102*F102/1000)</f>
        <v/>
      </c>
      <c r="I102" s="78" t="str">
        <f aca="false">IFERROR(G102/H102,"")</f>
        <v/>
      </c>
    </row>
    <row r="103" customFormat="false" ht="15" hidden="false" customHeight="true" outlineLevel="0" collapsed="false">
      <c r="A103" s="77"/>
      <c r="B103" s="77"/>
      <c r="C103" s="77"/>
      <c r="D103" s="77"/>
      <c r="E103" s="77"/>
      <c r="F103" s="77"/>
      <c r="G103" s="78" t="str">
        <f aca="false">IF(N(E103)*N(F103)=0,"",E103*F103)</f>
        <v/>
      </c>
      <c r="H103" s="78" t="str">
        <f aca="false">IF(N(D103)*N(F103)=0,"",D103*F103/1000)</f>
        <v/>
      </c>
      <c r="I103" s="78" t="str">
        <f aca="false">IFERROR(G103/H103,"")</f>
        <v/>
      </c>
    </row>
    <row r="104" customFormat="false" ht="15" hidden="false" customHeight="true" outlineLevel="0" collapsed="false">
      <c r="A104" s="77"/>
      <c r="B104" s="77"/>
      <c r="C104" s="77"/>
      <c r="D104" s="77"/>
      <c r="E104" s="77"/>
      <c r="F104" s="77"/>
      <c r="G104" s="78" t="str">
        <f aca="false">IF(N(E104)*N(F104)=0,"",E104*F104)</f>
        <v/>
      </c>
      <c r="H104" s="78" t="str">
        <f aca="false">IF(N(D104)*N(F104)=0,"",D104*F104/1000)</f>
        <v/>
      </c>
      <c r="I104" s="78" t="str">
        <f aca="false">IFERROR(G104/H104,"")</f>
        <v/>
      </c>
    </row>
    <row r="105" customFormat="false" ht="15" hidden="false" customHeight="true" outlineLevel="0" collapsed="false">
      <c r="A105" s="77"/>
      <c r="B105" s="77"/>
      <c r="C105" s="77"/>
      <c r="D105" s="77"/>
      <c r="E105" s="77"/>
      <c r="F105" s="77"/>
      <c r="G105" s="78" t="str">
        <f aca="false">IF(N(E105)*N(F105)=0,"",E105*F105)</f>
        <v/>
      </c>
      <c r="H105" s="78" t="str">
        <f aca="false">IF(N(D105)*N(F105)=0,"",D105*F105/1000)</f>
        <v/>
      </c>
      <c r="I105" s="78" t="str">
        <f aca="false">IFERROR(G105/H105,"")</f>
        <v/>
      </c>
    </row>
    <row r="106" customFormat="false" ht="15" hidden="false" customHeight="true" outlineLevel="0" collapsed="false">
      <c r="A106" s="77"/>
      <c r="B106" s="77"/>
      <c r="C106" s="77"/>
      <c r="D106" s="77"/>
      <c r="E106" s="77"/>
      <c r="F106" s="77"/>
      <c r="G106" s="78" t="str">
        <f aca="false">IF(N(E106)*N(F106)=0,"",E106*F106)</f>
        <v/>
      </c>
      <c r="H106" s="78" t="str">
        <f aca="false">IF(N(D106)*N(F106)=0,"",D106*F106/1000)</f>
        <v/>
      </c>
      <c r="I106" s="78" t="str">
        <f aca="false">IFERROR(G106/H106,"")</f>
        <v/>
      </c>
    </row>
    <row r="107" customFormat="false" ht="15" hidden="false" customHeight="true" outlineLevel="0" collapsed="false">
      <c r="A107" s="77"/>
      <c r="B107" s="77"/>
      <c r="C107" s="77"/>
      <c r="D107" s="77"/>
      <c r="E107" s="77"/>
      <c r="F107" s="77"/>
      <c r="G107" s="78" t="str">
        <f aca="false">IF(N(E107)*N(F107)=0,"",E107*F107)</f>
        <v/>
      </c>
      <c r="H107" s="78" t="str">
        <f aca="false">IF(N(D107)*N(F107)=0,"",D107*F107/1000)</f>
        <v/>
      </c>
      <c r="I107" s="78" t="str">
        <f aca="false">IFERROR(G107/H107,"")</f>
        <v/>
      </c>
    </row>
    <row r="108" customFormat="false" ht="15" hidden="false" customHeight="true" outlineLevel="0" collapsed="false">
      <c r="A108" s="77"/>
      <c r="B108" s="77"/>
      <c r="C108" s="77"/>
      <c r="D108" s="77"/>
      <c r="E108" s="77"/>
      <c r="F108" s="77"/>
      <c r="G108" s="78" t="str">
        <f aca="false">IF(N(E108)*N(F108)=0,"",E108*F108)</f>
        <v/>
      </c>
      <c r="H108" s="78" t="str">
        <f aca="false">IF(N(D108)*N(F108)=0,"",D108*F108/1000)</f>
        <v/>
      </c>
      <c r="I108" s="78" t="str">
        <f aca="false">IFERROR(G108/H108,"")</f>
        <v/>
      </c>
    </row>
    <row r="109" customFormat="false" ht="15" hidden="false" customHeight="true" outlineLevel="0" collapsed="false">
      <c r="A109" s="77"/>
      <c r="B109" s="77"/>
      <c r="C109" s="77"/>
      <c r="D109" s="77"/>
      <c r="E109" s="77"/>
      <c r="F109" s="77"/>
      <c r="G109" s="78" t="str">
        <f aca="false">IF(N(E109)*N(F109)=0,"",E109*F109)</f>
        <v/>
      </c>
      <c r="H109" s="78" t="str">
        <f aca="false">IF(N(D109)*N(F109)=0,"",D109*F109/1000)</f>
        <v/>
      </c>
      <c r="I109" s="78" t="str">
        <f aca="false">IFERROR(G109/H109,"")</f>
        <v/>
      </c>
    </row>
    <row r="110" customFormat="false" ht="15" hidden="false" customHeight="true" outlineLevel="0" collapsed="false">
      <c r="A110" s="77"/>
      <c r="B110" s="77"/>
      <c r="C110" s="77"/>
      <c r="D110" s="77"/>
      <c r="E110" s="77"/>
      <c r="F110" s="77"/>
      <c r="G110" s="78" t="str">
        <f aca="false">IF(N(E110)*N(F110)=0,"",E110*F110)</f>
        <v/>
      </c>
      <c r="H110" s="78" t="str">
        <f aca="false">IF(N(D110)*N(F110)=0,"",D110*F110/1000)</f>
        <v/>
      </c>
      <c r="I110" s="78" t="str">
        <f aca="false">IFERROR(G110/H110,"")</f>
        <v/>
      </c>
    </row>
    <row r="111" customFormat="false" ht="15" hidden="false" customHeight="true" outlineLevel="0" collapsed="false">
      <c r="A111" s="77"/>
      <c r="B111" s="77"/>
      <c r="C111" s="77"/>
      <c r="D111" s="77"/>
      <c r="E111" s="77"/>
      <c r="F111" s="77"/>
      <c r="G111" s="78" t="str">
        <f aca="false">IF(N(E111)*N(F111)=0,"",E111*F111)</f>
        <v/>
      </c>
      <c r="H111" s="78" t="str">
        <f aca="false">IF(N(D111)*N(F111)=0,"",D111*F111/1000)</f>
        <v/>
      </c>
      <c r="I111" s="78" t="str">
        <f aca="false">IFERROR(G111/H111,"")</f>
        <v/>
      </c>
    </row>
    <row r="112" customFormat="false" ht="15" hidden="false" customHeight="true" outlineLevel="0" collapsed="false">
      <c r="A112" s="77"/>
      <c r="B112" s="77"/>
      <c r="C112" s="77"/>
      <c r="D112" s="77"/>
      <c r="E112" s="77"/>
      <c r="F112" s="77"/>
      <c r="G112" s="78" t="str">
        <f aca="false">IF(N(E112)*N(F112)=0,"",E112*F112)</f>
        <v/>
      </c>
      <c r="H112" s="78" t="str">
        <f aca="false">IF(N(D112)*N(F112)=0,"",D112*F112/1000)</f>
        <v/>
      </c>
      <c r="I112" s="78" t="str">
        <f aca="false">IFERROR(G112/H112,"")</f>
        <v/>
      </c>
    </row>
    <row r="113" customFormat="false" ht="15" hidden="false" customHeight="true" outlineLevel="0" collapsed="false">
      <c r="A113" s="77"/>
      <c r="B113" s="77"/>
      <c r="C113" s="77"/>
      <c r="D113" s="77"/>
      <c r="E113" s="77"/>
      <c r="F113" s="77"/>
      <c r="G113" s="78" t="str">
        <f aca="false">IF(N(E113)*N(F113)=0,"",E113*F113)</f>
        <v/>
      </c>
      <c r="H113" s="78" t="str">
        <f aca="false">IF(N(D113)*N(F113)=0,"",D113*F113/1000)</f>
        <v/>
      </c>
      <c r="I113" s="78" t="str">
        <f aca="false">IFERROR(G113/H113,"")</f>
        <v/>
      </c>
    </row>
    <row r="114" customFormat="false" ht="15" hidden="false" customHeight="true" outlineLevel="0" collapsed="false">
      <c r="A114" s="77"/>
      <c r="B114" s="77"/>
      <c r="C114" s="77"/>
      <c r="D114" s="77"/>
      <c r="E114" s="77"/>
      <c r="F114" s="77"/>
      <c r="G114" s="78" t="str">
        <f aca="false">IF(N(E114)*N(F114)=0,"",E114*F114)</f>
        <v/>
      </c>
      <c r="H114" s="78" t="str">
        <f aca="false">IF(N(D114)*N(F114)=0,"",D114*F114/1000)</f>
        <v/>
      </c>
      <c r="I114" s="78" t="str">
        <f aca="false">IFERROR(G114/H114,"")</f>
        <v/>
      </c>
    </row>
    <row r="115" customFormat="false" ht="15" hidden="false" customHeight="true" outlineLevel="0" collapsed="false">
      <c r="A115" s="77"/>
      <c r="B115" s="77"/>
      <c r="C115" s="77"/>
      <c r="D115" s="77"/>
      <c r="E115" s="77"/>
      <c r="F115" s="77"/>
      <c r="G115" s="78" t="str">
        <f aca="false">IF(N(E115)*N(F115)=0,"",E115*F115)</f>
        <v/>
      </c>
      <c r="H115" s="78" t="str">
        <f aca="false">IF(N(D115)*N(F115)=0,"",D115*F115/1000)</f>
        <v/>
      </c>
      <c r="I115" s="78" t="str">
        <f aca="false">IFERROR(G115/H115,"")</f>
        <v/>
      </c>
    </row>
    <row r="116" customFormat="false" ht="15" hidden="false" customHeight="true" outlineLevel="0" collapsed="false">
      <c r="A116" s="77"/>
      <c r="B116" s="77"/>
      <c r="C116" s="77"/>
      <c r="D116" s="77"/>
      <c r="E116" s="77"/>
      <c r="F116" s="77"/>
      <c r="G116" s="78" t="str">
        <f aca="false">IF(N(E116)*N(F116)=0,"",E116*F116)</f>
        <v/>
      </c>
      <c r="H116" s="78" t="str">
        <f aca="false">IF(N(D116)*N(F116)=0,"",D116*F116/1000)</f>
        <v/>
      </c>
      <c r="I116" s="78" t="str">
        <f aca="false">IFERROR(G116/H116,"")</f>
        <v/>
      </c>
    </row>
    <row r="117" customFormat="false" ht="15" hidden="false" customHeight="true" outlineLevel="0" collapsed="false">
      <c r="A117" s="77"/>
      <c r="B117" s="77"/>
      <c r="C117" s="77"/>
      <c r="D117" s="77"/>
      <c r="E117" s="77"/>
      <c r="F117" s="77"/>
      <c r="G117" s="78" t="str">
        <f aca="false">IF(N(E117)*N(F117)=0,"",E117*F117)</f>
        <v/>
      </c>
      <c r="H117" s="78" t="str">
        <f aca="false">IF(N(D117)*N(F117)=0,"",D117*F117/1000)</f>
        <v/>
      </c>
      <c r="I117" s="78" t="str">
        <f aca="false">IFERROR(G117/H117,"")</f>
        <v/>
      </c>
    </row>
    <row r="118" customFormat="false" ht="15" hidden="false" customHeight="true" outlineLevel="0" collapsed="false">
      <c r="A118" s="77"/>
      <c r="B118" s="77"/>
      <c r="C118" s="77"/>
      <c r="D118" s="77"/>
      <c r="E118" s="77"/>
      <c r="F118" s="77"/>
      <c r="G118" s="78" t="str">
        <f aca="false">IF(N(E118)*N(F118)=0,"",E118*F118)</f>
        <v/>
      </c>
      <c r="H118" s="78" t="str">
        <f aca="false">IF(N(D118)*N(F118)=0,"",D118*F118/1000)</f>
        <v/>
      </c>
      <c r="I118" s="78" t="str">
        <f aca="false">IFERROR(G118/H118,"")</f>
        <v/>
      </c>
    </row>
    <row r="119" customFormat="false" ht="15" hidden="false" customHeight="true" outlineLevel="0" collapsed="false">
      <c r="A119" s="77"/>
      <c r="B119" s="77"/>
      <c r="C119" s="77"/>
      <c r="D119" s="77"/>
      <c r="E119" s="77"/>
      <c r="F119" s="77"/>
      <c r="G119" s="78" t="str">
        <f aca="false">IF(N(E119)*N(F119)=0,"",E119*F119)</f>
        <v/>
      </c>
      <c r="H119" s="78" t="str">
        <f aca="false">IF(N(D119)*N(F119)=0,"",D119*F119/1000)</f>
        <v/>
      </c>
      <c r="I119" s="78" t="str">
        <f aca="false">IFERROR(G119/H119,"")</f>
        <v/>
      </c>
    </row>
    <row r="120" customFormat="false" ht="15" hidden="false" customHeight="true" outlineLevel="0" collapsed="false">
      <c r="A120" s="77"/>
      <c r="B120" s="77"/>
      <c r="C120" s="77"/>
      <c r="D120" s="77"/>
      <c r="E120" s="77"/>
      <c r="F120" s="77"/>
      <c r="G120" s="78" t="str">
        <f aca="false">IF(N(E120)*N(F120)=0,"",E120*F120)</f>
        <v/>
      </c>
      <c r="H120" s="78" t="str">
        <f aca="false">IF(N(D120)*N(F120)=0,"",D120*F120/1000)</f>
        <v/>
      </c>
      <c r="I120" s="78" t="str">
        <f aca="false">IFERROR(G120/H120,"")</f>
        <v/>
      </c>
    </row>
    <row r="121" customFormat="false" ht="15" hidden="false" customHeight="true" outlineLevel="0" collapsed="false">
      <c r="A121" s="77"/>
      <c r="B121" s="77"/>
      <c r="C121" s="77"/>
      <c r="D121" s="77"/>
      <c r="E121" s="77"/>
      <c r="F121" s="77"/>
      <c r="G121" s="78" t="str">
        <f aca="false">IF(N(E121)*N(F121)=0,"",E121*F121)</f>
        <v/>
      </c>
      <c r="H121" s="78" t="str">
        <f aca="false">IF(N(D121)*N(F121)=0,"",D121*F121/1000)</f>
        <v/>
      </c>
      <c r="I121" s="78" t="str">
        <f aca="false">IFERROR(G121/H121,"")</f>
        <v/>
      </c>
    </row>
    <row r="122" customFormat="false" ht="15" hidden="false" customHeight="true" outlineLevel="0" collapsed="false">
      <c r="A122" s="77"/>
      <c r="B122" s="77"/>
      <c r="C122" s="77"/>
      <c r="D122" s="77"/>
      <c r="E122" s="77"/>
      <c r="F122" s="77"/>
      <c r="G122" s="78" t="str">
        <f aca="false">IF(N(E122)*N(F122)=0,"",E122*F122)</f>
        <v/>
      </c>
      <c r="H122" s="78" t="str">
        <f aca="false">IF(N(D122)*N(F122)=0,"",D122*F122/1000)</f>
        <v/>
      </c>
      <c r="I122" s="78" t="str">
        <f aca="false">IFERROR(G122/H122,"")</f>
        <v/>
      </c>
    </row>
    <row r="123" customFormat="false" ht="15" hidden="false" customHeight="true" outlineLevel="0" collapsed="false">
      <c r="A123" s="77"/>
      <c r="B123" s="77"/>
      <c r="C123" s="77"/>
      <c r="D123" s="77"/>
      <c r="E123" s="77"/>
      <c r="F123" s="77"/>
      <c r="G123" s="78" t="str">
        <f aca="false">IF(N(E123)*N(F123)=0,"",E123*F123)</f>
        <v/>
      </c>
      <c r="H123" s="78" t="str">
        <f aca="false">IF(N(D123)*N(F123)=0,"",D123*F123/1000)</f>
        <v/>
      </c>
      <c r="I123" s="78" t="str">
        <f aca="false">IFERROR(G123/H123,"")</f>
        <v/>
      </c>
    </row>
    <row r="124" customFormat="false" ht="15" hidden="false" customHeight="true" outlineLevel="0" collapsed="false">
      <c r="A124" s="77"/>
      <c r="B124" s="77"/>
      <c r="C124" s="77"/>
      <c r="D124" s="77"/>
      <c r="E124" s="77"/>
      <c r="F124" s="77"/>
      <c r="G124" s="78" t="str">
        <f aca="false">IF(N(E124)*N(F124)=0,"",E124*F124)</f>
        <v/>
      </c>
      <c r="H124" s="78" t="str">
        <f aca="false">IF(N(D124)*N(F124)=0,"",D124*F124/1000)</f>
        <v/>
      </c>
      <c r="I124" s="78" t="str">
        <f aca="false">IFERROR(G124/H124,"")</f>
        <v/>
      </c>
    </row>
    <row r="125" customFormat="false" ht="15" hidden="false" customHeight="true" outlineLevel="0" collapsed="false">
      <c r="A125" s="77"/>
      <c r="B125" s="77"/>
      <c r="C125" s="77"/>
      <c r="D125" s="77"/>
      <c r="E125" s="77"/>
      <c r="F125" s="77"/>
      <c r="G125" s="78" t="str">
        <f aca="false">IF(N(E125)*N(F125)=0,"",E125*F125)</f>
        <v/>
      </c>
      <c r="H125" s="78" t="str">
        <f aca="false">IF(N(D125)*N(F125)=0,"",D125*F125/1000)</f>
        <v/>
      </c>
      <c r="I125" s="78" t="str">
        <f aca="false">IFERROR(G125/H125,"")</f>
        <v/>
      </c>
    </row>
    <row r="126" customFormat="false" ht="15" hidden="false" customHeight="true" outlineLevel="0" collapsed="false">
      <c r="A126" s="77"/>
      <c r="B126" s="77"/>
      <c r="C126" s="77"/>
      <c r="D126" s="77"/>
      <c r="E126" s="77"/>
      <c r="F126" s="77"/>
      <c r="G126" s="78" t="str">
        <f aca="false">IF(N(E126)*N(F126)=0,"",E126*F126)</f>
        <v/>
      </c>
      <c r="H126" s="78" t="str">
        <f aca="false">IF(N(D126)*N(F126)=0,"",D126*F126/1000)</f>
        <v/>
      </c>
      <c r="I126" s="78" t="str">
        <f aca="false">IFERROR(G126/H126,"")</f>
        <v/>
      </c>
    </row>
    <row r="127" customFormat="false" ht="15" hidden="false" customHeight="true" outlineLevel="0" collapsed="false">
      <c r="A127" s="77"/>
      <c r="B127" s="77"/>
      <c r="C127" s="77"/>
      <c r="D127" s="77"/>
      <c r="E127" s="77"/>
      <c r="F127" s="77"/>
      <c r="G127" s="78" t="str">
        <f aca="false">IF(N(E127)*N(F127)=0,"",E127*F127)</f>
        <v/>
      </c>
      <c r="H127" s="78" t="str">
        <f aca="false">IF(N(D127)*N(F127)=0,"",D127*F127/1000)</f>
        <v/>
      </c>
      <c r="I127" s="78" t="str">
        <f aca="false">IFERROR(G127/H127,"")</f>
        <v/>
      </c>
    </row>
    <row r="128" customFormat="false" ht="15" hidden="false" customHeight="true" outlineLevel="0" collapsed="false">
      <c r="A128" s="77"/>
      <c r="B128" s="77"/>
      <c r="C128" s="77"/>
      <c r="D128" s="77"/>
      <c r="E128" s="77"/>
      <c r="F128" s="77"/>
      <c r="G128" s="78" t="str">
        <f aca="false">IF(N(E128)*N(F128)=0,"",E128*F128)</f>
        <v/>
      </c>
      <c r="H128" s="78" t="str">
        <f aca="false">IF(N(D128)*N(F128)=0,"",D128*F128/1000)</f>
        <v/>
      </c>
      <c r="I128" s="78" t="str">
        <f aca="false">IFERROR(G128/H128,"")</f>
        <v/>
      </c>
    </row>
    <row r="129" customFormat="false" ht="15" hidden="false" customHeight="true" outlineLevel="0" collapsed="false">
      <c r="A129" s="77"/>
      <c r="B129" s="77"/>
      <c r="C129" s="77"/>
      <c r="D129" s="77"/>
      <c r="E129" s="77"/>
      <c r="F129" s="77"/>
      <c r="G129" s="78" t="str">
        <f aca="false">IF(N(E129)*N(F129)=0,"",E129*F129)</f>
        <v/>
      </c>
      <c r="H129" s="78" t="str">
        <f aca="false">IF(N(D129)*N(F129)=0,"",D129*F129/1000)</f>
        <v/>
      </c>
      <c r="I129" s="78" t="str">
        <f aca="false">IFERROR(G129/H129,"")</f>
        <v/>
      </c>
    </row>
    <row r="130" customFormat="false" ht="15" hidden="false" customHeight="true" outlineLevel="0" collapsed="false">
      <c r="A130" s="77"/>
      <c r="B130" s="77"/>
      <c r="C130" s="77"/>
      <c r="D130" s="77"/>
      <c r="E130" s="77"/>
      <c r="F130" s="77"/>
      <c r="G130" s="78" t="str">
        <f aca="false">IF(N(E130)*N(F130)=0,"",E130*F130)</f>
        <v/>
      </c>
      <c r="H130" s="78" t="str">
        <f aca="false">IF(N(D130)*N(F130)=0,"",D130*F130/1000)</f>
        <v/>
      </c>
      <c r="I130" s="78" t="str">
        <f aca="false">IFERROR(G130/H130,"")</f>
        <v/>
      </c>
    </row>
    <row r="131" customFormat="false" ht="15" hidden="false" customHeight="true" outlineLevel="0" collapsed="false">
      <c r="A131" s="77"/>
      <c r="B131" s="77"/>
      <c r="C131" s="77"/>
      <c r="D131" s="77"/>
      <c r="E131" s="77"/>
      <c r="F131" s="77"/>
      <c r="G131" s="78" t="str">
        <f aca="false">IF(N(E131)*N(F131)=0,"",E131*F131)</f>
        <v/>
      </c>
      <c r="H131" s="78" t="str">
        <f aca="false">IF(N(D131)*N(F131)=0,"",D131*F131/1000)</f>
        <v/>
      </c>
      <c r="I131" s="78" t="str">
        <f aca="false">IFERROR(G131/H131,"")</f>
        <v/>
      </c>
    </row>
    <row r="132" customFormat="false" ht="15" hidden="false" customHeight="true" outlineLevel="0" collapsed="false">
      <c r="A132" s="77"/>
      <c r="B132" s="77"/>
      <c r="C132" s="77"/>
      <c r="D132" s="77"/>
      <c r="E132" s="77"/>
      <c r="F132" s="77"/>
      <c r="G132" s="78" t="str">
        <f aca="false">IF(N(E132)*N(F132)=0,"",E132*F132)</f>
        <v/>
      </c>
      <c r="H132" s="78" t="str">
        <f aca="false">IF(N(D132)*N(F132)=0,"",D132*F132/1000)</f>
        <v/>
      </c>
      <c r="I132" s="78" t="str">
        <f aca="false">IFERROR(G132/H132,"")</f>
        <v/>
      </c>
    </row>
    <row r="133" customFormat="false" ht="15" hidden="false" customHeight="true" outlineLevel="0" collapsed="false">
      <c r="A133" s="77"/>
      <c r="B133" s="77"/>
      <c r="C133" s="77"/>
      <c r="D133" s="77"/>
      <c r="E133" s="77"/>
      <c r="F133" s="77"/>
      <c r="G133" s="78" t="str">
        <f aca="false">IF(N(E133)*N(F133)=0,"",E133*F133)</f>
        <v/>
      </c>
      <c r="H133" s="78" t="str">
        <f aca="false">IF(N(D133)*N(F133)=0,"",D133*F133/1000)</f>
        <v/>
      </c>
      <c r="I133" s="78" t="str">
        <f aca="false">IFERROR(G133/H133,"")</f>
        <v/>
      </c>
    </row>
    <row r="134" customFormat="false" ht="15" hidden="false" customHeight="true" outlineLevel="0" collapsed="false">
      <c r="A134" s="77"/>
      <c r="B134" s="77"/>
      <c r="C134" s="77"/>
      <c r="D134" s="77"/>
      <c r="E134" s="77"/>
      <c r="F134" s="77"/>
      <c r="G134" s="78" t="str">
        <f aca="false">IF(N(E134)*N(F134)=0,"",E134*F134)</f>
        <v/>
      </c>
      <c r="H134" s="78" t="str">
        <f aca="false">IF(N(D134)*N(F134)=0,"",D134*F134/1000)</f>
        <v/>
      </c>
      <c r="I134" s="78" t="str">
        <f aca="false">IFERROR(G134/H134,"")</f>
        <v/>
      </c>
    </row>
    <row r="135" customFormat="false" ht="15" hidden="false" customHeight="true" outlineLevel="0" collapsed="false">
      <c r="A135" s="77"/>
      <c r="B135" s="77"/>
      <c r="C135" s="77"/>
      <c r="D135" s="77"/>
      <c r="E135" s="77"/>
      <c r="F135" s="77"/>
      <c r="G135" s="78" t="str">
        <f aca="false">IF(N(E135)*N(F135)=0,"",E135*F135)</f>
        <v/>
      </c>
      <c r="H135" s="78" t="str">
        <f aca="false">IF(N(D135)*N(F135)=0,"",D135*F135/1000)</f>
        <v/>
      </c>
      <c r="I135" s="78" t="str">
        <f aca="false">IFERROR(G135/H135,"")</f>
        <v/>
      </c>
    </row>
    <row r="136" customFormat="false" ht="15" hidden="false" customHeight="true" outlineLevel="0" collapsed="false">
      <c r="A136" s="77"/>
      <c r="B136" s="77"/>
      <c r="C136" s="77"/>
      <c r="D136" s="77"/>
      <c r="E136" s="77"/>
      <c r="F136" s="77"/>
      <c r="G136" s="78" t="str">
        <f aca="false">IF(N(E136)*N(F136)=0,"",E136*F136)</f>
        <v/>
      </c>
      <c r="H136" s="78" t="str">
        <f aca="false">IF(N(D136)*N(F136)=0,"",D136*F136/1000)</f>
        <v/>
      </c>
      <c r="I136" s="78" t="str">
        <f aca="false">IFERROR(G136/H136,"")</f>
        <v/>
      </c>
    </row>
    <row r="137" customFormat="false" ht="15" hidden="false" customHeight="true" outlineLevel="0" collapsed="false">
      <c r="A137" s="77"/>
      <c r="B137" s="77"/>
      <c r="C137" s="77"/>
      <c r="D137" s="77"/>
      <c r="E137" s="77"/>
      <c r="F137" s="77"/>
      <c r="G137" s="78" t="str">
        <f aca="false">IF(N(E137)*N(F137)=0,"",E137*F137)</f>
        <v/>
      </c>
      <c r="H137" s="78" t="str">
        <f aca="false">IF(N(D137)*N(F137)=0,"",D137*F137/1000)</f>
        <v/>
      </c>
      <c r="I137" s="78" t="str">
        <f aca="false">IFERROR(G137/H137,"")</f>
        <v/>
      </c>
    </row>
    <row r="138" customFormat="false" ht="15" hidden="false" customHeight="true" outlineLevel="0" collapsed="false">
      <c r="A138" s="77"/>
      <c r="B138" s="77"/>
      <c r="C138" s="77"/>
      <c r="D138" s="77"/>
      <c r="E138" s="77"/>
      <c r="F138" s="77"/>
      <c r="G138" s="78" t="str">
        <f aca="false">IF(N(E138)*N(F138)=0,"",E138*F138)</f>
        <v/>
      </c>
      <c r="H138" s="78" t="str">
        <f aca="false">IF(N(D138)*N(F138)=0,"",D138*F138/1000)</f>
        <v/>
      </c>
      <c r="I138" s="78" t="str">
        <f aca="false">IFERROR(G138/H138,"")</f>
        <v/>
      </c>
    </row>
    <row r="139" customFormat="false" ht="15" hidden="false" customHeight="true" outlineLevel="0" collapsed="false">
      <c r="A139" s="77"/>
      <c r="B139" s="77"/>
      <c r="C139" s="77"/>
      <c r="D139" s="77"/>
      <c r="E139" s="77"/>
      <c r="F139" s="77"/>
      <c r="G139" s="78" t="str">
        <f aca="false">IF(N(E139)*N(F139)=0,"",E139*F139)</f>
        <v/>
      </c>
      <c r="H139" s="78" t="str">
        <f aca="false">IF(N(D139)*N(F139)=0,"",D139*F139/1000)</f>
        <v/>
      </c>
      <c r="I139" s="78" t="str">
        <f aca="false">IFERROR(G139/H139,"")</f>
        <v/>
      </c>
    </row>
    <row r="140" customFormat="false" ht="15" hidden="false" customHeight="true" outlineLevel="0" collapsed="false">
      <c r="A140" s="77"/>
      <c r="B140" s="77"/>
      <c r="C140" s="77"/>
      <c r="D140" s="77"/>
      <c r="E140" s="77"/>
      <c r="F140" s="77"/>
      <c r="G140" s="78" t="str">
        <f aca="false">IF(N(E140)*N(F140)=0,"",E140*F140)</f>
        <v/>
      </c>
      <c r="H140" s="78" t="str">
        <f aca="false">IF(N(D140)*N(F140)=0,"",D140*F140/1000)</f>
        <v/>
      </c>
      <c r="I140" s="78" t="str">
        <f aca="false">IFERROR(G140/H140,"")</f>
        <v/>
      </c>
    </row>
    <row r="141" customFormat="false" ht="15" hidden="false" customHeight="true" outlineLevel="0" collapsed="false">
      <c r="A141" s="77"/>
      <c r="B141" s="77"/>
      <c r="C141" s="77"/>
      <c r="D141" s="77"/>
      <c r="E141" s="77"/>
      <c r="F141" s="77"/>
      <c r="G141" s="78" t="str">
        <f aca="false">IF(N(E141)*N(F141)=0,"",E141*F141)</f>
        <v/>
      </c>
      <c r="H141" s="78" t="str">
        <f aca="false">IF(N(D141)*N(F141)=0,"",D141*F141/1000)</f>
        <v/>
      </c>
      <c r="I141" s="78" t="str">
        <f aca="false">IFERROR(G141/H141,"")</f>
        <v/>
      </c>
    </row>
    <row r="142" customFormat="false" ht="15" hidden="false" customHeight="true" outlineLevel="0" collapsed="false">
      <c r="A142" s="77"/>
      <c r="B142" s="77"/>
      <c r="C142" s="77"/>
      <c r="D142" s="77"/>
      <c r="E142" s="77"/>
      <c r="F142" s="77"/>
      <c r="G142" s="78" t="str">
        <f aca="false">IF(N(E142)*N(F142)=0,"",E142*F142)</f>
        <v/>
      </c>
      <c r="H142" s="78" t="str">
        <f aca="false">IF(N(D142)*N(F142)=0,"",D142*F142/1000)</f>
        <v/>
      </c>
      <c r="I142" s="78" t="str">
        <f aca="false">IFERROR(G142/H142,"")</f>
        <v/>
      </c>
    </row>
    <row r="143" customFormat="false" ht="15" hidden="false" customHeight="true" outlineLevel="0" collapsed="false">
      <c r="A143" s="77"/>
      <c r="B143" s="77"/>
      <c r="C143" s="77"/>
      <c r="D143" s="77"/>
      <c r="E143" s="77"/>
      <c r="F143" s="77"/>
      <c r="G143" s="78" t="str">
        <f aca="false">IF(N(E143)*N(F143)=0,"",E143*F143)</f>
        <v/>
      </c>
      <c r="H143" s="78" t="str">
        <f aca="false">IF(N(D143)*N(F143)=0,"",D143*F143/1000)</f>
        <v/>
      </c>
      <c r="I143" s="78" t="str">
        <f aca="false">IFERROR(G143/H143,"")</f>
        <v/>
      </c>
    </row>
    <row r="144" customFormat="false" ht="15" hidden="false" customHeight="true" outlineLevel="0" collapsed="false">
      <c r="A144" s="77"/>
      <c r="B144" s="77"/>
      <c r="C144" s="77"/>
      <c r="D144" s="77"/>
      <c r="E144" s="77"/>
      <c r="F144" s="77"/>
      <c r="G144" s="78" t="str">
        <f aca="false">IF(N(E144)*N(F144)=0,"",E144*F144)</f>
        <v/>
      </c>
      <c r="H144" s="78" t="str">
        <f aca="false">IF(N(D144)*N(F144)=0,"",D144*F144/1000)</f>
        <v/>
      </c>
      <c r="I144" s="78" t="str">
        <f aca="false">IFERROR(G144/H144,"")</f>
        <v/>
      </c>
    </row>
    <row r="145" customFormat="false" ht="15" hidden="false" customHeight="true" outlineLevel="0" collapsed="false">
      <c r="A145" s="77"/>
      <c r="B145" s="77"/>
      <c r="C145" s="77"/>
      <c r="D145" s="77"/>
      <c r="E145" s="77"/>
      <c r="F145" s="77"/>
      <c r="G145" s="78" t="str">
        <f aca="false">IF(N(E145)*N(F145)=0,"",E145*F145)</f>
        <v/>
      </c>
      <c r="H145" s="78" t="str">
        <f aca="false">IF(N(D145)*N(F145)=0,"",D145*F145/1000)</f>
        <v/>
      </c>
      <c r="I145" s="78" t="str">
        <f aca="false">IFERROR(G145/H145,"")</f>
        <v/>
      </c>
    </row>
    <row r="146" customFormat="false" ht="15" hidden="false" customHeight="true" outlineLevel="0" collapsed="false">
      <c r="A146" s="77"/>
      <c r="B146" s="77"/>
      <c r="C146" s="77"/>
      <c r="D146" s="77"/>
      <c r="E146" s="77"/>
      <c r="F146" s="77"/>
      <c r="G146" s="78" t="str">
        <f aca="false">IF(N(E146)*N(F146)=0,"",E146*F146)</f>
        <v/>
      </c>
      <c r="H146" s="78" t="str">
        <f aca="false">IF(N(D146)*N(F146)=0,"",D146*F146/1000)</f>
        <v/>
      </c>
      <c r="I146" s="78" t="str">
        <f aca="false">IFERROR(G146/H146,"")</f>
        <v/>
      </c>
    </row>
    <row r="147" customFormat="false" ht="15" hidden="false" customHeight="true" outlineLevel="0" collapsed="false">
      <c r="A147" s="77"/>
      <c r="B147" s="77"/>
      <c r="C147" s="77"/>
      <c r="D147" s="77"/>
      <c r="E147" s="77"/>
      <c r="F147" s="77"/>
      <c r="G147" s="78" t="str">
        <f aca="false">IF(N(E147)*N(F147)=0,"",E147*F147)</f>
        <v/>
      </c>
      <c r="H147" s="78" t="str">
        <f aca="false">IF(N(D147)*N(F147)=0,"",D147*F147/1000)</f>
        <v/>
      </c>
      <c r="I147" s="78" t="str">
        <f aca="false">IFERROR(G147/H147,"")</f>
        <v/>
      </c>
    </row>
    <row r="148" customFormat="false" ht="15" hidden="false" customHeight="true" outlineLevel="0" collapsed="false">
      <c r="A148" s="77"/>
      <c r="B148" s="77"/>
      <c r="C148" s="77"/>
      <c r="D148" s="77"/>
      <c r="E148" s="77"/>
      <c r="F148" s="77"/>
      <c r="G148" s="78" t="str">
        <f aca="false">IF(N(E148)*N(F148)=0,"",E148*F148)</f>
        <v/>
      </c>
      <c r="H148" s="78" t="str">
        <f aca="false">IF(N(D148)*N(F148)=0,"",D148*F148/1000)</f>
        <v/>
      </c>
      <c r="I148" s="78" t="str">
        <f aca="false">IFERROR(G148/H148,"")</f>
        <v/>
      </c>
    </row>
    <row r="149" customFormat="false" ht="15" hidden="false" customHeight="true" outlineLevel="0" collapsed="false">
      <c r="A149" s="77"/>
      <c r="B149" s="77"/>
      <c r="C149" s="77"/>
      <c r="D149" s="77"/>
      <c r="E149" s="77"/>
      <c r="F149" s="77"/>
      <c r="G149" s="78" t="str">
        <f aca="false">IF(N(E149)*N(F149)=0,"",E149*F149)</f>
        <v/>
      </c>
      <c r="H149" s="78" t="str">
        <f aca="false">IF(N(D149)*N(F149)=0,"",D149*F149/1000)</f>
        <v/>
      </c>
      <c r="I149" s="78" t="str">
        <f aca="false">IFERROR(G149/H149,"")</f>
        <v/>
      </c>
    </row>
    <row r="150" customFormat="false" ht="15" hidden="false" customHeight="true" outlineLevel="0" collapsed="false">
      <c r="A150" s="77"/>
      <c r="B150" s="77"/>
      <c r="C150" s="77"/>
      <c r="D150" s="77"/>
      <c r="E150" s="77"/>
      <c r="F150" s="77"/>
      <c r="G150" s="78" t="str">
        <f aca="false">IF(N(E150)*N(F150)=0,"",E150*F150)</f>
        <v/>
      </c>
      <c r="H150" s="78" t="str">
        <f aca="false">IF(N(D150)*N(F150)=0,"",D150*F150/1000)</f>
        <v/>
      </c>
      <c r="I150" s="78" t="str">
        <f aca="false">IFERROR(G150/H150,"")</f>
        <v/>
      </c>
    </row>
    <row r="151" customFormat="false" ht="15" hidden="false" customHeight="true" outlineLevel="0" collapsed="false">
      <c r="A151" s="77"/>
      <c r="B151" s="77"/>
      <c r="C151" s="77"/>
      <c r="D151" s="77"/>
      <c r="E151" s="77"/>
      <c r="F151" s="77"/>
      <c r="G151" s="78" t="str">
        <f aca="false">IF(N(E151)*N(F151)=0,"",E151*F151)</f>
        <v/>
      </c>
      <c r="H151" s="78" t="str">
        <f aca="false">IF(N(D151)*N(F151)=0,"",D151*F151/1000)</f>
        <v/>
      </c>
      <c r="I151" s="78" t="str">
        <f aca="false">IFERROR(G151/H151,"")</f>
        <v/>
      </c>
    </row>
    <row r="152" customFormat="false" ht="15" hidden="false" customHeight="true" outlineLevel="0" collapsed="false">
      <c r="A152" s="77"/>
      <c r="B152" s="77"/>
      <c r="C152" s="77"/>
      <c r="D152" s="77"/>
      <c r="E152" s="77"/>
      <c r="F152" s="77"/>
      <c r="G152" s="78" t="str">
        <f aca="false">IF(N(E152)*N(F152)=0,"",E152*F152)</f>
        <v/>
      </c>
      <c r="H152" s="78" t="str">
        <f aca="false">IF(N(D152)*N(F152)=0,"",D152*F152/1000)</f>
        <v/>
      </c>
      <c r="I152" s="78" t="str">
        <f aca="false">IFERROR(G152/H152,"")</f>
        <v/>
      </c>
    </row>
    <row r="153" customFormat="false" ht="15" hidden="false" customHeight="true" outlineLevel="0" collapsed="false">
      <c r="A153" s="77"/>
      <c r="B153" s="77"/>
      <c r="C153" s="77"/>
      <c r="D153" s="77"/>
      <c r="E153" s="77"/>
      <c r="F153" s="77"/>
      <c r="G153" s="78" t="str">
        <f aca="false">IF(N(E153)*N(F153)=0,"",E153*F153)</f>
        <v/>
      </c>
      <c r="H153" s="78" t="str">
        <f aca="false">IF(N(D153)*N(F153)=0,"",D153*F153/1000)</f>
        <v/>
      </c>
      <c r="I153" s="78" t="str">
        <f aca="false">IFERROR(G153/H153,"")</f>
        <v/>
      </c>
    </row>
    <row r="154" customFormat="false" ht="15" hidden="false" customHeight="true" outlineLevel="0" collapsed="false">
      <c r="A154" s="77"/>
      <c r="B154" s="77"/>
      <c r="C154" s="77"/>
      <c r="D154" s="77"/>
      <c r="E154" s="77"/>
      <c r="F154" s="77"/>
      <c r="G154" s="78" t="str">
        <f aca="false">IF(N(E154)*N(F154)=0,"",E154*F154)</f>
        <v/>
      </c>
      <c r="H154" s="78" t="str">
        <f aca="false">IF(N(D154)*N(F154)=0,"",D154*F154/1000)</f>
        <v/>
      </c>
      <c r="I154" s="78" t="str">
        <f aca="false">IFERROR(G154/H154,"")</f>
        <v/>
      </c>
    </row>
    <row r="155" customFormat="false" ht="15" hidden="false" customHeight="true" outlineLevel="0" collapsed="false">
      <c r="A155" s="77"/>
      <c r="B155" s="77"/>
      <c r="C155" s="77"/>
      <c r="D155" s="77"/>
      <c r="E155" s="77"/>
      <c r="F155" s="77"/>
      <c r="G155" s="78" t="str">
        <f aca="false">IF(N(E155)*N(F155)=0,"",E155*F155)</f>
        <v/>
      </c>
      <c r="H155" s="78" t="str">
        <f aca="false">IF(N(D155)*N(F155)=0,"",D155*F155/1000)</f>
        <v/>
      </c>
      <c r="I155" s="78" t="str">
        <f aca="false">IFERROR(G155/H155,"")</f>
        <v/>
      </c>
    </row>
    <row r="156" customFormat="false" ht="15" hidden="false" customHeight="true" outlineLevel="0" collapsed="false">
      <c r="A156" s="77"/>
      <c r="B156" s="77"/>
      <c r="C156" s="77"/>
      <c r="D156" s="77"/>
      <c r="E156" s="77"/>
      <c r="F156" s="77"/>
      <c r="G156" s="78" t="str">
        <f aca="false">IF(N(E156)*N(F156)=0,"",E156*F156)</f>
        <v/>
      </c>
      <c r="H156" s="78" t="str">
        <f aca="false">IF(N(D156)*N(F156)=0,"",D156*F156/1000)</f>
        <v/>
      </c>
      <c r="I156" s="78" t="str">
        <f aca="false">IFERROR(G156/H156,"")</f>
        <v/>
      </c>
    </row>
    <row r="157" customFormat="false" ht="15" hidden="false" customHeight="true" outlineLevel="0" collapsed="false">
      <c r="A157" s="77"/>
      <c r="B157" s="77"/>
      <c r="C157" s="77"/>
      <c r="D157" s="77"/>
      <c r="E157" s="77"/>
      <c r="F157" s="77"/>
      <c r="G157" s="78" t="str">
        <f aca="false">IF(N(E157)*N(F157)=0,"",E157*F157)</f>
        <v/>
      </c>
      <c r="H157" s="78" t="str">
        <f aca="false">IF(N(D157)*N(F157)=0,"",D157*F157/1000)</f>
        <v/>
      </c>
      <c r="I157" s="78" t="str">
        <f aca="false">IFERROR(G157/H157,"")</f>
        <v/>
      </c>
    </row>
    <row r="158" customFormat="false" ht="15" hidden="false" customHeight="true" outlineLevel="0" collapsed="false">
      <c r="A158" s="77"/>
      <c r="B158" s="77"/>
      <c r="C158" s="77"/>
      <c r="D158" s="77"/>
      <c r="E158" s="77"/>
      <c r="F158" s="77"/>
      <c r="G158" s="78" t="str">
        <f aca="false">IF(N(E158)*N(F158)=0,"",E158*F158)</f>
        <v/>
      </c>
      <c r="H158" s="78" t="str">
        <f aca="false">IF(N(D158)*N(F158)=0,"",D158*F158/1000)</f>
        <v/>
      </c>
      <c r="I158" s="78" t="str">
        <f aca="false">IFERROR(G158/H158,"")</f>
        <v/>
      </c>
    </row>
    <row r="159" customFormat="false" ht="15" hidden="false" customHeight="true" outlineLevel="0" collapsed="false">
      <c r="A159" s="77"/>
      <c r="B159" s="77"/>
      <c r="C159" s="77"/>
      <c r="D159" s="77"/>
      <c r="E159" s="77"/>
      <c r="F159" s="77"/>
      <c r="G159" s="78" t="str">
        <f aca="false">IF(N(E159)*N(F159)=0,"",E159*F159)</f>
        <v/>
      </c>
      <c r="H159" s="78" t="str">
        <f aca="false">IF(N(D159)*N(F159)=0,"",D159*F159/1000)</f>
        <v/>
      </c>
      <c r="I159" s="78" t="str">
        <f aca="false">IFERROR(G159/H159,"")</f>
        <v/>
      </c>
    </row>
    <row r="160" customFormat="false" ht="15" hidden="false" customHeight="true" outlineLevel="0" collapsed="false">
      <c r="A160" s="77"/>
      <c r="B160" s="77"/>
      <c r="C160" s="77"/>
      <c r="D160" s="77"/>
      <c r="E160" s="77"/>
      <c r="F160" s="77"/>
      <c r="G160" s="78" t="str">
        <f aca="false">IF(N(E160)*N(F160)=0,"",E160*F160)</f>
        <v/>
      </c>
      <c r="H160" s="78" t="str">
        <f aca="false">IF(N(D160)*N(F160)=0,"",D160*F160/1000)</f>
        <v/>
      </c>
      <c r="I160" s="78" t="str">
        <f aca="false">IFERROR(G160/H160,"")</f>
        <v/>
      </c>
    </row>
    <row r="161" customFormat="false" ht="15" hidden="false" customHeight="true" outlineLevel="0" collapsed="false">
      <c r="A161" s="77"/>
      <c r="B161" s="77"/>
      <c r="C161" s="77"/>
      <c r="D161" s="77"/>
      <c r="E161" s="77"/>
      <c r="F161" s="77"/>
      <c r="G161" s="78" t="str">
        <f aca="false">IF(N(E161)*N(F161)=0,"",E161*F161)</f>
        <v/>
      </c>
      <c r="H161" s="78" t="str">
        <f aca="false">IF(N(D161)*N(F161)=0,"",D161*F161/1000)</f>
        <v/>
      </c>
      <c r="I161" s="78" t="str">
        <f aca="false">IFERROR(G161/H161,"")</f>
        <v/>
      </c>
    </row>
    <row r="162" customFormat="false" ht="15" hidden="false" customHeight="true" outlineLevel="0" collapsed="false">
      <c r="A162" s="77"/>
      <c r="B162" s="77"/>
      <c r="C162" s="77"/>
      <c r="D162" s="77"/>
      <c r="E162" s="77"/>
      <c r="F162" s="77"/>
      <c r="G162" s="78" t="str">
        <f aca="false">IF(N(E162)*N(F162)=0,"",E162*F162)</f>
        <v/>
      </c>
      <c r="H162" s="78" t="str">
        <f aca="false">IF(N(D162)*N(F162)=0,"",D162*F162/1000)</f>
        <v/>
      </c>
      <c r="I162" s="78" t="str">
        <f aca="false">IFERROR(G162/H162,"")</f>
        <v/>
      </c>
    </row>
    <row r="163" customFormat="false" ht="15" hidden="false" customHeight="true" outlineLevel="0" collapsed="false">
      <c r="A163" s="77"/>
      <c r="B163" s="77"/>
      <c r="C163" s="77"/>
      <c r="D163" s="77"/>
      <c r="E163" s="77"/>
      <c r="F163" s="77"/>
      <c r="G163" s="78" t="str">
        <f aca="false">IF(N(E163)*N(F163)=0,"",E163*F163)</f>
        <v/>
      </c>
      <c r="H163" s="78" t="str">
        <f aca="false">IF(N(D163)*N(F163)=0,"",D163*F163/1000)</f>
        <v/>
      </c>
      <c r="I163" s="78" t="str">
        <f aca="false">IFERROR(G163/H163,"")</f>
        <v/>
      </c>
    </row>
    <row r="164" customFormat="false" ht="15" hidden="false" customHeight="true" outlineLevel="0" collapsed="false">
      <c r="A164" s="77"/>
      <c r="B164" s="77"/>
      <c r="C164" s="77"/>
      <c r="D164" s="77"/>
      <c r="E164" s="77"/>
      <c r="F164" s="77"/>
      <c r="G164" s="78" t="str">
        <f aca="false">IF(N(E164)*N(F164)=0,"",E164*F164)</f>
        <v/>
      </c>
      <c r="H164" s="78" t="str">
        <f aca="false">IF(N(D164)*N(F164)=0,"",D164*F164/1000)</f>
        <v/>
      </c>
      <c r="I164" s="78" t="str">
        <f aca="false">IFERROR(G164/H164,"")</f>
        <v/>
      </c>
    </row>
    <row r="165" customFormat="false" ht="15" hidden="false" customHeight="true" outlineLevel="0" collapsed="false">
      <c r="A165" s="77"/>
      <c r="B165" s="77"/>
      <c r="C165" s="77"/>
      <c r="D165" s="77"/>
      <c r="E165" s="77"/>
      <c r="F165" s="77"/>
      <c r="G165" s="78" t="str">
        <f aca="false">IF(N(E165)*N(F165)=0,"",E165*F165)</f>
        <v/>
      </c>
      <c r="H165" s="78" t="str">
        <f aca="false">IF(N(D165)*N(F165)=0,"",D165*F165/1000)</f>
        <v/>
      </c>
      <c r="I165" s="78" t="str">
        <f aca="false">IFERROR(G165/H165,"")</f>
        <v/>
      </c>
    </row>
    <row r="166" customFormat="false" ht="15" hidden="false" customHeight="true" outlineLevel="0" collapsed="false">
      <c r="A166" s="77"/>
      <c r="B166" s="77"/>
      <c r="C166" s="77"/>
      <c r="D166" s="77"/>
      <c r="E166" s="77"/>
      <c r="F166" s="77"/>
      <c r="G166" s="78" t="str">
        <f aca="false">IF(N(E166)*N(F166)=0,"",E166*F166)</f>
        <v/>
      </c>
      <c r="H166" s="78" t="str">
        <f aca="false">IF(N(D166)*N(F166)=0,"",D166*F166/1000)</f>
        <v/>
      </c>
      <c r="I166" s="78" t="str">
        <f aca="false">IFERROR(G166/H166,"")</f>
        <v/>
      </c>
    </row>
    <row r="167" customFormat="false" ht="15" hidden="false" customHeight="true" outlineLevel="0" collapsed="false">
      <c r="A167" s="77"/>
      <c r="B167" s="77"/>
      <c r="C167" s="77"/>
      <c r="D167" s="77"/>
      <c r="E167" s="77"/>
      <c r="F167" s="77"/>
      <c r="G167" s="78" t="str">
        <f aca="false">IF(N(E167)*N(F167)=0,"",E167*F167)</f>
        <v/>
      </c>
      <c r="H167" s="78" t="str">
        <f aca="false">IF(N(D167)*N(F167)=0,"",D167*F167/1000)</f>
        <v/>
      </c>
      <c r="I167" s="78" t="str">
        <f aca="false">IFERROR(G167/H167,"")</f>
        <v/>
      </c>
    </row>
    <row r="168" customFormat="false" ht="15" hidden="false" customHeight="true" outlineLevel="0" collapsed="false">
      <c r="A168" s="77"/>
      <c r="B168" s="77"/>
      <c r="C168" s="77"/>
      <c r="D168" s="77"/>
      <c r="E168" s="77"/>
      <c r="F168" s="77"/>
      <c r="G168" s="78" t="str">
        <f aca="false">IF(N(E168)*N(F168)=0,"",E168*F168)</f>
        <v/>
      </c>
      <c r="H168" s="78" t="str">
        <f aca="false">IF(N(D168)*N(F168)=0,"",D168*F168/1000)</f>
        <v/>
      </c>
      <c r="I168" s="78" t="str">
        <f aca="false">IFERROR(G168/H168,"")</f>
        <v/>
      </c>
    </row>
    <row r="169" customFormat="false" ht="15" hidden="false" customHeight="true" outlineLevel="0" collapsed="false">
      <c r="A169" s="77"/>
      <c r="B169" s="77"/>
      <c r="C169" s="77"/>
      <c r="D169" s="77"/>
      <c r="E169" s="77"/>
      <c r="F169" s="77"/>
      <c r="G169" s="78" t="str">
        <f aca="false">IF(N(E169)*N(F169)=0,"",E169*F169)</f>
        <v/>
      </c>
      <c r="H169" s="78" t="str">
        <f aca="false">IF(N(D169)*N(F169)=0,"",D169*F169/1000)</f>
        <v/>
      </c>
      <c r="I169" s="78" t="str">
        <f aca="false">IFERROR(G169/H169,"")</f>
        <v/>
      </c>
    </row>
    <row r="170" customFormat="false" ht="15" hidden="false" customHeight="true" outlineLevel="0" collapsed="false">
      <c r="A170" s="77"/>
      <c r="B170" s="77"/>
      <c r="C170" s="77"/>
      <c r="D170" s="77"/>
      <c r="E170" s="77"/>
      <c r="F170" s="77"/>
      <c r="G170" s="78" t="str">
        <f aca="false">IF(N(E170)*N(F170)=0,"",E170*F170)</f>
        <v/>
      </c>
      <c r="H170" s="78" t="str">
        <f aca="false">IF(N(D170)*N(F170)=0,"",D170*F170/1000)</f>
        <v/>
      </c>
      <c r="I170" s="78" t="str">
        <f aca="false">IFERROR(G170/H170,"")</f>
        <v/>
      </c>
    </row>
    <row r="171" customFormat="false" ht="15" hidden="false" customHeight="true" outlineLevel="0" collapsed="false">
      <c r="A171" s="77"/>
      <c r="B171" s="77"/>
      <c r="C171" s="77"/>
      <c r="D171" s="77"/>
      <c r="E171" s="77"/>
      <c r="F171" s="77"/>
      <c r="G171" s="78" t="str">
        <f aca="false">IF(N(E171)*N(F171)=0,"",E171*F171)</f>
        <v/>
      </c>
      <c r="H171" s="78" t="str">
        <f aca="false">IF(N(D171)*N(F171)=0,"",D171*F171/1000)</f>
        <v/>
      </c>
      <c r="I171" s="78" t="str">
        <f aca="false">IFERROR(G171/H171,"")</f>
        <v/>
      </c>
    </row>
    <row r="172" customFormat="false" ht="15" hidden="false" customHeight="true" outlineLevel="0" collapsed="false">
      <c r="A172" s="77"/>
      <c r="B172" s="77"/>
      <c r="C172" s="77"/>
      <c r="D172" s="77"/>
      <c r="E172" s="77"/>
      <c r="F172" s="77"/>
      <c r="G172" s="78" t="str">
        <f aca="false">IF(N(E172)*N(F172)=0,"",E172*F172)</f>
        <v/>
      </c>
      <c r="H172" s="78" t="str">
        <f aca="false">IF(N(D172)*N(F172)=0,"",D172*F172/1000)</f>
        <v/>
      </c>
      <c r="I172" s="78" t="str">
        <f aca="false">IFERROR(G172/H172,"")</f>
        <v/>
      </c>
    </row>
    <row r="173" customFormat="false" ht="15" hidden="false" customHeight="true" outlineLevel="0" collapsed="false">
      <c r="A173" s="77"/>
      <c r="B173" s="77"/>
      <c r="C173" s="77"/>
      <c r="D173" s="77"/>
      <c r="E173" s="77"/>
      <c r="F173" s="77"/>
      <c r="G173" s="78" t="str">
        <f aca="false">IF(N(E173)*N(F173)=0,"",E173*F173)</f>
        <v/>
      </c>
      <c r="H173" s="78" t="str">
        <f aca="false">IF(N(D173)*N(F173)=0,"",D173*F173/1000)</f>
        <v/>
      </c>
      <c r="I173" s="78" t="str">
        <f aca="false">IFERROR(G173/H173,"")</f>
        <v/>
      </c>
    </row>
    <row r="174" customFormat="false" ht="15" hidden="false" customHeight="true" outlineLevel="0" collapsed="false">
      <c r="A174" s="77"/>
      <c r="B174" s="77"/>
      <c r="C174" s="77"/>
      <c r="D174" s="77"/>
      <c r="E174" s="77"/>
      <c r="F174" s="77"/>
      <c r="G174" s="78" t="str">
        <f aca="false">IF(N(E174)*N(F174)=0,"",E174*F174)</f>
        <v/>
      </c>
      <c r="H174" s="78" t="str">
        <f aca="false">IF(N(D174)*N(F174)=0,"",D174*F174/1000)</f>
        <v/>
      </c>
      <c r="I174" s="78" t="str">
        <f aca="false">IFERROR(G174/H174,"")</f>
        <v/>
      </c>
    </row>
    <row r="175" customFormat="false" ht="15" hidden="false" customHeight="true" outlineLevel="0" collapsed="false">
      <c r="A175" s="77"/>
      <c r="B175" s="77"/>
      <c r="C175" s="77"/>
      <c r="D175" s="77"/>
      <c r="E175" s="77"/>
      <c r="F175" s="77"/>
      <c r="G175" s="78" t="str">
        <f aca="false">IF(N(E175)*N(F175)=0,"",E175*F175)</f>
        <v/>
      </c>
      <c r="H175" s="78" t="str">
        <f aca="false">IF(N(D175)*N(F175)=0,"",D175*F175/1000)</f>
        <v/>
      </c>
      <c r="I175" s="78" t="str">
        <f aca="false">IFERROR(G175/H175,"")</f>
        <v/>
      </c>
    </row>
    <row r="176" customFormat="false" ht="15" hidden="false" customHeight="true" outlineLevel="0" collapsed="false">
      <c r="A176" s="77"/>
      <c r="B176" s="77"/>
      <c r="C176" s="77"/>
      <c r="D176" s="77"/>
      <c r="E176" s="77"/>
      <c r="F176" s="77"/>
      <c r="G176" s="78" t="str">
        <f aca="false">IF(N(E176)*N(F176)=0,"",E176*F176)</f>
        <v/>
      </c>
      <c r="H176" s="78" t="str">
        <f aca="false">IF(N(D176)*N(F176)=0,"",D176*F176/1000)</f>
        <v/>
      </c>
      <c r="I176" s="78" t="str">
        <f aca="false">IFERROR(G176/H176,"")</f>
        <v/>
      </c>
    </row>
    <row r="177" customFormat="false" ht="15" hidden="false" customHeight="true" outlineLevel="0" collapsed="false">
      <c r="A177" s="77"/>
      <c r="B177" s="77"/>
      <c r="C177" s="77"/>
      <c r="D177" s="77"/>
      <c r="E177" s="77"/>
      <c r="F177" s="77"/>
      <c r="G177" s="78" t="str">
        <f aca="false">IF(N(E177)*N(F177)=0,"",E177*F177)</f>
        <v/>
      </c>
      <c r="H177" s="78" t="str">
        <f aca="false">IF(N(D177)*N(F177)=0,"",D177*F177/1000)</f>
        <v/>
      </c>
      <c r="I177" s="78" t="str">
        <f aca="false">IFERROR(G177/H177,"")</f>
        <v/>
      </c>
    </row>
    <row r="178" customFormat="false" ht="15" hidden="false" customHeight="true" outlineLevel="0" collapsed="false">
      <c r="A178" s="77"/>
      <c r="B178" s="77"/>
      <c r="C178" s="77"/>
      <c r="D178" s="77"/>
      <c r="E178" s="77"/>
      <c r="F178" s="77"/>
      <c r="G178" s="78" t="str">
        <f aca="false">IF(N(E178)*N(F178)=0,"",E178*F178)</f>
        <v/>
      </c>
      <c r="H178" s="78" t="str">
        <f aca="false">IF(N(D178)*N(F178)=0,"",D178*F178/1000)</f>
        <v/>
      </c>
      <c r="I178" s="78" t="str">
        <f aca="false">IFERROR(G178/H178,"")</f>
        <v/>
      </c>
    </row>
    <row r="179" customFormat="false" ht="15" hidden="false" customHeight="true" outlineLevel="0" collapsed="false">
      <c r="A179" s="77"/>
      <c r="B179" s="77"/>
      <c r="C179" s="77"/>
      <c r="D179" s="77"/>
      <c r="E179" s="77"/>
      <c r="F179" s="77"/>
      <c r="G179" s="78" t="str">
        <f aca="false">IF(N(E179)*N(F179)=0,"",E179*F179)</f>
        <v/>
      </c>
      <c r="H179" s="78" t="str">
        <f aca="false">IF(N(D179)*N(F179)=0,"",D179*F179/1000)</f>
        <v/>
      </c>
      <c r="I179" s="78" t="str">
        <f aca="false">IFERROR(G179/H179,"")</f>
        <v/>
      </c>
    </row>
    <row r="180" customFormat="false" ht="15" hidden="false" customHeight="true" outlineLevel="0" collapsed="false">
      <c r="A180" s="77"/>
      <c r="B180" s="77"/>
      <c r="C180" s="77"/>
      <c r="D180" s="77"/>
      <c r="E180" s="77"/>
      <c r="F180" s="77"/>
      <c r="G180" s="78" t="str">
        <f aca="false">IF(N(E180)*N(F180)=0,"",E180*F180)</f>
        <v/>
      </c>
      <c r="H180" s="78" t="str">
        <f aca="false">IF(N(D180)*N(F180)=0,"",D180*F180/1000)</f>
        <v/>
      </c>
      <c r="I180" s="78" t="str">
        <f aca="false">IFERROR(G180/H180,"")</f>
        <v/>
      </c>
    </row>
    <row r="181" customFormat="false" ht="15" hidden="false" customHeight="true" outlineLevel="0" collapsed="false">
      <c r="A181" s="77"/>
      <c r="B181" s="77"/>
      <c r="C181" s="77"/>
      <c r="D181" s="77"/>
      <c r="E181" s="77"/>
      <c r="F181" s="77"/>
      <c r="G181" s="78" t="str">
        <f aca="false">IF(N(E181)*N(F181)=0,"",E181*F181)</f>
        <v/>
      </c>
      <c r="H181" s="78" t="str">
        <f aca="false">IF(N(D181)*N(F181)=0,"",D181*F181/1000)</f>
        <v/>
      </c>
      <c r="I181" s="78" t="str">
        <f aca="false">IFERROR(G181/H181,"")</f>
        <v/>
      </c>
    </row>
    <row r="182" customFormat="false" ht="15" hidden="false" customHeight="true" outlineLevel="0" collapsed="false">
      <c r="A182" s="77"/>
      <c r="B182" s="77"/>
      <c r="C182" s="77"/>
      <c r="D182" s="77"/>
      <c r="E182" s="77"/>
      <c r="F182" s="77"/>
      <c r="G182" s="78" t="str">
        <f aca="false">IF(N(E182)*N(F182)=0,"",E182*F182)</f>
        <v/>
      </c>
      <c r="H182" s="78" t="str">
        <f aca="false">IF(N(D182)*N(F182)=0,"",D182*F182/1000)</f>
        <v/>
      </c>
      <c r="I182" s="78" t="str">
        <f aca="false">IFERROR(G182/H182,"")</f>
        <v/>
      </c>
    </row>
    <row r="183" customFormat="false" ht="15" hidden="false" customHeight="true" outlineLevel="0" collapsed="false">
      <c r="A183" s="77"/>
      <c r="B183" s="77"/>
      <c r="C183" s="77"/>
      <c r="D183" s="77"/>
      <c r="E183" s="77"/>
      <c r="F183" s="77"/>
      <c r="G183" s="78" t="str">
        <f aca="false">IF(N(E183)*N(F183)=0,"",E183*F183)</f>
        <v/>
      </c>
      <c r="H183" s="78" t="str">
        <f aca="false">IF(N(D183)*N(F183)=0,"",D183*F183/1000)</f>
        <v/>
      </c>
      <c r="I183" s="78" t="str">
        <f aca="false">IFERROR(G183/H183,"")</f>
        <v/>
      </c>
    </row>
    <row r="184" customFormat="false" ht="15" hidden="false" customHeight="true" outlineLevel="0" collapsed="false">
      <c r="A184" s="77"/>
      <c r="B184" s="77"/>
      <c r="C184" s="77"/>
      <c r="D184" s="77"/>
      <c r="E184" s="77"/>
      <c r="F184" s="77"/>
      <c r="G184" s="78" t="str">
        <f aca="false">IF(N(E184)*N(F184)=0,"",E184*F184)</f>
        <v/>
      </c>
      <c r="H184" s="78" t="str">
        <f aca="false">IF(N(D184)*N(F184)=0,"",D184*F184/1000)</f>
        <v/>
      </c>
      <c r="I184" s="78" t="str">
        <f aca="false">IFERROR(G184/H184,"")</f>
        <v/>
      </c>
    </row>
    <row r="185" customFormat="false" ht="15" hidden="false" customHeight="true" outlineLevel="0" collapsed="false">
      <c r="A185" s="77"/>
      <c r="B185" s="77"/>
      <c r="C185" s="77"/>
      <c r="D185" s="77"/>
      <c r="E185" s="77"/>
      <c r="F185" s="77"/>
      <c r="G185" s="78" t="str">
        <f aca="false">IF(N(E185)*N(F185)=0,"",E185*F185)</f>
        <v/>
      </c>
      <c r="H185" s="78" t="str">
        <f aca="false">IF(N(D185)*N(F185)=0,"",D185*F185/1000)</f>
        <v/>
      </c>
      <c r="I185" s="78" t="str">
        <f aca="false">IFERROR(G185/H185,"")</f>
        <v/>
      </c>
    </row>
    <row r="186" customFormat="false" ht="15" hidden="false" customHeight="true" outlineLevel="0" collapsed="false">
      <c r="A186" s="77"/>
      <c r="B186" s="77"/>
      <c r="C186" s="77"/>
      <c r="D186" s="77"/>
      <c r="E186" s="77"/>
      <c r="F186" s="77"/>
      <c r="G186" s="78" t="str">
        <f aca="false">IF(N(E186)*N(F186)=0,"",E186*F186)</f>
        <v/>
      </c>
      <c r="H186" s="78" t="str">
        <f aca="false">IF(N(D186)*N(F186)=0,"",D186*F186/1000)</f>
        <v/>
      </c>
      <c r="I186" s="78" t="str">
        <f aca="false">IFERROR(G186/H186,"")</f>
        <v/>
      </c>
    </row>
    <row r="187" customFormat="false" ht="15" hidden="false" customHeight="true" outlineLevel="0" collapsed="false">
      <c r="A187" s="77"/>
      <c r="B187" s="77"/>
      <c r="C187" s="77"/>
      <c r="D187" s="77"/>
      <c r="E187" s="77"/>
      <c r="F187" s="77"/>
      <c r="G187" s="78" t="str">
        <f aca="false">IF(N(E187)*N(F187)=0,"",E187*F187)</f>
        <v/>
      </c>
      <c r="H187" s="78" t="str">
        <f aca="false">IF(N(D187)*N(F187)=0,"",D187*F187/1000)</f>
        <v/>
      </c>
      <c r="I187" s="78" t="str">
        <f aca="false">IFERROR(G187/H187,"")</f>
        <v/>
      </c>
    </row>
    <row r="188" customFormat="false" ht="15" hidden="false" customHeight="true" outlineLevel="0" collapsed="false">
      <c r="A188" s="77"/>
      <c r="B188" s="77"/>
      <c r="C188" s="77"/>
      <c r="D188" s="77"/>
      <c r="E188" s="77"/>
      <c r="F188" s="77"/>
      <c r="G188" s="78" t="str">
        <f aca="false">IF(N(E188)*N(F188)=0,"",E188*F188)</f>
        <v/>
      </c>
      <c r="H188" s="78" t="str">
        <f aca="false">IF(N(D188)*N(F188)=0,"",D188*F188/1000)</f>
        <v/>
      </c>
      <c r="I188" s="78" t="str">
        <f aca="false">IFERROR(G188/H188,"")</f>
        <v/>
      </c>
    </row>
    <row r="189" customFormat="false" ht="15" hidden="false" customHeight="true" outlineLevel="0" collapsed="false">
      <c r="A189" s="77"/>
      <c r="B189" s="77"/>
      <c r="C189" s="77"/>
      <c r="D189" s="77"/>
      <c r="E189" s="77"/>
      <c r="F189" s="77"/>
      <c r="G189" s="78" t="str">
        <f aca="false">IF(N(E189)*N(F189)=0,"",E189*F189)</f>
        <v/>
      </c>
      <c r="H189" s="78" t="str">
        <f aca="false">IF(N(D189)*N(F189)=0,"",D189*F189/1000)</f>
        <v/>
      </c>
      <c r="I189" s="78" t="str">
        <f aca="false">IFERROR(G189/H189,"")</f>
        <v/>
      </c>
    </row>
    <row r="190" customFormat="false" ht="15" hidden="false" customHeight="true" outlineLevel="0" collapsed="false">
      <c r="A190" s="77"/>
      <c r="B190" s="77"/>
      <c r="C190" s="77"/>
      <c r="D190" s="77"/>
      <c r="E190" s="77"/>
      <c r="F190" s="77"/>
      <c r="G190" s="78" t="str">
        <f aca="false">IF(N(E190)*N(F190)=0,"",E190*F190)</f>
        <v/>
      </c>
      <c r="H190" s="78" t="str">
        <f aca="false">IF(N(D190)*N(F190)=0,"",D190*F190/1000)</f>
        <v/>
      </c>
      <c r="I190" s="78" t="str">
        <f aca="false">IFERROR(G190/H190,"")</f>
        <v/>
      </c>
    </row>
    <row r="191" customFormat="false" ht="15" hidden="false" customHeight="true" outlineLevel="0" collapsed="false">
      <c r="A191" s="77"/>
      <c r="B191" s="77"/>
      <c r="C191" s="77"/>
      <c r="D191" s="77"/>
      <c r="E191" s="77"/>
      <c r="F191" s="77"/>
      <c r="G191" s="78" t="str">
        <f aca="false">IF(N(E191)*N(F191)=0,"",E191*F191)</f>
        <v/>
      </c>
      <c r="H191" s="78" t="str">
        <f aca="false">IF(N(D191)*N(F191)=0,"",D191*F191/1000)</f>
        <v/>
      </c>
      <c r="I191" s="78" t="str">
        <f aca="false">IFERROR(G191/H191,"")</f>
        <v/>
      </c>
    </row>
    <row r="192" customFormat="false" ht="15" hidden="false" customHeight="true" outlineLevel="0" collapsed="false">
      <c r="A192" s="77"/>
      <c r="B192" s="77"/>
      <c r="C192" s="77"/>
      <c r="D192" s="77"/>
      <c r="E192" s="77"/>
      <c r="F192" s="77"/>
      <c r="G192" s="78" t="str">
        <f aca="false">IF(N(E192)*N(F192)=0,"",E192*F192)</f>
        <v/>
      </c>
      <c r="H192" s="78" t="str">
        <f aca="false">IF(N(D192)*N(F192)=0,"",D192*F192/1000)</f>
        <v/>
      </c>
      <c r="I192" s="78" t="str">
        <f aca="false">IFERROR(G192/H192,"")</f>
        <v/>
      </c>
    </row>
    <row r="193" customFormat="false" ht="15" hidden="false" customHeight="true" outlineLevel="0" collapsed="false">
      <c r="A193" s="77"/>
      <c r="B193" s="77"/>
      <c r="C193" s="77"/>
      <c r="D193" s="77"/>
      <c r="E193" s="77"/>
      <c r="F193" s="77"/>
      <c r="G193" s="78" t="str">
        <f aca="false">IF(N(E193)*N(F193)=0,"",E193*F193)</f>
        <v/>
      </c>
      <c r="H193" s="78" t="str">
        <f aca="false">IF(N(D193)*N(F193)=0,"",D193*F193/1000)</f>
        <v/>
      </c>
      <c r="I193" s="78" t="str">
        <f aca="false">IFERROR(G193/H193,"")</f>
        <v/>
      </c>
    </row>
    <row r="194" customFormat="false" ht="15" hidden="false" customHeight="true" outlineLevel="0" collapsed="false">
      <c r="A194" s="77"/>
      <c r="B194" s="77"/>
      <c r="C194" s="77"/>
      <c r="D194" s="77"/>
      <c r="E194" s="77"/>
      <c r="F194" s="77"/>
      <c r="G194" s="78" t="str">
        <f aca="false">IF(N(E194)*N(F194)=0,"",E194*F194)</f>
        <v/>
      </c>
      <c r="H194" s="78" t="str">
        <f aca="false">IF(N(D194)*N(F194)=0,"",D194*F194/1000)</f>
        <v/>
      </c>
      <c r="I194" s="78" t="str">
        <f aca="false">IFERROR(G194/H194,"")</f>
        <v/>
      </c>
    </row>
    <row r="195" customFormat="false" ht="15" hidden="false" customHeight="true" outlineLevel="0" collapsed="false">
      <c r="A195" s="77"/>
      <c r="B195" s="77"/>
      <c r="C195" s="77"/>
      <c r="D195" s="77"/>
      <c r="E195" s="77"/>
      <c r="F195" s="77"/>
      <c r="G195" s="78" t="str">
        <f aca="false">IF(N(E195)*N(F195)=0,"",E195*F195)</f>
        <v/>
      </c>
      <c r="H195" s="78" t="str">
        <f aca="false">IF(N(D195)*N(F195)=0,"",D195*F195/1000)</f>
        <v/>
      </c>
      <c r="I195" s="78" t="str">
        <f aca="false">IFERROR(G195/H195,"")</f>
        <v/>
      </c>
    </row>
    <row r="196" customFormat="false" ht="15" hidden="false" customHeight="true" outlineLevel="0" collapsed="false">
      <c r="A196" s="77"/>
      <c r="B196" s="77"/>
      <c r="C196" s="77"/>
      <c r="D196" s="77"/>
      <c r="E196" s="77"/>
      <c r="F196" s="77"/>
      <c r="G196" s="78" t="str">
        <f aca="false">IF(N(E196)*N(F196)=0,"",E196*F196)</f>
        <v/>
      </c>
      <c r="H196" s="78" t="str">
        <f aca="false">IF(N(D196)*N(F196)=0,"",D196*F196/1000)</f>
        <v/>
      </c>
      <c r="I196" s="78" t="str">
        <f aca="false">IFERROR(G196/H196,"")</f>
        <v/>
      </c>
    </row>
    <row r="197" customFormat="false" ht="15" hidden="false" customHeight="true" outlineLevel="0" collapsed="false">
      <c r="A197" s="77"/>
      <c r="B197" s="77"/>
      <c r="C197" s="77"/>
      <c r="D197" s="77"/>
      <c r="E197" s="77"/>
      <c r="F197" s="77"/>
      <c r="G197" s="78" t="str">
        <f aca="false">IF(N(E197)*N(F197)=0,"",E197*F197)</f>
        <v/>
      </c>
      <c r="H197" s="78" t="str">
        <f aca="false">IF(N(D197)*N(F197)=0,"",D197*F197/1000)</f>
        <v/>
      </c>
      <c r="I197" s="78" t="str">
        <f aca="false">IFERROR(G197/H197,"")</f>
        <v/>
      </c>
    </row>
    <row r="198" customFormat="false" ht="15" hidden="false" customHeight="true" outlineLevel="0" collapsed="false">
      <c r="A198" s="77"/>
      <c r="B198" s="77"/>
      <c r="C198" s="77"/>
      <c r="D198" s="77"/>
      <c r="E198" s="77"/>
      <c r="F198" s="77"/>
      <c r="G198" s="78" t="str">
        <f aca="false">IF(N(E198)*N(F198)=0,"",E198*F198)</f>
        <v/>
      </c>
      <c r="H198" s="78" t="str">
        <f aca="false">IF(N(D198)*N(F198)=0,"",D198*F198/1000)</f>
        <v/>
      </c>
      <c r="I198" s="78" t="str">
        <f aca="false">IFERROR(G198/H198,"")</f>
        <v/>
      </c>
    </row>
    <row r="199" customFormat="false" ht="15" hidden="false" customHeight="true" outlineLevel="0" collapsed="false">
      <c r="A199" s="77"/>
      <c r="B199" s="77"/>
      <c r="C199" s="77"/>
      <c r="D199" s="77"/>
      <c r="E199" s="77"/>
      <c r="F199" s="77"/>
      <c r="G199" s="78" t="str">
        <f aca="false">IF(N(E199)*N(F199)=0,"",E199*F199)</f>
        <v/>
      </c>
      <c r="H199" s="78" t="str">
        <f aca="false">IF(N(D199)*N(F199)=0,"",D199*F199/1000)</f>
        <v/>
      </c>
      <c r="I199" s="78" t="str">
        <f aca="false">IFERROR(G199/H199,"")</f>
        <v/>
      </c>
    </row>
    <row r="200" customFormat="false" ht="15" hidden="false" customHeight="true" outlineLevel="0" collapsed="false">
      <c r="A200" s="77"/>
      <c r="B200" s="77"/>
      <c r="C200" s="77"/>
      <c r="D200" s="77"/>
      <c r="E200" s="77"/>
      <c r="F200" s="77"/>
      <c r="G200" s="78" t="str">
        <f aca="false">IF(N(E200)*N(F200)=0,"",E200*F200)</f>
        <v/>
      </c>
      <c r="H200" s="78" t="str">
        <f aca="false">IF(N(D200)*N(F200)=0,"",D200*F200/1000)</f>
        <v/>
      </c>
      <c r="I200" s="78" t="str">
        <f aca="false">IFERROR(G200/H200,"")</f>
        <v/>
      </c>
    </row>
    <row r="201" customFormat="false" ht="15" hidden="false" customHeight="true" outlineLevel="0" collapsed="false">
      <c r="A201" s="77"/>
      <c r="B201" s="77"/>
      <c r="C201" s="77"/>
      <c r="D201" s="77"/>
      <c r="E201" s="77"/>
      <c r="F201" s="77"/>
      <c r="G201" s="78" t="str">
        <f aca="false">IF(N(E201)*N(F201)=0,"",E201*F201)</f>
        <v/>
      </c>
      <c r="H201" s="78" t="str">
        <f aca="false">IF(N(D201)*N(F201)=0,"",D201*F201/1000)</f>
        <v/>
      </c>
      <c r="I201" s="78" t="str">
        <f aca="false">IFERROR(G201/H201,"")</f>
        <v/>
      </c>
    </row>
    <row r="202" customFormat="false" ht="15" hidden="false" customHeight="true" outlineLevel="0" collapsed="false">
      <c r="A202" s="77"/>
      <c r="B202" s="77"/>
      <c r="C202" s="77"/>
      <c r="D202" s="77"/>
      <c r="E202" s="77"/>
      <c r="F202" s="77"/>
      <c r="G202" s="78" t="str">
        <f aca="false">IF(N(E202)*N(F202)=0,"",E202*F202)</f>
        <v/>
      </c>
      <c r="H202" s="78" t="str">
        <f aca="false">IF(N(D202)*N(F202)=0,"",D202*F202/1000)</f>
        <v/>
      </c>
      <c r="I202" s="78" t="str">
        <f aca="false">IFERROR(G202/H202,"")</f>
        <v/>
      </c>
    </row>
    <row r="203" customFormat="false" ht="15" hidden="false" customHeight="true" outlineLevel="0" collapsed="false">
      <c r="A203" s="77"/>
      <c r="B203" s="77"/>
      <c r="C203" s="77"/>
      <c r="D203" s="77"/>
      <c r="E203" s="77"/>
      <c r="F203" s="77"/>
      <c r="G203" s="78" t="str">
        <f aca="false">IF(N(E203)*N(F203)=0,"",E203*F203)</f>
        <v/>
      </c>
      <c r="H203" s="78" t="str">
        <f aca="false">IF(N(D203)*N(F203)=0,"",D203*F203/1000)</f>
        <v/>
      </c>
      <c r="I203" s="78" t="str">
        <f aca="false">IFERROR(G203/H203,"")</f>
        <v/>
      </c>
    </row>
    <row r="204" customFormat="false" ht="15" hidden="false" customHeight="true" outlineLevel="0" collapsed="false">
      <c r="A204" s="77"/>
      <c r="B204" s="77"/>
      <c r="C204" s="77"/>
      <c r="D204" s="77"/>
      <c r="E204" s="77"/>
      <c r="F204" s="77"/>
      <c r="G204" s="78" t="str">
        <f aca="false">IF(N(E204)*N(F204)=0,"",E204*F204)</f>
        <v/>
      </c>
      <c r="H204" s="78" t="str">
        <f aca="false">IF(N(D204)*N(F204)=0,"",D204*F204/1000)</f>
        <v/>
      </c>
      <c r="I204" s="78" t="str">
        <f aca="false">IFERROR(G204/H204,"")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1"/>
    <col collapsed="false" customWidth="true" hidden="false" outlineLevel="0" max="6" min="3" style="0" width="13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81" t="s">
        <v>211</v>
      </c>
    </row>
    <row r="2" customFormat="false" ht="15" hidden="false" customHeight="false" outlineLevel="0" collapsed="false">
      <c r="A2" s="0" t="s">
        <v>212</v>
      </c>
    </row>
    <row r="4" customFormat="false" ht="15" hidden="false" customHeight="false" outlineLevel="0" collapsed="false">
      <c r="A4" s="82" t="s">
        <v>213</v>
      </c>
      <c r="B4" s="82" t="s">
        <v>214</v>
      </c>
      <c r="C4" s="82" t="s">
        <v>215</v>
      </c>
      <c r="D4" s="82" t="s">
        <v>216</v>
      </c>
      <c r="E4" s="82" t="s">
        <v>217</v>
      </c>
      <c r="F4" s="82" t="s">
        <v>218</v>
      </c>
      <c r="G4" s="82" t="s">
        <v>219</v>
      </c>
    </row>
    <row r="6" customFormat="false" ht="15" hidden="false" customHeight="false" outlineLevel="0" collapsed="false">
      <c r="A6" s="24" t="s">
        <v>220</v>
      </c>
    </row>
    <row r="7" customFormat="false" ht="15" hidden="false" customHeight="false" outlineLevel="0" collapsed="false">
      <c r="A7" s="0" t="s">
        <v>221</v>
      </c>
      <c r="B7" s="0" t="s">
        <v>222</v>
      </c>
      <c r="D7" s="83" t="n">
        <v>0.05</v>
      </c>
      <c r="G7" s="0" t="s">
        <v>223</v>
      </c>
    </row>
    <row r="8" customFormat="false" ht="15" hidden="false" customHeight="false" outlineLevel="0" collapsed="false">
      <c r="A8" s="0" t="s">
        <v>224</v>
      </c>
      <c r="B8" s="0" t="s">
        <v>225</v>
      </c>
      <c r="D8" s="52" t="n">
        <v>1</v>
      </c>
      <c r="G8" s="0" t="s">
        <v>226</v>
      </c>
    </row>
    <row r="9" customFormat="false" ht="15" hidden="false" customHeight="false" outlineLevel="0" collapsed="false">
      <c r="A9" s="0" t="s">
        <v>227</v>
      </c>
      <c r="B9" s="0" t="s">
        <v>228</v>
      </c>
      <c r="C9" s="52" t="n">
        <v>36</v>
      </c>
      <c r="D9" s="52" t="n">
        <v>24</v>
      </c>
      <c r="E9" s="52" t="n">
        <v>18</v>
      </c>
      <c r="F9" s="63" t="n">
        <f aca="false">CHOOSE(Hipótesis!$C$4,C9,D9,E9)</f>
        <v>24</v>
      </c>
      <c r="G9" s="0" t="s">
        <v>229</v>
      </c>
    </row>
    <row r="10" customFormat="false" ht="15" hidden="false" customHeight="false" outlineLevel="0" collapsed="false">
      <c r="A10" s="0" t="s">
        <v>230</v>
      </c>
      <c r="B10" s="0" t="s">
        <v>231</v>
      </c>
      <c r="D10" s="52" t="n">
        <v>1</v>
      </c>
      <c r="G10" s="0" t="s">
        <v>232</v>
      </c>
    </row>
    <row r="11" customFormat="false" ht="15" hidden="false" customHeight="false" outlineLevel="0" collapsed="false">
      <c r="A11" s="0" t="s">
        <v>233</v>
      </c>
      <c r="B11" s="0" t="s">
        <v>234</v>
      </c>
      <c r="D11" s="63" t="n">
        <f aca="false">D83</f>
        <v>585</v>
      </c>
      <c r="G11" s="0" t="s">
        <v>235</v>
      </c>
    </row>
    <row r="12" customFormat="false" ht="15" hidden="false" customHeight="false" outlineLevel="0" collapsed="false">
      <c r="A12" s="0" t="s">
        <v>236</v>
      </c>
      <c r="B12" s="0" t="s">
        <v>222</v>
      </c>
      <c r="D12" s="83" t="n">
        <v>0.3</v>
      </c>
      <c r="G12" s="0" t="s">
        <v>237</v>
      </c>
    </row>
    <row r="13" customFormat="false" ht="15" hidden="false" customHeight="false" outlineLevel="0" collapsed="false">
      <c r="A13" s="0" t="s">
        <v>238</v>
      </c>
      <c r="B13" s="0" t="s">
        <v>234</v>
      </c>
      <c r="D13" s="63" t="n">
        <f aca="false">D11*D12</f>
        <v>175.5</v>
      </c>
    </row>
    <row r="15" customFormat="false" ht="15" hidden="false" customHeight="false" outlineLevel="0" collapsed="false">
      <c r="A15" s="24" t="s">
        <v>239</v>
      </c>
    </row>
    <row r="16" customFormat="false" ht="15" hidden="false" customHeight="false" outlineLevel="0" collapsed="false">
      <c r="A16" s="0" t="s">
        <v>240</v>
      </c>
      <c r="B16" s="0" t="s">
        <v>222</v>
      </c>
      <c r="D16" s="83" t="n">
        <v>0.55</v>
      </c>
      <c r="G16" s="0" t="s">
        <v>241</v>
      </c>
    </row>
    <row r="17" customFormat="false" ht="15" hidden="false" customHeight="false" outlineLevel="0" collapsed="false">
      <c r="A17" s="0" t="s">
        <v>242</v>
      </c>
      <c r="B17" s="0" t="s">
        <v>243</v>
      </c>
      <c r="D17" s="37" t="n">
        <v>18.5</v>
      </c>
    </row>
    <row r="18" customFormat="false" ht="15" hidden="false" customHeight="false" outlineLevel="0" collapsed="false">
      <c r="A18" s="0" t="s">
        <v>244</v>
      </c>
      <c r="B18" s="0" t="s">
        <v>222</v>
      </c>
      <c r="D18" s="83" t="n">
        <v>0.3</v>
      </c>
    </row>
    <row r="19" customFormat="false" ht="15" hidden="false" customHeight="false" outlineLevel="0" collapsed="false">
      <c r="A19" s="0" t="s">
        <v>245</v>
      </c>
      <c r="B19" s="0" t="s">
        <v>243</v>
      </c>
      <c r="D19" s="37" t="n">
        <v>30</v>
      </c>
    </row>
    <row r="20" customFormat="false" ht="15" hidden="false" customHeight="false" outlineLevel="0" collapsed="false">
      <c r="A20" s="0" t="s">
        <v>246</v>
      </c>
      <c r="B20" s="0" t="s">
        <v>222</v>
      </c>
      <c r="D20" s="83" t="n">
        <v>0.15</v>
      </c>
    </row>
    <row r="21" customFormat="false" ht="15" hidden="false" customHeight="false" outlineLevel="0" collapsed="false">
      <c r="A21" s="0" t="s">
        <v>247</v>
      </c>
      <c r="B21" s="0" t="s">
        <v>243</v>
      </c>
      <c r="D21" s="37" t="n">
        <v>65</v>
      </c>
    </row>
    <row r="22" customFormat="false" ht="15" hidden="false" customHeight="false" outlineLevel="0" collapsed="false">
      <c r="A22" s="0" t="s">
        <v>248</v>
      </c>
      <c r="B22" s="0" t="s">
        <v>243</v>
      </c>
      <c r="D22" s="38" t="n">
        <f aca="false">D16*D17+D18*D19+D20*D21</f>
        <v>28.925</v>
      </c>
      <c r="G22" s="0" t="s">
        <v>249</v>
      </c>
    </row>
    <row r="23" customFormat="false" ht="15" hidden="false" customHeight="false" outlineLevel="0" collapsed="false">
      <c r="A23" s="0" t="s">
        <v>250</v>
      </c>
      <c r="D23" s="84" t="str">
        <f aca="false">IF(ABS(D16+D18+D20-1)&lt;0.0001,"OK","REVISAR")</f>
        <v>OK</v>
      </c>
    </row>
    <row r="24" customFormat="false" ht="15" hidden="false" customHeight="false" outlineLevel="0" collapsed="false">
      <c r="A24" s="0" t="s">
        <v>251</v>
      </c>
      <c r="B24" s="0" t="s">
        <v>234</v>
      </c>
      <c r="D24" s="85" t="n">
        <v>2</v>
      </c>
      <c r="G24" s="0" t="s">
        <v>252</v>
      </c>
    </row>
    <row r="25" customFormat="false" ht="15" hidden="false" customHeight="false" outlineLevel="0" collapsed="false">
      <c r="A25" s="0" t="s">
        <v>253</v>
      </c>
      <c r="B25" s="0" t="s">
        <v>234</v>
      </c>
      <c r="D25" s="53" t="n">
        <f aca="false">Producto!$D$6/7</f>
        <v>4.34571428571429</v>
      </c>
    </row>
    <row r="26" customFormat="false" ht="15" hidden="false" customHeight="false" outlineLevel="0" collapsed="false">
      <c r="A26" s="0" t="s">
        <v>254</v>
      </c>
      <c r="B26" s="0" t="s">
        <v>255</v>
      </c>
      <c r="C26" s="83" t="n">
        <v>0.9</v>
      </c>
      <c r="D26" s="83" t="n">
        <v>1</v>
      </c>
      <c r="E26" s="83" t="n">
        <v>1.1</v>
      </c>
      <c r="F26" s="74" t="n">
        <f aca="false">CHOOSE(Hipótesis!$C$4,C26,D26,E26)</f>
        <v>1</v>
      </c>
      <c r="G26" s="0" t="s">
        <v>256</v>
      </c>
    </row>
    <row r="27" customFormat="false" ht="15" hidden="false" customHeight="false" outlineLevel="0" collapsed="false">
      <c r="A27" s="0" t="s">
        <v>257</v>
      </c>
      <c r="B27" s="0" t="s">
        <v>222</v>
      </c>
      <c r="D27" s="83" t="n">
        <v>0.1</v>
      </c>
      <c r="G27" s="0" t="s">
        <v>258</v>
      </c>
    </row>
    <row r="28" customFormat="false" ht="15" hidden="false" customHeight="false" outlineLevel="0" collapsed="false">
      <c r="A28" s="0" t="s">
        <v>259</v>
      </c>
      <c r="B28" s="0" t="s">
        <v>260</v>
      </c>
      <c r="D28" s="52" t="n">
        <v>30</v>
      </c>
      <c r="G28" s="0" t="s">
        <v>261</v>
      </c>
    </row>
    <row r="29" customFormat="false" ht="15" hidden="false" customHeight="false" outlineLevel="0" collapsed="false">
      <c r="A29" s="0" t="s">
        <v>262</v>
      </c>
      <c r="B29" s="0" t="s">
        <v>263</v>
      </c>
      <c r="D29" s="37" t="n">
        <v>0</v>
      </c>
      <c r="G29" s="0" t="s">
        <v>264</v>
      </c>
    </row>
    <row r="30" customFormat="false" ht="15" hidden="false" customHeight="false" outlineLevel="0" collapsed="false">
      <c r="A30" s="0" t="s">
        <v>265</v>
      </c>
      <c r="B30" s="0" t="s">
        <v>222</v>
      </c>
      <c r="D30" s="74" t="n">
        <f aca="false">D16</f>
        <v>0.55</v>
      </c>
      <c r="G30" s="0" t="s">
        <v>266</v>
      </c>
    </row>
    <row r="31" customFormat="false" ht="15" hidden="false" customHeight="false" outlineLevel="0" collapsed="false">
      <c r="A31" s="0" t="s">
        <v>267</v>
      </c>
      <c r="B31" s="0" t="s">
        <v>268</v>
      </c>
      <c r="D31" s="83" t="n">
        <v>0.15</v>
      </c>
      <c r="G31" s="0" t="s">
        <v>269</v>
      </c>
    </row>
    <row r="32" customFormat="false" ht="15" hidden="false" customHeight="false" outlineLevel="0" collapsed="false">
      <c r="A32" s="0" t="s">
        <v>270</v>
      </c>
      <c r="B32" s="0" t="s">
        <v>271</v>
      </c>
      <c r="D32" s="52" t="n">
        <v>4</v>
      </c>
      <c r="G32" s="0" t="s">
        <v>272</v>
      </c>
    </row>
    <row r="34" customFormat="false" ht="15" hidden="false" customHeight="false" outlineLevel="0" collapsed="false">
      <c r="A34" s="24" t="s">
        <v>273</v>
      </c>
    </row>
    <row r="35" customFormat="false" ht="15" hidden="false" customHeight="false" outlineLevel="0" collapsed="false">
      <c r="A35" s="0" t="s">
        <v>274</v>
      </c>
      <c r="B35" s="0" t="s">
        <v>260</v>
      </c>
      <c r="D35" s="52" t="n">
        <v>25</v>
      </c>
      <c r="G35" s="0" t="s">
        <v>241</v>
      </c>
    </row>
    <row r="36" customFormat="false" ht="15" hidden="false" customHeight="false" outlineLevel="0" collapsed="false">
      <c r="A36" s="0" t="s">
        <v>275</v>
      </c>
      <c r="B36" s="0" t="s">
        <v>276</v>
      </c>
      <c r="C36" s="85" t="n">
        <v>5</v>
      </c>
      <c r="D36" s="85" t="n">
        <v>7</v>
      </c>
      <c r="E36" s="85" t="n">
        <v>8</v>
      </c>
      <c r="F36" s="86" t="n">
        <f aca="false">CHOOSE(Hipótesis!$C$4,C36,D36,E36)</f>
        <v>7</v>
      </c>
      <c r="G36" s="0" t="s">
        <v>277</v>
      </c>
    </row>
    <row r="37" customFormat="false" ht="15" hidden="false" customHeight="false" outlineLevel="0" collapsed="false">
      <c r="A37" s="0" t="s">
        <v>278</v>
      </c>
      <c r="B37" s="0" t="s">
        <v>279</v>
      </c>
      <c r="D37" s="37" t="n">
        <v>16</v>
      </c>
      <c r="G37" s="0" t="s">
        <v>280</v>
      </c>
    </row>
    <row r="38" customFormat="false" ht="15" hidden="false" customHeight="false" outlineLevel="0" collapsed="false">
      <c r="A38" s="0" t="s">
        <v>281</v>
      </c>
      <c r="B38" s="0" t="s">
        <v>282</v>
      </c>
      <c r="D38" s="85" t="n">
        <v>5</v>
      </c>
      <c r="G38" s="0" t="s">
        <v>283</v>
      </c>
    </row>
    <row r="39" customFormat="false" ht="15" hidden="false" customHeight="false" outlineLevel="0" collapsed="false">
      <c r="A39" s="0" t="s">
        <v>284</v>
      </c>
      <c r="B39" s="0" t="s">
        <v>282</v>
      </c>
      <c r="D39" s="85" t="n">
        <v>2</v>
      </c>
      <c r="G39" s="0" t="s">
        <v>285</v>
      </c>
    </row>
    <row r="40" customFormat="false" ht="15" hidden="false" customHeight="false" outlineLevel="0" collapsed="false">
      <c r="A40" s="0" t="s">
        <v>286</v>
      </c>
      <c r="B40" s="0" t="s">
        <v>287</v>
      </c>
      <c r="D40" s="87" t="n">
        <v>150</v>
      </c>
    </row>
    <row r="41" customFormat="false" ht="15" hidden="false" customHeight="false" outlineLevel="0" collapsed="false">
      <c r="A41" s="0" t="s">
        <v>288</v>
      </c>
      <c r="B41" s="0" t="s">
        <v>234</v>
      </c>
      <c r="D41" s="52" t="n">
        <v>2</v>
      </c>
    </row>
    <row r="43" customFormat="false" ht="15" hidden="false" customHeight="false" outlineLevel="0" collapsed="false">
      <c r="A43" s="24" t="s">
        <v>289</v>
      </c>
    </row>
    <row r="44" customFormat="false" ht="15" hidden="false" customHeight="false" outlineLevel="0" collapsed="false">
      <c r="A44" s="0" t="s">
        <v>290</v>
      </c>
      <c r="B44" s="0" t="s">
        <v>204</v>
      </c>
      <c r="D44" s="87" t="n">
        <v>500</v>
      </c>
      <c r="G44" s="0" t="s">
        <v>241</v>
      </c>
    </row>
    <row r="45" customFormat="false" ht="15" hidden="false" customHeight="false" outlineLevel="0" collapsed="false">
      <c r="A45" s="0" t="s">
        <v>291</v>
      </c>
      <c r="B45" s="0" t="s">
        <v>204</v>
      </c>
      <c r="D45" s="87" t="n">
        <v>100</v>
      </c>
      <c r="G45" s="0" t="s">
        <v>292</v>
      </c>
    </row>
    <row r="46" customFormat="false" ht="15" hidden="false" customHeight="false" outlineLevel="0" collapsed="false">
      <c r="A46" s="0" t="s">
        <v>293</v>
      </c>
      <c r="B46" s="0" t="s">
        <v>243</v>
      </c>
      <c r="D46" s="87" t="n">
        <v>3500</v>
      </c>
      <c r="G46" s="0" t="s">
        <v>294</v>
      </c>
    </row>
    <row r="47" customFormat="false" ht="15" hidden="false" customHeight="false" outlineLevel="0" collapsed="false">
      <c r="A47" s="0" t="s">
        <v>295</v>
      </c>
      <c r="B47" s="0" t="s">
        <v>243</v>
      </c>
      <c r="D47" s="87" t="n">
        <v>0</v>
      </c>
      <c r="G47" s="0" t="s">
        <v>296</v>
      </c>
    </row>
    <row r="48" customFormat="false" ht="15" hidden="false" customHeight="false" outlineLevel="0" collapsed="false">
      <c r="A48" s="0" t="s">
        <v>297</v>
      </c>
      <c r="B48" s="0" t="s">
        <v>228</v>
      </c>
      <c r="D48" s="52" t="n">
        <v>2</v>
      </c>
    </row>
    <row r="50" customFormat="false" ht="15" hidden="false" customHeight="false" outlineLevel="0" collapsed="false">
      <c r="A50" s="24" t="s">
        <v>298</v>
      </c>
    </row>
    <row r="51" customFormat="false" ht="15" hidden="false" customHeight="false" outlineLevel="0" collapsed="false">
      <c r="A51" s="0" t="s">
        <v>299</v>
      </c>
      <c r="B51" s="0" t="s">
        <v>234</v>
      </c>
      <c r="D51" s="63" t="n">
        <f aca="false">D35</f>
        <v>25</v>
      </c>
      <c r="G51" s="0" t="s">
        <v>300</v>
      </c>
    </row>
    <row r="52" customFormat="false" ht="15" hidden="false" customHeight="false" outlineLevel="0" collapsed="false">
      <c r="A52" s="0" t="s">
        <v>301</v>
      </c>
      <c r="B52" s="0" t="s">
        <v>302</v>
      </c>
      <c r="D52" s="52" t="n">
        <v>30</v>
      </c>
      <c r="G52" s="0" t="s">
        <v>303</v>
      </c>
    </row>
    <row r="53" customFormat="false" ht="15" hidden="false" customHeight="false" outlineLevel="0" collapsed="false">
      <c r="A53" s="0" t="s">
        <v>304</v>
      </c>
      <c r="B53" s="0" t="s">
        <v>305</v>
      </c>
      <c r="D53" s="38" t="n">
        <f aca="false">0.09*2.09</f>
        <v>0.1881</v>
      </c>
      <c r="G53" s="0" t="s">
        <v>306</v>
      </c>
    </row>
    <row r="54" customFormat="false" ht="15" hidden="false" customHeight="false" outlineLevel="0" collapsed="false">
      <c r="A54" s="0" t="s">
        <v>307</v>
      </c>
      <c r="B54" s="0" t="s">
        <v>308</v>
      </c>
      <c r="D54" s="85" t="n">
        <v>1</v>
      </c>
    </row>
    <row r="55" customFormat="false" ht="15" hidden="false" customHeight="false" outlineLevel="0" collapsed="false">
      <c r="A55" s="0" t="s">
        <v>309</v>
      </c>
      <c r="B55" s="0" t="s">
        <v>279</v>
      </c>
      <c r="D55" s="37" t="n">
        <v>16</v>
      </c>
    </row>
    <row r="56" customFormat="false" ht="15" hidden="false" customHeight="false" outlineLevel="0" collapsed="false">
      <c r="A56" s="0" t="s">
        <v>310</v>
      </c>
      <c r="B56" s="0" t="s">
        <v>311</v>
      </c>
      <c r="D56" s="85" t="n">
        <v>3</v>
      </c>
      <c r="G56" s="0" t="s">
        <v>312</v>
      </c>
    </row>
    <row r="57" customFormat="false" ht="15" hidden="false" customHeight="false" outlineLevel="0" collapsed="false">
      <c r="A57" s="0" t="s">
        <v>313</v>
      </c>
      <c r="B57" s="0" t="s">
        <v>279</v>
      </c>
      <c r="D57" s="37" t="n">
        <v>16</v>
      </c>
    </row>
    <row r="58" customFormat="false" ht="15" hidden="false" customHeight="false" outlineLevel="0" collapsed="false">
      <c r="A58" s="0" t="s">
        <v>314</v>
      </c>
      <c r="B58" s="0" t="s">
        <v>243</v>
      </c>
      <c r="D58" s="37" t="n">
        <v>0.15</v>
      </c>
      <c r="G58" s="0" t="s">
        <v>292</v>
      </c>
    </row>
    <row r="60" customFormat="false" ht="15" hidden="false" customHeight="false" outlineLevel="0" collapsed="false">
      <c r="A60" s="24" t="s">
        <v>315</v>
      </c>
    </row>
    <row r="61" customFormat="false" ht="15" hidden="false" customHeight="false" outlineLevel="0" collapsed="false">
      <c r="A61" s="0" t="s">
        <v>316</v>
      </c>
      <c r="B61" s="0" t="s">
        <v>243</v>
      </c>
      <c r="D61" s="87" t="n">
        <v>40</v>
      </c>
      <c r="G61" s="0" t="s">
        <v>292</v>
      </c>
    </row>
    <row r="62" customFormat="false" ht="15" hidden="false" customHeight="false" outlineLevel="0" collapsed="false">
      <c r="A62" s="0" t="s">
        <v>317</v>
      </c>
      <c r="B62" s="0" t="s">
        <v>222</v>
      </c>
      <c r="D62" s="83" t="n">
        <v>0.015</v>
      </c>
      <c r="G62" s="0" t="s">
        <v>318</v>
      </c>
    </row>
    <row r="63" customFormat="false" ht="15" hidden="false" customHeight="false" outlineLevel="0" collapsed="false">
      <c r="A63" s="0" t="s">
        <v>319</v>
      </c>
      <c r="B63" s="0" t="s">
        <v>234</v>
      </c>
      <c r="D63" s="52" t="n">
        <v>100</v>
      </c>
      <c r="G63" s="0" t="s">
        <v>320</v>
      </c>
    </row>
    <row r="64" customFormat="false" ht="15" hidden="false" customHeight="false" outlineLevel="0" collapsed="false">
      <c r="A64" s="24" t="s">
        <v>321</v>
      </c>
    </row>
    <row r="65" customFormat="false" ht="15" hidden="false" customHeight="false" outlineLevel="0" collapsed="false">
      <c r="A65" s="0" t="s">
        <v>94</v>
      </c>
      <c r="B65" s="0" t="s">
        <v>234</v>
      </c>
      <c r="D65" s="63" t="n">
        <f aca="false">Modelo_Mensual!$BJ$196</f>
        <v>123.061104620344</v>
      </c>
    </row>
    <row r="66" customFormat="false" ht="15" hidden="false" customHeight="false" outlineLevel="0" collapsed="false">
      <c r="A66" s="0" t="s">
        <v>322</v>
      </c>
      <c r="B66" s="0" t="s">
        <v>234</v>
      </c>
      <c r="D66" s="63" t="n">
        <f aca="false">Modelo_Mensual!$BJ$200</f>
        <v>2</v>
      </c>
    </row>
    <row r="67" customFormat="false" ht="15" hidden="false" customHeight="false" outlineLevel="0" collapsed="false">
      <c r="A67" s="0" t="s">
        <v>323</v>
      </c>
      <c r="B67" s="0" t="s">
        <v>234</v>
      </c>
      <c r="D67" s="86" t="n">
        <f aca="false">SUM(Modelo_Mensual!$AY$198:$BJ$198)/12</f>
        <v>39.7526044270878</v>
      </c>
    </row>
    <row r="68" customFormat="false" ht="15" hidden="false" customHeight="false" outlineLevel="0" collapsed="false">
      <c r="A68" s="0" t="s">
        <v>324</v>
      </c>
      <c r="B68" s="0" t="s">
        <v>222</v>
      </c>
      <c r="D68" s="74" t="n">
        <f aca="false">IFERROR(SUM(Modelo_Mensual!$AY$181:$BJ$181)/SUM(Modelo_Mensual!$AY$26:$BJ$26),0)</f>
        <v>0.053379224305316</v>
      </c>
    </row>
    <row r="69" customFormat="false" ht="15" hidden="false" customHeight="false" outlineLevel="0" collapsed="false">
      <c r="A69" s="0" t="s">
        <v>325</v>
      </c>
      <c r="B69" s="0" t="s">
        <v>222</v>
      </c>
      <c r="D69" s="74" t="n">
        <f aca="false">IFERROR(SUM(Modelo_Mensual!$AY$35:$BJ$35)/SUM(Modelo_Mensual!$AY$36:$BJ$36),0)</f>
        <v>0.200525018822659</v>
      </c>
    </row>
    <row r="70" customFormat="false" ht="15" hidden="false" customHeight="false" outlineLevel="0" collapsed="false">
      <c r="A70" s="0" t="s">
        <v>326</v>
      </c>
      <c r="D70" s="84" t="str">
        <f aca="false">IF(Modelo_Mensual!$BJ$176&lt;D7*Hipótesis!$D$13*Hipótesis!$F$26-0.5,"SÍ: subir la palanca ya no añade restaurantes","No")</f>
        <v>No</v>
      </c>
    </row>
    <row r="72" customFormat="false" ht="15" hidden="false" customHeight="false" outlineLevel="0" collapsed="false">
      <c r="A72" s="24" t="s">
        <v>327</v>
      </c>
    </row>
    <row r="73" customFormat="false" ht="15" hidden="false" customHeight="false" outlineLevel="0" collapsed="false">
      <c r="A73" s="82" t="s">
        <v>328</v>
      </c>
      <c r="B73" s="82" t="s">
        <v>329</v>
      </c>
      <c r="C73" s="82"/>
      <c r="D73" s="82" t="s">
        <v>330</v>
      </c>
    </row>
    <row r="74" customFormat="false" ht="15" hidden="false" customHeight="false" outlineLevel="0" collapsed="false">
      <c r="A74" s="0" t="s">
        <v>331</v>
      </c>
      <c r="B74" s="0" t="s">
        <v>332</v>
      </c>
      <c r="D74" s="52" t="n">
        <v>140</v>
      </c>
    </row>
    <row r="75" customFormat="false" ht="15" hidden="false" customHeight="false" outlineLevel="0" collapsed="false">
      <c r="A75" s="0" t="s">
        <v>333</v>
      </c>
      <c r="B75" s="0" t="s">
        <v>334</v>
      </c>
      <c r="D75" s="52" t="n">
        <v>92</v>
      </c>
    </row>
    <row r="76" customFormat="false" ht="15" hidden="false" customHeight="false" outlineLevel="0" collapsed="false">
      <c r="A76" s="0" t="s">
        <v>335</v>
      </c>
      <c r="B76" s="0" t="s">
        <v>334</v>
      </c>
      <c r="D76" s="52" t="n">
        <v>69</v>
      </c>
    </row>
    <row r="77" customFormat="false" ht="15" hidden="false" customHeight="false" outlineLevel="0" collapsed="false">
      <c r="A77" s="0" t="s">
        <v>336</v>
      </c>
      <c r="B77" s="0" t="s">
        <v>334</v>
      </c>
      <c r="D77" s="52" t="n">
        <v>64</v>
      </c>
    </row>
    <row r="78" customFormat="false" ht="15" hidden="false" customHeight="false" outlineLevel="0" collapsed="false">
      <c r="A78" s="0" t="s">
        <v>337</v>
      </c>
      <c r="B78" s="0" t="s">
        <v>338</v>
      </c>
      <c r="D78" s="52" t="n">
        <v>62</v>
      </c>
    </row>
    <row r="79" customFormat="false" ht="15" hidden="false" customHeight="false" outlineLevel="0" collapsed="false">
      <c r="A79" s="0" t="s">
        <v>339</v>
      </c>
      <c r="B79" s="0" t="s">
        <v>338</v>
      </c>
      <c r="D79" s="52" t="n">
        <v>57</v>
      </c>
    </row>
    <row r="80" customFormat="false" ht="15" hidden="false" customHeight="false" outlineLevel="0" collapsed="false">
      <c r="A80" s="0" t="s">
        <v>340</v>
      </c>
      <c r="B80" s="0" t="s">
        <v>338</v>
      </c>
      <c r="D80" s="52" t="n">
        <v>54</v>
      </c>
    </row>
    <row r="81" customFormat="false" ht="15" hidden="false" customHeight="false" outlineLevel="0" collapsed="false">
      <c r="A81" s="0" t="s">
        <v>341</v>
      </c>
      <c r="B81" s="0" t="s">
        <v>334</v>
      </c>
      <c r="D81" s="52" t="n">
        <v>47</v>
      </c>
    </row>
    <row r="83" customFormat="false" ht="15" hidden="false" customHeight="false" outlineLevel="0" collapsed="false">
      <c r="A83" s="25" t="s">
        <v>342</v>
      </c>
      <c r="D83" s="88" t="n">
        <f aca="false">SUM(D74:D81)</f>
        <v>585</v>
      </c>
    </row>
    <row r="84" customFormat="false" ht="15" hidden="false" customHeight="false" outlineLevel="0" collapsed="false">
      <c r="A84" s="0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7"/>
    <col collapsed="false" customWidth="true" hidden="false" outlineLevel="0" max="3" min="3" style="1" width="8"/>
    <col collapsed="false" customWidth="true" hidden="false" outlineLevel="0" max="6" min="4" style="1" width="7"/>
    <col collapsed="false" customWidth="true" hidden="false" outlineLevel="0" max="15" min="7" style="1" width="8"/>
    <col collapsed="false" customWidth="true" hidden="false" outlineLevel="0" max="16" min="16" style="1" width="9"/>
    <col collapsed="false" customWidth="true" hidden="false" outlineLevel="0" max="18" min="17" style="1" width="11"/>
    <col collapsed="false" customWidth="true" hidden="false" outlineLevel="0" max="22" min="19" style="1" width="9"/>
    <col collapsed="false" customWidth="true" hidden="false" outlineLevel="0" max="23" min="23" style="1" width="10"/>
    <col collapsed="false" customWidth="true" hidden="false" outlineLevel="0" max="24" min="24" style="1" width="32"/>
  </cols>
  <sheetData>
    <row r="1" customFormat="false" ht="18" hidden="false" customHeight="true" outlineLevel="0" collapsed="false">
      <c r="A1" s="8" t="s">
        <v>344</v>
      </c>
    </row>
    <row r="2" customFormat="false" ht="13.5" hidden="false" customHeight="true" outlineLevel="0" collapsed="false">
      <c r="A2" s="9" t="s">
        <v>345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13" t="s">
        <v>346</v>
      </c>
      <c r="D4" s="32" t="n">
        <v>4.35</v>
      </c>
    </row>
    <row r="5" customFormat="false" ht="13.5" hidden="false" customHeight="true" outlineLevel="0" collapsed="false"/>
    <row r="6" customFormat="false" ht="13.5" hidden="false" customHeight="true" outlineLevel="0" collapsed="false">
      <c r="A6" s="30" t="s">
        <v>347</v>
      </c>
      <c r="G6" s="12" t="s">
        <v>348</v>
      </c>
      <c r="H6" s="12" t="s">
        <v>349</v>
      </c>
      <c r="I6" s="12" t="s">
        <v>350</v>
      </c>
      <c r="J6" s="12" t="s">
        <v>351</v>
      </c>
      <c r="K6" s="12" t="s">
        <v>352</v>
      </c>
      <c r="L6" s="12" t="s">
        <v>353</v>
      </c>
      <c r="M6" s="12" t="s">
        <v>354</v>
      </c>
      <c r="N6" s="12" t="s">
        <v>355</v>
      </c>
      <c r="O6" s="12" t="s">
        <v>356</v>
      </c>
    </row>
    <row r="7" customFormat="false" ht="13.5" hidden="false" customHeight="true" outlineLevel="0" collapsed="false">
      <c r="A7" s="89" t="s">
        <v>357</v>
      </c>
      <c r="G7" s="50" t="n">
        <f aca="false">Producto!F16</f>
        <v>3</v>
      </c>
      <c r="H7" s="50" t="n">
        <f aca="false">Producto!F17</f>
        <v>2.5</v>
      </c>
      <c r="I7" s="50" t="n">
        <f aca="false">Producto!F18</f>
        <v>2.5</v>
      </c>
      <c r="J7" s="50" t="n">
        <f aca="false">Producto!F19</f>
        <v>1.5</v>
      </c>
      <c r="K7" s="50" t="n">
        <f aca="false">Producto!F20</f>
        <v>1.5</v>
      </c>
      <c r="L7" s="50" t="n">
        <f aca="false">Producto!F21</f>
        <v>1.5</v>
      </c>
      <c r="M7" s="50" t="n">
        <f aca="false">Producto!F22</f>
        <v>1.5</v>
      </c>
      <c r="N7" s="50" t="n">
        <f aca="false">Producto!F23</f>
        <v>1.5</v>
      </c>
      <c r="O7" s="50" t="n">
        <f aca="false">Producto!F24</f>
        <v>3</v>
      </c>
    </row>
    <row r="8" customFormat="false" ht="13.5" hidden="false" customHeight="true" outlineLevel="0" collapsed="false">
      <c r="A8" s="89" t="s">
        <v>358</v>
      </c>
      <c r="G8" s="48" t="n">
        <f aca="false">Producto!L16</f>
        <v>1.7</v>
      </c>
      <c r="H8" s="48" t="n">
        <f aca="false">Producto!L17</f>
        <v>4.83333333333333</v>
      </c>
      <c r="I8" s="48" t="n">
        <f aca="false">Producto!L18</f>
        <v>3</v>
      </c>
      <c r="J8" s="48" t="n">
        <f aca="false">Producto!L19</f>
        <v>8.16666666666667</v>
      </c>
      <c r="K8" s="48" t="n">
        <f aca="false">Producto!L20</f>
        <v>5.66666666666667</v>
      </c>
      <c r="L8" s="48" t="n">
        <f aca="false">Producto!L21</f>
        <v>8.16666666666667</v>
      </c>
      <c r="M8" s="48" t="n">
        <f aca="false">Producto!L22</f>
        <v>5.33333333333333</v>
      </c>
      <c r="N8" s="48" t="n">
        <f aca="false">Producto!L23</f>
        <v>5.66666666666667</v>
      </c>
      <c r="O8" s="48" t="n">
        <f aca="false">Producto!L24</f>
        <v>2.66666666666667</v>
      </c>
    </row>
    <row r="9" customFormat="false" ht="13.5" hidden="false" customHeight="true" outlineLevel="0" collapsed="false">
      <c r="A9" s="89" t="s">
        <v>359</v>
      </c>
      <c r="G9" s="48" t="n">
        <f aca="false">Producto!J16</f>
        <v>8.22162162162162</v>
      </c>
      <c r="H9" s="48" t="n">
        <f aca="false">Producto!J17</f>
        <v>3.042</v>
      </c>
      <c r="I9" s="48" t="n">
        <f aca="false">Producto!J18</f>
        <v>2.34</v>
      </c>
      <c r="J9" s="48" t="n">
        <f aca="false">Producto!J19</f>
        <v>10.14</v>
      </c>
      <c r="K9" s="48" t="n">
        <f aca="false">Producto!J20</f>
        <v>7.605</v>
      </c>
      <c r="L9" s="48" t="n">
        <f aca="false">Producto!J21</f>
        <v>10.14</v>
      </c>
      <c r="M9" s="48" t="n">
        <f aca="false">Producto!J22</f>
        <v>7.605</v>
      </c>
      <c r="N9" s="48" t="n">
        <f aca="false">Producto!J23</f>
        <v>7.605</v>
      </c>
      <c r="O9" s="48" t="n">
        <f aca="false">Producto!J24</f>
        <v>3.38</v>
      </c>
    </row>
    <row r="10" customFormat="false" ht="13.5" hidden="false" customHeight="true" outlineLevel="0" collapsed="false">
      <c r="A10" s="89" t="s">
        <v>360</v>
      </c>
      <c r="G10" s="50" t="n">
        <f aca="false">Producto!R16/Producto!L16</f>
        <v>0.573706368497812</v>
      </c>
      <c r="H10" s="50" t="n">
        <f aca="false">Producto!R17/Producto!L17</f>
        <v>0.293496722713024</v>
      </c>
      <c r="I10" s="50" t="n">
        <f aca="false">Producto!R18/Producto!L18</f>
        <v>0.40496694214876</v>
      </c>
      <c r="J10" s="50" t="n">
        <f aca="false">Producto!R19/Producto!L19</f>
        <v>0.257171529768932</v>
      </c>
      <c r="K10" s="50" t="n">
        <f aca="false">Producto!R20/Producto!L20</f>
        <v>0.264747204666991</v>
      </c>
      <c r="L10" s="50" t="n">
        <f aca="false">Producto!R21/Producto!L21</f>
        <v>0.25675520323832</v>
      </c>
      <c r="M10" s="50" t="n">
        <f aca="false">Producto!R22/Producto!L22</f>
        <v>0.322231404958678</v>
      </c>
      <c r="N10" s="50" t="n">
        <f aca="false">Producto!R23/Producto!L23</f>
        <v>0.32104132231405</v>
      </c>
      <c r="O10" s="50" t="n">
        <f aca="false">Producto!R24/Producto!L24</f>
        <v>0.478212809917355</v>
      </c>
    </row>
    <row r="11" customFormat="false" ht="13.5" hidden="false" customHeight="true" outlineLevel="0" collapsed="false">
      <c r="A11" s="89" t="s">
        <v>361</v>
      </c>
      <c r="G11" s="90" t="n">
        <f aca="false">Producto!E16</f>
        <v>100</v>
      </c>
      <c r="H11" s="90" t="n">
        <f aca="false">Producto!E17</f>
        <v>30</v>
      </c>
      <c r="I11" s="90" t="n">
        <f aca="false">Producto!E18</f>
        <v>30</v>
      </c>
      <c r="J11" s="90" t="n">
        <f aca="false">Producto!E19</f>
        <v>30</v>
      </c>
      <c r="K11" s="90" t="n">
        <f aca="false">Producto!E20</f>
        <v>30</v>
      </c>
      <c r="L11" s="90" t="n">
        <f aca="false">Producto!E21</f>
        <v>30</v>
      </c>
      <c r="M11" s="90" t="n">
        <f aca="false">Producto!E22</f>
        <v>30</v>
      </c>
      <c r="N11" s="90" t="n">
        <f aca="false">Producto!E23</f>
        <v>30</v>
      </c>
      <c r="O11" s="90" t="n">
        <f aca="false">Producto!E24</f>
        <v>30</v>
      </c>
    </row>
    <row r="12" customFormat="false" ht="13.5" hidden="false" customHeight="true" outlineLevel="0" collapsed="false">
      <c r="A12" s="89" t="s">
        <v>362</v>
      </c>
      <c r="G12" s="91" t="n">
        <f aca="false">1/(G8*G9)</f>
        <v>0.0715473566152299</v>
      </c>
      <c r="H12" s="91" t="n">
        <f aca="false">1/(H8*H9)</f>
        <v>0.0680133306128001</v>
      </c>
      <c r="I12" s="91" t="n">
        <f aca="false">1/(I8*I9)</f>
        <v>0.142450142450142</v>
      </c>
      <c r="J12" s="91" t="n">
        <f aca="false">1/(J8*J9)</f>
        <v>0.0120758362516604</v>
      </c>
      <c r="K12" s="91" t="n">
        <f aca="false">1/(K8*K9)</f>
        <v>0.0232045480914259</v>
      </c>
      <c r="L12" s="91" t="n">
        <f aca="false">1/(L8*L9)</f>
        <v>0.0120758362516604</v>
      </c>
      <c r="M12" s="91" t="n">
        <f aca="false">1/(M8*M9)</f>
        <v>0.02465483234714</v>
      </c>
      <c r="N12" s="91" t="n">
        <f aca="false">1/(N8*N9)</f>
        <v>0.0232045480914259</v>
      </c>
      <c r="O12" s="91" t="n">
        <f aca="false">1/(O8*O9)</f>
        <v>0.11094674556213</v>
      </c>
    </row>
    <row r="13" customFormat="false" ht="13.5" hidden="false" customHeight="true" outlineLevel="0" collapsed="false">
      <c r="A13" s="89" t="s">
        <v>363</v>
      </c>
      <c r="G13" s="92" t="n">
        <f aca="false">1/G8</f>
        <v>0.588235294117647</v>
      </c>
      <c r="H13" s="92" t="n">
        <f aca="false">1/H8</f>
        <v>0.206896551724138</v>
      </c>
      <c r="I13" s="92" t="n">
        <f aca="false">1/I8</f>
        <v>0.333333333333333</v>
      </c>
      <c r="J13" s="92" t="n">
        <f aca="false">1/J8</f>
        <v>0.122448979591837</v>
      </c>
      <c r="K13" s="92" t="n">
        <f aca="false">1/K8</f>
        <v>0.176470588235294</v>
      </c>
      <c r="L13" s="92" t="n">
        <f aca="false">1/L8</f>
        <v>0.122448979591837</v>
      </c>
      <c r="M13" s="92" t="n">
        <f aca="false">1/M8</f>
        <v>0.1875</v>
      </c>
      <c r="N13" s="92" t="n">
        <f aca="false">1/N8</f>
        <v>0.176470588235294</v>
      </c>
      <c r="O13" s="92" t="n">
        <f aca="false">1/O8</f>
        <v>0.375</v>
      </c>
    </row>
    <row r="14" customFormat="false" ht="13.5" hidden="false" customHeight="true" outlineLevel="0" collapsed="false">
      <c r="G14" s="89" t="s">
        <v>364</v>
      </c>
    </row>
    <row r="15" customFormat="false" ht="39.75" hidden="false" customHeight="true" outlineLevel="0" collapsed="false">
      <c r="A15" s="39" t="s">
        <v>195</v>
      </c>
      <c r="B15" s="39" t="s">
        <v>365</v>
      </c>
      <c r="C15" s="39" t="s">
        <v>366</v>
      </c>
      <c r="D15" s="39" t="s">
        <v>367</v>
      </c>
      <c r="E15" s="39" t="s">
        <v>368</v>
      </c>
      <c r="F15" s="39" t="s">
        <v>369</v>
      </c>
      <c r="G15" s="39" t="s">
        <v>348</v>
      </c>
      <c r="H15" s="39" t="s">
        <v>349</v>
      </c>
      <c r="I15" s="39" t="s">
        <v>350</v>
      </c>
      <c r="J15" s="39" t="s">
        <v>351</v>
      </c>
      <c r="K15" s="39" t="s">
        <v>352</v>
      </c>
      <c r="L15" s="39" t="s">
        <v>353</v>
      </c>
      <c r="M15" s="39" t="s">
        <v>354</v>
      </c>
      <c r="N15" s="39" t="s">
        <v>355</v>
      </c>
      <c r="O15" s="39" t="s">
        <v>356</v>
      </c>
      <c r="P15" s="39" t="s">
        <v>370</v>
      </c>
      <c r="Q15" s="39" t="s">
        <v>371</v>
      </c>
      <c r="R15" s="39" t="s">
        <v>372</v>
      </c>
      <c r="S15" s="39" t="s">
        <v>205</v>
      </c>
      <c r="T15" s="39" t="s">
        <v>373</v>
      </c>
      <c r="U15" s="39" t="s">
        <v>374</v>
      </c>
      <c r="V15" s="39" t="s">
        <v>375</v>
      </c>
      <c r="W15" s="39" t="s">
        <v>376</v>
      </c>
      <c r="X15" s="39" t="s">
        <v>377</v>
      </c>
    </row>
    <row r="16" customFormat="false" ht="12.75" hidden="false" customHeight="true" outlineLevel="0" collapsed="false">
      <c r="A16" s="41" t="s">
        <v>378</v>
      </c>
      <c r="B16" s="93" t="s">
        <v>379</v>
      </c>
      <c r="C16" s="44" t="n">
        <v>0</v>
      </c>
      <c r="D16" s="44" t="n">
        <v>0.95</v>
      </c>
      <c r="E16" s="43" t="n">
        <v>1</v>
      </c>
      <c r="F16" s="43" t="n">
        <v>3</v>
      </c>
      <c r="G16" s="43" t="n">
        <v>0</v>
      </c>
      <c r="H16" s="43" t="n">
        <v>200</v>
      </c>
      <c r="I16" s="43" t="n">
        <v>100</v>
      </c>
      <c r="J16" s="43" t="n">
        <v>0</v>
      </c>
      <c r="K16" s="43" t="n">
        <v>0</v>
      </c>
      <c r="L16" s="43" t="n">
        <v>0</v>
      </c>
      <c r="M16" s="43" t="n">
        <v>0</v>
      </c>
      <c r="N16" s="43" t="n">
        <v>0</v>
      </c>
      <c r="O16" s="43" t="n">
        <v>0</v>
      </c>
      <c r="P16" s="94" t="n">
        <f aca="false">SUM(G16:O16)*Pipeline!$D$4</f>
        <v>1305</v>
      </c>
      <c r="Q16" s="95" t="n">
        <f aca="false">SUMPRODUCT(G$7:O$7,G16:O16)*Pipeline!$D$4*(1-C16)</f>
        <v>3262.5</v>
      </c>
      <c r="R16" s="95" t="n">
        <f aca="false">Q16*D16</f>
        <v>3099.375</v>
      </c>
      <c r="S16" s="96" t="n">
        <f aca="false">SUMPRODUCT(G$11:O$11,G16:O16)*Pipeline!$D$4/1000</f>
        <v>39.15</v>
      </c>
      <c r="T16" s="94" t="n">
        <f aca="false">SUMPRODUCT(G$13:O$13,G16:O16)*Pipeline!$D$4</f>
        <v>325</v>
      </c>
      <c r="U16" s="96" t="n">
        <f aca="false">SUMPRODUCT(G$12:O$12,G16:O16)*Pipeline!$D$4</f>
        <v>121.137409598948</v>
      </c>
      <c r="V16" s="97" t="n">
        <f aca="false">IFERROR(U16/(Hipótesis!$F$26*Hipótesis!$D$13),0)</f>
        <v>0.0420616005551903</v>
      </c>
      <c r="W16" s="95" t="n">
        <f aca="false">SUMPRODUCT(G$10:O$10,G16:O16)*Pipeline!$D$4</f>
        <v>431.502768595041</v>
      </c>
      <c r="X16" s="89" t="s">
        <v>380</v>
      </c>
    </row>
    <row r="17" customFormat="false" ht="12.75" hidden="false" customHeight="true" outlineLevel="0" collapsed="false">
      <c r="A17" s="41" t="s">
        <v>381</v>
      </c>
      <c r="B17" s="93" t="s">
        <v>382</v>
      </c>
      <c r="C17" s="44" t="n">
        <v>0</v>
      </c>
      <c r="D17" s="44" t="n">
        <v>0.6</v>
      </c>
      <c r="E17" s="43" t="n">
        <v>2</v>
      </c>
      <c r="F17" s="43" t="n">
        <v>3</v>
      </c>
      <c r="G17" s="43" t="n">
        <v>30</v>
      </c>
      <c r="H17" s="43" t="n">
        <v>0</v>
      </c>
      <c r="I17" s="43" t="n">
        <v>0</v>
      </c>
      <c r="J17" s="43" t="n">
        <v>0</v>
      </c>
      <c r="K17" s="43" t="n">
        <v>0</v>
      </c>
      <c r="L17" s="43" t="n">
        <v>0</v>
      </c>
      <c r="M17" s="43" t="n">
        <v>0</v>
      </c>
      <c r="N17" s="43" t="n">
        <v>0</v>
      </c>
      <c r="O17" s="43" t="n">
        <v>0</v>
      </c>
      <c r="P17" s="94" t="n">
        <f aca="false">SUM(G17:O17)*Pipeline!$D$4</f>
        <v>130.5</v>
      </c>
      <c r="Q17" s="95" t="n">
        <f aca="false">SUMPRODUCT(G$7:O$7,G17:O17)*Pipeline!$D$4*(1-C17)</f>
        <v>391.5</v>
      </c>
      <c r="R17" s="95" t="n">
        <f aca="false">Q17*D17</f>
        <v>234.9</v>
      </c>
      <c r="S17" s="96" t="n">
        <f aca="false">SUMPRODUCT(G$11:O$11,G17:O17)*Pipeline!$D$4/1000</f>
        <v>13.05</v>
      </c>
      <c r="T17" s="94" t="n">
        <f aca="false">SUMPRODUCT(G$13:O$13,G17:O17)*Pipeline!$D$4</f>
        <v>76.7647058823529</v>
      </c>
      <c r="U17" s="96" t="n">
        <f aca="false">SUMPRODUCT(G$12:O$12,G17:O17)*Pipeline!$D$4</f>
        <v>9.3369300382875</v>
      </c>
      <c r="V17" s="97" t="n">
        <f aca="false">IFERROR(U17/(Hipótesis!$F$26*Hipótesis!$D$13),0)</f>
        <v>0.00324198959662761</v>
      </c>
      <c r="W17" s="95" t="n">
        <f aca="false">SUMPRODUCT(G$10:O$10,G17:O17)*Pipeline!$D$4</f>
        <v>74.8686810889645</v>
      </c>
      <c r="X17" s="89" t="s">
        <v>383</v>
      </c>
    </row>
    <row r="18" customFormat="false" ht="12.75" hidden="false" customHeight="true" outlineLevel="0" collapsed="false">
      <c r="A18" s="41" t="s">
        <v>384</v>
      </c>
      <c r="B18" s="93" t="s">
        <v>382</v>
      </c>
      <c r="C18" s="44" t="n">
        <v>0</v>
      </c>
      <c r="D18" s="44" t="n">
        <v>0.85</v>
      </c>
      <c r="E18" s="43" t="n">
        <v>3</v>
      </c>
      <c r="F18" s="43" t="n">
        <v>8</v>
      </c>
      <c r="G18" s="43" t="n">
        <v>600</v>
      </c>
      <c r="H18" s="43" t="n">
        <v>100</v>
      </c>
      <c r="I18" s="43" t="n">
        <v>100</v>
      </c>
      <c r="J18" s="43" t="n">
        <v>200</v>
      </c>
      <c r="K18" s="43" t="n">
        <v>0</v>
      </c>
      <c r="L18" s="43" t="n">
        <v>0</v>
      </c>
      <c r="M18" s="43" t="n">
        <v>0</v>
      </c>
      <c r="N18" s="43" t="n">
        <v>0</v>
      </c>
      <c r="O18" s="43" t="n">
        <v>0</v>
      </c>
      <c r="P18" s="94" t="n">
        <f aca="false">SUM(G18:O18)*Pipeline!$D$4</f>
        <v>4350</v>
      </c>
      <c r="Q18" s="95" t="n">
        <f aca="false">SUMPRODUCT(G$7:O$7,G18:O18)*Pipeline!$D$4*(1-C18)</f>
        <v>11310</v>
      </c>
      <c r="R18" s="95" t="n">
        <f aca="false">Q18*D18</f>
        <v>9613.5</v>
      </c>
      <c r="S18" s="96" t="n">
        <f aca="false">SUMPRODUCT(G$11:O$11,G18:O18)*Pipeline!$D$4/1000</f>
        <v>313.2</v>
      </c>
      <c r="T18" s="94" t="n">
        <f aca="false">SUMPRODUCT(G$13:O$13,G18:O18)*Pipeline!$D$4</f>
        <v>1876.82472989196</v>
      </c>
      <c r="U18" s="96" t="n">
        <f aca="false">SUMPRODUCT(G$12:O$12,G18:O18)*Pipeline!$D$4</f>
        <v>288.796189087075</v>
      </c>
      <c r="V18" s="97" t="n">
        <f aca="false">IFERROR(U18/(Hipótesis!$F$26*Hipótesis!$D$13),0)</f>
        <v>0.100276454544123</v>
      </c>
      <c r="W18" s="95" t="n">
        <f aca="false">SUMPRODUCT(G$10:O$10,G18:O18)*Pipeline!$D$4</f>
        <v>2024.94454689314</v>
      </c>
      <c r="X18" s="89" t="s">
        <v>385</v>
      </c>
    </row>
    <row r="19" customFormat="false" ht="12.75" hidden="false" customHeight="true" outlineLevel="0" collapsed="false">
      <c r="A19" s="41" t="s">
        <v>386</v>
      </c>
      <c r="B19" s="93" t="s">
        <v>387</v>
      </c>
      <c r="C19" s="44" t="n">
        <v>0.2</v>
      </c>
      <c r="D19" s="44" t="n">
        <v>0.55</v>
      </c>
      <c r="E19" s="43" t="n">
        <v>6</v>
      </c>
      <c r="F19" s="43" t="n">
        <v>8</v>
      </c>
      <c r="G19" s="43" t="n">
        <v>1000</v>
      </c>
      <c r="H19" s="43" t="n">
        <v>0</v>
      </c>
      <c r="I19" s="43" t="n">
        <v>0</v>
      </c>
      <c r="J19" s="43" t="n">
        <v>0</v>
      </c>
      <c r="K19" s="43" t="n">
        <v>0</v>
      </c>
      <c r="L19" s="43" t="n">
        <v>0</v>
      </c>
      <c r="M19" s="43" t="n">
        <v>0</v>
      </c>
      <c r="N19" s="43" t="n">
        <v>0</v>
      </c>
      <c r="O19" s="43" t="n">
        <v>0</v>
      </c>
      <c r="P19" s="94" t="n">
        <f aca="false">SUM(G19:O19)*Pipeline!$D$4</f>
        <v>4350</v>
      </c>
      <c r="Q19" s="95" t="n">
        <f aca="false">SUMPRODUCT(G$7:O$7,G19:O19)*Pipeline!$D$4*(1-C19)</f>
        <v>10440</v>
      </c>
      <c r="R19" s="95" t="n">
        <f aca="false">Q19*D19</f>
        <v>5742</v>
      </c>
      <c r="S19" s="96" t="n">
        <f aca="false">SUMPRODUCT(G$11:O$11,G19:O19)*Pipeline!$D$4/1000</f>
        <v>435</v>
      </c>
      <c r="T19" s="94" t="n">
        <f aca="false">SUMPRODUCT(G$13:O$13,G19:O19)*Pipeline!$D$4</f>
        <v>2558.82352941176</v>
      </c>
      <c r="U19" s="96" t="n">
        <f aca="false">SUMPRODUCT(G$12:O$12,G19:O19)*Pipeline!$D$4</f>
        <v>311.23100127625</v>
      </c>
      <c r="V19" s="97" t="n">
        <f aca="false">IFERROR(U19/(Hipótesis!$F$26*Hipótesis!$D$13),0)</f>
        <v>0.108066319887587</v>
      </c>
      <c r="W19" s="95" t="n">
        <f aca="false">SUMPRODUCT(G$10:O$10,G19:O19)*Pipeline!$D$4</f>
        <v>2495.62270296548</v>
      </c>
      <c r="X19" s="89" t="s">
        <v>388</v>
      </c>
    </row>
    <row r="20" customFormat="false" ht="12.75" hidden="false" customHeight="true" outlineLevel="0" collapsed="false">
      <c r="A20" s="41" t="s">
        <v>389</v>
      </c>
      <c r="B20" s="93" t="s">
        <v>382</v>
      </c>
      <c r="C20" s="44" t="n">
        <v>0.25</v>
      </c>
      <c r="D20" s="44" t="n">
        <v>0.25</v>
      </c>
      <c r="E20" s="43" t="n">
        <v>12</v>
      </c>
      <c r="F20" s="43" t="n">
        <v>10</v>
      </c>
      <c r="G20" s="43" t="n">
        <v>4000</v>
      </c>
      <c r="H20" s="43" t="n">
        <v>0</v>
      </c>
      <c r="I20" s="43" t="n">
        <v>0</v>
      </c>
      <c r="J20" s="43" t="n">
        <v>0</v>
      </c>
      <c r="K20" s="43" t="n">
        <v>0</v>
      </c>
      <c r="L20" s="43" t="n">
        <v>0</v>
      </c>
      <c r="M20" s="43" t="n">
        <v>0</v>
      </c>
      <c r="N20" s="43" t="n">
        <v>0</v>
      </c>
      <c r="O20" s="43" t="n">
        <v>0</v>
      </c>
      <c r="P20" s="94" t="n">
        <f aca="false">SUM(G20:O20)*Pipeline!$D$4</f>
        <v>17400</v>
      </c>
      <c r="Q20" s="95" t="n">
        <f aca="false">SUMPRODUCT(G$7:O$7,G20:O20)*Pipeline!$D$4*(1-C20)</f>
        <v>39150</v>
      </c>
      <c r="R20" s="95" t="n">
        <f aca="false">Q20*D20</f>
        <v>9787.5</v>
      </c>
      <c r="S20" s="96" t="n">
        <f aca="false">SUMPRODUCT(G$11:O$11,G20:O20)*Pipeline!$D$4/1000</f>
        <v>1740</v>
      </c>
      <c r="T20" s="94" t="n">
        <f aca="false">SUMPRODUCT(G$13:O$13,G20:O20)*Pipeline!$D$4</f>
        <v>10235.2941176471</v>
      </c>
      <c r="U20" s="96" t="n">
        <f aca="false">SUMPRODUCT(G$12:O$12,G20:O20)*Pipeline!$D$4</f>
        <v>1244.924005105</v>
      </c>
      <c r="V20" s="97" t="n">
        <f aca="false">IFERROR(U20/(Hipótesis!$F$26*Hipótesis!$D$13),0)</f>
        <v>0.432265279550347</v>
      </c>
      <c r="W20" s="95" t="n">
        <f aca="false">SUMPRODUCT(G$10:O$10,G20:O20)*Pipeline!$D$4</f>
        <v>9982.49081186194</v>
      </c>
      <c r="X20" s="89" t="s">
        <v>390</v>
      </c>
    </row>
    <row r="21" customFormat="false" ht="12.75" hidden="false" customHeight="true" outlineLevel="0" collapsed="false">
      <c r="A21" s="41" t="s">
        <v>391</v>
      </c>
      <c r="B21" s="93" t="s">
        <v>382</v>
      </c>
      <c r="C21" s="44" t="n">
        <v>0.3</v>
      </c>
      <c r="D21" s="44" t="n">
        <v>0.2</v>
      </c>
      <c r="E21" s="43" t="n">
        <v>14</v>
      </c>
      <c r="F21" s="43" t="n">
        <v>10</v>
      </c>
      <c r="G21" s="43" t="n">
        <v>2000</v>
      </c>
      <c r="H21" s="43" t="n">
        <v>0</v>
      </c>
      <c r="I21" s="43" t="n">
        <v>0</v>
      </c>
      <c r="J21" s="43" t="n">
        <v>0</v>
      </c>
      <c r="K21" s="43" t="n">
        <v>0</v>
      </c>
      <c r="L21" s="43" t="n">
        <v>0</v>
      </c>
      <c r="M21" s="43" t="n">
        <v>0</v>
      </c>
      <c r="N21" s="43" t="n">
        <v>0</v>
      </c>
      <c r="O21" s="43" t="n">
        <v>0</v>
      </c>
      <c r="P21" s="94" t="n">
        <f aca="false">SUM(G21:O21)*Pipeline!$D$4</f>
        <v>8700</v>
      </c>
      <c r="Q21" s="95" t="n">
        <f aca="false">SUMPRODUCT(G$7:O$7,G21:O21)*Pipeline!$D$4*(1-C21)</f>
        <v>18270</v>
      </c>
      <c r="R21" s="95" t="n">
        <f aca="false">Q21*D21</f>
        <v>3654</v>
      </c>
      <c r="S21" s="96" t="n">
        <f aca="false">SUMPRODUCT(G$11:O$11,G21:O21)*Pipeline!$D$4/1000</f>
        <v>870</v>
      </c>
      <c r="T21" s="94" t="n">
        <f aca="false">SUMPRODUCT(G$13:O$13,G21:O21)*Pipeline!$D$4</f>
        <v>5117.64705882353</v>
      </c>
      <c r="U21" s="96" t="n">
        <f aca="false">SUMPRODUCT(G$12:O$12,G21:O21)*Pipeline!$D$4</f>
        <v>622.4620025525</v>
      </c>
      <c r="V21" s="97" t="n">
        <f aca="false">IFERROR(U21/(Hipótesis!$F$26*Hipótesis!$D$13),0)</f>
        <v>0.216132639775174</v>
      </c>
      <c r="W21" s="95" t="n">
        <f aca="false">SUMPRODUCT(G$10:O$10,G21:O21)*Pipeline!$D$4</f>
        <v>4991.24540593097</v>
      </c>
      <c r="X21" s="89" t="s">
        <v>392</v>
      </c>
    </row>
    <row r="22" customFormat="false" ht="12.75" hidden="false" customHeight="true" outlineLevel="0" collapsed="false">
      <c r="A22" s="41" t="s">
        <v>393</v>
      </c>
      <c r="B22" s="93"/>
      <c r="C22" s="44" t="n">
        <v>0</v>
      </c>
      <c r="D22" s="44" t="n">
        <v>0</v>
      </c>
      <c r="E22" s="43" t="n">
        <v>1</v>
      </c>
      <c r="F22" s="43" t="n">
        <v>1</v>
      </c>
      <c r="G22" s="43" t="n">
        <v>0</v>
      </c>
      <c r="H22" s="43" t="n">
        <v>0</v>
      </c>
      <c r="I22" s="43" t="n">
        <v>0</v>
      </c>
      <c r="J22" s="43" t="n">
        <v>0</v>
      </c>
      <c r="K22" s="43" t="n">
        <v>0</v>
      </c>
      <c r="L22" s="43" t="n">
        <v>0</v>
      </c>
      <c r="M22" s="43" t="n">
        <v>0</v>
      </c>
      <c r="N22" s="43" t="n">
        <v>0</v>
      </c>
      <c r="O22" s="43" t="n">
        <v>0</v>
      </c>
      <c r="P22" s="94" t="n">
        <f aca="false">SUM(G22:O22)*Pipeline!$D$4</f>
        <v>0</v>
      </c>
      <c r="Q22" s="95" t="n">
        <f aca="false">SUMPRODUCT(G$7:O$7,G22:O22)*Pipeline!$D$4*(1-C22)</f>
        <v>0</v>
      </c>
      <c r="R22" s="95" t="n">
        <f aca="false">Q22*D22</f>
        <v>0</v>
      </c>
      <c r="S22" s="96" t="n">
        <f aca="false">SUMPRODUCT(G$11:O$11,G22:O22)*Pipeline!$D$4/1000</f>
        <v>0</v>
      </c>
      <c r="T22" s="94" t="n">
        <f aca="false">SUMPRODUCT(G$13:O$13,G22:O22)*Pipeline!$D$4</f>
        <v>0</v>
      </c>
      <c r="U22" s="96" t="n">
        <f aca="false">SUMPRODUCT(G$12:O$12,G22:O22)*Pipeline!$D$4</f>
        <v>0</v>
      </c>
      <c r="V22" s="97" t="n">
        <f aca="false">IFERROR(U22/(Hipótesis!$F$26*Hipótesis!$D$13),0)</f>
        <v>0</v>
      </c>
      <c r="W22" s="95" t="n">
        <f aca="false">SUMPRODUCT(G$10:O$10,G22:O22)*Pipeline!$D$4</f>
        <v>0</v>
      </c>
      <c r="X22" s="89"/>
    </row>
    <row r="23" customFormat="false" ht="12.75" hidden="false" customHeight="true" outlineLevel="0" collapsed="false">
      <c r="A23" s="64" t="s">
        <v>394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98" t="n">
        <f aca="false">SUM(P16:P22)</f>
        <v>36235.5</v>
      </c>
      <c r="Q23" s="99" t="n">
        <f aca="false">SUM(Q16:Q22)</f>
        <v>82824</v>
      </c>
      <c r="R23" s="99" t="n">
        <f aca="false">SUM(R16:R22)</f>
        <v>32131.275</v>
      </c>
      <c r="S23" s="100" t="n">
        <f aca="false">SUM(S16:S22)</f>
        <v>3410.4</v>
      </c>
      <c r="T23" s="98" t="n">
        <f aca="false">SUM(T16:T22)</f>
        <v>20190.3541416567</v>
      </c>
      <c r="U23" s="100" t="n">
        <f aca="false">SUM(U16:U22)</f>
        <v>2597.88753765806</v>
      </c>
      <c r="V23" s="101" t="n">
        <f aca="false">IFERROR(U23/(Hipótesis!$F$26*Hipótesis!$D$13),0)</f>
        <v>0.902044283909049</v>
      </c>
      <c r="W23" s="99" t="n">
        <f aca="false">SUM(W16:W22)</f>
        <v>20000.6749173355</v>
      </c>
      <c r="X23" s="64"/>
    </row>
    <row r="24" customFormat="false" ht="13.5" hidden="false" customHeight="true" outlineLevel="0" collapsed="false"/>
    <row r="25" customFormat="false" ht="13.5" hidden="false" customHeight="true" outlineLevel="0" collapsed="false">
      <c r="A25" s="30" t="s">
        <v>395</v>
      </c>
    </row>
    <row r="26" customFormat="false" ht="13.5" hidden="false" customHeight="true" outlineLevel="0" collapsed="false">
      <c r="A26" s="89" t="s">
        <v>396</v>
      </c>
      <c r="G26" s="102" t="n">
        <f aca="false">SUMPRODUCT($D$16:$D$22,G16:G22)*Pipeline!$D$4*G12</f>
        <v>771.230421162548</v>
      </c>
      <c r="H26" s="102" t="n">
        <f aca="false">SUMPRODUCT($D$16:$D$22,H16:H22)*Pipeline!$D$4*H12</f>
        <v>81.3609467455621</v>
      </c>
      <c r="I26" s="102" t="n">
        <f aca="false">SUMPRODUCT($D$16:$D$22,I16:I22)*Pipeline!$D$4*I12</f>
        <v>111.538461538462</v>
      </c>
      <c r="J26" s="102" t="n">
        <f aca="false">SUMPRODUCT($D$16:$D$22,J16:J22)*Pipeline!$D$4*J12</f>
        <v>8.93008090810288</v>
      </c>
      <c r="K26" s="102" t="n">
        <f aca="false">SUMPRODUCT($D$16:$D$22,K16:K22)*Pipeline!$D$4*K12</f>
        <v>0</v>
      </c>
      <c r="L26" s="102" t="n">
        <f aca="false">SUMPRODUCT($D$16:$D$22,L16:L22)*Pipeline!$D$4*L12</f>
        <v>0</v>
      </c>
      <c r="M26" s="102" t="n">
        <f aca="false">SUMPRODUCT($D$16:$D$22,M16:M22)*Pipeline!$D$4*M12</f>
        <v>0</v>
      </c>
      <c r="N26" s="102" t="n">
        <f aca="false">SUMPRODUCT($D$16:$D$22,N16:N22)*Pipeline!$D$4*N12</f>
        <v>0</v>
      </c>
      <c r="O26" s="102" t="n">
        <f aca="false">SUMPRODUCT($D$16:$D$22,O16:O22)*Pipeline!$D$4*O12</f>
        <v>0</v>
      </c>
    </row>
    <row r="27" customFormat="false" ht="13.5" hidden="false" customHeight="true" outlineLevel="0" collapsed="false">
      <c r="A27" s="89" t="s">
        <v>397</v>
      </c>
      <c r="G27" s="51" t="n">
        <f aca="false">IFERROR(G26/SUM($G$26:$O$26),0)</f>
        <v>0.792582669325509</v>
      </c>
      <c r="H27" s="51" t="n">
        <f aca="false">IFERROR(H26/SUM($G$26:$O$26),0)</f>
        <v>0.0836135019845865</v>
      </c>
      <c r="I27" s="51" t="n">
        <f aca="false">IFERROR(I26/SUM($G$26:$O$26),0)</f>
        <v>0.114626509993415</v>
      </c>
      <c r="J27" s="51" t="n">
        <f aca="false">IFERROR(J26/SUM($G$26:$O$26),0)</f>
        <v>0.00917731869649005</v>
      </c>
      <c r="K27" s="51" t="n">
        <f aca="false">IFERROR(K26/SUM($G$26:$O$26),0)</f>
        <v>0</v>
      </c>
      <c r="L27" s="51" t="n">
        <f aca="false">IFERROR(L26/SUM($G$26:$O$26),0)</f>
        <v>0</v>
      </c>
      <c r="M27" s="51" t="n">
        <f aca="false">IFERROR(M26/SUM($G$26:$O$26),0)</f>
        <v>0</v>
      </c>
      <c r="N27" s="51" t="n">
        <f aca="false">IFERROR(N26/SUM($G$26:$O$26),0)</f>
        <v>0</v>
      </c>
      <c r="O27" s="51" t="n">
        <f aca="false">IFERROR(O26/SUM($G$26:$O$26),0)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1"/>
    <col collapsed="false" customWidth="true" hidden="false" outlineLevel="0" max="8" min="8" style="1" width="12"/>
    <col collapsed="false" customWidth="true" hidden="false" outlineLevel="0" max="12" min="9" style="1" width="13"/>
  </cols>
  <sheetData>
    <row r="1" customFormat="false" ht="18" hidden="false" customHeight="true" outlineLevel="0" collapsed="false">
      <c r="A1" s="8" t="s">
        <v>398</v>
      </c>
    </row>
    <row r="2" customFormat="false" ht="13.5" hidden="false" customHeight="true" outlineLevel="0" collapsed="false">
      <c r="A2" s="9" t="s">
        <v>399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10" t="s">
        <v>400</v>
      </c>
      <c r="B4" s="10"/>
      <c r="C4" s="10"/>
      <c r="D4" s="10"/>
      <c r="E4" s="10"/>
      <c r="F4" s="10"/>
    </row>
    <row r="5" customFormat="false" ht="13.5" hidden="false" customHeight="true" outlineLevel="0" collapsed="false">
      <c r="A5" s="13" t="s">
        <v>401</v>
      </c>
      <c r="B5" s="103" t="n">
        <v>0.35</v>
      </c>
      <c r="D5" s="9" t="s">
        <v>402</v>
      </c>
    </row>
    <row r="6" customFormat="false" ht="13.5" hidden="false" customHeight="true" outlineLevel="0" collapsed="false">
      <c r="A6" s="13" t="s">
        <v>403</v>
      </c>
      <c r="B6" s="34" t="n">
        <v>80</v>
      </c>
      <c r="D6" s="9" t="s">
        <v>404</v>
      </c>
    </row>
    <row r="7" customFormat="false" ht="13.5" hidden="false" customHeight="true" outlineLevel="0" collapsed="false">
      <c r="A7" s="13" t="s">
        <v>405</v>
      </c>
      <c r="B7" s="104" t="n">
        <v>0.18</v>
      </c>
      <c r="D7" s="9" t="s">
        <v>406</v>
      </c>
    </row>
    <row r="8" customFormat="false" ht="13.5" hidden="false" customHeight="true" outlineLevel="0" collapsed="false">
      <c r="A8" s="13" t="s">
        <v>407</v>
      </c>
      <c r="B8" s="103" t="n">
        <v>0.05</v>
      </c>
    </row>
    <row r="9" customFormat="false" ht="13.5" hidden="false" customHeight="true" outlineLevel="0" collapsed="false"/>
    <row r="10" customFormat="false" ht="12.75" hidden="false" customHeight="true" outlineLevel="0" collapsed="false">
      <c r="A10" s="10" t="s">
        <v>408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customFormat="false" ht="13.5" hidden="false" customHeight="true" outlineLevel="0" collapsed="false">
      <c r="A11" s="105" t="s">
        <v>409</v>
      </c>
      <c r="B11" s="12" t="s">
        <v>410</v>
      </c>
      <c r="C11" s="12" t="s">
        <v>411</v>
      </c>
      <c r="D11" s="12" t="s">
        <v>412</v>
      </c>
      <c r="E11" s="12" t="s">
        <v>413</v>
      </c>
      <c r="F11" s="12" t="s">
        <v>414</v>
      </c>
      <c r="G11" s="12" t="s">
        <v>415</v>
      </c>
      <c r="H11" s="12" t="s">
        <v>416</v>
      </c>
      <c r="I11" s="12" t="s">
        <v>417</v>
      </c>
      <c r="J11" s="12" t="s">
        <v>418</v>
      </c>
      <c r="K11" s="12" t="s">
        <v>419</v>
      </c>
    </row>
    <row r="12" customFormat="false" ht="13.5" hidden="false" customHeight="true" outlineLevel="0" collapsed="false">
      <c r="A12" s="41" t="s">
        <v>420</v>
      </c>
      <c r="B12" s="106" t="n">
        <v>29.05</v>
      </c>
      <c r="C12" s="106" t="n">
        <v>42.97</v>
      </c>
      <c r="D12" s="106" t="n">
        <v>59.17</v>
      </c>
      <c r="E12" s="106" t="n">
        <v>73.92</v>
      </c>
      <c r="F12" s="106" t="n">
        <v>84.56</v>
      </c>
      <c r="G12" s="106" t="n">
        <v>98.96</v>
      </c>
      <c r="H12" s="44" t="n">
        <v>0.12</v>
      </c>
      <c r="I12" s="50" t="n">
        <f aca="false">(IF($B$6&lt;=25,B12,IF($B$6&lt;=50,C12,IF($B$6&lt;=100,D12,IF($B$6&lt;=150,E12,IF($B$6&lt;=200,F12,G12))))))/$B$6*(1+$B$8)</f>
        <v>0.77660625</v>
      </c>
      <c r="J12" s="102" t="n">
        <f aca="false">$B$31*H12</f>
        <v>123.877306945946</v>
      </c>
      <c r="K12" s="46" t="n">
        <f aca="false">I12*J12</f>
        <v>96.20389080739</v>
      </c>
    </row>
    <row r="13" customFormat="false" ht="13.5" hidden="false" customHeight="true" outlineLevel="0" collapsed="false">
      <c r="A13" s="41" t="s">
        <v>421</v>
      </c>
      <c r="B13" s="106" t="n">
        <v>34.76</v>
      </c>
      <c r="C13" s="106" t="n">
        <v>46.14</v>
      </c>
      <c r="D13" s="106" t="n">
        <v>68.79</v>
      </c>
      <c r="E13" s="106" t="n">
        <v>77.41</v>
      </c>
      <c r="F13" s="106" t="n">
        <v>86.13</v>
      </c>
      <c r="G13" s="106" t="n">
        <v>94.68</v>
      </c>
      <c r="H13" s="44" t="n">
        <v>0.05</v>
      </c>
      <c r="I13" s="50" t="n">
        <f aca="false">(IF($B$6&lt;=25,B13,IF($B$6&lt;=50,C13,IF($B$6&lt;=100,D13,IF($B$6&lt;=150,E13,IF($B$6&lt;=200,F13,G13))))))/$B$6*(1+$B$8)</f>
        <v>0.90286875</v>
      </c>
      <c r="J13" s="102" t="n">
        <f aca="false">$B$31*H13</f>
        <v>51.6155445608108</v>
      </c>
      <c r="K13" s="46" t="n">
        <f aca="false">I13*J13</f>
        <v>46.6020621981886</v>
      </c>
    </row>
    <row r="14" customFormat="false" ht="13.5" hidden="false" customHeight="true" outlineLevel="0" collapsed="false">
      <c r="A14" s="41" t="s">
        <v>422</v>
      </c>
      <c r="B14" s="106" t="n">
        <v>27.08</v>
      </c>
      <c r="C14" s="106" t="n">
        <v>37.11</v>
      </c>
      <c r="D14" s="106" t="n">
        <v>48.64</v>
      </c>
      <c r="E14" s="106" t="n">
        <v>68.89</v>
      </c>
      <c r="F14" s="106" t="n">
        <v>83.48</v>
      </c>
      <c r="G14" s="106" t="n">
        <v>98.02</v>
      </c>
      <c r="H14" s="44" t="n">
        <v>0.03</v>
      </c>
      <c r="I14" s="50" t="n">
        <f aca="false">(IF($B$6&lt;=25,B14,IF($B$6&lt;=50,C14,IF($B$6&lt;=100,D14,IF($B$6&lt;=150,E14,IF($B$6&lt;=200,F14,G14))))))/$B$6*(1+$B$8)</f>
        <v>0.6384</v>
      </c>
      <c r="J14" s="102" t="n">
        <f aca="false">$B$31*H14</f>
        <v>30.9693267364865</v>
      </c>
      <c r="K14" s="46" t="n">
        <f aca="false">I14*J14</f>
        <v>19.770818188573</v>
      </c>
    </row>
    <row r="15" customFormat="false" ht="13.5" hidden="false" customHeight="true" outlineLevel="0" collapsed="false">
      <c r="A15" s="41" t="s">
        <v>423</v>
      </c>
      <c r="B15" s="106" t="n">
        <v>35.5</v>
      </c>
      <c r="C15" s="106" t="n">
        <v>43.1</v>
      </c>
      <c r="D15" s="106" t="n">
        <v>53.65</v>
      </c>
      <c r="E15" s="106" t="n">
        <v>68.71</v>
      </c>
      <c r="F15" s="106" t="n">
        <v>80.85</v>
      </c>
      <c r="G15" s="106" t="n">
        <v>99.06</v>
      </c>
      <c r="H15" s="44" t="n">
        <v>0.02</v>
      </c>
      <c r="I15" s="50" t="n">
        <f aca="false">(IF($B$6&lt;=25,B15,IF($B$6&lt;=50,C15,IF($B$6&lt;=100,D15,IF($B$6&lt;=150,E15,IF($B$6&lt;=200,F15,G15))))))/$B$6*(1+$B$8)</f>
        <v>0.70415625</v>
      </c>
      <c r="J15" s="102" t="n">
        <f aca="false">$B$31*H15</f>
        <v>20.6462178243243</v>
      </c>
      <c r="K15" s="46" t="n">
        <f aca="false">I15*J15</f>
        <v>14.5381633198594</v>
      </c>
    </row>
    <row r="16" customFormat="false" ht="13.5" hidden="false" customHeight="true" outlineLevel="0" collapsed="false">
      <c r="A16" s="41" t="s">
        <v>424</v>
      </c>
      <c r="B16" s="106" t="n">
        <v>37.7</v>
      </c>
      <c r="C16" s="106" t="n">
        <v>49.44</v>
      </c>
      <c r="D16" s="106" t="n">
        <v>61.97</v>
      </c>
      <c r="E16" s="106" t="n">
        <v>75.31</v>
      </c>
      <c r="F16" s="106" t="n">
        <v>90.68</v>
      </c>
      <c r="G16" s="106" t="n">
        <v>100.84</v>
      </c>
      <c r="H16" s="44" t="n">
        <v>0.1</v>
      </c>
      <c r="I16" s="50" t="n">
        <f aca="false">(IF($B$6&lt;=25,B16,IF($B$6&lt;=50,C16,IF($B$6&lt;=100,D16,IF($B$6&lt;=150,E16,IF($B$6&lt;=200,F16,G16))))))/$B$6*(1+$B$8)</f>
        <v>0.81335625</v>
      </c>
      <c r="J16" s="102" t="n">
        <f aca="false">$B$31*H16</f>
        <v>103.231089121622</v>
      </c>
      <c r="K16" s="46" t="n">
        <f aca="false">I16*J16</f>
        <v>83.963651531378</v>
      </c>
    </row>
    <row r="17" customFormat="false" ht="13.5" hidden="false" customHeight="true" outlineLevel="0" collapsed="false">
      <c r="A17" s="41" t="s">
        <v>425</v>
      </c>
      <c r="B17" s="106" t="n">
        <v>30.81</v>
      </c>
      <c r="C17" s="106" t="n">
        <v>40.86</v>
      </c>
      <c r="D17" s="106" t="n">
        <v>51.93</v>
      </c>
      <c r="E17" s="106" t="n">
        <v>65.67</v>
      </c>
      <c r="F17" s="106" t="n">
        <v>75.28</v>
      </c>
      <c r="G17" s="106" t="n">
        <v>87.47</v>
      </c>
      <c r="H17" s="44" t="n">
        <v>0.14</v>
      </c>
      <c r="I17" s="50" t="n">
        <f aca="false">(IF($B$6&lt;=25,B17,IF($B$6&lt;=50,C17,IF($B$6&lt;=100,D17,IF($B$6&lt;=150,E17,IF($B$6&lt;=200,F17,G17))))))/$B$6*(1+$B$8)</f>
        <v>0.68158125</v>
      </c>
      <c r="J17" s="102" t="n">
        <f aca="false">$B$31*H17</f>
        <v>144.52352477027</v>
      </c>
      <c r="K17" s="46" t="n">
        <f aca="false">I17*J17</f>
        <v>98.5045246673268</v>
      </c>
    </row>
    <row r="18" customFormat="false" ht="13.5" hidden="false" customHeight="true" outlineLevel="0" collapsed="false">
      <c r="A18" s="41" t="s">
        <v>426</v>
      </c>
      <c r="B18" s="106" t="n">
        <v>29.42</v>
      </c>
      <c r="C18" s="106" t="n">
        <v>42.71</v>
      </c>
      <c r="D18" s="106" t="n">
        <v>54.18</v>
      </c>
      <c r="E18" s="106" t="n">
        <v>66.64</v>
      </c>
      <c r="F18" s="106" t="n">
        <v>77.35</v>
      </c>
      <c r="G18" s="106" t="n">
        <v>91.02</v>
      </c>
      <c r="H18" s="44" t="n">
        <v>0.2</v>
      </c>
      <c r="I18" s="50" t="n">
        <f aca="false">(IF($B$6&lt;=25,B18,IF($B$6&lt;=50,C18,IF($B$6&lt;=100,D18,IF($B$6&lt;=150,E18,IF($B$6&lt;=200,F18,G18))))))/$B$6*(1+$B$8)</f>
        <v>0.7111125</v>
      </c>
      <c r="J18" s="102" t="n">
        <f aca="false">$B$31*H18</f>
        <v>206.462178243243</v>
      </c>
      <c r="K18" s="46" t="n">
        <f aca="false">I18*J18</f>
        <v>146.817835725998</v>
      </c>
    </row>
    <row r="19" customFormat="false" ht="13.5" hidden="false" customHeight="true" outlineLevel="0" collapsed="false">
      <c r="A19" s="41" t="s">
        <v>427</v>
      </c>
      <c r="B19" s="106" t="n">
        <v>31.15</v>
      </c>
      <c r="C19" s="106" t="n">
        <v>41.35</v>
      </c>
      <c r="D19" s="106" t="n">
        <v>61.65</v>
      </c>
      <c r="E19" s="106" t="n">
        <v>69.37</v>
      </c>
      <c r="F19" s="106" t="n">
        <v>77.2</v>
      </c>
      <c r="G19" s="106" t="n">
        <v>84.84</v>
      </c>
      <c r="H19" s="44" t="n">
        <v>0.12</v>
      </c>
      <c r="I19" s="50" t="n">
        <f aca="false">(IF($B$6&lt;=25,B19,IF($B$6&lt;=50,C19,IF($B$6&lt;=100,D19,IF($B$6&lt;=150,E19,IF($B$6&lt;=200,F19,G19))))))/$B$6*(1+$B$8)</f>
        <v>0.80915625</v>
      </c>
      <c r="J19" s="102" t="n">
        <f aca="false">$B$31*H19</f>
        <v>123.877306945946</v>
      </c>
      <c r="K19" s="46" t="n">
        <f aca="false">I19*J19</f>
        <v>100.236097148481</v>
      </c>
    </row>
    <row r="20" customFormat="false" ht="13.5" hidden="false" customHeight="true" outlineLevel="0" collapsed="false">
      <c r="A20" s="41" t="s">
        <v>428</v>
      </c>
      <c r="B20" s="106" t="n">
        <v>28.39</v>
      </c>
      <c r="C20" s="106" t="n">
        <v>42.97</v>
      </c>
      <c r="D20" s="106" t="n">
        <v>59.11</v>
      </c>
      <c r="E20" s="106" t="n">
        <v>73.62</v>
      </c>
      <c r="F20" s="106" t="n">
        <v>85.18</v>
      </c>
      <c r="G20" s="106" t="n">
        <v>98.3</v>
      </c>
      <c r="H20" s="44" t="n">
        <v>0.03</v>
      </c>
      <c r="I20" s="50" t="n">
        <f aca="false">(IF($B$6&lt;=25,B20,IF($B$6&lt;=50,C20,IF($B$6&lt;=100,D20,IF($B$6&lt;=150,E20,IF($B$6&lt;=200,F20,G20))))))/$B$6*(1+$B$8)</f>
        <v>0.77581875</v>
      </c>
      <c r="J20" s="102" t="n">
        <f aca="false">$B$31*H20</f>
        <v>30.9693267364865</v>
      </c>
      <c r="K20" s="46" t="n">
        <f aca="false">I20*J20</f>
        <v>24.0265843570425</v>
      </c>
    </row>
    <row r="21" customFormat="false" ht="13.5" hidden="false" customHeight="true" outlineLevel="0" collapsed="false">
      <c r="A21" s="41" t="s">
        <v>429</v>
      </c>
      <c r="B21" s="106" t="n">
        <v>28.39</v>
      </c>
      <c r="C21" s="106" t="n">
        <v>42.97</v>
      </c>
      <c r="D21" s="106" t="n">
        <v>59.11</v>
      </c>
      <c r="E21" s="106" t="n">
        <v>73.62</v>
      </c>
      <c r="F21" s="106" t="n">
        <v>85.18</v>
      </c>
      <c r="G21" s="106" t="n">
        <v>98.3</v>
      </c>
      <c r="H21" s="44" t="n">
        <v>0.05</v>
      </c>
      <c r="I21" s="50" t="n">
        <f aca="false">(IF($B$6&lt;=25,B21,IF($B$6&lt;=50,C21,IF($B$6&lt;=100,D21,IF($B$6&lt;=150,E21,IF($B$6&lt;=200,F21,G21))))))/$B$6*(1+$B$8)</f>
        <v>0.77581875</v>
      </c>
      <c r="J21" s="102" t="n">
        <f aca="false">$B$31*H21</f>
        <v>51.6155445608108</v>
      </c>
      <c r="K21" s="46" t="n">
        <f aca="false">I21*J21</f>
        <v>40.0443072617376</v>
      </c>
    </row>
    <row r="22" customFormat="false" ht="13.5" hidden="false" customHeight="true" outlineLevel="0" collapsed="false">
      <c r="A22" s="41" t="s">
        <v>430</v>
      </c>
      <c r="B22" s="106" t="n">
        <v>36.87</v>
      </c>
      <c r="C22" s="106" t="n">
        <v>48.96</v>
      </c>
      <c r="D22" s="106" t="n">
        <v>73.02</v>
      </c>
      <c r="E22" s="106" t="n">
        <v>82.15</v>
      </c>
      <c r="F22" s="106" t="n">
        <v>91.44</v>
      </c>
      <c r="G22" s="106" t="n">
        <v>100.49</v>
      </c>
      <c r="H22" s="44" t="n">
        <v>0.02</v>
      </c>
      <c r="I22" s="50" t="n">
        <f aca="false">(IF($B$6&lt;=25,B22,IF($B$6&lt;=50,C22,IF($B$6&lt;=100,D22,IF($B$6&lt;=150,E22,IF($B$6&lt;=200,F22,G22))))))/$B$6*(1+$B$8)</f>
        <v>0.9583875</v>
      </c>
      <c r="J22" s="102" t="n">
        <f aca="false">$B$31*H22</f>
        <v>20.6462178243243</v>
      </c>
      <c r="K22" s="46" t="n">
        <f aca="false">I22*J22</f>
        <v>19.7870770851096</v>
      </c>
    </row>
    <row r="23" customFormat="false" ht="13.5" hidden="false" customHeight="true" outlineLevel="0" collapsed="false">
      <c r="A23" s="41" t="s">
        <v>431</v>
      </c>
      <c r="B23" s="106" t="n">
        <v>35.9</v>
      </c>
      <c r="C23" s="106" t="n">
        <v>47.66</v>
      </c>
      <c r="D23" s="106" t="n">
        <v>71.08</v>
      </c>
      <c r="E23" s="106" t="n">
        <v>79.96</v>
      </c>
      <c r="F23" s="106" t="n">
        <v>88.98</v>
      </c>
      <c r="G23" s="106" t="n">
        <v>97.8</v>
      </c>
      <c r="H23" s="44" t="n">
        <v>0.04</v>
      </c>
      <c r="I23" s="50" t="n">
        <f aca="false">(IF($B$6&lt;=25,B23,IF($B$6&lt;=50,C23,IF($B$6&lt;=100,D23,IF($B$6&lt;=150,E23,IF($B$6&lt;=200,F23,G23))))))/$B$6*(1+$B$8)</f>
        <v>0.932925</v>
      </c>
      <c r="J23" s="102" t="n">
        <f aca="false">$B$31*H23</f>
        <v>41.2924356486487</v>
      </c>
      <c r="K23" s="46" t="n">
        <f aca="false">I23*J23</f>
        <v>38.5227455275155</v>
      </c>
    </row>
    <row r="24" customFormat="false" ht="13.5" hidden="false" customHeight="true" outlineLevel="0" collapsed="false">
      <c r="A24" s="41" t="s">
        <v>432</v>
      </c>
      <c r="B24" s="106" t="n">
        <v>36.87</v>
      </c>
      <c r="C24" s="106" t="n">
        <v>48.96</v>
      </c>
      <c r="D24" s="106" t="n">
        <v>73.02</v>
      </c>
      <c r="E24" s="106" t="n">
        <v>82.15</v>
      </c>
      <c r="F24" s="106" t="n">
        <v>91.44</v>
      </c>
      <c r="G24" s="106" t="n">
        <v>100.49</v>
      </c>
      <c r="H24" s="44" t="n">
        <v>0.02</v>
      </c>
      <c r="I24" s="50" t="n">
        <f aca="false">(IF($B$6&lt;=25,B24,IF($B$6&lt;=50,C24,IF($B$6&lt;=100,D24,IF($B$6&lt;=150,E24,IF($B$6&lt;=200,F24,G24))))))/$B$6*(1+$B$8)</f>
        <v>0.9583875</v>
      </c>
      <c r="J24" s="102" t="n">
        <f aca="false">$B$31*H24</f>
        <v>20.6462178243243</v>
      </c>
      <c r="K24" s="46" t="n">
        <f aca="false">I24*J24</f>
        <v>19.7870770851096</v>
      </c>
    </row>
    <row r="25" customFormat="false" ht="13.5" hidden="false" customHeight="true" outlineLevel="0" collapsed="false">
      <c r="A25" s="41" t="s">
        <v>433</v>
      </c>
      <c r="B25" s="106" t="n">
        <v>35.36</v>
      </c>
      <c r="C25" s="106" t="n">
        <v>42.9</v>
      </c>
      <c r="D25" s="106" t="n">
        <v>53.41</v>
      </c>
      <c r="E25" s="106" t="n">
        <v>68.41</v>
      </c>
      <c r="F25" s="106" t="n">
        <v>80.5</v>
      </c>
      <c r="G25" s="106" t="n">
        <v>98.63</v>
      </c>
      <c r="H25" s="44" t="n">
        <v>0.06</v>
      </c>
      <c r="I25" s="50" t="n">
        <f aca="false">(IF($B$6&lt;=25,B25,IF($B$6&lt;=50,C25,IF($B$6&lt;=100,D25,IF($B$6&lt;=150,E25,IF($B$6&lt;=200,F25,G25))))))/$B$6*(1+$B$8)</f>
        <v>0.70100625</v>
      </c>
      <c r="J25" s="102" t="n">
        <f aca="false">$B$31*H25</f>
        <v>61.938653472973</v>
      </c>
      <c r="K25" s="46" t="n">
        <f aca="false">I25*J25</f>
        <v>43.4193832011383</v>
      </c>
    </row>
    <row r="26" customFormat="false" ht="13.5" hidden="false" customHeight="true" outlineLevel="0" collapsed="false">
      <c r="A26" s="64" t="s">
        <v>434</v>
      </c>
      <c r="B26" s="64"/>
      <c r="C26" s="64"/>
      <c r="D26" s="64"/>
      <c r="E26" s="64"/>
      <c r="F26" s="64"/>
      <c r="G26" s="64"/>
      <c r="H26" s="65" t="n">
        <f aca="false">SUM(H12:H25)</f>
        <v>1</v>
      </c>
      <c r="I26" s="64"/>
      <c r="J26" s="107" t="n">
        <f aca="false">SUM(J12:J25)</f>
        <v>1032.31089121622</v>
      </c>
      <c r="K26" s="108" t="n">
        <f aca="false">SUM(K12:K25)</f>
        <v>792.224218104848</v>
      </c>
    </row>
    <row r="27" customFormat="false" ht="13.5" hidden="false" customHeight="true" outlineLevel="0" collapsed="false"/>
    <row r="28" customFormat="false" ht="13.5" hidden="false" customHeight="true" outlineLevel="0" collapsed="false">
      <c r="A28" s="10" t="s">
        <v>435</v>
      </c>
      <c r="B28" s="10"/>
      <c r="C28" s="10"/>
      <c r="D28" s="10"/>
      <c r="E28" s="10"/>
      <c r="F28" s="10"/>
    </row>
    <row r="29" customFormat="false" ht="13.5" hidden="false" customHeight="true" outlineLevel="0" collapsed="false">
      <c r="A29" s="13" t="s">
        <v>436</v>
      </c>
      <c r="B29" s="109" t="n">
        <f aca="false">Modelo_Mensual!$CH$182</f>
        <v>2949.45968918919</v>
      </c>
    </row>
    <row r="30" customFormat="false" ht="13.5" hidden="false" customHeight="true" outlineLevel="0" collapsed="false">
      <c r="A30" s="13" t="s">
        <v>437</v>
      </c>
      <c r="B30" s="109" t="n">
        <f aca="false">$B$29*(1-$B$5)</f>
        <v>1917.14879797297</v>
      </c>
    </row>
    <row r="31" customFormat="false" ht="13.5" hidden="false" customHeight="true" outlineLevel="0" collapsed="false">
      <c r="A31" s="13" t="s">
        <v>438</v>
      </c>
      <c r="B31" s="109" t="n">
        <f aca="false">$B$29*$B$5</f>
        <v>1032.31089121622</v>
      </c>
    </row>
    <row r="32" customFormat="false" ht="13.5" hidden="false" customHeight="true" outlineLevel="0" collapsed="false">
      <c r="A32" s="13" t="s">
        <v>439</v>
      </c>
      <c r="B32" s="70" t="n">
        <f aca="false">$B$30*$B$7</f>
        <v>345.086783635135</v>
      </c>
    </row>
    <row r="33" customFormat="false" ht="13.5" hidden="false" customHeight="true" outlineLevel="0" collapsed="false">
      <c r="A33" s="13" t="s">
        <v>440</v>
      </c>
      <c r="B33" s="70" t="n">
        <f aca="false">K26</f>
        <v>792.224218104848</v>
      </c>
    </row>
    <row r="34" customFormat="false" ht="13.5" hidden="false" customHeight="true" outlineLevel="0" collapsed="false">
      <c r="A34" s="30" t="s">
        <v>441</v>
      </c>
      <c r="B34" s="110" t="n">
        <f aca="false">$B$32+$B$33</f>
        <v>1137.31100173998</v>
      </c>
    </row>
    <row r="35" customFormat="false" ht="13.5" hidden="false" customHeight="true" outlineLevel="0" collapsed="false">
      <c r="A35" s="13" t="s">
        <v>442</v>
      </c>
      <c r="B35" s="111" t="n">
        <f aca="false">IFERROR($B$34/$B$29,0)</f>
        <v>0.385599778125</v>
      </c>
    </row>
    <row r="36" customFormat="false" ht="13.5" hidden="false" customHeight="true" outlineLevel="0" collapsed="false">
      <c r="A36" s="13" t="s">
        <v>443</v>
      </c>
      <c r="B36" s="112" t="n">
        <f aca="false">IFERROR($B$34/Modelo_Mensual!$CH$34,0)</f>
        <v>0.00992347923388251</v>
      </c>
    </row>
    <row r="37" customFormat="false" ht="13.5" hidden="false" customHeight="true" outlineLevel="0" collapsed="false">
      <c r="A37" s="9" t="s">
        <v>444</v>
      </c>
    </row>
    <row r="38" customFormat="false" ht="13.5" hidden="false" customHeight="true" outlineLevel="0" collapsed="false"/>
    <row r="39" customFormat="false" ht="13.5" hidden="false" customHeight="true" outlineLevel="0" collapsed="false">
      <c r="A39" s="13" t="s">
        <v>445</v>
      </c>
      <c r="B39" s="113" t="n">
        <f aca="false">IFERROR(SUMPRODUCT(H12:H25,I12:I25)/SUM(H12:H25),0)</f>
        <v>0.7674279375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40" activePane="bottomLeft" state="frozen"/>
      <selection pane="topLeft" activeCell="A1" activeCellId="0" sqref="A1"/>
      <selection pane="bottomLeft" activeCell="D44" activeCellId="0" sqref="D4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6" min="6" style="1" width="18.34"/>
    <col collapsed="false" customWidth="true" hidden="false" outlineLevel="0" max="7" min="7" style="1" width="14"/>
    <col collapsed="false" customWidth="true" hidden="false" outlineLevel="0" max="9" min="9" style="1" width="10.44"/>
  </cols>
  <sheetData>
    <row r="1" customFormat="false" ht="18" hidden="false" customHeight="true" outlineLevel="0" collapsed="false">
      <c r="A1" s="8" t="s">
        <v>446</v>
      </c>
    </row>
    <row r="2" customFormat="false" ht="13.5" hidden="false" customHeight="true" outlineLevel="0" collapsed="false">
      <c r="A2" s="9" t="s">
        <v>447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30" t="s">
        <v>448</v>
      </c>
      <c r="C4" s="114" t="n">
        <v>2</v>
      </c>
      <c r="D4" s="115" t="str">
        <f aca="false">CHOOSE($C$4,"CONSERVADOR","BASE","OPTIMISTA")</f>
        <v>BASE</v>
      </c>
    </row>
    <row r="5" customFormat="false" ht="13.5" hidden="false" customHeight="true" outlineLevel="0" collapsed="false"/>
    <row r="6" customFormat="false" ht="13.5" hidden="false" customHeight="true" outlineLevel="0" collapsed="false">
      <c r="A6" s="116" t="s">
        <v>213</v>
      </c>
      <c r="B6" s="116" t="s">
        <v>214</v>
      </c>
      <c r="C6" s="116" t="s">
        <v>215</v>
      </c>
      <c r="D6" s="116" t="s">
        <v>216</v>
      </c>
      <c r="E6" s="116" t="s">
        <v>217</v>
      </c>
      <c r="F6" s="116" t="s">
        <v>218</v>
      </c>
    </row>
    <row r="7" customFormat="false" ht="13.5" hidden="false" customHeight="true" outlineLevel="0" collapsed="false">
      <c r="A7" s="10" t="s">
        <v>449</v>
      </c>
      <c r="B7" s="10"/>
      <c r="C7" s="10"/>
      <c r="D7" s="10"/>
      <c r="E7" s="10"/>
      <c r="F7" s="10"/>
    </row>
    <row r="8" customFormat="false" ht="13.5" hidden="false" customHeight="true" outlineLevel="0" collapsed="false">
      <c r="A8" s="13" t="s">
        <v>450</v>
      </c>
      <c r="B8" s="117" t="s">
        <v>451</v>
      </c>
      <c r="D8" s="114" t="n">
        <v>32</v>
      </c>
    </row>
    <row r="9" customFormat="false" ht="13.5" hidden="false" customHeight="true" outlineLevel="0" collapsed="false">
      <c r="A9" s="13" t="s">
        <v>452</v>
      </c>
      <c r="B9" s="117" t="s">
        <v>453</v>
      </c>
      <c r="D9" s="34" t="n">
        <v>24</v>
      </c>
    </row>
    <row r="10" customFormat="false" ht="13.5" hidden="false" customHeight="true" outlineLevel="0" collapsed="false">
      <c r="A10" s="13" t="s">
        <v>454</v>
      </c>
      <c r="B10" s="117" t="s">
        <v>455</v>
      </c>
      <c r="D10" s="114" t="n">
        <v>6</v>
      </c>
    </row>
    <row r="11" customFormat="false" ht="13.5" hidden="false" customHeight="true" outlineLevel="0" collapsed="false">
      <c r="A11" s="13" t="s">
        <v>456</v>
      </c>
      <c r="B11" s="117" t="s">
        <v>457</v>
      </c>
      <c r="D11" s="32" t="n">
        <v>0.15</v>
      </c>
    </row>
    <row r="12" customFormat="false" ht="13.5" hidden="false" customHeight="true" outlineLevel="0" collapsed="false">
      <c r="A12" s="13" t="s">
        <v>458</v>
      </c>
      <c r="B12" s="117" t="s">
        <v>451</v>
      </c>
      <c r="D12" s="118" t="n">
        <f aca="false">ROUNDDOWN(D9/D11,0)</f>
        <v>160</v>
      </c>
    </row>
    <row r="13" customFormat="false" ht="13.5" hidden="false" customHeight="true" outlineLevel="0" collapsed="false">
      <c r="A13" s="13" t="s">
        <v>459</v>
      </c>
      <c r="B13" s="117" t="s">
        <v>451</v>
      </c>
      <c r="D13" s="118" t="n">
        <f aca="false">D12*D10</f>
        <v>960</v>
      </c>
    </row>
    <row r="14" customFormat="false" ht="13.5" hidden="false" customHeight="true" outlineLevel="0" collapsed="false">
      <c r="A14" s="13" t="s">
        <v>460</v>
      </c>
      <c r="B14" s="117" t="s">
        <v>461</v>
      </c>
      <c r="D14" s="119" t="n">
        <f aca="false">D9*D10</f>
        <v>144</v>
      </c>
    </row>
    <row r="15" customFormat="false" ht="13.5" hidden="false" customHeight="true" outlineLevel="0" collapsed="false">
      <c r="A15" s="10" t="s">
        <v>462</v>
      </c>
      <c r="B15" s="10"/>
      <c r="C15" s="10"/>
      <c r="D15" s="10"/>
      <c r="E15" s="10"/>
      <c r="F15" s="10"/>
    </row>
    <row r="16" customFormat="false" ht="13.5" hidden="false" customHeight="true" outlineLevel="0" collapsed="false">
      <c r="A16" s="13" t="s">
        <v>463</v>
      </c>
      <c r="B16" s="117" t="s">
        <v>222</v>
      </c>
      <c r="C16" s="120" t="n">
        <v>0.9</v>
      </c>
      <c r="D16" s="120" t="n">
        <v>1</v>
      </c>
      <c r="E16" s="120" t="n">
        <v>1.1</v>
      </c>
      <c r="F16" s="121" t="n">
        <f aca="false">CHOOSE($C$4,C16,D16,E16)</f>
        <v>1</v>
      </c>
    </row>
    <row r="17" customFormat="false" ht="13.5" hidden="false" customHeight="true" outlineLevel="0" collapsed="false">
      <c r="A17" s="13" t="s">
        <v>464</v>
      </c>
      <c r="B17" s="117" t="s">
        <v>222</v>
      </c>
      <c r="C17" s="103" t="n">
        <v>0.92</v>
      </c>
      <c r="D17" s="103" t="n">
        <v>1</v>
      </c>
      <c r="E17" s="103" t="n">
        <v>1.06</v>
      </c>
      <c r="F17" s="121" t="n">
        <f aca="false">CHOOSE($C$4,C17,D17,E17)</f>
        <v>1</v>
      </c>
    </row>
    <row r="18" customFormat="false" ht="13.5" hidden="false" customHeight="true" outlineLevel="0" collapsed="false">
      <c r="A18" s="13" t="s">
        <v>465</v>
      </c>
      <c r="B18" s="117" t="s">
        <v>222</v>
      </c>
      <c r="C18" s="120" t="n">
        <v>1.05</v>
      </c>
      <c r="D18" s="120" t="n">
        <v>1</v>
      </c>
      <c r="E18" s="120" t="n">
        <v>0.9</v>
      </c>
      <c r="F18" s="121" t="n">
        <f aca="false">CHOOSE($C$4,C18,D18,E18)</f>
        <v>1</v>
      </c>
    </row>
    <row r="19" customFormat="false" ht="13.5" hidden="false" customHeight="true" outlineLevel="0" collapsed="false">
      <c r="A19" s="10" t="s">
        <v>466</v>
      </c>
      <c r="B19" s="10"/>
      <c r="C19" s="10"/>
      <c r="D19" s="10"/>
      <c r="E19" s="10"/>
      <c r="F19" s="10"/>
    </row>
    <row r="20" customFormat="false" ht="13.5" hidden="false" customHeight="true" outlineLevel="0" collapsed="false">
      <c r="A20" s="13" t="s">
        <v>467</v>
      </c>
      <c r="B20" s="117" t="s">
        <v>468</v>
      </c>
      <c r="C20" s="122" t="n">
        <f aca="false">((1-Hipótesis!$C$30)*Producto!$T$32+Hipótesis!$C$30*Producto!$AI$32)*Hipótesis!$C$16*Hipótesis!$C$17</f>
        <v>47.4241686591892</v>
      </c>
      <c r="D20" s="122" t="n">
        <f aca="false">((1-Hipótesis!$D$30)*Producto!$T$32+Hipótesis!$D$30*Producto!$AI$32)*Hipótesis!$D$16*Hipótesis!$D$17</f>
        <v>57.2755660135135</v>
      </c>
      <c r="E20" s="122" t="n">
        <f aca="false">((1-Hipótesis!$E$30)*Producto!$T$32+Hipótesis!$E$30*Producto!$AI$32)*Hipótesis!$E$16*Hipótesis!$E$17</f>
        <v>66.7833099717568</v>
      </c>
      <c r="F20" s="113" t="n">
        <f aca="false">CHOOSE($C$4,C20,D20,E20)</f>
        <v>57.2755660135135</v>
      </c>
    </row>
    <row r="21" customFormat="false" ht="13.5" hidden="false" customHeight="true" outlineLevel="0" collapsed="false">
      <c r="A21" s="13" t="s">
        <v>469</v>
      </c>
      <c r="B21" s="117" t="s">
        <v>468</v>
      </c>
      <c r="C21" s="122" t="n">
        <f aca="false">Producto!$AB$32*Restaurantes!$C$26*Hipótesis!$C$17</f>
        <v>177.890676526216</v>
      </c>
      <c r="D21" s="122" t="n">
        <f aca="false">Producto!$AB$32*Restaurantes!$D$26*Hipótesis!$D$17</f>
        <v>214.84381222973</v>
      </c>
      <c r="E21" s="122" t="n">
        <f aca="false">Producto!$AB$32*Restaurantes!$E$26*Hipótesis!$E$17</f>
        <v>250.507885059865</v>
      </c>
      <c r="F21" s="113" t="n">
        <f aca="false">CHOOSE($C$4,C21,D21,E21)</f>
        <v>214.84381222973</v>
      </c>
    </row>
    <row r="22" customFormat="false" ht="13.5" hidden="false" customHeight="true" outlineLevel="0" collapsed="false">
      <c r="A22" s="13" t="s">
        <v>470</v>
      </c>
      <c r="B22" s="117" t="s">
        <v>468</v>
      </c>
      <c r="C22" s="122" t="n">
        <f aca="false">((1-Hipótesis!$C$30)*Producto!$S$32+Hipótesis!$C$30*Producto!$AJ$32)*Hipótesis!$C$18</f>
        <v>10.1447958650691</v>
      </c>
      <c r="D22" s="122" t="n">
        <f aca="false">((1-Hipótesis!$D$30)*Producto!$S$32+Hipótesis!$D$30*Producto!$AJ$32)*Hipótesis!$D$18</f>
        <v>9.66171034768484</v>
      </c>
      <c r="E22" s="122" t="n">
        <f aca="false">((1-Hipótesis!$E$30)*Producto!$S$32+Hipótesis!$E$30*Producto!$AJ$32)*Hipótesis!$E$18</f>
        <v>8.69553931291635</v>
      </c>
      <c r="F22" s="113" t="n">
        <f aca="false">CHOOSE($C$4,C22,D22,E22)</f>
        <v>9.66171034768484</v>
      </c>
    </row>
    <row r="23" customFormat="false" ht="13.5" hidden="false" customHeight="true" outlineLevel="0" collapsed="false">
      <c r="A23" s="13" t="s">
        <v>471</v>
      </c>
      <c r="B23" s="117" t="s">
        <v>472</v>
      </c>
      <c r="C23" s="123" t="n">
        <f aca="false">Producto!$M$32*Hipótesis!$C$17</f>
        <v>1.14359014864865</v>
      </c>
      <c r="D23" s="123" t="n">
        <f aca="false">Producto!$M$32*Hipótesis!$D$17</f>
        <v>1.24303277027027</v>
      </c>
      <c r="E23" s="123" t="n">
        <f aca="false">Producto!$M$32*Hipótesis!$E$17</f>
        <v>1.31761473648649</v>
      </c>
      <c r="F23" s="124" t="n">
        <f aca="false">CHOOSE($C$4,C23,D23,E23)</f>
        <v>1.24303277027027</v>
      </c>
    </row>
    <row r="24" customFormat="false" ht="13.5" hidden="false" customHeight="true" outlineLevel="0" collapsed="false">
      <c r="A24" s="13" t="s">
        <v>473</v>
      </c>
      <c r="B24" s="117" t="s">
        <v>474</v>
      </c>
      <c r="C24" s="123" t="n">
        <f aca="false">Producto!$J$32</f>
        <v>6.89419864864865</v>
      </c>
      <c r="D24" s="123" t="n">
        <f aca="false">Producto!$J$32</f>
        <v>6.89419864864865</v>
      </c>
      <c r="E24" s="123" t="n">
        <f aca="false">Producto!$J$32</f>
        <v>6.89419864864865</v>
      </c>
      <c r="F24" s="124" t="n">
        <f aca="false">CHOOSE($C$4,C24,D24,E24)</f>
        <v>6.89419864864865</v>
      </c>
    </row>
    <row r="25" customFormat="false" ht="13.5" hidden="false" customHeight="true" outlineLevel="0" collapsed="false">
      <c r="A25" s="10" t="s">
        <v>475</v>
      </c>
      <c r="B25" s="10"/>
      <c r="C25" s="10"/>
      <c r="D25" s="10"/>
      <c r="E25" s="10"/>
      <c r="F25" s="10"/>
    </row>
    <row r="26" customFormat="false" ht="13.5" hidden="false" customHeight="true" outlineLevel="0" collapsed="false">
      <c r="A26" s="13" t="s">
        <v>476</v>
      </c>
      <c r="B26" s="117" t="s">
        <v>477</v>
      </c>
      <c r="C26" s="114" t="n">
        <v>3</v>
      </c>
      <c r="D26" s="114" t="n">
        <v>3</v>
      </c>
      <c r="E26" s="114" t="n">
        <v>3</v>
      </c>
      <c r="F26" s="125" t="n">
        <f aca="false">CHOOSE($C$4,C26,D26,E26)</f>
        <v>3</v>
      </c>
    </row>
    <row r="27" customFormat="false" ht="13.5" hidden="false" customHeight="true" outlineLevel="0" collapsed="false">
      <c r="A27" s="13" t="s">
        <v>478</v>
      </c>
      <c r="B27" s="117" t="s">
        <v>477</v>
      </c>
      <c r="C27" s="114" t="n">
        <v>1</v>
      </c>
      <c r="D27" s="114" t="n">
        <v>1</v>
      </c>
      <c r="E27" s="114" t="n">
        <v>1</v>
      </c>
      <c r="F27" s="125" t="n">
        <f aca="false">CHOOSE($C$4,C27,D27,E27)</f>
        <v>1</v>
      </c>
    </row>
    <row r="28" customFormat="false" ht="13.5" hidden="false" customHeight="true" outlineLevel="0" collapsed="false">
      <c r="A28" s="13" t="s">
        <v>479</v>
      </c>
      <c r="B28" s="117" t="s">
        <v>480</v>
      </c>
      <c r="C28" s="32" t="n">
        <v>0.5</v>
      </c>
      <c r="D28" s="32" t="n">
        <v>0.5</v>
      </c>
      <c r="E28" s="32" t="n">
        <v>0.5</v>
      </c>
      <c r="F28" s="124" t="n">
        <f aca="false">CHOOSE($C$4,C28,D28,E28)</f>
        <v>0.5</v>
      </c>
    </row>
    <row r="29" customFormat="false" ht="13.5" hidden="false" customHeight="true" outlineLevel="0" collapsed="false">
      <c r="A29" s="13" t="s">
        <v>481</v>
      </c>
      <c r="B29" s="117" t="s">
        <v>225</v>
      </c>
      <c r="C29" s="114" t="n">
        <v>6</v>
      </c>
      <c r="D29" s="114" t="n">
        <v>6</v>
      </c>
      <c r="E29" s="114" t="n">
        <v>6</v>
      </c>
      <c r="F29" s="125" t="n">
        <f aca="false">CHOOSE($C$4,C29,D29,E29)</f>
        <v>6</v>
      </c>
    </row>
    <row r="30" customFormat="false" ht="13.5" hidden="false" customHeight="true" outlineLevel="0" collapsed="false">
      <c r="A30" s="13" t="s">
        <v>482</v>
      </c>
      <c r="B30" s="117" t="s">
        <v>222</v>
      </c>
      <c r="C30" s="120" t="n">
        <v>0.05</v>
      </c>
      <c r="D30" s="120" t="n">
        <v>0.05</v>
      </c>
      <c r="E30" s="120" t="n">
        <v>0.05</v>
      </c>
      <c r="F30" s="121" t="n">
        <f aca="false">CHOOSE($C$4,C30,D30,E30)</f>
        <v>0.05</v>
      </c>
    </row>
    <row r="31" customFormat="false" ht="13.5" hidden="false" customHeight="true" outlineLevel="0" collapsed="false">
      <c r="A31" s="13" t="s">
        <v>483</v>
      </c>
      <c r="B31" s="117" t="s">
        <v>222</v>
      </c>
      <c r="C31" s="103" t="n">
        <v>0</v>
      </c>
      <c r="D31" s="103" t="n">
        <v>0</v>
      </c>
      <c r="E31" s="103" t="n">
        <v>0</v>
      </c>
      <c r="F31" s="121" t="n">
        <f aca="false">CHOOSE($C$4,C31,D31,E31)</f>
        <v>0</v>
      </c>
    </row>
    <row r="32" customFormat="false" ht="13.5" hidden="false" customHeight="true" outlineLevel="0" collapsed="false">
      <c r="A32" s="13" t="s">
        <v>484</v>
      </c>
      <c r="B32" s="117" t="s">
        <v>222</v>
      </c>
      <c r="C32" s="103" t="n">
        <v>0.55</v>
      </c>
      <c r="D32" s="103" t="n">
        <v>0.55</v>
      </c>
      <c r="E32" s="103" t="n">
        <v>0.55</v>
      </c>
      <c r="F32" s="121" t="n">
        <f aca="false">CHOOSE($C$4,C32,D32,E32)</f>
        <v>0.55</v>
      </c>
    </row>
    <row r="33" customFormat="false" ht="13.5" hidden="false" customHeight="true" outlineLevel="0" collapsed="false">
      <c r="A33" s="13" t="s">
        <v>485</v>
      </c>
      <c r="B33" s="117" t="s">
        <v>228</v>
      </c>
      <c r="C33" s="114" t="n">
        <v>36</v>
      </c>
      <c r="D33" s="114" t="n">
        <v>36</v>
      </c>
      <c r="E33" s="114" t="n">
        <v>36</v>
      </c>
      <c r="F33" s="125" t="n">
        <f aca="false">CHOOSE($C$4,C33,D33,E33)</f>
        <v>36</v>
      </c>
    </row>
    <row r="34" customFormat="false" ht="13.5" hidden="false" customHeight="true" outlineLevel="0" collapsed="false">
      <c r="A34" s="13" t="s">
        <v>486</v>
      </c>
      <c r="B34" s="117" t="s">
        <v>222</v>
      </c>
      <c r="C34" s="103" t="n">
        <v>0.1</v>
      </c>
      <c r="D34" s="103" t="n">
        <v>0.1</v>
      </c>
      <c r="E34" s="103" t="n">
        <v>0.1</v>
      </c>
      <c r="F34" s="121" t="n">
        <f aca="false">CHOOSE($C$4,C34,D34,E34)</f>
        <v>0.1</v>
      </c>
    </row>
    <row r="35" customFormat="false" ht="13.5" hidden="false" customHeight="true" outlineLevel="0" collapsed="false">
      <c r="A35" s="10" t="s">
        <v>487</v>
      </c>
      <c r="B35" s="10"/>
      <c r="C35" s="10"/>
      <c r="D35" s="10"/>
      <c r="E35" s="10"/>
      <c r="F35" s="10"/>
    </row>
    <row r="36" customFormat="false" ht="13.5" hidden="false" customHeight="true" outlineLevel="0" collapsed="false">
      <c r="A36" s="13" t="s">
        <v>488</v>
      </c>
      <c r="B36" s="117" t="s">
        <v>204</v>
      </c>
      <c r="C36" s="126" t="n">
        <v>2250</v>
      </c>
      <c r="D36" s="126" t="n">
        <v>2000</v>
      </c>
      <c r="E36" s="126" t="n">
        <v>1800</v>
      </c>
      <c r="F36" s="127" t="n">
        <f aca="false">CHOOSE($C$4,C36,D36,E36)</f>
        <v>2000</v>
      </c>
    </row>
    <row r="37" customFormat="false" ht="13.5" hidden="false" customHeight="true" outlineLevel="0" collapsed="false">
      <c r="A37" s="13" t="s">
        <v>489</v>
      </c>
      <c r="B37" s="117" t="s">
        <v>204</v>
      </c>
      <c r="C37" s="126" t="n">
        <v>400</v>
      </c>
      <c r="D37" s="126" t="n">
        <v>1000</v>
      </c>
      <c r="E37" s="126" t="n">
        <v>300</v>
      </c>
      <c r="F37" s="127" t="n">
        <f aca="false">CHOOSE($C$4,C37,D37,E37)</f>
        <v>1000</v>
      </c>
    </row>
    <row r="38" customFormat="false" ht="13.5" hidden="false" customHeight="true" outlineLevel="0" collapsed="false">
      <c r="A38" s="13" t="s">
        <v>490</v>
      </c>
      <c r="B38" s="117" t="s">
        <v>491</v>
      </c>
      <c r="C38" s="32" t="n">
        <v>0.75</v>
      </c>
      <c r="D38" s="32" t="n">
        <v>0.55</v>
      </c>
      <c r="E38" s="32" t="n">
        <v>0.55</v>
      </c>
      <c r="F38" s="124" t="n">
        <f aca="false">CHOOSE($C$4,C38,D38,E38)</f>
        <v>0.55</v>
      </c>
    </row>
    <row r="39" customFormat="false" ht="13.5" hidden="false" customHeight="true" outlineLevel="0" collapsed="false">
      <c r="A39" s="13" t="s">
        <v>492</v>
      </c>
      <c r="B39" s="117" t="s">
        <v>204</v>
      </c>
      <c r="C39" s="126" t="n">
        <v>700</v>
      </c>
      <c r="D39" s="126" t="n">
        <v>800</v>
      </c>
      <c r="E39" s="126" t="n">
        <v>500</v>
      </c>
      <c r="F39" s="127" t="n">
        <f aca="false">CHOOSE($C$4,C39,D39,E39)</f>
        <v>800</v>
      </c>
    </row>
    <row r="40" customFormat="false" ht="13.5" hidden="false" customHeight="true" outlineLevel="0" collapsed="false">
      <c r="A40" s="13" t="s">
        <v>493</v>
      </c>
      <c r="B40" s="117" t="s">
        <v>204</v>
      </c>
      <c r="C40" s="126" t="n">
        <v>700</v>
      </c>
      <c r="D40" s="126" t="n">
        <v>500</v>
      </c>
      <c r="E40" s="126" t="n">
        <v>500</v>
      </c>
      <c r="F40" s="127" t="n">
        <f aca="false">CHOOSE($C$4,C40,D40,E40)</f>
        <v>500</v>
      </c>
    </row>
    <row r="41" customFormat="false" ht="13.5" hidden="false" customHeight="true" outlineLevel="0" collapsed="false">
      <c r="A41" s="10" t="s">
        <v>494</v>
      </c>
      <c r="B41" s="10"/>
      <c r="C41" s="10"/>
      <c r="D41" s="10"/>
      <c r="E41" s="10"/>
      <c r="F41" s="10"/>
      <c r="G41" s="10"/>
    </row>
    <row r="42" customFormat="false" ht="13.5" hidden="false" customHeight="true" outlineLevel="0" collapsed="false">
      <c r="A42" s="13" t="s">
        <v>495</v>
      </c>
      <c r="B42" s="117" t="s">
        <v>222</v>
      </c>
      <c r="D42" s="103" t="n">
        <v>0.32</v>
      </c>
    </row>
    <row r="43" customFormat="false" ht="13.5" hidden="false" customHeight="true" outlineLevel="0" collapsed="false">
      <c r="A43" s="30" t="s">
        <v>496</v>
      </c>
      <c r="C43" s="116" t="s">
        <v>497</v>
      </c>
      <c r="D43" s="116" t="s">
        <v>498</v>
      </c>
      <c r="E43" s="116" t="s">
        <v>499</v>
      </c>
      <c r="F43" s="116" t="s">
        <v>500</v>
      </c>
      <c r="G43" s="116" t="s">
        <v>501</v>
      </c>
      <c r="H43" s="116" t="s">
        <v>502</v>
      </c>
      <c r="I43" s="116" t="s">
        <v>503</v>
      </c>
    </row>
    <row r="44" customFormat="false" ht="13.5" hidden="false" customHeight="true" outlineLevel="0" collapsed="false">
      <c r="A44" s="13" t="s">
        <v>504</v>
      </c>
      <c r="C44" s="126" t="n">
        <v>2200</v>
      </c>
      <c r="D44" s="126" t="n">
        <v>3500</v>
      </c>
      <c r="E44" s="126" t="n">
        <v>4000</v>
      </c>
      <c r="F44" s="126" t="n">
        <v>4500</v>
      </c>
      <c r="G44" s="126" t="n">
        <v>5000</v>
      </c>
      <c r="H44" s="126" t="n">
        <v>5500</v>
      </c>
      <c r="I44" s="126" t="n">
        <v>6000</v>
      </c>
    </row>
    <row r="45" customFormat="false" ht="13.5" hidden="false" customHeight="true" outlineLevel="0" collapsed="false">
      <c r="A45" s="13" t="s">
        <v>505</v>
      </c>
      <c r="B45" s="117" t="s">
        <v>506</v>
      </c>
      <c r="D45" s="103" t="n">
        <v>0.03</v>
      </c>
    </row>
    <row r="46" customFormat="false" ht="13.5" hidden="false" customHeight="true" outlineLevel="0" collapsed="false">
      <c r="A46" s="9" t="s">
        <v>507</v>
      </c>
    </row>
    <row r="47" customFormat="false" ht="13.5" hidden="false" customHeight="true" outlineLevel="0" collapsed="false">
      <c r="A47" s="11" t="s">
        <v>508</v>
      </c>
      <c r="B47" s="116" t="s">
        <v>509</v>
      </c>
      <c r="C47" s="116" t="s">
        <v>510</v>
      </c>
      <c r="D47" s="116" t="s">
        <v>511</v>
      </c>
      <c r="E47" s="116" t="s">
        <v>512</v>
      </c>
      <c r="F47" s="116" t="s">
        <v>513</v>
      </c>
      <c r="G47" s="116" t="s">
        <v>514</v>
      </c>
    </row>
    <row r="48" customFormat="false" ht="13.5" hidden="false" customHeight="true" outlineLevel="0" collapsed="false">
      <c r="A48" s="13" t="s">
        <v>515</v>
      </c>
      <c r="B48" s="114" t="n">
        <v>1</v>
      </c>
      <c r="C48" s="126" t="n">
        <v>2250</v>
      </c>
      <c r="D48" s="114" t="n">
        <v>1</v>
      </c>
      <c r="E48" s="128" t="n">
        <f aca="false">B48*IF(G48=1,Hipótesis!$C$44,C48)*(1+Hipótesis!$D$42)</f>
        <v>2904</v>
      </c>
      <c r="F48" s="114" t="n">
        <v>0</v>
      </c>
      <c r="G48" s="114" t="n">
        <v>1</v>
      </c>
    </row>
    <row r="49" customFormat="false" ht="13.5" hidden="false" customHeight="true" outlineLevel="0" collapsed="false">
      <c r="A49" s="13" t="s">
        <v>516</v>
      </c>
      <c r="B49" s="114" t="n">
        <v>1</v>
      </c>
      <c r="C49" s="126" t="n">
        <v>2250</v>
      </c>
      <c r="D49" s="114" t="n">
        <v>1</v>
      </c>
      <c r="E49" s="128" t="n">
        <f aca="false">B49*IF(G49=1,Hipótesis!$C$44,C49)*(1+Hipótesis!$D$42)</f>
        <v>2904</v>
      </c>
      <c r="F49" s="114" t="n">
        <v>0</v>
      </c>
      <c r="G49" s="114" t="n">
        <v>1</v>
      </c>
    </row>
    <row r="50" customFormat="false" ht="13.5" hidden="false" customHeight="true" outlineLevel="0" collapsed="false">
      <c r="A50" s="13" t="s">
        <v>517</v>
      </c>
      <c r="B50" s="114" t="n">
        <v>1</v>
      </c>
      <c r="C50" s="126" t="n">
        <v>2250</v>
      </c>
      <c r="D50" s="114" t="n">
        <v>1</v>
      </c>
      <c r="E50" s="128" t="n">
        <f aca="false">B50*IF(G50=1,Hipótesis!$C$44,C50)*(1+Hipótesis!$D$42)</f>
        <v>2904</v>
      </c>
      <c r="F50" s="114" t="n">
        <v>160</v>
      </c>
      <c r="G50" s="114" t="n">
        <v>1</v>
      </c>
    </row>
    <row r="51" customFormat="false" ht="13.5" hidden="false" customHeight="true" outlineLevel="0" collapsed="false">
      <c r="A51" s="13" t="s">
        <v>518</v>
      </c>
      <c r="B51" s="114" t="n">
        <v>1</v>
      </c>
      <c r="C51" s="126" t="n">
        <v>2000</v>
      </c>
      <c r="D51" s="114" t="n">
        <v>1</v>
      </c>
      <c r="E51" s="128" t="n">
        <f aca="false">B51*IF(G51=1,Hipótesis!$C$44,C51)*(1+Hipótesis!$D$42)</f>
        <v>2640</v>
      </c>
      <c r="F51" s="114" t="n">
        <v>160</v>
      </c>
      <c r="G51" s="114" t="n">
        <v>0</v>
      </c>
    </row>
    <row r="52" customFormat="false" ht="13.5" hidden="false" customHeight="true" outlineLevel="0" collapsed="false">
      <c r="A52" s="13" t="s">
        <v>519</v>
      </c>
      <c r="B52" s="114" t="n">
        <v>1</v>
      </c>
      <c r="C52" s="126" t="n">
        <v>2000</v>
      </c>
      <c r="D52" s="114" t="n">
        <v>20</v>
      </c>
      <c r="E52" s="128" t="n">
        <f aca="false">B52*IF(G52=1,Hipótesis!$C$44,C52)*(1+Hipótesis!$D$42)</f>
        <v>2640</v>
      </c>
      <c r="F52" s="114" t="n">
        <v>0</v>
      </c>
      <c r="G52" s="114" t="n">
        <v>0</v>
      </c>
    </row>
    <row r="53" customFormat="false" ht="13.5" hidden="false" customHeight="true" outlineLevel="0" collapsed="false">
      <c r="A53" s="89" t="s">
        <v>520</v>
      </c>
      <c r="B53" s="129" t="n">
        <v>0</v>
      </c>
      <c r="C53" s="130" t="n">
        <v>1700</v>
      </c>
      <c r="D53" s="129" t="n">
        <v>24</v>
      </c>
      <c r="E53" s="128" t="n">
        <f aca="false">B53*IF(G53=1,Hipótesis!$C$44,C53)*(1+Hipótesis!$D$42)</f>
        <v>0</v>
      </c>
      <c r="F53" s="129" t="n">
        <v>160</v>
      </c>
      <c r="G53" s="129" t="n">
        <v>0</v>
      </c>
    </row>
    <row r="54" customFormat="false" ht="13.5" hidden="false" customHeight="true" outlineLevel="0" collapsed="false">
      <c r="A54" s="13" t="s">
        <v>521</v>
      </c>
      <c r="E54" s="108" t="n">
        <f aca="false">SUMPRODUCT($B$48:$B$53,IF($G$48:$G$53=1,Hipótesis!$I$44,$C$48:$C$53*(1+Hipótesis!$D$45)^6))*(1+Hipótesis!$D$42)</f>
        <v>30064.5961256731</v>
      </c>
    </row>
    <row r="55" customFormat="false" ht="13.5" hidden="false" customHeight="true" outlineLevel="0" collapsed="false">
      <c r="A55" s="13" t="s">
        <v>522</v>
      </c>
      <c r="E55" s="127" t="n">
        <f aca="false">SUMPRODUCT(($D$48:$D$53&lt;=1)*($B$48:$B$53)*IF($G$48:$G$53=1,Hipótesis!$C$44,$C$48:$C$53))*(1+Hipótesis!$D$42)</f>
        <v>11352</v>
      </c>
    </row>
    <row r="56" customFormat="false" ht="13.5" hidden="false" customHeight="true" outlineLevel="0" collapsed="false">
      <c r="A56" s="30" t="s">
        <v>523</v>
      </c>
      <c r="B56" s="117" t="s">
        <v>243</v>
      </c>
      <c r="D56" s="126" t="n">
        <v>200000</v>
      </c>
    </row>
    <row r="57" customFormat="false" ht="13.5" hidden="false" customHeight="true" outlineLevel="0" collapsed="false">
      <c r="A57" s="30" t="s">
        <v>524</v>
      </c>
      <c r="C57" s="70" t="n">
        <f aca="false">IFERROR(MAX(0,((Hipótesis!$D$56-CAPEX!$E$22)/CAPEX!$C$23-(Hipótesis!$C$36+Hipótesis!$C$37+Hipótesis!$C$39+Hipótesis!$C$40)-SUMPRODUCT(($D$48:$D$53&lt;=1)*($B$48:$B$53)*($G$48:$G$53=0)*($C$48:$C$53))*(1+Hipótesis!$D$42))/(SUMPRODUCT(($D$48:$D$53&lt;=1)*($B$48:$B$53)*($G$48:$G$53=1))*(1+Hipótesis!$D$42))),0)</f>
        <v>5157.82828282828</v>
      </c>
      <c r="D57" s="70" t="n">
        <f aca="false">IFERROR(MAX(0,((Hipótesis!$D$56-CAPEX!$F$22)/CAPEX!$C$23-(Hipótesis!$D$36+Hipótesis!$D$37+Hipótesis!$D$39+Hipótesis!$D$40)-SUMPRODUCT(($D$48:$D$53&lt;=1)*($B$48:$B$53)*($G$48:$G$53=0)*($C$48:$C$53))*(1+Hipótesis!$D$42))/(SUMPRODUCT(($D$48:$D$53&lt;=1)*($B$48:$B$53)*($G$48:$G$53=1))*(1+Hipótesis!$D$42))),0)</f>
        <v>4368.68686868687</v>
      </c>
      <c r="E57" s="70" t="n">
        <f aca="false">IFERROR(MAX(0,((Hipótesis!$D$56-CAPEX!$G$22)/CAPEX!$C$23-(Hipótesis!$E$36+Hipótesis!$E$37+Hipótesis!$E$39+Hipótesis!$E$40)-SUMPRODUCT(($D$48:$D$53&lt;=1)*($B$48:$B$53)*($G$48:$G$53=0)*($C$48:$C$53))*(1+Hipótesis!$D$42))/(SUMPRODUCT(($D$48:$D$53&lt;=1)*($B$48:$B$53)*($G$48:$G$53=1))*(1+Hipótesis!$D$42))),0)</f>
        <v>2856.69191919192</v>
      </c>
      <c r="F57" s="110" t="n">
        <f aca="false">CHOOSE($C$4,C57,D57,E57)</f>
        <v>4368.68686868687</v>
      </c>
    </row>
    <row r="58" customFormat="false" ht="13.5" hidden="false" customHeight="true" outlineLevel="0" collapsed="false">
      <c r="A58" s="9" t="s">
        <v>525</v>
      </c>
    </row>
    <row r="59" customFormat="false" ht="13.5" hidden="false" customHeight="true" outlineLevel="0" collapsed="false">
      <c r="A59" s="13" t="s">
        <v>526</v>
      </c>
      <c r="E59" s="125" t="n">
        <f aca="false">SUMPRODUCT($B$48:$B$53,$F$48:$F$53)</f>
        <v>320</v>
      </c>
    </row>
    <row r="60" customFormat="false" ht="13.5" hidden="false" customHeight="true" outlineLevel="0" collapsed="false">
      <c r="A60" s="30" t="s">
        <v>527</v>
      </c>
    </row>
    <row r="61" customFormat="false" ht="13.5" hidden="false" customHeight="true" outlineLevel="0" collapsed="false">
      <c r="A61" s="13" t="s">
        <v>528</v>
      </c>
      <c r="B61" s="117" t="s">
        <v>204</v>
      </c>
      <c r="D61" s="126" t="n">
        <v>1700</v>
      </c>
    </row>
    <row r="62" customFormat="false" ht="13.5" hidden="false" customHeight="true" outlineLevel="0" collapsed="false">
      <c r="A62" s="13" t="s">
        <v>529</v>
      </c>
      <c r="B62" s="117" t="s">
        <v>204</v>
      </c>
      <c r="D62" s="128" t="n">
        <f aca="false">Hipótesis!$D$61*(1+Hipótesis!$D$42)</f>
        <v>2244</v>
      </c>
    </row>
    <row r="63" customFormat="false" ht="13.5" hidden="false" customHeight="true" outlineLevel="0" collapsed="false">
      <c r="A63" s="13" t="s">
        <v>530</v>
      </c>
      <c r="B63" s="117" t="s">
        <v>531</v>
      </c>
      <c r="D63" s="114" t="n">
        <v>160</v>
      </c>
    </row>
    <row r="64" customFormat="false" ht="13.5" hidden="false" customHeight="true" outlineLevel="0" collapsed="false">
      <c r="A64" s="9" t="s">
        <v>532</v>
      </c>
    </row>
    <row r="65" customFormat="false" ht="13.5" hidden="false" customHeight="true" outlineLevel="0" collapsed="false">
      <c r="A65" s="10" t="s">
        <v>533</v>
      </c>
      <c r="B65" s="10"/>
      <c r="C65" s="10"/>
      <c r="D65" s="10"/>
      <c r="E65" s="10"/>
      <c r="F65" s="10"/>
    </row>
    <row r="66" customFormat="false" ht="13.5" hidden="false" customHeight="true" outlineLevel="0" collapsed="false">
      <c r="A66" s="13" t="s">
        <v>534</v>
      </c>
      <c r="B66" s="117" t="s">
        <v>260</v>
      </c>
      <c r="C66" s="114" t="n">
        <v>40</v>
      </c>
      <c r="D66" s="114" t="n">
        <v>30</v>
      </c>
      <c r="E66" s="114" t="n">
        <v>25</v>
      </c>
      <c r="F66" s="125" t="n">
        <f aca="false">CHOOSE($C$4,C66,D66,E66)</f>
        <v>30</v>
      </c>
    </row>
    <row r="67" customFormat="false" ht="13.5" hidden="false" customHeight="true" outlineLevel="0" collapsed="false">
      <c r="A67" s="13" t="s">
        <v>535</v>
      </c>
      <c r="B67" s="117" t="s">
        <v>260</v>
      </c>
      <c r="C67" s="114" t="n">
        <v>30</v>
      </c>
      <c r="D67" s="114" t="n">
        <v>30</v>
      </c>
      <c r="E67" s="114" t="n">
        <v>45</v>
      </c>
      <c r="F67" s="125" t="n">
        <f aca="false">CHOOSE($C$4,C67,D67,E67)</f>
        <v>30</v>
      </c>
    </row>
    <row r="68" customFormat="false" ht="13.5" hidden="false" customHeight="true" outlineLevel="0" collapsed="false">
      <c r="A68" s="13" t="s">
        <v>536</v>
      </c>
      <c r="B68" s="117" t="s">
        <v>222</v>
      </c>
      <c r="D68" s="103" t="n">
        <v>0.02</v>
      </c>
    </row>
    <row r="69" customFormat="false" ht="13.5" hidden="false" customHeight="true" outlineLevel="0" collapsed="false">
      <c r="A69" s="10" t="s">
        <v>537</v>
      </c>
      <c r="B69" s="10"/>
      <c r="C69" s="10"/>
      <c r="D69" s="10"/>
      <c r="E69" s="10"/>
      <c r="F69" s="10"/>
    </row>
    <row r="70" customFormat="false" ht="13.5" hidden="false" customHeight="true" outlineLevel="0" collapsed="false">
      <c r="A70" s="13" t="s">
        <v>538</v>
      </c>
      <c r="B70" s="117" t="s">
        <v>243</v>
      </c>
      <c r="D70" s="126" t="n">
        <v>50000</v>
      </c>
    </row>
    <row r="71" customFormat="false" ht="13.5" hidden="false" customHeight="true" outlineLevel="0" collapsed="false">
      <c r="A71" s="13" t="s">
        <v>539</v>
      </c>
      <c r="B71" s="117" t="s">
        <v>222</v>
      </c>
      <c r="D71" s="103" t="n">
        <v>0.055</v>
      </c>
    </row>
    <row r="72" customFormat="false" ht="13.5" hidden="false" customHeight="true" outlineLevel="0" collapsed="false">
      <c r="A72" s="13" t="s">
        <v>540</v>
      </c>
      <c r="B72" s="117" t="s">
        <v>243</v>
      </c>
      <c r="D72" s="126" t="n">
        <v>30000</v>
      </c>
    </row>
    <row r="73" customFormat="false" ht="13.5" hidden="false" customHeight="true" outlineLevel="0" collapsed="false">
      <c r="A73" s="13" t="s">
        <v>541</v>
      </c>
      <c r="B73" s="117" t="s">
        <v>222</v>
      </c>
      <c r="D73" s="103" t="n">
        <v>0.6</v>
      </c>
    </row>
    <row r="74" customFormat="false" ht="13.5" hidden="false" customHeight="true" outlineLevel="0" collapsed="false">
      <c r="A74" s="13" t="s">
        <v>542</v>
      </c>
      <c r="B74" s="117" t="s">
        <v>222</v>
      </c>
      <c r="D74" s="103" t="n">
        <v>0.075</v>
      </c>
    </row>
    <row r="75" customFormat="false" ht="13.5" hidden="false" customHeight="true" outlineLevel="0" collapsed="false">
      <c r="A75" s="10" t="s">
        <v>543</v>
      </c>
      <c r="B75" s="10"/>
      <c r="C75" s="10"/>
      <c r="D75" s="10"/>
      <c r="E75" s="10"/>
      <c r="F75" s="10"/>
    </row>
    <row r="76" customFormat="false" ht="13.5" hidden="false" customHeight="true" outlineLevel="0" collapsed="false">
      <c r="A76" s="13" t="s">
        <v>544</v>
      </c>
      <c r="B76" s="117" t="s">
        <v>225</v>
      </c>
      <c r="D76" s="114" t="n">
        <v>37</v>
      </c>
    </row>
    <row r="77" customFormat="false" ht="13.5" hidden="false" customHeight="true" outlineLevel="0" collapsed="false">
      <c r="A77" s="13" t="s">
        <v>545</v>
      </c>
      <c r="B77" s="117" t="s">
        <v>222</v>
      </c>
      <c r="D77" s="103" t="n">
        <v>0.4</v>
      </c>
    </row>
    <row r="78" customFormat="false" ht="13.5" hidden="false" customHeight="true" outlineLevel="0" collapsed="false">
      <c r="A78" s="13" t="s">
        <v>546</v>
      </c>
      <c r="B78" s="117" t="s">
        <v>225</v>
      </c>
      <c r="D78" s="114" t="n">
        <v>37</v>
      </c>
    </row>
    <row r="79" customFormat="false" ht="13.5" hidden="false" customHeight="true" outlineLevel="0" collapsed="false">
      <c r="A79" s="13" t="s">
        <v>547</v>
      </c>
      <c r="B79" s="117" t="s">
        <v>222</v>
      </c>
      <c r="D79" s="103" t="n">
        <v>0.5</v>
      </c>
    </row>
    <row r="80" customFormat="false" ht="13.5" hidden="false" customHeight="true" outlineLevel="0" collapsed="false">
      <c r="A80" s="13" t="s">
        <v>548</v>
      </c>
      <c r="B80" s="117" t="s">
        <v>243</v>
      </c>
      <c r="D80" s="126" t="n">
        <v>60000</v>
      </c>
    </row>
    <row r="81" customFormat="false" ht="13.5" hidden="false" customHeight="true" outlineLevel="0" collapsed="false">
      <c r="A81" s="13" t="s">
        <v>549</v>
      </c>
      <c r="B81" s="117" t="s">
        <v>243</v>
      </c>
      <c r="D81" s="126" t="n">
        <v>100030</v>
      </c>
    </row>
    <row r="82" customFormat="false" ht="13.5" hidden="false" customHeight="true" outlineLevel="0" collapsed="false">
      <c r="A82" s="13" t="s">
        <v>550</v>
      </c>
      <c r="B82" s="117" t="s">
        <v>222</v>
      </c>
      <c r="D82" s="103" t="n">
        <v>0.3</v>
      </c>
    </row>
    <row r="83" customFormat="false" ht="13.5" hidden="false" customHeight="true" outlineLevel="0" collapsed="false">
      <c r="A83" s="13" t="s">
        <v>551</v>
      </c>
      <c r="B83" s="117" t="s">
        <v>222</v>
      </c>
      <c r="D83" s="103" t="n">
        <v>0.3</v>
      </c>
    </row>
    <row r="84" customFormat="false" ht="13.5" hidden="false" customHeight="true" outlineLevel="0" collapsed="false">
      <c r="A84" s="13" t="s">
        <v>552</v>
      </c>
      <c r="B84" s="117" t="s">
        <v>222</v>
      </c>
      <c r="D84" s="103" t="n">
        <v>0.21</v>
      </c>
    </row>
    <row r="85" customFormat="false" ht="13.5" hidden="false" customHeight="true" outlineLevel="0" collapsed="false">
      <c r="A85" s="10" t="s">
        <v>553</v>
      </c>
      <c r="B85" s="10"/>
      <c r="C85" s="10"/>
      <c r="D85" s="10"/>
      <c r="E85" s="10"/>
      <c r="F85" s="10"/>
    </row>
    <row r="86" customFormat="false" ht="13.5" hidden="false" customHeight="true" outlineLevel="0" collapsed="false">
      <c r="A86" s="13" t="s">
        <v>554</v>
      </c>
      <c r="B86" s="117" t="s">
        <v>555</v>
      </c>
      <c r="C86" s="34" t="n">
        <v>7</v>
      </c>
      <c r="D86" s="34" t="n">
        <v>7</v>
      </c>
      <c r="E86" s="34" t="n">
        <v>7</v>
      </c>
      <c r="F86" s="36" t="n">
        <f aca="false">CHOOSE($C$4,C86,D86,E86)</f>
        <v>7</v>
      </c>
    </row>
    <row r="87" customFormat="false" ht="13.5" hidden="false" customHeight="true" outlineLevel="0" collapsed="false">
      <c r="A87" s="13" t="s">
        <v>556</v>
      </c>
      <c r="B87" s="117" t="s">
        <v>222</v>
      </c>
      <c r="C87" s="103" t="n">
        <v>0.15</v>
      </c>
      <c r="D87" s="103" t="n">
        <v>0.15</v>
      </c>
      <c r="E87" s="103" t="n">
        <v>0.15</v>
      </c>
      <c r="F87" s="121" t="n">
        <f aca="false">CHOOSE($C$4,C87,D87,E87)</f>
        <v>0.15</v>
      </c>
    </row>
    <row r="88" customFormat="false" ht="13.5" hidden="false" customHeight="true" outlineLevel="0" collapsed="false">
      <c r="A88" s="13" t="s">
        <v>557</v>
      </c>
      <c r="B88" s="117" t="s">
        <v>222</v>
      </c>
      <c r="C88" s="103" t="n">
        <v>0.25</v>
      </c>
      <c r="D88" s="103" t="n">
        <v>0.25</v>
      </c>
      <c r="E88" s="103" t="n">
        <v>0.25</v>
      </c>
      <c r="F88" s="121" t="n">
        <f aca="false">CHOOSE($C$4,C88,D88,E88)</f>
        <v>0.25</v>
      </c>
    </row>
    <row r="89" customFormat="false" ht="13.5" hidden="false" customHeight="true" outlineLevel="0" collapsed="false">
      <c r="A89" s="13" t="s">
        <v>558</v>
      </c>
      <c r="B89" s="117" t="s">
        <v>559</v>
      </c>
      <c r="D89" s="114" t="n">
        <v>4</v>
      </c>
    </row>
    <row r="90" customFormat="false" ht="13.5" hidden="false" customHeight="true" outlineLevel="0" collapsed="false">
      <c r="A90" s="10" t="s">
        <v>560</v>
      </c>
      <c r="B90" s="10"/>
      <c r="C90" s="10"/>
      <c r="D90" s="10"/>
      <c r="E90" s="10"/>
      <c r="F90" s="10"/>
    </row>
    <row r="91" customFormat="false" ht="13.5" hidden="false" customHeight="true" outlineLevel="0" collapsed="false">
      <c r="A91" s="13" t="s">
        <v>561</v>
      </c>
      <c r="B91" s="117" t="s">
        <v>231</v>
      </c>
      <c r="D91" s="114" t="n">
        <v>1</v>
      </c>
    </row>
    <row r="92" customFormat="false" ht="13.5" hidden="false" customHeight="true" outlineLevel="0" collapsed="false">
      <c r="A92" s="13" t="s">
        <v>562</v>
      </c>
      <c r="B92" s="117" t="s">
        <v>243</v>
      </c>
      <c r="D92" s="126" t="n">
        <v>100000</v>
      </c>
    </row>
    <row r="93" customFormat="false" ht="13.5" hidden="false" customHeight="true" outlineLevel="0" collapsed="false">
      <c r="A93" s="13" t="s">
        <v>563</v>
      </c>
      <c r="B93" s="117" t="s">
        <v>243</v>
      </c>
      <c r="D93" s="128" t="n">
        <f aca="false">Hipótesis!$D$91*Hipótesis!$D$92</f>
        <v>100000</v>
      </c>
    </row>
    <row r="94" customFormat="false" ht="13.5" hidden="false" customHeight="true" outlineLevel="0" collapsed="false">
      <c r="A94" s="13" t="s">
        <v>564</v>
      </c>
      <c r="B94" s="117" t="s">
        <v>565</v>
      </c>
      <c r="D94" s="114" t="n">
        <v>5</v>
      </c>
    </row>
    <row r="95" customFormat="false" ht="13.5" hidden="false" customHeight="true" outlineLevel="0" collapsed="false">
      <c r="A95" s="13" t="s">
        <v>566</v>
      </c>
      <c r="B95" s="117" t="s">
        <v>222</v>
      </c>
      <c r="D95" s="103" t="n">
        <v>0.08</v>
      </c>
    </row>
    <row r="96" customFormat="false" ht="13.5" hidden="false" customHeight="true" outlineLevel="0" collapsed="false">
      <c r="A96" s="13" t="s">
        <v>567</v>
      </c>
      <c r="B96" s="117" t="s">
        <v>228</v>
      </c>
      <c r="D96" s="114" t="n">
        <v>48</v>
      </c>
    </row>
    <row r="97" customFormat="false" ht="13.5" hidden="false" customHeight="true" outlineLevel="0" collapsed="false">
      <c r="A97" s="13" t="s">
        <v>568</v>
      </c>
      <c r="B97" s="117" t="s">
        <v>228</v>
      </c>
      <c r="D97" s="114" t="n">
        <v>6</v>
      </c>
    </row>
    <row r="98" customFormat="false" ht="13.5" hidden="false" customHeight="true" outlineLevel="0" collapsed="false">
      <c r="A98" s="13" t="s">
        <v>569</v>
      </c>
      <c r="B98" s="117" t="s">
        <v>222</v>
      </c>
      <c r="D98" s="103" t="n">
        <v>0.05</v>
      </c>
    </row>
    <row r="99" customFormat="false" ht="13.5" hidden="false" customHeight="true" outlineLevel="0" collapsed="false">
      <c r="A99" s="13" t="s">
        <v>570</v>
      </c>
      <c r="B99" s="117" t="s">
        <v>222</v>
      </c>
      <c r="D99" s="103" t="n">
        <v>0.4</v>
      </c>
    </row>
    <row r="100" customFormat="false" ht="13.5" hidden="false" customHeight="true" outlineLevel="0" collapsed="false">
      <c r="A100" s="13" t="s">
        <v>571</v>
      </c>
      <c r="B100" s="117" t="s">
        <v>222</v>
      </c>
      <c r="D100" s="103" t="n">
        <v>0.13</v>
      </c>
    </row>
    <row r="101" customFormat="false" ht="13.5" hidden="false" customHeight="true" outlineLevel="0" collapsed="false">
      <c r="A101" s="13" t="s">
        <v>572</v>
      </c>
      <c r="B101" s="117" t="s">
        <v>268</v>
      </c>
      <c r="D101" s="131" t="n">
        <v>2</v>
      </c>
    </row>
    <row r="102" customFormat="false" ht="13.5" hidden="false" customHeight="true" outlineLevel="0" collapsed="false">
      <c r="A102" s="10" t="s">
        <v>573</v>
      </c>
      <c r="B102" s="10"/>
      <c r="C102" s="10"/>
      <c r="D102" s="10"/>
      <c r="E102" s="10"/>
      <c r="F102" s="10"/>
    </row>
    <row r="103" customFormat="false" ht="13.5" hidden="false" customHeight="true" outlineLevel="0" collapsed="false">
      <c r="A103" s="13" t="s">
        <v>561</v>
      </c>
      <c r="B103" s="117" t="s">
        <v>231</v>
      </c>
      <c r="D103" s="114" t="n">
        <v>1</v>
      </c>
    </row>
    <row r="104" customFormat="false" ht="13.5" hidden="false" customHeight="true" outlineLevel="0" collapsed="false">
      <c r="A104" s="13" t="s">
        <v>574</v>
      </c>
      <c r="B104" s="117" t="s">
        <v>243</v>
      </c>
      <c r="D104" s="126" t="n">
        <v>100000</v>
      </c>
    </row>
    <row r="105" customFormat="false" ht="13.5" hidden="false" customHeight="true" outlineLevel="0" collapsed="false">
      <c r="A105" s="13" t="s">
        <v>575</v>
      </c>
      <c r="B105" s="117" t="s">
        <v>243</v>
      </c>
      <c r="D105" s="128" t="n">
        <f aca="false">Hipótesis!$D$103*Hipótesis!$D$104</f>
        <v>100000</v>
      </c>
    </row>
    <row r="106" customFormat="false" ht="13.5" hidden="false" customHeight="true" outlineLevel="0" collapsed="false">
      <c r="A106" s="13" t="s">
        <v>576</v>
      </c>
      <c r="B106" s="117" t="s">
        <v>222</v>
      </c>
      <c r="D106" s="103" t="n">
        <v>0.04</v>
      </c>
    </row>
    <row r="107" customFormat="false" ht="13.5" hidden="false" customHeight="true" outlineLevel="0" collapsed="false">
      <c r="A107" s="13" t="s">
        <v>577</v>
      </c>
      <c r="B107" s="117" t="s">
        <v>222</v>
      </c>
      <c r="D107" s="103" t="n">
        <v>0.02</v>
      </c>
    </row>
    <row r="108" customFormat="false" ht="13.5" hidden="false" customHeight="true" outlineLevel="0" collapsed="false">
      <c r="A108" s="13" t="s">
        <v>578</v>
      </c>
      <c r="B108" s="117" t="s">
        <v>228</v>
      </c>
      <c r="D108" s="114" t="n">
        <v>84</v>
      </c>
    </row>
    <row r="109" customFormat="false" ht="13.5" hidden="false" customHeight="true" outlineLevel="0" collapsed="false">
      <c r="A109" s="13" t="s">
        <v>568</v>
      </c>
      <c r="B109" s="117" t="s">
        <v>228</v>
      </c>
      <c r="D109" s="114" t="n">
        <v>24</v>
      </c>
    </row>
    <row r="110" customFormat="false" ht="13.5" hidden="false" customHeight="true" outlineLevel="0" collapsed="false">
      <c r="A110" s="10" t="s">
        <v>579</v>
      </c>
      <c r="B110" s="10"/>
      <c r="C110" s="10"/>
      <c r="D110" s="10"/>
      <c r="E110" s="10"/>
      <c r="F110" s="10"/>
    </row>
    <row r="111" customFormat="false" ht="13.5" hidden="false" customHeight="true" outlineLevel="0" collapsed="false">
      <c r="A111" s="13" t="s">
        <v>580</v>
      </c>
      <c r="B111" s="117" t="s">
        <v>231</v>
      </c>
      <c r="D111" s="114" t="n">
        <v>0</v>
      </c>
    </row>
    <row r="112" customFormat="false" ht="13.5" hidden="false" customHeight="true" outlineLevel="0" collapsed="false">
      <c r="A112" s="13" t="s">
        <v>581</v>
      </c>
      <c r="B112" s="117" t="s">
        <v>243</v>
      </c>
      <c r="D112" s="126" t="n">
        <v>90000</v>
      </c>
    </row>
    <row r="113" customFormat="false" ht="13.5" hidden="false" customHeight="true" outlineLevel="0" collapsed="false">
      <c r="A113" s="13" t="s">
        <v>582</v>
      </c>
      <c r="B113" s="117" t="s">
        <v>243</v>
      </c>
      <c r="D113" s="128" t="n">
        <f aca="false">Hipótesis!$D$111*Hipótesis!$D$112</f>
        <v>0</v>
      </c>
    </row>
    <row r="114" customFormat="false" ht="13.5" hidden="false" customHeight="true" outlineLevel="0" collapsed="false">
      <c r="A114" s="13" t="s">
        <v>583</v>
      </c>
      <c r="B114" s="117" t="s">
        <v>222</v>
      </c>
      <c r="D114" s="103" t="n">
        <v>0.06</v>
      </c>
    </row>
    <row r="115" customFormat="false" ht="13.5" hidden="false" customHeight="true" outlineLevel="0" collapsed="false">
      <c r="A115" s="13" t="s">
        <v>578</v>
      </c>
      <c r="B115" s="117" t="s">
        <v>228</v>
      </c>
      <c r="D115" s="114" t="n">
        <v>84</v>
      </c>
    </row>
    <row r="116" customFormat="false" ht="13.5" hidden="false" customHeight="true" outlineLevel="0" collapsed="false">
      <c r="A116" s="13" t="s">
        <v>568</v>
      </c>
      <c r="B116" s="117" t="s">
        <v>228</v>
      </c>
      <c r="D116" s="114" t="n">
        <v>12</v>
      </c>
    </row>
    <row r="117" customFormat="false" ht="13.5" hidden="false" customHeight="true" outlineLevel="0" collapsed="false">
      <c r="A117" s="13" t="s">
        <v>584</v>
      </c>
      <c r="B117" s="117" t="s">
        <v>222</v>
      </c>
      <c r="D117" s="103" t="n">
        <v>0.15</v>
      </c>
    </row>
    <row r="118" customFormat="false" ht="13.5" hidden="false" customHeight="true" outlineLevel="0" collapsed="false">
      <c r="A118" s="10" t="s">
        <v>585</v>
      </c>
      <c r="B118" s="10"/>
      <c r="C118" s="10"/>
      <c r="D118" s="10"/>
      <c r="E118" s="10"/>
      <c r="F118" s="10"/>
    </row>
    <row r="119" customFormat="false" ht="13.5" hidden="false" customHeight="true" outlineLevel="0" collapsed="false">
      <c r="A119" s="13" t="s">
        <v>586</v>
      </c>
      <c r="B119" s="117" t="s">
        <v>222</v>
      </c>
      <c r="D119" s="103" t="n">
        <v>0.1</v>
      </c>
    </row>
    <row r="120" customFormat="false" ht="13.5" hidden="false" customHeight="true" outlineLevel="0" collapsed="false">
      <c r="A120" s="13" t="s">
        <v>587</v>
      </c>
      <c r="B120" s="117" t="s">
        <v>588</v>
      </c>
      <c r="D120" s="131" t="n">
        <v>6</v>
      </c>
    </row>
    <row r="121" customFormat="false" ht="13.5" hidden="false" customHeight="true" outlineLevel="0" collapsed="false">
      <c r="A121" s="13" t="s">
        <v>589</v>
      </c>
      <c r="B121" s="117" t="s">
        <v>222</v>
      </c>
      <c r="D121" s="103" t="n">
        <v>0.12</v>
      </c>
    </row>
    <row r="122" customFormat="false" ht="13.5" hidden="false" customHeight="true" outlineLevel="0" collapsed="false">
      <c r="A122" s="132" t="s">
        <v>590</v>
      </c>
      <c r="B122" s="117" t="s">
        <v>243</v>
      </c>
      <c r="D122" s="70" t="n">
        <f aca="false">Hipótesis!$D$93+Hipótesis!$D$105+Hipótesis!$D$113</f>
        <v>200000</v>
      </c>
    </row>
    <row r="123" customFormat="false" ht="15" hidden="false" customHeight="true" outlineLevel="0" collapsed="false">
      <c r="A123" s="72" t="s">
        <v>591</v>
      </c>
    </row>
    <row r="124" customFormat="false" ht="15" hidden="false" customHeight="true" outlineLevel="0" collapsed="false">
      <c r="A124" s="1" t="s">
        <v>592</v>
      </c>
      <c r="B124" s="1" t="s">
        <v>225</v>
      </c>
      <c r="D124" s="1" t="n">
        <v>48</v>
      </c>
    </row>
    <row r="125" customFormat="false" ht="15" hidden="false" customHeight="true" outlineLevel="0" collapsed="false">
      <c r="A125" s="1" t="s">
        <v>593</v>
      </c>
      <c r="B125" s="1" t="s">
        <v>231</v>
      </c>
      <c r="D125" s="1" t="n">
        <v>1</v>
      </c>
    </row>
    <row r="126" customFormat="false" ht="15" hidden="false" customHeight="true" outlineLevel="0" collapsed="false">
      <c r="A126" s="1" t="s">
        <v>594</v>
      </c>
      <c r="B126" s="1" t="s">
        <v>225</v>
      </c>
      <c r="D126" s="1" t="n">
        <v>0</v>
      </c>
    </row>
    <row r="127" customFormat="false" ht="15" hidden="false" customHeight="true" outlineLevel="0" collapsed="false">
      <c r="A127" s="1" t="s">
        <v>595</v>
      </c>
      <c r="B127" s="1" t="s">
        <v>268</v>
      </c>
      <c r="D127" s="1" t="n">
        <v>1.5</v>
      </c>
    </row>
    <row r="128" customFormat="false" ht="15" hidden="false" customHeight="false" outlineLevel="0" collapsed="false">
      <c r="A128" s="25" t="s">
        <v>596</v>
      </c>
    </row>
    <row r="129" customFormat="false" ht="15" hidden="false" customHeight="false" outlineLevel="0" collapsed="false">
      <c r="A129" s="1" t="s">
        <v>597</v>
      </c>
      <c r="B129" s="1" t="s">
        <v>468</v>
      </c>
      <c r="C129" s="29" t="n">
        <f aca="false">Producto!$AC$32*Hipótesis!$C$18</f>
        <v>11.1112309446299</v>
      </c>
      <c r="D129" s="29" t="n">
        <f aca="false">Producto!$AC$32*Hipótesis!$D$18</f>
        <v>10.5821247091713</v>
      </c>
      <c r="E129" s="29" t="n">
        <f aca="false">Producto!$AC$32*Hipótesis!$E$18</f>
        <v>9.52391223825419</v>
      </c>
      <c r="F129" s="38" t="n">
        <f aca="false">CHOOSE($C$4,C129,D129,E129)</f>
        <v>10.5821247091713</v>
      </c>
    </row>
    <row r="130" customFormat="false" ht="15" hidden="false" customHeight="false" outlineLevel="0" collapsed="false">
      <c r="A130" s="1" t="s">
        <v>598</v>
      </c>
      <c r="B130" s="1" t="s">
        <v>468</v>
      </c>
      <c r="C130" s="29" t="n">
        <f aca="false">Producto!$AB$32*Hipótesis!$C$17</f>
        <v>197.656307251351</v>
      </c>
      <c r="D130" s="29" t="n">
        <f aca="false">Producto!$AB$32*Hipótesis!$D$17</f>
        <v>214.84381222973</v>
      </c>
      <c r="E130" s="29" t="n">
        <f aca="false">Producto!$AB$32*Hipótesis!$E$17</f>
        <v>227.734440963514</v>
      </c>
      <c r="F130" s="38" t="n">
        <f aca="false">CHOOSE($C$4,C130,D130,E130)</f>
        <v>214.84381222973</v>
      </c>
    </row>
  </sheetData>
  <dataValidations count="6">
    <dataValidation allowBlank="false" errorStyle="stop" operator="equal" showDropDown="false" showErrorMessage="false" showInputMessage="false" sqref="C4" type="list">
      <formula1>"1,2,3"</formula1>
      <formula2>0</formula2>
    </dataValidation>
    <dataValidation allowBlank="false" errorStyle="stop" operator="equal" showDropDown="false" showErrorMessage="false" showInputMessage="false" sqref="B48:B53" type="list">
      <formula1>"0,1"</formula1>
      <formula2>0</formula2>
    </dataValidation>
    <dataValidation allowBlank="false" errorStyle="stop" operator="equal" showDropDown="false" showErrorMessage="false" showInputMessage="false" sqref="D91" type="list">
      <formula1>"0,1"</formula1>
      <formula2>0</formula2>
    </dataValidation>
    <dataValidation allowBlank="false" errorStyle="stop" operator="equal" showDropDown="false" showErrorMessage="false" showInputMessage="false" sqref="D94" type="list">
      <formula1>"1,2,3,4"</formula1>
      <formula2>0</formula2>
    </dataValidation>
    <dataValidation allowBlank="false" errorStyle="stop" operator="equal" showDropDown="false" showErrorMessage="false" showInputMessage="false" sqref="D103" type="list">
      <formula1>"0,1"</formula1>
      <formula2>0</formula2>
    </dataValidation>
    <dataValidation allowBlank="false" errorStyle="stop" operator="equal" showDropDown="false" showErrorMessage="false" showInputMessage="false" sqref="D111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K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5"/>
  </cols>
  <sheetData>
    <row r="1" customFormat="false" ht="18" hidden="false" customHeight="true" outlineLevel="0" collapsed="false">
      <c r="A1" s="8" t="s">
        <v>599</v>
      </c>
    </row>
    <row r="2" customFormat="false" ht="13.5" hidden="false" customHeight="true" outlineLevel="0" collapsed="false">
      <c r="A2" s="9" t="s">
        <v>600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10" t="s">
        <v>601</v>
      </c>
      <c r="B4" s="10"/>
      <c r="C4" s="10"/>
      <c r="D4" s="10"/>
    </row>
    <row r="5" customFormat="false" ht="13.5" hidden="false" customHeight="true" outlineLevel="0" collapsed="false">
      <c r="A5" s="13" t="s">
        <v>602</v>
      </c>
      <c r="B5" s="133" t="n">
        <f aca="false">Producto!$D$8</f>
        <v>4</v>
      </c>
    </row>
    <row r="6" customFormat="false" ht="13.5" hidden="false" customHeight="true" outlineLevel="0" collapsed="false">
      <c r="A6" s="13" t="s">
        <v>603</v>
      </c>
      <c r="B6" s="133" t="n">
        <f aca="false">Producto!$D$9</f>
        <v>3</v>
      </c>
    </row>
    <row r="7" customFormat="false" ht="13.5" hidden="false" customHeight="true" outlineLevel="0" collapsed="false">
      <c r="A7" s="13" t="s">
        <v>604</v>
      </c>
      <c r="B7" s="133" t="n">
        <f aca="false">Producto!$D$10</f>
        <v>2</v>
      </c>
    </row>
    <row r="8" customFormat="false" ht="13.5" hidden="false" customHeight="true" outlineLevel="0" collapsed="false">
      <c r="A8" s="30" t="s">
        <v>605</v>
      </c>
      <c r="B8" s="134" t="n">
        <f aca="false">Producto!$D$11</f>
        <v>3</v>
      </c>
    </row>
    <row r="9" customFormat="false" ht="13.5" hidden="false" customHeight="true" outlineLevel="0" collapsed="false">
      <c r="A9" s="13" t="s">
        <v>606</v>
      </c>
      <c r="B9" s="69" t="str">
        <f aca="false">CHOOSE(Hipótesis!$C$4,"Conservador","Base","Optimista")</f>
        <v>Base</v>
      </c>
    </row>
    <row r="10" customFormat="false" ht="13.5" hidden="false" customHeight="true" outlineLevel="0" collapsed="false"/>
    <row r="11" customFormat="false" ht="13.5" hidden="false" customHeight="true" outlineLevel="0" collapsed="false">
      <c r="A11" s="10" t="s">
        <v>607</v>
      </c>
      <c r="B11" s="10"/>
      <c r="C11" s="10"/>
      <c r="D11" s="10"/>
    </row>
    <row r="12" customFormat="false" ht="13.5" hidden="false" customHeight="true" outlineLevel="0" collapsed="false">
      <c r="A12" s="105" t="s">
        <v>508</v>
      </c>
      <c r="B12" s="12" t="s">
        <v>218</v>
      </c>
      <c r="C12" s="12" t="s">
        <v>511</v>
      </c>
      <c r="D12" s="12" t="s">
        <v>513</v>
      </c>
      <c r="E12" s="12" t="s">
        <v>608</v>
      </c>
    </row>
    <row r="13" customFormat="false" ht="13.5" hidden="false" customHeight="true" outlineLevel="0" collapsed="false">
      <c r="A13" s="41" t="str">
        <f aca="false">Hipótesis!A48</f>
        <v>Pedro — socio (finanzas)</v>
      </c>
      <c r="B13" s="90" t="n">
        <f aca="false">Hipótesis!B48</f>
        <v>1</v>
      </c>
      <c r="C13" s="90" t="n">
        <f aca="false">Hipótesis!D48</f>
        <v>1</v>
      </c>
      <c r="D13" s="90" t="n">
        <f aca="false">Hipótesis!F48</f>
        <v>0</v>
      </c>
      <c r="E13" s="90" t="n">
        <f aca="false">Hipótesis!G48</f>
        <v>1</v>
      </c>
    </row>
    <row r="14" customFormat="false" ht="13.5" hidden="false" customHeight="true" outlineLevel="0" collapsed="false">
      <c r="A14" s="41" t="str">
        <f aca="false">Hipótesis!A49</f>
        <v>Nico — socio (comercial)</v>
      </c>
      <c r="B14" s="90" t="n">
        <f aca="false">Hipótesis!B49</f>
        <v>1</v>
      </c>
      <c r="C14" s="90" t="n">
        <f aca="false">Hipótesis!D49</f>
        <v>1</v>
      </c>
      <c r="D14" s="90" t="n">
        <f aca="false">Hipótesis!F49</f>
        <v>0</v>
      </c>
      <c r="E14" s="90" t="n">
        <f aca="false">Hipótesis!G49</f>
        <v>1</v>
      </c>
    </row>
    <row r="15" customFormat="false" ht="13.5" hidden="false" customHeight="true" outlineLevel="0" collapsed="false">
      <c r="A15" s="41" t="str">
        <f aca="false">Hipótesis!A50</f>
        <v>Guzmán — socio (producción)</v>
      </c>
      <c r="B15" s="90" t="n">
        <f aca="false">Hipótesis!B50</f>
        <v>1</v>
      </c>
      <c r="C15" s="90" t="n">
        <f aca="false">Hipótesis!D50</f>
        <v>1</v>
      </c>
      <c r="D15" s="90" t="n">
        <f aca="false">Hipótesis!F50</f>
        <v>160</v>
      </c>
      <c r="E15" s="90" t="n">
        <f aca="false">Hipótesis!G50</f>
        <v>1</v>
      </c>
    </row>
    <row r="16" customFormat="false" ht="13.5" hidden="false" customHeight="true" outlineLevel="0" collapsed="false">
      <c r="A16" s="41" t="str">
        <f aca="false">Hipótesis!A51</f>
        <v>Encargado de producción</v>
      </c>
      <c r="B16" s="90" t="n">
        <f aca="false">Hipótesis!B51</f>
        <v>1</v>
      </c>
      <c r="C16" s="90" t="n">
        <f aca="false">Hipótesis!D51</f>
        <v>1</v>
      </c>
      <c r="D16" s="90" t="n">
        <f aca="false">Hipótesis!F51</f>
        <v>160</v>
      </c>
      <c r="E16" s="90" t="n">
        <f aca="false">Hipótesis!G51</f>
        <v>0</v>
      </c>
    </row>
    <row r="17" customFormat="false" ht="13.5" hidden="false" customHeight="true" outlineLevel="0" collapsed="false">
      <c r="A17" s="41" t="str">
        <f aca="false">Hipótesis!A52</f>
        <v>Comercial / KAM</v>
      </c>
      <c r="B17" s="90" t="n">
        <f aca="false">Hipótesis!B52</f>
        <v>1</v>
      </c>
      <c r="C17" s="90" t="n">
        <f aca="false">Hipótesis!D52</f>
        <v>20</v>
      </c>
      <c r="D17" s="90" t="n">
        <f aca="false">Hipótesis!F52</f>
        <v>0</v>
      </c>
      <c r="E17" s="90" t="n">
        <f aca="false">Hipótesis!G52</f>
        <v>0</v>
      </c>
    </row>
    <row r="18" customFormat="false" ht="13.5" hidden="false" customHeight="true" outlineLevel="0" collapsed="false">
      <c r="A18" s="41" t="str">
        <f aca="false">Hipótesis!A53</f>
        <v>(rol fijo libre)</v>
      </c>
      <c r="B18" s="90" t="n">
        <f aca="false">Hipótesis!B53</f>
        <v>0</v>
      </c>
      <c r="C18" s="90" t="n">
        <f aca="false">Hipótesis!D53</f>
        <v>24</v>
      </c>
      <c r="D18" s="90" t="n">
        <f aca="false">Hipótesis!F53</f>
        <v>160</v>
      </c>
      <c r="E18" s="90" t="n">
        <f aca="false">Hipótesis!G53</f>
        <v>0</v>
      </c>
    </row>
    <row r="19" customFormat="false" ht="13.5" hidden="false" customHeight="true" outlineLevel="0" collapsed="false">
      <c r="A19" s="30" t="s">
        <v>609</v>
      </c>
      <c r="D19" s="135" t="n">
        <f aca="false">SUMPRODUCT(Hipótesis!$B$48:$B$53,Hipótesis!$F$48:$F$53)</f>
        <v>320</v>
      </c>
    </row>
    <row r="20" customFormat="false" ht="13.5" hidden="false" customHeight="true" outlineLevel="0" collapsed="false"/>
    <row r="21" customFormat="false" ht="13.5" hidden="false" customHeight="true" outlineLevel="0" collapsed="false">
      <c r="A21" s="10" t="s">
        <v>610</v>
      </c>
      <c r="B21" s="10"/>
      <c r="C21" s="10"/>
      <c r="D21" s="10"/>
    </row>
    <row r="22" customFormat="false" ht="13.5" hidden="false" customHeight="true" outlineLevel="0" collapsed="false">
      <c r="A22" s="13" t="s">
        <v>611</v>
      </c>
      <c r="B22" s="109" t="n">
        <f aca="false">Modelo_Mensual!$CH$27</f>
        <v>17860.22638575</v>
      </c>
    </row>
    <row r="23" customFormat="false" ht="13.5" hidden="false" customHeight="true" outlineLevel="0" collapsed="false">
      <c r="A23" s="13" t="s">
        <v>612</v>
      </c>
      <c r="B23" s="109" t="n">
        <f aca="false">Modelo_Mensual!$CH$28</f>
        <v>893.011319287499</v>
      </c>
    </row>
    <row r="24" customFormat="false" ht="13.5" hidden="false" customHeight="true" outlineLevel="0" collapsed="false">
      <c r="A24" s="13" t="s">
        <v>613</v>
      </c>
      <c r="B24" s="109" t="n">
        <f aca="false">Modelo_Mensual!$CH$29</f>
        <v>320</v>
      </c>
    </row>
    <row r="25" customFormat="false" ht="13.5" hidden="false" customHeight="true" outlineLevel="0" collapsed="false">
      <c r="A25" s="13" t="s">
        <v>614</v>
      </c>
      <c r="B25" s="109" t="n">
        <f aca="false">Modelo_Mensual!$CH$30</f>
        <v>4</v>
      </c>
    </row>
    <row r="26" customFormat="false" ht="13.5" hidden="false" customHeight="true" outlineLevel="0" collapsed="false">
      <c r="A26" s="13" t="s">
        <v>615</v>
      </c>
      <c r="B26" s="70" t="n">
        <f aca="false">-Modelo_Mensual!$CH$50</f>
        <v>10717.8134136443</v>
      </c>
    </row>
    <row r="27" customFormat="false" ht="13.5" hidden="false" customHeight="true" outlineLevel="0" collapsed="false">
      <c r="A27" s="13" t="s">
        <v>616</v>
      </c>
      <c r="B27" s="109" t="n">
        <f aca="false">Modelo_Mensual!$CH$31</f>
        <v>9</v>
      </c>
    </row>
    <row r="28" customFormat="false" ht="13.5" hidden="false" customHeight="true" outlineLevel="0" collapsed="false">
      <c r="A28" s="13" t="s">
        <v>617</v>
      </c>
      <c r="B28" s="70" t="n">
        <f aca="false">-Modelo_Mensual!$CH$51</f>
        <v>40782.4095393174</v>
      </c>
    </row>
    <row r="29" customFormat="false" ht="13.5" hidden="false" customHeight="true" outlineLevel="0" collapsed="false"/>
    <row r="30" customFormat="false" ht="13.5" hidden="false" customHeight="true" outlineLevel="0" collapsed="false">
      <c r="A30" s="9" t="s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3"/>
    <col collapsed="false" customWidth="true" hidden="false" outlineLevel="0" max="3" min="3" style="1" width="16"/>
    <col collapsed="false" customWidth="true" hidden="false" outlineLevel="0" max="4" min="4" style="1" width="46"/>
    <col collapsed="false" customWidth="true" hidden="false" outlineLevel="0" max="7" min="5" style="1" width="15"/>
  </cols>
  <sheetData>
    <row r="1" customFormat="false" ht="18" hidden="false" customHeight="true" outlineLevel="0" collapsed="false">
      <c r="A1" s="8" t="s">
        <v>619</v>
      </c>
    </row>
    <row r="2" customFormat="false" ht="13.5" hidden="false" customHeight="true" outlineLevel="0" collapsed="false">
      <c r="A2" s="9" t="s">
        <v>620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11" t="s">
        <v>213</v>
      </c>
      <c r="C4" s="116" t="s">
        <v>621</v>
      </c>
      <c r="D4" s="11" t="s">
        <v>622</v>
      </c>
      <c r="E4" s="12" t="s">
        <v>34</v>
      </c>
      <c r="F4" s="12" t="s">
        <v>35</v>
      </c>
      <c r="G4" s="12" t="s">
        <v>36</v>
      </c>
    </row>
    <row r="5" customFormat="false" ht="13.5" hidden="false" customHeight="true" outlineLevel="0" collapsed="false">
      <c r="A5" s="13" t="s">
        <v>623</v>
      </c>
      <c r="C5" s="136" t="n">
        <v>40000</v>
      </c>
    </row>
    <row r="6" customFormat="false" ht="13.5" hidden="false" customHeight="true" outlineLevel="0" collapsed="false">
      <c r="A6" s="30" t="s">
        <v>624</v>
      </c>
    </row>
    <row r="7" customFormat="false" ht="13.5" hidden="false" customHeight="true" outlineLevel="0" collapsed="false">
      <c r="A7" s="13" t="s">
        <v>625</v>
      </c>
      <c r="C7" s="136" t="n">
        <v>3000</v>
      </c>
      <c r="D7" s="9" t="s">
        <v>626</v>
      </c>
    </row>
    <row r="8" customFormat="false" ht="13.5" hidden="false" customHeight="true" outlineLevel="0" collapsed="false">
      <c r="A8" s="13" t="s">
        <v>627</v>
      </c>
      <c r="C8" s="136" t="n">
        <v>7000</v>
      </c>
      <c r="D8" s="9" t="s">
        <v>626</v>
      </c>
    </row>
    <row r="9" customFormat="false" ht="13.5" hidden="false" customHeight="true" outlineLevel="0" collapsed="false">
      <c r="A9" s="13" t="s">
        <v>628</v>
      </c>
      <c r="C9" s="136" t="n">
        <v>25000</v>
      </c>
      <c r="D9" s="9" t="s">
        <v>629</v>
      </c>
    </row>
    <row r="10" customFormat="false" ht="13.5" hidden="false" customHeight="true" outlineLevel="0" collapsed="false">
      <c r="A10" s="13" t="s">
        <v>630</v>
      </c>
      <c r="C10" s="137" t="n">
        <f aca="false">IF(Hipótesis!$C$4&gt;=2,C7+C8,0)+IF(Hipótesis!$C$4=3,C9,0)</f>
        <v>10000</v>
      </c>
      <c r="D10" s="9" t="s">
        <v>631</v>
      </c>
      <c r="E10" s="138" t="n">
        <f aca="false">0</f>
        <v>0</v>
      </c>
      <c r="F10" s="138" t="n">
        <f aca="false">C7+C8</f>
        <v>10000</v>
      </c>
      <c r="G10" s="138" t="n">
        <f aca="false">C7+C8+C9</f>
        <v>35000</v>
      </c>
    </row>
    <row r="11" customFormat="false" ht="13.5" hidden="false" customHeight="true" outlineLevel="0" collapsed="false">
      <c r="A11" s="13" t="s">
        <v>632</v>
      </c>
      <c r="C11" s="136" t="n">
        <v>1600</v>
      </c>
    </row>
    <row r="12" customFormat="false" ht="13.5" hidden="false" customHeight="true" outlineLevel="0" collapsed="false">
      <c r="A12" s="13" t="s">
        <v>633</v>
      </c>
      <c r="C12" s="139" t="n">
        <f aca="false">Hipótesis!$F$26</f>
        <v>3</v>
      </c>
      <c r="D12" s="9" t="s">
        <v>634</v>
      </c>
    </row>
    <row r="13" customFormat="false" ht="13.5" hidden="false" customHeight="true" outlineLevel="0" collapsed="false">
      <c r="A13" s="13" t="s">
        <v>635</v>
      </c>
      <c r="C13" s="138" t="n">
        <f aca="false">C11*C12</f>
        <v>4800</v>
      </c>
    </row>
    <row r="14" customFormat="false" ht="13.5" hidden="false" customHeight="true" outlineLevel="0" collapsed="false">
      <c r="A14" s="13" t="s">
        <v>636</v>
      </c>
      <c r="C14" s="136" t="n">
        <v>10000</v>
      </c>
    </row>
    <row r="15" customFormat="false" ht="13.5" hidden="false" customHeight="true" outlineLevel="0" collapsed="false">
      <c r="A15" s="13" t="s">
        <v>637</v>
      </c>
      <c r="C15" s="136" t="n">
        <v>0</v>
      </c>
    </row>
    <row r="16" customFormat="false" ht="13.5" hidden="false" customHeight="true" outlineLevel="0" collapsed="false">
      <c r="A16" s="13" t="s">
        <v>638</v>
      </c>
      <c r="C16" s="136" t="n">
        <v>10000</v>
      </c>
    </row>
    <row r="17" customFormat="false" ht="13.5" hidden="false" customHeight="true" outlineLevel="0" collapsed="false">
      <c r="A17" s="13" t="s">
        <v>639</v>
      </c>
      <c r="C17" s="136" t="n">
        <v>6000</v>
      </c>
    </row>
    <row r="18" customFormat="false" ht="13.5" hidden="false" customHeight="true" outlineLevel="0" collapsed="false">
      <c r="A18" s="13" t="s">
        <v>640</v>
      </c>
      <c r="C18" s="136" t="n">
        <v>5000</v>
      </c>
    </row>
    <row r="19" customFormat="false" ht="13.5" hidden="false" customHeight="true" outlineLevel="0" collapsed="false">
      <c r="A19" s="64" t="s">
        <v>641</v>
      </c>
      <c r="C19" s="99" t="n">
        <f aca="false">$C$38+C10+C15+C17+C18+$C$44</f>
        <v>89600</v>
      </c>
      <c r="D19" s="1" t="s">
        <v>642</v>
      </c>
      <c r="E19" s="138" t="n">
        <f aca="false">$C$38+E10+C15+C17+C18+$C$44</f>
        <v>79600</v>
      </c>
      <c r="F19" s="138" t="n">
        <f aca="false">$C$38+F10+C15+C17+C18+$C$44</f>
        <v>89600</v>
      </c>
      <c r="G19" s="138" t="n">
        <f aca="false">$C$38+G10+C15+C17+C18+$C$44</f>
        <v>114600</v>
      </c>
    </row>
    <row r="20" customFormat="false" ht="13.5" hidden="false" customHeight="true" outlineLevel="0" collapsed="false">
      <c r="A20" s="13" t="s">
        <v>643</v>
      </c>
      <c r="C20" s="140" t="n">
        <v>0.15</v>
      </c>
      <c r="D20" s="9" t="s">
        <v>644</v>
      </c>
    </row>
    <row r="21" customFormat="false" ht="13.5" hidden="false" customHeight="true" outlineLevel="0" collapsed="false">
      <c r="A21" s="13" t="s">
        <v>645</v>
      </c>
      <c r="C21" s="138" t="n">
        <f aca="false">C19*C20</f>
        <v>13440</v>
      </c>
      <c r="E21" s="138" t="n">
        <f aca="false">E19*C20</f>
        <v>11940</v>
      </c>
      <c r="F21" s="138" t="n">
        <f aca="false">F19*C20</f>
        <v>13440</v>
      </c>
      <c r="G21" s="138" t="n">
        <f aca="false">G19*C20</f>
        <v>17190</v>
      </c>
    </row>
    <row r="22" customFormat="false" ht="13.5" hidden="false" customHeight="true" outlineLevel="0" collapsed="false">
      <c r="A22" s="64" t="s">
        <v>646</v>
      </c>
      <c r="C22" s="99" t="n">
        <f aca="false">C19+C21</f>
        <v>103040</v>
      </c>
      <c r="E22" s="99" t="n">
        <f aca="false">E19+E21</f>
        <v>91540</v>
      </c>
      <c r="F22" s="99" t="n">
        <f aca="false">F19+F21</f>
        <v>103040</v>
      </c>
      <c r="G22" s="99" t="n">
        <f aca="false">G19+G21</f>
        <v>131790</v>
      </c>
    </row>
    <row r="23" customFormat="false" ht="13.5" hidden="false" customHeight="true" outlineLevel="0" collapsed="false">
      <c r="A23" s="13" t="s">
        <v>647</v>
      </c>
      <c r="C23" s="141" t="n">
        <v>4</v>
      </c>
      <c r="D23" s="9" t="s">
        <v>648</v>
      </c>
    </row>
    <row r="24" customFormat="false" ht="13.5" hidden="false" customHeight="true" outlineLevel="0" collapsed="false">
      <c r="A24" s="13" t="s">
        <v>649</v>
      </c>
      <c r="C24" s="138" t="n">
        <f aca="false">Hipótesis!$F$36+Hipótesis!$F$37+Hipótesis!$F$39+Hipótesis!$F$40+Hipótesis!$E$55+IF(AND(Restaurantes!$D$8&lt;=1,Restaurantes!$D$7&gt;0),Restaurantes!$D$44+Restaurantes!$D$45,0)</f>
        <v>16252</v>
      </c>
      <c r="D24" s="9" t="s">
        <v>650</v>
      </c>
      <c r="E24" s="138" t="n">
        <f aca="false">Hipótesis!$C$36+Hipótesis!$C$37+Hipótesis!$C$39+Hipótesis!$C$40+Hipótesis!$E$55+IF(AND(Restaurantes!$D$8&lt;=1,Restaurantes!$D$7&gt;0),Restaurantes!$D$44+Restaurantes!$D$45,0)</f>
        <v>16002</v>
      </c>
      <c r="F24" s="138" t="n">
        <f aca="false">Hipótesis!$D$36+Hipótesis!$D$37+Hipótesis!$D$39+Hipótesis!$D$40+Hipótesis!$E$55+IF(AND(Restaurantes!$D$8&lt;=1,Restaurantes!$D$7&gt;0),Restaurantes!$D$44+Restaurantes!$D$45,0)</f>
        <v>16252</v>
      </c>
      <c r="G24" s="138" t="n">
        <f aca="false">Hipótesis!$E$36+Hipótesis!$E$37+Hipótesis!$E$39+Hipótesis!$E$40+Hipótesis!$E$55+IF(AND(Restaurantes!$D$8&lt;=1,Restaurantes!$D$7&gt;0),Restaurantes!$D$44+Restaurantes!$D$45,0)</f>
        <v>15052</v>
      </c>
    </row>
    <row r="25" customFormat="false" ht="13.5" hidden="false" customHeight="true" outlineLevel="0" collapsed="false">
      <c r="A25" s="13" t="s">
        <v>651</v>
      </c>
      <c r="C25" s="138" t="n">
        <f aca="false">C23*C24</f>
        <v>65008</v>
      </c>
      <c r="E25" s="138" t="n">
        <f aca="false">C23*E24</f>
        <v>64008</v>
      </c>
      <c r="F25" s="138" t="n">
        <f aca="false">C23*F24</f>
        <v>65008</v>
      </c>
      <c r="G25" s="138" t="n">
        <f aca="false">C23*G24</f>
        <v>60208</v>
      </c>
    </row>
    <row r="26" customFormat="false" ht="13.5" hidden="false" customHeight="true" outlineLevel="0" collapsed="false">
      <c r="A26" s="132" t="s">
        <v>652</v>
      </c>
      <c r="C26" s="16" t="n">
        <f aca="false">C22+C25+C50</f>
        <v>173048</v>
      </c>
      <c r="D26" s="1" t="s">
        <v>653</v>
      </c>
      <c r="E26" s="16" t="n">
        <f aca="false">E22+E25+E50</f>
        <v>161048</v>
      </c>
      <c r="F26" s="16" t="n">
        <f aca="false">F22+F25+F50</f>
        <v>173048</v>
      </c>
      <c r="G26" s="16" t="n">
        <f aca="false">G22+G25+G50</f>
        <v>196598</v>
      </c>
    </row>
    <row r="27" customFormat="false" ht="13.5" hidden="false" customHeight="true" outlineLevel="0" collapsed="false">
      <c r="A27" s="13" t="s">
        <v>654</v>
      </c>
      <c r="E27" s="138" t="n">
        <f aca="false">MAX(Esc_Conservador!$C$70:$CH$70)</f>
        <v>46111.7627801195</v>
      </c>
      <c r="F27" s="138" t="n">
        <f aca="false">MAX(Esc_Base!$C$70:$CH$70)</f>
        <v>46623.465653131</v>
      </c>
      <c r="G27" s="138" t="n">
        <f aca="false">MAX(Esc_Optimista!$C$70:$CH$70)</f>
        <v>41572.6060366735</v>
      </c>
    </row>
    <row r="28" customFormat="false" ht="13.5" hidden="false" customHeight="true" outlineLevel="0" collapsed="false">
      <c r="A28" s="13" t="s">
        <v>655</v>
      </c>
      <c r="C28" s="69" t="s">
        <v>656</v>
      </c>
      <c r="D28" s="69" t="s">
        <v>657</v>
      </c>
      <c r="E28" s="138" t="n">
        <f aca="false">MAX(Esc_Conservador!$C$81:$CH$81)</f>
        <v>29593.7947918931</v>
      </c>
      <c r="F28" s="138" t="n">
        <f aca="false">MAX(Esc_Base!$C$81:$CH$81)</f>
        <v>15580.8481667978</v>
      </c>
      <c r="G28" s="138" t="n">
        <f aca="false">MAX(Esc_Optimista!$C$81:$CH$81)</f>
        <v>10049.7019256666</v>
      </c>
      <c r="H28" s="69" t="s">
        <v>658</v>
      </c>
      <c r="I28" s="69" t="s">
        <v>659</v>
      </c>
      <c r="J28" s="69" t="s">
        <v>660</v>
      </c>
      <c r="K28" s="69" t="s">
        <v>661</v>
      </c>
      <c r="L28" s="69" t="s">
        <v>662</v>
      </c>
      <c r="M28" s="69" t="s">
        <v>663</v>
      </c>
      <c r="N28" s="69" t="s">
        <v>664</v>
      </c>
    </row>
    <row r="29" customFormat="false" ht="13.5" hidden="false" customHeight="true" outlineLevel="0" collapsed="false">
      <c r="A29" s="13" t="s">
        <v>665</v>
      </c>
      <c r="C29" s="103" t="n">
        <v>0.3</v>
      </c>
      <c r="D29" s="103" t="n">
        <v>0.14</v>
      </c>
      <c r="E29" s="103" t="n">
        <v>0.1</v>
      </c>
      <c r="F29" s="103" t="n">
        <v>0.09</v>
      </c>
      <c r="G29" s="103" t="n">
        <v>0.08</v>
      </c>
      <c r="H29" s="103" t="n">
        <v>0.07</v>
      </c>
      <c r="I29" s="103" t="n">
        <v>0.06</v>
      </c>
      <c r="J29" s="103" t="n">
        <v>0.05</v>
      </c>
      <c r="K29" s="103" t="n">
        <v>0.04</v>
      </c>
      <c r="L29" s="103" t="n">
        <v>0.03</v>
      </c>
      <c r="M29" s="103" t="n">
        <v>0.02</v>
      </c>
      <c r="N29" s="103" t="n">
        <v>0.02</v>
      </c>
    </row>
    <row r="30" customFormat="false" ht="13.5" hidden="false" customHeight="true" outlineLevel="0" collapsed="false">
      <c r="A30" s="9" t="s">
        <v>666</v>
      </c>
      <c r="C30" s="142" t="n">
        <f aca="false">SUM(C29:N29)</f>
        <v>1</v>
      </c>
    </row>
    <row r="31" customFormat="false" ht="13.5" hidden="false" customHeight="true" outlineLevel="0" collapsed="false"/>
    <row r="32" customFormat="false" ht="13.5" hidden="false" customHeight="true" outlineLevel="0" collapsed="false">
      <c r="A32" s="9" t="s">
        <v>667</v>
      </c>
    </row>
    <row r="34" customFormat="false" ht="15" hidden="false" customHeight="true" outlineLevel="0" collapsed="false">
      <c r="A34" s="72" t="s">
        <v>668</v>
      </c>
    </row>
    <row r="35" customFormat="false" ht="15" hidden="false" customHeight="true" outlineLevel="0" collapsed="false">
      <c r="A35" s="78" t="s">
        <v>669</v>
      </c>
      <c r="C35" s="78" t="n">
        <f aca="false">C5+C13+C14+C16</f>
        <v>64800</v>
      </c>
      <c r="D35" s="78"/>
    </row>
    <row r="36" customFormat="false" ht="15" hidden="false" customHeight="true" outlineLevel="0" collapsed="false">
      <c r="A36" s="78" t="s">
        <v>670</v>
      </c>
      <c r="C36" s="77" t="n">
        <v>0</v>
      </c>
      <c r="D36" s="78" t="s">
        <v>671</v>
      </c>
    </row>
    <row r="37" customFormat="false" ht="15" hidden="false" customHeight="true" outlineLevel="0" collapsed="false">
      <c r="A37" s="78" t="s">
        <v>672</v>
      </c>
      <c r="C37" s="77" t="n">
        <v>0</v>
      </c>
      <c r="D37" s="78" t="s">
        <v>673</v>
      </c>
    </row>
    <row r="38" customFormat="false" ht="15" hidden="false" customHeight="true" outlineLevel="0" collapsed="false">
      <c r="A38" s="143" t="s">
        <v>674</v>
      </c>
      <c r="C38" s="78" t="n">
        <f aca="false">IF($C$36&gt;0,$C$36,$C$35*(1+$C$37))</f>
        <v>64800</v>
      </c>
      <c r="D38" s="78"/>
    </row>
    <row r="40" customFormat="false" ht="15" hidden="false" customHeight="false" outlineLevel="0" collapsed="false">
      <c r="A40" s="25" t="s">
        <v>675</v>
      </c>
    </row>
    <row r="41" customFormat="false" ht="15" hidden="false" customHeight="false" outlineLevel="0" collapsed="false">
      <c r="A41" s="1" t="s">
        <v>676</v>
      </c>
      <c r="C41" s="144" t="n">
        <f aca="false">Restaurantes!$D$46*(Restaurantes!$D$7&gt;0)</f>
        <v>3500</v>
      </c>
    </row>
    <row r="42" customFormat="false" ht="15" hidden="false" customHeight="false" outlineLevel="0" collapsed="false">
      <c r="A42" s="1" t="s">
        <v>677</v>
      </c>
      <c r="C42" s="144" t="n">
        <f aca="false">Restaurantes!$D$47*(Restaurantes!$D$7&gt;0)</f>
        <v>0</v>
      </c>
    </row>
    <row r="43" customFormat="false" ht="15" hidden="false" customHeight="false" outlineLevel="0" collapsed="false">
      <c r="A43" s="1" t="s">
        <v>678</v>
      </c>
      <c r="C43" s="144" t="n">
        <f aca="false">Restaurantes!$D$40*Restaurantes!$D$41*(Restaurantes!$D$7&gt;0)</f>
        <v>300</v>
      </c>
    </row>
    <row r="44" customFormat="false" ht="15" hidden="false" customHeight="false" outlineLevel="0" collapsed="false">
      <c r="A44" s="25" t="s">
        <v>679</v>
      </c>
      <c r="C44" s="145" t="n">
        <f aca="false">SUM(C41:C43)</f>
        <v>3800</v>
      </c>
    </row>
    <row r="46" customFormat="false" ht="15" hidden="false" customHeight="false" outlineLevel="0" collapsed="false">
      <c r="A46" s="25" t="s">
        <v>680</v>
      </c>
    </row>
    <row r="47" customFormat="false" ht="15" hidden="false" customHeight="false" outlineLevel="0" collapsed="false">
      <c r="A47" s="1" t="s">
        <v>681</v>
      </c>
      <c r="C47" s="52" t="n">
        <v>2</v>
      </c>
    </row>
    <row r="48" customFormat="false" ht="15" hidden="false" customHeight="false" outlineLevel="0" collapsed="false">
      <c r="A48" s="1" t="s">
        <v>682</v>
      </c>
      <c r="C48" s="144" t="n">
        <f aca="false">$C$47*Hipótesis!$F$36</f>
        <v>4000</v>
      </c>
      <c r="E48" s="144" t="n">
        <f aca="false">$C$47*Hipótesis!$C$36</f>
        <v>4500</v>
      </c>
      <c r="F48" s="144" t="n">
        <f aca="false">$C$47*Hipótesis!$D$36</f>
        <v>4000</v>
      </c>
      <c r="G48" s="144" t="n">
        <f aca="false">$C$47*Hipótesis!$E$36</f>
        <v>3600</v>
      </c>
    </row>
    <row r="49" customFormat="false" ht="15" hidden="false" customHeight="false" outlineLevel="0" collapsed="false">
      <c r="A49" s="1" t="s">
        <v>683</v>
      </c>
      <c r="C49" s="144" t="n">
        <f aca="false">Restaurantes!$D$48*Restaurantes!$D$44*(Restaurantes!$D$7&gt;0)*1</f>
        <v>1000</v>
      </c>
    </row>
    <row r="50" customFormat="false" ht="15" hidden="false" customHeight="false" outlineLevel="0" collapsed="false">
      <c r="A50" s="25" t="s">
        <v>684</v>
      </c>
      <c r="C50" s="145" t="n">
        <f aca="false">C48+$C$49</f>
        <v>5000</v>
      </c>
      <c r="E50" s="145" t="n">
        <f aca="false">E48+$C$49</f>
        <v>5500</v>
      </c>
      <c r="F50" s="145" t="n">
        <f aca="false">F48+$C$49</f>
        <v>5000</v>
      </c>
      <c r="G50" s="145" t="n">
        <f aca="false">G48+$C$49</f>
        <v>4600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3"/>
    <col collapsed="false" customWidth="true" hidden="false" outlineLevel="0" max="86" min="3" style="1" width="11"/>
  </cols>
  <sheetData>
    <row r="1" customFormat="false" ht="18" hidden="false" customHeight="true" outlineLevel="0" collapsed="false">
      <c r="A1" s="8" t="s">
        <v>685</v>
      </c>
    </row>
    <row r="2" customFormat="false" ht="13.5" hidden="false" customHeight="true" outlineLevel="0" collapsed="false">
      <c r="A2" s="9" t="s">
        <v>686</v>
      </c>
    </row>
    <row r="3" customFormat="false" ht="13.5" hidden="false" customHeight="true" outlineLevel="0" collapsed="false">
      <c r="A3" s="146" t="s">
        <v>687</v>
      </c>
      <c r="C3" s="147" t="n">
        <v>1</v>
      </c>
      <c r="D3" s="147" t="n">
        <v>2</v>
      </c>
      <c r="E3" s="147" t="n">
        <v>3</v>
      </c>
      <c r="F3" s="147" t="n">
        <v>4</v>
      </c>
      <c r="G3" s="147" t="n">
        <v>5</v>
      </c>
      <c r="H3" s="147" t="n">
        <v>6</v>
      </c>
      <c r="I3" s="147" t="n">
        <v>7</v>
      </c>
      <c r="J3" s="147" t="n">
        <v>8</v>
      </c>
      <c r="K3" s="147" t="n">
        <v>9</v>
      </c>
      <c r="L3" s="147" t="n">
        <v>10</v>
      </c>
      <c r="M3" s="147" t="n">
        <v>11</v>
      </c>
      <c r="N3" s="147" t="n">
        <v>12</v>
      </c>
      <c r="O3" s="147" t="n">
        <v>13</v>
      </c>
      <c r="P3" s="147" t="n">
        <v>14</v>
      </c>
      <c r="Q3" s="147" t="n">
        <v>15</v>
      </c>
      <c r="R3" s="147" t="n">
        <v>16</v>
      </c>
      <c r="S3" s="147" t="n">
        <v>17</v>
      </c>
      <c r="T3" s="147" t="n">
        <v>18</v>
      </c>
      <c r="U3" s="147" t="n">
        <v>19</v>
      </c>
      <c r="V3" s="147" t="n">
        <v>20</v>
      </c>
      <c r="W3" s="147" t="n">
        <v>21</v>
      </c>
      <c r="X3" s="147" t="n">
        <v>22</v>
      </c>
      <c r="Y3" s="147" t="n">
        <v>23</v>
      </c>
      <c r="Z3" s="147" t="n">
        <v>24</v>
      </c>
      <c r="AA3" s="147" t="n">
        <v>25</v>
      </c>
      <c r="AB3" s="147" t="n">
        <v>26</v>
      </c>
      <c r="AC3" s="147" t="n">
        <v>27</v>
      </c>
      <c r="AD3" s="147" t="n">
        <v>28</v>
      </c>
      <c r="AE3" s="147" t="n">
        <v>29</v>
      </c>
      <c r="AF3" s="147" t="n">
        <v>30</v>
      </c>
      <c r="AG3" s="147" t="n">
        <v>31</v>
      </c>
      <c r="AH3" s="147" t="n">
        <v>32</v>
      </c>
      <c r="AI3" s="147" t="n">
        <v>33</v>
      </c>
      <c r="AJ3" s="147" t="n">
        <v>34</v>
      </c>
      <c r="AK3" s="147" t="n">
        <v>35</v>
      </c>
      <c r="AL3" s="147" t="n">
        <v>36</v>
      </c>
      <c r="AM3" s="147" t="n">
        <v>37</v>
      </c>
      <c r="AN3" s="147" t="n">
        <v>38</v>
      </c>
      <c r="AO3" s="147" t="n">
        <v>39</v>
      </c>
      <c r="AP3" s="147" t="n">
        <v>40</v>
      </c>
      <c r="AQ3" s="147" t="n">
        <v>41</v>
      </c>
      <c r="AR3" s="147" t="n">
        <v>42</v>
      </c>
      <c r="AS3" s="147" t="n">
        <v>43</v>
      </c>
      <c r="AT3" s="147" t="n">
        <v>44</v>
      </c>
      <c r="AU3" s="147" t="n">
        <v>45</v>
      </c>
      <c r="AV3" s="147" t="n">
        <v>46</v>
      </c>
      <c r="AW3" s="147" t="n">
        <v>47</v>
      </c>
      <c r="AX3" s="147" t="n">
        <v>48</v>
      </c>
      <c r="AY3" s="147" t="n">
        <v>49</v>
      </c>
      <c r="AZ3" s="147" t="n">
        <v>50</v>
      </c>
      <c r="BA3" s="147" t="n">
        <v>51</v>
      </c>
      <c r="BB3" s="147" t="n">
        <v>52</v>
      </c>
      <c r="BC3" s="147" t="n">
        <v>53</v>
      </c>
      <c r="BD3" s="147" t="n">
        <v>54</v>
      </c>
      <c r="BE3" s="147" t="n">
        <v>55</v>
      </c>
      <c r="BF3" s="147" t="n">
        <v>56</v>
      </c>
      <c r="BG3" s="147" t="n">
        <v>57</v>
      </c>
      <c r="BH3" s="147" t="n">
        <v>58</v>
      </c>
      <c r="BI3" s="147" t="n">
        <v>59</v>
      </c>
      <c r="BJ3" s="147" t="n">
        <v>60</v>
      </c>
      <c r="BK3" s="147" t="n">
        <v>61</v>
      </c>
      <c r="BL3" s="147" t="n">
        <v>62</v>
      </c>
      <c r="BM3" s="147" t="n">
        <v>63</v>
      </c>
      <c r="BN3" s="147" t="n">
        <v>64</v>
      </c>
      <c r="BO3" s="147" t="n">
        <v>65</v>
      </c>
      <c r="BP3" s="147" t="n">
        <v>66</v>
      </c>
      <c r="BQ3" s="147" t="n">
        <v>67</v>
      </c>
      <c r="BR3" s="147" t="n">
        <v>68</v>
      </c>
      <c r="BS3" s="147" t="n">
        <v>69</v>
      </c>
      <c r="BT3" s="147" t="n">
        <v>70</v>
      </c>
      <c r="BU3" s="147" t="n">
        <v>71</v>
      </c>
      <c r="BV3" s="147" t="n">
        <v>72</v>
      </c>
      <c r="BW3" s="147" t="n">
        <v>73</v>
      </c>
      <c r="BX3" s="147" t="n">
        <v>74</v>
      </c>
      <c r="BY3" s="147" t="n">
        <v>75</v>
      </c>
      <c r="BZ3" s="147" t="n">
        <v>76</v>
      </c>
      <c r="CA3" s="147" t="n">
        <v>77</v>
      </c>
      <c r="CB3" s="147" t="n">
        <v>78</v>
      </c>
      <c r="CC3" s="147" t="n">
        <v>79</v>
      </c>
      <c r="CD3" s="147" t="n">
        <v>80</v>
      </c>
      <c r="CE3" s="147" t="n">
        <v>81</v>
      </c>
      <c r="CF3" s="147" t="n">
        <v>82</v>
      </c>
      <c r="CG3" s="147" t="n">
        <v>83</v>
      </c>
      <c r="CH3" s="147" t="n">
        <v>84</v>
      </c>
    </row>
    <row r="4" customFormat="false" ht="13.5" hidden="false" customHeight="true" outlineLevel="0" collapsed="false">
      <c r="A4" s="146" t="s">
        <v>688</v>
      </c>
      <c r="C4" s="148" t="n">
        <f aca="false">INT((1-1)/12)+1</f>
        <v>1</v>
      </c>
      <c r="D4" s="148" t="n">
        <f aca="false">INT((2-1)/12)+1</f>
        <v>1</v>
      </c>
      <c r="E4" s="148" t="n">
        <f aca="false">INT((3-1)/12)+1</f>
        <v>1</v>
      </c>
      <c r="F4" s="148" t="n">
        <f aca="false">INT((4-1)/12)+1</f>
        <v>1</v>
      </c>
      <c r="G4" s="148" t="n">
        <f aca="false">INT((5-1)/12)+1</f>
        <v>1</v>
      </c>
      <c r="H4" s="148" t="n">
        <f aca="false">INT((6-1)/12)+1</f>
        <v>1</v>
      </c>
      <c r="I4" s="148" t="n">
        <f aca="false">INT((7-1)/12)+1</f>
        <v>1</v>
      </c>
      <c r="J4" s="148" t="n">
        <f aca="false">INT((8-1)/12)+1</f>
        <v>1</v>
      </c>
      <c r="K4" s="148" t="n">
        <f aca="false">INT((9-1)/12)+1</f>
        <v>1</v>
      </c>
      <c r="L4" s="148" t="n">
        <f aca="false">INT((10-1)/12)+1</f>
        <v>1</v>
      </c>
      <c r="M4" s="148" t="n">
        <f aca="false">INT((11-1)/12)+1</f>
        <v>1</v>
      </c>
      <c r="N4" s="148" t="n">
        <f aca="false">INT((12-1)/12)+1</f>
        <v>1</v>
      </c>
      <c r="O4" s="148" t="n">
        <f aca="false">INT((13-1)/12)+1</f>
        <v>2</v>
      </c>
      <c r="P4" s="148" t="n">
        <f aca="false">INT((14-1)/12)+1</f>
        <v>2</v>
      </c>
      <c r="Q4" s="148" t="n">
        <f aca="false">INT((15-1)/12)+1</f>
        <v>2</v>
      </c>
      <c r="R4" s="148" t="n">
        <f aca="false">INT((16-1)/12)+1</f>
        <v>2</v>
      </c>
      <c r="S4" s="148" t="n">
        <f aca="false">INT((17-1)/12)+1</f>
        <v>2</v>
      </c>
      <c r="T4" s="148" t="n">
        <f aca="false">INT((18-1)/12)+1</f>
        <v>2</v>
      </c>
      <c r="U4" s="148" t="n">
        <f aca="false">INT((19-1)/12)+1</f>
        <v>2</v>
      </c>
      <c r="V4" s="148" t="n">
        <f aca="false">INT((20-1)/12)+1</f>
        <v>2</v>
      </c>
      <c r="W4" s="148" t="n">
        <f aca="false">INT((21-1)/12)+1</f>
        <v>2</v>
      </c>
      <c r="X4" s="148" t="n">
        <f aca="false">INT((22-1)/12)+1</f>
        <v>2</v>
      </c>
      <c r="Y4" s="148" t="n">
        <f aca="false">INT((23-1)/12)+1</f>
        <v>2</v>
      </c>
      <c r="Z4" s="148" t="n">
        <f aca="false">INT((24-1)/12)+1</f>
        <v>2</v>
      </c>
      <c r="AA4" s="148" t="n">
        <f aca="false">INT((25-1)/12)+1</f>
        <v>3</v>
      </c>
      <c r="AB4" s="148" t="n">
        <f aca="false">INT((26-1)/12)+1</f>
        <v>3</v>
      </c>
      <c r="AC4" s="148" t="n">
        <f aca="false">INT((27-1)/12)+1</f>
        <v>3</v>
      </c>
      <c r="AD4" s="148" t="n">
        <f aca="false">INT((28-1)/12)+1</f>
        <v>3</v>
      </c>
      <c r="AE4" s="148" t="n">
        <f aca="false">INT((29-1)/12)+1</f>
        <v>3</v>
      </c>
      <c r="AF4" s="148" t="n">
        <f aca="false">INT((30-1)/12)+1</f>
        <v>3</v>
      </c>
      <c r="AG4" s="148" t="n">
        <f aca="false">INT((31-1)/12)+1</f>
        <v>3</v>
      </c>
      <c r="AH4" s="148" t="n">
        <f aca="false">INT((32-1)/12)+1</f>
        <v>3</v>
      </c>
      <c r="AI4" s="148" t="n">
        <f aca="false">INT((33-1)/12)+1</f>
        <v>3</v>
      </c>
      <c r="AJ4" s="148" t="n">
        <f aca="false">INT((34-1)/12)+1</f>
        <v>3</v>
      </c>
      <c r="AK4" s="148" t="n">
        <f aca="false">INT((35-1)/12)+1</f>
        <v>3</v>
      </c>
      <c r="AL4" s="148" t="n">
        <f aca="false">INT((36-1)/12)+1</f>
        <v>3</v>
      </c>
      <c r="AM4" s="148" t="n">
        <f aca="false">INT((37-1)/12)+1</f>
        <v>4</v>
      </c>
      <c r="AN4" s="148" t="n">
        <f aca="false">INT((38-1)/12)+1</f>
        <v>4</v>
      </c>
      <c r="AO4" s="148" t="n">
        <f aca="false">INT((39-1)/12)+1</f>
        <v>4</v>
      </c>
      <c r="AP4" s="148" t="n">
        <f aca="false">INT((40-1)/12)+1</f>
        <v>4</v>
      </c>
      <c r="AQ4" s="148" t="n">
        <f aca="false">INT((41-1)/12)+1</f>
        <v>4</v>
      </c>
      <c r="AR4" s="148" t="n">
        <f aca="false">INT((42-1)/12)+1</f>
        <v>4</v>
      </c>
      <c r="AS4" s="148" t="n">
        <f aca="false">INT((43-1)/12)+1</f>
        <v>4</v>
      </c>
      <c r="AT4" s="148" t="n">
        <f aca="false">INT((44-1)/12)+1</f>
        <v>4</v>
      </c>
      <c r="AU4" s="148" t="n">
        <f aca="false">INT((45-1)/12)+1</f>
        <v>4</v>
      </c>
      <c r="AV4" s="148" t="n">
        <f aca="false">INT((46-1)/12)+1</f>
        <v>4</v>
      </c>
      <c r="AW4" s="148" t="n">
        <f aca="false">INT((47-1)/12)+1</f>
        <v>4</v>
      </c>
      <c r="AX4" s="148" t="n">
        <f aca="false">INT((48-1)/12)+1</f>
        <v>4</v>
      </c>
      <c r="AY4" s="148" t="n">
        <f aca="false">INT((49-1)/12)+1</f>
        <v>5</v>
      </c>
      <c r="AZ4" s="148" t="n">
        <f aca="false">INT((50-1)/12)+1</f>
        <v>5</v>
      </c>
      <c r="BA4" s="148" t="n">
        <f aca="false">INT((51-1)/12)+1</f>
        <v>5</v>
      </c>
      <c r="BB4" s="148" t="n">
        <f aca="false">INT((52-1)/12)+1</f>
        <v>5</v>
      </c>
      <c r="BC4" s="148" t="n">
        <f aca="false">INT((53-1)/12)+1</f>
        <v>5</v>
      </c>
      <c r="BD4" s="148" t="n">
        <f aca="false">INT((54-1)/12)+1</f>
        <v>5</v>
      </c>
      <c r="BE4" s="148" t="n">
        <f aca="false">INT((55-1)/12)+1</f>
        <v>5</v>
      </c>
      <c r="BF4" s="148" t="n">
        <f aca="false">INT((56-1)/12)+1</f>
        <v>5</v>
      </c>
      <c r="BG4" s="148" t="n">
        <f aca="false">INT((57-1)/12)+1</f>
        <v>5</v>
      </c>
      <c r="BH4" s="148" t="n">
        <f aca="false">INT((58-1)/12)+1</f>
        <v>5</v>
      </c>
      <c r="BI4" s="148" t="n">
        <f aca="false">INT((59-1)/12)+1</f>
        <v>5</v>
      </c>
      <c r="BJ4" s="148" t="n">
        <f aca="false">INT((60-1)/12)+1</f>
        <v>5</v>
      </c>
      <c r="BK4" s="148" t="n">
        <f aca="false">INT((61-1)/12)+1</f>
        <v>6</v>
      </c>
      <c r="BL4" s="148" t="n">
        <f aca="false">INT((62-1)/12)+1</f>
        <v>6</v>
      </c>
      <c r="BM4" s="148" t="n">
        <f aca="false">INT((63-1)/12)+1</f>
        <v>6</v>
      </c>
      <c r="BN4" s="148" t="n">
        <f aca="false">INT((64-1)/12)+1</f>
        <v>6</v>
      </c>
      <c r="BO4" s="148" t="n">
        <f aca="false">INT((65-1)/12)+1</f>
        <v>6</v>
      </c>
      <c r="BP4" s="148" t="n">
        <f aca="false">INT((66-1)/12)+1</f>
        <v>6</v>
      </c>
      <c r="BQ4" s="148" t="n">
        <f aca="false">INT((67-1)/12)+1</f>
        <v>6</v>
      </c>
      <c r="BR4" s="148" t="n">
        <f aca="false">INT((68-1)/12)+1</f>
        <v>6</v>
      </c>
      <c r="BS4" s="148" t="n">
        <f aca="false">INT((69-1)/12)+1</f>
        <v>6</v>
      </c>
      <c r="BT4" s="148" t="n">
        <f aca="false">INT((70-1)/12)+1</f>
        <v>6</v>
      </c>
      <c r="BU4" s="148" t="n">
        <f aca="false">INT((71-1)/12)+1</f>
        <v>6</v>
      </c>
      <c r="BV4" s="148" t="n">
        <f aca="false">INT((72-1)/12)+1</f>
        <v>6</v>
      </c>
      <c r="BW4" s="148" t="n">
        <f aca="false">INT((73-1)/12)+1</f>
        <v>7</v>
      </c>
      <c r="BX4" s="148" t="n">
        <f aca="false">INT((74-1)/12)+1</f>
        <v>7</v>
      </c>
      <c r="BY4" s="148" t="n">
        <f aca="false">INT((75-1)/12)+1</f>
        <v>7</v>
      </c>
      <c r="BZ4" s="148" t="n">
        <f aca="false">INT((76-1)/12)+1</f>
        <v>7</v>
      </c>
      <c r="CA4" s="148" t="n">
        <f aca="false">INT((77-1)/12)+1</f>
        <v>7</v>
      </c>
      <c r="CB4" s="148" t="n">
        <f aca="false">INT((78-1)/12)+1</f>
        <v>7</v>
      </c>
      <c r="CC4" s="148" t="n">
        <f aca="false">INT((79-1)/12)+1</f>
        <v>7</v>
      </c>
      <c r="CD4" s="148" t="n">
        <f aca="false">INT((80-1)/12)+1</f>
        <v>7</v>
      </c>
      <c r="CE4" s="148" t="n">
        <f aca="false">INT((81-1)/12)+1</f>
        <v>7</v>
      </c>
      <c r="CF4" s="148" t="n">
        <f aca="false">INT((82-1)/12)+1</f>
        <v>7</v>
      </c>
      <c r="CG4" s="148" t="n">
        <f aca="false">INT((83-1)/12)+1</f>
        <v>7</v>
      </c>
      <c r="CH4" s="148" t="n">
        <f aca="false">INT((84-1)/12)+1</f>
        <v>7</v>
      </c>
    </row>
    <row r="5" customFormat="false" ht="13.5" hidden="false" customHeight="true" outlineLevel="0" collapsed="false"/>
    <row r="6" customFormat="false" ht="12.75" hidden="false" customHeight="true" outlineLevel="0" collapsed="false">
      <c r="A6" s="10" t="s">
        <v>689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</row>
    <row r="7" customFormat="false" ht="13.5" hidden="false" customHeight="true" outlineLevel="0" collapsed="false">
      <c r="A7" s="13" t="s">
        <v>690</v>
      </c>
      <c r="C7" s="149" t="n">
        <f aca="false">MIN(Hipótesis!$F$26,Hipótesis!$F$27+Hipótesis!$F$28*(1-1))</f>
        <v>1</v>
      </c>
      <c r="D7" s="149" t="n">
        <f aca="false">MIN(Hipótesis!$F$26,Hipótesis!$F$27+Hipótesis!$F$28*(2-1))</f>
        <v>1.5</v>
      </c>
      <c r="E7" s="149" t="n">
        <f aca="false">MIN(Hipótesis!$F$26,Hipótesis!$F$27+Hipótesis!$F$28*(3-1))</f>
        <v>2</v>
      </c>
      <c r="F7" s="149" t="n">
        <f aca="false">MIN(Hipótesis!$F$26,Hipótesis!$F$27+Hipótesis!$F$28*(4-1))</f>
        <v>2.5</v>
      </c>
      <c r="G7" s="149" t="n">
        <f aca="false">MIN(Hipótesis!$F$26,Hipótesis!$F$27+Hipótesis!$F$28*(5-1))</f>
        <v>3</v>
      </c>
      <c r="H7" s="149" t="n">
        <f aca="false">MIN(Hipótesis!$F$26,Hipótesis!$F$27+Hipótesis!$F$28*(6-1))</f>
        <v>3</v>
      </c>
      <c r="I7" s="149" t="n">
        <f aca="false">MIN(Hipótesis!$F$26,Hipótesis!$F$27+Hipótesis!$F$28*(7-1))</f>
        <v>3</v>
      </c>
      <c r="J7" s="149" t="n">
        <f aca="false">MIN(Hipótesis!$F$26,Hipótesis!$F$27+Hipótesis!$F$28*(8-1))</f>
        <v>3</v>
      </c>
      <c r="K7" s="149" t="n">
        <f aca="false">MIN(Hipótesis!$F$26,Hipótesis!$F$27+Hipótesis!$F$28*(9-1))</f>
        <v>3</v>
      </c>
      <c r="L7" s="149" t="n">
        <f aca="false">MIN(Hipótesis!$F$26,Hipótesis!$F$27+Hipótesis!$F$28*(10-1))</f>
        <v>3</v>
      </c>
      <c r="M7" s="149" t="n">
        <f aca="false">MIN(Hipótesis!$F$26,Hipótesis!$F$27+Hipótesis!$F$28*(11-1))</f>
        <v>3</v>
      </c>
      <c r="N7" s="149" t="n">
        <f aca="false">MIN(Hipótesis!$F$26,Hipótesis!$F$27+Hipótesis!$F$28*(12-1))</f>
        <v>3</v>
      </c>
      <c r="O7" s="149" t="n">
        <f aca="false">MIN(Hipótesis!$F$26,Hipótesis!$F$27+Hipótesis!$F$28*(13-1))</f>
        <v>3</v>
      </c>
      <c r="P7" s="149" t="n">
        <f aca="false">MIN(Hipótesis!$F$26,Hipótesis!$F$27+Hipótesis!$F$28*(14-1))</f>
        <v>3</v>
      </c>
      <c r="Q7" s="149" t="n">
        <f aca="false">MIN(Hipótesis!$F$26,Hipótesis!$F$27+Hipótesis!$F$28*(15-1))</f>
        <v>3</v>
      </c>
      <c r="R7" s="149" t="n">
        <f aca="false">MIN(Hipótesis!$F$26,Hipótesis!$F$27+Hipótesis!$F$28*(16-1))</f>
        <v>3</v>
      </c>
      <c r="S7" s="149" t="n">
        <f aca="false">MIN(Hipótesis!$F$26,Hipótesis!$F$27+Hipótesis!$F$28*(17-1))</f>
        <v>3</v>
      </c>
      <c r="T7" s="149" t="n">
        <f aca="false">MIN(Hipótesis!$F$26,Hipótesis!$F$27+Hipótesis!$F$28*(18-1))</f>
        <v>3</v>
      </c>
      <c r="U7" s="149" t="n">
        <f aca="false">MIN(Hipótesis!$F$26,Hipótesis!$F$27+Hipótesis!$F$28*(19-1))</f>
        <v>3</v>
      </c>
      <c r="V7" s="149" t="n">
        <f aca="false">MIN(Hipótesis!$F$26,Hipótesis!$F$27+Hipótesis!$F$28*(20-1))</f>
        <v>3</v>
      </c>
      <c r="W7" s="149" t="n">
        <f aca="false">MIN(Hipótesis!$F$26,Hipótesis!$F$27+Hipótesis!$F$28*(21-1))</f>
        <v>3</v>
      </c>
      <c r="X7" s="149" t="n">
        <f aca="false">MIN(Hipótesis!$F$26,Hipótesis!$F$27+Hipótesis!$F$28*(22-1))</f>
        <v>3</v>
      </c>
      <c r="Y7" s="149" t="n">
        <f aca="false">MIN(Hipótesis!$F$26,Hipótesis!$F$27+Hipótesis!$F$28*(23-1))</f>
        <v>3</v>
      </c>
      <c r="Z7" s="149" t="n">
        <f aca="false">MIN(Hipótesis!$F$26,Hipótesis!$F$27+Hipótesis!$F$28*(24-1))</f>
        <v>3</v>
      </c>
      <c r="AA7" s="149" t="n">
        <f aca="false">MIN(Hipótesis!$F$26,Hipótesis!$F$27+Hipótesis!$F$28*(25-1))</f>
        <v>3</v>
      </c>
      <c r="AB7" s="149" t="n">
        <f aca="false">MIN(Hipótesis!$F$26,Hipótesis!$F$27+Hipótesis!$F$28*(26-1))</f>
        <v>3</v>
      </c>
      <c r="AC7" s="149" t="n">
        <f aca="false">MIN(Hipótesis!$F$26,Hipótesis!$F$27+Hipótesis!$F$28*(27-1))</f>
        <v>3</v>
      </c>
      <c r="AD7" s="149" t="n">
        <f aca="false">MIN(Hipótesis!$F$26,Hipótesis!$F$27+Hipótesis!$F$28*(28-1))</f>
        <v>3</v>
      </c>
      <c r="AE7" s="149" t="n">
        <f aca="false">MIN(Hipótesis!$F$26,Hipótesis!$F$27+Hipótesis!$F$28*(29-1))</f>
        <v>3</v>
      </c>
      <c r="AF7" s="149" t="n">
        <f aca="false">MIN(Hipótesis!$F$26,Hipótesis!$F$27+Hipótesis!$F$28*(30-1))</f>
        <v>3</v>
      </c>
      <c r="AG7" s="149" t="n">
        <f aca="false">MIN(Hipótesis!$F$26,Hipótesis!$F$27+Hipótesis!$F$28*(31-1))</f>
        <v>3</v>
      </c>
      <c r="AH7" s="149" t="n">
        <f aca="false">MIN(Hipótesis!$F$26,Hipótesis!$F$27+Hipótesis!$F$28*(32-1))</f>
        <v>3</v>
      </c>
      <c r="AI7" s="149" t="n">
        <f aca="false">MIN(Hipótesis!$F$26,Hipótesis!$F$27+Hipótesis!$F$28*(33-1))</f>
        <v>3</v>
      </c>
      <c r="AJ7" s="149" t="n">
        <f aca="false">MIN(Hipótesis!$F$26,Hipótesis!$F$27+Hipótesis!$F$28*(34-1))</f>
        <v>3</v>
      </c>
      <c r="AK7" s="149" t="n">
        <f aca="false">MIN(Hipótesis!$F$26,Hipótesis!$F$27+Hipótesis!$F$28*(35-1))</f>
        <v>3</v>
      </c>
      <c r="AL7" s="149" t="n">
        <f aca="false">MIN(Hipótesis!$F$26,Hipótesis!$F$27+Hipótesis!$F$28*(36-1))</f>
        <v>3</v>
      </c>
      <c r="AM7" s="149" t="n">
        <f aca="false">MIN(Hipótesis!$F$26,Hipótesis!$F$27+Hipótesis!$F$28*(37-1))</f>
        <v>3</v>
      </c>
      <c r="AN7" s="149" t="n">
        <f aca="false">MIN(Hipótesis!$F$26,Hipótesis!$F$27+Hipótesis!$F$28*(38-1))</f>
        <v>3</v>
      </c>
      <c r="AO7" s="149" t="n">
        <f aca="false">MIN(Hipótesis!$F$26,Hipótesis!$F$27+Hipótesis!$F$28*(39-1))</f>
        <v>3</v>
      </c>
      <c r="AP7" s="149" t="n">
        <f aca="false">MIN(Hipótesis!$F$26,Hipótesis!$F$27+Hipótesis!$F$28*(40-1))</f>
        <v>3</v>
      </c>
      <c r="AQ7" s="149" t="n">
        <f aca="false">MIN(Hipótesis!$F$26,Hipótesis!$F$27+Hipótesis!$F$28*(41-1))</f>
        <v>3</v>
      </c>
      <c r="AR7" s="149" t="n">
        <f aca="false">MIN(Hipótesis!$F$26,Hipótesis!$F$27+Hipótesis!$F$28*(42-1))</f>
        <v>3</v>
      </c>
      <c r="AS7" s="149" t="n">
        <f aca="false">MIN(Hipótesis!$F$26,Hipótesis!$F$27+Hipótesis!$F$28*(43-1))</f>
        <v>3</v>
      </c>
      <c r="AT7" s="149" t="n">
        <f aca="false">MIN(Hipótesis!$F$26,Hipótesis!$F$27+Hipótesis!$F$28*(44-1))</f>
        <v>3</v>
      </c>
      <c r="AU7" s="149" t="n">
        <f aca="false">MIN(Hipótesis!$F$26,Hipótesis!$F$27+Hipótesis!$F$28*(45-1))</f>
        <v>3</v>
      </c>
      <c r="AV7" s="149" t="n">
        <f aca="false">MIN(Hipótesis!$F$26,Hipótesis!$F$27+Hipótesis!$F$28*(46-1))</f>
        <v>3</v>
      </c>
      <c r="AW7" s="149" t="n">
        <f aca="false">MIN(Hipótesis!$F$26,Hipótesis!$F$27+Hipótesis!$F$28*(47-1))</f>
        <v>3</v>
      </c>
      <c r="AX7" s="149" t="n">
        <f aca="false">MIN(Hipótesis!$F$26,Hipótesis!$F$27+Hipótesis!$F$28*(48-1))</f>
        <v>3</v>
      </c>
      <c r="AY7" s="149" t="n">
        <f aca="false">MIN(Hipótesis!$F$26,Hipótesis!$F$27+Hipótesis!$F$28*(49-1))</f>
        <v>3</v>
      </c>
      <c r="AZ7" s="149" t="n">
        <f aca="false">MIN(Hipótesis!$F$26,Hipótesis!$F$27+Hipótesis!$F$28*(50-1))</f>
        <v>3</v>
      </c>
      <c r="BA7" s="149" t="n">
        <f aca="false">MIN(Hipótesis!$F$26,Hipótesis!$F$27+Hipótesis!$F$28*(51-1))</f>
        <v>3</v>
      </c>
      <c r="BB7" s="149" t="n">
        <f aca="false">MIN(Hipótesis!$F$26,Hipótesis!$F$27+Hipótesis!$F$28*(52-1))</f>
        <v>3</v>
      </c>
      <c r="BC7" s="149" t="n">
        <f aca="false">MIN(Hipótesis!$F$26,Hipótesis!$F$27+Hipótesis!$F$28*(53-1))</f>
        <v>3</v>
      </c>
      <c r="BD7" s="149" t="n">
        <f aca="false">MIN(Hipótesis!$F$26,Hipótesis!$F$27+Hipótesis!$F$28*(54-1))</f>
        <v>3</v>
      </c>
      <c r="BE7" s="149" t="n">
        <f aca="false">MIN(Hipótesis!$F$26,Hipótesis!$F$27+Hipótesis!$F$28*(55-1))</f>
        <v>3</v>
      </c>
      <c r="BF7" s="149" t="n">
        <f aca="false">MIN(Hipótesis!$F$26,Hipótesis!$F$27+Hipótesis!$F$28*(56-1))</f>
        <v>3</v>
      </c>
      <c r="BG7" s="149" t="n">
        <f aca="false">MIN(Hipótesis!$F$26,Hipótesis!$F$27+Hipótesis!$F$28*(57-1))</f>
        <v>3</v>
      </c>
      <c r="BH7" s="149" t="n">
        <f aca="false">MIN(Hipótesis!$F$26,Hipótesis!$F$27+Hipótesis!$F$28*(58-1))</f>
        <v>3</v>
      </c>
      <c r="BI7" s="149" t="n">
        <f aca="false">MIN(Hipótesis!$F$26,Hipótesis!$F$27+Hipótesis!$F$28*(59-1))</f>
        <v>3</v>
      </c>
      <c r="BJ7" s="149" t="n">
        <f aca="false">MIN(Hipótesis!$F$26,Hipótesis!$F$27+Hipótesis!$F$28*(60-1))</f>
        <v>3</v>
      </c>
      <c r="BK7" s="149" t="n">
        <f aca="false">MIN(Hipótesis!$F$26,Hipótesis!$F$27+Hipótesis!$F$28*(61-1))</f>
        <v>3</v>
      </c>
      <c r="BL7" s="149" t="n">
        <f aca="false">MIN(Hipótesis!$F$26,Hipótesis!$F$27+Hipótesis!$F$28*(62-1))</f>
        <v>3</v>
      </c>
      <c r="BM7" s="149" t="n">
        <f aca="false">MIN(Hipótesis!$F$26,Hipótesis!$F$27+Hipótesis!$F$28*(63-1))</f>
        <v>3</v>
      </c>
      <c r="BN7" s="149" t="n">
        <f aca="false">MIN(Hipótesis!$F$26,Hipótesis!$F$27+Hipótesis!$F$28*(64-1))</f>
        <v>3</v>
      </c>
      <c r="BO7" s="149" t="n">
        <f aca="false">MIN(Hipótesis!$F$26,Hipótesis!$F$27+Hipótesis!$F$28*(65-1))</f>
        <v>3</v>
      </c>
      <c r="BP7" s="149" t="n">
        <f aca="false">MIN(Hipótesis!$F$26,Hipótesis!$F$27+Hipótesis!$F$28*(66-1))</f>
        <v>3</v>
      </c>
      <c r="BQ7" s="149" t="n">
        <f aca="false">MIN(Hipótesis!$F$26,Hipótesis!$F$27+Hipótesis!$F$28*(67-1))</f>
        <v>3</v>
      </c>
      <c r="BR7" s="149" t="n">
        <f aca="false">MIN(Hipótesis!$F$26,Hipótesis!$F$27+Hipótesis!$F$28*(68-1))</f>
        <v>3</v>
      </c>
      <c r="BS7" s="149" t="n">
        <f aca="false">MIN(Hipótesis!$F$26,Hipótesis!$F$27+Hipótesis!$F$28*(69-1))</f>
        <v>3</v>
      </c>
      <c r="BT7" s="149" t="n">
        <f aca="false">MIN(Hipótesis!$F$26,Hipótesis!$F$27+Hipótesis!$F$28*(70-1))</f>
        <v>3</v>
      </c>
      <c r="BU7" s="149" t="n">
        <f aca="false">MIN(Hipótesis!$F$26,Hipótesis!$F$27+Hipótesis!$F$28*(71-1))</f>
        <v>3</v>
      </c>
      <c r="BV7" s="149" t="n">
        <f aca="false">MIN(Hipótesis!$F$26,Hipótesis!$F$27+Hipótesis!$F$28*(72-1))</f>
        <v>3</v>
      </c>
      <c r="BW7" s="149" t="n">
        <f aca="false">MIN(Hipótesis!$F$26,Hipótesis!$F$27+Hipótesis!$F$28*(73-1))</f>
        <v>3</v>
      </c>
      <c r="BX7" s="149" t="n">
        <f aca="false">MIN(Hipótesis!$F$26,Hipótesis!$F$27+Hipótesis!$F$28*(74-1))</f>
        <v>3</v>
      </c>
      <c r="BY7" s="149" t="n">
        <f aca="false">MIN(Hipótesis!$F$26,Hipótesis!$F$27+Hipótesis!$F$28*(75-1))</f>
        <v>3</v>
      </c>
      <c r="BZ7" s="149" t="n">
        <f aca="false">MIN(Hipótesis!$F$26,Hipótesis!$F$27+Hipótesis!$F$28*(76-1))</f>
        <v>3</v>
      </c>
      <c r="CA7" s="149" t="n">
        <f aca="false">MIN(Hipótesis!$F$26,Hipótesis!$F$27+Hipótesis!$F$28*(77-1))</f>
        <v>3</v>
      </c>
      <c r="CB7" s="149" t="n">
        <f aca="false">MIN(Hipótesis!$F$26,Hipótesis!$F$27+Hipótesis!$F$28*(78-1))</f>
        <v>3</v>
      </c>
      <c r="CC7" s="149" t="n">
        <f aca="false">MIN(Hipótesis!$F$26,Hipótesis!$F$27+Hipótesis!$F$28*(79-1))</f>
        <v>3</v>
      </c>
      <c r="CD7" s="149" t="n">
        <f aca="false">MIN(Hipótesis!$F$26,Hipótesis!$F$27+Hipótesis!$F$28*(80-1))</f>
        <v>3</v>
      </c>
      <c r="CE7" s="149" t="n">
        <f aca="false">MIN(Hipótesis!$F$26,Hipótesis!$F$27+Hipótesis!$F$28*(81-1))</f>
        <v>3</v>
      </c>
      <c r="CF7" s="149" t="n">
        <f aca="false">MIN(Hipótesis!$F$26,Hipótesis!$F$27+Hipótesis!$F$28*(82-1))</f>
        <v>3</v>
      </c>
      <c r="CG7" s="149" t="n">
        <f aca="false">MIN(Hipótesis!$F$26,Hipótesis!$F$27+Hipótesis!$F$28*(83-1))</f>
        <v>3</v>
      </c>
      <c r="CH7" s="149" t="n">
        <f aca="false">MIN(Hipótesis!$F$26,Hipótesis!$F$27+Hipótesis!$F$28*(84-1))</f>
        <v>3</v>
      </c>
    </row>
    <row r="8" customFormat="false" ht="13.5" hidden="false" customHeight="true" outlineLevel="0" collapsed="false">
      <c r="A8" s="13" t="s">
        <v>691</v>
      </c>
      <c r="C8" s="139" t="n">
        <f aca="false">C7*Hipótesis!$D$13</f>
        <v>960</v>
      </c>
      <c r="D8" s="139" t="n">
        <f aca="false">D7*Hipótesis!$D$13</f>
        <v>1440</v>
      </c>
      <c r="E8" s="139" t="n">
        <f aca="false">E7*Hipótesis!$D$13</f>
        <v>1920</v>
      </c>
      <c r="F8" s="139" t="n">
        <f aca="false">F7*Hipótesis!$D$13</f>
        <v>2400</v>
      </c>
      <c r="G8" s="139" t="n">
        <f aca="false">G7*Hipótesis!$D$13</f>
        <v>2880</v>
      </c>
      <c r="H8" s="139" t="n">
        <f aca="false">H7*Hipótesis!$D$13</f>
        <v>2880</v>
      </c>
      <c r="I8" s="139" t="n">
        <f aca="false">I7*Hipótesis!$D$13</f>
        <v>2880</v>
      </c>
      <c r="J8" s="139" t="n">
        <f aca="false">J7*Hipótesis!$D$13</f>
        <v>2880</v>
      </c>
      <c r="K8" s="139" t="n">
        <f aca="false">K7*Hipótesis!$D$13</f>
        <v>2880</v>
      </c>
      <c r="L8" s="139" t="n">
        <f aca="false">L7*Hipótesis!$D$13</f>
        <v>2880</v>
      </c>
      <c r="M8" s="139" t="n">
        <f aca="false">M7*Hipótesis!$D$13</f>
        <v>2880</v>
      </c>
      <c r="N8" s="139" t="n">
        <f aca="false">N7*Hipótesis!$D$13</f>
        <v>2880</v>
      </c>
      <c r="O8" s="139" t="n">
        <f aca="false">O7*Hipótesis!$D$13</f>
        <v>2880</v>
      </c>
      <c r="P8" s="139" t="n">
        <f aca="false">P7*Hipótesis!$D$13</f>
        <v>2880</v>
      </c>
      <c r="Q8" s="139" t="n">
        <f aca="false">Q7*Hipótesis!$D$13</f>
        <v>2880</v>
      </c>
      <c r="R8" s="139" t="n">
        <f aca="false">R7*Hipótesis!$D$13</f>
        <v>2880</v>
      </c>
      <c r="S8" s="139" t="n">
        <f aca="false">S7*Hipótesis!$D$13</f>
        <v>2880</v>
      </c>
      <c r="T8" s="139" t="n">
        <f aca="false">T7*Hipótesis!$D$13</f>
        <v>2880</v>
      </c>
      <c r="U8" s="139" t="n">
        <f aca="false">U7*Hipótesis!$D$13</f>
        <v>2880</v>
      </c>
      <c r="V8" s="139" t="n">
        <f aca="false">V7*Hipótesis!$D$13</f>
        <v>2880</v>
      </c>
      <c r="W8" s="139" t="n">
        <f aca="false">W7*Hipótesis!$D$13</f>
        <v>2880</v>
      </c>
      <c r="X8" s="139" t="n">
        <f aca="false">X7*Hipótesis!$D$13</f>
        <v>2880</v>
      </c>
      <c r="Y8" s="139" t="n">
        <f aca="false">Y7*Hipótesis!$D$13</f>
        <v>2880</v>
      </c>
      <c r="Z8" s="139" t="n">
        <f aca="false">Z7*Hipótesis!$D$13</f>
        <v>2880</v>
      </c>
      <c r="AA8" s="139" t="n">
        <f aca="false">AA7*Hipótesis!$D$13</f>
        <v>2880</v>
      </c>
      <c r="AB8" s="139" t="n">
        <f aca="false">AB7*Hipótesis!$D$13</f>
        <v>2880</v>
      </c>
      <c r="AC8" s="139" t="n">
        <f aca="false">AC7*Hipótesis!$D$13</f>
        <v>2880</v>
      </c>
      <c r="AD8" s="139" t="n">
        <f aca="false">AD7*Hipótesis!$D$13</f>
        <v>2880</v>
      </c>
      <c r="AE8" s="139" t="n">
        <f aca="false">AE7*Hipótesis!$D$13</f>
        <v>2880</v>
      </c>
      <c r="AF8" s="139" t="n">
        <f aca="false">AF7*Hipótesis!$D$13</f>
        <v>2880</v>
      </c>
      <c r="AG8" s="139" t="n">
        <f aca="false">AG7*Hipótesis!$D$13</f>
        <v>2880</v>
      </c>
      <c r="AH8" s="139" t="n">
        <f aca="false">AH7*Hipótesis!$D$13</f>
        <v>2880</v>
      </c>
      <c r="AI8" s="139" t="n">
        <f aca="false">AI7*Hipótesis!$D$13</f>
        <v>2880</v>
      </c>
      <c r="AJ8" s="139" t="n">
        <f aca="false">AJ7*Hipótesis!$D$13</f>
        <v>2880</v>
      </c>
      <c r="AK8" s="139" t="n">
        <f aca="false">AK7*Hipótesis!$D$13</f>
        <v>2880</v>
      </c>
      <c r="AL8" s="139" t="n">
        <f aca="false">AL7*Hipótesis!$D$13</f>
        <v>2880</v>
      </c>
      <c r="AM8" s="139" t="n">
        <f aca="false">AM7*Hipótesis!$D$13</f>
        <v>2880</v>
      </c>
      <c r="AN8" s="139" t="n">
        <f aca="false">AN7*Hipótesis!$D$13</f>
        <v>2880</v>
      </c>
      <c r="AO8" s="139" t="n">
        <f aca="false">AO7*Hipótesis!$D$13</f>
        <v>2880</v>
      </c>
      <c r="AP8" s="139" t="n">
        <f aca="false">AP7*Hipótesis!$D$13</f>
        <v>2880</v>
      </c>
      <c r="AQ8" s="139" t="n">
        <f aca="false">AQ7*Hipótesis!$D$13</f>
        <v>2880</v>
      </c>
      <c r="AR8" s="139" t="n">
        <f aca="false">AR7*Hipótesis!$D$13</f>
        <v>2880</v>
      </c>
      <c r="AS8" s="139" t="n">
        <f aca="false">AS7*Hipótesis!$D$13</f>
        <v>2880</v>
      </c>
      <c r="AT8" s="139" t="n">
        <f aca="false">AT7*Hipótesis!$D$13</f>
        <v>2880</v>
      </c>
      <c r="AU8" s="139" t="n">
        <f aca="false">AU7*Hipótesis!$D$13</f>
        <v>2880</v>
      </c>
      <c r="AV8" s="139" t="n">
        <f aca="false">AV7*Hipótesis!$D$13</f>
        <v>2880</v>
      </c>
      <c r="AW8" s="139" t="n">
        <f aca="false">AW7*Hipótesis!$D$13</f>
        <v>2880</v>
      </c>
      <c r="AX8" s="139" t="n">
        <f aca="false">AX7*Hipótesis!$D$13</f>
        <v>2880</v>
      </c>
      <c r="AY8" s="139" t="n">
        <f aca="false">AY7*Hipótesis!$D$13</f>
        <v>2880</v>
      </c>
      <c r="AZ8" s="139" t="n">
        <f aca="false">AZ7*Hipótesis!$D$13</f>
        <v>2880</v>
      </c>
      <c r="BA8" s="139" t="n">
        <f aca="false">BA7*Hipótesis!$D$13</f>
        <v>2880</v>
      </c>
      <c r="BB8" s="139" t="n">
        <f aca="false">BB7*Hipótesis!$D$13</f>
        <v>2880</v>
      </c>
      <c r="BC8" s="139" t="n">
        <f aca="false">BC7*Hipótesis!$D$13</f>
        <v>2880</v>
      </c>
      <c r="BD8" s="139" t="n">
        <f aca="false">BD7*Hipótesis!$D$13</f>
        <v>2880</v>
      </c>
      <c r="BE8" s="139" t="n">
        <f aca="false">BE7*Hipótesis!$D$13</f>
        <v>2880</v>
      </c>
      <c r="BF8" s="139" t="n">
        <f aca="false">BF7*Hipótesis!$D$13</f>
        <v>2880</v>
      </c>
      <c r="BG8" s="139" t="n">
        <f aca="false">BG7*Hipótesis!$D$13</f>
        <v>2880</v>
      </c>
      <c r="BH8" s="139" t="n">
        <f aca="false">BH7*Hipótesis!$D$13</f>
        <v>2880</v>
      </c>
      <c r="BI8" s="139" t="n">
        <f aca="false">BI7*Hipótesis!$D$13</f>
        <v>2880</v>
      </c>
      <c r="BJ8" s="139" t="n">
        <f aca="false">BJ7*Hipótesis!$D$13</f>
        <v>2880</v>
      </c>
      <c r="BK8" s="139" t="n">
        <f aca="false">BK7*Hipótesis!$D$13</f>
        <v>2880</v>
      </c>
      <c r="BL8" s="139" t="n">
        <f aca="false">BL7*Hipótesis!$D$13</f>
        <v>2880</v>
      </c>
      <c r="BM8" s="139" t="n">
        <f aca="false">BM7*Hipótesis!$D$13</f>
        <v>2880</v>
      </c>
      <c r="BN8" s="139" t="n">
        <f aca="false">BN7*Hipótesis!$D$13</f>
        <v>2880</v>
      </c>
      <c r="BO8" s="139" t="n">
        <f aca="false">BO7*Hipótesis!$D$13</f>
        <v>2880</v>
      </c>
      <c r="BP8" s="139" t="n">
        <f aca="false">BP7*Hipótesis!$D$13</f>
        <v>2880</v>
      </c>
      <c r="BQ8" s="139" t="n">
        <f aca="false">BQ7*Hipótesis!$D$13</f>
        <v>2880</v>
      </c>
      <c r="BR8" s="139" t="n">
        <f aca="false">BR7*Hipótesis!$D$13</f>
        <v>2880</v>
      </c>
      <c r="BS8" s="139" t="n">
        <f aca="false">BS7*Hipótesis!$D$13</f>
        <v>2880</v>
      </c>
      <c r="BT8" s="139" t="n">
        <f aca="false">BT7*Hipótesis!$D$13</f>
        <v>2880</v>
      </c>
      <c r="BU8" s="139" t="n">
        <f aca="false">BU7*Hipótesis!$D$13</f>
        <v>2880</v>
      </c>
      <c r="BV8" s="139" t="n">
        <f aca="false">BV7*Hipótesis!$D$13</f>
        <v>2880</v>
      </c>
      <c r="BW8" s="139" t="n">
        <f aca="false">BW7*Hipótesis!$D$13</f>
        <v>2880</v>
      </c>
      <c r="BX8" s="139" t="n">
        <f aca="false">BX7*Hipótesis!$D$13</f>
        <v>2880</v>
      </c>
      <c r="BY8" s="139" t="n">
        <f aca="false">BY7*Hipótesis!$D$13</f>
        <v>2880</v>
      </c>
      <c r="BZ8" s="139" t="n">
        <f aca="false">BZ7*Hipótesis!$D$13</f>
        <v>2880</v>
      </c>
      <c r="CA8" s="139" t="n">
        <f aca="false">CA7*Hipótesis!$D$13</f>
        <v>2880</v>
      </c>
      <c r="CB8" s="139" t="n">
        <f aca="false">CB7*Hipótesis!$D$13</f>
        <v>2880</v>
      </c>
      <c r="CC8" s="139" t="n">
        <f aca="false">CC7*Hipótesis!$D$13</f>
        <v>2880</v>
      </c>
      <c r="CD8" s="139" t="n">
        <f aca="false">CD7*Hipótesis!$D$13</f>
        <v>2880</v>
      </c>
      <c r="CE8" s="139" t="n">
        <f aca="false">CE7*Hipótesis!$D$13</f>
        <v>2880</v>
      </c>
      <c r="CF8" s="139" t="n">
        <f aca="false">CF7*Hipótesis!$D$13</f>
        <v>2880</v>
      </c>
      <c r="CG8" s="139" t="n">
        <f aca="false">CG7*Hipótesis!$D$13</f>
        <v>2880</v>
      </c>
      <c r="CH8" s="139" t="n">
        <f aca="false">CH7*Hipótesis!$D$13</f>
        <v>2880</v>
      </c>
    </row>
    <row r="9" customFormat="false" ht="13.5" hidden="false" customHeight="true" outlineLevel="0" collapsed="false">
      <c r="A9" s="13" t="s">
        <v>692</v>
      </c>
      <c r="C9" s="138" t="n">
        <f aca="false">Pipeline!$Q$16*Pipeline!$D$16*MIN(1,MAX(0,(1-Pipeline!$E$16+1)/MAX(Pipeline!$F$16,1)))</f>
        <v>1033.125</v>
      </c>
      <c r="D9" s="138" t="n">
        <f aca="false">Pipeline!$Q$16*Pipeline!$D$16*MIN(1,MAX(0,(2-Pipeline!$E$16+1)/MAX(Pipeline!$F$16,1)))</f>
        <v>2066.25</v>
      </c>
      <c r="E9" s="138" t="n">
        <f aca="false">Pipeline!$Q$16*Pipeline!$D$16*MIN(1,MAX(0,(3-Pipeline!$E$16+1)/MAX(Pipeline!$F$16,1)))</f>
        <v>3099.375</v>
      </c>
      <c r="F9" s="138" t="n">
        <f aca="false">Pipeline!$Q$16*Pipeline!$D$16*MIN(1,MAX(0,(4-Pipeline!$E$16+1)/MAX(Pipeline!$F$16,1)))</f>
        <v>3099.375</v>
      </c>
      <c r="G9" s="138" t="n">
        <f aca="false">Pipeline!$Q$16*Pipeline!$D$16*MIN(1,MAX(0,(5-Pipeline!$E$16+1)/MAX(Pipeline!$F$16,1)))</f>
        <v>3099.375</v>
      </c>
      <c r="H9" s="138" t="n">
        <f aca="false">Pipeline!$Q$16*Pipeline!$D$16*MIN(1,MAX(0,(6-Pipeline!$E$16+1)/MAX(Pipeline!$F$16,1)))</f>
        <v>3099.375</v>
      </c>
      <c r="I9" s="138" t="n">
        <f aca="false">Pipeline!$Q$16*Pipeline!$D$16*MIN(1,MAX(0,(7-Pipeline!$E$16+1)/MAX(Pipeline!$F$16,1)))</f>
        <v>3099.375</v>
      </c>
      <c r="J9" s="138" t="n">
        <f aca="false">Pipeline!$Q$16*Pipeline!$D$16*MIN(1,MAX(0,(8-Pipeline!$E$16+1)/MAX(Pipeline!$F$16,1)))</f>
        <v>3099.375</v>
      </c>
      <c r="K9" s="138" t="n">
        <f aca="false">Pipeline!$Q$16*Pipeline!$D$16*MIN(1,MAX(0,(9-Pipeline!$E$16+1)/MAX(Pipeline!$F$16,1)))</f>
        <v>3099.375</v>
      </c>
      <c r="L9" s="138" t="n">
        <f aca="false">Pipeline!$Q$16*Pipeline!$D$16*MIN(1,MAX(0,(10-Pipeline!$E$16+1)/MAX(Pipeline!$F$16,1)))</f>
        <v>3099.375</v>
      </c>
      <c r="M9" s="138" t="n">
        <f aca="false">Pipeline!$Q$16*Pipeline!$D$16*MIN(1,MAX(0,(11-Pipeline!$E$16+1)/MAX(Pipeline!$F$16,1)))</f>
        <v>3099.375</v>
      </c>
      <c r="N9" s="138" t="n">
        <f aca="false">Pipeline!$Q$16*Pipeline!$D$16*MIN(1,MAX(0,(12-Pipeline!$E$16+1)/MAX(Pipeline!$F$16,1)))</f>
        <v>3099.375</v>
      </c>
      <c r="O9" s="138" t="n">
        <f aca="false">Pipeline!$Q$16*Pipeline!$D$16*MIN(1,MAX(0,(13-Pipeline!$E$16+1)/MAX(Pipeline!$F$16,1)))</f>
        <v>3099.375</v>
      </c>
      <c r="P9" s="138" t="n">
        <f aca="false">Pipeline!$Q$16*Pipeline!$D$16*MIN(1,MAX(0,(14-Pipeline!$E$16+1)/MAX(Pipeline!$F$16,1)))</f>
        <v>3099.375</v>
      </c>
      <c r="Q9" s="138" t="n">
        <f aca="false">Pipeline!$Q$16*Pipeline!$D$16*MIN(1,MAX(0,(15-Pipeline!$E$16+1)/MAX(Pipeline!$F$16,1)))</f>
        <v>3099.375</v>
      </c>
      <c r="R9" s="138" t="n">
        <f aca="false">Pipeline!$Q$16*Pipeline!$D$16*MIN(1,MAX(0,(16-Pipeline!$E$16+1)/MAX(Pipeline!$F$16,1)))</f>
        <v>3099.375</v>
      </c>
      <c r="S9" s="138" t="n">
        <f aca="false">Pipeline!$Q$16*Pipeline!$D$16*MIN(1,MAX(0,(17-Pipeline!$E$16+1)/MAX(Pipeline!$F$16,1)))</f>
        <v>3099.375</v>
      </c>
      <c r="T9" s="138" t="n">
        <f aca="false">Pipeline!$Q$16*Pipeline!$D$16*MIN(1,MAX(0,(18-Pipeline!$E$16+1)/MAX(Pipeline!$F$16,1)))</f>
        <v>3099.375</v>
      </c>
      <c r="U9" s="138" t="n">
        <f aca="false">Pipeline!$Q$16*Pipeline!$D$16*MIN(1,MAX(0,(19-Pipeline!$E$16+1)/MAX(Pipeline!$F$16,1)))</f>
        <v>3099.375</v>
      </c>
      <c r="V9" s="138" t="n">
        <f aca="false">Pipeline!$Q$16*Pipeline!$D$16*MIN(1,MAX(0,(20-Pipeline!$E$16+1)/MAX(Pipeline!$F$16,1)))</f>
        <v>3099.375</v>
      </c>
      <c r="W9" s="138" t="n">
        <f aca="false">Pipeline!$Q$16*Pipeline!$D$16*MIN(1,MAX(0,(21-Pipeline!$E$16+1)/MAX(Pipeline!$F$16,1)))</f>
        <v>3099.375</v>
      </c>
      <c r="X9" s="138" t="n">
        <f aca="false">Pipeline!$Q$16*Pipeline!$D$16*MIN(1,MAX(0,(22-Pipeline!$E$16+1)/MAX(Pipeline!$F$16,1)))</f>
        <v>3099.375</v>
      </c>
      <c r="Y9" s="138" t="n">
        <f aca="false">Pipeline!$Q$16*Pipeline!$D$16*MIN(1,MAX(0,(23-Pipeline!$E$16+1)/MAX(Pipeline!$F$16,1)))</f>
        <v>3099.375</v>
      </c>
      <c r="Z9" s="138" t="n">
        <f aca="false">Pipeline!$Q$16*Pipeline!$D$16*MIN(1,MAX(0,(24-Pipeline!$E$16+1)/MAX(Pipeline!$F$16,1)))</f>
        <v>3099.375</v>
      </c>
      <c r="AA9" s="138" t="n">
        <f aca="false">Pipeline!$Q$16*Pipeline!$D$16*MIN(1,MAX(0,(25-Pipeline!$E$16+1)/MAX(Pipeline!$F$16,1)))</f>
        <v>3099.375</v>
      </c>
      <c r="AB9" s="138" t="n">
        <f aca="false">Pipeline!$Q$16*Pipeline!$D$16*MIN(1,MAX(0,(26-Pipeline!$E$16+1)/MAX(Pipeline!$F$16,1)))</f>
        <v>3099.375</v>
      </c>
      <c r="AC9" s="138" t="n">
        <f aca="false">Pipeline!$Q$16*Pipeline!$D$16*MIN(1,MAX(0,(27-Pipeline!$E$16+1)/MAX(Pipeline!$F$16,1)))</f>
        <v>3099.375</v>
      </c>
      <c r="AD9" s="138" t="n">
        <f aca="false">Pipeline!$Q$16*Pipeline!$D$16*MIN(1,MAX(0,(28-Pipeline!$E$16+1)/MAX(Pipeline!$F$16,1)))</f>
        <v>3099.375</v>
      </c>
      <c r="AE9" s="138" t="n">
        <f aca="false">Pipeline!$Q$16*Pipeline!$D$16*MIN(1,MAX(0,(29-Pipeline!$E$16+1)/MAX(Pipeline!$F$16,1)))</f>
        <v>3099.375</v>
      </c>
      <c r="AF9" s="138" t="n">
        <f aca="false">Pipeline!$Q$16*Pipeline!$D$16*MIN(1,MAX(0,(30-Pipeline!$E$16+1)/MAX(Pipeline!$F$16,1)))</f>
        <v>3099.375</v>
      </c>
      <c r="AG9" s="138" t="n">
        <f aca="false">Pipeline!$Q$16*Pipeline!$D$16*MIN(1,MAX(0,(31-Pipeline!$E$16+1)/MAX(Pipeline!$F$16,1)))</f>
        <v>3099.375</v>
      </c>
      <c r="AH9" s="138" t="n">
        <f aca="false">Pipeline!$Q$16*Pipeline!$D$16*MIN(1,MAX(0,(32-Pipeline!$E$16+1)/MAX(Pipeline!$F$16,1)))</f>
        <v>3099.375</v>
      </c>
      <c r="AI9" s="138" t="n">
        <f aca="false">Pipeline!$Q$16*Pipeline!$D$16*MIN(1,MAX(0,(33-Pipeline!$E$16+1)/MAX(Pipeline!$F$16,1)))</f>
        <v>3099.375</v>
      </c>
      <c r="AJ9" s="138" t="n">
        <f aca="false">Pipeline!$Q$16*Pipeline!$D$16*MIN(1,MAX(0,(34-Pipeline!$E$16+1)/MAX(Pipeline!$F$16,1)))</f>
        <v>3099.375</v>
      </c>
      <c r="AK9" s="138" t="n">
        <f aca="false">Pipeline!$Q$16*Pipeline!$D$16*MIN(1,MAX(0,(35-Pipeline!$E$16+1)/MAX(Pipeline!$F$16,1)))</f>
        <v>3099.375</v>
      </c>
      <c r="AL9" s="138" t="n">
        <f aca="false">Pipeline!$Q$16*Pipeline!$D$16*MIN(1,MAX(0,(36-Pipeline!$E$16+1)/MAX(Pipeline!$F$16,1)))</f>
        <v>3099.375</v>
      </c>
      <c r="AM9" s="138" t="n">
        <f aca="false">Pipeline!$Q$16*Pipeline!$D$16*MIN(1,MAX(0,(37-Pipeline!$E$16+1)/MAX(Pipeline!$F$16,1)))</f>
        <v>3099.375</v>
      </c>
      <c r="AN9" s="138" t="n">
        <f aca="false">Pipeline!$Q$16*Pipeline!$D$16*MIN(1,MAX(0,(38-Pipeline!$E$16+1)/MAX(Pipeline!$F$16,1)))</f>
        <v>3099.375</v>
      </c>
      <c r="AO9" s="138" t="n">
        <f aca="false">Pipeline!$Q$16*Pipeline!$D$16*MIN(1,MAX(0,(39-Pipeline!$E$16+1)/MAX(Pipeline!$F$16,1)))</f>
        <v>3099.375</v>
      </c>
      <c r="AP9" s="138" t="n">
        <f aca="false">Pipeline!$Q$16*Pipeline!$D$16*MIN(1,MAX(0,(40-Pipeline!$E$16+1)/MAX(Pipeline!$F$16,1)))</f>
        <v>3099.375</v>
      </c>
      <c r="AQ9" s="138" t="n">
        <f aca="false">Pipeline!$Q$16*Pipeline!$D$16*MIN(1,MAX(0,(41-Pipeline!$E$16+1)/MAX(Pipeline!$F$16,1)))</f>
        <v>3099.375</v>
      </c>
      <c r="AR9" s="138" t="n">
        <f aca="false">Pipeline!$Q$16*Pipeline!$D$16*MIN(1,MAX(0,(42-Pipeline!$E$16+1)/MAX(Pipeline!$F$16,1)))</f>
        <v>3099.375</v>
      </c>
      <c r="AS9" s="138" t="n">
        <f aca="false">Pipeline!$Q$16*Pipeline!$D$16*MIN(1,MAX(0,(43-Pipeline!$E$16+1)/MAX(Pipeline!$F$16,1)))</f>
        <v>3099.375</v>
      </c>
      <c r="AT9" s="138" t="n">
        <f aca="false">Pipeline!$Q$16*Pipeline!$D$16*MIN(1,MAX(0,(44-Pipeline!$E$16+1)/MAX(Pipeline!$F$16,1)))</f>
        <v>3099.375</v>
      </c>
      <c r="AU9" s="138" t="n">
        <f aca="false">Pipeline!$Q$16*Pipeline!$D$16*MIN(1,MAX(0,(45-Pipeline!$E$16+1)/MAX(Pipeline!$F$16,1)))</f>
        <v>3099.375</v>
      </c>
      <c r="AV9" s="138" t="n">
        <f aca="false">Pipeline!$Q$16*Pipeline!$D$16*MIN(1,MAX(0,(46-Pipeline!$E$16+1)/MAX(Pipeline!$F$16,1)))</f>
        <v>3099.375</v>
      </c>
      <c r="AW9" s="138" t="n">
        <f aca="false">Pipeline!$Q$16*Pipeline!$D$16*MIN(1,MAX(0,(47-Pipeline!$E$16+1)/MAX(Pipeline!$F$16,1)))</f>
        <v>3099.375</v>
      </c>
      <c r="AX9" s="138" t="n">
        <f aca="false">Pipeline!$Q$16*Pipeline!$D$16*MIN(1,MAX(0,(48-Pipeline!$E$16+1)/MAX(Pipeline!$F$16,1)))</f>
        <v>3099.375</v>
      </c>
      <c r="AY9" s="138" t="n">
        <f aca="false">Pipeline!$Q$16*Pipeline!$D$16*MIN(1,MAX(0,(49-Pipeline!$E$16+1)/MAX(Pipeline!$F$16,1)))</f>
        <v>3099.375</v>
      </c>
      <c r="AZ9" s="138" t="n">
        <f aca="false">Pipeline!$Q$16*Pipeline!$D$16*MIN(1,MAX(0,(50-Pipeline!$E$16+1)/MAX(Pipeline!$F$16,1)))</f>
        <v>3099.375</v>
      </c>
      <c r="BA9" s="138" t="n">
        <f aca="false">Pipeline!$Q$16*Pipeline!$D$16*MIN(1,MAX(0,(51-Pipeline!$E$16+1)/MAX(Pipeline!$F$16,1)))</f>
        <v>3099.375</v>
      </c>
      <c r="BB9" s="138" t="n">
        <f aca="false">Pipeline!$Q$16*Pipeline!$D$16*MIN(1,MAX(0,(52-Pipeline!$E$16+1)/MAX(Pipeline!$F$16,1)))</f>
        <v>3099.375</v>
      </c>
      <c r="BC9" s="138" t="n">
        <f aca="false">Pipeline!$Q$16*Pipeline!$D$16*MIN(1,MAX(0,(53-Pipeline!$E$16+1)/MAX(Pipeline!$F$16,1)))</f>
        <v>3099.375</v>
      </c>
      <c r="BD9" s="138" t="n">
        <f aca="false">Pipeline!$Q$16*Pipeline!$D$16*MIN(1,MAX(0,(54-Pipeline!$E$16+1)/MAX(Pipeline!$F$16,1)))</f>
        <v>3099.375</v>
      </c>
      <c r="BE9" s="138" t="n">
        <f aca="false">Pipeline!$Q$16*Pipeline!$D$16*MIN(1,MAX(0,(55-Pipeline!$E$16+1)/MAX(Pipeline!$F$16,1)))</f>
        <v>3099.375</v>
      </c>
      <c r="BF9" s="138" t="n">
        <f aca="false">Pipeline!$Q$16*Pipeline!$D$16*MIN(1,MAX(0,(56-Pipeline!$E$16+1)/MAX(Pipeline!$F$16,1)))</f>
        <v>3099.375</v>
      </c>
      <c r="BG9" s="138" t="n">
        <f aca="false">Pipeline!$Q$16*Pipeline!$D$16*MIN(1,MAX(0,(57-Pipeline!$E$16+1)/MAX(Pipeline!$F$16,1)))</f>
        <v>3099.375</v>
      </c>
      <c r="BH9" s="138" t="n">
        <f aca="false">Pipeline!$Q$16*Pipeline!$D$16*MIN(1,MAX(0,(58-Pipeline!$E$16+1)/MAX(Pipeline!$F$16,1)))</f>
        <v>3099.375</v>
      </c>
      <c r="BI9" s="138" t="n">
        <f aca="false">Pipeline!$Q$16*Pipeline!$D$16*MIN(1,MAX(0,(59-Pipeline!$E$16+1)/MAX(Pipeline!$F$16,1)))</f>
        <v>3099.375</v>
      </c>
      <c r="BJ9" s="138" t="n">
        <f aca="false">Pipeline!$Q$16*Pipeline!$D$16*MIN(1,MAX(0,(60-Pipeline!$E$16+1)/MAX(Pipeline!$F$16,1)))</f>
        <v>3099.375</v>
      </c>
      <c r="BK9" s="138" t="n">
        <f aca="false">Pipeline!$Q$16*Pipeline!$D$16*MIN(1,MAX(0,(61-Pipeline!$E$16+1)/MAX(Pipeline!$F$16,1)))</f>
        <v>3099.375</v>
      </c>
      <c r="BL9" s="138" t="n">
        <f aca="false">Pipeline!$Q$16*Pipeline!$D$16*MIN(1,MAX(0,(62-Pipeline!$E$16+1)/MAX(Pipeline!$F$16,1)))</f>
        <v>3099.375</v>
      </c>
      <c r="BM9" s="138" t="n">
        <f aca="false">Pipeline!$Q$16*Pipeline!$D$16*MIN(1,MAX(0,(63-Pipeline!$E$16+1)/MAX(Pipeline!$F$16,1)))</f>
        <v>3099.375</v>
      </c>
      <c r="BN9" s="138" t="n">
        <f aca="false">Pipeline!$Q$16*Pipeline!$D$16*MIN(1,MAX(0,(64-Pipeline!$E$16+1)/MAX(Pipeline!$F$16,1)))</f>
        <v>3099.375</v>
      </c>
      <c r="BO9" s="138" t="n">
        <f aca="false">Pipeline!$Q$16*Pipeline!$D$16*MIN(1,MAX(0,(65-Pipeline!$E$16+1)/MAX(Pipeline!$F$16,1)))</f>
        <v>3099.375</v>
      </c>
      <c r="BP9" s="138" t="n">
        <f aca="false">Pipeline!$Q$16*Pipeline!$D$16*MIN(1,MAX(0,(66-Pipeline!$E$16+1)/MAX(Pipeline!$F$16,1)))</f>
        <v>3099.375</v>
      </c>
      <c r="BQ9" s="138" t="n">
        <f aca="false">Pipeline!$Q$16*Pipeline!$D$16*MIN(1,MAX(0,(67-Pipeline!$E$16+1)/MAX(Pipeline!$F$16,1)))</f>
        <v>3099.375</v>
      </c>
      <c r="BR9" s="138" t="n">
        <f aca="false">Pipeline!$Q$16*Pipeline!$D$16*MIN(1,MAX(0,(68-Pipeline!$E$16+1)/MAX(Pipeline!$F$16,1)))</f>
        <v>3099.375</v>
      </c>
      <c r="BS9" s="138" t="n">
        <f aca="false">Pipeline!$Q$16*Pipeline!$D$16*MIN(1,MAX(0,(69-Pipeline!$E$16+1)/MAX(Pipeline!$F$16,1)))</f>
        <v>3099.375</v>
      </c>
      <c r="BT9" s="138" t="n">
        <f aca="false">Pipeline!$Q$16*Pipeline!$D$16*MIN(1,MAX(0,(70-Pipeline!$E$16+1)/MAX(Pipeline!$F$16,1)))</f>
        <v>3099.375</v>
      </c>
      <c r="BU9" s="138" t="n">
        <f aca="false">Pipeline!$Q$16*Pipeline!$D$16*MIN(1,MAX(0,(71-Pipeline!$E$16+1)/MAX(Pipeline!$F$16,1)))</f>
        <v>3099.375</v>
      </c>
      <c r="BV9" s="138" t="n">
        <f aca="false">Pipeline!$Q$16*Pipeline!$D$16*MIN(1,MAX(0,(72-Pipeline!$E$16+1)/MAX(Pipeline!$F$16,1)))</f>
        <v>3099.375</v>
      </c>
      <c r="BW9" s="138" t="n">
        <f aca="false">Pipeline!$Q$16*Pipeline!$D$16*MIN(1,MAX(0,(73-Pipeline!$E$16+1)/MAX(Pipeline!$F$16,1)))</f>
        <v>3099.375</v>
      </c>
      <c r="BX9" s="138" t="n">
        <f aca="false">Pipeline!$Q$16*Pipeline!$D$16*MIN(1,MAX(0,(74-Pipeline!$E$16+1)/MAX(Pipeline!$F$16,1)))</f>
        <v>3099.375</v>
      </c>
      <c r="BY9" s="138" t="n">
        <f aca="false">Pipeline!$Q$16*Pipeline!$D$16*MIN(1,MAX(0,(75-Pipeline!$E$16+1)/MAX(Pipeline!$F$16,1)))</f>
        <v>3099.375</v>
      </c>
      <c r="BZ9" s="138" t="n">
        <f aca="false">Pipeline!$Q$16*Pipeline!$D$16*MIN(1,MAX(0,(76-Pipeline!$E$16+1)/MAX(Pipeline!$F$16,1)))</f>
        <v>3099.375</v>
      </c>
      <c r="CA9" s="138" t="n">
        <f aca="false">Pipeline!$Q$16*Pipeline!$D$16*MIN(1,MAX(0,(77-Pipeline!$E$16+1)/MAX(Pipeline!$F$16,1)))</f>
        <v>3099.375</v>
      </c>
      <c r="CB9" s="138" t="n">
        <f aca="false">Pipeline!$Q$16*Pipeline!$D$16*MIN(1,MAX(0,(78-Pipeline!$E$16+1)/MAX(Pipeline!$F$16,1)))</f>
        <v>3099.375</v>
      </c>
      <c r="CC9" s="138" t="n">
        <f aca="false">Pipeline!$Q$16*Pipeline!$D$16*MIN(1,MAX(0,(79-Pipeline!$E$16+1)/MAX(Pipeline!$F$16,1)))</f>
        <v>3099.375</v>
      </c>
      <c r="CD9" s="138" t="n">
        <f aca="false">Pipeline!$Q$16*Pipeline!$D$16*MIN(1,MAX(0,(80-Pipeline!$E$16+1)/MAX(Pipeline!$F$16,1)))</f>
        <v>3099.375</v>
      </c>
      <c r="CE9" s="138" t="n">
        <f aca="false">Pipeline!$Q$16*Pipeline!$D$16*MIN(1,MAX(0,(81-Pipeline!$E$16+1)/MAX(Pipeline!$F$16,1)))</f>
        <v>3099.375</v>
      </c>
      <c r="CF9" s="138" t="n">
        <f aca="false">Pipeline!$Q$16*Pipeline!$D$16*MIN(1,MAX(0,(82-Pipeline!$E$16+1)/MAX(Pipeline!$F$16,1)))</f>
        <v>3099.375</v>
      </c>
      <c r="CG9" s="138" t="n">
        <f aca="false">Pipeline!$Q$16*Pipeline!$D$16*MIN(1,MAX(0,(83-Pipeline!$E$16+1)/MAX(Pipeline!$F$16,1)))</f>
        <v>3099.375</v>
      </c>
      <c r="CH9" s="138" t="n">
        <f aca="false">Pipeline!$Q$16*Pipeline!$D$16*MIN(1,MAX(0,(84-Pipeline!$E$16+1)/MAX(Pipeline!$F$16,1)))</f>
        <v>3099.375</v>
      </c>
    </row>
    <row r="10" customFormat="false" ht="13.5" hidden="false" customHeight="true" outlineLevel="0" collapsed="false">
      <c r="A10" s="13" t="s">
        <v>693</v>
      </c>
      <c r="C10" s="138" t="n">
        <f aca="false">Pipeline!$Q$17*Pipeline!$D$17*MIN(1,MAX(0,(1-Pipeline!$E$17+1)/MAX(Pipeline!$F$17,1)))</f>
        <v>0</v>
      </c>
      <c r="D10" s="138" t="n">
        <f aca="false">Pipeline!$Q$17*Pipeline!$D$17*MIN(1,MAX(0,(2-Pipeline!$E$17+1)/MAX(Pipeline!$F$17,1)))</f>
        <v>78.3</v>
      </c>
      <c r="E10" s="138" t="n">
        <f aca="false">Pipeline!$Q$17*Pipeline!$D$17*MIN(1,MAX(0,(3-Pipeline!$E$17+1)/MAX(Pipeline!$F$17,1)))</f>
        <v>156.6</v>
      </c>
      <c r="F10" s="138" t="n">
        <f aca="false">Pipeline!$Q$17*Pipeline!$D$17*MIN(1,MAX(0,(4-Pipeline!$E$17+1)/MAX(Pipeline!$F$17,1)))</f>
        <v>234.9</v>
      </c>
      <c r="G10" s="138" t="n">
        <f aca="false">Pipeline!$Q$17*Pipeline!$D$17*MIN(1,MAX(0,(5-Pipeline!$E$17+1)/MAX(Pipeline!$F$17,1)))</f>
        <v>234.9</v>
      </c>
      <c r="H10" s="138" t="n">
        <f aca="false">Pipeline!$Q$17*Pipeline!$D$17*MIN(1,MAX(0,(6-Pipeline!$E$17+1)/MAX(Pipeline!$F$17,1)))</f>
        <v>234.9</v>
      </c>
      <c r="I10" s="138" t="n">
        <f aca="false">Pipeline!$Q$17*Pipeline!$D$17*MIN(1,MAX(0,(7-Pipeline!$E$17+1)/MAX(Pipeline!$F$17,1)))</f>
        <v>234.9</v>
      </c>
      <c r="J10" s="138" t="n">
        <f aca="false">Pipeline!$Q$17*Pipeline!$D$17*MIN(1,MAX(0,(8-Pipeline!$E$17+1)/MAX(Pipeline!$F$17,1)))</f>
        <v>234.9</v>
      </c>
      <c r="K10" s="138" t="n">
        <f aca="false">Pipeline!$Q$17*Pipeline!$D$17*MIN(1,MAX(0,(9-Pipeline!$E$17+1)/MAX(Pipeline!$F$17,1)))</f>
        <v>234.9</v>
      </c>
      <c r="L10" s="138" t="n">
        <f aca="false">Pipeline!$Q$17*Pipeline!$D$17*MIN(1,MAX(0,(10-Pipeline!$E$17+1)/MAX(Pipeline!$F$17,1)))</f>
        <v>234.9</v>
      </c>
      <c r="M10" s="138" t="n">
        <f aca="false">Pipeline!$Q$17*Pipeline!$D$17*MIN(1,MAX(0,(11-Pipeline!$E$17+1)/MAX(Pipeline!$F$17,1)))</f>
        <v>234.9</v>
      </c>
      <c r="N10" s="138" t="n">
        <f aca="false">Pipeline!$Q$17*Pipeline!$D$17*MIN(1,MAX(0,(12-Pipeline!$E$17+1)/MAX(Pipeline!$F$17,1)))</f>
        <v>234.9</v>
      </c>
      <c r="O10" s="138" t="n">
        <f aca="false">Pipeline!$Q$17*Pipeline!$D$17*MIN(1,MAX(0,(13-Pipeline!$E$17+1)/MAX(Pipeline!$F$17,1)))</f>
        <v>234.9</v>
      </c>
      <c r="P10" s="138" t="n">
        <f aca="false">Pipeline!$Q$17*Pipeline!$D$17*MIN(1,MAX(0,(14-Pipeline!$E$17+1)/MAX(Pipeline!$F$17,1)))</f>
        <v>234.9</v>
      </c>
      <c r="Q10" s="138" t="n">
        <f aca="false">Pipeline!$Q$17*Pipeline!$D$17*MIN(1,MAX(0,(15-Pipeline!$E$17+1)/MAX(Pipeline!$F$17,1)))</f>
        <v>234.9</v>
      </c>
      <c r="R10" s="138" t="n">
        <f aca="false">Pipeline!$Q$17*Pipeline!$D$17*MIN(1,MAX(0,(16-Pipeline!$E$17+1)/MAX(Pipeline!$F$17,1)))</f>
        <v>234.9</v>
      </c>
      <c r="S10" s="138" t="n">
        <f aca="false">Pipeline!$Q$17*Pipeline!$D$17*MIN(1,MAX(0,(17-Pipeline!$E$17+1)/MAX(Pipeline!$F$17,1)))</f>
        <v>234.9</v>
      </c>
      <c r="T10" s="138" t="n">
        <f aca="false">Pipeline!$Q$17*Pipeline!$D$17*MIN(1,MAX(0,(18-Pipeline!$E$17+1)/MAX(Pipeline!$F$17,1)))</f>
        <v>234.9</v>
      </c>
      <c r="U10" s="138" t="n">
        <f aca="false">Pipeline!$Q$17*Pipeline!$D$17*MIN(1,MAX(0,(19-Pipeline!$E$17+1)/MAX(Pipeline!$F$17,1)))</f>
        <v>234.9</v>
      </c>
      <c r="V10" s="138" t="n">
        <f aca="false">Pipeline!$Q$17*Pipeline!$D$17*MIN(1,MAX(0,(20-Pipeline!$E$17+1)/MAX(Pipeline!$F$17,1)))</f>
        <v>234.9</v>
      </c>
      <c r="W10" s="138" t="n">
        <f aca="false">Pipeline!$Q$17*Pipeline!$D$17*MIN(1,MAX(0,(21-Pipeline!$E$17+1)/MAX(Pipeline!$F$17,1)))</f>
        <v>234.9</v>
      </c>
      <c r="X10" s="138" t="n">
        <f aca="false">Pipeline!$Q$17*Pipeline!$D$17*MIN(1,MAX(0,(22-Pipeline!$E$17+1)/MAX(Pipeline!$F$17,1)))</f>
        <v>234.9</v>
      </c>
      <c r="Y10" s="138" t="n">
        <f aca="false">Pipeline!$Q$17*Pipeline!$D$17*MIN(1,MAX(0,(23-Pipeline!$E$17+1)/MAX(Pipeline!$F$17,1)))</f>
        <v>234.9</v>
      </c>
      <c r="Z10" s="138" t="n">
        <f aca="false">Pipeline!$Q$17*Pipeline!$D$17*MIN(1,MAX(0,(24-Pipeline!$E$17+1)/MAX(Pipeline!$F$17,1)))</f>
        <v>234.9</v>
      </c>
      <c r="AA10" s="138" t="n">
        <f aca="false">Pipeline!$Q$17*Pipeline!$D$17*MIN(1,MAX(0,(25-Pipeline!$E$17+1)/MAX(Pipeline!$F$17,1)))</f>
        <v>234.9</v>
      </c>
      <c r="AB10" s="138" t="n">
        <f aca="false">Pipeline!$Q$17*Pipeline!$D$17*MIN(1,MAX(0,(26-Pipeline!$E$17+1)/MAX(Pipeline!$F$17,1)))</f>
        <v>234.9</v>
      </c>
      <c r="AC10" s="138" t="n">
        <f aca="false">Pipeline!$Q$17*Pipeline!$D$17*MIN(1,MAX(0,(27-Pipeline!$E$17+1)/MAX(Pipeline!$F$17,1)))</f>
        <v>234.9</v>
      </c>
      <c r="AD10" s="138" t="n">
        <f aca="false">Pipeline!$Q$17*Pipeline!$D$17*MIN(1,MAX(0,(28-Pipeline!$E$17+1)/MAX(Pipeline!$F$17,1)))</f>
        <v>234.9</v>
      </c>
      <c r="AE10" s="138" t="n">
        <f aca="false">Pipeline!$Q$17*Pipeline!$D$17*MIN(1,MAX(0,(29-Pipeline!$E$17+1)/MAX(Pipeline!$F$17,1)))</f>
        <v>234.9</v>
      </c>
      <c r="AF10" s="138" t="n">
        <f aca="false">Pipeline!$Q$17*Pipeline!$D$17*MIN(1,MAX(0,(30-Pipeline!$E$17+1)/MAX(Pipeline!$F$17,1)))</f>
        <v>234.9</v>
      </c>
      <c r="AG10" s="138" t="n">
        <f aca="false">Pipeline!$Q$17*Pipeline!$D$17*MIN(1,MAX(0,(31-Pipeline!$E$17+1)/MAX(Pipeline!$F$17,1)))</f>
        <v>234.9</v>
      </c>
      <c r="AH10" s="138" t="n">
        <f aca="false">Pipeline!$Q$17*Pipeline!$D$17*MIN(1,MAX(0,(32-Pipeline!$E$17+1)/MAX(Pipeline!$F$17,1)))</f>
        <v>234.9</v>
      </c>
      <c r="AI10" s="138" t="n">
        <f aca="false">Pipeline!$Q$17*Pipeline!$D$17*MIN(1,MAX(0,(33-Pipeline!$E$17+1)/MAX(Pipeline!$F$17,1)))</f>
        <v>234.9</v>
      </c>
      <c r="AJ10" s="138" t="n">
        <f aca="false">Pipeline!$Q$17*Pipeline!$D$17*MIN(1,MAX(0,(34-Pipeline!$E$17+1)/MAX(Pipeline!$F$17,1)))</f>
        <v>234.9</v>
      </c>
      <c r="AK10" s="138" t="n">
        <f aca="false">Pipeline!$Q$17*Pipeline!$D$17*MIN(1,MAX(0,(35-Pipeline!$E$17+1)/MAX(Pipeline!$F$17,1)))</f>
        <v>234.9</v>
      </c>
      <c r="AL10" s="138" t="n">
        <f aca="false">Pipeline!$Q$17*Pipeline!$D$17*MIN(1,MAX(0,(36-Pipeline!$E$17+1)/MAX(Pipeline!$F$17,1)))</f>
        <v>234.9</v>
      </c>
      <c r="AM10" s="138" t="n">
        <f aca="false">Pipeline!$Q$17*Pipeline!$D$17*MIN(1,MAX(0,(37-Pipeline!$E$17+1)/MAX(Pipeline!$F$17,1)))</f>
        <v>234.9</v>
      </c>
      <c r="AN10" s="138" t="n">
        <f aca="false">Pipeline!$Q$17*Pipeline!$D$17*MIN(1,MAX(0,(38-Pipeline!$E$17+1)/MAX(Pipeline!$F$17,1)))</f>
        <v>234.9</v>
      </c>
      <c r="AO10" s="138" t="n">
        <f aca="false">Pipeline!$Q$17*Pipeline!$D$17*MIN(1,MAX(0,(39-Pipeline!$E$17+1)/MAX(Pipeline!$F$17,1)))</f>
        <v>234.9</v>
      </c>
      <c r="AP10" s="138" t="n">
        <f aca="false">Pipeline!$Q$17*Pipeline!$D$17*MIN(1,MAX(0,(40-Pipeline!$E$17+1)/MAX(Pipeline!$F$17,1)))</f>
        <v>234.9</v>
      </c>
      <c r="AQ10" s="138" t="n">
        <f aca="false">Pipeline!$Q$17*Pipeline!$D$17*MIN(1,MAX(0,(41-Pipeline!$E$17+1)/MAX(Pipeline!$F$17,1)))</f>
        <v>234.9</v>
      </c>
      <c r="AR10" s="138" t="n">
        <f aca="false">Pipeline!$Q$17*Pipeline!$D$17*MIN(1,MAX(0,(42-Pipeline!$E$17+1)/MAX(Pipeline!$F$17,1)))</f>
        <v>234.9</v>
      </c>
      <c r="AS10" s="138" t="n">
        <f aca="false">Pipeline!$Q$17*Pipeline!$D$17*MIN(1,MAX(0,(43-Pipeline!$E$17+1)/MAX(Pipeline!$F$17,1)))</f>
        <v>234.9</v>
      </c>
      <c r="AT10" s="138" t="n">
        <f aca="false">Pipeline!$Q$17*Pipeline!$D$17*MIN(1,MAX(0,(44-Pipeline!$E$17+1)/MAX(Pipeline!$F$17,1)))</f>
        <v>234.9</v>
      </c>
      <c r="AU10" s="138" t="n">
        <f aca="false">Pipeline!$Q$17*Pipeline!$D$17*MIN(1,MAX(0,(45-Pipeline!$E$17+1)/MAX(Pipeline!$F$17,1)))</f>
        <v>234.9</v>
      </c>
      <c r="AV10" s="138" t="n">
        <f aca="false">Pipeline!$Q$17*Pipeline!$D$17*MIN(1,MAX(0,(46-Pipeline!$E$17+1)/MAX(Pipeline!$F$17,1)))</f>
        <v>234.9</v>
      </c>
      <c r="AW10" s="138" t="n">
        <f aca="false">Pipeline!$Q$17*Pipeline!$D$17*MIN(1,MAX(0,(47-Pipeline!$E$17+1)/MAX(Pipeline!$F$17,1)))</f>
        <v>234.9</v>
      </c>
      <c r="AX10" s="138" t="n">
        <f aca="false">Pipeline!$Q$17*Pipeline!$D$17*MIN(1,MAX(0,(48-Pipeline!$E$17+1)/MAX(Pipeline!$F$17,1)))</f>
        <v>234.9</v>
      </c>
      <c r="AY10" s="138" t="n">
        <f aca="false">Pipeline!$Q$17*Pipeline!$D$17*MIN(1,MAX(0,(49-Pipeline!$E$17+1)/MAX(Pipeline!$F$17,1)))</f>
        <v>234.9</v>
      </c>
      <c r="AZ10" s="138" t="n">
        <f aca="false">Pipeline!$Q$17*Pipeline!$D$17*MIN(1,MAX(0,(50-Pipeline!$E$17+1)/MAX(Pipeline!$F$17,1)))</f>
        <v>234.9</v>
      </c>
      <c r="BA10" s="138" t="n">
        <f aca="false">Pipeline!$Q$17*Pipeline!$D$17*MIN(1,MAX(0,(51-Pipeline!$E$17+1)/MAX(Pipeline!$F$17,1)))</f>
        <v>234.9</v>
      </c>
      <c r="BB10" s="138" t="n">
        <f aca="false">Pipeline!$Q$17*Pipeline!$D$17*MIN(1,MAX(0,(52-Pipeline!$E$17+1)/MAX(Pipeline!$F$17,1)))</f>
        <v>234.9</v>
      </c>
      <c r="BC10" s="138" t="n">
        <f aca="false">Pipeline!$Q$17*Pipeline!$D$17*MIN(1,MAX(0,(53-Pipeline!$E$17+1)/MAX(Pipeline!$F$17,1)))</f>
        <v>234.9</v>
      </c>
      <c r="BD10" s="138" t="n">
        <f aca="false">Pipeline!$Q$17*Pipeline!$D$17*MIN(1,MAX(0,(54-Pipeline!$E$17+1)/MAX(Pipeline!$F$17,1)))</f>
        <v>234.9</v>
      </c>
      <c r="BE10" s="138" t="n">
        <f aca="false">Pipeline!$Q$17*Pipeline!$D$17*MIN(1,MAX(0,(55-Pipeline!$E$17+1)/MAX(Pipeline!$F$17,1)))</f>
        <v>234.9</v>
      </c>
      <c r="BF10" s="138" t="n">
        <f aca="false">Pipeline!$Q$17*Pipeline!$D$17*MIN(1,MAX(0,(56-Pipeline!$E$17+1)/MAX(Pipeline!$F$17,1)))</f>
        <v>234.9</v>
      </c>
      <c r="BG10" s="138" t="n">
        <f aca="false">Pipeline!$Q$17*Pipeline!$D$17*MIN(1,MAX(0,(57-Pipeline!$E$17+1)/MAX(Pipeline!$F$17,1)))</f>
        <v>234.9</v>
      </c>
      <c r="BH10" s="138" t="n">
        <f aca="false">Pipeline!$Q$17*Pipeline!$D$17*MIN(1,MAX(0,(58-Pipeline!$E$17+1)/MAX(Pipeline!$F$17,1)))</f>
        <v>234.9</v>
      </c>
      <c r="BI10" s="138" t="n">
        <f aca="false">Pipeline!$Q$17*Pipeline!$D$17*MIN(1,MAX(0,(59-Pipeline!$E$17+1)/MAX(Pipeline!$F$17,1)))</f>
        <v>234.9</v>
      </c>
      <c r="BJ10" s="138" t="n">
        <f aca="false">Pipeline!$Q$17*Pipeline!$D$17*MIN(1,MAX(0,(60-Pipeline!$E$17+1)/MAX(Pipeline!$F$17,1)))</f>
        <v>234.9</v>
      </c>
      <c r="BK10" s="138" t="n">
        <f aca="false">Pipeline!$Q$17*Pipeline!$D$17*MIN(1,MAX(0,(61-Pipeline!$E$17+1)/MAX(Pipeline!$F$17,1)))</f>
        <v>234.9</v>
      </c>
      <c r="BL10" s="138" t="n">
        <f aca="false">Pipeline!$Q$17*Pipeline!$D$17*MIN(1,MAX(0,(62-Pipeline!$E$17+1)/MAX(Pipeline!$F$17,1)))</f>
        <v>234.9</v>
      </c>
      <c r="BM10" s="138" t="n">
        <f aca="false">Pipeline!$Q$17*Pipeline!$D$17*MIN(1,MAX(0,(63-Pipeline!$E$17+1)/MAX(Pipeline!$F$17,1)))</f>
        <v>234.9</v>
      </c>
      <c r="BN10" s="138" t="n">
        <f aca="false">Pipeline!$Q$17*Pipeline!$D$17*MIN(1,MAX(0,(64-Pipeline!$E$17+1)/MAX(Pipeline!$F$17,1)))</f>
        <v>234.9</v>
      </c>
      <c r="BO10" s="138" t="n">
        <f aca="false">Pipeline!$Q$17*Pipeline!$D$17*MIN(1,MAX(0,(65-Pipeline!$E$17+1)/MAX(Pipeline!$F$17,1)))</f>
        <v>234.9</v>
      </c>
      <c r="BP10" s="138" t="n">
        <f aca="false">Pipeline!$Q$17*Pipeline!$D$17*MIN(1,MAX(0,(66-Pipeline!$E$17+1)/MAX(Pipeline!$F$17,1)))</f>
        <v>234.9</v>
      </c>
      <c r="BQ10" s="138" t="n">
        <f aca="false">Pipeline!$Q$17*Pipeline!$D$17*MIN(1,MAX(0,(67-Pipeline!$E$17+1)/MAX(Pipeline!$F$17,1)))</f>
        <v>234.9</v>
      </c>
      <c r="BR10" s="138" t="n">
        <f aca="false">Pipeline!$Q$17*Pipeline!$D$17*MIN(1,MAX(0,(68-Pipeline!$E$17+1)/MAX(Pipeline!$F$17,1)))</f>
        <v>234.9</v>
      </c>
      <c r="BS10" s="138" t="n">
        <f aca="false">Pipeline!$Q$17*Pipeline!$D$17*MIN(1,MAX(0,(69-Pipeline!$E$17+1)/MAX(Pipeline!$F$17,1)))</f>
        <v>234.9</v>
      </c>
      <c r="BT10" s="138" t="n">
        <f aca="false">Pipeline!$Q$17*Pipeline!$D$17*MIN(1,MAX(0,(70-Pipeline!$E$17+1)/MAX(Pipeline!$F$17,1)))</f>
        <v>234.9</v>
      </c>
      <c r="BU10" s="138" t="n">
        <f aca="false">Pipeline!$Q$17*Pipeline!$D$17*MIN(1,MAX(0,(71-Pipeline!$E$17+1)/MAX(Pipeline!$F$17,1)))</f>
        <v>234.9</v>
      </c>
      <c r="BV10" s="138" t="n">
        <f aca="false">Pipeline!$Q$17*Pipeline!$D$17*MIN(1,MAX(0,(72-Pipeline!$E$17+1)/MAX(Pipeline!$F$17,1)))</f>
        <v>234.9</v>
      </c>
      <c r="BW10" s="138" t="n">
        <f aca="false">Pipeline!$Q$17*Pipeline!$D$17*MIN(1,MAX(0,(73-Pipeline!$E$17+1)/MAX(Pipeline!$F$17,1)))</f>
        <v>234.9</v>
      </c>
      <c r="BX10" s="138" t="n">
        <f aca="false">Pipeline!$Q$17*Pipeline!$D$17*MIN(1,MAX(0,(74-Pipeline!$E$17+1)/MAX(Pipeline!$F$17,1)))</f>
        <v>234.9</v>
      </c>
      <c r="BY10" s="138" t="n">
        <f aca="false">Pipeline!$Q$17*Pipeline!$D$17*MIN(1,MAX(0,(75-Pipeline!$E$17+1)/MAX(Pipeline!$F$17,1)))</f>
        <v>234.9</v>
      </c>
      <c r="BZ10" s="138" t="n">
        <f aca="false">Pipeline!$Q$17*Pipeline!$D$17*MIN(1,MAX(0,(76-Pipeline!$E$17+1)/MAX(Pipeline!$F$17,1)))</f>
        <v>234.9</v>
      </c>
      <c r="CA10" s="138" t="n">
        <f aca="false">Pipeline!$Q$17*Pipeline!$D$17*MIN(1,MAX(0,(77-Pipeline!$E$17+1)/MAX(Pipeline!$F$17,1)))</f>
        <v>234.9</v>
      </c>
      <c r="CB10" s="138" t="n">
        <f aca="false">Pipeline!$Q$17*Pipeline!$D$17*MIN(1,MAX(0,(78-Pipeline!$E$17+1)/MAX(Pipeline!$F$17,1)))</f>
        <v>234.9</v>
      </c>
      <c r="CC10" s="138" t="n">
        <f aca="false">Pipeline!$Q$17*Pipeline!$D$17*MIN(1,MAX(0,(79-Pipeline!$E$17+1)/MAX(Pipeline!$F$17,1)))</f>
        <v>234.9</v>
      </c>
      <c r="CD10" s="138" t="n">
        <f aca="false">Pipeline!$Q$17*Pipeline!$D$17*MIN(1,MAX(0,(80-Pipeline!$E$17+1)/MAX(Pipeline!$F$17,1)))</f>
        <v>234.9</v>
      </c>
      <c r="CE10" s="138" t="n">
        <f aca="false">Pipeline!$Q$17*Pipeline!$D$17*MIN(1,MAX(0,(81-Pipeline!$E$17+1)/MAX(Pipeline!$F$17,1)))</f>
        <v>234.9</v>
      </c>
      <c r="CF10" s="138" t="n">
        <f aca="false">Pipeline!$Q$17*Pipeline!$D$17*MIN(1,MAX(0,(82-Pipeline!$E$17+1)/MAX(Pipeline!$F$17,1)))</f>
        <v>234.9</v>
      </c>
      <c r="CG10" s="138" t="n">
        <f aca="false">Pipeline!$Q$17*Pipeline!$D$17*MIN(1,MAX(0,(83-Pipeline!$E$17+1)/MAX(Pipeline!$F$17,1)))</f>
        <v>234.9</v>
      </c>
      <c r="CH10" s="138" t="n">
        <f aca="false">Pipeline!$Q$17*Pipeline!$D$17*MIN(1,MAX(0,(84-Pipeline!$E$17+1)/MAX(Pipeline!$F$17,1)))</f>
        <v>234.9</v>
      </c>
    </row>
    <row r="11" customFormat="false" ht="13.5" hidden="false" customHeight="true" outlineLevel="0" collapsed="false">
      <c r="A11" s="13" t="s">
        <v>694</v>
      </c>
      <c r="C11" s="138" t="n">
        <f aca="false">Pipeline!$Q$18*Pipeline!$D$18*MIN(1,MAX(0,(1-Pipeline!$E$18+1)/MAX(Pipeline!$F$18,1)))</f>
        <v>0</v>
      </c>
      <c r="D11" s="138" t="n">
        <f aca="false">Pipeline!$Q$18*Pipeline!$D$18*MIN(1,MAX(0,(2-Pipeline!$E$18+1)/MAX(Pipeline!$F$18,1)))</f>
        <v>0</v>
      </c>
      <c r="E11" s="138" t="n">
        <f aca="false">Pipeline!$Q$18*Pipeline!$D$18*MIN(1,MAX(0,(3-Pipeline!$E$18+1)/MAX(Pipeline!$F$18,1)))</f>
        <v>1201.6875</v>
      </c>
      <c r="F11" s="138" t="n">
        <f aca="false">Pipeline!$Q$18*Pipeline!$D$18*MIN(1,MAX(0,(4-Pipeline!$E$18+1)/MAX(Pipeline!$F$18,1)))</f>
        <v>2403.375</v>
      </c>
      <c r="G11" s="138" t="n">
        <f aca="false">Pipeline!$Q$18*Pipeline!$D$18*MIN(1,MAX(0,(5-Pipeline!$E$18+1)/MAX(Pipeline!$F$18,1)))</f>
        <v>3605.0625</v>
      </c>
      <c r="H11" s="138" t="n">
        <f aca="false">Pipeline!$Q$18*Pipeline!$D$18*MIN(1,MAX(0,(6-Pipeline!$E$18+1)/MAX(Pipeline!$F$18,1)))</f>
        <v>4806.75</v>
      </c>
      <c r="I11" s="138" t="n">
        <f aca="false">Pipeline!$Q$18*Pipeline!$D$18*MIN(1,MAX(0,(7-Pipeline!$E$18+1)/MAX(Pipeline!$F$18,1)))</f>
        <v>6008.4375</v>
      </c>
      <c r="J11" s="138" t="n">
        <f aca="false">Pipeline!$Q$18*Pipeline!$D$18*MIN(1,MAX(0,(8-Pipeline!$E$18+1)/MAX(Pipeline!$F$18,1)))</f>
        <v>7210.125</v>
      </c>
      <c r="K11" s="138" t="n">
        <f aca="false">Pipeline!$Q$18*Pipeline!$D$18*MIN(1,MAX(0,(9-Pipeline!$E$18+1)/MAX(Pipeline!$F$18,1)))</f>
        <v>8411.8125</v>
      </c>
      <c r="L11" s="138" t="n">
        <f aca="false">Pipeline!$Q$18*Pipeline!$D$18*MIN(1,MAX(0,(10-Pipeline!$E$18+1)/MAX(Pipeline!$F$18,1)))</f>
        <v>9613.5</v>
      </c>
      <c r="M11" s="138" t="n">
        <f aca="false">Pipeline!$Q$18*Pipeline!$D$18*MIN(1,MAX(0,(11-Pipeline!$E$18+1)/MAX(Pipeline!$F$18,1)))</f>
        <v>9613.5</v>
      </c>
      <c r="N11" s="138" t="n">
        <f aca="false">Pipeline!$Q$18*Pipeline!$D$18*MIN(1,MAX(0,(12-Pipeline!$E$18+1)/MAX(Pipeline!$F$18,1)))</f>
        <v>9613.5</v>
      </c>
      <c r="O11" s="138" t="n">
        <f aca="false">Pipeline!$Q$18*Pipeline!$D$18*MIN(1,MAX(0,(13-Pipeline!$E$18+1)/MAX(Pipeline!$F$18,1)))</f>
        <v>9613.5</v>
      </c>
      <c r="P11" s="138" t="n">
        <f aca="false">Pipeline!$Q$18*Pipeline!$D$18*MIN(1,MAX(0,(14-Pipeline!$E$18+1)/MAX(Pipeline!$F$18,1)))</f>
        <v>9613.5</v>
      </c>
      <c r="Q11" s="138" t="n">
        <f aca="false">Pipeline!$Q$18*Pipeline!$D$18*MIN(1,MAX(0,(15-Pipeline!$E$18+1)/MAX(Pipeline!$F$18,1)))</f>
        <v>9613.5</v>
      </c>
      <c r="R11" s="138" t="n">
        <f aca="false">Pipeline!$Q$18*Pipeline!$D$18*MIN(1,MAX(0,(16-Pipeline!$E$18+1)/MAX(Pipeline!$F$18,1)))</f>
        <v>9613.5</v>
      </c>
      <c r="S11" s="138" t="n">
        <f aca="false">Pipeline!$Q$18*Pipeline!$D$18*MIN(1,MAX(0,(17-Pipeline!$E$18+1)/MAX(Pipeline!$F$18,1)))</f>
        <v>9613.5</v>
      </c>
      <c r="T11" s="138" t="n">
        <f aca="false">Pipeline!$Q$18*Pipeline!$D$18*MIN(1,MAX(0,(18-Pipeline!$E$18+1)/MAX(Pipeline!$F$18,1)))</f>
        <v>9613.5</v>
      </c>
      <c r="U11" s="138" t="n">
        <f aca="false">Pipeline!$Q$18*Pipeline!$D$18*MIN(1,MAX(0,(19-Pipeline!$E$18+1)/MAX(Pipeline!$F$18,1)))</f>
        <v>9613.5</v>
      </c>
      <c r="V11" s="138" t="n">
        <f aca="false">Pipeline!$Q$18*Pipeline!$D$18*MIN(1,MAX(0,(20-Pipeline!$E$18+1)/MAX(Pipeline!$F$18,1)))</f>
        <v>9613.5</v>
      </c>
      <c r="W11" s="138" t="n">
        <f aca="false">Pipeline!$Q$18*Pipeline!$D$18*MIN(1,MAX(0,(21-Pipeline!$E$18+1)/MAX(Pipeline!$F$18,1)))</f>
        <v>9613.5</v>
      </c>
      <c r="X11" s="138" t="n">
        <f aca="false">Pipeline!$Q$18*Pipeline!$D$18*MIN(1,MAX(0,(22-Pipeline!$E$18+1)/MAX(Pipeline!$F$18,1)))</f>
        <v>9613.5</v>
      </c>
      <c r="Y11" s="138" t="n">
        <f aca="false">Pipeline!$Q$18*Pipeline!$D$18*MIN(1,MAX(0,(23-Pipeline!$E$18+1)/MAX(Pipeline!$F$18,1)))</f>
        <v>9613.5</v>
      </c>
      <c r="Z11" s="138" t="n">
        <f aca="false">Pipeline!$Q$18*Pipeline!$D$18*MIN(1,MAX(0,(24-Pipeline!$E$18+1)/MAX(Pipeline!$F$18,1)))</f>
        <v>9613.5</v>
      </c>
      <c r="AA11" s="138" t="n">
        <f aca="false">Pipeline!$Q$18*Pipeline!$D$18*MIN(1,MAX(0,(25-Pipeline!$E$18+1)/MAX(Pipeline!$F$18,1)))</f>
        <v>9613.5</v>
      </c>
      <c r="AB11" s="138" t="n">
        <f aca="false">Pipeline!$Q$18*Pipeline!$D$18*MIN(1,MAX(0,(26-Pipeline!$E$18+1)/MAX(Pipeline!$F$18,1)))</f>
        <v>9613.5</v>
      </c>
      <c r="AC11" s="138" t="n">
        <f aca="false">Pipeline!$Q$18*Pipeline!$D$18*MIN(1,MAX(0,(27-Pipeline!$E$18+1)/MAX(Pipeline!$F$18,1)))</f>
        <v>9613.5</v>
      </c>
      <c r="AD11" s="138" t="n">
        <f aca="false">Pipeline!$Q$18*Pipeline!$D$18*MIN(1,MAX(0,(28-Pipeline!$E$18+1)/MAX(Pipeline!$F$18,1)))</f>
        <v>9613.5</v>
      </c>
      <c r="AE11" s="138" t="n">
        <f aca="false">Pipeline!$Q$18*Pipeline!$D$18*MIN(1,MAX(0,(29-Pipeline!$E$18+1)/MAX(Pipeline!$F$18,1)))</f>
        <v>9613.5</v>
      </c>
      <c r="AF11" s="138" t="n">
        <f aca="false">Pipeline!$Q$18*Pipeline!$D$18*MIN(1,MAX(0,(30-Pipeline!$E$18+1)/MAX(Pipeline!$F$18,1)))</f>
        <v>9613.5</v>
      </c>
      <c r="AG11" s="138" t="n">
        <f aca="false">Pipeline!$Q$18*Pipeline!$D$18*MIN(1,MAX(0,(31-Pipeline!$E$18+1)/MAX(Pipeline!$F$18,1)))</f>
        <v>9613.5</v>
      </c>
      <c r="AH11" s="138" t="n">
        <f aca="false">Pipeline!$Q$18*Pipeline!$D$18*MIN(1,MAX(0,(32-Pipeline!$E$18+1)/MAX(Pipeline!$F$18,1)))</f>
        <v>9613.5</v>
      </c>
      <c r="AI11" s="138" t="n">
        <f aca="false">Pipeline!$Q$18*Pipeline!$D$18*MIN(1,MAX(0,(33-Pipeline!$E$18+1)/MAX(Pipeline!$F$18,1)))</f>
        <v>9613.5</v>
      </c>
      <c r="AJ11" s="138" t="n">
        <f aca="false">Pipeline!$Q$18*Pipeline!$D$18*MIN(1,MAX(0,(34-Pipeline!$E$18+1)/MAX(Pipeline!$F$18,1)))</f>
        <v>9613.5</v>
      </c>
      <c r="AK11" s="138" t="n">
        <f aca="false">Pipeline!$Q$18*Pipeline!$D$18*MIN(1,MAX(0,(35-Pipeline!$E$18+1)/MAX(Pipeline!$F$18,1)))</f>
        <v>9613.5</v>
      </c>
      <c r="AL11" s="138" t="n">
        <f aca="false">Pipeline!$Q$18*Pipeline!$D$18*MIN(1,MAX(0,(36-Pipeline!$E$18+1)/MAX(Pipeline!$F$18,1)))</f>
        <v>9613.5</v>
      </c>
      <c r="AM11" s="138" t="n">
        <f aca="false">Pipeline!$Q$18*Pipeline!$D$18*MIN(1,MAX(0,(37-Pipeline!$E$18+1)/MAX(Pipeline!$F$18,1)))</f>
        <v>9613.5</v>
      </c>
      <c r="AN11" s="138" t="n">
        <f aca="false">Pipeline!$Q$18*Pipeline!$D$18*MIN(1,MAX(0,(38-Pipeline!$E$18+1)/MAX(Pipeline!$F$18,1)))</f>
        <v>9613.5</v>
      </c>
      <c r="AO11" s="138" t="n">
        <f aca="false">Pipeline!$Q$18*Pipeline!$D$18*MIN(1,MAX(0,(39-Pipeline!$E$18+1)/MAX(Pipeline!$F$18,1)))</f>
        <v>9613.5</v>
      </c>
      <c r="AP11" s="138" t="n">
        <f aca="false">Pipeline!$Q$18*Pipeline!$D$18*MIN(1,MAX(0,(40-Pipeline!$E$18+1)/MAX(Pipeline!$F$18,1)))</f>
        <v>9613.5</v>
      </c>
      <c r="AQ11" s="138" t="n">
        <f aca="false">Pipeline!$Q$18*Pipeline!$D$18*MIN(1,MAX(0,(41-Pipeline!$E$18+1)/MAX(Pipeline!$F$18,1)))</f>
        <v>9613.5</v>
      </c>
      <c r="AR11" s="138" t="n">
        <f aca="false">Pipeline!$Q$18*Pipeline!$D$18*MIN(1,MAX(0,(42-Pipeline!$E$18+1)/MAX(Pipeline!$F$18,1)))</f>
        <v>9613.5</v>
      </c>
      <c r="AS11" s="138" t="n">
        <f aca="false">Pipeline!$Q$18*Pipeline!$D$18*MIN(1,MAX(0,(43-Pipeline!$E$18+1)/MAX(Pipeline!$F$18,1)))</f>
        <v>9613.5</v>
      </c>
      <c r="AT11" s="138" t="n">
        <f aca="false">Pipeline!$Q$18*Pipeline!$D$18*MIN(1,MAX(0,(44-Pipeline!$E$18+1)/MAX(Pipeline!$F$18,1)))</f>
        <v>9613.5</v>
      </c>
      <c r="AU11" s="138" t="n">
        <f aca="false">Pipeline!$Q$18*Pipeline!$D$18*MIN(1,MAX(0,(45-Pipeline!$E$18+1)/MAX(Pipeline!$F$18,1)))</f>
        <v>9613.5</v>
      </c>
      <c r="AV11" s="138" t="n">
        <f aca="false">Pipeline!$Q$18*Pipeline!$D$18*MIN(1,MAX(0,(46-Pipeline!$E$18+1)/MAX(Pipeline!$F$18,1)))</f>
        <v>9613.5</v>
      </c>
      <c r="AW11" s="138" t="n">
        <f aca="false">Pipeline!$Q$18*Pipeline!$D$18*MIN(1,MAX(0,(47-Pipeline!$E$18+1)/MAX(Pipeline!$F$18,1)))</f>
        <v>9613.5</v>
      </c>
      <c r="AX11" s="138" t="n">
        <f aca="false">Pipeline!$Q$18*Pipeline!$D$18*MIN(1,MAX(0,(48-Pipeline!$E$18+1)/MAX(Pipeline!$F$18,1)))</f>
        <v>9613.5</v>
      </c>
      <c r="AY11" s="138" t="n">
        <f aca="false">Pipeline!$Q$18*Pipeline!$D$18*MIN(1,MAX(0,(49-Pipeline!$E$18+1)/MAX(Pipeline!$F$18,1)))</f>
        <v>9613.5</v>
      </c>
      <c r="AZ11" s="138" t="n">
        <f aca="false">Pipeline!$Q$18*Pipeline!$D$18*MIN(1,MAX(0,(50-Pipeline!$E$18+1)/MAX(Pipeline!$F$18,1)))</f>
        <v>9613.5</v>
      </c>
      <c r="BA11" s="138" t="n">
        <f aca="false">Pipeline!$Q$18*Pipeline!$D$18*MIN(1,MAX(0,(51-Pipeline!$E$18+1)/MAX(Pipeline!$F$18,1)))</f>
        <v>9613.5</v>
      </c>
      <c r="BB11" s="138" t="n">
        <f aca="false">Pipeline!$Q$18*Pipeline!$D$18*MIN(1,MAX(0,(52-Pipeline!$E$18+1)/MAX(Pipeline!$F$18,1)))</f>
        <v>9613.5</v>
      </c>
      <c r="BC11" s="138" t="n">
        <f aca="false">Pipeline!$Q$18*Pipeline!$D$18*MIN(1,MAX(0,(53-Pipeline!$E$18+1)/MAX(Pipeline!$F$18,1)))</f>
        <v>9613.5</v>
      </c>
      <c r="BD11" s="138" t="n">
        <f aca="false">Pipeline!$Q$18*Pipeline!$D$18*MIN(1,MAX(0,(54-Pipeline!$E$18+1)/MAX(Pipeline!$F$18,1)))</f>
        <v>9613.5</v>
      </c>
      <c r="BE11" s="138" t="n">
        <f aca="false">Pipeline!$Q$18*Pipeline!$D$18*MIN(1,MAX(0,(55-Pipeline!$E$18+1)/MAX(Pipeline!$F$18,1)))</f>
        <v>9613.5</v>
      </c>
      <c r="BF11" s="138" t="n">
        <f aca="false">Pipeline!$Q$18*Pipeline!$D$18*MIN(1,MAX(0,(56-Pipeline!$E$18+1)/MAX(Pipeline!$F$18,1)))</f>
        <v>9613.5</v>
      </c>
      <c r="BG11" s="138" t="n">
        <f aca="false">Pipeline!$Q$18*Pipeline!$D$18*MIN(1,MAX(0,(57-Pipeline!$E$18+1)/MAX(Pipeline!$F$18,1)))</f>
        <v>9613.5</v>
      </c>
      <c r="BH11" s="138" t="n">
        <f aca="false">Pipeline!$Q$18*Pipeline!$D$18*MIN(1,MAX(0,(58-Pipeline!$E$18+1)/MAX(Pipeline!$F$18,1)))</f>
        <v>9613.5</v>
      </c>
      <c r="BI11" s="138" t="n">
        <f aca="false">Pipeline!$Q$18*Pipeline!$D$18*MIN(1,MAX(0,(59-Pipeline!$E$18+1)/MAX(Pipeline!$F$18,1)))</f>
        <v>9613.5</v>
      </c>
      <c r="BJ11" s="138" t="n">
        <f aca="false">Pipeline!$Q$18*Pipeline!$D$18*MIN(1,MAX(0,(60-Pipeline!$E$18+1)/MAX(Pipeline!$F$18,1)))</f>
        <v>9613.5</v>
      </c>
      <c r="BK11" s="138" t="n">
        <f aca="false">Pipeline!$Q$18*Pipeline!$D$18*MIN(1,MAX(0,(61-Pipeline!$E$18+1)/MAX(Pipeline!$F$18,1)))</f>
        <v>9613.5</v>
      </c>
      <c r="BL11" s="138" t="n">
        <f aca="false">Pipeline!$Q$18*Pipeline!$D$18*MIN(1,MAX(0,(62-Pipeline!$E$18+1)/MAX(Pipeline!$F$18,1)))</f>
        <v>9613.5</v>
      </c>
      <c r="BM11" s="138" t="n">
        <f aca="false">Pipeline!$Q$18*Pipeline!$D$18*MIN(1,MAX(0,(63-Pipeline!$E$18+1)/MAX(Pipeline!$F$18,1)))</f>
        <v>9613.5</v>
      </c>
      <c r="BN11" s="138" t="n">
        <f aca="false">Pipeline!$Q$18*Pipeline!$D$18*MIN(1,MAX(0,(64-Pipeline!$E$18+1)/MAX(Pipeline!$F$18,1)))</f>
        <v>9613.5</v>
      </c>
      <c r="BO11" s="138" t="n">
        <f aca="false">Pipeline!$Q$18*Pipeline!$D$18*MIN(1,MAX(0,(65-Pipeline!$E$18+1)/MAX(Pipeline!$F$18,1)))</f>
        <v>9613.5</v>
      </c>
      <c r="BP11" s="138" t="n">
        <f aca="false">Pipeline!$Q$18*Pipeline!$D$18*MIN(1,MAX(0,(66-Pipeline!$E$18+1)/MAX(Pipeline!$F$18,1)))</f>
        <v>9613.5</v>
      </c>
      <c r="BQ11" s="138" t="n">
        <f aca="false">Pipeline!$Q$18*Pipeline!$D$18*MIN(1,MAX(0,(67-Pipeline!$E$18+1)/MAX(Pipeline!$F$18,1)))</f>
        <v>9613.5</v>
      </c>
      <c r="BR11" s="138" t="n">
        <f aca="false">Pipeline!$Q$18*Pipeline!$D$18*MIN(1,MAX(0,(68-Pipeline!$E$18+1)/MAX(Pipeline!$F$18,1)))</f>
        <v>9613.5</v>
      </c>
      <c r="BS11" s="138" t="n">
        <f aca="false">Pipeline!$Q$18*Pipeline!$D$18*MIN(1,MAX(0,(69-Pipeline!$E$18+1)/MAX(Pipeline!$F$18,1)))</f>
        <v>9613.5</v>
      </c>
      <c r="BT11" s="138" t="n">
        <f aca="false">Pipeline!$Q$18*Pipeline!$D$18*MIN(1,MAX(0,(70-Pipeline!$E$18+1)/MAX(Pipeline!$F$18,1)))</f>
        <v>9613.5</v>
      </c>
      <c r="BU11" s="138" t="n">
        <f aca="false">Pipeline!$Q$18*Pipeline!$D$18*MIN(1,MAX(0,(71-Pipeline!$E$18+1)/MAX(Pipeline!$F$18,1)))</f>
        <v>9613.5</v>
      </c>
      <c r="BV11" s="138" t="n">
        <f aca="false">Pipeline!$Q$18*Pipeline!$D$18*MIN(1,MAX(0,(72-Pipeline!$E$18+1)/MAX(Pipeline!$F$18,1)))</f>
        <v>9613.5</v>
      </c>
      <c r="BW11" s="138" t="n">
        <f aca="false">Pipeline!$Q$18*Pipeline!$D$18*MIN(1,MAX(0,(73-Pipeline!$E$18+1)/MAX(Pipeline!$F$18,1)))</f>
        <v>9613.5</v>
      </c>
      <c r="BX11" s="138" t="n">
        <f aca="false">Pipeline!$Q$18*Pipeline!$D$18*MIN(1,MAX(0,(74-Pipeline!$E$18+1)/MAX(Pipeline!$F$18,1)))</f>
        <v>9613.5</v>
      </c>
      <c r="BY11" s="138" t="n">
        <f aca="false">Pipeline!$Q$18*Pipeline!$D$18*MIN(1,MAX(0,(75-Pipeline!$E$18+1)/MAX(Pipeline!$F$18,1)))</f>
        <v>9613.5</v>
      </c>
      <c r="BZ11" s="138" t="n">
        <f aca="false">Pipeline!$Q$18*Pipeline!$D$18*MIN(1,MAX(0,(76-Pipeline!$E$18+1)/MAX(Pipeline!$F$18,1)))</f>
        <v>9613.5</v>
      </c>
      <c r="CA11" s="138" t="n">
        <f aca="false">Pipeline!$Q$18*Pipeline!$D$18*MIN(1,MAX(0,(77-Pipeline!$E$18+1)/MAX(Pipeline!$F$18,1)))</f>
        <v>9613.5</v>
      </c>
      <c r="CB11" s="138" t="n">
        <f aca="false">Pipeline!$Q$18*Pipeline!$D$18*MIN(1,MAX(0,(78-Pipeline!$E$18+1)/MAX(Pipeline!$F$18,1)))</f>
        <v>9613.5</v>
      </c>
      <c r="CC11" s="138" t="n">
        <f aca="false">Pipeline!$Q$18*Pipeline!$D$18*MIN(1,MAX(0,(79-Pipeline!$E$18+1)/MAX(Pipeline!$F$18,1)))</f>
        <v>9613.5</v>
      </c>
      <c r="CD11" s="138" t="n">
        <f aca="false">Pipeline!$Q$18*Pipeline!$D$18*MIN(1,MAX(0,(80-Pipeline!$E$18+1)/MAX(Pipeline!$F$18,1)))</f>
        <v>9613.5</v>
      </c>
      <c r="CE11" s="138" t="n">
        <f aca="false">Pipeline!$Q$18*Pipeline!$D$18*MIN(1,MAX(0,(81-Pipeline!$E$18+1)/MAX(Pipeline!$F$18,1)))</f>
        <v>9613.5</v>
      </c>
      <c r="CF11" s="138" t="n">
        <f aca="false">Pipeline!$Q$18*Pipeline!$D$18*MIN(1,MAX(0,(82-Pipeline!$E$18+1)/MAX(Pipeline!$F$18,1)))</f>
        <v>9613.5</v>
      </c>
      <c r="CG11" s="138" t="n">
        <f aca="false">Pipeline!$Q$18*Pipeline!$D$18*MIN(1,MAX(0,(83-Pipeline!$E$18+1)/MAX(Pipeline!$F$18,1)))</f>
        <v>9613.5</v>
      </c>
      <c r="CH11" s="138" t="n">
        <f aca="false">Pipeline!$Q$18*Pipeline!$D$18*MIN(1,MAX(0,(84-Pipeline!$E$18+1)/MAX(Pipeline!$F$18,1)))</f>
        <v>9613.5</v>
      </c>
    </row>
    <row r="12" customFormat="false" ht="13.5" hidden="false" customHeight="true" outlineLevel="0" collapsed="false">
      <c r="A12" s="13" t="s">
        <v>695</v>
      </c>
      <c r="C12" s="138" t="n">
        <f aca="false">Pipeline!$Q$19*Pipeline!$D$19*MIN(1,MAX(0,(1-Pipeline!$E$19+1)/MAX(Pipeline!$F$19,1)))</f>
        <v>0</v>
      </c>
      <c r="D12" s="138" t="n">
        <f aca="false">Pipeline!$Q$19*Pipeline!$D$19*MIN(1,MAX(0,(2-Pipeline!$E$19+1)/MAX(Pipeline!$F$19,1)))</f>
        <v>0</v>
      </c>
      <c r="E12" s="138" t="n">
        <f aca="false">Pipeline!$Q$19*Pipeline!$D$19*MIN(1,MAX(0,(3-Pipeline!$E$19+1)/MAX(Pipeline!$F$19,1)))</f>
        <v>0</v>
      </c>
      <c r="F12" s="138" t="n">
        <f aca="false">Pipeline!$Q$19*Pipeline!$D$19*MIN(1,MAX(0,(4-Pipeline!$E$19+1)/MAX(Pipeline!$F$19,1)))</f>
        <v>0</v>
      </c>
      <c r="G12" s="138" t="n">
        <f aca="false">Pipeline!$Q$19*Pipeline!$D$19*MIN(1,MAX(0,(5-Pipeline!$E$19+1)/MAX(Pipeline!$F$19,1)))</f>
        <v>0</v>
      </c>
      <c r="H12" s="138" t="n">
        <f aca="false">Pipeline!$Q$19*Pipeline!$D$19*MIN(1,MAX(0,(6-Pipeline!$E$19+1)/MAX(Pipeline!$F$19,1)))</f>
        <v>717.75</v>
      </c>
      <c r="I12" s="138" t="n">
        <f aca="false">Pipeline!$Q$19*Pipeline!$D$19*MIN(1,MAX(0,(7-Pipeline!$E$19+1)/MAX(Pipeline!$F$19,1)))</f>
        <v>1435.5</v>
      </c>
      <c r="J12" s="138" t="n">
        <f aca="false">Pipeline!$Q$19*Pipeline!$D$19*MIN(1,MAX(0,(8-Pipeline!$E$19+1)/MAX(Pipeline!$F$19,1)))</f>
        <v>2153.25</v>
      </c>
      <c r="K12" s="138" t="n">
        <f aca="false">Pipeline!$Q$19*Pipeline!$D$19*MIN(1,MAX(0,(9-Pipeline!$E$19+1)/MAX(Pipeline!$F$19,1)))</f>
        <v>2871</v>
      </c>
      <c r="L12" s="138" t="n">
        <f aca="false">Pipeline!$Q$19*Pipeline!$D$19*MIN(1,MAX(0,(10-Pipeline!$E$19+1)/MAX(Pipeline!$F$19,1)))</f>
        <v>3588.75</v>
      </c>
      <c r="M12" s="138" t="n">
        <f aca="false">Pipeline!$Q$19*Pipeline!$D$19*MIN(1,MAX(0,(11-Pipeline!$E$19+1)/MAX(Pipeline!$F$19,1)))</f>
        <v>4306.5</v>
      </c>
      <c r="N12" s="138" t="n">
        <f aca="false">Pipeline!$Q$19*Pipeline!$D$19*MIN(1,MAX(0,(12-Pipeline!$E$19+1)/MAX(Pipeline!$F$19,1)))</f>
        <v>5024.25</v>
      </c>
      <c r="O12" s="138" t="n">
        <f aca="false">Pipeline!$Q$19*Pipeline!$D$19*MIN(1,MAX(0,(13-Pipeline!$E$19+1)/MAX(Pipeline!$F$19,1)))</f>
        <v>5742</v>
      </c>
      <c r="P12" s="138" t="n">
        <f aca="false">Pipeline!$Q$19*Pipeline!$D$19*MIN(1,MAX(0,(14-Pipeline!$E$19+1)/MAX(Pipeline!$F$19,1)))</f>
        <v>5742</v>
      </c>
      <c r="Q12" s="138" t="n">
        <f aca="false">Pipeline!$Q$19*Pipeline!$D$19*MIN(1,MAX(0,(15-Pipeline!$E$19+1)/MAX(Pipeline!$F$19,1)))</f>
        <v>5742</v>
      </c>
      <c r="R12" s="138" t="n">
        <f aca="false">Pipeline!$Q$19*Pipeline!$D$19*MIN(1,MAX(0,(16-Pipeline!$E$19+1)/MAX(Pipeline!$F$19,1)))</f>
        <v>5742</v>
      </c>
      <c r="S12" s="138" t="n">
        <f aca="false">Pipeline!$Q$19*Pipeline!$D$19*MIN(1,MAX(0,(17-Pipeline!$E$19+1)/MAX(Pipeline!$F$19,1)))</f>
        <v>5742</v>
      </c>
      <c r="T12" s="138" t="n">
        <f aca="false">Pipeline!$Q$19*Pipeline!$D$19*MIN(1,MAX(0,(18-Pipeline!$E$19+1)/MAX(Pipeline!$F$19,1)))</f>
        <v>5742</v>
      </c>
      <c r="U12" s="138" t="n">
        <f aca="false">Pipeline!$Q$19*Pipeline!$D$19*MIN(1,MAX(0,(19-Pipeline!$E$19+1)/MAX(Pipeline!$F$19,1)))</f>
        <v>5742</v>
      </c>
      <c r="V12" s="138" t="n">
        <f aca="false">Pipeline!$Q$19*Pipeline!$D$19*MIN(1,MAX(0,(20-Pipeline!$E$19+1)/MAX(Pipeline!$F$19,1)))</f>
        <v>5742</v>
      </c>
      <c r="W12" s="138" t="n">
        <f aca="false">Pipeline!$Q$19*Pipeline!$D$19*MIN(1,MAX(0,(21-Pipeline!$E$19+1)/MAX(Pipeline!$F$19,1)))</f>
        <v>5742</v>
      </c>
      <c r="X12" s="138" t="n">
        <f aca="false">Pipeline!$Q$19*Pipeline!$D$19*MIN(1,MAX(0,(22-Pipeline!$E$19+1)/MAX(Pipeline!$F$19,1)))</f>
        <v>5742</v>
      </c>
      <c r="Y12" s="138" t="n">
        <f aca="false">Pipeline!$Q$19*Pipeline!$D$19*MIN(1,MAX(0,(23-Pipeline!$E$19+1)/MAX(Pipeline!$F$19,1)))</f>
        <v>5742</v>
      </c>
      <c r="Z12" s="138" t="n">
        <f aca="false">Pipeline!$Q$19*Pipeline!$D$19*MIN(1,MAX(0,(24-Pipeline!$E$19+1)/MAX(Pipeline!$F$19,1)))</f>
        <v>5742</v>
      </c>
      <c r="AA12" s="138" t="n">
        <f aca="false">Pipeline!$Q$19*Pipeline!$D$19*MIN(1,MAX(0,(25-Pipeline!$E$19+1)/MAX(Pipeline!$F$19,1)))</f>
        <v>5742</v>
      </c>
      <c r="AB12" s="138" t="n">
        <f aca="false">Pipeline!$Q$19*Pipeline!$D$19*MIN(1,MAX(0,(26-Pipeline!$E$19+1)/MAX(Pipeline!$F$19,1)))</f>
        <v>5742</v>
      </c>
      <c r="AC12" s="138" t="n">
        <f aca="false">Pipeline!$Q$19*Pipeline!$D$19*MIN(1,MAX(0,(27-Pipeline!$E$19+1)/MAX(Pipeline!$F$19,1)))</f>
        <v>5742</v>
      </c>
      <c r="AD12" s="138" t="n">
        <f aca="false">Pipeline!$Q$19*Pipeline!$D$19*MIN(1,MAX(0,(28-Pipeline!$E$19+1)/MAX(Pipeline!$F$19,1)))</f>
        <v>5742</v>
      </c>
      <c r="AE12" s="138" t="n">
        <f aca="false">Pipeline!$Q$19*Pipeline!$D$19*MIN(1,MAX(0,(29-Pipeline!$E$19+1)/MAX(Pipeline!$F$19,1)))</f>
        <v>5742</v>
      </c>
      <c r="AF12" s="138" t="n">
        <f aca="false">Pipeline!$Q$19*Pipeline!$D$19*MIN(1,MAX(0,(30-Pipeline!$E$19+1)/MAX(Pipeline!$F$19,1)))</f>
        <v>5742</v>
      </c>
      <c r="AG12" s="138" t="n">
        <f aca="false">Pipeline!$Q$19*Pipeline!$D$19*MIN(1,MAX(0,(31-Pipeline!$E$19+1)/MAX(Pipeline!$F$19,1)))</f>
        <v>5742</v>
      </c>
      <c r="AH12" s="138" t="n">
        <f aca="false">Pipeline!$Q$19*Pipeline!$D$19*MIN(1,MAX(0,(32-Pipeline!$E$19+1)/MAX(Pipeline!$F$19,1)))</f>
        <v>5742</v>
      </c>
      <c r="AI12" s="138" t="n">
        <f aca="false">Pipeline!$Q$19*Pipeline!$D$19*MIN(1,MAX(0,(33-Pipeline!$E$19+1)/MAX(Pipeline!$F$19,1)))</f>
        <v>5742</v>
      </c>
      <c r="AJ12" s="138" t="n">
        <f aca="false">Pipeline!$Q$19*Pipeline!$D$19*MIN(1,MAX(0,(34-Pipeline!$E$19+1)/MAX(Pipeline!$F$19,1)))</f>
        <v>5742</v>
      </c>
      <c r="AK12" s="138" t="n">
        <f aca="false">Pipeline!$Q$19*Pipeline!$D$19*MIN(1,MAX(0,(35-Pipeline!$E$19+1)/MAX(Pipeline!$F$19,1)))</f>
        <v>5742</v>
      </c>
      <c r="AL12" s="138" t="n">
        <f aca="false">Pipeline!$Q$19*Pipeline!$D$19*MIN(1,MAX(0,(36-Pipeline!$E$19+1)/MAX(Pipeline!$F$19,1)))</f>
        <v>5742</v>
      </c>
      <c r="AM12" s="138" t="n">
        <f aca="false">Pipeline!$Q$19*Pipeline!$D$19*MIN(1,MAX(0,(37-Pipeline!$E$19+1)/MAX(Pipeline!$F$19,1)))</f>
        <v>5742</v>
      </c>
      <c r="AN12" s="138" t="n">
        <f aca="false">Pipeline!$Q$19*Pipeline!$D$19*MIN(1,MAX(0,(38-Pipeline!$E$19+1)/MAX(Pipeline!$F$19,1)))</f>
        <v>5742</v>
      </c>
      <c r="AO12" s="138" t="n">
        <f aca="false">Pipeline!$Q$19*Pipeline!$D$19*MIN(1,MAX(0,(39-Pipeline!$E$19+1)/MAX(Pipeline!$F$19,1)))</f>
        <v>5742</v>
      </c>
      <c r="AP12" s="138" t="n">
        <f aca="false">Pipeline!$Q$19*Pipeline!$D$19*MIN(1,MAX(0,(40-Pipeline!$E$19+1)/MAX(Pipeline!$F$19,1)))</f>
        <v>5742</v>
      </c>
      <c r="AQ12" s="138" t="n">
        <f aca="false">Pipeline!$Q$19*Pipeline!$D$19*MIN(1,MAX(0,(41-Pipeline!$E$19+1)/MAX(Pipeline!$F$19,1)))</f>
        <v>5742</v>
      </c>
      <c r="AR12" s="138" t="n">
        <f aca="false">Pipeline!$Q$19*Pipeline!$D$19*MIN(1,MAX(0,(42-Pipeline!$E$19+1)/MAX(Pipeline!$F$19,1)))</f>
        <v>5742</v>
      </c>
      <c r="AS12" s="138" t="n">
        <f aca="false">Pipeline!$Q$19*Pipeline!$D$19*MIN(1,MAX(0,(43-Pipeline!$E$19+1)/MAX(Pipeline!$F$19,1)))</f>
        <v>5742</v>
      </c>
      <c r="AT12" s="138" t="n">
        <f aca="false">Pipeline!$Q$19*Pipeline!$D$19*MIN(1,MAX(0,(44-Pipeline!$E$19+1)/MAX(Pipeline!$F$19,1)))</f>
        <v>5742</v>
      </c>
      <c r="AU12" s="138" t="n">
        <f aca="false">Pipeline!$Q$19*Pipeline!$D$19*MIN(1,MAX(0,(45-Pipeline!$E$19+1)/MAX(Pipeline!$F$19,1)))</f>
        <v>5742</v>
      </c>
      <c r="AV12" s="138" t="n">
        <f aca="false">Pipeline!$Q$19*Pipeline!$D$19*MIN(1,MAX(0,(46-Pipeline!$E$19+1)/MAX(Pipeline!$F$19,1)))</f>
        <v>5742</v>
      </c>
      <c r="AW12" s="138" t="n">
        <f aca="false">Pipeline!$Q$19*Pipeline!$D$19*MIN(1,MAX(0,(47-Pipeline!$E$19+1)/MAX(Pipeline!$F$19,1)))</f>
        <v>5742</v>
      </c>
      <c r="AX12" s="138" t="n">
        <f aca="false">Pipeline!$Q$19*Pipeline!$D$19*MIN(1,MAX(0,(48-Pipeline!$E$19+1)/MAX(Pipeline!$F$19,1)))</f>
        <v>5742</v>
      </c>
      <c r="AY12" s="138" t="n">
        <f aca="false">Pipeline!$Q$19*Pipeline!$D$19*MIN(1,MAX(0,(49-Pipeline!$E$19+1)/MAX(Pipeline!$F$19,1)))</f>
        <v>5742</v>
      </c>
      <c r="AZ12" s="138" t="n">
        <f aca="false">Pipeline!$Q$19*Pipeline!$D$19*MIN(1,MAX(0,(50-Pipeline!$E$19+1)/MAX(Pipeline!$F$19,1)))</f>
        <v>5742</v>
      </c>
      <c r="BA12" s="138" t="n">
        <f aca="false">Pipeline!$Q$19*Pipeline!$D$19*MIN(1,MAX(0,(51-Pipeline!$E$19+1)/MAX(Pipeline!$F$19,1)))</f>
        <v>5742</v>
      </c>
      <c r="BB12" s="138" t="n">
        <f aca="false">Pipeline!$Q$19*Pipeline!$D$19*MIN(1,MAX(0,(52-Pipeline!$E$19+1)/MAX(Pipeline!$F$19,1)))</f>
        <v>5742</v>
      </c>
      <c r="BC12" s="138" t="n">
        <f aca="false">Pipeline!$Q$19*Pipeline!$D$19*MIN(1,MAX(0,(53-Pipeline!$E$19+1)/MAX(Pipeline!$F$19,1)))</f>
        <v>5742</v>
      </c>
      <c r="BD12" s="138" t="n">
        <f aca="false">Pipeline!$Q$19*Pipeline!$D$19*MIN(1,MAX(0,(54-Pipeline!$E$19+1)/MAX(Pipeline!$F$19,1)))</f>
        <v>5742</v>
      </c>
      <c r="BE12" s="138" t="n">
        <f aca="false">Pipeline!$Q$19*Pipeline!$D$19*MIN(1,MAX(0,(55-Pipeline!$E$19+1)/MAX(Pipeline!$F$19,1)))</f>
        <v>5742</v>
      </c>
      <c r="BF12" s="138" t="n">
        <f aca="false">Pipeline!$Q$19*Pipeline!$D$19*MIN(1,MAX(0,(56-Pipeline!$E$19+1)/MAX(Pipeline!$F$19,1)))</f>
        <v>5742</v>
      </c>
      <c r="BG12" s="138" t="n">
        <f aca="false">Pipeline!$Q$19*Pipeline!$D$19*MIN(1,MAX(0,(57-Pipeline!$E$19+1)/MAX(Pipeline!$F$19,1)))</f>
        <v>5742</v>
      </c>
      <c r="BH12" s="138" t="n">
        <f aca="false">Pipeline!$Q$19*Pipeline!$D$19*MIN(1,MAX(0,(58-Pipeline!$E$19+1)/MAX(Pipeline!$F$19,1)))</f>
        <v>5742</v>
      </c>
      <c r="BI12" s="138" t="n">
        <f aca="false">Pipeline!$Q$19*Pipeline!$D$19*MIN(1,MAX(0,(59-Pipeline!$E$19+1)/MAX(Pipeline!$F$19,1)))</f>
        <v>5742</v>
      </c>
      <c r="BJ12" s="138" t="n">
        <f aca="false">Pipeline!$Q$19*Pipeline!$D$19*MIN(1,MAX(0,(60-Pipeline!$E$19+1)/MAX(Pipeline!$F$19,1)))</f>
        <v>5742</v>
      </c>
      <c r="BK12" s="138" t="n">
        <f aca="false">Pipeline!$Q$19*Pipeline!$D$19*MIN(1,MAX(0,(61-Pipeline!$E$19+1)/MAX(Pipeline!$F$19,1)))</f>
        <v>5742</v>
      </c>
      <c r="BL12" s="138" t="n">
        <f aca="false">Pipeline!$Q$19*Pipeline!$D$19*MIN(1,MAX(0,(62-Pipeline!$E$19+1)/MAX(Pipeline!$F$19,1)))</f>
        <v>5742</v>
      </c>
      <c r="BM12" s="138" t="n">
        <f aca="false">Pipeline!$Q$19*Pipeline!$D$19*MIN(1,MAX(0,(63-Pipeline!$E$19+1)/MAX(Pipeline!$F$19,1)))</f>
        <v>5742</v>
      </c>
      <c r="BN12" s="138" t="n">
        <f aca="false">Pipeline!$Q$19*Pipeline!$D$19*MIN(1,MAX(0,(64-Pipeline!$E$19+1)/MAX(Pipeline!$F$19,1)))</f>
        <v>5742</v>
      </c>
      <c r="BO12" s="138" t="n">
        <f aca="false">Pipeline!$Q$19*Pipeline!$D$19*MIN(1,MAX(0,(65-Pipeline!$E$19+1)/MAX(Pipeline!$F$19,1)))</f>
        <v>5742</v>
      </c>
      <c r="BP12" s="138" t="n">
        <f aca="false">Pipeline!$Q$19*Pipeline!$D$19*MIN(1,MAX(0,(66-Pipeline!$E$19+1)/MAX(Pipeline!$F$19,1)))</f>
        <v>5742</v>
      </c>
      <c r="BQ12" s="138" t="n">
        <f aca="false">Pipeline!$Q$19*Pipeline!$D$19*MIN(1,MAX(0,(67-Pipeline!$E$19+1)/MAX(Pipeline!$F$19,1)))</f>
        <v>5742</v>
      </c>
      <c r="BR12" s="138" t="n">
        <f aca="false">Pipeline!$Q$19*Pipeline!$D$19*MIN(1,MAX(0,(68-Pipeline!$E$19+1)/MAX(Pipeline!$F$19,1)))</f>
        <v>5742</v>
      </c>
      <c r="BS12" s="138" t="n">
        <f aca="false">Pipeline!$Q$19*Pipeline!$D$19*MIN(1,MAX(0,(69-Pipeline!$E$19+1)/MAX(Pipeline!$F$19,1)))</f>
        <v>5742</v>
      </c>
      <c r="BT12" s="138" t="n">
        <f aca="false">Pipeline!$Q$19*Pipeline!$D$19*MIN(1,MAX(0,(70-Pipeline!$E$19+1)/MAX(Pipeline!$F$19,1)))</f>
        <v>5742</v>
      </c>
      <c r="BU12" s="138" t="n">
        <f aca="false">Pipeline!$Q$19*Pipeline!$D$19*MIN(1,MAX(0,(71-Pipeline!$E$19+1)/MAX(Pipeline!$F$19,1)))</f>
        <v>5742</v>
      </c>
      <c r="BV12" s="138" t="n">
        <f aca="false">Pipeline!$Q$19*Pipeline!$D$19*MIN(1,MAX(0,(72-Pipeline!$E$19+1)/MAX(Pipeline!$F$19,1)))</f>
        <v>5742</v>
      </c>
      <c r="BW12" s="138" t="n">
        <f aca="false">Pipeline!$Q$19*Pipeline!$D$19*MIN(1,MAX(0,(73-Pipeline!$E$19+1)/MAX(Pipeline!$F$19,1)))</f>
        <v>5742</v>
      </c>
      <c r="BX12" s="138" t="n">
        <f aca="false">Pipeline!$Q$19*Pipeline!$D$19*MIN(1,MAX(0,(74-Pipeline!$E$19+1)/MAX(Pipeline!$F$19,1)))</f>
        <v>5742</v>
      </c>
      <c r="BY12" s="138" t="n">
        <f aca="false">Pipeline!$Q$19*Pipeline!$D$19*MIN(1,MAX(0,(75-Pipeline!$E$19+1)/MAX(Pipeline!$F$19,1)))</f>
        <v>5742</v>
      </c>
      <c r="BZ12" s="138" t="n">
        <f aca="false">Pipeline!$Q$19*Pipeline!$D$19*MIN(1,MAX(0,(76-Pipeline!$E$19+1)/MAX(Pipeline!$F$19,1)))</f>
        <v>5742</v>
      </c>
      <c r="CA12" s="138" t="n">
        <f aca="false">Pipeline!$Q$19*Pipeline!$D$19*MIN(1,MAX(0,(77-Pipeline!$E$19+1)/MAX(Pipeline!$F$19,1)))</f>
        <v>5742</v>
      </c>
      <c r="CB12" s="138" t="n">
        <f aca="false">Pipeline!$Q$19*Pipeline!$D$19*MIN(1,MAX(0,(78-Pipeline!$E$19+1)/MAX(Pipeline!$F$19,1)))</f>
        <v>5742</v>
      </c>
      <c r="CC12" s="138" t="n">
        <f aca="false">Pipeline!$Q$19*Pipeline!$D$19*MIN(1,MAX(0,(79-Pipeline!$E$19+1)/MAX(Pipeline!$F$19,1)))</f>
        <v>5742</v>
      </c>
      <c r="CD12" s="138" t="n">
        <f aca="false">Pipeline!$Q$19*Pipeline!$D$19*MIN(1,MAX(0,(80-Pipeline!$E$19+1)/MAX(Pipeline!$F$19,1)))</f>
        <v>5742</v>
      </c>
      <c r="CE12" s="138" t="n">
        <f aca="false">Pipeline!$Q$19*Pipeline!$D$19*MIN(1,MAX(0,(81-Pipeline!$E$19+1)/MAX(Pipeline!$F$19,1)))</f>
        <v>5742</v>
      </c>
      <c r="CF12" s="138" t="n">
        <f aca="false">Pipeline!$Q$19*Pipeline!$D$19*MIN(1,MAX(0,(82-Pipeline!$E$19+1)/MAX(Pipeline!$F$19,1)))</f>
        <v>5742</v>
      </c>
      <c r="CG12" s="138" t="n">
        <f aca="false">Pipeline!$Q$19*Pipeline!$D$19*MIN(1,MAX(0,(83-Pipeline!$E$19+1)/MAX(Pipeline!$F$19,1)))</f>
        <v>5742</v>
      </c>
      <c r="CH12" s="138" t="n">
        <f aca="false">Pipeline!$Q$19*Pipeline!$D$19*MIN(1,MAX(0,(84-Pipeline!$E$19+1)/MAX(Pipeline!$F$19,1)))</f>
        <v>5742</v>
      </c>
    </row>
    <row r="13" customFormat="false" ht="13.5" hidden="false" customHeight="true" outlineLevel="0" collapsed="false">
      <c r="A13" s="13" t="s">
        <v>696</v>
      </c>
      <c r="C13" s="138" t="n">
        <f aca="false">Pipeline!$Q$20*Pipeline!$D$20*MIN(1,MAX(0,(1-Pipeline!$E$20+1)/MAX(Pipeline!$F$20,1)))</f>
        <v>0</v>
      </c>
      <c r="D13" s="138" t="n">
        <f aca="false">Pipeline!$Q$20*Pipeline!$D$20*MIN(1,MAX(0,(2-Pipeline!$E$20+1)/MAX(Pipeline!$F$20,1)))</f>
        <v>0</v>
      </c>
      <c r="E13" s="138" t="n">
        <f aca="false">Pipeline!$Q$20*Pipeline!$D$20*MIN(1,MAX(0,(3-Pipeline!$E$20+1)/MAX(Pipeline!$F$20,1)))</f>
        <v>0</v>
      </c>
      <c r="F13" s="138" t="n">
        <f aca="false">Pipeline!$Q$20*Pipeline!$D$20*MIN(1,MAX(0,(4-Pipeline!$E$20+1)/MAX(Pipeline!$F$20,1)))</f>
        <v>0</v>
      </c>
      <c r="G13" s="138" t="n">
        <f aca="false">Pipeline!$Q$20*Pipeline!$D$20*MIN(1,MAX(0,(5-Pipeline!$E$20+1)/MAX(Pipeline!$F$20,1)))</f>
        <v>0</v>
      </c>
      <c r="H13" s="138" t="n">
        <f aca="false">Pipeline!$Q$20*Pipeline!$D$20*MIN(1,MAX(0,(6-Pipeline!$E$20+1)/MAX(Pipeline!$F$20,1)))</f>
        <v>0</v>
      </c>
      <c r="I13" s="138" t="n">
        <f aca="false">Pipeline!$Q$20*Pipeline!$D$20*MIN(1,MAX(0,(7-Pipeline!$E$20+1)/MAX(Pipeline!$F$20,1)))</f>
        <v>0</v>
      </c>
      <c r="J13" s="138" t="n">
        <f aca="false">Pipeline!$Q$20*Pipeline!$D$20*MIN(1,MAX(0,(8-Pipeline!$E$20+1)/MAX(Pipeline!$F$20,1)))</f>
        <v>0</v>
      </c>
      <c r="K13" s="138" t="n">
        <f aca="false">Pipeline!$Q$20*Pipeline!$D$20*MIN(1,MAX(0,(9-Pipeline!$E$20+1)/MAX(Pipeline!$F$20,1)))</f>
        <v>0</v>
      </c>
      <c r="L13" s="138" t="n">
        <f aca="false">Pipeline!$Q$20*Pipeline!$D$20*MIN(1,MAX(0,(10-Pipeline!$E$20+1)/MAX(Pipeline!$F$20,1)))</f>
        <v>0</v>
      </c>
      <c r="M13" s="138" t="n">
        <f aca="false">Pipeline!$Q$20*Pipeline!$D$20*MIN(1,MAX(0,(11-Pipeline!$E$20+1)/MAX(Pipeline!$F$20,1)))</f>
        <v>0</v>
      </c>
      <c r="N13" s="138" t="n">
        <f aca="false">Pipeline!$Q$20*Pipeline!$D$20*MIN(1,MAX(0,(12-Pipeline!$E$20+1)/MAX(Pipeline!$F$20,1)))</f>
        <v>978.75</v>
      </c>
      <c r="O13" s="138" t="n">
        <f aca="false">Pipeline!$Q$20*Pipeline!$D$20*MIN(1,MAX(0,(13-Pipeline!$E$20+1)/MAX(Pipeline!$F$20,1)))</f>
        <v>1957.5</v>
      </c>
      <c r="P13" s="138" t="n">
        <f aca="false">Pipeline!$Q$20*Pipeline!$D$20*MIN(1,MAX(0,(14-Pipeline!$E$20+1)/MAX(Pipeline!$F$20,1)))</f>
        <v>2936.25</v>
      </c>
      <c r="Q13" s="138" t="n">
        <f aca="false">Pipeline!$Q$20*Pipeline!$D$20*MIN(1,MAX(0,(15-Pipeline!$E$20+1)/MAX(Pipeline!$F$20,1)))</f>
        <v>3915</v>
      </c>
      <c r="R13" s="138" t="n">
        <f aca="false">Pipeline!$Q$20*Pipeline!$D$20*MIN(1,MAX(0,(16-Pipeline!$E$20+1)/MAX(Pipeline!$F$20,1)))</f>
        <v>4893.75</v>
      </c>
      <c r="S13" s="138" t="n">
        <f aca="false">Pipeline!$Q$20*Pipeline!$D$20*MIN(1,MAX(0,(17-Pipeline!$E$20+1)/MAX(Pipeline!$F$20,1)))</f>
        <v>5872.5</v>
      </c>
      <c r="T13" s="138" t="n">
        <f aca="false">Pipeline!$Q$20*Pipeline!$D$20*MIN(1,MAX(0,(18-Pipeline!$E$20+1)/MAX(Pipeline!$F$20,1)))</f>
        <v>6851.25</v>
      </c>
      <c r="U13" s="138" t="n">
        <f aca="false">Pipeline!$Q$20*Pipeline!$D$20*MIN(1,MAX(0,(19-Pipeline!$E$20+1)/MAX(Pipeline!$F$20,1)))</f>
        <v>7830</v>
      </c>
      <c r="V13" s="138" t="n">
        <f aca="false">Pipeline!$Q$20*Pipeline!$D$20*MIN(1,MAX(0,(20-Pipeline!$E$20+1)/MAX(Pipeline!$F$20,1)))</f>
        <v>8808.75</v>
      </c>
      <c r="W13" s="138" t="n">
        <f aca="false">Pipeline!$Q$20*Pipeline!$D$20*MIN(1,MAX(0,(21-Pipeline!$E$20+1)/MAX(Pipeline!$F$20,1)))</f>
        <v>9787.5</v>
      </c>
      <c r="X13" s="138" t="n">
        <f aca="false">Pipeline!$Q$20*Pipeline!$D$20*MIN(1,MAX(0,(22-Pipeline!$E$20+1)/MAX(Pipeline!$F$20,1)))</f>
        <v>9787.5</v>
      </c>
      <c r="Y13" s="138" t="n">
        <f aca="false">Pipeline!$Q$20*Pipeline!$D$20*MIN(1,MAX(0,(23-Pipeline!$E$20+1)/MAX(Pipeline!$F$20,1)))</f>
        <v>9787.5</v>
      </c>
      <c r="Z13" s="138" t="n">
        <f aca="false">Pipeline!$Q$20*Pipeline!$D$20*MIN(1,MAX(0,(24-Pipeline!$E$20+1)/MAX(Pipeline!$F$20,1)))</f>
        <v>9787.5</v>
      </c>
      <c r="AA13" s="138" t="n">
        <f aca="false">Pipeline!$Q$20*Pipeline!$D$20*MIN(1,MAX(0,(25-Pipeline!$E$20+1)/MAX(Pipeline!$F$20,1)))</f>
        <v>9787.5</v>
      </c>
      <c r="AB13" s="138" t="n">
        <f aca="false">Pipeline!$Q$20*Pipeline!$D$20*MIN(1,MAX(0,(26-Pipeline!$E$20+1)/MAX(Pipeline!$F$20,1)))</f>
        <v>9787.5</v>
      </c>
      <c r="AC13" s="138" t="n">
        <f aca="false">Pipeline!$Q$20*Pipeline!$D$20*MIN(1,MAX(0,(27-Pipeline!$E$20+1)/MAX(Pipeline!$F$20,1)))</f>
        <v>9787.5</v>
      </c>
      <c r="AD13" s="138" t="n">
        <f aca="false">Pipeline!$Q$20*Pipeline!$D$20*MIN(1,MAX(0,(28-Pipeline!$E$20+1)/MAX(Pipeline!$F$20,1)))</f>
        <v>9787.5</v>
      </c>
      <c r="AE13" s="138" t="n">
        <f aca="false">Pipeline!$Q$20*Pipeline!$D$20*MIN(1,MAX(0,(29-Pipeline!$E$20+1)/MAX(Pipeline!$F$20,1)))</f>
        <v>9787.5</v>
      </c>
      <c r="AF13" s="138" t="n">
        <f aca="false">Pipeline!$Q$20*Pipeline!$D$20*MIN(1,MAX(0,(30-Pipeline!$E$20+1)/MAX(Pipeline!$F$20,1)))</f>
        <v>9787.5</v>
      </c>
      <c r="AG13" s="138" t="n">
        <f aca="false">Pipeline!$Q$20*Pipeline!$D$20*MIN(1,MAX(0,(31-Pipeline!$E$20+1)/MAX(Pipeline!$F$20,1)))</f>
        <v>9787.5</v>
      </c>
      <c r="AH13" s="138" t="n">
        <f aca="false">Pipeline!$Q$20*Pipeline!$D$20*MIN(1,MAX(0,(32-Pipeline!$E$20+1)/MAX(Pipeline!$F$20,1)))</f>
        <v>9787.5</v>
      </c>
      <c r="AI13" s="138" t="n">
        <f aca="false">Pipeline!$Q$20*Pipeline!$D$20*MIN(1,MAX(0,(33-Pipeline!$E$20+1)/MAX(Pipeline!$F$20,1)))</f>
        <v>9787.5</v>
      </c>
      <c r="AJ13" s="138" t="n">
        <f aca="false">Pipeline!$Q$20*Pipeline!$D$20*MIN(1,MAX(0,(34-Pipeline!$E$20+1)/MAX(Pipeline!$F$20,1)))</f>
        <v>9787.5</v>
      </c>
      <c r="AK13" s="138" t="n">
        <f aca="false">Pipeline!$Q$20*Pipeline!$D$20*MIN(1,MAX(0,(35-Pipeline!$E$20+1)/MAX(Pipeline!$F$20,1)))</f>
        <v>9787.5</v>
      </c>
      <c r="AL13" s="138" t="n">
        <f aca="false">Pipeline!$Q$20*Pipeline!$D$20*MIN(1,MAX(0,(36-Pipeline!$E$20+1)/MAX(Pipeline!$F$20,1)))</f>
        <v>9787.5</v>
      </c>
      <c r="AM13" s="138" t="n">
        <f aca="false">Pipeline!$Q$20*Pipeline!$D$20*MIN(1,MAX(0,(37-Pipeline!$E$20+1)/MAX(Pipeline!$F$20,1)))</f>
        <v>9787.5</v>
      </c>
      <c r="AN13" s="138" t="n">
        <f aca="false">Pipeline!$Q$20*Pipeline!$D$20*MIN(1,MAX(0,(38-Pipeline!$E$20+1)/MAX(Pipeline!$F$20,1)))</f>
        <v>9787.5</v>
      </c>
      <c r="AO13" s="138" t="n">
        <f aca="false">Pipeline!$Q$20*Pipeline!$D$20*MIN(1,MAX(0,(39-Pipeline!$E$20+1)/MAX(Pipeline!$F$20,1)))</f>
        <v>9787.5</v>
      </c>
      <c r="AP13" s="138" t="n">
        <f aca="false">Pipeline!$Q$20*Pipeline!$D$20*MIN(1,MAX(0,(40-Pipeline!$E$20+1)/MAX(Pipeline!$F$20,1)))</f>
        <v>9787.5</v>
      </c>
      <c r="AQ13" s="138" t="n">
        <f aca="false">Pipeline!$Q$20*Pipeline!$D$20*MIN(1,MAX(0,(41-Pipeline!$E$20+1)/MAX(Pipeline!$F$20,1)))</f>
        <v>9787.5</v>
      </c>
      <c r="AR13" s="138" t="n">
        <f aca="false">Pipeline!$Q$20*Pipeline!$D$20*MIN(1,MAX(0,(42-Pipeline!$E$20+1)/MAX(Pipeline!$F$20,1)))</f>
        <v>9787.5</v>
      </c>
      <c r="AS13" s="138" t="n">
        <f aca="false">Pipeline!$Q$20*Pipeline!$D$20*MIN(1,MAX(0,(43-Pipeline!$E$20+1)/MAX(Pipeline!$F$20,1)))</f>
        <v>9787.5</v>
      </c>
      <c r="AT13" s="138" t="n">
        <f aca="false">Pipeline!$Q$20*Pipeline!$D$20*MIN(1,MAX(0,(44-Pipeline!$E$20+1)/MAX(Pipeline!$F$20,1)))</f>
        <v>9787.5</v>
      </c>
      <c r="AU13" s="138" t="n">
        <f aca="false">Pipeline!$Q$20*Pipeline!$D$20*MIN(1,MAX(0,(45-Pipeline!$E$20+1)/MAX(Pipeline!$F$20,1)))</f>
        <v>9787.5</v>
      </c>
      <c r="AV13" s="138" t="n">
        <f aca="false">Pipeline!$Q$20*Pipeline!$D$20*MIN(1,MAX(0,(46-Pipeline!$E$20+1)/MAX(Pipeline!$F$20,1)))</f>
        <v>9787.5</v>
      </c>
      <c r="AW13" s="138" t="n">
        <f aca="false">Pipeline!$Q$20*Pipeline!$D$20*MIN(1,MAX(0,(47-Pipeline!$E$20+1)/MAX(Pipeline!$F$20,1)))</f>
        <v>9787.5</v>
      </c>
      <c r="AX13" s="138" t="n">
        <f aca="false">Pipeline!$Q$20*Pipeline!$D$20*MIN(1,MAX(0,(48-Pipeline!$E$20+1)/MAX(Pipeline!$F$20,1)))</f>
        <v>9787.5</v>
      </c>
      <c r="AY13" s="138" t="n">
        <f aca="false">Pipeline!$Q$20*Pipeline!$D$20*MIN(1,MAX(0,(49-Pipeline!$E$20+1)/MAX(Pipeline!$F$20,1)))</f>
        <v>9787.5</v>
      </c>
      <c r="AZ13" s="138" t="n">
        <f aca="false">Pipeline!$Q$20*Pipeline!$D$20*MIN(1,MAX(0,(50-Pipeline!$E$20+1)/MAX(Pipeline!$F$20,1)))</f>
        <v>9787.5</v>
      </c>
      <c r="BA13" s="138" t="n">
        <f aca="false">Pipeline!$Q$20*Pipeline!$D$20*MIN(1,MAX(0,(51-Pipeline!$E$20+1)/MAX(Pipeline!$F$20,1)))</f>
        <v>9787.5</v>
      </c>
      <c r="BB13" s="138" t="n">
        <f aca="false">Pipeline!$Q$20*Pipeline!$D$20*MIN(1,MAX(0,(52-Pipeline!$E$20+1)/MAX(Pipeline!$F$20,1)))</f>
        <v>9787.5</v>
      </c>
      <c r="BC13" s="138" t="n">
        <f aca="false">Pipeline!$Q$20*Pipeline!$D$20*MIN(1,MAX(0,(53-Pipeline!$E$20+1)/MAX(Pipeline!$F$20,1)))</f>
        <v>9787.5</v>
      </c>
      <c r="BD13" s="138" t="n">
        <f aca="false">Pipeline!$Q$20*Pipeline!$D$20*MIN(1,MAX(0,(54-Pipeline!$E$20+1)/MAX(Pipeline!$F$20,1)))</f>
        <v>9787.5</v>
      </c>
      <c r="BE13" s="138" t="n">
        <f aca="false">Pipeline!$Q$20*Pipeline!$D$20*MIN(1,MAX(0,(55-Pipeline!$E$20+1)/MAX(Pipeline!$F$20,1)))</f>
        <v>9787.5</v>
      </c>
      <c r="BF13" s="138" t="n">
        <f aca="false">Pipeline!$Q$20*Pipeline!$D$20*MIN(1,MAX(0,(56-Pipeline!$E$20+1)/MAX(Pipeline!$F$20,1)))</f>
        <v>9787.5</v>
      </c>
      <c r="BG13" s="138" t="n">
        <f aca="false">Pipeline!$Q$20*Pipeline!$D$20*MIN(1,MAX(0,(57-Pipeline!$E$20+1)/MAX(Pipeline!$F$20,1)))</f>
        <v>9787.5</v>
      </c>
      <c r="BH13" s="138" t="n">
        <f aca="false">Pipeline!$Q$20*Pipeline!$D$20*MIN(1,MAX(0,(58-Pipeline!$E$20+1)/MAX(Pipeline!$F$20,1)))</f>
        <v>9787.5</v>
      </c>
      <c r="BI13" s="138" t="n">
        <f aca="false">Pipeline!$Q$20*Pipeline!$D$20*MIN(1,MAX(0,(59-Pipeline!$E$20+1)/MAX(Pipeline!$F$20,1)))</f>
        <v>9787.5</v>
      </c>
      <c r="BJ13" s="138" t="n">
        <f aca="false">Pipeline!$Q$20*Pipeline!$D$20*MIN(1,MAX(0,(60-Pipeline!$E$20+1)/MAX(Pipeline!$F$20,1)))</f>
        <v>9787.5</v>
      </c>
      <c r="BK13" s="138" t="n">
        <f aca="false">Pipeline!$Q$20*Pipeline!$D$20*MIN(1,MAX(0,(61-Pipeline!$E$20+1)/MAX(Pipeline!$F$20,1)))</f>
        <v>9787.5</v>
      </c>
      <c r="BL13" s="138" t="n">
        <f aca="false">Pipeline!$Q$20*Pipeline!$D$20*MIN(1,MAX(0,(62-Pipeline!$E$20+1)/MAX(Pipeline!$F$20,1)))</f>
        <v>9787.5</v>
      </c>
      <c r="BM13" s="138" t="n">
        <f aca="false">Pipeline!$Q$20*Pipeline!$D$20*MIN(1,MAX(0,(63-Pipeline!$E$20+1)/MAX(Pipeline!$F$20,1)))</f>
        <v>9787.5</v>
      </c>
      <c r="BN13" s="138" t="n">
        <f aca="false">Pipeline!$Q$20*Pipeline!$D$20*MIN(1,MAX(0,(64-Pipeline!$E$20+1)/MAX(Pipeline!$F$20,1)))</f>
        <v>9787.5</v>
      </c>
      <c r="BO13" s="138" t="n">
        <f aca="false">Pipeline!$Q$20*Pipeline!$D$20*MIN(1,MAX(0,(65-Pipeline!$E$20+1)/MAX(Pipeline!$F$20,1)))</f>
        <v>9787.5</v>
      </c>
      <c r="BP13" s="138" t="n">
        <f aca="false">Pipeline!$Q$20*Pipeline!$D$20*MIN(1,MAX(0,(66-Pipeline!$E$20+1)/MAX(Pipeline!$F$20,1)))</f>
        <v>9787.5</v>
      </c>
      <c r="BQ13" s="138" t="n">
        <f aca="false">Pipeline!$Q$20*Pipeline!$D$20*MIN(1,MAX(0,(67-Pipeline!$E$20+1)/MAX(Pipeline!$F$20,1)))</f>
        <v>9787.5</v>
      </c>
      <c r="BR13" s="138" t="n">
        <f aca="false">Pipeline!$Q$20*Pipeline!$D$20*MIN(1,MAX(0,(68-Pipeline!$E$20+1)/MAX(Pipeline!$F$20,1)))</f>
        <v>9787.5</v>
      </c>
      <c r="BS13" s="138" t="n">
        <f aca="false">Pipeline!$Q$20*Pipeline!$D$20*MIN(1,MAX(0,(69-Pipeline!$E$20+1)/MAX(Pipeline!$F$20,1)))</f>
        <v>9787.5</v>
      </c>
      <c r="BT13" s="138" t="n">
        <f aca="false">Pipeline!$Q$20*Pipeline!$D$20*MIN(1,MAX(0,(70-Pipeline!$E$20+1)/MAX(Pipeline!$F$20,1)))</f>
        <v>9787.5</v>
      </c>
      <c r="BU13" s="138" t="n">
        <f aca="false">Pipeline!$Q$20*Pipeline!$D$20*MIN(1,MAX(0,(71-Pipeline!$E$20+1)/MAX(Pipeline!$F$20,1)))</f>
        <v>9787.5</v>
      </c>
      <c r="BV13" s="138" t="n">
        <f aca="false">Pipeline!$Q$20*Pipeline!$D$20*MIN(1,MAX(0,(72-Pipeline!$E$20+1)/MAX(Pipeline!$F$20,1)))</f>
        <v>9787.5</v>
      </c>
      <c r="BW13" s="138" t="n">
        <f aca="false">Pipeline!$Q$20*Pipeline!$D$20*MIN(1,MAX(0,(73-Pipeline!$E$20+1)/MAX(Pipeline!$F$20,1)))</f>
        <v>9787.5</v>
      </c>
      <c r="BX13" s="138" t="n">
        <f aca="false">Pipeline!$Q$20*Pipeline!$D$20*MIN(1,MAX(0,(74-Pipeline!$E$20+1)/MAX(Pipeline!$F$20,1)))</f>
        <v>9787.5</v>
      </c>
      <c r="BY13" s="138" t="n">
        <f aca="false">Pipeline!$Q$20*Pipeline!$D$20*MIN(1,MAX(0,(75-Pipeline!$E$20+1)/MAX(Pipeline!$F$20,1)))</f>
        <v>9787.5</v>
      </c>
      <c r="BZ13" s="138" t="n">
        <f aca="false">Pipeline!$Q$20*Pipeline!$D$20*MIN(1,MAX(0,(76-Pipeline!$E$20+1)/MAX(Pipeline!$F$20,1)))</f>
        <v>9787.5</v>
      </c>
      <c r="CA13" s="138" t="n">
        <f aca="false">Pipeline!$Q$20*Pipeline!$D$20*MIN(1,MAX(0,(77-Pipeline!$E$20+1)/MAX(Pipeline!$F$20,1)))</f>
        <v>9787.5</v>
      </c>
      <c r="CB13" s="138" t="n">
        <f aca="false">Pipeline!$Q$20*Pipeline!$D$20*MIN(1,MAX(0,(78-Pipeline!$E$20+1)/MAX(Pipeline!$F$20,1)))</f>
        <v>9787.5</v>
      </c>
      <c r="CC13" s="138" t="n">
        <f aca="false">Pipeline!$Q$20*Pipeline!$D$20*MIN(1,MAX(0,(79-Pipeline!$E$20+1)/MAX(Pipeline!$F$20,1)))</f>
        <v>9787.5</v>
      </c>
      <c r="CD13" s="138" t="n">
        <f aca="false">Pipeline!$Q$20*Pipeline!$D$20*MIN(1,MAX(0,(80-Pipeline!$E$20+1)/MAX(Pipeline!$F$20,1)))</f>
        <v>9787.5</v>
      </c>
      <c r="CE13" s="138" t="n">
        <f aca="false">Pipeline!$Q$20*Pipeline!$D$20*MIN(1,MAX(0,(81-Pipeline!$E$20+1)/MAX(Pipeline!$F$20,1)))</f>
        <v>9787.5</v>
      </c>
      <c r="CF13" s="138" t="n">
        <f aca="false">Pipeline!$Q$20*Pipeline!$D$20*MIN(1,MAX(0,(82-Pipeline!$E$20+1)/MAX(Pipeline!$F$20,1)))</f>
        <v>9787.5</v>
      </c>
      <c r="CG13" s="138" t="n">
        <f aca="false">Pipeline!$Q$20*Pipeline!$D$20*MIN(1,MAX(0,(83-Pipeline!$E$20+1)/MAX(Pipeline!$F$20,1)))</f>
        <v>9787.5</v>
      </c>
      <c r="CH13" s="138" t="n">
        <f aca="false">Pipeline!$Q$20*Pipeline!$D$20*MIN(1,MAX(0,(84-Pipeline!$E$20+1)/MAX(Pipeline!$F$20,1)))</f>
        <v>9787.5</v>
      </c>
    </row>
    <row r="14" customFormat="false" ht="13.5" hidden="false" customHeight="true" outlineLevel="0" collapsed="false">
      <c r="A14" s="13" t="s">
        <v>697</v>
      </c>
      <c r="C14" s="138" t="n">
        <f aca="false">Pipeline!$Q$21*Pipeline!$D$21*MIN(1,MAX(0,(1-Pipeline!$E$21+1)/MAX(Pipeline!$F$21,1)))</f>
        <v>0</v>
      </c>
      <c r="D14" s="138" t="n">
        <f aca="false">Pipeline!$Q$21*Pipeline!$D$21*MIN(1,MAX(0,(2-Pipeline!$E$21+1)/MAX(Pipeline!$F$21,1)))</f>
        <v>0</v>
      </c>
      <c r="E14" s="138" t="n">
        <f aca="false">Pipeline!$Q$21*Pipeline!$D$21*MIN(1,MAX(0,(3-Pipeline!$E$21+1)/MAX(Pipeline!$F$21,1)))</f>
        <v>0</v>
      </c>
      <c r="F14" s="138" t="n">
        <f aca="false">Pipeline!$Q$21*Pipeline!$D$21*MIN(1,MAX(0,(4-Pipeline!$E$21+1)/MAX(Pipeline!$F$21,1)))</f>
        <v>0</v>
      </c>
      <c r="G14" s="138" t="n">
        <f aca="false">Pipeline!$Q$21*Pipeline!$D$21*MIN(1,MAX(0,(5-Pipeline!$E$21+1)/MAX(Pipeline!$F$21,1)))</f>
        <v>0</v>
      </c>
      <c r="H14" s="138" t="n">
        <f aca="false">Pipeline!$Q$21*Pipeline!$D$21*MIN(1,MAX(0,(6-Pipeline!$E$21+1)/MAX(Pipeline!$F$21,1)))</f>
        <v>0</v>
      </c>
      <c r="I14" s="138" t="n">
        <f aca="false">Pipeline!$Q$21*Pipeline!$D$21*MIN(1,MAX(0,(7-Pipeline!$E$21+1)/MAX(Pipeline!$F$21,1)))</f>
        <v>0</v>
      </c>
      <c r="J14" s="138" t="n">
        <f aca="false">Pipeline!$Q$21*Pipeline!$D$21*MIN(1,MAX(0,(8-Pipeline!$E$21+1)/MAX(Pipeline!$F$21,1)))</f>
        <v>0</v>
      </c>
      <c r="K14" s="138" t="n">
        <f aca="false">Pipeline!$Q$21*Pipeline!$D$21*MIN(1,MAX(0,(9-Pipeline!$E$21+1)/MAX(Pipeline!$F$21,1)))</f>
        <v>0</v>
      </c>
      <c r="L14" s="138" t="n">
        <f aca="false">Pipeline!$Q$21*Pipeline!$D$21*MIN(1,MAX(0,(10-Pipeline!$E$21+1)/MAX(Pipeline!$F$21,1)))</f>
        <v>0</v>
      </c>
      <c r="M14" s="138" t="n">
        <f aca="false">Pipeline!$Q$21*Pipeline!$D$21*MIN(1,MAX(0,(11-Pipeline!$E$21+1)/MAX(Pipeline!$F$21,1)))</f>
        <v>0</v>
      </c>
      <c r="N14" s="138" t="n">
        <f aca="false">Pipeline!$Q$21*Pipeline!$D$21*MIN(1,MAX(0,(12-Pipeline!$E$21+1)/MAX(Pipeline!$F$21,1)))</f>
        <v>0</v>
      </c>
      <c r="O14" s="138" t="n">
        <f aca="false">Pipeline!$Q$21*Pipeline!$D$21*MIN(1,MAX(0,(13-Pipeline!$E$21+1)/MAX(Pipeline!$F$21,1)))</f>
        <v>0</v>
      </c>
      <c r="P14" s="138" t="n">
        <f aca="false">Pipeline!$Q$21*Pipeline!$D$21*MIN(1,MAX(0,(14-Pipeline!$E$21+1)/MAX(Pipeline!$F$21,1)))</f>
        <v>365.4</v>
      </c>
      <c r="Q14" s="138" t="n">
        <f aca="false">Pipeline!$Q$21*Pipeline!$D$21*MIN(1,MAX(0,(15-Pipeline!$E$21+1)/MAX(Pipeline!$F$21,1)))</f>
        <v>730.8</v>
      </c>
      <c r="R14" s="138" t="n">
        <f aca="false">Pipeline!$Q$21*Pipeline!$D$21*MIN(1,MAX(0,(16-Pipeline!$E$21+1)/MAX(Pipeline!$F$21,1)))</f>
        <v>1096.2</v>
      </c>
      <c r="S14" s="138" t="n">
        <f aca="false">Pipeline!$Q$21*Pipeline!$D$21*MIN(1,MAX(0,(17-Pipeline!$E$21+1)/MAX(Pipeline!$F$21,1)))</f>
        <v>1461.6</v>
      </c>
      <c r="T14" s="138" t="n">
        <f aca="false">Pipeline!$Q$21*Pipeline!$D$21*MIN(1,MAX(0,(18-Pipeline!$E$21+1)/MAX(Pipeline!$F$21,1)))</f>
        <v>1827</v>
      </c>
      <c r="U14" s="138" t="n">
        <f aca="false">Pipeline!$Q$21*Pipeline!$D$21*MIN(1,MAX(0,(19-Pipeline!$E$21+1)/MAX(Pipeline!$F$21,1)))</f>
        <v>2192.4</v>
      </c>
      <c r="V14" s="138" t="n">
        <f aca="false">Pipeline!$Q$21*Pipeline!$D$21*MIN(1,MAX(0,(20-Pipeline!$E$21+1)/MAX(Pipeline!$F$21,1)))</f>
        <v>2557.8</v>
      </c>
      <c r="W14" s="138" t="n">
        <f aca="false">Pipeline!$Q$21*Pipeline!$D$21*MIN(1,MAX(0,(21-Pipeline!$E$21+1)/MAX(Pipeline!$F$21,1)))</f>
        <v>2923.2</v>
      </c>
      <c r="X14" s="138" t="n">
        <f aca="false">Pipeline!$Q$21*Pipeline!$D$21*MIN(1,MAX(0,(22-Pipeline!$E$21+1)/MAX(Pipeline!$F$21,1)))</f>
        <v>3288.6</v>
      </c>
      <c r="Y14" s="138" t="n">
        <f aca="false">Pipeline!$Q$21*Pipeline!$D$21*MIN(1,MAX(0,(23-Pipeline!$E$21+1)/MAX(Pipeline!$F$21,1)))</f>
        <v>3654</v>
      </c>
      <c r="Z14" s="138" t="n">
        <f aca="false">Pipeline!$Q$21*Pipeline!$D$21*MIN(1,MAX(0,(24-Pipeline!$E$21+1)/MAX(Pipeline!$F$21,1)))</f>
        <v>3654</v>
      </c>
      <c r="AA14" s="138" t="n">
        <f aca="false">Pipeline!$Q$21*Pipeline!$D$21*MIN(1,MAX(0,(25-Pipeline!$E$21+1)/MAX(Pipeline!$F$21,1)))</f>
        <v>3654</v>
      </c>
      <c r="AB14" s="138" t="n">
        <f aca="false">Pipeline!$Q$21*Pipeline!$D$21*MIN(1,MAX(0,(26-Pipeline!$E$21+1)/MAX(Pipeline!$F$21,1)))</f>
        <v>3654</v>
      </c>
      <c r="AC14" s="138" t="n">
        <f aca="false">Pipeline!$Q$21*Pipeline!$D$21*MIN(1,MAX(0,(27-Pipeline!$E$21+1)/MAX(Pipeline!$F$21,1)))</f>
        <v>3654</v>
      </c>
      <c r="AD14" s="138" t="n">
        <f aca="false">Pipeline!$Q$21*Pipeline!$D$21*MIN(1,MAX(0,(28-Pipeline!$E$21+1)/MAX(Pipeline!$F$21,1)))</f>
        <v>3654</v>
      </c>
      <c r="AE14" s="138" t="n">
        <f aca="false">Pipeline!$Q$21*Pipeline!$D$21*MIN(1,MAX(0,(29-Pipeline!$E$21+1)/MAX(Pipeline!$F$21,1)))</f>
        <v>3654</v>
      </c>
      <c r="AF14" s="138" t="n">
        <f aca="false">Pipeline!$Q$21*Pipeline!$D$21*MIN(1,MAX(0,(30-Pipeline!$E$21+1)/MAX(Pipeline!$F$21,1)))</f>
        <v>3654</v>
      </c>
      <c r="AG14" s="138" t="n">
        <f aca="false">Pipeline!$Q$21*Pipeline!$D$21*MIN(1,MAX(0,(31-Pipeline!$E$21+1)/MAX(Pipeline!$F$21,1)))</f>
        <v>3654</v>
      </c>
      <c r="AH14" s="138" t="n">
        <f aca="false">Pipeline!$Q$21*Pipeline!$D$21*MIN(1,MAX(0,(32-Pipeline!$E$21+1)/MAX(Pipeline!$F$21,1)))</f>
        <v>3654</v>
      </c>
      <c r="AI14" s="138" t="n">
        <f aca="false">Pipeline!$Q$21*Pipeline!$D$21*MIN(1,MAX(0,(33-Pipeline!$E$21+1)/MAX(Pipeline!$F$21,1)))</f>
        <v>3654</v>
      </c>
      <c r="AJ14" s="138" t="n">
        <f aca="false">Pipeline!$Q$21*Pipeline!$D$21*MIN(1,MAX(0,(34-Pipeline!$E$21+1)/MAX(Pipeline!$F$21,1)))</f>
        <v>3654</v>
      </c>
      <c r="AK14" s="138" t="n">
        <f aca="false">Pipeline!$Q$21*Pipeline!$D$21*MIN(1,MAX(0,(35-Pipeline!$E$21+1)/MAX(Pipeline!$F$21,1)))</f>
        <v>3654</v>
      </c>
      <c r="AL14" s="138" t="n">
        <f aca="false">Pipeline!$Q$21*Pipeline!$D$21*MIN(1,MAX(0,(36-Pipeline!$E$21+1)/MAX(Pipeline!$F$21,1)))</f>
        <v>3654</v>
      </c>
      <c r="AM14" s="138" t="n">
        <f aca="false">Pipeline!$Q$21*Pipeline!$D$21*MIN(1,MAX(0,(37-Pipeline!$E$21+1)/MAX(Pipeline!$F$21,1)))</f>
        <v>3654</v>
      </c>
      <c r="AN14" s="138" t="n">
        <f aca="false">Pipeline!$Q$21*Pipeline!$D$21*MIN(1,MAX(0,(38-Pipeline!$E$21+1)/MAX(Pipeline!$F$21,1)))</f>
        <v>3654</v>
      </c>
      <c r="AO14" s="138" t="n">
        <f aca="false">Pipeline!$Q$21*Pipeline!$D$21*MIN(1,MAX(0,(39-Pipeline!$E$21+1)/MAX(Pipeline!$F$21,1)))</f>
        <v>3654</v>
      </c>
      <c r="AP14" s="138" t="n">
        <f aca="false">Pipeline!$Q$21*Pipeline!$D$21*MIN(1,MAX(0,(40-Pipeline!$E$21+1)/MAX(Pipeline!$F$21,1)))</f>
        <v>3654</v>
      </c>
      <c r="AQ14" s="138" t="n">
        <f aca="false">Pipeline!$Q$21*Pipeline!$D$21*MIN(1,MAX(0,(41-Pipeline!$E$21+1)/MAX(Pipeline!$F$21,1)))</f>
        <v>3654</v>
      </c>
      <c r="AR14" s="138" t="n">
        <f aca="false">Pipeline!$Q$21*Pipeline!$D$21*MIN(1,MAX(0,(42-Pipeline!$E$21+1)/MAX(Pipeline!$F$21,1)))</f>
        <v>3654</v>
      </c>
      <c r="AS14" s="138" t="n">
        <f aca="false">Pipeline!$Q$21*Pipeline!$D$21*MIN(1,MAX(0,(43-Pipeline!$E$21+1)/MAX(Pipeline!$F$21,1)))</f>
        <v>3654</v>
      </c>
      <c r="AT14" s="138" t="n">
        <f aca="false">Pipeline!$Q$21*Pipeline!$D$21*MIN(1,MAX(0,(44-Pipeline!$E$21+1)/MAX(Pipeline!$F$21,1)))</f>
        <v>3654</v>
      </c>
      <c r="AU14" s="138" t="n">
        <f aca="false">Pipeline!$Q$21*Pipeline!$D$21*MIN(1,MAX(0,(45-Pipeline!$E$21+1)/MAX(Pipeline!$F$21,1)))</f>
        <v>3654</v>
      </c>
      <c r="AV14" s="138" t="n">
        <f aca="false">Pipeline!$Q$21*Pipeline!$D$21*MIN(1,MAX(0,(46-Pipeline!$E$21+1)/MAX(Pipeline!$F$21,1)))</f>
        <v>3654</v>
      </c>
      <c r="AW14" s="138" t="n">
        <f aca="false">Pipeline!$Q$21*Pipeline!$D$21*MIN(1,MAX(0,(47-Pipeline!$E$21+1)/MAX(Pipeline!$F$21,1)))</f>
        <v>3654</v>
      </c>
      <c r="AX14" s="138" t="n">
        <f aca="false">Pipeline!$Q$21*Pipeline!$D$21*MIN(1,MAX(0,(48-Pipeline!$E$21+1)/MAX(Pipeline!$F$21,1)))</f>
        <v>3654</v>
      </c>
      <c r="AY14" s="138" t="n">
        <f aca="false">Pipeline!$Q$21*Pipeline!$D$21*MIN(1,MAX(0,(49-Pipeline!$E$21+1)/MAX(Pipeline!$F$21,1)))</f>
        <v>3654</v>
      </c>
      <c r="AZ14" s="138" t="n">
        <f aca="false">Pipeline!$Q$21*Pipeline!$D$21*MIN(1,MAX(0,(50-Pipeline!$E$21+1)/MAX(Pipeline!$F$21,1)))</f>
        <v>3654</v>
      </c>
      <c r="BA14" s="138" t="n">
        <f aca="false">Pipeline!$Q$21*Pipeline!$D$21*MIN(1,MAX(0,(51-Pipeline!$E$21+1)/MAX(Pipeline!$F$21,1)))</f>
        <v>3654</v>
      </c>
      <c r="BB14" s="138" t="n">
        <f aca="false">Pipeline!$Q$21*Pipeline!$D$21*MIN(1,MAX(0,(52-Pipeline!$E$21+1)/MAX(Pipeline!$F$21,1)))</f>
        <v>3654</v>
      </c>
      <c r="BC14" s="138" t="n">
        <f aca="false">Pipeline!$Q$21*Pipeline!$D$21*MIN(1,MAX(0,(53-Pipeline!$E$21+1)/MAX(Pipeline!$F$21,1)))</f>
        <v>3654</v>
      </c>
      <c r="BD14" s="138" t="n">
        <f aca="false">Pipeline!$Q$21*Pipeline!$D$21*MIN(1,MAX(0,(54-Pipeline!$E$21+1)/MAX(Pipeline!$F$21,1)))</f>
        <v>3654</v>
      </c>
      <c r="BE14" s="138" t="n">
        <f aca="false">Pipeline!$Q$21*Pipeline!$D$21*MIN(1,MAX(0,(55-Pipeline!$E$21+1)/MAX(Pipeline!$F$21,1)))</f>
        <v>3654</v>
      </c>
      <c r="BF14" s="138" t="n">
        <f aca="false">Pipeline!$Q$21*Pipeline!$D$21*MIN(1,MAX(0,(56-Pipeline!$E$21+1)/MAX(Pipeline!$F$21,1)))</f>
        <v>3654</v>
      </c>
      <c r="BG14" s="138" t="n">
        <f aca="false">Pipeline!$Q$21*Pipeline!$D$21*MIN(1,MAX(0,(57-Pipeline!$E$21+1)/MAX(Pipeline!$F$21,1)))</f>
        <v>3654</v>
      </c>
      <c r="BH14" s="138" t="n">
        <f aca="false">Pipeline!$Q$21*Pipeline!$D$21*MIN(1,MAX(0,(58-Pipeline!$E$21+1)/MAX(Pipeline!$F$21,1)))</f>
        <v>3654</v>
      </c>
      <c r="BI14" s="138" t="n">
        <f aca="false">Pipeline!$Q$21*Pipeline!$D$21*MIN(1,MAX(0,(59-Pipeline!$E$21+1)/MAX(Pipeline!$F$21,1)))</f>
        <v>3654</v>
      </c>
      <c r="BJ14" s="138" t="n">
        <f aca="false">Pipeline!$Q$21*Pipeline!$D$21*MIN(1,MAX(0,(60-Pipeline!$E$21+1)/MAX(Pipeline!$F$21,1)))</f>
        <v>3654</v>
      </c>
      <c r="BK14" s="138" t="n">
        <f aca="false">Pipeline!$Q$21*Pipeline!$D$21*MIN(1,MAX(0,(61-Pipeline!$E$21+1)/MAX(Pipeline!$F$21,1)))</f>
        <v>3654</v>
      </c>
      <c r="BL14" s="138" t="n">
        <f aca="false">Pipeline!$Q$21*Pipeline!$D$21*MIN(1,MAX(0,(62-Pipeline!$E$21+1)/MAX(Pipeline!$F$21,1)))</f>
        <v>3654</v>
      </c>
      <c r="BM14" s="138" t="n">
        <f aca="false">Pipeline!$Q$21*Pipeline!$D$21*MIN(1,MAX(0,(63-Pipeline!$E$21+1)/MAX(Pipeline!$F$21,1)))</f>
        <v>3654</v>
      </c>
      <c r="BN14" s="138" t="n">
        <f aca="false">Pipeline!$Q$21*Pipeline!$D$21*MIN(1,MAX(0,(64-Pipeline!$E$21+1)/MAX(Pipeline!$F$21,1)))</f>
        <v>3654</v>
      </c>
      <c r="BO14" s="138" t="n">
        <f aca="false">Pipeline!$Q$21*Pipeline!$D$21*MIN(1,MAX(0,(65-Pipeline!$E$21+1)/MAX(Pipeline!$F$21,1)))</f>
        <v>3654</v>
      </c>
      <c r="BP14" s="138" t="n">
        <f aca="false">Pipeline!$Q$21*Pipeline!$D$21*MIN(1,MAX(0,(66-Pipeline!$E$21+1)/MAX(Pipeline!$F$21,1)))</f>
        <v>3654</v>
      </c>
      <c r="BQ14" s="138" t="n">
        <f aca="false">Pipeline!$Q$21*Pipeline!$D$21*MIN(1,MAX(0,(67-Pipeline!$E$21+1)/MAX(Pipeline!$F$21,1)))</f>
        <v>3654</v>
      </c>
      <c r="BR14" s="138" t="n">
        <f aca="false">Pipeline!$Q$21*Pipeline!$D$21*MIN(1,MAX(0,(68-Pipeline!$E$21+1)/MAX(Pipeline!$F$21,1)))</f>
        <v>3654</v>
      </c>
      <c r="BS14" s="138" t="n">
        <f aca="false">Pipeline!$Q$21*Pipeline!$D$21*MIN(1,MAX(0,(69-Pipeline!$E$21+1)/MAX(Pipeline!$F$21,1)))</f>
        <v>3654</v>
      </c>
      <c r="BT14" s="138" t="n">
        <f aca="false">Pipeline!$Q$21*Pipeline!$D$21*MIN(1,MAX(0,(70-Pipeline!$E$21+1)/MAX(Pipeline!$F$21,1)))</f>
        <v>3654</v>
      </c>
      <c r="BU14" s="138" t="n">
        <f aca="false">Pipeline!$Q$21*Pipeline!$D$21*MIN(1,MAX(0,(71-Pipeline!$E$21+1)/MAX(Pipeline!$F$21,1)))</f>
        <v>3654</v>
      </c>
      <c r="BV14" s="138" t="n">
        <f aca="false">Pipeline!$Q$21*Pipeline!$D$21*MIN(1,MAX(0,(72-Pipeline!$E$21+1)/MAX(Pipeline!$F$21,1)))</f>
        <v>3654</v>
      </c>
      <c r="BW14" s="138" t="n">
        <f aca="false">Pipeline!$Q$21*Pipeline!$D$21*MIN(1,MAX(0,(73-Pipeline!$E$21+1)/MAX(Pipeline!$F$21,1)))</f>
        <v>3654</v>
      </c>
      <c r="BX14" s="138" t="n">
        <f aca="false">Pipeline!$Q$21*Pipeline!$D$21*MIN(1,MAX(0,(74-Pipeline!$E$21+1)/MAX(Pipeline!$F$21,1)))</f>
        <v>3654</v>
      </c>
      <c r="BY14" s="138" t="n">
        <f aca="false">Pipeline!$Q$21*Pipeline!$D$21*MIN(1,MAX(0,(75-Pipeline!$E$21+1)/MAX(Pipeline!$F$21,1)))</f>
        <v>3654</v>
      </c>
      <c r="BZ14" s="138" t="n">
        <f aca="false">Pipeline!$Q$21*Pipeline!$D$21*MIN(1,MAX(0,(76-Pipeline!$E$21+1)/MAX(Pipeline!$F$21,1)))</f>
        <v>3654</v>
      </c>
      <c r="CA14" s="138" t="n">
        <f aca="false">Pipeline!$Q$21*Pipeline!$D$21*MIN(1,MAX(0,(77-Pipeline!$E$21+1)/MAX(Pipeline!$F$21,1)))</f>
        <v>3654</v>
      </c>
      <c r="CB14" s="138" t="n">
        <f aca="false">Pipeline!$Q$21*Pipeline!$D$21*MIN(1,MAX(0,(78-Pipeline!$E$21+1)/MAX(Pipeline!$F$21,1)))</f>
        <v>3654</v>
      </c>
      <c r="CC14" s="138" t="n">
        <f aca="false">Pipeline!$Q$21*Pipeline!$D$21*MIN(1,MAX(0,(79-Pipeline!$E$21+1)/MAX(Pipeline!$F$21,1)))</f>
        <v>3654</v>
      </c>
      <c r="CD14" s="138" t="n">
        <f aca="false">Pipeline!$Q$21*Pipeline!$D$21*MIN(1,MAX(0,(80-Pipeline!$E$21+1)/MAX(Pipeline!$F$21,1)))</f>
        <v>3654</v>
      </c>
      <c r="CE14" s="138" t="n">
        <f aca="false">Pipeline!$Q$21*Pipeline!$D$21*MIN(1,MAX(0,(81-Pipeline!$E$21+1)/MAX(Pipeline!$F$21,1)))</f>
        <v>3654</v>
      </c>
      <c r="CF14" s="138" t="n">
        <f aca="false">Pipeline!$Q$21*Pipeline!$D$21*MIN(1,MAX(0,(82-Pipeline!$E$21+1)/MAX(Pipeline!$F$21,1)))</f>
        <v>3654</v>
      </c>
      <c r="CG14" s="138" t="n">
        <f aca="false">Pipeline!$Q$21*Pipeline!$D$21*MIN(1,MAX(0,(83-Pipeline!$E$21+1)/MAX(Pipeline!$F$21,1)))</f>
        <v>3654</v>
      </c>
      <c r="CH14" s="138" t="n">
        <f aca="false">Pipeline!$Q$21*Pipeline!$D$21*MIN(1,MAX(0,(84-Pipeline!$E$21+1)/MAX(Pipeline!$F$21,1)))</f>
        <v>3654</v>
      </c>
    </row>
    <row r="15" customFormat="false" ht="13.5" hidden="false" customHeight="true" outlineLevel="0" collapsed="false">
      <c r="A15" s="13" t="s">
        <v>698</v>
      </c>
      <c r="C15" s="138" t="n">
        <f aca="false">Pipeline!$Q$22*Pipeline!$D$22*MIN(1,MAX(0,(1-Pipeline!$E$22+1)/MAX(Pipeline!$F$22,1)))</f>
        <v>0</v>
      </c>
      <c r="D15" s="138" t="n">
        <f aca="false">Pipeline!$Q$22*Pipeline!$D$22*MIN(1,MAX(0,(2-Pipeline!$E$22+1)/MAX(Pipeline!$F$22,1)))</f>
        <v>0</v>
      </c>
      <c r="E15" s="138" t="n">
        <f aca="false">Pipeline!$Q$22*Pipeline!$D$22*MIN(1,MAX(0,(3-Pipeline!$E$22+1)/MAX(Pipeline!$F$22,1)))</f>
        <v>0</v>
      </c>
      <c r="F15" s="138" t="n">
        <f aca="false">Pipeline!$Q$22*Pipeline!$D$22*MIN(1,MAX(0,(4-Pipeline!$E$22+1)/MAX(Pipeline!$F$22,1)))</f>
        <v>0</v>
      </c>
      <c r="G15" s="138" t="n">
        <f aca="false">Pipeline!$Q$22*Pipeline!$D$22*MIN(1,MAX(0,(5-Pipeline!$E$22+1)/MAX(Pipeline!$F$22,1)))</f>
        <v>0</v>
      </c>
      <c r="H15" s="138" t="n">
        <f aca="false">Pipeline!$Q$22*Pipeline!$D$22*MIN(1,MAX(0,(6-Pipeline!$E$22+1)/MAX(Pipeline!$F$22,1)))</f>
        <v>0</v>
      </c>
      <c r="I15" s="138" t="n">
        <f aca="false">Pipeline!$Q$22*Pipeline!$D$22*MIN(1,MAX(0,(7-Pipeline!$E$22+1)/MAX(Pipeline!$F$22,1)))</f>
        <v>0</v>
      </c>
      <c r="J15" s="138" t="n">
        <f aca="false">Pipeline!$Q$22*Pipeline!$D$22*MIN(1,MAX(0,(8-Pipeline!$E$22+1)/MAX(Pipeline!$F$22,1)))</f>
        <v>0</v>
      </c>
      <c r="K15" s="138" t="n">
        <f aca="false">Pipeline!$Q$22*Pipeline!$D$22*MIN(1,MAX(0,(9-Pipeline!$E$22+1)/MAX(Pipeline!$F$22,1)))</f>
        <v>0</v>
      </c>
      <c r="L15" s="138" t="n">
        <f aca="false">Pipeline!$Q$22*Pipeline!$D$22*MIN(1,MAX(0,(10-Pipeline!$E$22+1)/MAX(Pipeline!$F$22,1)))</f>
        <v>0</v>
      </c>
      <c r="M15" s="138" t="n">
        <f aca="false">Pipeline!$Q$22*Pipeline!$D$22*MIN(1,MAX(0,(11-Pipeline!$E$22+1)/MAX(Pipeline!$F$22,1)))</f>
        <v>0</v>
      </c>
      <c r="N15" s="138" t="n">
        <f aca="false">Pipeline!$Q$22*Pipeline!$D$22*MIN(1,MAX(0,(12-Pipeline!$E$22+1)/MAX(Pipeline!$F$22,1)))</f>
        <v>0</v>
      </c>
      <c r="O15" s="138" t="n">
        <f aca="false">Pipeline!$Q$22*Pipeline!$D$22*MIN(1,MAX(0,(13-Pipeline!$E$22+1)/MAX(Pipeline!$F$22,1)))</f>
        <v>0</v>
      </c>
      <c r="P15" s="138" t="n">
        <f aca="false">Pipeline!$Q$22*Pipeline!$D$22*MIN(1,MAX(0,(14-Pipeline!$E$22+1)/MAX(Pipeline!$F$22,1)))</f>
        <v>0</v>
      </c>
      <c r="Q15" s="138" t="n">
        <f aca="false">Pipeline!$Q$22*Pipeline!$D$22*MIN(1,MAX(0,(15-Pipeline!$E$22+1)/MAX(Pipeline!$F$22,1)))</f>
        <v>0</v>
      </c>
      <c r="R15" s="138" t="n">
        <f aca="false">Pipeline!$Q$22*Pipeline!$D$22*MIN(1,MAX(0,(16-Pipeline!$E$22+1)/MAX(Pipeline!$F$22,1)))</f>
        <v>0</v>
      </c>
      <c r="S15" s="138" t="n">
        <f aca="false">Pipeline!$Q$22*Pipeline!$D$22*MIN(1,MAX(0,(17-Pipeline!$E$22+1)/MAX(Pipeline!$F$22,1)))</f>
        <v>0</v>
      </c>
      <c r="T15" s="138" t="n">
        <f aca="false">Pipeline!$Q$22*Pipeline!$D$22*MIN(1,MAX(0,(18-Pipeline!$E$22+1)/MAX(Pipeline!$F$22,1)))</f>
        <v>0</v>
      </c>
      <c r="U15" s="138" t="n">
        <f aca="false">Pipeline!$Q$22*Pipeline!$D$22*MIN(1,MAX(0,(19-Pipeline!$E$22+1)/MAX(Pipeline!$F$22,1)))</f>
        <v>0</v>
      </c>
      <c r="V15" s="138" t="n">
        <f aca="false">Pipeline!$Q$22*Pipeline!$D$22*MIN(1,MAX(0,(20-Pipeline!$E$22+1)/MAX(Pipeline!$F$22,1)))</f>
        <v>0</v>
      </c>
      <c r="W15" s="138" t="n">
        <f aca="false">Pipeline!$Q$22*Pipeline!$D$22*MIN(1,MAX(0,(21-Pipeline!$E$22+1)/MAX(Pipeline!$F$22,1)))</f>
        <v>0</v>
      </c>
      <c r="X15" s="138" t="n">
        <f aca="false">Pipeline!$Q$22*Pipeline!$D$22*MIN(1,MAX(0,(22-Pipeline!$E$22+1)/MAX(Pipeline!$F$22,1)))</f>
        <v>0</v>
      </c>
      <c r="Y15" s="138" t="n">
        <f aca="false">Pipeline!$Q$22*Pipeline!$D$22*MIN(1,MAX(0,(23-Pipeline!$E$22+1)/MAX(Pipeline!$F$22,1)))</f>
        <v>0</v>
      </c>
      <c r="Z15" s="138" t="n">
        <f aca="false">Pipeline!$Q$22*Pipeline!$D$22*MIN(1,MAX(0,(24-Pipeline!$E$22+1)/MAX(Pipeline!$F$22,1)))</f>
        <v>0</v>
      </c>
      <c r="AA15" s="138" t="n">
        <f aca="false">Pipeline!$Q$22*Pipeline!$D$22*MIN(1,MAX(0,(25-Pipeline!$E$22+1)/MAX(Pipeline!$F$22,1)))</f>
        <v>0</v>
      </c>
      <c r="AB15" s="138" t="n">
        <f aca="false">Pipeline!$Q$22*Pipeline!$D$22*MIN(1,MAX(0,(26-Pipeline!$E$22+1)/MAX(Pipeline!$F$22,1)))</f>
        <v>0</v>
      </c>
      <c r="AC15" s="138" t="n">
        <f aca="false">Pipeline!$Q$22*Pipeline!$D$22*MIN(1,MAX(0,(27-Pipeline!$E$22+1)/MAX(Pipeline!$F$22,1)))</f>
        <v>0</v>
      </c>
      <c r="AD15" s="138" t="n">
        <f aca="false">Pipeline!$Q$22*Pipeline!$D$22*MIN(1,MAX(0,(28-Pipeline!$E$22+1)/MAX(Pipeline!$F$22,1)))</f>
        <v>0</v>
      </c>
      <c r="AE15" s="138" t="n">
        <f aca="false">Pipeline!$Q$22*Pipeline!$D$22*MIN(1,MAX(0,(29-Pipeline!$E$22+1)/MAX(Pipeline!$F$22,1)))</f>
        <v>0</v>
      </c>
      <c r="AF15" s="138" t="n">
        <f aca="false">Pipeline!$Q$22*Pipeline!$D$22*MIN(1,MAX(0,(30-Pipeline!$E$22+1)/MAX(Pipeline!$F$22,1)))</f>
        <v>0</v>
      </c>
      <c r="AG15" s="138" t="n">
        <f aca="false">Pipeline!$Q$22*Pipeline!$D$22*MIN(1,MAX(0,(31-Pipeline!$E$22+1)/MAX(Pipeline!$F$22,1)))</f>
        <v>0</v>
      </c>
      <c r="AH15" s="138" t="n">
        <f aca="false">Pipeline!$Q$22*Pipeline!$D$22*MIN(1,MAX(0,(32-Pipeline!$E$22+1)/MAX(Pipeline!$F$22,1)))</f>
        <v>0</v>
      </c>
      <c r="AI15" s="138" t="n">
        <f aca="false">Pipeline!$Q$22*Pipeline!$D$22*MIN(1,MAX(0,(33-Pipeline!$E$22+1)/MAX(Pipeline!$F$22,1)))</f>
        <v>0</v>
      </c>
      <c r="AJ15" s="138" t="n">
        <f aca="false">Pipeline!$Q$22*Pipeline!$D$22*MIN(1,MAX(0,(34-Pipeline!$E$22+1)/MAX(Pipeline!$F$22,1)))</f>
        <v>0</v>
      </c>
      <c r="AK15" s="138" t="n">
        <f aca="false">Pipeline!$Q$22*Pipeline!$D$22*MIN(1,MAX(0,(35-Pipeline!$E$22+1)/MAX(Pipeline!$F$22,1)))</f>
        <v>0</v>
      </c>
      <c r="AL15" s="138" t="n">
        <f aca="false">Pipeline!$Q$22*Pipeline!$D$22*MIN(1,MAX(0,(36-Pipeline!$E$22+1)/MAX(Pipeline!$F$22,1)))</f>
        <v>0</v>
      </c>
      <c r="AM15" s="138" t="n">
        <f aca="false">Pipeline!$Q$22*Pipeline!$D$22*MIN(1,MAX(0,(37-Pipeline!$E$22+1)/MAX(Pipeline!$F$22,1)))</f>
        <v>0</v>
      </c>
      <c r="AN15" s="138" t="n">
        <f aca="false">Pipeline!$Q$22*Pipeline!$D$22*MIN(1,MAX(0,(38-Pipeline!$E$22+1)/MAX(Pipeline!$F$22,1)))</f>
        <v>0</v>
      </c>
      <c r="AO15" s="138" t="n">
        <f aca="false">Pipeline!$Q$22*Pipeline!$D$22*MIN(1,MAX(0,(39-Pipeline!$E$22+1)/MAX(Pipeline!$F$22,1)))</f>
        <v>0</v>
      </c>
      <c r="AP15" s="138" t="n">
        <f aca="false">Pipeline!$Q$22*Pipeline!$D$22*MIN(1,MAX(0,(40-Pipeline!$E$22+1)/MAX(Pipeline!$F$22,1)))</f>
        <v>0</v>
      </c>
      <c r="AQ15" s="138" t="n">
        <f aca="false">Pipeline!$Q$22*Pipeline!$D$22*MIN(1,MAX(0,(41-Pipeline!$E$22+1)/MAX(Pipeline!$F$22,1)))</f>
        <v>0</v>
      </c>
      <c r="AR15" s="138" t="n">
        <f aca="false">Pipeline!$Q$22*Pipeline!$D$22*MIN(1,MAX(0,(42-Pipeline!$E$22+1)/MAX(Pipeline!$F$22,1)))</f>
        <v>0</v>
      </c>
      <c r="AS15" s="138" t="n">
        <f aca="false">Pipeline!$Q$22*Pipeline!$D$22*MIN(1,MAX(0,(43-Pipeline!$E$22+1)/MAX(Pipeline!$F$22,1)))</f>
        <v>0</v>
      </c>
      <c r="AT15" s="138" t="n">
        <f aca="false">Pipeline!$Q$22*Pipeline!$D$22*MIN(1,MAX(0,(44-Pipeline!$E$22+1)/MAX(Pipeline!$F$22,1)))</f>
        <v>0</v>
      </c>
      <c r="AU15" s="138" t="n">
        <f aca="false">Pipeline!$Q$22*Pipeline!$D$22*MIN(1,MAX(0,(45-Pipeline!$E$22+1)/MAX(Pipeline!$F$22,1)))</f>
        <v>0</v>
      </c>
      <c r="AV15" s="138" t="n">
        <f aca="false">Pipeline!$Q$22*Pipeline!$D$22*MIN(1,MAX(0,(46-Pipeline!$E$22+1)/MAX(Pipeline!$F$22,1)))</f>
        <v>0</v>
      </c>
      <c r="AW15" s="138" t="n">
        <f aca="false">Pipeline!$Q$22*Pipeline!$D$22*MIN(1,MAX(0,(47-Pipeline!$E$22+1)/MAX(Pipeline!$F$22,1)))</f>
        <v>0</v>
      </c>
      <c r="AX15" s="138" t="n">
        <f aca="false">Pipeline!$Q$22*Pipeline!$D$22*MIN(1,MAX(0,(48-Pipeline!$E$22+1)/MAX(Pipeline!$F$22,1)))</f>
        <v>0</v>
      </c>
      <c r="AY15" s="138" t="n">
        <f aca="false">Pipeline!$Q$22*Pipeline!$D$22*MIN(1,MAX(0,(49-Pipeline!$E$22+1)/MAX(Pipeline!$F$22,1)))</f>
        <v>0</v>
      </c>
      <c r="AZ15" s="138" t="n">
        <f aca="false">Pipeline!$Q$22*Pipeline!$D$22*MIN(1,MAX(0,(50-Pipeline!$E$22+1)/MAX(Pipeline!$F$22,1)))</f>
        <v>0</v>
      </c>
      <c r="BA15" s="138" t="n">
        <f aca="false">Pipeline!$Q$22*Pipeline!$D$22*MIN(1,MAX(0,(51-Pipeline!$E$22+1)/MAX(Pipeline!$F$22,1)))</f>
        <v>0</v>
      </c>
      <c r="BB15" s="138" t="n">
        <f aca="false">Pipeline!$Q$22*Pipeline!$D$22*MIN(1,MAX(0,(52-Pipeline!$E$22+1)/MAX(Pipeline!$F$22,1)))</f>
        <v>0</v>
      </c>
      <c r="BC15" s="138" t="n">
        <f aca="false">Pipeline!$Q$22*Pipeline!$D$22*MIN(1,MAX(0,(53-Pipeline!$E$22+1)/MAX(Pipeline!$F$22,1)))</f>
        <v>0</v>
      </c>
      <c r="BD15" s="138" t="n">
        <f aca="false">Pipeline!$Q$22*Pipeline!$D$22*MIN(1,MAX(0,(54-Pipeline!$E$22+1)/MAX(Pipeline!$F$22,1)))</f>
        <v>0</v>
      </c>
      <c r="BE15" s="138" t="n">
        <f aca="false">Pipeline!$Q$22*Pipeline!$D$22*MIN(1,MAX(0,(55-Pipeline!$E$22+1)/MAX(Pipeline!$F$22,1)))</f>
        <v>0</v>
      </c>
      <c r="BF15" s="138" t="n">
        <f aca="false">Pipeline!$Q$22*Pipeline!$D$22*MIN(1,MAX(0,(56-Pipeline!$E$22+1)/MAX(Pipeline!$F$22,1)))</f>
        <v>0</v>
      </c>
      <c r="BG15" s="138" t="n">
        <f aca="false">Pipeline!$Q$22*Pipeline!$D$22*MIN(1,MAX(0,(57-Pipeline!$E$22+1)/MAX(Pipeline!$F$22,1)))</f>
        <v>0</v>
      </c>
      <c r="BH15" s="138" t="n">
        <f aca="false">Pipeline!$Q$22*Pipeline!$D$22*MIN(1,MAX(0,(58-Pipeline!$E$22+1)/MAX(Pipeline!$F$22,1)))</f>
        <v>0</v>
      </c>
      <c r="BI15" s="138" t="n">
        <f aca="false">Pipeline!$Q$22*Pipeline!$D$22*MIN(1,MAX(0,(59-Pipeline!$E$22+1)/MAX(Pipeline!$F$22,1)))</f>
        <v>0</v>
      </c>
      <c r="BJ15" s="138" t="n">
        <f aca="false">Pipeline!$Q$22*Pipeline!$D$22*MIN(1,MAX(0,(60-Pipeline!$E$22+1)/MAX(Pipeline!$F$22,1)))</f>
        <v>0</v>
      </c>
      <c r="BK15" s="138" t="n">
        <f aca="false">Pipeline!$Q$22*Pipeline!$D$22*MIN(1,MAX(0,(61-Pipeline!$E$22+1)/MAX(Pipeline!$F$22,1)))</f>
        <v>0</v>
      </c>
      <c r="BL15" s="138" t="n">
        <f aca="false">Pipeline!$Q$22*Pipeline!$D$22*MIN(1,MAX(0,(62-Pipeline!$E$22+1)/MAX(Pipeline!$F$22,1)))</f>
        <v>0</v>
      </c>
      <c r="BM15" s="138" t="n">
        <f aca="false">Pipeline!$Q$22*Pipeline!$D$22*MIN(1,MAX(0,(63-Pipeline!$E$22+1)/MAX(Pipeline!$F$22,1)))</f>
        <v>0</v>
      </c>
      <c r="BN15" s="138" t="n">
        <f aca="false">Pipeline!$Q$22*Pipeline!$D$22*MIN(1,MAX(0,(64-Pipeline!$E$22+1)/MAX(Pipeline!$F$22,1)))</f>
        <v>0</v>
      </c>
      <c r="BO15" s="138" t="n">
        <f aca="false">Pipeline!$Q$22*Pipeline!$D$22*MIN(1,MAX(0,(65-Pipeline!$E$22+1)/MAX(Pipeline!$F$22,1)))</f>
        <v>0</v>
      </c>
      <c r="BP15" s="138" t="n">
        <f aca="false">Pipeline!$Q$22*Pipeline!$D$22*MIN(1,MAX(0,(66-Pipeline!$E$22+1)/MAX(Pipeline!$F$22,1)))</f>
        <v>0</v>
      </c>
      <c r="BQ15" s="138" t="n">
        <f aca="false">Pipeline!$Q$22*Pipeline!$D$22*MIN(1,MAX(0,(67-Pipeline!$E$22+1)/MAX(Pipeline!$F$22,1)))</f>
        <v>0</v>
      </c>
      <c r="BR15" s="138" t="n">
        <f aca="false">Pipeline!$Q$22*Pipeline!$D$22*MIN(1,MAX(0,(68-Pipeline!$E$22+1)/MAX(Pipeline!$F$22,1)))</f>
        <v>0</v>
      </c>
      <c r="BS15" s="138" t="n">
        <f aca="false">Pipeline!$Q$22*Pipeline!$D$22*MIN(1,MAX(0,(69-Pipeline!$E$22+1)/MAX(Pipeline!$F$22,1)))</f>
        <v>0</v>
      </c>
      <c r="BT15" s="138" t="n">
        <f aca="false">Pipeline!$Q$22*Pipeline!$D$22*MIN(1,MAX(0,(70-Pipeline!$E$22+1)/MAX(Pipeline!$F$22,1)))</f>
        <v>0</v>
      </c>
      <c r="BU15" s="138" t="n">
        <f aca="false">Pipeline!$Q$22*Pipeline!$D$22*MIN(1,MAX(0,(71-Pipeline!$E$22+1)/MAX(Pipeline!$F$22,1)))</f>
        <v>0</v>
      </c>
      <c r="BV15" s="138" t="n">
        <f aca="false">Pipeline!$Q$22*Pipeline!$D$22*MIN(1,MAX(0,(72-Pipeline!$E$22+1)/MAX(Pipeline!$F$22,1)))</f>
        <v>0</v>
      </c>
      <c r="BW15" s="138" t="n">
        <f aca="false">Pipeline!$Q$22*Pipeline!$D$22*MIN(1,MAX(0,(73-Pipeline!$E$22+1)/MAX(Pipeline!$F$22,1)))</f>
        <v>0</v>
      </c>
      <c r="BX15" s="138" t="n">
        <f aca="false">Pipeline!$Q$22*Pipeline!$D$22*MIN(1,MAX(0,(74-Pipeline!$E$22+1)/MAX(Pipeline!$F$22,1)))</f>
        <v>0</v>
      </c>
      <c r="BY15" s="138" t="n">
        <f aca="false">Pipeline!$Q$22*Pipeline!$D$22*MIN(1,MAX(0,(75-Pipeline!$E$22+1)/MAX(Pipeline!$F$22,1)))</f>
        <v>0</v>
      </c>
      <c r="BZ15" s="138" t="n">
        <f aca="false">Pipeline!$Q$22*Pipeline!$D$22*MIN(1,MAX(0,(76-Pipeline!$E$22+1)/MAX(Pipeline!$F$22,1)))</f>
        <v>0</v>
      </c>
      <c r="CA15" s="138" t="n">
        <f aca="false">Pipeline!$Q$22*Pipeline!$D$22*MIN(1,MAX(0,(77-Pipeline!$E$22+1)/MAX(Pipeline!$F$22,1)))</f>
        <v>0</v>
      </c>
      <c r="CB15" s="138" t="n">
        <f aca="false">Pipeline!$Q$22*Pipeline!$D$22*MIN(1,MAX(0,(78-Pipeline!$E$22+1)/MAX(Pipeline!$F$22,1)))</f>
        <v>0</v>
      </c>
      <c r="CC15" s="138" t="n">
        <f aca="false">Pipeline!$Q$22*Pipeline!$D$22*MIN(1,MAX(0,(79-Pipeline!$E$22+1)/MAX(Pipeline!$F$22,1)))</f>
        <v>0</v>
      </c>
      <c r="CD15" s="138" t="n">
        <f aca="false">Pipeline!$Q$22*Pipeline!$D$22*MIN(1,MAX(0,(80-Pipeline!$E$22+1)/MAX(Pipeline!$F$22,1)))</f>
        <v>0</v>
      </c>
      <c r="CE15" s="138" t="n">
        <f aca="false">Pipeline!$Q$22*Pipeline!$D$22*MIN(1,MAX(0,(81-Pipeline!$E$22+1)/MAX(Pipeline!$F$22,1)))</f>
        <v>0</v>
      </c>
      <c r="CF15" s="138" t="n">
        <f aca="false">Pipeline!$Q$22*Pipeline!$D$22*MIN(1,MAX(0,(82-Pipeline!$E$22+1)/MAX(Pipeline!$F$22,1)))</f>
        <v>0</v>
      </c>
      <c r="CG15" s="138" t="n">
        <f aca="false">Pipeline!$Q$22*Pipeline!$D$22*MIN(1,MAX(0,(83-Pipeline!$E$22+1)/MAX(Pipeline!$F$22,1)))</f>
        <v>0</v>
      </c>
      <c r="CH15" s="138" t="n">
        <f aca="false">Pipeline!$Q$22*Pipeline!$D$22*MIN(1,MAX(0,(84-Pipeline!$E$22+1)/MAX(Pipeline!$F$22,1)))</f>
        <v>0</v>
      </c>
    </row>
    <row r="16" customFormat="false" ht="13.5" hidden="false" customHeight="true" outlineLevel="0" collapsed="false">
      <c r="A16" s="30" t="s">
        <v>699</v>
      </c>
      <c r="C16" s="138" t="n">
        <f aca="false">SUM(C9:C15)</f>
        <v>1033.125</v>
      </c>
      <c r="D16" s="138" t="n">
        <f aca="false">SUM(D9:D15)</f>
        <v>2144.55</v>
      </c>
      <c r="E16" s="138" t="n">
        <f aca="false">SUM(E9:E15)</f>
        <v>4457.6625</v>
      </c>
      <c r="F16" s="138" t="n">
        <f aca="false">SUM(F9:F15)</f>
        <v>5737.65</v>
      </c>
      <c r="G16" s="138" t="n">
        <f aca="false">SUM(G9:G15)</f>
        <v>6939.3375</v>
      </c>
      <c r="H16" s="138" t="n">
        <f aca="false">SUM(H9:H15)</f>
        <v>8858.775</v>
      </c>
      <c r="I16" s="138" t="n">
        <f aca="false">SUM(I9:I15)</f>
        <v>10778.2125</v>
      </c>
      <c r="J16" s="138" t="n">
        <f aca="false">SUM(J9:J15)</f>
        <v>12697.65</v>
      </c>
      <c r="K16" s="138" t="n">
        <f aca="false">SUM(K9:K15)</f>
        <v>14617.0875</v>
      </c>
      <c r="L16" s="138" t="n">
        <f aca="false">SUM(L9:L15)</f>
        <v>16536.525</v>
      </c>
      <c r="M16" s="138" t="n">
        <f aca="false">SUM(M9:M15)</f>
        <v>17254.275</v>
      </c>
      <c r="N16" s="138" t="n">
        <f aca="false">SUM(N9:N15)</f>
        <v>18950.775</v>
      </c>
      <c r="O16" s="138" t="n">
        <f aca="false">SUM(O9:O15)</f>
        <v>20647.275</v>
      </c>
      <c r="P16" s="138" t="n">
        <f aca="false">SUM(P9:P15)</f>
        <v>21991.425</v>
      </c>
      <c r="Q16" s="138" t="n">
        <f aca="false">SUM(Q9:Q15)</f>
        <v>23335.575</v>
      </c>
      <c r="R16" s="138" t="n">
        <f aca="false">SUM(R9:R15)</f>
        <v>24679.725</v>
      </c>
      <c r="S16" s="138" t="n">
        <f aca="false">SUM(S9:S15)</f>
        <v>26023.875</v>
      </c>
      <c r="T16" s="138" t="n">
        <f aca="false">SUM(T9:T15)</f>
        <v>27368.025</v>
      </c>
      <c r="U16" s="138" t="n">
        <f aca="false">SUM(U9:U15)</f>
        <v>28712.175</v>
      </c>
      <c r="V16" s="138" t="n">
        <f aca="false">SUM(V9:V15)</f>
        <v>30056.325</v>
      </c>
      <c r="W16" s="138" t="n">
        <f aca="false">SUM(W9:W15)</f>
        <v>31400.475</v>
      </c>
      <c r="X16" s="138" t="n">
        <f aca="false">SUM(X9:X15)</f>
        <v>31765.875</v>
      </c>
      <c r="Y16" s="138" t="n">
        <f aca="false">SUM(Y9:Y15)</f>
        <v>32131.275</v>
      </c>
      <c r="Z16" s="138" t="n">
        <f aca="false">SUM(Z9:Z15)</f>
        <v>32131.275</v>
      </c>
      <c r="AA16" s="138" t="n">
        <f aca="false">SUM(AA9:AA15)</f>
        <v>32131.275</v>
      </c>
      <c r="AB16" s="138" t="n">
        <f aca="false">SUM(AB9:AB15)</f>
        <v>32131.275</v>
      </c>
      <c r="AC16" s="138" t="n">
        <f aca="false">SUM(AC9:AC15)</f>
        <v>32131.275</v>
      </c>
      <c r="AD16" s="138" t="n">
        <f aca="false">SUM(AD9:AD15)</f>
        <v>32131.275</v>
      </c>
      <c r="AE16" s="138" t="n">
        <f aca="false">SUM(AE9:AE15)</f>
        <v>32131.275</v>
      </c>
      <c r="AF16" s="138" t="n">
        <f aca="false">SUM(AF9:AF15)</f>
        <v>32131.275</v>
      </c>
      <c r="AG16" s="138" t="n">
        <f aca="false">SUM(AG9:AG15)</f>
        <v>32131.275</v>
      </c>
      <c r="AH16" s="138" t="n">
        <f aca="false">SUM(AH9:AH15)</f>
        <v>32131.275</v>
      </c>
      <c r="AI16" s="138" t="n">
        <f aca="false">SUM(AI9:AI15)</f>
        <v>32131.275</v>
      </c>
      <c r="AJ16" s="138" t="n">
        <f aca="false">SUM(AJ9:AJ15)</f>
        <v>32131.275</v>
      </c>
      <c r="AK16" s="138" t="n">
        <f aca="false">SUM(AK9:AK15)</f>
        <v>32131.275</v>
      </c>
      <c r="AL16" s="138" t="n">
        <f aca="false">SUM(AL9:AL15)</f>
        <v>32131.275</v>
      </c>
      <c r="AM16" s="138" t="n">
        <f aca="false">SUM(AM9:AM15)</f>
        <v>32131.275</v>
      </c>
      <c r="AN16" s="138" t="n">
        <f aca="false">SUM(AN9:AN15)</f>
        <v>32131.275</v>
      </c>
      <c r="AO16" s="138" t="n">
        <f aca="false">SUM(AO9:AO15)</f>
        <v>32131.275</v>
      </c>
      <c r="AP16" s="138" t="n">
        <f aca="false">SUM(AP9:AP15)</f>
        <v>32131.275</v>
      </c>
      <c r="AQ16" s="138" t="n">
        <f aca="false">SUM(AQ9:AQ15)</f>
        <v>32131.275</v>
      </c>
      <c r="AR16" s="138" t="n">
        <f aca="false">SUM(AR9:AR15)</f>
        <v>32131.275</v>
      </c>
      <c r="AS16" s="138" t="n">
        <f aca="false">SUM(AS9:AS15)</f>
        <v>32131.275</v>
      </c>
      <c r="AT16" s="138" t="n">
        <f aca="false">SUM(AT9:AT15)</f>
        <v>32131.275</v>
      </c>
      <c r="AU16" s="138" t="n">
        <f aca="false">SUM(AU9:AU15)</f>
        <v>32131.275</v>
      </c>
      <c r="AV16" s="138" t="n">
        <f aca="false">SUM(AV9:AV15)</f>
        <v>32131.275</v>
      </c>
      <c r="AW16" s="138" t="n">
        <f aca="false">SUM(AW9:AW15)</f>
        <v>32131.275</v>
      </c>
      <c r="AX16" s="138" t="n">
        <f aca="false">SUM(AX9:AX15)</f>
        <v>32131.275</v>
      </c>
      <c r="AY16" s="138" t="n">
        <f aca="false">SUM(AY9:AY15)</f>
        <v>32131.275</v>
      </c>
      <c r="AZ16" s="138" t="n">
        <f aca="false">SUM(AZ9:AZ15)</f>
        <v>32131.275</v>
      </c>
      <c r="BA16" s="138" t="n">
        <f aca="false">SUM(BA9:BA15)</f>
        <v>32131.275</v>
      </c>
      <c r="BB16" s="138" t="n">
        <f aca="false">SUM(BB9:BB15)</f>
        <v>32131.275</v>
      </c>
      <c r="BC16" s="138" t="n">
        <f aca="false">SUM(BC9:BC15)</f>
        <v>32131.275</v>
      </c>
      <c r="BD16" s="138" t="n">
        <f aca="false">SUM(BD9:BD15)</f>
        <v>32131.275</v>
      </c>
      <c r="BE16" s="138" t="n">
        <f aca="false">SUM(BE9:BE15)</f>
        <v>32131.275</v>
      </c>
      <c r="BF16" s="138" t="n">
        <f aca="false">SUM(BF9:BF15)</f>
        <v>32131.275</v>
      </c>
      <c r="BG16" s="138" t="n">
        <f aca="false">SUM(BG9:BG15)</f>
        <v>32131.275</v>
      </c>
      <c r="BH16" s="138" t="n">
        <f aca="false">SUM(BH9:BH15)</f>
        <v>32131.275</v>
      </c>
      <c r="BI16" s="138" t="n">
        <f aca="false">SUM(BI9:BI15)</f>
        <v>32131.275</v>
      </c>
      <c r="BJ16" s="138" t="n">
        <f aca="false">SUM(BJ9:BJ15)</f>
        <v>32131.275</v>
      </c>
      <c r="BK16" s="138" t="n">
        <f aca="false">SUM(BK9:BK15)</f>
        <v>32131.275</v>
      </c>
      <c r="BL16" s="138" t="n">
        <f aca="false">SUM(BL9:BL15)</f>
        <v>32131.275</v>
      </c>
      <c r="BM16" s="138" t="n">
        <f aca="false">SUM(BM9:BM15)</f>
        <v>32131.275</v>
      </c>
      <c r="BN16" s="138" t="n">
        <f aca="false">SUM(BN9:BN15)</f>
        <v>32131.275</v>
      </c>
      <c r="BO16" s="138" t="n">
        <f aca="false">SUM(BO9:BO15)</f>
        <v>32131.275</v>
      </c>
      <c r="BP16" s="138" t="n">
        <f aca="false">SUM(BP9:BP15)</f>
        <v>32131.275</v>
      </c>
      <c r="BQ16" s="138" t="n">
        <f aca="false">SUM(BQ9:BQ15)</f>
        <v>32131.275</v>
      </c>
      <c r="BR16" s="138" t="n">
        <f aca="false">SUM(BR9:BR15)</f>
        <v>32131.275</v>
      </c>
      <c r="BS16" s="138" t="n">
        <f aca="false">SUM(BS9:BS15)</f>
        <v>32131.275</v>
      </c>
      <c r="BT16" s="138" t="n">
        <f aca="false">SUM(BT9:BT15)</f>
        <v>32131.275</v>
      </c>
      <c r="BU16" s="138" t="n">
        <f aca="false">SUM(BU9:BU15)</f>
        <v>32131.275</v>
      </c>
      <c r="BV16" s="138" t="n">
        <f aca="false">SUM(BV9:BV15)</f>
        <v>32131.275</v>
      </c>
      <c r="BW16" s="138" t="n">
        <f aca="false">SUM(BW9:BW15)</f>
        <v>32131.275</v>
      </c>
      <c r="BX16" s="138" t="n">
        <f aca="false">SUM(BX9:BX15)</f>
        <v>32131.275</v>
      </c>
      <c r="BY16" s="138" t="n">
        <f aca="false">SUM(BY9:BY15)</f>
        <v>32131.275</v>
      </c>
      <c r="BZ16" s="138" t="n">
        <f aca="false">SUM(BZ9:BZ15)</f>
        <v>32131.275</v>
      </c>
      <c r="CA16" s="138" t="n">
        <f aca="false">SUM(CA9:CA15)</f>
        <v>32131.275</v>
      </c>
      <c r="CB16" s="138" t="n">
        <f aca="false">SUM(CB9:CB15)</f>
        <v>32131.275</v>
      </c>
      <c r="CC16" s="138" t="n">
        <f aca="false">SUM(CC9:CC15)</f>
        <v>32131.275</v>
      </c>
      <c r="CD16" s="138" t="n">
        <f aca="false">SUM(CD9:CD15)</f>
        <v>32131.275</v>
      </c>
      <c r="CE16" s="138" t="n">
        <f aca="false">SUM(CE9:CE15)</f>
        <v>32131.275</v>
      </c>
      <c r="CF16" s="138" t="n">
        <f aca="false">SUM(CF9:CF15)</f>
        <v>32131.275</v>
      </c>
      <c r="CG16" s="138" t="n">
        <f aca="false">SUM(CG9:CG15)</f>
        <v>32131.275</v>
      </c>
      <c r="CH16" s="138" t="n">
        <f aca="false">SUM(CH9:CH15)</f>
        <v>32131.275</v>
      </c>
    </row>
    <row r="17" customFormat="false" ht="13.5" hidden="false" customHeight="true" outlineLevel="0" collapsed="false">
      <c r="A17" s="13" t="s">
        <v>700</v>
      </c>
      <c r="C17" s="139" t="n">
        <f aca="false">(Pipeline!$T$16*Pipeline!$D$16*MIN(1,MAX(0,(1-Pipeline!$E$16+1)/MAX(Pipeline!$F$16,1)))+Pipeline!$T$17*Pipeline!$D$17*MIN(1,MAX(0,(1-Pipeline!$E$17+1)/MAX(Pipeline!$F$17,1)))+Pipeline!$T$18*Pipeline!$D$18*MIN(1,MAX(0,(1-Pipeline!$E$18+1)/MAX(Pipeline!$F$18,1)))+Pipeline!$T$19*Pipeline!$D$19*MIN(1,MAX(0,(1-Pipeline!$E$19+1)/MAX(Pipeline!$F$19,1)))+Pipeline!$T$20*Pipeline!$D$20*MIN(1,MAX(0,(1-Pipeline!$E$20+1)/MAX(Pipeline!$F$20,1)))+Pipeline!$T$21*Pipeline!$D$21*MIN(1,MAX(0,(1-Pipeline!$E$21+1)/MAX(Pipeline!$F$21,1)))+Pipeline!$T$22*Pipeline!$D$22*MIN(1,MAX(0,(1-Pipeline!$E$22+1)/MAX(Pipeline!$F$22,1))))/Hipótesis!$F$17</f>
        <v>102.916666666667</v>
      </c>
      <c r="D17" s="139" t="n">
        <f aca="false">(Pipeline!$T$16*Pipeline!$D$16*MIN(1,MAX(0,(2-Pipeline!$E$16+1)/MAX(Pipeline!$F$16,1)))+Pipeline!$T$17*Pipeline!$D$17*MIN(1,MAX(0,(2-Pipeline!$E$17+1)/MAX(Pipeline!$F$17,1)))+Pipeline!$T$18*Pipeline!$D$18*MIN(1,MAX(0,(2-Pipeline!$E$18+1)/MAX(Pipeline!$F$18,1)))+Pipeline!$T$19*Pipeline!$D$19*MIN(1,MAX(0,(2-Pipeline!$E$19+1)/MAX(Pipeline!$F$19,1)))+Pipeline!$T$20*Pipeline!$D$20*MIN(1,MAX(0,(2-Pipeline!$E$20+1)/MAX(Pipeline!$F$20,1)))+Pipeline!$T$21*Pipeline!$D$21*MIN(1,MAX(0,(2-Pipeline!$E$21+1)/MAX(Pipeline!$F$21,1)))+Pipeline!$T$22*Pipeline!$D$22*MIN(1,MAX(0,(2-Pipeline!$E$22+1)/MAX(Pipeline!$F$22,1))))/Hipótesis!$F$17</f>
        <v>221.186274509804</v>
      </c>
      <c r="E17" s="139" t="n">
        <f aca="false">(Pipeline!$T$16*Pipeline!$D$16*MIN(1,MAX(0,(3-Pipeline!$E$16+1)/MAX(Pipeline!$F$16,1)))+Pipeline!$T$17*Pipeline!$D$17*MIN(1,MAX(0,(3-Pipeline!$E$17+1)/MAX(Pipeline!$F$17,1)))+Pipeline!$T$18*Pipeline!$D$18*MIN(1,MAX(0,(3-Pipeline!$E$18+1)/MAX(Pipeline!$F$18,1)))+Pipeline!$T$19*Pipeline!$D$19*MIN(1,MAX(0,(3-Pipeline!$E$19+1)/MAX(Pipeline!$F$19,1)))+Pipeline!$T$20*Pipeline!$D$20*MIN(1,MAX(0,(3-Pipeline!$E$20+1)/MAX(Pipeline!$F$20,1)))+Pipeline!$T$21*Pipeline!$D$21*MIN(1,MAX(0,(3-Pipeline!$E$21+1)/MAX(Pipeline!$F$21,1)))+Pipeline!$T$22*Pipeline!$D$22*MIN(1,MAX(0,(3-Pipeline!$E$22+1)/MAX(Pipeline!$F$22,1))))/Hipótesis!$F$17</f>
        <v>538.868509903962</v>
      </c>
      <c r="F17" s="139" t="n">
        <f aca="false">(Pipeline!$T$16*Pipeline!$D$16*MIN(1,MAX(0,(4-Pipeline!$E$16+1)/MAX(Pipeline!$F$16,1)))+Pipeline!$T$17*Pipeline!$D$17*MIN(1,MAX(0,(4-Pipeline!$E$17+1)/MAX(Pipeline!$F$17,1)))+Pipeline!$T$18*Pipeline!$D$18*MIN(1,MAX(0,(4-Pipeline!$E$18+1)/MAX(Pipeline!$F$18,1)))+Pipeline!$T$19*Pipeline!$D$19*MIN(1,MAX(0,(4-Pipeline!$E$19+1)/MAX(Pipeline!$F$19,1)))+Pipeline!$T$20*Pipeline!$D$20*MIN(1,MAX(0,(4-Pipeline!$E$20+1)/MAX(Pipeline!$F$20,1)))+Pipeline!$T$21*Pipeline!$D$21*MIN(1,MAX(0,(4-Pipeline!$E$21+1)/MAX(Pipeline!$F$21,1)))+Pipeline!$T$22*Pipeline!$D$22*MIN(1,MAX(0,(4-Pipeline!$E$22+1)/MAX(Pipeline!$F$22,1))))/Hipótesis!$F$17</f>
        <v>753.634078631453</v>
      </c>
      <c r="G17" s="139" t="n">
        <f aca="false">(Pipeline!$T$16*Pipeline!$D$16*MIN(1,MAX(0,(5-Pipeline!$E$16+1)/MAX(Pipeline!$F$16,1)))+Pipeline!$T$17*Pipeline!$D$17*MIN(1,MAX(0,(5-Pipeline!$E$17+1)/MAX(Pipeline!$F$17,1)))+Pipeline!$T$18*Pipeline!$D$18*MIN(1,MAX(0,(5-Pipeline!$E$18+1)/MAX(Pipeline!$F$18,1)))+Pipeline!$T$19*Pipeline!$D$19*MIN(1,MAX(0,(5-Pipeline!$E$19+1)/MAX(Pipeline!$F$19,1)))+Pipeline!$T$20*Pipeline!$D$20*MIN(1,MAX(0,(5-Pipeline!$E$20+1)/MAX(Pipeline!$F$20,1)))+Pipeline!$T$21*Pipeline!$D$21*MIN(1,MAX(0,(5-Pipeline!$E$21+1)/MAX(Pipeline!$F$21,1)))+Pipeline!$T$22*Pipeline!$D$22*MIN(1,MAX(0,(5-Pipeline!$E$22+1)/MAX(Pipeline!$F$22,1))))/Hipótesis!$F$17</f>
        <v>953.046706182473</v>
      </c>
      <c r="H17" s="139" t="n">
        <f aca="false">(Pipeline!$T$16*Pipeline!$D$16*MIN(1,MAX(0,(6-Pipeline!$E$16+1)/MAX(Pipeline!$F$16,1)))+Pipeline!$T$17*Pipeline!$D$17*MIN(1,MAX(0,(6-Pipeline!$E$17+1)/MAX(Pipeline!$F$17,1)))+Pipeline!$T$18*Pipeline!$D$18*MIN(1,MAX(0,(6-Pipeline!$E$18+1)/MAX(Pipeline!$F$18,1)))+Pipeline!$T$19*Pipeline!$D$19*MIN(1,MAX(0,(6-Pipeline!$E$19+1)/MAX(Pipeline!$F$19,1)))+Pipeline!$T$20*Pipeline!$D$20*MIN(1,MAX(0,(6-Pipeline!$E$20+1)/MAX(Pipeline!$F$20,1)))+Pipeline!$T$21*Pipeline!$D$21*MIN(1,MAX(0,(6-Pipeline!$E$21+1)/MAX(Pipeline!$F$21,1)))+Pipeline!$T$22*Pipeline!$D$22*MIN(1,MAX(0,(6-Pipeline!$E$22+1)/MAX(Pipeline!$F$22,1))))/Hipótesis!$F$17</f>
        <v>1328.37845138055</v>
      </c>
      <c r="I17" s="139" t="n">
        <f aca="false">(Pipeline!$T$16*Pipeline!$D$16*MIN(1,MAX(0,(7-Pipeline!$E$16+1)/MAX(Pipeline!$F$16,1)))+Pipeline!$T$17*Pipeline!$D$17*MIN(1,MAX(0,(7-Pipeline!$E$17+1)/MAX(Pipeline!$F$17,1)))+Pipeline!$T$18*Pipeline!$D$18*MIN(1,MAX(0,(7-Pipeline!$E$18+1)/MAX(Pipeline!$F$18,1)))+Pipeline!$T$19*Pipeline!$D$19*MIN(1,MAX(0,(7-Pipeline!$E$19+1)/MAX(Pipeline!$F$19,1)))+Pipeline!$T$20*Pipeline!$D$20*MIN(1,MAX(0,(7-Pipeline!$E$20+1)/MAX(Pipeline!$F$20,1)))+Pipeline!$T$21*Pipeline!$D$21*MIN(1,MAX(0,(7-Pipeline!$E$21+1)/MAX(Pipeline!$F$21,1)))+Pipeline!$T$22*Pipeline!$D$22*MIN(1,MAX(0,(7-Pipeline!$E$22+1)/MAX(Pipeline!$F$22,1))))/Hipótesis!$F$17</f>
        <v>1703.71019657863</v>
      </c>
      <c r="J17" s="139" t="n">
        <f aca="false">(Pipeline!$T$16*Pipeline!$D$16*MIN(1,MAX(0,(8-Pipeline!$E$16+1)/MAX(Pipeline!$F$16,1)))+Pipeline!$T$17*Pipeline!$D$17*MIN(1,MAX(0,(8-Pipeline!$E$17+1)/MAX(Pipeline!$F$17,1)))+Pipeline!$T$18*Pipeline!$D$18*MIN(1,MAX(0,(8-Pipeline!$E$18+1)/MAX(Pipeline!$F$18,1)))+Pipeline!$T$19*Pipeline!$D$19*MIN(1,MAX(0,(8-Pipeline!$E$19+1)/MAX(Pipeline!$F$19,1)))+Pipeline!$T$20*Pipeline!$D$20*MIN(1,MAX(0,(8-Pipeline!$E$20+1)/MAX(Pipeline!$F$20,1)))+Pipeline!$T$21*Pipeline!$D$21*MIN(1,MAX(0,(8-Pipeline!$E$21+1)/MAX(Pipeline!$F$21,1)))+Pipeline!$T$22*Pipeline!$D$22*MIN(1,MAX(0,(8-Pipeline!$E$22+1)/MAX(Pipeline!$F$22,1))))/Hipótesis!$F$17</f>
        <v>2079.04194177671</v>
      </c>
      <c r="K17" s="139" t="n">
        <f aca="false">(Pipeline!$T$16*Pipeline!$D$16*MIN(1,MAX(0,(9-Pipeline!$E$16+1)/MAX(Pipeline!$F$16,1)))+Pipeline!$T$17*Pipeline!$D$17*MIN(1,MAX(0,(9-Pipeline!$E$17+1)/MAX(Pipeline!$F$17,1)))+Pipeline!$T$18*Pipeline!$D$18*MIN(1,MAX(0,(9-Pipeline!$E$18+1)/MAX(Pipeline!$F$18,1)))+Pipeline!$T$19*Pipeline!$D$19*MIN(1,MAX(0,(9-Pipeline!$E$19+1)/MAX(Pipeline!$F$19,1)))+Pipeline!$T$20*Pipeline!$D$20*MIN(1,MAX(0,(9-Pipeline!$E$20+1)/MAX(Pipeline!$F$20,1)))+Pipeline!$T$21*Pipeline!$D$21*MIN(1,MAX(0,(9-Pipeline!$E$21+1)/MAX(Pipeline!$F$21,1)))+Pipeline!$T$22*Pipeline!$D$22*MIN(1,MAX(0,(9-Pipeline!$E$22+1)/MAX(Pipeline!$F$22,1))))/Hipótesis!$F$17</f>
        <v>2454.37368697479</v>
      </c>
      <c r="L17" s="139" t="n">
        <f aca="false">(Pipeline!$T$16*Pipeline!$D$16*MIN(1,MAX(0,(10-Pipeline!$E$16+1)/MAX(Pipeline!$F$16,1)))+Pipeline!$T$17*Pipeline!$D$17*MIN(1,MAX(0,(10-Pipeline!$E$17+1)/MAX(Pipeline!$F$17,1)))+Pipeline!$T$18*Pipeline!$D$18*MIN(1,MAX(0,(10-Pipeline!$E$18+1)/MAX(Pipeline!$F$18,1)))+Pipeline!$T$19*Pipeline!$D$19*MIN(1,MAX(0,(10-Pipeline!$E$19+1)/MAX(Pipeline!$F$19,1)))+Pipeline!$T$20*Pipeline!$D$20*MIN(1,MAX(0,(10-Pipeline!$E$20+1)/MAX(Pipeline!$F$20,1)))+Pipeline!$T$21*Pipeline!$D$21*MIN(1,MAX(0,(10-Pipeline!$E$21+1)/MAX(Pipeline!$F$21,1)))+Pipeline!$T$22*Pipeline!$D$22*MIN(1,MAX(0,(10-Pipeline!$E$22+1)/MAX(Pipeline!$F$22,1))))/Hipótesis!$F$17</f>
        <v>2829.70543217287</v>
      </c>
      <c r="M17" s="139" t="n">
        <f aca="false">(Pipeline!$T$16*Pipeline!$D$16*MIN(1,MAX(0,(11-Pipeline!$E$16+1)/MAX(Pipeline!$F$16,1)))+Pipeline!$T$17*Pipeline!$D$17*MIN(1,MAX(0,(11-Pipeline!$E$17+1)/MAX(Pipeline!$F$17,1)))+Pipeline!$T$18*Pipeline!$D$18*MIN(1,MAX(0,(11-Pipeline!$E$18+1)/MAX(Pipeline!$F$18,1)))+Pipeline!$T$19*Pipeline!$D$19*MIN(1,MAX(0,(11-Pipeline!$E$19+1)/MAX(Pipeline!$F$19,1)))+Pipeline!$T$20*Pipeline!$D$20*MIN(1,MAX(0,(11-Pipeline!$E$20+1)/MAX(Pipeline!$F$20,1)))+Pipeline!$T$21*Pipeline!$D$21*MIN(1,MAX(0,(11-Pipeline!$E$21+1)/MAX(Pipeline!$F$21,1)))+Pipeline!$T$22*Pipeline!$D$22*MIN(1,MAX(0,(11-Pipeline!$E$22+1)/MAX(Pipeline!$F$22,1))))/Hipótesis!$F$17</f>
        <v>3005.62454981993</v>
      </c>
      <c r="N17" s="139" t="n">
        <f aca="false">(Pipeline!$T$16*Pipeline!$D$16*MIN(1,MAX(0,(12-Pipeline!$E$16+1)/MAX(Pipeline!$F$16,1)))+Pipeline!$T$17*Pipeline!$D$17*MIN(1,MAX(0,(12-Pipeline!$E$17+1)/MAX(Pipeline!$F$17,1)))+Pipeline!$T$18*Pipeline!$D$18*MIN(1,MAX(0,(12-Pipeline!$E$18+1)/MAX(Pipeline!$F$18,1)))+Pipeline!$T$19*Pipeline!$D$19*MIN(1,MAX(0,(12-Pipeline!$E$19+1)/MAX(Pipeline!$F$19,1)))+Pipeline!$T$20*Pipeline!$D$20*MIN(1,MAX(0,(12-Pipeline!$E$20+1)/MAX(Pipeline!$F$20,1)))+Pipeline!$T$21*Pipeline!$D$21*MIN(1,MAX(0,(12-Pipeline!$E$21+1)/MAX(Pipeline!$F$21,1)))+Pipeline!$T$22*Pipeline!$D$22*MIN(1,MAX(0,(12-Pipeline!$E$22+1)/MAX(Pipeline!$F$22,1))))/Hipótesis!$F$17</f>
        <v>3437.42602040816</v>
      </c>
      <c r="O17" s="139" t="n">
        <f aca="false">(Pipeline!$T$16*Pipeline!$D$16*MIN(1,MAX(0,(13-Pipeline!$E$16+1)/MAX(Pipeline!$F$16,1)))+Pipeline!$T$17*Pipeline!$D$17*MIN(1,MAX(0,(13-Pipeline!$E$17+1)/MAX(Pipeline!$F$17,1)))+Pipeline!$T$18*Pipeline!$D$18*MIN(1,MAX(0,(13-Pipeline!$E$18+1)/MAX(Pipeline!$F$18,1)))+Pipeline!$T$19*Pipeline!$D$19*MIN(1,MAX(0,(13-Pipeline!$E$19+1)/MAX(Pipeline!$F$19,1)))+Pipeline!$T$20*Pipeline!$D$20*MIN(1,MAX(0,(13-Pipeline!$E$20+1)/MAX(Pipeline!$F$20,1)))+Pipeline!$T$21*Pipeline!$D$21*MIN(1,MAX(0,(13-Pipeline!$E$21+1)/MAX(Pipeline!$F$21,1)))+Pipeline!$T$22*Pipeline!$D$22*MIN(1,MAX(0,(13-Pipeline!$E$22+1)/MAX(Pipeline!$F$22,1))))/Hipótesis!$F$17</f>
        <v>3869.2274909964</v>
      </c>
      <c r="P17" s="139" t="n">
        <f aca="false">(Pipeline!$T$16*Pipeline!$D$16*MIN(1,MAX(0,(14-Pipeline!$E$16+1)/MAX(Pipeline!$F$16,1)))+Pipeline!$T$17*Pipeline!$D$17*MIN(1,MAX(0,(14-Pipeline!$E$17+1)/MAX(Pipeline!$F$17,1)))+Pipeline!$T$18*Pipeline!$D$18*MIN(1,MAX(0,(14-Pipeline!$E$18+1)/MAX(Pipeline!$F$18,1)))+Pipeline!$T$19*Pipeline!$D$19*MIN(1,MAX(0,(14-Pipeline!$E$19+1)/MAX(Pipeline!$F$19,1)))+Pipeline!$T$20*Pipeline!$D$20*MIN(1,MAX(0,(14-Pipeline!$E$20+1)/MAX(Pipeline!$F$20,1)))+Pipeline!$T$21*Pipeline!$D$21*MIN(1,MAX(0,(14-Pipeline!$E$21+1)/MAX(Pipeline!$F$21,1)))+Pipeline!$T$22*Pipeline!$D$22*MIN(1,MAX(0,(14-Pipeline!$E$22+1)/MAX(Pipeline!$F$22,1))))/Hipótesis!$F$17</f>
        <v>4227.46278511405</v>
      </c>
      <c r="Q17" s="139" t="n">
        <f aca="false">(Pipeline!$T$16*Pipeline!$D$16*MIN(1,MAX(0,(15-Pipeline!$E$16+1)/MAX(Pipeline!$F$16,1)))+Pipeline!$T$17*Pipeline!$D$17*MIN(1,MAX(0,(15-Pipeline!$E$17+1)/MAX(Pipeline!$F$17,1)))+Pipeline!$T$18*Pipeline!$D$18*MIN(1,MAX(0,(15-Pipeline!$E$18+1)/MAX(Pipeline!$F$18,1)))+Pipeline!$T$19*Pipeline!$D$19*MIN(1,MAX(0,(15-Pipeline!$E$19+1)/MAX(Pipeline!$F$19,1)))+Pipeline!$T$20*Pipeline!$D$20*MIN(1,MAX(0,(15-Pipeline!$E$20+1)/MAX(Pipeline!$F$20,1)))+Pipeline!$T$21*Pipeline!$D$21*MIN(1,MAX(0,(15-Pipeline!$E$21+1)/MAX(Pipeline!$F$21,1)))+Pipeline!$T$22*Pipeline!$D$22*MIN(1,MAX(0,(15-Pipeline!$E$22+1)/MAX(Pipeline!$F$22,1))))/Hipótesis!$F$17</f>
        <v>4585.69807923169</v>
      </c>
      <c r="R17" s="139" t="n">
        <f aca="false">(Pipeline!$T$16*Pipeline!$D$16*MIN(1,MAX(0,(16-Pipeline!$E$16+1)/MAX(Pipeline!$F$16,1)))+Pipeline!$T$17*Pipeline!$D$17*MIN(1,MAX(0,(16-Pipeline!$E$17+1)/MAX(Pipeline!$F$17,1)))+Pipeline!$T$18*Pipeline!$D$18*MIN(1,MAX(0,(16-Pipeline!$E$18+1)/MAX(Pipeline!$F$18,1)))+Pipeline!$T$19*Pipeline!$D$19*MIN(1,MAX(0,(16-Pipeline!$E$19+1)/MAX(Pipeline!$F$19,1)))+Pipeline!$T$20*Pipeline!$D$20*MIN(1,MAX(0,(16-Pipeline!$E$20+1)/MAX(Pipeline!$F$20,1)))+Pipeline!$T$21*Pipeline!$D$21*MIN(1,MAX(0,(16-Pipeline!$E$21+1)/MAX(Pipeline!$F$21,1)))+Pipeline!$T$22*Pipeline!$D$22*MIN(1,MAX(0,(16-Pipeline!$E$22+1)/MAX(Pipeline!$F$22,1))))/Hipótesis!$F$17</f>
        <v>4943.93337334934</v>
      </c>
      <c r="S17" s="139" t="n">
        <f aca="false">(Pipeline!$T$16*Pipeline!$D$16*MIN(1,MAX(0,(17-Pipeline!$E$16+1)/MAX(Pipeline!$F$16,1)))+Pipeline!$T$17*Pipeline!$D$17*MIN(1,MAX(0,(17-Pipeline!$E$17+1)/MAX(Pipeline!$F$17,1)))+Pipeline!$T$18*Pipeline!$D$18*MIN(1,MAX(0,(17-Pipeline!$E$18+1)/MAX(Pipeline!$F$18,1)))+Pipeline!$T$19*Pipeline!$D$19*MIN(1,MAX(0,(17-Pipeline!$E$19+1)/MAX(Pipeline!$F$19,1)))+Pipeline!$T$20*Pipeline!$D$20*MIN(1,MAX(0,(17-Pipeline!$E$20+1)/MAX(Pipeline!$F$20,1)))+Pipeline!$T$21*Pipeline!$D$21*MIN(1,MAX(0,(17-Pipeline!$E$21+1)/MAX(Pipeline!$F$21,1)))+Pipeline!$T$22*Pipeline!$D$22*MIN(1,MAX(0,(17-Pipeline!$E$22+1)/MAX(Pipeline!$F$22,1))))/Hipótesis!$F$17</f>
        <v>5302.16866746699</v>
      </c>
      <c r="T17" s="139" t="n">
        <f aca="false">(Pipeline!$T$16*Pipeline!$D$16*MIN(1,MAX(0,(18-Pipeline!$E$16+1)/MAX(Pipeline!$F$16,1)))+Pipeline!$T$17*Pipeline!$D$17*MIN(1,MAX(0,(18-Pipeline!$E$17+1)/MAX(Pipeline!$F$17,1)))+Pipeline!$T$18*Pipeline!$D$18*MIN(1,MAX(0,(18-Pipeline!$E$18+1)/MAX(Pipeline!$F$18,1)))+Pipeline!$T$19*Pipeline!$D$19*MIN(1,MAX(0,(18-Pipeline!$E$19+1)/MAX(Pipeline!$F$19,1)))+Pipeline!$T$20*Pipeline!$D$20*MIN(1,MAX(0,(18-Pipeline!$E$20+1)/MAX(Pipeline!$F$20,1)))+Pipeline!$T$21*Pipeline!$D$21*MIN(1,MAX(0,(18-Pipeline!$E$21+1)/MAX(Pipeline!$F$21,1)))+Pipeline!$T$22*Pipeline!$D$22*MIN(1,MAX(0,(18-Pipeline!$E$22+1)/MAX(Pipeline!$F$22,1))))/Hipótesis!$F$17</f>
        <v>5660.40396158463</v>
      </c>
      <c r="U17" s="139" t="n">
        <f aca="false">(Pipeline!$T$16*Pipeline!$D$16*MIN(1,MAX(0,(19-Pipeline!$E$16+1)/MAX(Pipeline!$F$16,1)))+Pipeline!$T$17*Pipeline!$D$17*MIN(1,MAX(0,(19-Pipeline!$E$17+1)/MAX(Pipeline!$F$17,1)))+Pipeline!$T$18*Pipeline!$D$18*MIN(1,MAX(0,(19-Pipeline!$E$18+1)/MAX(Pipeline!$F$18,1)))+Pipeline!$T$19*Pipeline!$D$19*MIN(1,MAX(0,(19-Pipeline!$E$19+1)/MAX(Pipeline!$F$19,1)))+Pipeline!$T$20*Pipeline!$D$20*MIN(1,MAX(0,(19-Pipeline!$E$20+1)/MAX(Pipeline!$F$20,1)))+Pipeline!$T$21*Pipeline!$D$21*MIN(1,MAX(0,(19-Pipeline!$E$21+1)/MAX(Pipeline!$F$21,1)))+Pipeline!$T$22*Pipeline!$D$22*MIN(1,MAX(0,(19-Pipeline!$E$22+1)/MAX(Pipeline!$F$22,1))))/Hipótesis!$F$17</f>
        <v>6018.63925570228</v>
      </c>
      <c r="V17" s="139" t="n">
        <f aca="false">(Pipeline!$T$16*Pipeline!$D$16*MIN(1,MAX(0,(20-Pipeline!$E$16+1)/MAX(Pipeline!$F$16,1)))+Pipeline!$T$17*Pipeline!$D$17*MIN(1,MAX(0,(20-Pipeline!$E$17+1)/MAX(Pipeline!$F$17,1)))+Pipeline!$T$18*Pipeline!$D$18*MIN(1,MAX(0,(20-Pipeline!$E$18+1)/MAX(Pipeline!$F$18,1)))+Pipeline!$T$19*Pipeline!$D$19*MIN(1,MAX(0,(20-Pipeline!$E$19+1)/MAX(Pipeline!$F$19,1)))+Pipeline!$T$20*Pipeline!$D$20*MIN(1,MAX(0,(20-Pipeline!$E$20+1)/MAX(Pipeline!$F$20,1)))+Pipeline!$T$21*Pipeline!$D$21*MIN(1,MAX(0,(20-Pipeline!$E$21+1)/MAX(Pipeline!$F$21,1)))+Pipeline!$T$22*Pipeline!$D$22*MIN(1,MAX(0,(20-Pipeline!$E$22+1)/MAX(Pipeline!$F$22,1))))/Hipótesis!$F$17</f>
        <v>6376.87454981993</v>
      </c>
      <c r="W17" s="139" t="n">
        <f aca="false">(Pipeline!$T$16*Pipeline!$D$16*MIN(1,MAX(0,(21-Pipeline!$E$16+1)/MAX(Pipeline!$F$16,1)))+Pipeline!$T$17*Pipeline!$D$17*MIN(1,MAX(0,(21-Pipeline!$E$17+1)/MAX(Pipeline!$F$17,1)))+Pipeline!$T$18*Pipeline!$D$18*MIN(1,MAX(0,(21-Pipeline!$E$18+1)/MAX(Pipeline!$F$18,1)))+Pipeline!$T$19*Pipeline!$D$19*MIN(1,MAX(0,(21-Pipeline!$E$19+1)/MAX(Pipeline!$F$19,1)))+Pipeline!$T$20*Pipeline!$D$20*MIN(1,MAX(0,(21-Pipeline!$E$20+1)/MAX(Pipeline!$F$20,1)))+Pipeline!$T$21*Pipeline!$D$21*MIN(1,MAX(0,(21-Pipeline!$E$21+1)/MAX(Pipeline!$F$21,1)))+Pipeline!$T$22*Pipeline!$D$22*MIN(1,MAX(0,(21-Pipeline!$E$22+1)/MAX(Pipeline!$F$22,1))))/Hipótesis!$F$17</f>
        <v>6735.10984393758</v>
      </c>
      <c r="X17" s="139" t="n">
        <f aca="false">(Pipeline!$T$16*Pipeline!$D$16*MIN(1,MAX(0,(22-Pipeline!$E$16+1)/MAX(Pipeline!$F$16,1)))+Pipeline!$T$17*Pipeline!$D$17*MIN(1,MAX(0,(22-Pipeline!$E$17+1)/MAX(Pipeline!$F$17,1)))+Pipeline!$T$18*Pipeline!$D$18*MIN(1,MAX(0,(22-Pipeline!$E$18+1)/MAX(Pipeline!$F$18,1)))+Pipeline!$T$19*Pipeline!$D$19*MIN(1,MAX(0,(22-Pipeline!$E$19+1)/MAX(Pipeline!$F$19,1)))+Pipeline!$T$20*Pipeline!$D$20*MIN(1,MAX(0,(22-Pipeline!$E$20+1)/MAX(Pipeline!$F$20,1)))+Pipeline!$T$21*Pipeline!$D$21*MIN(1,MAX(0,(22-Pipeline!$E$21+1)/MAX(Pipeline!$F$21,1)))+Pipeline!$T$22*Pipeline!$D$22*MIN(1,MAX(0,(22-Pipeline!$E$22+1)/MAX(Pipeline!$F$22,1))))/Hipótesis!$F$17</f>
        <v>6837.46278511405</v>
      </c>
      <c r="Y17" s="139" t="n">
        <f aca="false">(Pipeline!$T$16*Pipeline!$D$16*MIN(1,MAX(0,(23-Pipeline!$E$16+1)/MAX(Pipeline!$F$16,1)))+Pipeline!$T$17*Pipeline!$D$17*MIN(1,MAX(0,(23-Pipeline!$E$17+1)/MAX(Pipeline!$F$17,1)))+Pipeline!$T$18*Pipeline!$D$18*MIN(1,MAX(0,(23-Pipeline!$E$18+1)/MAX(Pipeline!$F$18,1)))+Pipeline!$T$19*Pipeline!$D$19*MIN(1,MAX(0,(23-Pipeline!$E$19+1)/MAX(Pipeline!$F$19,1)))+Pipeline!$T$20*Pipeline!$D$20*MIN(1,MAX(0,(23-Pipeline!$E$20+1)/MAX(Pipeline!$F$20,1)))+Pipeline!$T$21*Pipeline!$D$21*MIN(1,MAX(0,(23-Pipeline!$E$21+1)/MAX(Pipeline!$F$21,1)))+Pipeline!$T$22*Pipeline!$D$22*MIN(1,MAX(0,(23-Pipeline!$E$22+1)/MAX(Pipeline!$F$22,1))))/Hipótesis!$F$17</f>
        <v>6939.81572629052</v>
      </c>
      <c r="Z17" s="139" t="n">
        <f aca="false">(Pipeline!$T$16*Pipeline!$D$16*MIN(1,MAX(0,(24-Pipeline!$E$16+1)/MAX(Pipeline!$F$16,1)))+Pipeline!$T$17*Pipeline!$D$17*MIN(1,MAX(0,(24-Pipeline!$E$17+1)/MAX(Pipeline!$F$17,1)))+Pipeline!$T$18*Pipeline!$D$18*MIN(1,MAX(0,(24-Pipeline!$E$18+1)/MAX(Pipeline!$F$18,1)))+Pipeline!$T$19*Pipeline!$D$19*MIN(1,MAX(0,(24-Pipeline!$E$19+1)/MAX(Pipeline!$F$19,1)))+Pipeline!$T$20*Pipeline!$D$20*MIN(1,MAX(0,(24-Pipeline!$E$20+1)/MAX(Pipeline!$F$20,1)))+Pipeline!$T$21*Pipeline!$D$21*MIN(1,MAX(0,(24-Pipeline!$E$21+1)/MAX(Pipeline!$F$21,1)))+Pipeline!$T$22*Pipeline!$D$22*MIN(1,MAX(0,(24-Pipeline!$E$22+1)/MAX(Pipeline!$F$22,1))))/Hipótesis!$F$17</f>
        <v>6939.81572629052</v>
      </c>
      <c r="AA17" s="139" t="n">
        <f aca="false">(Pipeline!$T$16*Pipeline!$D$16*MIN(1,MAX(0,(25-Pipeline!$E$16+1)/MAX(Pipeline!$F$16,1)))+Pipeline!$T$17*Pipeline!$D$17*MIN(1,MAX(0,(25-Pipeline!$E$17+1)/MAX(Pipeline!$F$17,1)))+Pipeline!$T$18*Pipeline!$D$18*MIN(1,MAX(0,(25-Pipeline!$E$18+1)/MAX(Pipeline!$F$18,1)))+Pipeline!$T$19*Pipeline!$D$19*MIN(1,MAX(0,(25-Pipeline!$E$19+1)/MAX(Pipeline!$F$19,1)))+Pipeline!$T$20*Pipeline!$D$20*MIN(1,MAX(0,(25-Pipeline!$E$20+1)/MAX(Pipeline!$F$20,1)))+Pipeline!$T$21*Pipeline!$D$21*MIN(1,MAX(0,(25-Pipeline!$E$21+1)/MAX(Pipeline!$F$21,1)))+Pipeline!$T$22*Pipeline!$D$22*MIN(1,MAX(0,(25-Pipeline!$E$22+1)/MAX(Pipeline!$F$22,1))))/Hipótesis!$F$17</f>
        <v>6939.81572629052</v>
      </c>
      <c r="AB17" s="139" t="n">
        <f aca="false">(Pipeline!$T$16*Pipeline!$D$16*MIN(1,MAX(0,(26-Pipeline!$E$16+1)/MAX(Pipeline!$F$16,1)))+Pipeline!$T$17*Pipeline!$D$17*MIN(1,MAX(0,(26-Pipeline!$E$17+1)/MAX(Pipeline!$F$17,1)))+Pipeline!$T$18*Pipeline!$D$18*MIN(1,MAX(0,(26-Pipeline!$E$18+1)/MAX(Pipeline!$F$18,1)))+Pipeline!$T$19*Pipeline!$D$19*MIN(1,MAX(0,(26-Pipeline!$E$19+1)/MAX(Pipeline!$F$19,1)))+Pipeline!$T$20*Pipeline!$D$20*MIN(1,MAX(0,(26-Pipeline!$E$20+1)/MAX(Pipeline!$F$20,1)))+Pipeline!$T$21*Pipeline!$D$21*MIN(1,MAX(0,(26-Pipeline!$E$21+1)/MAX(Pipeline!$F$21,1)))+Pipeline!$T$22*Pipeline!$D$22*MIN(1,MAX(0,(26-Pipeline!$E$22+1)/MAX(Pipeline!$F$22,1))))/Hipótesis!$F$17</f>
        <v>6939.81572629052</v>
      </c>
      <c r="AC17" s="139" t="n">
        <f aca="false">(Pipeline!$T$16*Pipeline!$D$16*MIN(1,MAX(0,(27-Pipeline!$E$16+1)/MAX(Pipeline!$F$16,1)))+Pipeline!$T$17*Pipeline!$D$17*MIN(1,MAX(0,(27-Pipeline!$E$17+1)/MAX(Pipeline!$F$17,1)))+Pipeline!$T$18*Pipeline!$D$18*MIN(1,MAX(0,(27-Pipeline!$E$18+1)/MAX(Pipeline!$F$18,1)))+Pipeline!$T$19*Pipeline!$D$19*MIN(1,MAX(0,(27-Pipeline!$E$19+1)/MAX(Pipeline!$F$19,1)))+Pipeline!$T$20*Pipeline!$D$20*MIN(1,MAX(0,(27-Pipeline!$E$20+1)/MAX(Pipeline!$F$20,1)))+Pipeline!$T$21*Pipeline!$D$21*MIN(1,MAX(0,(27-Pipeline!$E$21+1)/MAX(Pipeline!$F$21,1)))+Pipeline!$T$22*Pipeline!$D$22*MIN(1,MAX(0,(27-Pipeline!$E$22+1)/MAX(Pipeline!$F$22,1))))/Hipótesis!$F$17</f>
        <v>6939.81572629052</v>
      </c>
      <c r="AD17" s="139" t="n">
        <f aca="false">(Pipeline!$T$16*Pipeline!$D$16*MIN(1,MAX(0,(28-Pipeline!$E$16+1)/MAX(Pipeline!$F$16,1)))+Pipeline!$T$17*Pipeline!$D$17*MIN(1,MAX(0,(28-Pipeline!$E$17+1)/MAX(Pipeline!$F$17,1)))+Pipeline!$T$18*Pipeline!$D$18*MIN(1,MAX(0,(28-Pipeline!$E$18+1)/MAX(Pipeline!$F$18,1)))+Pipeline!$T$19*Pipeline!$D$19*MIN(1,MAX(0,(28-Pipeline!$E$19+1)/MAX(Pipeline!$F$19,1)))+Pipeline!$T$20*Pipeline!$D$20*MIN(1,MAX(0,(28-Pipeline!$E$20+1)/MAX(Pipeline!$F$20,1)))+Pipeline!$T$21*Pipeline!$D$21*MIN(1,MAX(0,(28-Pipeline!$E$21+1)/MAX(Pipeline!$F$21,1)))+Pipeline!$T$22*Pipeline!$D$22*MIN(1,MAX(0,(28-Pipeline!$E$22+1)/MAX(Pipeline!$F$22,1))))/Hipótesis!$F$17</f>
        <v>6939.81572629052</v>
      </c>
      <c r="AE17" s="139" t="n">
        <f aca="false">(Pipeline!$T$16*Pipeline!$D$16*MIN(1,MAX(0,(29-Pipeline!$E$16+1)/MAX(Pipeline!$F$16,1)))+Pipeline!$T$17*Pipeline!$D$17*MIN(1,MAX(0,(29-Pipeline!$E$17+1)/MAX(Pipeline!$F$17,1)))+Pipeline!$T$18*Pipeline!$D$18*MIN(1,MAX(0,(29-Pipeline!$E$18+1)/MAX(Pipeline!$F$18,1)))+Pipeline!$T$19*Pipeline!$D$19*MIN(1,MAX(0,(29-Pipeline!$E$19+1)/MAX(Pipeline!$F$19,1)))+Pipeline!$T$20*Pipeline!$D$20*MIN(1,MAX(0,(29-Pipeline!$E$20+1)/MAX(Pipeline!$F$20,1)))+Pipeline!$T$21*Pipeline!$D$21*MIN(1,MAX(0,(29-Pipeline!$E$21+1)/MAX(Pipeline!$F$21,1)))+Pipeline!$T$22*Pipeline!$D$22*MIN(1,MAX(0,(29-Pipeline!$E$22+1)/MAX(Pipeline!$F$22,1))))/Hipótesis!$F$17</f>
        <v>6939.81572629052</v>
      </c>
      <c r="AF17" s="139" t="n">
        <f aca="false">(Pipeline!$T$16*Pipeline!$D$16*MIN(1,MAX(0,(30-Pipeline!$E$16+1)/MAX(Pipeline!$F$16,1)))+Pipeline!$T$17*Pipeline!$D$17*MIN(1,MAX(0,(30-Pipeline!$E$17+1)/MAX(Pipeline!$F$17,1)))+Pipeline!$T$18*Pipeline!$D$18*MIN(1,MAX(0,(30-Pipeline!$E$18+1)/MAX(Pipeline!$F$18,1)))+Pipeline!$T$19*Pipeline!$D$19*MIN(1,MAX(0,(30-Pipeline!$E$19+1)/MAX(Pipeline!$F$19,1)))+Pipeline!$T$20*Pipeline!$D$20*MIN(1,MAX(0,(30-Pipeline!$E$20+1)/MAX(Pipeline!$F$20,1)))+Pipeline!$T$21*Pipeline!$D$21*MIN(1,MAX(0,(30-Pipeline!$E$21+1)/MAX(Pipeline!$F$21,1)))+Pipeline!$T$22*Pipeline!$D$22*MIN(1,MAX(0,(30-Pipeline!$E$22+1)/MAX(Pipeline!$F$22,1))))/Hipótesis!$F$17</f>
        <v>6939.81572629052</v>
      </c>
      <c r="AG17" s="139" t="n">
        <f aca="false">(Pipeline!$T$16*Pipeline!$D$16*MIN(1,MAX(0,(31-Pipeline!$E$16+1)/MAX(Pipeline!$F$16,1)))+Pipeline!$T$17*Pipeline!$D$17*MIN(1,MAX(0,(31-Pipeline!$E$17+1)/MAX(Pipeline!$F$17,1)))+Pipeline!$T$18*Pipeline!$D$18*MIN(1,MAX(0,(31-Pipeline!$E$18+1)/MAX(Pipeline!$F$18,1)))+Pipeline!$T$19*Pipeline!$D$19*MIN(1,MAX(0,(31-Pipeline!$E$19+1)/MAX(Pipeline!$F$19,1)))+Pipeline!$T$20*Pipeline!$D$20*MIN(1,MAX(0,(31-Pipeline!$E$20+1)/MAX(Pipeline!$F$20,1)))+Pipeline!$T$21*Pipeline!$D$21*MIN(1,MAX(0,(31-Pipeline!$E$21+1)/MAX(Pipeline!$F$21,1)))+Pipeline!$T$22*Pipeline!$D$22*MIN(1,MAX(0,(31-Pipeline!$E$22+1)/MAX(Pipeline!$F$22,1))))/Hipótesis!$F$17</f>
        <v>6939.81572629052</v>
      </c>
      <c r="AH17" s="139" t="n">
        <f aca="false">(Pipeline!$T$16*Pipeline!$D$16*MIN(1,MAX(0,(32-Pipeline!$E$16+1)/MAX(Pipeline!$F$16,1)))+Pipeline!$T$17*Pipeline!$D$17*MIN(1,MAX(0,(32-Pipeline!$E$17+1)/MAX(Pipeline!$F$17,1)))+Pipeline!$T$18*Pipeline!$D$18*MIN(1,MAX(0,(32-Pipeline!$E$18+1)/MAX(Pipeline!$F$18,1)))+Pipeline!$T$19*Pipeline!$D$19*MIN(1,MAX(0,(32-Pipeline!$E$19+1)/MAX(Pipeline!$F$19,1)))+Pipeline!$T$20*Pipeline!$D$20*MIN(1,MAX(0,(32-Pipeline!$E$20+1)/MAX(Pipeline!$F$20,1)))+Pipeline!$T$21*Pipeline!$D$21*MIN(1,MAX(0,(32-Pipeline!$E$21+1)/MAX(Pipeline!$F$21,1)))+Pipeline!$T$22*Pipeline!$D$22*MIN(1,MAX(0,(32-Pipeline!$E$22+1)/MAX(Pipeline!$F$22,1))))/Hipótesis!$F$17</f>
        <v>6939.81572629052</v>
      </c>
      <c r="AI17" s="139" t="n">
        <f aca="false">(Pipeline!$T$16*Pipeline!$D$16*MIN(1,MAX(0,(33-Pipeline!$E$16+1)/MAX(Pipeline!$F$16,1)))+Pipeline!$T$17*Pipeline!$D$17*MIN(1,MAX(0,(33-Pipeline!$E$17+1)/MAX(Pipeline!$F$17,1)))+Pipeline!$T$18*Pipeline!$D$18*MIN(1,MAX(0,(33-Pipeline!$E$18+1)/MAX(Pipeline!$F$18,1)))+Pipeline!$T$19*Pipeline!$D$19*MIN(1,MAX(0,(33-Pipeline!$E$19+1)/MAX(Pipeline!$F$19,1)))+Pipeline!$T$20*Pipeline!$D$20*MIN(1,MAX(0,(33-Pipeline!$E$20+1)/MAX(Pipeline!$F$20,1)))+Pipeline!$T$21*Pipeline!$D$21*MIN(1,MAX(0,(33-Pipeline!$E$21+1)/MAX(Pipeline!$F$21,1)))+Pipeline!$T$22*Pipeline!$D$22*MIN(1,MAX(0,(33-Pipeline!$E$22+1)/MAX(Pipeline!$F$22,1))))/Hipótesis!$F$17</f>
        <v>6939.81572629052</v>
      </c>
      <c r="AJ17" s="139" t="n">
        <f aca="false">(Pipeline!$T$16*Pipeline!$D$16*MIN(1,MAX(0,(34-Pipeline!$E$16+1)/MAX(Pipeline!$F$16,1)))+Pipeline!$T$17*Pipeline!$D$17*MIN(1,MAX(0,(34-Pipeline!$E$17+1)/MAX(Pipeline!$F$17,1)))+Pipeline!$T$18*Pipeline!$D$18*MIN(1,MAX(0,(34-Pipeline!$E$18+1)/MAX(Pipeline!$F$18,1)))+Pipeline!$T$19*Pipeline!$D$19*MIN(1,MAX(0,(34-Pipeline!$E$19+1)/MAX(Pipeline!$F$19,1)))+Pipeline!$T$20*Pipeline!$D$20*MIN(1,MAX(0,(34-Pipeline!$E$20+1)/MAX(Pipeline!$F$20,1)))+Pipeline!$T$21*Pipeline!$D$21*MIN(1,MAX(0,(34-Pipeline!$E$21+1)/MAX(Pipeline!$F$21,1)))+Pipeline!$T$22*Pipeline!$D$22*MIN(1,MAX(0,(34-Pipeline!$E$22+1)/MAX(Pipeline!$F$22,1))))/Hipótesis!$F$17</f>
        <v>6939.81572629052</v>
      </c>
      <c r="AK17" s="139" t="n">
        <f aca="false">(Pipeline!$T$16*Pipeline!$D$16*MIN(1,MAX(0,(35-Pipeline!$E$16+1)/MAX(Pipeline!$F$16,1)))+Pipeline!$T$17*Pipeline!$D$17*MIN(1,MAX(0,(35-Pipeline!$E$17+1)/MAX(Pipeline!$F$17,1)))+Pipeline!$T$18*Pipeline!$D$18*MIN(1,MAX(0,(35-Pipeline!$E$18+1)/MAX(Pipeline!$F$18,1)))+Pipeline!$T$19*Pipeline!$D$19*MIN(1,MAX(0,(35-Pipeline!$E$19+1)/MAX(Pipeline!$F$19,1)))+Pipeline!$T$20*Pipeline!$D$20*MIN(1,MAX(0,(35-Pipeline!$E$20+1)/MAX(Pipeline!$F$20,1)))+Pipeline!$T$21*Pipeline!$D$21*MIN(1,MAX(0,(35-Pipeline!$E$21+1)/MAX(Pipeline!$F$21,1)))+Pipeline!$T$22*Pipeline!$D$22*MIN(1,MAX(0,(35-Pipeline!$E$22+1)/MAX(Pipeline!$F$22,1))))/Hipótesis!$F$17</f>
        <v>6939.81572629052</v>
      </c>
      <c r="AL17" s="139" t="n">
        <f aca="false">(Pipeline!$T$16*Pipeline!$D$16*MIN(1,MAX(0,(36-Pipeline!$E$16+1)/MAX(Pipeline!$F$16,1)))+Pipeline!$T$17*Pipeline!$D$17*MIN(1,MAX(0,(36-Pipeline!$E$17+1)/MAX(Pipeline!$F$17,1)))+Pipeline!$T$18*Pipeline!$D$18*MIN(1,MAX(0,(36-Pipeline!$E$18+1)/MAX(Pipeline!$F$18,1)))+Pipeline!$T$19*Pipeline!$D$19*MIN(1,MAX(0,(36-Pipeline!$E$19+1)/MAX(Pipeline!$F$19,1)))+Pipeline!$T$20*Pipeline!$D$20*MIN(1,MAX(0,(36-Pipeline!$E$20+1)/MAX(Pipeline!$F$20,1)))+Pipeline!$T$21*Pipeline!$D$21*MIN(1,MAX(0,(36-Pipeline!$E$21+1)/MAX(Pipeline!$F$21,1)))+Pipeline!$T$22*Pipeline!$D$22*MIN(1,MAX(0,(36-Pipeline!$E$22+1)/MAX(Pipeline!$F$22,1))))/Hipótesis!$F$17</f>
        <v>6939.81572629052</v>
      </c>
      <c r="AM17" s="139" t="n">
        <f aca="false">(Pipeline!$T$16*Pipeline!$D$16*MIN(1,MAX(0,(37-Pipeline!$E$16+1)/MAX(Pipeline!$F$16,1)))+Pipeline!$T$17*Pipeline!$D$17*MIN(1,MAX(0,(37-Pipeline!$E$17+1)/MAX(Pipeline!$F$17,1)))+Pipeline!$T$18*Pipeline!$D$18*MIN(1,MAX(0,(37-Pipeline!$E$18+1)/MAX(Pipeline!$F$18,1)))+Pipeline!$T$19*Pipeline!$D$19*MIN(1,MAX(0,(37-Pipeline!$E$19+1)/MAX(Pipeline!$F$19,1)))+Pipeline!$T$20*Pipeline!$D$20*MIN(1,MAX(0,(37-Pipeline!$E$20+1)/MAX(Pipeline!$F$20,1)))+Pipeline!$T$21*Pipeline!$D$21*MIN(1,MAX(0,(37-Pipeline!$E$21+1)/MAX(Pipeline!$F$21,1)))+Pipeline!$T$22*Pipeline!$D$22*MIN(1,MAX(0,(37-Pipeline!$E$22+1)/MAX(Pipeline!$F$22,1))))/Hipótesis!$F$17</f>
        <v>6939.81572629052</v>
      </c>
      <c r="AN17" s="139" t="n">
        <f aca="false">(Pipeline!$T$16*Pipeline!$D$16*MIN(1,MAX(0,(38-Pipeline!$E$16+1)/MAX(Pipeline!$F$16,1)))+Pipeline!$T$17*Pipeline!$D$17*MIN(1,MAX(0,(38-Pipeline!$E$17+1)/MAX(Pipeline!$F$17,1)))+Pipeline!$T$18*Pipeline!$D$18*MIN(1,MAX(0,(38-Pipeline!$E$18+1)/MAX(Pipeline!$F$18,1)))+Pipeline!$T$19*Pipeline!$D$19*MIN(1,MAX(0,(38-Pipeline!$E$19+1)/MAX(Pipeline!$F$19,1)))+Pipeline!$T$20*Pipeline!$D$20*MIN(1,MAX(0,(38-Pipeline!$E$20+1)/MAX(Pipeline!$F$20,1)))+Pipeline!$T$21*Pipeline!$D$21*MIN(1,MAX(0,(38-Pipeline!$E$21+1)/MAX(Pipeline!$F$21,1)))+Pipeline!$T$22*Pipeline!$D$22*MIN(1,MAX(0,(38-Pipeline!$E$22+1)/MAX(Pipeline!$F$22,1))))/Hipótesis!$F$17</f>
        <v>6939.81572629052</v>
      </c>
      <c r="AO17" s="139" t="n">
        <f aca="false">(Pipeline!$T$16*Pipeline!$D$16*MIN(1,MAX(0,(39-Pipeline!$E$16+1)/MAX(Pipeline!$F$16,1)))+Pipeline!$T$17*Pipeline!$D$17*MIN(1,MAX(0,(39-Pipeline!$E$17+1)/MAX(Pipeline!$F$17,1)))+Pipeline!$T$18*Pipeline!$D$18*MIN(1,MAX(0,(39-Pipeline!$E$18+1)/MAX(Pipeline!$F$18,1)))+Pipeline!$T$19*Pipeline!$D$19*MIN(1,MAX(0,(39-Pipeline!$E$19+1)/MAX(Pipeline!$F$19,1)))+Pipeline!$T$20*Pipeline!$D$20*MIN(1,MAX(0,(39-Pipeline!$E$20+1)/MAX(Pipeline!$F$20,1)))+Pipeline!$T$21*Pipeline!$D$21*MIN(1,MAX(0,(39-Pipeline!$E$21+1)/MAX(Pipeline!$F$21,1)))+Pipeline!$T$22*Pipeline!$D$22*MIN(1,MAX(0,(39-Pipeline!$E$22+1)/MAX(Pipeline!$F$22,1))))/Hipótesis!$F$17</f>
        <v>6939.81572629052</v>
      </c>
      <c r="AP17" s="139" t="n">
        <f aca="false">(Pipeline!$T$16*Pipeline!$D$16*MIN(1,MAX(0,(40-Pipeline!$E$16+1)/MAX(Pipeline!$F$16,1)))+Pipeline!$T$17*Pipeline!$D$17*MIN(1,MAX(0,(40-Pipeline!$E$17+1)/MAX(Pipeline!$F$17,1)))+Pipeline!$T$18*Pipeline!$D$18*MIN(1,MAX(0,(40-Pipeline!$E$18+1)/MAX(Pipeline!$F$18,1)))+Pipeline!$T$19*Pipeline!$D$19*MIN(1,MAX(0,(40-Pipeline!$E$19+1)/MAX(Pipeline!$F$19,1)))+Pipeline!$T$20*Pipeline!$D$20*MIN(1,MAX(0,(40-Pipeline!$E$20+1)/MAX(Pipeline!$F$20,1)))+Pipeline!$T$21*Pipeline!$D$21*MIN(1,MAX(0,(40-Pipeline!$E$21+1)/MAX(Pipeline!$F$21,1)))+Pipeline!$T$22*Pipeline!$D$22*MIN(1,MAX(0,(40-Pipeline!$E$22+1)/MAX(Pipeline!$F$22,1))))/Hipótesis!$F$17</f>
        <v>6939.81572629052</v>
      </c>
      <c r="AQ17" s="139" t="n">
        <f aca="false">(Pipeline!$T$16*Pipeline!$D$16*MIN(1,MAX(0,(41-Pipeline!$E$16+1)/MAX(Pipeline!$F$16,1)))+Pipeline!$T$17*Pipeline!$D$17*MIN(1,MAX(0,(41-Pipeline!$E$17+1)/MAX(Pipeline!$F$17,1)))+Pipeline!$T$18*Pipeline!$D$18*MIN(1,MAX(0,(41-Pipeline!$E$18+1)/MAX(Pipeline!$F$18,1)))+Pipeline!$T$19*Pipeline!$D$19*MIN(1,MAX(0,(41-Pipeline!$E$19+1)/MAX(Pipeline!$F$19,1)))+Pipeline!$T$20*Pipeline!$D$20*MIN(1,MAX(0,(41-Pipeline!$E$20+1)/MAX(Pipeline!$F$20,1)))+Pipeline!$T$21*Pipeline!$D$21*MIN(1,MAX(0,(41-Pipeline!$E$21+1)/MAX(Pipeline!$F$21,1)))+Pipeline!$T$22*Pipeline!$D$22*MIN(1,MAX(0,(41-Pipeline!$E$22+1)/MAX(Pipeline!$F$22,1))))/Hipótesis!$F$17</f>
        <v>6939.81572629052</v>
      </c>
      <c r="AR17" s="139" t="n">
        <f aca="false">(Pipeline!$T$16*Pipeline!$D$16*MIN(1,MAX(0,(42-Pipeline!$E$16+1)/MAX(Pipeline!$F$16,1)))+Pipeline!$T$17*Pipeline!$D$17*MIN(1,MAX(0,(42-Pipeline!$E$17+1)/MAX(Pipeline!$F$17,1)))+Pipeline!$T$18*Pipeline!$D$18*MIN(1,MAX(0,(42-Pipeline!$E$18+1)/MAX(Pipeline!$F$18,1)))+Pipeline!$T$19*Pipeline!$D$19*MIN(1,MAX(0,(42-Pipeline!$E$19+1)/MAX(Pipeline!$F$19,1)))+Pipeline!$T$20*Pipeline!$D$20*MIN(1,MAX(0,(42-Pipeline!$E$20+1)/MAX(Pipeline!$F$20,1)))+Pipeline!$T$21*Pipeline!$D$21*MIN(1,MAX(0,(42-Pipeline!$E$21+1)/MAX(Pipeline!$F$21,1)))+Pipeline!$T$22*Pipeline!$D$22*MIN(1,MAX(0,(42-Pipeline!$E$22+1)/MAX(Pipeline!$F$22,1))))/Hipótesis!$F$17</f>
        <v>6939.81572629052</v>
      </c>
      <c r="AS17" s="139" t="n">
        <f aca="false">(Pipeline!$T$16*Pipeline!$D$16*MIN(1,MAX(0,(43-Pipeline!$E$16+1)/MAX(Pipeline!$F$16,1)))+Pipeline!$T$17*Pipeline!$D$17*MIN(1,MAX(0,(43-Pipeline!$E$17+1)/MAX(Pipeline!$F$17,1)))+Pipeline!$T$18*Pipeline!$D$18*MIN(1,MAX(0,(43-Pipeline!$E$18+1)/MAX(Pipeline!$F$18,1)))+Pipeline!$T$19*Pipeline!$D$19*MIN(1,MAX(0,(43-Pipeline!$E$19+1)/MAX(Pipeline!$F$19,1)))+Pipeline!$T$20*Pipeline!$D$20*MIN(1,MAX(0,(43-Pipeline!$E$20+1)/MAX(Pipeline!$F$20,1)))+Pipeline!$T$21*Pipeline!$D$21*MIN(1,MAX(0,(43-Pipeline!$E$21+1)/MAX(Pipeline!$F$21,1)))+Pipeline!$T$22*Pipeline!$D$22*MIN(1,MAX(0,(43-Pipeline!$E$22+1)/MAX(Pipeline!$F$22,1))))/Hipótesis!$F$17</f>
        <v>6939.81572629052</v>
      </c>
      <c r="AT17" s="139" t="n">
        <f aca="false">(Pipeline!$T$16*Pipeline!$D$16*MIN(1,MAX(0,(44-Pipeline!$E$16+1)/MAX(Pipeline!$F$16,1)))+Pipeline!$T$17*Pipeline!$D$17*MIN(1,MAX(0,(44-Pipeline!$E$17+1)/MAX(Pipeline!$F$17,1)))+Pipeline!$T$18*Pipeline!$D$18*MIN(1,MAX(0,(44-Pipeline!$E$18+1)/MAX(Pipeline!$F$18,1)))+Pipeline!$T$19*Pipeline!$D$19*MIN(1,MAX(0,(44-Pipeline!$E$19+1)/MAX(Pipeline!$F$19,1)))+Pipeline!$T$20*Pipeline!$D$20*MIN(1,MAX(0,(44-Pipeline!$E$20+1)/MAX(Pipeline!$F$20,1)))+Pipeline!$T$21*Pipeline!$D$21*MIN(1,MAX(0,(44-Pipeline!$E$21+1)/MAX(Pipeline!$F$21,1)))+Pipeline!$T$22*Pipeline!$D$22*MIN(1,MAX(0,(44-Pipeline!$E$22+1)/MAX(Pipeline!$F$22,1))))/Hipótesis!$F$17</f>
        <v>6939.81572629052</v>
      </c>
      <c r="AU17" s="139" t="n">
        <f aca="false">(Pipeline!$T$16*Pipeline!$D$16*MIN(1,MAX(0,(45-Pipeline!$E$16+1)/MAX(Pipeline!$F$16,1)))+Pipeline!$T$17*Pipeline!$D$17*MIN(1,MAX(0,(45-Pipeline!$E$17+1)/MAX(Pipeline!$F$17,1)))+Pipeline!$T$18*Pipeline!$D$18*MIN(1,MAX(0,(45-Pipeline!$E$18+1)/MAX(Pipeline!$F$18,1)))+Pipeline!$T$19*Pipeline!$D$19*MIN(1,MAX(0,(45-Pipeline!$E$19+1)/MAX(Pipeline!$F$19,1)))+Pipeline!$T$20*Pipeline!$D$20*MIN(1,MAX(0,(45-Pipeline!$E$20+1)/MAX(Pipeline!$F$20,1)))+Pipeline!$T$21*Pipeline!$D$21*MIN(1,MAX(0,(45-Pipeline!$E$21+1)/MAX(Pipeline!$F$21,1)))+Pipeline!$T$22*Pipeline!$D$22*MIN(1,MAX(0,(45-Pipeline!$E$22+1)/MAX(Pipeline!$F$22,1))))/Hipótesis!$F$17</f>
        <v>6939.81572629052</v>
      </c>
      <c r="AV17" s="139" t="n">
        <f aca="false">(Pipeline!$T$16*Pipeline!$D$16*MIN(1,MAX(0,(46-Pipeline!$E$16+1)/MAX(Pipeline!$F$16,1)))+Pipeline!$T$17*Pipeline!$D$17*MIN(1,MAX(0,(46-Pipeline!$E$17+1)/MAX(Pipeline!$F$17,1)))+Pipeline!$T$18*Pipeline!$D$18*MIN(1,MAX(0,(46-Pipeline!$E$18+1)/MAX(Pipeline!$F$18,1)))+Pipeline!$T$19*Pipeline!$D$19*MIN(1,MAX(0,(46-Pipeline!$E$19+1)/MAX(Pipeline!$F$19,1)))+Pipeline!$T$20*Pipeline!$D$20*MIN(1,MAX(0,(46-Pipeline!$E$20+1)/MAX(Pipeline!$F$20,1)))+Pipeline!$T$21*Pipeline!$D$21*MIN(1,MAX(0,(46-Pipeline!$E$21+1)/MAX(Pipeline!$F$21,1)))+Pipeline!$T$22*Pipeline!$D$22*MIN(1,MAX(0,(46-Pipeline!$E$22+1)/MAX(Pipeline!$F$22,1))))/Hipótesis!$F$17</f>
        <v>6939.81572629052</v>
      </c>
      <c r="AW17" s="139" t="n">
        <f aca="false">(Pipeline!$T$16*Pipeline!$D$16*MIN(1,MAX(0,(47-Pipeline!$E$16+1)/MAX(Pipeline!$F$16,1)))+Pipeline!$T$17*Pipeline!$D$17*MIN(1,MAX(0,(47-Pipeline!$E$17+1)/MAX(Pipeline!$F$17,1)))+Pipeline!$T$18*Pipeline!$D$18*MIN(1,MAX(0,(47-Pipeline!$E$18+1)/MAX(Pipeline!$F$18,1)))+Pipeline!$T$19*Pipeline!$D$19*MIN(1,MAX(0,(47-Pipeline!$E$19+1)/MAX(Pipeline!$F$19,1)))+Pipeline!$T$20*Pipeline!$D$20*MIN(1,MAX(0,(47-Pipeline!$E$20+1)/MAX(Pipeline!$F$20,1)))+Pipeline!$T$21*Pipeline!$D$21*MIN(1,MAX(0,(47-Pipeline!$E$21+1)/MAX(Pipeline!$F$21,1)))+Pipeline!$T$22*Pipeline!$D$22*MIN(1,MAX(0,(47-Pipeline!$E$22+1)/MAX(Pipeline!$F$22,1))))/Hipótesis!$F$17</f>
        <v>6939.81572629052</v>
      </c>
      <c r="AX17" s="139" t="n">
        <f aca="false">(Pipeline!$T$16*Pipeline!$D$16*MIN(1,MAX(0,(48-Pipeline!$E$16+1)/MAX(Pipeline!$F$16,1)))+Pipeline!$T$17*Pipeline!$D$17*MIN(1,MAX(0,(48-Pipeline!$E$17+1)/MAX(Pipeline!$F$17,1)))+Pipeline!$T$18*Pipeline!$D$18*MIN(1,MAX(0,(48-Pipeline!$E$18+1)/MAX(Pipeline!$F$18,1)))+Pipeline!$T$19*Pipeline!$D$19*MIN(1,MAX(0,(48-Pipeline!$E$19+1)/MAX(Pipeline!$F$19,1)))+Pipeline!$T$20*Pipeline!$D$20*MIN(1,MAX(0,(48-Pipeline!$E$20+1)/MAX(Pipeline!$F$20,1)))+Pipeline!$T$21*Pipeline!$D$21*MIN(1,MAX(0,(48-Pipeline!$E$21+1)/MAX(Pipeline!$F$21,1)))+Pipeline!$T$22*Pipeline!$D$22*MIN(1,MAX(0,(48-Pipeline!$E$22+1)/MAX(Pipeline!$F$22,1))))/Hipótesis!$F$17</f>
        <v>6939.81572629052</v>
      </c>
      <c r="AY17" s="139" t="n">
        <f aca="false">(Pipeline!$T$16*Pipeline!$D$16*MIN(1,MAX(0,(49-Pipeline!$E$16+1)/MAX(Pipeline!$F$16,1)))+Pipeline!$T$17*Pipeline!$D$17*MIN(1,MAX(0,(49-Pipeline!$E$17+1)/MAX(Pipeline!$F$17,1)))+Pipeline!$T$18*Pipeline!$D$18*MIN(1,MAX(0,(49-Pipeline!$E$18+1)/MAX(Pipeline!$F$18,1)))+Pipeline!$T$19*Pipeline!$D$19*MIN(1,MAX(0,(49-Pipeline!$E$19+1)/MAX(Pipeline!$F$19,1)))+Pipeline!$T$20*Pipeline!$D$20*MIN(1,MAX(0,(49-Pipeline!$E$20+1)/MAX(Pipeline!$F$20,1)))+Pipeline!$T$21*Pipeline!$D$21*MIN(1,MAX(0,(49-Pipeline!$E$21+1)/MAX(Pipeline!$F$21,1)))+Pipeline!$T$22*Pipeline!$D$22*MIN(1,MAX(0,(49-Pipeline!$E$22+1)/MAX(Pipeline!$F$22,1))))/Hipótesis!$F$17</f>
        <v>6939.81572629052</v>
      </c>
      <c r="AZ17" s="139" t="n">
        <f aca="false">(Pipeline!$T$16*Pipeline!$D$16*MIN(1,MAX(0,(50-Pipeline!$E$16+1)/MAX(Pipeline!$F$16,1)))+Pipeline!$T$17*Pipeline!$D$17*MIN(1,MAX(0,(50-Pipeline!$E$17+1)/MAX(Pipeline!$F$17,1)))+Pipeline!$T$18*Pipeline!$D$18*MIN(1,MAX(0,(50-Pipeline!$E$18+1)/MAX(Pipeline!$F$18,1)))+Pipeline!$T$19*Pipeline!$D$19*MIN(1,MAX(0,(50-Pipeline!$E$19+1)/MAX(Pipeline!$F$19,1)))+Pipeline!$T$20*Pipeline!$D$20*MIN(1,MAX(0,(50-Pipeline!$E$20+1)/MAX(Pipeline!$F$20,1)))+Pipeline!$T$21*Pipeline!$D$21*MIN(1,MAX(0,(50-Pipeline!$E$21+1)/MAX(Pipeline!$F$21,1)))+Pipeline!$T$22*Pipeline!$D$22*MIN(1,MAX(0,(50-Pipeline!$E$22+1)/MAX(Pipeline!$F$22,1))))/Hipótesis!$F$17</f>
        <v>6939.81572629052</v>
      </c>
      <c r="BA17" s="139" t="n">
        <f aca="false">(Pipeline!$T$16*Pipeline!$D$16*MIN(1,MAX(0,(51-Pipeline!$E$16+1)/MAX(Pipeline!$F$16,1)))+Pipeline!$T$17*Pipeline!$D$17*MIN(1,MAX(0,(51-Pipeline!$E$17+1)/MAX(Pipeline!$F$17,1)))+Pipeline!$T$18*Pipeline!$D$18*MIN(1,MAX(0,(51-Pipeline!$E$18+1)/MAX(Pipeline!$F$18,1)))+Pipeline!$T$19*Pipeline!$D$19*MIN(1,MAX(0,(51-Pipeline!$E$19+1)/MAX(Pipeline!$F$19,1)))+Pipeline!$T$20*Pipeline!$D$20*MIN(1,MAX(0,(51-Pipeline!$E$20+1)/MAX(Pipeline!$F$20,1)))+Pipeline!$T$21*Pipeline!$D$21*MIN(1,MAX(0,(51-Pipeline!$E$21+1)/MAX(Pipeline!$F$21,1)))+Pipeline!$T$22*Pipeline!$D$22*MIN(1,MAX(0,(51-Pipeline!$E$22+1)/MAX(Pipeline!$F$22,1))))/Hipótesis!$F$17</f>
        <v>6939.81572629052</v>
      </c>
      <c r="BB17" s="139" t="n">
        <f aca="false">(Pipeline!$T$16*Pipeline!$D$16*MIN(1,MAX(0,(52-Pipeline!$E$16+1)/MAX(Pipeline!$F$16,1)))+Pipeline!$T$17*Pipeline!$D$17*MIN(1,MAX(0,(52-Pipeline!$E$17+1)/MAX(Pipeline!$F$17,1)))+Pipeline!$T$18*Pipeline!$D$18*MIN(1,MAX(0,(52-Pipeline!$E$18+1)/MAX(Pipeline!$F$18,1)))+Pipeline!$T$19*Pipeline!$D$19*MIN(1,MAX(0,(52-Pipeline!$E$19+1)/MAX(Pipeline!$F$19,1)))+Pipeline!$T$20*Pipeline!$D$20*MIN(1,MAX(0,(52-Pipeline!$E$20+1)/MAX(Pipeline!$F$20,1)))+Pipeline!$T$21*Pipeline!$D$21*MIN(1,MAX(0,(52-Pipeline!$E$21+1)/MAX(Pipeline!$F$21,1)))+Pipeline!$T$22*Pipeline!$D$22*MIN(1,MAX(0,(52-Pipeline!$E$22+1)/MAX(Pipeline!$F$22,1))))/Hipótesis!$F$17</f>
        <v>6939.81572629052</v>
      </c>
      <c r="BC17" s="139" t="n">
        <f aca="false">(Pipeline!$T$16*Pipeline!$D$16*MIN(1,MAX(0,(53-Pipeline!$E$16+1)/MAX(Pipeline!$F$16,1)))+Pipeline!$T$17*Pipeline!$D$17*MIN(1,MAX(0,(53-Pipeline!$E$17+1)/MAX(Pipeline!$F$17,1)))+Pipeline!$T$18*Pipeline!$D$18*MIN(1,MAX(0,(53-Pipeline!$E$18+1)/MAX(Pipeline!$F$18,1)))+Pipeline!$T$19*Pipeline!$D$19*MIN(1,MAX(0,(53-Pipeline!$E$19+1)/MAX(Pipeline!$F$19,1)))+Pipeline!$T$20*Pipeline!$D$20*MIN(1,MAX(0,(53-Pipeline!$E$20+1)/MAX(Pipeline!$F$20,1)))+Pipeline!$T$21*Pipeline!$D$21*MIN(1,MAX(0,(53-Pipeline!$E$21+1)/MAX(Pipeline!$F$21,1)))+Pipeline!$T$22*Pipeline!$D$22*MIN(1,MAX(0,(53-Pipeline!$E$22+1)/MAX(Pipeline!$F$22,1))))/Hipótesis!$F$17</f>
        <v>6939.81572629052</v>
      </c>
      <c r="BD17" s="139" t="n">
        <f aca="false">(Pipeline!$T$16*Pipeline!$D$16*MIN(1,MAX(0,(54-Pipeline!$E$16+1)/MAX(Pipeline!$F$16,1)))+Pipeline!$T$17*Pipeline!$D$17*MIN(1,MAX(0,(54-Pipeline!$E$17+1)/MAX(Pipeline!$F$17,1)))+Pipeline!$T$18*Pipeline!$D$18*MIN(1,MAX(0,(54-Pipeline!$E$18+1)/MAX(Pipeline!$F$18,1)))+Pipeline!$T$19*Pipeline!$D$19*MIN(1,MAX(0,(54-Pipeline!$E$19+1)/MAX(Pipeline!$F$19,1)))+Pipeline!$T$20*Pipeline!$D$20*MIN(1,MAX(0,(54-Pipeline!$E$20+1)/MAX(Pipeline!$F$20,1)))+Pipeline!$T$21*Pipeline!$D$21*MIN(1,MAX(0,(54-Pipeline!$E$21+1)/MAX(Pipeline!$F$21,1)))+Pipeline!$T$22*Pipeline!$D$22*MIN(1,MAX(0,(54-Pipeline!$E$22+1)/MAX(Pipeline!$F$22,1))))/Hipótesis!$F$17</f>
        <v>6939.81572629052</v>
      </c>
      <c r="BE17" s="139" t="n">
        <f aca="false">(Pipeline!$T$16*Pipeline!$D$16*MIN(1,MAX(0,(55-Pipeline!$E$16+1)/MAX(Pipeline!$F$16,1)))+Pipeline!$T$17*Pipeline!$D$17*MIN(1,MAX(0,(55-Pipeline!$E$17+1)/MAX(Pipeline!$F$17,1)))+Pipeline!$T$18*Pipeline!$D$18*MIN(1,MAX(0,(55-Pipeline!$E$18+1)/MAX(Pipeline!$F$18,1)))+Pipeline!$T$19*Pipeline!$D$19*MIN(1,MAX(0,(55-Pipeline!$E$19+1)/MAX(Pipeline!$F$19,1)))+Pipeline!$T$20*Pipeline!$D$20*MIN(1,MAX(0,(55-Pipeline!$E$20+1)/MAX(Pipeline!$F$20,1)))+Pipeline!$T$21*Pipeline!$D$21*MIN(1,MAX(0,(55-Pipeline!$E$21+1)/MAX(Pipeline!$F$21,1)))+Pipeline!$T$22*Pipeline!$D$22*MIN(1,MAX(0,(55-Pipeline!$E$22+1)/MAX(Pipeline!$F$22,1))))/Hipótesis!$F$17</f>
        <v>6939.81572629052</v>
      </c>
      <c r="BF17" s="139" t="n">
        <f aca="false">(Pipeline!$T$16*Pipeline!$D$16*MIN(1,MAX(0,(56-Pipeline!$E$16+1)/MAX(Pipeline!$F$16,1)))+Pipeline!$T$17*Pipeline!$D$17*MIN(1,MAX(0,(56-Pipeline!$E$17+1)/MAX(Pipeline!$F$17,1)))+Pipeline!$T$18*Pipeline!$D$18*MIN(1,MAX(0,(56-Pipeline!$E$18+1)/MAX(Pipeline!$F$18,1)))+Pipeline!$T$19*Pipeline!$D$19*MIN(1,MAX(0,(56-Pipeline!$E$19+1)/MAX(Pipeline!$F$19,1)))+Pipeline!$T$20*Pipeline!$D$20*MIN(1,MAX(0,(56-Pipeline!$E$20+1)/MAX(Pipeline!$F$20,1)))+Pipeline!$T$21*Pipeline!$D$21*MIN(1,MAX(0,(56-Pipeline!$E$21+1)/MAX(Pipeline!$F$21,1)))+Pipeline!$T$22*Pipeline!$D$22*MIN(1,MAX(0,(56-Pipeline!$E$22+1)/MAX(Pipeline!$F$22,1))))/Hipótesis!$F$17</f>
        <v>6939.81572629052</v>
      </c>
      <c r="BG17" s="139" t="n">
        <f aca="false">(Pipeline!$T$16*Pipeline!$D$16*MIN(1,MAX(0,(57-Pipeline!$E$16+1)/MAX(Pipeline!$F$16,1)))+Pipeline!$T$17*Pipeline!$D$17*MIN(1,MAX(0,(57-Pipeline!$E$17+1)/MAX(Pipeline!$F$17,1)))+Pipeline!$T$18*Pipeline!$D$18*MIN(1,MAX(0,(57-Pipeline!$E$18+1)/MAX(Pipeline!$F$18,1)))+Pipeline!$T$19*Pipeline!$D$19*MIN(1,MAX(0,(57-Pipeline!$E$19+1)/MAX(Pipeline!$F$19,1)))+Pipeline!$T$20*Pipeline!$D$20*MIN(1,MAX(0,(57-Pipeline!$E$20+1)/MAX(Pipeline!$F$20,1)))+Pipeline!$T$21*Pipeline!$D$21*MIN(1,MAX(0,(57-Pipeline!$E$21+1)/MAX(Pipeline!$F$21,1)))+Pipeline!$T$22*Pipeline!$D$22*MIN(1,MAX(0,(57-Pipeline!$E$22+1)/MAX(Pipeline!$F$22,1))))/Hipótesis!$F$17</f>
        <v>6939.81572629052</v>
      </c>
      <c r="BH17" s="139" t="n">
        <f aca="false">(Pipeline!$T$16*Pipeline!$D$16*MIN(1,MAX(0,(58-Pipeline!$E$16+1)/MAX(Pipeline!$F$16,1)))+Pipeline!$T$17*Pipeline!$D$17*MIN(1,MAX(0,(58-Pipeline!$E$17+1)/MAX(Pipeline!$F$17,1)))+Pipeline!$T$18*Pipeline!$D$18*MIN(1,MAX(0,(58-Pipeline!$E$18+1)/MAX(Pipeline!$F$18,1)))+Pipeline!$T$19*Pipeline!$D$19*MIN(1,MAX(0,(58-Pipeline!$E$19+1)/MAX(Pipeline!$F$19,1)))+Pipeline!$T$20*Pipeline!$D$20*MIN(1,MAX(0,(58-Pipeline!$E$20+1)/MAX(Pipeline!$F$20,1)))+Pipeline!$T$21*Pipeline!$D$21*MIN(1,MAX(0,(58-Pipeline!$E$21+1)/MAX(Pipeline!$F$21,1)))+Pipeline!$T$22*Pipeline!$D$22*MIN(1,MAX(0,(58-Pipeline!$E$22+1)/MAX(Pipeline!$F$22,1))))/Hipótesis!$F$17</f>
        <v>6939.81572629052</v>
      </c>
      <c r="BI17" s="139" t="n">
        <f aca="false">(Pipeline!$T$16*Pipeline!$D$16*MIN(1,MAX(0,(59-Pipeline!$E$16+1)/MAX(Pipeline!$F$16,1)))+Pipeline!$T$17*Pipeline!$D$17*MIN(1,MAX(0,(59-Pipeline!$E$17+1)/MAX(Pipeline!$F$17,1)))+Pipeline!$T$18*Pipeline!$D$18*MIN(1,MAX(0,(59-Pipeline!$E$18+1)/MAX(Pipeline!$F$18,1)))+Pipeline!$T$19*Pipeline!$D$19*MIN(1,MAX(0,(59-Pipeline!$E$19+1)/MAX(Pipeline!$F$19,1)))+Pipeline!$T$20*Pipeline!$D$20*MIN(1,MAX(0,(59-Pipeline!$E$20+1)/MAX(Pipeline!$F$20,1)))+Pipeline!$T$21*Pipeline!$D$21*MIN(1,MAX(0,(59-Pipeline!$E$21+1)/MAX(Pipeline!$F$21,1)))+Pipeline!$T$22*Pipeline!$D$22*MIN(1,MAX(0,(59-Pipeline!$E$22+1)/MAX(Pipeline!$F$22,1))))/Hipótesis!$F$17</f>
        <v>6939.81572629052</v>
      </c>
      <c r="BJ17" s="139" t="n">
        <f aca="false">(Pipeline!$T$16*Pipeline!$D$16*MIN(1,MAX(0,(60-Pipeline!$E$16+1)/MAX(Pipeline!$F$16,1)))+Pipeline!$T$17*Pipeline!$D$17*MIN(1,MAX(0,(60-Pipeline!$E$17+1)/MAX(Pipeline!$F$17,1)))+Pipeline!$T$18*Pipeline!$D$18*MIN(1,MAX(0,(60-Pipeline!$E$18+1)/MAX(Pipeline!$F$18,1)))+Pipeline!$T$19*Pipeline!$D$19*MIN(1,MAX(0,(60-Pipeline!$E$19+1)/MAX(Pipeline!$F$19,1)))+Pipeline!$T$20*Pipeline!$D$20*MIN(1,MAX(0,(60-Pipeline!$E$20+1)/MAX(Pipeline!$F$20,1)))+Pipeline!$T$21*Pipeline!$D$21*MIN(1,MAX(0,(60-Pipeline!$E$21+1)/MAX(Pipeline!$F$21,1)))+Pipeline!$T$22*Pipeline!$D$22*MIN(1,MAX(0,(60-Pipeline!$E$22+1)/MAX(Pipeline!$F$22,1))))/Hipótesis!$F$17</f>
        <v>6939.81572629052</v>
      </c>
      <c r="BK17" s="139" t="n">
        <f aca="false">(Pipeline!$T$16*Pipeline!$D$16*MIN(1,MAX(0,(61-Pipeline!$E$16+1)/MAX(Pipeline!$F$16,1)))+Pipeline!$T$17*Pipeline!$D$17*MIN(1,MAX(0,(61-Pipeline!$E$17+1)/MAX(Pipeline!$F$17,1)))+Pipeline!$T$18*Pipeline!$D$18*MIN(1,MAX(0,(61-Pipeline!$E$18+1)/MAX(Pipeline!$F$18,1)))+Pipeline!$T$19*Pipeline!$D$19*MIN(1,MAX(0,(61-Pipeline!$E$19+1)/MAX(Pipeline!$F$19,1)))+Pipeline!$T$20*Pipeline!$D$20*MIN(1,MAX(0,(61-Pipeline!$E$20+1)/MAX(Pipeline!$F$20,1)))+Pipeline!$T$21*Pipeline!$D$21*MIN(1,MAX(0,(61-Pipeline!$E$21+1)/MAX(Pipeline!$F$21,1)))+Pipeline!$T$22*Pipeline!$D$22*MIN(1,MAX(0,(61-Pipeline!$E$22+1)/MAX(Pipeline!$F$22,1))))/Hipótesis!$F$17</f>
        <v>6939.81572629052</v>
      </c>
      <c r="BL17" s="139" t="n">
        <f aca="false">(Pipeline!$T$16*Pipeline!$D$16*MIN(1,MAX(0,(62-Pipeline!$E$16+1)/MAX(Pipeline!$F$16,1)))+Pipeline!$T$17*Pipeline!$D$17*MIN(1,MAX(0,(62-Pipeline!$E$17+1)/MAX(Pipeline!$F$17,1)))+Pipeline!$T$18*Pipeline!$D$18*MIN(1,MAX(0,(62-Pipeline!$E$18+1)/MAX(Pipeline!$F$18,1)))+Pipeline!$T$19*Pipeline!$D$19*MIN(1,MAX(0,(62-Pipeline!$E$19+1)/MAX(Pipeline!$F$19,1)))+Pipeline!$T$20*Pipeline!$D$20*MIN(1,MAX(0,(62-Pipeline!$E$20+1)/MAX(Pipeline!$F$20,1)))+Pipeline!$T$21*Pipeline!$D$21*MIN(1,MAX(0,(62-Pipeline!$E$21+1)/MAX(Pipeline!$F$21,1)))+Pipeline!$T$22*Pipeline!$D$22*MIN(1,MAX(0,(62-Pipeline!$E$22+1)/MAX(Pipeline!$F$22,1))))/Hipótesis!$F$17</f>
        <v>6939.81572629052</v>
      </c>
      <c r="BM17" s="139" t="n">
        <f aca="false">(Pipeline!$T$16*Pipeline!$D$16*MIN(1,MAX(0,(63-Pipeline!$E$16+1)/MAX(Pipeline!$F$16,1)))+Pipeline!$T$17*Pipeline!$D$17*MIN(1,MAX(0,(63-Pipeline!$E$17+1)/MAX(Pipeline!$F$17,1)))+Pipeline!$T$18*Pipeline!$D$18*MIN(1,MAX(0,(63-Pipeline!$E$18+1)/MAX(Pipeline!$F$18,1)))+Pipeline!$T$19*Pipeline!$D$19*MIN(1,MAX(0,(63-Pipeline!$E$19+1)/MAX(Pipeline!$F$19,1)))+Pipeline!$T$20*Pipeline!$D$20*MIN(1,MAX(0,(63-Pipeline!$E$20+1)/MAX(Pipeline!$F$20,1)))+Pipeline!$T$21*Pipeline!$D$21*MIN(1,MAX(0,(63-Pipeline!$E$21+1)/MAX(Pipeline!$F$21,1)))+Pipeline!$T$22*Pipeline!$D$22*MIN(1,MAX(0,(63-Pipeline!$E$22+1)/MAX(Pipeline!$F$22,1))))/Hipótesis!$F$17</f>
        <v>6939.81572629052</v>
      </c>
      <c r="BN17" s="139" t="n">
        <f aca="false">(Pipeline!$T$16*Pipeline!$D$16*MIN(1,MAX(0,(64-Pipeline!$E$16+1)/MAX(Pipeline!$F$16,1)))+Pipeline!$T$17*Pipeline!$D$17*MIN(1,MAX(0,(64-Pipeline!$E$17+1)/MAX(Pipeline!$F$17,1)))+Pipeline!$T$18*Pipeline!$D$18*MIN(1,MAX(0,(64-Pipeline!$E$18+1)/MAX(Pipeline!$F$18,1)))+Pipeline!$T$19*Pipeline!$D$19*MIN(1,MAX(0,(64-Pipeline!$E$19+1)/MAX(Pipeline!$F$19,1)))+Pipeline!$T$20*Pipeline!$D$20*MIN(1,MAX(0,(64-Pipeline!$E$20+1)/MAX(Pipeline!$F$20,1)))+Pipeline!$T$21*Pipeline!$D$21*MIN(1,MAX(0,(64-Pipeline!$E$21+1)/MAX(Pipeline!$F$21,1)))+Pipeline!$T$22*Pipeline!$D$22*MIN(1,MAX(0,(64-Pipeline!$E$22+1)/MAX(Pipeline!$F$22,1))))/Hipótesis!$F$17</f>
        <v>6939.81572629052</v>
      </c>
      <c r="BO17" s="139" t="n">
        <f aca="false">(Pipeline!$T$16*Pipeline!$D$16*MIN(1,MAX(0,(65-Pipeline!$E$16+1)/MAX(Pipeline!$F$16,1)))+Pipeline!$T$17*Pipeline!$D$17*MIN(1,MAX(0,(65-Pipeline!$E$17+1)/MAX(Pipeline!$F$17,1)))+Pipeline!$T$18*Pipeline!$D$18*MIN(1,MAX(0,(65-Pipeline!$E$18+1)/MAX(Pipeline!$F$18,1)))+Pipeline!$T$19*Pipeline!$D$19*MIN(1,MAX(0,(65-Pipeline!$E$19+1)/MAX(Pipeline!$F$19,1)))+Pipeline!$T$20*Pipeline!$D$20*MIN(1,MAX(0,(65-Pipeline!$E$20+1)/MAX(Pipeline!$F$20,1)))+Pipeline!$T$21*Pipeline!$D$21*MIN(1,MAX(0,(65-Pipeline!$E$21+1)/MAX(Pipeline!$F$21,1)))+Pipeline!$T$22*Pipeline!$D$22*MIN(1,MAX(0,(65-Pipeline!$E$22+1)/MAX(Pipeline!$F$22,1))))/Hipótesis!$F$17</f>
        <v>6939.81572629052</v>
      </c>
      <c r="BP17" s="139" t="n">
        <f aca="false">(Pipeline!$T$16*Pipeline!$D$16*MIN(1,MAX(0,(66-Pipeline!$E$16+1)/MAX(Pipeline!$F$16,1)))+Pipeline!$T$17*Pipeline!$D$17*MIN(1,MAX(0,(66-Pipeline!$E$17+1)/MAX(Pipeline!$F$17,1)))+Pipeline!$T$18*Pipeline!$D$18*MIN(1,MAX(0,(66-Pipeline!$E$18+1)/MAX(Pipeline!$F$18,1)))+Pipeline!$T$19*Pipeline!$D$19*MIN(1,MAX(0,(66-Pipeline!$E$19+1)/MAX(Pipeline!$F$19,1)))+Pipeline!$T$20*Pipeline!$D$20*MIN(1,MAX(0,(66-Pipeline!$E$20+1)/MAX(Pipeline!$F$20,1)))+Pipeline!$T$21*Pipeline!$D$21*MIN(1,MAX(0,(66-Pipeline!$E$21+1)/MAX(Pipeline!$F$21,1)))+Pipeline!$T$22*Pipeline!$D$22*MIN(1,MAX(0,(66-Pipeline!$E$22+1)/MAX(Pipeline!$F$22,1))))/Hipótesis!$F$17</f>
        <v>6939.81572629052</v>
      </c>
      <c r="BQ17" s="139" t="n">
        <f aca="false">(Pipeline!$T$16*Pipeline!$D$16*MIN(1,MAX(0,(67-Pipeline!$E$16+1)/MAX(Pipeline!$F$16,1)))+Pipeline!$T$17*Pipeline!$D$17*MIN(1,MAX(0,(67-Pipeline!$E$17+1)/MAX(Pipeline!$F$17,1)))+Pipeline!$T$18*Pipeline!$D$18*MIN(1,MAX(0,(67-Pipeline!$E$18+1)/MAX(Pipeline!$F$18,1)))+Pipeline!$T$19*Pipeline!$D$19*MIN(1,MAX(0,(67-Pipeline!$E$19+1)/MAX(Pipeline!$F$19,1)))+Pipeline!$T$20*Pipeline!$D$20*MIN(1,MAX(0,(67-Pipeline!$E$20+1)/MAX(Pipeline!$F$20,1)))+Pipeline!$T$21*Pipeline!$D$21*MIN(1,MAX(0,(67-Pipeline!$E$21+1)/MAX(Pipeline!$F$21,1)))+Pipeline!$T$22*Pipeline!$D$22*MIN(1,MAX(0,(67-Pipeline!$E$22+1)/MAX(Pipeline!$F$22,1))))/Hipótesis!$F$17</f>
        <v>6939.81572629052</v>
      </c>
      <c r="BR17" s="139" t="n">
        <f aca="false">(Pipeline!$T$16*Pipeline!$D$16*MIN(1,MAX(0,(68-Pipeline!$E$16+1)/MAX(Pipeline!$F$16,1)))+Pipeline!$T$17*Pipeline!$D$17*MIN(1,MAX(0,(68-Pipeline!$E$17+1)/MAX(Pipeline!$F$17,1)))+Pipeline!$T$18*Pipeline!$D$18*MIN(1,MAX(0,(68-Pipeline!$E$18+1)/MAX(Pipeline!$F$18,1)))+Pipeline!$T$19*Pipeline!$D$19*MIN(1,MAX(0,(68-Pipeline!$E$19+1)/MAX(Pipeline!$F$19,1)))+Pipeline!$T$20*Pipeline!$D$20*MIN(1,MAX(0,(68-Pipeline!$E$20+1)/MAX(Pipeline!$F$20,1)))+Pipeline!$T$21*Pipeline!$D$21*MIN(1,MAX(0,(68-Pipeline!$E$21+1)/MAX(Pipeline!$F$21,1)))+Pipeline!$T$22*Pipeline!$D$22*MIN(1,MAX(0,(68-Pipeline!$E$22+1)/MAX(Pipeline!$F$22,1))))/Hipótesis!$F$17</f>
        <v>6939.81572629052</v>
      </c>
      <c r="BS17" s="139" t="n">
        <f aca="false">(Pipeline!$T$16*Pipeline!$D$16*MIN(1,MAX(0,(69-Pipeline!$E$16+1)/MAX(Pipeline!$F$16,1)))+Pipeline!$T$17*Pipeline!$D$17*MIN(1,MAX(0,(69-Pipeline!$E$17+1)/MAX(Pipeline!$F$17,1)))+Pipeline!$T$18*Pipeline!$D$18*MIN(1,MAX(0,(69-Pipeline!$E$18+1)/MAX(Pipeline!$F$18,1)))+Pipeline!$T$19*Pipeline!$D$19*MIN(1,MAX(0,(69-Pipeline!$E$19+1)/MAX(Pipeline!$F$19,1)))+Pipeline!$T$20*Pipeline!$D$20*MIN(1,MAX(0,(69-Pipeline!$E$20+1)/MAX(Pipeline!$F$20,1)))+Pipeline!$T$21*Pipeline!$D$21*MIN(1,MAX(0,(69-Pipeline!$E$21+1)/MAX(Pipeline!$F$21,1)))+Pipeline!$T$22*Pipeline!$D$22*MIN(1,MAX(0,(69-Pipeline!$E$22+1)/MAX(Pipeline!$F$22,1))))/Hipótesis!$F$17</f>
        <v>6939.81572629052</v>
      </c>
      <c r="BT17" s="139" t="n">
        <f aca="false">(Pipeline!$T$16*Pipeline!$D$16*MIN(1,MAX(0,(70-Pipeline!$E$16+1)/MAX(Pipeline!$F$16,1)))+Pipeline!$T$17*Pipeline!$D$17*MIN(1,MAX(0,(70-Pipeline!$E$17+1)/MAX(Pipeline!$F$17,1)))+Pipeline!$T$18*Pipeline!$D$18*MIN(1,MAX(0,(70-Pipeline!$E$18+1)/MAX(Pipeline!$F$18,1)))+Pipeline!$T$19*Pipeline!$D$19*MIN(1,MAX(0,(70-Pipeline!$E$19+1)/MAX(Pipeline!$F$19,1)))+Pipeline!$T$20*Pipeline!$D$20*MIN(1,MAX(0,(70-Pipeline!$E$20+1)/MAX(Pipeline!$F$20,1)))+Pipeline!$T$21*Pipeline!$D$21*MIN(1,MAX(0,(70-Pipeline!$E$21+1)/MAX(Pipeline!$F$21,1)))+Pipeline!$T$22*Pipeline!$D$22*MIN(1,MAX(0,(70-Pipeline!$E$22+1)/MAX(Pipeline!$F$22,1))))/Hipótesis!$F$17</f>
        <v>6939.81572629052</v>
      </c>
      <c r="BU17" s="139" t="n">
        <f aca="false">(Pipeline!$T$16*Pipeline!$D$16*MIN(1,MAX(0,(71-Pipeline!$E$16+1)/MAX(Pipeline!$F$16,1)))+Pipeline!$T$17*Pipeline!$D$17*MIN(1,MAX(0,(71-Pipeline!$E$17+1)/MAX(Pipeline!$F$17,1)))+Pipeline!$T$18*Pipeline!$D$18*MIN(1,MAX(0,(71-Pipeline!$E$18+1)/MAX(Pipeline!$F$18,1)))+Pipeline!$T$19*Pipeline!$D$19*MIN(1,MAX(0,(71-Pipeline!$E$19+1)/MAX(Pipeline!$F$19,1)))+Pipeline!$T$20*Pipeline!$D$20*MIN(1,MAX(0,(71-Pipeline!$E$20+1)/MAX(Pipeline!$F$20,1)))+Pipeline!$T$21*Pipeline!$D$21*MIN(1,MAX(0,(71-Pipeline!$E$21+1)/MAX(Pipeline!$F$21,1)))+Pipeline!$T$22*Pipeline!$D$22*MIN(1,MAX(0,(71-Pipeline!$E$22+1)/MAX(Pipeline!$F$22,1))))/Hipótesis!$F$17</f>
        <v>6939.81572629052</v>
      </c>
      <c r="BV17" s="139" t="n">
        <f aca="false">(Pipeline!$T$16*Pipeline!$D$16*MIN(1,MAX(0,(72-Pipeline!$E$16+1)/MAX(Pipeline!$F$16,1)))+Pipeline!$T$17*Pipeline!$D$17*MIN(1,MAX(0,(72-Pipeline!$E$17+1)/MAX(Pipeline!$F$17,1)))+Pipeline!$T$18*Pipeline!$D$18*MIN(1,MAX(0,(72-Pipeline!$E$18+1)/MAX(Pipeline!$F$18,1)))+Pipeline!$T$19*Pipeline!$D$19*MIN(1,MAX(0,(72-Pipeline!$E$19+1)/MAX(Pipeline!$F$19,1)))+Pipeline!$T$20*Pipeline!$D$20*MIN(1,MAX(0,(72-Pipeline!$E$20+1)/MAX(Pipeline!$F$20,1)))+Pipeline!$T$21*Pipeline!$D$21*MIN(1,MAX(0,(72-Pipeline!$E$21+1)/MAX(Pipeline!$F$21,1)))+Pipeline!$T$22*Pipeline!$D$22*MIN(1,MAX(0,(72-Pipeline!$E$22+1)/MAX(Pipeline!$F$22,1))))/Hipótesis!$F$17</f>
        <v>6939.81572629052</v>
      </c>
      <c r="BW17" s="139" t="n">
        <f aca="false">(Pipeline!$T$16*Pipeline!$D$16*MIN(1,MAX(0,(73-Pipeline!$E$16+1)/MAX(Pipeline!$F$16,1)))+Pipeline!$T$17*Pipeline!$D$17*MIN(1,MAX(0,(73-Pipeline!$E$17+1)/MAX(Pipeline!$F$17,1)))+Pipeline!$T$18*Pipeline!$D$18*MIN(1,MAX(0,(73-Pipeline!$E$18+1)/MAX(Pipeline!$F$18,1)))+Pipeline!$T$19*Pipeline!$D$19*MIN(1,MAX(0,(73-Pipeline!$E$19+1)/MAX(Pipeline!$F$19,1)))+Pipeline!$T$20*Pipeline!$D$20*MIN(1,MAX(0,(73-Pipeline!$E$20+1)/MAX(Pipeline!$F$20,1)))+Pipeline!$T$21*Pipeline!$D$21*MIN(1,MAX(0,(73-Pipeline!$E$21+1)/MAX(Pipeline!$F$21,1)))+Pipeline!$T$22*Pipeline!$D$22*MIN(1,MAX(0,(73-Pipeline!$E$22+1)/MAX(Pipeline!$F$22,1))))/Hipótesis!$F$17</f>
        <v>6939.81572629052</v>
      </c>
      <c r="BX17" s="139" t="n">
        <f aca="false">(Pipeline!$T$16*Pipeline!$D$16*MIN(1,MAX(0,(74-Pipeline!$E$16+1)/MAX(Pipeline!$F$16,1)))+Pipeline!$T$17*Pipeline!$D$17*MIN(1,MAX(0,(74-Pipeline!$E$17+1)/MAX(Pipeline!$F$17,1)))+Pipeline!$T$18*Pipeline!$D$18*MIN(1,MAX(0,(74-Pipeline!$E$18+1)/MAX(Pipeline!$F$18,1)))+Pipeline!$T$19*Pipeline!$D$19*MIN(1,MAX(0,(74-Pipeline!$E$19+1)/MAX(Pipeline!$F$19,1)))+Pipeline!$T$20*Pipeline!$D$20*MIN(1,MAX(0,(74-Pipeline!$E$20+1)/MAX(Pipeline!$F$20,1)))+Pipeline!$T$21*Pipeline!$D$21*MIN(1,MAX(0,(74-Pipeline!$E$21+1)/MAX(Pipeline!$F$21,1)))+Pipeline!$T$22*Pipeline!$D$22*MIN(1,MAX(0,(74-Pipeline!$E$22+1)/MAX(Pipeline!$F$22,1))))/Hipótesis!$F$17</f>
        <v>6939.81572629052</v>
      </c>
      <c r="BY17" s="139" t="n">
        <f aca="false">(Pipeline!$T$16*Pipeline!$D$16*MIN(1,MAX(0,(75-Pipeline!$E$16+1)/MAX(Pipeline!$F$16,1)))+Pipeline!$T$17*Pipeline!$D$17*MIN(1,MAX(0,(75-Pipeline!$E$17+1)/MAX(Pipeline!$F$17,1)))+Pipeline!$T$18*Pipeline!$D$18*MIN(1,MAX(0,(75-Pipeline!$E$18+1)/MAX(Pipeline!$F$18,1)))+Pipeline!$T$19*Pipeline!$D$19*MIN(1,MAX(0,(75-Pipeline!$E$19+1)/MAX(Pipeline!$F$19,1)))+Pipeline!$T$20*Pipeline!$D$20*MIN(1,MAX(0,(75-Pipeline!$E$20+1)/MAX(Pipeline!$F$20,1)))+Pipeline!$T$21*Pipeline!$D$21*MIN(1,MAX(0,(75-Pipeline!$E$21+1)/MAX(Pipeline!$F$21,1)))+Pipeline!$T$22*Pipeline!$D$22*MIN(1,MAX(0,(75-Pipeline!$E$22+1)/MAX(Pipeline!$F$22,1))))/Hipótesis!$F$17</f>
        <v>6939.81572629052</v>
      </c>
      <c r="BZ17" s="139" t="n">
        <f aca="false">(Pipeline!$T$16*Pipeline!$D$16*MIN(1,MAX(0,(76-Pipeline!$E$16+1)/MAX(Pipeline!$F$16,1)))+Pipeline!$T$17*Pipeline!$D$17*MIN(1,MAX(0,(76-Pipeline!$E$17+1)/MAX(Pipeline!$F$17,1)))+Pipeline!$T$18*Pipeline!$D$18*MIN(1,MAX(0,(76-Pipeline!$E$18+1)/MAX(Pipeline!$F$18,1)))+Pipeline!$T$19*Pipeline!$D$19*MIN(1,MAX(0,(76-Pipeline!$E$19+1)/MAX(Pipeline!$F$19,1)))+Pipeline!$T$20*Pipeline!$D$20*MIN(1,MAX(0,(76-Pipeline!$E$20+1)/MAX(Pipeline!$F$20,1)))+Pipeline!$T$21*Pipeline!$D$21*MIN(1,MAX(0,(76-Pipeline!$E$21+1)/MAX(Pipeline!$F$21,1)))+Pipeline!$T$22*Pipeline!$D$22*MIN(1,MAX(0,(76-Pipeline!$E$22+1)/MAX(Pipeline!$F$22,1))))/Hipótesis!$F$17</f>
        <v>6939.81572629052</v>
      </c>
      <c r="CA17" s="139" t="n">
        <f aca="false">(Pipeline!$T$16*Pipeline!$D$16*MIN(1,MAX(0,(77-Pipeline!$E$16+1)/MAX(Pipeline!$F$16,1)))+Pipeline!$T$17*Pipeline!$D$17*MIN(1,MAX(0,(77-Pipeline!$E$17+1)/MAX(Pipeline!$F$17,1)))+Pipeline!$T$18*Pipeline!$D$18*MIN(1,MAX(0,(77-Pipeline!$E$18+1)/MAX(Pipeline!$F$18,1)))+Pipeline!$T$19*Pipeline!$D$19*MIN(1,MAX(0,(77-Pipeline!$E$19+1)/MAX(Pipeline!$F$19,1)))+Pipeline!$T$20*Pipeline!$D$20*MIN(1,MAX(0,(77-Pipeline!$E$20+1)/MAX(Pipeline!$F$20,1)))+Pipeline!$T$21*Pipeline!$D$21*MIN(1,MAX(0,(77-Pipeline!$E$21+1)/MAX(Pipeline!$F$21,1)))+Pipeline!$T$22*Pipeline!$D$22*MIN(1,MAX(0,(77-Pipeline!$E$22+1)/MAX(Pipeline!$F$22,1))))/Hipótesis!$F$17</f>
        <v>6939.81572629052</v>
      </c>
      <c r="CB17" s="139" t="n">
        <f aca="false">(Pipeline!$T$16*Pipeline!$D$16*MIN(1,MAX(0,(78-Pipeline!$E$16+1)/MAX(Pipeline!$F$16,1)))+Pipeline!$T$17*Pipeline!$D$17*MIN(1,MAX(0,(78-Pipeline!$E$17+1)/MAX(Pipeline!$F$17,1)))+Pipeline!$T$18*Pipeline!$D$18*MIN(1,MAX(0,(78-Pipeline!$E$18+1)/MAX(Pipeline!$F$18,1)))+Pipeline!$T$19*Pipeline!$D$19*MIN(1,MAX(0,(78-Pipeline!$E$19+1)/MAX(Pipeline!$F$19,1)))+Pipeline!$T$20*Pipeline!$D$20*MIN(1,MAX(0,(78-Pipeline!$E$20+1)/MAX(Pipeline!$F$20,1)))+Pipeline!$T$21*Pipeline!$D$21*MIN(1,MAX(0,(78-Pipeline!$E$21+1)/MAX(Pipeline!$F$21,1)))+Pipeline!$T$22*Pipeline!$D$22*MIN(1,MAX(0,(78-Pipeline!$E$22+1)/MAX(Pipeline!$F$22,1))))/Hipótesis!$F$17</f>
        <v>6939.81572629052</v>
      </c>
      <c r="CC17" s="139" t="n">
        <f aca="false">(Pipeline!$T$16*Pipeline!$D$16*MIN(1,MAX(0,(79-Pipeline!$E$16+1)/MAX(Pipeline!$F$16,1)))+Pipeline!$T$17*Pipeline!$D$17*MIN(1,MAX(0,(79-Pipeline!$E$17+1)/MAX(Pipeline!$F$17,1)))+Pipeline!$T$18*Pipeline!$D$18*MIN(1,MAX(0,(79-Pipeline!$E$18+1)/MAX(Pipeline!$F$18,1)))+Pipeline!$T$19*Pipeline!$D$19*MIN(1,MAX(0,(79-Pipeline!$E$19+1)/MAX(Pipeline!$F$19,1)))+Pipeline!$T$20*Pipeline!$D$20*MIN(1,MAX(0,(79-Pipeline!$E$20+1)/MAX(Pipeline!$F$20,1)))+Pipeline!$T$21*Pipeline!$D$21*MIN(1,MAX(0,(79-Pipeline!$E$21+1)/MAX(Pipeline!$F$21,1)))+Pipeline!$T$22*Pipeline!$D$22*MIN(1,MAX(0,(79-Pipeline!$E$22+1)/MAX(Pipeline!$F$22,1))))/Hipótesis!$F$17</f>
        <v>6939.81572629052</v>
      </c>
      <c r="CD17" s="139" t="n">
        <f aca="false">(Pipeline!$T$16*Pipeline!$D$16*MIN(1,MAX(0,(80-Pipeline!$E$16+1)/MAX(Pipeline!$F$16,1)))+Pipeline!$T$17*Pipeline!$D$17*MIN(1,MAX(0,(80-Pipeline!$E$17+1)/MAX(Pipeline!$F$17,1)))+Pipeline!$T$18*Pipeline!$D$18*MIN(1,MAX(0,(80-Pipeline!$E$18+1)/MAX(Pipeline!$F$18,1)))+Pipeline!$T$19*Pipeline!$D$19*MIN(1,MAX(0,(80-Pipeline!$E$19+1)/MAX(Pipeline!$F$19,1)))+Pipeline!$T$20*Pipeline!$D$20*MIN(1,MAX(0,(80-Pipeline!$E$20+1)/MAX(Pipeline!$F$20,1)))+Pipeline!$T$21*Pipeline!$D$21*MIN(1,MAX(0,(80-Pipeline!$E$21+1)/MAX(Pipeline!$F$21,1)))+Pipeline!$T$22*Pipeline!$D$22*MIN(1,MAX(0,(80-Pipeline!$E$22+1)/MAX(Pipeline!$F$22,1))))/Hipótesis!$F$17</f>
        <v>6939.81572629052</v>
      </c>
      <c r="CE17" s="139" t="n">
        <f aca="false">(Pipeline!$T$16*Pipeline!$D$16*MIN(1,MAX(0,(81-Pipeline!$E$16+1)/MAX(Pipeline!$F$16,1)))+Pipeline!$T$17*Pipeline!$D$17*MIN(1,MAX(0,(81-Pipeline!$E$17+1)/MAX(Pipeline!$F$17,1)))+Pipeline!$T$18*Pipeline!$D$18*MIN(1,MAX(0,(81-Pipeline!$E$18+1)/MAX(Pipeline!$F$18,1)))+Pipeline!$T$19*Pipeline!$D$19*MIN(1,MAX(0,(81-Pipeline!$E$19+1)/MAX(Pipeline!$F$19,1)))+Pipeline!$T$20*Pipeline!$D$20*MIN(1,MAX(0,(81-Pipeline!$E$20+1)/MAX(Pipeline!$F$20,1)))+Pipeline!$T$21*Pipeline!$D$21*MIN(1,MAX(0,(81-Pipeline!$E$21+1)/MAX(Pipeline!$F$21,1)))+Pipeline!$T$22*Pipeline!$D$22*MIN(1,MAX(0,(81-Pipeline!$E$22+1)/MAX(Pipeline!$F$22,1))))/Hipótesis!$F$17</f>
        <v>6939.81572629052</v>
      </c>
      <c r="CF17" s="139" t="n">
        <f aca="false">(Pipeline!$T$16*Pipeline!$D$16*MIN(1,MAX(0,(82-Pipeline!$E$16+1)/MAX(Pipeline!$F$16,1)))+Pipeline!$T$17*Pipeline!$D$17*MIN(1,MAX(0,(82-Pipeline!$E$17+1)/MAX(Pipeline!$F$17,1)))+Pipeline!$T$18*Pipeline!$D$18*MIN(1,MAX(0,(82-Pipeline!$E$18+1)/MAX(Pipeline!$F$18,1)))+Pipeline!$T$19*Pipeline!$D$19*MIN(1,MAX(0,(82-Pipeline!$E$19+1)/MAX(Pipeline!$F$19,1)))+Pipeline!$T$20*Pipeline!$D$20*MIN(1,MAX(0,(82-Pipeline!$E$20+1)/MAX(Pipeline!$F$20,1)))+Pipeline!$T$21*Pipeline!$D$21*MIN(1,MAX(0,(82-Pipeline!$E$21+1)/MAX(Pipeline!$F$21,1)))+Pipeline!$T$22*Pipeline!$D$22*MIN(1,MAX(0,(82-Pipeline!$E$22+1)/MAX(Pipeline!$F$22,1))))/Hipótesis!$F$17</f>
        <v>6939.81572629052</v>
      </c>
      <c r="CG17" s="139" t="n">
        <f aca="false">(Pipeline!$T$16*Pipeline!$D$16*MIN(1,MAX(0,(83-Pipeline!$E$16+1)/MAX(Pipeline!$F$16,1)))+Pipeline!$T$17*Pipeline!$D$17*MIN(1,MAX(0,(83-Pipeline!$E$17+1)/MAX(Pipeline!$F$17,1)))+Pipeline!$T$18*Pipeline!$D$18*MIN(1,MAX(0,(83-Pipeline!$E$18+1)/MAX(Pipeline!$F$18,1)))+Pipeline!$T$19*Pipeline!$D$19*MIN(1,MAX(0,(83-Pipeline!$E$19+1)/MAX(Pipeline!$F$19,1)))+Pipeline!$T$20*Pipeline!$D$20*MIN(1,MAX(0,(83-Pipeline!$E$20+1)/MAX(Pipeline!$F$20,1)))+Pipeline!$T$21*Pipeline!$D$21*MIN(1,MAX(0,(83-Pipeline!$E$21+1)/MAX(Pipeline!$F$21,1)))+Pipeline!$T$22*Pipeline!$D$22*MIN(1,MAX(0,(83-Pipeline!$E$22+1)/MAX(Pipeline!$F$22,1))))/Hipótesis!$F$17</f>
        <v>6939.81572629052</v>
      </c>
      <c r="CH17" s="139" t="n">
        <f aca="false">(Pipeline!$T$16*Pipeline!$D$16*MIN(1,MAX(0,(84-Pipeline!$E$16+1)/MAX(Pipeline!$F$16,1)))+Pipeline!$T$17*Pipeline!$D$17*MIN(1,MAX(0,(84-Pipeline!$E$17+1)/MAX(Pipeline!$F$17,1)))+Pipeline!$T$18*Pipeline!$D$18*MIN(1,MAX(0,(84-Pipeline!$E$18+1)/MAX(Pipeline!$F$18,1)))+Pipeline!$T$19*Pipeline!$D$19*MIN(1,MAX(0,(84-Pipeline!$E$19+1)/MAX(Pipeline!$F$19,1)))+Pipeline!$T$20*Pipeline!$D$20*MIN(1,MAX(0,(84-Pipeline!$E$20+1)/MAX(Pipeline!$F$20,1)))+Pipeline!$T$21*Pipeline!$D$21*MIN(1,MAX(0,(84-Pipeline!$E$21+1)/MAX(Pipeline!$F$21,1)))+Pipeline!$T$22*Pipeline!$D$22*MIN(1,MAX(0,(84-Pipeline!$E$22+1)/MAX(Pipeline!$F$22,1))))/Hipótesis!$F$17</f>
        <v>6939.81572629052</v>
      </c>
    </row>
    <row r="18" customFormat="false" ht="13.5" hidden="false" customHeight="true" outlineLevel="0" collapsed="false">
      <c r="A18" s="13" t="s">
        <v>701</v>
      </c>
      <c r="C18" s="150" t="n">
        <f aca="false">(Pipeline!$U$16*Pipeline!$D$16*MIN(1,MAX(0,(1-Pipeline!$E$16+1)/MAX(Pipeline!$F$16,1)))+Pipeline!$U$17*Pipeline!$D$17*MIN(1,MAX(0,(1-Pipeline!$E$17+1)/MAX(Pipeline!$F$17,1)))+Pipeline!$U$18*Pipeline!$D$18*MIN(1,MAX(0,(1-Pipeline!$E$18+1)/MAX(Pipeline!$F$18,1)))+Pipeline!$U$19*Pipeline!$D$19*MIN(1,MAX(0,(1-Pipeline!$E$19+1)/MAX(Pipeline!$F$19,1)))+Pipeline!$U$20*Pipeline!$D$20*MIN(1,MAX(0,(1-Pipeline!$E$20+1)/MAX(Pipeline!$F$20,1)))+Pipeline!$U$21*Pipeline!$D$21*MIN(1,MAX(0,(1-Pipeline!$E$21+1)/MAX(Pipeline!$F$21,1)))+Pipeline!$U$22*Pipeline!$D$22*MIN(1,MAX(0,(1-Pipeline!$E$22+1)/MAX(Pipeline!$F$22,1))))/Hipótesis!$F$17</f>
        <v>38.3601797063335</v>
      </c>
      <c r="D18" s="150" t="n">
        <f aca="false">(Pipeline!$U$16*Pipeline!$D$16*MIN(1,MAX(0,(2-Pipeline!$E$16+1)/MAX(Pipeline!$F$16,1)))+Pipeline!$U$17*Pipeline!$D$17*MIN(1,MAX(0,(2-Pipeline!$E$17+1)/MAX(Pipeline!$F$17,1)))+Pipeline!$U$18*Pipeline!$D$18*MIN(1,MAX(0,(2-Pipeline!$E$18+1)/MAX(Pipeline!$F$18,1)))+Pipeline!$U$19*Pipeline!$D$19*MIN(1,MAX(0,(2-Pipeline!$E$19+1)/MAX(Pipeline!$F$19,1)))+Pipeline!$U$20*Pipeline!$D$20*MIN(1,MAX(0,(2-Pipeline!$E$20+1)/MAX(Pipeline!$F$20,1)))+Pipeline!$U$21*Pipeline!$D$21*MIN(1,MAX(0,(2-Pipeline!$E$21+1)/MAX(Pipeline!$F$21,1)))+Pipeline!$U$22*Pipeline!$D$22*MIN(1,MAX(0,(2-Pipeline!$E$22+1)/MAX(Pipeline!$F$22,1))))/Hipótesis!$F$17</f>
        <v>78.5877454203246</v>
      </c>
      <c r="E18" s="150" t="n">
        <f aca="false">(Pipeline!$U$16*Pipeline!$D$16*MIN(1,MAX(0,(3-Pipeline!$E$16+1)/MAX(Pipeline!$F$16,1)))+Pipeline!$U$17*Pipeline!$D$17*MIN(1,MAX(0,(3-Pipeline!$E$17+1)/MAX(Pipeline!$F$17,1)))+Pipeline!$U$18*Pipeline!$D$18*MIN(1,MAX(0,(3-Pipeline!$E$18+1)/MAX(Pipeline!$F$18,1)))+Pipeline!$U$19*Pipeline!$D$19*MIN(1,MAX(0,(3-Pipeline!$E$19+1)/MAX(Pipeline!$F$19,1)))+Pipeline!$U$20*Pipeline!$D$20*MIN(1,MAX(0,(3-Pipeline!$E$20+1)/MAX(Pipeline!$F$20,1)))+Pipeline!$U$21*Pipeline!$D$21*MIN(1,MAX(0,(3-Pipeline!$E$21+1)/MAX(Pipeline!$F$21,1)))+Pipeline!$U$22*Pipeline!$D$22*MIN(1,MAX(0,(3-Pipeline!$E$22+1)/MAX(Pipeline!$F$22,1))))/Hipótesis!$F$17</f>
        <v>149.499906224817</v>
      </c>
      <c r="F18" s="150" t="n">
        <f aca="false">(Pipeline!$U$16*Pipeline!$D$16*MIN(1,MAX(0,(4-Pipeline!$E$16+1)/MAX(Pipeline!$F$16,1)))+Pipeline!$U$17*Pipeline!$D$17*MIN(1,MAX(0,(4-Pipeline!$E$17+1)/MAX(Pipeline!$F$17,1)))+Pipeline!$U$18*Pipeline!$D$18*MIN(1,MAX(0,(4-Pipeline!$E$18+1)/MAX(Pipeline!$F$18,1)))+Pipeline!$U$19*Pipeline!$D$19*MIN(1,MAX(0,(4-Pipeline!$E$19+1)/MAX(Pipeline!$F$19,1)))+Pipeline!$U$20*Pipeline!$D$20*MIN(1,MAX(0,(4-Pipeline!$E$20+1)/MAX(Pipeline!$F$20,1)))+Pipeline!$U$21*Pipeline!$D$21*MIN(1,MAX(0,(4-Pipeline!$E$21+1)/MAX(Pipeline!$F$21,1)))+Pipeline!$U$22*Pipeline!$D$22*MIN(1,MAX(0,(4-Pipeline!$E$22+1)/MAX(Pipeline!$F$22,1))))/Hipótesis!$F$17</f>
        <v>182.051887322976</v>
      </c>
      <c r="G18" s="150" t="n">
        <f aca="false">(Pipeline!$U$16*Pipeline!$D$16*MIN(1,MAX(0,(5-Pipeline!$E$16+1)/MAX(Pipeline!$F$16,1)))+Pipeline!$U$17*Pipeline!$D$17*MIN(1,MAX(0,(5-Pipeline!$E$17+1)/MAX(Pipeline!$F$17,1)))+Pipeline!$U$18*Pipeline!$D$18*MIN(1,MAX(0,(5-Pipeline!$E$18+1)/MAX(Pipeline!$F$18,1)))+Pipeline!$U$19*Pipeline!$D$19*MIN(1,MAX(0,(5-Pipeline!$E$19+1)/MAX(Pipeline!$F$19,1)))+Pipeline!$U$20*Pipeline!$D$20*MIN(1,MAX(0,(5-Pipeline!$E$20+1)/MAX(Pipeline!$F$20,1)))+Pipeline!$U$21*Pipeline!$D$21*MIN(1,MAX(0,(5-Pipeline!$E$21+1)/MAX(Pipeline!$F$21,1)))+Pipeline!$U$22*Pipeline!$D$22*MIN(1,MAX(0,(5-Pipeline!$E$22+1)/MAX(Pipeline!$F$22,1))))/Hipótesis!$F$17</f>
        <v>212.736482413478</v>
      </c>
      <c r="H18" s="150" t="n">
        <f aca="false">(Pipeline!$U$16*Pipeline!$D$16*MIN(1,MAX(0,(6-Pipeline!$E$16+1)/MAX(Pipeline!$F$16,1)))+Pipeline!$U$17*Pipeline!$D$17*MIN(1,MAX(0,(6-Pipeline!$E$17+1)/MAX(Pipeline!$F$17,1)))+Pipeline!$U$18*Pipeline!$D$18*MIN(1,MAX(0,(6-Pipeline!$E$18+1)/MAX(Pipeline!$F$18,1)))+Pipeline!$U$19*Pipeline!$D$19*MIN(1,MAX(0,(6-Pipeline!$E$19+1)/MAX(Pipeline!$F$19,1)))+Pipeline!$U$20*Pipeline!$D$20*MIN(1,MAX(0,(6-Pipeline!$E$20+1)/MAX(Pipeline!$F$20,1)))+Pipeline!$U$21*Pipeline!$D$21*MIN(1,MAX(0,(6-Pipeline!$E$21+1)/MAX(Pipeline!$F$21,1)))+Pipeline!$U$22*Pipeline!$D$22*MIN(1,MAX(0,(6-Pipeline!$E$22+1)/MAX(Pipeline!$F$22,1))))/Hipótesis!$F$17</f>
        <v>264.818208841722</v>
      </c>
      <c r="I18" s="150" t="n">
        <f aca="false">(Pipeline!$U$16*Pipeline!$D$16*MIN(1,MAX(0,(7-Pipeline!$E$16+1)/MAX(Pipeline!$F$16,1)))+Pipeline!$U$17*Pipeline!$D$17*MIN(1,MAX(0,(7-Pipeline!$E$17+1)/MAX(Pipeline!$F$17,1)))+Pipeline!$U$18*Pipeline!$D$18*MIN(1,MAX(0,(7-Pipeline!$E$18+1)/MAX(Pipeline!$F$18,1)))+Pipeline!$U$19*Pipeline!$D$19*MIN(1,MAX(0,(7-Pipeline!$E$19+1)/MAX(Pipeline!$F$19,1)))+Pipeline!$U$20*Pipeline!$D$20*MIN(1,MAX(0,(7-Pipeline!$E$20+1)/MAX(Pipeline!$F$20,1)))+Pipeline!$U$21*Pipeline!$D$21*MIN(1,MAX(0,(7-Pipeline!$E$21+1)/MAX(Pipeline!$F$21,1)))+Pipeline!$U$22*Pipeline!$D$22*MIN(1,MAX(0,(7-Pipeline!$E$22+1)/MAX(Pipeline!$F$22,1))))/Hipótesis!$F$17</f>
        <v>316.899935269966</v>
      </c>
      <c r="J18" s="150" t="n">
        <f aca="false">(Pipeline!$U$16*Pipeline!$D$16*MIN(1,MAX(0,(8-Pipeline!$E$16+1)/MAX(Pipeline!$F$16,1)))+Pipeline!$U$17*Pipeline!$D$17*MIN(1,MAX(0,(8-Pipeline!$E$17+1)/MAX(Pipeline!$F$17,1)))+Pipeline!$U$18*Pipeline!$D$18*MIN(1,MAX(0,(8-Pipeline!$E$18+1)/MAX(Pipeline!$F$18,1)))+Pipeline!$U$19*Pipeline!$D$19*MIN(1,MAX(0,(8-Pipeline!$E$19+1)/MAX(Pipeline!$F$19,1)))+Pipeline!$U$20*Pipeline!$D$20*MIN(1,MAX(0,(8-Pipeline!$E$20+1)/MAX(Pipeline!$F$20,1)))+Pipeline!$U$21*Pipeline!$D$21*MIN(1,MAX(0,(8-Pipeline!$E$21+1)/MAX(Pipeline!$F$21,1)))+Pipeline!$U$22*Pipeline!$D$22*MIN(1,MAX(0,(8-Pipeline!$E$22+1)/MAX(Pipeline!$F$22,1))))/Hipótesis!$F$17</f>
        <v>368.98166169821</v>
      </c>
      <c r="K18" s="150" t="n">
        <f aca="false">(Pipeline!$U$16*Pipeline!$D$16*MIN(1,MAX(0,(9-Pipeline!$E$16+1)/MAX(Pipeline!$F$16,1)))+Pipeline!$U$17*Pipeline!$D$17*MIN(1,MAX(0,(9-Pipeline!$E$17+1)/MAX(Pipeline!$F$17,1)))+Pipeline!$U$18*Pipeline!$D$18*MIN(1,MAX(0,(9-Pipeline!$E$18+1)/MAX(Pipeline!$F$18,1)))+Pipeline!$U$19*Pipeline!$D$19*MIN(1,MAX(0,(9-Pipeline!$E$19+1)/MAX(Pipeline!$F$19,1)))+Pipeline!$U$20*Pipeline!$D$20*MIN(1,MAX(0,(9-Pipeline!$E$20+1)/MAX(Pipeline!$F$20,1)))+Pipeline!$U$21*Pipeline!$D$21*MIN(1,MAX(0,(9-Pipeline!$E$21+1)/MAX(Pipeline!$F$21,1)))+Pipeline!$U$22*Pipeline!$D$22*MIN(1,MAX(0,(9-Pipeline!$E$22+1)/MAX(Pipeline!$F$22,1))))/Hipótesis!$F$17</f>
        <v>421.063388126454</v>
      </c>
      <c r="L18" s="150" t="n">
        <f aca="false">(Pipeline!$U$16*Pipeline!$D$16*MIN(1,MAX(0,(10-Pipeline!$E$16+1)/MAX(Pipeline!$F$16,1)))+Pipeline!$U$17*Pipeline!$D$17*MIN(1,MAX(0,(10-Pipeline!$E$17+1)/MAX(Pipeline!$F$17,1)))+Pipeline!$U$18*Pipeline!$D$18*MIN(1,MAX(0,(10-Pipeline!$E$18+1)/MAX(Pipeline!$F$18,1)))+Pipeline!$U$19*Pipeline!$D$19*MIN(1,MAX(0,(10-Pipeline!$E$19+1)/MAX(Pipeline!$F$19,1)))+Pipeline!$U$20*Pipeline!$D$20*MIN(1,MAX(0,(10-Pipeline!$E$20+1)/MAX(Pipeline!$F$20,1)))+Pipeline!$U$21*Pipeline!$D$21*MIN(1,MAX(0,(10-Pipeline!$E$21+1)/MAX(Pipeline!$F$21,1)))+Pipeline!$U$22*Pipeline!$D$22*MIN(1,MAX(0,(10-Pipeline!$E$22+1)/MAX(Pipeline!$F$22,1))))/Hipótesis!$F$17</f>
        <v>473.145114554698</v>
      </c>
      <c r="M18" s="150" t="n">
        <f aca="false">(Pipeline!$U$16*Pipeline!$D$16*MIN(1,MAX(0,(11-Pipeline!$E$16+1)/MAX(Pipeline!$F$16,1)))+Pipeline!$U$17*Pipeline!$D$17*MIN(1,MAX(0,(11-Pipeline!$E$17+1)/MAX(Pipeline!$F$17,1)))+Pipeline!$U$18*Pipeline!$D$18*MIN(1,MAX(0,(11-Pipeline!$E$18+1)/MAX(Pipeline!$F$18,1)))+Pipeline!$U$19*Pipeline!$D$19*MIN(1,MAX(0,(11-Pipeline!$E$19+1)/MAX(Pipeline!$F$19,1)))+Pipeline!$U$20*Pipeline!$D$20*MIN(1,MAX(0,(11-Pipeline!$E$20+1)/MAX(Pipeline!$F$20,1)))+Pipeline!$U$21*Pipeline!$D$21*MIN(1,MAX(0,(11-Pipeline!$E$21+1)/MAX(Pipeline!$F$21,1)))+Pipeline!$U$22*Pipeline!$D$22*MIN(1,MAX(0,(11-Pipeline!$E$22+1)/MAX(Pipeline!$F$22,1))))/Hipótesis!$F$17</f>
        <v>494.54224589244</v>
      </c>
      <c r="N18" s="150" t="n">
        <f aca="false">(Pipeline!$U$16*Pipeline!$D$16*MIN(1,MAX(0,(12-Pipeline!$E$16+1)/MAX(Pipeline!$F$16,1)))+Pipeline!$U$17*Pipeline!$D$17*MIN(1,MAX(0,(12-Pipeline!$E$17+1)/MAX(Pipeline!$F$17,1)))+Pipeline!$U$18*Pipeline!$D$18*MIN(1,MAX(0,(12-Pipeline!$E$18+1)/MAX(Pipeline!$F$18,1)))+Pipeline!$U$19*Pipeline!$D$19*MIN(1,MAX(0,(12-Pipeline!$E$19+1)/MAX(Pipeline!$F$19,1)))+Pipeline!$U$20*Pipeline!$D$20*MIN(1,MAX(0,(12-Pipeline!$E$20+1)/MAX(Pipeline!$F$20,1)))+Pipeline!$U$21*Pipeline!$D$21*MIN(1,MAX(0,(12-Pipeline!$E$21+1)/MAX(Pipeline!$F$21,1)))+Pipeline!$U$22*Pipeline!$D$22*MIN(1,MAX(0,(12-Pipeline!$E$22+1)/MAX(Pipeline!$F$22,1))))/Hipótesis!$F$17</f>
        <v>547.062477357807</v>
      </c>
      <c r="O18" s="150" t="n">
        <f aca="false">(Pipeline!$U$16*Pipeline!$D$16*MIN(1,MAX(0,(13-Pipeline!$E$16+1)/MAX(Pipeline!$F$16,1)))+Pipeline!$U$17*Pipeline!$D$17*MIN(1,MAX(0,(13-Pipeline!$E$17+1)/MAX(Pipeline!$F$17,1)))+Pipeline!$U$18*Pipeline!$D$18*MIN(1,MAX(0,(13-Pipeline!$E$18+1)/MAX(Pipeline!$F$18,1)))+Pipeline!$U$19*Pipeline!$D$19*MIN(1,MAX(0,(13-Pipeline!$E$19+1)/MAX(Pipeline!$F$19,1)))+Pipeline!$U$20*Pipeline!$D$20*MIN(1,MAX(0,(13-Pipeline!$E$20+1)/MAX(Pipeline!$F$20,1)))+Pipeline!$U$21*Pipeline!$D$21*MIN(1,MAX(0,(13-Pipeline!$E$21+1)/MAX(Pipeline!$F$21,1)))+Pipeline!$U$22*Pipeline!$D$22*MIN(1,MAX(0,(13-Pipeline!$E$22+1)/MAX(Pipeline!$F$22,1))))/Hipótesis!$F$17</f>
        <v>599.582708823174</v>
      </c>
      <c r="P18" s="150" t="n">
        <f aca="false">(Pipeline!$U$16*Pipeline!$D$16*MIN(1,MAX(0,(14-Pipeline!$E$16+1)/MAX(Pipeline!$F$16,1)))+Pipeline!$U$17*Pipeline!$D$17*MIN(1,MAX(0,(14-Pipeline!$E$17+1)/MAX(Pipeline!$F$17,1)))+Pipeline!$U$18*Pipeline!$D$18*MIN(1,MAX(0,(14-Pipeline!$E$18+1)/MAX(Pipeline!$F$18,1)))+Pipeline!$U$19*Pipeline!$D$19*MIN(1,MAX(0,(14-Pipeline!$E$19+1)/MAX(Pipeline!$F$19,1)))+Pipeline!$U$20*Pipeline!$D$20*MIN(1,MAX(0,(14-Pipeline!$E$20+1)/MAX(Pipeline!$F$20,1)))+Pipeline!$U$21*Pipeline!$D$21*MIN(1,MAX(0,(14-Pipeline!$E$21+1)/MAX(Pipeline!$F$21,1)))+Pipeline!$U$22*Pipeline!$D$22*MIN(1,MAX(0,(14-Pipeline!$E$22+1)/MAX(Pipeline!$F$22,1))))/Hipótesis!$F$17</f>
        <v>643.155049001849</v>
      </c>
      <c r="Q18" s="150" t="n">
        <f aca="false">(Pipeline!$U$16*Pipeline!$D$16*MIN(1,MAX(0,(15-Pipeline!$E$16+1)/MAX(Pipeline!$F$16,1)))+Pipeline!$U$17*Pipeline!$D$17*MIN(1,MAX(0,(15-Pipeline!$E$17+1)/MAX(Pipeline!$F$17,1)))+Pipeline!$U$18*Pipeline!$D$18*MIN(1,MAX(0,(15-Pipeline!$E$18+1)/MAX(Pipeline!$F$18,1)))+Pipeline!$U$19*Pipeline!$D$19*MIN(1,MAX(0,(15-Pipeline!$E$19+1)/MAX(Pipeline!$F$19,1)))+Pipeline!$U$20*Pipeline!$D$20*MIN(1,MAX(0,(15-Pipeline!$E$20+1)/MAX(Pipeline!$F$20,1)))+Pipeline!$U$21*Pipeline!$D$21*MIN(1,MAX(0,(15-Pipeline!$E$21+1)/MAX(Pipeline!$F$21,1)))+Pipeline!$U$22*Pipeline!$D$22*MIN(1,MAX(0,(15-Pipeline!$E$22+1)/MAX(Pipeline!$F$22,1))))/Hipótesis!$F$17</f>
        <v>686.727389180524</v>
      </c>
      <c r="R18" s="150" t="n">
        <f aca="false">(Pipeline!$U$16*Pipeline!$D$16*MIN(1,MAX(0,(16-Pipeline!$E$16+1)/MAX(Pipeline!$F$16,1)))+Pipeline!$U$17*Pipeline!$D$17*MIN(1,MAX(0,(16-Pipeline!$E$17+1)/MAX(Pipeline!$F$17,1)))+Pipeline!$U$18*Pipeline!$D$18*MIN(1,MAX(0,(16-Pipeline!$E$18+1)/MAX(Pipeline!$F$18,1)))+Pipeline!$U$19*Pipeline!$D$19*MIN(1,MAX(0,(16-Pipeline!$E$19+1)/MAX(Pipeline!$F$19,1)))+Pipeline!$U$20*Pipeline!$D$20*MIN(1,MAX(0,(16-Pipeline!$E$20+1)/MAX(Pipeline!$F$20,1)))+Pipeline!$U$21*Pipeline!$D$21*MIN(1,MAX(0,(16-Pipeline!$E$21+1)/MAX(Pipeline!$F$21,1)))+Pipeline!$U$22*Pipeline!$D$22*MIN(1,MAX(0,(16-Pipeline!$E$22+1)/MAX(Pipeline!$F$22,1))))/Hipótesis!$F$17</f>
        <v>730.299729359199</v>
      </c>
      <c r="S18" s="150" t="n">
        <f aca="false">(Pipeline!$U$16*Pipeline!$D$16*MIN(1,MAX(0,(17-Pipeline!$E$16+1)/MAX(Pipeline!$F$16,1)))+Pipeline!$U$17*Pipeline!$D$17*MIN(1,MAX(0,(17-Pipeline!$E$17+1)/MAX(Pipeline!$F$17,1)))+Pipeline!$U$18*Pipeline!$D$18*MIN(1,MAX(0,(17-Pipeline!$E$18+1)/MAX(Pipeline!$F$18,1)))+Pipeline!$U$19*Pipeline!$D$19*MIN(1,MAX(0,(17-Pipeline!$E$19+1)/MAX(Pipeline!$F$19,1)))+Pipeline!$U$20*Pipeline!$D$20*MIN(1,MAX(0,(17-Pipeline!$E$20+1)/MAX(Pipeline!$F$20,1)))+Pipeline!$U$21*Pipeline!$D$21*MIN(1,MAX(0,(17-Pipeline!$E$21+1)/MAX(Pipeline!$F$21,1)))+Pipeline!$U$22*Pipeline!$D$22*MIN(1,MAX(0,(17-Pipeline!$E$22+1)/MAX(Pipeline!$F$22,1))))/Hipótesis!$F$17</f>
        <v>773.872069537874</v>
      </c>
      <c r="T18" s="150" t="n">
        <f aca="false">(Pipeline!$U$16*Pipeline!$D$16*MIN(1,MAX(0,(18-Pipeline!$E$16+1)/MAX(Pipeline!$F$16,1)))+Pipeline!$U$17*Pipeline!$D$17*MIN(1,MAX(0,(18-Pipeline!$E$17+1)/MAX(Pipeline!$F$17,1)))+Pipeline!$U$18*Pipeline!$D$18*MIN(1,MAX(0,(18-Pipeline!$E$18+1)/MAX(Pipeline!$F$18,1)))+Pipeline!$U$19*Pipeline!$D$19*MIN(1,MAX(0,(18-Pipeline!$E$19+1)/MAX(Pipeline!$F$19,1)))+Pipeline!$U$20*Pipeline!$D$20*MIN(1,MAX(0,(18-Pipeline!$E$20+1)/MAX(Pipeline!$F$20,1)))+Pipeline!$U$21*Pipeline!$D$21*MIN(1,MAX(0,(18-Pipeline!$E$21+1)/MAX(Pipeline!$F$21,1)))+Pipeline!$U$22*Pipeline!$D$22*MIN(1,MAX(0,(18-Pipeline!$E$22+1)/MAX(Pipeline!$F$22,1))))/Hipótesis!$F$17</f>
        <v>817.444409716549</v>
      </c>
      <c r="U18" s="150" t="n">
        <f aca="false">(Pipeline!$U$16*Pipeline!$D$16*MIN(1,MAX(0,(19-Pipeline!$E$16+1)/MAX(Pipeline!$F$16,1)))+Pipeline!$U$17*Pipeline!$D$17*MIN(1,MAX(0,(19-Pipeline!$E$17+1)/MAX(Pipeline!$F$17,1)))+Pipeline!$U$18*Pipeline!$D$18*MIN(1,MAX(0,(19-Pipeline!$E$18+1)/MAX(Pipeline!$F$18,1)))+Pipeline!$U$19*Pipeline!$D$19*MIN(1,MAX(0,(19-Pipeline!$E$19+1)/MAX(Pipeline!$F$19,1)))+Pipeline!$U$20*Pipeline!$D$20*MIN(1,MAX(0,(19-Pipeline!$E$20+1)/MAX(Pipeline!$F$20,1)))+Pipeline!$U$21*Pipeline!$D$21*MIN(1,MAX(0,(19-Pipeline!$E$21+1)/MAX(Pipeline!$F$21,1)))+Pipeline!$U$22*Pipeline!$D$22*MIN(1,MAX(0,(19-Pipeline!$E$22+1)/MAX(Pipeline!$F$22,1))))/Hipótesis!$F$17</f>
        <v>861.016749895224</v>
      </c>
      <c r="V18" s="150" t="n">
        <f aca="false">(Pipeline!$U$16*Pipeline!$D$16*MIN(1,MAX(0,(20-Pipeline!$E$16+1)/MAX(Pipeline!$F$16,1)))+Pipeline!$U$17*Pipeline!$D$17*MIN(1,MAX(0,(20-Pipeline!$E$17+1)/MAX(Pipeline!$F$17,1)))+Pipeline!$U$18*Pipeline!$D$18*MIN(1,MAX(0,(20-Pipeline!$E$18+1)/MAX(Pipeline!$F$18,1)))+Pipeline!$U$19*Pipeline!$D$19*MIN(1,MAX(0,(20-Pipeline!$E$19+1)/MAX(Pipeline!$F$19,1)))+Pipeline!$U$20*Pipeline!$D$20*MIN(1,MAX(0,(20-Pipeline!$E$20+1)/MAX(Pipeline!$F$20,1)))+Pipeline!$U$21*Pipeline!$D$21*MIN(1,MAX(0,(20-Pipeline!$E$21+1)/MAX(Pipeline!$F$21,1)))+Pipeline!$U$22*Pipeline!$D$22*MIN(1,MAX(0,(20-Pipeline!$E$22+1)/MAX(Pipeline!$F$22,1))))/Hipótesis!$F$17</f>
        <v>904.589090073899</v>
      </c>
      <c r="W18" s="150" t="n">
        <f aca="false">(Pipeline!$U$16*Pipeline!$D$16*MIN(1,MAX(0,(21-Pipeline!$E$16+1)/MAX(Pipeline!$F$16,1)))+Pipeline!$U$17*Pipeline!$D$17*MIN(1,MAX(0,(21-Pipeline!$E$17+1)/MAX(Pipeline!$F$17,1)))+Pipeline!$U$18*Pipeline!$D$18*MIN(1,MAX(0,(21-Pipeline!$E$18+1)/MAX(Pipeline!$F$18,1)))+Pipeline!$U$19*Pipeline!$D$19*MIN(1,MAX(0,(21-Pipeline!$E$19+1)/MAX(Pipeline!$F$19,1)))+Pipeline!$U$20*Pipeline!$D$20*MIN(1,MAX(0,(21-Pipeline!$E$20+1)/MAX(Pipeline!$F$20,1)))+Pipeline!$U$21*Pipeline!$D$21*MIN(1,MAX(0,(21-Pipeline!$E$21+1)/MAX(Pipeline!$F$21,1)))+Pipeline!$U$22*Pipeline!$D$22*MIN(1,MAX(0,(21-Pipeline!$E$22+1)/MAX(Pipeline!$F$22,1))))/Hipótesis!$F$17</f>
        <v>948.161430252574</v>
      </c>
      <c r="X18" s="150" t="n">
        <f aca="false">(Pipeline!$U$16*Pipeline!$D$16*MIN(1,MAX(0,(22-Pipeline!$E$16+1)/MAX(Pipeline!$F$16,1)))+Pipeline!$U$17*Pipeline!$D$17*MIN(1,MAX(0,(22-Pipeline!$E$17+1)/MAX(Pipeline!$F$17,1)))+Pipeline!$U$18*Pipeline!$D$18*MIN(1,MAX(0,(22-Pipeline!$E$18+1)/MAX(Pipeline!$F$18,1)))+Pipeline!$U$19*Pipeline!$D$19*MIN(1,MAX(0,(22-Pipeline!$E$19+1)/MAX(Pipeline!$F$19,1)))+Pipeline!$U$20*Pipeline!$D$20*MIN(1,MAX(0,(22-Pipeline!$E$20+1)/MAX(Pipeline!$F$20,1)))+Pipeline!$U$21*Pipeline!$D$21*MIN(1,MAX(0,(22-Pipeline!$E$21+1)/MAX(Pipeline!$F$21,1)))+Pipeline!$U$22*Pipeline!$D$22*MIN(1,MAX(0,(22-Pipeline!$E$22+1)/MAX(Pipeline!$F$22,1))))/Hipótesis!$F$17</f>
        <v>960.610670303624</v>
      </c>
      <c r="Y18" s="150" t="n">
        <f aca="false">(Pipeline!$U$16*Pipeline!$D$16*MIN(1,MAX(0,(23-Pipeline!$E$16+1)/MAX(Pipeline!$F$16,1)))+Pipeline!$U$17*Pipeline!$D$17*MIN(1,MAX(0,(23-Pipeline!$E$17+1)/MAX(Pipeline!$F$17,1)))+Pipeline!$U$18*Pipeline!$D$18*MIN(1,MAX(0,(23-Pipeline!$E$18+1)/MAX(Pipeline!$F$18,1)))+Pipeline!$U$19*Pipeline!$D$19*MIN(1,MAX(0,(23-Pipeline!$E$19+1)/MAX(Pipeline!$F$19,1)))+Pipeline!$U$20*Pipeline!$D$20*MIN(1,MAX(0,(23-Pipeline!$E$20+1)/MAX(Pipeline!$F$20,1)))+Pipeline!$U$21*Pipeline!$D$21*MIN(1,MAX(0,(23-Pipeline!$E$21+1)/MAX(Pipeline!$F$21,1)))+Pipeline!$U$22*Pipeline!$D$22*MIN(1,MAX(0,(23-Pipeline!$E$22+1)/MAX(Pipeline!$F$22,1))))/Hipótesis!$F$17</f>
        <v>973.059910354674</v>
      </c>
      <c r="Z18" s="150" t="n">
        <f aca="false">(Pipeline!$U$16*Pipeline!$D$16*MIN(1,MAX(0,(24-Pipeline!$E$16+1)/MAX(Pipeline!$F$16,1)))+Pipeline!$U$17*Pipeline!$D$17*MIN(1,MAX(0,(24-Pipeline!$E$17+1)/MAX(Pipeline!$F$17,1)))+Pipeline!$U$18*Pipeline!$D$18*MIN(1,MAX(0,(24-Pipeline!$E$18+1)/MAX(Pipeline!$F$18,1)))+Pipeline!$U$19*Pipeline!$D$19*MIN(1,MAX(0,(24-Pipeline!$E$19+1)/MAX(Pipeline!$F$19,1)))+Pipeline!$U$20*Pipeline!$D$20*MIN(1,MAX(0,(24-Pipeline!$E$20+1)/MAX(Pipeline!$F$20,1)))+Pipeline!$U$21*Pipeline!$D$21*MIN(1,MAX(0,(24-Pipeline!$E$21+1)/MAX(Pipeline!$F$21,1)))+Pipeline!$U$22*Pipeline!$D$22*MIN(1,MAX(0,(24-Pipeline!$E$22+1)/MAX(Pipeline!$F$22,1))))/Hipótesis!$F$17</f>
        <v>973.059910354674</v>
      </c>
      <c r="AA18" s="150" t="n">
        <f aca="false">(Pipeline!$U$16*Pipeline!$D$16*MIN(1,MAX(0,(25-Pipeline!$E$16+1)/MAX(Pipeline!$F$16,1)))+Pipeline!$U$17*Pipeline!$D$17*MIN(1,MAX(0,(25-Pipeline!$E$17+1)/MAX(Pipeline!$F$17,1)))+Pipeline!$U$18*Pipeline!$D$18*MIN(1,MAX(0,(25-Pipeline!$E$18+1)/MAX(Pipeline!$F$18,1)))+Pipeline!$U$19*Pipeline!$D$19*MIN(1,MAX(0,(25-Pipeline!$E$19+1)/MAX(Pipeline!$F$19,1)))+Pipeline!$U$20*Pipeline!$D$20*MIN(1,MAX(0,(25-Pipeline!$E$20+1)/MAX(Pipeline!$F$20,1)))+Pipeline!$U$21*Pipeline!$D$21*MIN(1,MAX(0,(25-Pipeline!$E$21+1)/MAX(Pipeline!$F$21,1)))+Pipeline!$U$22*Pipeline!$D$22*MIN(1,MAX(0,(25-Pipeline!$E$22+1)/MAX(Pipeline!$F$22,1))))/Hipótesis!$F$17</f>
        <v>973.059910354674</v>
      </c>
      <c r="AB18" s="150" t="n">
        <f aca="false">(Pipeline!$U$16*Pipeline!$D$16*MIN(1,MAX(0,(26-Pipeline!$E$16+1)/MAX(Pipeline!$F$16,1)))+Pipeline!$U$17*Pipeline!$D$17*MIN(1,MAX(0,(26-Pipeline!$E$17+1)/MAX(Pipeline!$F$17,1)))+Pipeline!$U$18*Pipeline!$D$18*MIN(1,MAX(0,(26-Pipeline!$E$18+1)/MAX(Pipeline!$F$18,1)))+Pipeline!$U$19*Pipeline!$D$19*MIN(1,MAX(0,(26-Pipeline!$E$19+1)/MAX(Pipeline!$F$19,1)))+Pipeline!$U$20*Pipeline!$D$20*MIN(1,MAX(0,(26-Pipeline!$E$20+1)/MAX(Pipeline!$F$20,1)))+Pipeline!$U$21*Pipeline!$D$21*MIN(1,MAX(0,(26-Pipeline!$E$21+1)/MAX(Pipeline!$F$21,1)))+Pipeline!$U$22*Pipeline!$D$22*MIN(1,MAX(0,(26-Pipeline!$E$22+1)/MAX(Pipeline!$F$22,1))))/Hipótesis!$F$17</f>
        <v>973.059910354674</v>
      </c>
      <c r="AC18" s="150" t="n">
        <f aca="false">(Pipeline!$U$16*Pipeline!$D$16*MIN(1,MAX(0,(27-Pipeline!$E$16+1)/MAX(Pipeline!$F$16,1)))+Pipeline!$U$17*Pipeline!$D$17*MIN(1,MAX(0,(27-Pipeline!$E$17+1)/MAX(Pipeline!$F$17,1)))+Pipeline!$U$18*Pipeline!$D$18*MIN(1,MAX(0,(27-Pipeline!$E$18+1)/MAX(Pipeline!$F$18,1)))+Pipeline!$U$19*Pipeline!$D$19*MIN(1,MAX(0,(27-Pipeline!$E$19+1)/MAX(Pipeline!$F$19,1)))+Pipeline!$U$20*Pipeline!$D$20*MIN(1,MAX(0,(27-Pipeline!$E$20+1)/MAX(Pipeline!$F$20,1)))+Pipeline!$U$21*Pipeline!$D$21*MIN(1,MAX(0,(27-Pipeline!$E$21+1)/MAX(Pipeline!$F$21,1)))+Pipeline!$U$22*Pipeline!$D$22*MIN(1,MAX(0,(27-Pipeline!$E$22+1)/MAX(Pipeline!$F$22,1))))/Hipótesis!$F$17</f>
        <v>973.059910354674</v>
      </c>
      <c r="AD18" s="150" t="n">
        <f aca="false">(Pipeline!$U$16*Pipeline!$D$16*MIN(1,MAX(0,(28-Pipeline!$E$16+1)/MAX(Pipeline!$F$16,1)))+Pipeline!$U$17*Pipeline!$D$17*MIN(1,MAX(0,(28-Pipeline!$E$17+1)/MAX(Pipeline!$F$17,1)))+Pipeline!$U$18*Pipeline!$D$18*MIN(1,MAX(0,(28-Pipeline!$E$18+1)/MAX(Pipeline!$F$18,1)))+Pipeline!$U$19*Pipeline!$D$19*MIN(1,MAX(0,(28-Pipeline!$E$19+1)/MAX(Pipeline!$F$19,1)))+Pipeline!$U$20*Pipeline!$D$20*MIN(1,MAX(0,(28-Pipeline!$E$20+1)/MAX(Pipeline!$F$20,1)))+Pipeline!$U$21*Pipeline!$D$21*MIN(1,MAX(0,(28-Pipeline!$E$21+1)/MAX(Pipeline!$F$21,1)))+Pipeline!$U$22*Pipeline!$D$22*MIN(1,MAX(0,(28-Pipeline!$E$22+1)/MAX(Pipeline!$F$22,1))))/Hipótesis!$F$17</f>
        <v>973.059910354674</v>
      </c>
      <c r="AE18" s="150" t="n">
        <f aca="false">(Pipeline!$U$16*Pipeline!$D$16*MIN(1,MAX(0,(29-Pipeline!$E$16+1)/MAX(Pipeline!$F$16,1)))+Pipeline!$U$17*Pipeline!$D$17*MIN(1,MAX(0,(29-Pipeline!$E$17+1)/MAX(Pipeline!$F$17,1)))+Pipeline!$U$18*Pipeline!$D$18*MIN(1,MAX(0,(29-Pipeline!$E$18+1)/MAX(Pipeline!$F$18,1)))+Pipeline!$U$19*Pipeline!$D$19*MIN(1,MAX(0,(29-Pipeline!$E$19+1)/MAX(Pipeline!$F$19,1)))+Pipeline!$U$20*Pipeline!$D$20*MIN(1,MAX(0,(29-Pipeline!$E$20+1)/MAX(Pipeline!$F$20,1)))+Pipeline!$U$21*Pipeline!$D$21*MIN(1,MAX(0,(29-Pipeline!$E$21+1)/MAX(Pipeline!$F$21,1)))+Pipeline!$U$22*Pipeline!$D$22*MIN(1,MAX(0,(29-Pipeline!$E$22+1)/MAX(Pipeline!$F$22,1))))/Hipótesis!$F$17</f>
        <v>973.059910354674</v>
      </c>
      <c r="AF18" s="150" t="n">
        <f aca="false">(Pipeline!$U$16*Pipeline!$D$16*MIN(1,MAX(0,(30-Pipeline!$E$16+1)/MAX(Pipeline!$F$16,1)))+Pipeline!$U$17*Pipeline!$D$17*MIN(1,MAX(0,(30-Pipeline!$E$17+1)/MAX(Pipeline!$F$17,1)))+Pipeline!$U$18*Pipeline!$D$18*MIN(1,MAX(0,(30-Pipeline!$E$18+1)/MAX(Pipeline!$F$18,1)))+Pipeline!$U$19*Pipeline!$D$19*MIN(1,MAX(0,(30-Pipeline!$E$19+1)/MAX(Pipeline!$F$19,1)))+Pipeline!$U$20*Pipeline!$D$20*MIN(1,MAX(0,(30-Pipeline!$E$20+1)/MAX(Pipeline!$F$20,1)))+Pipeline!$U$21*Pipeline!$D$21*MIN(1,MAX(0,(30-Pipeline!$E$21+1)/MAX(Pipeline!$F$21,1)))+Pipeline!$U$22*Pipeline!$D$22*MIN(1,MAX(0,(30-Pipeline!$E$22+1)/MAX(Pipeline!$F$22,1))))/Hipótesis!$F$17</f>
        <v>973.059910354674</v>
      </c>
      <c r="AG18" s="150" t="n">
        <f aca="false">(Pipeline!$U$16*Pipeline!$D$16*MIN(1,MAX(0,(31-Pipeline!$E$16+1)/MAX(Pipeline!$F$16,1)))+Pipeline!$U$17*Pipeline!$D$17*MIN(1,MAX(0,(31-Pipeline!$E$17+1)/MAX(Pipeline!$F$17,1)))+Pipeline!$U$18*Pipeline!$D$18*MIN(1,MAX(0,(31-Pipeline!$E$18+1)/MAX(Pipeline!$F$18,1)))+Pipeline!$U$19*Pipeline!$D$19*MIN(1,MAX(0,(31-Pipeline!$E$19+1)/MAX(Pipeline!$F$19,1)))+Pipeline!$U$20*Pipeline!$D$20*MIN(1,MAX(0,(31-Pipeline!$E$20+1)/MAX(Pipeline!$F$20,1)))+Pipeline!$U$21*Pipeline!$D$21*MIN(1,MAX(0,(31-Pipeline!$E$21+1)/MAX(Pipeline!$F$21,1)))+Pipeline!$U$22*Pipeline!$D$22*MIN(1,MAX(0,(31-Pipeline!$E$22+1)/MAX(Pipeline!$F$22,1))))/Hipótesis!$F$17</f>
        <v>973.059910354674</v>
      </c>
      <c r="AH18" s="150" t="n">
        <f aca="false">(Pipeline!$U$16*Pipeline!$D$16*MIN(1,MAX(0,(32-Pipeline!$E$16+1)/MAX(Pipeline!$F$16,1)))+Pipeline!$U$17*Pipeline!$D$17*MIN(1,MAX(0,(32-Pipeline!$E$17+1)/MAX(Pipeline!$F$17,1)))+Pipeline!$U$18*Pipeline!$D$18*MIN(1,MAX(0,(32-Pipeline!$E$18+1)/MAX(Pipeline!$F$18,1)))+Pipeline!$U$19*Pipeline!$D$19*MIN(1,MAX(0,(32-Pipeline!$E$19+1)/MAX(Pipeline!$F$19,1)))+Pipeline!$U$20*Pipeline!$D$20*MIN(1,MAX(0,(32-Pipeline!$E$20+1)/MAX(Pipeline!$F$20,1)))+Pipeline!$U$21*Pipeline!$D$21*MIN(1,MAX(0,(32-Pipeline!$E$21+1)/MAX(Pipeline!$F$21,1)))+Pipeline!$U$22*Pipeline!$D$22*MIN(1,MAX(0,(32-Pipeline!$E$22+1)/MAX(Pipeline!$F$22,1))))/Hipótesis!$F$17</f>
        <v>973.059910354674</v>
      </c>
      <c r="AI18" s="150" t="n">
        <f aca="false">(Pipeline!$U$16*Pipeline!$D$16*MIN(1,MAX(0,(33-Pipeline!$E$16+1)/MAX(Pipeline!$F$16,1)))+Pipeline!$U$17*Pipeline!$D$17*MIN(1,MAX(0,(33-Pipeline!$E$17+1)/MAX(Pipeline!$F$17,1)))+Pipeline!$U$18*Pipeline!$D$18*MIN(1,MAX(0,(33-Pipeline!$E$18+1)/MAX(Pipeline!$F$18,1)))+Pipeline!$U$19*Pipeline!$D$19*MIN(1,MAX(0,(33-Pipeline!$E$19+1)/MAX(Pipeline!$F$19,1)))+Pipeline!$U$20*Pipeline!$D$20*MIN(1,MAX(0,(33-Pipeline!$E$20+1)/MAX(Pipeline!$F$20,1)))+Pipeline!$U$21*Pipeline!$D$21*MIN(1,MAX(0,(33-Pipeline!$E$21+1)/MAX(Pipeline!$F$21,1)))+Pipeline!$U$22*Pipeline!$D$22*MIN(1,MAX(0,(33-Pipeline!$E$22+1)/MAX(Pipeline!$F$22,1))))/Hipótesis!$F$17</f>
        <v>973.059910354674</v>
      </c>
      <c r="AJ18" s="150" t="n">
        <f aca="false">(Pipeline!$U$16*Pipeline!$D$16*MIN(1,MAX(0,(34-Pipeline!$E$16+1)/MAX(Pipeline!$F$16,1)))+Pipeline!$U$17*Pipeline!$D$17*MIN(1,MAX(0,(34-Pipeline!$E$17+1)/MAX(Pipeline!$F$17,1)))+Pipeline!$U$18*Pipeline!$D$18*MIN(1,MAX(0,(34-Pipeline!$E$18+1)/MAX(Pipeline!$F$18,1)))+Pipeline!$U$19*Pipeline!$D$19*MIN(1,MAX(0,(34-Pipeline!$E$19+1)/MAX(Pipeline!$F$19,1)))+Pipeline!$U$20*Pipeline!$D$20*MIN(1,MAX(0,(34-Pipeline!$E$20+1)/MAX(Pipeline!$F$20,1)))+Pipeline!$U$21*Pipeline!$D$21*MIN(1,MAX(0,(34-Pipeline!$E$21+1)/MAX(Pipeline!$F$21,1)))+Pipeline!$U$22*Pipeline!$D$22*MIN(1,MAX(0,(34-Pipeline!$E$22+1)/MAX(Pipeline!$F$22,1))))/Hipótesis!$F$17</f>
        <v>973.059910354674</v>
      </c>
      <c r="AK18" s="150" t="n">
        <f aca="false">(Pipeline!$U$16*Pipeline!$D$16*MIN(1,MAX(0,(35-Pipeline!$E$16+1)/MAX(Pipeline!$F$16,1)))+Pipeline!$U$17*Pipeline!$D$17*MIN(1,MAX(0,(35-Pipeline!$E$17+1)/MAX(Pipeline!$F$17,1)))+Pipeline!$U$18*Pipeline!$D$18*MIN(1,MAX(0,(35-Pipeline!$E$18+1)/MAX(Pipeline!$F$18,1)))+Pipeline!$U$19*Pipeline!$D$19*MIN(1,MAX(0,(35-Pipeline!$E$19+1)/MAX(Pipeline!$F$19,1)))+Pipeline!$U$20*Pipeline!$D$20*MIN(1,MAX(0,(35-Pipeline!$E$20+1)/MAX(Pipeline!$F$20,1)))+Pipeline!$U$21*Pipeline!$D$21*MIN(1,MAX(0,(35-Pipeline!$E$21+1)/MAX(Pipeline!$F$21,1)))+Pipeline!$U$22*Pipeline!$D$22*MIN(1,MAX(0,(35-Pipeline!$E$22+1)/MAX(Pipeline!$F$22,1))))/Hipótesis!$F$17</f>
        <v>973.059910354674</v>
      </c>
      <c r="AL18" s="150" t="n">
        <f aca="false">(Pipeline!$U$16*Pipeline!$D$16*MIN(1,MAX(0,(36-Pipeline!$E$16+1)/MAX(Pipeline!$F$16,1)))+Pipeline!$U$17*Pipeline!$D$17*MIN(1,MAX(0,(36-Pipeline!$E$17+1)/MAX(Pipeline!$F$17,1)))+Pipeline!$U$18*Pipeline!$D$18*MIN(1,MAX(0,(36-Pipeline!$E$18+1)/MAX(Pipeline!$F$18,1)))+Pipeline!$U$19*Pipeline!$D$19*MIN(1,MAX(0,(36-Pipeline!$E$19+1)/MAX(Pipeline!$F$19,1)))+Pipeline!$U$20*Pipeline!$D$20*MIN(1,MAX(0,(36-Pipeline!$E$20+1)/MAX(Pipeline!$F$20,1)))+Pipeline!$U$21*Pipeline!$D$21*MIN(1,MAX(0,(36-Pipeline!$E$21+1)/MAX(Pipeline!$F$21,1)))+Pipeline!$U$22*Pipeline!$D$22*MIN(1,MAX(0,(36-Pipeline!$E$22+1)/MAX(Pipeline!$F$22,1))))/Hipótesis!$F$17</f>
        <v>973.059910354674</v>
      </c>
      <c r="AM18" s="150" t="n">
        <f aca="false">(Pipeline!$U$16*Pipeline!$D$16*MIN(1,MAX(0,(37-Pipeline!$E$16+1)/MAX(Pipeline!$F$16,1)))+Pipeline!$U$17*Pipeline!$D$17*MIN(1,MAX(0,(37-Pipeline!$E$17+1)/MAX(Pipeline!$F$17,1)))+Pipeline!$U$18*Pipeline!$D$18*MIN(1,MAX(0,(37-Pipeline!$E$18+1)/MAX(Pipeline!$F$18,1)))+Pipeline!$U$19*Pipeline!$D$19*MIN(1,MAX(0,(37-Pipeline!$E$19+1)/MAX(Pipeline!$F$19,1)))+Pipeline!$U$20*Pipeline!$D$20*MIN(1,MAX(0,(37-Pipeline!$E$20+1)/MAX(Pipeline!$F$20,1)))+Pipeline!$U$21*Pipeline!$D$21*MIN(1,MAX(0,(37-Pipeline!$E$21+1)/MAX(Pipeline!$F$21,1)))+Pipeline!$U$22*Pipeline!$D$22*MIN(1,MAX(0,(37-Pipeline!$E$22+1)/MAX(Pipeline!$F$22,1))))/Hipótesis!$F$17</f>
        <v>973.059910354674</v>
      </c>
      <c r="AN18" s="150" t="n">
        <f aca="false">(Pipeline!$U$16*Pipeline!$D$16*MIN(1,MAX(0,(38-Pipeline!$E$16+1)/MAX(Pipeline!$F$16,1)))+Pipeline!$U$17*Pipeline!$D$17*MIN(1,MAX(0,(38-Pipeline!$E$17+1)/MAX(Pipeline!$F$17,1)))+Pipeline!$U$18*Pipeline!$D$18*MIN(1,MAX(0,(38-Pipeline!$E$18+1)/MAX(Pipeline!$F$18,1)))+Pipeline!$U$19*Pipeline!$D$19*MIN(1,MAX(0,(38-Pipeline!$E$19+1)/MAX(Pipeline!$F$19,1)))+Pipeline!$U$20*Pipeline!$D$20*MIN(1,MAX(0,(38-Pipeline!$E$20+1)/MAX(Pipeline!$F$20,1)))+Pipeline!$U$21*Pipeline!$D$21*MIN(1,MAX(0,(38-Pipeline!$E$21+1)/MAX(Pipeline!$F$21,1)))+Pipeline!$U$22*Pipeline!$D$22*MIN(1,MAX(0,(38-Pipeline!$E$22+1)/MAX(Pipeline!$F$22,1))))/Hipótesis!$F$17</f>
        <v>973.059910354674</v>
      </c>
      <c r="AO18" s="150" t="n">
        <f aca="false">(Pipeline!$U$16*Pipeline!$D$16*MIN(1,MAX(0,(39-Pipeline!$E$16+1)/MAX(Pipeline!$F$16,1)))+Pipeline!$U$17*Pipeline!$D$17*MIN(1,MAX(0,(39-Pipeline!$E$17+1)/MAX(Pipeline!$F$17,1)))+Pipeline!$U$18*Pipeline!$D$18*MIN(1,MAX(0,(39-Pipeline!$E$18+1)/MAX(Pipeline!$F$18,1)))+Pipeline!$U$19*Pipeline!$D$19*MIN(1,MAX(0,(39-Pipeline!$E$19+1)/MAX(Pipeline!$F$19,1)))+Pipeline!$U$20*Pipeline!$D$20*MIN(1,MAX(0,(39-Pipeline!$E$20+1)/MAX(Pipeline!$F$20,1)))+Pipeline!$U$21*Pipeline!$D$21*MIN(1,MAX(0,(39-Pipeline!$E$21+1)/MAX(Pipeline!$F$21,1)))+Pipeline!$U$22*Pipeline!$D$22*MIN(1,MAX(0,(39-Pipeline!$E$22+1)/MAX(Pipeline!$F$22,1))))/Hipótesis!$F$17</f>
        <v>973.059910354674</v>
      </c>
      <c r="AP18" s="150" t="n">
        <f aca="false">(Pipeline!$U$16*Pipeline!$D$16*MIN(1,MAX(0,(40-Pipeline!$E$16+1)/MAX(Pipeline!$F$16,1)))+Pipeline!$U$17*Pipeline!$D$17*MIN(1,MAX(0,(40-Pipeline!$E$17+1)/MAX(Pipeline!$F$17,1)))+Pipeline!$U$18*Pipeline!$D$18*MIN(1,MAX(0,(40-Pipeline!$E$18+1)/MAX(Pipeline!$F$18,1)))+Pipeline!$U$19*Pipeline!$D$19*MIN(1,MAX(0,(40-Pipeline!$E$19+1)/MAX(Pipeline!$F$19,1)))+Pipeline!$U$20*Pipeline!$D$20*MIN(1,MAX(0,(40-Pipeline!$E$20+1)/MAX(Pipeline!$F$20,1)))+Pipeline!$U$21*Pipeline!$D$21*MIN(1,MAX(0,(40-Pipeline!$E$21+1)/MAX(Pipeline!$F$21,1)))+Pipeline!$U$22*Pipeline!$D$22*MIN(1,MAX(0,(40-Pipeline!$E$22+1)/MAX(Pipeline!$F$22,1))))/Hipótesis!$F$17</f>
        <v>973.059910354674</v>
      </c>
      <c r="AQ18" s="150" t="n">
        <f aca="false">(Pipeline!$U$16*Pipeline!$D$16*MIN(1,MAX(0,(41-Pipeline!$E$16+1)/MAX(Pipeline!$F$16,1)))+Pipeline!$U$17*Pipeline!$D$17*MIN(1,MAX(0,(41-Pipeline!$E$17+1)/MAX(Pipeline!$F$17,1)))+Pipeline!$U$18*Pipeline!$D$18*MIN(1,MAX(0,(41-Pipeline!$E$18+1)/MAX(Pipeline!$F$18,1)))+Pipeline!$U$19*Pipeline!$D$19*MIN(1,MAX(0,(41-Pipeline!$E$19+1)/MAX(Pipeline!$F$19,1)))+Pipeline!$U$20*Pipeline!$D$20*MIN(1,MAX(0,(41-Pipeline!$E$20+1)/MAX(Pipeline!$F$20,1)))+Pipeline!$U$21*Pipeline!$D$21*MIN(1,MAX(0,(41-Pipeline!$E$21+1)/MAX(Pipeline!$F$21,1)))+Pipeline!$U$22*Pipeline!$D$22*MIN(1,MAX(0,(41-Pipeline!$E$22+1)/MAX(Pipeline!$F$22,1))))/Hipótesis!$F$17</f>
        <v>973.059910354674</v>
      </c>
      <c r="AR18" s="150" t="n">
        <f aca="false">(Pipeline!$U$16*Pipeline!$D$16*MIN(1,MAX(0,(42-Pipeline!$E$16+1)/MAX(Pipeline!$F$16,1)))+Pipeline!$U$17*Pipeline!$D$17*MIN(1,MAX(0,(42-Pipeline!$E$17+1)/MAX(Pipeline!$F$17,1)))+Pipeline!$U$18*Pipeline!$D$18*MIN(1,MAX(0,(42-Pipeline!$E$18+1)/MAX(Pipeline!$F$18,1)))+Pipeline!$U$19*Pipeline!$D$19*MIN(1,MAX(0,(42-Pipeline!$E$19+1)/MAX(Pipeline!$F$19,1)))+Pipeline!$U$20*Pipeline!$D$20*MIN(1,MAX(0,(42-Pipeline!$E$20+1)/MAX(Pipeline!$F$20,1)))+Pipeline!$U$21*Pipeline!$D$21*MIN(1,MAX(0,(42-Pipeline!$E$21+1)/MAX(Pipeline!$F$21,1)))+Pipeline!$U$22*Pipeline!$D$22*MIN(1,MAX(0,(42-Pipeline!$E$22+1)/MAX(Pipeline!$F$22,1))))/Hipótesis!$F$17</f>
        <v>973.059910354674</v>
      </c>
      <c r="AS18" s="150" t="n">
        <f aca="false">(Pipeline!$U$16*Pipeline!$D$16*MIN(1,MAX(0,(43-Pipeline!$E$16+1)/MAX(Pipeline!$F$16,1)))+Pipeline!$U$17*Pipeline!$D$17*MIN(1,MAX(0,(43-Pipeline!$E$17+1)/MAX(Pipeline!$F$17,1)))+Pipeline!$U$18*Pipeline!$D$18*MIN(1,MAX(0,(43-Pipeline!$E$18+1)/MAX(Pipeline!$F$18,1)))+Pipeline!$U$19*Pipeline!$D$19*MIN(1,MAX(0,(43-Pipeline!$E$19+1)/MAX(Pipeline!$F$19,1)))+Pipeline!$U$20*Pipeline!$D$20*MIN(1,MAX(0,(43-Pipeline!$E$20+1)/MAX(Pipeline!$F$20,1)))+Pipeline!$U$21*Pipeline!$D$21*MIN(1,MAX(0,(43-Pipeline!$E$21+1)/MAX(Pipeline!$F$21,1)))+Pipeline!$U$22*Pipeline!$D$22*MIN(1,MAX(0,(43-Pipeline!$E$22+1)/MAX(Pipeline!$F$22,1))))/Hipótesis!$F$17</f>
        <v>973.059910354674</v>
      </c>
      <c r="AT18" s="150" t="n">
        <f aca="false">(Pipeline!$U$16*Pipeline!$D$16*MIN(1,MAX(0,(44-Pipeline!$E$16+1)/MAX(Pipeline!$F$16,1)))+Pipeline!$U$17*Pipeline!$D$17*MIN(1,MAX(0,(44-Pipeline!$E$17+1)/MAX(Pipeline!$F$17,1)))+Pipeline!$U$18*Pipeline!$D$18*MIN(1,MAX(0,(44-Pipeline!$E$18+1)/MAX(Pipeline!$F$18,1)))+Pipeline!$U$19*Pipeline!$D$19*MIN(1,MAX(0,(44-Pipeline!$E$19+1)/MAX(Pipeline!$F$19,1)))+Pipeline!$U$20*Pipeline!$D$20*MIN(1,MAX(0,(44-Pipeline!$E$20+1)/MAX(Pipeline!$F$20,1)))+Pipeline!$U$21*Pipeline!$D$21*MIN(1,MAX(0,(44-Pipeline!$E$21+1)/MAX(Pipeline!$F$21,1)))+Pipeline!$U$22*Pipeline!$D$22*MIN(1,MAX(0,(44-Pipeline!$E$22+1)/MAX(Pipeline!$F$22,1))))/Hipótesis!$F$17</f>
        <v>973.059910354674</v>
      </c>
      <c r="AU18" s="150" t="n">
        <f aca="false">(Pipeline!$U$16*Pipeline!$D$16*MIN(1,MAX(0,(45-Pipeline!$E$16+1)/MAX(Pipeline!$F$16,1)))+Pipeline!$U$17*Pipeline!$D$17*MIN(1,MAX(0,(45-Pipeline!$E$17+1)/MAX(Pipeline!$F$17,1)))+Pipeline!$U$18*Pipeline!$D$18*MIN(1,MAX(0,(45-Pipeline!$E$18+1)/MAX(Pipeline!$F$18,1)))+Pipeline!$U$19*Pipeline!$D$19*MIN(1,MAX(0,(45-Pipeline!$E$19+1)/MAX(Pipeline!$F$19,1)))+Pipeline!$U$20*Pipeline!$D$20*MIN(1,MAX(0,(45-Pipeline!$E$20+1)/MAX(Pipeline!$F$20,1)))+Pipeline!$U$21*Pipeline!$D$21*MIN(1,MAX(0,(45-Pipeline!$E$21+1)/MAX(Pipeline!$F$21,1)))+Pipeline!$U$22*Pipeline!$D$22*MIN(1,MAX(0,(45-Pipeline!$E$22+1)/MAX(Pipeline!$F$22,1))))/Hipótesis!$F$17</f>
        <v>973.059910354674</v>
      </c>
      <c r="AV18" s="150" t="n">
        <f aca="false">(Pipeline!$U$16*Pipeline!$D$16*MIN(1,MAX(0,(46-Pipeline!$E$16+1)/MAX(Pipeline!$F$16,1)))+Pipeline!$U$17*Pipeline!$D$17*MIN(1,MAX(0,(46-Pipeline!$E$17+1)/MAX(Pipeline!$F$17,1)))+Pipeline!$U$18*Pipeline!$D$18*MIN(1,MAX(0,(46-Pipeline!$E$18+1)/MAX(Pipeline!$F$18,1)))+Pipeline!$U$19*Pipeline!$D$19*MIN(1,MAX(0,(46-Pipeline!$E$19+1)/MAX(Pipeline!$F$19,1)))+Pipeline!$U$20*Pipeline!$D$20*MIN(1,MAX(0,(46-Pipeline!$E$20+1)/MAX(Pipeline!$F$20,1)))+Pipeline!$U$21*Pipeline!$D$21*MIN(1,MAX(0,(46-Pipeline!$E$21+1)/MAX(Pipeline!$F$21,1)))+Pipeline!$U$22*Pipeline!$D$22*MIN(1,MAX(0,(46-Pipeline!$E$22+1)/MAX(Pipeline!$F$22,1))))/Hipótesis!$F$17</f>
        <v>973.059910354674</v>
      </c>
      <c r="AW18" s="150" t="n">
        <f aca="false">(Pipeline!$U$16*Pipeline!$D$16*MIN(1,MAX(0,(47-Pipeline!$E$16+1)/MAX(Pipeline!$F$16,1)))+Pipeline!$U$17*Pipeline!$D$17*MIN(1,MAX(0,(47-Pipeline!$E$17+1)/MAX(Pipeline!$F$17,1)))+Pipeline!$U$18*Pipeline!$D$18*MIN(1,MAX(0,(47-Pipeline!$E$18+1)/MAX(Pipeline!$F$18,1)))+Pipeline!$U$19*Pipeline!$D$19*MIN(1,MAX(0,(47-Pipeline!$E$19+1)/MAX(Pipeline!$F$19,1)))+Pipeline!$U$20*Pipeline!$D$20*MIN(1,MAX(0,(47-Pipeline!$E$20+1)/MAX(Pipeline!$F$20,1)))+Pipeline!$U$21*Pipeline!$D$21*MIN(1,MAX(0,(47-Pipeline!$E$21+1)/MAX(Pipeline!$F$21,1)))+Pipeline!$U$22*Pipeline!$D$22*MIN(1,MAX(0,(47-Pipeline!$E$22+1)/MAX(Pipeline!$F$22,1))))/Hipótesis!$F$17</f>
        <v>973.059910354674</v>
      </c>
      <c r="AX18" s="150" t="n">
        <f aca="false">(Pipeline!$U$16*Pipeline!$D$16*MIN(1,MAX(0,(48-Pipeline!$E$16+1)/MAX(Pipeline!$F$16,1)))+Pipeline!$U$17*Pipeline!$D$17*MIN(1,MAX(0,(48-Pipeline!$E$17+1)/MAX(Pipeline!$F$17,1)))+Pipeline!$U$18*Pipeline!$D$18*MIN(1,MAX(0,(48-Pipeline!$E$18+1)/MAX(Pipeline!$F$18,1)))+Pipeline!$U$19*Pipeline!$D$19*MIN(1,MAX(0,(48-Pipeline!$E$19+1)/MAX(Pipeline!$F$19,1)))+Pipeline!$U$20*Pipeline!$D$20*MIN(1,MAX(0,(48-Pipeline!$E$20+1)/MAX(Pipeline!$F$20,1)))+Pipeline!$U$21*Pipeline!$D$21*MIN(1,MAX(0,(48-Pipeline!$E$21+1)/MAX(Pipeline!$F$21,1)))+Pipeline!$U$22*Pipeline!$D$22*MIN(1,MAX(0,(48-Pipeline!$E$22+1)/MAX(Pipeline!$F$22,1))))/Hipótesis!$F$17</f>
        <v>973.059910354674</v>
      </c>
      <c r="AY18" s="150" t="n">
        <f aca="false">(Pipeline!$U$16*Pipeline!$D$16*MIN(1,MAX(0,(49-Pipeline!$E$16+1)/MAX(Pipeline!$F$16,1)))+Pipeline!$U$17*Pipeline!$D$17*MIN(1,MAX(0,(49-Pipeline!$E$17+1)/MAX(Pipeline!$F$17,1)))+Pipeline!$U$18*Pipeline!$D$18*MIN(1,MAX(0,(49-Pipeline!$E$18+1)/MAX(Pipeline!$F$18,1)))+Pipeline!$U$19*Pipeline!$D$19*MIN(1,MAX(0,(49-Pipeline!$E$19+1)/MAX(Pipeline!$F$19,1)))+Pipeline!$U$20*Pipeline!$D$20*MIN(1,MAX(0,(49-Pipeline!$E$20+1)/MAX(Pipeline!$F$20,1)))+Pipeline!$U$21*Pipeline!$D$21*MIN(1,MAX(0,(49-Pipeline!$E$21+1)/MAX(Pipeline!$F$21,1)))+Pipeline!$U$22*Pipeline!$D$22*MIN(1,MAX(0,(49-Pipeline!$E$22+1)/MAX(Pipeline!$F$22,1))))/Hipótesis!$F$17</f>
        <v>973.059910354674</v>
      </c>
      <c r="AZ18" s="150" t="n">
        <f aca="false">(Pipeline!$U$16*Pipeline!$D$16*MIN(1,MAX(0,(50-Pipeline!$E$16+1)/MAX(Pipeline!$F$16,1)))+Pipeline!$U$17*Pipeline!$D$17*MIN(1,MAX(0,(50-Pipeline!$E$17+1)/MAX(Pipeline!$F$17,1)))+Pipeline!$U$18*Pipeline!$D$18*MIN(1,MAX(0,(50-Pipeline!$E$18+1)/MAX(Pipeline!$F$18,1)))+Pipeline!$U$19*Pipeline!$D$19*MIN(1,MAX(0,(50-Pipeline!$E$19+1)/MAX(Pipeline!$F$19,1)))+Pipeline!$U$20*Pipeline!$D$20*MIN(1,MAX(0,(50-Pipeline!$E$20+1)/MAX(Pipeline!$F$20,1)))+Pipeline!$U$21*Pipeline!$D$21*MIN(1,MAX(0,(50-Pipeline!$E$21+1)/MAX(Pipeline!$F$21,1)))+Pipeline!$U$22*Pipeline!$D$22*MIN(1,MAX(0,(50-Pipeline!$E$22+1)/MAX(Pipeline!$F$22,1))))/Hipótesis!$F$17</f>
        <v>973.059910354674</v>
      </c>
      <c r="BA18" s="150" t="n">
        <f aca="false">(Pipeline!$U$16*Pipeline!$D$16*MIN(1,MAX(0,(51-Pipeline!$E$16+1)/MAX(Pipeline!$F$16,1)))+Pipeline!$U$17*Pipeline!$D$17*MIN(1,MAX(0,(51-Pipeline!$E$17+1)/MAX(Pipeline!$F$17,1)))+Pipeline!$U$18*Pipeline!$D$18*MIN(1,MAX(0,(51-Pipeline!$E$18+1)/MAX(Pipeline!$F$18,1)))+Pipeline!$U$19*Pipeline!$D$19*MIN(1,MAX(0,(51-Pipeline!$E$19+1)/MAX(Pipeline!$F$19,1)))+Pipeline!$U$20*Pipeline!$D$20*MIN(1,MAX(0,(51-Pipeline!$E$20+1)/MAX(Pipeline!$F$20,1)))+Pipeline!$U$21*Pipeline!$D$21*MIN(1,MAX(0,(51-Pipeline!$E$21+1)/MAX(Pipeline!$F$21,1)))+Pipeline!$U$22*Pipeline!$D$22*MIN(1,MAX(0,(51-Pipeline!$E$22+1)/MAX(Pipeline!$F$22,1))))/Hipótesis!$F$17</f>
        <v>973.059910354674</v>
      </c>
      <c r="BB18" s="150" t="n">
        <f aca="false">(Pipeline!$U$16*Pipeline!$D$16*MIN(1,MAX(0,(52-Pipeline!$E$16+1)/MAX(Pipeline!$F$16,1)))+Pipeline!$U$17*Pipeline!$D$17*MIN(1,MAX(0,(52-Pipeline!$E$17+1)/MAX(Pipeline!$F$17,1)))+Pipeline!$U$18*Pipeline!$D$18*MIN(1,MAX(0,(52-Pipeline!$E$18+1)/MAX(Pipeline!$F$18,1)))+Pipeline!$U$19*Pipeline!$D$19*MIN(1,MAX(0,(52-Pipeline!$E$19+1)/MAX(Pipeline!$F$19,1)))+Pipeline!$U$20*Pipeline!$D$20*MIN(1,MAX(0,(52-Pipeline!$E$20+1)/MAX(Pipeline!$F$20,1)))+Pipeline!$U$21*Pipeline!$D$21*MIN(1,MAX(0,(52-Pipeline!$E$21+1)/MAX(Pipeline!$F$21,1)))+Pipeline!$U$22*Pipeline!$D$22*MIN(1,MAX(0,(52-Pipeline!$E$22+1)/MAX(Pipeline!$F$22,1))))/Hipótesis!$F$17</f>
        <v>973.059910354674</v>
      </c>
      <c r="BC18" s="150" t="n">
        <f aca="false">(Pipeline!$U$16*Pipeline!$D$16*MIN(1,MAX(0,(53-Pipeline!$E$16+1)/MAX(Pipeline!$F$16,1)))+Pipeline!$U$17*Pipeline!$D$17*MIN(1,MAX(0,(53-Pipeline!$E$17+1)/MAX(Pipeline!$F$17,1)))+Pipeline!$U$18*Pipeline!$D$18*MIN(1,MAX(0,(53-Pipeline!$E$18+1)/MAX(Pipeline!$F$18,1)))+Pipeline!$U$19*Pipeline!$D$19*MIN(1,MAX(0,(53-Pipeline!$E$19+1)/MAX(Pipeline!$F$19,1)))+Pipeline!$U$20*Pipeline!$D$20*MIN(1,MAX(0,(53-Pipeline!$E$20+1)/MAX(Pipeline!$F$20,1)))+Pipeline!$U$21*Pipeline!$D$21*MIN(1,MAX(0,(53-Pipeline!$E$21+1)/MAX(Pipeline!$F$21,1)))+Pipeline!$U$22*Pipeline!$D$22*MIN(1,MAX(0,(53-Pipeline!$E$22+1)/MAX(Pipeline!$F$22,1))))/Hipótesis!$F$17</f>
        <v>973.059910354674</v>
      </c>
      <c r="BD18" s="150" t="n">
        <f aca="false">(Pipeline!$U$16*Pipeline!$D$16*MIN(1,MAX(0,(54-Pipeline!$E$16+1)/MAX(Pipeline!$F$16,1)))+Pipeline!$U$17*Pipeline!$D$17*MIN(1,MAX(0,(54-Pipeline!$E$17+1)/MAX(Pipeline!$F$17,1)))+Pipeline!$U$18*Pipeline!$D$18*MIN(1,MAX(0,(54-Pipeline!$E$18+1)/MAX(Pipeline!$F$18,1)))+Pipeline!$U$19*Pipeline!$D$19*MIN(1,MAX(0,(54-Pipeline!$E$19+1)/MAX(Pipeline!$F$19,1)))+Pipeline!$U$20*Pipeline!$D$20*MIN(1,MAX(0,(54-Pipeline!$E$20+1)/MAX(Pipeline!$F$20,1)))+Pipeline!$U$21*Pipeline!$D$21*MIN(1,MAX(0,(54-Pipeline!$E$21+1)/MAX(Pipeline!$F$21,1)))+Pipeline!$U$22*Pipeline!$D$22*MIN(1,MAX(0,(54-Pipeline!$E$22+1)/MAX(Pipeline!$F$22,1))))/Hipótesis!$F$17</f>
        <v>973.059910354674</v>
      </c>
      <c r="BE18" s="150" t="n">
        <f aca="false">(Pipeline!$U$16*Pipeline!$D$16*MIN(1,MAX(0,(55-Pipeline!$E$16+1)/MAX(Pipeline!$F$16,1)))+Pipeline!$U$17*Pipeline!$D$17*MIN(1,MAX(0,(55-Pipeline!$E$17+1)/MAX(Pipeline!$F$17,1)))+Pipeline!$U$18*Pipeline!$D$18*MIN(1,MAX(0,(55-Pipeline!$E$18+1)/MAX(Pipeline!$F$18,1)))+Pipeline!$U$19*Pipeline!$D$19*MIN(1,MAX(0,(55-Pipeline!$E$19+1)/MAX(Pipeline!$F$19,1)))+Pipeline!$U$20*Pipeline!$D$20*MIN(1,MAX(0,(55-Pipeline!$E$20+1)/MAX(Pipeline!$F$20,1)))+Pipeline!$U$21*Pipeline!$D$21*MIN(1,MAX(0,(55-Pipeline!$E$21+1)/MAX(Pipeline!$F$21,1)))+Pipeline!$U$22*Pipeline!$D$22*MIN(1,MAX(0,(55-Pipeline!$E$22+1)/MAX(Pipeline!$F$22,1))))/Hipótesis!$F$17</f>
        <v>973.059910354674</v>
      </c>
      <c r="BF18" s="150" t="n">
        <f aca="false">(Pipeline!$U$16*Pipeline!$D$16*MIN(1,MAX(0,(56-Pipeline!$E$16+1)/MAX(Pipeline!$F$16,1)))+Pipeline!$U$17*Pipeline!$D$17*MIN(1,MAX(0,(56-Pipeline!$E$17+1)/MAX(Pipeline!$F$17,1)))+Pipeline!$U$18*Pipeline!$D$18*MIN(1,MAX(0,(56-Pipeline!$E$18+1)/MAX(Pipeline!$F$18,1)))+Pipeline!$U$19*Pipeline!$D$19*MIN(1,MAX(0,(56-Pipeline!$E$19+1)/MAX(Pipeline!$F$19,1)))+Pipeline!$U$20*Pipeline!$D$20*MIN(1,MAX(0,(56-Pipeline!$E$20+1)/MAX(Pipeline!$F$20,1)))+Pipeline!$U$21*Pipeline!$D$21*MIN(1,MAX(0,(56-Pipeline!$E$21+1)/MAX(Pipeline!$F$21,1)))+Pipeline!$U$22*Pipeline!$D$22*MIN(1,MAX(0,(56-Pipeline!$E$22+1)/MAX(Pipeline!$F$22,1))))/Hipótesis!$F$17</f>
        <v>973.059910354674</v>
      </c>
      <c r="BG18" s="150" t="n">
        <f aca="false">(Pipeline!$U$16*Pipeline!$D$16*MIN(1,MAX(0,(57-Pipeline!$E$16+1)/MAX(Pipeline!$F$16,1)))+Pipeline!$U$17*Pipeline!$D$17*MIN(1,MAX(0,(57-Pipeline!$E$17+1)/MAX(Pipeline!$F$17,1)))+Pipeline!$U$18*Pipeline!$D$18*MIN(1,MAX(0,(57-Pipeline!$E$18+1)/MAX(Pipeline!$F$18,1)))+Pipeline!$U$19*Pipeline!$D$19*MIN(1,MAX(0,(57-Pipeline!$E$19+1)/MAX(Pipeline!$F$19,1)))+Pipeline!$U$20*Pipeline!$D$20*MIN(1,MAX(0,(57-Pipeline!$E$20+1)/MAX(Pipeline!$F$20,1)))+Pipeline!$U$21*Pipeline!$D$21*MIN(1,MAX(0,(57-Pipeline!$E$21+1)/MAX(Pipeline!$F$21,1)))+Pipeline!$U$22*Pipeline!$D$22*MIN(1,MAX(0,(57-Pipeline!$E$22+1)/MAX(Pipeline!$F$22,1))))/Hipótesis!$F$17</f>
        <v>973.059910354674</v>
      </c>
      <c r="BH18" s="150" t="n">
        <f aca="false">(Pipeline!$U$16*Pipeline!$D$16*MIN(1,MAX(0,(58-Pipeline!$E$16+1)/MAX(Pipeline!$F$16,1)))+Pipeline!$U$17*Pipeline!$D$17*MIN(1,MAX(0,(58-Pipeline!$E$17+1)/MAX(Pipeline!$F$17,1)))+Pipeline!$U$18*Pipeline!$D$18*MIN(1,MAX(0,(58-Pipeline!$E$18+1)/MAX(Pipeline!$F$18,1)))+Pipeline!$U$19*Pipeline!$D$19*MIN(1,MAX(0,(58-Pipeline!$E$19+1)/MAX(Pipeline!$F$19,1)))+Pipeline!$U$20*Pipeline!$D$20*MIN(1,MAX(0,(58-Pipeline!$E$20+1)/MAX(Pipeline!$F$20,1)))+Pipeline!$U$21*Pipeline!$D$21*MIN(1,MAX(0,(58-Pipeline!$E$21+1)/MAX(Pipeline!$F$21,1)))+Pipeline!$U$22*Pipeline!$D$22*MIN(1,MAX(0,(58-Pipeline!$E$22+1)/MAX(Pipeline!$F$22,1))))/Hipótesis!$F$17</f>
        <v>973.059910354674</v>
      </c>
      <c r="BI18" s="150" t="n">
        <f aca="false">(Pipeline!$U$16*Pipeline!$D$16*MIN(1,MAX(0,(59-Pipeline!$E$16+1)/MAX(Pipeline!$F$16,1)))+Pipeline!$U$17*Pipeline!$D$17*MIN(1,MAX(0,(59-Pipeline!$E$17+1)/MAX(Pipeline!$F$17,1)))+Pipeline!$U$18*Pipeline!$D$18*MIN(1,MAX(0,(59-Pipeline!$E$18+1)/MAX(Pipeline!$F$18,1)))+Pipeline!$U$19*Pipeline!$D$19*MIN(1,MAX(0,(59-Pipeline!$E$19+1)/MAX(Pipeline!$F$19,1)))+Pipeline!$U$20*Pipeline!$D$20*MIN(1,MAX(0,(59-Pipeline!$E$20+1)/MAX(Pipeline!$F$20,1)))+Pipeline!$U$21*Pipeline!$D$21*MIN(1,MAX(0,(59-Pipeline!$E$21+1)/MAX(Pipeline!$F$21,1)))+Pipeline!$U$22*Pipeline!$D$22*MIN(1,MAX(0,(59-Pipeline!$E$22+1)/MAX(Pipeline!$F$22,1))))/Hipótesis!$F$17</f>
        <v>973.059910354674</v>
      </c>
      <c r="BJ18" s="150" t="n">
        <f aca="false">(Pipeline!$U$16*Pipeline!$D$16*MIN(1,MAX(0,(60-Pipeline!$E$16+1)/MAX(Pipeline!$F$16,1)))+Pipeline!$U$17*Pipeline!$D$17*MIN(1,MAX(0,(60-Pipeline!$E$17+1)/MAX(Pipeline!$F$17,1)))+Pipeline!$U$18*Pipeline!$D$18*MIN(1,MAX(0,(60-Pipeline!$E$18+1)/MAX(Pipeline!$F$18,1)))+Pipeline!$U$19*Pipeline!$D$19*MIN(1,MAX(0,(60-Pipeline!$E$19+1)/MAX(Pipeline!$F$19,1)))+Pipeline!$U$20*Pipeline!$D$20*MIN(1,MAX(0,(60-Pipeline!$E$20+1)/MAX(Pipeline!$F$20,1)))+Pipeline!$U$21*Pipeline!$D$21*MIN(1,MAX(0,(60-Pipeline!$E$21+1)/MAX(Pipeline!$F$21,1)))+Pipeline!$U$22*Pipeline!$D$22*MIN(1,MAX(0,(60-Pipeline!$E$22+1)/MAX(Pipeline!$F$22,1))))/Hipótesis!$F$17</f>
        <v>973.059910354674</v>
      </c>
      <c r="BK18" s="150" t="n">
        <f aca="false">(Pipeline!$U$16*Pipeline!$D$16*MIN(1,MAX(0,(61-Pipeline!$E$16+1)/MAX(Pipeline!$F$16,1)))+Pipeline!$U$17*Pipeline!$D$17*MIN(1,MAX(0,(61-Pipeline!$E$17+1)/MAX(Pipeline!$F$17,1)))+Pipeline!$U$18*Pipeline!$D$18*MIN(1,MAX(0,(61-Pipeline!$E$18+1)/MAX(Pipeline!$F$18,1)))+Pipeline!$U$19*Pipeline!$D$19*MIN(1,MAX(0,(61-Pipeline!$E$19+1)/MAX(Pipeline!$F$19,1)))+Pipeline!$U$20*Pipeline!$D$20*MIN(1,MAX(0,(61-Pipeline!$E$20+1)/MAX(Pipeline!$F$20,1)))+Pipeline!$U$21*Pipeline!$D$21*MIN(1,MAX(0,(61-Pipeline!$E$21+1)/MAX(Pipeline!$F$21,1)))+Pipeline!$U$22*Pipeline!$D$22*MIN(1,MAX(0,(61-Pipeline!$E$22+1)/MAX(Pipeline!$F$22,1))))/Hipótesis!$F$17</f>
        <v>973.059910354674</v>
      </c>
      <c r="BL18" s="150" t="n">
        <f aca="false">(Pipeline!$U$16*Pipeline!$D$16*MIN(1,MAX(0,(62-Pipeline!$E$16+1)/MAX(Pipeline!$F$16,1)))+Pipeline!$U$17*Pipeline!$D$17*MIN(1,MAX(0,(62-Pipeline!$E$17+1)/MAX(Pipeline!$F$17,1)))+Pipeline!$U$18*Pipeline!$D$18*MIN(1,MAX(0,(62-Pipeline!$E$18+1)/MAX(Pipeline!$F$18,1)))+Pipeline!$U$19*Pipeline!$D$19*MIN(1,MAX(0,(62-Pipeline!$E$19+1)/MAX(Pipeline!$F$19,1)))+Pipeline!$U$20*Pipeline!$D$20*MIN(1,MAX(0,(62-Pipeline!$E$20+1)/MAX(Pipeline!$F$20,1)))+Pipeline!$U$21*Pipeline!$D$21*MIN(1,MAX(0,(62-Pipeline!$E$21+1)/MAX(Pipeline!$F$21,1)))+Pipeline!$U$22*Pipeline!$D$22*MIN(1,MAX(0,(62-Pipeline!$E$22+1)/MAX(Pipeline!$F$22,1))))/Hipótesis!$F$17</f>
        <v>973.059910354674</v>
      </c>
      <c r="BM18" s="150" t="n">
        <f aca="false">(Pipeline!$U$16*Pipeline!$D$16*MIN(1,MAX(0,(63-Pipeline!$E$16+1)/MAX(Pipeline!$F$16,1)))+Pipeline!$U$17*Pipeline!$D$17*MIN(1,MAX(0,(63-Pipeline!$E$17+1)/MAX(Pipeline!$F$17,1)))+Pipeline!$U$18*Pipeline!$D$18*MIN(1,MAX(0,(63-Pipeline!$E$18+1)/MAX(Pipeline!$F$18,1)))+Pipeline!$U$19*Pipeline!$D$19*MIN(1,MAX(0,(63-Pipeline!$E$19+1)/MAX(Pipeline!$F$19,1)))+Pipeline!$U$20*Pipeline!$D$20*MIN(1,MAX(0,(63-Pipeline!$E$20+1)/MAX(Pipeline!$F$20,1)))+Pipeline!$U$21*Pipeline!$D$21*MIN(1,MAX(0,(63-Pipeline!$E$21+1)/MAX(Pipeline!$F$21,1)))+Pipeline!$U$22*Pipeline!$D$22*MIN(1,MAX(0,(63-Pipeline!$E$22+1)/MAX(Pipeline!$F$22,1))))/Hipótesis!$F$17</f>
        <v>973.059910354674</v>
      </c>
      <c r="BN18" s="150" t="n">
        <f aca="false">(Pipeline!$U$16*Pipeline!$D$16*MIN(1,MAX(0,(64-Pipeline!$E$16+1)/MAX(Pipeline!$F$16,1)))+Pipeline!$U$17*Pipeline!$D$17*MIN(1,MAX(0,(64-Pipeline!$E$17+1)/MAX(Pipeline!$F$17,1)))+Pipeline!$U$18*Pipeline!$D$18*MIN(1,MAX(0,(64-Pipeline!$E$18+1)/MAX(Pipeline!$F$18,1)))+Pipeline!$U$19*Pipeline!$D$19*MIN(1,MAX(0,(64-Pipeline!$E$19+1)/MAX(Pipeline!$F$19,1)))+Pipeline!$U$20*Pipeline!$D$20*MIN(1,MAX(0,(64-Pipeline!$E$20+1)/MAX(Pipeline!$F$20,1)))+Pipeline!$U$21*Pipeline!$D$21*MIN(1,MAX(0,(64-Pipeline!$E$21+1)/MAX(Pipeline!$F$21,1)))+Pipeline!$U$22*Pipeline!$D$22*MIN(1,MAX(0,(64-Pipeline!$E$22+1)/MAX(Pipeline!$F$22,1))))/Hipótesis!$F$17</f>
        <v>973.059910354674</v>
      </c>
      <c r="BO18" s="150" t="n">
        <f aca="false">(Pipeline!$U$16*Pipeline!$D$16*MIN(1,MAX(0,(65-Pipeline!$E$16+1)/MAX(Pipeline!$F$16,1)))+Pipeline!$U$17*Pipeline!$D$17*MIN(1,MAX(0,(65-Pipeline!$E$17+1)/MAX(Pipeline!$F$17,1)))+Pipeline!$U$18*Pipeline!$D$18*MIN(1,MAX(0,(65-Pipeline!$E$18+1)/MAX(Pipeline!$F$18,1)))+Pipeline!$U$19*Pipeline!$D$19*MIN(1,MAX(0,(65-Pipeline!$E$19+1)/MAX(Pipeline!$F$19,1)))+Pipeline!$U$20*Pipeline!$D$20*MIN(1,MAX(0,(65-Pipeline!$E$20+1)/MAX(Pipeline!$F$20,1)))+Pipeline!$U$21*Pipeline!$D$21*MIN(1,MAX(0,(65-Pipeline!$E$21+1)/MAX(Pipeline!$F$21,1)))+Pipeline!$U$22*Pipeline!$D$22*MIN(1,MAX(0,(65-Pipeline!$E$22+1)/MAX(Pipeline!$F$22,1))))/Hipótesis!$F$17</f>
        <v>973.059910354674</v>
      </c>
      <c r="BP18" s="150" t="n">
        <f aca="false">(Pipeline!$U$16*Pipeline!$D$16*MIN(1,MAX(0,(66-Pipeline!$E$16+1)/MAX(Pipeline!$F$16,1)))+Pipeline!$U$17*Pipeline!$D$17*MIN(1,MAX(0,(66-Pipeline!$E$17+1)/MAX(Pipeline!$F$17,1)))+Pipeline!$U$18*Pipeline!$D$18*MIN(1,MAX(0,(66-Pipeline!$E$18+1)/MAX(Pipeline!$F$18,1)))+Pipeline!$U$19*Pipeline!$D$19*MIN(1,MAX(0,(66-Pipeline!$E$19+1)/MAX(Pipeline!$F$19,1)))+Pipeline!$U$20*Pipeline!$D$20*MIN(1,MAX(0,(66-Pipeline!$E$20+1)/MAX(Pipeline!$F$20,1)))+Pipeline!$U$21*Pipeline!$D$21*MIN(1,MAX(0,(66-Pipeline!$E$21+1)/MAX(Pipeline!$F$21,1)))+Pipeline!$U$22*Pipeline!$D$22*MIN(1,MAX(0,(66-Pipeline!$E$22+1)/MAX(Pipeline!$F$22,1))))/Hipótesis!$F$17</f>
        <v>973.059910354674</v>
      </c>
      <c r="BQ18" s="150" t="n">
        <f aca="false">(Pipeline!$U$16*Pipeline!$D$16*MIN(1,MAX(0,(67-Pipeline!$E$16+1)/MAX(Pipeline!$F$16,1)))+Pipeline!$U$17*Pipeline!$D$17*MIN(1,MAX(0,(67-Pipeline!$E$17+1)/MAX(Pipeline!$F$17,1)))+Pipeline!$U$18*Pipeline!$D$18*MIN(1,MAX(0,(67-Pipeline!$E$18+1)/MAX(Pipeline!$F$18,1)))+Pipeline!$U$19*Pipeline!$D$19*MIN(1,MAX(0,(67-Pipeline!$E$19+1)/MAX(Pipeline!$F$19,1)))+Pipeline!$U$20*Pipeline!$D$20*MIN(1,MAX(0,(67-Pipeline!$E$20+1)/MAX(Pipeline!$F$20,1)))+Pipeline!$U$21*Pipeline!$D$21*MIN(1,MAX(0,(67-Pipeline!$E$21+1)/MAX(Pipeline!$F$21,1)))+Pipeline!$U$22*Pipeline!$D$22*MIN(1,MAX(0,(67-Pipeline!$E$22+1)/MAX(Pipeline!$F$22,1))))/Hipótesis!$F$17</f>
        <v>973.059910354674</v>
      </c>
      <c r="BR18" s="150" t="n">
        <f aca="false">(Pipeline!$U$16*Pipeline!$D$16*MIN(1,MAX(0,(68-Pipeline!$E$16+1)/MAX(Pipeline!$F$16,1)))+Pipeline!$U$17*Pipeline!$D$17*MIN(1,MAX(0,(68-Pipeline!$E$17+1)/MAX(Pipeline!$F$17,1)))+Pipeline!$U$18*Pipeline!$D$18*MIN(1,MAX(0,(68-Pipeline!$E$18+1)/MAX(Pipeline!$F$18,1)))+Pipeline!$U$19*Pipeline!$D$19*MIN(1,MAX(0,(68-Pipeline!$E$19+1)/MAX(Pipeline!$F$19,1)))+Pipeline!$U$20*Pipeline!$D$20*MIN(1,MAX(0,(68-Pipeline!$E$20+1)/MAX(Pipeline!$F$20,1)))+Pipeline!$U$21*Pipeline!$D$21*MIN(1,MAX(0,(68-Pipeline!$E$21+1)/MAX(Pipeline!$F$21,1)))+Pipeline!$U$22*Pipeline!$D$22*MIN(1,MAX(0,(68-Pipeline!$E$22+1)/MAX(Pipeline!$F$22,1))))/Hipótesis!$F$17</f>
        <v>973.059910354674</v>
      </c>
      <c r="BS18" s="150" t="n">
        <f aca="false">(Pipeline!$U$16*Pipeline!$D$16*MIN(1,MAX(0,(69-Pipeline!$E$16+1)/MAX(Pipeline!$F$16,1)))+Pipeline!$U$17*Pipeline!$D$17*MIN(1,MAX(0,(69-Pipeline!$E$17+1)/MAX(Pipeline!$F$17,1)))+Pipeline!$U$18*Pipeline!$D$18*MIN(1,MAX(0,(69-Pipeline!$E$18+1)/MAX(Pipeline!$F$18,1)))+Pipeline!$U$19*Pipeline!$D$19*MIN(1,MAX(0,(69-Pipeline!$E$19+1)/MAX(Pipeline!$F$19,1)))+Pipeline!$U$20*Pipeline!$D$20*MIN(1,MAX(0,(69-Pipeline!$E$20+1)/MAX(Pipeline!$F$20,1)))+Pipeline!$U$21*Pipeline!$D$21*MIN(1,MAX(0,(69-Pipeline!$E$21+1)/MAX(Pipeline!$F$21,1)))+Pipeline!$U$22*Pipeline!$D$22*MIN(1,MAX(0,(69-Pipeline!$E$22+1)/MAX(Pipeline!$F$22,1))))/Hipótesis!$F$17</f>
        <v>973.059910354674</v>
      </c>
      <c r="BT18" s="150" t="n">
        <f aca="false">(Pipeline!$U$16*Pipeline!$D$16*MIN(1,MAX(0,(70-Pipeline!$E$16+1)/MAX(Pipeline!$F$16,1)))+Pipeline!$U$17*Pipeline!$D$17*MIN(1,MAX(0,(70-Pipeline!$E$17+1)/MAX(Pipeline!$F$17,1)))+Pipeline!$U$18*Pipeline!$D$18*MIN(1,MAX(0,(70-Pipeline!$E$18+1)/MAX(Pipeline!$F$18,1)))+Pipeline!$U$19*Pipeline!$D$19*MIN(1,MAX(0,(70-Pipeline!$E$19+1)/MAX(Pipeline!$F$19,1)))+Pipeline!$U$20*Pipeline!$D$20*MIN(1,MAX(0,(70-Pipeline!$E$20+1)/MAX(Pipeline!$F$20,1)))+Pipeline!$U$21*Pipeline!$D$21*MIN(1,MAX(0,(70-Pipeline!$E$21+1)/MAX(Pipeline!$F$21,1)))+Pipeline!$U$22*Pipeline!$D$22*MIN(1,MAX(0,(70-Pipeline!$E$22+1)/MAX(Pipeline!$F$22,1))))/Hipótesis!$F$17</f>
        <v>973.059910354674</v>
      </c>
      <c r="BU18" s="150" t="n">
        <f aca="false">(Pipeline!$U$16*Pipeline!$D$16*MIN(1,MAX(0,(71-Pipeline!$E$16+1)/MAX(Pipeline!$F$16,1)))+Pipeline!$U$17*Pipeline!$D$17*MIN(1,MAX(0,(71-Pipeline!$E$17+1)/MAX(Pipeline!$F$17,1)))+Pipeline!$U$18*Pipeline!$D$18*MIN(1,MAX(0,(71-Pipeline!$E$18+1)/MAX(Pipeline!$F$18,1)))+Pipeline!$U$19*Pipeline!$D$19*MIN(1,MAX(0,(71-Pipeline!$E$19+1)/MAX(Pipeline!$F$19,1)))+Pipeline!$U$20*Pipeline!$D$20*MIN(1,MAX(0,(71-Pipeline!$E$20+1)/MAX(Pipeline!$F$20,1)))+Pipeline!$U$21*Pipeline!$D$21*MIN(1,MAX(0,(71-Pipeline!$E$21+1)/MAX(Pipeline!$F$21,1)))+Pipeline!$U$22*Pipeline!$D$22*MIN(1,MAX(0,(71-Pipeline!$E$22+1)/MAX(Pipeline!$F$22,1))))/Hipótesis!$F$17</f>
        <v>973.059910354674</v>
      </c>
      <c r="BV18" s="150" t="n">
        <f aca="false">(Pipeline!$U$16*Pipeline!$D$16*MIN(1,MAX(0,(72-Pipeline!$E$16+1)/MAX(Pipeline!$F$16,1)))+Pipeline!$U$17*Pipeline!$D$17*MIN(1,MAX(0,(72-Pipeline!$E$17+1)/MAX(Pipeline!$F$17,1)))+Pipeline!$U$18*Pipeline!$D$18*MIN(1,MAX(0,(72-Pipeline!$E$18+1)/MAX(Pipeline!$F$18,1)))+Pipeline!$U$19*Pipeline!$D$19*MIN(1,MAX(0,(72-Pipeline!$E$19+1)/MAX(Pipeline!$F$19,1)))+Pipeline!$U$20*Pipeline!$D$20*MIN(1,MAX(0,(72-Pipeline!$E$20+1)/MAX(Pipeline!$F$20,1)))+Pipeline!$U$21*Pipeline!$D$21*MIN(1,MAX(0,(72-Pipeline!$E$21+1)/MAX(Pipeline!$F$21,1)))+Pipeline!$U$22*Pipeline!$D$22*MIN(1,MAX(0,(72-Pipeline!$E$22+1)/MAX(Pipeline!$F$22,1))))/Hipótesis!$F$17</f>
        <v>973.059910354674</v>
      </c>
      <c r="BW18" s="150" t="n">
        <f aca="false">(Pipeline!$U$16*Pipeline!$D$16*MIN(1,MAX(0,(73-Pipeline!$E$16+1)/MAX(Pipeline!$F$16,1)))+Pipeline!$U$17*Pipeline!$D$17*MIN(1,MAX(0,(73-Pipeline!$E$17+1)/MAX(Pipeline!$F$17,1)))+Pipeline!$U$18*Pipeline!$D$18*MIN(1,MAX(0,(73-Pipeline!$E$18+1)/MAX(Pipeline!$F$18,1)))+Pipeline!$U$19*Pipeline!$D$19*MIN(1,MAX(0,(73-Pipeline!$E$19+1)/MAX(Pipeline!$F$19,1)))+Pipeline!$U$20*Pipeline!$D$20*MIN(1,MAX(0,(73-Pipeline!$E$20+1)/MAX(Pipeline!$F$20,1)))+Pipeline!$U$21*Pipeline!$D$21*MIN(1,MAX(0,(73-Pipeline!$E$21+1)/MAX(Pipeline!$F$21,1)))+Pipeline!$U$22*Pipeline!$D$22*MIN(1,MAX(0,(73-Pipeline!$E$22+1)/MAX(Pipeline!$F$22,1))))/Hipótesis!$F$17</f>
        <v>973.059910354674</v>
      </c>
      <c r="BX18" s="150" t="n">
        <f aca="false">(Pipeline!$U$16*Pipeline!$D$16*MIN(1,MAX(0,(74-Pipeline!$E$16+1)/MAX(Pipeline!$F$16,1)))+Pipeline!$U$17*Pipeline!$D$17*MIN(1,MAX(0,(74-Pipeline!$E$17+1)/MAX(Pipeline!$F$17,1)))+Pipeline!$U$18*Pipeline!$D$18*MIN(1,MAX(0,(74-Pipeline!$E$18+1)/MAX(Pipeline!$F$18,1)))+Pipeline!$U$19*Pipeline!$D$19*MIN(1,MAX(0,(74-Pipeline!$E$19+1)/MAX(Pipeline!$F$19,1)))+Pipeline!$U$20*Pipeline!$D$20*MIN(1,MAX(0,(74-Pipeline!$E$20+1)/MAX(Pipeline!$F$20,1)))+Pipeline!$U$21*Pipeline!$D$21*MIN(1,MAX(0,(74-Pipeline!$E$21+1)/MAX(Pipeline!$F$21,1)))+Pipeline!$U$22*Pipeline!$D$22*MIN(1,MAX(0,(74-Pipeline!$E$22+1)/MAX(Pipeline!$F$22,1))))/Hipótesis!$F$17</f>
        <v>973.059910354674</v>
      </c>
      <c r="BY18" s="150" t="n">
        <f aca="false">(Pipeline!$U$16*Pipeline!$D$16*MIN(1,MAX(0,(75-Pipeline!$E$16+1)/MAX(Pipeline!$F$16,1)))+Pipeline!$U$17*Pipeline!$D$17*MIN(1,MAX(0,(75-Pipeline!$E$17+1)/MAX(Pipeline!$F$17,1)))+Pipeline!$U$18*Pipeline!$D$18*MIN(1,MAX(0,(75-Pipeline!$E$18+1)/MAX(Pipeline!$F$18,1)))+Pipeline!$U$19*Pipeline!$D$19*MIN(1,MAX(0,(75-Pipeline!$E$19+1)/MAX(Pipeline!$F$19,1)))+Pipeline!$U$20*Pipeline!$D$20*MIN(1,MAX(0,(75-Pipeline!$E$20+1)/MAX(Pipeline!$F$20,1)))+Pipeline!$U$21*Pipeline!$D$21*MIN(1,MAX(0,(75-Pipeline!$E$21+1)/MAX(Pipeline!$F$21,1)))+Pipeline!$U$22*Pipeline!$D$22*MIN(1,MAX(0,(75-Pipeline!$E$22+1)/MAX(Pipeline!$F$22,1))))/Hipótesis!$F$17</f>
        <v>973.059910354674</v>
      </c>
      <c r="BZ18" s="150" t="n">
        <f aca="false">(Pipeline!$U$16*Pipeline!$D$16*MIN(1,MAX(0,(76-Pipeline!$E$16+1)/MAX(Pipeline!$F$16,1)))+Pipeline!$U$17*Pipeline!$D$17*MIN(1,MAX(0,(76-Pipeline!$E$17+1)/MAX(Pipeline!$F$17,1)))+Pipeline!$U$18*Pipeline!$D$18*MIN(1,MAX(0,(76-Pipeline!$E$18+1)/MAX(Pipeline!$F$18,1)))+Pipeline!$U$19*Pipeline!$D$19*MIN(1,MAX(0,(76-Pipeline!$E$19+1)/MAX(Pipeline!$F$19,1)))+Pipeline!$U$20*Pipeline!$D$20*MIN(1,MAX(0,(76-Pipeline!$E$20+1)/MAX(Pipeline!$F$20,1)))+Pipeline!$U$21*Pipeline!$D$21*MIN(1,MAX(0,(76-Pipeline!$E$21+1)/MAX(Pipeline!$F$21,1)))+Pipeline!$U$22*Pipeline!$D$22*MIN(1,MAX(0,(76-Pipeline!$E$22+1)/MAX(Pipeline!$F$22,1))))/Hipótesis!$F$17</f>
        <v>973.059910354674</v>
      </c>
      <c r="CA18" s="150" t="n">
        <f aca="false">(Pipeline!$U$16*Pipeline!$D$16*MIN(1,MAX(0,(77-Pipeline!$E$16+1)/MAX(Pipeline!$F$16,1)))+Pipeline!$U$17*Pipeline!$D$17*MIN(1,MAX(0,(77-Pipeline!$E$17+1)/MAX(Pipeline!$F$17,1)))+Pipeline!$U$18*Pipeline!$D$18*MIN(1,MAX(0,(77-Pipeline!$E$18+1)/MAX(Pipeline!$F$18,1)))+Pipeline!$U$19*Pipeline!$D$19*MIN(1,MAX(0,(77-Pipeline!$E$19+1)/MAX(Pipeline!$F$19,1)))+Pipeline!$U$20*Pipeline!$D$20*MIN(1,MAX(0,(77-Pipeline!$E$20+1)/MAX(Pipeline!$F$20,1)))+Pipeline!$U$21*Pipeline!$D$21*MIN(1,MAX(0,(77-Pipeline!$E$21+1)/MAX(Pipeline!$F$21,1)))+Pipeline!$U$22*Pipeline!$D$22*MIN(1,MAX(0,(77-Pipeline!$E$22+1)/MAX(Pipeline!$F$22,1))))/Hipótesis!$F$17</f>
        <v>973.059910354674</v>
      </c>
      <c r="CB18" s="150" t="n">
        <f aca="false">(Pipeline!$U$16*Pipeline!$D$16*MIN(1,MAX(0,(78-Pipeline!$E$16+1)/MAX(Pipeline!$F$16,1)))+Pipeline!$U$17*Pipeline!$D$17*MIN(1,MAX(0,(78-Pipeline!$E$17+1)/MAX(Pipeline!$F$17,1)))+Pipeline!$U$18*Pipeline!$D$18*MIN(1,MAX(0,(78-Pipeline!$E$18+1)/MAX(Pipeline!$F$18,1)))+Pipeline!$U$19*Pipeline!$D$19*MIN(1,MAX(0,(78-Pipeline!$E$19+1)/MAX(Pipeline!$F$19,1)))+Pipeline!$U$20*Pipeline!$D$20*MIN(1,MAX(0,(78-Pipeline!$E$20+1)/MAX(Pipeline!$F$20,1)))+Pipeline!$U$21*Pipeline!$D$21*MIN(1,MAX(0,(78-Pipeline!$E$21+1)/MAX(Pipeline!$F$21,1)))+Pipeline!$U$22*Pipeline!$D$22*MIN(1,MAX(0,(78-Pipeline!$E$22+1)/MAX(Pipeline!$F$22,1))))/Hipótesis!$F$17</f>
        <v>973.059910354674</v>
      </c>
      <c r="CC18" s="150" t="n">
        <f aca="false">(Pipeline!$U$16*Pipeline!$D$16*MIN(1,MAX(0,(79-Pipeline!$E$16+1)/MAX(Pipeline!$F$16,1)))+Pipeline!$U$17*Pipeline!$D$17*MIN(1,MAX(0,(79-Pipeline!$E$17+1)/MAX(Pipeline!$F$17,1)))+Pipeline!$U$18*Pipeline!$D$18*MIN(1,MAX(0,(79-Pipeline!$E$18+1)/MAX(Pipeline!$F$18,1)))+Pipeline!$U$19*Pipeline!$D$19*MIN(1,MAX(0,(79-Pipeline!$E$19+1)/MAX(Pipeline!$F$19,1)))+Pipeline!$U$20*Pipeline!$D$20*MIN(1,MAX(0,(79-Pipeline!$E$20+1)/MAX(Pipeline!$F$20,1)))+Pipeline!$U$21*Pipeline!$D$21*MIN(1,MAX(0,(79-Pipeline!$E$21+1)/MAX(Pipeline!$F$21,1)))+Pipeline!$U$22*Pipeline!$D$22*MIN(1,MAX(0,(79-Pipeline!$E$22+1)/MAX(Pipeline!$F$22,1))))/Hipótesis!$F$17</f>
        <v>973.059910354674</v>
      </c>
      <c r="CD18" s="150" t="n">
        <f aca="false">(Pipeline!$U$16*Pipeline!$D$16*MIN(1,MAX(0,(80-Pipeline!$E$16+1)/MAX(Pipeline!$F$16,1)))+Pipeline!$U$17*Pipeline!$D$17*MIN(1,MAX(0,(80-Pipeline!$E$17+1)/MAX(Pipeline!$F$17,1)))+Pipeline!$U$18*Pipeline!$D$18*MIN(1,MAX(0,(80-Pipeline!$E$18+1)/MAX(Pipeline!$F$18,1)))+Pipeline!$U$19*Pipeline!$D$19*MIN(1,MAX(0,(80-Pipeline!$E$19+1)/MAX(Pipeline!$F$19,1)))+Pipeline!$U$20*Pipeline!$D$20*MIN(1,MAX(0,(80-Pipeline!$E$20+1)/MAX(Pipeline!$F$20,1)))+Pipeline!$U$21*Pipeline!$D$21*MIN(1,MAX(0,(80-Pipeline!$E$21+1)/MAX(Pipeline!$F$21,1)))+Pipeline!$U$22*Pipeline!$D$22*MIN(1,MAX(0,(80-Pipeline!$E$22+1)/MAX(Pipeline!$F$22,1))))/Hipótesis!$F$17</f>
        <v>973.059910354674</v>
      </c>
      <c r="CE18" s="150" t="n">
        <f aca="false">(Pipeline!$U$16*Pipeline!$D$16*MIN(1,MAX(0,(81-Pipeline!$E$16+1)/MAX(Pipeline!$F$16,1)))+Pipeline!$U$17*Pipeline!$D$17*MIN(1,MAX(0,(81-Pipeline!$E$17+1)/MAX(Pipeline!$F$17,1)))+Pipeline!$U$18*Pipeline!$D$18*MIN(1,MAX(0,(81-Pipeline!$E$18+1)/MAX(Pipeline!$F$18,1)))+Pipeline!$U$19*Pipeline!$D$19*MIN(1,MAX(0,(81-Pipeline!$E$19+1)/MAX(Pipeline!$F$19,1)))+Pipeline!$U$20*Pipeline!$D$20*MIN(1,MAX(0,(81-Pipeline!$E$20+1)/MAX(Pipeline!$F$20,1)))+Pipeline!$U$21*Pipeline!$D$21*MIN(1,MAX(0,(81-Pipeline!$E$21+1)/MAX(Pipeline!$F$21,1)))+Pipeline!$U$22*Pipeline!$D$22*MIN(1,MAX(0,(81-Pipeline!$E$22+1)/MAX(Pipeline!$F$22,1))))/Hipótesis!$F$17</f>
        <v>973.059910354674</v>
      </c>
      <c r="CF18" s="150" t="n">
        <f aca="false">(Pipeline!$U$16*Pipeline!$D$16*MIN(1,MAX(0,(82-Pipeline!$E$16+1)/MAX(Pipeline!$F$16,1)))+Pipeline!$U$17*Pipeline!$D$17*MIN(1,MAX(0,(82-Pipeline!$E$17+1)/MAX(Pipeline!$F$17,1)))+Pipeline!$U$18*Pipeline!$D$18*MIN(1,MAX(0,(82-Pipeline!$E$18+1)/MAX(Pipeline!$F$18,1)))+Pipeline!$U$19*Pipeline!$D$19*MIN(1,MAX(0,(82-Pipeline!$E$19+1)/MAX(Pipeline!$F$19,1)))+Pipeline!$U$20*Pipeline!$D$20*MIN(1,MAX(0,(82-Pipeline!$E$20+1)/MAX(Pipeline!$F$20,1)))+Pipeline!$U$21*Pipeline!$D$21*MIN(1,MAX(0,(82-Pipeline!$E$21+1)/MAX(Pipeline!$F$21,1)))+Pipeline!$U$22*Pipeline!$D$22*MIN(1,MAX(0,(82-Pipeline!$E$22+1)/MAX(Pipeline!$F$22,1))))/Hipótesis!$F$17</f>
        <v>973.059910354674</v>
      </c>
      <c r="CG18" s="150" t="n">
        <f aca="false">(Pipeline!$U$16*Pipeline!$D$16*MIN(1,MAX(0,(83-Pipeline!$E$16+1)/MAX(Pipeline!$F$16,1)))+Pipeline!$U$17*Pipeline!$D$17*MIN(1,MAX(0,(83-Pipeline!$E$17+1)/MAX(Pipeline!$F$17,1)))+Pipeline!$U$18*Pipeline!$D$18*MIN(1,MAX(0,(83-Pipeline!$E$18+1)/MAX(Pipeline!$F$18,1)))+Pipeline!$U$19*Pipeline!$D$19*MIN(1,MAX(0,(83-Pipeline!$E$19+1)/MAX(Pipeline!$F$19,1)))+Pipeline!$U$20*Pipeline!$D$20*MIN(1,MAX(0,(83-Pipeline!$E$20+1)/MAX(Pipeline!$F$20,1)))+Pipeline!$U$21*Pipeline!$D$21*MIN(1,MAX(0,(83-Pipeline!$E$21+1)/MAX(Pipeline!$F$21,1)))+Pipeline!$U$22*Pipeline!$D$22*MIN(1,MAX(0,(83-Pipeline!$E$22+1)/MAX(Pipeline!$F$22,1))))/Hipótesis!$F$17</f>
        <v>973.059910354674</v>
      </c>
      <c r="CH18" s="150" t="n">
        <f aca="false">(Pipeline!$U$16*Pipeline!$D$16*MIN(1,MAX(0,(84-Pipeline!$E$16+1)/MAX(Pipeline!$F$16,1)))+Pipeline!$U$17*Pipeline!$D$17*MIN(1,MAX(0,(84-Pipeline!$E$17+1)/MAX(Pipeline!$F$17,1)))+Pipeline!$U$18*Pipeline!$D$18*MIN(1,MAX(0,(84-Pipeline!$E$18+1)/MAX(Pipeline!$F$18,1)))+Pipeline!$U$19*Pipeline!$D$19*MIN(1,MAX(0,(84-Pipeline!$E$19+1)/MAX(Pipeline!$F$19,1)))+Pipeline!$U$20*Pipeline!$D$20*MIN(1,MAX(0,(84-Pipeline!$E$20+1)/MAX(Pipeline!$F$20,1)))+Pipeline!$U$21*Pipeline!$D$21*MIN(1,MAX(0,(84-Pipeline!$E$21+1)/MAX(Pipeline!$F$21,1)))+Pipeline!$U$22*Pipeline!$D$22*MIN(1,MAX(0,(84-Pipeline!$E$22+1)/MAX(Pipeline!$F$22,1))))/Hipótesis!$F$17</f>
        <v>973.059910354674</v>
      </c>
    </row>
    <row r="19" customFormat="false" ht="13.5" hidden="false" customHeight="true" outlineLevel="0" collapsed="false">
      <c r="A19" s="13" t="s">
        <v>702</v>
      </c>
      <c r="C19" s="138" t="n">
        <f aca="false">Pipeline!$W$16*Pipeline!$D$16*MIN(1,MAX(0,(1-Pipeline!$E$16+1)/MAX(Pipeline!$F$16,1)))+Pipeline!$W$17*Pipeline!$D$17*MIN(1,MAX(0,(1-Pipeline!$E$17+1)/MAX(Pipeline!$F$17,1)))+Pipeline!$W$18*Pipeline!$D$18*MIN(1,MAX(0,(1-Pipeline!$E$18+1)/MAX(Pipeline!$F$18,1)))+Pipeline!$W$19*Pipeline!$D$19*MIN(1,MAX(0,(1-Pipeline!$E$19+1)/MAX(Pipeline!$F$19,1)))+Pipeline!$W$20*Pipeline!$D$20*MIN(1,MAX(0,(1-Pipeline!$E$20+1)/MAX(Pipeline!$F$20,1)))+Pipeline!$W$21*Pipeline!$D$21*MIN(1,MAX(0,(1-Pipeline!$E$21+1)/MAX(Pipeline!$F$21,1)))+Pipeline!$W$22*Pipeline!$D$22*MIN(1,MAX(0,(1-Pipeline!$E$22+1)/MAX(Pipeline!$F$22,1)))</f>
        <v>136.64254338843</v>
      </c>
      <c r="D19" s="138" t="n">
        <f aca="false">Pipeline!$W$16*Pipeline!$D$16*MIN(1,MAX(0,(2-Pipeline!$E$16+1)/MAX(Pipeline!$F$16,1)))+Pipeline!$W$17*Pipeline!$D$17*MIN(1,MAX(0,(2-Pipeline!$E$17+1)/MAX(Pipeline!$F$17,1)))+Pipeline!$W$18*Pipeline!$D$18*MIN(1,MAX(0,(2-Pipeline!$E$18+1)/MAX(Pipeline!$F$18,1)))+Pipeline!$W$19*Pipeline!$D$19*MIN(1,MAX(0,(2-Pipeline!$E$19+1)/MAX(Pipeline!$F$19,1)))+Pipeline!$W$20*Pipeline!$D$20*MIN(1,MAX(0,(2-Pipeline!$E$20+1)/MAX(Pipeline!$F$20,1)))+Pipeline!$W$21*Pipeline!$D$21*MIN(1,MAX(0,(2-Pipeline!$E$21+1)/MAX(Pipeline!$F$21,1)))+Pipeline!$W$22*Pipeline!$D$22*MIN(1,MAX(0,(2-Pipeline!$E$22+1)/MAX(Pipeline!$F$22,1)))</f>
        <v>288.258822994652</v>
      </c>
      <c r="E19" s="138" t="n">
        <f aca="false">Pipeline!$W$16*Pipeline!$D$16*MIN(1,MAX(0,(3-Pipeline!$E$16+1)/MAX(Pipeline!$F$16,1)))+Pipeline!$W$17*Pipeline!$D$17*MIN(1,MAX(0,(3-Pipeline!$E$17+1)/MAX(Pipeline!$F$17,1)))+Pipeline!$W$18*Pipeline!$D$18*MIN(1,MAX(0,(3-Pipeline!$E$18+1)/MAX(Pipeline!$F$18,1)))+Pipeline!$W$19*Pipeline!$D$19*MIN(1,MAX(0,(3-Pipeline!$E$19+1)/MAX(Pipeline!$F$19,1)))+Pipeline!$W$20*Pipeline!$D$20*MIN(1,MAX(0,(3-Pipeline!$E$20+1)/MAX(Pipeline!$F$20,1)))+Pipeline!$W$21*Pipeline!$D$21*MIN(1,MAX(0,(3-Pipeline!$E$21+1)/MAX(Pipeline!$F$21,1)))+Pipeline!$W$22*Pipeline!$D$22*MIN(1,MAX(0,(3-Pipeline!$E$22+1)/MAX(Pipeline!$F$22,1)))</f>
        <v>655.025460708271</v>
      </c>
      <c r="F19" s="138" t="n">
        <f aca="false">Pipeline!$W$16*Pipeline!$D$16*MIN(1,MAX(0,(4-Pipeline!$E$16+1)/MAX(Pipeline!$F$16,1)))+Pipeline!$W$17*Pipeline!$D$17*MIN(1,MAX(0,(4-Pipeline!$E$17+1)/MAX(Pipeline!$F$17,1)))+Pipeline!$W$18*Pipeline!$D$18*MIN(1,MAX(0,(4-Pipeline!$E$18+1)/MAX(Pipeline!$F$18,1)))+Pipeline!$W$19*Pipeline!$D$19*MIN(1,MAX(0,(4-Pipeline!$E$19+1)/MAX(Pipeline!$F$19,1)))+Pipeline!$W$20*Pipeline!$D$20*MIN(1,MAX(0,(4-Pipeline!$E$20+1)/MAX(Pipeline!$F$20,1)))+Pipeline!$W$21*Pipeline!$D$21*MIN(1,MAX(0,(4-Pipeline!$E$21+1)/MAX(Pipeline!$F$21,1)))+Pipeline!$W$22*Pipeline!$D$22*MIN(1,MAX(0,(4-Pipeline!$E$22+1)/MAX(Pipeline!$F$22,1)))</f>
        <v>885.14955503346</v>
      </c>
      <c r="G19" s="138" t="n">
        <f aca="false">Pipeline!$W$16*Pipeline!$D$16*MIN(1,MAX(0,(5-Pipeline!$E$16+1)/MAX(Pipeline!$F$16,1)))+Pipeline!$W$17*Pipeline!$D$17*MIN(1,MAX(0,(5-Pipeline!$E$17+1)/MAX(Pipeline!$F$17,1)))+Pipeline!$W$18*Pipeline!$D$18*MIN(1,MAX(0,(5-Pipeline!$E$18+1)/MAX(Pipeline!$F$18,1)))+Pipeline!$W$19*Pipeline!$D$19*MIN(1,MAX(0,(5-Pipeline!$E$19+1)/MAX(Pipeline!$F$19,1)))+Pipeline!$W$20*Pipeline!$D$20*MIN(1,MAX(0,(5-Pipeline!$E$20+1)/MAX(Pipeline!$F$20,1)))+Pipeline!$W$21*Pipeline!$D$21*MIN(1,MAX(0,(5-Pipeline!$E$21+1)/MAX(Pipeline!$F$21,1)))+Pipeline!$W$22*Pipeline!$D$22*MIN(1,MAX(0,(5-Pipeline!$E$22+1)/MAX(Pipeline!$F$22,1)))</f>
        <v>1100.29991314086</v>
      </c>
      <c r="H19" s="138" t="n">
        <f aca="false">Pipeline!$W$16*Pipeline!$D$16*MIN(1,MAX(0,(6-Pipeline!$E$16+1)/MAX(Pipeline!$F$16,1)))+Pipeline!$W$17*Pipeline!$D$17*MIN(1,MAX(0,(6-Pipeline!$E$17+1)/MAX(Pipeline!$F$17,1)))+Pipeline!$W$18*Pipeline!$D$18*MIN(1,MAX(0,(6-Pipeline!$E$18+1)/MAX(Pipeline!$F$18,1)))+Pipeline!$W$19*Pipeline!$D$19*MIN(1,MAX(0,(6-Pipeline!$E$19+1)/MAX(Pipeline!$F$19,1)))+Pipeline!$W$20*Pipeline!$D$20*MIN(1,MAX(0,(6-Pipeline!$E$20+1)/MAX(Pipeline!$F$20,1)))+Pipeline!$W$21*Pipeline!$D$21*MIN(1,MAX(0,(6-Pipeline!$E$21+1)/MAX(Pipeline!$F$21,1)))+Pipeline!$W$22*Pipeline!$D$22*MIN(1,MAX(0,(6-Pipeline!$E$22+1)/MAX(Pipeline!$F$22,1)))</f>
        <v>1487.02433207713</v>
      </c>
      <c r="I19" s="138" t="n">
        <f aca="false">Pipeline!$W$16*Pipeline!$D$16*MIN(1,MAX(0,(7-Pipeline!$E$16+1)/MAX(Pipeline!$F$16,1)))+Pipeline!$W$17*Pipeline!$D$17*MIN(1,MAX(0,(7-Pipeline!$E$17+1)/MAX(Pipeline!$F$17,1)))+Pipeline!$W$18*Pipeline!$D$18*MIN(1,MAX(0,(7-Pipeline!$E$18+1)/MAX(Pipeline!$F$18,1)))+Pipeline!$W$19*Pipeline!$D$19*MIN(1,MAX(0,(7-Pipeline!$E$19+1)/MAX(Pipeline!$F$19,1)))+Pipeline!$W$20*Pipeline!$D$20*MIN(1,MAX(0,(7-Pipeline!$E$20+1)/MAX(Pipeline!$F$20,1)))+Pipeline!$W$21*Pipeline!$D$21*MIN(1,MAX(0,(7-Pipeline!$E$21+1)/MAX(Pipeline!$F$21,1)))+Pipeline!$W$22*Pipeline!$D$22*MIN(1,MAX(0,(7-Pipeline!$E$22+1)/MAX(Pipeline!$F$22,1)))</f>
        <v>1873.7487510134</v>
      </c>
      <c r="J19" s="138" t="n">
        <f aca="false">Pipeline!$W$16*Pipeline!$D$16*MIN(1,MAX(0,(8-Pipeline!$E$16+1)/MAX(Pipeline!$F$16,1)))+Pipeline!$W$17*Pipeline!$D$17*MIN(1,MAX(0,(8-Pipeline!$E$17+1)/MAX(Pipeline!$F$17,1)))+Pipeline!$W$18*Pipeline!$D$18*MIN(1,MAX(0,(8-Pipeline!$E$18+1)/MAX(Pipeline!$F$18,1)))+Pipeline!$W$19*Pipeline!$D$19*MIN(1,MAX(0,(8-Pipeline!$E$19+1)/MAX(Pipeline!$F$19,1)))+Pipeline!$W$20*Pipeline!$D$20*MIN(1,MAX(0,(8-Pipeline!$E$20+1)/MAX(Pipeline!$F$20,1)))+Pipeline!$W$21*Pipeline!$D$21*MIN(1,MAX(0,(8-Pipeline!$E$21+1)/MAX(Pipeline!$F$21,1)))+Pipeline!$W$22*Pipeline!$D$22*MIN(1,MAX(0,(8-Pipeline!$E$22+1)/MAX(Pipeline!$F$22,1)))</f>
        <v>2260.47316994967</v>
      </c>
      <c r="K19" s="138" t="n">
        <f aca="false">Pipeline!$W$16*Pipeline!$D$16*MIN(1,MAX(0,(9-Pipeline!$E$16+1)/MAX(Pipeline!$F$16,1)))+Pipeline!$W$17*Pipeline!$D$17*MIN(1,MAX(0,(9-Pipeline!$E$17+1)/MAX(Pipeline!$F$17,1)))+Pipeline!$W$18*Pipeline!$D$18*MIN(1,MAX(0,(9-Pipeline!$E$18+1)/MAX(Pipeline!$F$18,1)))+Pipeline!$W$19*Pipeline!$D$19*MIN(1,MAX(0,(9-Pipeline!$E$19+1)/MAX(Pipeline!$F$19,1)))+Pipeline!$W$20*Pipeline!$D$20*MIN(1,MAX(0,(9-Pipeline!$E$20+1)/MAX(Pipeline!$F$20,1)))+Pipeline!$W$21*Pipeline!$D$21*MIN(1,MAX(0,(9-Pipeline!$E$21+1)/MAX(Pipeline!$F$21,1)))+Pipeline!$W$22*Pipeline!$D$22*MIN(1,MAX(0,(9-Pipeline!$E$22+1)/MAX(Pipeline!$F$22,1)))</f>
        <v>2647.19758888595</v>
      </c>
      <c r="L19" s="138" t="n">
        <f aca="false">Pipeline!$W$16*Pipeline!$D$16*MIN(1,MAX(0,(10-Pipeline!$E$16+1)/MAX(Pipeline!$F$16,1)))+Pipeline!$W$17*Pipeline!$D$17*MIN(1,MAX(0,(10-Pipeline!$E$17+1)/MAX(Pipeline!$F$17,1)))+Pipeline!$W$18*Pipeline!$D$18*MIN(1,MAX(0,(10-Pipeline!$E$18+1)/MAX(Pipeline!$F$18,1)))+Pipeline!$W$19*Pipeline!$D$19*MIN(1,MAX(0,(10-Pipeline!$E$19+1)/MAX(Pipeline!$F$19,1)))+Pipeline!$W$20*Pipeline!$D$20*MIN(1,MAX(0,(10-Pipeline!$E$20+1)/MAX(Pipeline!$F$20,1)))+Pipeline!$W$21*Pipeline!$D$21*MIN(1,MAX(0,(10-Pipeline!$E$21+1)/MAX(Pipeline!$F$21,1)))+Pipeline!$W$22*Pipeline!$D$22*MIN(1,MAX(0,(10-Pipeline!$E$22+1)/MAX(Pipeline!$F$22,1)))</f>
        <v>3033.92200782222</v>
      </c>
      <c r="M19" s="138" t="n">
        <f aca="false">Pipeline!$W$16*Pipeline!$D$16*MIN(1,MAX(0,(11-Pipeline!$E$16+1)/MAX(Pipeline!$F$16,1)))+Pipeline!$W$17*Pipeline!$D$17*MIN(1,MAX(0,(11-Pipeline!$E$17+1)/MAX(Pipeline!$F$17,1)))+Pipeline!$W$18*Pipeline!$D$18*MIN(1,MAX(0,(11-Pipeline!$E$18+1)/MAX(Pipeline!$F$18,1)))+Pipeline!$W$19*Pipeline!$D$19*MIN(1,MAX(0,(11-Pipeline!$E$19+1)/MAX(Pipeline!$F$19,1)))+Pipeline!$W$20*Pipeline!$D$20*MIN(1,MAX(0,(11-Pipeline!$E$20+1)/MAX(Pipeline!$F$20,1)))+Pipeline!$W$21*Pipeline!$D$21*MIN(1,MAX(0,(11-Pipeline!$E$21+1)/MAX(Pipeline!$F$21,1)))+Pipeline!$W$22*Pipeline!$D$22*MIN(1,MAX(0,(11-Pipeline!$E$22+1)/MAX(Pipeline!$F$22,1)))</f>
        <v>3205.4960686511</v>
      </c>
      <c r="N19" s="138" t="n">
        <f aca="false">Pipeline!$W$16*Pipeline!$D$16*MIN(1,MAX(0,(12-Pipeline!$E$16+1)/MAX(Pipeline!$F$16,1)))+Pipeline!$W$17*Pipeline!$D$17*MIN(1,MAX(0,(12-Pipeline!$E$17+1)/MAX(Pipeline!$F$17,1)))+Pipeline!$W$18*Pipeline!$D$18*MIN(1,MAX(0,(12-Pipeline!$E$18+1)/MAX(Pipeline!$F$18,1)))+Pipeline!$W$19*Pipeline!$D$19*MIN(1,MAX(0,(12-Pipeline!$E$19+1)/MAX(Pipeline!$F$19,1)))+Pipeline!$W$20*Pipeline!$D$20*MIN(1,MAX(0,(12-Pipeline!$E$20+1)/MAX(Pipeline!$F$20,1)))+Pipeline!$W$21*Pipeline!$D$21*MIN(1,MAX(0,(12-Pipeline!$E$21+1)/MAX(Pipeline!$F$21,1)))+Pipeline!$W$22*Pipeline!$D$22*MIN(1,MAX(0,(12-Pipeline!$E$22+1)/MAX(Pipeline!$F$22,1)))</f>
        <v>3626.63239977652</v>
      </c>
      <c r="O19" s="138" t="n">
        <f aca="false">Pipeline!$W$16*Pipeline!$D$16*MIN(1,MAX(0,(13-Pipeline!$E$16+1)/MAX(Pipeline!$F$16,1)))+Pipeline!$W$17*Pipeline!$D$17*MIN(1,MAX(0,(13-Pipeline!$E$17+1)/MAX(Pipeline!$F$17,1)))+Pipeline!$W$18*Pipeline!$D$18*MIN(1,MAX(0,(13-Pipeline!$E$18+1)/MAX(Pipeline!$F$18,1)))+Pipeline!$W$19*Pipeline!$D$19*MIN(1,MAX(0,(13-Pipeline!$E$19+1)/MAX(Pipeline!$F$19,1)))+Pipeline!$W$20*Pipeline!$D$20*MIN(1,MAX(0,(13-Pipeline!$E$20+1)/MAX(Pipeline!$F$20,1)))+Pipeline!$W$21*Pipeline!$D$21*MIN(1,MAX(0,(13-Pipeline!$E$21+1)/MAX(Pipeline!$F$21,1)))+Pipeline!$W$22*Pipeline!$D$22*MIN(1,MAX(0,(13-Pipeline!$E$22+1)/MAX(Pipeline!$F$22,1)))</f>
        <v>4047.76873090195</v>
      </c>
      <c r="P19" s="138" t="n">
        <f aca="false">Pipeline!$W$16*Pipeline!$D$16*MIN(1,MAX(0,(14-Pipeline!$E$16+1)/MAX(Pipeline!$F$16,1)))+Pipeline!$W$17*Pipeline!$D$17*MIN(1,MAX(0,(14-Pipeline!$E$17+1)/MAX(Pipeline!$F$17,1)))+Pipeline!$W$18*Pipeline!$D$18*MIN(1,MAX(0,(14-Pipeline!$E$18+1)/MAX(Pipeline!$F$18,1)))+Pipeline!$W$19*Pipeline!$D$19*MIN(1,MAX(0,(14-Pipeline!$E$19+1)/MAX(Pipeline!$F$19,1)))+Pipeline!$W$20*Pipeline!$D$20*MIN(1,MAX(0,(14-Pipeline!$E$20+1)/MAX(Pipeline!$F$20,1)))+Pipeline!$W$21*Pipeline!$D$21*MIN(1,MAX(0,(14-Pipeline!$E$21+1)/MAX(Pipeline!$F$21,1)))+Pipeline!$W$22*Pipeline!$D$22*MIN(1,MAX(0,(14-Pipeline!$E$22+1)/MAX(Pipeline!$F$22,1)))</f>
        <v>4397.15590931712</v>
      </c>
      <c r="Q19" s="138" t="n">
        <f aca="false">Pipeline!$W$16*Pipeline!$D$16*MIN(1,MAX(0,(15-Pipeline!$E$16+1)/MAX(Pipeline!$F$16,1)))+Pipeline!$W$17*Pipeline!$D$17*MIN(1,MAX(0,(15-Pipeline!$E$17+1)/MAX(Pipeline!$F$17,1)))+Pipeline!$W$18*Pipeline!$D$18*MIN(1,MAX(0,(15-Pipeline!$E$18+1)/MAX(Pipeline!$F$18,1)))+Pipeline!$W$19*Pipeline!$D$19*MIN(1,MAX(0,(15-Pipeline!$E$19+1)/MAX(Pipeline!$F$19,1)))+Pipeline!$W$20*Pipeline!$D$20*MIN(1,MAX(0,(15-Pipeline!$E$20+1)/MAX(Pipeline!$F$20,1)))+Pipeline!$W$21*Pipeline!$D$21*MIN(1,MAX(0,(15-Pipeline!$E$21+1)/MAX(Pipeline!$F$21,1)))+Pipeline!$W$22*Pipeline!$D$22*MIN(1,MAX(0,(15-Pipeline!$E$22+1)/MAX(Pipeline!$F$22,1)))</f>
        <v>4746.54308773228</v>
      </c>
      <c r="R19" s="138" t="n">
        <f aca="false">Pipeline!$W$16*Pipeline!$D$16*MIN(1,MAX(0,(16-Pipeline!$E$16+1)/MAX(Pipeline!$F$16,1)))+Pipeline!$W$17*Pipeline!$D$17*MIN(1,MAX(0,(16-Pipeline!$E$17+1)/MAX(Pipeline!$F$17,1)))+Pipeline!$W$18*Pipeline!$D$18*MIN(1,MAX(0,(16-Pipeline!$E$18+1)/MAX(Pipeline!$F$18,1)))+Pipeline!$W$19*Pipeline!$D$19*MIN(1,MAX(0,(16-Pipeline!$E$19+1)/MAX(Pipeline!$F$19,1)))+Pipeline!$W$20*Pipeline!$D$20*MIN(1,MAX(0,(16-Pipeline!$E$20+1)/MAX(Pipeline!$F$20,1)))+Pipeline!$W$21*Pipeline!$D$21*MIN(1,MAX(0,(16-Pipeline!$E$21+1)/MAX(Pipeline!$F$21,1)))+Pipeline!$W$22*Pipeline!$D$22*MIN(1,MAX(0,(16-Pipeline!$E$22+1)/MAX(Pipeline!$F$22,1)))</f>
        <v>5095.93026614745</v>
      </c>
      <c r="S19" s="138" t="n">
        <f aca="false">Pipeline!$W$16*Pipeline!$D$16*MIN(1,MAX(0,(17-Pipeline!$E$16+1)/MAX(Pipeline!$F$16,1)))+Pipeline!$W$17*Pipeline!$D$17*MIN(1,MAX(0,(17-Pipeline!$E$17+1)/MAX(Pipeline!$F$17,1)))+Pipeline!$W$18*Pipeline!$D$18*MIN(1,MAX(0,(17-Pipeline!$E$18+1)/MAX(Pipeline!$F$18,1)))+Pipeline!$W$19*Pipeline!$D$19*MIN(1,MAX(0,(17-Pipeline!$E$19+1)/MAX(Pipeline!$F$19,1)))+Pipeline!$W$20*Pipeline!$D$20*MIN(1,MAX(0,(17-Pipeline!$E$20+1)/MAX(Pipeline!$F$20,1)))+Pipeline!$W$21*Pipeline!$D$21*MIN(1,MAX(0,(17-Pipeline!$E$21+1)/MAX(Pipeline!$F$21,1)))+Pipeline!$W$22*Pipeline!$D$22*MIN(1,MAX(0,(17-Pipeline!$E$22+1)/MAX(Pipeline!$F$22,1)))</f>
        <v>5445.31744456262</v>
      </c>
      <c r="T19" s="138" t="n">
        <f aca="false">Pipeline!$W$16*Pipeline!$D$16*MIN(1,MAX(0,(18-Pipeline!$E$16+1)/MAX(Pipeline!$F$16,1)))+Pipeline!$W$17*Pipeline!$D$17*MIN(1,MAX(0,(18-Pipeline!$E$17+1)/MAX(Pipeline!$F$17,1)))+Pipeline!$W$18*Pipeline!$D$18*MIN(1,MAX(0,(18-Pipeline!$E$18+1)/MAX(Pipeline!$F$18,1)))+Pipeline!$W$19*Pipeline!$D$19*MIN(1,MAX(0,(18-Pipeline!$E$19+1)/MAX(Pipeline!$F$19,1)))+Pipeline!$W$20*Pipeline!$D$20*MIN(1,MAX(0,(18-Pipeline!$E$20+1)/MAX(Pipeline!$F$20,1)))+Pipeline!$W$21*Pipeline!$D$21*MIN(1,MAX(0,(18-Pipeline!$E$21+1)/MAX(Pipeline!$F$21,1)))+Pipeline!$W$22*Pipeline!$D$22*MIN(1,MAX(0,(18-Pipeline!$E$22+1)/MAX(Pipeline!$F$22,1)))</f>
        <v>5794.70462297779</v>
      </c>
      <c r="U19" s="138" t="n">
        <f aca="false">Pipeline!$W$16*Pipeline!$D$16*MIN(1,MAX(0,(19-Pipeline!$E$16+1)/MAX(Pipeline!$F$16,1)))+Pipeline!$W$17*Pipeline!$D$17*MIN(1,MAX(0,(19-Pipeline!$E$17+1)/MAX(Pipeline!$F$17,1)))+Pipeline!$W$18*Pipeline!$D$18*MIN(1,MAX(0,(19-Pipeline!$E$18+1)/MAX(Pipeline!$F$18,1)))+Pipeline!$W$19*Pipeline!$D$19*MIN(1,MAX(0,(19-Pipeline!$E$19+1)/MAX(Pipeline!$F$19,1)))+Pipeline!$W$20*Pipeline!$D$20*MIN(1,MAX(0,(19-Pipeline!$E$20+1)/MAX(Pipeline!$F$20,1)))+Pipeline!$W$21*Pipeline!$D$21*MIN(1,MAX(0,(19-Pipeline!$E$21+1)/MAX(Pipeline!$F$21,1)))+Pipeline!$W$22*Pipeline!$D$22*MIN(1,MAX(0,(19-Pipeline!$E$22+1)/MAX(Pipeline!$F$22,1)))</f>
        <v>6144.09180139295</v>
      </c>
      <c r="V19" s="138" t="n">
        <f aca="false">Pipeline!$W$16*Pipeline!$D$16*MIN(1,MAX(0,(20-Pipeline!$E$16+1)/MAX(Pipeline!$F$16,1)))+Pipeline!$W$17*Pipeline!$D$17*MIN(1,MAX(0,(20-Pipeline!$E$17+1)/MAX(Pipeline!$F$17,1)))+Pipeline!$W$18*Pipeline!$D$18*MIN(1,MAX(0,(20-Pipeline!$E$18+1)/MAX(Pipeline!$F$18,1)))+Pipeline!$W$19*Pipeline!$D$19*MIN(1,MAX(0,(20-Pipeline!$E$19+1)/MAX(Pipeline!$F$19,1)))+Pipeline!$W$20*Pipeline!$D$20*MIN(1,MAX(0,(20-Pipeline!$E$20+1)/MAX(Pipeline!$F$20,1)))+Pipeline!$W$21*Pipeline!$D$21*MIN(1,MAX(0,(20-Pipeline!$E$21+1)/MAX(Pipeline!$F$21,1)))+Pipeline!$W$22*Pipeline!$D$22*MIN(1,MAX(0,(20-Pipeline!$E$22+1)/MAX(Pipeline!$F$22,1)))</f>
        <v>6493.47897980812</v>
      </c>
      <c r="W19" s="138" t="n">
        <f aca="false">Pipeline!$W$16*Pipeline!$D$16*MIN(1,MAX(0,(21-Pipeline!$E$16+1)/MAX(Pipeline!$F$16,1)))+Pipeline!$W$17*Pipeline!$D$17*MIN(1,MAX(0,(21-Pipeline!$E$17+1)/MAX(Pipeline!$F$17,1)))+Pipeline!$W$18*Pipeline!$D$18*MIN(1,MAX(0,(21-Pipeline!$E$18+1)/MAX(Pipeline!$F$18,1)))+Pipeline!$W$19*Pipeline!$D$19*MIN(1,MAX(0,(21-Pipeline!$E$19+1)/MAX(Pipeline!$F$19,1)))+Pipeline!$W$20*Pipeline!$D$20*MIN(1,MAX(0,(21-Pipeline!$E$20+1)/MAX(Pipeline!$F$20,1)))+Pipeline!$W$21*Pipeline!$D$21*MIN(1,MAX(0,(21-Pipeline!$E$21+1)/MAX(Pipeline!$F$21,1)))+Pipeline!$W$22*Pipeline!$D$22*MIN(1,MAX(0,(21-Pipeline!$E$22+1)/MAX(Pipeline!$F$22,1)))</f>
        <v>6842.86615822329</v>
      </c>
      <c r="X19" s="138" t="n">
        <f aca="false">Pipeline!$W$16*Pipeline!$D$16*MIN(1,MAX(0,(22-Pipeline!$E$16+1)/MAX(Pipeline!$F$16,1)))+Pipeline!$W$17*Pipeline!$D$17*MIN(1,MAX(0,(22-Pipeline!$E$17+1)/MAX(Pipeline!$F$17,1)))+Pipeline!$W$18*Pipeline!$D$18*MIN(1,MAX(0,(22-Pipeline!$E$18+1)/MAX(Pipeline!$F$18,1)))+Pipeline!$W$19*Pipeline!$D$19*MIN(1,MAX(0,(22-Pipeline!$E$19+1)/MAX(Pipeline!$F$19,1)))+Pipeline!$W$20*Pipeline!$D$20*MIN(1,MAX(0,(22-Pipeline!$E$20+1)/MAX(Pipeline!$F$20,1)))+Pipeline!$W$21*Pipeline!$D$21*MIN(1,MAX(0,(22-Pipeline!$E$21+1)/MAX(Pipeline!$F$21,1)))+Pipeline!$W$22*Pipeline!$D$22*MIN(1,MAX(0,(22-Pipeline!$E$22+1)/MAX(Pipeline!$F$22,1)))</f>
        <v>6942.69106634191</v>
      </c>
      <c r="Y19" s="138" t="n">
        <f aca="false">Pipeline!$W$16*Pipeline!$D$16*MIN(1,MAX(0,(23-Pipeline!$E$16+1)/MAX(Pipeline!$F$16,1)))+Pipeline!$W$17*Pipeline!$D$17*MIN(1,MAX(0,(23-Pipeline!$E$17+1)/MAX(Pipeline!$F$17,1)))+Pipeline!$W$18*Pipeline!$D$18*MIN(1,MAX(0,(23-Pipeline!$E$18+1)/MAX(Pipeline!$F$18,1)))+Pipeline!$W$19*Pipeline!$D$19*MIN(1,MAX(0,(23-Pipeline!$E$19+1)/MAX(Pipeline!$F$19,1)))+Pipeline!$W$20*Pipeline!$D$20*MIN(1,MAX(0,(23-Pipeline!$E$20+1)/MAX(Pipeline!$F$20,1)))+Pipeline!$W$21*Pipeline!$D$21*MIN(1,MAX(0,(23-Pipeline!$E$21+1)/MAX(Pipeline!$F$21,1)))+Pipeline!$W$22*Pipeline!$D$22*MIN(1,MAX(0,(23-Pipeline!$E$22+1)/MAX(Pipeline!$F$22,1)))</f>
        <v>7042.51597446053</v>
      </c>
      <c r="Z19" s="138" t="n">
        <f aca="false">Pipeline!$W$16*Pipeline!$D$16*MIN(1,MAX(0,(24-Pipeline!$E$16+1)/MAX(Pipeline!$F$16,1)))+Pipeline!$W$17*Pipeline!$D$17*MIN(1,MAX(0,(24-Pipeline!$E$17+1)/MAX(Pipeline!$F$17,1)))+Pipeline!$W$18*Pipeline!$D$18*MIN(1,MAX(0,(24-Pipeline!$E$18+1)/MAX(Pipeline!$F$18,1)))+Pipeline!$W$19*Pipeline!$D$19*MIN(1,MAX(0,(24-Pipeline!$E$19+1)/MAX(Pipeline!$F$19,1)))+Pipeline!$W$20*Pipeline!$D$20*MIN(1,MAX(0,(24-Pipeline!$E$20+1)/MAX(Pipeline!$F$20,1)))+Pipeline!$W$21*Pipeline!$D$21*MIN(1,MAX(0,(24-Pipeline!$E$21+1)/MAX(Pipeline!$F$21,1)))+Pipeline!$W$22*Pipeline!$D$22*MIN(1,MAX(0,(24-Pipeline!$E$22+1)/MAX(Pipeline!$F$22,1)))</f>
        <v>7042.51597446053</v>
      </c>
      <c r="AA19" s="138" t="n">
        <f aca="false">Pipeline!$W$16*Pipeline!$D$16*MIN(1,MAX(0,(25-Pipeline!$E$16+1)/MAX(Pipeline!$F$16,1)))+Pipeline!$W$17*Pipeline!$D$17*MIN(1,MAX(0,(25-Pipeline!$E$17+1)/MAX(Pipeline!$F$17,1)))+Pipeline!$W$18*Pipeline!$D$18*MIN(1,MAX(0,(25-Pipeline!$E$18+1)/MAX(Pipeline!$F$18,1)))+Pipeline!$W$19*Pipeline!$D$19*MIN(1,MAX(0,(25-Pipeline!$E$19+1)/MAX(Pipeline!$F$19,1)))+Pipeline!$W$20*Pipeline!$D$20*MIN(1,MAX(0,(25-Pipeline!$E$20+1)/MAX(Pipeline!$F$20,1)))+Pipeline!$W$21*Pipeline!$D$21*MIN(1,MAX(0,(25-Pipeline!$E$21+1)/MAX(Pipeline!$F$21,1)))+Pipeline!$W$22*Pipeline!$D$22*MIN(1,MAX(0,(25-Pipeline!$E$22+1)/MAX(Pipeline!$F$22,1)))</f>
        <v>7042.51597446053</v>
      </c>
      <c r="AB19" s="138" t="n">
        <f aca="false">Pipeline!$W$16*Pipeline!$D$16*MIN(1,MAX(0,(26-Pipeline!$E$16+1)/MAX(Pipeline!$F$16,1)))+Pipeline!$W$17*Pipeline!$D$17*MIN(1,MAX(0,(26-Pipeline!$E$17+1)/MAX(Pipeline!$F$17,1)))+Pipeline!$W$18*Pipeline!$D$18*MIN(1,MAX(0,(26-Pipeline!$E$18+1)/MAX(Pipeline!$F$18,1)))+Pipeline!$W$19*Pipeline!$D$19*MIN(1,MAX(0,(26-Pipeline!$E$19+1)/MAX(Pipeline!$F$19,1)))+Pipeline!$W$20*Pipeline!$D$20*MIN(1,MAX(0,(26-Pipeline!$E$20+1)/MAX(Pipeline!$F$20,1)))+Pipeline!$W$21*Pipeline!$D$21*MIN(1,MAX(0,(26-Pipeline!$E$21+1)/MAX(Pipeline!$F$21,1)))+Pipeline!$W$22*Pipeline!$D$22*MIN(1,MAX(0,(26-Pipeline!$E$22+1)/MAX(Pipeline!$F$22,1)))</f>
        <v>7042.51597446053</v>
      </c>
      <c r="AC19" s="138" t="n">
        <f aca="false">Pipeline!$W$16*Pipeline!$D$16*MIN(1,MAX(0,(27-Pipeline!$E$16+1)/MAX(Pipeline!$F$16,1)))+Pipeline!$W$17*Pipeline!$D$17*MIN(1,MAX(0,(27-Pipeline!$E$17+1)/MAX(Pipeline!$F$17,1)))+Pipeline!$W$18*Pipeline!$D$18*MIN(1,MAX(0,(27-Pipeline!$E$18+1)/MAX(Pipeline!$F$18,1)))+Pipeline!$W$19*Pipeline!$D$19*MIN(1,MAX(0,(27-Pipeline!$E$19+1)/MAX(Pipeline!$F$19,1)))+Pipeline!$W$20*Pipeline!$D$20*MIN(1,MAX(0,(27-Pipeline!$E$20+1)/MAX(Pipeline!$F$20,1)))+Pipeline!$W$21*Pipeline!$D$21*MIN(1,MAX(0,(27-Pipeline!$E$21+1)/MAX(Pipeline!$F$21,1)))+Pipeline!$W$22*Pipeline!$D$22*MIN(1,MAX(0,(27-Pipeline!$E$22+1)/MAX(Pipeline!$F$22,1)))</f>
        <v>7042.51597446053</v>
      </c>
      <c r="AD19" s="138" t="n">
        <f aca="false">Pipeline!$W$16*Pipeline!$D$16*MIN(1,MAX(0,(28-Pipeline!$E$16+1)/MAX(Pipeline!$F$16,1)))+Pipeline!$W$17*Pipeline!$D$17*MIN(1,MAX(0,(28-Pipeline!$E$17+1)/MAX(Pipeline!$F$17,1)))+Pipeline!$W$18*Pipeline!$D$18*MIN(1,MAX(0,(28-Pipeline!$E$18+1)/MAX(Pipeline!$F$18,1)))+Pipeline!$W$19*Pipeline!$D$19*MIN(1,MAX(0,(28-Pipeline!$E$19+1)/MAX(Pipeline!$F$19,1)))+Pipeline!$W$20*Pipeline!$D$20*MIN(1,MAX(0,(28-Pipeline!$E$20+1)/MAX(Pipeline!$F$20,1)))+Pipeline!$W$21*Pipeline!$D$21*MIN(1,MAX(0,(28-Pipeline!$E$21+1)/MAX(Pipeline!$F$21,1)))+Pipeline!$W$22*Pipeline!$D$22*MIN(1,MAX(0,(28-Pipeline!$E$22+1)/MAX(Pipeline!$F$22,1)))</f>
        <v>7042.51597446053</v>
      </c>
      <c r="AE19" s="138" t="n">
        <f aca="false">Pipeline!$W$16*Pipeline!$D$16*MIN(1,MAX(0,(29-Pipeline!$E$16+1)/MAX(Pipeline!$F$16,1)))+Pipeline!$W$17*Pipeline!$D$17*MIN(1,MAX(0,(29-Pipeline!$E$17+1)/MAX(Pipeline!$F$17,1)))+Pipeline!$W$18*Pipeline!$D$18*MIN(1,MAX(0,(29-Pipeline!$E$18+1)/MAX(Pipeline!$F$18,1)))+Pipeline!$W$19*Pipeline!$D$19*MIN(1,MAX(0,(29-Pipeline!$E$19+1)/MAX(Pipeline!$F$19,1)))+Pipeline!$W$20*Pipeline!$D$20*MIN(1,MAX(0,(29-Pipeline!$E$20+1)/MAX(Pipeline!$F$20,1)))+Pipeline!$W$21*Pipeline!$D$21*MIN(1,MAX(0,(29-Pipeline!$E$21+1)/MAX(Pipeline!$F$21,1)))+Pipeline!$W$22*Pipeline!$D$22*MIN(1,MAX(0,(29-Pipeline!$E$22+1)/MAX(Pipeline!$F$22,1)))</f>
        <v>7042.51597446053</v>
      </c>
      <c r="AF19" s="138" t="n">
        <f aca="false">Pipeline!$W$16*Pipeline!$D$16*MIN(1,MAX(0,(30-Pipeline!$E$16+1)/MAX(Pipeline!$F$16,1)))+Pipeline!$W$17*Pipeline!$D$17*MIN(1,MAX(0,(30-Pipeline!$E$17+1)/MAX(Pipeline!$F$17,1)))+Pipeline!$W$18*Pipeline!$D$18*MIN(1,MAX(0,(30-Pipeline!$E$18+1)/MAX(Pipeline!$F$18,1)))+Pipeline!$W$19*Pipeline!$D$19*MIN(1,MAX(0,(30-Pipeline!$E$19+1)/MAX(Pipeline!$F$19,1)))+Pipeline!$W$20*Pipeline!$D$20*MIN(1,MAX(0,(30-Pipeline!$E$20+1)/MAX(Pipeline!$F$20,1)))+Pipeline!$W$21*Pipeline!$D$21*MIN(1,MAX(0,(30-Pipeline!$E$21+1)/MAX(Pipeline!$F$21,1)))+Pipeline!$W$22*Pipeline!$D$22*MIN(1,MAX(0,(30-Pipeline!$E$22+1)/MAX(Pipeline!$F$22,1)))</f>
        <v>7042.51597446053</v>
      </c>
      <c r="AG19" s="138" t="n">
        <f aca="false">Pipeline!$W$16*Pipeline!$D$16*MIN(1,MAX(0,(31-Pipeline!$E$16+1)/MAX(Pipeline!$F$16,1)))+Pipeline!$W$17*Pipeline!$D$17*MIN(1,MAX(0,(31-Pipeline!$E$17+1)/MAX(Pipeline!$F$17,1)))+Pipeline!$W$18*Pipeline!$D$18*MIN(1,MAX(0,(31-Pipeline!$E$18+1)/MAX(Pipeline!$F$18,1)))+Pipeline!$W$19*Pipeline!$D$19*MIN(1,MAX(0,(31-Pipeline!$E$19+1)/MAX(Pipeline!$F$19,1)))+Pipeline!$W$20*Pipeline!$D$20*MIN(1,MAX(0,(31-Pipeline!$E$20+1)/MAX(Pipeline!$F$20,1)))+Pipeline!$W$21*Pipeline!$D$21*MIN(1,MAX(0,(31-Pipeline!$E$21+1)/MAX(Pipeline!$F$21,1)))+Pipeline!$W$22*Pipeline!$D$22*MIN(1,MAX(0,(31-Pipeline!$E$22+1)/MAX(Pipeline!$F$22,1)))</f>
        <v>7042.51597446053</v>
      </c>
      <c r="AH19" s="138" t="n">
        <f aca="false">Pipeline!$W$16*Pipeline!$D$16*MIN(1,MAX(0,(32-Pipeline!$E$16+1)/MAX(Pipeline!$F$16,1)))+Pipeline!$W$17*Pipeline!$D$17*MIN(1,MAX(0,(32-Pipeline!$E$17+1)/MAX(Pipeline!$F$17,1)))+Pipeline!$W$18*Pipeline!$D$18*MIN(1,MAX(0,(32-Pipeline!$E$18+1)/MAX(Pipeline!$F$18,1)))+Pipeline!$W$19*Pipeline!$D$19*MIN(1,MAX(0,(32-Pipeline!$E$19+1)/MAX(Pipeline!$F$19,1)))+Pipeline!$W$20*Pipeline!$D$20*MIN(1,MAX(0,(32-Pipeline!$E$20+1)/MAX(Pipeline!$F$20,1)))+Pipeline!$W$21*Pipeline!$D$21*MIN(1,MAX(0,(32-Pipeline!$E$21+1)/MAX(Pipeline!$F$21,1)))+Pipeline!$W$22*Pipeline!$D$22*MIN(1,MAX(0,(32-Pipeline!$E$22+1)/MAX(Pipeline!$F$22,1)))</f>
        <v>7042.51597446053</v>
      </c>
      <c r="AI19" s="138" t="n">
        <f aca="false">Pipeline!$W$16*Pipeline!$D$16*MIN(1,MAX(0,(33-Pipeline!$E$16+1)/MAX(Pipeline!$F$16,1)))+Pipeline!$W$17*Pipeline!$D$17*MIN(1,MAX(0,(33-Pipeline!$E$17+1)/MAX(Pipeline!$F$17,1)))+Pipeline!$W$18*Pipeline!$D$18*MIN(1,MAX(0,(33-Pipeline!$E$18+1)/MAX(Pipeline!$F$18,1)))+Pipeline!$W$19*Pipeline!$D$19*MIN(1,MAX(0,(33-Pipeline!$E$19+1)/MAX(Pipeline!$F$19,1)))+Pipeline!$W$20*Pipeline!$D$20*MIN(1,MAX(0,(33-Pipeline!$E$20+1)/MAX(Pipeline!$F$20,1)))+Pipeline!$W$21*Pipeline!$D$21*MIN(1,MAX(0,(33-Pipeline!$E$21+1)/MAX(Pipeline!$F$21,1)))+Pipeline!$W$22*Pipeline!$D$22*MIN(1,MAX(0,(33-Pipeline!$E$22+1)/MAX(Pipeline!$F$22,1)))</f>
        <v>7042.51597446053</v>
      </c>
      <c r="AJ19" s="138" t="n">
        <f aca="false">Pipeline!$W$16*Pipeline!$D$16*MIN(1,MAX(0,(34-Pipeline!$E$16+1)/MAX(Pipeline!$F$16,1)))+Pipeline!$W$17*Pipeline!$D$17*MIN(1,MAX(0,(34-Pipeline!$E$17+1)/MAX(Pipeline!$F$17,1)))+Pipeline!$W$18*Pipeline!$D$18*MIN(1,MAX(0,(34-Pipeline!$E$18+1)/MAX(Pipeline!$F$18,1)))+Pipeline!$W$19*Pipeline!$D$19*MIN(1,MAX(0,(34-Pipeline!$E$19+1)/MAX(Pipeline!$F$19,1)))+Pipeline!$W$20*Pipeline!$D$20*MIN(1,MAX(0,(34-Pipeline!$E$20+1)/MAX(Pipeline!$F$20,1)))+Pipeline!$W$21*Pipeline!$D$21*MIN(1,MAX(0,(34-Pipeline!$E$21+1)/MAX(Pipeline!$F$21,1)))+Pipeline!$W$22*Pipeline!$D$22*MIN(1,MAX(0,(34-Pipeline!$E$22+1)/MAX(Pipeline!$F$22,1)))</f>
        <v>7042.51597446053</v>
      </c>
      <c r="AK19" s="138" t="n">
        <f aca="false">Pipeline!$W$16*Pipeline!$D$16*MIN(1,MAX(0,(35-Pipeline!$E$16+1)/MAX(Pipeline!$F$16,1)))+Pipeline!$W$17*Pipeline!$D$17*MIN(1,MAX(0,(35-Pipeline!$E$17+1)/MAX(Pipeline!$F$17,1)))+Pipeline!$W$18*Pipeline!$D$18*MIN(1,MAX(0,(35-Pipeline!$E$18+1)/MAX(Pipeline!$F$18,1)))+Pipeline!$W$19*Pipeline!$D$19*MIN(1,MAX(0,(35-Pipeline!$E$19+1)/MAX(Pipeline!$F$19,1)))+Pipeline!$W$20*Pipeline!$D$20*MIN(1,MAX(0,(35-Pipeline!$E$20+1)/MAX(Pipeline!$F$20,1)))+Pipeline!$W$21*Pipeline!$D$21*MIN(1,MAX(0,(35-Pipeline!$E$21+1)/MAX(Pipeline!$F$21,1)))+Pipeline!$W$22*Pipeline!$D$22*MIN(1,MAX(0,(35-Pipeline!$E$22+1)/MAX(Pipeline!$F$22,1)))</f>
        <v>7042.51597446053</v>
      </c>
      <c r="AL19" s="138" t="n">
        <f aca="false">Pipeline!$W$16*Pipeline!$D$16*MIN(1,MAX(0,(36-Pipeline!$E$16+1)/MAX(Pipeline!$F$16,1)))+Pipeline!$W$17*Pipeline!$D$17*MIN(1,MAX(0,(36-Pipeline!$E$17+1)/MAX(Pipeline!$F$17,1)))+Pipeline!$W$18*Pipeline!$D$18*MIN(1,MAX(0,(36-Pipeline!$E$18+1)/MAX(Pipeline!$F$18,1)))+Pipeline!$W$19*Pipeline!$D$19*MIN(1,MAX(0,(36-Pipeline!$E$19+1)/MAX(Pipeline!$F$19,1)))+Pipeline!$W$20*Pipeline!$D$20*MIN(1,MAX(0,(36-Pipeline!$E$20+1)/MAX(Pipeline!$F$20,1)))+Pipeline!$W$21*Pipeline!$D$21*MIN(1,MAX(0,(36-Pipeline!$E$21+1)/MAX(Pipeline!$F$21,1)))+Pipeline!$W$22*Pipeline!$D$22*MIN(1,MAX(0,(36-Pipeline!$E$22+1)/MAX(Pipeline!$F$22,1)))</f>
        <v>7042.51597446053</v>
      </c>
      <c r="AM19" s="138" t="n">
        <f aca="false">Pipeline!$W$16*Pipeline!$D$16*MIN(1,MAX(0,(37-Pipeline!$E$16+1)/MAX(Pipeline!$F$16,1)))+Pipeline!$W$17*Pipeline!$D$17*MIN(1,MAX(0,(37-Pipeline!$E$17+1)/MAX(Pipeline!$F$17,1)))+Pipeline!$W$18*Pipeline!$D$18*MIN(1,MAX(0,(37-Pipeline!$E$18+1)/MAX(Pipeline!$F$18,1)))+Pipeline!$W$19*Pipeline!$D$19*MIN(1,MAX(0,(37-Pipeline!$E$19+1)/MAX(Pipeline!$F$19,1)))+Pipeline!$W$20*Pipeline!$D$20*MIN(1,MAX(0,(37-Pipeline!$E$20+1)/MAX(Pipeline!$F$20,1)))+Pipeline!$W$21*Pipeline!$D$21*MIN(1,MAX(0,(37-Pipeline!$E$21+1)/MAX(Pipeline!$F$21,1)))+Pipeline!$W$22*Pipeline!$D$22*MIN(1,MAX(0,(37-Pipeline!$E$22+1)/MAX(Pipeline!$F$22,1)))</f>
        <v>7042.51597446053</v>
      </c>
      <c r="AN19" s="138" t="n">
        <f aca="false">Pipeline!$W$16*Pipeline!$D$16*MIN(1,MAX(0,(38-Pipeline!$E$16+1)/MAX(Pipeline!$F$16,1)))+Pipeline!$W$17*Pipeline!$D$17*MIN(1,MAX(0,(38-Pipeline!$E$17+1)/MAX(Pipeline!$F$17,1)))+Pipeline!$W$18*Pipeline!$D$18*MIN(1,MAX(0,(38-Pipeline!$E$18+1)/MAX(Pipeline!$F$18,1)))+Pipeline!$W$19*Pipeline!$D$19*MIN(1,MAX(0,(38-Pipeline!$E$19+1)/MAX(Pipeline!$F$19,1)))+Pipeline!$W$20*Pipeline!$D$20*MIN(1,MAX(0,(38-Pipeline!$E$20+1)/MAX(Pipeline!$F$20,1)))+Pipeline!$W$21*Pipeline!$D$21*MIN(1,MAX(0,(38-Pipeline!$E$21+1)/MAX(Pipeline!$F$21,1)))+Pipeline!$W$22*Pipeline!$D$22*MIN(1,MAX(0,(38-Pipeline!$E$22+1)/MAX(Pipeline!$F$22,1)))</f>
        <v>7042.51597446053</v>
      </c>
      <c r="AO19" s="138" t="n">
        <f aca="false">Pipeline!$W$16*Pipeline!$D$16*MIN(1,MAX(0,(39-Pipeline!$E$16+1)/MAX(Pipeline!$F$16,1)))+Pipeline!$W$17*Pipeline!$D$17*MIN(1,MAX(0,(39-Pipeline!$E$17+1)/MAX(Pipeline!$F$17,1)))+Pipeline!$W$18*Pipeline!$D$18*MIN(1,MAX(0,(39-Pipeline!$E$18+1)/MAX(Pipeline!$F$18,1)))+Pipeline!$W$19*Pipeline!$D$19*MIN(1,MAX(0,(39-Pipeline!$E$19+1)/MAX(Pipeline!$F$19,1)))+Pipeline!$W$20*Pipeline!$D$20*MIN(1,MAX(0,(39-Pipeline!$E$20+1)/MAX(Pipeline!$F$20,1)))+Pipeline!$W$21*Pipeline!$D$21*MIN(1,MAX(0,(39-Pipeline!$E$21+1)/MAX(Pipeline!$F$21,1)))+Pipeline!$W$22*Pipeline!$D$22*MIN(1,MAX(0,(39-Pipeline!$E$22+1)/MAX(Pipeline!$F$22,1)))</f>
        <v>7042.51597446053</v>
      </c>
      <c r="AP19" s="138" t="n">
        <f aca="false">Pipeline!$W$16*Pipeline!$D$16*MIN(1,MAX(0,(40-Pipeline!$E$16+1)/MAX(Pipeline!$F$16,1)))+Pipeline!$W$17*Pipeline!$D$17*MIN(1,MAX(0,(40-Pipeline!$E$17+1)/MAX(Pipeline!$F$17,1)))+Pipeline!$W$18*Pipeline!$D$18*MIN(1,MAX(0,(40-Pipeline!$E$18+1)/MAX(Pipeline!$F$18,1)))+Pipeline!$W$19*Pipeline!$D$19*MIN(1,MAX(0,(40-Pipeline!$E$19+1)/MAX(Pipeline!$F$19,1)))+Pipeline!$W$20*Pipeline!$D$20*MIN(1,MAX(0,(40-Pipeline!$E$20+1)/MAX(Pipeline!$F$20,1)))+Pipeline!$W$21*Pipeline!$D$21*MIN(1,MAX(0,(40-Pipeline!$E$21+1)/MAX(Pipeline!$F$21,1)))+Pipeline!$W$22*Pipeline!$D$22*MIN(1,MAX(0,(40-Pipeline!$E$22+1)/MAX(Pipeline!$F$22,1)))</f>
        <v>7042.51597446053</v>
      </c>
      <c r="AQ19" s="138" t="n">
        <f aca="false">Pipeline!$W$16*Pipeline!$D$16*MIN(1,MAX(0,(41-Pipeline!$E$16+1)/MAX(Pipeline!$F$16,1)))+Pipeline!$W$17*Pipeline!$D$17*MIN(1,MAX(0,(41-Pipeline!$E$17+1)/MAX(Pipeline!$F$17,1)))+Pipeline!$W$18*Pipeline!$D$18*MIN(1,MAX(0,(41-Pipeline!$E$18+1)/MAX(Pipeline!$F$18,1)))+Pipeline!$W$19*Pipeline!$D$19*MIN(1,MAX(0,(41-Pipeline!$E$19+1)/MAX(Pipeline!$F$19,1)))+Pipeline!$W$20*Pipeline!$D$20*MIN(1,MAX(0,(41-Pipeline!$E$20+1)/MAX(Pipeline!$F$20,1)))+Pipeline!$W$21*Pipeline!$D$21*MIN(1,MAX(0,(41-Pipeline!$E$21+1)/MAX(Pipeline!$F$21,1)))+Pipeline!$W$22*Pipeline!$D$22*MIN(1,MAX(0,(41-Pipeline!$E$22+1)/MAX(Pipeline!$F$22,1)))</f>
        <v>7042.51597446053</v>
      </c>
      <c r="AR19" s="138" t="n">
        <f aca="false">Pipeline!$W$16*Pipeline!$D$16*MIN(1,MAX(0,(42-Pipeline!$E$16+1)/MAX(Pipeline!$F$16,1)))+Pipeline!$W$17*Pipeline!$D$17*MIN(1,MAX(0,(42-Pipeline!$E$17+1)/MAX(Pipeline!$F$17,1)))+Pipeline!$W$18*Pipeline!$D$18*MIN(1,MAX(0,(42-Pipeline!$E$18+1)/MAX(Pipeline!$F$18,1)))+Pipeline!$W$19*Pipeline!$D$19*MIN(1,MAX(0,(42-Pipeline!$E$19+1)/MAX(Pipeline!$F$19,1)))+Pipeline!$W$20*Pipeline!$D$20*MIN(1,MAX(0,(42-Pipeline!$E$20+1)/MAX(Pipeline!$F$20,1)))+Pipeline!$W$21*Pipeline!$D$21*MIN(1,MAX(0,(42-Pipeline!$E$21+1)/MAX(Pipeline!$F$21,1)))+Pipeline!$W$22*Pipeline!$D$22*MIN(1,MAX(0,(42-Pipeline!$E$22+1)/MAX(Pipeline!$F$22,1)))</f>
        <v>7042.51597446053</v>
      </c>
      <c r="AS19" s="138" t="n">
        <f aca="false">Pipeline!$W$16*Pipeline!$D$16*MIN(1,MAX(0,(43-Pipeline!$E$16+1)/MAX(Pipeline!$F$16,1)))+Pipeline!$W$17*Pipeline!$D$17*MIN(1,MAX(0,(43-Pipeline!$E$17+1)/MAX(Pipeline!$F$17,1)))+Pipeline!$W$18*Pipeline!$D$18*MIN(1,MAX(0,(43-Pipeline!$E$18+1)/MAX(Pipeline!$F$18,1)))+Pipeline!$W$19*Pipeline!$D$19*MIN(1,MAX(0,(43-Pipeline!$E$19+1)/MAX(Pipeline!$F$19,1)))+Pipeline!$W$20*Pipeline!$D$20*MIN(1,MAX(0,(43-Pipeline!$E$20+1)/MAX(Pipeline!$F$20,1)))+Pipeline!$W$21*Pipeline!$D$21*MIN(1,MAX(0,(43-Pipeline!$E$21+1)/MAX(Pipeline!$F$21,1)))+Pipeline!$W$22*Pipeline!$D$22*MIN(1,MAX(0,(43-Pipeline!$E$22+1)/MAX(Pipeline!$F$22,1)))</f>
        <v>7042.51597446053</v>
      </c>
      <c r="AT19" s="138" t="n">
        <f aca="false">Pipeline!$W$16*Pipeline!$D$16*MIN(1,MAX(0,(44-Pipeline!$E$16+1)/MAX(Pipeline!$F$16,1)))+Pipeline!$W$17*Pipeline!$D$17*MIN(1,MAX(0,(44-Pipeline!$E$17+1)/MAX(Pipeline!$F$17,1)))+Pipeline!$W$18*Pipeline!$D$18*MIN(1,MAX(0,(44-Pipeline!$E$18+1)/MAX(Pipeline!$F$18,1)))+Pipeline!$W$19*Pipeline!$D$19*MIN(1,MAX(0,(44-Pipeline!$E$19+1)/MAX(Pipeline!$F$19,1)))+Pipeline!$W$20*Pipeline!$D$20*MIN(1,MAX(0,(44-Pipeline!$E$20+1)/MAX(Pipeline!$F$20,1)))+Pipeline!$W$21*Pipeline!$D$21*MIN(1,MAX(0,(44-Pipeline!$E$21+1)/MAX(Pipeline!$F$21,1)))+Pipeline!$W$22*Pipeline!$D$22*MIN(1,MAX(0,(44-Pipeline!$E$22+1)/MAX(Pipeline!$F$22,1)))</f>
        <v>7042.51597446053</v>
      </c>
      <c r="AU19" s="138" t="n">
        <f aca="false">Pipeline!$W$16*Pipeline!$D$16*MIN(1,MAX(0,(45-Pipeline!$E$16+1)/MAX(Pipeline!$F$16,1)))+Pipeline!$W$17*Pipeline!$D$17*MIN(1,MAX(0,(45-Pipeline!$E$17+1)/MAX(Pipeline!$F$17,1)))+Pipeline!$W$18*Pipeline!$D$18*MIN(1,MAX(0,(45-Pipeline!$E$18+1)/MAX(Pipeline!$F$18,1)))+Pipeline!$W$19*Pipeline!$D$19*MIN(1,MAX(0,(45-Pipeline!$E$19+1)/MAX(Pipeline!$F$19,1)))+Pipeline!$W$20*Pipeline!$D$20*MIN(1,MAX(0,(45-Pipeline!$E$20+1)/MAX(Pipeline!$F$20,1)))+Pipeline!$W$21*Pipeline!$D$21*MIN(1,MAX(0,(45-Pipeline!$E$21+1)/MAX(Pipeline!$F$21,1)))+Pipeline!$W$22*Pipeline!$D$22*MIN(1,MAX(0,(45-Pipeline!$E$22+1)/MAX(Pipeline!$F$22,1)))</f>
        <v>7042.51597446053</v>
      </c>
      <c r="AV19" s="138" t="n">
        <f aca="false">Pipeline!$W$16*Pipeline!$D$16*MIN(1,MAX(0,(46-Pipeline!$E$16+1)/MAX(Pipeline!$F$16,1)))+Pipeline!$W$17*Pipeline!$D$17*MIN(1,MAX(0,(46-Pipeline!$E$17+1)/MAX(Pipeline!$F$17,1)))+Pipeline!$W$18*Pipeline!$D$18*MIN(1,MAX(0,(46-Pipeline!$E$18+1)/MAX(Pipeline!$F$18,1)))+Pipeline!$W$19*Pipeline!$D$19*MIN(1,MAX(0,(46-Pipeline!$E$19+1)/MAX(Pipeline!$F$19,1)))+Pipeline!$W$20*Pipeline!$D$20*MIN(1,MAX(0,(46-Pipeline!$E$20+1)/MAX(Pipeline!$F$20,1)))+Pipeline!$W$21*Pipeline!$D$21*MIN(1,MAX(0,(46-Pipeline!$E$21+1)/MAX(Pipeline!$F$21,1)))+Pipeline!$W$22*Pipeline!$D$22*MIN(1,MAX(0,(46-Pipeline!$E$22+1)/MAX(Pipeline!$F$22,1)))</f>
        <v>7042.51597446053</v>
      </c>
      <c r="AW19" s="138" t="n">
        <f aca="false">Pipeline!$W$16*Pipeline!$D$16*MIN(1,MAX(0,(47-Pipeline!$E$16+1)/MAX(Pipeline!$F$16,1)))+Pipeline!$W$17*Pipeline!$D$17*MIN(1,MAX(0,(47-Pipeline!$E$17+1)/MAX(Pipeline!$F$17,1)))+Pipeline!$W$18*Pipeline!$D$18*MIN(1,MAX(0,(47-Pipeline!$E$18+1)/MAX(Pipeline!$F$18,1)))+Pipeline!$W$19*Pipeline!$D$19*MIN(1,MAX(0,(47-Pipeline!$E$19+1)/MAX(Pipeline!$F$19,1)))+Pipeline!$W$20*Pipeline!$D$20*MIN(1,MAX(0,(47-Pipeline!$E$20+1)/MAX(Pipeline!$F$20,1)))+Pipeline!$W$21*Pipeline!$D$21*MIN(1,MAX(0,(47-Pipeline!$E$21+1)/MAX(Pipeline!$F$21,1)))+Pipeline!$W$22*Pipeline!$D$22*MIN(1,MAX(0,(47-Pipeline!$E$22+1)/MAX(Pipeline!$F$22,1)))</f>
        <v>7042.51597446053</v>
      </c>
      <c r="AX19" s="138" t="n">
        <f aca="false">Pipeline!$W$16*Pipeline!$D$16*MIN(1,MAX(0,(48-Pipeline!$E$16+1)/MAX(Pipeline!$F$16,1)))+Pipeline!$W$17*Pipeline!$D$17*MIN(1,MAX(0,(48-Pipeline!$E$17+1)/MAX(Pipeline!$F$17,1)))+Pipeline!$W$18*Pipeline!$D$18*MIN(1,MAX(0,(48-Pipeline!$E$18+1)/MAX(Pipeline!$F$18,1)))+Pipeline!$W$19*Pipeline!$D$19*MIN(1,MAX(0,(48-Pipeline!$E$19+1)/MAX(Pipeline!$F$19,1)))+Pipeline!$W$20*Pipeline!$D$20*MIN(1,MAX(0,(48-Pipeline!$E$20+1)/MAX(Pipeline!$F$20,1)))+Pipeline!$W$21*Pipeline!$D$21*MIN(1,MAX(0,(48-Pipeline!$E$21+1)/MAX(Pipeline!$F$21,1)))+Pipeline!$W$22*Pipeline!$D$22*MIN(1,MAX(0,(48-Pipeline!$E$22+1)/MAX(Pipeline!$F$22,1)))</f>
        <v>7042.51597446053</v>
      </c>
      <c r="AY19" s="138" t="n">
        <f aca="false">Pipeline!$W$16*Pipeline!$D$16*MIN(1,MAX(0,(49-Pipeline!$E$16+1)/MAX(Pipeline!$F$16,1)))+Pipeline!$W$17*Pipeline!$D$17*MIN(1,MAX(0,(49-Pipeline!$E$17+1)/MAX(Pipeline!$F$17,1)))+Pipeline!$W$18*Pipeline!$D$18*MIN(1,MAX(0,(49-Pipeline!$E$18+1)/MAX(Pipeline!$F$18,1)))+Pipeline!$W$19*Pipeline!$D$19*MIN(1,MAX(0,(49-Pipeline!$E$19+1)/MAX(Pipeline!$F$19,1)))+Pipeline!$W$20*Pipeline!$D$20*MIN(1,MAX(0,(49-Pipeline!$E$20+1)/MAX(Pipeline!$F$20,1)))+Pipeline!$W$21*Pipeline!$D$21*MIN(1,MAX(0,(49-Pipeline!$E$21+1)/MAX(Pipeline!$F$21,1)))+Pipeline!$W$22*Pipeline!$D$22*MIN(1,MAX(0,(49-Pipeline!$E$22+1)/MAX(Pipeline!$F$22,1)))</f>
        <v>7042.51597446053</v>
      </c>
      <c r="AZ19" s="138" t="n">
        <f aca="false">Pipeline!$W$16*Pipeline!$D$16*MIN(1,MAX(0,(50-Pipeline!$E$16+1)/MAX(Pipeline!$F$16,1)))+Pipeline!$W$17*Pipeline!$D$17*MIN(1,MAX(0,(50-Pipeline!$E$17+1)/MAX(Pipeline!$F$17,1)))+Pipeline!$W$18*Pipeline!$D$18*MIN(1,MAX(0,(50-Pipeline!$E$18+1)/MAX(Pipeline!$F$18,1)))+Pipeline!$W$19*Pipeline!$D$19*MIN(1,MAX(0,(50-Pipeline!$E$19+1)/MAX(Pipeline!$F$19,1)))+Pipeline!$W$20*Pipeline!$D$20*MIN(1,MAX(0,(50-Pipeline!$E$20+1)/MAX(Pipeline!$F$20,1)))+Pipeline!$W$21*Pipeline!$D$21*MIN(1,MAX(0,(50-Pipeline!$E$21+1)/MAX(Pipeline!$F$21,1)))+Pipeline!$W$22*Pipeline!$D$22*MIN(1,MAX(0,(50-Pipeline!$E$22+1)/MAX(Pipeline!$F$22,1)))</f>
        <v>7042.51597446053</v>
      </c>
      <c r="BA19" s="138" t="n">
        <f aca="false">Pipeline!$W$16*Pipeline!$D$16*MIN(1,MAX(0,(51-Pipeline!$E$16+1)/MAX(Pipeline!$F$16,1)))+Pipeline!$W$17*Pipeline!$D$17*MIN(1,MAX(0,(51-Pipeline!$E$17+1)/MAX(Pipeline!$F$17,1)))+Pipeline!$W$18*Pipeline!$D$18*MIN(1,MAX(0,(51-Pipeline!$E$18+1)/MAX(Pipeline!$F$18,1)))+Pipeline!$W$19*Pipeline!$D$19*MIN(1,MAX(0,(51-Pipeline!$E$19+1)/MAX(Pipeline!$F$19,1)))+Pipeline!$W$20*Pipeline!$D$20*MIN(1,MAX(0,(51-Pipeline!$E$20+1)/MAX(Pipeline!$F$20,1)))+Pipeline!$W$21*Pipeline!$D$21*MIN(1,MAX(0,(51-Pipeline!$E$21+1)/MAX(Pipeline!$F$21,1)))+Pipeline!$W$22*Pipeline!$D$22*MIN(1,MAX(0,(51-Pipeline!$E$22+1)/MAX(Pipeline!$F$22,1)))</f>
        <v>7042.51597446053</v>
      </c>
      <c r="BB19" s="138" t="n">
        <f aca="false">Pipeline!$W$16*Pipeline!$D$16*MIN(1,MAX(0,(52-Pipeline!$E$16+1)/MAX(Pipeline!$F$16,1)))+Pipeline!$W$17*Pipeline!$D$17*MIN(1,MAX(0,(52-Pipeline!$E$17+1)/MAX(Pipeline!$F$17,1)))+Pipeline!$W$18*Pipeline!$D$18*MIN(1,MAX(0,(52-Pipeline!$E$18+1)/MAX(Pipeline!$F$18,1)))+Pipeline!$W$19*Pipeline!$D$19*MIN(1,MAX(0,(52-Pipeline!$E$19+1)/MAX(Pipeline!$F$19,1)))+Pipeline!$W$20*Pipeline!$D$20*MIN(1,MAX(0,(52-Pipeline!$E$20+1)/MAX(Pipeline!$F$20,1)))+Pipeline!$W$21*Pipeline!$D$21*MIN(1,MAX(0,(52-Pipeline!$E$21+1)/MAX(Pipeline!$F$21,1)))+Pipeline!$W$22*Pipeline!$D$22*MIN(1,MAX(0,(52-Pipeline!$E$22+1)/MAX(Pipeline!$F$22,1)))</f>
        <v>7042.51597446053</v>
      </c>
      <c r="BC19" s="138" t="n">
        <f aca="false">Pipeline!$W$16*Pipeline!$D$16*MIN(1,MAX(0,(53-Pipeline!$E$16+1)/MAX(Pipeline!$F$16,1)))+Pipeline!$W$17*Pipeline!$D$17*MIN(1,MAX(0,(53-Pipeline!$E$17+1)/MAX(Pipeline!$F$17,1)))+Pipeline!$W$18*Pipeline!$D$18*MIN(1,MAX(0,(53-Pipeline!$E$18+1)/MAX(Pipeline!$F$18,1)))+Pipeline!$W$19*Pipeline!$D$19*MIN(1,MAX(0,(53-Pipeline!$E$19+1)/MAX(Pipeline!$F$19,1)))+Pipeline!$W$20*Pipeline!$D$20*MIN(1,MAX(0,(53-Pipeline!$E$20+1)/MAX(Pipeline!$F$20,1)))+Pipeline!$W$21*Pipeline!$D$21*MIN(1,MAX(0,(53-Pipeline!$E$21+1)/MAX(Pipeline!$F$21,1)))+Pipeline!$W$22*Pipeline!$D$22*MIN(1,MAX(0,(53-Pipeline!$E$22+1)/MAX(Pipeline!$F$22,1)))</f>
        <v>7042.51597446053</v>
      </c>
      <c r="BD19" s="138" t="n">
        <f aca="false">Pipeline!$W$16*Pipeline!$D$16*MIN(1,MAX(0,(54-Pipeline!$E$16+1)/MAX(Pipeline!$F$16,1)))+Pipeline!$W$17*Pipeline!$D$17*MIN(1,MAX(0,(54-Pipeline!$E$17+1)/MAX(Pipeline!$F$17,1)))+Pipeline!$W$18*Pipeline!$D$18*MIN(1,MAX(0,(54-Pipeline!$E$18+1)/MAX(Pipeline!$F$18,1)))+Pipeline!$W$19*Pipeline!$D$19*MIN(1,MAX(0,(54-Pipeline!$E$19+1)/MAX(Pipeline!$F$19,1)))+Pipeline!$W$20*Pipeline!$D$20*MIN(1,MAX(0,(54-Pipeline!$E$20+1)/MAX(Pipeline!$F$20,1)))+Pipeline!$W$21*Pipeline!$D$21*MIN(1,MAX(0,(54-Pipeline!$E$21+1)/MAX(Pipeline!$F$21,1)))+Pipeline!$W$22*Pipeline!$D$22*MIN(1,MAX(0,(54-Pipeline!$E$22+1)/MAX(Pipeline!$F$22,1)))</f>
        <v>7042.51597446053</v>
      </c>
      <c r="BE19" s="138" t="n">
        <f aca="false">Pipeline!$W$16*Pipeline!$D$16*MIN(1,MAX(0,(55-Pipeline!$E$16+1)/MAX(Pipeline!$F$16,1)))+Pipeline!$W$17*Pipeline!$D$17*MIN(1,MAX(0,(55-Pipeline!$E$17+1)/MAX(Pipeline!$F$17,1)))+Pipeline!$W$18*Pipeline!$D$18*MIN(1,MAX(0,(55-Pipeline!$E$18+1)/MAX(Pipeline!$F$18,1)))+Pipeline!$W$19*Pipeline!$D$19*MIN(1,MAX(0,(55-Pipeline!$E$19+1)/MAX(Pipeline!$F$19,1)))+Pipeline!$W$20*Pipeline!$D$20*MIN(1,MAX(0,(55-Pipeline!$E$20+1)/MAX(Pipeline!$F$20,1)))+Pipeline!$W$21*Pipeline!$D$21*MIN(1,MAX(0,(55-Pipeline!$E$21+1)/MAX(Pipeline!$F$21,1)))+Pipeline!$W$22*Pipeline!$D$22*MIN(1,MAX(0,(55-Pipeline!$E$22+1)/MAX(Pipeline!$F$22,1)))</f>
        <v>7042.51597446053</v>
      </c>
      <c r="BF19" s="138" t="n">
        <f aca="false">Pipeline!$W$16*Pipeline!$D$16*MIN(1,MAX(0,(56-Pipeline!$E$16+1)/MAX(Pipeline!$F$16,1)))+Pipeline!$W$17*Pipeline!$D$17*MIN(1,MAX(0,(56-Pipeline!$E$17+1)/MAX(Pipeline!$F$17,1)))+Pipeline!$W$18*Pipeline!$D$18*MIN(1,MAX(0,(56-Pipeline!$E$18+1)/MAX(Pipeline!$F$18,1)))+Pipeline!$W$19*Pipeline!$D$19*MIN(1,MAX(0,(56-Pipeline!$E$19+1)/MAX(Pipeline!$F$19,1)))+Pipeline!$W$20*Pipeline!$D$20*MIN(1,MAX(0,(56-Pipeline!$E$20+1)/MAX(Pipeline!$F$20,1)))+Pipeline!$W$21*Pipeline!$D$21*MIN(1,MAX(0,(56-Pipeline!$E$21+1)/MAX(Pipeline!$F$21,1)))+Pipeline!$W$22*Pipeline!$D$22*MIN(1,MAX(0,(56-Pipeline!$E$22+1)/MAX(Pipeline!$F$22,1)))</f>
        <v>7042.51597446053</v>
      </c>
      <c r="BG19" s="138" t="n">
        <f aca="false">Pipeline!$W$16*Pipeline!$D$16*MIN(1,MAX(0,(57-Pipeline!$E$16+1)/MAX(Pipeline!$F$16,1)))+Pipeline!$W$17*Pipeline!$D$17*MIN(1,MAX(0,(57-Pipeline!$E$17+1)/MAX(Pipeline!$F$17,1)))+Pipeline!$W$18*Pipeline!$D$18*MIN(1,MAX(0,(57-Pipeline!$E$18+1)/MAX(Pipeline!$F$18,1)))+Pipeline!$W$19*Pipeline!$D$19*MIN(1,MAX(0,(57-Pipeline!$E$19+1)/MAX(Pipeline!$F$19,1)))+Pipeline!$W$20*Pipeline!$D$20*MIN(1,MAX(0,(57-Pipeline!$E$20+1)/MAX(Pipeline!$F$20,1)))+Pipeline!$W$21*Pipeline!$D$21*MIN(1,MAX(0,(57-Pipeline!$E$21+1)/MAX(Pipeline!$F$21,1)))+Pipeline!$W$22*Pipeline!$D$22*MIN(1,MAX(0,(57-Pipeline!$E$22+1)/MAX(Pipeline!$F$22,1)))</f>
        <v>7042.51597446053</v>
      </c>
      <c r="BH19" s="138" t="n">
        <f aca="false">Pipeline!$W$16*Pipeline!$D$16*MIN(1,MAX(0,(58-Pipeline!$E$16+1)/MAX(Pipeline!$F$16,1)))+Pipeline!$W$17*Pipeline!$D$17*MIN(1,MAX(0,(58-Pipeline!$E$17+1)/MAX(Pipeline!$F$17,1)))+Pipeline!$W$18*Pipeline!$D$18*MIN(1,MAX(0,(58-Pipeline!$E$18+1)/MAX(Pipeline!$F$18,1)))+Pipeline!$W$19*Pipeline!$D$19*MIN(1,MAX(0,(58-Pipeline!$E$19+1)/MAX(Pipeline!$F$19,1)))+Pipeline!$W$20*Pipeline!$D$20*MIN(1,MAX(0,(58-Pipeline!$E$20+1)/MAX(Pipeline!$F$20,1)))+Pipeline!$W$21*Pipeline!$D$21*MIN(1,MAX(0,(58-Pipeline!$E$21+1)/MAX(Pipeline!$F$21,1)))+Pipeline!$W$22*Pipeline!$D$22*MIN(1,MAX(0,(58-Pipeline!$E$22+1)/MAX(Pipeline!$F$22,1)))</f>
        <v>7042.51597446053</v>
      </c>
      <c r="BI19" s="138" t="n">
        <f aca="false">Pipeline!$W$16*Pipeline!$D$16*MIN(1,MAX(0,(59-Pipeline!$E$16+1)/MAX(Pipeline!$F$16,1)))+Pipeline!$W$17*Pipeline!$D$17*MIN(1,MAX(0,(59-Pipeline!$E$17+1)/MAX(Pipeline!$F$17,1)))+Pipeline!$W$18*Pipeline!$D$18*MIN(1,MAX(0,(59-Pipeline!$E$18+1)/MAX(Pipeline!$F$18,1)))+Pipeline!$W$19*Pipeline!$D$19*MIN(1,MAX(0,(59-Pipeline!$E$19+1)/MAX(Pipeline!$F$19,1)))+Pipeline!$W$20*Pipeline!$D$20*MIN(1,MAX(0,(59-Pipeline!$E$20+1)/MAX(Pipeline!$F$20,1)))+Pipeline!$W$21*Pipeline!$D$21*MIN(1,MAX(0,(59-Pipeline!$E$21+1)/MAX(Pipeline!$F$21,1)))+Pipeline!$W$22*Pipeline!$D$22*MIN(1,MAX(0,(59-Pipeline!$E$22+1)/MAX(Pipeline!$F$22,1)))</f>
        <v>7042.51597446053</v>
      </c>
      <c r="BJ19" s="138" t="n">
        <f aca="false">Pipeline!$W$16*Pipeline!$D$16*MIN(1,MAX(0,(60-Pipeline!$E$16+1)/MAX(Pipeline!$F$16,1)))+Pipeline!$W$17*Pipeline!$D$17*MIN(1,MAX(0,(60-Pipeline!$E$17+1)/MAX(Pipeline!$F$17,1)))+Pipeline!$W$18*Pipeline!$D$18*MIN(1,MAX(0,(60-Pipeline!$E$18+1)/MAX(Pipeline!$F$18,1)))+Pipeline!$W$19*Pipeline!$D$19*MIN(1,MAX(0,(60-Pipeline!$E$19+1)/MAX(Pipeline!$F$19,1)))+Pipeline!$W$20*Pipeline!$D$20*MIN(1,MAX(0,(60-Pipeline!$E$20+1)/MAX(Pipeline!$F$20,1)))+Pipeline!$W$21*Pipeline!$D$21*MIN(1,MAX(0,(60-Pipeline!$E$21+1)/MAX(Pipeline!$F$21,1)))+Pipeline!$W$22*Pipeline!$D$22*MIN(1,MAX(0,(60-Pipeline!$E$22+1)/MAX(Pipeline!$F$22,1)))</f>
        <v>7042.51597446053</v>
      </c>
      <c r="BK19" s="138" t="n">
        <f aca="false">Pipeline!$W$16*Pipeline!$D$16*MIN(1,MAX(0,(61-Pipeline!$E$16+1)/MAX(Pipeline!$F$16,1)))+Pipeline!$W$17*Pipeline!$D$17*MIN(1,MAX(0,(61-Pipeline!$E$17+1)/MAX(Pipeline!$F$17,1)))+Pipeline!$W$18*Pipeline!$D$18*MIN(1,MAX(0,(61-Pipeline!$E$18+1)/MAX(Pipeline!$F$18,1)))+Pipeline!$W$19*Pipeline!$D$19*MIN(1,MAX(0,(61-Pipeline!$E$19+1)/MAX(Pipeline!$F$19,1)))+Pipeline!$W$20*Pipeline!$D$20*MIN(1,MAX(0,(61-Pipeline!$E$20+1)/MAX(Pipeline!$F$20,1)))+Pipeline!$W$21*Pipeline!$D$21*MIN(1,MAX(0,(61-Pipeline!$E$21+1)/MAX(Pipeline!$F$21,1)))+Pipeline!$W$22*Pipeline!$D$22*MIN(1,MAX(0,(61-Pipeline!$E$22+1)/MAX(Pipeline!$F$22,1)))</f>
        <v>7042.51597446053</v>
      </c>
      <c r="BL19" s="138" t="n">
        <f aca="false">Pipeline!$W$16*Pipeline!$D$16*MIN(1,MAX(0,(62-Pipeline!$E$16+1)/MAX(Pipeline!$F$16,1)))+Pipeline!$W$17*Pipeline!$D$17*MIN(1,MAX(0,(62-Pipeline!$E$17+1)/MAX(Pipeline!$F$17,1)))+Pipeline!$W$18*Pipeline!$D$18*MIN(1,MAX(0,(62-Pipeline!$E$18+1)/MAX(Pipeline!$F$18,1)))+Pipeline!$W$19*Pipeline!$D$19*MIN(1,MAX(0,(62-Pipeline!$E$19+1)/MAX(Pipeline!$F$19,1)))+Pipeline!$W$20*Pipeline!$D$20*MIN(1,MAX(0,(62-Pipeline!$E$20+1)/MAX(Pipeline!$F$20,1)))+Pipeline!$W$21*Pipeline!$D$21*MIN(1,MAX(0,(62-Pipeline!$E$21+1)/MAX(Pipeline!$F$21,1)))+Pipeline!$W$22*Pipeline!$D$22*MIN(1,MAX(0,(62-Pipeline!$E$22+1)/MAX(Pipeline!$F$22,1)))</f>
        <v>7042.51597446053</v>
      </c>
      <c r="BM19" s="138" t="n">
        <f aca="false">Pipeline!$W$16*Pipeline!$D$16*MIN(1,MAX(0,(63-Pipeline!$E$16+1)/MAX(Pipeline!$F$16,1)))+Pipeline!$W$17*Pipeline!$D$17*MIN(1,MAX(0,(63-Pipeline!$E$17+1)/MAX(Pipeline!$F$17,1)))+Pipeline!$W$18*Pipeline!$D$18*MIN(1,MAX(0,(63-Pipeline!$E$18+1)/MAX(Pipeline!$F$18,1)))+Pipeline!$W$19*Pipeline!$D$19*MIN(1,MAX(0,(63-Pipeline!$E$19+1)/MAX(Pipeline!$F$19,1)))+Pipeline!$W$20*Pipeline!$D$20*MIN(1,MAX(0,(63-Pipeline!$E$20+1)/MAX(Pipeline!$F$20,1)))+Pipeline!$W$21*Pipeline!$D$21*MIN(1,MAX(0,(63-Pipeline!$E$21+1)/MAX(Pipeline!$F$21,1)))+Pipeline!$W$22*Pipeline!$D$22*MIN(1,MAX(0,(63-Pipeline!$E$22+1)/MAX(Pipeline!$F$22,1)))</f>
        <v>7042.51597446053</v>
      </c>
      <c r="BN19" s="138" t="n">
        <f aca="false">Pipeline!$W$16*Pipeline!$D$16*MIN(1,MAX(0,(64-Pipeline!$E$16+1)/MAX(Pipeline!$F$16,1)))+Pipeline!$W$17*Pipeline!$D$17*MIN(1,MAX(0,(64-Pipeline!$E$17+1)/MAX(Pipeline!$F$17,1)))+Pipeline!$W$18*Pipeline!$D$18*MIN(1,MAX(0,(64-Pipeline!$E$18+1)/MAX(Pipeline!$F$18,1)))+Pipeline!$W$19*Pipeline!$D$19*MIN(1,MAX(0,(64-Pipeline!$E$19+1)/MAX(Pipeline!$F$19,1)))+Pipeline!$W$20*Pipeline!$D$20*MIN(1,MAX(0,(64-Pipeline!$E$20+1)/MAX(Pipeline!$F$20,1)))+Pipeline!$W$21*Pipeline!$D$21*MIN(1,MAX(0,(64-Pipeline!$E$21+1)/MAX(Pipeline!$F$21,1)))+Pipeline!$W$22*Pipeline!$D$22*MIN(1,MAX(0,(64-Pipeline!$E$22+1)/MAX(Pipeline!$F$22,1)))</f>
        <v>7042.51597446053</v>
      </c>
      <c r="BO19" s="138" t="n">
        <f aca="false">Pipeline!$W$16*Pipeline!$D$16*MIN(1,MAX(0,(65-Pipeline!$E$16+1)/MAX(Pipeline!$F$16,1)))+Pipeline!$W$17*Pipeline!$D$17*MIN(1,MAX(0,(65-Pipeline!$E$17+1)/MAX(Pipeline!$F$17,1)))+Pipeline!$W$18*Pipeline!$D$18*MIN(1,MAX(0,(65-Pipeline!$E$18+1)/MAX(Pipeline!$F$18,1)))+Pipeline!$W$19*Pipeline!$D$19*MIN(1,MAX(0,(65-Pipeline!$E$19+1)/MAX(Pipeline!$F$19,1)))+Pipeline!$W$20*Pipeline!$D$20*MIN(1,MAX(0,(65-Pipeline!$E$20+1)/MAX(Pipeline!$F$20,1)))+Pipeline!$W$21*Pipeline!$D$21*MIN(1,MAX(0,(65-Pipeline!$E$21+1)/MAX(Pipeline!$F$21,1)))+Pipeline!$W$22*Pipeline!$D$22*MIN(1,MAX(0,(65-Pipeline!$E$22+1)/MAX(Pipeline!$F$22,1)))</f>
        <v>7042.51597446053</v>
      </c>
      <c r="BP19" s="138" t="n">
        <f aca="false">Pipeline!$W$16*Pipeline!$D$16*MIN(1,MAX(0,(66-Pipeline!$E$16+1)/MAX(Pipeline!$F$16,1)))+Pipeline!$W$17*Pipeline!$D$17*MIN(1,MAX(0,(66-Pipeline!$E$17+1)/MAX(Pipeline!$F$17,1)))+Pipeline!$W$18*Pipeline!$D$18*MIN(1,MAX(0,(66-Pipeline!$E$18+1)/MAX(Pipeline!$F$18,1)))+Pipeline!$W$19*Pipeline!$D$19*MIN(1,MAX(0,(66-Pipeline!$E$19+1)/MAX(Pipeline!$F$19,1)))+Pipeline!$W$20*Pipeline!$D$20*MIN(1,MAX(0,(66-Pipeline!$E$20+1)/MAX(Pipeline!$F$20,1)))+Pipeline!$W$21*Pipeline!$D$21*MIN(1,MAX(0,(66-Pipeline!$E$21+1)/MAX(Pipeline!$F$21,1)))+Pipeline!$W$22*Pipeline!$D$22*MIN(1,MAX(0,(66-Pipeline!$E$22+1)/MAX(Pipeline!$F$22,1)))</f>
        <v>7042.51597446053</v>
      </c>
      <c r="BQ19" s="138" t="n">
        <f aca="false">Pipeline!$W$16*Pipeline!$D$16*MIN(1,MAX(0,(67-Pipeline!$E$16+1)/MAX(Pipeline!$F$16,1)))+Pipeline!$W$17*Pipeline!$D$17*MIN(1,MAX(0,(67-Pipeline!$E$17+1)/MAX(Pipeline!$F$17,1)))+Pipeline!$W$18*Pipeline!$D$18*MIN(1,MAX(0,(67-Pipeline!$E$18+1)/MAX(Pipeline!$F$18,1)))+Pipeline!$W$19*Pipeline!$D$19*MIN(1,MAX(0,(67-Pipeline!$E$19+1)/MAX(Pipeline!$F$19,1)))+Pipeline!$W$20*Pipeline!$D$20*MIN(1,MAX(0,(67-Pipeline!$E$20+1)/MAX(Pipeline!$F$20,1)))+Pipeline!$W$21*Pipeline!$D$21*MIN(1,MAX(0,(67-Pipeline!$E$21+1)/MAX(Pipeline!$F$21,1)))+Pipeline!$W$22*Pipeline!$D$22*MIN(1,MAX(0,(67-Pipeline!$E$22+1)/MAX(Pipeline!$F$22,1)))</f>
        <v>7042.51597446053</v>
      </c>
      <c r="BR19" s="138" t="n">
        <f aca="false">Pipeline!$W$16*Pipeline!$D$16*MIN(1,MAX(0,(68-Pipeline!$E$16+1)/MAX(Pipeline!$F$16,1)))+Pipeline!$W$17*Pipeline!$D$17*MIN(1,MAX(0,(68-Pipeline!$E$17+1)/MAX(Pipeline!$F$17,1)))+Pipeline!$W$18*Pipeline!$D$18*MIN(1,MAX(0,(68-Pipeline!$E$18+1)/MAX(Pipeline!$F$18,1)))+Pipeline!$W$19*Pipeline!$D$19*MIN(1,MAX(0,(68-Pipeline!$E$19+1)/MAX(Pipeline!$F$19,1)))+Pipeline!$W$20*Pipeline!$D$20*MIN(1,MAX(0,(68-Pipeline!$E$20+1)/MAX(Pipeline!$F$20,1)))+Pipeline!$W$21*Pipeline!$D$21*MIN(1,MAX(0,(68-Pipeline!$E$21+1)/MAX(Pipeline!$F$21,1)))+Pipeline!$W$22*Pipeline!$D$22*MIN(1,MAX(0,(68-Pipeline!$E$22+1)/MAX(Pipeline!$F$22,1)))</f>
        <v>7042.51597446053</v>
      </c>
      <c r="BS19" s="138" t="n">
        <f aca="false">Pipeline!$W$16*Pipeline!$D$16*MIN(1,MAX(0,(69-Pipeline!$E$16+1)/MAX(Pipeline!$F$16,1)))+Pipeline!$W$17*Pipeline!$D$17*MIN(1,MAX(0,(69-Pipeline!$E$17+1)/MAX(Pipeline!$F$17,1)))+Pipeline!$W$18*Pipeline!$D$18*MIN(1,MAX(0,(69-Pipeline!$E$18+1)/MAX(Pipeline!$F$18,1)))+Pipeline!$W$19*Pipeline!$D$19*MIN(1,MAX(0,(69-Pipeline!$E$19+1)/MAX(Pipeline!$F$19,1)))+Pipeline!$W$20*Pipeline!$D$20*MIN(1,MAX(0,(69-Pipeline!$E$20+1)/MAX(Pipeline!$F$20,1)))+Pipeline!$W$21*Pipeline!$D$21*MIN(1,MAX(0,(69-Pipeline!$E$21+1)/MAX(Pipeline!$F$21,1)))+Pipeline!$W$22*Pipeline!$D$22*MIN(1,MAX(0,(69-Pipeline!$E$22+1)/MAX(Pipeline!$F$22,1)))</f>
        <v>7042.51597446053</v>
      </c>
      <c r="BT19" s="138" t="n">
        <f aca="false">Pipeline!$W$16*Pipeline!$D$16*MIN(1,MAX(0,(70-Pipeline!$E$16+1)/MAX(Pipeline!$F$16,1)))+Pipeline!$W$17*Pipeline!$D$17*MIN(1,MAX(0,(70-Pipeline!$E$17+1)/MAX(Pipeline!$F$17,1)))+Pipeline!$W$18*Pipeline!$D$18*MIN(1,MAX(0,(70-Pipeline!$E$18+1)/MAX(Pipeline!$F$18,1)))+Pipeline!$W$19*Pipeline!$D$19*MIN(1,MAX(0,(70-Pipeline!$E$19+1)/MAX(Pipeline!$F$19,1)))+Pipeline!$W$20*Pipeline!$D$20*MIN(1,MAX(0,(70-Pipeline!$E$20+1)/MAX(Pipeline!$F$20,1)))+Pipeline!$W$21*Pipeline!$D$21*MIN(1,MAX(0,(70-Pipeline!$E$21+1)/MAX(Pipeline!$F$21,1)))+Pipeline!$W$22*Pipeline!$D$22*MIN(1,MAX(0,(70-Pipeline!$E$22+1)/MAX(Pipeline!$F$22,1)))</f>
        <v>7042.51597446053</v>
      </c>
      <c r="BU19" s="138" t="n">
        <f aca="false">Pipeline!$W$16*Pipeline!$D$16*MIN(1,MAX(0,(71-Pipeline!$E$16+1)/MAX(Pipeline!$F$16,1)))+Pipeline!$W$17*Pipeline!$D$17*MIN(1,MAX(0,(71-Pipeline!$E$17+1)/MAX(Pipeline!$F$17,1)))+Pipeline!$W$18*Pipeline!$D$18*MIN(1,MAX(0,(71-Pipeline!$E$18+1)/MAX(Pipeline!$F$18,1)))+Pipeline!$W$19*Pipeline!$D$19*MIN(1,MAX(0,(71-Pipeline!$E$19+1)/MAX(Pipeline!$F$19,1)))+Pipeline!$W$20*Pipeline!$D$20*MIN(1,MAX(0,(71-Pipeline!$E$20+1)/MAX(Pipeline!$F$20,1)))+Pipeline!$W$21*Pipeline!$D$21*MIN(1,MAX(0,(71-Pipeline!$E$21+1)/MAX(Pipeline!$F$21,1)))+Pipeline!$W$22*Pipeline!$D$22*MIN(1,MAX(0,(71-Pipeline!$E$22+1)/MAX(Pipeline!$F$22,1)))</f>
        <v>7042.51597446053</v>
      </c>
      <c r="BV19" s="138" t="n">
        <f aca="false">Pipeline!$W$16*Pipeline!$D$16*MIN(1,MAX(0,(72-Pipeline!$E$16+1)/MAX(Pipeline!$F$16,1)))+Pipeline!$W$17*Pipeline!$D$17*MIN(1,MAX(0,(72-Pipeline!$E$17+1)/MAX(Pipeline!$F$17,1)))+Pipeline!$W$18*Pipeline!$D$18*MIN(1,MAX(0,(72-Pipeline!$E$18+1)/MAX(Pipeline!$F$18,1)))+Pipeline!$W$19*Pipeline!$D$19*MIN(1,MAX(0,(72-Pipeline!$E$19+1)/MAX(Pipeline!$F$19,1)))+Pipeline!$W$20*Pipeline!$D$20*MIN(1,MAX(0,(72-Pipeline!$E$20+1)/MAX(Pipeline!$F$20,1)))+Pipeline!$W$21*Pipeline!$D$21*MIN(1,MAX(0,(72-Pipeline!$E$21+1)/MAX(Pipeline!$F$21,1)))+Pipeline!$W$22*Pipeline!$D$22*MIN(1,MAX(0,(72-Pipeline!$E$22+1)/MAX(Pipeline!$F$22,1)))</f>
        <v>7042.51597446053</v>
      </c>
      <c r="BW19" s="138" t="n">
        <f aca="false">Pipeline!$W$16*Pipeline!$D$16*MIN(1,MAX(0,(73-Pipeline!$E$16+1)/MAX(Pipeline!$F$16,1)))+Pipeline!$W$17*Pipeline!$D$17*MIN(1,MAX(0,(73-Pipeline!$E$17+1)/MAX(Pipeline!$F$17,1)))+Pipeline!$W$18*Pipeline!$D$18*MIN(1,MAX(0,(73-Pipeline!$E$18+1)/MAX(Pipeline!$F$18,1)))+Pipeline!$W$19*Pipeline!$D$19*MIN(1,MAX(0,(73-Pipeline!$E$19+1)/MAX(Pipeline!$F$19,1)))+Pipeline!$W$20*Pipeline!$D$20*MIN(1,MAX(0,(73-Pipeline!$E$20+1)/MAX(Pipeline!$F$20,1)))+Pipeline!$W$21*Pipeline!$D$21*MIN(1,MAX(0,(73-Pipeline!$E$21+1)/MAX(Pipeline!$F$21,1)))+Pipeline!$W$22*Pipeline!$D$22*MIN(1,MAX(0,(73-Pipeline!$E$22+1)/MAX(Pipeline!$F$22,1)))</f>
        <v>7042.51597446053</v>
      </c>
      <c r="BX19" s="138" t="n">
        <f aca="false">Pipeline!$W$16*Pipeline!$D$16*MIN(1,MAX(0,(74-Pipeline!$E$16+1)/MAX(Pipeline!$F$16,1)))+Pipeline!$W$17*Pipeline!$D$17*MIN(1,MAX(0,(74-Pipeline!$E$17+1)/MAX(Pipeline!$F$17,1)))+Pipeline!$W$18*Pipeline!$D$18*MIN(1,MAX(0,(74-Pipeline!$E$18+1)/MAX(Pipeline!$F$18,1)))+Pipeline!$W$19*Pipeline!$D$19*MIN(1,MAX(0,(74-Pipeline!$E$19+1)/MAX(Pipeline!$F$19,1)))+Pipeline!$W$20*Pipeline!$D$20*MIN(1,MAX(0,(74-Pipeline!$E$20+1)/MAX(Pipeline!$F$20,1)))+Pipeline!$W$21*Pipeline!$D$21*MIN(1,MAX(0,(74-Pipeline!$E$21+1)/MAX(Pipeline!$F$21,1)))+Pipeline!$W$22*Pipeline!$D$22*MIN(1,MAX(0,(74-Pipeline!$E$22+1)/MAX(Pipeline!$F$22,1)))</f>
        <v>7042.51597446053</v>
      </c>
      <c r="BY19" s="138" t="n">
        <f aca="false">Pipeline!$W$16*Pipeline!$D$16*MIN(1,MAX(0,(75-Pipeline!$E$16+1)/MAX(Pipeline!$F$16,1)))+Pipeline!$W$17*Pipeline!$D$17*MIN(1,MAX(0,(75-Pipeline!$E$17+1)/MAX(Pipeline!$F$17,1)))+Pipeline!$W$18*Pipeline!$D$18*MIN(1,MAX(0,(75-Pipeline!$E$18+1)/MAX(Pipeline!$F$18,1)))+Pipeline!$W$19*Pipeline!$D$19*MIN(1,MAX(0,(75-Pipeline!$E$19+1)/MAX(Pipeline!$F$19,1)))+Pipeline!$W$20*Pipeline!$D$20*MIN(1,MAX(0,(75-Pipeline!$E$20+1)/MAX(Pipeline!$F$20,1)))+Pipeline!$W$21*Pipeline!$D$21*MIN(1,MAX(0,(75-Pipeline!$E$21+1)/MAX(Pipeline!$F$21,1)))+Pipeline!$W$22*Pipeline!$D$22*MIN(1,MAX(0,(75-Pipeline!$E$22+1)/MAX(Pipeline!$F$22,1)))</f>
        <v>7042.51597446053</v>
      </c>
      <c r="BZ19" s="138" t="n">
        <f aca="false">Pipeline!$W$16*Pipeline!$D$16*MIN(1,MAX(0,(76-Pipeline!$E$16+1)/MAX(Pipeline!$F$16,1)))+Pipeline!$W$17*Pipeline!$D$17*MIN(1,MAX(0,(76-Pipeline!$E$17+1)/MAX(Pipeline!$F$17,1)))+Pipeline!$W$18*Pipeline!$D$18*MIN(1,MAX(0,(76-Pipeline!$E$18+1)/MAX(Pipeline!$F$18,1)))+Pipeline!$W$19*Pipeline!$D$19*MIN(1,MAX(0,(76-Pipeline!$E$19+1)/MAX(Pipeline!$F$19,1)))+Pipeline!$W$20*Pipeline!$D$20*MIN(1,MAX(0,(76-Pipeline!$E$20+1)/MAX(Pipeline!$F$20,1)))+Pipeline!$W$21*Pipeline!$D$21*MIN(1,MAX(0,(76-Pipeline!$E$21+1)/MAX(Pipeline!$F$21,1)))+Pipeline!$W$22*Pipeline!$D$22*MIN(1,MAX(0,(76-Pipeline!$E$22+1)/MAX(Pipeline!$F$22,1)))</f>
        <v>7042.51597446053</v>
      </c>
      <c r="CA19" s="138" t="n">
        <f aca="false">Pipeline!$W$16*Pipeline!$D$16*MIN(1,MAX(0,(77-Pipeline!$E$16+1)/MAX(Pipeline!$F$16,1)))+Pipeline!$W$17*Pipeline!$D$17*MIN(1,MAX(0,(77-Pipeline!$E$17+1)/MAX(Pipeline!$F$17,1)))+Pipeline!$W$18*Pipeline!$D$18*MIN(1,MAX(0,(77-Pipeline!$E$18+1)/MAX(Pipeline!$F$18,1)))+Pipeline!$W$19*Pipeline!$D$19*MIN(1,MAX(0,(77-Pipeline!$E$19+1)/MAX(Pipeline!$F$19,1)))+Pipeline!$W$20*Pipeline!$D$20*MIN(1,MAX(0,(77-Pipeline!$E$20+1)/MAX(Pipeline!$F$20,1)))+Pipeline!$W$21*Pipeline!$D$21*MIN(1,MAX(0,(77-Pipeline!$E$21+1)/MAX(Pipeline!$F$21,1)))+Pipeline!$W$22*Pipeline!$D$22*MIN(1,MAX(0,(77-Pipeline!$E$22+1)/MAX(Pipeline!$F$22,1)))</f>
        <v>7042.51597446053</v>
      </c>
      <c r="CB19" s="138" t="n">
        <f aca="false">Pipeline!$W$16*Pipeline!$D$16*MIN(1,MAX(0,(78-Pipeline!$E$16+1)/MAX(Pipeline!$F$16,1)))+Pipeline!$W$17*Pipeline!$D$17*MIN(1,MAX(0,(78-Pipeline!$E$17+1)/MAX(Pipeline!$F$17,1)))+Pipeline!$W$18*Pipeline!$D$18*MIN(1,MAX(0,(78-Pipeline!$E$18+1)/MAX(Pipeline!$F$18,1)))+Pipeline!$W$19*Pipeline!$D$19*MIN(1,MAX(0,(78-Pipeline!$E$19+1)/MAX(Pipeline!$F$19,1)))+Pipeline!$W$20*Pipeline!$D$20*MIN(1,MAX(0,(78-Pipeline!$E$20+1)/MAX(Pipeline!$F$20,1)))+Pipeline!$W$21*Pipeline!$D$21*MIN(1,MAX(0,(78-Pipeline!$E$21+1)/MAX(Pipeline!$F$21,1)))+Pipeline!$W$22*Pipeline!$D$22*MIN(1,MAX(0,(78-Pipeline!$E$22+1)/MAX(Pipeline!$F$22,1)))</f>
        <v>7042.51597446053</v>
      </c>
      <c r="CC19" s="138" t="n">
        <f aca="false">Pipeline!$W$16*Pipeline!$D$16*MIN(1,MAX(0,(79-Pipeline!$E$16+1)/MAX(Pipeline!$F$16,1)))+Pipeline!$W$17*Pipeline!$D$17*MIN(1,MAX(0,(79-Pipeline!$E$17+1)/MAX(Pipeline!$F$17,1)))+Pipeline!$W$18*Pipeline!$D$18*MIN(1,MAX(0,(79-Pipeline!$E$18+1)/MAX(Pipeline!$F$18,1)))+Pipeline!$W$19*Pipeline!$D$19*MIN(1,MAX(0,(79-Pipeline!$E$19+1)/MAX(Pipeline!$F$19,1)))+Pipeline!$W$20*Pipeline!$D$20*MIN(1,MAX(0,(79-Pipeline!$E$20+1)/MAX(Pipeline!$F$20,1)))+Pipeline!$W$21*Pipeline!$D$21*MIN(1,MAX(0,(79-Pipeline!$E$21+1)/MAX(Pipeline!$F$21,1)))+Pipeline!$W$22*Pipeline!$D$22*MIN(1,MAX(0,(79-Pipeline!$E$22+1)/MAX(Pipeline!$F$22,1)))</f>
        <v>7042.51597446053</v>
      </c>
      <c r="CD19" s="138" t="n">
        <f aca="false">Pipeline!$W$16*Pipeline!$D$16*MIN(1,MAX(0,(80-Pipeline!$E$16+1)/MAX(Pipeline!$F$16,1)))+Pipeline!$W$17*Pipeline!$D$17*MIN(1,MAX(0,(80-Pipeline!$E$17+1)/MAX(Pipeline!$F$17,1)))+Pipeline!$W$18*Pipeline!$D$18*MIN(1,MAX(0,(80-Pipeline!$E$18+1)/MAX(Pipeline!$F$18,1)))+Pipeline!$W$19*Pipeline!$D$19*MIN(1,MAX(0,(80-Pipeline!$E$19+1)/MAX(Pipeline!$F$19,1)))+Pipeline!$W$20*Pipeline!$D$20*MIN(1,MAX(0,(80-Pipeline!$E$20+1)/MAX(Pipeline!$F$20,1)))+Pipeline!$W$21*Pipeline!$D$21*MIN(1,MAX(0,(80-Pipeline!$E$21+1)/MAX(Pipeline!$F$21,1)))+Pipeline!$W$22*Pipeline!$D$22*MIN(1,MAX(0,(80-Pipeline!$E$22+1)/MAX(Pipeline!$F$22,1)))</f>
        <v>7042.51597446053</v>
      </c>
      <c r="CE19" s="138" t="n">
        <f aca="false">Pipeline!$W$16*Pipeline!$D$16*MIN(1,MAX(0,(81-Pipeline!$E$16+1)/MAX(Pipeline!$F$16,1)))+Pipeline!$W$17*Pipeline!$D$17*MIN(1,MAX(0,(81-Pipeline!$E$17+1)/MAX(Pipeline!$F$17,1)))+Pipeline!$W$18*Pipeline!$D$18*MIN(1,MAX(0,(81-Pipeline!$E$18+1)/MAX(Pipeline!$F$18,1)))+Pipeline!$W$19*Pipeline!$D$19*MIN(1,MAX(0,(81-Pipeline!$E$19+1)/MAX(Pipeline!$F$19,1)))+Pipeline!$W$20*Pipeline!$D$20*MIN(1,MAX(0,(81-Pipeline!$E$20+1)/MAX(Pipeline!$F$20,1)))+Pipeline!$W$21*Pipeline!$D$21*MIN(1,MAX(0,(81-Pipeline!$E$21+1)/MAX(Pipeline!$F$21,1)))+Pipeline!$W$22*Pipeline!$D$22*MIN(1,MAX(0,(81-Pipeline!$E$22+1)/MAX(Pipeline!$F$22,1)))</f>
        <v>7042.51597446053</v>
      </c>
      <c r="CF19" s="138" t="n">
        <f aca="false">Pipeline!$W$16*Pipeline!$D$16*MIN(1,MAX(0,(82-Pipeline!$E$16+1)/MAX(Pipeline!$F$16,1)))+Pipeline!$W$17*Pipeline!$D$17*MIN(1,MAX(0,(82-Pipeline!$E$17+1)/MAX(Pipeline!$F$17,1)))+Pipeline!$W$18*Pipeline!$D$18*MIN(1,MAX(0,(82-Pipeline!$E$18+1)/MAX(Pipeline!$F$18,1)))+Pipeline!$W$19*Pipeline!$D$19*MIN(1,MAX(0,(82-Pipeline!$E$19+1)/MAX(Pipeline!$F$19,1)))+Pipeline!$W$20*Pipeline!$D$20*MIN(1,MAX(0,(82-Pipeline!$E$20+1)/MAX(Pipeline!$F$20,1)))+Pipeline!$W$21*Pipeline!$D$21*MIN(1,MAX(0,(82-Pipeline!$E$21+1)/MAX(Pipeline!$F$21,1)))+Pipeline!$W$22*Pipeline!$D$22*MIN(1,MAX(0,(82-Pipeline!$E$22+1)/MAX(Pipeline!$F$22,1)))</f>
        <v>7042.51597446053</v>
      </c>
      <c r="CG19" s="138" t="n">
        <f aca="false">Pipeline!$W$16*Pipeline!$D$16*MIN(1,MAX(0,(83-Pipeline!$E$16+1)/MAX(Pipeline!$F$16,1)))+Pipeline!$W$17*Pipeline!$D$17*MIN(1,MAX(0,(83-Pipeline!$E$17+1)/MAX(Pipeline!$F$17,1)))+Pipeline!$W$18*Pipeline!$D$18*MIN(1,MAX(0,(83-Pipeline!$E$18+1)/MAX(Pipeline!$F$18,1)))+Pipeline!$W$19*Pipeline!$D$19*MIN(1,MAX(0,(83-Pipeline!$E$19+1)/MAX(Pipeline!$F$19,1)))+Pipeline!$W$20*Pipeline!$D$20*MIN(1,MAX(0,(83-Pipeline!$E$20+1)/MAX(Pipeline!$F$20,1)))+Pipeline!$W$21*Pipeline!$D$21*MIN(1,MAX(0,(83-Pipeline!$E$21+1)/MAX(Pipeline!$F$21,1)))+Pipeline!$W$22*Pipeline!$D$22*MIN(1,MAX(0,(83-Pipeline!$E$22+1)/MAX(Pipeline!$F$22,1)))</f>
        <v>7042.51597446053</v>
      </c>
      <c r="CH19" s="138" t="n">
        <f aca="false">Pipeline!$W$16*Pipeline!$D$16*MIN(1,MAX(0,(84-Pipeline!$E$16+1)/MAX(Pipeline!$F$16,1)))+Pipeline!$W$17*Pipeline!$D$17*MIN(1,MAX(0,(84-Pipeline!$E$17+1)/MAX(Pipeline!$F$17,1)))+Pipeline!$W$18*Pipeline!$D$18*MIN(1,MAX(0,(84-Pipeline!$E$18+1)/MAX(Pipeline!$F$18,1)))+Pipeline!$W$19*Pipeline!$D$19*MIN(1,MAX(0,(84-Pipeline!$E$19+1)/MAX(Pipeline!$F$19,1)))+Pipeline!$W$20*Pipeline!$D$20*MIN(1,MAX(0,(84-Pipeline!$E$20+1)/MAX(Pipeline!$F$20,1)))+Pipeline!$W$21*Pipeline!$D$21*MIN(1,MAX(0,(84-Pipeline!$E$21+1)/MAX(Pipeline!$F$21,1)))+Pipeline!$W$22*Pipeline!$D$22*MIN(1,MAX(0,(84-Pipeline!$E$22+1)/MAX(Pipeline!$F$22,1)))</f>
        <v>7042.51597446053</v>
      </c>
    </row>
    <row r="20" customFormat="false" ht="13.5" hidden="false" customHeight="true" outlineLevel="0" collapsed="false">
      <c r="A20" s="13" t="s">
        <v>703</v>
      </c>
      <c r="C20" s="150" t="n">
        <f aca="false">Pipeline!$S$16*Pipeline!$D$16*MIN(1,MAX(0,(1-Pipeline!$E$16+1)/MAX(Pipeline!$F$16,1)))+Pipeline!$S$17*Pipeline!$D$17*MIN(1,MAX(0,(1-Pipeline!$E$17+1)/MAX(Pipeline!$F$17,1)))+Pipeline!$S$18*Pipeline!$D$18*MIN(1,MAX(0,(1-Pipeline!$E$18+1)/MAX(Pipeline!$F$18,1)))+Pipeline!$S$19*Pipeline!$D$19*MIN(1,MAX(0,(1-Pipeline!$E$19+1)/MAX(Pipeline!$F$19,1)))+Pipeline!$S$20*Pipeline!$D$20*MIN(1,MAX(0,(1-Pipeline!$E$20+1)/MAX(Pipeline!$F$20,1)))+Pipeline!$S$21*Pipeline!$D$21*MIN(1,MAX(0,(1-Pipeline!$E$21+1)/MAX(Pipeline!$F$21,1)))+Pipeline!$S$22*Pipeline!$D$22*MIN(1,MAX(0,(1-Pipeline!$E$22+1)/MAX(Pipeline!$F$22,1)))</f>
        <v>12.3975</v>
      </c>
      <c r="D20" s="150" t="n">
        <f aca="false">Pipeline!$S$16*Pipeline!$D$16*MIN(1,MAX(0,(2-Pipeline!$E$16+1)/MAX(Pipeline!$F$16,1)))+Pipeline!$S$17*Pipeline!$D$17*MIN(1,MAX(0,(2-Pipeline!$E$17+1)/MAX(Pipeline!$F$17,1)))+Pipeline!$S$18*Pipeline!$D$18*MIN(1,MAX(0,(2-Pipeline!$E$18+1)/MAX(Pipeline!$F$18,1)))+Pipeline!$S$19*Pipeline!$D$19*MIN(1,MAX(0,(2-Pipeline!$E$19+1)/MAX(Pipeline!$F$19,1)))+Pipeline!$S$20*Pipeline!$D$20*MIN(1,MAX(0,(2-Pipeline!$E$20+1)/MAX(Pipeline!$F$20,1)))+Pipeline!$S$21*Pipeline!$D$21*MIN(1,MAX(0,(2-Pipeline!$E$21+1)/MAX(Pipeline!$F$21,1)))+Pipeline!$S$22*Pipeline!$D$22*MIN(1,MAX(0,(2-Pipeline!$E$22+1)/MAX(Pipeline!$F$22,1)))</f>
        <v>27.405</v>
      </c>
      <c r="E20" s="150" t="n">
        <f aca="false">Pipeline!$S$16*Pipeline!$D$16*MIN(1,MAX(0,(3-Pipeline!$E$16+1)/MAX(Pipeline!$F$16,1)))+Pipeline!$S$17*Pipeline!$D$17*MIN(1,MAX(0,(3-Pipeline!$E$17+1)/MAX(Pipeline!$F$17,1)))+Pipeline!$S$18*Pipeline!$D$18*MIN(1,MAX(0,(3-Pipeline!$E$18+1)/MAX(Pipeline!$F$18,1)))+Pipeline!$S$19*Pipeline!$D$19*MIN(1,MAX(0,(3-Pipeline!$E$19+1)/MAX(Pipeline!$F$19,1)))+Pipeline!$S$20*Pipeline!$D$20*MIN(1,MAX(0,(3-Pipeline!$E$20+1)/MAX(Pipeline!$F$20,1)))+Pipeline!$S$21*Pipeline!$D$21*MIN(1,MAX(0,(3-Pipeline!$E$21+1)/MAX(Pipeline!$F$21,1)))+Pipeline!$S$22*Pipeline!$D$22*MIN(1,MAX(0,(3-Pipeline!$E$22+1)/MAX(Pipeline!$F$22,1)))</f>
        <v>75.69</v>
      </c>
      <c r="F20" s="150" t="n">
        <f aca="false">Pipeline!$S$16*Pipeline!$D$16*MIN(1,MAX(0,(4-Pipeline!$E$16+1)/MAX(Pipeline!$F$16,1)))+Pipeline!$S$17*Pipeline!$D$17*MIN(1,MAX(0,(4-Pipeline!$E$17+1)/MAX(Pipeline!$F$17,1)))+Pipeline!$S$18*Pipeline!$D$18*MIN(1,MAX(0,(4-Pipeline!$E$18+1)/MAX(Pipeline!$F$18,1)))+Pipeline!$S$19*Pipeline!$D$19*MIN(1,MAX(0,(4-Pipeline!$E$19+1)/MAX(Pipeline!$F$19,1)))+Pipeline!$S$20*Pipeline!$D$20*MIN(1,MAX(0,(4-Pipeline!$E$20+1)/MAX(Pipeline!$F$20,1)))+Pipeline!$S$21*Pipeline!$D$21*MIN(1,MAX(0,(4-Pipeline!$E$21+1)/MAX(Pipeline!$F$21,1)))+Pipeline!$S$22*Pipeline!$D$22*MIN(1,MAX(0,(4-Pipeline!$E$22+1)/MAX(Pipeline!$F$22,1)))</f>
        <v>111.5775</v>
      </c>
      <c r="G20" s="150" t="n">
        <f aca="false">Pipeline!$S$16*Pipeline!$D$16*MIN(1,MAX(0,(5-Pipeline!$E$16+1)/MAX(Pipeline!$F$16,1)))+Pipeline!$S$17*Pipeline!$D$17*MIN(1,MAX(0,(5-Pipeline!$E$17+1)/MAX(Pipeline!$F$17,1)))+Pipeline!$S$18*Pipeline!$D$18*MIN(1,MAX(0,(5-Pipeline!$E$18+1)/MAX(Pipeline!$F$18,1)))+Pipeline!$S$19*Pipeline!$D$19*MIN(1,MAX(0,(5-Pipeline!$E$19+1)/MAX(Pipeline!$F$19,1)))+Pipeline!$S$20*Pipeline!$D$20*MIN(1,MAX(0,(5-Pipeline!$E$20+1)/MAX(Pipeline!$F$20,1)))+Pipeline!$S$21*Pipeline!$D$21*MIN(1,MAX(0,(5-Pipeline!$E$21+1)/MAX(Pipeline!$F$21,1)))+Pipeline!$S$22*Pipeline!$D$22*MIN(1,MAX(0,(5-Pipeline!$E$22+1)/MAX(Pipeline!$F$22,1)))</f>
        <v>144.855</v>
      </c>
      <c r="H20" s="150" t="n">
        <f aca="false">Pipeline!$S$16*Pipeline!$D$16*MIN(1,MAX(0,(6-Pipeline!$E$16+1)/MAX(Pipeline!$F$16,1)))+Pipeline!$S$17*Pipeline!$D$17*MIN(1,MAX(0,(6-Pipeline!$E$17+1)/MAX(Pipeline!$F$17,1)))+Pipeline!$S$18*Pipeline!$D$18*MIN(1,MAX(0,(6-Pipeline!$E$18+1)/MAX(Pipeline!$F$18,1)))+Pipeline!$S$19*Pipeline!$D$19*MIN(1,MAX(0,(6-Pipeline!$E$19+1)/MAX(Pipeline!$F$19,1)))+Pipeline!$S$20*Pipeline!$D$20*MIN(1,MAX(0,(6-Pipeline!$E$20+1)/MAX(Pipeline!$F$20,1)))+Pipeline!$S$21*Pipeline!$D$21*MIN(1,MAX(0,(6-Pipeline!$E$21+1)/MAX(Pipeline!$F$21,1)))+Pipeline!$S$22*Pipeline!$D$22*MIN(1,MAX(0,(6-Pipeline!$E$22+1)/MAX(Pipeline!$F$22,1)))</f>
        <v>208.03875</v>
      </c>
      <c r="I20" s="150" t="n">
        <f aca="false">Pipeline!$S$16*Pipeline!$D$16*MIN(1,MAX(0,(7-Pipeline!$E$16+1)/MAX(Pipeline!$F$16,1)))+Pipeline!$S$17*Pipeline!$D$17*MIN(1,MAX(0,(7-Pipeline!$E$17+1)/MAX(Pipeline!$F$17,1)))+Pipeline!$S$18*Pipeline!$D$18*MIN(1,MAX(0,(7-Pipeline!$E$18+1)/MAX(Pipeline!$F$18,1)))+Pipeline!$S$19*Pipeline!$D$19*MIN(1,MAX(0,(7-Pipeline!$E$19+1)/MAX(Pipeline!$F$19,1)))+Pipeline!$S$20*Pipeline!$D$20*MIN(1,MAX(0,(7-Pipeline!$E$20+1)/MAX(Pipeline!$F$20,1)))+Pipeline!$S$21*Pipeline!$D$21*MIN(1,MAX(0,(7-Pipeline!$E$21+1)/MAX(Pipeline!$F$21,1)))+Pipeline!$S$22*Pipeline!$D$22*MIN(1,MAX(0,(7-Pipeline!$E$22+1)/MAX(Pipeline!$F$22,1)))</f>
        <v>271.2225</v>
      </c>
      <c r="J20" s="150" t="n">
        <f aca="false">Pipeline!$S$16*Pipeline!$D$16*MIN(1,MAX(0,(8-Pipeline!$E$16+1)/MAX(Pipeline!$F$16,1)))+Pipeline!$S$17*Pipeline!$D$17*MIN(1,MAX(0,(8-Pipeline!$E$17+1)/MAX(Pipeline!$F$17,1)))+Pipeline!$S$18*Pipeline!$D$18*MIN(1,MAX(0,(8-Pipeline!$E$18+1)/MAX(Pipeline!$F$18,1)))+Pipeline!$S$19*Pipeline!$D$19*MIN(1,MAX(0,(8-Pipeline!$E$19+1)/MAX(Pipeline!$F$19,1)))+Pipeline!$S$20*Pipeline!$D$20*MIN(1,MAX(0,(8-Pipeline!$E$20+1)/MAX(Pipeline!$F$20,1)))+Pipeline!$S$21*Pipeline!$D$21*MIN(1,MAX(0,(8-Pipeline!$E$21+1)/MAX(Pipeline!$F$21,1)))+Pipeline!$S$22*Pipeline!$D$22*MIN(1,MAX(0,(8-Pipeline!$E$22+1)/MAX(Pipeline!$F$22,1)))</f>
        <v>334.40625</v>
      </c>
      <c r="K20" s="150" t="n">
        <f aca="false">Pipeline!$S$16*Pipeline!$D$16*MIN(1,MAX(0,(9-Pipeline!$E$16+1)/MAX(Pipeline!$F$16,1)))+Pipeline!$S$17*Pipeline!$D$17*MIN(1,MAX(0,(9-Pipeline!$E$17+1)/MAX(Pipeline!$F$17,1)))+Pipeline!$S$18*Pipeline!$D$18*MIN(1,MAX(0,(9-Pipeline!$E$18+1)/MAX(Pipeline!$F$18,1)))+Pipeline!$S$19*Pipeline!$D$19*MIN(1,MAX(0,(9-Pipeline!$E$19+1)/MAX(Pipeline!$F$19,1)))+Pipeline!$S$20*Pipeline!$D$20*MIN(1,MAX(0,(9-Pipeline!$E$20+1)/MAX(Pipeline!$F$20,1)))+Pipeline!$S$21*Pipeline!$D$21*MIN(1,MAX(0,(9-Pipeline!$E$21+1)/MAX(Pipeline!$F$21,1)))+Pipeline!$S$22*Pipeline!$D$22*MIN(1,MAX(0,(9-Pipeline!$E$22+1)/MAX(Pipeline!$F$22,1)))</f>
        <v>397.59</v>
      </c>
      <c r="L20" s="150" t="n">
        <f aca="false">Pipeline!$S$16*Pipeline!$D$16*MIN(1,MAX(0,(10-Pipeline!$E$16+1)/MAX(Pipeline!$F$16,1)))+Pipeline!$S$17*Pipeline!$D$17*MIN(1,MAX(0,(10-Pipeline!$E$17+1)/MAX(Pipeline!$F$17,1)))+Pipeline!$S$18*Pipeline!$D$18*MIN(1,MAX(0,(10-Pipeline!$E$18+1)/MAX(Pipeline!$F$18,1)))+Pipeline!$S$19*Pipeline!$D$19*MIN(1,MAX(0,(10-Pipeline!$E$19+1)/MAX(Pipeline!$F$19,1)))+Pipeline!$S$20*Pipeline!$D$20*MIN(1,MAX(0,(10-Pipeline!$E$20+1)/MAX(Pipeline!$F$20,1)))+Pipeline!$S$21*Pipeline!$D$21*MIN(1,MAX(0,(10-Pipeline!$E$21+1)/MAX(Pipeline!$F$21,1)))+Pipeline!$S$22*Pipeline!$D$22*MIN(1,MAX(0,(10-Pipeline!$E$22+1)/MAX(Pipeline!$F$22,1)))</f>
        <v>460.77375</v>
      </c>
      <c r="M20" s="150" t="n">
        <f aca="false">Pipeline!$S$16*Pipeline!$D$16*MIN(1,MAX(0,(11-Pipeline!$E$16+1)/MAX(Pipeline!$F$16,1)))+Pipeline!$S$17*Pipeline!$D$17*MIN(1,MAX(0,(11-Pipeline!$E$17+1)/MAX(Pipeline!$F$17,1)))+Pipeline!$S$18*Pipeline!$D$18*MIN(1,MAX(0,(11-Pipeline!$E$18+1)/MAX(Pipeline!$F$18,1)))+Pipeline!$S$19*Pipeline!$D$19*MIN(1,MAX(0,(11-Pipeline!$E$19+1)/MAX(Pipeline!$F$19,1)))+Pipeline!$S$20*Pipeline!$D$20*MIN(1,MAX(0,(11-Pipeline!$E$20+1)/MAX(Pipeline!$F$20,1)))+Pipeline!$S$21*Pipeline!$D$21*MIN(1,MAX(0,(11-Pipeline!$E$21+1)/MAX(Pipeline!$F$21,1)))+Pipeline!$S$22*Pipeline!$D$22*MIN(1,MAX(0,(11-Pipeline!$E$22+1)/MAX(Pipeline!$F$22,1)))</f>
        <v>490.68</v>
      </c>
      <c r="N20" s="150" t="n">
        <f aca="false">Pipeline!$S$16*Pipeline!$D$16*MIN(1,MAX(0,(12-Pipeline!$E$16+1)/MAX(Pipeline!$F$16,1)))+Pipeline!$S$17*Pipeline!$D$17*MIN(1,MAX(0,(12-Pipeline!$E$17+1)/MAX(Pipeline!$F$17,1)))+Pipeline!$S$18*Pipeline!$D$18*MIN(1,MAX(0,(12-Pipeline!$E$18+1)/MAX(Pipeline!$F$18,1)))+Pipeline!$S$19*Pipeline!$D$19*MIN(1,MAX(0,(12-Pipeline!$E$19+1)/MAX(Pipeline!$F$19,1)))+Pipeline!$S$20*Pipeline!$D$20*MIN(1,MAX(0,(12-Pipeline!$E$20+1)/MAX(Pipeline!$F$20,1)))+Pipeline!$S$21*Pipeline!$D$21*MIN(1,MAX(0,(12-Pipeline!$E$21+1)/MAX(Pipeline!$F$21,1)))+Pipeline!$S$22*Pipeline!$D$22*MIN(1,MAX(0,(12-Pipeline!$E$22+1)/MAX(Pipeline!$F$22,1)))</f>
        <v>564.08625</v>
      </c>
      <c r="O20" s="150" t="n">
        <f aca="false">Pipeline!$S$16*Pipeline!$D$16*MIN(1,MAX(0,(13-Pipeline!$E$16+1)/MAX(Pipeline!$F$16,1)))+Pipeline!$S$17*Pipeline!$D$17*MIN(1,MAX(0,(13-Pipeline!$E$17+1)/MAX(Pipeline!$F$17,1)))+Pipeline!$S$18*Pipeline!$D$18*MIN(1,MAX(0,(13-Pipeline!$E$18+1)/MAX(Pipeline!$F$18,1)))+Pipeline!$S$19*Pipeline!$D$19*MIN(1,MAX(0,(13-Pipeline!$E$19+1)/MAX(Pipeline!$F$19,1)))+Pipeline!$S$20*Pipeline!$D$20*MIN(1,MAX(0,(13-Pipeline!$E$20+1)/MAX(Pipeline!$F$20,1)))+Pipeline!$S$21*Pipeline!$D$21*MIN(1,MAX(0,(13-Pipeline!$E$21+1)/MAX(Pipeline!$F$21,1)))+Pipeline!$S$22*Pipeline!$D$22*MIN(1,MAX(0,(13-Pipeline!$E$22+1)/MAX(Pipeline!$F$22,1)))</f>
        <v>637.4925</v>
      </c>
      <c r="P20" s="150" t="n">
        <f aca="false">Pipeline!$S$16*Pipeline!$D$16*MIN(1,MAX(0,(14-Pipeline!$E$16+1)/MAX(Pipeline!$F$16,1)))+Pipeline!$S$17*Pipeline!$D$17*MIN(1,MAX(0,(14-Pipeline!$E$17+1)/MAX(Pipeline!$F$17,1)))+Pipeline!$S$18*Pipeline!$D$18*MIN(1,MAX(0,(14-Pipeline!$E$18+1)/MAX(Pipeline!$F$18,1)))+Pipeline!$S$19*Pipeline!$D$19*MIN(1,MAX(0,(14-Pipeline!$E$19+1)/MAX(Pipeline!$F$19,1)))+Pipeline!$S$20*Pipeline!$D$20*MIN(1,MAX(0,(14-Pipeline!$E$20+1)/MAX(Pipeline!$F$20,1)))+Pipeline!$S$21*Pipeline!$D$21*MIN(1,MAX(0,(14-Pipeline!$E$21+1)/MAX(Pipeline!$F$21,1)))+Pipeline!$S$22*Pipeline!$D$22*MIN(1,MAX(0,(14-Pipeline!$E$22+1)/MAX(Pipeline!$F$22,1)))</f>
        <v>698.3925</v>
      </c>
      <c r="Q20" s="150" t="n">
        <f aca="false">Pipeline!$S$16*Pipeline!$D$16*MIN(1,MAX(0,(15-Pipeline!$E$16+1)/MAX(Pipeline!$F$16,1)))+Pipeline!$S$17*Pipeline!$D$17*MIN(1,MAX(0,(15-Pipeline!$E$17+1)/MAX(Pipeline!$F$17,1)))+Pipeline!$S$18*Pipeline!$D$18*MIN(1,MAX(0,(15-Pipeline!$E$18+1)/MAX(Pipeline!$F$18,1)))+Pipeline!$S$19*Pipeline!$D$19*MIN(1,MAX(0,(15-Pipeline!$E$19+1)/MAX(Pipeline!$F$19,1)))+Pipeline!$S$20*Pipeline!$D$20*MIN(1,MAX(0,(15-Pipeline!$E$20+1)/MAX(Pipeline!$F$20,1)))+Pipeline!$S$21*Pipeline!$D$21*MIN(1,MAX(0,(15-Pipeline!$E$21+1)/MAX(Pipeline!$F$21,1)))+Pipeline!$S$22*Pipeline!$D$22*MIN(1,MAX(0,(15-Pipeline!$E$22+1)/MAX(Pipeline!$F$22,1)))</f>
        <v>759.2925</v>
      </c>
      <c r="R20" s="150" t="n">
        <f aca="false">Pipeline!$S$16*Pipeline!$D$16*MIN(1,MAX(0,(16-Pipeline!$E$16+1)/MAX(Pipeline!$F$16,1)))+Pipeline!$S$17*Pipeline!$D$17*MIN(1,MAX(0,(16-Pipeline!$E$17+1)/MAX(Pipeline!$F$17,1)))+Pipeline!$S$18*Pipeline!$D$18*MIN(1,MAX(0,(16-Pipeline!$E$18+1)/MAX(Pipeline!$F$18,1)))+Pipeline!$S$19*Pipeline!$D$19*MIN(1,MAX(0,(16-Pipeline!$E$19+1)/MAX(Pipeline!$F$19,1)))+Pipeline!$S$20*Pipeline!$D$20*MIN(1,MAX(0,(16-Pipeline!$E$20+1)/MAX(Pipeline!$F$20,1)))+Pipeline!$S$21*Pipeline!$D$21*MIN(1,MAX(0,(16-Pipeline!$E$21+1)/MAX(Pipeline!$F$21,1)))+Pipeline!$S$22*Pipeline!$D$22*MIN(1,MAX(0,(16-Pipeline!$E$22+1)/MAX(Pipeline!$F$22,1)))</f>
        <v>820.1925</v>
      </c>
      <c r="S20" s="150" t="n">
        <f aca="false">Pipeline!$S$16*Pipeline!$D$16*MIN(1,MAX(0,(17-Pipeline!$E$16+1)/MAX(Pipeline!$F$16,1)))+Pipeline!$S$17*Pipeline!$D$17*MIN(1,MAX(0,(17-Pipeline!$E$17+1)/MAX(Pipeline!$F$17,1)))+Pipeline!$S$18*Pipeline!$D$18*MIN(1,MAX(0,(17-Pipeline!$E$18+1)/MAX(Pipeline!$F$18,1)))+Pipeline!$S$19*Pipeline!$D$19*MIN(1,MAX(0,(17-Pipeline!$E$19+1)/MAX(Pipeline!$F$19,1)))+Pipeline!$S$20*Pipeline!$D$20*MIN(1,MAX(0,(17-Pipeline!$E$20+1)/MAX(Pipeline!$F$20,1)))+Pipeline!$S$21*Pipeline!$D$21*MIN(1,MAX(0,(17-Pipeline!$E$21+1)/MAX(Pipeline!$F$21,1)))+Pipeline!$S$22*Pipeline!$D$22*MIN(1,MAX(0,(17-Pipeline!$E$22+1)/MAX(Pipeline!$F$22,1)))</f>
        <v>881.0925</v>
      </c>
      <c r="T20" s="150" t="n">
        <f aca="false">Pipeline!$S$16*Pipeline!$D$16*MIN(1,MAX(0,(18-Pipeline!$E$16+1)/MAX(Pipeline!$F$16,1)))+Pipeline!$S$17*Pipeline!$D$17*MIN(1,MAX(0,(18-Pipeline!$E$17+1)/MAX(Pipeline!$F$17,1)))+Pipeline!$S$18*Pipeline!$D$18*MIN(1,MAX(0,(18-Pipeline!$E$18+1)/MAX(Pipeline!$F$18,1)))+Pipeline!$S$19*Pipeline!$D$19*MIN(1,MAX(0,(18-Pipeline!$E$19+1)/MAX(Pipeline!$F$19,1)))+Pipeline!$S$20*Pipeline!$D$20*MIN(1,MAX(0,(18-Pipeline!$E$20+1)/MAX(Pipeline!$F$20,1)))+Pipeline!$S$21*Pipeline!$D$21*MIN(1,MAX(0,(18-Pipeline!$E$21+1)/MAX(Pipeline!$F$21,1)))+Pipeline!$S$22*Pipeline!$D$22*MIN(1,MAX(0,(18-Pipeline!$E$22+1)/MAX(Pipeline!$F$22,1)))</f>
        <v>941.9925</v>
      </c>
      <c r="U20" s="150" t="n">
        <f aca="false">Pipeline!$S$16*Pipeline!$D$16*MIN(1,MAX(0,(19-Pipeline!$E$16+1)/MAX(Pipeline!$F$16,1)))+Pipeline!$S$17*Pipeline!$D$17*MIN(1,MAX(0,(19-Pipeline!$E$17+1)/MAX(Pipeline!$F$17,1)))+Pipeline!$S$18*Pipeline!$D$18*MIN(1,MAX(0,(19-Pipeline!$E$18+1)/MAX(Pipeline!$F$18,1)))+Pipeline!$S$19*Pipeline!$D$19*MIN(1,MAX(0,(19-Pipeline!$E$19+1)/MAX(Pipeline!$F$19,1)))+Pipeline!$S$20*Pipeline!$D$20*MIN(1,MAX(0,(19-Pipeline!$E$20+1)/MAX(Pipeline!$F$20,1)))+Pipeline!$S$21*Pipeline!$D$21*MIN(1,MAX(0,(19-Pipeline!$E$21+1)/MAX(Pipeline!$F$21,1)))+Pipeline!$S$22*Pipeline!$D$22*MIN(1,MAX(0,(19-Pipeline!$E$22+1)/MAX(Pipeline!$F$22,1)))</f>
        <v>1002.8925</v>
      </c>
      <c r="V20" s="150" t="n">
        <f aca="false">Pipeline!$S$16*Pipeline!$D$16*MIN(1,MAX(0,(20-Pipeline!$E$16+1)/MAX(Pipeline!$F$16,1)))+Pipeline!$S$17*Pipeline!$D$17*MIN(1,MAX(0,(20-Pipeline!$E$17+1)/MAX(Pipeline!$F$17,1)))+Pipeline!$S$18*Pipeline!$D$18*MIN(1,MAX(0,(20-Pipeline!$E$18+1)/MAX(Pipeline!$F$18,1)))+Pipeline!$S$19*Pipeline!$D$19*MIN(1,MAX(0,(20-Pipeline!$E$19+1)/MAX(Pipeline!$F$19,1)))+Pipeline!$S$20*Pipeline!$D$20*MIN(1,MAX(0,(20-Pipeline!$E$20+1)/MAX(Pipeline!$F$20,1)))+Pipeline!$S$21*Pipeline!$D$21*MIN(1,MAX(0,(20-Pipeline!$E$21+1)/MAX(Pipeline!$F$21,1)))+Pipeline!$S$22*Pipeline!$D$22*MIN(1,MAX(0,(20-Pipeline!$E$22+1)/MAX(Pipeline!$F$22,1)))</f>
        <v>1063.7925</v>
      </c>
      <c r="W20" s="150" t="n">
        <f aca="false">Pipeline!$S$16*Pipeline!$D$16*MIN(1,MAX(0,(21-Pipeline!$E$16+1)/MAX(Pipeline!$F$16,1)))+Pipeline!$S$17*Pipeline!$D$17*MIN(1,MAX(0,(21-Pipeline!$E$17+1)/MAX(Pipeline!$F$17,1)))+Pipeline!$S$18*Pipeline!$D$18*MIN(1,MAX(0,(21-Pipeline!$E$18+1)/MAX(Pipeline!$F$18,1)))+Pipeline!$S$19*Pipeline!$D$19*MIN(1,MAX(0,(21-Pipeline!$E$19+1)/MAX(Pipeline!$F$19,1)))+Pipeline!$S$20*Pipeline!$D$20*MIN(1,MAX(0,(21-Pipeline!$E$20+1)/MAX(Pipeline!$F$20,1)))+Pipeline!$S$21*Pipeline!$D$21*MIN(1,MAX(0,(21-Pipeline!$E$21+1)/MAX(Pipeline!$F$21,1)))+Pipeline!$S$22*Pipeline!$D$22*MIN(1,MAX(0,(21-Pipeline!$E$22+1)/MAX(Pipeline!$F$22,1)))</f>
        <v>1124.6925</v>
      </c>
      <c r="X20" s="150" t="n">
        <f aca="false">Pipeline!$S$16*Pipeline!$D$16*MIN(1,MAX(0,(22-Pipeline!$E$16+1)/MAX(Pipeline!$F$16,1)))+Pipeline!$S$17*Pipeline!$D$17*MIN(1,MAX(0,(22-Pipeline!$E$17+1)/MAX(Pipeline!$F$17,1)))+Pipeline!$S$18*Pipeline!$D$18*MIN(1,MAX(0,(22-Pipeline!$E$18+1)/MAX(Pipeline!$F$18,1)))+Pipeline!$S$19*Pipeline!$D$19*MIN(1,MAX(0,(22-Pipeline!$E$19+1)/MAX(Pipeline!$F$19,1)))+Pipeline!$S$20*Pipeline!$D$20*MIN(1,MAX(0,(22-Pipeline!$E$20+1)/MAX(Pipeline!$F$20,1)))+Pipeline!$S$21*Pipeline!$D$21*MIN(1,MAX(0,(22-Pipeline!$E$21+1)/MAX(Pipeline!$F$21,1)))+Pipeline!$S$22*Pipeline!$D$22*MIN(1,MAX(0,(22-Pipeline!$E$22+1)/MAX(Pipeline!$F$22,1)))</f>
        <v>1142.0925</v>
      </c>
      <c r="Y20" s="150" t="n">
        <f aca="false">Pipeline!$S$16*Pipeline!$D$16*MIN(1,MAX(0,(23-Pipeline!$E$16+1)/MAX(Pipeline!$F$16,1)))+Pipeline!$S$17*Pipeline!$D$17*MIN(1,MAX(0,(23-Pipeline!$E$17+1)/MAX(Pipeline!$F$17,1)))+Pipeline!$S$18*Pipeline!$D$18*MIN(1,MAX(0,(23-Pipeline!$E$18+1)/MAX(Pipeline!$F$18,1)))+Pipeline!$S$19*Pipeline!$D$19*MIN(1,MAX(0,(23-Pipeline!$E$19+1)/MAX(Pipeline!$F$19,1)))+Pipeline!$S$20*Pipeline!$D$20*MIN(1,MAX(0,(23-Pipeline!$E$20+1)/MAX(Pipeline!$F$20,1)))+Pipeline!$S$21*Pipeline!$D$21*MIN(1,MAX(0,(23-Pipeline!$E$21+1)/MAX(Pipeline!$F$21,1)))+Pipeline!$S$22*Pipeline!$D$22*MIN(1,MAX(0,(23-Pipeline!$E$22+1)/MAX(Pipeline!$F$22,1)))</f>
        <v>1159.4925</v>
      </c>
      <c r="Z20" s="150" t="n">
        <f aca="false">Pipeline!$S$16*Pipeline!$D$16*MIN(1,MAX(0,(24-Pipeline!$E$16+1)/MAX(Pipeline!$F$16,1)))+Pipeline!$S$17*Pipeline!$D$17*MIN(1,MAX(0,(24-Pipeline!$E$17+1)/MAX(Pipeline!$F$17,1)))+Pipeline!$S$18*Pipeline!$D$18*MIN(1,MAX(0,(24-Pipeline!$E$18+1)/MAX(Pipeline!$F$18,1)))+Pipeline!$S$19*Pipeline!$D$19*MIN(1,MAX(0,(24-Pipeline!$E$19+1)/MAX(Pipeline!$F$19,1)))+Pipeline!$S$20*Pipeline!$D$20*MIN(1,MAX(0,(24-Pipeline!$E$20+1)/MAX(Pipeline!$F$20,1)))+Pipeline!$S$21*Pipeline!$D$21*MIN(1,MAX(0,(24-Pipeline!$E$21+1)/MAX(Pipeline!$F$21,1)))+Pipeline!$S$22*Pipeline!$D$22*MIN(1,MAX(0,(24-Pipeline!$E$22+1)/MAX(Pipeline!$F$22,1)))</f>
        <v>1159.4925</v>
      </c>
      <c r="AA20" s="150" t="n">
        <f aca="false">Pipeline!$S$16*Pipeline!$D$16*MIN(1,MAX(0,(25-Pipeline!$E$16+1)/MAX(Pipeline!$F$16,1)))+Pipeline!$S$17*Pipeline!$D$17*MIN(1,MAX(0,(25-Pipeline!$E$17+1)/MAX(Pipeline!$F$17,1)))+Pipeline!$S$18*Pipeline!$D$18*MIN(1,MAX(0,(25-Pipeline!$E$18+1)/MAX(Pipeline!$F$18,1)))+Pipeline!$S$19*Pipeline!$D$19*MIN(1,MAX(0,(25-Pipeline!$E$19+1)/MAX(Pipeline!$F$19,1)))+Pipeline!$S$20*Pipeline!$D$20*MIN(1,MAX(0,(25-Pipeline!$E$20+1)/MAX(Pipeline!$F$20,1)))+Pipeline!$S$21*Pipeline!$D$21*MIN(1,MAX(0,(25-Pipeline!$E$21+1)/MAX(Pipeline!$F$21,1)))+Pipeline!$S$22*Pipeline!$D$22*MIN(1,MAX(0,(25-Pipeline!$E$22+1)/MAX(Pipeline!$F$22,1)))</f>
        <v>1159.4925</v>
      </c>
      <c r="AB20" s="150" t="n">
        <f aca="false">Pipeline!$S$16*Pipeline!$D$16*MIN(1,MAX(0,(26-Pipeline!$E$16+1)/MAX(Pipeline!$F$16,1)))+Pipeline!$S$17*Pipeline!$D$17*MIN(1,MAX(0,(26-Pipeline!$E$17+1)/MAX(Pipeline!$F$17,1)))+Pipeline!$S$18*Pipeline!$D$18*MIN(1,MAX(0,(26-Pipeline!$E$18+1)/MAX(Pipeline!$F$18,1)))+Pipeline!$S$19*Pipeline!$D$19*MIN(1,MAX(0,(26-Pipeline!$E$19+1)/MAX(Pipeline!$F$19,1)))+Pipeline!$S$20*Pipeline!$D$20*MIN(1,MAX(0,(26-Pipeline!$E$20+1)/MAX(Pipeline!$F$20,1)))+Pipeline!$S$21*Pipeline!$D$21*MIN(1,MAX(0,(26-Pipeline!$E$21+1)/MAX(Pipeline!$F$21,1)))+Pipeline!$S$22*Pipeline!$D$22*MIN(1,MAX(0,(26-Pipeline!$E$22+1)/MAX(Pipeline!$F$22,1)))</f>
        <v>1159.4925</v>
      </c>
      <c r="AC20" s="150" t="n">
        <f aca="false">Pipeline!$S$16*Pipeline!$D$16*MIN(1,MAX(0,(27-Pipeline!$E$16+1)/MAX(Pipeline!$F$16,1)))+Pipeline!$S$17*Pipeline!$D$17*MIN(1,MAX(0,(27-Pipeline!$E$17+1)/MAX(Pipeline!$F$17,1)))+Pipeline!$S$18*Pipeline!$D$18*MIN(1,MAX(0,(27-Pipeline!$E$18+1)/MAX(Pipeline!$F$18,1)))+Pipeline!$S$19*Pipeline!$D$19*MIN(1,MAX(0,(27-Pipeline!$E$19+1)/MAX(Pipeline!$F$19,1)))+Pipeline!$S$20*Pipeline!$D$20*MIN(1,MAX(0,(27-Pipeline!$E$20+1)/MAX(Pipeline!$F$20,1)))+Pipeline!$S$21*Pipeline!$D$21*MIN(1,MAX(0,(27-Pipeline!$E$21+1)/MAX(Pipeline!$F$21,1)))+Pipeline!$S$22*Pipeline!$D$22*MIN(1,MAX(0,(27-Pipeline!$E$22+1)/MAX(Pipeline!$F$22,1)))</f>
        <v>1159.4925</v>
      </c>
      <c r="AD20" s="150" t="n">
        <f aca="false">Pipeline!$S$16*Pipeline!$D$16*MIN(1,MAX(0,(28-Pipeline!$E$16+1)/MAX(Pipeline!$F$16,1)))+Pipeline!$S$17*Pipeline!$D$17*MIN(1,MAX(0,(28-Pipeline!$E$17+1)/MAX(Pipeline!$F$17,1)))+Pipeline!$S$18*Pipeline!$D$18*MIN(1,MAX(0,(28-Pipeline!$E$18+1)/MAX(Pipeline!$F$18,1)))+Pipeline!$S$19*Pipeline!$D$19*MIN(1,MAX(0,(28-Pipeline!$E$19+1)/MAX(Pipeline!$F$19,1)))+Pipeline!$S$20*Pipeline!$D$20*MIN(1,MAX(0,(28-Pipeline!$E$20+1)/MAX(Pipeline!$F$20,1)))+Pipeline!$S$21*Pipeline!$D$21*MIN(1,MAX(0,(28-Pipeline!$E$21+1)/MAX(Pipeline!$F$21,1)))+Pipeline!$S$22*Pipeline!$D$22*MIN(1,MAX(0,(28-Pipeline!$E$22+1)/MAX(Pipeline!$F$22,1)))</f>
        <v>1159.4925</v>
      </c>
      <c r="AE20" s="150" t="n">
        <f aca="false">Pipeline!$S$16*Pipeline!$D$16*MIN(1,MAX(0,(29-Pipeline!$E$16+1)/MAX(Pipeline!$F$16,1)))+Pipeline!$S$17*Pipeline!$D$17*MIN(1,MAX(0,(29-Pipeline!$E$17+1)/MAX(Pipeline!$F$17,1)))+Pipeline!$S$18*Pipeline!$D$18*MIN(1,MAX(0,(29-Pipeline!$E$18+1)/MAX(Pipeline!$F$18,1)))+Pipeline!$S$19*Pipeline!$D$19*MIN(1,MAX(0,(29-Pipeline!$E$19+1)/MAX(Pipeline!$F$19,1)))+Pipeline!$S$20*Pipeline!$D$20*MIN(1,MAX(0,(29-Pipeline!$E$20+1)/MAX(Pipeline!$F$20,1)))+Pipeline!$S$21*Pipeline!$D$21*MIN(1,MAX(0,(29-Pipeline!$E$21+1)/MAX(Pipeline!$F$21,1)))+Pipeline!$S$22*Pipeline!$D$22*MIN(1,MAX(0,(29-Pipeline!$E$22+1)/MAX(Pipeline!$F$22,1)))</f>
        <v>1159.4925</v>
      </c>
      <c r="AF20" s="150" t="n">
        <f aca="false">Pipeline!$S$16*Pipeline!$D$16*MIN(1,MAX(0,(30-Pipeline!$E$16+1)/MAX(Pipeline!$F$16,1)))+Pipeline!$S$17*Pipeline!$D$17*MIN(1,MAX(0,(30-Pipeline!$E$17+1)/MAX(Pipeline!$F$17,1)))+Pipeline!$S$18*Pipeline!$D$18*MIN(1,MAX(0,(30-Pipeline!$E$18+1)/MAX(Pipeline!$F$18,1)))+Pipeline!$S$19*Pipeline!$D$19*MIN(1,MAX(0,(30-Pipeline!$E$19+1)/MAX(Pipeline!$F$19,1)))+Pipeline!$S$20*Pipeline!$D$20*MIN(1,MAX(0,(30-Pipeline!$E$20+1)/MAX(Pipeline!$F$20,1)))+Pipeline!$S$21*Pipeline!$D$21*MIN(1,MAX(0,(30-Pipeline!$E$21+1)/MAX(Pipeline!$F$21,1)))+Pipeline!$S$22*Pipeline!$D$22*MIN(1,MAX(0,(30-Pipeline!$E$22+1)/MAX(Pipeline!$F$22,1)))</f>
        <v>1159.4925</v>
      </c>
      <c r="AG20" s="150" t="n">
        <f aca="false">Pipeline!$S$16*Pipeline!$D$16*MIN(1,MAX(0,(31-Pipeline!$E$16+1)/MAX(Pipeline!$F$16,1)))+Pipeline!$S$17*Pipeline!$D$17*MIN(1,MAX(0,(31-Pipeline!$E$17+1)/MAX(Pipeline!$F$17,1)))+Pipeline!$S$18*Pipeline!$D$18*MIN(1,MAX(0,(31-Pipeline!$E$18+1)/MAX(Pipeline!$F$18,1)))+Pipeline!$S$19*Pipeline!$D$19*MIN(1,MAX(0,(31-Pipeline!$E$19+1)/MAX(Pipeline!$F$19,1)))+Pipeline!$S$20*Pipeline!$D$20*MIN(1,MAX(0,(31-Pipeline!$E$20+1)/MAX(Pipeline!$F$20,1)))+Pipeline!$S$21*Pipeline!$D$21*MIN(1,MAX(0,(31-Pipeline!$E$21+1)/MAX(Pipeline!$F$21,1)))+Pipeline!$S$22*Pipeline!$D$22*MIN(1,MAX(0,(31-Pipeline!$E$22+1)/MAX(Pipeline!$F$22,1)))</f>
        <v>1159.4925</v>
      </c>
      <c r="AH20" s="150" t="n">
        <f aca="false">Pipeline!$S$16*Pipeline!$D$16*MIN(1,MAX(0,(32-Pipeline!$E$16+1)/MAX(Pipeline!$F$16,1)))+Pipeline!$S$17*Pipeline!$D$17*MIN(1,MAX(0,(32-Pipeline!$E$17+1)/MAX(Pipeline!$F$17,1)))+Pipeline!$S$18*Pipeline!$D$18*MIN(1,MAX(0,(32-Pipeline!$E$18+1)/MAX(Pipeline!$F$18,1)))+Pipeline!$S$19*Pipeline!$D$19*MIN(1,MAX(0,(32-Pipeline!$E$19+1)/MAX(Pipeline!$F$19,1)))+Pipeline!$S$20*Pipeline!$D$20*MIN(1,MAX(0,(32-Pipeline!$E$20+1)/MAX(Pipeline!$F$20,1)))+Pipeline!$S$21*Pipeline!$D$21*MIN(1,MAX(0,(32-Pipeline!$E$21+1)/MAX(Pipeline!$F$21,1)))+Pipeline!$S$22*Pipeline!$D$22*MIN(1,MAX(0,(32-Pipeline!$E$22+1)/MAX(Pipeline!$F$22,1)))</f>
        <v>1159.4925</v>
      </c>
      <c r="AI20" s="150" t="n">
        <f aca="false">Pipeline!$S$16*Pipeline!$D$16*MIN(1,MAX(0,(33-Pipeline!$E$16+1)/MAX(Pipeline!$F$16,1)))+Pipeline!$S$17*Pipeline!$D$17*MIN(1,MAX(0,(33-Pipeline!$E$17+1)/MAX(Pipeline!$F$17,1)))+Pipeline!$S$18*Pipeline!$D$18*MIN(1,MAX(0,(33-Pipeline!$E$18+1)/MAX(Pipeline!$F$18,1)))+Pipeline!$S$19*Pipeline!$D$19*MIN(1,MAX(0,(33-Pipeline!$E$19+1)/MAX(Pipeline!$F$19,1)))+Pipeline!$S$20*Pipeline!$D$20*MIN(1,MAX(0,(33-Pipeline!$E$20+1)/MAX(Pipeline!$F$20,1)))+Pipeline!$S$21*Pipeline!$D$21*MIN(1,MAX(0,(33-Pipeline!$E$21+1)/MAX(Pipeline!$F$21,1)))+Pipeline!$S$22*Pipeline!$D$22*MIN(1,MAX(0,(33-Pipeline!$E$22+1)/MAX(Pipeline!$F$22,1)))</f>
        <v>1159.4925</v>
      </c>
      <c r="AJ20" s="150" t="n">
        <f aca="false">Pipeline!$S$16*Pipeline!$D$16*MIN(1,MAX(0,(34-Pipeline!$E$16+1)/MAX(Pipeline!$F$16,1)))+Pipeline!$S$17*Pipeline!$D$17*MIN(1,MAX(0,(34-Pipeline!$E$17+1)/MAX(Pipeline!$F$17,1)))+Pipeline!$S$18*Pipeline!$D$18*MIN(1,MAX(0,(34-Pipeline!$E$18+1)/MAX(Pipeline!$F$18,1)))+Pipeline!$S$19*Pipeline!$D$19*MIN(1,MAX(0,(34-Pipeline!$E$19+1)/MAX(Pipeline!$F$19,1)))+Pipeline!$S$20*Pipeline!$D$20*MIN(1,MAX(0,(34-Pipeline!$E$20+1)/MAX(Pipeline!$F$20,1)))+Pipeline!$S$21*Pipeline!$D$21*MIN(1,MAX(0,(34-Pipeline!$E$21+1)/MAX(Pipeline!$F$21,1)))+Pipeline!$S$22*Pipeline!$D$22*MIN(1,MAX(0,(34-Pipeline!$E$22+1)/MAX(Pipeline!$F$22,1)))</f>
        <v>1159.4925</v>
      </c>
      <c r="AK20" s="150" t="n">
        <f aca="false">Pipeline!$S$16*Pipeline!$D$16*MIN(1,MAX(0,(35-Pipeline!$E$16+1)/MAX(Pipeline!$F$16,1)))+Pipeline!$S$17*Pipeline!$D$17*MIN(1,MAX(0,(35-Pipeline!$E$17+1)/MAX(Pipeline!$F$17,1)))+Pipeline!$S$18*Pipeline!$D$18*MIN(1,MAX(0,(35-Pipeline!$E$18+1)/MAX(Pipeline!$F$18,1)))+Pipeline!$S$19*Pipeline!$D$19*MIN(1,MAX(0,(35-Pipeline!$E$19+1)/MAX(Pipeline!$F$19,1)))+Pipeline!$S$20*Pipeline!$D$20*MIN(1,MAX(0,(35-Pipeline!$E$20+1)/MAX(Pipeline!$F$20,1)))+Pipeline!$S$21*Pipeline!$D$21*MIN(1,MAX(0,(35-Pipeline!$E$21+1)/MAX(Pipeline!$F$21,1)))+Pipeline!$S$22*Pipeline!$D$22*MIN(1,MAX(0,(35-Pipeline!$E$22+1)/MAX(Pipeline!$F$22,1)))</f>
        <v>1159.4925</v>
      </c>
      <c r="AL20" s="150" t="n">
        <f aca="false">Pipeline!$S$16*Pipeline!$D$16*MIN(1,MAX(0,(36-Pipeline!$E$16+1)/MAX(Pipeline!$F$16,1)))+Pipeline!$S$17*Pipeline!$D$17*MIN(1,MAX(0,(36-Pipeline!$E$17+1)/MAX(Pipeline!$F$17,1)))+Pipeline!$S$18*Pipeline!$D$18*MIN(1,MAX(0,(36-Pipeline!$E$18+1)/MAX(Pipeline!$F$18,1)))+Pipeline!$S$19*Pipeline!$D$19*MIN(1,MAX(0,(36-Pipeline!$E$19+1)/MAX(Pipeline!$F$19,1)))+Pipeline!$S$20*Pipeline!$D$20*MIN(1,MAX(0,(36-Pipeline!$E$20+1)/MAX(Pipeline!$F$20,1)))+Pipeline!$S$21*Pipeline!$D$21*MIN(1,MAX(0,(36-Pipeline!$E$21+1)/MAX(Pipeline!$F$21,1)))+Pipeline!$S$22*Pipeline!$D$22*MIN(1,MAX(0,(36-Pipeline!$E$22+1)/MAX(Pipeline!$F$22,1)))</f>
        <v>1159.4925</v>
      </c>
      <c r="AM20" s="150" t="n">
        <f aca="false">Pipeline!$S$16*Pipeline!$D$16*MIN(1,MAX(0,(37-Pipeline!$E$16+1)/MAX(Pipeline!$F$16,1)))+Pipeline!$S$17*Pipeline!$D$17*MIN(1,MAX(0,(37-Pipeline!$E$17+1)/MAX(Pipeline!$F$17,1)))+Pipeline!$S$18*Pipeline!$D$18*MIN(1,MAX(0,(37-Pipeline!$E$18+1)/MAX(Pipeline!$F$18,1)))+Pipeline!$S$19*Pipeline!$D$19*MIN(1,MAX(0,(37-Pipeline!$E$19+1)/MAX(Pipeline!$F$19,1)))+Pipeline!$S$20*Pipeline!$D$20*MIN(1,MAX(0,(37-Pipeline!$E$20+1)/MAX(Pipeline!$F$20,1)))+Pipeline!$S$21*Pipeline!$D$21*MIN(1,MAX(0,(37-Pipeline!$E$21+1)/MAX(Pipeline!$F$21,1)))+Pipeline!$S$22*Pipeline!$D$22*MIN(1,MAX(0,(37-Pipeline!$E$22+1)/MAX(Pipeline!$F$22,1)))</f>
        <v>1159.4925</v>
      </c>
      <c r="AN20" s="150" t="n">
        <f aca="false">Pipeline!$S$16*Pipeline!$D$16*MIN(1,MAX(0,(38-Pipeline!$E$16+1)/MAX(Pipeline!$F$16,1)))+Pipeline!$S$17*Pipeline!$D$17*MIN(1,MAX(0,(38-Pipeline!$E$17+1)/MAX(Pipeline!$F$17,1)))+Pipeline!$S$18*Pipeline!$D$18*MIN(1,MAX(0,(38-Pipeline!$E$18+1)/MAX(Pipeline!$F$18,1)))+Pipeline!$S$19*Pipeline!$D$19*MIN(1,MAX(0,(38-Pipeline!$E$19+1)/MAX(Pipeline!$F$19,1)))+Pipeline!$S$20*Pipeline!$D$20*MIN(1,MAX(0,(38-Pipeline!$E$20+1)/MAX(Pipeline!$F$20,1)))+Pipeline!$S$21*Pipeline!$D$21*MIN(1,MAX(0,(38-Pipeline!$E$21+1)/MAX(Pipeline!$F$21,1)))+Pipeline!$S$22*Pipeline!$D$22*MIN(1,MAX(0,(38-Pipeline!$E$22+1)/MAX(Pipeline!$F$22,1)))</f>
        <v>1159.4925</v>
      </c>
      <c r="AO20" s="150" t="n">
        <f aca="false">Pipeline!$S$16*Pipeline!$D$16*MIN(1,MAX(0,(39-Pipeline!$E$16+1)/MAX(Pipeline!$F$16,1)))+Pipeline!$S$17*Pipeline!$D$17*MIN(1,MAX(0,(39-Pipeline!$E$17+1)/MAX(Pipeline!$F$17,1)))+Pipeline!$S$18*Pipeline!$D$18*MIN(1,MAX(0,(39-Pipeline!$E$18+1)/MAX(Pipeline!$F$18,1)))+Pipeline!$S$19*Pipeline!$D$19*MIN(1,MAX(0,(39-Pipeline!$E$19+1)/MAX(Pipeline!$F$19,1)))+Pipeline!$S$20*Pipeline!$D$20*MIN(1,MAX(0,(39-Pipeline!$E$20+1)/MAX(Pipeline!$F$20,1)))+Pipeline!$S$21*Pipeline!$D$21*MIN(1,MAX(0,(39-Pipeline!$E$21+1)/MAX(Pipeline!$F$21,1)))+Pipeline!$S$22*Pipeline!$D$22*MIN(1,MAX(0,(39-Pipeline!$E$22+1)/MAX(Pipeline!$F$22,1)))</f>
        <v>1159.4925</v>
      </c>
      <c r="AP20" s="150" t="n">
        <f aca="false">Pipeline!$S$16*Pipeline!$D$16*MIN(1,MAX(0,(40-Pipeline!$E$16+1)/MAX(Pipeline!$F$16,1)))+Pipeline!$S$17*Pipeline!$D$17*MIN(1,MAX(0,(40-Pipeline!$E$17+1)/MAX(Pipeline!$F$17,1)))+Pipeline!$S$18*Pipeline!$D$18*MIN(1,MAX(0,(40-Pipeline!$E$18+1)/MAX(Pipeline!$F$18,1)))+Pipeline!$S$19*Pipeline!$D$19*MIN(1,MAX(0,(40-Pipeline!$E$19+1)/MAX(Pipeline!$F$19,1)))+Pipeline!$S$20*Pipeline!$D$20*MIN(1,MAX(0,(40-Pipeline!$E$20+1)/MAX(Pipeline!$F$20,1)))+Pipeline!$S$21*Pipeline!$D$21*MIN(1,MAX(0,(40-Pipeline!$E$21+1)/MAX(Pipeline!$F$21,1)))+Pipeline!$S$22*Pipeline!$D$22*MIN(1,MAX(0,(40-Pipeline!$E$22+1)/MAX(Pipeline!$F$22,1)))</f>
        <v>1159.4925</v>
      </c>
      <c r="AQ20" s="150" t="n">
        <f aca="false">Pipeline!$S$16*Pipeline!$D$16*MIN(1,MAX(0,(41-Pipeline!$E$16+1)/MAX(Pipeline!$F$16,1)))+Pipeline!$S$17*Pipeline!$D$17*MIN(1,MAX(0,(41-Pipeline!$E$17+1)/MAX(Pipeline!$F$17,1)))+Pipeline!$S$18*Pipeline!$D$18*MIN(1,MAX(0,(41-Pipeline!$E$18+1)/MAX(Pipeline!$F$18,1)))+Pipeline!$S$19*Pipeline!$D$19*MIN(1,MAX(0,(41-Pipeline!$E$19+1)/MAX(Pipeline!$F$19,1)))+Pipeline!$S$20*Pipeline!$D$20*MIN(1,MAX(0,(41-Pipeline!$E$20+1)/MAX(Pipeline!$F$20,1)))+Pipeline!$S$21*Pipeline!$D$21*MIN(1,MAX(0,(41-Pipeline!$E$21+1)/MAX(Pipeline!$F$21,1)))+Pipeline!$S$22*Pipeline!$D$22*MIN(1,MAX(0,(41-Pipeline!$E$22+1)/MAX(Pipeline!$F$22,1)))</f>
        <v>1159.4925</v>
      </c>
      <c r="AR20" s="150" t="n">
        <f aca="false">Pipeline!$S$16*Pipeline!$D$16*MIN(1,MAX(0,(42-Pipeline!$E$16+1)/MAX(Pipeline!$F$16,1)))+Pipeline!$S$17*Pipeline!$D$17*MIN(1,MAX(0,(42-Pipeline!$E$17+1)/MAX(Pipeline!$F$17,1)))+Pipeline!$S$18*Pipeline!$D$18*MIN(1,MAX(0,(42-Pipeline!$E$18+1)/MAX(Pipeline!$F$18,1)))+Pipeline!$S$19*Pipeline!$D$19*MIN(1,MAX(0,(42-Pipeline!$E$19+1)/MAX(Pipeline!$F$19,1)))+Pipeline!$S$20*Pipeline!$D$20*MIN(1,MAX(0,(42-Pipeline!$E$20+1)/MAX(Pipeline!$F$20,1)))+Pipeline!$S$21*Pipeline!$D$21*MIN(1,MAX(0,(42-Pipeline!$E$21+1)/MAX(Pipeline!$F$21,1)))+Pipeline!$S$22*Pipeline!$D$22*MIN(1,MAX(0,(42-Pipeline!$E$22+1)/MAX(Pipeline!$F$22,1)))</f>
        <v>1159.4925</v>
      </c>
      <c r="AS20" s="150" t="n">
        <f aca="false">Pipeline!$S$16*Pipeline!$D$16*MIN(1,MAX(0,(43-Pipeline!$E$16+1)/MAX(Pipeline!$F$16,1)))+Pipeline!$S$17*Pipeline!$D$17*MIN(1,MAX(0,(43-Pipeline!$E$17+1)/MAX(Pipeline!$F$17,1)))+Pipeline!$S$18*Pipeline!$D$18*MIN(1,MAX(0,(43-Pipeline!$E$18+1)/MAX(Pipeline!$F$18,1)))+Pipeline!$S$19*Pipeline!$D$19*MIN(1,MAX(0,(43-Pipeline!$E$19+1)/MAX(Pipeline!$F$19,1)))+Pipeline!$S$20*Pipeline!$D$20*MIN(1,MAX(0,(43-Pipeline!$E$20+1)/MAX(Pipeline!$F$20,1)))+Pipeline!$S$21*Pipeline!$D$21*MIN(1,MAX(0,(43-Pipeline!$E$21+1)/MAX(Pipeline!$F$21,1)))+Pipeline!$S$22*Pipeline!$D$22*MIN(1,MAX(0,(43-Pipeline!$E$22+1)/MAX(Pipeline!$F$22,1)))</f>
        <v>1159.4925</v>
      </c>
      <c r="AT20" s="150" t="n">
        <f aca="false">Pipeline!$S$16*Pipeline!$D$16*MIN(1,MAX(0,(44-Pipeline!$E$16+1)/MAX(Pipeline!$F$16,1)))+Pipeline!$S$17*Pipeline!$D$17*MIN(1,MAX(0,(44-Pipeline!$E$17+1)/MAX(Pipeline!$F$17,1)))+Pipeline!$S$18*Pipeline!$D$18*MIN(1,MAX(0,(44-Pipeline!$E$18+1)/MAX(Pipeline!$F$18,1)))+Pipeline!$S$19*Pipeline!$D$19*MIN(1,MAX(0,(44-Pipeline!$E$19+1)/MAX(Pipeline!$F$19,1)))+Pipeline!$S$20*Pipeline!$D$20*MIN(1,MAX(0,(44-Pipeline!$E$20+1)/MAX(Pipeline!$F$20,1)))+Pipeline!$S$21*Pipeline!$D$21*MIN(1,MAX(0,(44-Pipeline!$E$21+1)/MAX(Pipeline!$F$21,1)))+Pipeline!$S$22*Pipeline!$D$22*MIN(1,MAX(0,(44-Pipeline!$E$22+1)/MAX(Pipeline!$F$22,1)))</f>
        <v>1159.4925</v>
      </c>
      <c r="AU20" s="150" t="n">
        <f aca="false">Pipeline!$S$16*Pipeline!$D$16*MIN(1,MAX(0,(45-Pipeline!$E$16+1)/MAX(Pipeline!$F$16,1)))+Pipeline!$S$17*Pipeline!$D$17*MIN(1,MAX(0,(45-Pipeline!$E$17+1)/MAX(Pipeline!$F$17,1)))+Pipeline!$S$18*Pipeline!$D$18*MIN(1,MAX(0,(45-Pipeline!$E$18+1)/MAX(Pipeline!$F$18,1)))+Pipeline!$S$19*Pipeline!$D$19*MIN(1,MAX(0,(45-Pipeline!$E$19+1)/MAX(Pipeline!$F$19,1)))+Pipeline!$S$20*Pipeline!$D$20*MIN(1,MAX(0,(45-Pipeline!$E$20+1)/MAX(Pipeline!$F$20,1)))+Pipeline!$S$21*Pipeline!$D$21*MIN(1,MAX(0,(45-Pipeline!$E$21+1)/MAX(Pipeline!$F$21,1)))+Pipeline!$S$22*Pipeline!$D$22*MIN(1,MAX(0,(45-Pipeline!$E$22+1)/MAX(Pipeline!$F$22,1)))</f>
        <v>1159.4925</v>
      </c>
      <c r="AV20" s="150" t="n">
        <f aca="false">Pipeline!$S$16*Pipeline!$D$16*MIN(1,MAX(0,(46-Pipeline!$E$16+1)/MAX(Pipeline!$F$16,1)))+Pipeline!$S$17*Pipeline!$D$17*MIN(1,MAX(0,(46-Pipeline!$E$17+1)/MAX(Pipeline!$F$17,1)))+Pipeline!$S$18*Pipeline!$D$18*MIN(1,MAX(0,(46-Pipeline!$E$18+1)/MAX(Pipeline!$F$18,1)))+Pipeline!$S$19*Pipeline!$D$19*MIN(1,MAX(0,(46-Pipeline!$E$19+1)/MAX(Pipeline!$F$19,1)))+Pipeline!$S$20*Pipeline!$D$20*MIN(1,MAX(0,(46-Pipeline!$E$20+1)/MAX(Pipeline!$F$20,1)))+Pipeline!$S$21*Pipeline!$D$21*MIN(1,MAX(0,(46-Pipeline!$E$21+1)/MAX(Pipeline!$F$21,1)))+Pipeline!$S$22*Pipeline!$D$22*MIN(1,MAX(0,(46-Pipeline!$E$22+1)/MAX(Pipeline!$F$22,1)))</f>
        <v>1159.4925</v>
      </c>
      <c r="AW20" s="150" t="n">
        <f aca="false">Pipeline!$S$16*Pipeline!$D$16*MIN(1,MAX(0,(47-Pipeline!$E$16+1)/MAX(Pipeline!$F$16,1)))+Pipeline!$S$17*Pipeline!$D$17*MIN(1,MAX(0,(47-Pipeline!$E$17+1)/MAX(Pipeline!$F$17,1)))+Pipeline!$S$18*Pipeline!$D$18*MIN(1,MAX(0,(47-Pipeline!$E$18+1)/MAX(Pipeline!$F$18,1)))+Pipeline!$S$19*Pipeline!$D$19*MIN(1,MAX(0,(47-Pipeline!$E$19+1)/MAX(Pipeline!$F$19,1)))+Pipeline!$S$20*Pipeline!$D$20*MIN(1,MAX(0,(47-Pipeline!$E$20+1)/MAX(Pipeline!$F$20,1)))+Pipeline!$S$21*Pipeline!$D$21*MIN(1,MAX(0,(47-Pipeline!$E$21+1)/MAX(Pipeline!$F$21,1)))+Pipeline!$S$22*Pipeline!$D$22*MIN(1,MAX(0,(47-Pipeline!$E$22+1)/MAX(Pipeline!$F$22,1)))</f>
        <v>1159.4925</v>
      </c>
      <c r="AX20" s="150" t="n">
        <f aca="false">Pipeline!$S$16*Pipeline!$D$16*MIN(1,MAX(0,(48-Pipeline!$E$16+1)/MAX(Pipeline!$F$16,1)))+Pipeline!$S$17*Pipeline!$D$17*MIN(1,MAX(0,(48-Pipeline!$E$17+1)/MAX(Pipeline!$F$17,1)))+Pipeline!$S$18*Pipeline!$D$18*MIN(1,MAX(0,(48-Pipeline!$E$18+1)/MAX(Pipeline!$F$18,1)))+Pipeline!$S$19*Pipeline!$D$19*MIN(1,MAX(0,(48-Pipeline!$E$19+1)/MAX(Pipeline!$F$19,1)))+Pipeline!$S$20*Pipeline!$D$20*MIN(1,MAX(0,(48-Pipeline!$E$20+1)/MAX(Pipeline!$F$20,1)))+Pipeline!$S$21*Pipeline!$D$21*MIN(1,MAX(0,(48-Pipeline!$E$21+1)/MAX(Pipeline!$F$21,1)))+Pipeline!$S$22*Pipeline!$D$22*MIN(1,MAX(0,(48-Pipeline!$E$22+1)/MAX(Pipeline!$F$22,1)))</f>
        <v>1159.4925</v>
      </c>
      <c r="AY20" s="150" t="n">
        <f aca="false">Pipeline!$S$16*Pipeline!$D$16*MIN(1,MAX(0,(49-Pipeline!$E$16+1)/MAX(Pipeline!$F$16,1)))+Pipeline!$S$17*Pipeline!$D$17*MIN(1,MAX(0,(49-Pipeline!$E$17+1)/MAX(Pipeline!$F$17,1)))+Pipeline!$S$18*Pipeline!$D$18*MIN(1,MAX(0,(49-Pipeline!$E$18+1)/MAX(Pipeline!$F$18,1)))+Pipeline!$S$19*Pipeline!$D$19*MIN(1,MAX(0,(49-Pipeline!$E$19+1)/MAX(Pipeline!$F$19,1)))+Pipeline!$S$20*Pipeline!$D$20*MIN(1,MAX(0,(49-Pipeline!$E$20+1)/MAX(Pipeline!$F$20,1)))+Pipeline!$S$21*Pipeline!$D$21*MIN(1,MAX(0,(49-Pipeline!$E$21+1)/MAX(Pipeline!$F$21,1)))+Pipeline!$S$22*Pipeline!$D$22*MIN(1,MAX(0,(49-Pipeline!$E$22+1)/MAX(Pipeline!$F$22,1)))</f>
        <v>1159.4925</v>
      </c>
      <c r="AZ20" s="150" t="n">
        <f aca="false">Pipeline!$S$16*Pipeline!$D$16*MIN(1,MAX(0,(50-Pipeline!$E$16+1)/MAX(Pipeline!$F$16,1)))+Pipeline!$S$17*Pipeline!$D$17*MIN(1,MAX(0,(50-Pipeline!$E$17+1)/MAX(Pipeline!$F$17,1)))+Pipeline!$S$18*Pipeline!$D$18*MIN(1,MAX(0,(50-Pipeline!$E$18+1)/MAX(Pipeline!$F$18,1)))+Pipeline!$S$19*Pipeline!$D$19*MIN(1,MAX(0,(50-Pipeline!$E$19+1)/MAX(Pipeline!$F$19,1)))+Pipeline!$S$20*Pipeline!$D$20*MIN(1,MAX(0,(50-Pipeline!$E$20+1)/MAX(Pipeline!$F$20,1)))+Pipeline!$S$21*Pipeline!$D$21*MIN(1,MAX(0,(50-Pipeline!$E$21+1)/MAX(Pipeline!$F$21,1)))+Pipeline!$S$22*Pipeline!$D$22*MIN(1,MAX(0,(50-Pipeline!$E$22+1)/MAX(Pipeline!$F$22,1)))</f>
        <v>1159.4925</v>
      </c>
      <c r="BA20" s="150" t="n">
        <f aca="false">Pipeline!$S$16*Pipeline!$D$16*MIN(1,MAX(0,(51-Pipeline!$E$16+1)/MAX(Pipeline!$F$16,1)))+Pipeline!$S$17*Pipeline!$D$17*MIN(1,MAX(0,(51-Pipeline!$E$17+1)/MAX(Pipeline!$F$17,1)))+Pipeline!$S$18*Pipeline!$D$18*MIN(1,MAX(0,(51-Pipeline!$E$18+1)/MAX(Pipeline!$F$18,1)))+Pipeline!$S$19*Pipeline!$D$19*MIN(1,MAX(0,(51-Pipeline!$E$19+1)/MAX(Pipeline!$F$19,1)))+Pipeline!$S$20*Pipeline!$D$20*MIN(1,MAX(0,(51-Pipeline!$E$20+1)/MAX(Pipeline!$F$20,1)))+Pipeline!$S$21*Pipeline!$D$21*MIN(1,MAX(0,(51-Pipeline!$E$21+1)/MAX(Pipeline!$F$21,1)))+Pipeline!$S$22*Pipeline!$D$22*MIN(1,MAX(0,(51-Pipeline!$E$22+1)/MAX(Pipeline!$F$22,1)))</f>
        <v>1159.4925</v>
      </c>
      <c r="BB20" s="150" t="n">
        <f aca="false">Pipeline!$S$16*Pipeline!$D$16*MIN(1,MAX(0,(52-Pipeline!$E$16+1)/MAX(Pipeline!$F$16,1)))+Pipeline!$S$17*Pipeline!$D$17*MIN(1,MAX(0,(52-Pipeline!$E$17+1)/MAX(Pipeline!$F$17,1)))+Pipeline!$S$18*Pipeline!$D$18*MIN(1,MAX(0,(52-Pipeline!$E$18+1)/MAX(Pipeline!$F$18,1)))+Pipeline!$S$19*Pipeline!$D$19*MIN(1,MAX(0,(52-Pipeline!$E$19+1)/MAX(Pipeline!$F$19,1)))+Pipeline!$S$20*Pipeline!$D$20*MIN(1,MAX(0,(52-Pipeline!$E$20+1)/MAX(Pipeline!$F$20,1)))+Pipeline!$S$21*Pipeline!$D$21*MIN(1,MAX(0,(52-Pipeline!$E$21+1)/MAX(Pipeline!$F$21,1)))+Pipeline!$S$22*Pipeline!$D$22*MIN(1,MAX(0,(52-Pipeline!$E$22+1)/MAX(Pipeline!$F$22,1)))</f>
        <v>1159.4925</v>
      </c>
      <c r="BC20" s="150" t="n">
        <f aca="false">Pipeline!$S$16*Pipeline!$D$16*MIN(1,MAX(0,(53-Pipeline!$E$16+1)/MAX(Pipeline!$F$16,1)))+Pipeline!$S$17*Pipeline!$D$17*MIN(1,MAX(0,(53-Pipeline!$E$17+1)/MAX(Pipeline!$F$17,1)))+Pipeline!$S$18*Pipeline!$D$18*MIN(1,MAX(0,(53-Pipeline!$E$18+1)/MAX(Pipeline!$F$18,1)))+Pipeline!$S$19*Pipeline!$D$19*MIN(1,MAX(0,(53-Pipeline!$E$19+1)/MAX(Pipeline!$F$19,1)))+Pipeline!$S$20*Pipeline!$D$20*MIN(1,MAX(0,(53-Pipeline!$E$20+1)/MAX(Pipeline!$F$20,1)))+Pipeline!$S$21*Pipeline!$D$21*MIN(1,MAX(0,(53-Pipeline!$E$21+1)/MAX(Pipeline!$F$21,1)))+Pipeline!$S$22*Pipeline!$D$22*MIN(1,MAX(0,(53-Pipeline!$E$22+1)/MAX(Pipeline!$F$22,1)))</f>
        <v>1159.4925</v>
      </c>
      <c r="BD20" s="150" t="n">
        <f aca="false">Pipeline!$S$16*Pipeline!$D$16*MIN(1,MAX(0,(54-Pipeline!$E$16+1)/MAX(Pipeline!$F$16,1)))+Pipeline!$S$17*Pipeline!$D$17*MIN(1,MAX(0,(54-Pipeline!$E$17+1)/MAX(Pipeline!$F$17,1)))+Pipeline!$S$18*Pipeline!$D$18*MIN(1,MAX(0,(54-Pipeline!$E$18+1)/MAX(Pipeline!$F$18,1)))+Pipeline!$S$19*Pipeline!$D$19*MIN(1,MAX(0,(54-Pipeline!$E$19+1)/MAX(Pipeline!$F$19,1)))+Pipeline!$S$20*Pipeline!$D$20*MIN(1,MAX(0,(54-Pipeline!$E$20+1)/MAX(Pipeline!$F$20,1)))+Pipeline!$S$21*Pipeline!$D$21*MIN(1,MAX(0,(54-Pipeline!$E$21+1)/MAX(Pipeline!$F$21,1)))+Pipeline!$S$22*Pipeline!$D$22*MIN(1,MAX(0,(54-Pipeline!$E$22+1)/MAX(Pipeline!$F$22,1)))</f>
        <v>1159.4925</v>
      </c>
      <c r="BE20" s="150" t="n">
        <f aca="false">Pipeline!$S$16*Pipeline!$D$16*MIN(1,MAX(0,(55-Pipeline!$E$16+1)/MAX(Pipeline!$F$16,1)))+Pipeline!$S$17*Pipeline!$D$17*MIN(1,MAX(0,(55-Pipeline!$E$17+1)/MAX(Pipeline!$F$17,1)))+Pipeline!$S$18*Pipeline!$D$18*MIN(1,MAX(0,(55-Pipeline!$E$18+1)/MAX(Pipeline!$F$18,1)))+Pipeline!$S$19*Pipeline!$D$19*MIN(1,MAX(0,(55-Pipeline!$E$19+1)/MAX(Pipeline!$F$19,1)))+Pipeline!$S$20*Pipeline!$D$20*MIN(1,MAX(0,(55-Pipeline!$E$20+1)/MAX(Pipeline!$F$20,1)))+Pipeline!$S$21*Pipeline!$D$21*MIN(1,MAX(0,(55-Pipeline!$E$21+1)/MAX(Pipeline!$F$21,1)))+Pipeline!$S$22*Pipeline!$D$22*MIN(1,MAX(0,(55-Pipeline!$E$22+1)/MAX(Pipeline!$F$22,1)))</f>
        <v>1159.4925</v>
      </c>
      <c r="BF20" s="150" t="n">
        <f aca="false">Pipeline!$S$16*Pipeline!$D$16*MIN(1,MAX(0,(56-Pipeline!$E$16+1)/MAX(Pipeline!$F$16,1)))+Pipeline!$S$17*Pipeline!$D$17*MIN(1,MAX(0,(56-Pipeline!$E$17+1)/MAX(Pipeline!$F$17,1)))+Pipeline!$S$18*Pipeline!$D$18*MIN(1,MAX(0,(56-Pipeline!$E$18+1)/MAX(Pipeline!$F$18,1)))+Pipeline!$S$19*Pipeline!$D$19*MIN(1,MAX(0,(56-Pipeline!$E$19+1)/MAX(Pipeline!$F$19,1)))+Pipeline!$S$20*Pipeline!$D$20*MIN(1,MAX(0,(56-Pipeline!$E$20+1)/MAX(Pipeline!$F$20,1)))+Pipeline!$S$21*Pipeline!$D$21*MIN(1,MAX(0,(56-Pipeline!$E$21+1)/MAX(Pipeline!$F$21,1)))+Pipeline!$S$22*Pipeline!$D$22*MIN(1,MAX(0,(56-Pipeline!$E$22+1)/MAX(Pipeline!$F$22,1)))</f>
        <v>1159.4925</v>
      </c>
      <c r="BG20" s="150" t="n">
        <f aca="false">Pipeline!$S$16*Pipeline!$D$16*MIN(1,MAX(0,(57-Pipeline!$E$16+1)/MAX(Pipeline!$F$16,1)))+Pipeline!$S$17*Pipeline!$D$17*MIN(1,MAX(0,(57-Pipeline!$E$17+1)/MAX(Pipeline!$F$17,1)))+Pipeline!$S$18*Pipeline!$D$18*MIN(1,MAX(0,(57-Pipeline!$E$18+1)/MAX(Pipeline!$F$18,1)))+Pipeline!$S$19*Pipeline!$D$19*MIN(1,MAX(0,(57-Pipeline!$E$19+1)/MAX(Pipeline!$F$19,1)))+Pipeline!$S$20*Pipeline!$D$20*MIN(1,MAX(0,(57-Pipeline!$E$20+1)/MAX(Pipeline!$F$20,1)))+Pipeline!$S$21*Pipeline!$D$21*MIN(1,MAX(0,(57-Pipeline!$E$21+1)/MAX(Pipeline!$F$21,1)))+Pipeline!$S$22*Pipeline!$D$22*MIN(1,MAX(0,(57-Pipeline!$E$22+1)/MAX(Pipeline!$F$22,1)))</f>
        <v>1159.4925</v>
      </c>
      <c r="BH20" s="150" t="n">
        <f aca="false">Pipeline!$S$16*Pipeline!$D$16*MIN(1,MAX(0,(58-Pipeline!$E$16+1)/MAX(Pipeline!$F$16,1)))+Pipeline!$S$17*Pipeline!$D$17*MIN(1,MAX(0,(58-Pipeline!$E$17+1)/MAX(Pipeline!$F$17,1)))+Pipeline!$S$18*Pipeline!$D$18*MIN(1,MAX(0,(58-Pipeline!$E$18+1)/MAX(Pipeline!$F$18,1)))+Pipeline!$S$19*Pipeline!$D$19*MIN(1,MAX(0,(58-Pipeline!$E$19+1)/MAX(Pipeline!$F$19,1)))+Pipeline!$S$20*Pipeline!$D$20*MIN(1,MAX(0,(58-Pipeline!$E$20+1)/MAX(Pipeline!$F$20,1)))+Pipeline!$S$21*Pipeline!$D$21*MIN(1,MAX(0,(58-Pipeline!$E$21+1)/MAX(Pipeline!$F$21,1)))+Pipeline!$S$22*Pipeline!$D$22*MIN(1,MAX(0,(58-Pipeline!$E$22+1)/MAX(Pipeline!$F$22,1)))</f>
        <v>1159.4925</v>
      </c>
      <c r="BI20" s="150" t="n">
        <f aca="false">Pipeline!$S$16*Pipeline!$D$16*MIN(1,MAX(0,(59-Pipeline!$E$16+1)/MAX(Pipeline!$F$16,1)))+Pipeline!$S$17*Pipeline!$D$17*MIN(1,MAX(0,(59-Pipeline!$E$17+1)/MAX(Pipeline!$F$17,1)))+Pipeline!$S$18*Pipeline!$D$18*MIN(1,MAX(0,(59-Pipeline!$E$18+1)/MAX(Pipeline!$F$18,1)))+Pipeline!$S$19*Pipeline!$D$19*MIN(1,MAX(0,(59-Pipeline!$E$19+1)/MAX(Pipeline!$F$19,1)))+Pipeline!$S$20*Pipeline!$D$20*MIN(1,MAX(0,(59-Pipeline!$E$20+1)/MAX(Pipeline!$F$20,1)))+Pipeline!$S$21*Pipeline!$D$21*MIN(1,MAX(0,(59-Pipeline!$E$21+1)/MAX(Pipeline!$F$21,1)))+Pipeline!$S$22*Pipeline!$D$22*MIN(1,MAX(0,(59-Pipeline!$E$22+1)/MAX(Pipeline!$F$22,1)))</f>
        <v>1159.4925</v>
      </c>
      <c r="BJ20" s="150" t="n">
        <f aca="false">Pipeline!$S$16*Pipeline!$D$16*MIN(1,MAX(0,(60-Pipeline!$E$16+1)/MAX(Pipeline!$F$16,1)))+Pipeline!$S$17*Pipeline!$D$17*MIN(1,MAX(0,(60-Pipeline!$E$17+1)/MAX(Pipeline!$F$17,1)))+Pipeline!$S$18*Pipeline!$D$18*MIN(1,MAX(0,(60-Pipeline!$E$18+1)/MAX(Pipeline!$F$18,1)))+Pipeline!$S$19*Pipeline!$D$19*MIN(1,MAX(0,(60-Pipeline!$E$19+1)/MAX(Pipeline!$F$19,1)))+Pipeline!$S$20*Pipeline!$D$20*MIN(1,MAX(0,(60-Pipeline!$E$20+1)/MAX(Pipeline!$F$20,1)))+Pipeline!$S$21*Pipeline!$D$21*MIN(1,MAX(0,(60-Pipeline!$E$21+1)/MAX(Pipeline!$F$21,1)))+Pipeline!$S$22*Pipeline!$D$22*MIN(1,MAX(0,(60-Pipeline!$E$22+1)/MAX(Pipeline!$F$22,1)))</f>
        <v>1159.4925</v>
      </c>
      <c r="BK20" s="150" t="n">
        <f aca="false">Pipeline!$S$16*Pipeline!$D$16*MIN(1,MAX(0,(61-Pipeline!$E$16+1)/MAX(Pipeline!$F$16,1)))+Pipeline!$S$17*Pipeline!$D$17*MIN(1,MAX(0,(61-Pipeline!$E$17+1)/MAX(Pipeline!$F$17,1)))+Pipeline!$S$18*Pipeline!$D$18*MIN(1,MAX(0,(61-Pipeline!$E$18+1)/MAX(Pipeline!$F$18,1)))+Pipeline!$S$19*Pipeline!$D$19*MIN(1,MAX(0,(61-Pipeline!$E$19+1)/MAX(Pipeline!$F$19,1)))+Pipeline!$S$20*Pipeline!$D$20*MIN(1,MAX(0,(61-Pipeline!$E$20+1)/MAX(Pipeline!$F$20,1)))+Pipeline!$S$21*Pipeline!$D$21*MIN(1,MAX(0,(61-Pipeline!$E$21+1)/MAX(Pipeline!$F$21,1)))+Pipeline!$S$22*Pipeline!$D$22*MIN(1,MAX(0,(61-Pipeline!$E$22+1)/MAX(Pipeline!$F$22,1)))</f>
        <v>1159.4925</v>
      </c>
      <c r="BL20" s="150" t="n">
        <f aca="false">Pipeline!$S$16*Pipeline!$D$16*MIN(1,MAX(0,(62-Pipeline!$E$16+1)/MAX(Pipeline!$F$16,1)))+Pipeline!$S$17*Pipeline!$D$17*MIN(1,MAX(0,(62-Pipeline!$E$17+1)/MAX(Pipeline!$F$17,1)))+Pipeline!$S$18*Pipeline!$D$18*MIN(1,MAX(0,(62-Pipeline!$E$18+1)/MAX(Pipeline!$F$18,1)))+Pipeline!$S$19*Pipeline!$D$19*MIN(1,MAX(0,(62-Pipeline!$E$19+1)/MAX(Pipeline!$F$19,1)))+Pipeline!$S$20*Pipeline!$D$20*MIN(1,MAX(0,(62-Pipeline!$E$20+1)/MAX(Pipeline!$F$20,1)))+Pipeline!$S$21*Pipeline!$D$21*MIN(1,MAX(0,(62-Pipeline!$E$21+1)/MAX(Pipeline!$F$21,1)))+Pipeline!$S$22*Pipeline!$D$22*MIN(1,MAX(0,(62-Pipeline!$E$22+1)/MAX(Pipeline!$F$22,1)))</f>
        <v>1159.4925</v>
      </c>
      <c r="BM20" s="150" t="n">
        <f aca="false">Pipeline!$S$16*Pipeline!$D$16*MIN(1,MAX(0,(63-Pipeline!$E$16+1)/MAX(Pipeline!$F$16,1)))+Pipeline!$S$17*Pipeline!$D$17*MIN(1,MAX(0,(63-Pipeline!$E$17+1)/MAX(Pipeline!$F$17,1)))+Pipeline!$S$18*Pipeline!$D$18*MIN(1,MAX(0,(63-Pipeline!$E$18+1)/MAX(Pipeline!$F$18,1)))+Pipeline!$S$19*Pipeline!$D$19*MIN(1,MAX(0,(63-Pipeline!$E$19+1)/MAX(Pipeline!$F$19,1)))+Pipeline!$S$20*Pipeline!$D$20*MIN(1,MAX(0,(63-Pipeline!$E$20+1)/MAX(Pipeline!$F$20,1)))+Pipeline!$S$21*Pipeline!$D$21*MIN(1,MAX(0,(63-Pipeline!$E$21+1)/MAX(Pipeline!$F$21,1)))+Pipeline!$S$22*Pipeline!$D$22*MIN(1,MAX(0,(63-Pipeline!$E$22+1)/MAX(Pipeline!$F$22,1)))</f>
        <v>1159.4925</v>
      </c>
      <c r="BN20" s="150" t="n">
        <f aca="false">Pipeline!$S$16*Pipeline!$D$16*MIN(1,MAX(0,(64-Pipeline!$E$16+1)/MAX(Pipeline!$F$16,1)))+Pipeline!$S$17*Pipeline!$D$17*MIN(1,MAX(0,(64-Pipeline!$E$17+1)/MAX(Pipeline!$F$17,1)))+Pipeline!$S$18*Pipeline!$D$18*MIN(1,MAX(0,(64-Pipeline!$E$18+1)/MAX(Pipeline!$F$18,1)))+Pipeline!$S$19*Pipeline!$D$19*MIN(1,MAX(0,(64-Pipeline!$E$19+1)/MAX(Pipeline!$F$19,1)))+Pipeline!$S$20*Pipeline!$D$20*MIN(1,MAX(0,(64-Pipeline!$E$20+1)/MAX(Pipeline!$F$20,1)))+Pipeline!$S$21*Pipeline!$D$21*MIN(1,MAX(0,(64-Pipeline!$E$21+1)/MAX(Pipeline!$F$21,1)))+Pipeline!$S$22*Pipeline!$D$22*MIN(1,MAX(0,(64-Pipeline!$E$22+1)/MAX(Pipeline!$F$22,1)))</f>
        <v>1159.4925</v>
      </c>
      <c r="BO20" s="150" t="n">
        <f aca="false">Pipeline!$S$16*Pipeline!$D$16*MIN(1,MAX(0,(65-Pipeline!$E$16+1)/MAX(Pipeline!$F$16,1)))+Pipeline!$S$17*Pipeline!$D$17*MIN(1,MAX(0,(65-Pipeline!$E$17+1)/MAX(Pipeline!$F$17,1)))+Pipeline!$S$18*Pipeline!$D$18*MIN(1,MAX(0,(65-Pipeline!$E$18+1)/MAX(Pipeline!$F$18,1)))+Pipeline!$S$19*Pipeline!$D$19*MIN(1,MAX(0,(65-Pipeline!$E$19+1)/MAX(Pipeline!$F$19,1)))+Pipeline!$S$20*Pipeline!$D$20*MIN(1,MAX(0,(65-Pipeline!$E$20+1)/MAX(Pipeline!$F$20,1)))+Pipeline!$S$21*Pipeline!$D$21*MIN(1,MAX(0,(65-Pipeline!$E$21+1)/MAX(Pipeline!$F$21,1)))+Pipeline!$S$22*Pipeline!$D$22*MIN(1,MAX(0,(65-Pipeline!$E$22+1)/MAX(Pipeline!$F$22,1)))</f>
        <v>1159.4925</v>
      </c>
      <c r="BP20" s="150" t="n">
        <f aca="false">Pipeline!$S$16*Pipeline!$D$16*MIN(1,MAX(0,(66-Pipeline!$E$16+1)/MAX(Pipeline!$F$16,1)))+Pipeline!$S$17*Pipeline!$D$17*MIN(1,MAX(0,(66-Pipeline!$E$17+1)/MAX(Pipeline!$F$17,1)))+Pipeline!$S$18*Pipeline!$D$18*MIN(1,MAX(0,(66-Pipeline!$E$18+1)/MAX(Pipeline!$F$18,1)))+Pipeline!$S$19*Pipeline!$D$19*MIN(1,MAX(0,(66-Pipeline!$E$19+1)/MAX(Pipeline!$F$19,1)))+Pipeline!$S$20*Pipeline!$D$20*MIN(1,MAX(0,(66-Pipeline!$E$20+1)/MAX(Pipeline!$F$20,1)))+Pipeline!$S$21*Pipeline!$D$21*MIN(1,MAX(0,(66-Pipeline!$E$21+1)/MAX(Pipeline!$F$21,1)))+Pipeline!$S$22*Pipeline!$D$22*MIN(1,MAX(0,(66-Pipeline!$E$22+1)/MAX(Pipeline!$F$22,1)))</f>
        <v>1159.4925</v>
      </c>
      <c r="BQ20" s="150" t="n">
        <f aca="false">Pipeline!$S$16*Pipeline!$D$16*MIN(1,MAX(0,(67-Pipeline!$E$16+1)/MAX(Pipeline!$F$16,1)))+Pipeline!$S$17*Pipeline!$D$17*MIN(1,MAX(0,(67-Pipeline!$E$17+1)/MAX(Pipeline!$F$17,1)))+Pipeline!$S$18*Pipeline!$D$18*MIN(1,MAX(0,(67-Pipeline!$E$18+1)/MAX(Pipeline!$F$18,1)))+Pipeline!$S$19*Pipeline!$D$19*MIN(1,MAX(0,(67-Pipeline!$E$19+1)/MAX(Pipeline!$F$19,1)))+Pipeline!$S$20*Pipeline!$D$20*MIN(1,MAX(0,(67-Pipeline!$E$20+1)/MAX(Pipeline!$F$20,1)))+Pipeline!$S$21*Pipeline!$D$21*MIN(1,MAX(0,(67-Pipeline!$E$21+1)/MAX(Pipeline!$F$21,1)))+Pipeline!$S$22*Pipeline!$D$22*MIN(1,MAX(0,(67-Pipeline!$E$22+1)/MAX(Pipeline!$F$22,1)))</f>
        <v>1159.4925</v>
      </c>
      <c r="BR20" s="150" t="n">
        <f aca="false">Pipeline!$S$16*Pipeline!$D$16*MIN(1,MAX(0,(68-Pipeline!$E$16+1)/MAX(Pipeline!$F$16,1)))+Pipeline!$S$17*Pipeline!$D$17*MIN(1,MAX(0,(68-Pipeline!$E$17+1)/MAX(Pipeline!$F$17,1)))+Pipeline!$S$18*Pipeline!$D$18*MIN(1,MAX(0,(68-Pipeline!$E$18+1)/MAX(Pipeline!$F$18,1)))+Pipeline!$S$19*Pipeline!$D$19*MIN(1,MAX(0,(68-Pipeline!$E$19+1)/MAX(Pipeline!$F$19,1)))+Pipeline!$S$20*Pipeline!$D$20*MIN(1,MAX(0,(68-Pipeline!$E$20+1)/MAX(Pipeline!$F$20,1)))+Pipeline!$S$21*Pipeline!$D$21*MIN(1,MAX(0,(68-Pipeline!$E$21+1)/MAX(Pipeline!$F$21,1)))+Pipeline!$S$22*Pipeline!$D$22*MIN(1,MAX(0,(68-Pipeline!$E$22+1)/MAX(Pipeline!$F$22,1)))</f>
        <v>1159.4925</v>
      </c>
      <c r="BS20" s="150" t="n">
        <f aca="false">Pipeline!$S$16*Pipeline!$D$16*MIN(1,MAX(0,(69-Pipeline!$E$16+1)/MAX(Pipeline!$F$16,1)))+Pipeline!$S$17*Pipeline!$D$17*MIN(1,MAX(0,(69-Pipeline!$E$17+1)/MAX(Pipeline!$F$17,1)))+Pipeline!$S$18*Pipeline!$D$18*MIN(1,MAX(0,(69-Pipeline!$E$18+1)/MAX(Pipeline!$F$18,1)))+Pipeline!$S$19*Pipeline!$D$19*MIN(1,MAX(0,(69-Pipeline!$E$19+1)/MAX(Pipeline!$F$19,1)))+Pipeline!$S$20*Pipeline!$D$20*MIN(1,MAX(0,(69-Pipeline!$E$20+1)/MAX(Pipeline!$F$20,1)))+Pipeline!$S$21*Pipeline!$D$21*MIN(1,MAX(0,(69-Pipeline!$E$21+1)/MAX(Pipeline!$F$21,1)))+Pipeline!$S$22*Pipeline!$D$22*MIN(1,MAX(0,(69-Pipeline!$E$22+1)/MAX(Pipeline!$F$22,1)))</f>
        <v>1159.4925</v>
      </c>
      <c r="BT20" s="150" t="n">
        <f aca="false">Pipeline!$S$16*Pipeline!$D$16*MIN(1,MAX(0,(70-Pipeline!$E$16+1)/MAX(Pipeline!$F$16,1)))+Pipeline!$S$17*Pipeline!$D$17*MIN(1,MAX(0,(70-Pipeline!$E$17+1)/MAX(Pipeline!$F$17,1)))+Pipeline!$S$18*Pipeline!$D$18*MIN(1,MAX(0,(70-Pipeline!$E$18+1)/MAX(Pipeline!$F$18,1)))+Pipeline!$S$19*Pipeline!$D$19*MIN(1,MAX(0,(70-Pipeline!$E$19+1)/MAX(Pipeline!$F$19,1)))+Pipeline!$S$20*Pipeline!$D$20*MIN(1,MAX(0,(70-Pipeline!$E$20+1)/MAX(Pipeline!$F$20,1)))+Pipeline!$S$21*Pipeline!$D$21*MIN(1,MAX(0,(70-Pipeline!$E$21+1)/MAX(Pipeline!$F$21,1)))+Pipeline!$S$22*Pipeline!$D$22*MIN(1,MAX(0,(70-Pipeline!$E$22+1)/MAX(Pipeline!$F$22,1)))</f>
        <v>1159.4925</v>
      </c>
      <c r="BU20" s="150" t="n">
        <f aca="false">Pipeline!$S$16*Pipeline!$D$16*MIN(1,MAX(0,(71-Pipeline!$E$16+1)/MAX(Pipeline!$F$16,1)))+Pipeline!$S$17*Pipeline!$D$17*MIN(1,MAX(0,(71-Pipeline!$E$17+1)/MAX(Pipeline!$F$17,1)))+Pipeline!$S$18*Pipeline!$D$18*MIN(1,MAX(0,(71-Pipeline!$E$18+1)/MAX(Pipeline!$F$18,1)))+Pipeline!$S$19*Pipeline!$D$19*MIN(1,MAX(0,(71-Pipeline!$E$19+1)/MAX(Pipeline!$F$19,1)))+Pipeline!$S$20*Pipeline!$D$20*MIN(1,MAX(0,(71-Pipeline!$E$20+1)/MAX(Pipeline!$F$20,1)))+Pipeline!$S$21*Pipeline!$D$21*MIN(1,MAX(0,(71-Pipeline!$E$21+1)/MAX(Pipeline!$F$21,1)))+Pipeline!$S$22*Pipeline!$D$22*MIN(1,MAX(0,(71-Pipeline!$E$22+1)/MAX(Pipeline!$F$22,1)))</f>
        <v>1159.4925</v>
      </c>
      <c r="BV20" s="150" t="n">
        <f aca="false">Pipeline!$S$16*Pipeline!$D$16*MIN(1,MAX(0,(72-Pipeline!$E$16+1)/MAX(Pipeline!$F$16,1)))+Pipeline!$S$17*Pipeline!$D$17*MIN(1,MAX(0,(72-Pipeline!$E$17+1)/MAX(Pipeline!$F$17,1)))+Pipeline!$S$18*Pipeline!$D$18*MIN(1,MAX(0,(72-Pipeline!$E$18+1)/MAX(Pipeline!$F$18,1)))+Pipeline!$S$19*Pipeline!$D$19*MIN(1,MAX(0,(72-Pipeline!$E$19+1)/MAX(Pipeline!$F$19,1)))+Pipeline!$S$20*Pipeline!$D$20*MIN(1,MAX(0,(72-Pipeline!$E$20+1)/MAX(Pipeline!$F$20,1)))+Pipeline!$S$21*Pipeline!$D$21*MIN(1,MAX(0,(72-Pipeline!$E$21+1)/MAX(Pipeline!$F$21,1)))+Pipeline!$S$22*Pipeline!$D$22*MIN(1,MAX(0,(72-Pipeline!$E$22+1)/MAX(Pipeline!$F$22,1)))</f>
        <v>1159.4925</v>
      </c>
      <c r="BW20" s="150" t="n">
        <f aca="false">Pipeline!$S$16*Pipeline!$D$16*MIN(1,MAX(0,(73-Pipeline!$E$16+1)/MAX(Pipeline!$F$16,1)))+Pipeline!$S$17*Pipeline!$D$17*MIN(1,MAX(0,(73-Pipeline!$E$17+1)/MAX(Pipeline!$F$17,1)))+Pipeline!$S$18*Pipeline!$D$18*MIN(1,MAX(0,(73-Pipeline!$E$18+1)/MAX(Pipeline!$F$18,1)))+Pipeline!$S$19*Pipeline!$D$19*MIN(1,MAX(0,(73-Pipeline!$E$19+1)/MAX(Pipeline!$F$19,1)))+Pipeline!$S$20*Pipeline!$D$20*MIN(1,MAX(0,(73-Pipeline!$E$20+1)/MAX(Pipeline!$F$20,1)))+Pipeline!$S$21*Pipeline!$D$21*MIN(1,MAX(0,(73-Pipeline!$E$21+1)/MAX(Pipeline!$F$21,1)))+Pipeline!$S$22*Pipeline!$D$22*MIN(1,MAX(0,(73-Pipeline!$E$22+1)/MAX(Pipeline!$F$22,1)))</f>
        <v>1159.4925</v>
      </c>
      <c r="BX20" s="150" t="n">
        <f aca="false">Pipeline!$S$16*Pipeline!$D$16*MIN(1,MAX(0,(74-Pipeline!$E$16+1)/MAX(Pipeline!$F$16,1)))+Pipeline!$S$17*Pipeline!$D$17*MIN(1,MAX(0,(74-Pipeline!$E$17+1)/MAX(Pipeline!$F$17,1)))+Pipeline!$S$18*Pipeline!$D$18*MIN(1,MAX(0,(74-Pipeline!$E$18+1)/MAX(Pipeline!$F$18,1)))+Pipeline!$S$19*Pipeline!$D$19*MIN(1,MAX(0,(74-Pipeline!$E$19+1)/MAX(Pipeline!$F$19,1)))+Pipeline!$S$20*Pipeline!$D$20*MIN(1,MAX(0,(74-Pipeline!$E$20+1)/MAX(Pipeline!$F$20,1)))+Pipeline!$S$21*Pipeline!$D$21*MIN(1,MAX(0,(74-Pipeline!$E$21+1)/MAX(Pipeline!$F$21,1)))+Pipeline!$S$22*Pipeline!$D$22*MIN(1,MAX(0,(74-Pipeline!$E$22+1)/MAX(Pipeline!$F$22,1)))</f>
        <v>1159.4925</v>
      </c>
      <c r="BY20" s="150" t="n">
        <f aca="false">Pipeline!$S$16*Pipeline!$D$16*MIN(1,MAX(0,(75-Pipeline!$E$16+1)/MAX(Pipeline!$F$16,1)))+Pipeline!$S$17*Pipeline!$D$17*MIN(1,MAX(0,(75-Pipeline!$E$17+1)/MAX(Pipeline!$F$17,1)))+Pipeline!$S$18*Pipeline!$D$18*MIN(1,MAX(0,(75-Pipeline!$E$18+1)/MAX(Pipeline!$F$18,1)))+Pipeline!$S$19*Pipeline!$D$19*MIN(1,MAX(0,(75-Pipeline!$E$19+1)/MAX(Pipeline!$F$19,1)))+Pipeline!$S$20*Pipeline!$D$20*MIN(1,MAX(0,(75-Pipeline!$E$20+1)/MAX(Pipeline!$F$20,1)))+Pipeline!$S$21*Pipeline!$D$21*MIN(1,MAX(0,(75-Pipeline!$E$21+1)/MAX(Pipeline!$F$21,1)))+Pipeline!$S$22*Pipeline!$D$22*MIN(1,MAX(0,(75-Pipeline!$E$22+1)/MAX(Pipeline!$F$22,1)))</f>
        <v>1159.4925</v>
      </c>
      <c r="BZ20" s="150" t="n">
        <f aca="false">Pipeline!$S$16*Pipeline!$D$16*MIN(1,MAX(0,(76-Pipeline!$E$16+1)/MAX(Pipeline!$F$16,1)))+Pipeline!$S$17*Pipeline!$D$17*MIN(1,MAX(0,(76-Pipeline!$E$17+1)/MAX(Pipeline!$F$17,1)))+Pipeline!$S$18*Pipeline!$D$18*MIN(1,MAX(0,(76-Pipeline!$E$18+1)/MAX(Pipeline!$F$18,1)))+Pipeline!$S$19*Pipeline!$D$19*MIN(1,MAX(0,(76-Pipeline!$E$19+1)/MAX(Pipeline!$F$19,1)))+Pipeline!$S$20*Pipeline!$D$20*MIN(1,MAX(0,(76-Pipeline!$E$20+1)/MAX(Pipeline!$F$20,1)))+Pipeline!$S$21*Pipeline!$D$21*MIN(1,MAX(0,(76-Pipeline!$E$21+1)/MAX(Pipeline!$F$21,1)))+Pipeline!$S$22*Pipeline!$D$22*MIN(1,MAX(0,(76-Pipeline!$E$22+1)/MAX(Pipeline!$F$22,1)))</f>
        <v>1159.4925</v>
      </c>
      <c r="CA20" s="150" t="n">
        <f aca="false">Pipeline!$S$16*Pipeline!$D$16*MIN(1,MAX(0,(77-Pipeline!$E$16+1)/MAX(Pipeline!$F$16,1)))+Pipeline!$S$17*Pipeline!$D$17*MIN(1,MAX(0,(77-Pipeline!$E$17+1)/MAX(Pipeline!$F$17,1)))+Pipeline!$S$18*Pipeline!$D$18*MIN(1,MAX(0,(77-Pipeline!$E$18+1)/MAX(Pipeline!$F$18,1)))+Pipeline!$S$19*Pipeline!$D$19*MIN(1,MAX(0,(77-Pipeline!$E$19+1)/MAX(Pipeline!$F$19,1)))+Pipeline!$S$20*Pipeline!$D$20*MIN(1,MAX(0,(77-Pipeline!$E$20+1)/MAX(Pipeline!$F$20,1)))+Pipeline!$S$21*Pipeline!$D$21*MIN(1,MAX(0,(77-Pipeline!$E$21+1)/MAX(Pipeline!$F$21,1)))+Pipeline!$S$22*Pipeline!$D$22*MIN(1,MAX(0,(77-Pipeline!$E$22+1)/MAX(Pipeline!$F$22,1)))</f>
        <v>1159.4925</v>
      </c>
      <c r="CB20" s="150" t="n">
        <f aca="false">Pipeline!$S$16*Pipeline!$D$16*MIN(1,MAX(0,(78-Pipeline!$E$16+1)/MAX(Pipeline!$F$16,1)))+Pipeline!$S$17*Pipeline!$D$17*MIN(1,MAX(0,(78-Pipeline!$E$17+1)/MAX(Pipeline!$F$17,1)))+Pipeline!$S$18*Pipeline!$D$18*MIN(1,MAX(0,(78-Pipeline!$E$18+1)/MAX(Pipeline!$F$18,1)))+Pipeline!$S$19*Pipeline!$D$19*MIN(1,MAX(0,(78-Pipeline!$E$19+1)/MAX(Pipeline!$F$19,1)))+Pipeline!$S$20*Pipeline!$D$20*MIN(1,MAX(0,(78-Pipeline!$E$20+1)/MAX(Pipeline!$F$20,1)))+Pipeline!$S$21*Pipeline!$D$21*MIN(1,MAX(0,(78-Pipeline!$E$21+1)/MAX(Pipeline!$F$21,1)))+Pipeline!$S$22*Pipeline!$D$22*MIN(1,MAX(0,(78-Pipeline!$E$22+1)/MAX(Pipeline!$F$22,1)))</f>
        <v>1159.4925</v>
      </c>
      <c r="CC20" s="150" t="n">
        <f aca="false">Pipeline!$S$16*Pipeline!$D$16*MIN(1,MAX(0,(79-Pipeline!$E$16+1)/MAX(Pipeline!$F$16,1)))+Pipeline!$S$17*Pipeline!$D$17*MIN(1,MAX(0,(79-Pipeline!$E$17+1)/MAX(Pipeline!$F$17,1)))+Pipeline!$S$18*Pipeline!$D$18*MIN(1,MAX(0,(79-Pipeline!$E$18+1)/MAX(Pipeline!$F$18,1)))+Pipeline!$S$19*Pipeline!$D$19*MIN(1,MAX(0,(79-Pipeline!$E$19+1)/MAX(Pipeline!$F$19,1)))+Pipeline!$S$20*Pipeline!$D$20*MIN(1,MAX(0,(79-Pipeline!$E$20+1)/MAX(Pipeline!$F$20,1)))+Pipeline!$S$21*Pipeline!$D$21*MIN(1,MAX(0,(79-Pipeline!$E$21+1)/MAX(Pipeline!$F$21,1)))+Pipeline!$S$22*Pipeline!$D$22*MIN(1,MAX(0,(79-Pipeline!$E$22+1)/MAX(Pipeline!$F$22,1)))</f>
        <v>1159.4925</v>
      </c>
      <c r="CD20" s="150" t="n">
        <f aca="false">Pipeline!$S$16*Pipeline!$D$16*MIN(1,MAX(0,(80-Pipeline!$E$16+1)/MAX(Pipeline!$F$16,1)))+Pipeline!$S$17*Pipeline!$D$17*MIN(1,MAX(0,(80-Pipeline!$E$17+1)/MAX(Pipeline!$F$17,1)))+Pipeline!$S$18*Pipeline!$D$18*MIN(1,MAX(0,(80-Pipeline!$E$18+1)/MAX(Pipeline!$F$18,1)))+Pipeline!$S$19*Pipeline!$D$19*MIN(1,MAX(0,(80-Pipeline!$E$19+1)/MAX(Pipeline!$F$19,1)))+Pipeline!$S$20*Pipeline!$D$20*MIN(1,MAX(0,(80-Pipeline!$E$20+1)/MAX(Pipeline!$F$20,1)))+Pipeline!$S$21*Pipeline!$D$21*MIN(1,MAX(0,(80-Pipeline!$E$21+1)/MAX(Pipeline!$F$21,1)))+Pipeline!$S$22*Pipeline!$D$22*MIN(1,MAX(0,(80-Pipeline!$E$22+1)/MAX(Pipeline!$F$22,1)))</f>
        <v>1159.4925</v>
      </c>
      <c r="CE20" s="150" t="n">
        <f aca="false">Pipeline!$S$16*Pipeline!$D$16*MIN(1,MAX(0,(81-Pipeline!$E$16+1)/MAX(Pipeline!$F$16,1)))+Pipeline!$S$17*Pipeline!$D$17*MIN(1,MAX(0,(81-Pipeline!$E$17+1)/MAX(Pipeline!$F$17,1)))+Pipeline!$S$18*Pipeline!$D$18*MIN(1,MAX(0,(81-Pipeline!$E$18+1)/MAX(Pipeline!$F$18,1)))+Pipeline!$S$19*Pipeline!$D$19*MIN(1,MAX(0,(81-Pipeline!$E$19+1)/MAX(Pipeline!$F$19,1)))+Pipeline!$S$20*Pipeline!$D$20*MIN(1,MAX(0,(81-Pipeline!$E$20+1)/MAX(Pipeline!$F$20,1)))+Pipeline!$S$21*Pipeline!$D$21*MIN(1,MAX(0,(81-Pipeline!$E$21+1)/MAX(Pipeline!$F$21,1)))+Pipeline!$S$22*Pipeline!$D$22*MIN(1,MAX(0,(81-Pipeline!$E$22+1)/MAX(Pipeline!$F$22,1)))</f>
        <v>1159.4925</v>
      </c>
      <c r="CF20" s="150" t="n">
        <f aca="false">Pipeline!$S$16*Pipeline!$D$16*MIN(1,MAX(0,(82-Pipeline!$E$16+1)/MAX(Pipeline!$F$16,1)))+Pipeline!$S$17*Pipeline!$D$17*MIN(1,MAX(0,(82-Pipeline!$E$17+1)/MAX(Pipeline!$F$17,1)))+Pipeline!$S$18*Pipeline!$D$18*MIN(1,MAX(0,(82-Pipeline!$E$18+1)/MAX(Pipeline!$F$18,1)))+Pipeline!$S$19*Pipeline!$D$19*MIN(1,MAX(0,(82-Pipeline!$E$19+1)/MAX(Pipeline!$F$19,1)))+Pipeline!$S$20*Pipeline!$D$20*MIN(1,MAX(0,(82-Pipeline!$E$20+1)/MAX(Pipeline!$F$20,1)))+Pipeline!$S$21*Pipeline!$D$21*MIN(1,MAX(0,(82-Pipeline!$E$21+1)/MAX(Pipeline!$F$21,1)))+Pipeline!$S$22*Pipeline!$D$22*MIN(1,MAX(0,(82-Pipeline!$E$22+1)/MAX(Pipeline!$F$22,1)))</f>
        <v>1159.4925</v>
      </c>
      <c r="CG20" s="150" t="n">
        <f aca="false">Pipeline!$S$16*Pipeline!$D$16*MIN(1,MAX(0,(83-Pipeline!$E$16+1)/MAX(Pipeline!$F$16,1)))+Pipeline!$S$17*Pipeline!$D$17*MIN(1,MAX(0,(83-Pipeline!$E$17+1)/MAX(Pipeline!$F$17,1)))+Pipeline!$S$18*Pipeline!$D$18*MIN(1,MAX(0,(83-Pipeline!$E$18+1)/MAX(Pipeline!$F$18,1)))+Pipeline!$S$19*Pipeline!$D$19*MIN(1,MAX(0,(83-Pipeline!$E$19+1)/MAX(Pipeline!$F$19,1)))+Pipeline!$S$20*Pipeline!$D$20*MIN(1,MAX(0,(83-Pipeline!$E$20+1)/MAX(Pipeline!$F$20,1)))+Pipeline!$S$21*Pipeline!$D$21*MIN(1,MAX(0,(83-Pipeline!$E$21+1)/MAX(Pipeline!$F$21,1)))+Pipeline!$S$22*Pipeline!$D$22*MIN(1,MAX(0,(83-Pipeline!$E$22+1)/MAX(Pipeline!$F$22,1)))</f>
        <v>1159.4925</v>
      </c>
      <c r="CH20" s="150" t="n">
        <f aca="false">Pipeline!$S$16*Pipeline!$D$16*MIN(1,MAX(0,(84-Pipeline!$E$16+1)/MAX(Pipeline!$F$16,1)))+Pipeline!$S$17*Pipeline!$D$17*MIN(1,MAX(0,(84-Pipeline!$E$17+1)/MAX(Pipeline!$F$17,1)))+Pipeline!$S$18*Pipeline!$D$18*MIN(1,MAX(0,(84-Pipeline!$E$18+1)/MAX(Pipeline!$F$18,1)))+Pipeline!$S$19*Pipeline!$D$19*MIN(1,MAX(0,(84-Pipeline!$E$19+1)/MAX(Pipeline!$F$19,1)))+Pipeline!$S$20*Pipeline!$D$20*MIN(1,MAX(0,(84-Pipeline!$E$20+1)/MAX(Pipeline!$F$20,1)))+Pipeline!$S$21*Pipeline!$D$21*MIN(1,MAX(0,(84-Pipeline!$E$21+1)/MAX(Pipeline!$F$21,1)))+Pipeline!$S$22*Pipeline!$D$22*MIN(1,MAX(0,(84-Pipeline!$E$22+1)/MAX(Pipeline!$F$22,1)))</f>
        <v>1159.4925</v>
      </c>
    </row>
    <row r="21" customFormat="false" ht="13.5" hidden="false" customHeight="true" outlineLevel="0" collapsed="false">
      <c r="A21" s="13" t="s">
        <v>704</v>
      </c>
      <c r="C21" s="151" t="n">
        <f aca="false">IF(C18=0,1,MIN(1,C8/C18))</f>
        <v>1</v>
      </c>
      <c r="D21" s="151" t="n">
        <f aca="false">IF(D18=0,1,MIN(1,D8/D18))</f>
        <v>1</v>
      </c>
      <c r="E21" s="151" t="n">
        <f aca="false">IF(E18=0,1,MIN(1,E8/E18))</f>
        <v>1</v>
      </c>
      <c r="F21" s="151" t="n">
        <f aca="false">IF(F18=0,1,MIN(1,F8/F18))</f>
        <v>1</v>
      </c>
      <c r="G21" s="151" t="n">
        <f aca="false">IF(G18=0,1,MIN(1,G8/G18))</f>
        <v>1</v>
      </c>
      <c r="H21" s="151" t="n">
        <f aca="false">IF(H18=0,1,MIN(1,H8/H18))</f>
        <v>1</v>
      </c>
      <c r="I21" s="151" t="n">
        <f aca="false">IF(I18=0,1,MIN(1,I8/I18))</f>
        <v>1</v>
      </c>
      <c r="J21" s="151" t="n">
        <f aca="false">IF(J18=0,1,MIN(1,J8/J18))</f>
        <v>1</v>
      </c>
      <c r="K21" s="151" t="n">
        <f aca="false">IF(K18=0,1,MIN(1,K8/K18))</f>
        <v>1</v>
      </c>
      <c r="L21" s="151" t="n">
        <f aca="false">IF(L18=0,1,MIN(1,L8/L18))</f>
        <v>1</v>
      </c>
      <c r="M21" s="151" t="n">
        <f aca="false">IF(M18=0,1,MIN(1,M8/M18))</f>
        <v>1</v>
      </c>
      <c r="N21" s="151" t="n">
        <f aca="false">IF(N18=0,1,MIN(1,N8/N18))</f>
        <v>1</v>
      </c>
      <c r="O21" s="151" t="n">
        <f aca="false">IF(O18=0,1,MIN(1,O8/O18))</f>
        <v>1</v>
      </c>
      <c r="P21" s="151" t="n">
        <f aca="false">IF(P18=0,1,MIN(1,P8/P18))</f>
        <v>1</v>
      </c>
      <c r="Q21" s="151" t="n">
        <f aca="false">IF(Q18=0,1,MIN(1,Q8/Q18))</f>
        <v>1</v>
      </c>
      <c r="R21" s="151" t="n">
        <f aca="false">IF(R18=0,1,MIN(1,R8/R18))</f>
        <v>1</v>
      </c>
      <c r="S21" s="151" t="n">
        <f aca="false">IF(S18=0,1,MIN(1,S8/S18))</f>
        <v>1</v>
      </c>
      <c r="T21" s="151" t="n">
        <f aca="false">IF(T18=0,1,MIN(1,T8/T18))</f>
        <v>1</v>
      </c>
      <c r="U21" s="151" t="n">
        <f aca="false">IF(U18=0,1,MIN(1,U8/U18))</f>
        <v>1</v>
      </c>
      <c r="V21" s="151" t="n">
        <f aca="false">IF(V18=0,1,MIN(1,V8/V18))</f>
        <v>1</v>
      </c>
      <c r="W21" s="151" t="n">
        <f aca="false">IF(W18=0,1,MIN(1,W8/W18))</f>
        <v>1</v>
      </c>
      <c r="X21" s="151" t="n">
        <f aca="false">IF(X18=0,1,MIN(1,X8/X18))</f>
        <v>1</v>
      </c>
      <c r="Y21" s="151" t="n">
        <f aca="false">IF(Y18=0,1,MIN(1,Y8/Y18))</f>
        <v>1</v>
      </c>
      <c r="Z21" s="151" t="n">
        <f aca="false">IF(Z18=0,1,MIN(1,Z8/Z18))</f>
        <v>1</v>
      </c>
      <c r="AA21" s="151" t="n">
        <f aca="false">IF(AA18=0,1,MIN(1,AA8/AA18))</f>
        <v>1</v>
      </c>
      <c r="AB21" s="151" t="n">
        <f aca="false">IF(AB18=0,1,MIN(1,AB8/AB18))</f>
        <v>1</v>
      </c>
      <c r="AC21" s="151" t="n">
        <f aca="false">IF(AC18=0,1,MIN(1,AC8/AC18))</f>
        <v>1</v>
      </c>
      <c r="AD21" s="151" t="n">
        <f aca="false">IF(AD18=0,1,MIN(1,AD8/AD18))</f>
        <v>1</v>
      </c>
      <c r="AE21" s="151" t="n">
        <f aca="false">IF(AE18=0,1,MIN(1,AE8/AE18))</f>
        <v>1</v>
      </c>
      <c r="AF21" s="151" t="n">
        <f aca="false">IF(AF18=0,1,MIN(1,AF8/AF18))</f>
        <v>1</v>
      </c>
      <c r="AG21" s="151" t="n">
        <f aca="false">IF(AG18=0,1,MIN(1,AG8/AG18))</f>
        <v>1</v>
      </c>
      <c r="AH21" s="151" t="n">
        <f aca="false">IF(AH18=0,1,MIN(1,AH8/AH18))</f>
        <v>1</v>
      </c>
      <c r="AI21" s="151" t="n">
        <f aca="false">IF(AI18=0,1,MIN(1,AI8/AI18))</f>
        <v>1</v>
      </c>
      <c r="AJ21" s="151" t="n">
        <f aca="false">IF(AJ18=0,1,MIN(1,AJ8/AJ18))</f>
        <v>1</v>
      </c>
      <c r="AK21" s="151" t="n">
        <f aca="false">IF(AK18=0,1,MIN(1,AK8/AK18))</f>
        <v>1</v>
      </c>
      <c r="AL21" s="151" t="n">
        <f aca="false">IF(AL18=0,1,MIN(1,AL8/AL18))</f>
        <v>1</v>
      </c>
      <c r="AM21" s="151" t="n">
        <f aca="false">IF(AM18=0,1,MIN(1,AM8/AM18))</f>
        <v>1</v>
      </c>
      <c r="AN21" s="151" t="n">
        <f aca="false">IF(AN18=0,1,MIN(1,AN8/AN18))</f>
        <v>1</v>
      </c>
      <c r="AO21" s="151" t="n">
        <f aca="false">IF(AO18=0,1,MIN(1,AO8/AO18))</f>
        <v>1</v>
      </c>
      <c r="AP21" s="151" t="n">
        <f aca="false">IF(AP18=0,1,MIN(1,AP8/AP18))</f>
        <v>1</v>
      </c>
      <c r="AQ21" s="151" t="n">
        <f aca="false">IF(AQ18=0,1,MIN(1,AQ8/AQ18))</f>
        <v>1</v>
      </c>
      <c r="AR21" s="151" t="n">
        <f aca="false">IF(AR18=0,1,MIN(1,AR8/AR18))</f>
        <v>1</v>
      </c>
      <c r="AS21" s="151" t="n">
        <f aca="false">IF(AS18=0,1,MIN(1,AS8/AS18))</f>
        <v>1</v>
      </c>
      <c r="AT21" s="151" t="n">
        <f aca="false">IF(AT18=0,1,MIN(1,AT8/AT18))</f>
        <v>1</v>
      </c>
      <c r="AU21" s="151" t="n">
        <f aca="false">IF(AU18=0,1,MIN(1,AU8/AU18))</f>
        <v>1</v>
      </c>
      <c r="AV21" s="151" t="n">
        <f aca="false">IF(AV18=0,1,MIN(1,AV8/AV18))</f>
        <v>1</v>
      </c>
      <c r="AW21" s="151" t="n">
        <f aca="false">IF(AW18=0,1,MIN(1,AW8/AW18))</f>
        <v>1</v>
      </c>
      <c r="AX21" s="151" t="n">
        <f aca="false">IF(AX18=0,1,MIN(1,AX8/AX18))</f>
        <v>1</v>
      </c>
      <c r="AY21" s="151" t="n">
        <f aca="false">IF(AY18=0,1,MIN(1,AY8/AY18))</f>
        <v>1</v>
      </c>
      <c r="AZ21" s="151" t="n">
        <f aca="false">IF(AZ18=0,1,MIN(1,AZ8/AZ18))</f>
        <v>1</v>
      </c>
      <c r="BA21" s="151" t="n">
        <f aca="false">IF(BA18=0,1,MIN(1,BA8/BA18))</f>
        <v>1</v>
      </c>
      <c r="BB21" s="151" t="n">
        <f aca="false">IF(BB18=0,1,MIN(1,BB8/BB18))</f>
        <v>1</v>
      </c>
      <c r="BC21" s="151" t="n">
        <f aca="false">IF(BC18=0,1,MIN(1,BC8/BC18))</f>
        <v>1</v>
      </c>
      <c r="BD21" s="151" t="n">
        <f aca="false">IF(BD18=0,1,MIN(1,BD8/BD18))</f>
        <v>1</v>
      </c>
      <c r="BE21" s="151" t="n">
        <f aca="false">IF(BE18=0,1,MIN(1,BE8/BE18))</f>
        <v>1</v>
      </c>
      <c r="BF21" s="151" t="n">
        <f aca="false">IF(BF18=0,1,MIN(1,BF8/BF18))</f>
        <v>1</v>
      </c>
      <c r="BG21" s="151" t="n">
        <f aca="false">IF(BG18=0,1,MIN(1,BG8/BG18))</f>
        <v>1</v>
      </c>
      <c r="BH21" s="151" t="n">
        <f aca="false">IF(BH18=0,1,MIN(1,BH8/BH18))</f>
        <v>1</v>
      </c>
      <c r="BI21" s="151" t="n">
        <f aca="false">IF(BI18=0,1,MIN(1,BI8/BI18))</f>
        <v>1</v>
      </c>
      <c r="BJ21" s="151" t="n">
        <f aca="false">IF(BJ18=0,1,MIN(1,BJ8/BJ18))</f>
        <v>1</v>
      </c>
      <c r="BK21" s="151" t="n">
        <f aca="false">IF(BK18=0,1,MIN(1,BK8/BK18))</f>
        <v>1</v>
      </c>
      <c r="BL21" s="151" t="n">
        <f aca="false">IF(BL18=0,1,MIN(1,BL8/BL18))</f>
        <v>1</v>
      </c>
      <c r="BM21" s="151" t="n">
        <f aca="false">IF(BM18=0,1,MIN(1,BM8/BM18))</f>
        <v>1</v>
      </c>
      <c r="BN21" s="151" t="n">
        <f aca="false">IF(BN18=0,1,MIN(1,BN8/BN18))</f>
        <v>1</v>
      </c>
      <c r="BO21" s="151" t="n">
        <f aca="false">IF(BO18=0,1,MIN(1,BO8/BO18))</f>
        <v>1</v>
      </c>
      <c r="BP21" s="151" t="n">
        <f aca="false">IF(BP18=0,1,MIN(1,BP8/BP18))</f>
        <v>1</v>
      </c>
      <c r="BQ21" s="151" t="n">
        <f aca="false">IF(BQ18=0,1,MIN(1,BQ8/BQ18))</f>
        <v>1</v>
      </c>
      <c r="BR21" s="151" t="n">
        <f aca="false">IF(BR18=0,1,MIN(1,BR8/BR18))</f>
        <v>1</v>
      </c>
      <c r="BS21" s="151" t="n">
        <f aca="false">IF(BS18=0,1,MIN(1,BS8/BS18))</f>
        <v>1</v>
      </c>
      <c r="BT21" s="151" t="n">
        <f aca="false">IF(BT18=0,1,MIN(1,BT8/BT18))</f>
        <v>1</v>
      </c>
      <c r="BU21" s="151" t="n">
        <f aca="false">IF(BU18=0,1,MIN(1,BU8/BU18))</f>
        <v>1</v>
      </c>
      <c r="BV21" s="151" t="n">
        <f aca="false">IF(BV18=0,1,MIN(1,BV8/BV18))</f>
        <v>1</v>
      </c>
      <c r="BW21" s="151" t="n">
        <f aca="false">IF(BW18=0,1,MIN(1,BW8/BW18))</f>
        <v>1</v>
      </c>
      <c r="BX21" s="151" t="n">
        <f aca="false">IF(BX18=0,1,MIN(1,BX8/BX18))</f>
        <v>1</v>
      </c>
      <c r="BY21" s="151" t="n">
        <f aca="false">IF(BY18=0,1,MIN(1,BY8/BY18))</f>
        <v>1</v>
      </c>
      <c r="BZ21" s="151" t="n">
        <f aca="false">IF(BZ18=0,1,MIN(1,BZ8/BZ18))</f>
        <v>1</v>
      </c>
      <c r="CA21" s="151" t="n">
        <f aca="false">IF(CA18=0,1,MIN(1,CA8/CA18))</f>
        <v>1</v>
      </c>
      <c r="CB21" s="151" t="n">
        <f aca="false">IF(CB18=0,1,MIN(1,CB8/CB18))</f>
        <v>1</v>
      </c>
      <c r="CC21" s="151" t="n">
        <f aca="false">IF(CC18=0,1,MIN(1,CC8/CC18))</f>
        <v>1</v>
      </c>
      <c r="CD21" s="151" t="n">
        <f aca="false">IF(CD18=0,1,MIN(1,CD8/CD18))</f>
        <v>1</v>
      </c>
      <c r="CE21" s="151" t="n">
        <f aca="false">IF(CE18=0,1,MIN(1,CE8/CE18))</f>
        <v>1</v>
      </c>
      <c r="CF21" s="151" t="n">
        <f aca="false">IF(CF18=0,1,MIN(1,CF8/CF18))</f>
        <v>1</v>
      </c>
      <c r="CG21" s="151" t="n">
        <f aca="false">IF(CG18=0,1,MIN(1,CG8/CG18))</f>
        <v>1</v>
      </c>
      <c r="CH21" s="151" t="n">
        <f aca="false">IF(CH18=0,1,MIN(1,CH8/CH18))</f>
        <v>1</v>
      </c>
    </row>
    <row r="22" customFormat="false" ht="13.5" hidden="false" customHeight="true" outlineLevel="0" collapsed="false">
      <c r="A22" s="13" t="s">
        <v>705</v>
      </c>
      <c r="C22" s="151" t="n">
        <f aca="false">MIN(Hipótesis!$F$32,Hipótesis!$F$31+(Hipótesis!$F$32-Hipótesis!$F$31)*MAX(0,1-Hipótesis!$F$29)/Hipótesis!$F$33)</f>
        <v>0</v>
      </c>
      <c r="D22" s="151" t="n">
        <f aca="false">MIN(Hipótesis!$F$32,Hipótesis!$F$31+(Hipótesis!$F$32-Hipótesis!$F$31)*MAX(0,2-Hipótesis!$F$29)/Hipótesis!$F$33)</f>
        <v>0</v>
      </c>
      <c r="E22" s="151" t="n">
        <f aca="false">MIN(Hipótesis!$F$32,Hipótesis!$F$31+(Hipótesis!$F$32-Hipótesis!$F$31)*MAX(0,3-Hipótesis!$F$29)/Hipótesis!$F$33)</f>
        <v>0</v>
      </c>
      <c r="F22" s="151" t="n">
        <f aca="false">MIN(Hipótesis!$F$32,Hipótesis!$F$31+(Hipótesis!$F$32-Hipótesis!$F$31)*MAX(0,4-Hipótesis!$F$29)/Hipótesis!$F$33)</f>
        <v>0</v>
      </c>
      <c r="G22" s="151" t="n">
        <f aca="false">MIN(Hipótesis!$F$32,Hipótesis!$F$31+(Hipótesis!$F$32-Hipótesis!$F$31)*MAX(0,5-Hipótesis!$F$29)/Hipótesis!$F$33)</f>
        <v>0</v>
      </c>
      <c r="H22" s="151" t="n">
        <f aca="false">MIN(Hipótesis!$F$32,Hipótesis!$F$31+(Hipótesis!$F$32-Hipótesis!$F$31)*MAX(0,6-Hipótesis!$F$29)/Hipótesis!$F$33)</f>
        <v>0</v>
      </c>
      <c r="I22" s="151" t="n">
        <f aca="false">MIN(Hipótesis!$F$32,Hipótesis!$F$31+(Hipótesis!$F$32-Hipótesis!$F$31)*MAX(0,7-Hipótesis!$F$29)/Hipótesis!$F$33)</f>
        <v>0.0152777777777778</v>
      </c>
      <c r="J22" s="151" t="n">
        <f aca="false">MIN(Hipótesis!$F$32,Hipótesis!$F$31+(Hipótesis!$F$32-Hipótesis!$F$31)*MAX(0,8-Hipótesis!$F$29)/Hipótesis!$F$33)</f>
        <v>0.0305555555555556</v>
      </c>
      <c r="K22" s="151" t="n">
        <f aca="false">MIN(Hipótesis!$F$32,Hipótesis!$F$31+(Hipótesis!$F$32-Hipótesis!$F$31)*MAX(0,9-Hipótesis!$F$29)/Hipótesis!$F$33)</f>
        <v>0.0458333333333333</v>
      </c>
      <c r="L22" s="151" t="n">
        <f aca="false">MIN(Hipótesis!$F$32,Hipótesis!$F$31+(Hipótesis!$F$32-Hipótesis!$F$31)*MAX(0,10-Hipótesis!$F$29)/Hipótesis!$F$33)</f>
        <v>0.0611111111111111</v>
      </c>
      <c r="M22" s="151" t="n">
        <f aca="false">MIN(Hipótesis!$F$32,Hipótesis!$F$31+(Hipótesis!$F$32-Hipótesis!$F$31)*MAX(0,11-Hipótesis!$F$29)/Hipótesis!$F$33)</f>
        <v>0.0763888888888889</v>
      </c>
      <c r="N22" s="151" t="n">
        <f aca="false">MIN(Hipótesis!$F$32,Hipótesis!$F$31+(Hipótesis!$F$32-Hipótesis!$F$31)*MAX(0,12-Hipótesis!$F$29)/Hipótesis!$F$33)</f>
        <v>0.0916666666666667</v>
      </c>
      <c r="O22" s="151" t="n">
        <f aca="false">MIN(Hipótesis!$F$32,Hipótesis!$F$31+(Hipótesis!$F$32-Hipótesis!$F$31)*MAX(0,13-Hipótesis!$F$29)/Hipótesis!$F$33)</f>
        <v>0.106944444444444</v>
      </c>
      <c r="P22" s="151" t="n">
        <f aca="false">MIN(Hipótesis!$F$32,Hipótesis!$F$31+(Hipótesis!$F$32-Hipótesis!$F$31)*MAX(0,14-Hipótesis!$F$29)/Hipótesis!$F$33)</f>
        <v>0.122222222222222</v>
      </c>
      <c r="Q22" s="151" t="n">
        <f aca="false">MIN(Hipótesis!$F$32,Hipótesis!$F$31+(Hipótesis!$F$32-Hipótesis!$F$31)*MAX(0,15-Hipótesis!$F$29)/Hipótesis!$F$33)</f>
        <v>0.1375</v>
      </c>
      <c r="R22" s="151" t="n">
        <f aca="false">MIN(Hipótesis!$F$32,Hipótesis!$F$31+(Hipótesis!$F$32-Hipótesis!$F$31)*MAX(0,16-Hipótesis!$F$29)/Hipótesis!$F$33)</f>
        <v>0.152777777777778</v>
      </c>
      <c r="S22" s="151" t="n">
        <f aca="false">MIN(Hipótesis!$F$32,Hipótesis!$F$31+(Hipótesis!$F$32-Hipótesis!$F$31)*MAX(0,17-Hipótesis!$F$29)/Hipótesis!$F$33)</f>
        <v>0.168055555555556</v>
      </c>
      <c r="T22" s="151" t="n">
        <f aca="false">MIN(Hipótesis!$F$32,Hipótesis!$F$31+(Hipótesis!$F$32-Hipótesis!$F$31)*MAX(0,18-Hipótesis!$F$29)/Hipótesis!$F$33)</f>
        <v>0.183333333333333</v>
      </c>
      <c r="U22" s="151" t="n">
        <f aca="false">MIN(Hipótesis!$F$32,Hipótesis!$F$31+(Hipótesis!$F$32-Hipótesis!$F$31)*MAX(0,19-Hipótesis!$F$29)/Hipótesis!$F$33)</f>
        <v>0.198611111111111</v>
      </c>
      <c r="V22" s="151" t="n">
        <f aca="false">MIN(Hipótesis!$F$32,Hipótesis!$F$31+(Hipótesis!$F$32-Hipótesis!$F$31)*MAX(0,20-Hipótesis!$F$29)/Hipótesis!$F$33)</f>
        <v>0.213888888888889</v>
      </c>
      <c r="W22" s="151" t="n">
        <f aca="false">MIN(Hipótesis!$F$32,Hipótesis!$F$31+(Hipótesis!$F$32-Hipótesis!$F$31)*MAX(0,21-Hipótesis!$F$29)/Hipótesis!$F$33)</f>
        <v>0.229166666666667</v>
      </c>
      <c r="X22" s="151" t="n">
        <f aca="false">MIN(Hipótesis!$F$32,Hipótesis!$F$31+(Hipótesis!$F$32-Hipótesis!$F$31)*MAX(0,22-Hipótesis!$F$29)/Hipótesis!$F$33)</f>
        <v>0.244444444444444</v>
      </c>
      <c r="Y22" s="151" t="n">
        <f aca="false">MIN(Hipótesis!$F$32,Hipótesis!$F$31+(Hipótesis!$F$32-Hipótesis!$F$31)*MAX(0,23-Hipótesis!$F$29)/Hipótesis!$F$33)</f>
        <v>0.259722222222222</v>
      </c>
      <c r="Z22" s="151" t="n">
        <f aca="false">MIN(Hipótesis!$F$32,Hipótesis!$F$31+(Hipótesis!$F$32-Hipótesis!$F$31)*MAX(0,24-Hipótesis!$F$29)/Hipótesis!$F$33)</f>
        <v>0.275</v>
      </c>
      <c r="AA22" s="151" t="n">
        <f aca="false">MIN(Hipótesis!$F$32,Hipótesis!$F$31+(Hipótesis!$F$32-Hipótesis!$F$31)*MAX(0,25-Hipótesis!$F$29)/Hipótesis!$F$33)</f>
        <v>0.290277777777778</v>
      </c>
      <c r="AB22" s="151" t="n">
        <f aca="false">MIN(Hipótesis!$F$32,Hipótesis!$F$31+(Hipótesis!$F$32-Hipótesis!$F$31)*MAX(0,26-Hipótesis!$F$29)/Hipótesis!$F$33)</f>
        <v>0.305555555555556</v>
      </c>
      <c r="AC22" s="151" t="n">
        <f aca="false">MIN(Hipótesis!$F$32,Hipótesis!$F$31+(Hipótesis!$F$32-Hipótesis!$F$31)*MAX(0,27-Hipótesis!$F$29)/Hipótesis!$F$33)</f>
        <v>0.320833333333333</v>
      </c>
      <c r="AD22" s="151" t="n">
        <f aca="false">MIN(Hipótesis!$F$32,Hipótesis!$F$31+(Hipótesis!$F$32-Hipótesis!$F$31)*MAX(0,28-Hipótesis!$F$29)/Hipótesis!$F$33)</f>
        <v>0.336111111111111</v>
      </c>
      <c r="AE22" s="151" t="n">
        <f aca="false">MIN(Hipótesis!$F$32,Hipótesis!$F$31+(Hipótesis!$F$32-Hipótesis!$F$31)*MAX(0,29-Hipótesis!$F$29)/Hipótesis!$F$33)</f>
        <v>0.351388888888889</v>
      </c>
      <c r="AF22" s="151" t="n">
        <f aca="false">MIN(Hipótesis!$F$32,Hipótesis!$F$31+(Hipótesis!$F$32-Hipótesis!$F$31)*MAX(0,30-Hipótesis!$F$29)/Hipótesis!$F$33)</f>
        <v>0.366666666666667</v>
      </c>
      <c r="AG22" s="151" t="n">
        <f aca="false">MIN(Hipótesis!$F$32,Hipótesis!$F$31+(Hipótesis!$F$32-Hipótesis!$F$31)*MAX(0,31-Hipótesis!$F$29)/Hipótesis!$F$33)</f>
        <v>0.381944444444445</v>
      </c>
      <c r="AH22" s="151" t="n">
        <f aca="false">MIN(Hipótesis!$F$32,Hipótesis!$F$31+(Hipótesis!$F$32-Hipótesis!$F$31)*MAX(0,32-Hipótesis!$F$29)/Hipótesis!$F$33)</f>
        <v>0.397222222222222</v>
      </c>
      <c r="AI22" s="151" t="n">
        <f aca="false">MIN(Hipótesis!$F$32,Hipótesis!$F$31+(Hipótesis!$F$32-Hipótesis!$F$31)*MAX(0,33-Hipótesis!$F$29)/Hipótesis!$F$33)</f>
        <v>0.4125</v>
      </c>
      <c r="AJ22" s="151" t="n">
        <f aca="false">MIN(Hipótesis!$F$32,Hipótesis!$F$31+(Hipótesis!$F$32-Hipótesis!$F$31)*MAX(0,34-Hipótesis!$F$29)/Hipótesis!$F$33)</f>
        <v>0.427777777777778</v>
      </c>
      <c r="AK22" s="151" t="n">
        <f aca="false">MIN(Hipótesis!$F$32,Hipótesis!$F$31+(Hipótesis!$F$32-Hipótesis!$F$31)*MAX(0,35-Hipótesis!$F$29)/Hipótesis!$F$33)</f>
        <v>0.443055555555556</v>
      </c>
      <c r="AL22" s="151" t="n">
        <f aca="false">MIN(Hipótesis!$F$32,Hipótesis!$F$31+(Hipótesis!$F$32-Hipótesis!$F$31)*MAX(0,36-Hipótesis!$F$29)/Hipótesis!$F$33)</f>
        <v>0.458333333333333</v>
      </c>
      <c r="AM22" s="151" t="n">
        <f aca="false">MIN(Hipótesis!$F$32,Hipótesis!$F$31+(Hipótesis!$F$32-Hipótesis!$F$31)*MAX(0,37-Hipótesis!$F$29)/Hipótesis!$F$33)</f>
        <v>0.473611111111111</v>
      </c>
      <c r="AN22" s="151" t="n">
        <f aca="false">MIN(Hipótesis!$F$32,Hipótesis!$F$31+(Hipótesis!$F$32-Hipótesis!$F$31)*MAX(0,38-Hipótesis!$F$29)/Hipótesis!$F$33)</f>
        <v>0.488888888888889</v>
      </c>
      <c r="AO22" s="151" t="n">
        <f aca="false">MIN(Hipótesis!$F$32,Hipótesis!$F$31+(Hipótesis!$F$32-Hipótesis!$F$31)*MAX(0,39-Hipótesis!$F$29)/Hipótesis!$F$33)</f>
        <v>0.504166666666667</v>
      </c>
      <c r="AP22" s="151" t="n">
        <f aca="false">MIN(Hipótesis!$F$32,Hipótesis!$F$31+(Hipótesis!$F$32-Hipótesis!$F$31)*MAX(0,40-Hipótesis!$F$29)/Hipótesis!$F$33)</f>
        <v>0.519444444444445</v>
      </c>
      <c r="AQ22" s="151" t="n">
        <f aca="false">MIN(Hipótesis!$F$32,Hipótesis!$F$31+(Hipótesis!$F$32-Hipótesis!$F$31)*MAX(0,41-Hipótesis!$F$29)/Hipótesis!$F$33)</f>
        <v>0.534722222222222</v>
      </c>
      <c r="AR22" s="151" t="n">
        <f aca="false">MIN(Hipótesis!$F$32,Hipótesis!$F$31+(Hipótesis!$F$32-Hipótesis!$F$31)*MAX(0,42-Hipótesis!$F$29)/Hipótesis!$F$33)</f>
        <v>0.55</v>
      </c>
      <c r="AS22" s="151" t="n">
        <f aca="false">MIN(Hipótesis!$F$32,Hipótesis!$F$31+(Hipótesis!$F$32-Hipótesis!$F$31)*MAX(0,43-Hipótesis!$F$29)/Hipótesis!$F$33)</f>
        <v>0.55</v>
      </c>
      <c r="AT22" s="151" t="n">
        <f aca="false">MIN(Hipótesis!$F$32,Hipótesis!$F$31+(Hipótesis!$F$32-Hipótesis!$F$31)*MAX(0,44-Hipótesis!$F$29)/Hipótesis!$F$33)</f>
        <v>0.55</v>
      </c>
      <c r="AU22" s="151" t="n">
        <f aca="false">MIN(Hipótesis!$F$32,Hipótesis!$F$31+(Hipótesis!$F$32-Hipótesis!$F$31)*MAX(0,45-Hipótesis!$F$29)/Hipótesis!$F$33)</f>
        <v>0.55</v>
      </c>
      <c r="AV22" s="151" t="n">
        <f aca="false">MIN(Hipótesis!$F$32,Hipótesis!$F$31+(Hipótesis!$F$32-Hipótesis!$F$31)*MAX(0,46-Hipótesis!$F$29)/Hipótesis!$F$33)</f>
        <v>0.55</v>
      </c>
      <c r="AW22" s="151" t="n">
        <f aca="false">MIN(Hipótesis!$F$32,Hipótesis!$F$31+(Hipótesis!$F$32-Hipótesis!$F$31)*MAX(0,47-Hipótesis!$F$29)/Hipótesis!$F$33)</f>
        <v>0.55</v>
      </c>
      <c r="AX22" s="151" t="n">
        <f aca="false">MIN(Hipótesis!$F$32,Hipótesis!$F$31+(Hipótesis!$F$32-Hipótesis!$F$31)*MAX(0,48-Hipótesis!$F$29)/Hipótesis!$F$33)</f>
        <v>0.55</v>
      </c>
      <c r="AY22" s="151" t="n">
        <f aca="false">MIN(Hipótesis!$F$32,Hipótesis!$F$31+(Hipótesis!$F$32-Hipótesis!$F$31)*MAX(0,49-Hipótesis!$F$29)/Hipótesis!$F$33)</f>
        <v>0.55</v>
      </c>
      <c r="AZ22" s="151" t="n">
        <f aca="false">MIN(Hipótesis!$F$32,Hipótesis!$F$31+(Hipótesis!$F$32-Hipótesis!$F$31)*MAX(0,50-Hipótesis!$F$29)/Hipótesis!$F$33)</f>
        <v>0.55</v>
      </c>
      <c r="BA22" s="151" t="n">
        <f aca="false">MIN(Hipótesis!$F$32,Hipótesis!$F$31+(Hipótesis!$F$32-Hipótesis!$F$31)*MAX(0,51-Hipótesis!$F$29)/Hipótesis!$F$33)</f>
        <v>0.55</v>
      </c>
      <c r="BB22" s="151" t="n">
        <f aca="false">MIN(Hipótesis!$F$32,Hipótesis!$F$31+(Hipótesis!$F$32-Hipótesis!$F$31)*MAX(0,52-Hipótesis!$F$29)/Hipótesis!$F$33)</f>
        <v>0.55</v>
      </c>
      <c r="BC22" s="151" t="n">
        <f aca="false">MIN(Hipótesis!$F$32,Hipótesis!$F$31+(Hipótesis!$F$32-Hipótesis!$F$31)*MAX(0,53-Hipótesis!$F$29)/Hipótesis!$F$33)</f>
        <v>0.55</v>
      </c>
      <c r="BD22" s="151" t="n">
        <f aca="false">MIN(Hipótesis!$F$32,Hipótesis!$F$31+(Hipótesis!$F$32-Hipótesis!$F$31)*MAX(0,54-Hipótesis!$F$29)/Hipótesis!$F$33)</f>
        <v>0.55</v>
      </c>
      <c r="BE22" s="151" t="n">
        <f aca="false">MIN(Hipótesis!$F$32,Hipótesis!$F$31+(Hipótesis!$F$32-Hipótesis!$F$31)*MAX(0,55-Hipótesis!$F$29)/Hipótesis!$F$33)</f>
        <v>0.55</v>
      </c>
      <c r="BF22" s="151" t="n">
        <f aca="false">MIN(Hipótesis!$F$32,Hipótesis!$F$31+(Hipótesis!$F$32-Hipótesis!$F$31)*MAX(0,56-Hipótesis!$F$29)/Hipótesis!$F$33)</f>
        <v>0.55</v>
      </c>
      <c r="BG22" s="151" t="n">
        <f aca="false">MIN(Hipótesis!$F$32,Hipótesis!$F$31+(Hipótesis!$F$32-Hipótesis!$F$31)*MAX(0,57-Hipótesis!$F$29)/Hipótesis!$F$33)</f>
        <v>0.55</v>
      </c>
      <c r="BH22" s="151" t="n">
        <f aca="false">MIN(Hipótesis!$F$32,Hipótesis!$F$31+(Hipótesis!$F$32-Hipótesis!$F$31)*MAX(0,58-Hipótesis!$F$29)/Hipótesis!$F$33)</f>
        <v>0.55</v>
      </c>
      <c r="BI22" s="151" t="n">
        <f aca="false">MIN(Hipótesis!$F$32,Hipótesis!$F$31+(Hipótesis!$F$32-Hipótesis!$F$31)*MAX(0,59-Hipótesis!$F$29)/Hipótesis!$F$33)</f>
        <v>0.55</v>
      </c>
      <c r="BJ22" s="151" t="n">
        <f aca="false">MIN(Hipótesis!$F$32,Hipótesis!$F$31+(Hipótesis!$F$32-Hipótesis!$F$31)*MAX(0,60-Hipótesis!$F$29)/Hipótesis!$F$33)</f>
        <v>0.55</v>
      </c>
      <c r="BK22" s="151" t="n">
        <f aca="false">MIN(Hipótesis!$F$32,Hipótesis!$F$31+(Hipótesis!$F$32-Hipótesis!$F$31)*MAX(0,61-Hipótesis!$F$29)/Hipótesis!$F$33)</f>
        <v>0.55</v>
      </c>
      <c r="BL22" s="151" t="n">
        <f aca="false">MIN(Hipótesis!$F$32,Hipótesis!$F$31+(Hipótesis!$F$32-Hipótesis!$F$31)*MAX(0,62-Hipótesis!$F$29)/Hipótesis!$F$33)</f>
        <v>0.55</v>
      </c>
      <c r="BM22" s="151" t="n">
        <f aca="false">MIN(Hipótesis!$F$32,Hipótesis!$F$31+(Hipótesis!$F$32-Hipótesis!$F$31)*MAX(0,63-Hipótesis!$F$29)/Hipótesis!$F$33)</f>
        <v>0.55</v>
      </c>
      <c r="BN22" s="151" t="n">
        <f aca="false">MIN(Hipótesis!$F$32,Hipótesis!$F$31+(Hipótesis!$F$32-Hipótesis!$F$31)*MAX(0,64-Hipótesis!$F$29)/Hipótesis!$F$33)</f>
        <v>0.55</v>
      </c>
      <c r="BO22" s="151" t="n">
        <f aca="false">MIN(Hipótesis!$F$32,Hipótesis!$F$31+(Hipótesis!$F$32-Hipótesis!$F$31)*MAX(0,65-Hipótesis!$F$29)/Hipótesis!$F$33)</f>
        <v>0.55</v>
      </c>
      <c r="BP22" s="151" t="n">
        <f aca="false">MIN(Hipótesis!$F$32,Hipótesis!$F$31+(Hipótesis!$F$32-Hipótesis!$F$31)*MAX(0,66-Hipótesis!$F$29)/Hipótesis!$F$33)</f>
        <v>0.55</v>
      </c>
      <c r="BQ22" s="151" t="n">
        <f aca="false">MIN(Hipótesis!$F$32,Hipótesis!$F$31+(Hipótesis!$F$32-Hipótesis!$F$31)*MAX(0,67-Hipótesis!$F$29)/Hipótesis!$F$33)</f>
        <v>0.55</v>
      </c>
      <c r="BR22" s="151" t="n">
        <f aca="false">MIN(Hipótesis!$F$32,Hipótesis!$F$31+(Hipótesis!$F$32-Hipótesis!$F$31)*MAX(0,68-Hipótesis!$F$29)/Hipótesis!$F$33)</f>
        <v>0.55</v>
      </c>
      <c r="BS22" s="151" t="n">
        <f aca="false">MIN(Hipótesis!$F$32,Hipótesis!$F$31+(Hipótesis!$F$32-Hipótesis!$F$31)*MAX(0,69-Hipótesis!$F$29)/Hipótesis!$F$33)</f>
        <v>0.55</v>
      </c>
      <c r="BT22" s="151" t="n">
        <f aca="false">MIN(Hipótesis!$F$32,Hipótesis!$F$31+(Hipótesis!$F$32-Hipótesis!$F$31)*MAX(0,70-Hipótesis!$F$29)/Hipótesis!$F$33)</f>
        <v>0.55</v>
      </c>
      <c r="BU22" s="151" t="n">
        <f aca="false">MIN(Hipótesis!$F$32,Hipótesis!$F$31+(Hipótesis!$F$32-Hipótesis!$F$31)*MAX(0,71-Hipótesis!$F$29)/Hipótesis!$F$33)</f>
        <v>0.55</v>
      </c>
      <c r="BV22" s="151" t="n">
        <f aca="false">MIN(Hipótesis!$F$32,Hipótesis!$F$31+(Hipótesis!$F$32-Hipótesis!$F$31)*MAX(0,72-Hipótesis!$F$29)/Hipótesis!$F$33)</f>
        <v>0.55</v>
      </c>
      <c r="BW22" s="151" t="n">
        <f aca="false">MIN(Hipótesis!$F$32,Hipótesis!$F$31+(Hipótesis!$F$32-Hipótesis!$F$31)*MAX(0,73-Hipótesis!$F$29)/Hipótesis!$F$33)</f>
        <v>0.55</v>
      </c>
      <c r="BX22" s="151" t="n">
        <f aca="false">MIN(Hipótesis!$F$32,Hipótesis!$F$31+(Hipótesis!$F$32-Hipótesis!$F$31)*MAX(0,74-Hipótesis!$F$29)/Hipótesis!$F$33)</f>
        <v>0.55</v>
      </c>
      <c r="BY22" s="151" t="n">
        <f aca="false">MIN(Hipótesis!$F$32,Hipótesis!$F$31+(Hipótesis!$F$32-Hipótesis!$F$31)*MAX(0,75-Hipótesis!$F$29)/Hipótesis!$F$33)</f>
        <v>0.55</v>
      </c>
      <c r="BZ22" s="151" t="n">
        <f aca="false">MIN(Hipótesis!$F$32,Hipótesis!$F$31+(Hipótesis!$F$32-Hipótesis!$F$31)*MAX(0,76-Hipótesis!$F$29)/Hipótesis!$F$33)</f>
        <v>0.55</v>
      </c>
      <c r="CA22" s="151" t="n">
        <f aca="false">MIN(Hipótesis!$F$32,Hipótesis!$F$31+(Hipótesis!$F$32-Hipótesis!$F$31)*MAX(0,77-Hipótesis!$F$29)/Hipótesis!$F$33)</f>
        <v>0.55</v>
      </c>
      <c r="CB22" s="151" t="n">
        <f aca="false">MIN(Hipótesis!$F$32,Hipótesis!$F$31+(Hipótesis!$F$32-Hipótesis!$F$31)*MAX(0,78-Hipótesis!$F$29)/Hipótesis!$F$33)</f>
        <v>0.55</v>
      </c>
      <c r="CC22" s="151" t="n">
        <f aca="false">MIN(Hipótesis!$F$32,Hipótesis!$F$31+(Hipótesis!$F$32-Hipótesis!$F$31)*MAX(0,79-Hipótesis!$F$29)/Hipótesis!$F$33)</f>
        <v>0.55</v>
      </c>
      <c r="CD22" s="151" t="n">
        <f aca="false">MIN(Hipótesis!$F$32,Hipótesis!$F$31+(Hipótesis!$F$32-Hipótesis!$F$31)*MAX(0,80-Hipótesis!$F$29)/Hipótesis!$F$33)</f>
        <v>0.55</v>
      </c>
      <c r="CE22" s="151" t="n">
        <f aca="false">MIN(Hipótesis!$F$32,Hipótesis!$F$31+(Hipótesis!$F$32-Hipótesis!$F$31)*MAX(0,81-Hipótesis!$F$29)/Hipótesis!$F$33)</f>
        <v>0.55</v>
      </c>
      <c r="CF22" s="151" t="n">
        <f aca="false">MIN(Hipótesis!$F$32,Hipótesis!$F$31+(Hipótesis!$F$32-Hipótesis!$F$31)*MAX(0,82-Hipótesis!$F$29)/Hipótesis!$F$33)</f>
        <v>0.55</v>
      </c>
      <c r="CG22" s="151" t="n">
        <f aca="false">MIN(Hipótesis!$F$32,Hipótesis!$F$31+(Hipótesis!$F$32-Hipótesis!$F$31)*MAX(0,83-Hipótesis!$F$29)/Hipótesis!$F$33)</f>
        <v>0.55</v>
      </c>
      <c r="CH22" s="151" t="n">
        <f aca="false">MIN(Hipótesis!$F$32,Hipótesis!$F$31+(Hipótesis!$F$32-Hipótesis!$F$31)*MAX(0,84-Hipótesis!$F$29)/Hipótesis!$F$33)</f>
        <v>0.55</v>
      </c>
    </row>
    <row r="23" customFormat="false" ht="13.5" hidden="false" customHeight="true" outlineLevel="0" collapsed="false">
      <c r="A23" s="13" t="s">
        <v>706</v>
      </c>
      <c r="C23" s="139" t="n">
        <f aca="false">MAX(0,MIN(C8*C22-C177,C8-C18*C21-C178))</f>
        <v>0</v>
      </c>
      <c r="D23" s="139" t="n">
        <f aca="false">MAX(0,MIN(D8*D22-D177,D8-D18*D21-D178))</f>
        <v>0</v>
      </c>
      <c r="E23" s="139" t="n">
        <f aca="false">MAX(0,MIN(E8*E22-E177,E8-E18*E21-E178))</f>
        <v>0</v>
      </c>
      <c r="F23" s="139" t="n">
        <f aca="false">MAX(0,MIN(F8*F22-F177,F8-F18*F21-F178))</f>
        <v>0</v>
      </c>
      <c r="G23" s="139" t="n">
        <f aca="false">MAX(0,MIN(G8*G22-G177,G8-G18*G21-G178))</f>
        <v>0</v>
      </c>
      <c r="H23" s="139" t="n">
        <f aca="false">MAX(0,MIN(H8*H22-H177,H8-H18*H21-H178))</f>
        <v>0</v>
      </c>
      <c r="I23" s="139" t="n">
        <f aca="false">MAX(0,MIN(I8*I22-I177,I8-I18*I21-I178))</f>
        <v>2</v>
      </c>
      <c r="J23" s="139" t="n">
        <f aca="false">MAX(0,MIN(J8*J22-J177,J8-J18*J21-J178))</f>
        <v>40</v>
      </c>
      <c r="K23" s="139" t="n">
        <f aca="false">MAX(0,MIN(K8*K22-K177,K8-K18*K21-K178))</f>
        <v>78</v>
      </c>
      <c r="L23" s="139" t="n">
        <f aca="false">MAX(0,MIN(L8*L22-L177,L8-L18*L21-L178))</f>
        <v>116</v>
      </c>
      <c r="M23" s="139" t="n">
        <f aca="false">MAX(0,MIN(M8*M22-M177,M8-M18*M21-M178))</f>
        <v>154</v>
      </c>
      <c r="N23" s="139" t="n">
        <f aca="false">MAX(0,MIN(N8*N22-N177,N8-N18*N21-N178))</f>
        <v>192</v>
      </c>
      <c r="O23" s="139" t="n">
        <f aca="false">MAX(0,MIN(O8*O22-O177,O8-O18*O21-O178))</f>
        <v>230</v>
      </c>
      <c r="P23" s="139" t="n">
        <f aca="false">MAX(0,MIN(P8*P22-P177,P8-P18*P21-P178))</f>
        <v>268</v>
      </c>
      <c r="Q23" s="139" t="n">
        <f aca="false">MAX(0,MIN(Q8*Q22-Q177,Q8-Q18*Q21-Q178))</f>
        <v>306</v>
      </c>
      <c r="R23" s="139" t="n">
        <f aca="false">MAX(0,MIN(R8*R22-R177,R8-R18*R21-R178))</f>
        <v>344</v>
      </c>
      <c r="S23" s="139" t="n">
        <f aca="false">MAX(0,MIN(S8*S22-S177,S8-S18*S21-S178))</f>
        <v>382</v>
      </c>
      <c r="T23" s="139" t="n">
        <f aca="false">MAX(0,MIN(T8*T22-T177,T8-T18*T21-T178))</f>
        <v>420</v>
      </c>
      <c r="U23" s="139" t="n">
        <f aca="false">MAX(0,MIN(U8*U22-U177,U8-U18*U21-U178))</f>
        <v>458</v>
      </c>
      <c r="V23" s="139" t="n">
        <f aca="false">MAX(0,MIN(V8*V22-V177,V8-V18*V21-V178))</f>
        <v>496</v>
      </c>
      <c r="W23" s="139" t="n">
        <f aca="false">MAX(0,MIN(W8*W22-W177,W8-W18*W21-W178))</f>
        <v>534</v>
      </c>
      <c r="X23" s="139" t="n">
        <f aca="false">MAX(0,MIN(X8*X22-X177,X8-X18*X21-X178))</f>
        <v>572</v>
      </c>
      <c r="Y23" s="139" t="n">
        <f aca="false">MAX(0,MIN(Y8*Y22-Y177,Y8-Y18*Y21-Y178))</f>
        <v>610</v>
      </c>
      <c r="Z23" s="139" t="n">
        <f aca="false">MAX(0,MIN(Z8*Z22-Z177,Z8-Z18*Z21-Z178))</f>
        <v>648</v>
      </c>
      <c r="AA23" s="139" t="n">
        <f aca="false">MAX(0,MIN(AA8*AA22-AA177,AA8-AA18*AA21-AA178))</f>
        <v>692</v>
      </c>
      <c r="AB23" s="139" t="n">
        <f aca="false">MAX(0,MIN(AB8*AB22-AB177,AB8-AB18*AB21-AB178))</f>
        <v>736</v>
      </c>
      <c r="AC23" s="139" t="n">
        <f aca="false">MAX(0,MIN(AC8*AC22-AC177,AC8-AC18*AC21-AC178))</f>
        <v>780</v>
      </c>
      <c r="AD23" s="139" t="n">
        <f aca="false">MAX(0,MIN(AD8*AD22-AD177,AD8-AD18*AD21-AD178))</f>
        <v>824</v>
      </c>
      <c r="AE23" s="139" t="n">
        <f aca="false">MAX(0,MIN(AE8*AE22-AE177,AE8-AE18*AE21-AE178))</f>
        <v>868</v>
      </c>
      <c r="AF23" s="139" t="n">
        <f aca="false">MAX(0,MIN(AF8*AF22-AF177,AF8-AF18*AF21-AF178))</f>
        <v>912</v>
      </c>
      <c r="AG23" s="139" t="n">
        <f aca="false">MAX(0,MIN(AG8*AG22-AG177,AG8-AG18*AG21-AG178))</f>
        <v>956</v>
      </c>
      <c r="AH23" s="139" t="n">
        <f aca="false">MAX(0,MIN(AH8*AH22-AH177,AH8-AH18*AH21-AH178))</f>
        <v>1000</v>
      </c>
      <c r="AI23" s="139" t="n">
        <f aca="false">MAX(0,MIN(AI8*AI22-AI177,AI8-AI18*AI21-AI178))</f>
        <v>1044</v>
      </c>
      <c r="AJ23" s="139" t="n">
        <f aca="false">MAX(0,MIN(AJ8*AJ22-AJ177,AJ8-AJ18*AJ21-AJ178))</f>
        <v>1088</v>
      </c>
      <c r="AK23" s="139" t="n">
        <f aca="false">MAX(0,MIN(AK8*AK22-AK177,AK8-AK18*AK21-AK178))</f>
        <v>1132</v>
      </c>
      <c r="AL23" s="139" t="n">
        <f aca="false">MAX(0,MIN(AL8*AL22-AL177,AL8-AL18*AL21-AL178))</f>
        <v>1176</v>
      </c>
      <c r="AM23" s="139" t="n">
        <f aca="false">MAX(0,MIN(AM8*AM22-AM177,AM8-AM18*AM21-AM178))</f>
        <v>1220</v>
      </c>
      <c r="AN23" s="139" t="n">
        <f aca="false">MAX(0,MIN(AN8*AN22-AN177,AN8-AN18*AN21-AN178))</f>
        <v>1264</v>
      </c>
      <c r="AO23" s="139" t="n">
        <f aca="false">MAX(0,MIN(AO8*AO22-AO177,AO8-AO18*AO21-AO178))</f>
        <v>1308</v>
      </c>
      <c r="AP23" s="139" t="n">
        <f aca="false">MAX(0,MIN(AP8*AP22-AP177,AP8-AP18*AP21-AP178))</f>
        <v>1352</v>
      </c>
      <c r="AQ23" s="139" t="n">
        <f aca="false">MAX(0,MIN(AQ8*AQ22-AQ177,AQ8-AQ18*AQ21-AQ178))</f>
        <v>1396</v>
      </c>
      <c r="AR23" s="139" t="n">
        <f aca="false">MAX(0,MIN(AR8*AR22-AR177,AR8-AR18*AR21-AR178))</f>
        <v>1440</v>
      </c>
      <c r="AS23" s="139" t="n">
        <f aca="false">MAX(0,MIN(AS8*AS22-AS177,AS8-AS18*AS21-AS178))</f>
        <v>1440</v>
      </c>
      <c r="AT23" s="139" t="n">
        <f aca="false">MAX(0,MIN(AT8*AT22-AT177,AT8-AT18*AT21-AT178))</f>
        <v>1440</v>
      </c>
      <c r="AU23" s="139" t="n">
        <f aca="false">MAX(0,MIN(AU8*AU22-AU177,AU8-AU18*AU21-AU178))</f>
        <v>1440</v>
      </c>
      <c r="AV23" s="139" t="n">
        <f aca="false">MAX(0,MIN(AV8*AV22-AV177,AV8-AV18*AV21-AV178))</f>
        <v>1440</v>
      </c>
      <c r="AW23" s="139" t="n">
        <f aca="false">MAX(0,MIN(AW8*AW22-AW177,AW8-AW18*AW21-AW178))</f>
        <v>1440</v>
      </c>
      <c r="AX23" s="139" t="n">
        <f aca="false">MAX(0,MIN(AX8*AX22-AX177,AX8-AX18*AX21-AX178))</f>
        <v>1440</v>
      </c>
      <c r="AY23" s="139" t="n">
        <f aca="false">MAX(0,MIN(AY8*AY22-AY177,AY8-AY18*AY21-AY178))</f>
        <v>1440</v>
      </c>
      <c r="AZ23" s="139" t="n">
        <f aca="false">MAX(0,MIN(AZ8*AZ22-AZ177,AZ8-AZ18*AZ21-AZ178))</f>
        <v>1440</v>
      </c>
      <c r="BA23" s="139" t="n">
        <f aca="false">MAX(0,MIN(BA8*BA22-BA177,BA8-BA18*BA21-BA178))</f>
        <v>1440</v>
      </c>
      <c r="BB23" s="139" t="n">
        <f aca="false">MAX(0,MIN(BB8*BB22-BB177,BB8-BB18*BB21-BB178))</f>
        <v>1440</v>
      </c>
      <c r="BC23" s="139" t="n">
        <f aca="false">MAX(0,MIN(BC8*BC22-BC177,BC8-BC18*BC21-BC178))</f>
        <v>1440</v>
      </c>
      <c r="BD23" s="139" t="n">
        <f aca="false">MAX(0,MIN(BD8*BD22-BD177,BD8-BD18*BD21-BD178))</f>
        <v>1440</v>
      </c>
      <c r="BE23" s="139" t="n">
        <f aca="false">MAX(0,MIN(BE8*BE22-BE177,BE8-BE18*BE21-BE178))</f>
        <v>1440</v>
      </c>
      <c r="BF23" s="139" t="n">
        <f aca="false">MAX(0,MIN(BF8*BF22-BF177,BF8-BF18*BF21-BF178))</f>
        <v>1440</v>
      </c>
      <c r="BG23" s="139" t="n">
        <f aca="false">MAX(0,MIN(BG8*BG22-BG177,BG8-BG18*BG21-BG178))</f>
        <v>1440</v>
      </c>
      <c r="BH23" s="139" t="n">
        <f aca="false">MAX(0,MIN(BH8*BH22-BH177,BH8-BH18*BH21-BH178))</f>
        <v>1440</v>
      </c>
      <c r="BI23" s="139" t="n">
        <f aca="false">MAX(0,MIN(BI8*BI22-BI177,BI8-BI18*BI21-BI178))</f>
        <v>1440</v>
      </c>
      <c r="BJ23" s="139" t="n">
        <f aca="false">MAX(0,MIN(BJ8*BJ22-BJ177,BJ8-BJ18*BJ21-BJ178))</f>
        <v>1440</v>
      </c>
      <c r="BK23" s="139" t="n">
        <f aca="false">MAX(0,MIN(BK8*BK22-BK177,BK8-BK18*BK21-BK178))</f>
        <v>1440</v>
      </c>
      <c r="BL23" s="139" t="n">
        <f aca="false">MAX(0,MIN(BL8*BL22-BL177,BL8-BL18*BL21-BL178))</f>
        <v>1440</v>
      </c>
      <c r="BM23" s="139" t="n">
        <f aca="false">MAX(0,MIN(BM8*BM22-BM177,BM8-BM18*BM21-BM178))</f>
        <v>1440</v>
      </c>
      <c r="BN23" s="139" t="n">
        <f aca="false">MAX(0,MIN(BN8*BN22-BN177,BN8-BN18*BN21-BN178))</f>
        <v>1440</v>
      </c>
      <c r="BO23" s="139" t="n">
        <f aca="false">MAX(0,MIN(BO8*BO22-BO177,BO8-BO18*BO21-BO178))</f>
        <v>1440</v>
      </c>
      <c r="BP23" s="139" t="n">
        <f aca="false">MAX(0,MIN(BP8*BP22-BP177,BP8-BP18*BP21-BP178))</f>
        <v>1440</v>
      </c>
      <c r="BQ23" s="139" t="n">
        <f aca="false">MAX(0,MIN(BQ8*BQ22-BQ177,BQ8-BQ18*BQ21-BQ178))</f>
        <v>1440</v>
      </c>
      <c r="BR23" s="139" t="n">
        <f aca="false">MAX(0,MIN(BR8*BR22-BR177,BR8-BR18*BR21-BR178))</f>
        <v>1440</v>
      </c>
      <c r="BS23" s="139" t="n">
        <f aca="false">MAX(0,MIN(BS8*BS22-BS177,BS8-BS18*BS21-BS178))</f>
        <v>1440</v>
      </c>
      <c r="BT23" s="139" t="n">
        <f aca="false">MAX(0,MIN(BT8*BT22-BT177,BT8-BT18*BT21-BT178))</f>
        <v>1440</v>
      </c>
      <c r="BU23" s="139" t="n">
        <f aca="false">MAX(0,MIN(BU8*BU22-BU177,BU8-BU18*BU21-BU178))</f>
        <v>1440</v>
      </c>
      <c r="BV23" s="139" t="n">
        <f aca="false">MAX(0,MIN(BV8*BV22-BV177,BV8-BV18*BV21-BV178))</f>
        <v>1440</v>
      </c>
      <c r="BW23" s="139" t="n">
        <f aca="false">MAX(0,MIN(BW8*BW22-BW177,BW8-BW18*BW21-BW178))</f>
        <v>1440</v>
      </c>
      <c r="BX23" s="139" t="n">
        <f aca="false">MAX(0,MIN(BX8*BX22-BX177,BX8-BX18*BX21-BX178))</f>
        <v>1440</v>
      </c>
      <c r="BY23" s="139" t="n">
        <f aca="false">MAX(0,MIN(BY8*BY22-BY177,BY8-BY18*BY21-BY178))</f>
        <v>1440</v>
      </c>
      <c r="BZ23" s="139" t="n">
        <f aca="false">MAX(0,MIN(BZ8*BZ22-BZ177,BZ8-BZ18*BZ21-BZ178))</f>
        <v>1440</v>
      </c>
      <c r="CA23" s="139" t="n">
        <f aca="false">MAX(0,MIN(CA8*CA22-CA177,CA8-CA18*CA21-CA178))</f>
        <v>1440</v>
      </c>
      <c r="CB23" s="139" t="n">
        <f aca="false">MAX(0,MIN(CB8*CB22-CB177,CB8-CB18*CB21-CB178))</f>
        <v>1440</v>
      </c>
      <c r="CC23" s="139" t="n">
        <f aca="false">MAX(0,MIN(CC8*CC22-CC177,CC8-CC18*CC21-CC178))</f>
        <v>1440</v>
      </c>
      <c r="CD23" s="139" t="n">
        <f aca="false">MAX(0,MIN(CD8*CD22-CD177,CD8-CD18*CD21-CD178))</f>
        <v>1440</v>
      </c>
      <c r="CE23" s="139" t="n">
        <f aca="false">MAX(0,MIN(CE8*CE22-CE177,CE8-CE18*CE21-CE178))</f>
        <v>1440</v>
      </c>
      <c r="CF23" s="139" t="n">
        <f aca="false">MAX(0,MIN(CF8*CF22-CF177,CF8-CF18*CF21-CF178))</f>
        <v>1440</v>
      </c>
      <c r="CG23" s="139" t="n">
        <f aca="false">MAX(0,MIN(CG8*CG22-CG177,CG8-CG18*CG21-CG178))</f>
        <v>1440</v>
      </c>
      <c r="CH23" s="139" t="n">
        <f aca="false">MAX(0,MIN(CH8*CH22-CH177,CH8-CH18*CH21-CH178))</f>
        <v>1440</v>
      </c>
    </row>
    <row r="24" customFormat="false" ht="13.5" hidden="false" customHeight="true" outlineLevel="0" collapsed="false">
      <c r="A24" s="30" t="s">
        <v>707</v>
      </c>
      <c r="C24" s="139" t="n">
        <f aca="false">C18*C21+C23+C178</f>
        <v>44.3601797063335</v>
      </c>
      <c r="D24" s="139" t="n">
        <f aca="false">D18*D21+D23+D178</f>
        <v>90.5877454203246</v>
      </c>
      <c r="E24" s="139" t="n">
        <f aca="false">E18*E21+E23+E178</f>
        <v>167.499906224817</v>
      </c>
      <c r="F24" s="139" t="n">
        <f aca="false">F18*F21+F23+F178</f>
        <v>206.051887322976</v>
      </c>
      <c r="G24" s="139" t="n">
        <f aca="false">G18*G21+G23+G178</f>
        <v>217.236482413478</v>
      </c>
      <c r="H24" s="139" t="n">
        <f aca="false">H18*H21+H23+H178</f>
        <v>300.818208841722</v>
      </c>
      <c r="I24" s="139" t="n">
        <f aca="false">I18*I21+I23+I178</f>
        <v>360.899935269966</v>
      </c>
      <c r="J24" s="139" t="n">
        <f aca="false">J18*J21+J23+J178</f>
        <v>456.98166169821</v>
      </c>
      <c r="K24" s="139" t="n">
        <f aca="false">K18*K21+K23+K178</f>
        <v>553.063388126454</v>
      </c>
      <c r="L24" s="139" t="n">
        <f aca="false">L18*L21+L23+L178</f>
        <v>649.145114554698</v>
      </c>
      <c r="M24" s="139" t="n">
        <f aca="false">M18*M21+M23+M178</f>
        <v>714.54224589244</v>
      </c>
      <c r="N24" s="139" t="n">
        <f aca="false">N18*N21+N23+N178</f>
        <v>811.062477357807</v>
      </c>
      <c r="O24" s="139" t="n">
        <f aca="false">O18*O21+O23+O178</f>
        <v>907.582708823174</v>
      </c>
      <c r="P24" s="139" t="n">
        <f aca="false">P18*P21+P23+P178</f>
        <v>995.155049001849</v>
      </c>
      <c r="Q24" s="139" t="n">
        <f aca="false">Q18*Q21+Q23+Q178</f>
        <v>1082.72738918052</v>
      </c>
      <c r="R24" s="139" t="n">
        <f aca="false">R18*R21+R23+R178</f>
        <v>1170.2997293592</v>
      </c>
      <c r="S24" s="139" t="n">
        <f aca="false">S18*S21+S23+S178</f>
        <v>1171.17206953787</v>
      </c>
      <c r="T24" s="139" t="n">
        <f aca="false">T18*T21+T23+T178</f>
        <v>1345.44440971655</v>
      </c>
      <c r="U24" s="139" t="n">
        <f aca="false">U18*U21+U23+U178</f>
        <v>1433.01674989522</v>
      </c>
      <c r="V24" s="139" t="n">
        <f aca="false">V18*V21+V23+V178</f>
        <v>1520.5890900739</v>
      </c>
      <c r="W24" s="139" t="n">
        <f aca="false">W18*W21+W23+W178</f>
        <v>1608.16143025257</v>
      </c>
      <c r="X24" s="139" t="n">
        <f aca="false">X18*X21+X23+X178</f>
        <v>1664.61067030362</v>
      </c>
      <c r="Y24" s="139" t="n">
        <f aca="false">Y18*Y21+Y23+Y178</f>
        <v>1721.05991035467</v>
      </c>
      <c r="Z24" s="139" t="n">
        <f aca="false">Z18*Z21+Z23+Z178</f>
        <v>1765.05991035467</v>
      </c>
      <c r="AA24" s="139" t="n">
        <f aca="false">AA18*AA21+AA23+AA178</f>
        <v>1809.05991035467</v>
      </c>
      <c r="AB24" s="139" t="n">
        <f aca="false">AB18*AB21+AB23+AB178</f>
        <v>1853.05991035467</v>
      </c>
      <c r="AC24" s="139" t="n">
        <f aca="false">AC18*AC21+AC23+AC178</f>
        <v>1897.05991035467</v>
      </c>
      <c r="AD24" s="139" t="n">
        <f aca="false">AD18*AD21+AD23+AD178</f>
        <v>1941.05991035467</v>
      </c>
      <c r="AE24" s="139" t="n">
        <f aca="false">AE18*AE21+AE23+AE178</f>
        <v>1862.65991035467</v>
      </c>
      <c r="AF24" s="139" t="n">
        <f aca="false">AF18*AF21+AF23+AF178</f>
        <v>2029.05991035467</v>
      </c>
      <c r="AG24" s="139" t="n">
        <f aca="false">AG18*AG21+AG23+AG178</f>
        <v>2073.05991035467</v>
      </c>
      <c r="AH24" s="139" t="n">
        <f aca="false">AH18*AH21+AH23+AH178</f>
        <v>2117.05991035467</v>
      </c>
      <c r="AI24" s="139" t="n">
        <f aca="false">AI18*AI21+AI23+AI178</f>
        <v>2161.05991035467</v>
      </c>
      <c r="AJ24" s="139" t="n">
        <f aca="false">AJ18*AJ21+AJ23+AJ178</f>
        <v>2205.05991035467</v>
      </c>
      <c r="AK24" s="139" t="n">
        <f aca="false">AK18*AK21+AK23+AK178</f>
        <v>2249.05991035467</v>
      </c>
      <c r="AL24" s="139" t="n">
        <f aca="false">AL18*AL21+AL23+AL178</f>
        <v>2293.05991035467</v>
      </c>
      <c r="AM24" s="139" t="n">
        <f aca="false">AM18*AM21+AM23+AM178</f>
        <v>2337.05991035467</v>
      </c>
      <c r="AN24" s="139" t="n">
        <f aca="false">AN18*AN21+AN23+AN178</f>
        <v>2381.05991035467</v>
      </c>
      <c r="AO24" s="139" t="n">
        <f aca="false">AO18*AO21+AO23+AO178</f>
        <v>2425.05991035467</v>
      </c>
      <c r="AP24" s="139" t="n">
        <f aca="false">AP18*AP21+AP23+AP178</f>
        <v>2469.05991035467</v>
      </c>
      <c r="AQ24" s="139" t="n">
        <f aca="false">AQ18*AQ21+AQ23+AQ178</f>
        <v>2390.65991035467</v>
      </c>
      <c r="AR24" s="139" t="n">
        <f aca="false">AR18*AR21+AR23+AR178</f>
        <v>2557.05991035467</v>
      </c>
      <c r="AS24" s="139" t="n">
        <f aca="false">AS18*AS21+AS23+AS178</f>
        <v>2557.05991035467</v>
      </c>
      <c r="AT24" s="139" t="n">
        <f aca="false">AT18*AT21+AT23+AT178</f>
        <v>2557.05991035467</v>
      </c>
      <c r="AU24" s="139" t="n">
        <f aca="false">AU18*AU21+AU23+AU178</f>
        <v>2557.05991035467</v>
      </c>
      <c r="AV24" s="139" t="n">
        <f aca="false">AV18*AV21+AV23+AV178</f>
        <v>2557.05991035467</v>
      </c>
      <c r="AW24" s="139" t="n">
        <f aca="false">AW18*AW21+AW23+AW178</f>
        <v>2557.05991035467</v>
      </c>
      <c r="AX24" s="139" t="n">
        <f aca="false">AX18*AX21+AX23+AX178</f>
        <v>2557.05991035467</v>
      </c>
      <c r="AY24" s="139" t="n">
        <f aca="false">AY18*AY21+AY23+AY178</f>
        <v>2557.05991035467</v>
      </c>
      <c r="AZ24" s="139" t="n">
        <f aca="false">AZ18*AZ21+AZ23+AZ178</f>
        <v>2557.05991035467</v>
      </c>
      <c r="BA24" s="139" t="n">
        <f aca="false">BA18*BA21+BA23+BA178</f>
        <v>2557.05991035467</v>
      </c>
      <c r="BB24" s="139" t="n">
        <f aca="false">BB18*BB21+BB23+BB178</f>
        <v>2557.05991035467</v>
      </c>
      <c r="BC24" s="139" t="n">
        <f aca="false">BC18*BC21+BC23+BC178</f>
        <v>2434.65991035467</v>
      </c>
      <c r="BD24" s="139" t="n">
        <f aca="false">BD18*BD21+BD23+BD178</f>
        <v>2557.05991035467</v>
      </c>
      <c r="BE24" s="139" t="n">
        <f aca="false">BE18*BE21+BE23+BE178</f>
        <v>2557.05991035467</v>
      </c>
      <c r="BF24" s="139" t="n">
        <f aca="false">BF18*BF21+BF23+BF178</f>
        <v>2557.05991035467</v>
      </c>
      <c r="BG24" s="139" t="n">
        <f aca="false">BG18*BG21+BG23+BG178</f>
        <v>2557.05991035467</v>
      </c>
      <c r="BH24" s="139" t="n">
        <f aca="false">BH18*BH21+BH23+BH178</f>
        <v>2557.05991035467</v>
      </c>
      <c r="BI24" s="139" t="n">
        <f aca="false">BI18*BI21+BI23+BI178</f>
        <v>2557.05991035467</v>
      </c>
      <c r="BJ24" s="139" t="n">
        <f aca="false">BJ18*BJ21+BJ23+BJ178</f>
        <v>2557.05991035467</v>
      </c>
      <c r="BK24" s="139" t="n">
        <f aca="false">BK18*BK21+BK23+BK178</f>
        <v>2557.05991035467</v>
      </c>
      <c r="BL24" s="139" t="n">
        <f aca="false">BL18*BL21+BL23+BL178</f>
        <v>2557.05991035467</v>
      </c>
      <c r="BM24" s="139" t="n">
        <f aca="false">BM18*BM21+BM23+BM178</f>
        <v>2557.05991035467</v>
      </c>
      <c r="BN24" s="139" t="n">
        <f aca="false">BN18*BN21+BN23+BN178</f>
        <v>2557.05991035467</v>
      </c>
      <c r="BO24" s="139" t="n">
        <f aca="false">BO18*BO21+BO23+BO178</f>
        <v>2434.65991035467</v>
      </c>
      <c r="BP24" s="139" t="n">
        <f aca="false">BP18*BP21+BP23+BP178</f>
        <v>2557.05991035467</v>
      </c>
      <c r="BQ24" s="139" t="n">
        <f aca="false">BQ18*BQ21+BQ23+BQ178</f>
        <v>2557.05991035467</v>
      </c>
      <c r="BR24" s="139" t="n">
        <f aca="false">BR18*BR21+BR23+BR178</f>
        <v>2557.05991035467</v>
      </c>
      <c r="BS24" s="139" t="n">
        <f aca="false">BS18*BS21+BS23+BS178</f>
        <v>2557.05991035467</v>
      </c>
      <c r="BT24" s="139" t="n">
        <f aca="false">BT18*BT21+BT23+BT178</f>
        <v>2557.05991035467</v>
      </c>
      <c r="BU24" s="139" t="n">
        <f aca="false">BU18*BU21+BU23+BU178</f>
        <v>2557.05991035467</v>
      </c>
      <c r="BV24" s="139" t="n">
        <f aca="false">BV18*BV21+BV23+BV178</f>
        <v>2557.05991035467</v>
      </c>
      <c r="BW24" s="139" t="n">
        <f aca="false">BW18*BW21+BW23+BW178</f>
        <v>2557.05991035467</v>
      </c>
      <c r="BX24" s="139" t="n">
        <f aca="false">BX18*BX21+BX23+BX178</f>
        <v>2557.05991035467</v>
      </c>
      <c r="BY24" s="139" t="n">
        <f aca="false">BY18*BY21+BY23+BY178</f>
        <v>2557.05991035467</v>
      </c>
      <c r="BZ24" s="139" t="n">
        <f aca="false">BZ18*BZ21+BZ23+BZ178</f>
        <v>2557.05991035467</v>
      </c>
      <c r="CA24" s="139" t="n">
        <f aca="false">CA18*CA21+CA23+CA178</f>
        <v>2434.65991035467</v>
      </c>
      <c r="CB24" s="139" t="n">
        <f aca="false">CB18*CB21+CB23+CB178</f>
        <v>2557.05991035467</v>
      </c>
      <c r="CC24" s="139" t="n">
        <f aca="false">CC18*CC21+CC23+CC178</f>
        <v>2557.05991035467</v>
      </c>
      <c r="CD24" s="139" t="n">
        <f aca="false">CD18*CD21+CD23+CD178</f>
        <v>2557.05991035467</v>
      </c>
      <c r="CE24" s="139" t="n">
        <f aca="false">CE18*CE21+CE23+CE178</f>
        <v>2557.05991035467</v>
      </c>
      <c r="CF24" s="139" t="n">
        <f aca="false">CF18*CF21+CF23+CF178</f>
        <v>2557.05991035467</v>
      </c>
      <c r="CG24" s="139" t="n">
        <f aca="false">CG18*CG21+CG23+CG178</f>
        <v>2557.05991035467</v>
      </c>
      <c r="CH24" s="139" t="n">
        <f aca="false">CH18*CH21+CH23+CH178</f>
        <v>2557.05991035467</v>
      </c>
    </row>
    <row r="25" customFormat="false" ht="13.5" hidden="false" customHeight="true" outlineLevel="0" collapsed="false">
      <c r="A25" s="13" t="s">
        <v>708</v>
      </c>
      <c r="C25" s="151" t="n">
        <f aca="false">IFERROR(C24/C8,0)</f>
        <v>0.0462085205274308</v>
      </c>
      <c r="D25" s="151" t="n">
        <f aca="false">IFERROR(D24/D8,0)</f>
        <v>0.0629081565418921</v>
      </c>
      <c r="E25" s="151" t="n">
        <f aca="false">IFERROR(E24/E8,0)</f>
        <v>0.0872395344920924</v>
      </c>
      <c r="F25" s="151" t="n">
        <f aca="false">IFERROR(F24/F8,0)</f>
        <v>0.0858549530512402</v>
      </c>
      <c r="G25" s="151" t="n">
        <f aca="false">IFERROR(G24/G8,0)</f>
        <v>0.0754293341713466</v>
      </c>
      <c r="H25" s="151" t="n">
        <f aca="false">IFERROR(H24/H8,0)</f>
        <v>0.104450766958931</v>
      </c>
      <c r="I25" s="151" t="n">
        <f aca="false">IFERROR(I24/I8,0)</f>
        <v>0.125312477524294</v>
      </c>
      <c r="J25" s="151" t="n">
        <f aca="false">IFERROR(J24/J8,0)</f>
        <v>0.158674188089656</v>
      </c>
      <c r="K25" s="151" t="n">
        <f aca="false">IFERROR(K24/K8,0)</f>
        <v>0.192035898655019</v>
      </c>
      <c r="L25" s="151" t="n">
        <f aca="false">IFERROR(L24/L8,0)</f>
        <v>0.225397609220381</v>
      </c>
      <c r="M25" s="151" t="n">
        <f aca="false">IFERROR(M24/M8,0)</f>
        <v>0.248104946490431</v>
      </c>
      <c r="N25" s="151" t="n">
        <f aca="false">IFERROR(N24/N8,0)</f>
        <v>0.281618915749239</v>
      </c>
      <c r="O25" s="151" t="n">
        <f aca="false">IFERROR(O24/O8,0)</f>
        <v>0.315132885008047</v>
      </c>
      <c r="P25" s="151" t="n">
        <f aca="false">IFERROR(P24/P8,0)</f>
        <v>0.345539947570087</v>
      </c>
      <c r="Q25" s="151" t="n">
        <f aca="false">IFERROR(Q24/Q8,0)</f>
        <v>0.375947010132127</v>
      </c>
      <c r="R25" s="151" t="n">
        <f aca="false">IFERROR(R24/R8,0)</f>
        <v>0.406354072694166</v>
      </c>
      <c r="S25" s="151" t="n">
        <f aca="false">IFERROR(S24/S8,0)</f>
        <v>0.40665696858954</v>
      </c>
      <c r="T25" s="151" t="n">
        <f aca="false">IFERROR(T24/T8,0)</f>
        <v>0.467168197818246</v>
      </c>
      <c r="U25" s="151" t="n">
        <f aca="false">IFERROR(U24/U8,0)</f>
        <v>0.497575260380286</v>
      </c>
      <c r="V25" s="151" t="n">
        <f aca="false">IFERROR(V24/V8,0)</f>
        <v>0.527982322942326</v>
      </c>
      <c r="W25" s="151" t="n">
        <f aca="false">IFERROR(W24/W8,0)</f>
        <v>0.558389385504366</v>
      </c>
      <c r="X25" s="151" t="n">
        <f aca="false">IFERROR(X24/X8,0)</f>
        <v>0.577989816077647</v>
      </c>
      <c r="Y25" s="151" t="n">
        <f aca="false">IFERROR(Y24/Y8,0)</f>
        <v>0.597590246650929</v>
      </c>
      <c r="Z25" s="151" t="n">
        <f aca="false">IFERROR(Z24/Z8,0)</f>
        <v>0.612868024428706</v>
      </c>
      <c r="AA25" s="151" t="n">
        <f aca="false">IFERROR(AA24/AA8,0)</f>
        <v>0.628145802206484</v>
      </c>
      <c r="AB25" s="151" t="n">
        <f aca="false">IFERROR(AB24/AB8,0)</f>
        <v>0.643423579984262</v>
      </c>
      <c r="AC25" s="151" t="n">
        <f aca="false">IFERROR(AC24/AC8,0)</f>
        <v>0.65870135776204</v>
      </c>
      <c r="AD25" s="151" t="n">
        <f aca="false">IFERROR(AD24/AD8,0)</f>
        <v>0.673979135539818</v>
      </c>
      <c r="AE25" s="151" t="n">
        <f aca="false">IFERROR(AE24/AE8,0)</f>
        <v>0.646756913317595</v>
      </c>
      <c r="AF25" s="151" t="n">
        <f aca="false">IFERROR(AF24/AF8,0)</f>
        <v>0.704534691095373</v>
      </c>
      <c r="AG25" s="151" t="n">
        <f aca="false">IFERROR(AG24/AG8,0)</f>
        <v>0.719812468873151</v>
      </c>
      <c r="AH25" s="151" t="n">
        <f aca="false">IFERROR(AH24/AH8,0)</f>
        <v>0.735090246650929</v>
      </c>
      <c r="AI25" s="151" t="n">
        <f aca="false">IFERROR(AI24/AI8,0)</f>
        <v>0.750368024428706</v>
      </c>
      <c r="AJ25" s="151" t="n">
        <f aca="false">IFERROR(AJ24/AJ8,0)</f>
        <v>0.765645802206484</v>
      </c>
      <c r="AK25" s="151" t="n">
        <f aca="false">IFERROR(AK24/AK8,0)</f>
        <v>0.780923579984262</v>
      </c>
      <c r="AL25" s="151" t="n">
        <f aca="false">IFERROR(AL24/AL8,0)</f>
        <v>0.79620135776204</v>
      </c>
      <c r="AM25" s="151" t="n">
        <f aca="false">IFERROR(AM24/AM8,0)</f>
        <v>0.811479135539817</v>
      </c>
      <c r="AN25" s="151" t="n">
        <f aca="false">IFERROR(AN24/AN8,0)</f>
        <v>0.826756913317595</v>
      </c>
      <c r="AO25" s="151" t="n">
        <f aca="false">IFERROR(AO24/AO8,0)</f>
        <v>0.842034691095373</v>
      </c>
      <c r="AP25" s="151" t="n">
        <f aca="false">IFERROR(AP24/AP8,0)</f>
        <v>0.857312468873151</v>
      </c>
      <c r="AQ25" s="151" t="n">
        <f aca="false">IFERROR(AQ24/AQ8,0)</f>
        <v>0.830090246650929</v>
      </c>
      <c r="AR25" s="151" t="n">
        <f aca="false">IFERROR(AR24/AR8,0)</f>
        <v>0.887868024428707</v>
      </c>
      <c r="AS25" s="151" t="n">
        <f aca="false">IFERROR(AS24/AS8,0)</f>
        <v>0.887868024428707</v>
      </c>
      <c r="AT25" s="151" t="n">
        <f aca="false">IFERROR(AT24/AT8,0)</f>
        <v>0.887868024428707</v>
      </c>
      <c r="AU25" s="151" t="n">
        <f aca="false">IFERROR(AU24/AU8,0)</f>
        <v>0.887868024428707</v>
      </c>
      <c r="AV25" s="151" t="n">
        <f aca="false">IFERROR(AV24/AV8,0)</f>
        <v>0.887868024428707</v>
      </c>
      <c r="AW25" s="151" t="n">
        <f aca="false">IFERROR(AW24/AW8,0)</f>
        <v>0.887868024428707</v>
      </c>
      <c r="AX25" s="151" t="n">
        <f aca="false">IFERROR(AX24/AX8,0)</f>
        <v>0.887868024428707</v>
      </c>
      <c r="AY25" s="151" t="n">
        <f aca="false">IFERROR(AY24/AY8,0)</f>
        <v>0.887868024428707</v>
      </c>
      <c r="AZ25" s="151" t="n">
        <f aca="false">IFERROR(AZ24/AZ8,0)</f>
        <v>0.887868024428707</v>
      </c>
      <c r="BA25" s="151" t="n">
        <f aca="false">IFERROR(BA24/BA8,0)</f>
        <v>0.887868024428707</v>
      </c>
      <c r="BB25" s="151" t="n">
        <f aca="false">IFERROR(BB24/BB8,0)</f>
        <v>0.887868024428707</v>
      </c>
      <c r="BC25" s="151" t="n">
        <f aca="false">IFERROR(BC24/BC8,0)</f>
        <v>0.845368024428707</v>
      </c>
      <c r="BD25" s="151" t="n">
        <f aca="false">IFERROR(BD24/BD8,0)</f>
        <v>0.887868024428707</v>
      </c>
      <c r="BE25" s="151" t="n">
        <f aca="false">IFERROR(BE24/BE8,0)</f>
        <v>0.887868024428707</v>
      </c>
      <c r="BF25" s="151" t="n">
        <f aca="false">IFERROR(BF24/BF8,0)</f>
        <v>0.887868024428707</v>
      </c>
      <c r="BG25" s="151" t="n">
        <f aca="false">IFERROR(BG24/BG8,0)</f>
        <v>0.887868024428707</v>
      </c>
      <c r="BH25" s="151" t="n">
        <f aca="false">IFERROR(BH24/BH8,0)</f>
        <v>0.887868024428707</v>
      </c>
      <c r="BI25" s="151" t="n">
        <f aca="false">IFERROR(BI24/BI8,0)</f>
        <v>0.887868024428707</v>
      </c>
      <c r="BJ25" s="151" t="n">
        <f aca="false">IFERROR(BJ24/BJ8,0)</f>
        <v>0.887868024428707</v>
      </c>
      <c r="BK25" s="151" t="n">
        <f aca="false">IFERROR(BK24/BK8,0)</f>
        <v>0.887868024428707</v>
      </c>
      <c r="BL25" s="151" t="n">
        <f aca="false">IFERROR(BL24/BL8,0)</f>
        <v>0.887868024428707</v>
      </c>
      <c r="BM25" s="151" t="n">
        <f aca="false">IFERROR(BM24/BM8,0)</f>
        <v>0.887868024428707</v>
      </c>
      <c r="BN25" s="151" t="n">
        <f aca="false">IFERROR(BN24/BN8,0)</f>
        <v>0.887868024428707</v>
      </c>
      <c r="BO25" s="151" t="n">
        <f aca="false">IFERROR(BO24/BO8,0)</f>
        <v>0.845368024428707</v>
      </c>
      <c r="BP25" s="151" t="n">
        <f aca="false">IFERROR(BP24/BP8,0)</f>
        <v>0.887868024428707</v>
      </c>
      <c r="BQ25" s="151" t="n">
        <f aca="false">IFERROR(BQ24/BQ8,0)</f>
        <v>0.887868024428707</v>
      </c>
      <c r="BR25" s="151" t="n">
        <f aca="false">IFERROR(BR24/BR8,0)</f>
        <v>0.887868024428707</v>
      </c>
      <c r="BS25" s="151" t="n">
        <f aca="false">IFERROR(BS24/BS8,0)</f>
        <v>0.887868024428707</v>
      </c>
      <c r="BT25" s="151" t="n">
        <f aca="false">IFERROR(BT24/BT8,0)</f>
        <v>0.887868024428707</v>
      </c>
      <c r="BU25" s="151" t="n">
        <f aca="false">IFERROR(BU24/BU8,0)</f>
        <v>0.887868024428707</v>
      </c>
      <c r="BV25" s="151" t="n">
        <f aca="false">IFERROR(BV24/BV8,0)</f>
        <v>0.887868024428707</v>
      </c>
      <c r="BW25" s="151" t="n">
        <f aca="false">IFERROR(BW24/BW8,0)</f>
        <v>0.887868024428707</v>
      </c>
      <c r="BX25" s="151" t="n">
        <f aca="false">IFERROR(BX24/BX8,0)</f>
        <v>0.887868024428707</v>
      </c>
      <c r="BY25" s="151" t="n">
        <f aca="false">IFERROR(BY24/BY8,0)</f>
        <v>0.887868024428707</v>
      </c>
      <c r="BZ25" s="151" t="n">
        <f aca="false">IFERROR(BZ24/BZ8,0)</f>
        <v>0.887868024428707</v>
      </c>
      <c r="CA25" s="151" t="n">
        <f aca="false">IFERROR(CA24/CA8,0)</f>
        <v>0.845368024428707</v>
      </c>
      <c r="CB25" s="151" t="n">
        <f aca="false">IFERROR(CB24/CB8,0)</f>
        <v>0.887868024428707</v>
      </c>
      <c r="CC25" s="151" t="n">
        <f aca="false">IFERROR(CC24/CC8,0)</f>
        <v>0.887868024428707</v>
      </c>
      <c r="CD25" s="151" t="n">
        <f aca="false">IFERROR(CD24/CD8,0)</f>
        <v>0.887868024428707</v>
      </c>
      <c r="CE25" s="151" t="n">
        <f aca="false">IFERROR(CE24/CE8,0)</f>
        <v>0.887868024428707</v>
      </c>
      <c r="CF25" s="151" t="n">
        <f aca="false">IFERROR(CF24/CF8,0)</f>
        <v>0.887868024428707</v>
      </c>
      <c r="CG25" s="151" t="n">
        <f aca="false">IFERROR(CG24/CG8,0)</f>
        <v>0.887868024428707</v>
      </c>
      <c r="CH25" s="151" t="n">
        <f aca="false">IFERROR(CH24/CH8,0)</f>
        <v>0.887868024428707</v>
      </c>
    </row>
    <row r="26" customFormat="false" ht="13.5" hidden="false" customHeight="true" outlineLevel="0" collapsed="false">
      <c r="A26" s="13" t="s">
        <v>709</v>
      </c>
      <c r="C26" s="139" t="n">
        <f aca="false">C20*C21+C23*Hipótesis!$F$23+C181</f>
        <v>19.8556966216216</v>
      </c>
      <c r="D26" s="139" t="n">
        <f aca="false">D20*D21+D23*Hipótesis!$F$23+D181</f>
        <v>42.3213932432432</v>
      </c>
      <c r="E26" s="139" t="n">
        <f aca="false">E20*E21+E23*Hipótesis!$F$23+E181</f>
        <v>98.0645898648649</v>
      </c>
      <c r="F26" s="139" t="n">
        <f aca="false">F20*F21+F23*Hipótesis!$F$23+F181</f>
        <v>141.410286486486</v>
      </c>
      <c r="G26" s="139" t="n">
        <f aca="false">G20*G21+G23*Hipótesis!$F$23+G181</f>
        <v>150.448647466216</v>
      </c>
      <c r="H26" s="139" t="n">
        <f aca="false">H20*H21+H23*Hipótesis!$F$23+H181</f>
        <v>252.78792972973</v>
      </c>
      <c r="I26" s="139" t="n">
        <f aca="false">I20*I21+I23*Hipótesis!$F$23+I181</f>
        <v>325.915941891892</v>
      </c>
      <c r="J26" s="139" t="n">
        <f aca="false">J20*J21+J23*Hipótesis!$F$23+J181</f>
        <v>443.793133783784</v>
      </c>
      <c r="K26" s="139" t="n">
        <f aca="false">K20*K21+K23*Hipótesis!$F$23+K181</f>
        <v>561.670325675676</v>
      </c>
      <c r="L26" s="139" t="n">
        <f aca="false">L20*L21+L23*Hipótesis!$F$23+L181</f>
        <v>679.547517567568</v>
      </c>
      <c r="M26" s="139" t="n">
        <f aca="false">M20*M21+M23*Hipótesis!$F$23+M181</f>
        <v>764.147209459459</v>
      </c>
      <c r="N26" s="139" t="n">
        <f aca="false">N20*N21+N23*Hipótesis!$F$23+N181</f>
        <v>892.246901351351</v>
      </c>
      <c r="O26" s="139" t="n">
        <f aca="false">O20*O21+O23*Hipótesis!$F$23+O181</f>
        <v>1020.34659324324</v>
      </c>
      <c r="P26" s="139" t="n">
        <f aca="false">P20*P21+P23*Hipótesis!$F$23+P181</f>
        <v>1135.94003513514</v>
      </c>
      <c r="Q26" s="139" t="n">
        <f aca="false">Q20*Q21+Q23*Hipótesis!$F$23+Q181</f>
        <v>1251.53347702703</v>
      </c>
      <c r="R26" s="139" t="n">
        <f aca="false">R20*R21+R23*Hipótesis!$F$23+R181</f>
        <v>1367.12691891892</v>
      </c>
      <c r="S26" s="139" t="n">
        <f aca="false">S20*S21+S23*Hipótesis!$F$23+S181</f>
        <v>1374.94941962838</v>
      </c>
      <c r="T26" s="139" t="n">
        <f aca="false">T20*T21+T23*Hipótesis!$F$23+T181</f>
        <v>1598.3138027027</v>
      </c>
      <c r="U26" s="139" t="n">
        <f aca="false">U20*U21+U23*Hipótesis!$F$23+U181</f>
        <v>1713.90724459459</v>
      </c>
      <c r="V26" s="139" t="n">
        <f aca="false">V20*V21+V23*Hipótesis!$F$23+V181</f>
        <v>1829.50068648649</v>
      </c>
      <c r="W26" s="139" t="n">
        <f aca="false">W20*W21+W23*Hipótesis!$F$23+W181</f>
        <v>1945.09412837838</v>
      </c>
      <c r="X26" s="139" t="n">
        <f aca="false">X20*X21+X23*Hipótesis!$F$23+X181</f>
        <v>2017.18757027027</v>
      </c>
      <c r="Y26" s="139" t="n">
        <f aca="false">Y20*Y21+Y23*Hipótesis!$F$23+Y181</f>
        <v>2089.28101216216</v>
      </c>
      <c r="Z26" s="139" t="n">
        <f aca="false">Z20*Z21+Z23*Hipótesis!$F$23+Z181</f>
        <v>2143.97445405405</v>
      </c>
      <c r="AA26" s="139" t="n">
        <f aca="false">AA20*AA21+AA23*Hipótesis!$F$23+AA181</f>
        <v>2198.66789594595</v>
      </c>
      <c r="AB26" s="139" t="n">
        <f aca="false">AB20*AB21+AB23*Hipótesis!$F$23+AB181</f>
        <v>2253.36133783784</v>
      </c>
      <c r="AC26" s="139" t="n">
        <f aca="false">AC20*AC21+AC23*Hipótesis!$F$23+AC181</f>
        <v>2308.05477972973</v>
      </c>
      <c r="AD26" s="139" t="n">
        <f aca="false">AD20*AD21+AD23*Hipótesis!$F$23+AD181</f>
        <v>2362.74822162162</v>
      </c>
      <c r="AE26" s="139" t="n">
        <f aca="false">AE20*AE21+AE23*Hipótesis!$F$23+AE181</f>
        <v>2265.29445243243</v>
      </c>
      <c r="AF26" s="139" t="n">
        <f aca="false">AF20*AF21+AF23*Hipótesis!$F$23+AF181</f>
        <v>2472.13510540541</v>
      </c>
      <c r="AG26" s="139" t="n">
        <f aca="false">AG20*AG21+AG23*Hipótesis!$F$23+AG181</f>
        <v>2526.8285472973</v>
      </c>
      <c r="AH26" s="139" t="n">
        <f aca="false">AH20*AH21+AH23*Hipótesis!$F$23+AH181</f>
        <v>2581.52198918919</v>
      </c>
      <c r="AI26" s="139" t="n">
        <f aca="false">AI20*AI21+AI23*Hipótesis!$F$23+AI181</f>
        <v>2636.21543108108</v>
      </c>
      <c r="AJ26" s="139" t="n">
        <f aca="false">AJ20*AJ21+AJ23*Hipótesis!$F$23+AJ181</f>
        <v>2690.90887297297</v>
      </c>
      <c r="AK26" s="139" t="n">
        <f aca="false">AK20*AK21+AK23*Hipótesis!$F$23+AK181</f>
        <v>2745.60231486486</v>
      </c>
      <c r="AL26" s="139" t="n">
        <f aca="false">AL20*AL21+AL23*Hipótesis!$F$23+AL181</f>
        <v>2800.29575675676</v>
      </c>
      <c r="AM26" s="139" t="n">
        <f aca="false">AM20*AM21+AM23*Hipótesis!$F$23+AM181</f>
        <v>2854.98919864865</v>
      </c>
      <c r="AN26" s="139" t="n">
        <f aca="false">AN20*AN21+AN23*Hipótesis!$F$23+AN181</f>
        <v>2909.68264054054</v>
      </c>
      <c r="AO26" s="139" t="n">
        <f aca="false">AO20*AO21+AO23*Hipótesis!$F$23+AO181</f>
        <v>2964.37608243243</v>
      </c>
      <c r="AP26" s="139" t="n">
        <f aca="false">AP20*AP21+AP23*Hipótesis!$F$23+AP181</f>
        <v>3019.06952432432</v>
      </c>
      <c r="AQ26" s="139" t="n">
        <f aca="false">AQ20*AQ21+AQ23*Hipótesis!$F$23+AQ181</f>
        <v>2921.61575513514</v>
      </c>
      <c r="AR26" s="139" t="n">
        <f aca="false">AR20*AR21+AR23*Hipótesis!$F$23+AR181</f>
        <v>3128.45640810811</v>
      </c>
      <c r="AS26" s="139" t="n">
        <f aca="false">AS20*AS21+AS23*Hipótesis!$F$23+AS181</f>
        <v>3128.45640810811</v>
      </c>
      <c r="AT26" s="139" t="n">
        <f aca="false">AT20*AT21+AT23*Hipótesis!$F$23+AT181</f>
        <v>3128.45640810811</v>
      </c>
      <c r="AU26" s="139" t="n">
        <f aca="false">AU20*AU21+AU23*Hipótesis!$F$23+AU181</f>
        <v>3128.45640810811</v>
      </c>
      <c r="AV26" s="139" t="n">
        <f aca="false">AV20*AV21+AV23*Hipótesis!$F$23+AV181</f>
        <v>3128.45640810811</v>
      </c>
      <c r="AW26" s="139" t="n">
        <f aca="false">AW20*AW21+AW23*Hipótesis!$F$23+AW181</f>
        <v>3128.45640810811</v>
      </c>
      <c r="AX26" s="139" t="n">
        <f aca="false">AX20*AX21+AX23*Hipótesis!$F$23+AX181</f>
        <v>3128.45640810811</v>
      </c>
      <c r="AY26" s="139" t="n">
        <f aca="false">AY20*AY21+AY23*Hipótesis!$F$23+AY181</f>
        <v>3128.45640810811</v>
      </c>
      <c r="AZ26" s="139" t="n">
        <f aca="false">AZ20*AZ21+AZ23*Hipótesis!$F$23+AZ181</f>
        <v>3128.45640810811</v>
      </c>
      <c r="BA26" s="139" t="n">
        <f aca="false">BA20*BA21+BA23*Hipótesis!$F$23+BA181</f>
        <v>3128.45640810811</v>
      </c>
      <c r="BB26" s="139" t="n">
        <f aca="false">BB20*BB21+BB23*Hipótesis!$F$23+BB181</f>
        <v>3128.45640810811</v>
      </c>
      <c r="BC26" s="139" t="n">
        <f aca="false">BC20*BC21+BC23*Hipótesis!$F$23+BC181</f>
        <v>2976.30919702703</v>
      </c>
      <c r="BD26" s="139" t="n">
        <f aca="false">BD20*BD21+BD23*Hipótesis!$F$23+BD181</f>
        <v>3128.45640810811</v>
      </c>
      <c r="BE26" s="139" t="n">
        <f aca="false">BE20*BE21+BE23*Hipótesis!$F$23+BE181</f>
        <v>3128.45640810811</v>
      </c>
      <c r="BF26" s="139" t="n">
        <f aca="false">BF20*BF21+BF23*Hipótesis!$F$23+BF181</f>
        <v>3128.45640810811</v>
      </c>
      <c r="BG26" s="139" t="n">
        <f aca="false">BG20*BG21+BG23*Hipótesis!$F$23+BG181</f>
        <v>3128.45640810811</v>
      </c>
      <c r="BH26" s="139" t="n">
        <f aca="false">BH20*BH21+BH23*Hipótesis!$F$23+BH181</f>
        <v>3128.45640810811</v>
      </c>
      <c r="BI26" s="139" t="n">
        <f aca="false">BI20*BI21+BI23*Hipótesis!$F$23+BI181</f>
        <v>3128.45640810811</v>
      </c>
      <c r="BJ26" s="139" t="n">
        <f aca="false">BJ20*BJ21+BJ23*Hipótesis!$F$23+BJ181</f>
        <v>3128.45640810811</v>
      </c>
      <c r="BK26" s="139" t="n">
        <f aca="false">BK20*BK21+BK23*Hipótesis!$F$23+BK181</f>
        <v>3128.45640810811</v>
      </c>
      <c r="BL26" s="139" t="n">
        <f aca="false">BL20*BL21+BL23*Hipótesis!$F$23+BL181</f>
        <v>3128.45640810811</v>
      </c>
      <c r="BM26" s="139" t="n">
        <f aca="false">BM20*BM21+BM23*Hipótesis!$F$23+BM181</f>
        <v>3128.45640810811</v>
      </c>
      <c r="BN26" s="139" t="n">
        <f aca="false">BN20*BN21+BN23*Hipótesis!$F$23+BN181</f>
        <v>3128.45640810811</v>
      </c>
      <c r="BO26" s="139" t="n">
        <f aca="false">BO20*BO21+BO23*Hipótesis!$F$23+BO181</f>
        <v>2976.30919702703</v>
      </c>
      <c r="BP26" s="139" t="n">
        <f aca="false">BP20*BP21+BP23*Hipótesis!$F$23+BP181</f>
        <v>3128.45640810811</v>
      </c>
      <c r="BQ26" s="139" t="n">
        <f aca="false">BQ20*BQ21+BQ23*Hipótesis!$F$23+BQ181</f>
        <v>3128.45640810811</v>
      </c>
      <c r="BR26" s="139" t="n">
        <f aca="false">BR20*BR21+BR23*Hipótesis!$F$23+BR181</f>
        <v>3128.45640810811</v>
      </c>
      <c r="BS26" s="139" t="n">
        <f aca="false">BS20*BS21+BS23*Hipótesis!$F$23+BS181</f>
        <v>3128.45640810811</v>
      </c>
      <c r="BT26" s="139" t="n">
        <f aca="false">BT20*BT21+BT23*Hipótesis!$F$23+BT181</f>
        <v>3128.45640810811</v>
      </c>
      <c r="BU26" s="139" t="n">
        <f aca="false">BU20*BU21+BU23*Hipótesis!$F$23+BU181</f>
        <v>3128.45640810811</v>
      </c>
      <c r="BV26" s="139" t="n">
        <f aca="false">BV20*BV21+BV23*Hipótesis!$F$23+BV181</f>
        <v>3128.45640810811</v>
      </c>
      <c r="BW26" s="139" t="n">
        <f aca="false">BW20*BW21+BW23*Hipótesis!$F$23+BW181</f>
        <v>3128.45640810811</v>
      </c>
      <c r="BX26" s="139" t="n">
        <f aca="false">BX20*BX21+BX23*Hipótesis!$F$23+BX181</f>
        <v>3128.45640810811</v>
      </c>
      <c r="BY26" s="139" t="n">
        <f aca="false">BY20*BY21+BY23*Hipótesis!$F$23+BY181</f>
        <v>3128.45640810811</v>
      </c>
      <c r="BZ26" s="139" t="n">
        <f aca="false">BZ20*BZ21+BZ23*Hipótesis!$F$23+BZ181</f>
        <v>3128.45640810811</v>
      </c>
      <c r="CA26" s="139" t="n">
        <f aca="false">CA20*CA21+CA23*Hipótesis!$F$23+CA181</f>
        <v>2976.30919702703</v>
      </c>
      <c r="CB26" s="139" t="n">
        <f aca="false">CB20*CB21+CB23*Hipótesis!$F$23+CB181</f>
        <v>3128.45640810811</v>
      </c>
      <c r="CC26" s="139" t="n">
        <f aca="false">CC20*CC21+CC23*Hipótesis!$F$23+CC181</f>
        <v>3128.45640810811</v>
      </c>
      <c r="CD26" s="139" t="n">
        <f aca="false">CD20*CD21+CD23*Hipótesis!$F$23+CD181</f>
        <v>3128.45640810811</v>
      </c>
      <c r="CE26" s="139" t="n">
        <f aca="false">CE20*CE21+CE23*Hipótesis!$F$23+CE181</f>
        <v>3128.45640810811</v>
      </c>
      <c r="CF26" s="139" t="n">
        <f aca="false">CF20*CF21+CF23*Hipótesis!$F$23+CF181</f>
        <v>3128.45640810811</v>
      </c>
      <c r="CG26" s="139" t="n">
        <f aca="false">CG20*CG21+CG23*Hipótesis!$F$23+CG181</f>
        <v>3128.45640810811</v>
      </c>
      <c r="CH26" s="139" t="n">
        <f aca="false">CH20*CH21+CH23*Hipótesis!$F$23+CH181</f>
        <v>3128.45640810811</v>
      </c>
    </row>
    <row r="27" customFormat="false" ht="13.5" hidden="false" customHeight="true" outlineLevel="0" collapsed="false">
      <c r="A27" s="13" t="s">
        <v>611</v>
      </c>
      <c r="C27" s="139" t="n">
        <f aca="false">C17*C21+C23*Hipótesis!$F$24+C178*Hipótesis!$F$24</f>
        <v>144.281858558559</v>
      </c>
      <c r="D27" s="139" t="n">
        <f aca="false">D17*D21+D23*Hipótesis!$F$24+D178*Hipótesis!$F$24</f>
        <v>303.916658293588</v>
      </c>
      <c r="E27" s="139" t="n">
        <f aca="false">E17*E21+E23*Hipótesis!$F$24+E178*Hipótesis!$F$24</f>
        <v>662.964085579637</v>
      </c>
      <c r="F27" s="139" t="n">
        <f aca="false">F17*F21+F23*Hipótesis!$F$24+F178*Hipótesis!$F$24</f>
        <v>919.09484619902</v>
      </c>
      <c r="G27" s="139" t="n">
        <f aca="false">G17*G21+G23*Hipótesis!$F$24+G178*Hipótesis!$F$24</f>
        <v>984.070600101392</v>
      </c>
      <c r="H27" s="139" t="n">
        <f aca="false">H17*H21+H23*Hipótesis!$F$24+H178*Hipótesis!$F$24</f>
        <v>1576.5696027319</v>
      </c>
      <c r="I27" s="139" t="n">
        <f aca="false">I17*I21+I23*Hipótesis!$F$24+I178*Hipótesis!$F$24</f>
        <v>2007.05493711917</v>
      </c>
      <c r="J27" s="139" t="n">
        <f aca="false">J17*J21+J23*Hipótesis!$F$24+J178*Hipótesis!$F$24</f>
        <v>2685.73142285779</v>
      </c>
      <c r="K27" s="139" t="n">
        <f aca="false">K17*K21+K23*Hipótesis!$F$24+K178*Hipótesis!$F$24</f>
        <v>3364.40790859641</v>
      </c>
      <c r="L27" s="139" t="n">
        <f aca="false">L17*L21+L23*Hipótesis!$F$24+L178*Hipótesis!$F$24</f>
        <v>4043.08439433503</v>
      </c>
      <c r="M27" s="139" t="n">
        <f aca="false">M17*M21+M23*Hipótesis!$F$24+M178*Hipótesis!$F$24</f>
        <v>4522.34825252263</v>
      </c>
      <c r="N27" s="139" t="n">
        <f aca="false">N17*N21+N23*Hipótesis!$F$24+N178*Hipótesis!$F$24</f>
        <v>5257.49446365141</v>
      </c>
      <c r="O27" s="139" t="n">
        <f aca="false">O17*O21+O23*Hipótesis!$F$24+O178*Hipótesis!$F$24</f>
        <v>5992.64067478018</v>
      </c>
      <c r="P27" s="139" t="n">
        <f aca="false">P17*P21+P23*Hipótesis!$F$24+P178*Hipótesis!$F$24</f>
        <v>6654.22070943837</v>
      </c>
      <c r="Q27" s="139" t="n">
        <f aca="false">Q17*Q21+Q23*Hipótesis!$F$24+Q178*Hipótesis!$F$24</f>
        <v>7315.80074409656</v>
      </c>
      <c r="R27" s="139" t="n">
        <f aca="false">R17*R21+R23*Hipótesis!$F$24+R178*Hipótesis!$F$24</f>
        <v>7977.38077875475</v>
      </c>
      <c r="S27" s="139" t="n">
        <f aca="false">S17*S21+S23*Hipótesis!$F$24+S178*Hipótesis!$F$24</f>
        <v>8041.2337905751</v>
      </c>
      <c r="T27" s="139" t="n">
        <f aca="false">T17*T21+T23*Hipótesis!$F$24+T178*Hipótesis!$F$24</f>
        <v>9300.54084807112</v>
      </c>
      <c r="U27" s="139" t="n">
        <f aca="false">U17*U21+U23*Hipótesis!$F$24+U178*Hipótesis!$F$24</f>
        <v>9962.12088272931</v>
      </c>
      <c r="V27" s="139" t="n">
        <f aca="false">V17*V21+V23*Hipótesis!$F$24+V178*Hipótesis!$F$24</f>
        <v>10623.7009173875</v>
      </c>
      <c r="W27" s="139" t="n">
        <f aca="false">W17*W21+W23*Hipótesis!$F$24+W178*Hipótesis!$F$24</f>
        <v>11285.2809520457</v>
      </c>
      <c r="X27" s="139" t="n">
        <f aca="false">X17*X21+X23*Hipótesis!$F$24+X178*Hipótesis!$F$24</f>
        <v>11690.9786337627</v>
      </c>
      <c r="Y27" s="139" t="n">
        <f aca="false">Y17*Y21+Y23*Hipótesis!$F$24+Y178*Hipótesis!$F$24</f>
        <v>12096.6763154797</v>
      </c>
      <c r="Z27" s="139" t="n">
        <f aca="false">Z17*Z21+Z23*Hipótesis!$F$24+Z178*Hipótesis!$F$24</f>
        <v>12400.0210560202</v>
      </c>
      <c r="AA27" s="139" t="n">
        <f aca="false">AA17*AA21+AA23*Hipótesis!$F$24+AA178*Hipótesis!$F$24</f>
        <v>12703.3657965608</v>
      </c>
      <c r="AB27" s="139" t="n">
        <f aca="false">AB17*AB21+AB23*Hipótesis!$F$24+AB178*Hipótesis!$F$24</f>
        <v>13006.7105371013</v>
      </c>
      <c r="AC27" s="139" t="n">
        <f aca="false">AC17*AC21+AC23*Hipótesis!$F$24+AC178*Hipótesis!$F$24</f>
        <v>13310.0552776419</v>
      </c>
      <c r="AD27" s="139" t="n">
        <f aca="false">AD17*AD21+AD23*Hipótesis!$F$24+AD178*Hipótesis!$F$24</f>
        <v>13613.4000181824</v>
      </c>
      <c r="AE27" s="139" t="n">
        <f aca="false">AE17*AE21+AE23*Hipótesis!$F$24+AE178*Hipótesis!$F$24</f>
        <v>13072.8948441284</v>
      </c>
      <c r="AF27" s="139" t="n">
        <f aca="false">AF17*AF21+AF23*Hipótesis!$F$24+AF178*Hipótesis!$F$24</f>
        <v>14220.0894992635</v>
      </c>
      <c r="AG27" s="139" t="n">
        <f aca="false">AG17*AG21+AG23*Hipótesis!$F$24+AG178*Hipótesis!$F$24</f>
        <v>14523.434239804</v>
      </c>
      <c r="AH27" s="139" t="n">
        <f aca="false">AH17*AH21+AH23*Hipótesis!$F$24+AH178*Hipótesis!$F$24</f>
        <v>14826.7789803446</v>
      </c>
      <c r="AI27" s="139" t="n">
        <f aca="false">AI17*AI21+AI23*Hipótesis!$F$24+AI178*Hipótesis!$F$24</f>
        <v>15130.1237208851</v>
      </c>
      <c r="AJ27" s="139" t="n">
        <f aca="false">AJ17*AJ21+AJ23*Hipótesis!$F$24+AJ178*Hipótesis!$F$24</f>
        <v>15433.4684614257</v>
      </c>
      <c r="AK27" s="139" t="n">
        <f aca="false">AK17*AK21+AK23*Hipótesis!$F$24+AK178*Hipótesis!$F$24</f>
        <v>15736.8132019662</v>
      </c>
      <c r="AL27" s="139" t="n">
        <f aca="false">AL17*AL21+AL23*Hipótesis!$F$24+AL178*Hipótesis!$F$24</f>
        <v>16040.1579425067</v>
      </c>
      <c r="AM27" s="139" t="n">
        <f aca="false">AM17*AM21+AM23*Hipótesis!$F$24+AM178*Hipótesis!$F$24</f>
        <v>16343.5026830473</v>
      </c>
      <c r="AN27" s="139" t="n">
        <f aca="false">AN17*AN21+AN23*Hipótesis!$F$24+AN178*Hipótesis!$F$24</f>
        <v>16646.8474235878</v>
      </c>
      <c r="AO27" s="139" t="n">
        <f aca="false">AO17*AO21+AO23*Hipótesis!$F$24+AO178*Hipótesis!$F$24</f>
        <v>16950.1921641284</v>
      </c>
      <c r="AP27" s="139" t="n">
        <f aca="false">AP17*AP21+AP23*Hipótesis!$F$24+AP178*Hipótesis!$F$24</f>
        <v>17253.5369046689</v>
      </c>
      <c r="AQ27" s="139" t="n">
        <f aca="false">AQ17*AQ21+AQ23*Hipótesis!$F$24+AQ178*Hipótesis!$F$24</f>
        <v>16713.0317306148</v>
      </c>
      <c r="AR27" s="139" t="n">
        <f aca="false">AR17*AR21+AR23*Hipótesis!$F$24+AR178*Hipótesis!$F$24</f>
        <v>17860.22638575</v>
      </c>
      <c r="AS27" s="139" t="n">
        <f aca="false">AS17*AS21+AS23*Hipótesis!$F$24+AS178*Hipótesis!$F$24</f>
        <v>17860.22638575</v>
      </c>
      <c r="AT27" s="139" t="n">
        <f aca="false">AT17*AT21+AT23*Hipótesis!$F$24+AT178*Hipótesis!$F$24</f>
        <v>17860.22638575</v>
      </c>
      <c r="AU27" s="139" t="n">
        <f aca="false">AU17*AU21+AU23*Hipótesis!$F$24+AU178*Hipótesis!$F$24</f>
        <v>17860.22638575</v>
      </c>
      <c r="AV27" s="139" t="n">
        <f aca="false">AV17*AV21+AV23*Hipótesis!$F$24+AV178*Hipótesis!$F$24</f>
        <v>17860.22638575</v>
      </c>
      <c r="AW27" s="139" t="n">
        <f aca="false">AW17*AW21+AW23*Hipótesis!$F$24+AW178*Hipótesis!$F$24</f>
        <v>17860.22638575</v>
      </c>
      <c r="AX27" s="139" t="n">
        <f aca="false">AX17*AX21+AX23*Hipótesis!$F$24+AX178*Hipótesis!$F$24</f>
        <v>17860.22638575</v>
      </c>
      <c r="AY27" s="139" t="n">
        <f aca="false">AY17*AY21+AY23*Hipótesis!$F$24+AY178*Hipótesis!$F$24</f>
        <v>17860.22638575</v>
      </c>
      <c r="AZ27" s="139" t="n">
        <f aca="false">AZ17*AZ21+AZ23*Hipótesis!$F$24+AZ178*Hipótesis!$F$24</f>
        <v>17860.22638575</v>
      </c>
      <c r="BA27" s="139" t="n">
        <f aca="false">BA17*BA21+BA23*Hipótesis!$F$24+BA178*Hipótesis!$F$24</f>
        <v>17860.22638575</v>
      </c>
      <c r="BB27" s="139" t="n">
        <f aca="false">BB17*BB21+BB23*Hipótesis!$F$24+BB178*Hipótesis!$F$24</f>
        <v>17860.22638575</v>
      </c>
      <c r="BC27" s="139" t="n">
        <f aca="false">BC17*BC21+BC23*Hipótesis!$F$24+BC178*Hipótesis!$F$24</f>
        <v>17016.3764711554</v>
      </c>
      <c r="BD27" s="139" t="n">
        <f aca="false">BD17*BD21+BD23*Hipótesis!$F$24+BD178*Hipótesis!$F$24</f>
        <v>17860.22638575</v>
      </c>
      <c r="BE27" s="139" t="n">
        <f aca="false">BE17*BE21+BE23*Hipótesis!$F$24+BE178*Hipótesis!$F$24</f>
        <v>17860.22638575</v>
      </c>
      <c r="BF27" s="139" t="n">
        <f aca="false">BF17*BF21+BF23*Hipótesis!$F$24+BF178*Hipótesis!$F$24</f>
        <v>17860.22638575</v>
      </c>
      <c r="BG27" s="139" t="n">
        <f aca="false">BG17*BG21+BG23*Hipótesis!$F$24+BG178*Hipótesis!$F$24</f>
        <v>17860.22638575</v>
      </c>
      <c r="BH27" s="139" t="n">
        <f aca="false">BH17*BH21+BH23*Hipótesis!$F$24+BH178*Hipótesis!$F$24</f>
        <v>17860.22638575</v>
      </c>
      <c r="BI27" s="139" t="n">
        <f aca="false">BI17*BI21+BI23*Hipótesis!$F$24+BI178*Hipótesis!$F$24</f>
        <v>17860.22638575</v>
      </c>
      <c r="BJ27" s="139" t="n">
        <f aca="false">BJ17*BJ21+BJ23*Hipótesis!$F$24+BJ178*Hipótesis!$F$24</f>
        <v>17860.22638575</v>
      </c>
      <c r="BK27" s="139" t="n">
        <f aca="false">BK17*BK21+BK23*Hipótesis!$F$24+BK178*Hipótesis!$F$24</f>
        <v>17860.22638575</v>
      </c>
      <c r="BL27" s="139" t="n">
        <f aca="false">BL17*BL21+BL23*Hipótesis!$F$24+BL178*Hipótesis!$F$24</f>
        <v>17860.22638575</v>
      </c>
      <c r="BM27" s="139" t="n">
        <f aca="false">BM17*BM21+BM23*Hipótesis!$F$24+BM178*Hipótesis!$F$24</f>
        <v>17860.22638575</v>
      </c>
      <c r="BN27" s="139" t="n">
        <f aca="false">BN17*BN21+BN23*Hipótesis!$F$24+BN178*Hipótesis!$F$24</f>
        <v>17860.22638575</v>
      </c>
      <c r="BO27" s="139" t="n">
        <f aca="false">BO17*BO21+BO23*Hipótesis!$F$24+BO178*Hipótesis!$F$24</f>
        <v>17016.3764711554</v>
      </c>
      <c r="BP27" s="139" t="n">
        <f aca="false">BP17*BP21+BP23*Hipótesis!$F$24+BP178*Hipótesis!$F$24</f>
        <v>17860.22638575</v>
      </c>
      <c r="BQ27" s="139" t="n">
        <f aca="false">BQ17*BQ21+BQ23*Hipótesis!$F$24+BQ178*Hipótesis!$F$24</f>
        <v>17860.22638575</v>
      </c>
      <c r="BR27" s="139" t="n">
        <f aca="false">BR17*BR21+BR23*Hipótesis!$F$24+BR178*Hipótesis!$F$24</f>
        <v>17860.22638575</v>
      </c>
      <c r="BS27" s="139" t="n">
        <f aca="false">BS17*BS21+BS23*Hipótesis!$F$24+BS178*Hipótesis!$F$24</f>
        <v>17860.22638575</v>
      </c>
      <c r="BT27" s="139" t="n">
        <f aca="false">BT17*BT21+BT23*Hipótesis!$F$24+BT178*Hipótesis!$F$24</f>
        <v>17860.22638575</v>
      </c>
      <c r="BU27" s="139" t="n">
        <f aca="false">BU17*BU21+BU23*Hipótesis!$F$24+BU178*Hipótesis!$F$24</f>
        <v>17860.22638575</v>
      </c>
      <c r="BV27" s="139" t="n">
        <f aca="false">BV17*BV21+BV23*Hipótesis!$F$24+BV178*Hipótesis!$F$24</f>
        <v>17860.22638575</v>
      </c>
      <c r="BW27" s="139" t="n">
        <f aca="false">BW17*BW21+BW23*Hipótesis!$F$24+BW178*Hipótesis!$F$24</f>
        <v>17860.22638575</v>
      </c>
      <c r="BX27" s="139" t="n">
        <f aca="false">BX17*BX21+BX23*Hipótesis!$F$24+BX178*Hipótesis!$F$24</f>
        <v>17860.22638575</v>
      </c>
      <c r="BY27" s="139" t="n">
        <f aca="false">BY17*BY21+BY23*Hipótesis!$F$24+BY178*Hipótesis!$F$24</f>
        <v>17860.22638575</v>
      </c>
      <c r="BZ27" s="139" t="n">
        <f aca="false">BZ17*BZ21+BZ23*Hipótesis!$F$24+BZ178*Hipótesis!$F$24</f>
        <v>17860.22638575</v>
      </c>
      <c r="CA27" s="139" t="n">
        <f aca="false">CA17*CA21+CA23*Hipótesis!$F$24+CA178*Hipótesis!$F$24</f>
        <v>17016.3764711554</v>
      </c>
      <c r="CB27" s="139" t="n">
        <f aca="false">CB17*CB21+CB23*Hipótesis!$F$24+CB178*Hipótesis!$F$24</f>
        <v>17860.22638575</v>
      </c>
      <c r="CC27" s="139" t="n">
        <f aca="false">CC17*CC21+CC23*Hipótesis!$F$24+CC178*Hipótesis!$F$24</f>
        <v>17860.22638575</v>
      </c>
      <c r="CD27" s="139" t="n">
        <f aca="false">CD17*CD21+CD23*Hipótesis!$F$24+CD178*Hipótesis!$F$24</f>
        <v>17860.22638575</v>
      </c>
      <c r="CE27" s="139" t="n">
        <f aca="false">CE17*CE21+CE23*Hipótesis!$F$24+CE178*Hipótesis!$F$24</f>
        <v>17860.22638575</v>
      </c>
      <c r="CF27" s="139" t="n">
        <f aca="false">CF17*CF21+CF23*Hipótesis!$F$24+CF178*Hipótesis!$F$24</f>
        <v>17860.22638575</v>
      </c>
      <c r="CG27" s="139" t="n">
        <f aca="false">CG17*CG21+CG23*Hipótesis!$F$24+CG178*Hipótesis!$F$24</f>
        <v>17860.22638575</v>
      </c>
      <c r="CH27" s="139" t="n">
        <f aca="false">CH17*CH21+CH23*Hipótesis!$F$24+CH178*Hipótesis!$F$24</f>
        <v>17860.22638575</v>
      </c>
    </row>
    <row r="28" customFormat="false" ht="13.5" hidden="false" customHeight="true" outlineLevel="0" collapsed="false">
      <c r="A28" s="13" t="s">
        <v>710</v>
      </c>
      <c r="C28" s="139" t="n">
        <f aca="false">C27*Producto!$D$11/60</f>
        <v>7.21409292792793</v>
      </c>
      <c r="D28" s="139" t="n">
        <f aca="false">D27*Producto!$D$11/60</f>
        <v>15.1958329146794</v>
      </c>
      <c r="E28" s="139" t="n">
        <f aca="false">E27*Producto!$D$11/60</f>
        <v>33.1482042789819</v>
      </c>
      <c r="F28" s="139" t="n">
        <f aca="false">F27*Producto!$D$11/60</f>
        <v>45.954742309951</v>
      </c>
      <c r="G28" s="139" t="n">
        <f aca="false">G27*Producto!$D$11/60</f>
        <v>49.2035300050696</v>
      </c>
      <c r="H28" s="139" t="n">
        <f aca="false">H27*Producto!$D$11/60</f>
        <v>78.8284801365952</v>
      </c>
      <c r="I28" s="139" t="n">
        <f aca="false">I27*Producto!$D$11/60</f>
        <v>100.352746855959</v>
      </c>
      <c r="J28" s="139" t="n">
        <f aca="false">J27*Producto!$D$11/60</f>
        <v>134.28657114289</v>
      </c>
      <c r="K28" s="139" t="n">
        <f aca="false">K27*Producto!$D$11/60</f>
        <v>168.220395429821</v>
      </c>
      <c r="L28" s="139" t="n">
        <f aca="false">L27*Producto!$D$11/60</f>
        <v>202.154219716752</v>
      </c>
      <c r="M28" s="139" t="n">
        <f aca="false">M27*Producto!$D$11/60</f>
        <v>226.117412626132</v>
      </c>
      <c r="N28" s="139" t="n">
        <f aca="false">N27*Producto!$D$11/60</f>
        <v>262.87472318257</v>
      </c>
      <c r="O28" s="139" t="n">
        <f aca="false">O27*Producto!$D$11/60</f>
        <v>299.632033739009</v>
      </c>
      <c r="P28" s="139" t="n">
        <f aca="false">P27*Producto!$D$11/60</f>
        <v>332.711035471919</v>
      </c>
      <c r="Q28" s="139" t="n">
        <f aca="false">Q27*Producto!$D$11/60</f>
        <v>365.790037204828</v>
      </c>
      <c r="R28" s="139" t="n">
        <f aca="false">R27*Producto!$D$11/60</f>
        <v>398.869038937737</v>
      </c>
      <c r="S28" s="139" t="n">
        <f aca="false">S27*Producto!$D$11/60</f>
        <v>402.061689528755</v>
      </c>
      <c r="T28" s="139" t="n">
        <f aca="false">T27*Producto!$D$11/60</f>
        <v>465.027042403556</v>
      </c>
      <c r="U28" s="139" t="n">
        <f aca="false">U27*Producto!$D$11/60</f>
        <v>498.106044136465</v>
      </c>
      <c r="V28" s="139" t="n">
        <f aca="false">V27*Producto!$D$11/60</f>
        <v>531.185045869375</v>
      </c>
      <c r="W28" s="139" t="n">
        <f aca="false">W27*Producto!$D$11/60</f>
        <v>564.264047602284</v>
      </c>
      <c r="X28" s="139" t="n">
        <f aca="false">X27*Producto!$D$11/60</f>
        <v>584.548931688135</v>
      </c>
      <c r="Y28" s="139" t="n">
        <f aca="false">Y27*Producto!$D$11/60</f>
        <v>604.833815773985</v>
      </c>
      <c r="Z28" s="139" t="n">
        <f aca="false">Z27*Producto!$D$11/60</f>
        <v>620.001052801012</v>
      </c>
      <c r="AA28" s="139" t="n">
        <f aca="false">AA27*Producto!$D$11/60</f>
        <v>635.168289828039</v>
      </c>
      <c r="AB28" s="139" t="n">
        <f aca="false">AB27*Producto!$D$11/60</f>
        <v>650.335526855066</v>
      </c>
      <c r="AC28" s="139" t="n">
        <f aca="false">AC27*Producto!$D$11/60</f>
        <v>665.502763882093</v>
      </c>
      <c r="AD28" s="139" t="n">
        <f aca="false">AD27*Producto!$D$11/60</f>
        <v>680.67000090912</v>
      </c>
      <c r="AE28" s="139" t="n">
        <f aca="false">AE27*Producto!$D$11/60</f>
        <v>653.644742206418</v>
      </c>
      <c r="AF28" s="139" t="n">
        <f aca="false">AF27*Producto!$D$11/60</f>
        <v>711.004474963175</v>
      </c>
      <c r="AG28" s="139" t="n">
        <f aca="false">AG27*Producto!$D$11/60</f>
        <v>726.171711990202</v>
      </c>
      <c r="AH28" s="139" t="n">
        <f aca="false">AH27*Producto!$D$11/60</f>
        <v>741.338949017229</v>
      </c>
      <c r="AI28" s="139" t="n">
        <f aca="false">AI27*Producto!$D$11/60</f>
        <v>756.506186044256</v>
      </c>
      <c r="AJ28" s="139" t="n">
        <f aca="false">AJ27*Producto!$D$11/60</f>
        <v>771.673423071283</v>
      </c>
      <c r="AK28" s="139" t="n">
        <f aca="false">AK27*Producto!$D$11/60</f>
        <v>786.84066009831</v>
      </c>
      <c r="AL28" s="139" t="n">
        <f aca="false">AL27*Producto!$D$11/60</f>
        <v>802.007897125337</v>
      </c>
      <c r="AM28" s="139" t="n">
        <f aca="false">AM27*Producto!$D$11/60</f>
        <v>817.175134152364</v>
      </c>
      <c r="AN28" s="139" t="n">
        <f aca="false">AN27*Producto!$D$11/60</f>
        <v>832.342371179391</v>
      </c>
      <c r="AO28" s="139" t="n">
        <f aca="false">AO27*Producto!$D$11/60</f>
        <v>847.509608206418</v>
      </c>
      <c r="AP28" s="139" t="n">
        <f aca="false">AP27*Producto!$D$11/60</f>
        <v>862.676845233445</v>
      </c>
      <c r="AQ28" s="139" t="n">
        <f aca="false">AQ27*Producto!$D$11/60</f>
        <v>835.651586530742</v>
      </c>
      <c r="AR28" s="139" t="n">
        <f aca="false">AR27*Producto!$D$11/60</f>
        <v>893.011319287499</v>
      </c>
      <c r="AS28" s="139" t="n">
        <f aca="false">AS27*Producto!$D$11/60</f>
        <v>893.011319287499</v>
      </c>
      <c r="AT28" s="139" t="n">
        <f aca="false">AT27*Producto!$D$11/60</f>
        <v>893.011319287499</v>
      </c>
      <c r="AU28" s="139" t="n">
        <f aca="false">AU27*Producto!$D$11/60</f>
        <v>893.011319287499</v>
      </c>
      <c r="AV28" s="139" t="n">
        <f aca="false">AV27*Producto!$D$11/60</f>
        <v>893.011319287499</v>
      </c>
      <c r="AW28" s="139" t="n">
        <f aca="false">AW27*Producto!$D$11/60</f>
        <v>893.011319287499</v>
      </c>
      <c r="AX28" s="139" t="n">
        <f aca="false">AX27*Producto!$D$11/60</f>
        <v>893.011319287499</v>
      </c>
      <c r="AY28" s="139" t="n">
        <f aca="false">AY27*Producto!$D$11/60</f>
        <v>893.011319287499</v>
      </c>
      <c r="AZ28" s="139" t="n">
        <f aca="false">AZ27*Producto!$D$11/60</f>
        <v>893.011319287499</v>
      </c>
      <c r="BA28" s="139" t="n">
        <f aca="false">BA27*Producto!$D$11/60</f>
        <v>893.011319287499</v>
      </c>
      <c r="BB28" s="139" t="n">
        <f aca="false">BB27*Producto!$D$11/60</f>
        <v>893.011319287499</v>
      </c>
      <c r="BC28" s="139" t="n">
        <f aca="false">BC27*Producto!$D$11/60</f>
        <v>850.818823557769</v>
      </c>
      <c r="BD28" s="139" t="n">
        <f aca="false">BD27*Producto!$D$11/60</f>
        <v>893.011319287499</v>
      </c>
      <c r="BE28" s="139" t="n">
        <f aca="false">BE27*Producto!$D$11/60</f>
        <v>893.011319287499</v>
      </c>
      <c r="BF28" s="139" t="n">
        <f aca="false">BF27*Producto!$D$11/60</f>
        <v>893.011319287499</v>
      </c>
      <c r="BG28" s="139" t="n">
        <f aca="false">BG27*Producto!$D$11/60</f>
        <v>893.011319287499</v>
      </c>
      <c r="BH28" s="139" t="n">
        <f aca="false">BH27*Producto!$D$11/60</f>
        <v>893.011319287499</v>
      </c>
      <c r="BI28" s="139" t="n">
        <f aca="false">BI27*Producto!$D$11/60</f>
        <v>893.011319287499</v>
      </c>
      <c r="BJ28" s="139" t="n">
        <f aca="false">BJ27*Producto!$D$11/60</f>
        <v>893.011319287499</v>
      </c>
      <c r="BK28" s="139" t="n">
        <f aca="false">BK27*Producto!$D$11/60</f>
        <v>893.011319287499</v>
      </c>
      <c r="BL28" s="139" t="n">
        <f aca="false">BL27*Producto!$D$11/60</f>
        <v>893.011319287499</v>
      </c>
      <c r="BM28" s="139" t="n">
        <f aca="false">BM27*Producto!$D$11/60</f>
        <v>893.011319287499</v>
      </c>
      <c r="BN28" s="139" t="n">
        <f aca="false">BN27*Producto!$D$11/60</f>
        <v>893.011319287499</v>
      </c>
      <c r="BO28" s="139" t="n">
        <f aca="false">BO27*Producto!$D$11/60</f>
        <v>850.818823557769</v>
      </c>
      <c r="BP28" s="139" t="n">
        <f aca="false">BP27*Producto!$D$11/60</f>
        <v>893.011319287499</v>
      </c>
      <c r="BQ28" s="139" t="n">
        <f aca="false">BQ27*Producto!$D$11/60</f>
        <v>893.011319287499</v>
      </c>
      <c r="BR28" s="139" t="n">
        <f aca="false">BR27*Producto!$D$11/60</f>
        <v>893.011319287499</v>
      </c>
      <c r="BS28" s="139" t="n">
        <f aca="false">BS27*Producto!$D$11/60</f>
        <v>893.011319287499</v>
      </c>
      <c r="BT28" s="139" t="n">
        <f aca="false">BT27*Producto!$D$11/60</f>
        <v>893.011319287499</v>
      </c>
      <c r="BU28" s="139" t="n">
        <f aca="false">BU27*Producto!$D$11/60</f>
        <v>893.011319287499</v>
      </c>
      <c r="BV28" s="139" t="n">
        <f aca="false">BV27*Producto!$D$11/60</f>
        <v>893.011319287499</v>
      </c>
      <c r="BW28" s="139" t="n">
        <f aca="false">BW27*Producto!$D$11/60</f>
        <v>893.011319287499</v>
      </c>
      <c r="BX28" s="139" t="n">
        <f aca="false">BX27*Producto!$D$11/60</f>
        <v>893.011319287499</v>
      </c>
      <c r="BY28" s="139" t="n">
        <f aca="false">BY27*Producto!$D$11/60</f>
        <v>893.011319287499</v>
      </c>
      <c r="BZ28" s="139" t="n">
        <f aca="false">BZ27*Producto!$D$11/60</f>
        <v>893.011319287499</v>
      </c>
      <c r="CA28" s="139" t="n">
        <f aca="false">CA27*Producto!$D$11/60</f>
        <v>850.818823557769</v>
      </c>
      <c r="CB28" s="139" t="n">
        <f aca="false">CB27*Producto!$D$11/60</f>
        <v>893.011319287499</v>
      </c>
      <c r="CC28" s="139" t="n">
        <f aca="false">CC27*Producto!$D$11/60</f>
        <v>893.011319287499</v>
      </c>
      <c r="CD28" s="139" t="n">
        <f aca="false">CD27*Producto!$D$11/60</f>
        <v>893.011319287499</v>
      </c>
      <c r="CE28" s="139" t="n">
        <f aca="false">CE27*Producto!$D$11/60</f>
        <v>893.011319287499</v>
      </c>
      <c r="CF28" s="139" t="n">
        <f aca="false">CF27*Producto!$D$11/60</f>
        <v>893.011319287499</v>
      </c>
      <c r="CG28" s="139" t="n">
        <f aca="false">CG27*Producto!$D$11/60</f>
        <v>893.011319287499</v>
      </c>
      <c r="CH28" s="139" t="n">
        <f aca="false">CH27*Producto!$D$11/60</f>
        <v>893.011319287499</v>
      </c>
    </row>
    <row r="29" customFormat="false" ht="13.5" hidden="false" customHeight="true" outlineLevel="0" collapsed="false">
      <c r="A29" s="13" t="s">
        <v>711</v>
      </c>
      <c r="C29" s="139" t="n">
        <f aca="false">SUMPRODUCT((Hipótesis!$D$48:$D$53&lt;=1)*(Hipótesis!$B$48:$B$53)*(Hipótesis!$F$48:$F$53))</f>
        <v>320</v>
      </c>
      <c r="D29" s="139" t="n">
        <f aca="false">SUMPRODUCT((Hipótesis!$D$48:$D$53&lt;=2)*(Hipótesis!$B$48:$B$53)*(Hipótesis!$F$48:$F$53))</f>
        <v>320</v>
      </c>
      <c r="E29" s="139" t="n">
        <f aca="false">SUMPRODUCT((Hipótesis!$D$48:$D$53&lt;=3)*(Hipótesis!$B$48:$B$53)*(Hipótesis!$F$48:$F$53))</f>
        <v>320</v>
      </c>
      <c r="F29" s="139" t="n">
        <f aca="false">SUMPRODUCT((Hipótesis!$D$48:$D$53&lt;=4)*(Hipótesis!$B$48:$B$53)*(Hipótesis!$F$48:$F$53))</f>
        <v>320</v>
      </c>
      <c r="G29" s="139" t="n">
        <f aca="false">SUMPRODUCT((Hipótesis!$D$48:$D$53&lt;=5)*(Hipótesis!$B$48:$B$53)*(Hipótesis!$F$48:$F$53))</f>
        <v>320</v>
      </c>
      <c r="H29" s="139" t="n">
        <f aca="false">SUMPRODUCT((Hipótesis!$D$48:$D$53&lt;=6)*(Hipótesis!$B$48:$B$53)*(Hipótesis!$F$48:$F$53))</f>
        <v>320</v>
      </c>
      <c r="I29" s="139" t="n">
        <f aca="false">SUMPRODUCT((Hipótesis!$D$48:$D$53&lt;=7)*(Hipótesis!$B$48:$B$53)*(Hipótesis!$F$48:$F$53))</f>
        <v>320</v>
      </c>
      <c r="J29" s="139" t="n">
        <f aca="false">SUMPRODUCT((Hipótesis!$D$48:$D$53&lt;=8)*(Hipótesis!$B$48:$B$53)*(Hipótesis!$F$48:$F$53))</f>
        <v>320</v>
      </c>
      <c r="K29" s="139" t="n">
        <f aca="false">SUMPRODUCT((Hipótesis!$D$48:$D$53&lt;=9)*(Hipótesis!$B$48:$B$53)*(Hipótesis!$F$48:$F$53))</f>
        <v>320</v>
      </c>
      <c r="L29" s="139" t="n">
        <f aca="false">SUMPRODUCT((Hipótesis!$D$48:$D$53&lt;=10)*(Hipótesis!$B$48:$B$53)*(Hipótesis!$F$48:$F$53))</f>
        <v>320</v>
      </c>
      <c r="M29" s="139" t="n">
        <f aca="false">SUMPRODUCT((Hipótesis!$D$48:$D$53&lt;=11)*(Hipótesis!$B$48:$B$53)*(Hipótesis!$F$48:$F$53))</f>
        <v>320</v>
      </c>
      <c r="N29" s="139" t="n">
        <f aca="false">SUMPRODUCT((Hipótesis!$D$48:$D$53&lt;=12)*(Hipótesis!$B$48:$B$53)*(Hipótesis!$F$48:$F$53))</f>
        <v>320</v>
      </c>
      <c r="O29" s="139" t="n">
        <f aca="false">SUMPRODUCT((Hipótesis!$D$48:$D$53&lt;=13)*(Hipótesis!$B$48:$B$53)*(Hipótesis!$F$48:$F$53))</f>
        <v>320</v>
      </c>
      <c r="P29" s="139" t="n">
        <f aca="false">SUMPRODUCT((Hipótesis!$D$48:$D$53&lt;=14)*(Hipótesis!$B$48:$B$53)*(Hipótesis!$F$48:$F$53))</f>
        <v>320</v>
      </c>
      <c r="Q29" s="139" t="n">
        <f aca="false">SUMPRODUCT((Hipótesis!$D$48:$D$53&lt;=15)*(Hipótesis!$B$48:$B$53)*(Hipótesis!$F$48:$F$53))</f>
        <v>320</v>
      </c>
      <c r="R29" s="139" t="n">
        <f aca="false">SUMPRODUCT((Hipótesis!$D$48:$D$53&lt;=16)*(Hipótesis!$B$48:$B$53)*(Hipótesis!$F$48:$F$53))</f>
        <v>320</v>
      </c>
      <c r="S29" s="139" t="n">
        <f aca="false">SUMPRODUCT((Hipótesis!$D$48:$D$53&lt;=17)*(Hipótesis!$B$48:$B$53)*(Hipótesis!$F$48:$F$53))</f>
        <v>320</v>
      </c>
      <c r="T29" s="139" t="n">
        <f aca="false">SUMPRODUCT((Hipótesis!$D$48:$D$53&lt;=18)*(Hipótesis!$B$48:$B$53)*(Hipótesis!$F$48:$F$53))</f>
        <v>320</v>
      </c>
      <c r="U29" s="139" t="n">
        <f aca="false">SUMPRODUCT((Hipótesis!$D$48:$D$53&lt;=19)*(Hipótesis!$B$48:$B$53)*(Hipótesis!$F$48:$F$53))</f>
        <v>320</v>
      </c>
      <c r="V29" s="139" t="n">
        <f aca="false">SUMPRODUCT((Hipótesis!$D$48:$D$53&lt;=20)*(Hipótesis!$B$48:$B$53)*(Hipótesis!$F$48:$F$53))</f>
        <v>320</v>
      </c>
      <c r="W29" s="139" t="n">
        <f aca="false">SUMPRODUCT((Hipótesis!$D$48:$D$53&lt;=21)*(Hipótesis!$B$48:$B$53)*(Hipótesis!$F$48:$F$53))</f>
        <v>320</v>
      </c>
      <c r="X29" s="139" t="n">
        <f aca="false">SUMPRODUCT((Hipótesis!$D$48:$D$53&lt;=22)*(Hipótesis!$B$48:$B$53)*(Hipótesis!$F$48:$F$53))</f>
        <v>320</v>
      </c>
      <c r="Y29" s="139" t="n">
        <f aca="false">SUMPRODUCT((Hipótesis!$D$48:$D$53&lt;=23)*(Hipótesis!$B$48:$B$53)*(Hipótesis!$F$48:$F$53))</f>
        <v>320</v>
      </c>
      <c r="Z29" s="139" t="n">
        <f aca="false">SUMPRODUCT((Hipótesis!$D$48:$D$53&lt;=24)*(Hipótesis!$B$48:$B$53)*(Hipótesis!$F$48:$F$53))</f>
        <v>320</v>
      </c>
      <c r="AA29" s="139" t="n">
        <f aca="false">SUMPRODUCT((Hipótesis!$D$48:$D$53&lt;=25)*(Hipótesis!$B$48:$B$53)*(Hipótesis!$F$48:$F$53))</f>
        <v>320</v>
      </c>
      <c r="AB29" s="139" t="n">
        <f aca="false">SUMPRODUCT((Hipótesis!$D$48:$D$53&lt;=26)*(Hipótesis!$B$48:$B$53)*(Hipótesis!$F$48:$F$53))</f>
        <v>320</v>
      </c>
      <c r="AC29" s="139" t="n">
        <f aca="false">SUMPRODUCT((Hipótesis!$D$48:$D$53&lt;=27)*(Hipótesis!$B$48:$B$53)*(Hipótesis!$F$48:$F$53))</f>
        <v>320</v>
      </c>
      <c r="AD29" s="139" t="n">
        <f aca="false">SUMPRODUCT((Hipótesis!$D$48:$D$53&lt;=28)*(Hipótesis!$B$48:$B$53)*(Hipótesis!$F$48:$F$53))</f>
        <v>320</v>
      </c>
      <c r="AE29" s="139" t="n">
        <f aca="false">SUMPRODUCT((Hipótesis!$D$48:$D$53&lt;=29)*(Hipótesis!$B$48:$B$53)*(Hipótesis!$F$48:$F$53))</f>
        <v>320</v>
      </c>
      <c r="AF29" s="139" t="n">
        <f aca="false">SUMPRODUCT((Hipótesis!$D$48:$D$53&lt;=30)*(Hipótesis!$B$48:$B$53)*(Hipótesis!$F$48:$F$53))</f>
        <v>320</v>
      </c>
      <c r="AG29" s="139" t="n">
        <f aca="false">SUMPRODUCT((Hipótesis!$D$48:$D$53&lt;=31)*(Hipótesis!$B$48:$B$53)*(Hipótesis!$F$48:$F$53))</f>
        <v>320</v>
      </c>
      <c r="AH29" s="139" t="n">
        <f aca="false">SUMPRODUCT((Hipótesis!$D$48:$D$53&lt;=32)*(Hipótesis!$B$48:$B$53)*(Hipótesis!$F$48:$F$53))</f>
        <v>320</v>
      </c>
      <c r="AI29" s="139" t="n">
        <f aca="false">SUMPRODUCT((Hipótesis!$D$48:$D$53&lt;=33)*(Hipótesis!$B$48:$B$53)*(Hipótesis!$F$48:$F$53))</f>
        <v>320</v>
      </c>
      <c r="AJ29" s="139" t="n">
        <f aca="false">SUMPRODUCT((Hipótesis!$D$48:$D$53&lt;=34)*(Hipótesis!$B$48:$B$53)*(Hipótesis!$F$48:$F$53))</f>
        <v>320</v>
      </c>
      <c r="AK29" s="139" t="n">
        <f aca="false">SUMPRODUCT((Hipótesis!$D$48:$D$53&lt;=35)*(Hipótesis!$B$48:$B$53)*(Hipótesis!$F$48:$F$53))</f>
        <v>320</v>
      </c>
      <c r="AL29" s="139" t="n">
        <f aca="false">SUMPRODUCT((Hipótesis!$D$48:$D$53&lt;=36)*(Hipótesis!$B$48:$B$53)*(Hipótesis!$F$48:$F$53))</f>
        <v>320</v>
      </c>
      <c r="AM29" s="139" t="n">
        <f aca="false">SUMPRODUCT((Hipótesis!$D$48:$D$53&lt;=37)*(Hipótesis!$B$48:$B$53)*(Hipótesis!$F$48:$F$53))</f>
        <v>320</v>
      </c>
      <c r="AN29" s="139" t="n">
        <f aca="false">SUMPRODUCT((Hipótesis!$D$48:$D$53&lt;=38)*(Hipótesis!$B$48:$B$53)*(Hipótesis!$F$48:$F$53))</f>
        <v>320</v>
      </c>
      <c r="AO29" s="139" t="n">
        <f aca="false">SUMPRODUCT((Hipótesis!$D$48:$D$53&lt;=39)*(Hipótesis!$B$48:$B$53)*(Hipótesis!$F$48:$F$53))</f>
        <v>320</v>
      </c>
      <c r="AP29" s="139" t="n">
        <f aca="false">SUMPRODUCT((Hipótesis!$D$48:$D$53&lt;=40)*(Hipótesis!$B$48:$B$53)*(Hipótesis!$F$48:$F$53))</f>
        <v>320</v>
      </c>
      <c r="AQ29" s="139" t="n">
        <f aca="false">SUMPRODUCT((Hipótesis!$D$48:$D$53&lt;=41)*(Hipótesis!$B$48:$B$53)*(Hipótesis!$F$48:$F$53))</f>
        <v>320</v>
      </c>
      <c r="AR29" s="139" t="n">
        <f aca="false">SUMPRODUCT((Hipótesis!$D$48:$D$53&lt;=42)*(Hipótesis!$B$48:$B$53)*(Hipótesis!$F$48:$F$53))</f>
        <v>320</v>
      </c>
      <c r="AS29" s="139" t="n">
        <f aca="false">SUMPRODUCT((Hipótesis!$D$48:$D$53&lt;=43)*(Hipótesis!$B$48:$B$53)*(Hipótesis!$F$48:$F$53))</f>
        <v>320</v>
      </c>
      <c r="AT29" s="139" t="n">
        <f aca="false">SUMPRODUCT((Hipótesis!$D$48:$D$53&lt;=44)*(Hipótesis!$B$48:$B$53)*(Hipótesis!$F$48:$F$53))</f>
        <v>320</v>
      </c>
      <c r="AU29" s="139" t="n">
        <f aca="false">SUMPRODUCT((Hipótesis!$D$48:$D$53&lt;=45)*(Hipótesis!$B$48:$B$53)*(Hipótesis!$F$48:$F$53))</f>
        <v>320</v>
      </c>
      <c r="AV29" s="139" t="n">
        <f aca="false">SUMPRODUCT((Hipótesis!$D$48:$D$53&lt;=46)*(Hipótesis!$B$48:$B$53)*(Hipótesis!$F$48:$F$53))</f>
        <v>320</v>
      </c>
      <c r="AW29" s="139" t="n">
        <f aca="false">SUMPRODUCT((Hipótesis!$D$48:$D$53&lt;=47)*(Hipótesis!$B$48:$B$53)*(Hipótesis!$F$48:$F$53))</f>
        <v>320</v>
      </c>
      <c r="AX29" s="139" t="n">
        <f aca="false">SUMPRODUCT((Hipótesis!$D$48:$D$53&lt;=48)*(Hipótesis!$B$48:$B$53)*(Hipótesis!$F$48:$F$53))</f>
        <v>320</v>
      </c>
      <c r="AY29" s="139" t="n">
        <f aca="false">SUMPRODUCT((Hipótesis!$D$48:$D$53&lt;=49)*(Hipótesis!$B$48:$B$53)*(Hipótesis!$F$48:$F$53))</f>
        <v>320</v>
      </c>
      <c r="AZ29" s="139" t="n">
        <f aca="false">SUMPRODUCT((Hipótesis!$D$48:$D$53&lt;=50)*(Hipótesis!$B$48:$B$53)*(Hipótesis!$F$48:$F$53))</f>
        <v>320</v>
      </c>
      <c r="BA29" s="139" t="n">
        <f aca="false">SUMPRODUCT((Hipótesis!$D$48:$D$53&lt;=51)*(Hipótesis!$B$48:$B$53)*(Hipótesis!$F$48:$F$53))</f>
        <v>320</v>
      </c>
      <c r="BB29" s="139" t="n">
        <f aca="false">SUMPRODUCT((Hipótesis!$D$48:$D$53&lt;=52)*(Hipótesis!$B$48:$B$53)*(Hipótesis!$F$48:$F$53))</f>
        <v>320</v>
      </c>
      <c r="BC29" s="139" t="n">
        <f aca="false">SUMPRODUCT((Hipótesis!$D$48:$D$53&lt;=53)*(Hipótesis!$B$48:$B$53)*(Hipótesis!$F$48:$F$53))</f>
        <v>320</v>
      </c>
      <c r="BD29" s="139" t="n">
        <f aca="false">SUMPRODUCT((Hipótesis!$D$48:$D$53&lt;=54)*(Hipótesis!$B$48:$B$53)*(Hipótesis!$F$48:$F$53))</f>
        <v>320</v>
      </c>
      <c r="BE29" s="139" t="n">
        <f aca="false">SUMPRODUCT((Hipótesis!$D$48:$D$53&lt;=55)*(Hipótesis!$B$48:$B$53)*(Hipótesis!$F$48:$F$53))</f>
        <v>320</v>
      </c>
      <c r="BF29" s="139" t="n">
        <f aca="false">SUMPRODUCT((Hipótesis!$D$48:$D$53&lt;=56)*(Hipótesis!$B$48:$B$53)*(Hipótesis!$F$48:$F$53))</f>
        <v>320</v>
      </c>
      <c r="BG29" s="139" t="n">
        <f aca="false">SUMPRODUCT((Hipótesis!$D$48:$D$53&lt;=57)*(Hipótesis!$B$48:$B$53)*(Hipótesis!$F$48:$F$53))</f>
        <v>320</v>
      </c>
      <c r="BH29" s="139" t="n">
        <f aca="false">SUMPRODUCT((Hipótesis!$D$48:$D$53&lt;=58)*(Hipótesis!$B$48:$B$53)*(Hipótesis!$F$48:$F$53))</f>
        <v>320</v>
      </c>
      <c r="BI29" s="139" t="n">
        <f aca="false">SUMPRODUCT((Hipótesis!$D$48:$D$53&lt;=59)*(Hipótesis!$B$48:$B$53)*(Hipótesis!$F$48:$F$53))</f>
        <v>320</v>
      </c>
      <c r="BJ29" s="139" t="n">
        <f aca="false">SUMPRODUCT((Hipótesis!$D$48:$D$53&lt;=60)*(Hipótesis!$B$48:$B$53)*(Hipótesis!$F$48:$F$53))</f>
        <v>320</v>
      </c>
      <c r="BK29" s="139" t="n">
        <f aca="false">SUMPRODUCT((Hipótesis!$D$48:$D$53&lt;=61)*(Hipótesis!$B$48:$B$53)*(Hipótesis!$F$48:$F$53))</f>
        <v>320</v>
      </c>
      <c r="BL29" s="139" t="n">
        <f aca="false">SUMPRODUCT((Hipótesis!$D$48:$D$53&lt;=62)*(Hipótesis!$B$48:$B$53)*(Hipótesis!$F$48:$F$53))</f>
        <v>320</v>
      </c>
      <c r="BM29" s="139" t="n">
        <f aca="false">SUMPRODUCT((Hipótesis!$D$48:$D$53&lt;=63)*(Hipótesis!$B$48:$B$53)*(Hipótesis!$F$48:$F$53))</f>
        <v>320</v>
      </c>
      <c r="BN29" s="139" t="n">
        <f aca="false">SUMPRODUCT((Hipótesis!$D$48:$D$53&lt;=64)*(Hipótesis!$B$48:$B$53)*(Hipótesis!$F$48:$F$53))</f>
        <v>320</v>
      </c>
      <c r="BO29" s="139" t="n">
        <f aca="false">SUMPRODUCT((Hipótesis!$D$48:$D$53&lt;=65)*(Hipótesis!$B$48:$B$53)*(Hipótesis!$F$48:$F$53))</f>
        <v>320</v>
      </c>
      <c r="BP29" s="139" t="n">
        <f aca="false">SUMPRODUCT((Hipótesis!$D$48:$D$53&lt;=66)*(Hipótesis!$B$48:$B$53)*(Hipótesis!$F$48:$F$53))</f>
        <v>320</v>
      </c>
      <c r="BQ29" s="139" t="n">
        <f aca="false">SUMPRODUCT((Hipótesis!$D$48:$D$53&lt;=67)*(Hipótesis!$B$48:$B$53)*(Hipótesis!$F$48:$F$53))</f>
        <v>320</v>
      </c>
      <c r="BR29" s="139" t="n">
        <f aca="false">SUMPRODUCT((Hipótesis!$D$48:$D$53&lt;=68)*(Hipótesis!$B$48:$B$53)*(Hipótesis!$F$48:$F$53))</f>
        <v>320</v>
      </c>
      <c r="BS29" s="139" t="n">
        <f aca="false">SUMPRODUCT((Hipótesis!$D$48:$D$53&lt;=69)*(Hipótesis!$B$48:$B$53)*(Hipótesis!$F$48:$F$53))</f>
        <v>320</v>
      </c>
      <c r="BT29" s="139" t="n">
        <f aca="false">SUMPRODUCT((Hipótesis!$D$48:$D$53&lt;=70)*(Hipótesis!$B$48:$B$53)*(Hipótesis!$F$48:$F$53))</f>
        <v>320</v>
      </c>
      <c r="BU29" s="139" t="n">
        <f aca="false">SUMPRODUCT((Hipótesis!$D$48:$D$53&lt;=71)*(Hipótesis!$B$48:$B$53)*(Hipótesis!$F$48:$F$53))</f>
        <v>320</v>
      </c>
      <c r="BV29" s="139" t="n">
        <f aca="false">SUMPRODUCT((Hipótesis!$D$48:$D$53&lt;=72)*(Hipótesis!$B$48:$B$53)*(Hipótesis!$F$48:$F$53))</f>
        <v>320</v>
      </c>
      <c r="BW29" s="139" t="n">
        <f aca="false">SUMPRODUCT((Hipótesis!$D$48:$D$53&lt;=73)*(Hipótesis!$B$48:$B$53)*(Hipótesis!$F$48:$F$53))</f>
        <v>320</v>
      </c>
      <c r="BX29" s="139" t="n">
        <f aca="false">SUMPRODUCT((Hipótesis!$D$48:$D$53&lt;=74)*(Hipótesis!$B$48:$B$53)*(Hipótesis!$F$48:$F$53))</f>
        <v>320</v>
      </c>
      <c r="BY29" s="139" t="n">
        <f aca="false">SUMPRODUCT((Hipótesis!$D$48:$D$53&lt;=75)*(Hipótesis!$B$48:$B$53)*(Hipótesis!$F$48:$F$53))</f>
        <v>320</v>
      </c>
      <c r="BZ29" s="139" t="n">
        <f aca="false">SUMPRODUCT((Hipótesis!$D$48:$D$53&lt;=76)*(Hipótesis!$B$48:$B$53)*(Hipótesis!$F$48:$F$53))</f>
        <v>320</v>
      </c>
      <c r="CA29" s="139" t="n">
        <f aca="false">SUMPRODUCT((Hipótesis!$D$48:$D$53&lt;=77)*(Hipótesis!$B$48:$B$53)*(Hipótesis!$F$48:$F$53))</f>
        <v>320</v>
      </c>
      <c r="CB29" s="139" t="n">
        <f aca="false">SUMPRODUCT((Hipótesis!$D$48:$D$53&lt;=78)*(Hipótesis!$B$48:$B$53)*(Hipótesis!$F$48:$F$53))</f>
        <v>320</v>
      </c>
      <c r="CC29" s="139" t="n">
        <f aca="false">SUMPRODUCT((Hipótesis!$D$48:$D$53&lt;=79)*(Hipótesis!$B$48:$B$53)*(Hipótesis!$F$48:$F$53))</f>
        <v>320</v>
      </c>
      <c r="CD29" s="139" t="n">
        <f aca="false">SUMPRODUCT((Hipótesis!$D$48:$D$53&lt;=80)*(Hipótesis!$B$48:$B$53)*(Hipótesis!$F$48:$F$53))</f>
        <v>320</v>
      </c>
      <c r="CE29" s="139" t="n">
        <f aca="false">SUMPRODUCT((Hipótesis!$D$48:$D$53&lt;=81)*(Hipótesis!$B$48:$B$53)*(Hipótesis!$F$48:$F$53))</f>
        <v>320</v>
      </c>
      <c r="CF29" s="139" t="n">
        <f aca="false">SUMPRODUCT((Hipótesis!$D$48:$D$53&lt;=82)*(Hipótesis!$B$48:$B$53)*(Hipótesis!$F$48:$F$53))</f>
        <v>320</v>
      </c>
      <c r="CG29" s="139" t="n">
        <f aca="false">SUMPRODUCT((Hipótesis!$D$48:$D$53&lt;=83)*(Hipótesis!$B$48:$B$53)*(Hipótesis!$F$48:$F$53))</f>
        <v>320</v>
      </c>
      <c r="CH29" s="139" t="n">
        <f aca="false">SUMPRODUCT((Hipótesis!$D$48:$D$53&lt;=84)*(Hipótesis!$B$48:$B$53)*(Hipótesis!$F$48:$F$53))</f>
        <v>320</v>
      </c>
    </row>
    <row r="30" customFormat="false" ht="13.5" hidden="false" customHeight="true" outlineLevel="0" collapsed="false">
      <c r="A30" s="30" t="s">
        <v>712</v>
      </c>
      <c r="C30" s="139" t="n">
        <f aca="false">ROUNDUP(MAX(0,C28-C29)/Hipótesis!$D$63,0)</f>
        <v>0</v>
      </c>
      <c r="D30" s="139" t="n">
        <f aca="false">ROUNDUP(MAX(0,D28-D29)/Hipótesis!$D$63,0)</f>
        <v>0</v>
      </c>
      <c r="E30" s="139" t="n">
        <f aca="false">ROUNDUP(MAX(0,E28-E29)/Hipótesis!$D$63,0)</f>
        <v>0</v>
      </c>
      <c r="F30" s="139" t="n">
        <f aca="false">ROUNDUP(MAX(0,F28-F29)/Hipótesis!$D$63,0)</f>
        <v>0</v>
      </c>
      <c r="G30" s="139" t="n">
        <f aca="false">ROUNDUP(MAX(0,G28-G29)/Hipótesis!$D$63,0)</f>
        <v>0</v>
      </c>
      <c r="H30" s="139" t="n">
        <f aca="false">ROUNDUP(MAX(0,H28-H29)/Hipótesis!$D$63,0)</f>
        <v>0</v>
      </c>
      <c r="I30" s="139" t="n">
        <f aca="false">ROUNDUP(MAX(0,I28-I29)/Hipótesis!$D$63,0)</f>
        <v>0</v>
      </c>
      <c r="J30" s="139" t="n">
        <f aca="false">ROUNDUP(MAX(0,J28-J29)/Hipótesis!$D$63,0)</f>
        <v>0</v>
      </c>
      <c r="K30" s="139" t="n">
        <f aca="false">ROUNDUP(MAX(0,K28-K29)/Hipótesis!$D$63,0)</f>
        <v>0</v>
      </c>
      <c r="L30" s="139" t="n">
        <f aca="false">ROUNDUP(MAX(0,L28-L29)/Hipótesis!$D$63,0)</f>
        <v>0</v>
      </c>
      <c r="M30" s="139" t="n">
        <f aca="false">ROUNDUP(MAX(0,M28-M29)/Hipótesis!$D$63,0)</f>
        <v>0</v>
      </c>
      <c r="N30" s="139" t="n">
        <f aca="false">ROUNDUP(MAX(0,N28-N29)/Hipótesis!$D$63,0)</f>
        <v>0</v>
      </c>
      <c r="O30" s="139" t="n">
        <f aca="false">ROUNDUP(MAX(0,O28-O29)/Hipótesis!$D$63,0)</f>
        <v>0</v>
      </c>
      <c r="P30" s="139" t="n">
        <f aca="false">ROUNDUP(MAX(0,P28-P29)/Hipótesis!$D$63,0)</f>
        <v>1</v>
      </c>
      <c r="Q30" s="139" t="n">
        <f aca="false">ROUNDUP(MAX(0,Q28-Q29)/Hipótesis!$D$63,0)</f>
        <v>1</v>
      </c>
      <c r="R30" s="139" t="n">
        <f aca="false">ROUNDUP(MAX(0,R28-R29)/Hipótesis!$D$63,0)</f>
        <v>1</v>
      </c>
      <c r="S30" s="139" t="n">
        <f aca="false">ROUNDUP(MAX(0,S28-S29)/Hipótesis!$D$63,0)</f>
        <v>1</v>
      </c>
      <c r="T30" s="139" t="n">
        <f aca="false">ROUNDUP(MAX(0,T28-T29)/Hipótesis!$D$63,0)</f>
        <v>1</v>
      </c>
      <c r="U30" s="139" t="n">
        <f aca="false">ROUNDUP(MAX(0,U28-U29)/Hipótesis!$D$63,0)</f>
        <v>2</v>
      </c>
      <c r="V30" s="139" t="n">
        <f aca="false">ROUNDUP(MAX(0,V28-V29)/Hipótesis!$D$63,0)</f>
        <v>2</v>
      </c>
      <c r="W30" s="139" t="n">
        <f aca="false">ROUNDUP(MAX(0,W28-W29)/Hipótesis!$D$63,0)</f>
        <v>2</v>
      </c>
      <c r="X30" s="139" t="n">
        <f aca="false">ROUNDUP(MAX(0,X28-X29)/Hipótesis!$D$63,0)</f>
        <v>2</v>
      </c>
      <c r="Y30" s="139" t="n">
        <f aca="false">ROUNDUP(MAX(0,Y28-Y29)/Hipótesis!$D$63,0)</f>
        <v>2</v>
      </c>
      <c r="Z30" s="139" t="n">
        <f aca="false">ROUNDUP(MAX(0,Z28-Z29)/Hipótesis!$D$63,0)</f>
        <v>2</v>
      </c>
      <c r="AA30" s="139" t="n">
        <f aca="false">ROUNDUP(MAX(0,AA28-AA29)/Hipótesis!$D$63,0)</f>
        <v>2</v>
      </c>
      <c r="AB30" s="139" t="n">
        <f aca="false">ROUNDUP(MAX(0,AB28-AB29)/Hipótesis!$D$63,0)</f>
        <v>3</v>
      </c>
      <c r="AC30" s="139" t="n">
        <f aca="false">ROUNDUP(MAX(0,AC28-AC29)/Hipótesis!$D$63,0)</f>
        <v>3</v>
      </c>
      <c r="AD30" s="139" t="n">
        <f aca="false">ROUNDUP(MAX(0,AD28-AD29)/Hipótesis!$D$63,0)</f>
        <v>3</v>
      </c>
      <c r="AE30" s="139" t="n">
        <f aca="false">ROUNDUP(MAX(0,AE28-AE29)/Hipótesis!$D$63,0)</f>
        <v>3</v>
      </c>
      <c r="AF30" s="139" t="n">
        <f aca="false">ROUNDUP(MAX(0,AF28-AF29)/Hipótesis!$D$63,0)</f>
        <v>3</v>
      </c>
      <c r="AG30" s="139" t="n">
        <f aca="false">ROUNDUP(MAX(0,AG28-AG29)/Hipótesis!$D$63,0)</f>
        <v>3</v>
      </c>
      <c r="AH30" s="139" t="n">
        <f aca="false">ROUNDUP(MAX(0,AH28-AH29)/Hipótesis!$D$63,0)</f>
        <v>3</v>
      </c>
      <c r="AI30" s="139" t="n">
        <f aca="false">ROUNDUP(MAX(0,AI28-AI29)/Hipótesis!$D$63,0)</f>
        <v>3</v>
      </c>
      <c r="AJ30" s="139" t="n">
        <f aca="false">ROUNDUP(MAX(0,AJ28-AJ29)/Hipótesis!$D$63,0)</f>
        <v>3</v>
      </c>
      <c r="AK30" s="139" t="n">
        <f aca="false">ROUNDUP(MAX(0,AK28-AK29)/Hipótesis!$D$63,0)</f>
        <v>3</v>
      </c>
      <c r="AL30" s="139" t="n">
        <f aca="false">ROUNDUP(MAX(0,AL28-AL29)/Hipótesis!$D$63,0)</f>
        <v>4</v>
      </c>
      <c r="AM30" s="139" t="n">
        <f aca="false">ROUNDUP(MAX(0,AM28-AM29)/Hipótesis!$D$63,0)</f>
        <v>4</v>
      </c>
      <c r="AN30" s="139" t="n">
        <f aca="false">ROUNDUP(MAX(0,AN28-AN29)/Hipótesis!$D$63,0)</f>
        <v>4</v>
      </c>
      <c r="AO30" s="139" t="n">
        <f aca="false">ROUNDUP(MAX(0,AO28-AO29)/Hipótesis!$D$63,0)</f>
        <v>4</v>
      </c>
      <c r="AP30" s="139" t="n">
        <f aca="false">ROUNDUP(MAX(0,AP28-AP29)/Hipótesis!$D$63,0)</f>
        <v>4</v>
      </c>
      <c r="AQ30" s="139" t="n">
        <f aca="false">ROUNDUP(MAX(0,AQ28-AQ29)/Hipótesis!$D$63,0)</f>
        <v>4</v>
      </c>
      <c r="AR30" s="139" t="n">
        <f aca="false">ROUNDUP(MAX(0,AR28-AR29)/Hipótesis!$D$63,0)</f>
        <v>4</v>
      </c>
      <c r="AS30" s="139" t="n">
        <f aca="false">ROUNDUP(MAX(0,AS28-AS29)/Hipótesis!$D$63,0)</f>
        <v>4</v>
      </c>
      <c r="AT30" s="139" t="n">
        <f aca="false">ROUNDUP(MAX(0,AT28-AT29)/Hipótesis!$D$63,0)</f>
        <v>4</v>
      </c>
      <c r="AU30" s="139" t="n">
        <f aca="false">ROUNDUP(MAX(0,AU28-AU29)/Hipótesis!$D$63,0)</f>
        <v>4</v>
      </c>
      <c r="AV30" s="139" t="n">
        <f aca="false">ROUNDUP(MAX(0,AV28-AV29)/Hipótesis!$D$63,0)</f>
        <v>4</v>
      </c>
      <c r="AW30" s="139" t="n">
        <f aca="false">ROUNDUP(MAX(0,AW28-AW29)/Hipótesis!$D$63,0)</f>
        <v>4</v>
      </c>
      <c r="AX30" s="139" t="n">
        <f aca="false">ROUNDUP(MAX(0,AX28-AX29)/Hipótesis!$D$63,0)</f>
        <v>4</v>
      </c>
      <c r="AY30" s="139" t="n">
        <f aca="false">ROUNDUP(MAX(0,AY28-AY29)/Hipótesis!$D$63,0)</f>
        <v>4</v>
      </c>
      <c r="AZ30" s="139" t="n">
        <f aca="false">ROUNDUP(MAX(0,AZ28-AZ29)/Hipótesis!$D$63,0)</f>
        <v>4</v>
      </c>
      <c r="BA30" s="139" t="n">
        <f aca="false">ROUNDUP(MAX(0,BA28-BA29)/Hipótesis!$D$63,0)</f>
        <v>4</v>
      </c>
      <c r="BB30" s="139" t="n">
        <f aca="false">ROUNDUP(MAX(0,BB28-BB29)/Hipótesis!$D$63,0)</f>
        <v>4</v>
      </c>
      <c r="BC30" s="139" t="n">
        <f aca="false">ROUNDUP(MAX(0,BC28-BC29)/Hipótesis!$D$63,0)</f>
        <v>4</v>
      </c>
      <c r="BD30" s="139" t="n">
        <f aca="false">ROUNDUP(MAX(0,BD28-BD29)/Hipótesis!$D$63,0)</f>
        <v>4</v>
      </c>
      <c r="BE30" s="139" t="n">
        <f aca="false">ROUNDUP(MAX(0,BE28-BE29)/Hipótesis!$D$63,0)</f>
        <v>4</v>
      </c>
      <c r="BF30" s="139" t="n">
        <f aca="false">ROUNDUP(MAX(0,BF28-BF29)/Hipótesis!$D$63,0)</f>
        <v>4</v>
      </c>
      <c r="BG30" s="139" t="n">
        <f aca="false">ROUNDUP(MAX(0,BG28-BG29)/Hipótesis!$D$63,0)</f>
        <v>4</v>
      </c>
      <c r="BH30" s="139" t="n">
        <f aca="false">ROUNDUP(MAX(0,BH28-BH29)/Hipótesis!$D$63,0)</f>
        <v>4</v>
      </c>
      <c r="BI30" s="139" t="n">
        <f aca="false">ROUNDUP(MAX(0,BI28-BI29)/Hipótesis!$D$63,0)</f>
        <v>4</v>
      </c>
      <c r="BJ30" s="139" t="n">
        <f aca="false">ROUNDUP(MAX(0,BJ28-BJ29)/Hipótesis!$D$63,0)</f>
        <v>4</v>
      </c>
      <c r="BK30" s="139" t="n">
        <f aca="false">ROUNDUP(MAX(0,BK28-BK29)/Hipótesis!$D$63,0)</f>
        <v>4</v>
      </c>
      <c r="BL30" s="139" t="n">
        <f aca="false">ROUNDUP(MAX(0,BL28-BL29)/Hipótesis!$D$63,0)</f>
        <v>4</v>
      </c>
      <c r="BM30" s="139" t="n">
        <f aca="false">ROUNDUP(MAX(0,BM28-BM29)/Hipótesis!$D$63,0)</f>
        <v>4</v>
      </c>
      <c r="BN30" s="139" t="n">
        <f aca="false">ROUNDUP(MAX(0,BN28-BN29)/Hipótesis!$D$63,0)</f>
        <v>4</v>
      </c>
      <c r="BO30" s="139" t="n">
        <f aca="false">ROUNDUP(MAX(0,BO28-BO29)/Hipótesis!$D$63,0)</f>
        <v>4</v>
      </c>
      <c r="BP30" s="139" t="n">
        <f aca="false">ROUNDUP(MAX(0,BP28-BP29)/Hipótesis!$D$63,0)</f>
        <v>4</v>
      </c>
      <c r="BQ30" s="139" t="n">
        <f aca="false">ROUNDUP(MAX(0,BQ28-BQ29)/Hipótesis!$D$63,0)</f>
        <v>4</v>
      </c>
      <c r="BR30" s="139" t="n">
        <f aca="false">ROUNDUP(MAX(0,BR28-BR29)/Hipótesis!$D$63,0)</f>
        <v>4</v>
      </c>
      <c r="BS30" s="139" t="n">
        <f aca="false">ROUNDUP(MAX(0,BS28-BS29)/Hipótesis!$D$63,0)</f>
        <v>4</v>
      </c>
      <c r="BT30" s="139" t="n">
        <f aca="false">ROUNDUP(MAX(0,BT28-BT29)/Hipótesis!$D$63,0)</f>
        <v>4</v>
      </c>
      <c r="BU30" s="139" t="n">
        <f aca="false">ROUNDUP(MAX(0,BU28-BU29)/Hipótesis!$D$63,0)</f>
        <v>4</v>
      </c>
      <c r="BV30" s="139" t="n">
        <f aca="false">ROUNDUP(MAX(0,BV28-BV29)/Hipótesis!$D$63,0)</f>
        <v>4</v>
      </c>
      <c r="BW30" s="139" t="n">
        <f aca="false">ROUNDUP(MAX(0,BW28-BW29)/Hipótesis!$D$63,0)</f>
        <v>4</v>
      </c>
      <c r="BX30" s="139" t="n">
        <f aca="false">ROUNDUP(MAX(0,BX28-BX29)/Hipótesis!$D$63,0)</f>
        <v>4</v>
      </c>
      <c r="BY30" s="139" t="n">
        <f aca="false">ROUNDUP(MAX(0,BY28-BY29)/Hipótesis!$D$63,0)</f>
        <v>4</v>
      </c>
      <c r="BZ30" s="139" t="n">
        <f aca="false">ROUNDUP(MAX(0,BZ28-BZ29)/Hipótesis!$D$63,0)</f>
        <v>4</v>
      </c>
      <c r="CA30" s="139" t="n">
        <f aca="false">ROUNDUP(MAX(0,CA28-CA29)/Hipótesis!$D$63,0)</f>
        <v>4</v>
      </c>
      <c r="CB30" s="139" t="n">
        <f aca="false">ROUNDUP(MAX(0,CB28-CB29)/Hipótesis!$D$63,0)</f>
        <v>4</v>
      </c>
      <c r="CC30" s="139" t="n">
        <f aca="false">ROUNDUP(MAX(0,CC28-CC29)/Hipótesis!$D$63,0)</f>
        <v>4</v>
      </c>
      <c r="CD30" s="139" t="n">
        <f aca="false">ROUNDUP(MAX(0,CD28-CD29)/Hipótesis!$D$63,0)</f>
        <v>4</v>
      </c>
      <c r="CE30" s="139" t="n">
        <f aca="false">ROUNDUP(MAX(0,CE28-CE29)/Hipótesis!$D$63,0)</f>
        <v>4</v>
      </c>
      <c r="CF30" s="139" t="n">
        <f aca="false">ROUNDUP(MAX(0,CF28-CF29)/Hipótesis!$D$63,0)</f>
        <v>4</v>
      </c>
      <c r="CG30" s="139" t="n">
        <f aca="false">ROUNDUP(MAX(0,CG28-CG29)/Hipótesis!$D$63,0)</f>
        <v>4</v>
      </c>
      <c r="CH30" s="139" t="n">
        <f aca="false">ROUNDUP(MAX(0,CH28-CH29)/Hipótesis!$D$63,0)</f>
        <v>4</v>
      </c>
    </row>
    <row r="31" customFormat="false" ht="13.5" hidden="false" customHeight="true" outlineLevel="0" collapsed="false">
      <c r="A31" s="30" t="s">
        <v>713</v>
      </c>
      <c r="C31" s="139" t="n">
        <f aca="false">SUMPRODUCT((Hipótesis!$D$48:$D$53&lt;=1)*(Hipótesis!$B$48:$B$53))+C30</f>
        <v>4</v>
      </c>
      <c r="D31" s="139" t="n">
        <f aca="false">SUMPRODUCT((Hipótesis!$D$48:$D$53&lt;=2)*(Hipótesis!$B$48:$B$53))+D30</f>
        <v>4</v>
      </c>
      <c r="E31" s="139" t="n">
        <f aca="false">SUMPRODUCT((Hipótesis!$D$48:$D$53&lt;=3)*(Hipótesis!$B$48:$B$53))+E30</f>
        <v>4</v>
      </c>
      <c r="F31" s="139" t="n">
        <f aca="false">SUMPRODUCT((Hipótesis!$D$48:$D$53&lt;=4)*(Hipótesis!$B$48:$B$53))+F30</f>
        <v>4</v>
      </c>
      <c r="G31" s="139" t="n">
        <f aca="false">SUMPRODUCT((Hipótesis!$D$48:$D$53&lt;=5)*(Hipótesis!$B$48:$B$53))+G30</f>
        <v>4</v>
      </c>
      <c r="H31" s="139" t="n">
        <f aca="false">SUMPRODUCT((Hipótesis!$D$48:$D$53&lt;=6)*(Hipótesis!$B$48:$B$53))+H30</f>
        <v>4</v>
      </c>
      <c r="I31" s="139" t="n">
        <f aca="false">SUMPRODUCT((Hipótesis!$D$48:$D$53&lt;=7)*(Hipótesis!$B$48:$B$53))+I30</f>
        <v>4</v>
      </c>
      <c r="J31" s="139" t="n">
        <f aca="false">SUMPRODUCT((Hipótesis!$D$48:$D$53&lt;=8)*(Hipótesis!$B$48:$B$53))+J30</f>
        <v>4</v>
      </c>
      <c r="K31" s="139" t="n">
        <f aca="false">SUMPRODUCT((Hipótesis!$D$48:$D$53&lt;=9)*(Hipótesis!$B$48:$B$53))+K30</f>
        <v>4</v>
      </c>
      <c r="L31" s="139" t="n">
        <f aca="false">SUMPRODUCT((Hipótesis!$D$48:$D$53&lt;=10)*(Hipótesis!$B$48:$B$53))+L30</f>
        <v>4</v>
      </c>
      <c r="M31" s="139" t="n">
        <f aca="false">SUMPRODUCT((Hipótesis!$D$48:$D$53&lt;=11)*(Hipótesis!$B$48:$B$53))+M30</f>
        <v>4</v>
      </c>
      <c r="N31" s="139" t="n">
        <f aca="false">SUMPRODUCT((Hipótesis!$D$48:$D$53&lt;=12)*(Hipótesis!$B$48:$B$53))+N30</f>
        <v>4</v>
      </c>
      <c r="O31" s="139" t="n">
        <f aca="false">SUMPRODUCT((Hipótesis!$D$48:$D$53&lt;=13)*(Hipótesis!$B$48:$B$53))+O30</f>
        <v>4</v>
      </c>
      <c r="P31" s="139" t="n">
        <f aca="false">SUMPRODUCT((Hipótesis!$D$48:$D$53&lt;=14)*(Hipótesis!$B$48:$B$53))+P30</f>
        <v>5</v>
      </c>
      <c r="Q31" s="139" t="n">
        <f aca="false">SUMPRODUCT((Hipótesis!$D$48:$D$53&lt;=15)*(Hipótesis!$B$48:$B$53))+Q30</f>
        <v>5</v>
      </c>
      <c r="R31" s="139" t="n">
        <f aca="false">SUMPRODUCT((Hipótesis!$D$48:$D$53&lt;=16)*(Hipótesis!$B$48:$B$53))+R30</f>
        <v>5</v>
      </c>
      <c r="S31" s="139" t="n">
        <f aca="false">SUMPRODUCT((Hipótesis!$D$48:$D$53&lt;=17)*(Hipótesis!$B$48:$B$53))+S30</f>
        <v>5</v>
      </c>
      <c r="T31" s="139" t="n">
        <f aca="false">SUMPRODUCT((Hipótesis!$D$48:$D$53&lt;=18)*(Hipótesis!$B$48:$B$53))+T30</f>
        <v>5</v>
      </c>
      <c r="U31" s="139" t="n">
        <f aca="false">SUMPRODUCT((Hipótesis!$D$48:$D$53&lt;=19)*(Hipótesis!$B$48:$B$53))+U30</f>
        <v>6</v>
      </c>
      <c r="V31" s="139" t="n">
        <f aca="false">SUMPRODUCT((Hipótesis!$D$48:$D$53&lt;=20)*(Hipótesis!$B$48:$B$53))+V30</f>
        <v>7</v>
      </c>
      <c r="W31" s="139" t="n">
        <f aca="false">SUMPRODUCT((Hipótesis!$D$48:$D$53&lt;=21)*(Hipótesis!$B$48:$B$53))+W30</f>
        <v>7</v>
      </c>
      <c r="X31" s="139" t="n">
        <f aca="false">SUMPRODUCT((Hipótesis!$D$48:$D$53&lt;=22)*(Hipótesis!$B$48:$B$53))+X30</f>
        <v>7</v>
      </c>
      <c r="Y31" s="139" t="n">
        <f aca="false">SUMPRODUCT((Hipótesis!$D$48:$D$53&lt;=23)*(Hipótesis!$B$48:$B$53))+Y30</f>
        <v>7</v>
      </c>
      <c r="Z31" s="139" t="n">
        <f aca="false">SUMPRODUCT((Hipótesis!$D$48:$D$53&lt;=24)*(Hipótesis!$B$48:$B$53))+Z30</f>
        <v>7</v>
      </c>
      <c r="AA31" s="139" t="n">
        <f aca="false">SUMPRODUCT((Hipótesis!$D$48:$D$53&lt;=25)*(Hipótesis!$B$48:$B$53))+AA30</f>
        <v>7</v>
      </c>
      <c r="AB31" s="139" t="n">
        <f aca="false">SUMPRODUCT((Hipótesis!$D$48:$D$53&lt;=26)*(Hipótesis!$B$48:$B$53))+AB30</f>
        <v>8</v>
      </c>
      <c r="AC31" s="139" t="n">
        <f aca="false">SUMPRODUCT((Hipótesis!$D$48:$D$53&lt;=27)*(Hipótesis!$B$48:$B$53))+AC30</f>
        <v>8</v>
      </c>
      <c r="AD31" s="139" t="n">
        <f aca="false">SUMPRODUCT((Hipótesis!$D$48:$D$53&lt;=28)*(Hipótesis!$B$48:$B$53))+AD30</f>
        <v>8</v>
      </c>
      <c r="AE31" s="139" t="n">
        <f aca="false">SUMPRODUCT((Hipótesis!$D$48:$D$53&lt;=29)*(Hipótesis!$B$48:$B$53))+AE30</f>
        <v>8</v>
      </c>
      <c r="AF31" s="139" t="n">
        <f aca="false">SUMPRODUCT((Hipótesis!$D$48:$D$53&lt;=30)*(Hipótesis!$B$48:$B$53))+AF30</f>
        <v>8</v>
      </c>
      <c r="AG31" s="139" t="n">
        <f aca="false">SUMPRODUCT((Hipótesis!$D$48:$D$53&lt;=31)*(Hipótesis!$B$48:$B$53))+AG30</f>
        <v>8</v>
      </c>
      <c r="AH31" s="139" t="n">
        <f aca="false">SUMPRODUCT((Hipótesis!$D$48:$D$53&lt;=32)*(Hipótesis!$B$48:$B$53))+AH30</f>
        <v>8</v>
      </c>
      <c r="AI31" s="139" t="n">
        <f aca="false">SUMPRODUCT((Hipótesis!$D$48:$D$53&lt;=33)*(Hipótesis!$B$48:$B$53))+AI30</f>
        <v>8</v>
      </c>
      <c r="AJ31" s="139" t="n">
        <f aca="false">SUMPRODUCT((Hipótesis!$D$48:$D$53&lt;=34)*(Hipótesis!$B$48:$B$53))+AJ30</f>
        <v>8</v>
      </c>
      <c r="AK31" s="139" t="n">
        <f aca="false">SUMPRODUCT((Hipótesis!$D$48:$D$53&lt;=35)*(Hipótesis!$B$48:$B$53))+AK30</f>
        <v>8</v>
      </c>
      <c r="AL31" s="139" t="n">
        <f aca="false">SUMPRODUCT((Hipótesis!$D$48:$D$53&lt;=36)*(Hipótesis!$B$48:$B$53))+AL30</f>
        <v>9</v>
      </c>
      <c r="AM31" s="139" t="n">
        <f aca="false">SUMPRODUCT((Hipótesis!$D$48:$D$53&lt;=37)*(Hipótesis!$B$48:$B$53))+AM30</f>
        <v>9</v>
      </c>
      <c r="AN31" s="139" t="n">
        <f aca="false">SUMPRODUCT((Hipótesis!$D$48:$D$53&lt;=38)*(Hipótesis!$B$48:$B$53))+AN30</f>
        <v>9</v>
      </c>
      <c r="AO31" s="139" t="n">
        <f aca="false">SUMPRODUCT((Hipótesis!$D$48:$D$53&lt;=39)*(Hipótesis!$B$48:$B$53))+AO30</f>
        <v>9</v>
      </c>
      <c r="AP31" s="139" t="n">
        <f aca="false">SUMPRODUCT((Hipótesis!$D$48:$D$53&lt;=40)*(Hipótesis!$B$48:$B$53))+AP30</f>
        <v>9</v>
      </c>
      <c r="AQ31" s="139" t="n">
        <f aca="false">SUMPRODUCT((Hipótesis!$D$48:$D$53&lt;=41)*(Hipótesis!$B$48:$B$53))+AQ30</f>
        <v>9</v>
      </c>
      <c r="AR31" s="139" t="n">
        <f aca="false">SUMPRODUCT((Hipótesis!$D$48:$D$53&lt;=42)*(Hipótesis!$B$48:$B$53))+AR30</f>
        <v>9</v>
      </c>
      <c r="AS31" s="139" t="n">
        <f aca="false">SUMPRODUCT((Hipótesis!$D$48:$D$53&lt;=43)*(Hipótesis!$B$48:$B$53))+AS30</f>
        <v>9</v>
      </c>
      <c r="AT31" s="139" t="n">
        <f aca="false">SUMPRODUCT((Hipótesis!$D$48:$D$53&lt;=44)*(Hipótesis!$B$48:$B$53))+AT30</f>
        <v>9</v>
      </c>
      <c r="AU31" s="139" t="n">
        <f aca="false">SUMPRODUCT((Hipótesis!$D$48:$D$53&lt;=45)*(Hipótesis!$B$48:$B$53))+AU30</f>
        <v>9</v>
      </c>
      <c r="AV31" s="139" t="n">
        <f aca="false">SUMPRODUCT((Hipótesis!$D$48:$D$53&lt;=46)*(Hipótesis!$B$48:$B$53))+AV30</f>
        <v>9</v>
      </c>
      <c r="AW31" s="139" t="n">
        <f aca="false">SUMPRODUCT((Hipótesis!$D$48:$D$53&lt;=47)*(Hipótesis!$B$48:$B$53))+AW30</f>
        <v>9</v>
      </c>
      <c r="AX31" s="139" t="n">
        <f aca="false">SUMPRODUCT((Hipótesis!$D$48:$D$53&lt;=48)*(Hipótesis!$B$48:$B$53))+AX30</f>
        <v>9</v>
      </c>
      <c r="AY31" s="139" t="n">
        <f aca="false">SUMPRODUCT((Hipótesis!$D$48:$D$53&lt;=49)*(Hipótesis!$B$48:$B$53))+AY30</f>
        <v>9</v>
      </c>
      <c r="AZ31" s="139" t="n">
        <f aca="false">SUMPRODUCT((Hipótesis!$D$48:$D$53&lt;=50)*(Hipótesis!$B$48:$B$53))+AZ30</f>
        <v>9</v>
      </c>
      <c r="BA31" s="139" t="n">
        <f aca="false">SUMPRODUCT((Hipótesis!$D$48:$D$53&lt;=51)*(Hipótesis!$B$48:$B$53))+BA30</f>
        <v>9</v>
      </c>
      <c r="BB31" s="139" t="n">
        <f aca="false">SUMPRODUCT((Hipótesis!$D$48:$D$53&lt;=52)*(Hipótesis!$B$48:$B$53))+BB30</f>
        <v>9</v>
      </c>
      <c r="BC31" s="139" t="n">
        <f aca="false">SUMPRODUCT((Hipótesis!$D$48:$D$53&lt;=53)*(Hipótesis!$B$48:$B$53))+BC30</f>
        <v>9</v>
      </c>
      <c r="BD31" s="139" t="n">
        <f aca="false">SUMPRODUCT((Hipótesis!$D$48:$D$53&lt;=54)*(Hipótesis!$B$48:$B$53))+BD30</f>
        <v>9</v>
      </c>
      <c r="BE31" s="139" t="n">
        <f aca="false">SUMPRODUCT((Hipótesis!$D$48:$D$53&lt;=55)*(Hipótesis!$B$48:$B$53))+BE30</f>
        <v>9</v>
      </c>
      <c r="BF31" s="139" t="n">
        <f aca="false">SUMPRODUCT((Hipótesis!$D$48:$D$53&lt;=56)*(Hipótesis!$B$48:$B$53))+BF30</f>
        <v>9</v>
      </c>
      <c r="BG31" s="139" t="n">
        <f aca="false">SUMPRODUCT((Hipótesis!$D$48:$D$53&lt;=57)*(Hipótesis!$B$48:$B$53))+BG30</f>
        <v>9</v>
      </c>
      <c r="BH31" s="139" t="n">
        <f aca="false">SUMPRODUCT((Hipótesis!$D$48:$D$53&lt;=58)*(Hipótesis!$B$48:$B$53))+BH30</f>
        <v>9</v>
      </c>
      <c r="BI31" s="139" t="n">
        <f aca="false">SUMPRODUCT((Hipótesis!$D$48:$D$53&lt;=59)*(Hipótesis!$B$48:$B$53))+BI30</f>
        <v>9</v>
      </c>
      <c r="BJ31" s="139" t="n">
        <f aca="false">SUMPRODUCT((Hipótesis!$D$48:$D$53&lt;=60)*(Hipótesis!$B$48:$B$53))+BJ30</f>
        <v>9</v>
      </c>
      <c r="BK31" s="139" t="n">
        <f aca="false">SUMPRODUCT((Hipótesis!$D$48:$D$53&lt;=61)*(Hipótesis!$B$48:$B$53))+BK30</f>
        <v>9</v>
      </c>
      <c r="BL31" s="139" t="n">
        <f aca="false">SUMPRODUCT((Hipótesis!$D$48:$D$53&lt;=62)*(Hipótesis!$B$48:$B$53))+BL30</f>
        <v>9</v>
      </c>
      <c r="BM31" s="139" t="n">
        <f aca="false">SUMPRODUCT((Hipótesis!$D$48:$D$53&lt;=63)*(Hipótesis!$B$48:$B$53))+BM30</f>
        <v>9</v>
      </c>
      <c r="BN31" s="139" t="n">
        <f aca="false">SUMPRODUCT((Hipótesis!$D$48:$D$53&lt;=64)*(Hipótesis!$B$48:$B$53))+BN30</f>
        <v>9</v>
      </c>
      <c r="BO31" s="139" t="n">
        <f aca="false">SUMPRODUCT((Hipótesis!$D$48:$D$53&lt;=65)*(Hipótesis!$B$48:$B$53))+BO30</f>
        <v>9</v>
      </c>
      <c r="BP31" s="139" t="n">
        <f aca="false">SUMPRODUCT((Hipótesis!$D$48:$D$53&lt;=66)*(Hipótesis!$B$48:$B$53))+BP30</f>
        <v>9</v>
      </c>
      <c r="BQ31" s="139" t="n">
        <f aca="false">SUMPRODUCT((Hipótesis!$D$48:$D$53&lt;=67)*(Hipótesis!$B$48:$B$53))+BQ30</f>
        <v>9</v>
      </c>
      <c r="BR31" s="139" t="n">
        <f aca="false">SUMPRODUCT((Hipótesis!$D$48:$D$53&lt;=68)*(Hipótesis!$B$48:$B$53))+BR30</f>
        <v>9</v>
      </c>
      <c r="BS31" s="139" t="n">
        <f aca="false">SUMPRODUCT((Hipótesis!$D$48:$D$53&lt;=69)*(Hipótesis!$B$48:$B$53))+BS30</f>
        <v>9</v>
      </c>
      <c r="BT31" s="139" t="n">
        <f aca="false">SUMPRODUCT((Hipótesis!$D$48:$D$53&lt;=70)*(Hipótesis!$B$48:$B$53))+BT30</f>
        <v>9</v>
      </c>
      <c r="BU31" s="139" t="n">
        <f aca="false">SUMPRODUCT((Hipótesis!$D$48:$D$53&lt;=71)*(Hipótesis!$B$48:$B$53))+BU30</f>
        <v>9</v>
      </c>
      <c r="BV31" s="139" t="n">
        <f aca="false">SUMPRODUCT((Hipótesis!$D$48:$D$53&lt;=72)*(Hipótesis!$B$48:$B$53))+BV30</f>
        <v>9</v>
      </c>
      <c r="BW31" s="139" t="n">
        <f aca="false">SUMPRODUCT((Hipótesis!$D$48:$D$53&lt;=73)*(Hipótesis!$B$48:$B$53))+BW30</f>
        <v>9</v>
      </c>
      <c r="BX31" s="139" t="n">
        <f aca="false">SUMPRODUCT((Hipótesis!$D$48:$D$53&lt;=74)*(Hipótesis!$B$48:$B$53))+BX30</f>
        <v>9</v>
      </c>
      <c r="BY31" s="139" t="n">
        <f aca="false">SUMPRODUCT((Hipótesis!$D$48:$D$53&lt;=75)*(Hipótesis!$B$48:$B$53))+BY30</f>
        <v>9</v>
      </c>
      <c r="BZ31" s="139" t="n">
        <f aca="false">SUMPRODUCT((Hipótesis!$D$48:$D$53&lt;=76)*(Hipótesis!$B$48:$B$53))+BZ30</f>
        <v>9</v>
      </c>
      <c r="CA31" s="139" t="n">
        <f aca="false">SUMPRODUCT((Hipótesis!$D$48:$D$53&lt;=77)*(Hipótesis!$B$48:$B$53))+CA30</f>
        <v>9</v>
      </c>
      <c r="CB31" s="139" t="n">
        <f aca="false">SUMPRODUCT((Hipótesis!$D$48:$D$53&lt;=78)*(Hipótesis!$B$48:$B$53))+CB30</f>
        <v>9</v>
      </c>
      <c r="CC31" s="139" t="n">
        <f aca="false">SUMPRODUCT((Hipótesis!$D$48:$D$53&lt;=79)*(Hipótesis!$B$48:$B$53))+CC30</f>
        <v>9</v>
      </c>
      <c r="CD31" s="139" t="n">
        <f aca="false">SUMPRODUCT((Hipótesis!$D$48:$D$53&lt;=80)*(Hipótesis!$B$48:$B$53))+CD30</f>
        <v>9</v>
      </c>
      <c r="CE31" s="139" t="n">
        <f aca="false">SUMPRODUCT((Hipótesis!$D$48:$D$53&lt;=81)*(Hipótesis!$B$48:$B$53))+CE30</f>
        <v>9</v>
      </c>
      <c r="CF31" s="139" t="n">
        <f aca="false">SUMPRODUCT((Hipótesis!$D$48:$D$53&lt;=82)*(Hipótesis!$B$48:$B$53))+CF30</f>
        <v>9</v>
      </c>
      <c r="CG31" s="139" t="n">
        <f aca="false">SUMPRODUCT((Hipótesis!$D$48:$D$53&lt;=83)*(Hipótesis!$B$48:$B$53))+CG30</f>
        <v>9</v>
      </c>
      <c r="CH31" s="139" t="n">
        <f aca="false">SUMPRODUCT((Hipótesis!$D$48:$D$53&lt;=84)*(Hipótesis!$B$48:$B$53))+CH30</f>
        <v>9</v>
      </c>
    </row>
    <row r="32" customFormat="false" ht="13.5" hidden="false" customHeight="true" outlineLevel="0" collapsed="false"/>
    <row r="33" customFormat="false" ht="12.75" hidden="false" customHeight="true" outlineLevel="0" collapsed="false">
      <c r="A33" s="10" t="s">
        <v>714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</row>
    <row r="34" customFormat="false" ht="13.5" hidden="false" customHeight="true" outlineLevel="0" collapsed="false">
      <c r="A34" s="13" t="s">
        <v>715</v>
      </c>
      <c r="C34" s="138" t="n">
        <f aca="false">C186</f>
        <v>1033.125</v>
      </c>
      <c r="D34" s="138" t="n">
        <f aca="false">D186</f>
        <v>2144.55</v>
      </c>
      <c r="E34" s="138" t="n">
        <f aca="false">E186</f>
        <v>4457.6625</v>
      </c>
      <c r="F34" s="138" t="n">
        <f aca="false">F186</f>
        <v>5737.65</v>
      </c>
      <c r="G34" s="138" t="n">
        <f aca="false">G186</f>
        <v>6939.3375</v>
      </c>
      <c r="H34" s="138" t="n">
        <f aca="false">H186</f>
        <v>8858.775</v>
      </c>
      <c r="I34" s="138" t="n">
        <f aca="false">I186</f>
        <v>10892.763632027</v>
      </c>
      <c r="J34" s="138" t="n">
        <f aca="false">J186</f>
        <v>14988.6726405405</v>
      </c>
      <c r="K34" s="138" t="n">
        <f aca="false">K186</f>
        <v>19084.5816490541</v>
      </c>
      <c r="L34" s="138" t="n">
        <f aca="false">L186</f>
        <v>23180.4906575676</v>
      </c>
      <c r="M34" s="138" t="n">
        <f aca="false">M186</f>
        <v>26074.7121660811</v>
      </c>
      <c r="N34" s="138" t="n">
        <f aca="false">N186</f>
        <v>29947.6836745946</v>
      </c>
      <c r="O34" s="138" t="n">
        <f aca="false">O186</f>
        <v>33820.6551831081</v>
      </c>
      <c r="P34" s="138" t="n">
        <f aca="false">P186</f>
        <v>37341.2766916216</v>
      </c>
      <c r="Q34" s="138" t="n">
        <f aca="false">Q186</f>
        <v>40861.8982001351</v>
      </c>
      <c r="R34" s="138" t="n">
        <f aca="false">R186</f>
        <v>44382.5197086487</v>
      </c>
      <c r="S34" s="138" t="n">
        <f aca="false">S186</f>
        <v>47903.1412171622</v>
      </c>
      <c r="T34" s="138" t="n">
        <f aca="false">T186</f>
        <v>51423.7627256757</v>
      </c>
      <c r="U34" s="138" t="n">
        <f aca="false">U186</f>
        <v>54944.3842341892</v>
      </c>
      <c r="V34" s="138" t="n">
        <f aca="false">V186</f>
        <v>58465.0057427027</v>
      </c>
      <c r="W34" s="138" t="n">
        <f aca="false">W186</f>
        <v>61985.6272512162</v>
      </c>
      <c r="X34" s="138" t="n">
        <f aca="false">X186</f>
        <v>64527.4987597297</v>
      </c>
      <c r="Y34" s="138" t="n">
        <f aca="false">Y186</f>
        <v>67069.3702682433</v>
      </c>
      <c r="Z34" s="138" t="n">
        <f aca="false">Z186</f>
        <v>69245.8417767568</v>
      </c>
      <c r="AA34" s="138" t="n">
        <f aca="false">AA186</f>
        <v>71765.9666813514</v>
      </c>
      <c r="AB34" s="138" t="n">
        <f aca="false">AB186</f>
        <v>74286.091585946</v>
      </c>
      <c r="AC34" s="138" t="n">
        <f aca="false">AC186</f>
        <v>76806.2164905406</v>
      </c>
      <c r="AD34" s="138" t="n">
        <f aca="false">AD186</f>
        <v>79326.3413951351</v>
      </c>
      <c r="AE34" s="138" t="n">
        <f aca="false">AE186</f>
        <v>81846.4662997297</v>
      </c>
      <c r="AF34" s="138" t="n">
        <f aca="false">AF186</f>
        <v>84366.5912043243</v>
      </c>
      <c r="AG34" s="138" t="n">
        <f aca="false">AG186</f>
        <v>86886.7161089189</v>
      </c>
      <c r="AH34" s="138" t="n">
        <f aca="false">AH186</f>
        <v>89406.8410135135</v>
      </c>
      <c r="AI34" s="138" t="n">
        <f aca="false">AI186</f>
        <v>91926.9659181081</v>
      </c>
      <c r="AJ34" s="138" t="n">
        <f aca="false">AJ186</f>
        <v>94447.0908227027</v>
      </c>
      <c r="AK34" s="138" t="n">
        <f aca="false">AK186</f>
        <v>96967.2157272973</v>
      </c>
      <c r="AL34" s="138" t="n">
        <f aca="false">AL186</f>
        <v>99487.3406318919</v>
      </c>
      <c r="AM34" s="138" t="n">
        <f aca="false">AM186</f>
        <v>102007.465536486</v>
      </c>
      <c r="AN34" s="138" t="n">
        <f aca="false">AN186</f>
        <v>104527.590441081</v>
      </c>
      <c r="AO34" s="138" t="n">
        <f aca="false">AO186</f>
        <v>107047.715345676</v>
      </c>
      <c r="AP34" s="138" t="n">
        <f aca="false">AP186</f>
        <v>109567.84025027</v>
      </c>
      <c r="AQ34" s="138" t="n">
        <f aca="false">AQ186</f>
        <v>112087.965154865</v>
      </c>
      <c r="AR34" s="138" t="n">
        <f aca="false">AR186</f>
        <v>114608.090059459</v>
      </c>
      <c r="AS34" s="138" t="n">
        <f aca="false">AS186</f>
        <v>114608.090059459</v>
      </c>
      <c r="AT34" s="138" t="n">
        <f aca="false">AT186</f>
        <v>114608.090059459</v>
      </c>
      <c r="AU34" s="138" t="n">
        <f aca="false">AU186</f>
        <v>114608.090059459</v>
      </c>
      <c r="AV34" s="138" t="n">
        <f aca="false">AV186</f>
        <v>114608.090059459</v>
      </c>
      <c r="AW34" s="138" t="n">
        <f aca="false">AW186</f>
        <v>114608.090059459</v>
      </c>
      <c r="AX34" s="138" t="n">
        <f aca="false">AX186</f>
        <v>114608.090059459</v>
      </c>
      <c r="AY34" s="138" t="n">
        <f aca="false">AY186</f>
        <v>114608.090059459</v>
      </c>
      <c r="AZ34" s="138" t="n">
        <f aca="false">AZ186</f>
        <v>114608.090059459</v>
      </c>
      <c r="BA34" s="138" t="n">
        <f aca="false">BA186</f>
        <v>114608.090059459</v>
      </c>
      <c r="BB34" s="138" t="n">
        <f aca="false">BB186</f>
        <v>114608.090059459</v>
      </c>
      <c r="BC34" s="138" t="n">
        <f aca="false">BC186</f>
        <v>114608.090059459</v>
      </c>
      <c r="BD34" s="138" t="n">
        <f aca="false">BD186</f>
        <v>114608.090059459</v>
      </c>
      <c r="BE34" s="138" t="n">
        <f aca="false">BE186</f>
        <v>114608.090059459</v>
      </c>
      <c r="BF34" s="138" t="n">
        <f aca="false">BF186</f>
        <v>114608.090059459</v>
      </c>
      <c r="BG34" s="138" t="n">
        <f aca="false">BG186</f>
        <v>114608.090059459</v>
      </c>
      <c r="BH34" s="138" t="n">
        <f aca="false">BH186</f>
        <v>114608.090059459</v>
      </c>
      <c r="BI34" s="138" t="n">
        <f aca="false">BI186</f>
        <v>114608.090059459</v>
      </c>
      <c r="BJ34" s="138" t="n">
        <f aca="false">BJ186</f>
        <v>114608.090059459</v>
      </c>
      <c r="BK34" s="138" t="n">
        <f aca="false">BK186</f>
        <v>114608.090059459</v>
      </c>
      <c r="BL34" s="138" t="n">
        <f aca="false">BL186</f>
        <v>114608.090059459</v>
      </c>
      <c r="BM34" s="138" t="n">
        <f aca="false">BM186</f>
        <v>114608.090059459</v>
      </c>
      <c r="BN34" s="138" t="n">
        <f aca="false">BN186</f>
        <v>114608.090059459</v>
      </c>
      <c r="BO34" s="138" t="n">
        <f aca="false">BO186</f>
        <v>114608.090059459</v>
      </c>
      <c r="BP34" s="138" t="n">
        <f aca="false">BP186</f>
        <v>114608.090059459</v>
      </c>
      <c r="BQ34" s="138" t="n">
        <f aca="false">BQ186</f>
        <v>114608.090059459</v>
      </c>
      <c r="BR34" s="138" t="n">
        <f aca="false">BR186</f>
        <v>114608.090059459</v>
      </c>
      <c r="BS34" s="138" t="n">
        <f aca="false">BS186</f>
        <v>114608.090059459</v>
      </c>
      <c r="BT34" s="138" t="n">
        <f aca="false">BT186</f>
        <v>114608.090059459</v>
      </c>
      <c r="BU34" s="138" t="n">
        <f aca="false">BU186</f>
        <v>114608.090059459</v>
      </c>
      <c r="BV34" s="138" t="n">
        <f aca="false">BV186</f>
        <v>114608.090059459</v>
      </c>
      <c r="BW34" s="138" t="n">
        <f aca="false">BW186</f>
        <v>114608.090059459</v>
      </c>
      <c r="BX34" s="138" t="n">
        <f aca="false">BX186</f>
        <v>114608.090059459</v>
      </c>
      <c r="BY34" s="138" t="n">
        <f aca="false">BY186</f>
        <v>114608.090059459</v>
      </c>
      <c r="BZ34" s="138" t="n">
        <f aca="false">BZ186</f>
        <v>114608.090059459</v>
      </c>
      <c r="CA34" s="138" t="n">
        <f aca="false">CA186</f>
        <v>114608.090059459</v>
      </c>
      <c r="CB34" s="138" t="n">
        <f aca="false">CB186</f>
        <v>114608.090059459</v>
      </c>
      <c r="CC34" s="138" t="n">
        <f aca="false">CC186</f>
        <v>114608.090059459</v>
      </c>
      <c r="CD34" s="138" t="n">
        <f aca="false">CD186</f>
        <v>114608.090059459</v>
      </c>
      <c r="CE34" s="138" t="n">
        <f aca="false">CE186</f>
        <v>114608.090059459</v>
      </c>
      <c r="CF34" s="138" t="n">
        <f aca="false">CF186</f>
        <v>114608.090059459</v>
      </c>
      <c r="CG34" s="138" t="n">
        <f aca="false">CG186</f>
        <v>114608.090059459</v>
      </c>
      <c r="CH34" s="138" t="n">
        <f aca="false">CH186</f>
        <v>114608.090059459</v>
      </c>
    </row>
    <row r="35" customFormat="false" ht="13.5" hidden="false" customHeight="true" outlineLevel="0" collapsed="false">
      <c r="A35" s="13" t="s">
        <v>716</v>
      </c>
      <c r="C35" s="138" t="n">
        <f aca="false">C190</f>
        <v>1289.06287337838</v>
      </c>
      <c r="D35" s="138" t="n">
        <f aca="false">D190</f>
        <v>2578.12574675676</v>
      </c>
      <c r="E35" s="138" t="n">
        <f aca="false">E190</f>
        <v>3867.18862013514</v>
      </c>
      <c r="F35" s="138" t="n">
        <f aca="false">F190</f>
        <v>5156.25149351351</v>
      </c>
      <c r="G35" s="138" t="n">
        <f aca="false">G190</f>
        <v>966.797155033784</v>
      </c>
      <c r="H35" s="138" t="n">
        <f aca="false">H190</f>
        <v>7734.37724027027</v>
      </c>
      <c r="I35" s="138" t="n">
        <f aca="false">I190</f>
        <v>9023.44011364865</v>
      </c>
      <c r="J35" s="138" t="n">
        <f aca="false">J190</f>
        <v>10312.502987027</v>
      </c>
      <c r="K35" s="138" t="n">
        <f aca="false">K190</f>
        <v>11601.5658604054</v>
      </c>
      <c r="L35" s="138" t="n">
        <f aca="false">L190</f>
        <v>12890.6287337838</v>
      </c>
      <c r="M35" s="138" t="n">
        <f aca="false">M190</f>
        <v>14179.6916071622</v>
      </c>
      <c r="N35" s="138" t="n">
        <f aca="false">N190</f>
        <v>15468.7544805405</v>
      </c>
      <c r="O35" s="138" t="n">
        <f aca="false">O190</f>
        <v>16757.8173539189</v>
      </c>
      <c r="P35" s="138" t="n">
        <f aca="false">P190</f>
        <v>18046.8802272973</v>
      </c>
      <c r="Q35" s="138" t="n">
        <f aca="false">Q190</f>
        <v>19335.9431006757</v>
      </c>
      <c r="R35" s="138" t="n">
        <f aca="false">R190</f>
        <v>20625.0059740541</v>
      </c>
      <c r="S35" s="138" t="n">
        <f aca="false">S190</f>
        <v>3287.11032711487</v>
      </c>
      <c r="T35" s="138" t="n">
        <f aca="false">T190</f>
        <v>23203.1317208108</v>
      </c>
      <c r="U35" s="138" t="n">
        <f aca="false">U190</f>
        <v>24492.1945941892</v>
      </c>
      <c r="V35" s="138" t="n">
        <f aca="false">V190</f>
        <v>25781.2574675676</v>
      </c>
      <c r="W35" s="138" t="n">
        <f aca="false">W190</f>
        <v>27070.320340946</v>
      </c>
      <c r="X35" s="138" t="n">
        <f aca="false">X190</f>
        <v>28359.3832143243</v>
      </c>
      <c r="Y35" s="138" t="n">
        <f aca="false">Y190</f>
        <v>29648.4460877027</v>
      </c>
      <c r="Z35" s="138" t="n">
        <f aca="false">Z190</f>
        <v>30937.5089610811</v>
      </c>
      <c r="AA35" s="138" t="n">
        <f aca="false">AA190</f>
        <v>30937.5089610811</v>
      </c>
      <c r="AB35" s="138" t="n">
        <f aca="false">AB190</f>
        <v>30937.5089610811</v>
      </c>
      <c r="AC35" s="138" t="n">
        <f aca="false">AC190</f>
        <v>30937.5089610811</v>
      </c>
      <c r="AD35" s="138" t="n">
        <f aca="false">AD190</f>
        <v>30937.5089610811</v>
      </c>
      <c r="AE35" s="138" t="n">
        <f aca="false">AE190</f>
        <v>4640.62634416216</v>
      </c>
      <c r="AF35" s="138" t="n">
        <f aca="false">AF190</f>
        <v>30937.5089610811</v>
      </c>
      <c r="AG35" s="138" t="n">
        <f aca="false">AG190</f>
        <v>30937.5089610811</v>
      </c>
      <c r="AH35" s="138" t="n">
        <f aca="false">AH190</f>
        <v>30937.5089610811</v>
      </c>
      <c r="AI35" s="138" t="n">
        <f aca="false">AI190</f>
        <v>30937.5089610811</v>
      </c>
      <c r="AJ35" s="138" t="n">
        <f aca="false">AJ190</f>
        <v>30937.5089610811</v>
      </c>
      <c r="AK35" s="138" t="n">
        <f aca="false">AK190</f>
        <v>30937.5089610811</v>
      </c>
      <c r="AL35" s="138" t="n">
        <f aca="false">AL190</f>
        <v>30937.5089610811</v>
      </c>
      <c r="AM35" s="138" t="n">
        <f aca="false">AM190</f>
        <v>30937.5089610811</v>
      </c>
      <c r="AN35" s="138" t="n">
        <f aca="false">AN190</f>
        <v>30937.5089610811</v>
      </c>
      <c r="AO35" s="138" t="n">
        <f aca="false">AO190</f>
        <v>30937.5089610811</v>
      </c>
      <c r="AP35" s="138" t="n">
        <f aca="false">AP190</f>
        <v>30937.5089610811</v>
      </c>
      <c r="AQ35" s="138" t="n">
        <f aca="false">AQ190</f>
        <v>4640.62634416216</v>
      </c>
      <c r="AR35" s="138" t="n">
        <f aca="false">AR190</f>
        <v>30937.5089610811</v>
      </c>
      <c r="AS35" s="138" t="n">
        <f aca="false">AS190</f>
        <v>30937.5089610811</v>
      </c>
      <c r="AT35" s="138" t="n">
        <f aca="false">AT190</f>
        <v>30937.5089610811</v>
      </c>
      <c r="AU35" s="138" t="n">
        <f aca="false">AU190</f>
        <v>30937.5089610811</v>
      </c>
      <c r="AV35" s="138" t="n">
        <f aca="false">AV190</f>
        <v>30937.5089610811</v>
      </c>
      <c r="AW35" s="138" t="n">
        <f aca="false">AW190</f>
        <v>30937.5089610811</v>
      </c>
      <c r="AX35" s="138" t="n">
        <f aca="false">AX190</f>
        <v>30937.5089610811</v>
      </c>
      <c r="AY35" s="138" t="n">
        <f aca="false">AY190</f>
        <v>30937.5089610811</v>
      </c>
      <c r="AZ35" s="138" t="n">
        <f aca="false">AZ190</f>
        <v>30937.5089610811</v>
      </c>
      <c r="BA35" s="138" t="n">
        <f aca="false">BA190</f>
        <v>30937.5089610811</v>
      </c>
      <c r="BB35" s="138" t="n">
        <f aca="false">BB190</f>
        <v>30937.5089610811</v>
      </c>
      <c r="BC35" s="138" t="n">
        <f aca="false">BC190</f>
        <v>4640.62634416216</v>
      </c>
      <c r="BD35" s="138" t="n">
        <f aca="false">BD190</f>
        <v>30937.5089610811</v>
      </c>
      <c r="BE35" s="138" t="n">
        <f aca="false">BE190</f>
        <v>30937.5089610811</v>
      </c>
      <c r="BF35" s="138" t="n">
        <f aca="false">BF190</f>
        <v>30937.5089610811</v>
      </c>
      <c r="BG35" s="138" t="n">
        <f aca="false">BG190</f>
        <v>30937.5089610811</v>
      </c>
      <c r="BH35" s="138" t="n">
        <f aca="false">BH190</f>
        <v>30937.5089610811</v>
      </c>
      <c r="BI35" s="138" t="n">
        <f aca="false">BI190</f>
        <v>30937.5089610811</v>
      </c>
      <c r="BJ35" s="138" t="n">
        <f aca="false">BJ190</f>
        <v>30937.5089610811</v>
      </c>
      <c r="BK35" s="138" t="n">
        <f aca="false">BK190</f>
        <v>30937.5089610811</v>
      </c>
      <c r="BL35" s="138" t="n">
        <f aca="false">BL190</f>
        <v>30937.5089610811</v>
      </c>
      <c r="BM35" s="138" t="n">
        <f aca="false">BM190</f>
        <v>30937.5089610811</v>
      </c>
      <c r="BN35" s="138" t="n">
        <f aca="false">BN190</f>
        <v>30937.5089610811</v>
      </c>
      <c r="BO35" s="138" t="n">
        <f aca="false">BO190</f>
        <v>4640.62634416216</v>
      </c>
      <c r="BP35" s="138" t="n">
        <f aca="false">BP190</f>
        <v>30937.5089610811</v>
      </c>
      <c r="BQ35" s="138" t="n">
        <f aca="false">BQ190</f>
        <v>30937.5089610811</v>
      </c>
      <c r="BR35" s="138" t="n">
        <f aca="false">BR190</f>
        <v>30937.5089610811</v>
      </c>
      <c r="BS35" s="138" t="n">
        <f aca="false">BS190</f>
        <v>30937.5089610811</v>
      </c>
      <c r="BT35" s="138" t="n">
        <f aca="false">BT190</f>
        <v>30937.5089610811</v>
      </c>
      <c r="BU35" s="138" t="n">
        <f aca="false">BU190</f>
        <v>30937.5089610811</v>
      </c>
      <c r="BV35" s="138" t="n">
        <f aca="false">BV190</f>
        <v>30937.5089610811</v>
      </c>
      <c r="BW35" s="138" t="n">
        <f aca="false">BW190</f>
        <v>30937.5089610811</v>
      </c>
      <c r="BX35" s="138" t="n">
        <f aca="false">BX190</f>
        <v>30937.5089610811</v>
      </c>
      <c r="BY35" s="138" t="n">
        <f aca="false">BY190</f>
        <v>30937.5089610811</v>
      </c>
      <c r="BZ35" s="138" t="n">
        <f aca="false">BZ190</f>
        <v>30937.5089610811</v>
      </c>
      <c r="CA35" s="138" t="n">
        <f aca="false">CA190</f>
        <v>4640.62634416216</v>
      </c>
      <c r="CB35" s="138" t="n">
        <f aca="false">CB190</f>
        <v>30937.5089610811</v>
      </c>
      <c r="CC35" s="138" t="n">
        <f aca="false">CC190</f>
        <v>30937.5089610811</v>
      </c>
      <c r="CD35" s="138" t="n">
        <f aca="false">CD190</f>
        <v>30937.5089610811</v>
      </c>
      <c r="CE35" s="138" t="n">
        <f aca="false">CE190</f>
        <v>30937.5089610811</v>
      </c>
      <c r="CF35" s="138" t="n">
        <f aca="false">CF190</f>
        <v>30937.5089610811</v>
      </c>
      <c r="CG35" s="138" t="n">
        <f aca="false">CG190</f>
        <v>30937.5089610811</v>
      </c>
      <c r="CH35" s="138" t="n">
        <f aca="false">CH190</f>
        <v>30937.5089610811</v>
      </c>
    </row>
    <row r="36" customFormat="false" ht="13.5" hidden="false" customHeight="true" outlineLevel="0" collapsed="false">
      <c r="A36" s="30" t="s">
        <v>717</v>
      </c>
      <c r="C36" s="138" t="n">
        <f aca="false">C34+C35</f>
        <v>2322.18787337838</v>
      </c>
      <c r="D36" s="138" t="n">
        <f aca="false">D34+D35</f>
        <v>4722.67574675676</v>
      </c>
      <c r="E36" s="138" t="n">
        <f aca="false">E34+E35</f>
        <v>8324.85112013514</v>
      </c>
      <c r="F36" s="138" t="n">
        <f aca="false">F34+F35</f>
        <v>10893.9014935135</v>
      </c>
      <c r="G36" s="138" t="n">
        <f aca="false">G34+G35</f>
        <v>7906.13465503378</v>
      </c>
      <c r="H36" s="138" t="n">
        <f aca="false">H34+H35</f>
        <v>16593.1522402703</v>
      </c>
      <c r="I36" s="138" t="n">
        <f aca="false">I34+I35</f>
        <v>19916.2037456757</v>
      </c>
      <c r="J36" s="138" t="n">
        <f aca="false">J34+J35</f>
        <v>25301.1756275676</v>
      </c>
      <c r="K36" s="138" t="n">
        <f aca="false">K34+K35</f>
        <v>30686.1475094595</v>
      </c>
      <c r="L36" s="138" t="n">
        <f aca="false">L34+L35</f>
        <v>36071.1193913514</v>
      </c>
      <c r="M36" s="138" t="n">
        <f aca="false">M34+M35</f>
        <v>40254.4037732433</v>
      </c>
      <c r="N36" s="138" t="n">
        <f aca="false">N34+N35</f>
        <v>45416.4381551351</v>
      </c>
      <c r="O36" s="138" t="n">
        <f aca="false">O34+O35</f>
        <v>50578.472537027</v>
      </c>
      <c r="P36" s="138" t="n">
        <f aca="false">P34+P35</f>
        <v>55388.1569189189</v>
      </c>
      <c r="Q36" s="138" t="n">
        <f aca="false">Q34+Q35</f>
        <v>60197.8413008108</v>
      </c>
      <c r="R36" s="138" t="n">
        <f aca="false">R34+R35</f>
        <v>65007.5256827027</v>
      </c>
      <c r="S36" s="138" t="n">
        <f aca="false">S34+S35</f>
        <v>51190.251544277</v>
      </c>
      <c r="T36" s="138" t="n">
        <f aca="false">T34+T35</f>
        <v>74626.8944464865</v>
      </c>
      <c r="U36" s="138" t="n">
        <f aca="false">U34+U35</f>
        <v>79436.5788283784</v>
      </c>
      <c r="V36" s="138" t="n">
        <f aca="false">V34+V35</f>
        <v>84246.2632102703</v>
      </c>
      <c r="W36" s="138" t="n">
        <f aca="false">W34+W35</f>
        <v>89055.9475921622</v>
      </c>
      <c r="X36" s="138" t="n">
        <f aca="false">X34+X35</f>
        <v>92886.8819740541</v>
      </c>
      <c r="Y36" s="138" t="n">
        <f aca="false">Y34+Y35</f>
        <v>96717.816355946</v>
      </c>
      <c r="Z36" s="138" t="n">
        <f aca="false">Z34+Z35</f>
        <v>100183.350737838</v>
      </c>
      <c r="AA36" s="138" t="n">
        <f aca="false">AA34+AA35</f>
        <v>102703.475642432</v>
      </c>
      <c r="AB36" s="138" t="n">
        <f aca="false">AB34+AB35</f>
        <v>105223.600547027</v>
      </c>
      <c r="AC36" s="138" t="n">
        <f aca="false">AC34+AC35</f>
        <v>107743.725451622</v>
      </c>
      <c r="AD36" s="138" t="n">
        <f aca="false">AD34+AD35</f>
        <v>110263.850356216</v>
      </c>
      <c r="AE36" s="138" t="n">
        <f aca="false">AE34+AE35</f>
        <v>86487.0926438919</v>
      </c>
      <c r="AF36" s="138" t="n">
        <f aca="false">AF34+AF35</f>
        <v>115304.100165405</v>
      </c>
      <c r="AG36" s="138" t="n">
        <f aca="false">AG34+AG35</f>
        <v>117824.22507</v>
      </c>
      <c r="AH36" s="138" t="n">
        <f aca="false">AH34+AH35</f>
        <v>120344.349974595</v>
      </c>
      <c r="AI36" s="138" t="n">
        <f aca="false">AI34+AI35</f>
        <v>122864.474879189</v>
      </c>
      <c r="AJ36" s="138" t="n">
        <f aca="false">AJ34+AJ35</f>
        <v>125384.599783784</v>
      </c>
      <c r="AK36" s="138" t="n">
        <f aca="false">AK34+AK35</f>
        <v>127904.724688378</v>
      </c>
      <c r="AL36" s="138" t="n">
        <f aca="false">AL34+AL35</f>
        <v>130424.849592973</v>
      </c>
      <c r="AM36" s="138" t="n">
        <f aca="false">AM34+AM35</f>
        <v>132944.974497568</v>
      </c>
      <c r="AN36" s="138" t="n">
        <f aca="false">AN34+AN35</f>
        <v>135465.099402162</v>
      </c>
      <c r="AO36" s="138" t="n">
        <f aca="false">AO34+AO35</f>
        <v>137985.224306757</v>
      </c>
      <c r="AP36" s="138" t="n">
        <f aca="false">AP34+AP35</f>
        <v>140505.349211351</v>
      </c>
      <c r="AQ36" s="138" t="n">
        <f aca="false">AQ34+AQ35</f>
        <v>116728.591499027</v>
      </c>
      <c r="AR36" s="138" t="n">
        <f aca="false">AR34+AR35</f>
        <v>145545.599020541</v>
      </c>
      <c r="AS36" s="138" t="n">
        <f aca="false">AS34+AS35</f>
        <v>145545.599020541</v>
      </c>
      <c r="AT36" s="138" t="n">
        <f aca="false">AT34+AT35</f>
        <v>145545.599020541</v>
      </c>
      <c r="AU36" s="138" t="n">
        <f aca="false">AU34+AU35</f>
        <v>145545.599020541</v>
      </c>
      <c r="AV36" s="138" t="n">
        <f aca="false">AV34+AV35</f>
        <v>145545.599020541</v>
      </c>
      <c r="AW36" s="138" t="n">
        <f aca="false">AW34+AW35</f>
        <v>145545.599020541</v>
      </c>
      <c r="AX36" s="138" t="n">
        <f aca="false">AX34+AX35</f>
        <v>145545.599020541</v>
      </c>
      <c r="AY36" s="138" t="n">
        <f aca="false">AY34+AY35</f>
        <v>145545.599020541</v>
      </c>
      <c r="AZ36" s="138" t="n">
        <f aca="false">AZ34+AZ35</f>
        <v>145545.599020541</v>
      </c>
      <c r="BA36" s="138" t="n">
        <f aca="false">BA34+BA35</f>
        <v>145545.599020541</v>
      </c>
      <c r="BB36" s="138" t="n">
        <f aca="false">BB34+BB35</f>
        <v>145545.599020541</v>
      </c>
      <c r="BC36" s="138" t="n">
        <f aca="false">BC34+BC35</f>
        <v>119248.716403622</v>
      </c>
      <c r="BD36" s="138" t="n">
        <f aca="false">BD34+BD35</f>
        <v>145545.599020541</v>
      </c>
      <c r="BE36" s="138" t="n">
        <f aca="false">BE34+BE35</f>
        <v>145545.599020541</v>
      </c>
      <c r="BF36" s="138" t="n">
        <f aca="false">BF34+BF35</f>
        <v>145545.599020541</v>
      </c>
      <c r="BG36" s="138" t="n">
        <f aca="false">BG34+BG35</f>
        <v>145545.599020541</v>
      </c>
      <c r="BH36" s="138" t="n">
        <f aca="false">BH34+BH35</f>
        <v>145545.599020541</v>
      </c>
      <c r="BI36" s="138" t="n">
        <f aca="false">BI34+BI35</f>
        <v>145545.599020541</v>
      </c>
      <c r="BJ36" s="138" t="n">
        <f aca="false">BJ34+BJ35</f>
        <v>145545.599020541</v>
      </c>
      <c r="BK36" s="138" t="n">
        <f aca="false">BK34+BK35</f>
        <v>145545.599020541</v>
      </c>
      <c r="BL36" s="138" t="n">
        <f aca="false">BL34+BL35</f>
        <v>145545.599020541</v>
      </c>
      <c r="BM36" s="138" t="n">
        <f aca="false">BM34+BM35</f>
        <v>145545.599020541</v>
      </c>
      <c r="BN36" s="138" t="n">
        <f aca="false">BN34+BN35</f>
        <v>145545.599020541</v>
      </c>
      <c r="BO36" s="138" t="n">
        <f aca="false">BO34+BO35</f>
        <v>119248.716403622</v>
      </c>
      <c r="BP36" s="138" t="n">
        <f aca="false">BP34+BP35</f>
        <v>145545.599020541</v>
      </c>
      <c r="BQ36" s="138" t="n">
        <f aca="false">BQ34+BQ35</f>
        <v>145545.599020541</v>
      </c>
      <c r="BR36" s="138" t="n">
        <f aca="false">BR34+BR35</f>
        <v>145545.599020541</v>
      </c>
      <c r="BS36" s="138" t="n">
        <f aca="false">BS34+BS35</f>
        <v>145545.599020541</v>
      </c>
      <c r="BT36" s="138" t="n">
        <f aca="false">BT34+BT35</f>
        <v>145545.599020541</v>
      </c>
      <c r="BU36" s="138" t="n">
        <f aca="false">BU34+BU35</f>
        <v>145545.599020541</v>
      </c>
      <c r="BV36" s="138" t="n">
        <f aca="false">BV34+BV35</f>
        <v>145545.599020541</v>
      </c>
      <c r="BW36" s="138" t="n">
        <f aca="false">BW34+BW35</f>
        <v>145545.599020541</v>
      </c>
      <c r="BX36" s="138" t="n">
        <f aca="false">BX34+BX35</f>
        <v>145545.599020541</v>
      </c>
      <c r="BY36" s="138" t="n">
        <f aca="false">BY34+BY35</f>
        <v>145545.599020541</v>
      </c>
      <c r="BZ36" s="138" t="n">
        <f aca="false">BZ34+BZ35</f>
        <v>145545.599020541</v>
      </c>
      <c r="CA36" s="138" t="n">
        <f aca="false">CA34+CA35</f>
        <v>119248.716403622</v>
      </c>
      <c r="CB36" s="138" t="n">
        <f aca="false">CB34+CB35</f>
        <v>145545.599020541</v>
      </c>
      <c r="CC36" s="138" t="n">
        <f aca="false">CC34+CC35</f>
        <v>145545.599020541</v>
      </c>
      <c r="CD36" s="138" t="n">
        <f aca="false">CD34+CD35</f>
        <v>145545.599020541</v>
      </c>
      <c r="CE36" s="138" t="n">
        <f aca="false">CE34+CE35</f>
        <v>145545.599020541</v>
      </c>
      <c r="CF36" s="138" t="n">
        <f aca="false">CF34+CF35</f>
        <v>145545.599020541</v>
      </c>
      <c r="CG36" s="138" t="n">
        <f aca="false">CG34+CG35</f>
        <v>145545.599020541</v>
      </c>
      <c r="CH36" s="138" t="n">
        <f aca="false">CH34+CH35</f>
        <v>145545.599020541</v>
      </c>
    </row>
    <row r="37" customFormat="false" ht="13.5" hidden="false" customHeight="true" outlineLevel="0" collapsed="false">
      <c r="A37" s="13" t="s">
        <v>718</v>
      </c>
      <c r="C37" s="138" t="n">
        <f aca="false">C192+C193</f>
        <v>-232.218787337838</v>
      </c>
      <c r="D37" s="138" t="n">
        <f aca="false">D192+D193</f>
        <v>-472.267574675676</v>
      </c>
      <c r="E37" s="138" t="n">
        <f aca="false">E192+E193</f>
        <v>-832.485112013514</v>
      </c>
      <c r="F37" s="138" t="n">
        <f aca="false">F192+F193</f>
        <v>-1089.39014935135</v>
      </c>
      <c r="G37" s="138" t="n">
        <f aca="false">G192+G193</f>
        <v>-790.613465503378</v>
      </c>
      <c r="H37" s="138" t="n">
        <f aca="false">H192+H193</f>
        <v>-1659.31522402703</v>
      </c>
      <c r="I37" s="138" t="n">
        <f aca="false">I192+I193</f>
        <v>-1991.62037456757</v>
      </c>
      <c r="J37" s="138" t="n">
        <f aca="false">J192+J193</f>
        <v>-2530.11756275676</v>
      </c>
      <c r="K37" s="138" t="n">
        <f aca="false">K192+K193</f>
        <v>-3068.61475094595</v>
      </c>
      <c r="L37" s="138" t="n">
        <f aca="false">L192+L193</f>
        <v>-3607.11193913514</v>
      </c>
      <c r="M37" s="138" t="n">
        <f aca="false">M192+M193</f>
        <v>-4025.44037732433</v>
      </c>
      <c r="N37" s="138" t="n">
        <f aca="false">N192+N193</f>
        <v>-4541.64381551351</v>
      </c>
      <c r="O37" s="138" t="n">
        <f aca="false">O192+O193</f>
        <v>-5057.8472537027</v>
      </c>
      <c r="P37" s="138" t="n">
        <f aca="false">P192+P193</f>
        <v>-5538.81569189189</v>
      </c>
      <c r="Q37" s="138" t="n">
        <f aca="false">Q192+Q193</f>
        <v>-6019.78413008108</v>
      </c>
      <c r="R37" s="138" t="n">
        <f aca="false">R192+R193</f>
        <v>-6500.75256827027</v>
      </c>
      <c r="S37" s="138" t="n">
        <f aca="false">S192+S193</f>
        <v>-5119.0251544277</v>
      </c>
      <c r="T37" s="138" t="n">
        <f aca="false">T192+T193</f>
        <v>-7462.68944464865</v>
      </c>
      <c r="U37" s="138" t="n">
        <f aca="false">U192+U193</f>
        <v>-7943.65788283784</v>
      </c>
      <c r="V37" s="138" t="n">
        <f aca="false">V192+V193</f>
        <v>-8424.62632102703</v>
      </c>
      <c r="W37" s="138" t="n">
        <f aca="false">W192+W193</f>
        <v>-8905.59475921622</v>
      </c>
      <c r="X37" s="138" t="n">
        <f aca="false">X192+X193</f>
        <v>-9288.68819740541</v>
      </c>
      <c r="Y37" s="138" t="n">
        <f aca="false">Y192+Y193</f>
        <v>-9671.7816355946</v>
      </c>
      <c r="Z37" s="138" t="n">
        <f aca="false">Z192+Z193</f>
        <v>-10018.3350737838</v>
      </c>
      <c r="AA37" s="138" t="n">
        <f aca="false">AA192+AA193</f>
        <v>-10270.3475642432</v>
      </c>
      <c r="AB37" s="138" t="n">
        <f aca="false">AB192+AB193</f>
        <v>-10522.3600547027</v>
      </c>
      <c r="AC37" s="138" t="n">
        <f aca="false">AC192+AC193</f>
        <v>-10774.3725451622</v>
      </c>
      <c r="AD37" s="138" t="n">
        <f aca="false">AD192+AD193</f>
        <v>-11026.3850356216</v>
      </c>
      <c r="AE37" s="138" t="n">
        <f aca="false">AE192+AE193</f>
        <v>-8648.70926438919</v>
      </c>
      <c r="AF37" s="138" t="n">
        <f aca="false">AF192+AF193</f>
        <v>-11530.4100165405</v>
      </c>
      <c r="AG37" s="138" t="n">
        <f aca="false">AG192+AG193</f>
        <v>-11782.422507</v>
      </c>
      <c r="AH37" s="138" t="n">
        <f aca="false">AH192+AH193</f>
        <v>-12034.4349974595</v>
      </c>
      <c r="AI37" s="138" t="n">
        <f aca="false">AI192+AI193</f>
        <v>-12286.4474879189</v>
      </c>
      <c r="AJ37" s="138" t="n">
        <f aca="false">AJ192+AJ193</f>
        <v>-12538.4599783784</v>
      </c>
      <c r="AK37" s="138" t="n">
        <f aca="false">AK192+AK193</f>
        <v>-12790.4724688378</v>
      </c>
      <c r="AL37" s="138" t="n">
        <f aca="false">AL192+AL193</f>
        <v>-13042.4849592973</v>
      </c>
      <c r="AM37" s="138" t="n">
        <f aca="false">AM192+AM193</f>
        <v>-13294.4974497568</v>
      </c>
      <c r="AN37" s="138" t="n">
        <f aca="false">AN192+AN193</f>
        <v>-13546.5099402162</v>
      </c>
      <c r="AO37" s="138" t="n">
        <f aca="false">AO192+AO193</f>
        <v>-13798.5224306757</v>
      </c>
      <c r="AP37" s="138" t="n">
        <f aca="false">AP192+AP193</f>
        <v>-14050.5349211351</v>
      </c>
      <c r="AQ37" s="138" t="n">
        <f aca="false">AQ192+AQ193</f>
        <v>-11672.8591499027</v>
      </c>
      <c r="AR37" s="138" t="n">
        <f aca="false">AR192+AR193</f>
        <v>-14554.5599020541</v>
      </c>
      <c r="AS37" s="138" t="n">
        <f aca="false">AS192+AS193</f>
        <v>-14554.5599020541</v>
      </c>
      <c r="AT37" s="138" t="n">
        <f aca="false">AT192+AT193</f>
        <v>-14554.5599020541</v>
      </c>
      <c r="AU37" s="138" t="n">
        <f aca="false">AU192+AU193</f>
        <v>-14554.5599020541</v>
      </c>
      <c r="AV37" s="138" t="n">
        <f aca="false">AV192+AV193</f>
        <v>-14554.5599020541</v>
      </c>
      <c r="AW37" s="138" t="n">
        <f aca="false">AW192+AW193</f>
        <v>-14554.5599020541</v>
      </c>
      <c r="AX37" s="138" t="n">
        <f aca="false">AX192+AX193</f>
        <v>-14554.5599020541</v>
      </c>
      <c r="AY37" s="138" t="n">
        <f aca="false">AY192+AY193</f>
        <v>-14554.5599020541</v>
      </c>
      <c r="AZ37" s="138" t="n">
        <f aca="false">AZ192+AZ193</f>
        <v>-14554.5599020541</v>
      </c>
      <c r="BA37" s="138" t="n">
        <f aca="false">BA192+BA193</f>
        <v>-14554.5599020541</v>
      </c>
      <c r="BB37" s="138" t="n">
        <f aca="false">BB192+BB193</f>
        <v>-14554.5599020541</v>
      </c>
      <c r="BC37" s="138" t="n">
        <f aca="false">BC192+BC193</f>
        <v>-11924.8716403622</v>
      </c>
      <c r="BD37" s="138" t="n">
        <f aca="false">BD192+BD193</f>
        <v>-14554.5599020541</v>
      </c>
      <c r="BE37" s="138" t="n">
        <f aca="false">BE192+BE193</f>
        <v>-14554.5599020541</v>
      </c>
      <c r="BF37" s="138" t="n">
        <f aca="false">BF192+BF193</f>
        <v>-14554.5599020541</v>
      </c>
      <c r="BG37" s="138" t="n">
        <f aca="false">BG192+BG193</f>
        <v>-14554.5599020541</v>
      </c>
      <c r="BH37" s="138" t="n">
        <f aca="false">BH192+BH193</f>
        <v>-14554.5599020541</v>
      </c>
      <c r="BI37" s="138" t="n">
        <f aca="false">BI192+BI193</f>
        <v>-14554.5599020541</v>
      </c>
      <c r="BJ37" s="138" t="n">
        <f aca="false">BJ192+BJ193</f>
        <v>-14554.5599020541</v>
      </c>
      <c r="BK37" s="138" t="n">
        <f aca="false">BK192+BK193</f>
        <v>-14554.5599020541</v>
      </c>
      <c r="BL37" s="138" t="n">
        <f aca="false">BL192+BL193</f>
        <v>-14554.5599020541</v>
      </c>
      <c r="BM37" s="138" t="n">
        <f aca="false">BM192+BM193</f>
        <v>-14554.5599020541</v>
      </c>
      <c r="BN37" s="138" t="n">
        <f aca="false">BN192+BN193</f>
        <v>-14554.5599020541</v>
      </c>
      <c r="BO37" s="138" t="n">
        <f aca="false">BO192+BO193</f>
        <v>-11924.8716403622</v>
      </c>
      <c r="BP37" s="138" t="n">
        <f aca="false">BP192+BP193</f>
        <v>-14554.5599020541</v>
      </c>
      <c r="BQ37" s="138" t="n">
        <f aca="false">BQ192+BQ193</f>
        <v>-14554.5599020541</v>
      </c>
      <c r="BR37" s="138" t="n">
        <f aca="false">BR192+BR193</f>
        <v>-14554.5599020541</v>
      </c>
      <c r="BS37" s="138" t="n">
        <f aca="false">BS192+BS193</f>
        <v>-14554.5599020541</v>
      </c>
      <c r="BT37" s="138" t="n">
        <f aca="false">BT192+BT193</f>
        <v>-14554.5599020541</v>
      </c>
      <c r="BU37" s="138" t="n">
        <f aca="false">BU192+BU193</f>
        <v>-14554.5599020541</v>
      </c>
      <c r="BV37" s="138" t="n">
        <f aca="false">BV192+BV193</f>
        <v>-14554.5599020541</v>
      </c>
      <c r="BW37" s="138" t="n">
        <f aca="false">BW192+BW193</f>
        <v>-14554.5599020541</v>
      </c>
      <c r="BX37" s="138" t="n">
        <f aca="false">BX192+BX193</f>
        <v>-14554.5599020541</v>
      </c>
      <c r="BY37" s="138" t="n">
        <f aca="false">BY192+BY193</f>
        <v>-14554.5599020541</v>
      </c>
      <c r="BZ37" s="138" t="n">
        <f aca="false">BZ192+BZ193</f>
        <v>-14554.5599020541</v>
      </c>
      <c r="CA37" s="138" t="n">
        <f aca="false">CA192+CA193</f>
        <v>-11924.8716403622</v>
      </c>
      <c r="CB37" s="138" t="n">
        <f aca="false">CB192+CB193</f>
        <v>-14554.5599020541</v>
      </c>
      <c r="CC37" s="138" t="n">
        <f aca="false">CC192+CC193</f>
        <v>-14554.5599020541</v>
      </c>
      <c r="CD37" s="138" t="n">
        <f aca="false">CD192+CD193</f>
        <v>-14554.5599020541</v>
      </c>
      <c r="CE37" s="138" t="n">
        <f aca="false">CE192+CE193</f>
        <v>-14554.5599020541</v>
      </c>
      <c r="CF37" s="138" t="n">
        <f aca="false">CF192+CF193</f>
        <v>-14554.5599020541</v>
      </c>
      <c r="CG37" s="138" t="n">
        <f aca="false">CG192+CG193</f>
        <v>-14554.5599020541</v>
      </c>
      <c r="CH37" s="138" t="n">
        <f aca="false">CH192+CH193</f>
        <v>-14554.5599020541</v>
      </c>
    </row>
    <row r="38" customFormat="false" ht="13.5" hidden="false" customHeight="true" outlineLevel="0" collapsed="false">
      <c r="A38" s="30" t="s">
        <v>719</v>
      </c>
      <c r="C38" s="138" t="n">
        <f aca="false">C36+C37</f>
        <v>2089.96908604054</v>
      </c>
      <c r="D38" s="138" t="n">
        <f aca="false">D36+D37</f>
        <v>4250.40817208108</v>
      </c>
      <c r="E38" s="138" t="n">
        <f aca="false">E36+E37</f>
        <v>7492.36600812162</v>
      </c>
      <c r="F38" s="138" t="n">
        <f aca="false">F36+F37</f>
        <v>9804.51134416216</v>
      </c>
      <c r="G38" s="138" t="n">
        <f aca="false">G36+G37</f>
        <v>7115.52118953041</v>
      </c>
      <c r="H38" s="138" t="n">
        <f aca="false">H36+H37</f>
        <v>14933.8370162432</v>
      </c>
      <c r="I38" s="138" t="n">
        <f aca="false">I36+I37</f>
        <v>17924.5833711081</v>
      </c>
      <c r="J38" s="138" t="n">
        <f aca="false">J36+J37</f>
        <v>22771.0580648108</v>
      </c>
      <c r="K38" s="138" t="n">
        <f aca="false">K36+K37</f>
        <v>27617.5327585135</v>
      </c>
      <c r="L38" s="138" t="n">
        <f aca="false">L36+L37</f>
        <v>32464.0074522162</v>
      </c>
      <c r="M38" s="138" t="n">
        <f aca="false">M36+M37</f>
        <v>36228.9633959189</v>
      </c>
      <c r="N38" s="138" t="n">
        <f aca="false">N36+N37</f>
        <v>40874.7943396216</v>
      </c>
      <c r="O38" s="138" t="n">
        <f aca="false">O36+O37</f>
        <v>45520.6252833243</v>
      </c>
      <c r="P38" s="138" t="n">
        <f aca="false">P36+P37</f>
        <v>49849.341227027</v>
      </c>
      <c r="Q38" s="138" t="n">
        <f aca="false">Q36+Q37</f>
        <v>54178.0571707297</v>
      </c>
      <c r="R38" s="138" t="n">
        <f aca="false">R36+R37</f>
        <v>58506.7731144324</v>
      </c>
      <c r="S38" s="138" t="n">
        <f aca="false">S36+S37</f>
        <v>46071.2263898493</v>
      </c>
      <c r="T38" s="138" t="n">
        <f aca="false">T36+T37</f>
        <v>67164.2050018378</v>
      </c>
      <c r="U38" s="138" t="n">
        <f aca="false">U36+U37</f>
        <v>71492.9209455405</v>
      </c>
      <c r="V38" s="138" t="n">
        <f aca="false">V36+V37</f>
        <v>75821.6368892433</v>
      </c>
      <c r="W38" s="138" t="n">
        <f aca="false">W36+W37</f>
        <v>80150.352832946</v>
      </c>
      <c r="X38" s="138" t="n">
        <f aca="false">X36+X37</f>
        <v>83598.1937766487</v>
      </c>
      <c r="Y38" s="138" t="n">
        <f aca="false">Y36+Y37</f>
        <v>87046.0347203514</v>
      </c>
      <c r="Z38" s="138" t="n">
        <f aca="false">Z36+Z37</f>
        <v>90165.0156640541</v>
      </c>
      <c r="AA38" s="138" t="n">
        <f aca="false">AA36+AA37</f>
        <v>92433.1280781892</v>
      </c>
      <c r="AB38" s="138" t="n">
        <f aca="false">AB36+AB37</f>
        <v>94701.2404923243</v>
      </c>
      <c r="AC38" s="138" t="n">
        <f aca="false">AC36+AC37</f>
        <v>96969.3529064595</v>
      </c>
      <c r="AD38" s="138" t="n">
        <f aca="false">AD36+AD37</f>
        <v>99237.4653205946</v>
      </c>
      <c r="AE38" s="138" t="n">
        <f aca="false">AE36+AE37</f>
        <v>77838.3833795027</v>
      </c>
      <c r="AF38" s="138" t="n">
        <f aca="false">AF36+AF37</f>
        <v>103773.690148865</v>
      </c>
      <c r="AG38" s="138" t="n">
        <f aca="false">AG36+AG37</f>
        <v>106041.802563</v>
      </c>
      <c r="AH38" s="138" t="n">
        <f aca="false">AH36+AH37</f>
        <v>108309.914977135</v>
      </c>
      <c r="AI38" s="138" t="n">
        <f aca="false">AI36+AI37</f>
        <v>110578.02739127</v>
      </c>
      <c r="AJ38" s="138" t="n">
        <f aca="false">AJ36+AJ37</f>
        <v>112846.139805405</v>
      </c>
      <c r="AK38" s="138" t="n">
        <f aca="false">AK36+AK37</f>
        <v>115114.252219541</v>
      </c>
      <c r="AL38" s="138" t="n">
        <f aca="false">AL36+AL37</f>
        <v>117382.364633676</v>
      </c>
      <c r="AM38" s="138" t="n">
        <f aca="false">AM36+AM37</f>
        <v>119650.477047811</v>
      </c>
      <c r="AN38" s="138" t="n">
        <f aca="false">AN36+AN37</f>
        <v>121918.589461946</v>
      </c>
      <c r="AO38" s="138" t="n">
        <f aca="false">AO36+AO37</f>
        <v>124186.701876081</v>
      </c>
      <c r="AP38" s="138" t="n">
        <f aca="false">AP36+AP37</f>
        <v>126454.814290216</v>
      </c>
      <c r="AQ38" s="138" t="n">
        <f aca="false">AQ36+AQ37</f>
        <v>105055.732349124</v>
      </c>
      <c r="AR38" s="138" t="n">
        <f aca="false">AR36+AR37</f>
        <v>130991.039118487</v>
      </c>
      <c r="AS38" s="138" t="n">
        <f aca="false">AS36+AS37</f>
        <v>130991.039118487</v>
      </c>
      <c r="AT38" s="138" t="n">
        <f aca="false">AT36+AT37</f>
        <v>130991.039118487</v>
      </c>
      <c r="AU38" s="138" t="n">
        <f aca="false">AU36+AU37</f>
        <v>130991.039118487</v>
      </c>
      <c r="AV38" s="138" t="n">
        <f aca="false">AV36+AV37</f>
        <v>130991.039118487</v>
      </c>
      <c r="AW38" s="138" t="n">
        <f aca="false">AW36+AW37</f>
        <v>130991.039118487</v>
      </c>
      <c r="AX38" s="138" t="n">
        <f aca="false">AX36+AX37</f>
        <v>130991.039118487</v>
      </c>
      <c r="AY38" s="138" t="n">
        <f aca="false">AY36+AY37</f>
        <v>130991.039118487</v>
      </c>
      <c r="AZ38" s="138" t="n">
        <f aca="false">AZ36+AZ37</f>
        <v>130991.039118487</v>
      </c>
      <c r="BA38" s="138" t="n">
        <f aca="false">BA36+BA37</f>
        <v>130991.039118487</v>
      </c>
      <c r="BB38" s="138" t="n">
        <f aca="false">BB36+BB37</f>
        <v>130991.039118487</v>
      </c>
      <c r="BC38" s="138" t="n">
        <f aca="false">BC36+BC37</f>
        <v>107323.844763259</v>
      </c>
      <c r="BD38" s="138" t="n">
        <f aca="false">BD36+BD37</f>
        <v>130991.039118487</v>
      </c>
      <c r="BE38" s="138" t="n">
        <f aca="false">BE36+BE37</f>
        <v>130991.039118487</v>
      </c>
      <c r="BF38" s="138" t="n">
        <f aca="false">BF36+BF37</f>
        <v>130991.039118487</v>
      </c>
      <c r="BG38" s="138" t="n">
        <f aca="false">BG36+BG37</f>
        <v>130991.039118487</v>
      </c>
      <c r="BH38" s="138" t="n">
        <f aca="false">BH36+BH37</f>
        <v>130991.039118487</v>
      </c>
      <c r="BI38" s="138" t="n">
        <f aca="false">BI36+BI37</f>
        <v>130991.039118487</v>
      </c>
      <c r="BJ38" s="138" t="n">
        <f aca="false">BJ36+BJ37</f>
        <v>130991.039118487</v>
      </c>
      <c r="BK38" s="138" t="n">
        <f aca="false">BK36+BK37</f>
        <v>130991.039118487</v>
      </c>
      <c r="BL38" s="138" t="n">
        <f aca="false">BL36+BL37</f>
        <v>130991.039118487</v>
      </c>
      <c r="BM38" s="138" t="n">
        <f aca="false">BM36+BM37</f>
        <v>130991.039118487</v>
      </c>
      <c r="BN38" s="138" t="n">
        <f aca="false">BN36+BN37</f>
        <v>130991.039118487</v>
      </c>
      <c r="BO38" s="138" t="n">
        <f aca="false">BO36+BO37</f>
        <v>107323.844763259</v>
      </c>
      <c r="BP38" s="138" t="n">
        <f aca="false">BP36+BP37</f>
        <v>130991.039118487</v>
      </c>
      <c r="BQ38" s="138" t="n">
        <f aca="false">BQ36+BQ37</f>
        <v>130991.039118487</v>
      </c>
      <c r="BR38" s="138" t="n">
        <f aca="false">BR36+BR37</f>
        <v>130991.039118487</v>
      </c>
      <c r="BS38" s="138" t="n">
        <f aca="false">BS36+BS37</f>
        <v>130991.039118487</v>
      </c>
      <c r="BT38" s="138" t="n">
        <f aca="false">BT36+BT37</f>
        <v>130991.039118487</v>
      </c>
      <c r="BU38" s="138" t="n">
        <f aca="false">BU36+BU37</f>
        <v>130991.039118487</v>
      </c>
      <c r="BV38" s="138" t="n">
        <f aca="false">BV36+BV37</f>
        <v>130991.039118487</v>
      </c>
      <c r="BW38" s="138" t="n">
        <f aca="false">BW36+BW37</f>
        <v>130991.039118487</v>
      </c>
      <c r="BX38" s="138" t="n">
        <f aca="false">BX36+BX37</f>
        <v>130991.039118487</v>
      </c>
      <c r="BY38" s="138" t="n">
        <f aca="false">BY36+BY37</f>
        <v>130991.039118487</v>
      </c>
      <c r="BZ38" s="138" t="n">
        <f aca="false">BZ36+BZ37</f>
        <v>130991.039118487</v>
      </c>
      <c r="CA38" s="138" t="n">
        <f aca="false">CA36+CA37</f>
        <v>107323.844763259</v>
      </c>
      <c r="CB38" s="138" t="n">
        <f aca="false">CB36+CB37</f>
        <v>130991.039118487</v>
      </c>
      <c r="CC38" s="138" t="n">
        <f aca="false">CC36+CC37</f>
        <v>130991.039118487</v>
      </c>
      <c r="CD38" s="138" t="n">
        <f aca="false">CD36+CD37</f>
        <v>130991.039118487</v>
      </c>
      <c r="CE38" s="138" t="n">
        <f aca="false">CE36+CE37</f>
        <v>130991.039118487</v>
      </c>
      <c r="CF38" s="138" t="n">
        <f aca="false">CF36+CF37</f>
        <v>130991.039118487</v>
      </c>
      <c r="CG38" s="138" t="n">
        <f aca="false">CG36+CG37</f>
        <v>130991.039118487</v>
      </c>
      <c r="CH38" s="138" t="n">
        <f aca="false">CH36+CH37</f>
        <v>130991.039118487</v>
      </c>
    </row>
    <row r="39" customFormat="false" ht="13.5" hidden="false" customHeight="true" outlineLevel="0" collapsed="false">
      <c r="A39" s="13" t="s">
        <v>720</v>
      </c>
      <c r="C39" s="138" t="n">
        <f aca="false">C194+C195</f>
        <v>-200.135291643458</v>
      </c>
      <c r="D39" s="138" t="n">
        <f aca="false">D194+D195</f>
        <v>-415.244319504708</v>
      </c>
      <c r="E39" s="138" t="n">
        <f aca="false">E194+E195</f>
        <v>-845.503705473355</v>
      </c>
      <c r="F39" s="138" t="n">
        <f aca="false">F194+F195</f>
        <v>-1139.12054805357</v>
      </c>
      <c r="G39" s="138" t="n">
        <f aca="false">G194+G195</f>
        <v>-1147.91947433213</v>
      </c>
      <c r="H39" s="138" t="n">
        <f aca="false">H194+H195</f>
        <v>-1867.9808216073</v>
      </c>
      <c r="I39" s="138" t="n">
        <f aca="false">I194+I195</f>
        <v>-2337.52140949397</v>
      </c>
      <c r="J39" s="138" t="n">
        <f aca="false">J194+J195</f>
        <v>-3154.88356989729</v>
      </c>
      <c r="K39" s="138" t="n">
        <f aca="false">K194+K195</f>
        <v>-3972.24573030062</v>
      </c>
      <c r="L39" s="138" t="n">
        <f aca="false">L194+L195</f>
        <v>-4789.60789070394</v>
      </c>
      <c r="M39" s="138" t="n">
        <f aca="false">M194+M195</f>
        <v>-5391.81969299987</v>
      </c>
      <c r="N39" s="138" t="n">
        <f aca="false">N194+N195</f>
        <v>-6243.59376559235</v>
      </c>
      <c r="O39" s="138" t="n">
        <f aca="false">O194+O195</f>
        <v>-7095.36783818482</v>
      </c>
      <c r="P39" s="138" t="n">
        <f aca="false">P194+P195</f>
        <v>-7875.39275806704</v>
      </c>
      <c r="Q39" s="138" t="n">
        <f aca="false">Q194+Q195</f>
        <v>-8655.41767794926</v>
      </c>
      <c r="R39" s="138" t="n">
        <f aca="false">R194+R195</f>
        <v>-9435.44259783148</v>
      </c>
      <c r="S39" s="138" t="n">
        <f aca="false">S194+S195</f>
        <v>-9297.99730542855</v>
      </c>
      <c r="T39" s="138" t="n">
        <f aca="false">T194+T195</f>
        <v>-10995.4924375959</v>
      </c>
      <c r="U39" s="138" t="n">
        <f aca="false">U194+U195</f>
        <v>-11775.5173574781</v>
      </c>
      <c r="V39" s="138" t="n">
        <f aca="false">V194+V195</f>
        <v>-12555.5422773604</v>
      </c>
      <c r="W39" s="138" t="n">
        <f aca="false">W194+W195</f>
        <v>-13335.5671972426</v>
      </c>
      <c r="X39" s="138" t="n">
        <f aca="false">X194+X195</f>
        <v>-13866.0298468282</v>
      </c>
      <c r="Y39" s="138" t="n">
        <f aca="false">Y194+Y195</f>
        <v>-14396.4924964139</v>
      </c>
      <c r="Z39" s="138" t="n">
        <f aca="false">Z194+Z195</f>
        <v>-14827.130237881</v>
      </c>
      <c r="AA39" s="138" t="n">
        <f aca="false">AA194+AA195</f>
        <v>-15252.2454931791</v>
      </c>
      <c r="AB39" s="138" t="n">
        <f aca="false">AB194+AB195</f>
        <v>-15677.3607484772</v>
      </c>
      <c r="AC39" s="138" t="n">
        <f aca="false">AC194+AC195</f>
        <v>-16102.4760037754</v>
      </c>
      <c r="AD39" s="138" t="n">
        <f aca="false">AD194+AD195</f>
        <v>-16527.5912590735</v>
      </c>
      <c r="AE39" s="138" t="n">
        <f aca="false">AE194+AE195</f>
        <v>-15657.4544499691</v>
      </c>
      <c r="AF39" s="138" t="n">
        <f aca="false">AF194+AF195</f>
        <v>-17377.8217696698</v>
      </c>
      <c r="AG39" s="138" t="n">
        <f aca="false">AG194+AG195</f>
        <v>-17802.9370249679</v>
      </c>
      <c r="AH39" s="138" t="n">
        <f aca="false">AH194+AH195</f>
        <v>-18228.052280266</v>
      </c>
      <c r="AI39" s="138" t="n">
        <f aca="false">AI194+AI195</f>
        <v>-18653.1675355642</v>
      </c>
      <c r="AJ39" s="138" t="n">
        <f aca="false">AJ194+AJ195</f>
        <v>-19078.2827908623</v>
      </c>
      <c r="AK39" s="138" t="n">
        <f aca="false">AK194+AK195</f>
        <v>-19503.3980461604</v>
      </c>
      <c r="AL39" s="138" t="n">
        <f aca="false">AL194+AL195</f>
        <v>-19928.5133014586</v>
      </c>
      <c r="AM39" s="138" t="n">
        <f aca="false">AM194+AM195</f>
        <v>-20353.6285567567</v>
      </c>
      <c r="AN39" s="138" t="n">
        <f aca="false">AN194+AN195</f>
        <v>-20778.7438120548</v>
      </c>
      <c r="AO39" s="138" t="n">
        <f aca="false">AO194+AO195</f>
        <v>-21203.859067353</v>
      </c>
      <c r="AP39" s="138" t="n">
        <f aca="false">AP194+AP195</f>
        <v>-21628.9743226511</v>
      </c>
      <c r="AQ39" s="138" t="n">
        <f aca="false">AQ194+AQ195</f>
        <v>-20758.8375135467</v>
      </c>
      <c r="AR39" s="138" t="n">
        <f aca="false">AR194+AR195</f>
        <v>-22479.2048332474</v>
      </c>
      <c r="AS39" s="138" t="n">
        <f aca="false">AS194+AS195</f>
        <v>-22479.2048332474</v>
      </c>
      <c r="AT39" s="138" t="n">
        <f aca="false">AT194+AT195</f>
        <v>-22479.2048332474</v>
      </c>
      <c r="AU39" s="138" t="n">
        <f aca="false">AU194+AU195</f>
        <v>-22479.2048332474</v>
      </c>
      <c r="AV39" s="138" t="n">
        <f aca="false">AV194+AV195</f>
        <v>-22479.2048332474</v>
      </c>
      <c r="AW39" s="138" t="n">
        <f aca="false">AW194+AW195</f>
        <v>-22479.2048332474</v>
      </c>
      <c r="AX39" s="138" t="n">
        <f aca="false">AX194+AX195</f>
        <v>-22479.2048332474</v>
      </c>
      <c r="AY39" s="138" t="n">
        <f aca="false">AY194+AY195</f>
        <v>-22479.2048332474</v>
      </c>
      <c r="AZ39" s="138" t="n">
        <f aca="false">AZ194+AZ195</f>
        <v>-22479.2048332474</v>
      </c>
      <c r="BA39" s="138" t="n">
        <f aca="false">BA194+BA195</f>
        <v>-22479.2048332474</v>
      </c>
      <c r="BB39" s="138" t="n">
        <f aca="false">BB194+BB195</f>
        <v>-22479.2048332474</v>
      </c>
      <c r="BC39" s="138" t="n">
        <f aca="false">BC194+BC195</f>
        <v>-21183.9527688448</v>
      </c>
      <c r="BD39" s="138" t="n">
        <f aca="false">BD194+BD195</f>
        <v>-22479.2048332474</v>
      </c>
      <c r="BE39" s="138" t="n">
        <f aca="false">BE194+BE195</f>
        <v>-22479.2048332474</v>
      </c>
      <c r="BF39" s="138" t="n">
        <f aca="false">BF194+BF195</f>
        <v>-22479.2048332474</v>
      </c>
      <c r="BG39" s="138" t="n">
        <f aca="false">BG194+BG195</f>
        <v>-22479.2048332474</v>
      </c>
      <c r="BH39" s="138" t="n">
        <f aca="false">BH194+BH195</f>
        <v>-22479.2048332474</v>
      </c>
      <c r="BI39" s="138" t="n">
        <f aca="false">BI194+BI195</f>
        <v>-22479.2048332474</v>
      </c>
      <c r="BJ39" s="138" t="n">
        <f aca="false">BJ194+BJ195</f>
        <v>-22479.2048332474</v>
      </c>
      <c r="BK39" s="138" t="n">
        <f aca="false">BK194+BK195</f>
        <v>-22479.2048332474</v>
      </c>
      <c r="BL39" s="138" t="n">
        <f aca="false">BL194+BL195</f>
        <v>-22479.2048332474</v>
      </c>
      <c r="BM39" s="138" t="n">
        <f aca="false">BM194+BM195</f>
        <v>-22479.2048332474</v>
      </c>
      <c r="BN39" s="138" t="n">
        <f aca="false">BN194+BN195</f>
        <v>-22479.2048332474</v>
      </c>
      <c r="BO39" s="138" t="n">
        <f aca="false">BO194+BO195</f>
        <v>-21183.9527688448</v>
      </c>
      <c r="BP39" s="138" t="n">
        <f aca="false">BP194+BP195</f>
        <v>-22479.2048332474</v>
      </c>
      <c r="BQ39" s="138" t="n">
        <f aca="false">BQ194+BQ195</f>
        <v>-22479.2048332474</v>
      </c>
      <c r="BR39" s="138" t="n">
        <f aca="false">BR194+BR195</f>
        <v>-22479.2048332474</v>
      </c>
      <c r="BS39" s="138" t="n">
        <f aca="false">BS194+BS195</f>
        <v>-22479.2048332474</v>
      </c>
      <c r="BT39" s="138" t="n">
        <f aca="false">BT194+BT195</f>
        <v>-22479.2048332474</v>
      </c>
      <c r="BU39" s="138" t="n">
        <f aca="false">BU194+BU195</f>
        <v>-22479.2048332474</v>
      </c>
      <c r="BV39" s="138" t="n">
        <f aca="false">BV194+BV195</f>
        <v>-22479.2048332474</v>
      </c>
      <c r="BW39" s="138" t="n">
        <f aca="false">BW194+BW195</f>
        <v>-22479.2048332474</v>
      </c>
      <c r="BX39" s="138" t="n">
        <f aca="false">BX194+BX195</f>
        <v>-22479.2048332474</v>
      </c>
      <c r="BY39" s="138" t="n">
        <f aca="false">BY194+BY195</f>
        <v>-22479.2048332474</v>
      </c>
      <c r="BZ39" s="138" t="n">
        <f aca="false">BZ194+BZ195</f>
        <v>-22479.2048332474</v>
      </c>
      <c r="CA39" s="138" t="n">
        <f aca="false">CA194+CA195</f>
        <v>-21183.9527688448</v>
      </c>
      <c r="CB39" s="138" t="n">
        <f aca="false">CB194+CB195</f>
        <v>-22479.2048332474</v>
      </c>
      <c r="CC39" s="138" t="n">
        <f aca="false">CC194+CC195</f>
        <v>-22479.2048332474</v>
      </c>
      <c r="CD39" s="138" t="n">
        <f aca="false">CD194+CD195</f>
        <v>-22479.2048332474</v>
      </c>
      <c r="CE39" s="138" t="n">
        <f aca="false">CE194+CE195</f>
        <v>-22479.2048332474</v>
      </c>
      <c r="CF39" s="138" t="n">
        <f aca="false">CF194+CF195</f>
        <v>-22479.2048332474</v>
      </c>
      <c r="CG39" s="138" t="n">
        <f aca="false">CG194+CG195</f>
        <v>-22479.2048332474</v>
      </c>
      <c r="CH39" s="138" t="n">
        <f aca="false">CH194+CH195</f>
        <v>-22479.2048332474</v>
      </c>
    </row>
    <row r="40" customFormat="false" ht="13.5" hidden="false" customHeight="true" outlineLevel="0" collapsed="false">
      <c r="A40" s="64" t="s">
        <v>721</v>
      </c>
      <c r="C40" s="99" t="n">
        <f aca="false">C38+C39</f>
        <v>1889.83379439708</v>
      </c>
      <c r="D40" s="99" t="n">
        <f aca="false">D38+D39</f>
        <v>3835.16385257637</v>
      </c>
      <c r="E40" s="99" t="n">
        <f aca="false">E38+E39</f>
        <v>6646.86230264827</v>
      </c>
      <c r="F40" s="99" t="n">
        <f aca="false">F38+F39</f>
        <v>8665.39079610859</v>
      </c>
      <c r="G40" s="99" t="n">
        <f aca="false">G38+G39</f>
        <v>5967.60171519828</v>
      </c>
      <c r="H40" s="99" t="n">
        <f aca="false">H38+H39</f>
        <v>13065.8561946359</v>
      </c>
      <c r="I40" s="99" t="n">
        <f aca="false">I38+I39</f>
        <v>15587.0619616141</v>
      </c>
      <c r="J40" s="99" t="n">
        <f aca="false">J38+J39</f>
        <v>19616.1744949135</v>
      </c>
      <c r="K40" s="99" t="n">
        <f aca="false">K38+K39</f>
        <v>23645.2870282129</v>
      </c>
      <c r="L40" s="99" t="n">
        <f aca="false">L38+L39</f>
        <v>27674.3995615123</v>
      </c>
      <c r="M40" s="99" t="n">
        <f aca="false">M38+M39</f>
        <v>30837.1437029191</v>
      </c>
      <c r="N40" s="99" t="n">
        <f aca="false">N38+N39</f>
        <v>34631.2005740293</v>
      </c>
      <c r="O40" s="99" t="n">
        <f aca="false">O38+O39</f>
        <v>38425.2574451395</v>
      </c>
      <c r="P40" s="99" t="n">
        <f aca="false">P38+P39</f>
        <v>41973.94846896</v>
      </c>
      <c r="Q40" s="99" t="n">
        <f aca="false">Q38+Q39</f>
        <v>45522.6394927805</v>
      </c>
      <c r="R40" s="99" t="n">
        <f aca="false">R38+R39</f>
        <v>49071.330516601</v>
      </c>
      <c r="S40" s="99" t="n">
        <f aca="false">S38+S39</f>
        <v>36773.2290844208</v>
      </c>
      <c r="T40" s="99" t="n">
        <f aca="false">T38+T39</f>
        <v>56168.7125642419</v>
      </c>
      <c r="U40" s="99" t="n">
        <f aca="false">U38+U39</f>
        <v>59717.4035880624</v>
      </c>
      <c r="V40" s="99" t="n">
        <f aca="false">V38+V39</f>
        <v>63266.0946118829</v>
      </c>
      <c r="W40" s="99" t="n">
        <f aca="false">W38+W39</f>
        <v>66814.7856357034</v>
      </c>
      <c r="X40" s="99" t="n">
        <f aca="false">X38+X39</f>
        <v>69732.1639298204</v>
      </c>
      <c r="Y40" s="99" t="n">
        <f aca="false">Y38+Y39</f>
        <v>72649.5422239374</v>
      </c>
      <c r="Z40" s="99" t="n">
        <f aca="false">Z38+Z39</f>
        <v>75337.8854261731</v>
      </c>
      <c r="AA40" s="99" t="n">
        <f aca="false">AA38+AA39</f>
        <v>77180.8825850101</v>
      </c>
      <c r="AB40" s="99" t="n">
        <f aca="false">AB38+AB39</f>
        <v>79023.8797438471</v>
      </c>
      <c r="AC40" s="99" t="n">
        <f aca="false">AC38+AC39</f>
        <v>80866.8769026841</v>
      </c>
      <c r="AD40" s="99" t="n">
        <f aca="false">AD38+AD39</f>
        <v>82709.8740615211</v>
      </c>
      <c r="AE40" s="99" t="n">
        <f aca="false">AE38+AE39</f>
        <v>62180.9289295336</v>
      </c>
      <c r="AF40" s="99" t="n">
        <f aca="false">AF38+AF39</f>
        <v>86395.8683791951</v>
      </c>
      <c r="AG40" s="99" t="n">
        <f aca="false">AG38+AG39</f>
        <v>88238.8655380321</v>
      </c>
      <c r="AH40" s="99" t="n">
        <f aca="false">AH38+AH39</f>
        <v>90081.8626968691</v>
      </c>
      <c r="AI40" s="99" t="n">
        <f aca="false">AI38+AI39</f>
        <v>91924.8598557061</v>
      </c>
      <c r="AJ40" s="99" t="n">
        <f aca="false">AJ38+AJ39</f>
        <v>93767.8570145431</v>
      </c>
      <c r="AK40" s="99" t="n">
        <f aca="false">AK38+AK39</f>
        <v>95610.8541733801</v>
      </c>
      <c r="AL40" s="99" t="n">
        <f aca="false">AL38+AL39</f>
        <v>97453.8513322171</v>
      </c>
      <c r="AM40" s="99" t="n">
        <f aca="false">AM38+AM39</f>
        <v>99296.8484910541</v>
      </c>
      <c r="AN40" s="99" t="n">
        <f aca="false">AN38+AN39</f>
        <v>101139.845649891</v>
      </c>
      <c r="AO40" s="99" t="n">
        <f aca="false">AO38+AO39</f>
        <v>102982.842808728</v>
      </c>
      <c r="AP40" s="99" t="n">
        <f aca="false">AP38+AP39</f>
        <v>104825.839967565</v>
      </c>
      <c r="AQ40" s="99" t="n">
        <f aca="false">AQ38+AQ39</f>
        <v>84296.8948355777</v>
      </c>
      <c r="AR40" s="99" t="n">
        <f aca="false">AR38+AR39</f>
        <v>108511.834285239</v>
      </c>
      <c r="AS40" s="99" t="n">
        <f aca="false">AS38+AS39</f>
        <v>108511.834285239</v>
      </c>
      <c r="AT40" s="99" t="n">
        <f aca="false">AT38+AT39</f>
        <v>108511.834285239</v>
      </c>
      <c r="AU40" s="99" t="n">
        <f aca="false">AU38+AU39</f>
        <v>108511.834285239</v>
      </c>
      <c r="AV40" s="99" t="n">
        <f aca="false">AV38+AV39</f>
        <v>108511.834285239</v>
      </c>
      <c r="AW40" s="99" t="n">
        <f aca="false">AW38+AW39</f>
        <v>108511.834285239</v>
      </c>
      <c r="AX40" s="99" t="n">
        <f aca="false">AX38+AX39</f>
        <v>108511.834285239</v>
      </c>
      <c r="AY40" s="99" t="n">
        <f aca="false">AY38+AY39</f>
        <v>108511.834285239</v>
      </c>
      <c r="AZ40" s="99" t="n">
        <f aca="false">AZ38+AZ39</f>
        <v>108511.834285239</v>
      </c>
      <c r="BA40" s="99" t="n">
        <f aca="false">BA38+BA39</f>
        <v>108511.834285239</v>
      </c>
      <c r="BB40" s="99" t="n">
        <f aca="false">BB38+BB39</f>
        <v>108511.834285239</v>
      </c>
      <c r="BC40" s="99" t="n">
        <f aca="false">BC38+BC39</f>
        <v>86139.8919944147</v>
      </c>
      <c r="BD40" s="99" t="n">
        <f aca="false">BD38+BD39</f>
        <v>108511.834285239</v>
      </c>
      <c r="BE40" s="99" t="n">
        <f aca="false">BE38+BE39</f>
        <v>108511.834285239</v>
      </c>
      <c r="BF40" s="99" t="n">
        <f aca="false">BF38+BF39</f>
        <v>108511.834285239</v>
      </c>
      <c r="BG40" s="99" t="n">
        <f aca="false">BG38+BG39</f>
        <v>108511.834285239</v>
      </c>
      <c r="BH40" s="99" t="n">
        <f aca="false">BH38+BH39</f>
        <v>108511.834285239</v>
      </c>
      <c r="BI40" s="99" t="n">
        <f aca="false">BI38+BI39</f>
        <v>108511.834285239</v>
      </c>
      <c r="BJ40" s="99" t="n">
        <f aca="false">BJ38+BJ39</f>
        <v>108511.834285239</v>
      </c>
      <c r="BK40" s="99" t="n">
        <f aca="false">BK38+BK39</f>
        <v>108511.834285239</v>
      </c>
      <c r="BL40" s="99" t="n">
        <f aca="false">BL38+BL39</f>
        <v>108511.834285239</v>
      </c>
      <c r="BM40" s="99" t="n">
        <f aca="false">BM38+BM39</f>
        <v>108511.834285239</v>
      </c>
      <c r="BN40" s="99" t="n">
        <f aca="false">BN38+BN39</f>
        <v>108511.834285239</v>
      </c>
      <c r="BO40" s="99" t="n">
        <f aca="false">BO38+BO39</f>
        <v>86139.8919944147</v>
      </c>
      <c r="BP40" s="99" t="n">
        <f aca="false">BP38+BP39</f>
        <v>108511.834285239</v>
      </c>
      <c r="BQ40" s="99" t="n">
        <f aca="false">BQ38+BQ39</f>
        <v>108511.834285239</v>
      </c>
      <c r="BR40" s="99" t="n">
        <f aca="false">BR38+BR39</f>
        <v>108511.834285239</v>
      </c>
      <c r="BS40" s="99" t="n">
        <f aca="false">BS38+BS39</f>
        <v>108511.834285239</v>
      </c>
      <c r="BT40" s="99" t="n">
        <f aca="false">BT38+BT39</f>
        <v>108511.834285239</v>
      </c>
      <c r="BU40" s="99" t="n">
        <f aca="false">BU38+BU39</f>
        <v>108511.834285239</v>
      </c>
      <c r="BV40" s="99" t="n">
        <f aca="false">BV38+BV39</f>
        <v>108511.834285239</v>
      </c>
      <c r="BW40" s="99" t="n">
        <f aca="false">BW38+BW39</f>
        <v>108511.834285239</v>
      </c>
      <c r="BX40" s="99" t="n">
        <f aca="false">BX38+BX39</f>
        <v>108511.834285239</v>
      </c>
      <c r="BY40" s="99" t="n">
        <f aca="false">BY38+BY39</f>
        <v>108511.834285239</v>
      </c>
      <c r="BZ40" s="99" t="n">
        <f aca="false">BZ38+BZ39</f>
        <v>108511.834285239</v>
      </c>
      <c r="CA40" s="99" t="n">
        <f aca="false">CA38+CA39</f>
        <v>86139.8919944147</v>
      </c>
      <c r="CB40" s="99" t="n">
        <f aca="false">CB38+CB39</f>
        <v>108511.834285239</v>
      </c>
      <c r="CC40" s="99" t="n">
        <f aca="false">CC38+CC39</f>
        <v>108511.834285239</v>
      </c>
      <c r="CD40" s="99" t="n">
        <f aca="false">CD38+CD39</f>
        <v>108511.834285239</v>
      </c>
      <c r="CE40" s="99" t="n">
        <f aca="false">CE38+CE39</f>
        <v>108511.834285239</v>
      </c>
      <c r="CF40" s="99" t="n">
        <f aca="false">CF38+CF39</f>
        <v>108511.834285239</v>
      </c>
      <c r="CG40" s="99" t="n">
        <f aca="false">CG38+CG39</f>
        <v>108511.834285239</v>
      </c>
      <c r="CH40" s="99" t="n">
        <f aca="false">CH38+CH39</f>
        <v>108511.834285239</v>
      </c>
    </row>
    <row r="41" customFormat="false" ht="13.5" hidden="false" customHeight="true" outlineLevel="0" collapsed="false">
      <c r="A41" s="13" t="s">
        <v>722</v>
      </c>
      <c r="C41" s="151" t="n">
        <f aca="false">IFERROR(C40/C38,0)</f>
        <v>0.904240070831567</v>
      </c>
      <c r="D41" s="151" t="n">
        <f aca="false">IFERROR(D40/D38,0)</f>
        <v>0.902304836925486</v>
      </c>
      <c r="E41" s="151" t="n">
        <f aca="false">IFERROR(E40/E38,0)</f>
        <v>0.887151307803591</v>
      </c>
      <c r="F41" s="151" t="n">
        <f aca="false">IFERROR(F40/F38,0)</f>
        <v>0.88381669334986</v>
      </c>
      <c r="G41" s="151" t="n">
        <f aca="false">IFERROR(G40/G38,0)</f>
        <v>0.838673873106984</v>
      </c>
      <c r="H41" s="151" t="n">
        <f aca="false">IFERROR(H40/H38,0)</f>
        <v>0.87491621747475</v>
      </c>
      <c r="I41" s="151" t="n">
        <f aca="false">IFERROR(I40/I38,0)</f>
        <v>0.869591311491138</v>
      </c>
      <c r="J41" s="151" t="n">
        <f aca="false">IFERROR(J40/J38,0)</f>
        <v>0.861452043162953</v>
      </c>
      <c r="K41" s="151" t="n">
        <f aca="false">IFERROR(K40/K38,0)</f>
        <v>0.856169420888037</v>
      </c>
      <c r="L41" s="151" t="n">
        <f aca="false">IFERROR(L40/L38,0)</f>
        <v>0.852464058919597</v>
      </c>
      <c r="M41" s="151" t="n">
        <f aca="false">IFERROR(M40/M38,0)</f>
        <v>0.851173779550998</v>
      </c>
      <c r="N41" s="151" t="n">
        <f aca="false">IFERROR(N40/N38,0)</f>
        <v>0.847250760120885</v>
      </c>
      <c r="O41" s="151" t="n">
        <f aca="false">IFERROR(O40/O38,0)</f>
        <v>0.844128506714865</v>
      </c>
      <c r="P41" s="151" t="n">
        <f aca="false">IFERROR(P40/P38,0)</f>
        <v>0.842016111663333</v>
      </c>
      <c r="Q41" s="151" t="n">
        <f aca="false">IFERROR(Q40/Q38,0)</f>
        <v>0.840241268698992</v>
      </c>
      <c r="R41" s="151" t="n">
        <f aca="false">IFERROR(R40/R38,0)</f>
        <v>0.838729054850165</v>
      </c>
      <c r="S41" s="151" t="n">
        <f aca="false">IFERROR(S40/S38,0)</f>
        <v>0.798182118558122</v>
      </c>
      <c r="T41" s="151" t="n">
        <f aca="false">IFERROR(T40/T38,0)</f>
        <v>0.836289397942028</v>
      </c>
      <c r="U41" s="151" t="n">
        <f aca="false">IFERROR(U40/U38,0)</f>
        <v>0.835291142091563</v>
      </c>
      <c r="V41" s="151" t="n">
        <f aca="false">IFERROR(V40/V38,0)</f>
        <v>0.834406868639608</v>
      </c>
      <c r="W41" s="151" t="n">
        <f aca="false">IFERROR(W40/W38,0)</f>
        <v>0.833618109891078</v>
      </c>
      <c r="X41" s="151" t="n">
        <f aca="false">IFERROR(X40/X38,0)</f>
        <v>0.834134815354092</v>
      </c>
      <c r="Y41" s="151" t="n">
        <f aca="false">IFERROR(Y40/Y38,0)</f>
        <v>0.834610588033506</v>
      </c>
      <c r="Z41" s="151" t="n">
        <f aca="false">IFERROR(Z40/Z38,0)</f>
        <v>0.835555618454885</v>
      </c>
      <c r="AA41" s="151" t="n">
        <f aca="false">IFERROR(AA40/AA38,0)</f>
        <v>0.834991568387935</v>
      </c>
      <c r="AB41" s="151" t="n">
        <f aca="false">IFERROR(AB40/AB38,0)</f>
        <v>0.83445453653009</v>
      </c>
      <c r="AC41" s="151" t="n">
        <f aca="false">IFERROR(AC40/AC38,0)</f>
        <v>0.833942627014244</v>
      </c>
      <c r="AD41" s="151" t="n">
        <f aca="false">IFERROR(AD40/AD38,0)</f>
        <v>0.833454117296529</v>
      </c>
      <c r="AE41" s="151" t="n">
        <f aca="false">IFERROR(AE40/AE38,0)</f>
        <v>0.798846613069662</v>
      </c>
      <c r="AF41" s="151" t="n">
        <f aca="false">IFERROR(AF40/AF38,0)</f>
        <v>0.832541160049903</v>
      </c>
      <c r="AG41" s="151" t="n">
        <f aca="false">IFERROR(AG40/AG38,0)</f>
        <v>0.832113972087648</v>
      </c>
      <c r="AH41" s="151" t="n">
        <f aca="false">IFERROR(AH40/AH38,0)</f>
        <v>0.831704675568122</v>
      </c>
      <c r="AI41" s="151" t="n">
        <f aca="false">IFERROR(AI40/AI38,0)</f>
        <v>0.831312169554611</v>
      </c>
      <c r="AJ41" s="151" t="n">
        <f aca="false">IFERROR(AJ40/AJ38,0)</f>
        <v>0.830935441622005</v>
      </c>
      <c r="AK41" s="151" t="n">
        <f aca="false">IFERROR(AK40/AK38,0)</f>
        <v>0.830573559137018</v>
      </c>
      <c r="AL41" s="151" t="n">
        <f aca="false">IFERROR(AL40/AL38,0)</f>
        <v>0.830225661549322</v>
      </c>
      <c r="AM41" s="151" t="n">
        <f aca="false">IFERROR(AM40/AM38,0)</f>
        <v>0.829890953559478</v>
      </c>
      <c r="AN41" s="151" t="n">
        <f aca="false">IFERROR(AN40/AN38,0)</f>
        <v>0.829568699049455</v>
      </c>
      <c r="AO41" s="151" t="n">
        <f aca="false">IFERROR(AO40/AO38,0)</f>
        <v>0.829258215678269</v>
      </c>
      <c r="AP41" s="151" t="n">
        <f aca="false">IFERROR(AP40/AP38,0)</f>
        <v>0.828958870059212</v>
      </c>
      <c r="AQ41" s="151" t="n">
        <f aca="false">IFERROR(AQ40/AQ38,0)</f>
        <v>0.802401667673304</v>
      </c>
      <c r="AR41" s="151" t="n">
        <f aca="false">IFERROR(AR40/AR38,0)</f>
        <v>0.828391277872725</v>
      </c>
      <c r="AS41" s="151" t="n">
        <f aca="false">IFERROR(AS40/AS38,0)</f>
        <v>0.828391277872725</v>
      </c>
      <c r="AT41" s="151" t="n">
        <f aca="false">IFERROR(AT40/AT38,0)</f>
        <v>0.828391277872725</v>
      </c>
      <c r="AU41" s="151" t="n">
        <f aca="false">IFERROR(AU40/AU38,0)</f>
        <v>0.828391277872725</v>
      </c>
      <c r="AV41" s="151" t="n">
        <f aca="false">IFERROR(AV40/AV38,0)</f>
        <v>0.828391277872725</v>
      </c>
      <c r="AW41" s="151" t="n">
        <f aca="false">IFERROR(AW40/AW38,0)</f>
        <v>0.828391277872725</v>
      </c>
      <c r="AX41" s="151" t="n">
        <f aca="false">IFERROR(AX40/AX38,0)</f>
        <v>0.828391277872725</v>
      </c>
      <c r="AY41" s="151" t="n">
        <f aca="false">IFERROR(AY40/AY38,0)</f>
        <v>0.828391277872725</v>
      </c>
      <c r="AZ41" s="151" t="n">
        <f aca="false">IFERROR(AZ40/AZ38,0)</f>
        <v>0.828391277872725</v>
      </c>
      <c r="BA41" s="151" t="n">
        <f aca="false">IFERROR(BA40/BA38,0)</f>
        <v>0.828391277872725</v>
      </c>
      <c r="BB41" s="151" t="n">
        <f aca="false">IFERROR(BB40/BB38,0)</f>
        <v>0.828391277872725</v>
      </c>
      <c r="BC41" s="151" t="n">
        <f aca="false">IFERROR(BC40/BC38,0)</f>
        <v>0.802616531157885</v>
      </c>
      <c r="BD41" s="151" t="n">
        <f aca="false">IFERROR(BD40/BD38,0)</f>
        <v>0.828391277872725</v>
      </c>
      <c r="BE41" s="151" t="n">
        <f aca="false">IFERROR(BE40/BE38,0)</f>
        <v>0.828391277872725</v>
      </c>
      <c r="BF41" s="151" t="n">
        <f aca="false">IFERROR(BF40/BF38,0)</f>
        <v>0.828391277872725</v>
      </c>
      <c r="BG41" s="151" t="n">
        <f aca="false">IFERROR(BG40/BG38,0)</f>
        <v>0.828391277872725</v>
      </c>
      <c r="BH41" s="151" t="n">
        <f aca="false">IFERROR(BH40/BH38,0)</f>
        <v>0.828391277872725</v>
      </c>
      <c r="BI41" s="151" t="n">
        <f aca="false">IFERROR(BI40/BI38,0)</f>
        <v>0.828391277872725</v>
      </c>
      <c r="BJ41" s="151" t="n">
        <f aca="false">IFERROR(BJ40/BJ38,0)</f>
        <v>0.828391277872725</v>
      </c>
      <c r="BK41" s="151" t="n">
        <f aca="false">IFERROR(BK40/BK38,0)</f>
        <v>0.828391277872725</v>
      </c>
      <c r="BL41" s="151" t="n">
        <f aca="false">IFERROR(BL40/BL38,0)</f>
        <v>0.828391277872725</v>
      </c>
      <c r="BM41" s="151" t="n">
        <f aca="false">IFERROR(BM40/BM38,0)</f>
        <v>0.828391277872725</v>
      </c>
      <c r="BN41" s="151" t="n">
        <f aca="false">IFERROR(BN40/BN38,0)</f>
        <v>0.828391277872725</v>
      </c>
      <c r="BO41" s="151" t="n">
        <f aca="false">IFERROR(BO40/BO38,0)</f>
        <v>0.802616531157885</v>
      </c>
      <c r="BP41" s="151" t="n">
        <f aca="false">IFERROR(BP40/BP38,0)</f>
        <v>0.828391277872725</v>
      </c>
      <c r="BQ41" s="151" t="n">
        <f aca="false">IFERROR(BQ40/BQ38,0)</f>
        <v>0.828391277872725</v>
      </c>
      <c r="BR41" s="151" t="n">
        <f aca="false">IFERROR(BR40/BR38,0)</f>
        <v>0.828391277872725</v>
      </c>
      <c r="BS41" s="151" t="n">
        <f aca="false">IFERROR(BS40/BS38,0)</f>
        <v>0.828391277872725</v>
      </c>
      <c r="BT41" s="151" t="n">
        <f aca="false">IFERROR(BT40/BT38,0)</f>
        <v>0.828391277872725</v>
      </c>
      <c r="BU41" s="151" t="n">
        <f aca="false">IFERROR(BU40/BU38,0)</f>
        <v>0.828391277872725</v>
      </c>
      <c r="BV41" s="151" t="n">
        <f aca="false">IFERROR(BV40/BV38,0)</f>
        <v>0.828391277872725</v>
      </c>
      <c r="BW41" s="151" t="n">
        <f aca="false">IFERROR(BW40/BW38,0)</f>
        <v>0.828391277872725</v>
      </c>
      <c r="BX41" s="151" t="n">
        <f aca="false">IFERROR(BX40/BX38,0)</f>
        <v>0.828391277872725</v>
      </c>
      <c r="BY41" s="151" t="n">
        <f aca="false">IFERROR(BY40/BY38,0)</f>
        <v>0.828391277872725</v>
      </c>
      <c r="BZ41" s="151" t="n">
        <f aca="false">IFERROR(BZ40/BZ38,0)</f>
        <v>0.828391277872725</v>
      </c>
      <c r="CA41" s="151" t="n">
        <f aca="false">IFERROR(CA40/CA38,0)</f>
        <v>0.802616531157885</v>
      </c>
      <c r="CB41" s="151" t="n">
        <f aca="false">IFERROR(CB40/CB38,0)</f>
        <v>0.828391277872725</v>
      </c>
      <c r="CC41" s="151" t="n">
        <f aca="false">IFERROR(CC40/CC38,0)</f>
        <v>0.828391277872725</v>
      </c>
      <c r="CD41" s="151" t="n">
        <f aca="false">IFERROR(CD40/CD38,0)</f>
        <v>0.828391277872725</v>
      </c>
      <c r="CE41" s="151" t="n">
        <f aca="false">IFERROR(CE40/CE38,0)</f>
        <v>0.828391277872725</v>
      </c>
      <c r="CF41" s="151" t="n">
        <f aca="false">IFERROR(CF40/CF38,0)</f>
        <v>0.828391277872725</v>
      </c>
      <c r="CG41" s="151" t="n">
        <f aca="false">IFERROR(CG40/CG38,0)</f>
        <v>0.828391277872725</v>
      </c>
      <c r="CH41" s="151" t="n">
        <f aca="false">IFERROR(CH40/CH38,0)</f>
        <v>0.828391277872725</v>
      </c>
    </row>
    <row r="42" customFormat="false" ht="13.5" hidden="false" customHeight="true" outlineLevel="0" collapsed="false">
      <c r="A42" s="13" t="s">
        <v>723</v>
      </c>
      <c r="C42" s="138" t="n">
        <f aca="false">-Hipótesis!$F$36</f>
        <v>-2000</v>
      </c>
      <c r="D42" s="138" t="n">
        <f aca="false">-Hipótesis!$F$36</f>
        <v>-2000</v>
      </c>
      <c r="E42" s="138" t="n">
        <f aca="false">-Hipótesis!$F$36</f>
        <v>-2000</v>
      </c>
      <c r="F42" s="138" t="n">
        <f aca="false">-Hipótesis!$F$36</f>
        <v>-2000</v>
      </c>
      <c r="G42" s="138" t="n">
        <f aca="false">-Hipótesis!$F$36</f>
        <v>-2000</v>
      </c>
      <c r="H42" s="138" t="n">
        <f aca="false">-Hipótesis!$F$36</f>
        <v>-2000</v>
      </c>
      <c r="I42" s="138" t="n">
        <f aca="false">-Hipótesis!$F$36</f>
        <v>-2000</v>
      </c>
      <c r="J42" s="138" t="n">
        <f aca="false">-Hipótesis!$F$36</f>
        <v>-2000</v>
      </c>
      <c r="K42" s="138" t="n">
        <f aca="false">-Hipótesis!$F$36</f>
        <v>-2000</v>
      </c>
      <c r="L42" s="138" t="n">
        <f aca="false">-Hipótesis!$F$36</f>
        <v>-2000</v>
      </c>
      <c r="M42" s="138" t="n">
        <f aca="false">-Hipótesis!$F$36</f>
        <v>-2000</v>
      </c>
      <c r="N42" s="138" t="n">
        <f aca="false">-Hipótesis!$F$36</f>
        <v>-2000</v>
      </c>
      <c r="O42" s="138" t="n">
        <f aca="false">-Hipótesis!$F$36</f>
        <v>-2000</v>
      </c>
      <c r="P42" s="138" t="n">
        <f aca="false">-Hipótesis!$F$36</f>
        <v>-2000</v>
      </c>
      <c r="Q42" s="138" t="n">
        <f aca="false">-Hipótesis!$F$36</f>
        <v>-2000</v>
      </c>
      <c r="R42" s="138" t="n">
        <f aca="false">-Hipótesis!$F$36</f>
        <v>-2000</v>
      </c>
      <c r="S42" s="138" t="n">
        <f aca="false">-Hipótesis!$F$36</f>
        <v>-2000</v>
      </c>
      <c r="T42" s="138" t="n">
        <f aca="false">-Hipótesis!$F$36</f>
        <v>-2000</v>
      </c>
      <c r="U42" s="138" t="n">
        <f aca="false">-Hipótesis!$F$36</f>
        <v>-2000</v>
      </c>
      <c r="V42" s="138" t="n">
        <f aca="false">-Hipótesis!$F$36</f>
        <v>-2000</v>
      </c>
      <c r="W42" s="138" t="n">
        <f aca="false">-Hipótesis!$F$36</f>
        <v>-2000</v>
      </c>
      <c r="X42" s="138" t="n">
        <f aca="false">-Hipótesis!$F$36</f>
        <v>-2000</v>
      </c>
      <c r="Y42" s="138" t="n">
        <f aca="false">-Hipótesis!$F$36</f>
        <v>-2000</v>
      </c>
      <c r="Z42" s="138" t="n">
        <f aca="false">-Hipótesis!$F$36</f>
        <v>-2000</v>
      </c>
      <c r="AA42" s="138" t="n">
        <f aca="false">-Hipótesis!$F$36</f>
        <v>-2000</v>
      </c>
      <c r="AB42" s="138" t="n">
        <f aca="false">-Hipótesis!$F$36</f>
        <v>-2000</v>
      </c>
      <c r="AC42" s="138" t="n">
        <f aca="false">-Hipótesis!$F$36</f>
        <v>-2000</v>
      </c>
      <c r="AD42" s="138" t="n">
        <f aca="false">-Hipótesis!$F$36</f>
        <v>-2000</v>
      </c>
      <c r="AE42" s="138" t="n">
        <f aca="false">-Hipótesis!$F$36</f>
        <v>-2000</v>
      </c>
      <c r="AF42" s="138" t="n">
        <f aca="false">-Hipótesis!$F$36</f>
        <v>-2000</v>
      </c>
      <c r="AG42" s="138" t="n">
        <f aca="false">-Hipótesis!$F$36</f>
        <v>-2000</v>
      </c>
      <c r="AH42" s="138" t="n">
        <f aca="false">-Hipótesis!$F$36</f>
        <v>-2000</v>
      </c>
      <c r="AI42" s="138" t="n">
        <f aca="false">-Hipótesis!$F$36</f>
        <v>-2000</v>
      </c>
      <c r="AJ42" s="138" t="n">
        <f aca="false">-Hipótesis!$F$36</f>
        <v>-2000</v>
      </c>
      <c r="AK42" s="138" t="n">
        <f aca="false">-Hipótesis!$F$36</f>
        <v>-2000</v>
      </c>
      <c r="AL42" s="138" t="n">
        <f aca="false">-Hipótesis!$F$36</f>
        <v>-2000</v>
      </c>
      <c r="AM42" s="138" t="n">
        <f aca="false">-Hipótesis!$F$36</f>
        <v>-2000</v>
      </c>
      <c r="AN42" s="138" t="n">
        <f aca="false">-Hipótesis!$F$36</f>
        <v>-2000</v>
      </c>
      <c r="AO42" s="138" t="n">
        <f aca="false">-Hipótesis!$F$36</f>
        <v>-2000</v>
      </c>
      <c r="AP42" s="138" t="n">
        <f aca="false">-Hipótesis!$F$36</f>
        <v>-2000</v>
      </c>
      <c r="AQ42" s="138" t="n">
        <f aca="false">-Hipótesis!$F$36</f>
        <v>-2000</v>
      </c>
      <c r="AR42" s="138" t="n">
        <f aca="false">-Hipótesis!$F$36</f>
        <v>-2000</v>
      </c>
      <c r="AS42" s="138" t="n">
        <f aca="false">-Hipótesis!$F$36</f>
        <v>-2000</v>
      </c>
      <c r="AT42" s="138" t="n">
        <f aca="false">-Hipótesis!$F$36</f>
        <v>-2000</v>
      </c>
      <c r="AU42" s="138" t="n">
        <f aca="false">-Hipótesis!$F$36</f>
        <v>-2000</v>
      </c>
      <c r="AV42" s="138" t="n">
        <f aca="false">-Hipótesis!$F$36</f>
        <v>-2000</v>
      </c>
      <c r="AW42" s="138" t="n">
        <f aca="false">-Hipótesis!$F$36</f>
        <v>-2000</v>
      </c>
      <c r="AX42" s="138" t="n">
        <f aca="false">-Hipótesis!$F$36</f>
        <v>-2000</v>
      </c>
      <c r="AY42" s="138" t="n">
        <f aca="false">-Hipótesis!$F$36</f>
        <v>-2000</v>
      </c>
      <c r="AZ42" s="138" t="n">
        <f aca="false">-Hipótesis!$F$36</f>
        <v>-2000</v>
      </c>
      <c r="BA42" s="138" t="n">
        <f aca="false">-Hipótesis!$F$36</f>
        <v>-2000</v>
      </c>
      <c r="BB42" s="138" t="n">
        <f aca="false">-Hipótesis!$F$36</f>
        <v>-2000</v>
      </c>
      <c r="BC42" s="138" t="n">
        <f aca="false">-Hipótesis!$F$36</f>
        <v>-2000</v>
      </c>
      <c r="BD42" s="138" t="n">
        <f aca="false">-Hipótesis!$F$36</f>
        <v>-2000</v>
      </c>
      <c r="BE42" s="138" t="n">
        <f aca="false">-Hipótesis!$F$36</f>
        <v>-2000</v>
      </c>
      <c r="BF42" s="138" t="n">
        <f aca="false">-Hipótesis!$F$36</f>
        <v>-2000</v>
      </c>
      <c r="BG42" s="138" t="n">
        <f aca="false">-Hipótesis!$F$36</f>
        <v>-2000</v>
      </c>
      <c r="BH42" s="138" t="n">
        <f aca="false">-Hipótesis!$F$36</f>
        <v>-2000</v>
      </c>
      <c r="BI42" s="138" t="n">
        <f aca="false">-Hipótesis!$F$36</f>
        <v>-2000</v>
      </c>
      <c r="BJ42" s="138" t="n">
        <f aca="false">-Hipótesis!$F$36</f>
        <v>-2000</v>
      </c>
      <c r="BK42" s="138" t="n">
        <f aca="false">-Hipótesis!$F$36</f>
        <v>-2000</v>
      </c>
      <c r="BL42" s="138" t="n">
        <f aca="false">-Hipótesis!$F$36</f>
        <v>-2000</v>
      </c>
      <c r="BM42" s="138" t="n">
        <f aca="false">-Hipótesis!$F$36</f>
        <v>-2000</v>
      </c>
      <c r="BN42" s="138" t="n">
        <f aca="false">-Hipótesis!$F$36</f>
        <v>-2000</v>
      </c>
      <c r="BO42" s="138" t="n">
        <f aca="false">-Hipótesis!$F$36</f>
        <v>-2000</v>
      </c>
      <c r="BP42" s="138" t="n">
        <f aca="false">-Hipótesis!$F$36</f>
        <v>-2000</v>
      </c>
      <c r="BQ42" s="138" t="n">
        <f aca="false">-Hipótesis!$F$36</f>
        <v>-2000</v>
      </c>
      <c r="BR42" s="138" t="n">
        <f aca="false">-Hipótesis!$F$36</f>
        <v>-2000</v>
      </c>
      <c r="BS42" s="138" t="n">
        <f aca="false">-Hipótesis!$F$36</f>
        <v>-2000</v>
      </c>
      <c r="BT42" s="138" t="n">
        <f aca="false">-Hipótesis!$F$36</f>
        <v>-2000</v>
      </c>
      <c r="BU42" s="138" t="n">
        <f aca="false">-Hipótesis!$F$36</f>
        <v>-2000</v>
      </c>
      <c r="BV42" s="138" t="n">
        <f aca="false">-Hipótesis!$F$36</f>
        <v>-2000</v>
      </c>
      <c r="BW42" s="138" t="n">
        <f aca="false">-Hipótesis!$F$36</f>
        <v>-2000</v>
      </c>
      <c r="BX42" s="138" t="n">
        <f aca="false">-Hipótesis!$F$36</f>
        <v>-2000</v>
      </c>
      <c r="BY42" s="138" t="n">
        <f aca="false">-Hipótesis!$F$36</f>
        <v>-2000</v>
      </c>
      <c r="BZ42" s="138" t="n">
        <f aca="false">-Hipótesis!$F$36</f>
        <v>-2000</v>
      </c>
      <c r="CA42" s="138" t="n">
        <f aca="false">-Hipótesis!$F$36</f>
        <v>-2000</v>
      </c>
      <c r="CB42" s="138" t="n">
        <f aca="false">-Hipótesis!$F$36</f>
        <v>-2000</v>
      </c>
      <c r="CC42" s="138" t="n">
        <f aca="false">-Hipótesis!$F$36</f>
        <v>-2000</v>
      </c>
      <c r="CD42" s="138" t="n">
        <f aca="false">-Hipótesis!$F$36</f>
        <v>-2000</v>
      </c>
      <c r="CE42" s="138" t="n">
        <f aca="false">-Hipótesis!$F$36</f>
        <v>-2000</v>
      </c>
      <c r="CF42" s="138" t="n">
        <f aca="false">-Hipótesis!$F$36</f>
        <v>-2000</v>
      </c>
      <c r="CG42" s="138" t="n">
        <f aca="false">-Hipótesis!$F$36</f>
        <v>-2000</v>
      </c>
      <c r="CH42" s="138" t="n">
        <f aca="false">-Hipótesis!$F$36</f>
        <v>-2000</v>
      </c>
    </row>
    <row r="43" customFormat="false" ht="13.5" hidden="false" customHeight="true" outlineLevel="0" collapsed="false">
      <c r="A43" s="13" t="s">
        <v>724</v>
      </c>
      <c r="C43" s="138" t="n">
        <f aca="false">-(Hipótesis!$F$37+C24*Hipótesis!$F$38)</f>
        <v>-1024.39809883848</v>
      </c>
      <c r="D43" s="138" t="n">
        <f aca="false">-(Hipótesis!$F$37+D24*Hipótesis!$F$38)</f>
        <v>-1049.82325998118</v>
      </c>
      <c r="E43" s="138" t="n">
        <f aca="false">-(Hipótesis!$F$37+E24*Hipótesis!$F$38)</f>
        <v>-1092.12494842365</v>
      </c>
      <c r="F43" s="138" t="n">
        <f aca="false">-(Hipótesis!$F$37+F24*Hipótesis!$F$38)</f>
        <v>-1113.32853802764</v>
      </c>
      <c r="G43" s="138" t="n">
        <f aca="false">-(Hipótesis!$F$37+G24*Hipótesis!$F$38)</f>
        <v>-1119.48006532741</v>
      </c>
      <c r="H43" s="138" t="n">
        <f aca="false">-(Hipótesis!$F$37+H24*Hipótesis!$F$38)</f>
        <v>-1165.45001486295</v>
      </c>
      <c r="I43" s="138" t="n">
        <f aca="false">-(Hipótesis!$F$37+I24*Hipótesis!$F$38)</f>
        <v>-1198.49496439848</v>
      </c>
      <c r="J43" s="138" t="n">
        <f aca="false">-(Hipótesis!$F$37+J24*Hipótesis!$F$38)</f>
        <v>-1251.33991393402</v>
      </c>
      <c r="K43" s="138" t="n">
        <f aca="false">-(Hipótesis!$F$37+K24*Hipótesis!$F$38)</f>
        <v>-1304.18486346955</v>
      </c>
      <c r="L43" s="138" t="n">
        <f aca="false">-(Hipótesis!$F$37+L24*Hipótesis!$F$38)</f>
        <v>-1357.02981300508</v>
      </c>
      <c r="M43" s="138" t="n">
        <f aca="false">-(Hipótesis!$F$37+M24*Hipótesis!$F$38)</f>
        <v>-1392.99823524084</v>
      </c>
      <c r="N43" s="138" t="n">
        <f aca="false">-(Hipótesis!$F$37+N24*Hipótesis!$F$38)</f>
        <v>-1446.08436254679</v>
      </c>
      <c r="O43" s="138" t="n">
        <f aca="false">-(Hipótesis!$F$37+O24*Hipótesis!$F$38)</f>
        <v>-1499.17048985275</v>
      </c>
      <c r="P43" s="138" t="n">
        <f aca="false">-(Hipótesis!$F$37+P24*Hipótesis!$F$38)</f>
        <v>-1547.33527695102</v>
      </c>
      <c r="Q43" s="138" t="n">
        <f aca="false">-(Hipótesis!$F$37+Q24*Hipótesis!$F$38)</f>
        <v>-1595.50006404929</v>
      </c>
      <c r="R43" s="138" t="n">
        <f aca="false">-(Hipótesis!$F$37+R24*Hipótesis!$F$38)</f>
        <v>-1643.66485114756</v>
      </c>
      <c r="S43" s="138" t="n">
        <f aca="false">-(Hipótesis!$F$37+S24*Hipótesis!$F$38)</f>
        <v>-1644.14463824583</v>
      </c>
      <c r="T43" s="138" t="n">
        <f aca="false">-(Hipótesis!$F$37+T24*Hipótesis!$F$38)</f>
        <v>-1739.9944253441</v>
      </c>
      <c r="U43" s="138" t="n">
        <f aca="false">-(Hipótesis!$F$37+U24*Hipótesis!$F$38)</f>
        <v>-1788.15921244237</v>
      </c>
      <c r="V43" s="138" t="n">
        <f aca="false">-(Hipótesis!$F$37+V24*Hipótesis!$F$38)</f>
        <v>-1836.32399954064</v>
      </c>
      <c r="W43" s="138" t="n">
        <f aca="false">-(Hipótesis!$F$37+W24*Hipótesis!$F$38)</f>
        <v>-1884.48878663892</v>
      </c>
      <c r="X43" s="138" t="n">
        <f aca="false">-(Hipótesis!$F$37+X24*Hipótesis!$F$38)</f>
        <v>-1915.53586866699</v>
      </c>
      <c r="Y43" s="138" t="n">
        <f aca="false">-(Hipótesis!$F$37+Y24*Hipótesis!$F$38)</f>
        <v>-1946.58295069507</v>
      </c>
      <c r="Z43" s="138" t="n">
        <f aca="false">-(Hipótesis!$F$37+Z24*Hipótesis!$F$38)</f>
        <v>-1970.78295069507</v>
      </c>
      <c r="AA43" s="138" t="n">
        <f aca="false">-(Hipótesis!$F$37+AA24*Hipótesis!$F$38)</f>
        <v>-1994.98295069507</v>
      </c>
      <c r="AB43" s="138" t="n">
        <f aca="false">-(Hipótesis!$F$37+AB24*Hipótesis!$F$38)</f>
        <v>-2019.18295069507</v>
      </c>
      <c r="AC43" s="138" t="n">
        <f aca="false">-(Hipótesis!$F$37+AC24*Hipótesis!$F$38)</f>
        <v>-2043.38295069507</v>
      </c>
      <c r="AD43" s="138" t="n">
        <f aca="false">-(Hipótesis!$F$37+AD24*Hipótesis!$F$38)</f>
        <v>-2067.58295069507</v>
      </c>
      <c r="AE43" s="138" t="n">
        <f aca="false">-(Hipótesis!$F$37+AE24*Hipótesis!$F$38)</f>
        <v>-2024.46295069507</v>
      </c>
      <c r="AF43" s="138" t="n">
        <f aca="false">-(Hipótesis!$F$37+AF24*Hipótesis!$F$38)</f>
        <v>-2115.98295069507</v>
      </c>
      <c r="AG43" s="138" t="n">
        <f aca="false">-(Hipótesis!$F$37+AG24*Hipótesis!$F$38)</f>
        <v>-2140.18295069507</v>
      </c>
      <c r="AH43" s="138" t="n">
        <f aca="false">-(Hipótesis!$F$37+AH24*Hipótesis!$F$38)</f>
        <v>-2164.38295069507</v>
      </c>
      <c r="AI43" s="138" t="n">
        <f aca="false">-(Hipótesis!$F$37+AI24*Hipótesis!$F$38)</f>
        <v>-2188.58295069507</v>
      </c>
      <c r="AJ43" s="138" t="n">
        <f aca="false">-(Hipótesis!$F$37+AJ24*Hipótesis!$F$38)</f>
        <v>-2212.78295069507</v>
      </c>
      <c r="AK43" s="138" t="n">
        <f aca="false">-(Hipótesis!$F$37+AK24*Hipótesis!$F$38)</f>
        <v>-2236.98295069507</v>
      </c>
      <c r="AL43" s="138" t="n">
        <f aca="false">-(Hipótesis!$F$37+AL24*Hipótesis!$F$38)</f>
        <v>-2261.18295069507</v>
      </c>
      <c r="AM43" s="138" t="n">
        <f aca="false">-(Hipótesis!$F$37+AM24*Hipótesis!$F$38)</f>
        <v>-2285.38295069507</v>
      </c>
      <c r="AN43" s="138" t="n">
        <f aca="false">-(Hipótesis!$F$37+AN24*Hipótesis!$F$38)</f>
        <v>-2309.58295069507</v>
      </c>
      <c r="AO43" s="138" t="n">
        <f aca="false">-(Hipótesis!$F$37+AO24*Hipótesis!$F$38)</f>
        <v>-2333.78295069507</v>
      </c>
      <c r="AP43" s="138" t="n">
        <f aca="false">-(Hipótesis!$F$37+AP24*Hipótesis!$F$38)</f>
        <v>-2357.98295069507</v>
      </c>
      <c r="AQ43" s="138" t="n">
        <f aca="false">-(Hipótesis!$F$37+AQ24*Hipótesis!$F$38)</f>
        <v>-2314.86295069507</v>
      </c>
      <c r="AR43" s="138" t="n">
        <f aca="false">-(Hipótesis!$F$37+AR24*Hipótesis!$F$38)</f>
        <v>-2406.38295069507</v>
      </c>
      <c r="AS43" s="138" t="n">
        <f aca="false">-(Hipótesis!$F$37+AS24*Hipótesis!$F$38)</f>
        <v>-2406.38295069507</v>
      </c>
      <c r="AT43" s="138" t="n">
        <f aca="false">-(Hipótesis!$F$37+AT24*Hipótesis!$F$38)</f>
        <v>-2406.38295069507</v>
      </c>
      <c r="AU43" s="138" t="n">
        <f aca="false">-(Hipótesis!$F$37+AU24*Hipótesis!$F$38)</f>
        <v>-2406.38295069507</v>
      </c>
      <c r="AV43" s="138" t="n">
        <f aca="false">-(Hipótesis!$F$37+AV24*Hipótesis!$F$38)</f>
        <v>-2406.38295069507</v>
      </c>
      <c r="AW43" s="138" t="n">
        <f aca="false">-(Hipótesis!$F$37+AW24*Hipótesis!$F$38)</f>
        <v>-2406.38295069507</v>
      </c>
      <c r="AX43" s="138" t="n">
        <f aca="false">-(Hipótesis!$F$37+AX24*Hipótesis!$F$38)</f>
        <v>-2406.38295069507</v>
      </c>
      <c r="AY43" s="138" t="n">
        <f aca="false">-(Hipótesis!$F$37+AY24*Hipótesis!$F$38)</f>
        <v>-2406.38295069507</v>
      </c>
      <c r="AZ43" s="138" t="n">
        <f aca="false">-(Hipótesis!$F$37+AZ24*Hipótesis!$F$38)</f>
        <v>-2406.38295069507</v>
      </c>
      <c r="BA43" s="138" t="n">
        <f aca="false">-(Hipótesis!$F$37+BA24*Hipótesis!$F$38)</f>
        <v>-2406.38295069507</v>
      </c>
      <c r="BB43" s="138" t="n">
        <f aca="false">-(Hipótesis!$F$37+BB24*Hipótesis!$F$38)</f>
        <v>-2406.38295069507</v>
      </c>
      <c r="BC43" s="138" t="n">
        <f aca="false">-(Hipótesis!$F$37+BC24*Hipótesis!$F$38)</f>
        <v>-2339.06295069507</v>
      </c>
      <c r="BD43" s="138" t="n">
        <f aca="false">-(Hipótesis!$F$37+BD24*Hipótesis!$F$38)</f>
        <v>-2406.38295069507</v>
      </c>
      <c r="BE43" s="138" t="n">
        <f aca="false">-(Hipótesis!$F$37+BE24*Hipótesis!$F$38)</f>
        <v>-2406.38295069507</v>
      </c>
      <c r="BF43" s="138" t="n">
        <f aca="false">-(Hipótesis!$F$37+BF24*Hipótesis!$F$38)</f>
        <v>-2406.38295069507</v>
      </c>
      <c r="BG43" s="138" t="n">
        <f aca="false">-(Hipótesis!$F$37+BG24*Hipótesis!$F$38)</f>
        <v>-2406.38295069507</v>
      </c>
      <c r="BH43" s="138" t="n">
        <f aca="false">-(Hipótesis!$F$37+BH24*Hipótesis!$F$38)</f>
        <v>-2406.38295069507</v>
      </c>
      <c r="BI43" s="138" t="n">
        <f aca="false">-(Hipótesis!$F$37+BI24*Hipótesis!$F$38)</f>
        <v>-2406.38295069507</v>
      </c>
      <c r="BJ43" s="138" t="n">
        <f aca="false">-(Hipótesis!$F$37+BJ24*Hipótesis!$F$38)</f>
        <v>-2406.38295069507</v>
      </c>
      <c r="BK43" s="138" t="n">
        <f aca="false">-(Hipótesis!$F$37+BK24*Hipótesis!$F$38)</f>
        <v>-2406.38295069507</v>
      </c>
      <c r="BL43" s="138" t="n">
        <f aca="false">-(Hipótesis!$F$37+BL24*Hipótesis!$F$38)</f>
        <v>-2406.38295069507</v>
      </c>
      <c r="BM43" s="138" t="n">
        <f aca="false">-(Hipótesis!$F$37+BM24*Hipótesis!$F$38)</f>
        <v>-2406.38295069507</v>
      </c>
      <c r="BN43" s="138" t="n">
        <f aca="false">-(Hipótesis!$F$37+BN24*Hipótesis!$F$38)</f>
        <v>-2406.38295069507</v>
      </c>
      <c r="BO43" s="138" t="n">
        <f aca="false">-(Hipótesis!$F$37+BO24*Hipótesis!$F$38)</f>
        <v>-2339.06295069507</v>
      </c>
      <c r="BP43" s="138" t="n">
        <f aca="false">-(Hipótesis!$F$37+BP24*Hipótesis!$F$38)</f>
        <v>-2406.38295069507</v>
      </c>
      <c r="BQ43" s="138" t="n">
        <f aca="false">-(Hipótesis!$F$37+BQ24*Hipótesis!$F$38)</f>
        <v>-2406.38295069507</v>
      </c>
      <c r="BR43" s="138" t="n">
        <f aca="false">-(Hipótesis!$F$37+BR24*Hipótesis!$F$38)</f>
        <v>-2406.38295069507</v>
      </c>
      <c r="BS43" s="138" t="n">
        <f aca="false">-(Hipótesis!$F$37+BS24*Hipótesis!$F$38)</f>
        <v>-2406.38295069507</v>
      </c>
      <c r="BT43" s="138" t="n">
        <f aca="false">-(Hipótesis!$F$37+BT24*Hipótesis!$F$38)</f>
        <v>-2406.38295069507</v>
      </c>
      <c r="BU43" s="138" t="n">
        <f aca="false">-(Hipótesis!$F$37+BU24*Hipótesis!$F$38)</f>
        <v>-2406.38295069507</v>
      </c>
      <c r="BV43" s="138" t="n">
        <f aca="false">-(Hipótesis!$F$37+BV24*Hipótesis!$F$38)</f>
        <v>-2406.38295069507</v>
      </c>
      <c r="BW43" s="138" t="n">
        <f aca="false">-(Hipótesis!$F$37+BW24*Hipótesis!$F$38)</f>
        <v>-2406.38295069507</v>
      </c>
      <c r="BX43" s="138" t="n">
        <f aca="false">-(Hipótesis!$F$37+BX24*Hipótesis!$F$38)</f>
        <v>-2406.38295069507</v>
      </c>
      <c r="BY43" s="138" t="n">
        <f aca="false">-(Hipótesis!$F$37+BY24*Hipótesis!$F$38)</f>
        <v>-2406.38295069507</v>
      </c>
      <c r="BZ43" s="138" t="n">
        <f aca="false">-(Hipótesis!$F$37+BZ24*Hipótesis!$F$38)</f>
        <v>-2406.38295069507</v>
      </c>
      <c r="CA43" s="138" t="n">
        <f aca="false">-(Hipótesis!$F$37+CA24*Hipótesis!$F$38)</f>
        <v>-2339.06295069507</v>
      </c>
      <c r="CB43" s="138" t="n">
        <f aca="false">-(Hipótesis!$F$37+CB24*Hipótesis!$F$38)</f>
        <v>-2406.38295069507</v>
      </c>
      <c r="CC43" s="138" t="n">
        <f aca="false">-(Hipótesis!$F$37+CC24*Hipótesis!$F$38)</f>
        <v>-2406.38295069507</v>
      </c>
      <c r="CD43" s="138" t="n">
        <f aca="false">-(Hipótesis!$F$37+CD24*Hipótesis!$F$38)</f>
        <v>-2406.38295069507</v>
      </c>
      <c r="CE43" s="138" t="n">
        <f aca="false">-(Hipótesis!$F$37+CE24*Hipótesis!$F$38)</f>
        <v>-2406.38295069507</v>
      </c>
      <c r="CF43" s="138" t="n">
        <f aca="false">-(Hipótesis!$F$37+CF24*Hipótesis!$F$38)</f>
        <v>-2406.38295069507</v>
      </c>
      <c r="CG43" s="138" t="n">
        <f aca="false">-(Hipótesis!$F$37+CG24*Hipótesis!$F$38)</f>
        <v>-2406.38295069507</v>
      </c>
      <c r="CH43" s="138" t="n">
        <f aca="false">-(Hipótesis!$F$37+CH24*Hipótesis!$F$38)</f>
        <v>-2406.38295069507</v>
      </c>
    </row>
    <row r="44" customFormat="false" ht="13.5" hidden="false" customHeight="true" outlineLevel="0" collapsed="false">
      <c r="A44" s="13" t="s">
        <v>725</v>
      </c>
      <c r="C44" s="138" t="n">
        <f aca="false">-IF(AND(1&gt;=Hipótesis!$D$48,Hipótesis!$B$48=1),IF(Hipótesis!$G$48=1,Hipótesis!$C$44,Hipótesis!$C$48*(1+Hipótesis!$D$45)^0)*(1+Hipótesis!$D$42),0)</f>
        <v>-2904</v>
      </c>
      <c r="D44" s="138" t="n">
        <f aca="false">-IF(AND(2&gt;=Hipótesis!$D$48,Hipótesis!$B$48=1),IF(Hipótesis!$G$48=1,Hipótesis!$C$44,Hipótesis!$C$48*(1+Hipótesis!$D$45)^0)*(1+Hipótesis!$D$42),0)</f>
        <v>-2904</v>
      </c>
      <c r="E44" s="138" t="n">
        <f aca="false">-IF(AND(3&gt;=Hipótesis!$D$48,Hipótesis!$B$48=1),IF(Hipótesis!$G$48=1,Hipótesis!$C$44,Hipótesis!$C$48*(1+Hipótesis!$D$45)^0)*(1+Hipótesis!$D$42),0)</f>
        <v>-2904</v>
      </c>
      <c r="F44" s="138" t="n">
        <f aca="false">-IF(AND(4&gt;=Hipótesis!$D$48,Hipótesis!$B$48=1),IF(Hipótesis!$G$48=1,Hipótesis!$C$44,Hipótesis!$C$48*(1+Hipótesis!$D$45)^0)*(1+Hipótesis!$D$42),0)</f>
        <v>-2904</v>
      </c>
      <c r="G44" s="138" t="n">
        <f aca="false">-IF(AND(5&gt;=Hipótesis!$D$48,Hipótesis!$B$48=1),IF(Hipótesis!$G$48=1,Hipótesis!$C$44,Hipótesis!$C$48*(1+Hipótesis!$D$45)^0)*(1+Hipótesis!$D$42),0)</f>
        <v>-2904</v>
      </c>
      <c r="H44" s="138" t="n">
        <f aca="false">-IF(AND(6&gt;=Hipótesis!$D$48,Hipótesis!$B$48=1),IF(Hipótesis!$G$48=1,Hipótesis!$C$44,Hipótesis!$C$48*(1+Hipótesis!$D$45)^0)*(1+Hipótesis!$D$42),0)</f>
        <v>-2904</v>
      </c>
      <c r="I44" s="138" t="n">
        <f aca="false">-IF(AND(7&gt;=Hipótesis!$D$48,Hipótesis!$B$48=1),IF(Hipótesis!$G$48=1,Hipótesis!$C$44,Hipótesis!$C$48*(1+Hipótesis!$D$45)^0)*(1+Hipótesis!$D$42),0)</f>
        <v>-2904</v>
      </c>
      <c r="J44" s="138" t="n">
        <f aca="false">-IF(AND(8&gt;=Hipótesis!$D$48,Hipótesis!$B$48=1),IF(Hipótesis!$G$48=1,Hipótesis!$C$44,Hipótesis!$C$48*(1+Hipótesis!$D$45)^0)*(1+Hipótesis!$D$42),0)</f>
        <v>-2904</v>
      </c>
      <c r="K44" s="138" t="n">
        <f aca="false">-IF(AND(9&gt;=Hipótesis!$D$48,Hipótesis!$B$48=1),IF(Hipótesis!$G$48=1,Hipótesis!$C$44,Hipótesis!$C$48*(1+Hipótesis!$D$45)^0)*(1+Hipótesis!$D$42),0)</f>
        <v>-2904</v>
      </c>
      <c r="L44" s="138" t="n">
        <f aca="false">-IF(AND(10&gt;=Hipótesis!$D$48,Hipótesis!$B$48=1),IF(Hipótesis!$G$48=1,Hipótesis!$C$44,Hipótesis!$C$48*(1+Hipótesis!$D$45)^0)*(1+Hipótesis!$D$42),0)</f>
        <v>-2904</v>
      </c>
      <c r="M44" s="138" t="n">
        <f aca="false">-IF(AND(11&gt;=Hipótesis!$D$48,Hipótesis!$B$48=1),IF(Hipótesis!$G$48=1,Hipótesis!$C$44,Hipótesis!$C$48*(1+Hipótesis!$D$45)^0)*(1+Hipótesis!$D$42),0)</f>
        <v>-2904</v>
      </c>
      <c r="N44" s="138" t="n">
        <f aca="false">-IF(AND(12&gt;=Hipótesis!$D$48,Hipótesis!$B$48=1),IF(Hipótesis!$G$48=1,Hipótesis!$C$44,Hipótesis!$C$48*(1+Hipótesis!$D$45)^0)*(1+Hipótesis!$D$42),0)</f>
        <v>-2904</v>
      </c>
      <c r="O44" s="138" t="n">
        <f aca="false">-IF(AND(13&gt;=Hipótesis!$D$48,Hipótesis!$B$48=1),IF(Hipótesis!$G$48=1,Hipótesis!$D$44,Hipótesis!$C$48*(1+Hipótesis!$D$45)^1)*(1+Hipótesis!$D$42),0)</f>
        <v>-4620</v>
      </c>
      <c r="P44" s="138" t="n">
        <f aca="false">-IF(AND(14&gt;=Hipótesis!$D$48,Hipótesis!$B$48=1),IF(Hipótesis!$G$48=1,Hipótesis!$D$44,Hipótesis!$C$48*(1+Hipótesis!$D$45)^1)*(1+Hipótesis!$D$42),0)</f>
        <v>-4620</v>
      </c>
      <c r="Q44" s="138" t="n">
        <f aca="false">-IF(AND(15&gt;=Hipótesis!$D$48,Hipótesis!$B$48=1),IF(Hipótesis!$G$48=1,Hipótesis!$D$44,Hipótesis!$C$48*(1+Hipótesis!$D$45)^1)*(1+Hipótesis!$D$42),0)</f>
        <v>-4620</v>
      </c>
      <c r="R44" s="138" t="n">
        <f aca="false">-IF(AND(16&gt;=Hipótesis!$D$48,Hipótesis!$B$48=1),IF(Hipótesis!$G$48=1,Hipótesis!$D$44,Hipótesis!$C$48*(1+Hipótesis!$D$45)^1)*(1+Hipótesis!$D$42),0)</f>
        <v>-4620</v>
      </c>
      <c r="S44" s="138" t="n">
        <f aca="false">-IF(AND(17&gt;=Hipótesis!$D$48,Hipótesis!$B$48=1),IF(Hipótesis!$G$48=1,Hipótesis!$D$44,Hipótesis!$C$48*(1+Hipótesis!$D$45)^1)*(1+Hipótesis!$D$42),0)</f>
        <v>-4620</v>
      </c>
      <c r="T44" s="138" t="n">
        <f aca="false">-IF(AND(18&gt;=Hipótesis!$D$48,Hipótesis!$B$48=1),IF(Hipótesis!$G$48=1,Hipótesis!$D$44,Hipótesis!$C$48*(1+Hipótesis!$D$45)^1)*(1+Hipótesis!$D$42),0)</f>
        <v>-4620</v>
      </c>
      <c r="U44" s="138" t="n">
        <f aca="false">-IF(AND(19&gt;=Hipótesis!$D$48,Hipótesis!$B$48=1),IF(Hipótesis!$G$48=1,Hipótesis!$D$44,Hipótesis!$C$48*(1+Hipótesis!$D$45)^1)*(1+Hipótesis!$D$42),0)</f>
        <v>-4620</v>
      </c>
      <c r="V44" s="138" t="n">
        <f aca="false">-IF(AND(20&gt;=Hipótesis!$D$48,Hipótesis!$B$48=1),IF(Hipótesis!$G$48=1,Hipótesis!$D$44,Hipótesis!$C$48*(1+Hipótesis!$D$45)^1)*(1+Hipótesis!$D$42),0)</f>
        <v>-4620</v>
      </c>
      <c r="W44" s="138" t="n">
        <f aca="false">-IF(AND(21&gt;=Hipótesis!$D$48,Hipótesis!$B$48=1),IF(Hipótesis!$G$48=1,Hipótesis!$D$44,Hipótesis!$C$48*(1+Hipótesis!$D$45)^1)*(1+Hipótesis!$D$42),0)</f>
        <v>-4620</v>
      </c>
      <c r="X44" s="138" t="n">
        <f aca="false">-IF(AND(22&gt;=Hipótesis!$D$48,Hipótesis!$B$48=1),IF(Hipótesis!$G$48=1,Hipótesis!$D$44,Hipótesis!$C$48*(1+Hipótesis!$D$45)^1)*(1+Hipótesis!$D$42),0)</f>
        <v>-4620</v>
      </c>
      <c r="Y44" s="138" t="n">
        <f aca="false">-IF(AND(23&gt;=Hipótesis!$D$48,Hipótesis!$B$48=1),IF(Hipótesis!$G$48=1,Hipótesis!$D$44,Hipótesis!$C$48*(1+Hipótesis!$D$45)^1)*(1+Hipótesis!$D$42),0)</f>
        <v>-4620</v>
      </c>
      <c r="Z44" s="138" t="n">
        <f aca="false">-IF(AND(24&gt;=Hipótesis!$D$48,Hipótesis!$B$48=1),IF(Hipótesis!$G$48=1,Hipótesis!$D$44,Hipótesis!$C$48*(1+Hipótesis!$D$45)^1)*(1+Hipótesis!$D$42),0)</f>
        <v>-4620</v>
      </c>
      <c r="AA44" s="138" t="n">
        <f aca="false">-IF(AND(25&gt;=Hipótesis!$D$48,Hipótesis!$B$48=1),IF(Hipótesis!$G$48=1,Hipótesis!$E$44,Hipótesis!$C$48*(1+Hipótesis!$D$45)^2)*(1+Hipótesis!$D$42),0)</f>
        <v>-5280</v>
      </c>
      <c r="AB44" s="138" t="n">
        <f aca="false">-IF(AND(26&gt;=Hipótesis!$D$48,Hipótesis!$B$48=1),IF(Hipótesis!$G$48=1,Hipótesis!$E$44,Hipótesis!$C$48*(1+Hipótesis!$D$45)^2)*(1+Hipótesis!$D$42),0)</f>
        <v>-5280</v>
      </c>
      <c r="AC44" s="138" t="n">
        <f aca="false">-IF(AND(27&gt;=Hipótesis!$D$48,Hipótesis!$B$48=1),IF(Hipótesis!$G$48=1,Hipótesis!$E$44,Hipótesis!$C$48*(1+Hipótesis!$D$45)^2)*(1+Hipótesis!$D$42),0)</f>
        <v>-5280</v>
      </c>
      <c r="AD44" s="138" t="n">
        <f aca="false">-IF(AND(28&gt;=Hipótesis!$D$48,Hipótesis!$B$48=1),IF(Hipótesis!$G$48=1,Hipótesis!$E$44,Hipótesis!$C$48*(1+Hipótesis!$D$45)^2)*(1+Hipótesis!$D$42),0)</f>
        <v>-5280</v>
      </c>
      <c r="AE44" s="138" t="n">
        <f aca="false">-IF(AND(29&gt;=Hipótesis!$D$48,Hipótesis!$B$48=1),IF(Hipótesis!$G$48=1,Hipótesis!$E$44,Hipótesis!$C$48*(1+Hipótesis!$D$45)^2)*(1+Hipótesis!$D$42),0)</f>
        <v>-5280</v>
      </c>
      <c r="AF44" s="138" t="n">
        <f aca="false">-IF(AND(30&gt;=Hipótesis!$D$48,Hipótesis!$B$48=1),IF(Hipótesis!$G$48=1,Hipótesis!$E$44,Hipótesis!$C$48*(1+Hipótesis!$D$45)^2)*(1+Hipótesis!$D$42),0)</f>
        <v>-5280</v>
      </c>
      <c r="AG44" s="138" t="n">
        <f aca="false">-IF(AND(31&gt;=Hipótesis!$D$48,Hipótesis!$B$48=1),IF(Hipótesis!$G$48=1,Hipótesis!$E$44,Hipótesis!$C$48*(1+Hipótesis!$D$45)^2)*(1+Hipótesis!$D$42),0)</f>
        <v>-5280</v>
      </c>
      <c r="AH44" s="138" t="n">
        <f aca="false">-IF(AND(32&gt;=Hipótesis!$D$48,Hipótesis!$B$48=1),IF(Hipótesis!$G$48=1,Hipótesis!$E$44,Hipótesis!$C$48*(1+Hipótesis!$D$45)^2)*(1+Hipótesis!$D$42),0)</f>
        <v>-5280</v>
      </c>
      <c r="AI44" s="138" t="n">
        <f aca="false">-IF(AND(33&gt;=Hipótesis!$D$48,Hipótesis!$B$48=1),IF(Hipótesis!$G$48=1,Hipótesis!$E$44,Hipótesis!$C$48*(1+Hipótesis!$D$45)^2)*(1+Hipótesis!$D$42),0)</f>
        <v>-5280</v>
      </c>
      <c r="AJ44" s="138" t="n">
        <f aca="false">-IF(AND(34&gt;=Hipótesis!$D$48,Hipótesis!$B$48=1),IF(Hipótesis!$G$48=1,Hipótesis!$E$44,Hipótesis!$C$48*(1+Hipótesis!$D$45)^2)*(1+Hipótesis!$D$42),0)</f>
        <v>-5280</v>
      </c>
      <c r="AK44" s="138" t="n">
        <f aca="false">-IF(AND(35&gt;=Hipótesis!$D$48,Hipótesis!$B$48=1),IF(Hipótesis!$G$48=1,Hipótesis!$E$44,Hipótesis!$C$48*(1+Hipótesis!$D$45)^2)*(1+Hipótesis!$D$42),0)</f>
        <v>-5280</v>
      </c>
      <c r="AL44" s="138" t="n">
        <f aca="false">-IF(AND(36&gt;=Hipótesis!$D$48,Hipótesis!$B$48=1),IF(Hipótesis!$G$48=1,Hipótesis!$E$44,Hipótesis!$C$48*(1+Hipótesis!$D$45)^2)*(1+Hipótesis!$D$42),0)</f>
        <v>-5280</v>
      </c>
      <c r="AM44" s="138" t="n">
        <f aca="false">-IF(AND(37&gt;=Hipótesis!$D$48,Hipótesis!$B$48=1),IF(Hipótesis!$G$48=1,Hipótesis!$F$44,Hipótesis!$C$48*(1+Hipótesis!$D$45)^3)*(1+Hipótesis!$D$42),0)</f>
        <v>-5940</v>
      </c>
      <c r="AN44" s="138" t="n">
        <f aca="false">-IF(AND(38&gt;=Hipótesis!$D$48,Hipótesis!$B$48=1),IF(Hipótesis!$G$48=1,Hipótesis!$F$44,Hipótesis!$C$48*(1+Hipótesis!$D$45)^3)*(1+Hipótesis!$D$42),0)</f>
        <v>-5940</v>
      </c>
      <c r="AO44" s="138" t="n">
        <f aca="false">-IF(AND(39&gt;=Hipótesis!$D$48,Hipótesis!$B$48=1),IF(Hipótesis!$G$48=1,Hipótesis!$F$44,Hipótesis!$C$48*(1+Hipótesis!$D$45)^3)*(1+Hipótesis!$D$42),0)</f>
        <v>-5940</v>
      </c>
      <c r="AP44" s="138" t="n">
        <f aca="false">-IF(AND(40&gt;=Hipótesis!$D$48,Hipótesis!$B$48=1),IF(Hipótesis!$G$48=1,Hipótesis!$F$44,Hipótesis!$C$48*(1+Hipótesis!$D$45)^3)*(1+Hipótesis!$D$42),0)</f>
        <v>-5940</v>
      </c>
      <c r="AQ44" s="138" t="n">
        <f aca="false">-IF(AND(41&gt;=Hipótesis!$D$48,Hipótesis!$B$48=1),IF(Hipótesis!$G$48=1,Hipótesis!$F$44,Hipótesis!$C$48*(1+Hipótesis!$D$45)^3)*(1+Hipótesis!$D$42),0)</f>
        <v>-5940</v>
      </c>
      <c r="AR44" s="138" t="n">
        <f aca="false">-IF(AND(42&gt;=Hipótesis!$D$48,Hipótesis!$B$48=1),IF(Hipótesis!$G$48=1,Hipótesis!$F$44,Hipótesis!$C$48*(1+Hipótesis!$D$45)^3)*(1+Hipótesis!$D$42),0)</f>
        <v>-5940</v>
      </c>
      <c r="AS44" s="138" t="n">
        <f aca="false">-IF(AND(43&gt;=Hipótesis!$D$48,Hipótesis!$B$48=1),IF(Hipótesis!$G$48=1,Hipótesis!$F$44,Hipótesis!$C$48*(1+Hipótesis!$D$45)^3)*(1+Hipótesis!$D$42),0)</f>
        <v>-5940</v>
      </c>
      <c r="AT44" s="138" t="n">
        <f aca="false">-IF(AND(44&gt;=Hipótesis!$D$48,Hipótesis!$B$48=1),IF(Hipótesis!$G$48=1,Hipótesis!$F$44,Hipótesis!$C$48*(1+Hipótesis!$D$45)^3)*(1+Hipótesis!$D$42),0)</f>
        <v>-5940</v>
      </c>
      <c r="AU44" s="138" t="n">
        <f aca="false">-IF(AND(45&gt;=Hipótesis!$D$48,Hipótesis!$B$48=1),IF(Hipótesis!$G$48=1,Hipótesis!$F$44,Hipótesis!$C$48*(1+Hipótesis!$D$45)^3)*(1+Hipótesis!$D$42),0)</f>
        <v>-5940</v>
      </c>
      <c r="AV44" s="138" t="n">
        <f aca="false">-IF(AND(46&gt;=Hipótesis!$D$48,Hipótesis!$B$48=1),IF(Hipótesis!$G$48=1,Hipótesis!$F$44,Hipótesis!$C$48*(1+Hipótesis!$D$45)^3)*(1+Hipótesis!$D$42),0)</f>
        <v>-5940</v>
      </c>
      <c r="AW44" s="138" t="n">
        <f aca="false">-IF(AND(47&gt;=Hipótesis!$D$48,Hipótesis!$B$48=1),IF(Hipótesis!$G$48=1,Hipótesis!$F$44,Hipótesis!$C$48*(1+Hipótesis!$D$45)^3)*(1+Hipótesis!$D$42),0)</f>
        <v>-5940</v>
      </c>
      <c r="AX44" s="138" t="n">
        <f aca="false">-IF(AND(48&gt;=Hipótesis!$D$48,Hipótesis!$B$48=1),IF(Hipótesis!$G$48=1,Hipótesis!$F$44,Hipótesis!$C$48*(1+Hipótesis!$D$45)^3)*(1+Hipótesis!$D$42),0)</f>
        <v>-5940</v>
      </c>
      <c r="AY44" s="138" t="n">
        <f aca="false">-IF(AND(49&gt;=Hipótesis!$D$48,Hipótesis!$B$48=1),IF(Hipótesis!$G$48=1,Hipótesis!$G$44,Hipótesis!$C$48*(1+Hipótesis!$D$45)^4)*(1+Hipótesis!$D$42),0)</f>
        <v>-6600</v>
      </c>
      <c r="AZ44" s="138" t="n">
        <f aca="false">-IF(AND(50&gt;=Hipótesis!$D$48,Hipótesis!$B$48=1),IF(Hipótesis!$G$48=1,Hipótesis!$G$44,Hipótesis!$C$48*(1+Hipótesis!$D$45)^4)*(1+Hipótesis!$D$42),0)</f>
        <v>-6600</v>
      </c>
      <c r="BA44" s="138" t="n">
        <f aca="false">-IF(AND(51&gt;=Hipótesis!$D$48,Hipótesis!$B$48=1),IF(Hipótesis!$G$48=1,Hipótesis!$G$44,Hipótesis!$C$48*(1+Hipótesis!$D$45)^4)*(1+Hipótesis!$D$42),0)</f>
        <v>-6600</v>
      </c>
      <c r="BB44" s="138" t="n">
        <f aca="false">-IF(AND(52&gt;=Hipótesis!$D$48,Hipótesis!$B$48=1),IF(Hipótesis!$G$48=1,Hipótesis!$G$44,Hipótesis!$C$48*(1+Hipótesis!$D$45)^4)*(1+Hipótesis!$D$42),0)</f>
        <v>-6600</v>
      </c>
      <c r="BC44" s="138" t="n">
        <f aca="false">-IF(AND(53&gt;=Hipótesis!$D$48,Hipótesis!$B$48=1),IF(Hipótesis!$G$48=1,Hipótesis!$G$44,Hipótesis!$C$48*(1+Hipótesis!$D$45)^4)*(1+Hipótesis!$D$42),0)</f>
        <v>-6600</v>
      </c>
      <c r="BD44" s="138" t="n">
        <f aca="false">-IF(AND(54&gt;=Hipótesis!$D$48,Hipótesis!$B$48=1),IF(Hipótesis!$G$48=1,Hipótesis!$G$44,Hipótesis!$C$48*(1+Hipótesis!$D$45)^4)*(1+Hipótesis!$D$42),0)</f>
        <v>-6600</v>
      </c>
      <c r="BE44" s="138" t="n">
        <f aca="false">-IF(AND(55&gt;=Hipótesis!$D$48,Hipótesis!$B$48=1),IF(Hipótesis!$G$48=1,Hipótesis!$G$44,Hipótesis!$C$48*(1+Hipótesis!$D$45)^4)*(1+Hipótesis!$D$42),0)</f>
        <v>-6600</v>
      </c>
      <c r="BF44" s="138" t="n">
        <f aca="false">-IF(AND(56&gt;=Hipótesis!$D$48,Hipótesis!$B$48=1),IF(Hipótesis!$G$48=1,Hipótesis!$G$44,Hipótesis!$C$48*(1+Hipótesis!$D$45)^4)*(1+Hipótesis!$D$42),0)</f>
        <v>-6600</v>
      </c>
      <c r="BG44" s="138" t="n">
        <f aca="false">-IF(AND(57&gt;=Hipótesis!$D$48,Hipótesis!$B$48=1),IF(Hipótesis!$G$48=1,Hipótesis!$G$44,Hipótesis!$C$48*(1+Hipótesis!$D$45)^4)*(1+Hipótesis!$D$42),0)</f>
        <v>-6600</v>
      </c>
      <c r="BH44" s="138" t="n">
        <f aca="false">-IF(AND(58&gt;=Hipótesis!$D$48,Hipótesis!$B$48=1),IF(Hipótesis!$G$48=1,Hipótesis!$G$44,Hipótesis!$C$48*(1+Hipótesis!$D$45)^4)*(1+Hipótesis!$D$42),0)</f>
        <v>-6600</v>
      </c>
      <c r="BI44" s="138" t="n">
        <f aca="false">-IF(AND(59&gt;=Hipótesis!$D$48,Hipótesis!$B$48=1),IF(Hipótesis!$G$48=1,Hipótesis!$G$44,Hipótesis!$C$48*(1+Hipótesis!$D$45)^4)*(1+Hipótesis!$D$42),0)</f>
        <v>-6600</v>
      </c>
      <c r="BJ44" s="138" t="n">
        <f aca="false">-IF(AND(60&gt;=Hipótesis!$D$48,Hipótesis!$B$48=1),IF(Hipótesis!$G$48=1,Hipótesis!$G$44,Hipótesis!$C$48*(1+Hipótesis!$D$45)^4)*(1+Hipótesis!$D$42),0)</f>
        <v>-6600</v>
      </c>
      <c r="BK44" s="138" t="n">
        <f aca="false">-IF(AND(61&gt;=Hipótesis!$D$48,Hipótesis!$B$48=1),IF(Hipótesis!$G$48=1,Hipótesis!$H$44,Hipótesis!$C$48*(1+Hipótesis!$D$45)^5)*(1+Hipótesis!$D$42),0)</f>
        <v>-7260</v>
      </c>
      <c r="BL44" s="138" t="n">
        <f aca="false">-IF(AND(62&gt;=Hipótesis!$D$48,Hipótesis!$B$48=1),IF(Hipótesis!$G$48=1,Hipótesis!$H$44,Hipótesis!$C$48*(1+Hipótesis!$D$45)^5)*(1+Hipótesis!$D$42),0)</f>
        <v>-7260</v>
      </c>
      <c r="BM44" s="138" t="n">
        <f aca="false">-IF(AND(63&gt;=Hipótesis!$D$48,Hipótesis!$B$48=1),IF(Hipótesis!$G$48=1,Hipótesis!$H$44,Hipótesis!$C$48*(1+Hipótesis!$D$45)^5)*(1+Hipótesis!$D$42),0)</f>
        <v>-7260</v>
      </c>
      <c r="BN44" s="138" t="n">
        <f aca="false">-IF(AND(64&gt;=Hipótesis!$D$48,Hipótesis!$B$48=1),IF(Hipótesis!$G$48=1,Hipótesis!$H$44,Hipótesis!$C$48*(1+Hipótesis!$D$45)^5)*(1+Hipótesis!$D$42),0)</f>
        <v>-7260</v>
      </c>
      <c r="BO44" s="138" t="n">
        <f aca="false">-IF(AND(65&gt;=Hipótesis!$D$48,Hipótesis!$B$48=1),IF(Hipótesis!$G$48=1,Hipótesis!$H$44,Hipótesis!$C$48*(1+Hipótesis!$D$45)^5)*(1+Hipótesis!$D$42),0)</f>
        <v>-7260</v>
      </c>
      <c r="BP44" s="138" t="n">
        <f aca="false">-IF(AND(66&gt;=Hipótesis!$D$48,Hipótesis!$B$48=1),IF(Hipótesis!$G$48=1,Hipótesis!$H$44,Hipótesis!$C$48*(1+Hipótesis!$D$45)^5)*(1+Hipótesis!$D$42),0)</f>
        <v>-7260</v>
      </c>
      <c r="BQ44" s="138" t="n">
        <f aca="false">-IF(AND(67&gt;=Hipótesis!$D$48,Hipótesis!$B$48=1),IF(Hipótesis!$G$48=1,Hipótesis!$H$44,Hipótesis!$C$48*(1+Hipótesis!$D$45)^5)*(1+Hipótesis!$D$42),0)</f>
        <v>-7260</v>
      </c>
      <c r="BR44" s="138" t="n">
        <f aca="false">-IF(AND(68&gt;=Hipótesis!$D$48,Hipótesis!$B$48=1),IF(Hipótesis!$G$48=1,Hipótesis!$H$44,Hipótesis!$C$48*(1+Hipótesis!$D$45)^5)*(1+Hipótesis!$D$42),0)</f>
        <v>-7260</v>
      </c>
      <c r="BS44" s="138" t="n">
        <f aca="false">-IF(AND(69&gt;=Hipótesis!$D$48,Hipótesis!$B$48=1),IF(Hipótesis!$G$48=1,Hipótesis!$H$44,Hipótesis!$C$48*(1+Hipótesis!$D$45)^5)*(1+Hipótesis!$D$42),0)</f>
        <v>-7260</v>
      </c>
      <c r="BT44" s="138" t="n">
        <f aca="false">-IF(AND(70&gt;=Hipótesis!$D$48,Hipótesis!$B$48=1),IF(Hipótesis!$G$48=1,Hipótesis!$H$44,Hipótesis!$C$48*(1+Hipótesis!$D$45)^5)*(1+Hipótesis!$D$42),0)</f>
        <v>-7260</v>
      </c>
      <c r="BU44" s="138" t="n">
        <f aca="false">-IF(AND(71&gt;=Hipótesis!$D$48,Hipótesis!$B$48=1),IF(Hipótesis!$G$48=1,Hipótesis!$H$44,Hipótesis!$C$48*(1+Hipótesis!$D$45)^5)*(1+Hipótesis!$D$42),0)</f>
        <v>-7260</v>
      </c>
      <c r="BV44" s="138" t="n">
        <f aca="false">-IF(AND(72&gt;=Hipótesis!$D$48,Hipótesis!$B$48=1),IF(Hipótesis!$G$48=1,Hipótesis!$H$44,Hipótesis!$C$48*(1+Hipótesis!$D$45)^5)*(1+Hipótesis!$D$42),0)</f>
        <v>-7260</v>
      </c>
      <c r="BW44" s="138" t="n">
        <f aca="false">-IF(AND(73&gt;=Hipótesis!$D$48,Hipótesis!$B$48=1),IF(Hipótesis!$G$48=1,Hipótesis!$I$44,Hipótesis!$C$48*(1+Hipótesis!$D$45)^6)*(1+Hipótesis!$D$42),0)</f>
        <v>-7920</v>
      </c>
      <c r="BX44" s="138" t="n">
        <f aca="false">-IF(AND(74&gt;=Hipótesis!$D$48,Hipótesis!$B$48=1),IF(Hipótesis!$G$48=1,Hipótesis!$I$44,Hipótesis!$C$48*(1+Hipótesis!$D$45)^6)*(1+Hipótesis!$D$42),0)</f>
        <v>-7920</v>
      </c>
      <c r="BY44" s="138" t="n">
        <f aca="false">-IF(AND(75&gt;=Hipótesis!$D$48,Hipótesis!$B$48=1),IF(Hipótesis!$G$48=1,Hipótesis!$I$44,Hipótesis!$C$48*(1+Hipótesis!$D$45)^6)*(1+Hipótesis!$D$42),0)</f>
        <v>-7920</v>
      </c>
      <c r="BZ44" s="138" t="n">
        <f aca="false">-IF(AND(76&gt;=Hipótesis!$D$48,Hipótesis!$B$48=1),IF(Hipótesis!$G$48=1,Hipótesis!$I$44,Hipótesis!$C$48*(1+Hipótesis!$D$45)^6)*(1+Hipótesis!$D$42),0)</f>
        <v>-7920</v>
      </c>
      <c r="CA44" s="138" t="n">
        <f aca="false">-IF(AND(77&gt;=Hipótesis!$D$48,Hipótesis!$B$48=1),IF(Hipótesis!$G$48=1,Hipótesis!$I$44,Hipótesis!$C$48*(1+Hipótesis!$D$45)^6)*(1+Hipótesis!$D$42),0)</f>
        <v>-7920</v>
      </c>
      <c r="CB44" s="138" t="n">
        <f aca="false">-IF(AND(78&gt;=Hipótesis!$D$48,Hipótesis!$B$48=1),IF(Hipótesis!$G$48=1,Hipótesis!$I$44,Hipótesis!$C$48*(1+Hipótesis!$D$45)^6)*(1+Hipótesis!$D$42),0)</f>
        <v>-7920</v>
      </c>
      <c r="CC44" s="138" t="n">
        <f aca="false">-IF(AND(79&gt;=Hipótesis!$D$48,Hipótesis!$B$48=1),IF(Hipótesis!$G$48=1,Hipótesis!$I$44,Hipótesis!$C$48*(1+Hipótesis!$D$45)^6)*(1+Hipótesis!$D$42),0)</f>
        <v>-7920</v>
      </c>
      <c r="CD44" s="138" t="n">
        <f aca="false">-IF(AND(80&gt;=Hipótesis!$D$48,Hipótesis!$B$48=1),IF(Hipótesis!$G$48=1,Hipótesis!$I$44,Hipótesis!$C$48*(1+Hipótesis!$D$45)^6)*(1+Hipótesis!$D$42),0)</f>
        <v>-7920</v>
      </c>
      <c r="CE44" s="138" t="n">
        <f aca="false">-IF(AND(81&gt;=Hipótesis!$D$48,Hipótesis!$B$48=1),IF(Hipótesis!$G$48=1,Hipótesis!$I$44,Hipótesis!$C$48*(1+Hipótesis!$D$45)^6)*(1+Hipótesis!$D$42),0)</f>
        <v>-7920</v>
      </c>
      <c r="CF44" s="138" t="n">
        <f aca="false">-IF(AND(82&gt;=Hipótesis!$D$48,Hipótesis!$B$48=1),IF(Hipótesis!$G$48=1,Hipótesis!$I$44,Hipótesis!$C$48*(1+Hipótesis!$D$45)^6)*(1+Hipótesis!$D$42),0)</f>
        <v>-7920</v>
      </c>
      <c r="CG44" s="138" t="n">
        <f aca="false">-IF(AND(83&gt;=Hipótesis!$D$48,Hipótesis!$B$48=1),IF(Hipótesis!$G$48=1,Hipótesis!$I$44,Hipótesis!$C$48*(1+Hipótesis!$D$45)^6)*(1+Hipótesis!$D$42),0)</f>
        <v>-7920</v>
      </c>
      <c r="CH44" s="138" t="n">
        <f aca="false">-IF(AND(84&gt;=Hipótesis!$D$48,Hipótesis!$B$48=1),IF(Hipótesis!$G$48=1,Hipótesis!$I$44,Hipótesis!$C$48*(1+Hipótesis!$D$45)^6)*(1+Hipótesis!$D$42),0)</f>
        <v>-7920</v>
      </c>
    </row>
    <row r="45" customFormat="false" ht="13.5" hidden="false" customHeight="true" outlineLevel="0" collapsed="false">
      <c r="A45" s="13" t="s">
        <v>726</v>
      </c>
      <c r="C45" s="138" t="n">
        <f aca="false">-IF(AND(1&gt;=Hipótesis!$D$49,Hipótesis!$B$49=1),IF(Hipótesis!$G$49=1,Hipótesis!$C$44,Hipótesis!$C$49*(1+Hipótesis!$D$45)^0)*(1+Hipótesis!$D$42),0)</f>
        <v>-2904</v>
      </c>
      <c r="D45" s="138" t="n">
        <f aca="false">-IF(AND(2&gt;=Hipótesis!$D$49,Hipótesis!$B$49=1),IF(Hipótesis!$G$49=1,Hipótesis!$C$44,Hipótesis!$C$49*(1+Hipótesis!$D$45)^0)*(1+Hipótesis!$D$42),0)</f>
        <v>-2904</v>
      </c>
      <c r="E45" s="138" t="n">
        <f aca="false">-IF(AND(3&gt;=Hipótesis!$D$49,Hipótesis!$B$49=1),IF(Hipótesis!$G$49=1,Hipótesis!$C$44,Hipótesis!$C$49*(1+Hipótesis!$D$45)^0)*(1+Hipótesis!$D$42),0)</f>
        <v>-2904</v>
      </c>
      <c r="F45" s="138" t="n">
        <f aca="false">-IF(AND(4&gt;=Hipótesis!$D$49,Hipótesis!$B$49=1),IF(Hipótesis!$G$49=1,Hipótesis!$C$44,Hipótesis!$C$49*(1+Hipótesis!$D$45)^0)*(1+Hipótesis!$D$42),0)</f>
        <v>-2904</v>
      </c>
      <c r="G45" s="138" t="n">
        <f aca="false">-IF(AND(5&gt;=Hipótesis!$D$49,Hipótesis!$B$49=1),IF(Hipótesis!$G$49=1,Hipótesis!$C$44,Hipótesis!$C$49*(1+Hipótesis!$D$45)^0)*(1+Hipótesis!$D$42),0)</f>
        <v>-2904</v>
      </c>
      <c r="H45" s="138" t="n">
        <f aca="false">-IF(AND(6&gt;=Hipótesis!$D$49,Hipótesis!$B$49=1),IF(Hipótesis!$G$49=1,Hipótesis!$C$44,Hipótesis!$C$49*(1+Hipótesis!$D$45)^0)*(1+Hipótesis!$D$42),0)</f>
        <v>-2904</v>
      </c>
      <c r="I45" s="138" t="n">
        <f aca="false">-IF(AND(7&gt;=Hipótesis!$D$49,Hipótesis!$B$49=1),IF(Hipótesis!$G$49=1,Hipótesis!$C$44,Hipótesis!$C$49*(1+Hipótesis!$D$45)^0)*(1+Hipótesis!$D$42),0)</f>
        <v>-2904</v>
      </c>
      <c r="J45" s="138" t="n">
        <f aca="false">-IF(AND(8&gt;=Hipótesis!$D$49,Hipótesis!$B$49=1),IF(Hipótesis!$G$49=1,Hipótesis!$C$44,Hipótesis!$C$49*(1+Hipótesis!$D$45)^0)*(1+Hipótesis!$D$42),0)</f>
        <v>-2904</v>
      </c>
      <c r="K45" s="138" t="n">
        <f aca="false">-IF(AND(9&gt;=Hipótesis!$D$49,Hipótesis!$B$49=1),IF(Hipótesis!$G$49=1,Hipótesis!$C$44,Hipótesis!$C$49*(1+Hipótesis!$D$45)^0)*(1+Hipótesis!$D$42),0)</f>
        <v>-2904</v>
      </c>
      <c r="L45" s="138" t="n">
        <f aca="false">-IF(AND(10&gt;=Hipótesis!$D$49,Hipótesis!$B$49=1),IF(Hipótesis!$G$49=1,Hipótesis!$C$44,Hipótesis!$C$49*(1+Hipótesis!$D$45)^0)*(1+Hipótesis!$D$42),0)</f>
        <v>-2904</v>
      </c>
      <c r="M45" s="138" t="n">
        <f aca="false">-IF(AND(11&gt;=Hipótesis!$D$49,Hipótesis!$B$49=1),IF(Hipótesis!$G$49=1,Hipótesis!$C$44,Hipótesis!$C$49*(1+Hipótesis!$D$45)^0)*(1+Hipótesis!$D$42),0)</f>
        <v>-2904</v>
      </c>
      <c r="N45" s="138" t="n">
        <f aca="false">-IF(AND(12&gt;=Hipótesis!$D$49,Hipótesis!$B$49=1),IF(Hipótesis!$G$49=1,Hipótesis!$C$44,Hipótesis!$C$49*(1+Hipótesis!$D$45)^0)*(1+Hipótesis!$D$42),0)</f>
        <v>-2904</v>
      </c>
      <c r="O45" s="138" t="n">
        <f aca="false">-IF(AND(13&gt;=Hipótesis!$D$49,Hipótesis!$B$49=1),IF(Hipótesis!$G$49=1,Hipótesis!$D$44,Hipótesis!$C$49*(1+Hipótesis!$D$45)^1)*(1+Hipótesis!$D$42),0)</f>
        <v>-4620</v>
      </c>
      <c r="P45" s="138" t="n">
        <f aca="false">-IF(AND(14&gt;=Hipótesis!$D$49,Hipótesis!$B$49=1),IF(Hipótesis!$G$49=1,Hipótesis!$D$44,Hipótesis!$C$49*(1+Hipótesis!$D$45)^1)*(1+Hipótesis!$D$42),0)</f>
        <v>-4620</v>
      </c>
      <c r="Q45" s="138" t="n">
        <f aca="false">-IF(AND(15&gt;=Hipótesis!$D$49,Hipótesis!$B$49=1),IF(Hipótesis!$G$49=1,Hipótesis!$D$44,Hipótesis!$C$49*(1+Hipótesis!$D$45)^1)*(1+Hipótesis!$D$42),0)</f>
        <v>-4620</v>
      </c>
      <c r="R45" s="138" t="n">
        <f aca="false">-IF(AND(16&gt;=Hipótesis!$D$49,Hipótesis!$B$49=1),IF(Hipótesis!$G$49=1,Hipótesis!$D$44,Hipótesis!$C$49*(1+Hipótesis!$D$45)^1)*(1+Hipótesis!$D$42),0)</f>
        <v>-4620</v>
      </c>
      <c r="S45" s="138" t="n">
        <f aca="false">-IF(AND(17&gt;=Hipótesis!$D$49,Hipótesis!$B$49=1),IF(Hipótesis!$G$49=1,Hipótesis!$D$44,Hipótesis!$C$49*(1+Hipótesis!$D$45)^1)*(1+Hipótesis!$D$42),0)</f>
        <v>-4620</v>
      </c>
      <c r="T45" s="138" t="n">
        <f aca="false">-IF(AND(18&gt;=Hipótesis!$D$49,Hipótesis!$B$49=1),IF(Hipótesis!$G$49=1,Hipótesis!$D$44,Hipótesis!$C$49*(1+Hipótesis!$D$45)^1)*(1+Hipótesis!$D$42),0)</f>
        <v>-4620</v>
      </c>
      <c r="U45" s="138" t="n">
        <f aca="false">-IF(AND(19&gt;=Hipótesis!$D$49,Hipótesis!$B$49=1),IF(Hipótesis!$G$49=1,Hipótesis!$D$44,Hipótesis!$C$49*(1+Hipótesis!$D$45)^1)*(1+Hipótesis!$D$42),0)</f>
        <v>-4620</v>
      </c>
      <c r="V45" s="138" t="n">
        <f aca="false">-IF(AND(20&gt;=Hipótesis!$D$49,Hipótesis!$B$49=1),IF(Hipótesis!$G$49=1,Hipótesis!$D$44,Hipótesis!$C$49*(1+Hipótesis!$D$45)^1)*(1+Hipótesis!$D$42),0)</f>
        <v>-4620</v>
      </c>
      <c r="W45" s="138" t="n">
        <f aca="false">-IF(AND(21&gt;=Hipótesis!$D$49,Hipótesis!$B$49=1),IF(Hipótesis!$G$49=1,Hipótesis!$D$44,Hipótesis!$C$49*(1+Hipótesis!$D$45)^1)*(1+Hipótesis!$D$42),0)</f>
        <v>-4620</v>
      </c>
      <c r="X45" s="138" t="n">
        <f aca="false">-IF(AND(22&gt;=Hipótesis!$D$49,Hipótesis!$B$49=1),IF(Hipótesis!$G$49=1,Hipótesis!$D$44,Hipótesis!$C$49*(1+Hipótesis!$D$45)^1)*(1+Hipótesis!$D$42),0)</f>
        <v>-4620</v>
      </c>
      <c r="Y45" s="138" t="n">
        <f aca="false">-IF(AND(23&gt;=Hipótesis!$D$49,Hipótesis!$B$49=1),IF(Hipótesis!$G$49=1,Hipótesis!$D$44,Hipótesis!$C$49*(1+Hipótesis!$D$45)^1)*(1+Hipótesis!$D$42),0)</f>
        <v>-4620</v>
      </c>
      <c r="Z45" s="138" t="n">
        <f aca="false">-IF(AND(24&gt;=Hipótesis!$D$49,Hipótesis!$B$49=1),IF(Hipótesis!$G$49=1,Hipótesis!$D$44,Hipótesis!$C$49*(1+Hipótesis!$D$45)^1)*(1+Hipótesis!$D$42),0)</f>
        <v>-4620</v>
      </c>
      <c r="AA45" s="138" t="n">
        <f aca="false">-IF(AND(25&gt;=Hipótesis!$D$49,Hipótesis!$B$49=1),IF(Hipótesis!$G$49=1,Hipótesis!$E$44,Hipótesis!$C$49*(1+Hipótesis!$D$45)^2)*(1+Hipótesis!$D$42),0)</f>
        <v>-5280</v>
      </c>
      <c r="AB45" s="138" t="n">
        <f aca="false">-IF(AND(26&gt;=Hipótesis!$D$49,Hipótesis!$B$49=1),IF(Hipótesis!$G$49=1,Hipótesis!$E$44,Hipótesis!$C$49*(1+Hipótesis!$D$45)^2)*(1+Hipótesis!$D$42),0)</f>
        <v>-5280</v>
      </c>
      <c r="AC45" s="138" t="n">
        <f aca="false">-IF(AND(27&gt;=Hipótesis!$D$49,Hipótesis!$B$49=1),IF(Hipótesis!$G$49=1,Hipótesis!$E$44,Hipótesis!$C$49*(1+Hipótesis!$D$45)^2)*(1+Hipótesis!$D$42),0)</f>
        <v>-5280</v>
      </c>
      <c r="AD45" s="138" t="n">
        <f aca="false">-IF(AND(28&gt;=Hipótesis!$D$49,Hipótesis!$B$49=1),IF(Hipótesis!$G$49=1,Hipótesis!$E$44,Hipótesis!$C$49*(1+Hipótesis!$D$45)^2)*(1+Hipótesis!$D$42),0)</f>
        <v>-5280</v>
      </c>
      <c r="AE45" s="138" t="n">
        <f aca="false">-IF(AND(29&gt;=Hipótesis!$D$49,Hipótesis!$B$49=1),IF(Hipótesis!$G$49=1,Hipótesis!$E$44,Hipótesis!$C$49*(1+Hipótesis!$D$45)^2)*(1+Hipótesis!$D$42),0)</f>
        <v>-5280</v>
      </c>
      <c r="AF45" s="138" t="n">
        <f aca="false">-IF(AND(30&gt;=Hipótesis!$D$49,Hipótesis!$B$49=1),IF(Hipótesis!$G$49=1,Hipótesis!$E$44,Hipótesis!$C$49*(1+Hipótesis!$D$45)^2)*(1+Hipótesis!$D$42),0)</f>
        <v>-5280</v>
      </c>
      <c r="AG45" s="138" t="n">
        <f aca="false">-IF(AND(31&gt;=Hipótesis!$D$49,Hipótesis!$B$49=1),IF(Hipótesis!$G$49=1,Hipótesis!$E$44,Hipótesis!$C$49*(1+Hipótesis!$D$45)^2)*(1+Hipótesis!$D$42),0)</f>
        <v>-5280</v>
      </c>
      <c r="AH45" s="138" t="n">
        <f aca="false">-IF(AND(32&gt;=Hipótesis!$D$49,Hipótesis!$B$49=1),IF(Hipótesis!$G$49=1,Hipótesis!$E$44,Hipótesis!$C$49*(1+Hipótesis!$D$45)^2)*(1+Hipótesis!$D$42),0)</f>
        <v>-5280</v>
      </c>
      <c r="AI45" s="138" t="n">
        <f aca="false">-IF(AND(33&gt;=Hipótesis!$D$49,Hipótesis!$B$49=1),IF(Hipótesis!$G$49=1,Hipótesis!$E$44,Hipótesis!$C$49*(1+Hipótesis!$D$45)^2)*(1+Hipótesis!$D$42),0)</f>
        <v>-5280</v>
      </c>
      <c r="AJ45" s="138" t="n">
        <f aca="false">-IF(AND(34&gt;=Hipótesis!$D$49,Hipótesis!$B$49=1),IF(Hipótesis!$G$49=1,Hipótesis!$E$44,Hipótesis!$C$49*(1+Hipótesis!$D$45)^2)*(1+Hipótesis!$D$42),0)</f>
        <v>-5280</v>
      </c>
      <c r="AK45" s="138" t="n">
        <f aca="false">-IF(AND(35&gt;=Hipótesis!$D$49,Hipótesis!$B$49=1),IF(Hipótesis!$G$49=1,Hipótesis!$E$44,Hipótesis!$C$49*(1+Hipótesis!$D$45)^2)*(1+Hipótesis!$D$42),0)</f>
        <v>-5280</v>
      </c>
      <c r="AL45" s="138" t="n">
        <f aca="false">-IF(AND(36&gt;=Hipótesis!$D$49,Hipótesis!$B$49=1),IF(Hipótesis!$G$49=1,Hipótesis!$E$44,Hipótesis!$C$49*(1+Hipótesis!$D$45)^2)*(1+Hipótesis!$D$42),0)</f>
        <v>-5280</v>
      </c>
      <c r="AM45" s="138" t="n">
        <f aca="false">-IF(AND(37&gt;=Hipótesis!$D$49,Hipótesis!$B$49=1),IF(Hipótesis!$G$49=1,Hipótesis!$F$44,Hipótesis!$C$49*(1+Hipótesis!$D$45)^3)*(1+Hipótesis!$D$42),0)</f>
        <v>-5940</v>
      </c>
      <c r="AN45" s="138" t="n">
        <f aca="false">-IF(AND(38&gt;=Hipótesis!$D$49,Hipótesis!$B$49=1),IF(Hipótesis!$G$49=1,Hipótesis!$F$44,Hipótesis!$C$49*(1+Hipótesis!$D$45)^3)*(1+Hipótesis!$D$42),0)</f>
        <v>-5940</v>
      </c>
      <c r="AO45" s="138" t="n">
        <f aca="false">-IF(AND(39&gt;=Hipótesis!$D$49,Hipótesis!$B$49=1),IF(Hipótesis!$G$49=1,Hipótesis!$F$44,Hipótesis!$C$49*(1+Hipótesis!$D$45)^3)*(1+Hipótesis!$D$42),0)</f>
        <v>-5940</v>
      </c>
      <c r="AP45" s="138" t="n">
        <f aca="false">-IF(AND(40&gt;=Hipótesis!$D$49,Hipótesis!$B$49=1),IF(Hipótesis!$G$49=1,Hipótesis!$F$44,Hipótesis!$C$49*(1+Hipótesis!$D$45)^3)*(1+Hipótesis!$D$42),0)</f>
        <v>-5940</v>
      </c>
      <c r="AQ45" s="138" t="n">
        <f aca="false">-IF(AND(41&gt;=Hipótesis!$D$49,Hipótesis!$B$49=1),IF(Hipótesis!$G$49=1,Hipótesis!$F$44,Hipótesis!$C$49*(1+Hipótesis!$D$45)^3)*(1+Hipótesis!$D$42),0)</f>
        <v>-5940</v>
      </c>
      <c r="AR45" s="138" t="n">
        <f aca="false">-IF(AND(42&gt;=Hipótesis!$D$49,Hipótesis!$B$49=1),IF(Hipótesis!$G$49=1,Hipótesis!$F$44,Hipótesis!$C$49*(1+Hipótesis!$D$45)^3)*(1+Hipótesis!$D$42),0)</f>
        <v>-5940</v>
      </c>
      <c r="AS45" s="138" t="n">
        <f aca="false">-IF(AND(43&gt;=Hipótesis!$D$49,Hipótesis!$B$49=1),IF(Hipótesis!$G$49=1,Hipótesis!$F$44,Hipótesis!$C$49*(1+Hipótesis!$D$45)^3)*(1+Hipótesis!$D$42),0)</f>
        <v>-5940</v>
      </c>
      <c r="AT45" s="138" t="n">
        <f aca="false">-IF(AND(44&gt;=Hipótesis!$D$49,Hipótesis!$B$49=1),IF(Hipótesis!$G$49=1,Hipótesis!$F$44,Hipótesis!$C$49*(1+Hipótesis!$D$45)^3)*(1+Hipótesis!$D$42),0)</f>
        <v>-5940</v>
      </c>
      <c r="AU45" s="138" t="n">
        <f aca="false">-IF(AND(45&gt;=Hipótesis!$D$49,Hipótesis!$B$49=1),IF(Hipótesis!$G$49=1,Hipótesis!$F$44,Hipótesis!$C$49*(1+Hipótesis!$D$45)^3)*(1+Hipótesis!$D$42),0)</f>
        <v>-5940</v>
      </c>
      <c r="AV45" s="138" t="n">
        <f aca="false">-IF(AND(46&gt;=Hipótesis!$D$49,Hipótesis!$B$49=1),IF(Hipótesis!$G$49=1,Hipótesis!$F$44,Hipótesis!$C$49*(1+Hipótesis!$D$45)^3)*(1+Hipótesis!$D$42),0)</f>
        <v>-5940</v>
      </c>
      <c r="AW45" s="138" t="n">
        <f aca="false">-IF(AND(47&gt;=Hipótesis!$D$49,Hipótesis!$B$49=1),IF(Hipótesis!$G$49=1,Hipótesis!$F$44,Hipótesis!$C$49*(1+Hipótesis!$D$45)^3)*(1+Hipótesis!$D$42),0)</f>
        <v>-5940</v>
      </c>
      <c r="AX45" s="138" t="n">
        <f aca="false">-IF(AND(48&gt;=Hipótesis!$D$49,Hipótesis!$B$49=1),IF(Hipótesis!$G$49=1,Hipótesis!$F$44,Hipótesis!$C$49*(1+Hipótesis!$D$45)^3)*(1+Hipótesis!$D$42),0)</f>
        <v>-5940</v>
      </c>
      <c r="AY45" s="138" t="n">
        <f aca="false">-IF(AND(49&gt;=Hipótesis!$D$49,Hipótesis!$B$49=1),IF(Hipótesis!$G$49=1,Hipótesis!$G$44,Hipótesis!$C$49*(1+Hipótesis!$D$45)^4)*(1+Hipótesis!$D$42),0)</f>
        <v>-6600</v>
      </c>
      <c r="AZ45" s="138" t="n">
        <f aca="false">-IF(AND(50&gt;=Hipótesis!$D$49,Hipótesis!$B$49=1),IF(Hipótesis!$G$49=1,Hipótesis!$G$44,Hipótesis!$C$49*(1+Hipótesis!$D$45)^4)*(1+Hipótesis!$D$42),0)</f>
        <v>-6600</v>
      </c>
      <c r="BA45" s="138" t="n">
        <f aca="false">-IF(AND(51&gt;=Hipótesis!$D$49,Hipótesis!$B$49=1),IF(Hipótesis!$G$49=1,Hipótesis!$G$44,Hipótesis!$C$49*(1+Hipótesis!$D$45)^4)*(1+Hipótesis!$D$42),0)</f>
        <v>-6600</v>
      </c>
      <c r="BB45" s="138" t="n">
        <f aca="false">-IF(AND(52&gt;=Hipótesis!$D$49,Hipótesis!$B$49=1),IF(Hipótesis!$G$49=1,Hipótesis!$G$44,Hipótesis!$C$49*(1+Hipótesis!$D$45)^4)*(1+Hipótesis!$D$42),0)</f>
        <v>-6600</v>
      </c>
      <c r="BC45" s="138" t="n">
        <f aca="false">-IF(AND(53&gt;=Hipótesis!$D$49,Hipótesis!$B$49=1),IF(Hipótesis!$G$49=1,Hipótesis!$G$44,Hipótesis!$C$49*(1+Hipótesis!$D$45)^4)*(1+Hipótesis!$D$42),0)</f>
        <v>-6600</v>
      </c>
      <c r="BD45" s="138" t="n">
        <f aca="false">-IF(AND(54&gt;=Hipótesis!$D$49,Hipótesis!$B$49=1),IF(Hipótesis!$G$49=1,Hipótesis!$G$44,Hipótesis!$C$49*(1+Hipótesis!$D$45)^4)*(1+Hipótesis!$D$42),0)</f>
        <v>-6600</v>
      </c>
      <c r="BE45" s="138" t="n">
        <f aca="false">-IF(AND(55&gt;=Hipótesis!$D$49,Hipótesis!$B$49=1),IF(Hipótesis!$G$49=1,Hipótesis!$G$44,Hipótesis!$C$49*(1+Hipótesis!$D$45)^4)*(1+Hipótesis!$D$42),0)</f>
        <v>-6600</v>
      </c>
      <c r="BF45" s="138" t="n">
        <f aca="false">-IF(AND(56&gt;=Hipótesis!$D$49,Hipótesis!$B$49=1),IF(Hipótesis!$G$49=1,Hipótesis!$G$44,Hipótesis!$C$49*(1+Hipótesis!$D$45)^4)*(1+Hipótesis!$D$42),0)</f>
        <v>-6600</v>
      </c>
      <c r="BG45" s="138" t="n">
        <f aca="false">-IF(AND(57&gt;=Hipótesis!$D$49,Hipótesis!$B$49=1),IF(Hipótesis!$G$49=1,Hipótesis!$G$44,Hipótesis!$C$49*(1+Hipótesis!$D$45)^4)*(1+Hipótesis!$D$42),0)</f>
        <v>-6600</v>
      </c>
      <c r="BH45" s="138" t="n">
        <f aca="false">-IF(AND(58&gt;=Hipótesis!$D$49,Hipótesis!$B$49=1),IF(Hipótesis!$G$49=1,Hipótesis!$G$44,Hipótesis!$C$49*(1+Hipótesis!$D$45)^4)*(1+Hipótesis!$D$42),0)</f>
        <v>-6600</v>
      </c>
      <c r="BI45" s="138" t="n">
        <f aca="false">-IF(AND(59&gt;=Hipótesis!$D$49,Hipótesis!$B$49=1),IF(Hipótesis!$G$49=1,Hipótesis!$G$44,Hipótesis!$C$49*(1+Hipótesis!$D$45)^4)*(1+Hipótesis!$D$42),0)</f>
        <v>-6600</v>
      </c>
      <c r="BJ45" s="138" t="n">
        <f aca="false">-IF(AND(60&gt;=Hipótesis!$D$49,Hipótesis!$B$49=1),IF(Hipótesis!$G$49=1,Hipótesis!$G$44,Hipótesis!$C$49*(1+Hipótesis!$D$45)^4)*(1+Hipótesis!$D$42),0)</f>
        <v>-6600</v>
      </c>
      <c r="BK45" s="138" t="n">
        <f aca="false">-IF(AND(61&gt;=Hipótesis!$D$49,Hipótesis!$B$49=1),IF(Hipótesis!$G$49=1,Hipótesis!$H$44,Hipótesis!$C$49*(1+Hipótesis!$D$45)^5)*(1+Hipótesis!$D$42),0)</f>
        <v>-7260</v>
      </c>
      <c r="BL45" s="138" t="n">
        <f aca="false">-IF(AND(62&gt;=Hipótesis!$D$49,Hipótesis!$B$49=1),IF(Hipótesis!$G$49=1,Hipótesis!$H$44,Hipótesis!$C$49*(1+Hipótesis!$D$45)^5)*(1+Hipótesis!$D$42),0)</f>
        <v>-7260</v>
      </c>
      <c r="BM45" s="138" t="n">
        <f aca="false">-IF(AND(63&gt;=Hipótesis!$D$49,Hipótesis!$B$49=1),IF(Hipótesis!$G$49=1,Hipótesis!$H$44,Hipótesis!$C$49*(1+Hipótesis!$D$45)^5)*(1+Hipótesis!$D$42),0)</f>
        <v>-7260</v>
      </c>
      <c r="BN45" s="138" t="n">
        <f aca="false">-IF(AND(64&gt;=Hipótesis!$D$49,Hipótesis!$B$49=1),IF(Hipótesis!$G$49=1,Hipótesis!$H$44,Hipótesis!$C$49*(1+Hipótesis!$D$45)^5)*(1+Hipótesis!$D$42),0)</f>
        <v>-7260</v>
      </c>
      <c r="BO45" s="138" t="n">
        <f aca="false">-IF(AND(65&gt;=Hipótesis!$D$49,Hipótesis!$B$49=1),IF(Hipótesis!$G$49=1,Hipótesis!$H$44,Hipótesis!$C$49*(1+Hipótesis!$D$45)^5)*(1+Hipótesis!$D$42),0)</f>
        <v>-7260</v>
      </c>
      <c r="BP45" s="138" t="n">
        <f aca="false">-IF(AND(66&gt;=Hipótesis!$D$49,Hipótesis!$B$49=1),IF(Hipótesis!$G$49=1,Hipótesis!$H$44,Hipótesis!$C$49*(1+Hipótesis!$D$45)^5)*(1+Hipótesis!$D$42),0)</f>
        <v>-7260</v>
      </c>
      <c r="BQ45" s="138" t="n">
        <f aca="false">-IF(AND(67&gt;=Hipótesis!$D$49,Hipótesis!$B$49=1),IF(Hipótesis!$G$49=1,Hipótesis!$H$44,Hipótesis!$C$49*(1+Hipótesis!$D$45)^5)*(1+Hipótesis!$D$42),0)</f>
        <v>-7260</v>
      </c>
      <c r="BR45" s="138" t="n">
        <f aca="false">-IF(AND(68&gt;=Hipótesis!$D$49,Hipótesis!$B$49=1),IF(Hipótesis!$G$49=1,Hipótesis!$H$44,Hipótesis!$C$49*(1+Hipótesis!$D$45)^5)*(1+Hipótesis!$D$42),0)</f>
        <v>-7260</v>
      </c>
      <c r="BS45" s="138" t="n">
        <f aca="false">-IF(AND(69&gt;=Hipótesis!$D$49,Hipótesis!$B$49=1),IF(Hipótesis!$G$49=1,Hipótesis!$H$44,Hipótesis!$C$49*(1+Hipótesis!$D$45)^5)*(1+Hipótesis!$D$42),0)</f>
        <v>-7260</v>
      </c>
      <c r="BT45" s="138" t="n">
        <f aca="false">-IF(AND(70&gt;=Hipótesis!$D$49,Hipótesis!$B$49=1),IF(Hipótesis!$G$49=1,Hipótesis!$H$44,Hipótesis!$C$49*(1+Hipótesis!$D$45)^5)*(1+Hipótesis!$D$42),0)</f>
        <v>-7260</v>
      </c>
      <c r="BU45" s="138" t="n">
        <f aca="false">-IF(AND(71&gt;=Hipótesis!$D$49,Hipótesis!$B$49=1),IF(Hipótesis!$G$49=1,Hipótesis!$H$44,Hipótesis!$C$49*(1+Hipótesis!$D$45)^5)*(1+Hipótesis!$D$42),0)</f>
        <v>-7260</v>
      </c>
      <c r="BV45" s="138" t="n">
        <f aca="false">-IF(AND(72&gt;=Hipótesis!$D$49,Hipótesis!$B$49=1),IF(Hipótesis!$G$49=1,Hipótesis!$H$44,Hipótesis!$C$49*(1+Hipótesis!$D$45)^5)*(1+Hipótesis!$D$42),0)</f>
        <v>-7260</v>
      </c>
      <c r="BW45" s="138" t="n">
        <f aca="false">-IF(AND(73&gt;=Hipótesis!$D$49,Hipótesis!$B$49=1),IF(Hipótesis!$G$49=1,Hipótesis!$I$44,Hipótesis!$C$49*(1+Hipótesis!$D$45)^6)*(1+Hipótesis!$D$42),0)</f>
        <v>-7920</v>
      </c>
      <c r="BX45" s="138" t="n">
        <f aca="false">-IF(AND(74&gt;=Hipótesis!$D$49,Hipótesis!$B$49=1),IF(Hipótesis!$G$49=1,Hipótesis!$I$44,Hipótesis!$C$49*(1+Hipótesis!$D$45)^6)*(1+Hipótesis!$D$42),0)</f>
        <v>-7920</v>
      </c>
      <c r="BY45" s="138" t="n">
        <f aca="false">-IF(AND(75&gt;=Hipótesis!$D$49,Hipótesis!$B$49=1),IF(Hipótesis!$G$49=1,Hipótesis!$I$44,Hipótesis!$C$49*(1+Hipótesis!$D$45)^6)*(1+Hipótesis!$D$42),0)</f>
        <v>-7920</v>
      </c>
      <c r="BZ45" s="138" t="n">
        <f aca="false">-IF(AND(76&gt;=Hipótesis!$D$49,Hipótesis!$B$49=1),IF(Hipótesis!$G$49=1,Hipótesis!$I$44,Hipótesis!$C$49*(1+Hipótesis!$D$45)^6)*(1+Hipótesis!$D$42),0)</f>
        <v>-7920</v>
      </c>
      <c r="CA45" s="138" t="n">
        <f aca="false">-IF(AND(77&gt;=Hipótesis!$D$49,Hipótesis!$B$49=1),IF(Hipótesis!$G$49=1,Hipótesis!$I$44,Hipótesis!$C$49*(1+Hipótesis!$D$45)^6)*(1+Hipótesis!$D$42),0)</f>
        <v>-7920</v>
      </c>
      <c r="CB45" s="138" t="n">
        <f aca="false">-IF(AND(78&gt;=Hipótesis!$D$49,Hipótesis!$B$49=1),IF(Hipótesis!$G$49=1,Hipótesis!$I$44,Hipótesis!$C$49*(1+Hipótesis!$D$45)^6)*(1+Hipótesis!$D$42),0)</f>
        <v>-7920</v>
      </c>
      <c r="CC45" s="138" t="n">
        <f aca="false">-IF(AND(79&gt;=Hipótesis!$D$49,Hipótesis!$B$49=1),IF(Hipótesis!$G$49=1,Hipótesis!$I$44,Hipótesis!$C$49*(1+Hipótesis!$D$45)^6)*(1+Hipótesis!$D$42),0)</f>
        <v>-7920</v>
      </c>
      <c r="CD45" s="138" t="n">
        <f aca="false">-IF(AND(80&gt;=Hipótesis!$D$49,Hipótesis!$B$49=1),IF(Hipótesis!$G$49=1,Hipótesis!$I$44,Hipótesis!$C$49*(1+Hipótesis!$D$45)^6)*(1+Hipótesis!$D$42),0)</f>
        <v>-7920</v>
      </c>
      <c r="CE45" s="138" t="n">
        <f aca="false">-IF(AND(81&gt;=Hipótesis!$D$49,Hipótesis!$B$49=1),IF(Hipótesis!$G$49=1,Hipótesis!$I$44,Hipótesis!$C$49*(1+Hipótesis!$D$45)^6)*(1+Hipótesis!$D$42),0)</f>
        <v>-7920</v>
      </c>
      <c r="CF45" s="138" t="n">
        <f aca="false">-IF(AND(82&gt;=Hipótesis!$D$49,Hipótesis!$B$49=1),IF(Hipótesis!$G$49=1,Hipótesis!$I$44,Hipótesis!$C$49*(1+Hipótesis!$D$45)^6)*(1+Hipótesis!$D$42),0)</f>
        <v>-7920</v>
      </c>
      <c r="CG45" s="138" t="n">
        <f aca="false">-IF(AND(83&gt;=Hipótesis!$D$49,Hipótesis!$B$49=1),IF(Hipótesis!$G$49=1,Hipótesis!$I$44,Hipótesis!$C$49*(1+Hipótesis!$D$45)^6)*(1+Hipótesis!$D$42),0)</f>
        <v>-7920</v>
      </c>
      <c r="CH45" s="138" t="n">
        <f aca="false">-IF(AND(84&gt;=Hipótesis!$D$49,Hipótesis!$B$49=1),IF(Hipótesis!$G$49=1,Hipótesis!$I$44,Hipótesis!$C$49*(1+Hipótesis!$D$45)^6)*(1+Hipótesis!$D$42),0)</f>
        <v>-7920</v>
      </c>
    </row>
    <row r="46" customFormat="false" ht="13.5" hidden="false" customHeight="true" outlineLevel="0" collapsed="false">
      <c r="A46" s="13" t="s">
        <v>727</v>
      </c>
      <c r="C46" s="138" t="n">
        <f aca="false">-IF(AND(1&gt;=Hipótesis!$D$50,Hipótesis!$B$50=1),IF(Hipótesis!$G$50=1,Hipótesis!$C$44,Hipótesis!$C$50*(1+Hipótesis!$D$45)^0)*(1+Hipótesis!$D$42),0)</f>
        <v>-2904</v>
      </c>
      <c r="D46" s="138" t="n">
        <f aca="false">-IF(AND(2&gt;=Hipótesis!$D$50,Hipótesis!$B$50=1),IF(Hipótesis!$G$50=1,Hipótesis!$C$44,Hipótesis!$C$50*(1+Hipótesis!$D$45)^0)*(1+Hipótesis!$D$42),0)</f>
        <v>-2904</v>
      </c>
      <c r="E46" s="138" t="n">
        <f aca="false">-IF(AND(3&gt;=Hipótesis!$D$50,Hipótesis!$B$50=1),IF(Hipótesis!$G$50=1,Hipótesis!$C$44,Hipótesis!$C$50*(1+Hipótesis!$D$45)^0)*(1+Hipótesis!$D$42),0)</f>
        <v>-2904</v>
      </c>
      <c r="F46" s="138" t="n">
        <f aca="false">-IF(AND(4&gt;=Hipótesis!$D$50,Hipótesis!$B$50=1),IF(Hipótesis!$G$50=1,Hipótesis!$C$44,Hipótesis!$C$50*(1+Hipótesis!$D$45)^0)*(1+Hipótesis!$D$42),0)</f>
        <v>-2904</v>
      </c>
      <c r="G46" s="138" t="n">
        <f aca="false">-IF(AND(5&gt;=Hipótesis!$D$50,Hipótesis!$B$50=1),IF(Hipótesis!$G$50=1,Hipótesis!$C$44,Hipótesis!$C$50*(1+Hipótesis!$D$45)^0)*(1+Hipótesis!$D$42),0)</f>
        <v>-2904</v>
      </c>
      <c r="H46" s="138" t="n">
        <f aca="false">-IF(AND(6&gt;=Hipótesis!$D$50,Hipótesis!$B$50=1),IF(Hipótesis!$G$50=1,Hipótesis!$C$44,Hipótesis!$C$50*(1+Hipótesis!$D$45)^0)*(1+Hipótesis!$D$42),0)</f>
        <v>-2904</v>
      </c>
      <c r="I46" s="138" t="n">
        <f aca="false">-IF(AND(7&gt;=Hipótesis!$D$50,Hipótesis!$B$50=1),IF(Hipótesis!$G$50=1,Hipótesis!$C$44,Hipótesis!$C$50*(1+Hipótesis!$D$45)^0)*(1+Hipótesis!$D$42),0)</f>
        <v>-2904</v>
      </c>
      <c r="J46" s="138" t="n">
        <f aca="false">-IF(AND(8&gt;=Hipótesis!$D$50,Hipótesis!$B$50=1),IF(Hipótesis!$G$50=1,Hipótesis!$C$44,Hipótesis!$C$50*(1+Hipótesis!$D$45)^0)*(1+Hipótesis!$D$42),0)</f>
        <v>-2904</v>
      </c>
      <c r="K46" s="138" t="n">
        <f aca="false">-IF(AND(9&gt;=Hipótesis!$D$50,Hipótesis!$B$50=1),IF(Hipótesis!$G$50=1,Hipótesis!$C$44,Hipótesis!$C$50*(1+Hipótesis!$D$45)^0)*(1+Hipótesis!$D$42),0)</f>
        <v>-2904</v>
      </c>
      <c r="L46" s="138" t="n">
        <f aca="false">-IF(AND(10&gt;=Hipótesis!$D$50,Hipótesis!$B$50=1),IF(Hipótesis!$G$50=1,Hipótesis!$C$44,Hipótesis!$C$50*(1+Hipótesis!$D$45)^0)*(1+Hipótesis!$D$42),0)</f>
        <v>-2904</v>
      </c>
      <c r="M46" s="138" t="n">
        <f aca="false">-IF(AND(11&gt;=Hipótesis!$D$50,Hipótesis!$B$50=1),IF(Hipótesis!$G$50=1,Hipótesis!$C$44,Hipótesis!$C$50*(1+Hipótesis!$D$45)^0)*(1+Hipótesis!$D$42),0)</f>
        <v>-2904</v>
      </c>
      <c r="N46" s="138" t="n">
        <f aca="false">-IF(AND(12&gt;=Hipótesis!$D$50,Hipótesis!$B$50=1),IF(Hipótesis!$G$50=1,Hipótesis!$C$44,Hipótesis!$C$50*(1+Hipótesis!$D$45)^0)*(1+Hipótesis!$D$42),0)</f>
        <v>-2904</v>
      </c>
      <c r="O46" s="138" t="n">
        <f aca="false">-IF(AND(13&gt;=Hipótesis!$D$50,Hipótesis!$B$50=1),IF(Hipótesis!$G$50=1,Hipótesis!$D$44,Hipótesis!$C$50*(1+Hipótesis!$D$45)^1)*(1+Hipótesis!$D$42),0)</f>
        <v>-4620</v>
      </c>
      <c r="P46" s="138" t="n">
        <f aca="false">-IF(AND(14&gt;=Hipótesis!$D$50,Hipótesis!$B$50=1),IF(Hipótesis!$G$50=1,Hipótesis!$D$44,Hipótesis!$C$50*(1+Hipótesis!$D$45)^1)*(1+Hipótesis!$D$42),0)</f>
        <v>-4620</v>
      </c>
      <c r="Q46" s="138" t="n">
        <f aca="false">-IF(AND(15&gt;=Hipótesis!$D$50,Hipótesis!$B$50=1),IF(Hipótesis!$G$50=1,Hipótesis!$D$44,Hipótesis!$C$50*(1+Hipótesis!$D$45)^1)*(1+Hipótesis!$D$42),0)</f>
        <v>-4620</v>
      </c>
      <c r="R46" s="138" t="n">
        <f aca="false">-IF(AND(16&gt;=Hipótesis!$D$50,Hipótesis!$B$50=1),IF(Hipótesis!$G$50=1,Hipótesis!$D$44,Hipótesis!$C$50*(1+Hipótesis!$D$45)^1)*(1+Hipótesis!$D$42),0)</f>
        <v>-4620</v>
      </c>
      <c r="S46" s="138" t="n">
        <f aca="false">-IF(AND(17&gt;=Hipótesis!$D$50,Hipótesis!$B$50=1),IF(Hipótesis!$G$50=1,Hipótesis!$D$44,Hipótesis!$C$50*(1+Hipótesis!$D$45)^1)*(1+Hipótesis!$D$42),0)</f>
        <v>-4620</v>
      </c>
      <c r="T46" s="138" t="n">
        <f aca="false">-IF(AND(18&gt;=Hipótesis!$D$50,Hipótesis!$B$50=1),IF(Hipótesis!$G$50=1,Hipótesis!$D$44,Hipótesis!$C$50*(1+Hipótesis!$D$45)^1)*(1+Hipótesis!$D$42),0)</f>
        <v>-4620</v>
      </c>
      <c r="U46" s="138" t="n">
        <f aca="false">-IF(AND(19&gt;=Hipótesis!$D$50,Hipótesis!$B$50=1),IF(Hipótesis!$G$50=1,Hipótesis!$D$44,Hipótesis!$C$50*(1+Hipótesis!$D$45)^1)*(1+Hipótesis!$D$42),0)</f>
        <v>-4620</v>
      </c>
      <c r="V46" s="138" t="n">
        <f aca="false">-IF(AND(20&gt;=Hipótesis!$D$50,Hipótesis!$B$50=1),IF(Hipótesis!$G$50=1,Hipótesis!$D$44,Hipótesis!$C$50*(1+Hipótesis!$D$45)^1)*(1+Hipótesis!$D$42),0)</f>
        <v>-4620</v>
      </c>
      <c r="W46" s="138" t="n">
        <f aca="false">-IF(AND(21&gt;=Hipótesis!$D$50,Hipótesis!$B$50=1),IF(Hipótesis!$G$50=1,Hipótesis!$D$44,Hipótesis!$C$50*(1+Hipótesis!$D$45)^1)*(1+Hipótesis!$D$42),0)</f>
        <v>-4620</v>
      </c>
      <c r="X46" s="138" t="n">
        <f aca="false">-IF(AND(22&gt;=Hipótesis!$D$50,Hipótesis!$B$50=1),IF(Hipótesis!$G$50=1,Hipótesis!$D$44,Hipótesis!$C$50*(1+Hipótesis!$D$45)^1)*(1+Hipótesis!$D$42),0)</f>
        <v>-4620</v>
      </c>
      <c r="Y46" s="138" t="n">
        <f aca="false">-IF(AND(23&gt;=Hipótesis!$D$50,Hipótesis!$B$50=1),IF(Hipótesis!$G$50=1,Hipótesis!$D$44,Hipótesis!$C$50*(1+Hipótesis!$D$45)^1)*(1+Hipótesis!$D$42),0)</f>
        <v>-4620</v>
      </c>
      <c r="Z46" s="138" t="n">
        <f aca="false">-IF(AND(24&gt;=Hipótesis!$D$50,Hipótesis!$B$50=1),IF(Hipótesis!$G$50=1,Hipótesis!$D$44,Hipótesis!$C$50*(1+Hipótesis!$D$45)^1)*(1+Hipótesis!$D$42),0)</f>
        <v>-4620</v>
      </c>
      <c r="AA46" s="138" t="n">
        <f aca="false">-IF(AND(25&gt;=Hipótesis!$D$50,Hipótesis!$B$50=1),IF(Hipótesis!$G$50=1,Hipótesis!$E$44,Hipótesis!$C$50*(1+Hipótesis!$D$45)^2)*(1+Hipótesis!$D$42),0)</f>
        <v>-5280</v>
      </c>
      <c r="AB46" s="138" t="n">
        <f aca="false">-IF(AND(26&gt;=Hipótesis!$D$50,Hipótesis!$B$50=1),IF(Hipótesis!$G$50=1,Hipótesis!$E$44,Hipótesis!$C$50*(1+Hipótesis!$D$45)^2)*(1+Hipótesis!$D$42),0)</f>
        <v>-5280</v>
      </c>
      <c r="AC46" s="138" t="n">
        <f aca="false">-IF(AND(27&gt;=Hipótesis!$D$50,Hipótesis!$B$50=1),IF(Hipótesis!$G$50=1,Hipótesis!$E$44,Hipótesis!$C$50*(1+Hipótesis!$D$45)^2)*(1+Hipótesis!$D$42),0)</f>
        <v>-5280</v>
      </c>
      <c r="AD46" s="138" t="n">
        <f aca="false">-IF(AND(28&gt;=Hipótesis!$D$50,Hipótesis!$B$50=1),IF(Hipótesis!$G$50=1,Hipótesis!$E$44,Hipótesis!$C$50*(1+Hipótesis!$D$45)^2)*(1+Hipótesis!$D$42),0)</f>
        <v>-5280</v>
      </c>
      <c r="AE46" s="138" t="n">
        <f aca="false">-IF(AND(29&gt;=Hipótesis!$D$50,Hipótesis!$B$50=1),IF(Hipótesis!$G$50=1,Hipótesis!$E$44,Hipótesis!$C$50*(1+Hipótesis!$D$45)^2)*(1+Hipótesis!$D$42),0)</f>
        <v>-5280</v>
      </c>
      <c r="AF46" s="138" t="n">
        <f aca="false">-IF(AND(30&gt;=Hipótesis!$D$50,Hipótesis!$B$50=1),IF(Hipótesis!$G$50=1,Hipótesis!$E$44,Hipótesis!$C$50*(1+Hipótesis!$D$45)^2)*(1+Hipótesis!$D$42),0)</f>
        <v>-5280</v>
      </c>
      <c r="AG46" s="138" t="n">
        <f aca="false">-IF(AND(31&gt;=Hipótesis!$D$50,Hipótesis!$B$50=1),IF(Hipótesis!$G$50=1,Hipótesis!$E$44,Hipótesis!$C$50*(1+Hipótesis!$D$45)^2)*(1+Hipótesis!$D$42),0)</f>
        <v>-5280</v>
      </c>
      <c r="AH46" s="138" t="n">
        <f aca="false">-IF(AND(32&gt;=Hipótesis!$D$50,Hipótesis!$B$50=1),IF(Hipótesis!$G$50=1,Hipótesis!$E$44,Hipótesis!$C$50*(1+Hipótesis!$D$45)^2)*(1+Hipótesis!$D$42),0)</f>
        <v>-5280</v>
      </c>
      <c r="AI46" s="138" t="n">
        <f aca="false">-IF(AND(33&gt;=Hipótesis!$D$50,Hipótesis!$B$50=1),IF(Hipótesis!$G$50=1,Hipótesis!$E$44,Hipótesis!$C$50*(1+Hipótesis!$D$45)^2)*(1+Hipótesis!$D$42),0)</f>
        <v>-5280</v>
      </c>
      <c r="AJ46" s="138" t="n">
        <f aca="false">-IF(AND(34&gt;=Hipótesis!$D$50,Hipótesis!$B$50=1),IF(Hipótesis!$G$50=1,Hipótesis!$E$44,Hipótesis!$C$50*(1+Hipótesis!$D$45)^2)*(1+Hipótesis!$D$42),0)</f>
        <v>-5280</v>
      </c>
      <c r="AK46" s="138" t="n">
        <f aca="false">-IF(AND(35&gt;=Hipótesis!$D$50,Hipótesis!$B$50=1),IF(Hipótesis!$G$50=1,Hipótesis!$E$44,Hipótesis!$C$50*(1+Hipótesis!$D$45)^2)*(1+Hipótesis!$D$42),0)</f>
        <v>-5280</v>
      </c>
      <c r="AL46" s="138" t="n">
        <f aca="false">-IF(AND(36&gt;=Hipótesis!$D$50,Hipótesis!$B$50=1),IF(Hipótesis!$G$50=1,Hipótesis!$E$44,Hipótesis!$C$50*(1+Hipótesis!$D$45)^2)*(1+Hipótesis!$D$42),0)</f>
        <v>-5280</v>
      </c>
      <c r="AM46" s="138" t="n">
        <f aca="false">-IF(AND(37&gt;=Hipótesis!$D$50,Hipótesis!$B$50=1),IF(Hipótesis!$G$50=1,Hipótesis!$F$44,Hipótesis!$C$50*(1+Hipótesis!$D$45)^3)*(1+Hipótesis!$D$42),0)</f>
        <v>-5940</v>
      </c>
      <c r="AN46" s="138" t="n">
        <f aca="false">-IF(AND(38&gt;=Hipótesis!$D$50,Hipótesis!$B$50=1),IF(Hipótesis!$G$50=1,Hipótesis!$F$44,Hipótesis!$C$50*(1+Hipótesis!$D$45)^3)*(1+Hipótesis!$D$42),0)</f>
        <v>-5940</v>
      </c>
      <c r="AO46" s="138" t="n">
        <f aca="false">-IF(AND(39&gt;=Hipótesis!$D$50,Hipótesis!$B$50=1),IF(Hipótesis!$G$50=1,Hipótesis!$F$44,Hipótesis!$C$50*(1+Hipótesis!$D$45)^3)*(1+Hipótesis!$D$42),0)</f>
        <v>-5940</v>
      </c>
      <c r="AP46" s="138" t="n">
        <f aca="false">-IF(AND(40&gt;=Hipótesis!$D$50,Hipótesis!$B$50=1),IF(Hipótesis!$G$50=1,Hipótesis!$F$44,Hipótesis!$C$50*(1+Hipótesis!$D$45)^3)*(1+Hipótesis!$D$42),0)</f>
        <v>-5940</v>
      </c>
      <c r="AQ46" s="138" t="n">
        <f aca="false">-IF(AND(41&gt;=Hipótesis!$D$50,Hipótesis!$B$50=1),IF(Hipótesis!$G$50=1,Hipótesis!$F$44,Hipótesis!$C$50*(1+Hipótesis!$D$45)^3)*(1+Hipótesis!$D$42),0)</f>
        <v>-5940</v>
      </c>
      <c r="AR46" s="138" t="n">
        <f aca="false">-IF(AND(42&gt;=Hipótesis!$D$50,Hipótesis!$B$50=1),IF(Hipótesis!$G$50=1,Hipótesis!$F$44,Hipótesis!$C$50*(1+Hipótesis!$D$45)^3)*(1+Hipótesis!$D$42),0)</f>
        <v>-5940</v>
      </c>
      <c r="AS46" s="138" t="n">
        <f aca="false">-IF(AND(43&gt;=Hipótesis!$D$50,Hipótesis!$B$50=1),IF(Hipótesis!$G$50=1,Hipótesis!$F$44,Hipótesis!$C$50*(1+Hipótesis!$D$45)^3)*(1+Hipótesis!$D$42),0)</f>
        <v>-5940</v>
      </c>
      <c r="AT46" s="138" t="n">
        <f aca="false">-IF(AND(44&gt;=Hipótesis!$D$50,Hipótesis!$B$50=1),IF(Hipótesis!$G$50=1,Hipótesis!$F$44,Hipótesis!$C$50*(1+Hipótesis!$D$45)^3)*(1+Hipótesis!$D$42),0)</f>
        <v>-5940</v>
      </c>
      <c r="AU46" s="138" t="n">
        <f aca="false">-IF(AND(45&gt;=Hipótesis!$D$50,Hipótesis!$B$50=1),IF(Hipótesis!$G$50=1,Hipótesis!$F$44,Hipótesis!$C$50*(1+Hipótesis!$D$45)^3)*(1+Hipótesis!$D$42),0)</f>
        <v>-5940</v>
      </c>
      <c r="AV46" s="138" t="n">
        <f aca="false">-IF(AND(46&gt;=Hipótesis!$D$50,Hipótesis!$B$50=1),IF(Hipótesis!$G$50=1,Hipótesis!$F$44,Hipótesis!$C$50*(1+Hipótesis!$D$45)^3)*(1+Hipótesis!$D$42),0)</f>
        <v>-5940</v>
      </c>
      <c r="AW46" s="138" t="n">
        <f aca="false">-IF(AND(47&gt;=Hipótesis!$D$50,Hipótesis!$B$50=1),IF(Hipótesis!$G$50=1,Hipótesis!$F$44,Hipótesis!$C$50*(1+Hipótesis!$D$45)^3)*(1+Hipótesis!$D$42),0)</f>
        <v>-5940</v>
      </c>
      <c r="AX46" s="138" t="n">
        <f aca="false">-IF(AND(48&gt;=Hipótesis!$D$50,Hipótesis!$B$50=1),IF(Hipótesis!$G$50=1,Hipótesis!$F$44,Hipótesis!$C$50*(1+Hipótesis!$D$45)^3)*(1+Hipótesis!$D$42),0)</f>
        <v>-5940</v>
      </c>
      <c r="AY46" s="138" t="n">
        <f aca="false">-IF(AND(49&gt;=Hipótesis!$D$50,Hipótesis!$B$50=1),IF(Hipótesis!$G$50=1,Hipótesis!$G$44,Hipótesis!$C$50*(1+Hipótesis!$D$45)^4)*(1+Hipótesis!$D$42),0)</f>
        <v>-6600</v>
      </c>
      <c r="AZ46" s="138" t="n">
        <f aca="false">-IF(AND(50&gt;=Hipótesis!$D$50,Hipótesis!$B$50=1),IF(Hipótesis!$G$50=1,Hipótesis!$G$44,Hipótesis!$C$50*(1+Hipótesis!$D$45)^4)*(1+Hipótesis!$D$42),0)</f>
        <v>-6600</v>
      </c>
      <c r="BA46" s="138" t="n">
        <f aca="false">-IF(AND(51&gt;=Hipótesis!$D$50,Hipótesis!$B$50=1),IF(Hipótesis!$G$50=1,Hipótesis!$G$44,Hipótesis!$C$50*(1+Hipótesis!$D$45)^4)*(1+Hipótesis!$D$42),0)</f>
        <v>-6600</v>
      </c>
      <c r="BB46" s="138" t="n">
        <f aca="false">-IF(AND(52&gt;=Hipótesis!$D$50,Hipótesis!$B$50=1),IF(Hipótesis!$G$50=1,Hipótesis!$G$44,Hipótesis!$C$50*(1+Hipótesis!$D$45)^4)*(1+Hipótesis!$D$42),0)</f>
        <v>-6600</v>
      </c>
      <c r="BC46" s="138" t="n">
        <f aca="false">-IF(AND(53&gt;=Hipótesis!$D$50,Hipótesis!$B$50=1),IF(Hipótesis!$G$50=1,Hipótesis!$G$44,Hipótesis!$C$50*(1+Hipótesis!$D$45)^4)*(1+Hipótesis!$D$42),0)</f>
        <v>-6600</v>
      </c>
      <c r="BD46" s="138" t="n">
        <f aca="false">-IF(AND(54&gt;=Hipótesis!$D$50,Hipótesis!$B$50=1),IF(Hipótesis!$G$50=1,Hipótesis!$G$44,Hipótesis!$C$50*(1+Hipótesis!$D$45)^4)*(1+Hipótesis!$D$42),0)</f>
        <v>-6600</v>
      </c>
      <c r="BE46" s="138" t="n">
        <f aca="false">-IF(AND(55&gt;=Hipótesis!$D$50,Hipótesis!$B$50=1),IF(Hipótesis!$G$50=1,Hipótesis!$G$44,Hipótesis!$C$50*(1+Hipótesis!$D$45)^4)*(1+Hipótesis!$D$42),0)</f>
        <v>-6600</v>
      </c>
      <c r="BF46" s="138" t="n">
        <f aca="false">-IF(AND(56&gt;=Hipótesis!$D$50,Hipótesis!$B$50=1),IF(Hipótesis!$G$50=1,Hipótesis!$G$44,Hipótesis!$C$50*(1+Hipótesis!$D$45)^4)*(1+Hipótesis!$D$42),0)</f>
        <v>-6600</v>
      </c>
      <c r="BG46" s="138" t="n">
        <f aca="false">-IF(AND(57&gt;=Hipótesis!$D$50,Hipótesis!$B$50=1),IF(Hipótesis!$G$50=1,Hipótesis!$G$44,Hipótesis!$C$50*(1+Hipótesis!$D$45)^4)*(1+Hipótesis!$D$42),0)</f>
        <v>-6600</v>
      </c>
      <c r="BH46" s="138" t="n">
        <f aca="false">-IF(AND(58&gt;=Hipótesis!$D$50,Hipótesis!$B$50=1),IF(Hipótesis!$G$50=1,Hipótesis!$G$44,Hipótesis!$C$50*(1+Hipótesis!$D$45)^4)*(1+Hipótesis!$D$42),0)</f>
        <v>-6600</v>
      </c>
      <c r="BI46" s="138" t="n">
        <f aca="false">-IF(AND(59&gt;=Hipótesis!$D$50,Hipótesis!$B$50=1),IF(Hipótesis!$G$50=1,Hipótesis!$G$44,Hipótesis!$C$50*(1+Hipótesis!$D$45)^4)*(1+Hipótesis!$D$42),0)</f>
        <v>-6600</v>
      </c>
      <c r="BJ46" s="138" t="n">
        <f aca="false">-IF(AND(60&gt;=Hipótesis!$D$50,Hipótesis!$B$50=1),IF(Hipótesis!$G$50=1,Hipótesis!$G$44,Hipótesis!$C$50*(1+Hipótesis!$D$45)^4)*(1+Hipótesis!$D$42),0)</f>
        <v>-6600</v>
      </c>
      <c r="BK46" s="138" t="n">
        <f aca="false">-IF(AND(61&gt;=Hipótesis!$D$50,Hipótesis!$B$50=1),IF(Hipótesis!$G$50=1,Hipótesis!$H$44,Hipótesis!$C$50*(1+Hipótesis!$D$45)^5)*(1+Hipótesis!$D$42),0)</f>
        <v>-7260</v>
      </c>
      <c r="BL46" s="138" t="n">
        <f aca="false">-IF(AND(62&gt;=Hipótesis!$D$50,Hipótesis!$B$50=1),IF(Hipótesis!$G$50=1,Hipótesis!$H$44,Hipótesis!$C$50*(1+Hipótesis!$D$45)^5)*(1+Hipótesis!$D$42),0)</f>
        <v>-7260</v>
      </c>
      <c r="BM46" s="138" t="n">
        <f aca="false">-IF(AND(63&gt;=Hipótesis!$D$50,Hipótesis!$B$50=1),IF(Hipótesis!$G$50=1,Hipótesis!$H$44,Hipótesis!$C$50*(1+Hipótesis!$D$45)^5)*(1+Hipótesis!$D$42),0)</f>
        <v>-7260</v>
      </c>
      <c r="BN46" s="138" t="n">
        <f aca="false">-IF(AND(64&gt;=Hipótesis!$D$50,Hipótesis!$B$50=1),IF(Hipótesis!$G$50=1,Hipótesis!$H$44,Hipótesis!$C$50*(1+Hipótesis!$D$45)^5)*(1+Hipótesis!$D$42),0)</f>
        <v>-7260</v>
      </c>
      <c r="BO46" s="138" t="n">
        <f aca="false">-IF(AND(65&gt;=Hipótesis!$D$50,Hipótesis!$B$50=1),IF(Hipótesis!$G$50=1,Hipótesis!$H$44,Hipótesis!$C$50*(1+Hipótesis!$D$45)^5)*(1+Hipótesis!$D$42),0)</f>
        <v>-7260</v>
      </c>
      <c r="BP46" s="138" t="n">
        <f aca="false">-IF(AND(66&gt;=Hipótesis!$D$50,Hipótesis!$B$50=1),IF(Hipótesis!$G$50=1,Hipótesis!$H$44,Hipótesis!$C$50*(1+Hipótesis!$D$45)^5)*(1+Hipótesis!$D$42),0)</f>
        <v>-7260</v>
      </c>
      <c r="BQ46" s="138" t="n">
        <f aca="false">-IF(AND(67&gt;=Hipótesis!$D$50,Hipótesis!$B$50=1),IF(Hipótesis!$G$50=1,Hipótesis!$H$44,Hipótesis!$C$50*(1+Hipótesis!$D$45)^5)*(1+Hipótesis!$D$42),0)</f>
        <v>-7260</v>
      </c>
      <c r="BR46" s="138" t="n">
        <f aca="false">-IF(AND(68&gt;=Hipótesis!$D$50,Hipótesis!$B$50=1),IF(Hipótesis!$G$50=1,Hipótesis!$H$44,Hipótesis!$C$50*(1+Hipótesis!$D$45)^5)*(1+Hipótesis!$D$42),0)</f>
        <v>-7260</v>
      </c>
      <c r="BS46" s="138" t="n">
        <f aca="false">-IF(AND(69&gt;=Hipótesis!$D$50,Hipótesis!$B$50=1),IF(Hipótesis!$G$50=1,Hipótesis!$H$44,Hipótesis!$C$50*(1+Hipótesis!$D$45)^5)*(1+Hipótesis!$D$42),0)</f>
        <v>-7260</v>
      </c>
      <c r="BT46" s="138" t="n">
        <f aca="false">-IF(AND(70&gt;=Hipótesis!$D$50,Hipótesis!$B$50=1),IF(Hipótesis!$G$50=1,Hipótesis!$H$44,Hipótesis!$C$50*(1+Hipótesis!$D$45)^5)*(1+Hipótesis!$D$42),0)</f>
        <v>-7260</v>
      </c>
      <c r="BU46" s="138" t="n">
        <f aca="false">-IF(AND(71&gt;=Hipótesis!$D$50,Hipótesis!$B$50=1),IF(Hipótesis!$G$50=1,Hipótesis!$H$44,Hipótesis!$C$50*(1+Hipótesis!$D$45)^5)*(1+Hipótesis!$D$42),0)</f>
        <v>-7260</v>
      </c>
      <c r="BV46" s="138" t="n">
        <f aca="false">-IF(AND(72&gt;=Hipótesis!$D$50,Hipótesis!$B$50=1),IF(Hipótesis!$G$50=1,Hipótesis!$H$44,Hipótesis!$C$50*(1+Hipótesis!$D$45)^5)*(1+Hipótesis!$D$42),0)</f>
        <v>-7260</v>
      </c>
      <c r="BW46" s="138" t="n">
        <f aca="false">-IF(AND(73&gt;=Hipótesis!$D$50,Hipótesis!$B$50=1),IF(Hipótesis!$G$50=1,Hipótesis!$I$44,Hipótesis!$C$50*(1+Hipótesis!$D$45)^6)*(1+Hipótesis!$D$42),0)</f>
        <v>-7920</v>
      </c>
      <c r="BX46" s="138" t="n">
        <f aca="false">-IF(AND(74&gt;=Hipótesis!$D$50,Hipótesis!$B$50=1),IF(Hipótesis!$G$50=1,Hipótesis!$I$44,Hipótesis!$C$50*(1+Hipótesis!$D$45)^6)*(1+Hipótesis!$D$42),0)</f>
        <v>-7920</v>
      </c>
      <c r="BY46" s="138" t="n">
        <f aca="false">-IF(AND(75&gt;=Hipótesis!$D$50,Hipótesis!$B$50=1),IF(Hipótesis!$G$50=1,Hipótesis!$I$44,Hipótesis!$C$50*(1+Hipótesis!$D$45)^6)*(1+Hipótesis!$D$42),0)</f>
        <v>-7920</v>
      </c>
      <c r="BZ46" s="138" t="n">
        <f aca="false">-IF(AND(76&gt;=Hipótesis!$D$50,Hipótesis!$B$50=1),IF(Hipótesis!$G$50=1,Hipótesis!$I$44,Hipótesis!$C$50*(1+Hipótesis!$D$45)^6)*(1+Hipótesis!$D$42),0)</f>
        <v>-7920</v>
      </c>
      <c r="CA46" s="138" t="n">
        <f aca="false">-IF(AND(77&gt;=Hipótesis!$D$50,Hipótesis!$B$50=1),IF(Hipótesis!$G$50=1,Hipótesis!$I$44,Hipótesis!$C$50*(1+Hipótesis!$D$45)^6)*(1+Hipótesis!$D$42),0)</f>
        <v>-7920</v>
      </c>
      <c r="CB46" s="138" t="n">
        <f aca="false">-IF(AND(78&gt;=Hipótesis!$D$50,Hipótesis!$B$50=1),IF(Hipótesis!$G$50=1,Hipótesis!$I$44,Hipótesis!$C$50*(1+Hipótesis!$D$45)^6)*(1+Hipótesis!$D$42),0)</f>
        <v>-7920</v>
      </c>
      <c r="CC46" s="138" t="n">
        <f aca="false">-IF(AND(79&gt;=Hipótesis!$D$50,Hipótesis!$B$50=1),IF(Hipótesis!$G$50=1,Hipótesis!$I$44,Hipótesis!$C$50*(1+Hipótesis!$D$45)^6)*(1+Hipótesis!$D$42),0)</f>
        <v>-7920</v>
      </c>
      <c r="CD46" s="138" t="n">
        <f aca="false">-IF(AND(80&gt;=Hipótesis!$D$50,Hipótesis!$B$50=1),IF(Hipótesis!$G$50=1,Hipótesis!$I$44,Hipótesis!$C$50*(1+Hipótesis!$D$45)^6)*(1+Hipótesis!$D$42),0)</f>
        <v>-7920</v>
      </c>
      <c r="CE46" s="138" t="n">
        <f aca="false">-IF(AND(81&gt;=Hipótesis!$D$50,Hipótesis!$B$50=1),IF(Hipótesis!$G$50=1,Hipótesis!$I$44,Hipótesis!$C$50*(1+Hipótesis!$D$45)^6)*(1+Hipótesis!$D$42),0)</f>
        <v>-7920</v>
      </c>
      <c r="CF46" s="138" t="n">
        <f aca="false">-IF(AND(82&gt;=Hipótesis!$D$50,Hipótesis!$B$50=1),IF(Hipótesis!$G$50=1,Hipótesis!$I$44,Hipótesis!$C$50*(1+Hipótesis!$D$45)^6)*(1+Hipótesis!$D$42),0)</f>
        <v>-7920</v>
      </c>
      <c r="CG46" s="138" t="n">
        <f aca="false">-IF(AND(83&gt;=Hipótesis!$D$50,Hipótesis!$B$50=1),IF(Hipótesis!$G$50=1,Hipótesis!$I$44,Hipótesis!$C$50*(1+Hipótesis!$D$45)^6)*(1+Hipótesis!$D$42),0)</f>
        <v>-7920</v>
      </c>
      <c r="CH46" s="138" t="n">
        <f aca="false">-IF(AND(84&gt;=Hipótesis!$D$50,Hipótesis!$B$50=1),IF(Hipótesis!$G$50=1,Hipótesis!$I$44,Hipótesis!$C$50*(1+Hipótesis!$D$45)^6)*(1+Hipótesis!$D$42),0)</f>
        <v>-7920</v>
      </c>
    </row>
    <row r="47" customFormat="false" ht="13.5" hidden="false" customHeight="true" outlineLevel="0" collapsed="false">
      <c r="A47" s="13" t="s">
        <v>728</v>
      </c>
      <c r="C47" s="138" t="n">
        <f aca="false">-IF(AND(1&gt;=Hipótesis!$D$51,Hipótesis!$B$51=1),IF(Hipótesis!$G$51=1,Hipótesis!$C$44,Hipótesis!$C$51*(1+Hipótesis!$D$45)^0)*(1+Hipótesis!$D$42),0)</f>
        <v>-2640</v>
      </c>
      <c r="D47" s="138" t="n">
        <f aca="false">-IF(AND(2&gt;=Hipótesis!$D$51,Hipótesis!$B$51=1),IF(Hipótesis!$G$51=1,Hipótesis!$C$44,Hipótesis!$C$51*(1+Hipótesis!$D$45)^0)*(1+Hipótesis!$D$42),0)</f>
        <v>-2640</v>
      </c>
      <c r="E47" s="138" t="n">
        <f aca="false">-IF(AND(3&gt;=Hipótesis!$D$51,Hipótesis!$B$51=1),IF(Hipótesis!$G$51=1,Hipótesis!$C$44,Hipótesis!$C$51*(1+Hipótesis!$D$45)^0)*(1+Hipótesis!$D$42),0)</f>
        <v>-2640</v>
      </c>
      <c r="F47" s="138" t="n">
        <f aca="false">-IF(AND(4&gt;=Hipótesis!$D$51,Hipótesis!$B$51=1),IF(Hipótesis!$G$51=1,Hipótesis!$C$44,Hipótesis!$C$51*(1+Hipótesis!$D$45)^0)*(1+Hipótesis!$D$42),0)</f>
        <v>-2640</v>
      </c>
      <c r="G47" s="138" t="n">
        <f aca="false">-IF(AND(5&gt;=Hipótesis!$D$51,Hipótesis!$B$51=1),IF(Hipótesis!$G$51=1,Hipótesis!$C$44,Hipótesis!$C$51*(1+Hipótesis!$D$45)^0)*(1+Hipótesis!$D$42),0)</f>
        <v>-2640</v>
      </c>
      <c r="H47" s="138" t="n">
        <f aca="false">-IF(AND(6&gt;=Hipótesis!$D$51,Hipótesis!$B$51=1),IF(Hipótesis!$G$51=1,Hipótesis!$C$44,Hipótesis!$C$51*(1+Hipótesis!$D$45)^0)*(1+Hipótesis!$D$42),0)</f>
        <v>-2640</v>
      </c>
      <c r="I47" s="138" t="n">
        <f aca="false">-IF(AND(7&gt;=Hipótesis!$D$51,Hipótesis!$B$51=1),IF(Hipótesis!$G$51=1,Hipótesis!$C$44,Hipótesis!$C$51*(1+Hipótesis!$D$45)^0)*(1+Hipótesis!$D$42),0)</f>
        <v>-2640</v>
      </c>
      <c r="J47" s="138" t="n">
        <f aca="false">-IF(AND(8&gt;=Hipótesis!$D$51,Hipótesis!$B$51=1),IF(Hipótesis!$G$51=1,Hipótesis!$C$44,Hipótesis!$C$51*(1+Hipótesis!$D$45)^0)*(1+Hipótesis!$D$42),0)</f>
        <v>-2640</v>
      </c>
      <c r="K47" s="138" t="n">
        <f aca="false">-IF(AND(9&gt;=Hipótesis!$D$51,Hipótesis!$B$51=1),IF(Hipótesis!$G$51=1,Hipótesis!$C$44,Hipótesis!$C$51*(1+Hipótesis!$D$45)^0)*(1+Hipótesis!$D$42),0)</f>
        <v>-2640</v>
      </c>
      <c r="L47" s="138" t="n">
        <f aca="false">-IF(AND(10&gt;=Hipótesis!$D$51,Hipótesis!$B$51=1),IF(Hipótesis!$G$51=1,Hipótesis!$C$44,Hipótesis!$C$51*(1+Hipótesis!$D$45)^0)*(1+Hipótesis!$D$42),0)</f>
        <v>-2640</v>
      </c>
      <c r="M47" s="138" t="n">
        <f aca="false">-IF(AND(11&gt;=Hipótesis!$D$51,Hipótesis!$B$51=1),IF(Hipótesis!$G$51=1,Hipótesis!$C$44,Hipótesis!$C$51*(1+Hipótesis!$D$45)^0)*(1+Hipótesis!$D$42),0)</f>
        <v>-2640</v>
      </c>
      <c r="N47" s="138" t="n">
        <f aca="false">-IF(AND(12&gt;=Hipótesis!$D$51,Hipótesis!$B$51=1),IF(Hipótesis!$G$51=1,Hipótesis!$C$44,Hipótesis!$C$51*(1+Hipótesis!$D$45)^0)*(1+Hipótesis!$D$42),0)</f>
        <v>-2640</v>
      </c>
      <c r="O47" s="138" t="n">
        <f aca="false">-IF(AND(13&gt;=Hipótesis!$D$51,Hipótesis!$B$51=1),IF(Hipótesis!$G$51=1,Hipótesis!$D$44,Hipótesis!$C$51*(1+Hipótesis!$D$45)^1)*(1+Hipótesis!$D$42),0)</f>
        <v>-2719.2</v>
      </c>
      <c r="P47" s="138" t="n">
        <f aca="false">-IF(AND(14&gt;=Hipótesis!$D$51,Hipótesis!$B$51=1),IF(Hipótesis!$G$51=1,Hipótesis!$D$44,Hipótesis!$C$51*(1+Hipótesis!$D$45)^1)*(1+Hipótesis!$D$42),0)</f>
        <v>-2719.2</v>
      </c>
      <c r="Q47" s="138" t="n">
        <f aca="false">-IF(AND(15&gt;=Hipótesis!$D$51,Hipótesis!$B$51=1),IF(Hipótesis!$G$51=1,Hipótesis!$D$44,Hipótesis!$C$51*(1+Hipótesis!$D$45)^1)*(1+Hipótesis!$D$42),0)</f>
        <v>-2719.2</v>
      </c>
      <c r="R47" s="138" t="n">
        <f aca="false">-IF(AND(16&gt;=Hipótesis!$D$51,Hipótesis!$B$51=1),IF(Hipótesis!$G$51=1,Hipótesis!$D$44,Hipótesis!$C$51*(1+Hipótesis!$D$45)^1)*(1+Hipótesis!$D$42),0)</f>
        <v>-2719.2</v>
      </c>
      <c r="S47" s="138" t="n">
        <f aca="false">-IF(AND(17&gt;=Hipótesis!$D$51,Hipótesis!$B$51=1),IF(Hipótesis!$G$51=1,Hipótesis!$D$44,Hipótesis!$C$51*(1+Hipótesis!$D$45)^1)*(1+Hipótesis!$D$42),0)</f>
        <v>-2719.2</v>
      </c>
      <c r="T47" s="138" t="n">
        <f aca="false">-IF(AND(18&gt;=Hipótesis!$D$51,Hipótesis!$B$51=1),IF(Hipótesis!$G$51=1,Hipótesis!$D$44,Hipótesis!$C$51*(1+Hipótesis!$D$45)^1)*(1+Hipótesis!$D$42),0)</f>
        <v>-2719.2</v>
      </c>
      <c r="U47" s="138" t="n">
        <f aca="false">-IF(AND(19&gt;=Hipótesis!$D$51,Hipótesis!$B$51=1),IF(Hipótesis!$G$51=1,Hipótesis!$D$44,Hipótesis!$C$51*(1+Hipótesis!$D$45)^1)*(1+Hipótesis!$D$42),0)</f>
        <v>-2719.2</v>
      </c>
      <c r="V47" s="138" t="n">
        <f aca="false">-IF(AND(20&gt;=Hipótesis!$D$51,Hipótesis!$B$51=1),IF(Hipótesis!$G$51=1,Hipótesis!$D$44,Hipótesis!$C$51*(1+Hipótesis!$D$45)^1)*(1+Hipótesis!$D$42),0)</f>
        <v>-2719.2</v>
      </c>
      <c r="W47" s="138" t="n">
        <f aca="false">-IF(AND(21&gt;=Hipótesis!$D$51,Hipótesis!$B$51=1),IF(Hipótesis!$G$51=1,Hipótesis!$D$44,Hipótesis!$C$51*(1+Hipótesis!$D$45)^1)*(1+Hipótesis!$D$42),0)</f>
        <v>-2719.2</v>
      </c>
      <c r="X47" s="138" t="n">
        <f aca="false">-IF(AND(22&gt;=Hipótesis!$D$51,Hipótesis!$B$51=1),IF(Hipótesis!$G$51=1,Hipótesis!$D$44,Hipótesis!$C$51*(1+Hipótesis!$D$45)^1)*(1+Hipótesis!$D$42),0)</f>
        <v>-2719.2</v>
      </c>
      <c r="Y47" s="138" t="n">
        <f aca="false">-IF(AND(23&gt;=Hipótesis!$D$51,Hipótesis!$B$51=1),IF(Hipótesis!$G$51=1,Hipótesis!$D$44,Hipótesis!$C$51*(1+Hipótesis!$D$45)^1)*(1+Hipótesis!$D$42),0)</f>
        <v>-2719.2</v>
      </c>
      <c r="Z47" s="138" t="n">
        <f aca="false">-IF(AND(24&gt;=Hipótesis!$D$51,Hipótesis!$B$51=1),IF(Hipótesis!$G$51=1,Hipótesis!$D$44,Hipótesis!$C$51*(1+Hipótesis!$D$45)^1)*(1+Hipótesis!$D$42),0)</f>
        <v>-2719.2</v>
      </c>
      <c r="AA47" s="138" t="n">
        <f aca="false">-IF(AND(25&gt;=Hipótesis!$D$51,Hipótesis!$B$51=1),IF(Hipótesis!$G$51=1,Hipótesis!$E$44,Hipótesis!$C$51*(1+Hipótesis!$D$45)^2)*(1+Hipótesis!$D$42),0)</f>
        <v>-2800.776</v>
      </c>
      <c r="AB47" s="138" t="n">
        <f aca="false">-IF(AND(26&gt;=Hipótesis!$D$51,Hipótesis!$B$51=1),IF(Hipótesis!$G$51=1,Hipótesis!$E$44,Hipótesis!$C$51*(1+Hipótesis!$D$45)^2)*(1+Hipótesis!$D$42),0)</f>
        <v>-2800.776</v>
      </c>
      <c r="AC47" s="138" t="n">
        <f aca="false">-IF(AND(27&gt;=Hipótesis!$D$51,Hipótesis!$B$51=1),IF(Hipótesis!$G$51=1,Hipótesis!$E$44,Hipótesis!$C$51*(1+Hipótesis!$D$45)^2)*(1+Hipótesis!$D$42),0)</f>
        <v>-2800.776</v>
      </c>
      <c r="AD47" s="138" t="n">
        <f aca="false">-IF(AND(28&gt;=Hipótesis!$D$51,Hipótesis!$B$51=1),IF(Hipótesis!$G$51=1,Hipótesis!$E$44,Hipótesis!$C$51*(1+Hipótesis!$D$45)^2)*(1+Hipótesis!$D$42),0)</f>
        <v>-2800.776</v>
      </c>
      <c r="AE47" s="138" t="n">
        <f aca="false">-IF(AND(29&gt;=Hipótesis!$D$51,Hipótesis!$B$51=1),IF(Hipótesis!$G$51=1,Hipótesis!$E$44,Hipótesis!$C$51*(1+Hipótesis!$D$45)^2)*(1+Hipótesis!$D$42),0)</f>
        <v>-2800.776</v>
      </c>
      <c r="AF47" s="138" t="n">
        <f aca="false">-IF(AND(30&gt;=Hipótesis!$D$51,Hipótesis!$B$51=1),IF(Hipótesis!$G$51=1,Hipótesis!$E$44,Hipótesis!$C$51*(1+Hipótesis!$D$45)^2)*(1+Hipótesis!$D$42),0)</f>
        <v>-2800.776</v>
      </c>
      <c r="AG47" s="138" t="n">
        <f aca="false">-IF(AND(31&gt;=Hipótesis!$D$51,Hipótesis!$B$51=1),IF(Hipótesis!$G$51=1,Hipótesis!$E$44,Hipótesis!$C$51*(1+Hipótesis!$D$45)^2)*(1+Hipótesis!$D$42),0)</f>
        <v>-2800.776</v>
      </c>
      <c r="AH47" s="138" t="n">
        <f aca="false">-IF(AND(32&gt;=Hipótesis!$D$51,Hipótesis!$B$51=1),IF(Hipótesis!$G$51=1,Hipótesis!$E$44,Hipótesis!$C$51*(1+Hipótesis!$D$45)^2)*(1+Hipótesis!$D$42),0)</f>
        <v>-2800.776</v>
      </c>
      <c r="AI47" s="138" t="n">
        <f aca="false">-IF(AND(33&gt;=Hipótesis!$D$51,Hipótesis!$B$51=1),IF(Hipótesis!$G$51=1,Hipótesis!$E$44,Hipótesis!$C$51*(1+Hipótesis!$D$45)^2)*(1+Hipótesis!$D$42),0)</f>
        <v>-2800.776</v>
      </c>
      <c r="AJ47" s="138" t="n">
        <f aca="false">-IF(AND(34&gt;=Hipótesis!$D$51,Hipótesis!$B$51=1),IF(Hipótesis!$G$51=1,Hipótesis!$E$44,Hipótesis!$C$51*(1+Hipótesis!$D$45)^2)*(1+Hipótesis!$D$42),0)</f>
        <v>-2800.776</v>
      </c>
      <c r="AK47" s="138" t="n">
        <f aca="false">-IF(AND(35&gt;=Hipótesis!$D$51,Hipótesis!$B$51=1),IF(Hipótesis!$G$51=1,Hipótesis!$E$44,Hipótesis!$C$51*(1+Hipótesis!$D$45)^2)*(1+Hipótesis!$D$42),0)</f>
        <v>-2800.776</v>
      </c>
      <c r="AL47" s="138" t="n">
        <f aca="false">-IF(AND(36&gt;=Hipótesis!$D$51,Hipótesis!$B$51=1),IF(Hipótesis!$G$51=1,Hipótesis!$E$44,Hipótesis!$C$51*(1+Hipótesis!$D$45)^2)*(1+Hipótesis!$D$42),0)</f>
        <v>-2800.776</v>
      </c>
      <c r="AM47" s="138" t="n">
        <f aca="false">-IF(AND(37&gt;=Hipótesis!$D$51,Hipótesis!$B$51=1),IF(Hipótesis!$G$51=1,Hipótesis!$F$44,Hipótesis!$C$51*(1+Hipótesis!$D$45)^3)*(1+Hipótesis!$D$42),0)</f>
        <v>-2884.79928</v>
      </c>
      <c r="AN47" s="138" t="n">
        <f aca="false">-IF(AND(38&gt;=Hipótesis!$D$51,Hipótesis!$B$51=1),IF(Hipótesis!$G$51=1,Hipótesis!$F$44,Hipótesis!$C$51*(1+Hipótesis!$D$45)^3)*(1+Hipótesis!$D$42),0)</f>
        <v>-2884.79928</v>
      </c>
      <c r="AO47" s="138" t="n">
        <f aca="false">-IF(AND(39&gt;=Hipótesis!$D$51,Hipótesis!$B$51=1),IF(Hipótesis!$G$51=1,Hipótesis!$F$44,Hipótesis!$C$51*(1+Hipótesis!$D$45)^3)*(1+Hipótesis!$D$42),0)</f>
        <v>-2884.79928</v>
      </c>
      <c r="AP47" s="138" t="n">
        <f aca="false">-IF(AND(40&gt;=Hipótesis!$D$51,Hipótesis!$B$51=1),IF(Hipótesis!$G$51=1,Hipótesis!$F$44,Hipótesis!$C$51*(1+Hipótesis!$D$45)^3)*(1+Hipótesis!$D$42),0)</f>
        <v>-2884.79928</v>
      </c>
      <c r="AQ47" s="138" t="n">
        <f aca="false">-IF(AND(41&gt;=Hipótesis!$D$51,Hipótesis!$B$51=1),IF(Hipótesis!$G$51=1,Hipótesis!$F$44,Hipótesis!$C$51*(1+Hipótesis!$D$45)^3)*(1+Hipótesis!$D$42),0)</f>
        <v>-2884.79928</v>
      </c>
      <c r="AR47" s="138" t="n">
        <f aca="false">-IF(AND(42&gt;=Hipótesis!$D$51,Hipótesis!$B$51=1),IF(Hipótesis!$G$51=1,Hipótesis!$F$44,Hipótesis!$C$51*(1+Hipótesis!$D$45)^3)*(1+Hipótesis!$D$42),0)</f>
        <v>-2884.79928</v>
      </c>
      <c r="AS47" s="138" t="n">
        <f aca="false">-IF(AND(43&gt;=Hipótesis!$D$51,Hipótesis!$B$51=1),IF(Hipótesis!$G$51=1,Hipótesis!$F$44,Hipótesis!$C$51*(1+Hipótesis!$D$45)^3)*(1+Hipótesis!$D$42),0)</f>
        <v>-2884.79928</v>
      </c>
      <c r="AT47" s="138" t="n">
        <f aca="false">-IF(AND(44&gt;=Hipótesis!$D$51,Hipótesis!$B$51=1),IF(Hipótesis!$G$51=1,Hipótesis!$F$44,Hipótesis!$C$51*(1+Hipótesis!$D$45)^3)*(1+Hipótesis!$D$42),0)</f>
        <v>-2884.79928</v>
      </c>
      <c r="AU47" s="138" t="n">
        <f aca="false">-IF(AND(45&gt;=Hipótesis!$D$51,Hipótesis!$B$51=1),IF(Hipótesis!$G$51=1,Hipótesis!$F$44,Hipótesis!$C$51*(1+Hipótesis!$D$45)^3)*(1+Hipótesis!$D$42),0)</f>
        <v>-2884.79928</v>
      </c>
      <c r="AV47" s="138" t="n">
        <f aca="false">-IF(AND(46&gt;=Hipótesis!$D$51,Hipótesis!$B$51=1),IF(Hipótesis!$G$51=1,Hipótesis!$F$44,Hipótesis!$C$51*(1+Hipótesis!$D$45)^3)*(1+Hipótesis!$D$42),0)</f>
        <v>-2884.79928</v>
      </c>
      <c r="AW47" s="138" t="n">
        <f aca="false">-IF(AND(47&gt;=Hipótesis!$D$51,Hipótesis!$B$51=1),IF(Hipótesis!$G$51=1,Hipótesis!$F$44,Hipótesis!$C$51*(1+Hipótesis!$D$45)^3)*(1+Hipótesis!$D$42),0)</f>
        <v>-2884.79928</v>
      </c>
      <c r="AX47" s="138" t="n">
        <f aca="false">-IF(AND(48&gt;=Hipótesis!$D$51,Hipótesis!$B$51=1),IF(Hipótesis!$G$51=1,Hipótesis!$F$44,Hipótesis!$C$51*(1+Hipótesis!$D$45)^3)*(1+Hipótesis!$D$42),0)</f>
        <v>-2884.79928</v>
      </c>
      <c r="AY47" s="138" t="n">
        <f aca="false">-IF(AND(49&gt;=Hipótesis!$D$51,Hipótesis!$B$51=1),IF(Hipótesis!$G$51=1,Hipótesis!$G$44,Hipótesis!$C$51*(1+Hipótesis!$D$45)^4)*(1+Hipótesis!$D$42),0)</f>
        <v>-2971.3432584</v>
      </c>
      <c r="AZ47" s="138" t="n">
        <f aca="false">-IF(AND(50&gt;=Hipótesis!$D$51,Hipótesis!$B$51=1),IF(Hipótesis!$G$51=1,Hipótesis!$G$44,Hipótesis!$C$51*(1+Hipótesis!$D$45)^4)*(1+Hipótesis!$D$42),0)</f>
        <v>-2971.3432584</v>
      </c>
      <c r="BA47" s="138" t="n">
        <f aca="false">-IF(AND(51&gt;=Hipótesis!$D$51,Hipótesis!$B$51=1),IF(Hipótesis!$G$51=1,Hipótesis!$G$44,Hipótesis!$C$51*(1+Hipótesis!$D$45)^4)*(1+Hipótesis!$D$42),0)</f>
        <v>-2971.3432584</v>
      </c>
      <c r="BB47" s="138" t="n">
        <f aca="false">-IF(AND(52&gt;=Hipótesis!$D$51,Hipótesis!$B$51=1),IF(Hipótesis!$G$51=1,Hipótesis!$G$44,Hipótesis!$C$51*(1+Hipótesis!$D$45)^4)*(1+Hipótesis!$D$42),0)</f>
        <v>-2971.3432584</v>
      </c>
      <c r="BC47" s="138" t="n">
        <f aca="false">-IF(AND(53&gt;=Hipótesis!$D$51,Hipótesis!$B$51=1),IF(Hipótesis!$G$51=1,Hipótesis!$G$44,Hipótesis!$C$51*(1+Hipótesis!$D$45)^4)*(1+Hipótesis!$D$42),0)</f>
        <v>-2971.3432584</v>
      </c>
      <c r="BD47" s="138" t="n">
        <f aca="false">-IF(AND(54&gt;=Hipótesis!$D$51,Hipótesis!$B$51=1),IF(Hipótesis!$G$51=1,Hipótesis!$G$44,Hipótesis!$C$51*(1+Hipótesis!$D$45)^4)*(1+Hipótesis!$D$42),0)</f>
        <v>-2971.3432584</v>
      </c>
      <c r="BE47" s="138" t="n">
        <f aca="false">-IF(AND(55&gt;=Hipótesis!$D$51,Hipótesis!$B$51=1),IF(Hipótesis!$G$51=1,Hipótesis!$G$44,Hipótesis!$C$51*(1+Hipótesis!$D$45)^4)*(1+Hipótesis!$D$42),0)</f>
        <v>-2971.3432584</v>
      </c>
      <c r="BF47" s="138" t="n">
        <f aca="false">-IF(AND(56&gt;=Hipótesis!$D$51,Hipótesis!$B$51=1),IF(Hipótesis!$G$51=1,Hipótesis!$G$44,Hipótesis!$C$51*(1+Hipótesis!$D$45)^4)*(1+Hipótesis!$D$42),0)</f>
        <v>-2971.3432584</v>
      </c>
      <c r="BG47" s="138" t="n">
        <f aca="false">-IF(AND(57&gt;=Hipótesis!$D$51,Hipótesis!$B$51=1),IF(Hipótesis!$G$51=1,Hipótesis!$G$44,Hipótesis!$C$51*(1+Hipótesis!$D$45)^4)*(1+Hipótesis!$D$42),0)</f>
        <v>-2971.3432584</v>
      </c>
      <c r="BH47" s="138" t="n">
        <f aca="false">-IF(AND(58&gt;=Hipótesis!$D$51,Hipótesis!$B$51=1),IF(Hipótesis!$G$51=1,Hipótesis!$G$44,Hipótesis!$C$51*(1+Hipótesis!$D$45)^4)*(1+Hipótesis!$D$42),0)</f>
        <v>-2971.3432584</v>
      </c>
      <c r="BI47" s="138" t="n">
        <f aca="false">-IF(AND(59&gt;=Hipótesis!$D$51,Hipótesis!$B$51=1),IF(Hipótesis!$G$51=1,Hipótesis!$G$44,Hipótesis!$C$51*(1+Hipótesis!$D$45)^4)*(1+Hipótesis!$D$42),0)</f>
        <v>-2971.3432584</v>
      </c>
      <c r="BJ47" s="138" t="n">
        <f aca="false">-IF(AND(60&gt;=Hipótesis!$D$51,Hipótesis!$B$51=1),IF(Hipótesis!$G$51=1,Hipótesis!$G$44,Hipótesis!$C$51*(1+Hipótesis!$D$45)^4)*(1+Hipótesis!$D$42),0)</f>
        <v>-2971.3432584</v>
      </c>
      <c r="BK47" s="138" t="n">
        <f aca="false">-IF(AND(61&gt;=Hipótesis!$D$51,Hipótesis!$B$51=1),IF(Hipótesis!$G$51=1,Hipótesis!$H$44,Hipótesis!$C$51*(1+Hipótesis!$D$45)^5)*(1+Hipótesis!$D$42),0)</f>
        <v>-3060.483556152</v>
      </c>
      <c r="BL47" s="138" t="n">
        <f aca="false">-IF(AND(62&gt;=Hipótesis!$D$51,Hipótesis!$B$51=1),IF(Hipótesis!$G$51=1,Hipótesis!$H$44,Hipótesis!$C$51*(1+Hipótesis!$D$45)^5)*(1+Hipótesis!$D$42),0)</f>
        <v>-3060.483556152</v>
      </c>
      <c r="BM47" s="138" t="n">
        <f aca="false">-IF(AND(63&gt;=Hipótesis!$D$51,Hipótesis!$B$51=1),IF(Hipótesis!$G$51=1,Hipótesis!$H$44,Hipótesis!$C$51*(1+Hipótesis!$D$45)^5)*(1+Hipótesis!$D$42),0)</f>
        <v>-3060.483556152</v>
      </c>
      <c r="BN47" s="138" t="n">
        <f aca="false">-IF(AND(64&gt;=Hipótesis!$D$51,Hipótesis!$B$51=1),IF(Hipótesis!$G$51=1,Hipótesis!$H$44,Hipótesis!$C$51*(1+Hipótesis!$D$45)^5)*(1+Hipótesis!$D$42),0)</f>
        <v>-3060.483556152</v>
      </c>
      <c r="BO47" s="138" t="n">
        <f aca="false">-IF(AND(65&gt;=Hipótesis!$D$51,Hipótesis!$B$51=1),IF(Hipótesis!$G$51=1,Hipótesis!$H$44,Hipótesis!$C$51*(1+Hipótesis!$D$45)^5)*(1+Hipótesis!$D$42),0)</f>
        <v>-3060.483556152</v>
      </c>
      <c r="BP47" s="138" t="n">
        <f aca="false">-IF(AND(66&gt;=Hipótesis!$D$51,Hipótesis!$B$51=1),IF(Hipótesis!$G$51=1,Hipótesis!$H$44,Hipótesis!$C$51*(1+Hipótesis!$D$45)^5)*(1+Hipótesis!$D$42),0)</f>
        <v>-3060.483556152</v>
      </c>
      <c r="BQ47" s="138" t="n">
        <f aca="false">-IF(AND(67&gt;=Hipótesis!$D$51,Hipótesis!$B$51=1),IF(Hipótesis!$G$51=1,Hipótesis!$H$44,Hipótesis!$C$51*(1+Hipótesis!$D$45)^5)*(1+Hipótesis!$D$42),0)</f>
        <v>-3060.483556152</v>
      </c>
      <c r="BR47" s="138" t="n">
        <f aca="false">-IF(AND(68&gt;=Hipótesis!$D$51,Hipótesis!$B$51=1),IF(Hipótesis!$G$51=1,Hipótesis!$H$44,Hipótesis!$C$51*(1+Hipótesis!$D$45)^5)*(1+Hipótesis!$D$42),0)</f>
        <v>-3060.483556152</v>
      </c>
      <c r="BS47" s="138" t="n">
        <f aca="false">-IF(AND(69&gt;=Hipótesis!$D$51,Hipótesis!$B$51=1),IF(Hipótesis!$G$51=1,Hipótesis!$H$44,Hipótesis!$C$51*(1+Hipótesis!$D$45)^5)*(1+Hipótesis!$D$42),0)</f>
        <v>-3060.483556152</v>
      </c>
      <c r="BT47" s="138" t="n">
        <f aca="false">-IF(AND(70&gt;=Hipótesis!$D$51,Hipótesis!$B$51=1),IF(Hipótesis!$G$51=1,Hipótesis!$H$44,Hipótesis!$C$51*(1+Hipótesis!$D$45)^5)*(1+Hipótesis!$D$42),0)</f>
        <v>-3060.483556152</v>
      </c>
      <c r="BU47" s="138" t="n">
        <f aca="false">-IF(AND(71&gt;=Hipótesis!$D$51,Hipótesis!$B$51=1),IF(Hipótesis!$G$51=1,Hipótesis!$H$44,Hipótesis!$C$51*(1+Hipótesis!$D$45)^5)*(1+Hipótesis!$D$42),0)</f>
        <v>-3060.483556152</v>
      </c>
      <c r="BV47" s="138" t="n">
        <f aca="false">-IF(AND(72&gt;=Hipótesis!$D$51,Hipótesis!$B$51=1),IF(Hipótesis!$G$51=1,Hipótesis!$H$44,Hipótesis!$C$51*(1+Hipótesis!$D$45)^5)*(1+Hipótesis!$D$42),0)</f>
        <v>-3060.483556152</v>
      </c>
      <c r="BW47" s="138" t="n">
        <f aca="false">-IF(AND(73&gt;=Hipótesis!$D$51,Hipótesis!$B$51=1),IF(Hipótesis!$G$51=1,Hipótesis!$I$44,Hipótesis!$C$51*(1+Hipótesis!$D$45)^6)*(1+Hipótesis!$D$42),0)</f>
        <v>-3152.29806283656</v>
      </c>
      <c r="BX47" s="138" t="n">
        <f aca="false">-IF(AND(74&gt;=Hipótesis!$D$51,Hipótesis!$B$51=1),IF(Hipótesis!$G$51=1,Hipótesis!$I$44,Hipótesis!$C$51*(1+Hipótesis!$D$45)^6)*(1+Hipótesis!$D$42),0)</f>
        <v>-3152.29806283656</v>
      </c>
      <c r="BY47" s="138" t="n">
        <f aca="false">-IF(AND(75&gt;=Hipótesis!$D$51,Hipótesis!$B$51=1),IF(Hipótesis!$G$51=1,Hipótesis!$I$44,Hipótesis!$C$51*(1+Hipótesis!$D$45)^6)*(1+Hipótesis!$D$42),0)</f>
        <v>-3152.29806283656</v>
      </c>
      <c r="BZ47" s="138" t="n">
        <f aca="false">-IF(AND(76&gt;=Hipótesis!$D$51,Hipótesis!$B$51=1),IF(Hipótesis!$G$51=1,Hipótesis!$I$44,Hipótesis!$C$51*(1+Hipótesis!$D$45)^6)*(1+Hipótesis!$D$42),0)</f>
        <v>-3152.29806283656</v>
      </c>
      <c r="CA47" s="138" t="n">
        <f aca="false">-IF(AND(77&gt;=Hipótesis!$D$51,Hipótesis!$B$51=1),IF(Hipótesis!$G$51=1,Hipótesis!$I$44,Hipótesis!$C$51*(1+Hipótesis!$D$45)^6)*(1+Hipótesis!$D$42),0)</f>
        <v>-3152.29806283656</v>
      </c>
      <c r="CB47" s="138" t="n">
        <f aca="false">-IF(AND(78&gt;=Hipótesis!$D$51,Hipótesis!$B$51=1),IF(Hipótesis!$G$51=1,Hipótesis!$I$44,Hipótesis!$C$51*(1+Hipótesis!$D$45)^6)*(1+Hipótesis!$D$42),0)</f>
        <v>-3152.29806283656</v>
      </c>
      <c r="CC47" s="138" t="n">
        <f aca="false">-IF(AND(79&gt;=Hipótesis!$D$51,Hipótesis!$B$51=1),IF(Hipótesis!$G$51=1,Hipótesis!$I$44,Hipótesis!$C$51*(1+Hipótesis!$D$45)^6)*(1+Hipótesis!$D$42),0)</f>
        <v>-3152.29806283656</v>
      </c>
      <c r="CD47" s="138" t="n">
        <f aca="false">-IF(AND(80&gt;=Hipótesis!$D$51,Hipótesis!$B$51=1),IF(Hipótesis!$G$51=1,Hipótesis!$I$44,Hipótesis!$C$51*(1+Hipótesis!$D$45)^6)*(1+Hipótesis!$D$42),0)</f>
        <v>-3152.29806283656</v>
      </c>
      <c r="CE47" s="138" t="n">
        <f aca="false">-IF(AND(81&gt;=Hipótesis!$D$51,Hipótesis!$B$51=1),IF(Hipótesis!$G$51=1,Hipótesis!$I$44,Hipótesis!$C$51*(1+Hipótesis!$D$45)^6)*(1+Hipótesis!$D$42),0)</f>
        <v>-3152.29806283656</v>
      </c>
      <c r="CF47" s="138" t="n">
        <f aca="false">-IF(AND(82&gt;=Hipótesis!$D$51,Hipótesis!$B$51=1),IF(Hipótesis!$G$51=1,Hipótesis!$I$44,Hipótesis!$C$51*(1+Hipótesis!$D$45)^6)*(1+Hipótesis!$D$42),0)</f>
        <v>-3152.29806283656</v>
      </c>
      <c r="CG47" s="138" t="n">
        <f aca="false">-IF(AND(83&gt;=Hipótesis!$D$51,Hipótesis!$B$51=1),IF(Hipótesis!$G$51=1,Hipótesis!$I$44,Hipótesis!$C$51*(1+Hipótesis!$D$45)^6)*(1+Hipótesis!$D$42),0)</f>
        <v>-3152.29806283656</v>
      </c>
      <c r="CH47" s="138" t="n">
        <f aca="false">-IF(AND(84&gt;=Hipótesis!$D$51,Hipótesis!$B$51=1),IF(Hipótesis!$G$51=1,Hipótesis!$I$44,Hipótesis!$C$51*(1+Hipótesis!$D$45)^6)*(1+Hipótesis!$D$42),0)</f>
        <v>-3152.29806283656</v>
      </c>
    </row>
    <row r="48" customFormat="false" ht="13.5" hidden="false" customHeight="true" outlineLevel="0" collapsed="false">
      <c r="A48" s="13" t="s">
        <v>729</v>
      </c>
      <c r="C48" s="138" t="n">
        <f aca="false">-IF(AND(1&gt;=Hipótesis!$D$52,Hipótesis!$B$52=1),IF(Hipótesis!$G$52=1,Hipótesis!$C$44,Hipótesis!$C$52*(1+Hipótesis!$D$45)^0)*(1+Hipótesis!$D$42),0)</f>
        <v>-0</v>
      </c>
      <c r="D48" s="138" t="n">
        <f aca="false">-IF(AND(2&gt;=Hipótesis!$D$52,Hipótesis!$B$52=1),IF(Hipótesis!$G$52=1,Hipótesis!$C$44,Hipótesis!$C$52*(1+Hipótesis!$D$45)^0)*(1+Hipótesis!$D$42),0)</f>
        <v>-0</v>
      </c>
      <c r="E48" s="138" t="n">
        <f aca="false">-IF(AND(3&gt;=Hipótesis!$D$52,Hipótesis!$B$52=1),IF(Hipótesis!$G$52=1,Hipótesis!$C$44,Hipótesis!$C$52*(1+Hipótesis!$D$45)^0)*(1+Hipótesis!$D$42),0)</f>
        <v>-0</v>
      </c>
      <c r="F48" s="138" t="n">
        <f aca="false">-IF(AND(4&gt;=Hipótesis!$D$52,Hipótesis!$B$52=1),IF(Hipótesis!$G$52=1,Hipótesis!$C$44,Hipótesis!$C$52*(1+Hipótesis!$D$45)^0)*(1+Hipótesis!$D$42),0)</f>
        <v>-0</v>
      </c>
      <c r="G48" s="138" t="n">
        <f aca="false">-IF(AND(5&gt;=Hipótesis!$D$52,Hipótesis!$B$52=1),IF(Hipótesis!$G$52=1,Hipótesis!$C$44,Hipótesis!$C$52*(1+Hipótesis!$D$45)^0)*(1+Hipótesis!$D$42),0)</f>
        <v>-0</v>
      </c>
      <c r="H48" s="138" t="n">
        <f aca="false">-IF(AND(6&gt;=Hipótesis!$D$52,Hipótesis!$B$52=1),IF(Hipótesis!$G$52=1,Hipótesis!$C$44,Hipótesis!$C$52*(1+Hipótesis!$D$45)^0)*(1+Hipótesis!$D$42),0)</f>
        <v>-0</v>
      </c>
      <c r="I48" s="138" t="n">
        <f aca="false">-IF(AND(7&gt;=Hipótesis!$D$52,Hipótesis!$B$52=1),IF(Hipótesis!$G$52=1,Hipótesis!$C$44,Hipótesis!$C$52*(1+Hipótesis!$D$45)^0)*(1+Hipótesis!$D$42),0)</f>
        <v>-0</v>
      </c>
      <c r="J48" s="138" t="n">
        <f aca="false">-IF(AND(8&gt;=Hipótesis!$D$52,Hipótesis!$B$52=1),IF(Hipótesis!$G$52=1,Hipótesis!$C$44,Hipótesis!$C$52*(1+Hipótesis!$D$45)^0)*(1+Hipótesis!$D$42),0)</f>
        <v>-0</v>
      </c>
      <c r="K48" s="138" t="n">
        <f aca="false">-IF(AND(9&gt;=Hipótesis!$D$52,Hipótesis!$B$52=1),IF(Hipótesis!$G$52=1,Hipótesis!$C$44,Hipótesis!$C$52*(1+Hipótesis!$D$45)^0)*(1+Hipótesis!$D$42),0)</f>
        <v>-0</v>
      </c>
      <c r="L48" s="138" t="n">
        <f aca="false">-IF(AND(10&gt;=Hipótesis!$D$52,Hipótesis!$B$52=1),IF(Hipótesis!$G$52=1,Hipótesis!$C$44,Hipótesis!$C$52*(1+Hipótesis!$D$45)^0)*(1+Hipótesis!$D$42),0)</f>
        <v>-0</v>
      </c>
      <c r="M48" s="138" t="n">
        <f aca="false">-IF(AND(11&gt;=Hipótesis!$D$52,Hipótesis!$B$52=1),IF(Hipótesis!$G$52=1,Hipótesis!$C$44,Hipótesis!$C$52*(1+Hipótesis!$D$45)^0)*(1+Hipótesis!$D$42),0)</f>
        <v>-0</v>
      </c>
      <c r="N48" s="138" t="n">
        <f aca="false">-IF(AND(12&gt;=Hipótesis!$D$52,Hipótesis!$B$52=1),IF(Hipótesis!$G$52=1,Hipótesis!$C$44,Hipótesis!$C$52*(1+Hipótesis!$D$45)^0)*(1+Hipótesis!$D$42),0)</f>
        <v>-0</v>
      </c>
      <c r="O48" s="138" t="n">
        <f aca="false">-IF(AND(13&gt;=Hipótesis!$D$52,Hipótesis!$B$52=1),IF(Hipótesis!$G$52=1,Hipótesis!$D$44,Hipótesis!$C$52*(1+Hipótesis!$D$45)^1)*(1+Hipótesis!$D$42),0)</f>
        <v>-0</v>
      </c>
      <c r="P48" s="138" t="n">
        <f aca="false">-IF(AND(14&gt;=Hipótesis!$D$52,Hipótesis!$B$52=1),IF(Hipótesis!$G$52=1,Hipótesis!$D$44,Hipótesis!$C$52*(1+Hipótesis!$D$45)^1)*(1+Hipótesis!$D$42),0)</f>
        <v>-0</v>
      </c>
      <c r="Q48" s="138" t="n">
        <f aca="false">-IF(AND(15&gt;=Hipótesis!$D$52,Hipótesis!$B$52=1),IF(Hipótesis!$G$52=1,Hipótesis!$D$44,Hipótesis!$C$52*(1+Hipótesis!$D$45)^1)*(1+Hipótesis!$D$42),0)</f>
        <v>-0</v>
      </c>
      <c r="R48" s="138" t="n">
        <f aca="false">-IF(AND(16&gt;=Hipótesis!$D$52,Hipótesis!$B$52=1),IF(Hipótesis!$G$52=1,Hipótesis!$D$44,Hipótesis!$C$52*(1+Hipótesis!$D$45)^1)*(1+Hipótesis!$D$42),0)</f>
        <v>-0</v>
      </c>
      <c r="S48" s="138" t="n">
        <f aca="false">-IF(AND(17&gt;=Hipótesis!$D$52,Hipótesis!$B$52=1),IF(Hipótesis!$G$52=1,Hipótesis!$D$44,Hipótesis!$C$52*(1+Hipótesis!$D$45)^1)*(1+Hipótesis!$D$42),0)</f>
        <v>-0</v>
      </c>
      <c r="T48" s="138" t="n">
        <f aca="false">-IF(AND(18&gt;=Hipótesis!$D$52,Hipótesis!$B$52=1),IF(Hipótesis!$G$52=1,Hipótesis!$D$44,Hipótesis!$C$52*(1+Hipótesis!$D$45)^1)*(1+Hipótesis!$D$42),0)</f>
        <v>-0</v>
      </c>
      <c r="U48" s="138" t="n">
        <f aca="false">-IF(AND(19&gt;=Hipótesis!$D$52,Hipótesis!$B$52=1),IF(Hipótesis!$G$52=1,Hipótesis!$D$44,Hipótesis!$C$52*(1+Hipótesis!$D$45)^1)*(1+Hipótesis!$D$42),0)</f>
        <v>-0</v>
      </c>
      <c r="V48" s="138" t="n">
        <f aca="false">-IF(AND(20&gt;=Hipótesis!$D$52,Hipótesis!$B$52=1),IF(Hipótesis!$G$52=1,Hipótesis!$D$44,Hipótesis!$C$52*(1+Hipótesis!$D$45)^1)*(1+Hipótesis!$D$42),0)</f>
        <v>-2719.2</v>
      </c>
      <c r="W48" s="138" t="n">
        <f aca="false">-IF(AND(21&gt;=Hipótesis!$D$52,Hipótesis!$B$52=1),IF(Hipótesis!$G$52=1,Hipótesis!$D$44,Hipótesis!$C$52*(1+Hipótesis!$D$45)^1)*(1+Hipótesis!$D$42),0)</f>
        <v>-2719.2</v>
      </c>
      <c r="X48" s="138" t="n">
        <f aca="false">-IF(AND(22&gt;=Hipótesis!$D$52,Hipótesis!$B$52=1),IF(Hipótesis!$G$52=1,Hipótesis!$D$44,Hipótesis!$C$52*(1+Hipótesis!$D$45)^1)*(1+Hipótesis!$D$42),0)</f>
        <v>-2719.2</v>
      </c>
      <c r="Y48" s="138" t="n">
        <f aca="false">-IF(AND(23&gt;=Hipótesis!$D$52,Hipótesis!$B$52=1),IF(Hipótesis!$G$52=1,Hipótesis!$D$44,Hipótesis!$C$52*(1+Hipótesis!$D$45)^1)*(1+Hipótesis!$D$42),0)</f>
        <v>-2719.2</v>
      </c>
      <c r="Z48" s="138" t="n">
        <f aca="false">-IF(AND(24&gt;=Hipótesis!$D$52,Hipótesis!$B$52=1),IF(Hipótesis!$G$52=1,Hipótesis!$D$44,Hipótesis!$C$52*(1+Hipótesis!$D$45)^1)*(1+Hipótesis!$D$42),0)</f>
        <v>-2719.2</v>
      </c>
      <c r="AA48" s="138" t="n">
        <f aca="false">-IF(AND(25&gt;=Hipótesis!$D$52,Hipótesis!$B$52=1),IF(Hipótesis!$G$52=1,Hipótesis!$E$44,Hipótesis!$C$52*(1+Hipótesis!$D$45)^2)*(1+Hipótesis!$D$42),0)</f>
        <v>-2800.776</v>
      </c>
      <c r="AB48" s="138" t="n">
        <f aca="false">-IF(AND(26&gt;=Hipótesis!$D$52,Hipótesis!$B$52=1),IF(Hipótesis!$G$52=1,Hipótesis!$E$44,Hipótesis!$C$52*(1+Hipótesis!$D$45)^2)*(1+Hipótesis!$D$42),0)</f>
        <v>-2800.776</v>
      </c>
      <c r="AC48" s="138" t="n">
        <f aca="false">-IF(AND(27&gt;=Hipótesis!$D$52,Hipótesis!$B$52=1),IF(Hipótesis!$G$52=1,Hipótesis!$E$44,Hipótesis!$C$52*(1+Hipótesis!$D$45)^2)*(1+Hipótesis!$D$42),0)</f>
        <v>-2800.776</v>
      </c>
      <c r="AD48" s="138" t="n">
        <f aca="false">-IF(AND(28&gt;=Hipótesis!$D$52,Hipótesis!$B$52=1),IF(Hipótesis!$G$52=1,Hipótesis!$E$44,Hipótesis!$C$52*(1+Hipótesis!$D$45)^2)*(1+Hipótesis!$D$42),0)</f>
        <v>-2800.776</v>
      </c>
      <c r="AE48" s="138" t="n">
        <f aca="false">-IF(AND(29&gt;=Hipótesis!$D$52,Hipótesis!$B$52=1),IF(Hipótesis!$G$52=1,Hipótesis!$E$44,Hipótesis!$C$52*(1+Hipótesis!$D$45)^2)*(1+Hipótesis!$D$42),0)</f>
        <v>-2800.776</v>
      </c>
      <c r="AF48" s="138" t="n">
        <f aca="false">-IF(AND(30&gt;=Hipótesis!$D$52,Hipótesis!$B$52=1),IF(Hipótesis!$G$52=1,Hipótesis!$E$44,Hipótesis!$C$52*(1+Hipótesis!$D$45)^2)*(1+Hipótesis!$D$42),0)</f>
        <v>-2800.776</v>
      </c>
      <c r="AG48" s="138" t="n">
        <f aca="false">-IF(AND(31&gt;=Hipótesis!$D$52,Hipótesis!$B$52=1),IF(Hipótesis!$G$52=1,Hipótesis!$E$44,Hipótesis!$C$52*(1+Hipótesis!$D$45)^2)*(1+Hipótesis!$D$42),0)</f>
        <v>-2800.776</v>
      </c>
      <c r="AH48" s="138" t="n">
        <f aca="false">-IF(AND(32&gt;=Hipótesis!$D$52,Hipótesis!$B$52=1),IF(Hipótesis!$G$52=1,Hipótesis!$E$44,Hipótesis!$C$52*(1+Hipótesis!$D$45)^2)*(1+Hipótesis!$D$42),0)</f>
        <v>-2800.776</v>
      </c>
      <c r="AI48" s="138" t="n">
        <f aca="false">-IF(AND(33&gt;=Hipótesis!$D$52,Hipótesis!$B$52=1),IF(Hipótesis!$G$52=1,Hipótesis!$E$44,Hipótesis!$C$52*(1+Hipótesis!$D$45)^2)*(1+Hipótesis!$D$42),0)</f>
        <v>-2800.776</v>
      </c>
      <c r="AJ48" s="138" t="n">
        <f aca="false">-IF(AND(34&gt;=Hipótesis!$D$52,Hipótesis!$B$52=1),IF(Hipótesis!$G$52=1,Hipótesis!$E$44,Hipótesis!$C$52*(1+Hipótesis!$D$45)^2)*(1+Hipótesis!$D$42),0)</f>
        <v>-2800.776</v>
      </c>
      <c r="AK48" s="138" t="n">
        <f aca="false">-IF(AND(35&gt;=Hipótesis!$D$52,Hipótesis!$B$52=1),IF(Hipótesis!$G$52=1,Hipótesis!$E$44,Hipótesis!$C$52*(1+Hipótesis!$D$45)^2)*(1+Hipótesis!$D$42),0)</f>
        <v>-2800.776</v>
      </c>
      <c r="AL48" s="138" t="n">
        <f aca="false">-IF(AND(36&gt;=Hipótesis!$D$52,Hipótesis!$B$52=1),IF(Hipótesis!$G$52=1,Hipótesis!$E$44,Hipótesis!$C$52*(1+Hipótesis!$D$45)^2)*(1+Hipótesis!$D$42),0)</f>
        <v>-2800.776</v>
      </c>
      <c r="AM48" s="138" t="n">
        <f aca="false">-IF(AND(37&gt;=Hipótesis!$D$52,Hipótesis!$B$52=1),IF(Hipótesis!$G$52=1,Hipótesis!$F$44,Hipótesis!$C$52*(1+Hipótesis!$D$45)^3)*(1+Hipótesis!$D$42),0)</f>
        <v>-2884.79928</v>
      </c>
      <c r="AN48" s="138" t="n">
        <f aca="false">-IF(AND(38&gt;=Hipótesis!$D$52,Hipótesis!$B$52=1),IF(Hipótesis!$G$52=1,Hipótesis!$F$44,Hipótesis!$C$52*(1+Hipótesis!$D$45)^3)*(1+Hipótesis!$D$42),0)</f>
        <v>-2884.79928</v>
      </c>
      <c r="AO48" s="138" t="n">
        <f aca="false">-IF(AND(39&gt;=Hipótesis!$D$52,Hipótesis!$B$52=1),IF(Hipótesis!$G$52=1,Hipótesis!$F$44,Hipótesis!$C$52*(1+Hipótesis!$D$45)^3)*(1+Hipótesis!$D$42),0)</f>
        <v>-2884.79928</v>
      </c>
      <c r="AP48" s="138" t="n">
        <f aca="false">-IF(AND(40&gt;=Hipótesis!$D$52,Hipótesis!$B$52=1),IF(Hipótesis!$G$52=1,Hipótesis!$F$44,Hipótesis!$C$52*(1+Hipótesis!$D$45)^3)*(1+Hipótesis!$D$42),0)</f>
        <v>-2884.79928</v>
      </c>
      <c r="AQ48" s="138" t="n">
        <f aca="false">-IF(AND(41&gt;=Hipótesis!$D$52,Hipótesis!$B$52=1),IF(Hipótesis!$G$52=1,Hipótesis!$F$44,Hipótesis!$C$52*(1+Hipótesis!$D$45)^3)*(1+Hipótesis!$D$42),0)</f>
        <v>-2884.79928</v>
      </c>
      <c r="AR48" s="138" t="n">
        <f aca="false">-IF(AND(42&gt;=Hipótesis!$D$52,Hipótesis!$B$52=1),IF(Hipótesis!$G$52=1,Hipótesis!$F$44,Hipótesis!$C$52*(1+Hipótesis!$D$45)^3)*(1+Hipótesis!$D$42),0)</f>
        <v>-2884.79928</v>
      </c>
      <c r="AS48" s="138" t="n">
        <f aca="false">-IF(AND(43&gt;=Hipótesis!$D$52,Hipótesis!$B$52=1),IF(Hipótesis!$G$52=1,Hipótesis!$F$44,Hipótesis!$C$52*(1+Hipótesis!$D$45)^3)*(1+Hipótesis!$D$42),0)</f>
        <v>-2884.79928</v>
      </c>
      <c r="AT48" s="138" t="n">
        <f aca="false">-IF(AND(44&gt;=Hipótesis!$D$52,Hipótesis!$B$52=1),IF(Hipótesis!$G$52=1,Hipótesis!$F$44,Hipótesis!$C$52*(1+Hipótesis!$D$45)^3)*(1+Hipótesis!$D$42),0)</f>
        <v>-2884.79928</v>
      </c>
      <c r="AU48" s="138" t="n">
        <f aca="false">-IF(AND(45&gt;=Hipótesis!$D$52,Hipótesis!$B$52=1),IF(Hipótesis!$G$52=1,Hipótesis!$F$44,Hipótesis!$C$52*(1+Hipótesis!$D$45)^3)*(1+Hipótesis!$D$42),0)</f>
        <v>-2884.79928</v>
      </c>
      <c r="AV48" s="138" t="n">
        <f aca="false">-IF(AND(46&gt;=Hipótesis!$D$52,Hipótesis!$B$52=1),IF(Hipótesis!$G$52=1,Hipótesis!$F$44,Hipótesis!$C$52*(1+Hipótesis!$D$45)^3)*(1+Hipótesis!$D$42),0)</f>
        <v>-2884.79928</v>
      </c>
      <c r="AW48" s="138" t="n">
        <f aca="false">-IF(AND(47&gt;=Hipótesis!$D$52,Hipótesis!$B$52=1),IF(Hipótesis!$G$52=1,Hipótesis!$F$44,Hipótesis!$C$52*(1+Hipótesis!$D$45)^3)*(1+Hipótesis!$D$42),0)</f>
        <v>-2884.79928</v>
      </c>
      <c r="AX48" s="138" t="n">
        <f aca="false">-IF(AND(48&gt;=Hipótesis!$D$52,Hipótesis!$B$52=1),IF(Hipótesis!$G$52=1,Hipótesis!$F$44,Hipótesis!$C$52*(1+Hipótesis!$D$45)^3)*(1+Hipótesis!$D$42),0)</f>
        <v>-2884.79928</v>
      </c>
      <c r="AY48" s="138" t="n">
        <f aca="false">-IF(AND(49&gt;=Hipótesis!$D$52,Hipótesis!$B$52=1),IF(Hipótesis!$G$52=1,Hipótesis!$G$44,Hipótesis!$C$52*(1+Hipótesis!$D$45)^4)*(1+Hipótesis!$D$42),0)</f>
        <v>-2971.3432584</v>
      </c>
      <c r="AZ48" s="138" t="n">
        <f aca="false">-IF(AND(50&gt;=Hipótesis!$D$52,Hipótesis!$B$52=1),IF(Hipótesis!$G$52=1,Hipótesis!$G$44,Hipótesis!$C$52*(1+Hipótesis!$D$45)^4)*(1+Hipótesis!$D$42),0)</f>
        <v>-2971.3432584</v>
      </c>
      <c r="BA48" s="138" t="n">
        <f aca="false">-IF(AND(51&gt;=Hipótesis!$D$52,Hipótesis!$B$52=1),IF(Hipótesis!$G$52=1,Hipótesis!$G$44,Hipótesis!$C$52*(1+Hipótesis!$D$45)^4)*(1+Hipótesis!$D$42),0)</f>
        <v>-2971.3432584</v>
      </c>
      <c r="BB48" s="138" t="n">
        <f aca="false">-IF(AND(52&gt;=Hipótesis!$D$52,Hipótesis!$B$52=1),IF(Hipótesis!$G$52=1,Hipótesis!$G$44,Hipótesis!$C$52*(1+Hipótesis!$D$45)^4)*(1+Hipótesis!$D$42),0)</f>
        <v>-2971.3432584</v>
      </c>
      <c r="BC48" s="138" t="n">
        <f aca="false">-IF(AND(53&gt;=Hipótesis!$D$52,Hipótesis!$B$52=1),IF(Hipótesis!$G$52=1,Hipótesis!$G$44,Hipótesis!$C$52*(1+Hipótesis!$D$45)^4)*(1+Hipótesis!$D$42),0)</f>
        <v>-2971.3432584</v>
      </c>
      <c r="BD48" s="138" t="n">
        <f aca="false">-IF(AND(54&gt;=Hipótesis!$D$52,Hipótesis!$B$52=1),IF(Hipótesis!$G$52=1,Hipótesis!$G$44,Hipótesis!$C$52*(1+Hipótesis!$D$45)^4)*(1+Hipótesis!$D$42),0)</f>
        <v>-2971.3432584</v>
      </c>
      <c r="BE48" s="138" t="n">
        <f aca="false">-IF(AND(55&gt;=Hipótesis!$D$52,Hipótesis!$B$52=1),IF(Hipótesis!$G$52=1,Hipótesis!$G$44,Hipótesis!$C$52*(1+Hipótesis!$D$45)^4)*(1+Hipótesis!$D$42),0)</f>
        <v>-2971.3432584</v>
      </c>
      <c r="BF48" s="138" t="n">
        <f aca="false">-IF(AND(56&gt;=Hipótesis!$D$52,Hipótesis!$B$52=1),IF(Hipótesis!$G$52=1,Hipótesis!$G$44,Hipótesis!$C$52*(1+Hipótesis!$D$45)^4)*(1+Hipótesis!$D$42),0)</f>
        <v>-2971.3432584</v>
      </c>
      <c r="BG48" s="138" t="n">
        <f aca="false">-IF(AND(57&gt;=Hipótesis!$D$52,Hipótesis!$B$52=1),IF(Hipótesis!$G$52=1,Hipótesis!$G$44,Hipótesis!$C$52*(1+Hipótesis!$D$45)^4)*(1+Hipótesis!$D$42),0)</f>
        <v>-2971.3432584</v>
      </c>
      <c r="BH48" s="138" t="n">
        <f aca="false">-IF(AND(58&gt;=Hipótesis!$D$52,Hipótesis!$B$52=1),IF(Hipótesis!$G$52=1,Hipótesis!$G$44,Hipótesis!$C$52*(1+Hipótesis!$D$45)^4)*(1+Hipótesis!$D$42),0)</f>
        <v>-2971.3432584</v>
      </c>
      <c r="BI48" s="138" t="n">
        <f aca="false">-IF(AND(59&gt;=Hipótesis!$D$52,Hipótesis!$B$52=1),IF(Hipótesis!$G$52=1,Hipótesis!$G$44,Hipótesis!$C$52*(1+Hipótesis!$D$45)^4)*(1+Hipótesis!$D$42),0)</f>
        <v>-2971.3432584</v>
      </c>
      <c r="BJ48" s="138" t="n">
        <f aca="false">-IF(AND(60&gt;=Hipótesis!$D$52,Hipótesis!$B$52=1),IF(Hipótesis!$G$52=1,Hipótesis!$G$44,Hipótesis!$C$52*(1+Hipótesis!$D$45)^4)*(1+Hipótesis!$D$42),0)</f>
        <v>-2971.3432584</v>
      </c>
      <c r="BK48" s="138" t="n">
        <f aca="false">-IF(AND(61&gt;=Hipótesis!$D$52,Hipótesis!$B$52=1),IF(Hipótesis!$G$52=1,Hipótesis!$H$44,Hipótesis!$C$52*(1+Hipótesis!$D$45)^5)*(1+Hipótesis!$D$42),0)</f>
        <v>-3060.483556152</v>
      </c>
      <c r="BL48" s="138" t="n">
        <f aca="false">-IF(AND(62&gt;=Hipótesis!$D$52,Hipótesis!$B$52=1),IF(Hipótesis!$G$52=1,Hipótesis!$H$44,Hipótesis!$C$52*(1+Hipótesis!$D$45)^5)*(1+Hipótesis!$D$42),0)</f>
        <v>-3060.483556152</v>
      </c>
      <c r="BM48" s="138" t="n">
        <f aca="false">-IF(AND(63&gt;=Hipótesis!$D$52,Hipótesis!$B$52=1),IF(Hipótesis!$G$52=1,Hipótesis!$H$44,Hipótesis!$C$52*(1+Hipótesis!$D$45)^5)*(1+Hipótesis!$D$42),0)</f>
        <v>-3060.483556152</v>
      </c>
      <c r="BN48" s="138" t="n">
        <f aca="false">-IF(AND(64&gt;=Hipótesis!$D$52,Hipótesis!$B$52=1),IF(Hipótesis!$G$52=1,Hipótesis!$H$44,Hipótesis!$C$52*(1+Hipótesis!$D$45)^5)*(1+Hipótesis!$D$42),0)</f>
        <v>-3060.483556152</v>
      </c>
      <c r="BO48" s="138" t="n">
        <f aca="false">-IF(AND(65&gt;=Hipótesis!$D$52,Hipótesis!$B$52=1),IF(Hipótesis!$G$52=1,Hipótesis!$H$44,Hipótesis!$C$52*(1+Hipótesis!$D$45)^5)*(1+Hipótesis!$D$42),0)</f>
        <v>-3060.483556152</v>
      </c>
      <c r="BP48" s="138" t="n">
        <f aca="false">-IF(AND(66&gt;=Hipótesis!$D$52,Hipótesis!$B$52=1),IF(Hipótesis!$G$52=1,Hipótesis!$H$44,Hipótesis!$C$52*(1+Hipótesis!$D$45)^5)*(1+Hipótesis!$D$42),0)</f>
        <v>-3060.483556152</v>
      </c>
      <c r="BQ48" s="138" t="n">
        <f aca="false">-IF(AND(67&gt;=Hipótesis!$D$52,Hipótesis!$B$52=1),IF(Hipótesis!$G$52=1,Hipótesis!$H$44,Hipótesis!$C$52*(1+Hipótesis!$D$45)^5)*(1+Hipótesis!$D$42),0)</f>
        <v>-3060.483556152</v>
      </c>
      <c r="BR48" s="138" t="n">
        <f aca="false">-IF(AND(68&gt;=Hipótesis!$D$52,Hipótesis!$B$52=1),IF(Hipótesis!$G$52=1,Hipótesis!$H$44,Hipótesis!$C$52*(1+Hipótesis!$D$45)^5)*(1+Hipótesis!$D$42),0)</f>
        <v>-3060.483556152</v>
      </c>
      <c r="BS48" s="138" t="n">
        <f aca="false">-IF(AND(69&gt;=Hipótesis!$D$52,Hipótesis!$B$52=1),IF(Hipótesis!$G$52=1,Hipótesis!$H$44,Hipótesis!$C$52*(1+Hipótesis!$D$45)^5)*(1+Hipótesis!$D$42),0)</f>
        <v>-3060.483556152</v>
      </c>
      <c r="BT48" s="138" t="n">
        <f aca="false">-IF(AND(70&gt;=Hipótesis!$D$52,Hipótesis!$B$52=1),IF(Hipótesis!$G$52=1,Hipótesis!$H$44,Hipótesis!$C$52*(1+Hipótesis!$D$45)^5)*(1+Hipótesis!$D$42),0)</f>
        <v>-3060.483556152</v>
      </c>
      <c r="BU48" s="138" t="n">
        <f aca="false">-IF(AND(71&gt;=Hipótesis!$D$52,Hipótesis!$B$52=1),IF(Hipótesis!$G$52=1,Hipótesis!$H$44,Hipótesis!$C$52*(1+Hipótesis!$D$45)^5)*(1+Hipótesis!$D$42),0)</f>
        <v>-3060.483556152</v>
      </c>
      <c r="BV48" s="138" t="n">
        <f aca="false">-IF(AND(72&gt;=Hipótesis!$D$52,Hipótesis!$B$52=1),IF(Hipótesis!$G$52=1,Hipótesis!$H$44,Hipótesis!$C$52*(1+Hipótesis!$D$45)^5)*(1+Hipótesis!$D$42),0)</f>
        <v>-3060.483556152</v>
      </c>
      <c r="BW48" s="138" t="n">
        <f aca="false">-IF(AND(73&gt;=Hipótesis!$D$52,Hipótesis!$B$52=1),IF(Hipótesis!$G$52=1,Hipótesis!$I$44,Hipótesis!$C$52*(1+Hipótesis!$D$45)^6)*(1+Hipótesis!$D$42),0)</f>
        <v>-3152.29806283656</v>
      </c>
      <c r="BX48" s="138" t="n">
        <f aca="false">-IF(AND(74&gt;=Hipótesis!$D$52,Hipótesis!$B$52=1),IF(Hipótesis!$G$52=1,Hipótesis!$I$44,Hipótesis!$C$52*(1+Hipótesis!$D$45)^6)*(1+Hipótesis!$D$42),0)</f>
        <v>-3152.29806283656</v>
      </c>
      <c r="BY48" s="138" t="n">
        <f aca="false">-IF(AND(75&gt;=Hipótesis!$D$52,Hipótesis!$B$52=1),IF(Hipótesis!$G$52=1,Hipótesis!$I$44,Hipótesis!$C$52*(1+Hipótesis!$D$45)^6)*(1+Hipótesis!$D$42),0)</f>
        <v>-3152.29806283656</v>
      </c>
      <c r="BZ48" s="138" t="n">
        <f aca="false">-IF(AND(76&gt;=Hipótesis!$D$52,Hipótesis!$B$52=1),IF(Hipótesis!$G$52=1,Hipótesis!$I$44,Hipótesis!$C$52*(1+Hipótesis!$D$45)^6)*(1+Hipótesis!$D$42),0)</f>
        <v>-3152.29806283656</v>
      </c>
      <c r="CA48" s="138" t="n">
        <f aca="false">-IF(AND(77&gt;=Hipótesis!$D$52,Hipótesis!$B$52=1),IF(Hipótesis!$G$52=1,Hipótesis!$I$44,Hipótesis!$C$52*(1+Hipótesis!$D$45)^6)*(1+Hipótesis!$D$42),0)</f>
        <v>-3152.29806283656</v>
      </c>
      <c r="CB48" s="138" t="n">
        <f aca="false">-IF(AND(78&gt;=Hipótesis!$D$52,Hipótesis!$B$52=1),IF(Hipótesis!$G$52=1,Hipótesis!$I$44,Hipótesis!$C$52*(1+Hipótesis!$D$45)^6)*(1+Hipótesis!$D$42),0)</f>
        <v>-3152.29806283656</v>
      </c>
      <c r="CC48" s="138" t="n">
        <f aca="false">-IF(AND(79&gt;=Hipótesis!$D$52,Hipótesis!$B$52=1),IF(Hipótesis!$G$52=1,Hipótesis!$I$44,Hipótesis!$C$52*(1+Hipótesis!$D$45)^6)*(1+Hipótesis!$D$42),0)</f>
        <v>-3152.29806283656</v>
      </c>
      <c r="CD48" s="138" t="n">
        <f aca="false">-IF(AND(80&gt;=Hipótesis!$D$52,Hipótesis!$B$52=1),IF(Hipótesis!$G$52=1,Hipótesis!$I$44,Hipótesis!$C$52*(1+Hipótesis!$D$45)^6)*(1+Hipótesis!$D$42),0)</f>
        <v>-3152.29806283656</v>
      </c>
      <c r="CE48" s="138" t="n">
        <f aca="false">-IF(AND(81&gt;=Hipótesis!$D$52,Hipótesis!$B$52=1),IF(Hipótesis!$G$52=1,Hipótesis!$I$44,Hipótesis!$C$52*(1+Hipótesis!$D$45)^6)*(1+Hipótesis!$D$42),0)</f>
        <v>-3152.29806283656</v>
      </c>
      <c r="CF48" s="138" t="n">
        <f aca="false">-IF(AND(82&gt;=Hipótesis!$D$52,Hipótesis!$B$52=1),IF(Hipótesis!$G$52=1,Hipótesis!$I$44,Hipótesis!$C$52*(1+Hipótesis!$D$45)^6)*(1+Hipótesis!$D$42),0)</f>
        <v>-3152.29806283656</v>
      </c>
      <c r="CG48" s="138" t="n">
        <f aca="false">-IF(AND(83&gt;=Hipótesis!$D$52,Hipótesis!$B$52=1),IF(Hipótesis!$G$52=1,Hipótesis!$I$44,Hipótesis!$C$52*(1+Hipótesis!$D$45)^6)*(1+Hipótesis!$D$42),0)</f>
        <v>-3152.29806283656</v>
      </c>
      <c r="CH48" s="138" t="n">
        <f aca="false">-IF(AND(84&gt;=Hipótesis!$D$52,Hipótesis!$B$52=1),IF(Hipótesis!$G$52=1,Hipótesis!$I$44,Hipótesis!$C$52*(1+Hipótesis!$D$45)^6)*(1+Hipótesis!$D$42),0)</f>
        <v>-3152.29806283656</v>
      </c>
    </row>
    <row r="49" customFormat="false" ht="13.5" hidden="false" customHeight="true" outlineLevel="0" collapsed="false">
      <c r="A49" s="13" t="s">
        <v>730</v>
      </c>
      <c r="C49" s="138" t="n">
        <f aca="false">-IF(AND(1&gt;=Hipótesis!$D$53,Hipótesis!$B$53=1),IF(Hipótesis!$G$53=1,Hipótesis!$C$44,Hipótesis!$C$53*(1+Hipótesis!$D$45)^0)*(1+Hipótesis!$D$42),0)</f>
        <v>-0</v>
      </c>
      <c r="D49" s="138" t="n">
        <f aca="false">-IF(AND(2&gt;=Hipótesis!$D$53,Hipótesis!$B$53=1),IF(Hipótesis!$G$53=1,Hipótesis!$C$44,Hipótesis!$C$53*(1+Hipótesis!$D$45)^0)*(1+Hipótesis!$D$42),0)</f>
        <v>-0</v>
      </c>
      <c r="E49" s="138" t="n">
        <f aca="false">-IF(AND(3&gt;=Hipótesis!$D$53,Hipótesis!$B$53=1),IF(Hipótesis!$G$53=1,Hipótesis!$C$44,Hipótesis!$C$53*(1+Hipótesis!$D$45)^0)*(1+Hipótesis!$D$42),0)</f>
        <v>-0</v>
      </c>
      <c r="F49" s="138" t="n">
        <f aca="false">-IF(AND(4&gt;=Hipótesis!$D$53,Hipótesis!$B$53=1),IF(Hipótesis!$G$53=1,Hipótesis!$C$44,Hipótesis!$C$53*(1+Hipótesis!$D$45)^0)*(1+Hipótesis!$D$42),0)</f>
        <v>-0</v>
      </c>
      <c r="G49" s="138" t="n">
        <f aca="false">-IF(AND(5&gt;=Hipótesis!$D$53,Hipótesis!$B$53=1),IF(Hipótesis!$G$53=1,Hipótesis!$C$44,Hipótesis!$C$53*(1+Hipótesis!$D$45)^0)*(1+Hipótesis!$D$42),0)</f>
        <v>-0</v>
      </c>
      <c r="H49" s="138" t="n">
        <f aca="false">-IF(AND(6&gt;=Hipótesis!$D$53,Hipótesis!$B$53=1),IF(Hipótesis!$G$53=1,Hipótesis!$C$44,Hipótesis!$C$53*(1+Hipótesis!$D$45)^0)*(1+Hipótesis!$D$42),0)</f>
        <v>-0</v>
      </c>
      <c r="I49" s="138" t="n">
        <f aca="false">-IF(AND(7&gt;=Hipótesis!$D$53,Hipótesis!$B$53=1),IF(Hipótesis!$G$53=1,Hipótesis!$C$44,Hipótesis!$C$53*(1+Hipótesis!$D$45)^0)*(1+Hipótesis!$D$42),0)</f>
        <v>-0</v>
      </c>
      <c r="J49" s="138" t="n">
        <f aca="false">-IF(AND(8&gt;=Hipótesis!$D$53,Hipótesis!$B$53=1),IF(Hipótesis!$G$53=1,Hipótesis!$C$44,Hipótesis!$C$53*(1+Hipótesis!$D$45)^0)*(1+Hipótesis!$D$42),0)</f>
        <v>-0</v>
      </c>
      <c r="K49" s="138" t="n">
        <f aca="false">-IF(AND(9&gt;=Hipótesis!$D$53,Hipótesis!$B$53=1),IF(Hipótesis!$G$53=1,Hipótesis!$C$44,Hipótesis!$C$53*(1+Hipótesis!$D$45)^0)*(1+Hipótesis!$D$42),0)</f>
        <v>-0</v>
      </c>
      <c r="L49" s="138" t="n">
        <f aca="false">-IF(AND(10&gt;=Hipótesis!$D$53,Hipótesis!$B$53=1),IF(Hipótesis!$G$53=1,Hipótesis!$C$44,Hipótesis!$C$53*(1+Hipótesis!$D$45)^0)*(1+Hipótesis!$D$42),0)</f>
        <v>-0</v>
      </c>
      <c r="M49" s="138" t="n">
        <f aca="false">-IF(AND(11&gt;=Hipótesis!$D$53,Hipótesis!$B$53=1),IF(Hipótesis!$G$53=1,Hipótesis!$C$44,Hipótesis!$C$53*(1+Hipótesis!$D$45)^0)*(1+Hipótesis!$D$42),0)</f>
        <v>-0</v>
      </c>
      <c r="N49" s="138" t="n">
        <f aca="false">-IF(AND(12&gt;=Hipótesis!$D$53,Hipótesis!$B$53=1),IF(Hipótesis!$G$53=1,Hipótesis!$C$44,Hipótesis!$C$53*(1+Hipótesis!$D$45)^0)*(1+Hipótesis!$D$42),0)</f>
        <v>-0</v>
      </c>
      <c r="O49" s="138" t="n">
        <f aca="false">-IF(AND(13&gt;=Hipótesis!$D$53,Hipótesis!$B$53=1),IF(Hipótesis!$G$53=1,Hipótesis!$D$44,Hipótesis!$C$53*(1+Hipótesis!$D$45)^1)*(1+Hipótesis!$D$42),0)</f>
        <v>-0</v>
      </c>
      <c r="P49" s="138" t="n">
        <f aca="false">-IF(AND(14&gt;=Hipótesis!$D$53,Hipótesis!$B$53=1),IF(Hipótesis!$G$53=1,Hipótesis!$D$44,Hipótesis!$C$53*(1+Hipótesis!$D$45)^1)*(1+Hipótesis!$D$42),0)</f>
        <v>-0</v>
      </c>
      <c r="Q49" s="138" t="n">
        <f aca="false">-IF(AND(15&gt;=Hipótesis!$D$53,Hipótesis!$B$53=1),IF(Hipótesis!$G$53=1,Hipótesis!$D$44,Hipótesis!$C$53*(1+Hipótesis!$D$45)^1)*(1+Hipótesis!$D$42),0)</f>
        <v>-0</v>
      </c>
      <c r="R49" s="138" t="n">
        <f aca="false">-IF(AND(16&gt;=Hipótesis!$D$53,Hipótesis!$B$53=1),IF(Hipótesis!$G$53=1,Hipótesis!$D$44,Hipótesis!$C$53*(1+Hipótesis!$D$45)^1)*(1+Hipótesis!$D$42),0)</f>
        <v>-0</v>
      </c>
      <c r="S49" s="138" t="n">
        <f aca="false">-IF(AND(17&gt;=Hipótesis!$D$53,Hipótesis!$B$53=1),IF(Hipótesis!$G$53=1,Hipótesis!$D$44,Hipótesis!$C$53*(1+Hipótesis!$D$45)^1)*(1+Hipótesis!$D$42),0)</f>
        <v>-0</v>
      </c>
      <c r="T49" s="138" t="n">
        <f aca="false">-IF(AND(18&gt;=Hipótesis!$D$53,Hipótesis!$B$53=1),IF(Hipótesis!$G$53=1,Hipótesis!$D$44,Hipótesis!$C$53*(1+Hipótesis!$D$45)^1)*(1+Hipótesis!$D$42),0)</f>
        <v>-0</v>
      </c>
      <c r="U49" s="138" t="n">
        <f aca="false">-IF(AND(19&gt;=Hipótesis!$D$53,Hipótesis!$B$53=1),IF(Hipótesis!$G$53=1,Hipótesis!$D$44,Hipótesis!$C$53*(1+Hipótesis!$D$45)^1)*(1+Hipótesis!$D$42),0)</f>
        <v>-0</v>
      </c>
      <c r="V49" s="138" t="n">
        <f aca="false">-IF(AND(20&gt;=Hipótesis!$D$53,Hipótesis!$B$53=1),IF(Hipótesis!$G$53=1,Hipótesis!$D$44,Hipótesis!$C$53*(1+Hipótesis!$D$45)^1)*(1+Hipótesis!$D$42),0)</f>
        <v>-0</v>
      </c>
      <c r="W49" s="138" t="n">
        <f aca="false">-IF(AND(21&gt;=Hipótesis!$D$53,Hipótesis!$B$53=1),IF(Hipótesis!$G$53=1,Hipótesis!$D$44,Hipótesis!$C$53*(1+Hipótesis!$D$45)^1)*(1+Hipótesis!$D$42),0)</f>
        <v>-0</v>
      </c>
      <c r="X49" s="138" t="n">
        <f aca="false">-IF(AND(22&gt;=Hipótesis!$D$53,Hipótesis!$B$53=1),IF(Hipótesis!$G$53=1,Hipótesis!$D$44,Hipótesis!$C$53*(1+Hipótesis!$D$45)^1)*(1+Hipótesis!$D$42),0)</f>
        <v>-0</v>
      </c>
      <c r="Y49" s="138" t="n">
        <f aca="false">-IF(AND(23&gt;=Hipótesis!$D$53,Hipótesis!$B$53=1),IF(Hipótesis!$G$53=1,Hipótesis!$D$44,Hipótesis!$C$53*(1+Hipótesis!$D$45)^1)*(1+Hipótesis!$D$42),0)</f>
        <v>-0</v>
      </c>
      <c r="Z49" s="138" t="n">
        <f aca="false">-IF(AND(24&gt;=Hipótesis!$D$53,Hipótesis!$B$53=1),IF(Hipótesis!$G$53=1,Hipótesis!$D$44,Hipótesis!$C$53*(1+Hipótesis!$D$45)^1)*(1+Hipótesis!$D$42),0)</f>
        <v>-0</v>
      </c>
      <c r="AA49" s="138" t="n">
        <f aca="false">-IF(AND(25&gt;=Hipótesis!$D$53,Hipótesis!$B$53=1),IF(Hipótesis!$G$53=1,Hipótesis!$E$44,Hipótesis!$C$53*(1+Hipótesis!$D$45)^2)*(1+Hipótesis!$D$42),0)</f>
        <v>-0</v>
      </c>
      <c r="AB49" s="138" t="n">
        <f aca="false">-IF(AND(26&gt;=Hipótesis!$D$53,Hipótesis!$B$53=1),IF(Hipótesis!$G$53=1,Hipótesis!$E$44,Hipótesis!$C$53*(1+Hipótesis!$D$45)^2)*(1+Hipótesis!$D$42),0)</f>
        <v>-0</v>
      </c>
      <c r="AC49" s="138" t="n">
        <f aca="false">-IF(AND(27&gt;=Hipótesis!$D$53,Hipótesis!$B$53=1),IF(Hipótesis!$G$53=1,Hipótesis!$E$44,Hipótesis!$C$53*(1+Hipótesis!$D$45)^2)*(1+Hipótesis!$D$42),0)</f>
        <v>-0</v>
      </c>
      <c r="AD49" s="138" t="n">
        <f aca="false">-IF(AND(28&gt;=Hipótesis!$D$53,Hipótesis!$B$53=1),IF(Hipótesis!$G$53=1,Hipótesis!$E$44,Hipótesis!$C$53*(1+Hipótesis!$D$45)^2)*(1+Hipótesis!$D$42),0)</f>
        <v>-0</v>
      </c>
      <c r="AE49" s="138" t="n">
        <f aca="false">-IF(AND(29&gt;=Hipótesis!$D$53,Hipótesis!$B$53=1),IF(Hipótesis!$G$53=1,Hipótesis!$E$44,Hipótesis!$C$53*(1+Hipótesis!$D$45)^2)*(1+Hipótesis!$D$42),0)</f>
        <v>-0</v>
      </c>
      <c r="AF49" s="138" t="n">
        <f aca="false">-IF(AND(30&gt;=Hipótesis!$D$53,Hipótesis!$B$53=1),IF(Hipótesis!$G$53=1,Hipótesis!$E$44,Hipótesis!$C$53*(1+Hipótesis!$D$45)^2)*(1+Hipótesis!$D$42),0)</f>
        <v>-0</v>
      </c>
      <c r="AG49" s="138" t="n">
        <f aca="false">-IF(AND(31&gt;=Hipótesis!$D$53,Hipótesis!$B$53=1),IF(Hipótesis!$G$53=1,Hipótesis!$E$44,Hipótesis!$C$53*(1+Hipótesis!$D$45)^2)*(1+Hipótesis!$D$42),0)</f>
        <v>-0</v>
      </c>
      <c r="AH49" s="138" t="n">
        <f aca="false">-IF(AND(32&gt;=Hipótesis!$D$53,Hipótesis!$B$53=1),IF(Hipótesis!$G$53=1,Hipótesis!$E$44,Hipótesis!$C$53*(1+Hipótesis!$D$45)^2)*(1+Hipótesis!$D$42),0)</f>
        <v>-0</v>
      </c>
      <c r="AI49" s="138" t="n">
        <f aca="false">-IF(AND(33&gt;=Hipótesis!$D$53,Hipótesis!$B$53=1),IF(Hipótesis!$G$53=1,Hipótesis!$E$44,Hipótesis!$C$53*(1+Hipótesis!$D$45)^2)*(1+Hipótesis!$D$42),0)</f>
        <v>-0</v>
      </c>
      <c r="AJ49" s="138" t="n">
        <f aca="false">-IF(AND(34&gt;=Hipótesis!$D$53,Hipótesis!$B$53=1),IF(Hipótesis!$G$53=1,Hipótesis!$E$44,Hipótesis!$C$53*(1+Hipótesis!$D$45)^2)*(1+Hipótesis!$D$42),0)</f>
        <v>-0</v>
      </c>
      <c r="AK49" s="138" t="n">
        <f aca="false">-IF(AND(35&gt;=Hipótesis!$D$53,Hipótesis!$B$53=1),IF(Hipótesis!$G$53=1,Hipótesis!$E$44,Hipótesis!$C$53*(1+Hipótesis!$D$45)^2)*(1+Hipótesis!$D$42),0)</f>
        <v>-0</v>
      </c>
      <c r="AL49" s="138" t="n">
        <f aca="false">-IF(AND(36&gt;=Hipótesis!$D$53,Hipótesis!$B$53=1),IF(Hipótesis!$G$53=1,Hipótesis!$E$44,Hipótesis!$C$53*(1+Hipótesis!$D$45)^2)*(1+Hipótesis!$D$42),0)</f>
        <v>-0</v>
      </c>
      <c r="AM49" s="138" t="n">
        <f aca="false">-IF(AND(37&gt;=Hipótesis!$D$53,Hipótesis!$B$53=1),IF(Hipótesis!$G$53=1,Hipótesis!$F$44,Hipótesis!$C$53*(1+Hipótesis!$D$45)^3)*(1+Hipótesis!$D$42),0)</f>
        <v>-0</v>
      </c>
      <c r="AN49" s="138" t="n">
        <f aca="false">-IF(AND(38&gt;=Hipótesis!$D$53,Hipótesis!$B$53=1),IF(Hipótesis!$G$53=1,Hipótesis!$F$44,Hipótesis!$C$53*(1+Hipótesis!$D$45)^3)*(1+Hipótesis!$D$42),0)</f>
        <v>-0</v>
      </c>
      <c r="AO49" s="138" t="n">
        <f aca="false">-IF(AND(39&gt;=Hipótesis!$D$53,Hipótesis!$B$53=1),IF(Hipótesis!$G$53=1,Hipótesis!$F$44,Hipótesis!$C$53*(1+Hipótesis!$D$45)^3)*(1+Hipótesis!$D$42),0)</f>
        <v>-0</v>
      </c>
      <c r="AP49" s="138" t="n">
        <f aca="false">-IF(AND(40&gt;=Hipótesis!$D$53,Hipótesis!$B$53=1),IF(Hipótesis!$G$53=1,Hipótesis!$F$44,Hipótesis!$C$53*(1+Hipótesis!$D$45)^3)*(1+Hipótesis!$D$42),0)</f>
        <v>-0</v>
      </c>
      <c r="AQ49" s="138" t="n">
        <f aca="false">-IF(AND(41&gt;=Hipótesis!$D$53,Hipótesis!$B$53=1),IF(Hipótesis!$G$53=1,Hipótesis!$F$44,Hipótesis!$C$53*(1+Hipótesis!$D$45)^3)*(1+Hipótesis!$D$42),0)</f>
        <v>-0</v>
      </c>
      <c r="AR49" s="138" t="n">
        <f aca="false">-IF(AND(42&gt;=Hipótesis!$D$53,Hipótesis!$B$53=1),IF(Hipótesis!$G$53=1,Hipótesis!$F$44,Hipótesis!$C$53*(1+Hipótesis!$D$45)^3)*(1+Hipótesis!$D$42),0)</f>
        <v>-0</v>
      </c>
      <c r="AS49" s="138" t="n">
        <f aca="false">-IF(AND(43&gt;=Hipótesis!$D$53,Hipótesis!$B$53=1),IF(Hipótesis!$G$53=1,Hipótesis!$F$44,Hipótesis!$C$53*(1+Hipótesis!$D$45)^3)*(1+Hipótesis!$D$42),0)</f>
        <v>-0</v>
      </c>
      <c r="AT49" s="138" t="n">
        <f aca="false">-IF(AND(44&gt;=Hipótesis!$D$53,Hipótesis!$B$53=1),IF(Hipótesis!$G$53=1,Hipótesis!$F$44,Hipótesis!$C$53*(1+Hipótesis!$D$45)^3)*(1+Hipótesis!$D$42),0)</f>
        <v>-0</v>
      </c>
      <c r="AU49" s="138" t="n">
        <f aca="false">-IF(AND(45&gt;=Hipótesis!$D$53,Hipótesis!$B$53=1),IF(Hipótesis!$G$53=1,Hipótesis!$F$44,Hipótesis!$C$53*(1+Hipótesis!$D$45)^3)*(1+Hipótesis!$D$42),0)</f>
        <v>-0</v>
      </c>
      <c r="AV49" s="138" t="n">
        <f aca="false">-IF(AND(46&gt;=Hipótesis!$D$53,Hipótesis!$B$53=1),IF(Hipótesis!$G$53=1,Hipótesis!$F$44,Hipótesis!$C$53*(1+Hipótesis!$D$45)^3)*(1+Hipótesis!$D$42),0)</f>
        <v>-0</v>
      </c>
      <c r="AW49" s="138" t="n">
        <f aca="false">-IF(AND(47&gt;=Hipótesis!$D$53,Hipótesis!$B$53=1),IF(Hipótesis!$G$53=1,Hipótesis!$F$44,Hipótesis!$C$53*(1+Hipótesis!$D$45)^3)*(1+Hipótesis!$D$42),0)</f>
        <v>-0</v>
      </c>
      <c r="AX49" s="138" t="n">
        <f aca="false">-IF(AND(48&gt;=Hipótesis!$D$53,Hipótesis!$B$53=1),IF(Hipótesis!$G$53=1,Hipótesis!$F$44,Hipótesis!$C$53*(1+Hipótesis!$D$45)^3)*(1+Hipótesis!$D$42),0)</f>
        <v>-0</v>
      </c>
      <c r="AY49" s="138" t="n">
        <f aca="false">-IF(AND(49&gt;=Hipótesis!$D$53,Hipótesis!$B$53=1),IF(Hipótesis!$G$53=1,Hipótesis!$G$44,Hipótesis!$C$53*(1+Hipótesis!$D$45)^4)*(1+Hipótesis!$D$42),0)</f>
        <v>-0</v>
      </c>
      <c r="AZ49" s="138" t="n">
        <f aca="false">-IF(AND(50&gt;=Hipótesis!$D$53,Hipótesis!$B$53=1),IF(Hipótesis!$G$53=1,Hipótesis!$G$44,Hipótesis!$C$53*(1+Hipótesis!$D$45)^4)*(1+Hipótesis!$D$42),0)</f>
        <v>-0</v>
      </c>
      <c r="BA49" s="138" t="n">
        <f aca="false">-IF(AND(51&gt;=Hipótesis!$D$53,Hipótesis!$B$53=1),IF(Hipótesis!$G$53=1,Hipótesis!$G$44,Hipótesis!$C$53*(1+Hipótesis!$D$45)^4)*(1+Hipótesis!$D$42),0)</f>
        <v>-0</v>
      </c>
      <c r="BB49" s="138" t="n">
        <f aca="false">-IF(AND(52&gt;=Hipótesis!$D$53,Hipótesis!$B$53=1),IF(Hipótesis!$G$53=1,Hipótesis!$G$44,Hipótesis!$C$53*(1+Hipótesis!$D$45)^4)*(1+Hipótesis!$D$42),0)</f>
        <v>-0</v>
      </c>
      <c r="BC49" s="138" t="n">
        <f aca="false">-IF(AND(53&gt;=Hipótesis!$D$53,Hipótesis!$B$53=1),IF(Hipótesis!$G$53=1,Hipótesis!$G$44,Hipótesis!$C$53*(1+Hipótesis!$D$45)^4)*(1+Hipótesis!$D$42),0)</f>
        <v>-0</v>
      </c>
      <c r="BD49" s="138" t="n">
        <f aca="false">-IF(AND(54&gt;=Hipótesis!$D$53,Hipótesis!$B$53=1),IF(Hipótesis!$G$53=1,Hipótesis!$G$44,Hipótesis!$C$53*(1+Hipótesis!$D$45)^4)*(1+Hipótesis!$D$42),0)</f>
        <v>-0</v>
      </c>
      <c r="BE49" s="138" t="n">
        <f aca="false">-IF(AND(55&gt;=Hipótesis!$D$53,Hipótesis!$B$53=1),IF(Hipótesis!$G$53=1,Hipótesis!$G$44,Hipótesis!$C$53*(1+Hipótesis!$D$45)^4)*(1+Hipótesis!$D$42),0)</f>
        <v>-0</v>
      </c>
      <c r="BF49" s="138" t="n">
        <f aca="false">-IF(AND(56&gt;=Hipótesis!$D$53,Hipótesis!$B$53=1),IF(Hipótesis!$G$53=1,Hipótesis!$G$44,Hipótesis!$C$53*(1+Hipótesis!$D$45)^4)*(1+Hipótesis!$D$42),0)</f>
        <v>-0</v>
      </c>
      <c r="BG49" s="138" t="n">
        <f aca="false">-IF(AND(57&gt;=Hipótesis!$D$53,Hipótesis!$B$53=1),IF(Hipótesis!$G$53=1,Hipótesis!$G$44,Hipótesis!$C$53*(1+Hipótesis!$D$45)^4)*(1+Hipótesis!$D$42),0)</f>
        <v>-0</v>
      </c>
      <c r="BH49" s="138" t="n">
        <f aca="false">-IF(AND(58&gt;=Hipótesis!$D$53,Hipótesis!$B$53=1),IF(Hipótesis!$G$53=1,Hipótesis!$G$44,Hipótesis!$C$53*(1+Hipótesis!$D$45)^4)*(1+Hipótesis!$D$42),0)</f>
        <v>-0</v>
      </c>
      <c r="BI49" s="138" t="n">
        <f aca="false">-IF(AND(59&gt;=Hipótesis!$D$53,Hipótesis!$B$53=1),IF(Hipótesis!$G$53=1,Hipótesis!$G$44,Hipótesis!$C$53*(1+Hipótesis!$D$45)^4)*(1+Hipótesis!$D$42),0)</f>
        <v>-0</v>
      </c>
      <c r="BJ49" s="138" t="n">
        <f aca="false">-IF(AND(60&gt;=Hipótesis!$D$53,Hipótesis!$B$53=1),IF(Hipótesis!$G$53=1,Hipótesis!$G$44,Hipótesis!$C$53*(1+Hipótesis!$D$45)^4)*(1+Hipótesis!$D$42),0)</f>
        <v>-0</v>
      </c>
      <c r="BK49" s="138" t="n">
        <f aca="false">-IF(AND(61&gt;=Hipótesis!$D$53,Hipótesis!$B$53=1),IF(Hipótesis!$G$53=1,Hipótesis!$H$44,Hipótesis!$C$53*(1+Hipótesis!$D$45)^5)*(1+Hipótesis!$D$42),0)</f>
        <v>-0</v>
      </c>
      <c r="BL49" s="138" t="n">
        <f aca="false">-IF(AND(62&gt;=Hipótesis!$D$53,Hipótesis!$B$53=1),IF(Hipótesis!$G$53=1,Hipótesis!$H$44,Hipótesis!$C$53*(1+Hipótesis!$D$45)^5)*(1+Hipótesis!$D$42),0)</f>
        <v>-0</v>
      </c>
      <c r="BM49" s="138" t="n">
        <f aca="false">-IF(AND(63&gt;=Hipótesis!$D$53,Hipótesis!$B$53=1),IF(Hipótesis!$G$53=1,Hipótesis!$H$44,Hipótesis!$C$53*(1+Hipótesis!$D$45)^5)*(1+Hipótesis!$D$42),0)</f>
        <v>-0</v>
      </c>
      <c r="BN49" s="138" t="n">
        <f aca="false">-IF(AND(64&gt;=Hipótesis!$D$53,Hipótesis!$B$53=1),IF(Hipótesis!$G$53=1,Hipótesis!$H$44,Hipótesis!$C$53*(1+Hipótesis!$D$45)^5)*(1+Hipótesis!$D$42),0)</f>
        <v>-0</v>
      </c>
      <c r="BO49" s="138" t="n">
        <f aca="false">-IF(AND(65&gt;=Hipótesis!$D$53,Hipótesis!$B$53=1),IF(Hipótesis!$G$53=1,Hipótesis!$H$44,Hipótesis!$C$53*(1+Hipótesis!$D$45)^5)*(1+Hipótesis!$D$42),0)</f>
        <v>-0</v>
      </c>
      <c r="BP49" s="138" t="n">
        <f aca="false">-IF(AND(66&gt;=Hipótesis!$D$53,Hipótesis!$B$53=1),IF(Hipótesis!$G$53=1,Hipótesis!$H$44,Hipótesis!$C$53*(1+Hipótesis!$D$45)^5)*(1+Hipótesis!$D$42),0)</f>
        <v>-0</v>
      </c>
      <c r="BQ49" s="138" t="n">
        <f aca="false">-IF(AND(67&gt;=Hipótesis!$D$53,Hipótesis!$B$53=1),IF(Hipótesis!$G$53=1,Hipótesis!$H$44,Hipótesis!$C$53*(1+Hipótesis!$D$45)^5)*(1+Hipótesis!$D$42),0)</f>
        <v>-0</v>
      </c>
      <c r="BR49" s="138" t="n">
        <f aca="false">-IF(AND(68&gt;=Hipótesis!$D$53,Hipótesis!$B$53=1),IF(Hipótesis!$G$53=1,Hipótesis!$H$44,Hipótesis!$C$53*(1+Hipótesis!$D$45)^5)*(1+Hipótesis!$D$42),0)</f>
        <v>-0</v>
      </c>
      <c r="BS49" s="138" t="n">
        <f aca="false">-IF(AND(69&gt;=Hipótesis!$D$53,Hipótesis!$B$53=1),IF(Hipótesis!$G$53=1,Hipótesis!$H$44,Hipótesis!$C$53*(1+Hipótesis!$D$45)^5)*(1+Hipótesis!$D$42),0)</f>
        <v>-0</v>
      </c>
      <c r="BT49" s="138" t="n">
        <f aca="false">-IF(AND(70&gt;=Hipótesis!$D$53,Hipótesis!$B$53=1),IF(Hipótesis!$G$53=1,Hipótesis!$H$44,Hipótesis!$C$53*(1+Hipótesis!$D$45)^5)*(1+Hipótesis!$D$42),0)</f>
        <v>-0</v>
      </c>
      <c r="BU49" s="138" t="n">
        <f aca="false">-IF(AND(71&gt;=Hipótesis!$D$53,Hipótesis!$B$53=1),IF(Hipótesis!$G$53=1,Hipótesis!$H$44,Hipótesis!$C$53*(1+Hipótesis!$D$45)^5)*(1+Hipótesis!$D$42),0)</f>
        <v>-0</v>
      </c>
      <c r="BV49" s="138" t="n">
        <f aca="false">-IF(AND(72&gt;=Hipótesis!$D$53,Hipótesis!$B$53=1),IF(Hipótesis!$G$53=1,Hipótesis!$H$44,Hipótesis!$C$53*(1+Hipótesis!$D$45)^5)*(1+Hipótesis!$D$42),0)</f>
        <v>-0</v>
      </c>
      <c r="BW49" s="138" t="n">
        <f aca="false">-IF(AND(73&gt;=Hipótesis!$D$53,Hipótesis!$B$53=1),IF(Hipótesis!$G$53=1,Hipótesis!$I$44,Hipótesis!$C$53*(1+Hipótesis!$D$45)^6)*(1+Hipótesis!$D$42),0)</f>
        <v>-0</v>
      </c>
      <c r="BX49" s="138" t="n">
        <f aca="false">-IF(AND(74&gt;=Hipótesis!$D$53,Hipótesis!$B$53=1),IF(Hipótesis!$G$53=1,Hipótesis!$I$44,Hipótesis!$C$53*(1+Hipótesis!$D$45)^6)*(1+Hipótesis!$D$42),0)</f>
        <v>-0</v>
      </c>
      <c r="BY49" s="138" t="n">
        <f aca="false">-IF(AND(75&gt;=Hipótesis!$D$53,Hipótesis!$B$53=1),IF(Hipótesis!$G$53=1,Hipótesis!$I$44,Hipótesis!$C$53*(1+Hipótesis!$D$45)^6)*(1+Hipótesis!$D$42),0)</f>
        <v>-0</v>
      </c>
      <c r="BZ49" s="138" t="n">
        <f aca="false">-IF(AND(76&gt;=Hipótesis!$D$53,Hipótesis!$B$53=1),IF(Hipótesis!$G$53=1,Hipótesis!$I$44,Hipótesis!$C$53*(1+Hipótesis!$D$45)^6)*(1+Hipótesis!$D$42),0)</f>
        <v>-0</v>
      </c>
      <c r="CA49" s="138" t="n">
        <f aca="false">-IF(AND(77&gt;=Hipótesis!$D$53,Hipótesis!$B$53=1),IF(Hipótesis!$G$53=1,Hipótesis!$I$44,Hipótesis!$C$53*(1+Hipótesis!$D$45)^6)*(1+Hipótesis!$D$42),0)</f>
        <v>-0</v>
      </c>
      <c r="CB49" s="138" t="n">
        <f aca="false">-IF(AND(78&gt;=Hipótesis!$D$53,Hipótesis!$B$53=1),IF(Hipótesis!$G$53=1,Hipótesis!$I$44,Hipótesis!$C$53*(1+Hipótesis!$D$45)^6)*(1+Hipótesis!$D$42),0)</f>
        <v>-0</v>
      </c>
      <c r="CC49" s="138" t="n">
        <f aca="false">-IF(AND(79&gt;=Hipótesis!$D$53,Hipótesis!$B$53=1),IF(Hipótesis!$G$53=1,Hipótesis!$I$44,Hipótesis!$C$53*(1+Hipótesis!$D$45)^6)*(1+Hipótesis!$D$42),0)</f>
        <v>-0</v>
      </c>
      <c r="CD49" s="138" t="n">
        <f aca="false">-IF(AND(80&gt;=Hipótesis!$D$53,Hipótesis!$B$53=1),IF(Hipótesis!$G$53=1,Hipótesis!$I$44,Hipótesis!$C$53*(1+Hipótesis!$D$45)^6)*(1+Hipótesis!$D$42),0)</f>
        <v>-0</v>
      </c>
      <c r="CE49" s="138" t="n">
        <f aca="false">-IF(AND(81&gt;=Hipótesis!$D$53,Hipótesis!$B$53=1),IF(Hipótesis!$G$53=1,Hipótesis!$I$44,Hipótesis!$C$53*(1+Hipótesis!$D$45)^6)*(1+Hipótesis!$D$42),0)</f>
        <v>-0</v>
      </c>
      <c r="CF49" s="138" t="n">
        <f aca="false">-IF(AND(82&gt;=Hipótesis!$D$53,Hipótesis!$B$53=1),IF(Hipótesis!$G$53=1,Hipótesis!$I$44,Hipótesis!$C$53*(1+Hipótesis!$D$45)^6)*(1+Hipótesis!$D$42),0)</f>
        <v>-0</v>
      </c>
      <c r="CG49" s="138" t="n">
        <f aca="false">-IF(AND(83&gt;=Hipótesis!$D$53,Hipótesis!$B$53=1),IF(Hipótesis!$G$53=1,Hipótesis!$I$44,Hipótesis!$C$53*(1+Hipótesis!$D$45)^6)*(1+Hipótesis!$D$42),0)</f>
        <v>-0</v>
      </c>
      <c r="CH49" s="138" t="n">
        <f aca="false">-IF(AND(84&gt;=Hipótesis!$D$53,Hipótesis!$B$53=1),IF(Hipótesis!$G$53=1,Hipótesis!$I$44,Hipótesis!$C$53*(1+Hipótesis!$D$45)^6)*(1+Hipótesis!$D$42),0)</f>
        <v>-0</v>
      </c>
    </row>
    <row r="50" customFormat="false" ht="13.5" hidden="false" customHeight="true" outlineLevel="0" collapsed="false">
      <c r="A50" s="30" t="s">
        <v>731</v>
      </c>
      <c r="C50" s="138" t="n">
        <f aca="false">-C30*Hipótesis!$D$61*(1+Hipótesis!$D$45)^0*(1+Hipótesis!$D$42)</f>
        <v>-0</v>
      </c>
      <c r="D50" s="138" t="n">
        <f aca="false">-D30*Hipótesis!$D$61*(1+Hipótesis!$D$45)^0*(1+Hipótesis!$D$42)</f>
        <v>-0</v>
      </c>
      <c r="E50" s="138" t="n">
        <f aca="false">-E30*Hipótesis!$D$61*(1+Hipótesis!$D$45)^0*(1+Hipótesis!$D$42)</f>
        <v>-0</v>
      </c>
      <c r="F50" s="138" t="n">
        <f aca="false">-F30*Hipótesis!$D$61*(1+Hipótesis!$D$45)^0*(1+Hipótesis!$D$42)</f>
        <v>-0</v>
      </c>
      <c r="G50" s="138" t="n">
        <f aca="false">-G30*Hipótesis!$D$61*(1+Hipótesis!$D$45)^0*(1+Hipótesis!$D$42)</f>
        <v>-0</v>
      </c>
      <c r="H50" s="138" t="n">
        <f aca="false">-H30*Hipótesis!$D$61*(1+Hipótesis!$D$45)^0*(1+Hipótesis!$D$42)</f>
        <v>-0</v>
      </c>
      <c r="I50" s="138" t="n">
        <f aca="false">-I30*Hipótesis!$D$61*(1+Hipótesis!$D$45)^0*(1+Hipótesis!$D$42)</f>
        <v>-0</v>
      </c>
      <c r="J50" s="138" t="n">
        <f aca="false">-J30*Hipótesis!$D$61*(1+Hipótesis!$D$45)^0*(1+Hipótesis!$D$42)</f>
        <v>-0</v>
      </c>
      <c r="K50" s="138" t="n">
        <f aca="false">-K30*Hipótesis!$D$61*(1+Hipótesis!$D$45)^0*(1+Hipótesis!$D$42)</f>
        <v>-0</v>
      </c>
      <c r="L50" s="138" t="n">
        <f aca="false">-L30*Hipótesis!$D$61*(1+Hipótesis!$D$45)^0*(1+Hipótesis!$D$42)</f>
        <v>-0</v>
      </c>
      <c r="M50" s="138" t="n">
        <f aca="false">-M30*Hipótesis!$D$61*(1+Hipótesis!$D$45)^0*(1+Hipótesis!$D$42)</f>
        <v>-0</v>
      </c>
      <c r="N50" s="138" t="n">
        <f aca="false">-N30*Hipótesis!$D$61*(1+Hipótesis!$D$45)^0*(1+Hipótesis!$D$42)</f>
        <v>-0</v>
      </c>
      <c r="O50" s="138" t="n">
        <f aca="false">-O30*Hipótesis!$D$61*(1+Hipótesis!$D$45)^1*(1+Hipótesis!$D$42)</f>
        <v>-0</v>
      </c>
      <c r="P50" s="138" t="n">
        <f aca="false">-P30*Hipótesis!$D$61*(1+Hipótesis!$D$45)^1*(1+Hipótesis!$D$42)</f>
        <v>-2311.32</v>
      </c>
      <c r="Q50" s="138" t="n">
        <f aca="false">-Q30*Hipótesis!$D$61*(1+Hipótesis!$D$45)^1*(1+Hipótesis!$D$42)</f>
        <v>-2311.32</v>
      </c>
      <c r="R50" s="138" t="n">
        <f aca="false">-R30*Hipótesis!$D$61*(1+Hipótesis!$D$45)^1*(1+Hipótesis!$D$42)</f>
        <v>-2311.32</v>
      </c>
      <c r="S50" s="138" t="n">
        <f aca="false">-S30*Hipótesis!$D$61*(1+Hipótesis!$D$45)^1*(1+Hipótesis!$D$42)</f>
        <v>-2311.32</v>
      </c>
      <c r="T50" s="138" t="n">
        <f aca="false">-T30*Hipótesis!$D$61*(1+Hipótesis!$D$45)^1*(1+Hipótesis!$D$42)</f>
        <v>-2311.32</v>
      </c>
      <c r="U50" s="138" t="n">
        <f aca="false">-U30*Hipótesis!$D$61*(1+Hipótesis!$D$45)^1*(1+Hipótesis!$D$42)</f>
        <v>-4622.64</v>
      </c>
      <c r="V50" s="138" t="n">
        <f aca="false">-V30*Hipótesis!$D$61*(1+Hipótesis!$D$45)^1*(1+Hipótesis!$D$42)</f>
        <v>-4622.64</v>
      </c>
      <c r="W50" s="138" t="n">
        <f aca="false">-W30*Hipótesis!$D$61*(1+Hipótesis!$D$45)^1*(1+Hipótesis!$D$42)</f>
        <v>-4622.64</v>
      </c>
      <c r="X50" s="138" t="n">
        <f aca="false">-X30*Hipótesis!$D$61*(1+Hipótesis!$D$45)^1*(1+Hipótesis!$D$42)</f>
        <v>-4622.64</v>
      </c>
      <c r="Y50" s="138" t="n">
        <f aca="false">-Y30*Hipótesis!$D$61*(1+Hipótesis!$D$45)^1*(1+Hipótesis!$D$42)</f>
        <v>-4622.64</v>
      </c>
      <c r="Z50" s="138" t="n">
        <f aca="false">-Z30*Hipótesis!$D$61*(1+Hipótesis!$D$45)^1*(1+Hipótesis!$D$42)</f>
        <v>-4622.64</v>
      </c>
      <c r="AA50" s="138" t="n">
        <f aca="false">-AA30*Hipótesis!$D$61*(1+Hipótesis!$D$45)^2*(1+Hipótesis!$D$42)</f>
        <v>-4761.3192</v>
      </c>
      <c r="AB50" s="138" t="n">
        <f aca="false">-AB30*Hipótesis!$D$61*(1+Hipótesis!$D$45)^2*(1+Hipótesis!$D$42)</f>
        <v>-7141.9788</v>
      </c>
      <c r="AC50" s="138" t="n">
        <f aca="false">-AC30*Hipótesis!$D$61*(1+Hipótesis!$D$45)^2*(1+Hipótesis!$D$42)</f>
        <v>-7141.9788</v>
      </c>
      <c r="AD50" s="138" t="n">
        <f aca="false">-AD30*Hipótesis!$D$61*(1+Hipótesis!$D$45)^2*(1+Hipótesis!$D$42)</f>
        <v>-7141.9788</v>
      </c>
      <c r="AE50" s="138" t="n">
        <f aca="false">-AE30*Hipótesis!$D$61*(1+Hipótesis!$D$45)^2*(1+Hipótesis!$D$42)</f>
        <v>-7141.9788</v>
      </c>
      <c r="AF50" s="138" t="n">
        <f aca="false">-AF30*Hipótesis!$D$61*(1+Hipótesis!$D$45)^2*(1+Hipótesis!$D$42)</f>
        <v>-7141.9788</v>
      </c>
      <c r="AG50" s="138" t="n">
        <f aca="false">-AG30*Hipótesis!$D$61*(1+Hipótesis!$D$45)^2*(1+Hipótesis!$D$42)</f>
        <v>-7141.9788</v>
      </c>
      <c r="AH50" s="138" t="n">
        <f aca="false">-AH30*Hipótesis!$D$61*(1+Hipótesis!$D$45)^2*(1+Hipótesis!$D$42)</f>
        <v>-7141.9788</v>
      </c>
      <c r="AI50" s="138" t="n">
        <f aca="false">-AI30*Hipótesis!$D$61*(1+Hipótesis!$D$45)^2*(1+Hipótesis!$D$42)</f>
        <v>-7141.9788</v>
      </c>
      <c r="AJ50" s="138" t="n">
        <f aca="false">-AJ30*Hipótesis!$D$61*(1+Hipótesis!$D$45)^2*(1+Hipótesis!$D$42)</f>
        <v>-7141.9788</v>
      </c>
      <c r="AK50" s="138" t="n">
        <f aca="false">-AK30*Hipótesis!$D$61*(1+Hipótesis!$D$45)^2*(1+Hipótesis!$D$42)</f>
        <v>-7141.9788</v>
      </c>
      <c r="AL50" s="138" t="n">
        <f aca="false">-AL30*Hipótesis!$D$61*(1+Hipótesis!$D$45)^2*(1+Hipótesis!$D$42)</f>
        <v>-9522.6384</v>
      </c>
      <c r="AM50" s="138" t="n">
        <f aca="false">-AM30*Hipótesis!$D$61*(1+Hipótesis!$D$45)^3*(1+Hipótesis!$D$42)</f>
        <v>-9808.317552</v>
      </c>
      <c r="AN50" s="138" t="n">
        <f aca="false">-AN30*Hipótesis!$D$61*(1+Hipótesis!$D$45)^3*(1+Hipótesis!$D$42)</f>
        <v>-9808.317552</v>
      </c>
      <c r="AO50" s="138" t="n">
        <f aca="false">-AO30*Hipótesis!$D$61*(1+Hipótesis!$D$45)^3*(1+Hipótesis!$D$42)</f>
        <v>-9808.317552</v>
      </c>
      <c r="AP50" s="138" t="n">
        <f aca="false">-AP30*Hipótesis!$D$61*(1+Hipótesis!$D$45)^3*(1+Hipótesis!$D$42)</f>
        <v>-9808.317552</v>
      </c>
      <c r="AQ50" s="138" t="n">
        <f aca="false">-AQ30*Hipótesis!$D$61*(1+Hipótesis!$D$45)^3*(1+Hipótesis!$D$42)</f>
        <v>-9808.317552</v>
      </c>
      <c r="AR50" s="138" t="n">
        <f aca="false">-AR30*Hipótesis!$D$61*(1+Hipótesis!$D$45)^3*(1+Hipótesis!$D$42)</f>
        <v>-9808.317552</v>
      </c>
      <c r="AS50" s="138" t="n">
        <f aca="false">-AS30*Hipótesis!$D$61*(1+Hipótesis!$D$45)^3*(1+Hipótesis!$D$42)</f>
        <v>-9808.317552</v>
      </c>
      <c r="AT50" s="138" t="n">
        <f aca="false">-AT30*Hipótesis!$D$61*(1+Hipótesis!$D$45)^3*(1+Hipótesis!$D$42)</f>
        <v>-9808.317552</v>
      </c>
      <c r="AU50" s="138" t="n">
        <f aca="false">-AU30*Hipótesis!$D$61*(1+Hipótesis!$D$45)^3*(1+Hipótesis!$D$42)</f>
        <v>-9808.317552</v>
      </c>
      <c r="AV50" s="138" t="n">
        <f aca="false">-AV30*Hipótesis!$D$61*(1+Hipótesis!$D$45)^3*(1+Hipótesis!$D$42)</f>
        <v>-9808.317552</v>
      </c>
      <c r="AW50" s="138" t="n">
        <f aca="false">-AW30*Hipótesis!$D$61*(1+Hipótesis!$D$45)^3*(1+Hipótesis!$D$42)</f>
        <v>-9808.317552</v>
      </c>
      <c r="AX50" s="138" t="n">
        <f aca="false">-AX30*Hipótesis!$D$61*(1+Hipótesis!$D$45)^3*(1+Hipótesis!$D$42)</f>
        <v>-9808.317552</v>
      </c>
      <c r="AY50" s="138" t="n">
        <f aca="false">-AY30*Hipótesis!$D$61*(1+Hipótesis!$D$45)^4*(1+Hipótesis!$D$42)</f>
        <v>-10102.56707856</v>
      </c>
      <c r="AZ50" s="138" t="n">
        <f aca="false">-AZ30*Hipótesis!$D$61*(1+Hipótesis!$D$45)^4*(1+Hipótesis!$D$42)</f>
        <v>-10102.56707856</v>
      </c>
      <c r="BA50" s="138" t="n">
        <f aca="false">-BA30*Hipótesis!$D$61*(1+Hipótesis!$D$45)^4*(1+Hipótesis!$D$42)</f>
        <v>-10102.56707856</v>
      </c>
      <c r="BB50" s="138" t="n">
        <f aca="false">-BB30*Hipótesis!$D$61*(1+Hipótesis!$D$45)^4*(1+Hipótesis!$D$42)</f>
        <v>-10102.56707856</v>
      </c>
      <c r="BC50" s="138" t="n">
        <f aca="false">-BC30*Hipótesis!$D$61*(1+Hipótesis!$D$45)^4*(1+Hipótesis!$D$42)</f>
        <v>-10102.56707856</v>
      </c>
      <c r="BD50" s="138" t="n">
        <f aca="false">-BD30*Hipótesis!$D$61*(1+Hipótesis!$D$45)^4*(1+Hipótesis!$D$42)</f>
        <v>-10102.56707856</v>
      </c>
      <c r="BE50" s="138" t="n">
        <f aca="false">-BE30*Hipótesis!$D$61*(1+Hipótesis!$D$45)^4*(1+Hipótesis!$D$42)</f>
        <v>-10102.56707856</v>
      </c>
      <c r="BF50" s="138" t="n">
        <f aca="false">-BF30*Hipótesis!$D$61*(1+Hipótesis!$D$45)^4*(1+Hipótesis!$D$42)</f>
        <v>-10102.56707856</v>
      </c>
      <c r="BG50" s="138" t="n">
        <f aca="false">-BG30*Hipótesis!$D$61*(1+Hipótesis!$D$45)^4*(1+Hipótesis!$D$42)</f>
        <v>-10102.56707856</v>
      </c>
      <c r="BH50" s="138" t="n">
        <f aca="false">-BH30*Hipótesis!$D$61*(1+Hipótesis!$D$45)^4*(1+Hipótesis!$D$42)</f>
        <v>-10102.56707856</v>
      </c>
      <c r="BI50" s="138" t="n">
        <f aca="false">-BI30*Hipótesis!$D$61*(1+Hipótesis!$D$45)^4*(1+Hipótesis!$D$42)</f>
        <v>-10102.56707856</v>
      </c>
      <c r="BJ50" s="138" t="n">
        <f aca="false">-BJ30*Hipótesis!$D$61*(1+Hipótesis!$D$45)^4*(1+Hipótesis!$D$42)</f>
        <v>-10102.56707856</v>
      </c>
      <c r="BK50" s="138" t="n">
        <f aca="false">-BK30*Hipótesis!$D$61*(1+Hipótesis!$D$45)^5*(1+Hipótesis!$D$42)</f>
        <v>-10405.6440909168</v>
      </c>
      <c r="BL50" s="138" t="n">
        <f aca="false">-BL30*Hipótesis!$D$61*(1+Hipótesis!$D$45)^5*(1+Hipótesis!$D$42)</f>
        <v>-10405.6440909168</v>
      </c>
      <c r="BM50" s="138" t="n">
        <f aca="false">-BM30*Hipótesis!$D$61*(1+Hipótesis!$D$45)^5*(1+Hipótesis!$D$42)</f>
        <v>-10405.6440909168</v>
      </c>
      <c r="BN50" s="138" t="n">
        <f aca="false">-BN30*Hipótesis!$D$61*(1+Hipótesis!$D$45)^5*(1+Hipótesis!$D$42)</f>
        <v>-10405.6440909168</v>
      </c>
      <c r="BO50" s="138" t="n">
        <f aca="false">-BO30*Hipótesis!$D$61*(1+Hipótesis!$D$45)^5*(1+Hipótesis!$D$42)</f>
        <v>-10405.6440909168</v>
      </c>
      <c r="BP50" s="138" t="n">
        <f aca="false">-BP30*Hipótesis!$D$61*(1+Hipótesis!$D$45)^5*(1+Hipótesis!$D$42)</f>
        <v>-10405.6440909168</v>
      </c>
      <c r="BQ50" s="138" t="n">
        <f aca="false">-BQ30*Hipótesis!$D$61*(1+Hipótesis!$D$45)^5*(1+Hipótesis!$D$42)</f>
        <v>-10405.6440909168</v>
      </c>
      <c r="BR50" s="138" t="n">
        <f aca="false">-BR30*Hipótesis!$D$61*(1+Hipótesis!$D$45)^5*(1+Hipótesis!$D$42)</f>
        <v>-10405.6440909168</v>
      </c>
      <c r="BS50" s="138" t="n">
        <f aca="false">-BS30*Hipótesis!$D$61*(1+Hipótesis!$D$45)^5*(1+Hipótesis!$D$42)</f>
        <v>-10405.6440909168</v>
      </c>
      <c r="BT50" s="138" t="n">
        <f aca="false">-BT30*Hipótesis!$D$61*(1+Hipótesis!$D$45)^5*(1+Hipótesis!$D$42)</f>
        <v>-10405.6440909168</v>
      </c>
      <c r="BU50" s="138" t="n">
        <f aca="false">-BU30*Hipótesis!$D$61*(1+Hipótesis!$D$45)^5*(1+Hipótesis!$D$42)</f>
        <v>-10405.6440909168</v>
      </c>
      <c r="BV50" s="138" t="n">
        <f aca="false">-BV30*Hipótesis!$D$61*(1+Hipótesis!$D$45)^5*(1+Hipótesis!$D$42)</f>
        <v>-10405.6440909168</v>
      </c>
      <c r="BW50" s="138" t="n">
        <f aca="false">-BW30*Hipótesis!$D$61*(1+Hipótesis!$D$45)^6*(1+Hipótesis!$D$42)</f>
        <v>-10717.8134136443</v>
      </c>
      <c r="BX50" s="138" t="n">
        <f aca="false">-BX30*Hipótesis!$D$61*(1+Hipótesis!$D$45)^6*(1+Hipótesis!$D$42)</f>
        <v>-10717.8134136443</v>
      </c>
      <c r="BY50" s="138" t="n">
        <f aca="false">-BY30*Hipótesis!$D$61*(1+Hipótesis!$D$45)^6*(1+Hipótesis!$D$42)</f>
        <v>-10717.8134136443</v>
      </c>
      <c r="BZ50" s="138" t="n">
        <f aca="false">-BZ30*Hipótesis!$D$61*(1+Hipótesis!$D$45)^6*(1+Hipótesis!$D$42)</f>
        <v>-10717.8134136443</v>
      </c>
      <c r="CA50" s="138" t="n">
        <f aca="false">-CA30*Hipótesis!$D$61*(1+Hipótesis!$D$45)^6*(1+Hipótesis!$D$42)</f>
        <v>-10717.8134136443</v>
      </c>
      <c r="CB50" s="138" t="n">
        <f aca="false">-CB30*Hipótesis!$D$61*(1+Hipótesis!$D$45)^6*(1+Hipótesis!$D$42)</f>
        <v>-10717.8134136443</v>
      </c>
      <c r="CC50" s="138" t="n">
        <f aca="false">-CC30*Hipótesis!$D$61*(1+Hipótesis!$D$45)^6*(1+Hipótesis!$D$42)</f>
        <v>-10717.8134136443</v>
      </c>
      <c r="CD50" s="138" t="n">
        <f aca="false">-CD30*Hipótesis!$D$61*(1+Hipótesis!$D$45)^6*(1+Hipótesis!$D$42)</f>
        <v>-10717.8134136443</v>
      </c>
      <c r="CE50" s="138" t="n">
        <f aca="false">-CE30*Hipótesis!$D$61*(1+Hipótesis!$D$45)^6*(1+Hipótesis!$D$42)</f>
        <v>-10717.8134136443</v>
      </c>
      <c r="CF50" s="138" t="n">
        <f aca="false">-CF30*Hipótesis!$D$61*(1+Hipótesis!$D$45)^6*(1+Hipótesis!$D$42)</f>
        <v>-10717.8134136443</v>
      </c>
      <c r="CG50" s="138" t="n">
        <f aca="false">-CG30*Hipótesis!$D$61*(1+Hipótesis!$D$45)^6*(1+Hipótesis!$D$42)</f>
        <v>-10717.8134136443</v>
      </c>
      <c r="CH50" s="138" t="n">
        <f aca="false">-CH30*Hipótesis!$D$61*(1+Hipótesis!$D$45)^6*(1+Hipótesis!$D$42)</f>
        <v>-10717.8134136443</v>
      </c>
    </row>
    <row r="51" customFormat="false" ht="13.5" hidden="false" customHeight="true" outlineLevel="0" collapsed="false">
      <c r="A51" s="30" t="s">
        <v>732</v>
      </c>
      <c r="C51" s="138" t="n">
        <f aca="false">SUM(C44:C49)+C50</f>
        <v>-11352</v>
      </c>
      <c r="D51" s="138" t="n">
        <f aca="false">SUM(D44:D49)+D50</f>
        <v>-11352</v>
      </c>
      <c r="E51" s="138" t="n">
        <f aca="false">SUM(E44:E49)+E50</f>
        <v>-11352</v>
      </c>
      <c r="F51" s="138" t="n">
        <f aca="false">SUM(F44:F49)+F50</f>
        <v>-11352</v>
      </c>
      <c r="G51" s="138" t="n">
        <f aca="false">SUM(G44:G49)+G50</f>
        <v>-11352</v>
      </c>
      <c r="H51" s="138" t="n">
        <f aca="false">SUM(H44:H49)+H50</f>
        <v>-11352</v>
      </c>
      <c r="I51" s="138" t="n">
        <f aca="false">SUM(I44:I49)+I50</f>
        <v>-11352</v>
      </c>
      <c r="J51" s="138" t="n">
        <f aca="false">SUM(J44:J49)+J50</f>
        <v>-11352</v>
      </c>
      <c r="K51" s="138" t="n">
        <f aca="false">SUM(K44:K49)+K50</f>
        <v>-11352</v>
      </c>
      <c r="L51" s="138" t="n">
        <f aca="false">SUM(L44:L49)+L50</f>
        <v>-11352</v>
      </c>
      <c r="M51" s="138" t="n">
        <f aca="false">SUM(M44:M49)+M50</f>
        <v>-11352</v>
      </c>
      <c r="N51" s="138" t="n">
        <f aca="false">SUM(N44:N49)+N50</f>
        <v>-11352</v>
      </c>
      <c r="O51" s="138" t="n">
        <f aca="false">SUM(O44:O49)+O50</f>
        <v>-16579.2</v>
      </c>
      <c r="P51" s="138" t="n">
        <f aca="false">SUM(P44:P49)+P50</f>
        <v>-18890.52</v>
      </c>
      <c r="Q51" s="138" t="n">
        <f aca="false">SUM(Q44:Q49)+Q50</f>
        <v>-18890.52</v>
      </c>
      <c r="R51" s="138" t="n">
        <f aca="false">SUM(R44:R49)+R50</f>
        <v>-18890.52</v>
      </c>
      <c r="S51" s="138" t="n">
        <f aca="false">SUM(S44:S49)+S50</f>
        <v>-18890.52</v>
      </c>
      <c r="T51" s="138" t="n">
        <f aca="false">SUM(T44:T49)+T50</f>
        <v>-18890.52</v>
      </c>
      <c r="U51" s="138" t="n">
        <f aca="false">SUM(U44:U49)+U50</f>
        <v>-21201.84</v>
      </c>
      <c r="V51" s="138" t="n">
        <f aca="false">SUM(V44:V49)+V50</f>
        <v>-23921.04</v>
      </c>
      <c r="W51" s="138" t="n">
        <f aca="false">SUM(W44:W49)+W50</f>
        <v>-23921.04</v>
      </c>
      <c r="X51" s="138" t="n">
        <f aca="false">SUM(X44:X49)+X50</f>
        <v>-23921.04</v>
      </c>
      <c r="Y51" s="138" t="n">
        <f aca="false">SUM(Y44:Y49)+Y50</f>
        <v>-23921.04</v>
      </c>
      <c r="Z51" s="138" t="n">
        <f aca="false">SUM(Z44:Z49)+Z50</f>
        <v>-23921.04</v>
      </c>
      <c r="AA51" s="138" t="n">
        <f aca="false">SUM(AA44:AA49)+AA50</f>
        <v>-26202.8712</v>
      </c>
      <c r="AB51" s="138" t="n">
        <f aca="false">SUM(AB44:AB49)+AB50</f>
        <v>-28583.5308</v>
      </c>
      <c r="AC51" s="138" t="n">
        <f aca="false">SUM(AC44:AC49)+AC50</f>
        <v>-28583.5308</v>
      </c>
      <c r="AD51" s="138" t="n">
        <f aca="false">SUM(AD44:AD49)+AD50</f>
        <v>-28583.5308</v>
      </c>
      <c r="AE51" s="138" t="n">
        <f aca="false">SUM(AE44:AE49)+AE50</f>
        <v>-28583.5308</v>
      </c>
      <c r="AF51" s="138" t="n">
        <f aca="false">SUM(AF44:AF49)+AF50</f>
        <v>-28583.5308</v>
      </c>
      <c r="AG51" s="138" t="n">
        <f aca="false">SUM(AG44:AG49)+AG50</f>
        <v>-28583.5308</v>
      </c>
      <c r="AH51" s="138" t="n">
        <f aca="false">SUM(AH44:AH49)+AH50</f>
        <v>-28583.5308</v>
      </c>
      <c r="AI51" s="138" t="n">
        <f aca="false">SUM(AI44:AI49)+AI50</f>
        <v>-28583.5308</v>
      </c>
      <c r="AJ51" s="138" t="n">
        <f aca="false">SUM(AJ44:AJ49)+AJ50</f>
        <v>-28583.5308</v>
      </c>
      <c r="AK51" s="138" t="n">
        <f aca="false">SUM(AK44:AK49)+AK50</f>
        <v>-28583.5308</v>
      </c>
      <c r="AL51" s="138" t="n">
        <f aca="false">SUM(AL44:AL49)+AL50</f>
        <v>-30964.1904</v>
      </c>
      <c r="AM51" s="138" t="n">
        <f aca="false">SUM(AM44:AM49)+AM50</f>
        <v>-33397.916112</v>
      </c>
      <c r="AN51" s="138" t="n">
        <f aca="false">SUM(AN44:AN49)+AN50</f>
        <v>-33397.916112</v>
      </c>
      <c r="AO51" s="138" t="n">
        <f aca="false">SUM(AO44:AO49)+AO50</f>
        <v>-33397.916112</v>
      </c>
      <c r="AP51" s="138" t="n">
        <f aca="false">SUM(AP44:AP49)+AP50</f>
        <v>-33397.916112</v>
      </c>
      <c r="AQ51" s="138" t="n">
        <f aca="false">SUM(AQ44:AQ49)+AQ50</f>
        <v>-33397.916112</v>
      </c>
      <c r="AR51" s="138" t="n">
        <f aca="false">SUM(AR44:AR49)+AR50</f>
        <v>-33397.916112</v>
      </c>
      <c r="AS51" s="138" t="n">
        <f aca="false">SUM(AS44:AS49)+AS50</f>
        <v>-33397.916112</v>
      </c>
      <c r="AT51" s="138" t="n">
        <f aca="false">SUM(AT44:AT49)+AT50</f>
        <v>-33397.916112</v>
      </c>
      <c r="AU51" s="138" t="n">
        <f aca="false">SUM(AU44:AU49)+AU50</f>
        <v>-33397.916112</v>
      </c>
      <c r="AV51" s="138" t="n">
        <f aca="false">SUM(AV44:AV49)+AV50</f>
        <v>-33397.916112</v>
      </c>
      <c r="AW51" s="138" t="n">
        <f aca="false">SUM(AW44:AW49)+AW50</f>
        <v>-33397.916112</v>
      </c>
      <c r="AX51" s="138" t="n">
        <f aca="false">SUM(AX44:AX49)+AX50</f>
        <v>-33397.916112</v>
      </c>
      <c r="AY51" s="138" t="n">
        <f aca="false">SUM(AY44:AY49)+AY50</f>
        <v>-35845.25359536</v>
      </c>
      <c r="AZ51" s="138" t="n">
        <f aca="false">SUM(AZ44:AZ49)+AZ50</f>
        <v>-35845.25359536</v>
      </c>
      <c r="BA51" s="138" t="n">
        <f aca="false">SUM(BA44:BA49)+BA50</f>
        <v>-35845.25359536</v>
      </c>
      <c r="BB51" s="138" t="n">
        <f aca="false">SUM(BB44:BB49)+BB50</f>
        <v>-35845.25359536</v>
      </c>
      <c r="BC51" s="138" t="n">
        <f aca="false">SUM(BC44:BC49)+BC50</f>
        <v>-35845.25359536</v>
      </c>
      <c r="BD51" s="138" t="n">
        <f aca="false">SUM(BD44:BD49)+BD50</f>
        <v>-35845.25359536</v>
      </c>
      <c r="BE51" s="138" t="n">
        <f aca="false">SUM(BE44:BE49)+BE50</f>
        <v>-35845.25359536</v>
      </c>
      <c r="BF51" s="138" t="n">
        <f aca="false">SUM(BF44:BF49)+BF50</f>
        <v>-35845.25359536</v>
      </c>
      <c r="BG51" s="138" t="n">
        <f aca="false">SUM(BG44:BG49)+BG50</f>
        <v>-35845.25359536</v>
      </c>
      <c r="BH51" s="138" t="n">
        <f aca="false">SUM(BH44:BH49)+BH50</f>
        <v>-35845.25359536</v>
      </c>
      <c r="BI51" s="138" t="n">
        <f aca="false">SUM(BI44:BI49)+BI50</f>
        <v>-35845.25359536</v>
      </c>
      <c r="BJ51" s="138" t="n">
        <f aca="false">SUM(BJ44:BJ49)+BJ50</f>
        <v>-35845.25359536</v>
      </c>
      <c r="BK51" s="138" t="n">
        <f aca="false">SUM(BK44:BK49)+BK50</f>
        <v>-38306.6112032208</v>
      </c>
      <c r="BL51" s="138" t="n">
        <f aca="false">SUM(BL44:BL49)+BL50</f>
        <v>-38306.6112032208</v>
      </c>
      <c r="BM51" s="138" t="n">
        <f aca="false">SUM(BM44:BM49)+BM50</f>
        <v>-38306.6112032208</v>
      </c>
      <c r="BN51" s="138" t="n">
        <f aca="false">SUM(BN44:BN49)+BN50</f>
        <v>-38306.6112032208</v>
      </c>
      <c r="BO51" s="138" t="n">
        <f aca="false">SUM(BO44:BO49)+BO50</f>
        <v>-38306.6112032208</v>
      </c>
      <c r="BP51" s="138" t="n">
        <f aca="false">SUM(BP44:BP49)+BP50</f>
        <v>-38306.6112032208</v>
      </c>
      <c r="BQ51" s="138" t="n">
        <f aca="false">SUM(BQ44:BQ49)+BQ50</f>
        <v>-38306.6112032208</v>
      </c>
      <c r="BR51" s="138" t="n">
        <f aca="false">SUM(BR44:BR49)+BR50</f>
        <v>-38306.6112032208</v>
      </c>
      <c r="BS51" s="138" t="n">
        <f aca="false">SUM(BS44:BS49)+BS50</f>
        <v>-38306.6112032208</v>
      </c>
      <c r="BT51" s="138" t="n">
        <f aca="false">SUM(BT44:BT49)+BT50</f>
        <v>-38306.6112032208</v>
      </c>
      <c r="BU51" s="138" t="n">
        <f aca="false">SUM(BU44:BU49)+BU50</f>
        <v>-38306.6112032208</v>
      </c>
      <c r="BV51" s="138" t="n">
        <f aca="false">SUM(BV44:BV49)+BV50</f>
        <v>-38306.6112032208</v>
      </c>
      <c r="BW51" s="138" t="n">
        <f aca="false">SUM(BW44:BW49)+BW50</f>
        <v>-40782.4095393174</v>
      </c>
      <c r="BX51" s="138" t="n">
        <f aca="false">SUM(BX44:BX49)+BX50</f>
        <v>-40782.4095393174</v>
      </c>
      <c r="BY51" s="138" t="n">
        <f aca="false">SUM(BY44:BY49)+BY50</f>
        <v>-40782.4095393174</v>
      </c>
      <c r="BZ51" s="138" t="n">
        <f aca="false">SUM(BZ44:BZ49)+BZ50</f>
        <v>-40782.4095393174</v>
      </c>
      <c r="CA51" s="138" t="n">
        <f aca="false">SUM(CA44:CA49)+CA50</f>
        <v>-40782.4095393174</v>
      </c>
      <c r="CB51" s="138" t="n">
        <f aca="false">SUM(CB44:CB49)+CB50</f>
        <v>-40782.4095393174</v>
      </c>
      <c r="CC51" s="138" t="n">
        <f aca="false">SUM(CC44:CC49)+CC50</f>
        <v>-40782.4095393174</v>
      </c>
      <c r="CD51" s="138" t="n">
        <f aca="false">SUM(CD44:CD49)+CD50</f>
        <v>-40782.4095393174</v>
      </c>
      <c r="CE51" s="138" t="n">
        <f aca="false">SUM(CE44:CE49)+CE50</f>
        <v>-40782.4095393174</v>
      </c>
      <c r="CF51" s="138" t="n">
        <f aca="false">SUM(CF44:CF49)+CF50</f>
        <v>-40782.4095393174</v>
      </c>
      <c r="CG51" s="138" t="n">
        <f aca="false">SUM(CG44:CG49)+CG50</f>
        <v>-40782.4095393174</v>
      </c>
      <c r="CH51" s="138" t="n">
        <f aca="false">SUM(CH44:CH49)+CH50</f>
        <v>-40782.4095393174</v>
      </c>
    </row>
    <row r="52" customFormat="false" ht="13.5" hidden="false" customHeight="true" outlineLevel="0" collapsed="false">
      <c r="A52" s="13" t="s">
        <v>733</v>
      </c>
      <c r="C52" s="138" t="n">
        <f aca="false">C211+C207</f>
        <v>-1988.19288827815</v>
      </c>
      <c r="D52" s="138" t="n">
        <f aca="false">D211+D207</f>
        <v>-2036.31719197721</v>
      </c>
      <c r="E52" s="138" t="n">
        <f aca="false">E211+E207</f>
        <v>-2097.27329229283</v>
      </c>
      <c r="F52" s="138" t="n">
        <f aca="false">F211+F207</f>
        <v>-2153.44891935914</v>
      </c>
      <c r="G52" s="138" t="n">
        <f aca="false">G211+G207</f>
        <v>-2028.68411713193</v>
      </c>
      <c r="H52" s="138" t="n">
        <f aca="false">H211+H207</f>
        <v>-2275.3191860145</v>
      </c>
      <c r="I52" s="138" t="n">
        <f aca="false">I211+I207</f>
        <v>-2342.97886734529</v>
      </c>
      <c r="J52" s="138" t="n">
        <f aca="false">J211+J207</f>
        <v>-2442.80948014929</v>
      </c>
      <c r="K52" s="138" t="n">
        <f aca="false">K211+K207</f>
        <v>-2629.58889246741</v>
      </c>
      <c r="L52" s="138" t="n">
        <f aca="false">L211+L207</f>
        <v>-2816.36830478552</v>
      </c>
      <c r="M52" s="138" t="n">
        <f aca="false">M211+M207</f>
        <v>-2990.31592048709</v>
      </c>
      <c r="N52" s="138" t="n">
        <f aca="false">N211+N207</f>
        <v>-3181.03712653709</v>
      </c>
      <c r="O52" s="138" t="n">
        <f aca="false">O211+O207</f>
        <v>-3371.75833258709</v>
      </c>
      <c r="P52" s="138" t="n">
        <f aca="false">P211+P207</f>
        <v>-3557.65713141192</v>
      </c>
      <c r="Q52" s="138" t="n">
        <f aca="false">Q211+Q207</f>
        <v>-3743.55593023675</v>
      </c>
      <c r="R52" s="138" t="n">
        <f aca="false">R211+R207</f>
        <v>-3929.45472906157</v>
      </c>
      <c r="S52" s="138" t="n">
        <f aca="false">S211+S207</f>
        <v>-2571.88210811097</v>
      </c>
      <c r="T52" s="138" t="n">
        <f aca="false">T211+T207</f>
        <v>-4301.25232671123</v>
      </c>
      <c r="U52" s="138" t="n">
        <f aca="false">U211+U207</f>
        <v>-4487.15112553605</v>
      </c>
      <c r="V52" s="138" t="n">
        <f aca="false">V211+V207</f>
        <v>-4673.04992436088</v>
      </c>
      <c r="W52" s="138" t="n">
        <f aca="false">W211+W207</f>
        <v>-4858.9487231857</v>
      </c>
      <c r="X52" s="138" t="n">
        <f aca="false">X211+X207</f>
        <v>-5028.07393166209</v>
      </c>
      <c r="Y52" s="138" t="n">
        <f aca="false">Y211+Y207</f>
        <v>-5197.19914013848</v>
      </c>
      <c r="Z52" s="138" t="n">
        <f aca="false">Z211+Z207</f>
        <v>-5359.61491247549</v>
      </c>
      <c r="AA52" s="138" t="n">
        <f aca="false">AA211+AA207</f>
        <v>-5380.7046915339</v>
      </c>
      <c r="AB52" s="138" t="n">
        <f aca="false">AB211+AB207</f>
        <v>-5401.79447059231</v>
      </c>
      <c r="AC52" s="138" t="n">
        <f aca="false">AC211+AC207</f>
        <v>-5422.88424965071</v>
      </c>
      <c r="AD52" s="138" t="n">
        <f aca="false">AD211+AD207</f>
        <v>-5443.97402870912</v>
      </c>
      <c r="AE52" s="138" t="n">
        <f aca="false">AE211+AE207</f>
        <v>-2956.63356808456</v>
      </c>
      <c r="AF52" s="138" t="n">
        <f aca="false">AF211+AF207</f>
        <v>-5486.15358682593</v>
      </c>
      <c r="AG52" s="138" t="n">
        <f aca="false">AG211+AG207</f>
        <v>-5507.24336588434</v>
      </c>
      <c r="AH52" s="138" t="n">
        <f aca="false">AH211+AH207</f>
        <v>-5528.33314494274</v>
      </c>
      <c r="AI52" s="138" t="n">
        <f aca="false">AI211+AI207</f>
        <v>-5549.42292400115</v>
      </c>
      <c r="AJ52" s="138" t="n">
        <f aca="false">AJ211+AJ207</f>
        <v>-5570.51270305956</v>
      </c>
      <c r="AK52" s="138" t="n">
        <f aca="false">AK211+AK207</f>
        <v>-5591.60248211796</v>
      </c>
      <c r="AL52" s="138" t="n">
        <f aca="false">AL211+AL207</f>
        <v>-5612.69226117637</v>
      </c>
      <c r="AM52" s="138" t="n">
        <f aca="false">AM211+AM207</f>
        <v>-5633.78204023477</v>
      </c>
      <c r="AN52" s="138" t="n">
        <f aca="false">AN211+AN207</f>
        <v>-5654.87181929318</v>
      </c>
      <c r="AO52" s="138" t="n">
        <f aca="false">AO211+AO207</f>
        <v>-5675.96159835159</v>
      </c>
      <c r="AP52" s="138" t="n">
        <f aca="false">AP211+AP207</f>
        <v>-5697.05137740999</v>
      </c>
      <c r="AQ52" s="138" t="n">
        <f aca="false">AQ211+AQ207</f>
        <v>-3209.71091678543</v>
      </c>
      <c r="AR52" s="138" t="n">
        <f aca="false">AR211+AR207</f>
        <v>-5739.2309355268</v>
      </c>
      <c r="AS52" s="138" t="n">
        <f aca="false">AS211+AS207</f>
        <v>-5739.2309355268</v>
      </c>
      <c r="AT52" s="138" t="n">
        <f aca="false">AT211+AT207</f>
        <v>-5739.2309355268</v>
      </c>
      <c r="AU52" s="138" t="n">
        <f aca="false">AU211+AU207</f>
        <v>-5739.2309355268</v>
      </c>
      <c r="AV52" s="138" t="n">
        <f aca="false">AV211+AV207</f>
        <v>-5739.2309355268</v>
      </c>
      <c r="AW52" s="138" t="n">
        <f aca="false">AW211+AW207</f>
        <v>-5739.2309355268</v>
      </c>
      <c r="AX52" s="138" t="n">
        <f aca="false">AX211+AX207</f>
        <v>-5739.2309355268</v>
      </c>
      <c r="AY52" s="138" t="n">
        <f aca="false">AY211+AY207</f>
        <v>-5739.2309355268</v>
      </c>
      <c r="AZ52" s="138" t="n">
        <f aca="false">AZ211+AZ207</f>
        <v>-5739.2309355268</v>
      </c>
      <c r="BA52" s="138" t="n">
        <f aca="false">BA211+BA207</f>
        <v>-5739.2309355268</v>
      </c>
      <c r="BB52" s="138" t="n">
        <f aca="false">BB211+BB207</f>
        <v>-5739.2309355268</v>
      </c>
      <c r="BC52" s="138" t="n">
        <f aca="false">BC211+BC207</f>
        <v>-3230.80069584384</v>
      </c>
      <c r="BD52" s="138" t="n">
        <f aca="false">BD211+BD207</f>
        <v>-5739.2309355268</v>
      </c>
      <c r="BE52" s="138" t="n">
        <f aca="false">BE211+BE207</f>
        <v>-5739.2309355268</v>
      </c>
      <c r="BF52" s="138" t="n">
        <f aca="false">BF211+BF207</f>
        <v>-5739.2309355268</v>
      </c>
      <c r="BG52" s="138" t="n">
        <f aca="false">BG211+BG207</f>
        <v>-5739.2309355268</v>
      </c>
      <c r="BH52" s="138" t="n">
        <f aca="false">BH211+BH207</f>
        <v>-5739.2309355268</v>
      </c>
      <c r="BI52" s="138" t="n">
        <f aca="false">BI211+BI207</f>
        <v>-5739.2309355268</v>
      </c>
      <c r="BJ52" s="138" t="n">
        <f aca="false">BJ211+BJ207</f>
        <v>-5739.2309355268</v>
      </c>
      <c r="BK52" s="138" t="n">
        <f aca="false">BK211+BK207</f>
        <v>-5739.2309355268</v>
      </c>
      <c r="BL52" s="138" t="n">
        <f aca="false">BL211+BL207</f>
        <v>-5739.2309355268</v>
      </c>
      <c r="BM52" s="138" t="n">
        <f aca="false">BM211+BM207</f>
        <v>-5739.2309355268</v>
      </c>
      <c r="BN52" s="138" t="n">
        <f aca="false">BN211+BN207</f>
        <v>-5739.2309355268</v>
      </c>
      <c r="BO52" s="138" t="n">
        <f aca="false">BO211+BO207</f>
        <v>-3230.80069584384</v>
      </c>
      <c r="BP52" s="138" t="n">
        <f aca="false">BP211+BP207</f>
        <v>-5739.2309355268</v>
      </c>
      <c r="BQ52" s="138" t="n">
        <f aca="false">BQ211+BQ207</f>
        <v>-5739.2309355268</v>
      </c>
      <c r="BR52" s="138" t="n">
        <f aca="false">BR211+BR207</f>
        <v>-5739.2309355268</v>
      </c>
      <c r="BS52" s="138" t="n">
        <f aca="false">BS211+BS207</f>
        <v>-5739.2309355268</v>
      </c>
      <c r="BT52" s="138" t="n">
        <f aca="false">BT211+BT207</f>
        <v>-5739.2309355268</v>
      </c>
      <c r="BU52" s="138" t="n">
        <f aca="false">BU211+BU207</f>
        <v>-5739.2309355268</v>
      </c>
      <c r="BV52" s="138" t="n">
        <f aca="false">BV211+BV207</f>
        <v>-5739.2309355268</v>
      </c>
      <c r="BW52" s="138" t="n">
        <f aca="false">BW211+BW207</f>
        <v>-5739.2309355268</v>
      </c>
      <c r="BX52" s="138" t="n">
        <f aca="false">BX211+BX207</f>
        <v>-5739.2309355268</v>
      </c>
      <c r="BY52" s="138" t="n">
        <f aca="false">BY211+BY207</f>
        <v>-5739.2309355268</v>
      </c>
      <c r="BZ52" s="138" t="n">
        <f aca="false">BZ211+BZ207</f>
        <v>-5739.2309355268</v>
      </c>
      <c r="CA52" s="138" t="n">
        <f aca="false">CA211+CA207</f>
        <v>-3230.80069584384</v>
      </c>
      <c r="CB52" s="138" t="n">
        <f aca="false">CB211+CB207</f>
        <v>-5739.2309355268</v>
      </c>
      <c r="CC52" s="138" t="n">
        <f aca="false">CC211+CC207</f>
        <v>-5739.2309355268</v>
      </c>
      <c r="CD52" s="138" t="n">
        <f aca="false">CD211+CD207</f>
        <v>-5739.2309355268</v>
      </c>
      <c r="CE52" s="138" t="n">
        <f aca="false">CE211+CE207</f>
        <v>-5739.2309355268</v>
      </c>
      <c r="CF52" s="138" t="n">
        <f aca="false">CF211+CF207</f>
        <v>-5739.2309355268</v>
      </c>
      <c r="CG52" s="138" t="n">
        <f aca="false">CG211+CG207</f>
        <v>-5739.2309355268</v>
      </c>
      <c r="CH52" s="138" t="n">
        <f aca="false">CH211+CH207</f>
        <v>-5739.2309355268</v>
      </c>
    </row>
    <row r="53" customFormat="false" ht="13.5" hidden="false" customHeight="true" outlineLevel="0" collapsed="false">
      <c r="A53" s="13" t="s">
        <v>734</v>
      </c>
      <c r="C53" s="138" t="n">
        <f aca="false">-Hipótesis!$F$39</f>
        <v>-800</v>
      </c>
      <c r="D53" s="138" t="n">
        <f aca="false">-Hipótesis!$F$39</f>
        <v>-800</v>
      </c>
      <c r="E53" s="138" t="n">
        <f aca="false">-Hipótesis!$F$39</f>
        <v>-800</v>
      </c>
      <c r="F53" s="138" t="n">
        <f aca="false">-Hipótesis!$F$39</f>
        <v>-800</v>
      </c>
      <c r="G53" s="138" t="n">
        <f aca="false">-Hipótesis!$F$39</f>
        <v>-800</v>
      </c>
      <c r="H53" s="138" t="n">
        <f aca="false">-Hipótesis!$F$39</f>
        <v>-800</v>
      </c>
      <c r="I53" s="138" t="n">
        <f aca="false">-Hipótesis!$F$39</f>
        <v>-800</v>
      </c>
      <c r="J53" s="138" t="n">
        <f aca="false">-Hipótesis!$F$39</f>
        <v>-800</v>
      </c>
      <c r="K53" s="138" t="n">
        <f aca="false">-Hipótesis!$F$39</f>
        <v>-800</v>
      </c>
      <c r="L53" s="138" t="n">
        <f aca="false">-Hipótesis!$F$39</f>
        <v>-800</v>
      </c>
      <c r="M53" s="138" t="n">
        <f aca="false">-Hipótesis!$F$39</f>
        <v>-800</v>
      </c>
      <c r="N53" s="138" t="n">
        <f aca="false">-Hipótesis!$F$39</f>
        <v>-800</v>
      </c>
      <c r="O53" s="138" t="n">
        <f aca="false">-Hipótesis!$F$39</f>
        <v>-800</v>
      </c>
      <c r="P53" s="138" t="n">
        <f aca="false">-Hipótesis!$F$39</f>
        <v>-800</v>
      </c>
      <c r="Q53" s="138" t="n">
        <f aca="false">-Hipótesis!$F$39</f>
        <v>-800</v>
      </c>
      <c r="R53" s="138" t="n">
        <f aca="false">-Hipótesis!$F$39</f>
        <v>-800</v>
      </c>
      <c r="S53" s="138" t="n">
        <f aca="false">-Hipótesis!$F$39</f>
        <v>-800</v>
      </c>
      <c r="T53" s="138" t="n">
        <f aca="false">-Hipótesis!$F$39</f>
        <v>-800</v>
      </c>
      <c r="U53" s="138" t="n">
        <f aca="false">-Hipótesis!$F$39</f>
        <v>-800</v>
      </c>
      <c r="V53" s="138" t="n">
        <f aca="false">-Hipótesis!$F$39</f>
        <v>-800</v>
      </c>
      <c r="W53" s="138" t="n">
        <f aca="false">-Hipótesis!$F$39</f>
        <v>-800</v>
      </c>
      <c r="X53" s="138" t="n">
        <f aca="false">-Hipótesis!$F$39</f>
        <v>-800</v>
      </c>
      <c r="Y53" s="138" t="n">
        <f aca="false">-Hipótesis!$F$39</f>
        <v>-800</v>
      </c>
      <c r="Z53" s="138" t="n">
        <f aca="false">-Hipótesis!$F$39</f>
        <v>-800</v>
      </c>
      <c r="AA53" s="138" t="n">
        <f aca="false">-Hipótesis!$F$39</f>
        <v>-800</v>
      </c>
      <c r="AB53" s="138" t="n">
        <f aca="false">-Hipótesis!$F$39</f>
        <v>-800</v>
      </c>
      <c r="AC53" s="138" t="n">
        <f aca="false">-Hipótesis!$F$39</f>
        <v>-800</v>
      </c>
      <c r="AD53" s="138" t="n">
        <f aca="false">-Hipótesis!$F$39</f>
        <v>-800</v>
      </c>
      <c r="AE53" s="138" t="n">
        <f aca="false">-Hipótesis!$F$39</f>
        <v>-800</v>
      </c>
      <c r="AF53" s="138" t="n">
        <f aca="false">-Hipótesis!$F$39</f>
        <v>-800</v>
      </c>
      <c r="AG53" s="138" t="n">
        <f aca="false">-Hipótesis!$F$39</f>
        <v>-800</v>
      </c>
      <c r="AH53" s="138" t="n">
        <f aca="false">-Hipótesis!$F$39</f>
        <v>-800</v>
      </c>
      <c r="AI53" s="138" t="n">
        <f aca="false">-Hipótesis!$F$39</f>
        <v>-800</v>
      </c>
      <c r="AJ53" s="138" t="n">
        <f aca="false">-Hipótesis!$F$39</f>
        <v>-800</v>
      </c>
      <c r="AK53" s="138" t="n">
        <f aca="false">-Hipótesis!$F$39</f>
        <v>-800</v>
      </c>
      <c r="AL53" s="138" t="n">
        <f aca="false">-Hipótesis!$F$39</f>
        <v>-800</v>
      </c>
      <c r="AM53" s="138" t="n">
        <f aca="false">-Hipótesis!$F$39</f>
        <v>-800</v>
      </c>
      <c r="AN53" s="138" t="n">
        <f aca="false">-Hipótesis!$F$39</f>
        <v>-800</v>
      </c>
      <c r="AO53" s="138" t="n">
        <f aca="false">-Hipótesis!$F$39</f>
        <v>-800</v>
      </c>
      <c r="AP53" s="138" t="n">
        <f aca="false">-Hipótesis!$F$39</f>
        <v>-800</v>
      </c>
      <c r="AQ53" s="138" t="n">
        <f aca="false">-Hipótesis!$F$39</f>
        <v>-800</v>
      </c>
      <c r="AR53" s="138" t="n">
        <f aca="false">-Hipótesis!$F$39</f>
        <v>-800</v>
      </c>
      <c r="AS53" s="138" t="n">
        <f aca="false">-Hipótesis!$F$39</f>
        <v>-800</v>
      </c>
      <c r="AT53" s="138" t="n">
        <f aca="false">-Hipótesis!$F$39</f>
        <v>-800</v>
      </c>
      <c r="AU53" s="138" t="n">
        <f aca="false">-Hipótesis!$F$39</f>
        <v>-800</v>
      </c>
      <c r="AV53" s="138" t="n">
        <f aca="false">-Hipótesis!$F$39</f>
        <v>-800</v>
      </c>
      <c r="AW53" s="138" t="n">
        <f aca="false">-Hipótesis!$F$39</f>
        <v>-800</v>
      </c>
      <c r="AX53" s="138" t="n">
        <f aca="false">-Hipótesis!$F$39</f>
        <v>-800</v>
      </c>
      <c r="AY53" s="138" t="n">
        <f aca="false">-Hipótesis!$F$39</f>
        <v>-800</v>
      </c>
      <c r="AZ53" s="138" t="n">
        <f aca="false">-Hipótesis!$F$39</f>
        <v>-800</v>
      </c>
      <c r="BA53" s="138" t="n">
        <f aca="false">-Hipótesis!$F$39</f>
        <v>-800</v>
      </c>
      <c r="BB53" s="138" t="n">
        <f aca="false">-Hipótesis!$F$39</f>
        <v>-800</v>
      </c>
      <c r="BC53" s="138" t="n">
        <f aca="false">-Hipótesis!$F$39</f>
        <v>-800</v>
      </c>
      <c r="BD53" s="138" t="n">
        <f aca="false">-Hipótesis!$F$39</f>
        <v>-800</v>
      </c>
      <c r="BE53" s="138" t="n">
        <f aca="false">-Hipótesis!$F$39</f>
        <v>-800</v>
      </c>
      <c r="BF53" s="138" t="n">
        <f aca="false">-Hipótesis!$F$39</f>
        <v>-800</v>
      </c>
      <c r="BG53" s="138" t="n">
        <f aca="false">-Hipótesis!$F$39</f>
        <v>-800</v>
      </c>
      <c r="BH53" s="138" t="n">
        <f aca="false">-Hipótesis!$F$39</f>
        <v>-800</v>
      </c>
      <c r="BI53" s="138" t="n">
        <f aca="false">-Hipótesis!$F$39</f>
        <v>-800</v>
      </c>
      <c r="BJ53" s="138" t="n">
        <f aca="false">-Hipótesis!$F$39</f>
        <v>-800</v>
      </c>
      <c r="BK53" s="138" t="n">
        <f aca="false">-Hipótesis!$F$39</f>
        <v>-800</v>
      </c>
      <c r="BL53" s="138" t="n">
        <f aca="false">-Hipótesis!$F$39</f>
        <v>-800</v>
      </c>
      <c r="BM53" s="138" t="n">
        <f aca="false">-Hipótesis!$F$39</f>
        <v>-800</v>
      </c>
      <c r="BN53" s="138" t="n">
        <f aca="false">-Hipótesis!$F$39</f>
        <v>-800</v>
      </c>
      <c r="BO53" s="138" t="n">
        <f aca="false">-Hipótesis!$F$39</f>
        <v>-800</v>
      </c>
      <c r="BP53" s="138" t="n">
        <f aca="false">-Hipótesis!$F$39</f>
        <v>-800</v>
      </c>
      <c r="BQ53" s="138" t="n">
        <f aca="false">-Hipótesis!$F$39</f>
        <v>-800</v>
      </c>
      <c r="BR53" s="138" t="n">
        <f aca="false">-Hipótesis!$F$39</f>
        <v>-800</v>
      </c>
      <c r="BS53" s="138" t="n">
        <f aca="false">-Hipótesis!$F$39</f>
        <v>-800</v>
      </c>
      <c r="BT53" s="138" t="n">
        <f aca="false">-Hipótesis!$F$39</f>
        <v>-800</v>
      </c>
      <c r="BU53" s="138" t="n">
        <f aca="false">-Hipótesis!$F$39</f>
        <v>-800</v>
      </c>
      <c r="BV53" s="138" t="n">
        <f aca="false">-Hipótesis!$F$39</f>
        <v>-800</v>
      </c>
      <c r="BW53" s="138" t="n">
        <f aca="false">-Hipótesis!$F$39</f>
        <v>-800</v>
      </c>
      <c r="BX53" s="138" t="n">
        <f aca="false">-Hipótesis!$F$39</f>
        <v>-800</v>
      </c>
      <c r="BY53" s="138" t="n">
        <f aca="false">-Hipótesis!$F$39</f>
        <v>-800</v>
      </c>
      <c r="BZ53" s="138" t="n">
        <f aca="false">-Hipótesis!$F$39</f>
        <v>-800</v>
      </c>
      <c r="CA53" s="138" t="n">
        <f aca="false">-Hipótesis!$F$39</f>
        <v>-800</v>
      </c>
      <c r="CB53" s="138" t="n">
        <f aca="false">-Hipótesis!$F$39</f>
        <v>-800</v>
      </c>
      <c r="CC53" s="138" t="n">
        <f aca="false">-Hipótesis!$F$39</f>
        <v>-800</v>
      </c>
      <c r="CD53" s="138" t="n">
        <f aca="false">-Hipótesis!$F$39</f>
        <v>-800</v>
      </c>
      <c r="CE53" s="138" t="n">
        <f aca="false">-Hipótesis!$F$39</f>
        <v>-800</v>
      </c>
      <c r="CF53" s="138" t="n">
        <f aca="false">-Hipótesis!$F$39</f>
        <v>-800</v>
      </c>
      <c r="CG53" s="138" t="n">
        <f aca="false">-Hipótesis!$F$39</f>
        <v>-800</v>
      </c>
      <c r="CH53" s="138" t="n">
        <f aca="false">-Hipótesis!$F$39</f>
        <v>-800</v>
      </c>
    </row>
    <row r="54" customFormat="false" ht="13.5" hidden="false" customHeight="true" outlineLevel="0" collapsed="false">
      <c r="A54" s="13" t="s">
        <v>735</v>
      </c>
      <c r="C54" s="138" t="n">
        <f aca="false">-Hipótesis!$F$40+C209</f>
        <v>-705.101841033907</v>
      </c>
      <c r="D54" s="138" t="n">
        <f aca="false">-Hipótesis!$F$40+D209</f>
        <v>-708.178368649415</v>
      </c>
      <c r="E54" s="138" t="n">
        <f aca="false">-Hipótesis!$F$40+E209</f>
        <v>-711.254896264924</v>
      </c>
      <c r="F54" s="138" t="n">
        <f aca="false">-Hipótesis!$F$40+F209</f>
        <v>-714.331423880433</v>
      </c>
      <c r="G54" s="138" t="n">
        <f aca="false">-Hipótesis!$F$40+G209</f>
        <v>-717.407951495941</v>
      </c>
      <c r="H54" s="138" t="n">
        <f aca="false">-Hipótesis!$F$40+H209</f>
        <v>-720.48447911145</v>
      </c>
      <c r="I54" s="138" t="n">
        <f aca="false">-Hipótesis!$F$40+I209</f>
        <v>-723.561006726958</v>
      </c>
      <c r="J54" s="138" t="n">
        <f aca="false">-Hipótesis!$F$40+J209</f>
        <v>-726.637534342467</v>
      </c>
      <c r="K54" s="138" t="n">
        <f aca="false">-Hipótesis!$F$40+K209</f>
        <v>-729.714061957975</v>
      </c>
      <c r="L54" s="138" t="n">
        <f aca="false">-Hipótesis!$F$40+L209</f>
        <v>-732.790589573484</v>
      </c>
      <c r="M54" s="138" t="n">
        <f aca="false">-Hipótesis!$F$40+M209</f>
        <v>-735.867117188992</v>
      </c>
      <c r="N54" s="138" t="n">
        <f aca="false">-Hipótesis!$F$40+N209</f>
        <v>-738.943644804502</v>
      </c>
      <c r="O54" s="138" t="n">
        <f aca="false">-Hipótesis!$F$40+O209</f>
        <v>-742.02017242001</v>
      </c>
      <c r="P54" s="138" t="n">
        <f aca="false">-Hipótesis!$F$40+P209</f>
        <v>-745.096700035518</v>
      </c>
      <c r="Q54" s="138" t="n">
        <f aca="false">-Hipótesis!$F$40+Q209</f>
        <v>-748.173227651027</v>
      </c>
      <c r="R54" s="138" t="n">
        <f aca="false">-Hipótesis!$F$40+R209</f>
        <v>-751.249755266536</v>
      </c>
      <c r="S54" s="138" t="n">
        <f aca="false">-Hipótesis!$F$40+S209</f>
        <v>-754.326282882044</v>
      </c>
      <c r="T54" s="138" t="n">
        <f aca="false">-Hipótesis!$F$40+T209</f>
        <v>-757.402810497553</v>
      </c>
      <c r="U54" s="138" t="n">
        <f aca="false">-Hipótesis!$F$40+U209</f>
        <v>-760.479338113062</v>
      </c>
      <c r="V54" s="138" t="n">
        <f aca="false">-Hipótesis!$F$40+V209</f>
        <v>-763.55586572857</v>
      </c>
      <c r="W54" s="138" t="n">
        <f aca="false">-Hipótesis!$F$40+W209</f>
        <v>-766.632393344079</v>
      </c>
      <c r="X54" s="138" t="n">
        <f aca="false">-Hipótesis!$F$40+X209</f>
        <v>-769.708920959587</v>
      </c>
      <c r="Y54" s="138" t="n">
        <f aca="false">-Hipótesis!$F$40+Y209</f>
        <v>-772.785448575097</v>
      </c>
      <c r="Z54" s="138" t="n">
        <f aca="false">-Hipótesis!$F$40+Z209</f>
        <v>-775.861976190604</v>
      </c>
      <c r="AA54" s="138" t="n">
        <f aca="false">-Hipótesis!$F$40+AA209</f>
        <v>-573.836662772206</v>
      </c>
      <c r="AB54" s="138" t="n">
        <f aca="false">-Hipótesis!$F$40+AB209</f>
        <v>-573.836662772206</v>
      </c>
      <c r="AC54" s="138" t="n">
        <f aca="false">-Hipótesis!$F$40+AC209</f>
        <v>-573.836662772206</v>
      </c>
      <c r="AD54" s="138" t="n">
        <f aca="false">-Hipótesis!$F$40+AD209</f>
        <v>-573.836662772206</v>
      </c>
      <c r="AE54" s="138" t="n">
        <f aca="false">-Hipótesis!$F$40+AE209</f>
        <v>-573.836662772206</v>
      </c>
      <c r="AF54" s="138" t="n">
        <f aca="false">-Hipótesis!$F$40+AF209</f>
        <v>-573.836662772206</v>
      </c>
      <c r="AG54" s="138" t="n">
        <f aca="false">-Hipótesis!$F$40+AG209</f>
        <v>-573.836662772206</v>
      </c>
      <c r="AH54" s="138" t="n">
        <f aca="false">-Hipótesis!$F$40+AH209</f>
        <v>-573.836662772206</v>
      </c>
      <c r="AI54" s="138" t="n">
        <f aca="false">-Hipótesis!$F$40+AI209</f>
        <v>-573.836662772206</v>
      </c>
      <c r="AJ54" s="138" t="n">
        <f aca="false">-Hipótesis!$F$40+AJ209</f>
        <v>-573.836662772206</v>
      </c>
      <c r="AK54" s="138" t="n">
        <f aca="false">-Hipótesis!$F$40+AK209</f>
        <v>-573.836662772206</v>
      </c>
      <c r="AL54" s="138" t="n">
        <f aca="false">-Hipótesis!$F$40+AL209</f>
        <v>-573.836662772206</v>
      </c>
      <c r="AM54" s="138" t="n">
        <f aca="false">-Hipótesis!$F$40+AM209</f>
        <v>-573.836662772206</v>
      </c>
      <c r="AN54" s="138" t="n">
        <f aca="false">-Hipótesis!$F$40+AN209</f>
        <v>-573.836662772206</v>
      </c>
      <c r="AO54" s="138" t="n">
        <f aca="false">-Hipótesis!$F$40+AO209</f>
        <v>-573.836662772206</v>
      </c>
      <c r="AP54" s="138" t="n">
        <f aca="false">-Hipótesis!$F$40+AP209</f>
        <v>-573.836662772206</v>
      </c>
      <c r="AQ54" s="138" t="n">
        <f aca="false">-Hipótesis!$F$40+AQ209</f>
        <v>-573.836662772206</v>
      </c>
      <c r="AR54" s="138" t="n">
        <f aca="false">-Hipótesis!$F$40+AR209</f>
        <v>-573.836662772206</v>
      </c>
      <c r="AS54" s="138" t="n">
        <f aca="false">-Hipótesis!$F$40+AS209</f>
        <v>-573.836662772206</v>
      </c>
      <c r="AT54" s="138" t="n">
        <f aca="false">-Hipótesis!$F$40+AT209</f>
        <v>-573.836662772206</v>
      </c>
      <c r="AU54" s="138" t="n">
        <f aca="false">-Hipótesis!$F$40+AU209</f>
        <v>-573.836662772206</v>
      </c>
      <c r="AV54" s="138" t="n">
        <f aca="false">-Hipótesis!$F$40+AV209</f>
        <v>-573.836662772206</v>
      </c>
      <c r="AW54" s="138" t="n">
        <f aca="false">-Hipótesis!$F$40+AW209</f>
        <v>-573.836662772206</v>
      </c>
      <c r="AX54" s="138" t="n">
        <f aca="false">-Hipótesis!$F$40+AX209</f>
        <v>-573.836662772206</v>
      </c>
      <c r="AY54" s="138" t="n">
        <f aca="false">-Hipótesis!$F$40+AY209</f>
        <v>-573.836662772206</v>
      </c>
      <c r="AZ54" s="138" t="n">
        <f aca="false">-Hipótesis!$F$40+AZ209</f>
        <v>-573.836662772206</v>
      </c>
      <c r="BA54" s="138" t="n">
        <f aca="false">-Hipótesis!$F$40+BA209</f>
        <v>-573.836662772206</v>
      </c>
      <c r="BB54" s="138" t="n">
        <f aca="false">-Hipótesis!$F$40+BB209</f>
        <v>-573.836662772206</v>
      </c>
      <c r="BC54" s="138" t="n">
        <f aca="false">-Hipótesis!$F$40+BC209</f>
        <v>-573.836662772206</v>
      </c>
      <c r="BD54" s="138" t="n">
        <f aca="false">-Hipótesis!$F$40+BD209</f>
        <v>-573.836662772206</v>
      </c>
      <c r="BE54" s="138" t="n">
        <f aca="false">-Hipótesis!$F$40+BE209</f>
        <v>-573.836662772206</v>
      </c>
      <c r="BF54" s="138" t="n">
        <f aca="false">-Hipótesis!$F$40+BF209</f>
        <v>-573.836662772206</v>
      </c>
      <c r="BG54" s="138" t="n">
        <f aca="false">-Hipótesis!$F$40+BG209</f>
        <v>-573.836662772206</v>
      </c>
      <c r="BH54" s="138" t="n">
        <f aca="false">-Hipótesis!$F$40+BH209</f>
        <v>-573.836662772206</v>
      </c>
      <c r="BI54" s="138" t="n">
        <f aca="false">-Hipótesis!$F$40+BI209</f>
        <v>-573.836662772206</v>
      </c>
      <c r="BJ54" s="138" t="n">
        <f aca="false">-Hipótesis!$F$40+BJ209</f>
        <v>-573.836662772206</v>
      </c>
      <c r="BK54" s="138" t="n">
        <f aca="false">-Hipótesis!$F$40+BK209</f>
        <v>-573.836662772206</v>
      </c>
      <c r="BL54" s="138" t="n">
        <f aca="false">-Hipótesis!$F$40+BL209</f>
        <v>-573.836662772206</v>
      </c>
      <c r="BM54" s="138" t="n">
        <f aca="false">-Hipótesis!$F$40+BM209</f>
        <v>-573.836662772206</v>
      </c>
      <c r="BN54" s="138" t="n">
        <f aca="false">-Hipótesis!$F$40+BN209</f>
        <v>-573.836662772206</v>
      </c>
      <c r="BO54" s="138" t="n">
        <f aca="false">-Hipótesis!$F$40+BO209</f>
        <v>-573.836662772206</v>
      </c>
      <c r="BP54" s="138" t="n">
        <f aca="false">-Hipótesis!$F$40+BP209</f>
        <v>-573.836662772206</v>
      </c>
      <c r="BQ54" s="138" t="n">
        <f aca="false">-Hipótesis!$F$40+BQ209</f>
        <v>-573.836662772206</v>
      </c>
      <c r="BR54" s="138" t="n">
        <f aca="false">-Hipótesis!$F$40+BR209</f>
        <v>-573.836662772206</v>
      </c>
      <c r="BS54" s="138" t="n">
        <f aca="false">-Hipótesis!$F$40+BS209</f>
        <v>-573.836662772206</v>
      </c>
      <c r="BT54" s="138" t="n">
        <f aca="false">-Hipótesis!$F$40+BT209</f>
        <v>-573.836662772206</v>
      </c>
      <c r="BU54" s="138" t="n">
        <f aca="false">-Hipótesis!$F$40+BU209</f>
        <v>-573.836662772206</v>
      </c>
      <c r="BV54" s="138" t="n">
        <f aca="false">-Hipótesis!$F$40+BV209</f>
        <v>-573.836662772206</v>
      </c>
      <c r="BW54" s="138" t="n">
        <f aca="false">-Hipótesis!$F$40+BW209</f>
        <v>-573.836662772206</v>
      </c>
      <c r="BX54" s="138" t="n">
        <f aca="false">-Hipótesis!$F$40+BX209</f>
        <v>-573.836662772206</v>
      </c>
      <c r="BY54" s="138" t="n">
        <f aca="false">-Hipótesis!$F$40+BY209</f>
        <v>-573.836662772206</v>
      </c>
      <c r="BZ54" s="138" t="n">
        <f aca="false">-Hipótesis!$F$40+BZ209</f>
        <v>-573.836662772206</v>
      </c>
      <c r="CA54" s="138" t="n">
        <f aca="false">-Hipótesis!$F$40+CA209</f>
        <v>-573.836662772206</v>
      </c>
      <c r="CB54" s="138" t="n">
        <f aca="false">-Hipótesis!$F$40+CB209</f>
        <v>-573.836662772206</v>
      </c>
      <c r="CC54" s="138" t="n">
        <f aca="false">-Hipótesis!$F$40+CC209</f>
        <v>-573.836662772206</v>
      </c>
      <c r="CD54" s="138" t="n">
        <f aca="false">-Hipótesis!$F$40+CD209</f>
        <v>-573.836662772206</v>
      </c>
      <c r="CE54" s="138" t="n">
        <f aca="false">-Hipótesis!$F$40+CE209</f>
        <v>-573.836662772206</v>
      </c>
      <c r="CF54" s="138" t="n">
        <f aca="false">-Hipótesis!$F$40+CF209</f>
        <v>-573.836662772206</v>
      </c>
      <c r="CG54" s="138" t="n">
        <f aca="false">-Hipótesis!$F$40+CG209</f>
        <v>-573.836662772206</v>
      </c>
      <c r="CH54" s="138" t="n">
        <f aca="false">-Hipótesis!$F$40+CH209</f>
        <v>-573.836662772206</v>
      </c>
    </row>
    <row r="55" customFormat="false" ht="13.5" hidden="false" customHeight="true" outlineLevel="0" collapsed="false">
      <c r="A55" s="30" t="s">
        <v>736</v>
      </c>
      <c r="C55" s="138" t="n">
        <f aca="false">C42+C43+C51+C52+C53+C54</f>
        <v>-17869.6928281505</v>
      </c>
      <c r="D55" s="138" t="n">
        <f aca="false">D42+D43+D51+D52+D53+D54</f>
        <v>-17946.3188206078</v>
      </c>
      <c r="E55" s="138" t="n">
        <f aca="false">E42+E43+E51+E52+E53+E54</f>
        <v>-18052.6531369814</v>
      </c>
      <c r="F55" s="138" t="n">
        <f aca="false">F42+F43+F51+F52+F53+F54</f>
        <v>-18133.1088812672</v>
      </c>
      <c r="G55" s="138" t="n">
        <f aca="false">G42+G43+G51+G52+G53+G54</f>
        <v>-18017.5721339553</v>
      </c>
      <c r="H55" s="138" t="n">
        <f aca="false">H42+H43+H51+H52+H53+H54</f>
        <v>-18313.2536799889</v>
      </c>
      <c r="I55" s="138" t="n">
        <f aca="false">I42+I43+I51+I52+I53+I54</f>
        <v>-18417.0348384707</v>
      </c>
      <c r="J55" s="138" t="n">
        <f aca="false">J42+J43+J51+J52+J53+J54</f>
        <v>-18572.7869284258</v>
      </c>
      <c r="K55" s="138" t="n">
        <f aca="false">K42+K43+K51+K52+K53+K54</f>
        <v>-18815.4878178949</v>
      </c>
      <c r="L55" s="138" t="n">
        <f aca="false">L42+L43+L51+L52+L53+L54</f>
        <v>-19058.1887073641</v>
      </c>
      <c r="M55" s="138" t="n">
        <f aca="false">M42+M43+M51+M52+M53+M54</f>
        <v>-19271.1812729169</v>
      </c>
      <c r="N55" s="138" t="n">
        <f aca="false">N42+N43+N51+N52+N53+N54</f>
        <v>-19518.0651338884</v>
      </c>
      <c r="O55" s="138" t="n">
        <f aca="false">O42+O43+O51+O52+O53+O54</f>
        <v>-24992.1489948598</v>
      </c>
      <c r="P55" s="138" t="n">
        <f aca="false">P42+P43+P51+P52+P53+P54</f>
        <v>-27540.6091083985</v>
      </c>
      <c r="Q55" s="138" t="n">
        <f aca="false">Q42+Q43+Q51+Q52+Q53+Q54</f>
        <v>-27777.7492219371</v>
      </c>
      <c r="R55" s="138" t="n">
        <f aca="false">R42+R43+R51+R52+R53+R54</f>
        <v>-28014.8893354757</v>
      </c>
      <c r="S55" s="138" t="n">
        <f aca="false">S42+S43+S51+S52+S53+S54</f>
        <v>-26660.8730292388</v>
      </c>
      <c r="T55" s="138" t="n">
        <f aca="false">T42+T43+T51+T52+T53+T54</f>
        <v>-28489.1695625529</v>
      </c>
      <c r="U55" s="138" t="n">
        <f aca="false">U42+U43+U51+U52+U53+U54</f>
        <v>-31037.6296760915</v>
      </c>
      <c r="V55" s="138" t="n">
        <f aca="false">V42+V43+V51+V52+V53+V54</f>
        <v>-33993.9697896301</v>
      </c>
      <c r="W55" s="138" t="n">
        <f aca="false">W42+W43+W51+W52+W53+W54</f>
        <v>-34231.1099031687</v>
      </c>
      <c r="X55" s="138" t="n">
        <f aca="false">X42+X43+X51+X52+X53+X54</f>
        <v>-34434.3587212887</v>
      </c>
      <c r="Y55" s="138" t="n">
        <f aca="false">Y42+Y43+Y51+Y52+Y53+Y54</f>
        <v>-34637.6075394086</v>
      </c>
      <c r="Z55" s="138" t="n">
        <f aca="false">Z42+Z43+Z51+Z52+Z53+Z54</f>
        <v>-34827.2998393612</v>
      </c>
      <c r="AA55" s="138" t="n">
        <f aca="false">AA42+AA43+AA51+AA52+AA53+AA54</f>
        <v>-36952.3955050012</v>
      </c>
      <c r="AB55" s="138" t="n">
        <f aca="false">AB42+AB43+AB51+AB52+AB53+AB54</f>
        <v>-39378.3448840596</v>
      </c>
      <c r="AC55" s="138" t="n">
        <f aca="false">AC42+AC43+AC51+AC52+AC53+AC54</f>
        <v>-39423.634663118</v>
      </c>
      <c r="AD55" s="138" t="n">
        <f aca="false">AD42+AD43+AD51+AD52+AD53+AD54</f>
        <v>-39468.9244421764</v>
      </c>
      <c r="AE55" s="138" t="n">
        <f aca="false">AE42+AE43+AE51+AE52+AE53+AE54</f>
        <v>-36938.4639815518</v>
      </c>
      <c r="AF55" s="138" t="n">
        <f aca="false">AF42+AF43+AF51+AF52+AF53+AF54</f>
        <v>-39559.5040002932</v>
      </c>
      <c r="AG55" s="138" t="n">
        <f aca="false">AG42+AG43+AG51+AG52+AG53+AG54</f>
        <v>-39604.7937793516</v>
      </c>
      <c r="AH55" s="138" t="n">
        <f aca="false">AH42+AH43+AH51+AH52+AH53+AH54</f>
        <v>-39650.08355841</v>
      </c>
      <c r="AI55" s="138" t="n">
        <f aca="false">AI42+AI43+AI51+AI52+AI53+AI54</f>
        <v>-39695.3733374684</v>
      </c>
      <c r="AJ55" s="138" t="n">
        <f aca="false">AJ42+AJ43+AJ51+AJ52+AJ53+AJ54</f>
        <v>-39740.6631165268</v>
      </c>
      <c r="AK55" s="138" t="n">
        <f aca="false">AK42+AK43+AK51+AK52+AK53+AK54</f>
        <v>-39785.9528955852</v>
      </c>
      <c r="AL55" s="138" t="n">
        <f aca="false">AL42+AL43+AL51+AL52+AL53+AL54</f>
        <v>-42211.9022746436</v>
      </c>
      <c r="AM55" s="138" t="n">
        <f aca="false">AM42+AM43+AM51+AM52+AM53+AM54</f>
        <v>-44690.9177657021</v>
      </c>
      <c r="AN55" s="138" t="n">
        <f aca="false">AN42+AN43+AN51+AN52+AN53+AN54</f>
        <v>-44736.2075447605</v>
      </c>
      <c r="AO55" s="138" t="n">
        <f aca="false">AO42+AO43+AO51+AO52+AO53+AO54</f>
        <v>-44781.4973238189</v>
      </c>
      <c r="AP55" s="138" t="n">
        <f aca="false">AP42+AP43+AP51+AP52+AP53+AP54</f>
        <v>-44826.7871028773</v>
      </c>
      <c r="AQ55" s="138" t="n">
        <f aca="false">AQ42+AQ43+AQ51+AQ52+AQ53+AQ54</f>
        <v>-42296.3266422527</v>
      </c>
      <c r="AR55" s="138" t="n">
        <f aca="false">AR42+AR43+AR51+AR52+AR53+AR54</f>
        <v>-44917.3666609941</v>
      </c>
      <c r="AS55" s="138" t="n">
        <f aca="false">AS42+AS43+AS51+AS52+AS53+AS54</f>
        <v>-44917.3666609941</v>
      </c>
      <c r="AT55" s="138" t="n">
        <f aca="false">AT42+AT43+AT51+AT52+AT53+AT54</f>
        <v>-44917.3666609941</v>
      </c>
      <c r="AU55" s="138" t="n">
        <f aca="false">AU42+AU43+AU51+AU52+AU53+AU54</f>
        <v>-44917.3666609941</v>
      </c>
      <c r="AV55" s="138" t="n">
        <f aca="false">AV42+AV43+AV51+AV52+AV53+AV54</f>
        <v>-44917.3666609941</v>
      </c>
      <c r="AW55" s="138" t="n">
        <f aca="false">AW42+AW43+AW51+AW52+AW53+AW54</f>
        <v>-44917.3666609941</v>
      </c>
      <c r="AX55" s="138" t="n">
        <f aca="false">AX42+AX43+AX51+AX52+AX53+AX54</f>
        <v>-44917.3666609941</v>
      </c>
      <c r="AY55" s="138" t="n">
        <f aca="false">AY42+AY43+AY51+AY52+AY53+AY54</f>
        <v>-47364.7041443541</v>
      </c>
      <c r="AZ55" s="138" t="n">
        <f aca="false">AZ42+AZ43+AZ51+AZ52+AZ53+AZ54</f>
        <v>-47364.7041443541</v>
      </c>
      <c r="BA55" s="138" t="n">
        <f aca="false">BA42+BA43+BA51+BA52+BA53+BA54</f>
        <v>-47364.7041443541</v>
      </c>
      <c r="BB55" s="138" t="n">
        <f aca="false">BB42+BB43+BB51+BB52+BB53+BB54</f>
        <v>-47364.7041443541</v>
      </c>
      <c r="BC55" s="138" t="n">
        <f aca="false">BC42+BC43+BC51+BC52+BC53+BC54</f>
        <v>-44788.9539046711</v>
      </c>
      <c r="BD55" s="138" t="n">
        <f aca="false">BD42+BD43+BD51+BD52+BD53+BD54</f>
        <v>-47364.7041443541</v>
      </c>
      <c r="BE55" s="138" t="n">
        <f aca="false">BE42+BE43+BE51+BE52+BE53+BE54</f>
        <v>-47364.7041443541</v>
      </c>
      <c r="BF55" s="138" t="n">
        <f aca="false">BF42+BF43+BF51+BF52+BF53+BF54</f>
        <v>-47364.7041443541</v>
      </c>
      <c r="BG55" s="138" t="n">
        <f aca="false">BG42+BG43+BG51+BG52+BG53+BG54</f>
        <v>-47364.7041443541</v>
      </c>
      <c r="BH55" s="138" t="n">
        <f aca="false">BH42+BH43+BH51+BH52+BH53+BH54</f>
        <v>-47364.7041443541</v>
      </c>
      <c r="BI55" s="138" t="n">
        <f aca="false">BI42+BI43+BI51+BI52+BI53+BI54</f>
        <v>-47364.7041443541</v>
      </c>
      <c r="BJ55" s="138" t="n">
        <f aca="false">BJ42+BJ43+BJ51+BJ52+BJ53+BJ54</f>
        <v>-47364.7041443541</v>
      </c>
      <c r="BK55" s="138" t="n">
        <f aca="false">BK42+BK43+BK51+BK52+BK53+BK54</f>
        <v>-49826.0617522149</v>
      </c>
      <c r="BL55" s="138" t="n">
        <f aca="false">BL42+BL43+BL51+BL52+BL53+BL54</f>
        <v>-49826.0617522149</v>
      </c>
      <c r="BM55" s="138" t="n">
        <f aca="false">BM42+BM43+BM51+BM52+BM53+BM54</f>
        <v>-49826.0617522149</v>
      </c>
      <c r="BN55" s="138" t="n">
        <f aca="false">BN42+BN43+BN51+BN52+BN53+BN54</f>
        <v>-49826.0617522149</v>
      </c>
      <c r="BO55" s="138" t="n">
        <f aca="false">BO42+BO43+BO51+BO52+BO53+BO54</f>
        <v>-47250.3115125319</v>
      </c>
      <c r="BP55" s="138" t="n">
        <f aca="false">BP42+BP43+BP51+BP52+BP53+BP54</f>
        <v>-49826.0617522149</v>
      </c>
      <c r="BQ55" s="138" t="n">
        <f aca="false">BQ42+BQ43+BQ51+BQ52+BQ53+BQ54</f>
        <v>-49826.0617522149</v>
      </c>
      <c r="BR55" s="138" t="n">
        <f aca="false">BR42+BR43+BR51+BR52+BR53+BR54</f>
        <v>-49826.0617522149</v>
      </c>
      <c r="BS55" s="138" t="n">
        <f aca="false">BS42+BS43+BS51+BS52+BS53+BS54</f>
        <v>-49826.0617522149</v>
      </c>
      <c r="BT55" s="138" t="n">
        <f aca="false">BT42+BT43+BT51+BT52+BT53+BT54</f>
        <v>-49826.0617522149</v>
      </c>
      <c r="BU55" s="138" t="n">
        <f aca="false">BU42+BU43+BU51+BU52+BU53+BU54</f>
        <v>-49826.0617522149</v>
      </c>
      <c r="BV55" s="138" t="n">
        <f aca="false">BV42+BV43+BV51+BV52+BV53+BV54</f>
        <v>-49826.0617522149</v>
      </c>
      <c r="BW55" s="138" t="n">
        <f aca="false">BW42+BW43+BW51+BW52+BW53+BW54</f>
        <v>-52301.8600883115</v>
      </c>
      <c r="BX55" s="138" t="n">
        <f aca="false">BX42+BX43+BX51+BX52+BX53+BX54</f>
        <v>-52301.8600883115</v>
      </c>
      <c r="BY55" s="138" t="n">
        <f aca="false">BY42+BY43+BY51+BY52+BY53+BY54</f>
        <v>-52301.8600883115</v>
      </c>
      <c r="BZ55" s="138" t="n">
        <f aca="false">BZ42+BZ43+BZ51+BZ52+BZ53+BZ54</f>
        <v>-52301.8600883115</v>
      </c>
      <c r="CA55" s="138" t="n">
        <f aca="false">CA42+CA43+CA51+CA52+CA53+CA54</f>
        <v>-49726.1098486286</v>
      </c>
      <c r="CB55" s="138" t="n">
        <f aca="false">CB42+CB43+CB51+CB52+CB53+CB54</f>
        <v>-52301.8600883115</v>
      </c>
      <c r="CC55" s="138" t="n">
        <f aca="false">CC42+CC43+CC51+CC52+CC53+CC54</f>
        <v>-52301.8600883115</v>
      </c>
      <c r="CD55" s="138" t="n">
        <f aca="false">CD42+CD43+CD51+CD52+CD53+CD54</f>
        <v>-52301.8600883115</v>
      </c>
      <c r="CE55" s="138" t="n">
        <f aca="false">CE42+CE43+CE51+CE52+CE53+CE54</f>
        <v>-52301.8600883115</v>
      </c>
      <c r="CF55" s="138" t="n">
        <f aca="false">CF42+CF43+CF51+CF52+CF53+CF54</f>
        <v>-52301.8600883115</v>
      </c>
      <c r="CG55" s="138" t="n">
        <f aca="false">CG42+CG43+CG51+CG52+CG53+CG54</f>
        <v>-52301.8600883115</v>
      </c>
      <c r="CH55" s="138" t="n">
        <f aca="false">CH42+CH43+CH51+CH52+CH53+CH54</f>
        <v>-52301.8600883115</v>
      </c>
    </row>
    <row r="56" customFormat="false" ht="13.5" hidden="false" customHeight="true" outlineLevel="0" collapsed="false">
      <c r="A56" s="64" t="s">
        <v>737</v>
      </c>
      <c r="C56" s="99" t="n">
        <f aca="false">C40+C55</f>
        <v>-15979.8590337535</v>
      </c>
      <c r="D56" s="99" t="n">
        <f aca="false">D40+D55</f>
        <v>-14111.1549680314</v>
      </c>
      <c r="E56" s="99" t="n">
        <f aca="false">E40+E55</f>
        <v>-11405.7908343331</v>
      </c>
      <c r="F56" s="99" t="n">
        <f aca="false">F40+F55</f>
        <v>-9467.71808515862</v>
      </c>
      <c r="G56" s="99" t="n">
        <f aca="false">G40+G55</f>
        <v>-12049.970418757</v>
      </c>
      <c r="H56" s="99" t="n">
        <f aca="false">H40+H55</f>
        <v>-5247.39748535294</v>
      </c>
      <c r="I56" s="99" t="n">
        <f aca="false">I40+I55</f>
        <v>-2829.97287685658</v>
      </c>
      <c r="J56" s="99" t="n">
        <f aca="false">J40+J55</f>
        <v>1043.38756648775</v>
      </c>
      <c r="K56" s="99" t="n">
        <f aca="false">K40+K55</f>
        <v>4829.79921031797</v>
      </c>
      <c r="L56" s="99" t="n">
        <f aca="false">L40+L55</f>
        <v>8616.21085414819</v>
      </c>
      <c r="M56" s="99" t="n">
        <f aca="false">M40+M55</f>
        <v>11565.9624300021</v>
      </c>
      <c r="N56" s="99" t="n">
        <f aca="false">N40+N55</f>
        <v>15113.1354401409</v>
      </c>
      <c r="O56" s="99" t="n">
        <f aca="false">O40+O55</f>
        <v>13433.1084502797</v>
      </c>
      <c r="P56" s="99" t="n">
        <f aca="false">P40+P55</f>
        <v>14433.3393605615</v>
      </c>
      <c r="Q56" s="99" t="n">
        <f aca="false">Q40+Q55</f>
        <v>17744.8902708434</v>
      </c>
      <c r="R56" s="99" t="n">
        <f aca="false">R40+R55</f>
        <v>21056.4411811253</v>
      </c>
      <c r="S56" s="99" t="n">
        <f aca="false">S40+S55</f>
        <v>10112.3560551819</v>
      </c>
      <c r="T56" s="99" t="n">
        <f aca="false">T40+T55</f>
        <v>27679.543001689</v>
      </c>
      <c r="U56" s="99" t="n">
        <f aca="false">U40+U55</f>
        <v>28679.7739119709</v>
      </c>
      <c r="V56" s="99" t="n">
        <f aca="false">V40+V55</f>
        <v>29272.1248222528</v>
      </c>
      <c r="W56" s="99" t="n">
        <f aca="false">W40+W55</f>
        <v>32583.6757325347</v>
      </c>
      <c r="X56" s="99" t="n">
        <f aca="false">X40+X55</f>
        <v>35297.8052085317</v>
      </c>
      <c r="Y56" s="99" t="n">
        <f aca="false">Y40+Y55</f>
        <v>38011.9346845288</v>
      </c>
      <c r="Z56" s="99" t="n">
        <f aca="false">Z40+Z55</f>
        <v>40510.5855868119</v>
      </c>
      <c r="AA56" s="99" t="n">
        <f aca="false">AA40+AA55</f>
        <v>40228.4870800089</v>
      </c>
      <c r="AB56" s="99" t="n">
        <f aca="false">AB40+AB55</f>
        <v>39645.5348597875</v>
      </c>
      <c r="AC56" s="99" t="n">
        <f aca="false">AC40+AC55</f>
        <v>41443.2422395661</v>
      </c>
      <c r="AD56" s="99" t="n">
        <f aca="false">AD40+AD55</f>
        <v>43240.9496193447</v>
      </c>
      <c r="AE56" s="99" t="n">
        <f aca="false">AE40+AE55</f>
        <v>25242.4649479818</v>
      </c>
      <c r="AF56" s="99" t="n">
        <f aca="false">AF40+AF55</f>
        <v>46836.3643789019</v>
      </c>
      <c r="AG56" s="99" t="n">
        <f aca="false">AG40+AG55</f>
        <v>48634.0717586805</v>
      </c>
      <c r="AH56" s="99" t="n">
        <f aca="false">AH40+AH55</f>
        <v>50431.7791384591</v>
      </c>
      <c r="AI56" s="99" t="n">
        <f aca="false">AI40+AI55</f>
        <v>52229.4865182377</v>
      </c>
      <c r="AJ56" s="99" t="n">
        <f aca="false">AJ40+AJ55</f>
        <v>54027.1938980163</v>
      </c>
      <c r="AK56" s="99" t="n">
        <f aca="false">AK40+AK55</f>
        <v>55824.9012777949</v>
      </c>
      <c r="AL56" s="99" t="n">
        <f aca="false">AL40+AL55</f>
        <v>55241.9490575735</v>
      </c>
      <c r="AM56" s="99" t="n">
        <f aca="false">AM40+AM55</f>
        <v>54605.9307253521</v>
      </c>
      <c r="AN56" s="99" t="n">
        <f aca="false">AN40+AN55</f>
        <v>56403.6381051307</v>
      </c>
      <c r="AO56" s="99" t="n">
        <f aca="false">AO40+AO55</f>
        <v>58201.3454849093</v>
      </c>
      <c r="AP56" s="99" t="n">
        <f aca="false">AP40+AP55</f>
        <v>59999.0528646879</v>
      </c>
      <c r="AQ56" s="99" t="n">
        <f aca="false">AQ40+AQ55</f>
        <v>42000.568193325</v>
      </c>
      <c r="AR56" s="99" t="n">
        <f aca="false">AR40+AR55</f>
        <v>63594.4676242451</v>
      </c>
      <c r="AS56" s="99" t="n">
        <f aca="false">AS40+AS55</f>
        <v>63594.4676242451</v>
      </c>
      <c r="AT56" s="99" t="n">
        <f aca="false">AT40+AT55</f>
        <v>63594.4676242451</v>
      </c>
      <c r="AU56" s="99" t="n">
        <f aca="false">AU40+AU55</f>
        <v>63594.4676242451</v>
      </c>
      <c r="AV56" s="99" t="n">
        <f aca="false">AV40+AV55</f>
        <v>63594.4676242451</v>
      </c>
      <c r="AW56" s="99" t="n">
        <f aca="false">AW40+AW55</f>
        <v>63594.4676242451</v>
      </c>
      <c r="AX56" s="99" t="n">
        <f aca="false">AX40+AX55</f>
        <v>63594.4676242451</v>
      </c>
      <c r="AY56" s="99" t="n">
        <f aca="false">AY40+AY55</f>
        <v>61147.1301408851</v>
      </c>
      <c r="AZ56" s="99" t="n">
        <f aca="false">AZ40+AZ55</f>
        <v>61147.1301408851</v>
      </c>
      <c r="BA56" s="99" t="n">
        <f aca="false">BA40+BA55</f>
        <v>61147.1301408851</v>
      </c>
      <c r="BB56" s="99" t="n">
        <f aca="false">BB40+BB55</f>
        <v>61147.1301408851</v>
      </c>
      <c r="BC56" s="99" t="n">
        <f aca="false">BC40+BC55</f>
        <v>41350.9380897436</v>
      </c>
      <c r="BD56" s="99" t="n">
        <f aca="false">BD40+BD55</f>
        <v>61147.1301408851</v>
      </c>
      <c r="BE56" s="99" t="n">
        <f aca="false">BE40+BE55</f>
        <v>61147.1301408851</v>
      </c>
      <c r="BF56" s="99" t="n">
        <f aca="false">BF40+BF55</f>
        <v>61147.1301408851</v>
      </c>
      <c r="BG56" s="99" t="n">
        <f aca="false">BG40+BG55</f>
        <v>61147.1301408851</v>
      </c>
      <c r="BH56" s="99" t="n">
        <f aca="false">BH40+BH55</f>
        <v>61147.1301408851</v>
      </c>
      <c r="BI56" s="99" t="n">
        <f aca="false">BI40+BI55</f>
        <v>61147.1301408851</v>
      </c>
      <c r="BJ56" s="99" t="n">
        <f aca="false">BJ40+BJ55</f>
        <v>61147.1301408851</v>
      </c>
      <c r="BK56" s="99" t="n">
        <f aca="false">BK40+BK55</f>
        <v>58685.7725330243</v>
      </c>
      <c r="BL56" s="99" t="n">
        <f aca="false">BL40+BL55</f>
        <v>58685.7725330243</v>
      </c>
      <c r="BM56" s="99" t="n">
        <f aca="false">BM40+BM55</f>
        <v>58685.7725330243</v>
      </c>
      <c r="BN56" s="99" t="n">
        <f aca="false">BN40+BN55</f>
        <v>58685.7725330243</v>
      </c>
      <c r="BO56" s="99" t="n">
        <f aca="false">BO40+BO55</f>
        <v>38889.5804818828</v>
      </c>
      <c r="BP56" s="99" t="n">
        <f aca="false">BP40+BP55</f>
        <v>58685.7725330243</v>
      </c>
      <c r="BQ56" s="99" t="n">
        <f aca="false">BQ40+BQ55</f>
        <v>58685.7725330243</v>
      </c>
      <c r="BR56" s="99" t="n">
        <f aca="false">BR40+BR55</f>
        <v>58685.7725330243</v>
      </c>
      <c r="BS56" s="99" t="n">
        <f aca="false">BS40+BS55</f>
        <v>58685.7725330243</v>
      </c>
      <c r="BT56" s="99" t="n">
        <f aca="false">BT40+BT55</f>
        <v>58685.7725330243</v>
      </c>
      <c r="BU56" s="99" t="n">
        <f aca="false">BU40+BU55</f>
        <v>58685.7725330243</v>
      </c>
      <c r="BV56" s="99" t="n">
        <f aca="false">BV40+BV55</f>
        <v>58685.7725330243</v>
      </c>
      <c r="BW56" s="99" t="n">
        <f aca="false">BW40+BW55</f>
        <v>56209.9741969276</v>
      </c>
      <c r="BX56" s="99" t="n">
        <f aca="false">BX40+BX55</f>
        <v>56209.9741969276</v>
      </c>
      <c r="BY56" s="99" t="n">
        <f aca="false">BY40+BY55</f>
        <v>56209.9741969276</v>
      </c>
      <c r="BZ56" s="99" t="n">
        <f aca="false">BZ40+BZ55</f>
        <v>56209.9741969276</v>
      </c>
      <c r="CA56" s="99" t="n">
        <f aca="false">CA40+CA55</f>
        <v>36413.7821457861</v>
      </c>
      <c r="CB56" s="99" t="n">
        <f aca="false">CB40+CB55</f>
        <v>56209.9741969276</v>
      </c>
      <c r="CC56" s="99" t="n">
        <f aca="false">CC40+CC55</f>
        <v>56209.9741969276</v>
      </c>
      <c r="CD56" s="99" t="n">
        <f aca="false">CD40+CD55</f>
        <v>56209.9741969276</v>
      </c>
      <c r="CE56" s="99" t="n">
        <f aca="false">CE40+CE55</f>
        <v>56209.9741969276</v>
      </c>
      <c r="CF56" s="99" t="n">
        <f aca="false">CF40+CF55</f>
        <v>56209.9741969276</v>
      </c>
      <c r="CG56" s="99" t="n">
        <f aca="false">CG40+CG55</f>
        <v>56209.9741969276</v>
      </c>
      <c r="CH56" s="99" t="n">
        <f aca="false">CH40+CH55</f>
        <v>56209.9741969276</v>
      </c>
    </row>
    <row r="57" customFormat="false" ht="13.5" hidden="false" customHeight="true" outlineLevel="0" collapsed="false">
      <c r="A57" s="13" t="s">
        <v>50</v>
      </c>
      <c r="C57" s="151" t="n">
        <f aca="false">IFERROR(C56/C38,0)</f>
        <v>-7.64597866087455</v>
      </c>
      <c r="D57" s="151" t="n">
        <f aca="false">IFERROR(D56/D38,0)</f>
        <v>-3.31995290728098</v>
      </c>
      <c r="E57" s="151" t="n">
        <f aca="false">IFERROR(E56/E38,0)</f>
        <v>-1.52232163003908</v>
      </c>
      <c r="F57" s="151" t="n">
        <f aca="false">IFERROR(F56/F38,0)</f>
        <v>-0.965649154029071</v>
      </c>
      <c r="G57" s="151" t="n">
        <f aca="false">IFERROR(G56/G38,0)</f>
        <v>-1.69347685120902</v>
      </c>
      <c r="H57" s="151" t="n">
        <f aca="false">IFERROR(H56/H38,0)</f>
        <v>-0.351376372974036</v>
      </c>
      <c r="I57" s="151" t="n">
        <f aca="false">IFERROR(I56/I38,0)</f>
        <v>-0.157882212281603</v>
      </c>
      <c r="J57" s="151" t="n">
        <f aca="false">IFERROR(J56/J38,0)</f>
        <v>0.0458207766858293</v>
      </c>
      <c r="K57" s="151" t="n">
        <f aca="false">IFERROR(K56/K38,0)</f>
        <v>0.174881632351069</v>
      </c>
      <c r="L57" s="151" t="n">
        <f aca="false">IFERROR(L56/L38,0)</f>
        <v>0.265408109791448</v>
      </c>
      <c r="M57" s="151" t="n">
        <f aca="false">IFERROR(M56/M38,0)</f>
        <v>0.319246297599147</v>
      </c>
      <c r="N57" s="151" t="n">
        <f aca="false">IFERROR(N56/N38,0)</f>
        <v>0.369742176916377</v>
      </c>
      <c r="O57" s="151" t="n">
        <f aca="false">IFERROR(O56/O38,0)</f>
        <v>0.29509938333823</v>
      </c>
      <c r="P57" s="151" t="n">
        <f aca="false">IFERROR(P56/P38,0)</f>
        <v>0.289539219682529</v>
      </c>
      <c r="Q57" s="151" t="n">
        <f aca="false">IFERROR(Q56/Q38,0)</f>
        <v>0.327529099371808</v>
      </c>
      <c r="R57" s="151" t="n">
        <f aca="false">IFERROR(R56/R38,0)</f>
        <v>0.359897496652932</v>
      </c>
      <c r="S57" s="151" t="n">
        <f aca="false">IFERROR(S56/S38,0)</f>
        <v>0.219493962882871</v>
      </c>
      <c r="T57" s="151" t="n">
        <f aca="false">IFERROR(T56/T38,0)</f>
        <v>0.412117481341909</v>
      </c>
      <c r="U57" s="151" t="n">
        <f aca="false">IFERROR(U56/U38,0)</f>
        <v>0.401155436547594</v>
      </c>
      <c r="V57" s="151" t="n">
        <f aca="false">IFERROR(V56/V38,0)</f>
        <v>0.38606558791407</v>
      </c>
      <c r="W57" s="151" t="n">
        <f aca="false">IFERROR(W56/W38,0)</f>
        <v>0.406531906359133</v>
      </c>
      <c r="X57" s="151" t="n">
        <f aca="false">IFERROR(X56/X38,0)</f>
        <v>0.422231672885634</v>
      </c>
      <c r="Y57" s="151" t="n">
        <f aca="false">IFERROR(Y56/Y38,0)</f>
        <v>0.436687722842837</v>
      </c>
      <c r="Z57" s="151" t="n">
        <f aca="false">IFERROR(Z56/Z38,0)</f>
        <v>0.449293834071414</v>
      </c>
      <c r="AA57" s="151" t="n">
        <f aca="false">IFERROR(AA56/AA38,0)</f>
        <v>0.435217198816204</v>
      </c>
      <c r="AB57" s="151" t="n">
        <f aca="false">IFERROR(AB56/AB38,0)</f>
        <v>0.418637967714909</v>
      </c>
      <c r="AC57" s="151" t="n">
        <f aca="false">IFERROR(AC56/AC38,0)</f>
        <v>0.427384952022356</v>
      </c>
      <c r="AD57" s="151" t="n">
        <f aca="false">IFERROR(AD56/AD38,0)</f>
        <v>0.435732104600327</v>
      </c>
      <c r="AE57" s="151" t="n">
        <f aca="false">IFERROR(AE56/AE38,0)</f>
        <v>0.324293283750661</v>
      </c>
      <c r="AF57" s="151" t="n">
        <f aca="false">IFERROR(AF56/AF38,0)</f>
        <v>0.451331780836881</v>
      </c>
      <c r="AG57" s="151" t="n">
        <f aca="false">IFERROR(AG56/AG38,0)</f>
        <v>0.458631130207229</v>
      </c>
      <c r="AH57" s="151" t="n">
        <f aca="false">IFERROR(AH56/AH38,0)</f>
        <v>0.465624768970648</v>
      </c>
      <c r="AI57" s="151" t="n">
        <f aca="false">IFERROR(AI56/AI38,0)</f>
        <v>0.472331508803538</v>
      </c>
      <c r="AJ57" s="151" t="n">
        <f aca="false">IFERROR(AJ56/AJ38,0)</f>
        <v>0.47876864898686</v>
      </c>
      <c r="AK57" s="151" t="n">
        <f aca="false">IFERROR(AK56/AK38,0)</f>
        <v>0.484952125400843</v>
      </c>
      <c r="AL57" s="151" t="n">
        <f aca="false">IFERROR(AL56/AL38,0)</f>
        <v>0.470615404877652</v>
      </c>
      <c r="AM57" s="151" t="n">
        <f aca="false">IFERROR(AM56/AM38,0)</f>
        <v>0.456378713003645</v>
      </c>
      <c r="AN57" s="151" t="n">
        <f aca="false">IFERROR(AN56/AN38,0)</f>
        <v>0.462633617679244</v>
      </c>
      <c r="AO57" s="151" t="n">
        <f aca="false">IFERROR(AO56/AO38,0)</f>
        <v>0.468660046572338</v>
      </c>
      <c r="AP57" s="151" t="n">
        <f aca="false">IFERROR(AP56/AP38,0)</f>
        <v>0.474470293610087</v>
      </c>
      <c r="AQ57" s="151" t="n">
        <f aca="false">IFERROR(AQ56/AQ38,0)</f>
        <v>0.399793207416302</v>
      </c>
      <c r="AR57" s="151" t="n">
        <f aca="false">IFERROR(AR56/AR38,0)</f>
        <v>0.485487160436382</v>
      </c>
      <c r="AS57" s="151" t="n">
        <f aca="false">IFERROR(AS56/AS38,0)</f>
        <v>0.485487160436382</v>
      </c>
      <c r="AT57" s="151" t="n">
        <f aca="false">IFERROR(AT56/AT38,0)</f>
        <v>0.485487160436382</v>
      </c>
      <c r="AU57" s="151" t="n">
        <f aca="false">IFERROR(AU56/AU38,0)</f>
        <v>0.485487160436382</v>
      </c>
      <c r="AV57" s="151" t="n">
        <f aca="false">IFERROR(AV56/AV38,0)</f>
        <v>0.485487160436382</v>
      </c>
      <c r="AW57" s="151" t="n">
        <f aca="false">IFERROR(AW56/AW38,0)</f>
        <v>0.485487160436382</v>
      </c>
      <c r="AX57" s="151" t="n">
        <f aca="false">IFERROR(AX56/AX38,0)</f>
        <v>0.485487160436382</v>
      </c>
      <c r="AY57" s="151" t="n">
        <f aca="false">IFERROR(AY56/AY38,0)</f>
        <v>0.466803916912019</v>
      </c>
      <c r="AZ57" s="151" t="n">
        <f aca="false">IFERROR(AZ56/AZ38,0)</f>
        <v>0.466803916912019</v>
      </c>
      <c r="BA57" s="151" t="n">
        <f aca="false">IFERROR(BA56/BA38,0)</f>
        <v>0.466803916912019</v>
      </c>
      <c r="BB57" s="151" t="n">
        <f aca="false">IFERROR(BB56/BB38,0)</f>
        <v>0.466803916912019</v>
      </c>
      <c r="BC57" s="151" t="n">
        <f aca="false">IFERROR(BC56/BC38,0)</f>
        <v>0.385291248006979</v>
      </c>
      <c r="BD57" s="151" t="n">
        <f aca="false">IFERROR(BD56/BD38,0)</f>
        <v>0.466803916912019</v>
      </c>
      <c r="BE57" s="151" t="n">
        <f aca="false">IFERROR(BE56/BE38,0)</f>
        <v>0.466803916912019</v>
      </c>
      <c r="BF57" s="151" t="n">
        <f aca="false">IFERROR(BF56/BF38,0)</f>
        <v>0.466803916912019</v>
      </c>
      <c r="BG57" s="151" t="n">
        <f aca="false">IFERROR(BG56/BG38,0)</f>
        <v>0.466803916912019</v>
      </c>
      <c r="BH57" s="151" t="n">
        <f aca="false">IFERROR(BH56/BH38,0)</f>
        <v>0.466803916912019</v>
      </c>
      <c r="BI57" s="151" t="n">
        <f aca="false">IFERROR(BI56/BI38,0)</f>
        <v>0.466803916912019</v>
      </c>
      <c r="BJ57" s="151" t="n">
        <f aca="false">IFERROR(BJ56/BJ38,0)</f>
        <v>0.466803916912019</v>
      </c>
      <c r="BK57" s="151" t="n">
        <f aca="false">IFERROR(BK56/BK38,0)</f>
        <v>0.44801364221518</v>
      </c>
      <c r="BL57" s="151" t="n">
        <f aca="false">IFERROR(BL56/BL38,0)</f>
        <v>0.44801364221518</v>
      </c>
      <c r="BM57" s="151" t="n">
        <f aca="false">IFERROR(BM56/BM38,0)</f>
        <v>0.44801364221518</v>
      </c>
      <c r="BN57" s="151" t="n">
        <f aca="false">IFERROR(BN56/BN38,0)</f>
        <v>0.44801364221518</v>
      </c>
      <c r="BO57" s="151" t="n">
        <f aca="false">IFERROR(BO56/BO38,0)</f>
        <v>0.362357317403858</v>
      </c>
      <c r="BP57" s="151" t="n">
        <f aca="false">IFERROR(BP56/BP38,0)</f>
        <v>0.44801364221518</v>
      </c>
      <c r="BQ57" s="151" t="n">
        <f aca="false">IFERROR(BQ56/BQ38,0)</f>
        <v>0.44801364221518</v>
      </c>
      <c r="BR57" s="151" t="n">
        <f aca="false">IFERROR(BR56/BR38,0)</f>
        <v>0.44801364221518</v>
      </c>
      <c r="BS57" s="151" t="n">
        <f aca="false">IFERROR(BS56/BS38,0)</f>
        <v>0.44801364221518</v>
      </c>
      <c r="BT57" s="151" t="n">
        <f aca="false">IFERROR(BT56/BT38,0)</f>
        <v>0.44801364221518</v>
      </c>
      <c r="BU57" s="151" t="n">
        <f aca="false">IFERROR(BU56/BU38,0)</f>
        <v>0.44801364221518</v>
      </c>
      <c r="BV57" s="151" t="n">
        <f aca="false">IFERROR(BV56/BV38,0)</f>
        <v>0.44801364221518</v>
      </c>
      <c r="BW57" s="151" t="n">
        <f aca="false">IFERROR(BW56/BW38,0)</f>
        <v>0.42911312541069</v>
      </c>
      <c r="BX57" s="151" t="n">
        <f aca="false">IFERROR(BX56/BX38,0)</f>
        <v>0.42911312541069</v>
      </c>
      <c r="BY57" s="151" t="n">
        <f aca="false">IFERROR(BY56/BY38,0)</f>
        <v>0.42911312541069</v>
      </c>
      <c r="BZ57" s="151" t="n">
        <f aca="false">IFERROR(BZ56/BZ38,0)</f>
        <v>0.42911312541069</v>
      </c>
      <c r="CA57" s="151" t="n">
        <f aca="false">IFERROR(CA56/CA38,0)</f>
        <v>0.339288833959588</v>
      </c>
      <c r="CB57" s="151" t="n">
        <f aca="false">IFERROR(CB56/CB38,0)</f>
        <v>0.42911312541069</v>
      </c>
      <c r="CC57" s="151" t="n">
        <f aca="false">IFERROR(CC56/CC38,0)</f>
        <v>0.42911312541069</v>
      </c>
      <c r="CD57" s="151" t="n">
        <f aca="false">IFERROR(CD56/CD38,0)</f>
        <v>0.42911312541069</v>
      </c>
      <c r="CE57" s="151" t="n">
        <f aca="false">IFERROR(CE56/CE38,0)</f>
        <v>0.42911312541069</v>
      </c>
      <c r="CF57" s="151" t="n">
        <f aca="false">IFERROR(CF56/CF38,0)</f>
        <v>0.42911312541069</v>
      </c>
      <c r="CG57" s="151" t="n">
        <f aca="false">IFERROR(CG56/CG38,0)</f>
        <v>0.42911312541069</v>
      </c>
      <c r="CH57" s="151" t="n">
        <f aca="false">IFERROR(CH56/CH38,0)</f>
        <v>0.42911312541069</v>
      </c>
    </row>
    <row r="58" customFormat="false" ht="13.5" hidden="false" customHeight="true" outlineLevel="0" collapsed="false">
      <c r="A58" s="13" t="s">
        <v>738</v>
      </c>
      <c r="C58" s="138" t="n">
        <f aca="false">-(CAPEX!$C$22)/(Hipótesis!$F$86*12)</f>
        <v>-1226.66666666667</v>
      </c>
      <c r="D58" s="138" t="n">
        <f aca="false">-(CAPEX!$C$22)/(Hipótesis!$F$86*12)</f>
        <v>-1226.66666666667</v>
      </c>
      <c r="E58" s="138" t="n">
        <f aca="false">-(CAPEX!$C$22)/(Hipótesis!$F$86*12)</f>
        <v>-1226.66666666667</v>
      </c>
      <c r="F58" s="138" t="n">
        <f aca="false">-(CAPEX!$C$22)/(Hipótesis!$F$86*12)</f>
        <v>-1226.66666666667</v>
      </c>
      <c r="G58" s="138" t="n">
        <f aca="false">-(CAPEX!$C$22)/(Hipótesis!$F$86*12)</f>
        <v>-1226.66666666667</v>
      </c>
      <c r="H58" s="138" t="n">
        <f aca="false">-(CAPEX!$C$22)/(Hipótesis!$F$86*12)</f>
        <v>-1226.66666666667</v>
      </c>
      <c r="I58" s="138" t="n">
        <f aca="false">-(CAPEX!$C$22)/(Hipótesis!$F$86*12)</f>
        <v>-1226.66666666667</v>
      </c>
      <c r="J58" s="138" t="n">
        <f aca="false">-(CAPEX!$C$22)/(Hipótesis!$F$86*12)</f>
        <v>-1226.66666666667</v>
      </c>
      <c r="K58" s="138" t="n">
        <f aca="false">-(CAPEX!$C$22)/(Hipótesis!$F$86*12)</f>
        <v>-1226.66666666667</v>
      </c>
      <c r="L58" s="138" t="n">
        <f aca="false">-(CAPEX!$C$22)/(Hipótesis!$F$86*12)</f>
        <v>-1226.66666666667</v>
      </c>
      <c r="M58" s="138" t="n">
        <f aca="false">-(CAPEX!$C$22)/(Hipótesis!$F$86*12)</f>
        <v>-1226.66666666667</v>
      </c>
      <c r="N58" s="138" t="n">
        <f aca="false">-(CAPEX!$C$22)/(Hipótesis!$F$86*12)</f>
        <v>-1226.66666666667</v>
      </c>
      <c r="O58" s="138" t="n">
        <f aca="false">-(CAPEX!$C$22)/(Hipótesis!$F$86*12)</f>
        <v>-1226.66666666667</v>
      </c>
      <c r="P58" s="138" t="n">
        <f aca="false">-(CAPEX!$C$22)/(Hipótesis!$F$86*12)</f>
        <v>-1226.66666666667</v>
      </c>
      <c r="Q58" s="138" t="n">
        <f aca="false">-(CAPEX!$C$22)/(Hipótesis!$F$86*12)</f>
        <v>-1226.66666666667</v>
      </c>
      <c r="R58" s="138" t="n">
        <f aca="false">-(CAPEX!$C$22)/(Hipótesis!$F$86*12)</f>
        <v>-1226.66666666667</v>
      </c>
      <c r="S58" s="138" t="n">
        <f aca="false">-(CAPEX!$C$22)/(Hipótesis!$F$86*12)</f>
        <v>-1226.66666666667</v>
      </c>
      <c r="T58" s="138" t="n">
        <f aca="false">-(CAPEX!$C$22)/(Hipótesis!$F$86*12)</f>
        <v>-1226.66666666667</v>
      </c>
      <c r="U58" s="138" t="n">
        <f aca="false">-(CAPEX!$C$22)/(Hipótesis!$F$86*12)</f>
        <v>-1226.66666666667</v>
      </c>
      <c r="V58" s="138" t="n">
        <f aca="false">-(CAPEX!$C$22)/(Hipótesis!$F$86*12)</f>
        <v>-1226.66666666667</v>
      </c>
      <c r="W58" s="138" t="n">
        <f aca="false">-(CAPEX!$C$22)/(Hipótesis!$F$86*12)</f>
        <v>-1226.66666666667</v>
      </c>
      <c r="X58" s="138" t="n">
        <f aca="false">-(CAPEX!$C$22)/(Hipótesis!$F$86*12)</f>
        <v>-1226.66666666667</v>
      </c>
      <c r="Y58" s="138" t="n">
        <f aca="false">-(CAPEX!$C$22)/(Hipótesis!$F$86*12)</f>
        <v>-1226.66666666667</v>
      </c>
      <c r="Z58" s="138" t="n">
        <f aca="false">-(CAPEX!$C$22)/(Hipótesis!$F$86*12)</f>
        <v>-1226.66666666667</v>
      </c>
      <c r="AA58" s="138" t="n">
        <f aca="false">-(CAPEX!$C$22)/(Hipótesis!$F$86*12)</f>
        <v>-1226.66666666667</v>
      </c>
      <c r="AB58" s="138" t="n">
        <f aca="false">-(CAPEX!$C$22)/(Hipótesis!$F$86*12)</f>
        <v>-1226.66666666667</v>
      </c>
      <c r="AC58" s="138" t="n">
        <f aca="false">-(CAPEX!$C$22)/(Hipótesis!$F$86*12)</f>
        <v>-1226.66666666667</v>
      </c>
      <c r="AD58" s="138" t="n">
        <f aca="false">-(CAPEX!$C$22)/(Hipótesis!$F$86*12)</f>
        <v>-1226.66666666667</v>
      </c>
      <c r="AE58" s="138" t="n">
        <f aca="false">-(CAPEX!$C$22)/(Hipótesis!$F$86*12)</f>
        <v>-1226.66666666667</v>
      </c>
      <c r="AF58" s="138" t="n">
        <f aca="false">-(CAPEX!$C$22)/(Hipótesis!$F$86*12)</f>
        <v>-1226.66666666667</v>
      </c>
      <c r="AG58" s="138" t="n">
        <f aca="false">-(CAPEX!$C$22)/(Hipótesis!$F$86*12)</f>
        <v>-1226.66666666667</v>
      </c>
      <c r="AH58" s="138" t="n">
        <f aca="false">-(CAPEX!$C$22)/(Hipótesis!$F$86*12)</f>
        <v>-1226.66666666667</v>
      </c>
      <c r="AI58" s="138" t="n">
        <f aca="false">-(CAPEX!$C$22)/(Hipótesis!$F$86*12)</f>
        <v>-1226.66666666667</v>
      </c>
      <c r="AJ58" s="138" t="n">
        <f aca="false">-(CAPEX!$C$22)/(Hipótesis!$F$86*12)</f>
        <v>-1226.66666666667</v>
      </c>
      <c r="AK58" s="138" t="n">
        <f aca="false">-(CAPEX!$C$22)/(Hipótesis!$F$86*12)</f>
        <v>-1226.66666666667</v>
      </c>
      <c r="AL58" s="138" t="n">
        <f aca="false">-(CAPEX!$C$22)/(Hipótesis!$F$86*12)</f>
        <v>-1226.66666666667</v>
      </c>
      <c r="AM58" s="138" t="n">
        <f aca="false">-(CAPEX!$C$22)/(Hipótesis!$F$86*12)</f>
        <v>-1226.66666666667</v>
      </c>
      <c r="AN58" s="138" t="n">
        <f aca="false">-(CAPEX!$C$22)/(Hipótesis!$F$86*12)</f>
        <v>-1226.66666666667</v>
      </c>
      <c r="AO58" s="138" t="n">
        <f aca="false">-(CAPEX!$C$22)/(Hipótesis!$F$86*12)</f>
        <v>-1226.66666666667</v>
      </c>
      <c r="AP58" s="138" t="n">
        <f aca="false">-(CAPEX!$C$22)/(Hipótesis!$F$86*12)</f>
        <v>-1226.66666666667</v>
      </c>
      <c r="AQ58" s="138" t="n">
        <f aca="false">-(CAPEX!$C$22)/(Hipótesis!$F$86*12)</f>
        <v>-1226.66666666667</v>
      </c>
      <c r="AR58" s="138" t="n">
        <f aca="false">-(CAPEX!$C$22)/(Hipótesis!$F$86*12)</f>
        <v>-1226.66666666667</v>
      </c>
      <c r="AS58" s="138" t="n">
        <f aca="false">-(CAPEX!$C$22)/(Hipótesis!$F$86*12)</f>
        <v>-1226.66666666667</v>
      </c>
      <c r="AT58" s="138" t="n">
        <f aca="false">-(CAPEX!$C$22)/(Hipótesis!$F$86*12)</f>
        <v>-1226.66666666667</v>
      </c>
      <c r="AU58" s="138" t="n">
        <f aca="false">-(CAPEX!$C$22)/(Hipótesis!$F$86*12)</f>
        <v>-1226.66666666667</v>
      </c>
      <c r="AV58" s="138" t="n">
        <f aca="false">-(CAPEX!$C$22)/(Hipótesis!$F$86*12)</f>
        <v>-1226.66666666667</v>
      </c>
      <c r="AW58" s="138" t="n">
        <f aca="false">-(CAPEX!$C$22)/(Hipótesis!$F$86*12)</f>
        <v>-1226.66666666667</v>
      </c>
      <c r="AX58" s="138" t="n">
        <f aca="false">-(CAPEX!$C$22)/(Hipótesis!$F$86*12)</f>
        <v>-1226.66666666667</v>
      </c>
      <c r="AY58" s="138" t="n">
        <f aca="false">-(CAPEX!$C$22)/(Hipótesis!$F$86*12)</f>
        <v>-1226.66666666667</v>
      </c>
      <c r="AZ58" s="138" t="n">
        <f aca="false">-(CAPEX!$C$22)/(Hipótesis!$F$86*12)</f>
        <v>-1226.66666666667</v>
      </c>
      <c r="BA58" s="138" t="n">
        <f aca="false">-(CAPEX!$C$22)/(Hipótesis!$F$86*12)</f>
        <v>-1226.66666666667</v>
      </c>
      <c r="BB58" s="138" t="n">
        <f aca="false">-(CAPEX!$C$22)/(Hipótesis!$F$86*12)</f>
        <v>-1226.66666666667</v>
      </c>
      <c r="BC58" s="138" t="n">
        <f aca="false">-(CAPEX!$C$22)/(Hipótesis!$F$86*12)</f>
        <v>-1226.66666666667</v>
      </c>
      <c r="BD58" s="138" t="n">
        <f aca="false">-(CAPEX!$C$22)/(Hipótesis!$F$86*12)</f>
        <v>-1226.66666666667</v>
      </c>
      <c r="BE58" s="138" t="n">
        <f aca="false">-(CAPEX!$C$22)/(Hipótesis!$F$86*12)</f>
        <v>-1226.66666666667</v>
      </c>
      <c r="BF58" s="138" t="n">
        <f aca="false">-(CAPEX!$C$22)/(Hipótesis!$F$86*12)</f>
        <v>-1226.66666666667</v>
      </c>
      <c r="BG58" s="138" t="n">
        <f aca="false">-(CAPEX!$C$22)/(Hipótesis!$F$86*12)</f>
        <v>-1226.66666666667</v>
      </c>
      <c r="BH58" s="138" t="n">
        <f aca="false">-(CAPEX!$C$22)/(Hipótesis!$F$86*12)</f>
        <v>-1226.66666666667</v>
      </c>
      <c r="BI58" s="138" t="n">
        <f aca="false">-(CAPEX!$C$22)/(Hipótesis!$F$86*12)</f>
        <v>-1226.66666666667</v>
      </c>
      <c r="BJ58" s="138" t="n">
        <f aca="false">-(CAPEX!$C$22)/(Hipótesis!$F$86*12)</f>
        <v>-1226.66666666667</v>
      </c>
      <c r="BK58" s="138" t="n">
        <f aca="false">-(CAPEX!$C$22)/(Hipótesis!$F$86*12)</f>
        <v>-1226.66666666667</v>
      </c>
      <c r="BL58" s="138" t="n">
        <f aca="false">-(CAPEX!$C$22)/(Hipótesis!$F$86*12)</f>
        <v>-1226.66666666667</v>
      </c>
      <c r="BM58" s="138" t="n">
        <f aca="false">-(CAPEX!$C$22)/(Hipótesis!$F$86*12)</f>
        <v>-1226.66666666667</v>
      </c>
      <c r="BN58" s="138" t="n">
        <f aca="false">-(CAPEX!$C$22)/(Hipótesis!$F$86*12)</f>
        <v>-1226.66666666667</v>
      </c>
      <c r="BO58" s="138" t="n">
        <f aca="false">-(CAPEX!$C$22)/(Hipótesis!$F$86*12)</f>
        <v>-1226.66666666667</v>
      </c>
      <c r="BP58" s="138" t="n">
        <f aca="false">-(CAPEX!$C$22)/(Hipótesis!$F$86*12)</f>
        <v>-1226.66666666667</v>
      </c>
      <c r="BQ58" s="138" t="n">
        <f aca="false">-(CAPEX!$C$22)/(Hipótesis!$F$86*12)</f>
        <v>-1226.66666666667</v>
      </c>
      <c r="BR58" s="138" t="n">
        <f aca="false">-(CAPEX!$C$22)/(Hipótesis!$F$86*12)</f>
        <v>-1226.66666666667</v>
      </c>
      <c r="BS58" s="138" t="n">
        <f aca="false">-(CAPEX!$C$22)/(Hipótesis!$F$86*12)</f>
        <v>-1226.66666666667</v>
      </c>
      <c r="BT58" s="138" t="n">
        <f aca="false">-(CAPEX!$C$22)/(Hipótesis!$F$86*12)</f>
        <v>-1226.66666666667</v>
      </c>
      <c r="BU58" s="138" t="n">
        <f aca="false">-(CAPEX!$C$22)/(Hipótesis!$F$86*12)</f>
        <v>-1226.66666666667</v>
      </c>
      <c r="BV58" s="138" t="n">
        <f aca="false">-(CAPEX!$C$22)/(Hipótesis!$F$86*12)</f>
        <v>-1226.66666666667</v>
      </c>
      <c r="BW58" s="138" t="n">
        <f aca="false">-(CAPEX!$C$22)/(Hipótesis!$F$86*12)</f>
        <v>-1226.66666666667</v>
      </c>
      <c r="BX58" s="138" t="n">
        <f aca="false">-(CAPEX!$C$22)/(Hipótesis!$F$86*12)</f>
        <v>-1226.66666666667</v>
      </c>
      <c r="BY58" s="138" t="n">
        <f aca="false">-(CAPEX!$C$22)/(Hipótesis!$F$86*12)</f>
        <v>-1226.66666666667</v>
      </c>
      <c r="BZ58" s="138" t="n">
        <f aca="false">-(CAPEX!$C$22)/(Hipótesis!$F$86*12)</f>
        <v>-1226.66666666667</v>
      </c>
      <c r="CA58" s="138" t="n">
        <f aca="false">-(CAPEX!$C$22)/(Hipótesis!$F$86*12)</f>
        <v>-1226.66666666667</v>
      </c>
      <c r="CB58" s="138" t="n">
        <f aca="false">-(CAPEX!$C$22)/(Hipótesis!$F$86*12)</f>
        <v>-1226.66666666667</v>
      </c>
      <c r="CC58" s="138" t="n">
        <f aca="false">-(CAPEX!$C$22)/(Hipótesis!$F$86*12)</f>
        <v>-1226.66666666667</v>
      </c>
      <c r="CD58" s="138" t="n">
        <f aca="false">-(CAPEX!$C$22)/(Hipótesis!$F$86*12)</f>
        <v>-1226.66666666667</v>
      </c>
      <c r="CE58" s="138" t="n">
        <f aca="false">-(CAPEX!$C$22)/(Hipótesis!$F$86*12)</f>
        <v>-1226.66666666667</v>
      </c>
      <c r="CF58" s="138" t="n">
        <f aca="false">-(CAPEX!$C$22)/(Hipótesis!$F$86*12)</f>
        <v>-1226.66666666667</v>
      </c>
      <c r="CG58" s="138" t="n">
        <f aca="false">-(CAPEX!$C$22)/(Hipótesis!$F$86*12)</f>
        <v>-1226.66666666667</v>
      </c>
      <c r="CH58" s="138" t="n">
        <f aca="false">-(CAPEX!$C$22)/(Hipótesis!$F$86*12)</f>
        <v>-1226.66666666667</v>
      </c>
    </row>
    <row r="59" customFormat="false" ht="13.5" hidden="false" customHeight="true" outlineLevel="0" collapsed="false">
      <c r="A59" s="30" t="s">
        <v>739</v>
      </c>
      <c r="C59" s="138" t="n">
        <f aca="false">C56+C58</f>
        <v>-17206.5257004201</v>
      </c>
      <c r="D59" s="138" t="n">
        <f aca="false">D56+D58</f>
        <v>-15337.8216346981</v>
      </c>
      <c r="E59" s="138" t="n">
        <f aca="false">E56+E58</f>
        <v>-12632.4575009998</v>
      </c>
      <c r="F59" s="138" t="n">
        <f aca="false">F56+F58</f>
        <v>-10694.3847518253</v>
      </c>
      <c r="G59" s="138" t="n">
        <f aca="false">G56+G58</f>
        <v>-13276.6370854237</v>
      </c>
      <c r="H59" s="138" t="n">
        <f aca="false">H56+H58</f>
        <v>-6474.06415201961</v>
      </c>
      <c r="I59" s="138" t="n">
        <f aca="false">I56+I58</f>
        <v>-4056.63954352325</v>
      </c>
      <c r="J59" s="138" t="n">
        <f aca="false">J56+J58</f>
        <v>-183.279100178918</v>
      </c>
      <c r="K59" s="138" t="n">
        <f aca="false">K56+K58</f>
        <v>3603.1325436513</v>
      </c>
      <c r="L59" s="138" t="n">
        <f aca="false">L56+L58</f>
        <v>7389.54418748152</v>
      </c>
      <c r="M59" s="138" t="n">
        <f aca="false">M56+M58</f>
        <v>10339.2957633355</v>
      </c>
      <c r="N59" s="138" t="n">
        <f aca="false">N56+N58</f>
        <v>13886.4687734742</v>
      </c>
      <c r="O59" s="138" t="n">
        <f aca="false">O56+O58</f>
        <v>12206.441783613</v>
      </c>
      <c r="P59" s="138" t="n">
        <f aca="false">P56+P58</f>
        <v>13206.6726938949</v>
      </c>
      <c r="Q59" s="138" t="n">
        <f aca="false">Q56+Q58</f>
        <v>16518.2236041767</v>
      </c>
      <c r="R59" s="138" t="n">
        <f aca="false">R56+R58</f>
        <v>19829.7745144586</v>
      </c>
      <c r="S59" s="138" t="n">
        <f aca="false">S56+S58</f>
        <v>8885.68938851527</v>
      </c>
      <c r="T59" s="138" t="n">
        <f aca="false">T56+T58</f>
        <v>26452.8763350224</v>
      </c>
      <c r="U59" s="138" t="n">
        <f aca="false">U56+U58</f>
        <v>27453.1072453042</v>
      </c>
      <c r="V59" s="138" t="n">
        <f aca="false">V56+V58</f>
        <v>28045.4581555861</v>
      </c>
      <c r="W59" s="138" t="n">
        <f aca="false">W56+W58</f>
        <v>31357.009065868</v>
      </c>
      <c r="X59" s="138" t="n">
        <f aca="false">X56+X58</f>
        <v>34071.1385418651</v>
      </c>
      <c r="Y59" s="138" t="n">
        <f aca="false">Y56+Y58</f>
        <v>36785.2680178621</v>
      </c>
      <c r="Z59" s="138" t="n">
        <f aca="false">Z56+Z58</f>
        <v>39283.9189201452</v>
      </c>
      <c r="AA59" s="138" t="n">
        <f aca="false">AA56+AA58</f>
        <v>39001.8204133423</v>
      </c>
      <c r="AB59" s="138" t="n">
        <f aca="false">AB56+AB58</f>
        <v>38418.8681931209</v>
      </c>
      <c r="AC59" s="138" t="n">
        <f aca="false">AC56+AC58</f>
        <v>40216.5755728995</v>
      </c>
      <c r="AD59" s="138" t="n">
        <f aca="false">AD56+AD58</f>
        <v>42014.282952678</v>
      </c>
      <c r="AE59" s="138" t="n">
        <f aca="false">AE56+AE58</f>
        <v>24015.7982813151</v>
      </c>
      <c r="AF59" s="138" t="n">
        <f aca="false">AF56+AF58</f>
        <v>45609.6977122352</v>
      </c>
      <c r="AG59" s="138" t="n">
        <f aca="false">AG56+AG58</f>
        <v>47407.4050920138</v>
      </c>
      <c r="AH59" s="138" t="n">
        <f aca="false">AH56+AH58</f>
        <v>49205.1124717924</v>
      </c>
      <c r="AI59" s="138" t="n">
        <f aca="false">AI56+AI58</f>
        <v>51002.819851571</v>
      </c>
      <c r="AJ59" s="138" t="n">
        <f aca="false">AJ56+AJ58</f>
        <v>52800.5272313496</v>
      </c>
      <c r="AK59" s="138" t="n">
        <f aca="false">AK56+AK58</f>
        <v>54598.2346111282</v>
      </c>
      <c r="AL59" s="138" t="n">
        <f aca="false">AL56+AL58</f>
        <v>54015.2823909068</v>
      </c>
      <c r="AM59" s="138" t="n">
        <f aca="false">AM56+AM58</f>
        <v>53379.2640586854</v>
      </c>
      <c r="AN59" s="138" t="n">
        <f aca="false">AN56+AN58</f>
        <v>55176.971438464</v>
      </c>
      <c r="AO59" s="138" t="n">
        <f aca="false">AO56+AO58</f>
        <v>56974.6788182426</v>
      </c>
      <c r="AP59" s="138" t="n">
        <f aca="false">AP56+AP58</f>
        <v>58772.3861980212</v>
      </c>
      <c r="AQ59" s="138" t="n">
        <f aca="false">AQ56+AQ58</f>
        <v>40773.9015266583</v>
      </c>
      <c r="AR59" s="138" t="n">
        <f aca="false">AR56+AR58</f>
        <v>62367.8009575784</v>
      </c>
      <c r="AS59" s="138" t="n">
        <f aca="false">AS56+AS58</f>
        <v>62367.8009575784</v>
      </c>
      <c r="AT59" s="138" t="n">
        <f aca="false">AT56+AT58</f>
        <v>62367.8009575784</v>
      </c>
      <c r="AU59" s="138" t="n">
        <f aca="false">AU56+AU58</f>
        <v>62367.8009575784</v>
      </c>
      <c r="AV59" s="138" t="n">
        <f aca="false">AV56+AV58</f>
        <v>62367.8009575784</v>
      </c>
      <c r="AW59" s="138" t="n">
        <f aca="false">AW56+AW58</f>
        <v>62367.8009575784</v>
      </c>
      <c r="AX59" s="138" t="n">
        <f aca="false">AX56+AX58</f>
        <v>62367.8009575784</v>
      </c>
      <c r="AY59" s="138" t="n">
        <f aca="false">AY56+AY58</f>
        <v>59920.4634742184</v>
      </c>
      <c r="AZ59" s="138" t="n">
        <f aca="false">AZ56+AZ58</f>
        <v>59920.4634742184</v>
      </c>
      <c r="BA59" s="138" t="n">
        <f aca="false">BA56+BA58</f>
        <v>59920.4634742184</v>
      </c>
      <c r="BB59" s="138" t="n">
        <f aca="false">BB56+BB58</f>
        <v>59920.4634742184</v>
      </c>
      <c r="BC59" s="138" t="n">
        <f aca="false">BC56+BC58</f>
        <v>40124.2714230769</v>
      </c>
      <c r="BD59" s="138" t="n">
        <f aca="false">BD56+BD58</f>
        <v>59920.4634742184</v>
      </c>
      <c r="BE59" s="138" t="n">
        <f aca="false">BE56+BE58</f>
        <v>59920.4634742184</v>
      </c>
      <c r="BF59" s="138" t="n">
        <f aca="false">BF56+BF58</f>
        <v>59920.4634742184</v>
      </c>
      <c r="BG59" s="138" t="n">
        <f aca="false">BG56+BG58</f>
        <v>59920.4634742184</v>
      </c>
      <c r="BH59" s="138" t="n">
        <f aca="false">BH56+BH58</f>
        <v>59920.4634742184</v>
      </c>
      <c r="BI59" s="138" t="n">
        <f aca="false">BI56+BI58</f>
        <v>59920.4634742184</v>
      </c>
      <c r="BJ59" s="138" t="n">
        <f aca="false">BJ56+BJ58</f>
        <v>59920.4634742184</v>
      </c>
      <c r="BK59" s="138" t="n">
        <f aca="false">BK56+BK58</f>
        <v>57459.1058663576</v>
      </c>
      <c r="BL59" s="138" t="n">
        <f aca="false">BL56+BL58</f>
        <v>57459.1058663576</v>
      </c>
      <c r="BM59" s="138" t="n">
        <f aca="false">BM56+BM58</f>
        <v>57459.1058663576</v>
      </c>
      <c r="BN59" s="138" t="n">
        <f aca="false">BN56+BN58</f>
        <v>57459.1058663576</v>
      </c>
      <c r="BO59" s="138" t="n">
        <f aca="false">BO56+BO58</f>
        <v>37662.9138152161</v>
      </c>
      <c r="BP59" s="138" t="n">
        <f aca="false">BP56+BP58</f>
        <v>57459.1058663576</v>
      </c>
      <c r="BQ59" s="138" t="n">
        <f aca="false">BQ56+BQ58</f>
        <v>57459.1058663576</v>
      </c>
      <c r="BR59" s="138" t="n">
        <f aca="false">BR56+BR58</f>
        <v>57459.1058663576</v>
      </c>
      <c r="BS59" s="138" t="n">
        <f aca="false">BS56+BS58</f>
        <v>57459.1058663576</v>
      </c>
      <c r="BT59" s="138" t="n">
        <f aca="false">BT56+BT58</f>
        <v>57459.1058663576</v>
      </c>
      <c r="BU59" s="138" t="n">
        <f aca="false">BU56+BU58</f>
        <v>57459.1058663576</v>
      </c>
      <c r="BV59" s="138" t="n">
        <f aca="false">BV56+BV58</f>
        <v>57459.1058663576</v>
      </c>
      <c r="BW59" s="138" t="n">
        <f aca="false">BW56+BW58</f>
        <v>54983.307530261</v>
      </c>
      <c r="BX59" s="138" t="n">
        <f aca="false">BX56+BX58</f>
        <v>54983.307530261</v>
      </c>
      <c r="BY59" s="138" t="n">
        <f aca="false">BY56+BY58</f>
        <v>54983.307530261</v>
      </c>
      <c r="BZ59" s="138" t="n">
        <f aca="false">BZ56+BZ58</f>
        <v>54983.307530261</v>
      </c>
      <c r="CA59" s="138" t="n">
        <f aca="false">CA56+CA58</f>
        <v>35187.1154791195</v>
      </c>
      <c r="CB59" s="138" t="n">
        <f aca="false">CB56+CB58</f>
        <v>54983.307530261</v>
      </c>
      <c r="CC59" s="138" t="n">
        <f aca="false">CC56+CC58</f>
        <v>54983.307530261</v>
      </c>
      <c r="CD59" s="138" t="n">
        <f aca="false">CD56+CD58</f>
        <v>54983.307530261</v>
      </c>
      <c r="CE59" s="138" t="n">
        <f aca="false">CE56+CE58</f>
        <v>54983.307530261</v>
      </c>
      <c r="CF59" s="138" t="n">
        <f aca="false">CF56+CF58</f>
        <v>54983.307530261</v>
      </c>
      <c r="CG59" s="138" t="n">
        <f aca="false">CG56+CG58</f>
        <v>54983.307530261</v>
      </c>
      <c r="CH59" s="138" t="n">
        <f aca="false">CH56+CH58</f>
        <v>54983.307530261</v>
      </c>
    </row>
    <row r="60" customFormat="false" ht="13.5" hidden="false" customHeight="true" outlineLevel="0" collapsed="false">
      <c r="A60" s="13" t="s">
        <v>740</v>
      </c>
      <c r="C60" s="138" t="n">
        <f aca="false">-(C91+C98+C103+C77+C212*Hipótesis!$D$73*Hipótesis!$D$74/12)</f>
        <v>-336.820130208333</v>
      </c>
      <c r="D60" s="138" t="n">
        <f aca="false">-(D91+D98+D103+D77+D212*Hipótesis!$D$73*Hipótesis!$D$74/12)</f>
        <v>-340.571189583333</v>
      </c>
      <c r="E60" s="138" t="n">
        <f aca="false">-(E91+E98+E103+E77+E212*Hipótesis!$D$73*Hipótesis!$D$74/12)</f>
        <v>-348.377944270833</v>
      </c>
      <c r="F60" s="138" t="n">
        <f aca="false">-(F91+F98+F103+F77+F212*Hipótesis!$D$73*Hipótesis!$D$74/12)</f>
        <v>-352.697902083333</v>
      </c>
      <c r="G60" s="138" t="n">
        <f aca="false">-(G91+G98+G103+G77+G212*Hipótesis!$D$73*Hipótesis!$D$74/12)</f>
        <v>-356.753597395833</v>
      </c>
      <c r="H60" s="138" t="n">
        <f aca="false">-(H91+H98+H103+H77+H212*Hipótesis!$D$73*Hipótesis!$D$74/12)</f>
        <v>-363.231698958333</v>
      </c>
      <c r="I60" s="138" t="n">
        <f aca="false">-(I91+I98+I103+I77+I212*Hipótesis!$D$73*Hipótesis!$D$74/12)</f>
        <v>-370.096410591425</v>
      </c>
      <c r="J60" s="138" t="n">
        <f aca="false">-(J91+J98+J103+J77+J212*Hipótesis!$D$73*Hipótesis!$D$74/12)</f>
        <v>-432.734036702956</v>
      </c>
      <c r="K60" s="138" t="n">
        <f aca="false">-(K91+K98+K103+K77+K212*Hipótesis!$D$73*Hipótesis!$D$74/12)</f>
        <v>-553.517276522617</v>
      </c>
      <c r="L60" s="138" t="n">
        <f aca="false">-(L91+L98+L103+L77+L212*Hipótesis!$D$73*Hipótesis!$D$74/12)</f>
        <v>-655.303927150078</v>
      </c>
      <c r="M60" s="138" t="n">
        <f aca="false">-(M91+M98+M103+M77+M212*Hipótesis!$D$73*Hipótesis!$D$74/12)</f>
        <v>-717.654593399526</v>
      </c>
      <c r="N60" s="138" t="n">
        <f aca="false">-(N91+N98+N103+N77+N212*Hipótesis!$D$73*Hipótesis!$D$74/12)</f>
        <v>-778.627489386708</v>
      </c>
      <c r="O60" s="138" t="n">
        <f aca="false">-(O91+O98+O103+O77+O212*Hipótesis!$D$73*Hipótesis!$D$74/12)</f>
        <v>-722.3591176473</v>
      </c>
      <c r="P60" s="138" t="n">
        <f aca="false">-(P91+P98+P103+P77+P212*Hipótesis!$D$73*Hipótesis!$D$74/12)</f>
        <v>-748.026929378787</v>
      </c>
      <c r="Q60" s="138" t="n">
        <f aca="false">-(Q91+Q98+Q103+Q77+Q212*Hipótesis!$D$73*Hipótesis!$D$74/12)</f>
        <v>-826.140045175658</v>
      </c>
      <c r="R60" s="138" t="n">
        <f aca="false">-(R91+R98+R103+R77+R212*Hipótesis!$D$73*Hipótesis!$D$74/12)</f>
        <v>-904.253160972528</v>
      </c>
      <c r="S60" s="138" t="n">
        <f aca="false">-(S91+S98+S103+S77+S212*Hipótesis!$D$73*Hipótesis!$D$74/12)</f>
        <v>-697.253556044894</v>
      </c>
      <c r="T60" s="138" t="n">
        <f aca="false">-(T91+T98+T103+T77+T212*Hipótesis!$D$73*Hipótesis!$D$74/12)</f>
        <v>-1060.47939256627</v>
      </c>
      <c r="U60" s="138" t="n">
        <f aca="false">-(U91+U98+U103+U77+U212*Hipótesis!$D$73*Hipótesis!$D$74/12)</f>
        <v>-1092.36610836314</v>
      </c>
      <c r="V60" s="138" t="n">
        <f aca="false">-(V91+V98+V103+V77+V212*Hipótesis!$D$73*Hipótesis!$D$74/12)</f>
        <v>-1116.09522416001</v>
      </c>
      <c r="W60" s="138" t="n">
        <f aca="false">-(W91+W98+W103+W77+W212*Hipótesis!$D$73*Hipótesis!$D$74/12)</f>
        <v>-1194.20833995688</v>
      </c>
      <c r="X60" s="138" t="n">
        <f aca="false">-(X91+X98+X103+X77+X212*Hipótesis!$D$73*Hipótesis!$D$74/12)</f>
        <v>-1257.06974581806</v>
      </c>
      <c r="Y60" s="138" t="n">
        <f aca="false">-(Y91+Y98+Y103+Y77+Y212*Hipótesis!$D$73*Hipótesis!$D$74/12)</f>
        <v>-1319.93115167923</v>
      </c>
      <c r="Z60" s="138" t="n">
        <f aca="false">-(Z91+Z98+Z103+Z77+Z212*Hipótesis!$D$73*Hipótesis!$D$74/12)</f>
        <v>-1377.24976106613</v>
      </c>
      <c r="AA60" s="138" t="n">
        <f aca="false">-(AA91+AA98+AA103+AA77+AA212*Hipótesis!$D$73*Hipótesis!$D$74/12)</f>
        <v>-1380.11321248307</v>
      </c>
      <c r="AB60" s="138" t="n">
        <f aca="false">-(AB91+AB98+AB103+AB77+AB212*Hipótesis!$D$73*Hipótesis!$D$74/12)</f>
        <v>-1371.4040340761</v>
      </c>
      <c r="AC60" s="138" t="n">
        <f aca="false">-(AC91+AC98+AC103+AC77+AC212*Hipótesis!$D$73*Hipótesis!$D$74/12)</f>
        <v>-1410.30804766912</v>
      </c>
      <c r="AD60" s="138" t="n">
        <f aca="false">-(AD91+AD98+AD103+AD77+AD212*Hipótesis!$D$73*Hipótesis!$D$74/12)</f>
        <v>-1449.21206126214</v>
      </c>
      <c r="AE60" s="138" t="n">
        <f aca="false">-(AE91+AE98+AE103+AE77+AE212*Hipótesis!$D$73*Hipótesis!$D$74/12)</f>
        <v>-1092.19223383234</v>
      </c>
      <c r="AF60" s="138" t="n">
        <f aca="false">-(AF91+AF98+AF103+AF77+AF212*Hipótesis!$D$73*Hipótesis!$D$74/12)</f>
        <v>-1527.02008844819</v>
      </c>
      <c r="AG60" s="138" t="n">
        <f aca="false">-(AG91+AG98+AG103+AG77+AG212*Hipótesis!$D$73*Hipótesis!$D$74/12)</f>
        <v>-1565.92410204121</v>
      </c>
      <c r="AH60" s="138" t="n">
        <f aca="false">-(AH91+AH98+AH103+AH77+AH212*Hipótesis!$D$73*Hipótesis!$D$74/12)</f>
        <v>-1604.82811563423</v>
      </c>
      <c r="AI60" s="138" t="n">
        <f aca="false">-(AI91+AI98+AI103+AI77+AI212*Hipótesis!$D$73*Hipótesis!$D$74/12)</f>
        <v>-1643.73212922726</v>
      </c>
      <c r="AJ60" s="138" t="n">
        <f aca="false">-(AJ91+AJ98+AJ103+AJ77+AJ212*Hipótesis!$D$73*Hipótesis!$D$74/12)</f>
        <v>-1682.63614282028</v>
      </c>
      <c r="AK60" s="138" t="n">
        <f aca="false">-(AK91+AK98+AK103+AK77+AK212*Hipótesis!$D$73*Hipótesis!$D$74/12)</f>
        <v>-1721.5401564133</v>
      </c>
      <c r="AL60" s="138" t="n">
        <f aca="false">-(AL91+AL98+AL103+AL77+AL212*Hipótesis!$D$73*Hipótesis!$D$74/12)</f>
        <v>-1712.83097800633</v>
      </c>
      <c r="AM60" s="138" t="n">
        <f aca="false">-(AM91+AM98+AM103+AM77+AM212*Hipótesis!$D$73*Hipótesis!$D$74/12)</f>
        <v>-1703.06047735935</v>
      </c>
      <c r="AN60" s="138" t="n">
        <f aca="false">-(AN91+AN98+AN103+AN77+AN212*Hipótesis!$D$73*Hipótesis!$D$74/12)</f>
        <v>-1741.96449095237</v>
      </c>
      <c r="AO60" s="138" t="n">
        <f aca="false">-(AO91+AO98+AO103+AO77+AO212*Hipótesis!$D$73*Hipótesis!$D$74/12)</f>
        <v>-1780.8685045454</v>
      </c>
      <c r="AP60" s="138" t="n">
        <f aca="false">-(AP91+AP98+AP103+AP77+AP212*Hipótesis!$D$73*Hipótesis!$D$74/12)</f>
        <v>-1819.77251813842</v>
      </c>
      <c r="AQ60" s="138" t="n">
        <f aca="false">-(AQ91+AQ98+AQ103+AQ77+AQ212*Hipótesis!$D$73*Hipótesis!$D$74/12)</f>
        <v>-1462.75269070861</v>
      </c>
      <c r="AR60" s="138" t="n">
        <f aca="false">-(AR91+AR98+AR103+AR77+AR212*Hipótesis!$D$73*Hipótesis!$D$74/12)</f>
        <v>-1897.58054532447</v>
      </c>
      <c r="AS60" s="138" t="n">
        <f aca="false">-(AS91+AS98+AS103+AS77+AS212*Hipótesis!$D$73*Hipótesis!$D$74/12)</f>
        <v>-1892.02498976891</v>
      </c>
      <c r="AT60" s="138" t="n">
        <f aca="false">-(AT91+AT98+AT103+AT77+AT212*Hipótesis!$D$73*Hipótesis!$D$74/12)</f>
        <v>-1886.46943421335</v>
      </c>
      <c r="AU60" s="138" t="n">
        <f aca="false">-(AU91+AU98+AU103+AU77+AU212*Hipótesis!$D$73*Hipótesis!$D$74/12)</f>
        <v>-1880.9138786578</v>
      </c>
      <c r="AV60" s="138" t="n">
        <f aca="false">-(AV91+AV98+AV103+AV77+AV212*Hipótesis!$D$73*Hipótesis!$D$74/12)</f>
        <v>-1875.35832310224</v>
      </c>
      <c r="AW60" s="138" t="n">
        <f aca="false">-(AW91+AW98+AW103+AW77+AW212*Hipótesis!$D$73*Hipótesis!$D$74/12)</f>
        <v>-1869.80276754669</v>
      </c>
      <c r="AX60" s="138" t="n">
        <f aca="false">-(AX91+AX98+AX103+AX77+AX212*Hipótesis!$D$73*Hipótesis!$D$74/12)</f>
        <v>-1864.24721199113</v>
      </c>
      <c r="AY60" s="138" t="n">
        <f aca="false">-(AY91+AY98+AY103+AY77+AY212*Hipótesis!$D$73*Hipótesis!$D$74/12)</f>
        <v>-1809.74490676838</v>
      </c>
      <c r="AZ60" s="138" t="n">
        <f aca="false">-(AZ91+AZ98+AZ103+AZ77+AZ212*Hipótesis!$D$73*Hipótesis!$D$74/12)</f>
        <v>-1804.18935121282</v>
      </c>
      <c r="BA60" s="138" t="n">
        <f aca="false">-(BA91+BA98+BA103+BA77+BA212*Hipótesis!$D$73*Hipótesis!$D$74/12)</f>
        <v>-1798.63379565727</v>
      </c>
      <c r="BB60" s="138" t="n">
        <f aca="false">-(BB91+BB98+BB103+BB77+BB212*Hipótesis!$D$73*Hipótesis!$D$74/12)</f>
        <v>-1793.07824010171</v>
      </c>
      <c r="BC60" s="138" t="n">
        <f aca="false">-(BC91+BC98+BC103+BC77+BC212*Hipótesis!$D$73*Hipótesis!$D$74/12)</f>
        <v>-1391.59884352332</v>
      </c>
      <c r="BD60" s="138" t="n">
        <f aca="false">-(BD91+BD98+BD103+BD77+BD212*Hipótesis!$D$73*Hipótesis!$D$74/12)</f>
        <v>-1781.9671289906</v>
      </c>
      <c r="BE60" s="138" t="n">
        <f aca="false">-(BE91+BE98+BE103+BE77+BE212*Hipótesis!$D$73*Hipótesis!$D$74/12)</f>
        <v>-1776.41157343504</v>
      </c>
      <c r="BF60" s="138" t="n">
        <f aca="false">-(BF91+BF98+BF103+BF77+BF212*Hipótesis!$D$73*Hipótesis!$D$74/12)</f>
        <v>-1770.85601787949</v>
      </c>
      <c r="BG60" s="138" t="n">
        <f aca="false">-(BG91+BG98+BG103+BG77+BG212*Hipótesis!$D$73*Hipótesis!$D$74/12)</f>
        <v>-1765.30046232393</v>
      </c>
      <c r="BH60" s="138" t="n">
        <f aca="false">-(BH91+BH98+BH103+BH77+BH212*Hipótesis!$D$73*Hipótesis!$D$74/12)</f>
        <v>-1759.74490676838</v>
      </c>
      <c r="BI60" s="138" t="n">
        <f aca="false">-(BI91+BI98+BI103+BI77+BI212*Hipótesis!$D$73*Hipótesis!$D$74/12)</f>
        <v>-1754.18935121282</v>
      </c>
      <c r="BJ60" s="138" t="n">
        <f aca="false">-(BJ91+BJ98+BJ103+BJ77+BJ212*Hipótesis!$D$73*Hipótesis!$D$74/12)</f>
        <v>-1748.63379565727</v>
      </c>
      <c r="BK60" s="138" t="n">
        <f aca="false">-(BK91+BK98+BK103+BK77+BK212*Hipótesis!$D$73*Hipótesis!$D$74/12)</f>
        <v>-1693.85108794449</v>
      </c>
      <c r="BL60" s="138" t="n">
        <f aca="false">-(BL91+BL98+BL103+BL77+BL212*Hipótesis!$D$73*Hipótesis!$D$74/12)</f>
        <v>-1688.29553238894</v>
      </c>
      <c r="BM60" s="138" t="n">
        <f aca="false">-(BM91+BM98+BM103+BM77+BM212*Hipótesis!$D$73*Hipótesis!$D$74/12)</f>
        <v>-1682.73997683338</v>
      </c>
      <c r="BN60" s="138" t="n">
        <f aca="false">-(BN91+BN98+BN103+BN77+BN212*Hipótesis!$D$73*Hipótesis!$D$74/12)</f>
        <v>-1677.18442127783</v>
      </c>
      <c r="BO60" s="138" t="n">
        <f aca="false">-(BO91+BO98+BO103+BO77+BO212*Hipótesis!$D$73*Hipótesis!$D$74/12)</f>
        <v>-1275.70502469944</v>
      </c>
      <c r="BP60" s="138" t="n">
        <f aca="false">-(BP91+BP98+BP103+BP77+BP212*Hipótesis!$D$73*Hipótesis!$D$74/12)</f>
        <v>-1666.07331016672</v>
      </c>
      <c r="BQ60" s="138" t="n">
        <f aca="false">-(BQ91+BQ98+BQ103+BQ77+BQ212*Hipótesis!$D$73*Hipótesis!$D$74/12)</f>
        <v>-1660.51775461116</v>
      </c>
      <c r="BR60" s="138" t="n">
        <f aca="false">-(BR91+BR98+BR103+BR77+BR212*Hipótesis!$D$73*Hipótesis!$D$74/12)</f>
        <v>-1654.96219905561</v>
      </c>
      <c r="BS60" s="138" t="n">
        <f aca="false">-(BS91+BS98+BS103+BS77+BS212*Hipótesis!$D$73*Hipótesis!$D$74/12)</f>
        <v>-1649.40664350005</v>
      </c>
      <c r="BT60" s="138" t="n">
        <f aca="false">-(BT91+BT98+BT103+BT77+BT212*Hipótesis!$D$73*Hipótesis!$D$74/12)</f>
        <v>-1643.85108794449</v>
      </c>
      <c r="BU60" s="138" t="n">
        <f aca="false">-(BU91+BU98+BU103+BU77+BU212*Hipótesis!$D$73*Hipótesis!$D$74/12)</f>
        <v>-1638.29553238894</v>
      </c>
      <c r="BV60" s="138" t="n">
        <f aca="false">-(BV91+BV98+BV103+BV77+BV212*Hipótesis!$D$73*Hipótesis!$D$74/12)</f>
        <v>-1632.73997683338</v>
      </c>
      <c r="BW60" s="138" t="n">
        <f aca="false">-(BW91+BW98+BW103+BW77+BW212*Hipótesis!$D$73*Hipótesis!$D$74/12)</f>
        <v>-1577.6684545559</v>
      </c>
      <c r="BX60" s="138" t="n">
        <f aca="false">-(BX91+BX98+BX103+BX77+BX212*Hipótesis!$D$73*Hipótesis!$D$74/12)</f>
        <v>-1572.11289900034</v>
      </c>
      <c r="BY60" s="138" t="n">
        <f aca="false">-(BY91+BY98+BY103+BY77+BY212*Hipótesis!$D$73*Hipótesis!$D$74/12)</f>
        <v>-1566.55734344478</v>
      </c>
      <c r="BZ60" s="138" t="n">
        <f aca="false">-(BZ91+BZ98+BZ103+BZ77+BZ212*Hipótesis!$D$73*Hipótesis!$D$74/12)</f>
        <v>-1561.00178788923</v>
      </c>
      <c r="CA60" s="138" t="n">
        <f aca="false">-(CA91+CA98+CA103+CA77+CA212*Hipótesis!$D$73*Hipótesis!$D$74/12)</f>
        <v>-1159.52239131084</v>
      </c>
      <c r="CB60" s="138" t="n">
        <f aca="false">-(CB91+CB98+CB103+CB77+CB212*Hipótesis!$D$73*Hipótesis!$D$74/12)</f>
        <v>-1549.89067677812</v>
      </c>
      <c r="CC60" s="138" t="n">
        <f aca="false">-(CC91+CC98+CC103+CC77+CC212*Hipótesis!$D$73*Hipótesis!$D$74/12)</f>
        <v>-1544.33512122256</v>
      </c>
      <c r="CD60" s="138" t="n">
        <f aca="false">-(CD91+CD98+CD103+CD77+CD212*Hipótesis!$D$73*Hipótesis!$D$74/12)</f>
        <v>-1538.77956566701</v>
      </c>
      <c r="CE60" s="138" t="n">
        <f aca="false">-(CE91+CE98+CE103+CE77+CE212*Hipótesis!$D$73*Hipótesis!$D$74/12)</f>
        <v>-1533.22401011145</v>
      </c>
      <c r="CF60" s="138" t="n">
        <f aca="false">-(CF91+CF98+CF103+CF77+CF212*Hipótesis!$D$73*Hipótesis!$D$74/12)</f>
        <v>-1527.6684545559</v>
      </c>
      <c r="CG60" s="138" t="n">
        <f aca="false">-(CG91+CG98+CG103+CG77+CG212*Hipótesis!$D$73*Hipótesis!$D$74/12)</f>
        <v>-1522.11289900034</v>
      </c>
      <c r="CH60" s="138" t="n">
        <f aca="false">-(CH91+CH98+CH103+CH77+CH212*Hipótesis!$D$73*Hipótesis!$D$74/12)</f>
        <v>-1516.55734344478</v>
      </c>
    </row>
    <row r="61" customFormat="false" ht="13.5" hidden="false" customHeight="true" outlineLevel="0" collapsed="false">
      <c r="A61" s="30" t="s">
        <v>741</v>
      </c>
      <c r="C61" s="138" t="n">
        <f aca="false">C59+C60</f>
        <v>-17543.3458306285</v>
      </c>
      <c r="D61" s="138" t="n">
        <f aca="false">D59+D60</f>
        <v>-15678.3928242814</v>
      </c>
      <c r="E61" s="138" t="n">
        <f aca="false">E59+E60</f>
        <v>-12980.8354452706</v>
      </c>
      <c r="F61" s="138" t="n">
        <f aca="false">F59+F60</f>
        <v>-11047.0826539086</v>
      </c>
      <c r="G61" s="138" t="n">
        <f aca="false">G59+G60</f>
        <v>-13633.3906828195</v>
      </c>
      <c r="H61" s="138" t="n">
        <f aca="false">H59+H60</f>
        <v>-6837.29585097794</v>
      </c>
      <c r="I61" s="138" t="n">
        <f aca="false">I59+I60</f>
        <v>-4426.73595411468</v>
      </c>
      <c r="J61" s="138" t="n">
        <f aca="false">J59+J60</f>
        <v>-616.013136881874</v>
      </c>
      <c r="K61" s="138" t="n">
        <f aca="false">K59+K60</f>
        <v>3049.61526712868</v>
      </c>
      <c r="L61" s="138" t="n">
        <f aca="false">L59+L60</f>
        <v>6734.24026033144</v>
      </c>
      <c r="M61" s="138" t="n">
        <f aca="false">M59+M60</f>
        <v>9621.64116993594</v>
      </c>
      <c r="N61" s="138" t="n">
        <f aca="false">N59+N60</f>
        <v>13107.8412840875</v>
      </c>
      <c r="O61" s="138" t="n">
        <f aca="false">O59+O60</f>
        <v>11484.0826659657</v>
      </c>
      <c r="P61" s="138" t="n">
        <f aca="false">P59+P60</f>
        <v>12458.6457645161</v>
      </c>
      <c r="Q61" s="138" t="n">
        <f aca="false">Q59+Q60</f>
        <v>15692.0835590011</v>
      </c>
      <c r="R61" s="138" t="n">
        <f aca="false">R59+R60</f>
        <v>18925.5213534861</v>
      </c>
      <c r="S61" s="138" t="n">
        <f aca="false">S59+S60</f>
        <v>8188.43583247038</v>
      </c>
      <c r="T61" s="138" t="n">
        <f aca="false">T59+T60</f>
        <v>25392.3969424561</v>
      </c>
      <c r="U61" s="138" t="n">
        <f aca="false">U59+U60</f>
        <v>26360.7411369411</v>
      </c>
      <c r="V61" s="138" t="n">
        <f aca="false">V59+V60</f>
        <v>26929.3629314261</v>
      </c>
      <c r="W61" s="138" t="n">
        <f aca="false">W59+W60</f>
        <v>30162.8007259111</v>
      </c>
      <c r="X61" s="138" t="n">
        <f aca="false">X59+X60</f>
        <v>32814.068796047</v>
      </c>
      <c r="Y61" s="138" t="n">
        <f aca="false">Y59+Y60</f>
        <v>35465.3368661829</v>
      </c>
      <c r="Z61" s="138" t="n">
        <f aca="false">Z59+Z60</f>
        <v>37906.6691590791</v>
      </c>
      <c r="AA61" s="138" t="n">
        <f aca="false">AA59+AA60</f>
        <v>37621.7072008592</v>
      </c>
      <c r="AB61" s="138" t="n">
        <f aca="false">AB59+AB60</f>
        <v>37047.4641590448</v>
      </c>
      <c r="AC61" s="138" t="n">
        <f aca="false">AC59+AC60</f>
        <v>38806.2675252303</v>
      </c>
      <c r="AD61" s="138" t="n">
        <f aca="false">AD59+AD60</f>
        <v>40565.0708914159</v>
      </c>
      <c r="AE61" s="138" t="n">
        <f aca="false">AE59+AE60</f>
        <v>22923.6060474828</v>
      </c>
      <c r="AF61" s="138" t="n">
        <f aca="false">AF59+AF60</f>
        <v>44082.6776237871</v>
      </c>
      <c r="AG61" s="138" t="n">
        <f aca="false">AG59+AG60</f>
        <v>45841.4809899726</v>
      </c>
      <c r="AH61" s="138" t="n">
        <f aca="false">AH59+AH60</f>
        <v>47600.2843561582</v>
      </c>
      <c r="AI61" s="138" t="n">
        <f aca="false">AI59+AI60</f>
        <v>49359.0877223438</v>
      </c>
      <c r="AJ61" s="138" t="n">
        <f aca="false">AJ59+AJ60</f>
        <v>51117.8910885293</v>
      </c>
      <c r="AK61" s="138" t="n">
        <f aca="false">AK59+AK60</f>
        <v>52876.6944547149</v>
      </c>
      <c r="AL61" s="138" t="n">
        <f aca="false">AL59+AL60</f>
        <v>52302.4514129005</v>
      </c>
      <c r="AM61" s="138" t="n">
        <f aca="false">AM59+AM60</f>
        <v>51676.2035813261</v>
      </c>
      <c r="AN61" s="138" t="n">
        <f aca="false">AN59+AN60</f>
        <v>53435.0069475116</v>
      </c>
      <c r="AO61" s="138" t="n">
        <f aca="false">AO59+AO60</f>
        <v>55193.8103136972</v>
      </c>
      <c r="AP61" s="138" t="n">
        <f aca="false">AP59+AP60</f>
        <v>56952.6136798828</v>
      </c>
      <c r="AQ61" s="138" t="n">
        <f aca="false">AQ59+AQ60</f>
        <v>39311.1488359497</v>
      </c>
      <c r="AR61" s="138" t="n">
        <f aca="false">AR59+AR60</f>
        <v>60470.2204122539</v>
      </c>
      <c r="AS61" s="138" t="n">
        <f aca="false">AS59+AS60</f>
        <v>60475.7759678095</v>
      </c>
      <c r="AT61" s="138" t="n">
        <f aca="false">AT59+AT60</f>
        <v>60481.3315233651</v>
      </c>
      <c r="AU61" s="138" t="n">
        <f aca="false">AU59+AU60</f>
        <v>60486.8870789206</v>
      </c>
      <c r="AV61" s="138" t="n">
        <f aca="false">AV59+AV60</f>
        <v>60492.4426344762</v>
      </c>
      <c r="AW61" s="138" t="n">
        <f aca="false">AW59+AW60</f>
        <v>60497.9981900317</v>
      </c>
      <c r="AX61" s="138" t="n">
        <f aca="false">AX59+AX60</f>
        <v>60503.5537455873</v>
      </c>
      <c r="AY61" s="138" t="n">
        <f aca="false">AY59+AY60</f>
        <v>58110.71856745</v>
      </c>
      <c r="AZ61" s="138" t="n">
        <f aca="false">AZ59+AZ60</f>
        <v>58116.2741230056</v>
      </c>
      <c r="BA61" s="138" t="n">
        <f aca="false">BA59+BA60</f>
        <v>58121.8296785611</v>
      </c>
      <c r="BB61" s="138" t="n">
        <f aca="false">BB59+BB60</f>
        <v>58127.3852341167</v>
      </c>
      <c r="BC61" s="138" t="n">
        <f aca="false">BC59+BC60</f>
        <v>38732.6725795536</v>
      </c>
      <c r="BD61" s="138" t="n">
        <f aca="false">BD59+BD60</f>
        <v>58138.4963452278</v>
      </c>
      <c r="BE61" s="138" t="n">
        <f aca="false">BE59+BE60</f>
        <v>58144.0519007834</v>
      </c>
      <c r="BF61" s="138" t="n">
        <f aca="false">BF59+BF60</f>
        <v>58149.6074563389</v>
      </c>
      <c r="BG61" s="138" t="n">
        <f aca="false">BG59+BG60</f>
        <v>58155.1630118945</v>
      </c>
      <c r="BH61" s="138" t="n">
        <f aca="false">BH59+BH60</f>
        <v>58160.71856745</v>
      </c>
      <c r="BI61" s="138" t="n">
        <f aca="false">BI59+BI60</f>
        <v>58166.2741230056</v>
      </c>
      <c r="BJ61" s="138" t="n">
        <f aca="false">BJ59+BJ60</f>
        <v>58171.8296785611</v>
      </c>
      <c r="BK61" s="138" t="n">
        <f aca="false">BK59+BK60</f>
        <v>55765.2547784131</v>
      </c>
      <c r="BL61" s="138" t="n">
        <f aca="false">BL59+BL60</f>
        <v>55770.8103339687</v>
      </c>
      <c r="BM61" s="138" t="n">
        <f aca="false">BM59+BM60</f>
        <v>55776.3658895242</v>
      </c>
      <c r="BN61" s="138" t="n">
        <f aca="false">BN59+BN60</f>
        <v>55781.9214450798</v>
      </c>
      <c r="BO61" s="138" t="n">
        <f aca="false">BO59+BO60</f>
        <v>36387.2087905167</v>
      </c>
      <c r="BP61" s="138" t="n">
        <f aca="false">BP59+BP60</f>
        <v>55793.0325561909</v>
      </c>
      <c r="BQ61" s="138" t="n">
        <f aca="false">BQ59+BQ60</f>
        <v>55798.5881117464</v>
      </c>
      <c r="BR61" s="138" t="n">
        <f aca="false">BR59+BR60</f>
        <v>55804.143667302</v>
      </c>
      <c r="BS61" s="138" t="n">
        <f aca="false">BS59+BS60</f>
        <v>55809.6992228576</v>
      </c>
      <c r="BT61" s="138" t="n">
        <f aca="false">BT59+BT60</f>
        <v>55815.2547784131</v>
      </c>
      <c r="BU61" s="138" t="n">
        <f aca="false">BU59+BU60</f>
        <v>55820.8103339687</v>
      </c>
      <c r="BV61" s="138" t="n">
        <f aca="false">BV59+BV60</f>
        <v>55826.3658895242</v>
      </c>
      <c r="BW61" s="138" t="n">
        <f aca="false">BW59+BW60</f>
        <v>53405.6390757051</v>
      </c>
      <c r="BX61" s="138" t="n">
        <f aca="false">BX59+BX60</f>
        <v>53411.1946312606</v>
      </c>
      <c r="BY61" s="138" t="n">
        <f aca="false">BY59+BY60</f>
        <v>53416.7501868162</v>
      </c>
      <c r="BZ61" s="138" t="n">
        <f aca="false">BZ59+BZ60</f>
        <v>53422.3057423718</v>
      </c>
      <c r="CA61" s="138" t="n">
        <f aca="false">CA59+CA60</f>
        <v>34027.5930878086</v>
      </c>
      <c r="CB61" s="138" t="n">
        <f aca="false">CB59+CB60</f>
        <v>53433.4168534829</v>
      </c>
      <c r="CC61" s="138" t="n">
        <f aca="false">CC59+CC60</f>
        <v>53438.9724090384</v>
      </c>
      <c r="CD61" s="138" t="n">
        <f aca="false">CD59+CD60</f>
        <v>53444.527964594</v>
      </c>
      <c r="CE61" s="138" t="n">
        <f aca="false">CE59+CE60</f>
        <v>53450.0835201495</v>
      </c>
      <c r="CF61" s="138" t="n">
        <f aca="false">CF59+CF60</f>
        <v>53455.6390757051</v>
      </c>
      <c r="CG61" s="138" t="n">
        <f aca="false">CG59+CG60</f>
        <v>53461.1946312606</v>
      </c>
      <c r="CH61" s="138" t="n">
        <f aca="false">CH59+CH60</f>
        <v>53466.7501868162</v>
      </c>
    </row>
    <row r="62" customFormat="false" ht="13.5" hidden="false" customHeight="true" outlineLevel="0" collapsed="false">
      <c r="A62" s="13" t="s">
        <v>742</v>
      </c>
      <c r="C62" s="138" t="n">
        <f aca="false">-IF(1&lt;Hipótesis!$D$89,Hipótesis!$F$87,Hipótesis!$F$88)*MAX(0,C61)</f>
        <v>-0</v>
      </c>
      <c r="D62" s="138" t="n">
        <f aca="false">-IF(1&lt;Hipótesis!$D$89,Hipótesis!$F$87,Hipótesis!$F$88)*MAX(0,D61)</f>
        <v>-0</v>
      </c>
      <c r="E62" s="138" t="n">
        <f aca="false">-IF(1&lt;Hipótesis!$D$89,Hipótesis!$F$87,Hipótesis!$F$88)*MAX(0,E61)</f>
        <v>-0</v>
      </c>
      <c r="F62" s="138" t="n">
        <f aca="false">-IF(1&lt;Hipótesis!$D$89,Hipótesis!$F$87,Hipótesis!$F$88)*MAX(0,F61)</f>
        <v>-0</v>
      </c>
      <c r="G62" s="138" t="n">
        <f aca="false">-IF(1&lt;Hipótesis!$D$89,Hipótesis!$F$87,Hipótesis!$F$88)*MAX(0,G61)</f>
        <v>-0</v>
      </c>
      <c r="H62" s="138" t="n">
        <f aca="false">-IF(1&lt;Hipótesis!$D$89,Hipótesis!$F$87,Hipótesis!$F$88)*MAX(0,H61)</f>
        <v>-0</v>
      </c>
      <c r="I62" s="138" t="n">
        <f aca="false">-IF(1&lt;Hipótesis!$D$89,Hipótesis!$F$87,Hipótesis!$F$88)*MAX(0,I61)</f>
        <v>-0</v>
      </c>
      <c r="J62" s="138" t="n">
        <f aca="false">-IF(1&lt;Hipótesis!$D$89,Hipótesis!$F$87,Hipótesis!$F$88)*MAX(0,J61)</f>
        <v>-0</v>
      </c>
      <c r="K62" s="138" t="n">
        <f aca="false">-IF(1&lt;Hipótesis!$D$89,Hipótesis!$F$87,Hipótesis!$F$88)*MAX(0,K61)</f>
        <v>-457.442290069303</v>
      </c>
      <c r="L62" s="138" t="n">
        <f aca="false">-IF(1&lt;Hipótesis!$D$89,Hipótesis!$F$87,Hipótesis!$F$88)*MAX(0,L61)</f>
        <v>-1010.13603904972</v>
      </c>
      <c r="M62" s="138" t="n">
        <f aca="false">-IF(1&lt;Hipótesis!$D$89,Hipótesis!$F$87,Hipótesis!$F$88)*MAX(0,M61)</f>
        <v>-1443.24617549039</v>
      </c>
      <c r="N62" s="138" t="n">
        <f aca="false">-IF(1&lt;Hipótesis!$D$89,Hipótesis!$F$87,Hipótesis!$F$88)*MAX(0,N61)</f>
        <v>-1966.17619261313</v>
      </c>
      <c r="O62" s="138" t="n">
        <f aca="false">-IF(2&lt;Hipótesis!$D$89,Hipótesis!$F$87,Hipótesis!$F$88)*MAX(0,O61)</f>
        <v>-1722.61239989485</v>
      </c>
      <c r="P62" s="138" t="n">
        <f aca="false">-IF(2&lt;Hipótesis!$D$89,Hipótesis!$F$87,Hipótesis!$F$88)*MAX(0,P61)</f>
        <v>-1868.79686467741</v>
      </c>
      <c r="Q62" s="138" t="n">
        <f aca="false">-IF(2&lt;Hipótesis!$D$89,Hipótesis!$F$87,Hipótesis!$F$88)*MAX(0,Q61)</f>
        <v>-2353.81253385016</v>
      </c>
      <c r="R62" s="138" t="n">
        <f aca="false">-IF(2&lt;Hipótesis!$D$89,Hipótesis!$F$87,Hipótesis!$F$88)*MAX(0,R61)</f>
        <v>-2838.82820302291</v>
      </c>
      <c r="S62" s="138" t="n">
        <f aca="false">-IF(2&lt;Hipótesis!$D$89,Hipótesis!$F$87,Hipótesis!$F$88)*MAX(0,S61)</f>
        <v>-1228.26537487056</v>
      </c>
      <c r="T62" s="138" t="n">
        <f aca="false">-IF(2&lt;Hipótesis!$D$89,Hipótesis!$F$87,Hipótesis!$F$88)*MAX(0,T61)</f>
        <v>-3808.85954136841</v>
      </c>
      <c r="U62" s="138" t="n">
        <f aca="false">-IF(2&lt;Hipótesis!$D$89,Hipótesis!$F$87,Hipótesis!$F$88)*MAX(0,U61)</f>
        <v>-3954.11117054117</v>
      </c>
      <c r="V62" s="138" t="n">
        <f aca="false">-IF(2&lt;Hipótesis!$D$89,Hipótesis!$F$87,Hipótesis!$F$88)*MAX(0,V61)</f>
        <v>-4039.40443971392</v>
      </c>
      <c r="W62" s="138" t="n">
        <f aca="false">-IF(2&lt;Hipótesis!$D$89,Hipótesis!$F$87,Hipótesis!$F$88)*MAX(0,W61)</f>
        <v>-4524.42010888667</v>
      </c>
      <c r="X62" s="138" t="n">
        <f aca="false">-IF(2&lt;Hipótesis!$D$89,Hipótesis!$F$87,Hipótesis!$F$88)*MAX(0,X61)</f>
        <v>-4922.11031940705</v>
      </c>
      <c r="Y62" s="138" t="n">
        <f aca="false">-IF(2&lt;Hipótesis!$D$89,Hipótesis!$F$87,Hipótesis!$F$88)*MAX(0,Y61)</f>
        <v>-5319.80052992743</v>
      </c>
      <c r="Z62" s="138" t="n">
        <f aca="false">-IF(2&lt;Hipótesis!$D$89,Hipótesis!$F$87,Hipótesis!$F$88)*MAX(0,Z61)</f>
        <v>-5686.00037386187</v>
      </c>
      <c r="AA62" s="138" t="n">
        <f aca="false">-IF(3&lt;Hipótesis!$D$89,Hipótesis!$F$87,Hipótesis!$F$88)*MAX(0,AA61)</f>
        <v>-5643.25608012888</v>
      </c>
      <c r="AB62" s="138" t="n">
        <f aca="false">-IF(3&lt;Hipótesis!$D$89,Hipótesis!$F$87,Hipótesis!$F$88)*MAX(0,AB61)</f>
        <v>-5557.11962385671</v>
      </c>
      <c r="AC62" s="138" t="n">
        <f aca="false">-IF(3&lt;Hipótesis!$D$89,Hipótesis!$F$87,Hipótesis!$F$88)*MAX(0,AC61)</f>
        <v>-5820.94012878455</v>
      </c>
      <c r="AD62" s="138" t="n">
        <f aca="false">-IF(3&lt;Hipótesis!$D$89,Hipótesis!$F$87,Hipótesis!$F$88)*MAX(0,AD61)</f>
        <v>-6084.76063371238</v>
      </c>
      <c r="AE62" s="138" t="n">
        <f aca="false">-IF(3&lt;Hipótesis!$D$89,Hipótesis!$F$87,Hipótesis!$F$88)*MAX(0,AE61)</f>
        <v>-3438.54090712242</v>
      </c>
      <c r="AF62" s="138" t="n">
        <f aca="false">-IF(3&lt;Hipótesis!$D$89,Hipótesis!$F$87,Hipótesis!$F$88)*MAX(0,AF61)</f>
        <v>-6612.40164356806</v>
      </c>
      <c r="AG62" s="138" t="n">
        <f aca="false">-IF(3&lt;Hipótesis!$D$89,Hipótesis!$F$87,Hipótesis!$F$88)*MAX(0,AG61)</f>
        <v>-6876.22214849589</v>
      </c>
      <c r="AH62" s="138" t="n">
        <f aca="false">-IF(3&lt;Hipótesis!$D$89,Hipótesis!$F$87,Hipótesis!$F$88)*MAX(0,AH61)</f>
        <v>-7140.04265342373</v>
      </c>
      <c r="AI62" s="138" t="n">
        <f aca="false">-IF(3&lt;Hipótesis!$D$89,Hipótesis!$F$87,Hipótesis!$F$88)*MAX(0,AI61)</f>
        <v>-7403.86315835156</v>
      </c>
      <c r="AJ62" s="138" t="n">
        <f aca="false">-IF(3&lt;Hipótesis!$D$89,Hipótesis!$F$87,Hipótesis!$F$88)*MAX(0,AJ61)</f>
        <v>-7667.6836632794</v>
      </c>
      <c r="AK62" s="138" t="n">
        <f aca="false">-IF(3&lt;Hipótesis!$D$89,Hipótesis!$F$87,Hipótesis!$F$88)*MAX(0,AK61)</f>
        <v>-7931.50416820724</v>
      </c>
      <c r="AL62" s="138" t="n">
        <f aca="false">-IF(3&lt;Hipótesis!$D$89,Hipótesis!$F$87,Hipótesis!$F$88)*MAX(0,AL61)</f>
        <v>-7845.36771193507</v>
      </c>
      <c r="AM62" s="138" t="n">
        <f aca="false">-IF(4&lt;Hipótesis!$D$89,Hipótesis!$F$87,Hipótesis!$F$88)*MAX(0,AM61)</f>
        <v>-12919.0508953315</v>
      </c>
      <c r="AN62" s="138" t="n">
        <f aca="false">-IF(4&lt;Hipótesis!$D$89,Hipótesis!$F$87,Hipótesis!$F$88)*MAX(0,AN61)</f>
        <v>-13358.7517368779</v>
      </c>
      <c r="AO62" s="138" t="n">
        <f aca="false">-IF(4&lt;Hipótesis!$D$89,Hipótesis!$F$87,Hipótesis!$F$88)*MAX(0,AO61)</f>
        <v>-13798.4525784243</v>
      </c>
      <c r="AP62" s="138" t="n">
        <f aca="false">-IF(4&lt;Hipótesis!$D$89,Hipótesis!$F$87,Hipótesis!$F$88)*MAX(0,AP61)</f>
        <v>-14238.1534199707</v>
      </c>
      <c r="AQ62" s="138" t="n">
        <f aca="false">-IF(4&lt;Hipótesis!$D$89,Hipótesis!$F$87,Hipótesis!$F$88)*MAX(0,AQ61)</f>
        <v>-9827.78720898742</v>
      </c>
      <c r="AR62" s="138" t="n">
        <f aca="false">-IF(4&lt;Hipótesis!$D$89,Hipótesis!$F$87,Hipótesis!$F$88)*MAX(0,AR61)</f>
        <v>-15117.5551030635</v>
      </c>
      <c r="AS62" s="138" t="n">
        <f aca="false">-IF(4&lt;Hipótesis!$D$89,Hipótesis!$F$87,Hipótesis!$F$88)*MAX(0,AS61)</f>
        <v>-15118.9439919524</v>
      </c>
      <c r="AT62" s="138" t="n">
        <f aca="false">-IF(4&lt;Hipótesis!$D$89,Hipótesis!$F$87,Hipótesis!$F$88)*MAX(0,AT61)</f>
        <v>-15120.3328808413</v>
      </c>
      <c r="AU62" s="138" t="n">
        <f aca="false">-IF(4&lt;Hipótesis!$D$89,Hipótesis!$F$87,Hipótesis!$F$88)*MAX(0,AU61)</f>
        <v>-15121.7217697302</v>
      </c>
      <c r="AV62" s="138" t="n">
        <f aca="false">-IF(4&lt;Hipótesis!$D$89,Hipótesis!$F$87,Hipótesis!$F$88)*MAX(0,AV61)</f>
        <v>-15123.110658619</v>
      </c>
      <c r="AW62" s="138" t="n">
        <f aca="false">-IF(4&lt;Hipótesis!$D$89,Hipótesis!$F$87,Hipótesis!$F$88)*MAX(0,AW61)</f>
        <v>-15124.4995475079</v>
      </c>
      <c r="AX62" s="138" t="n">
        <f aca="false">-IF(4&lt;Hipótesis!$D$89,Hipótesis!$F$87,Hipótesis!$F$88)*MAX(0,AX61)</f>
        <v>-15125.8884363968</v>
      </c>
      <c r="AY62" s="138" t="n">
        <f aca="false">-IF(5&lt;Hipótesis!$D$89,Hipótesis!$F$87,Hipótesis!$F$88)*MAX(0,AY61)</f>
        <v>-14527.6796418625</v>
      </c>
      <c r="AZ62" s="138" t="n">
        <f aca="false">-IF(5&lt;Hipótesis!$D$89,Hipótesis!$F$87,Hipótesis!$F$88)*MAX(0,AZ61)</f>
        <v>-14529.0685307514</v>
      </c>
      <c r="BA62" s="138" t="n">
        <f aca="false">-IF(5&lt;Hipótesis!$D$89,Hipótesis!$F$87,Hipótesis!$F$88)*MAX(0,BA61)</f>
        <v>-14530.4574196403</v>
      </c>
      <c r="BB62" s="138" t="n">
        <f aca="false">-IF(5&lt;Hipótesis!$D$89,Hipótesis!$F$87,Hipótesis!$F$88)*MAX(0,BB61)</f>
        <v>-14531.8463085292</v>
      </c>
      <c r="BC62" s="138" t="n">
        <f aca="false">-IF(5&lt;Hipótesis!$D$89,Hipótesis!$F$87,Hipótesis!$F$88)*MAX(0,BC61)</f>
        <v>-9683.16814488839</v>
      </c>
      <c r="BD62" s="138" t="n">
        <f aca="false">-IF(5&lt;Hipótesis!$D$89,Hipótesis!$F$87,Hipótesis!$F$88)*MAX(0,BD61)</f>
        <v>-14534.624086307</v>
      </c>
      <c r="BE62" s="138" t="n">
        <f aca="false">-IF(5&lt;Hipótesis!$D$89,Hipótesis!$F$87,Hipótesis!$F$88)*MAX(0,BE61)</f>
        <v>-14536.0129751958</v>
      </c>
      <c r="BF62" s="138" t="n">
        <f aca="false">-IF(5&lt;Hipótesis!$D$89,Hipótesis!$F$87,Hipótesis!$F$88)*MAX(0,BF61)</f>
        <v>-14537.4018640847</v>
      </c>
      <c r="BG62" s="138" t="n">
        <f aca="false">-IF(5&lt;Hipótesis!$D$89,Hipótesis!$F$87,Hipótesis!$F$88)*MAX(0,BG61)</f>
        <v>-14538.7907529736</v>
      </c>
      <c r="BH62" s="138" t="n">
        <f aca="false">-IF(5&lt;Hipótesis!$D$89,Hipótesis!$F$87,Hipótesis!$F$88)*MAX(0,BH61)</f>
        <v>-14540.1796418625</v>
      </c>
      <c r="BI62" s="138" t="n">
        <f aca="false">-IF(5&lt;Hipótesis!$D$89,Hipótesis!$F$87,Hipótesis!$F$88)*MAX(0,BI61)</f>
        <v>-14541.5685307514</v>
      </c>
      <c r="BJ62" s="138" t="n">
        <f aca="false">-IF(5&lt;Hipótesis!$D$89,Hipótesis!$F$87,Hipótesis!$F$88)*MAX(0,BJ61)</f>
        <v>-14542.9574196403</v>
      </c>
      <c r="BK62" s="138" t="n">
        <f aca="false">-IF(6&lt;Hipótesis!$D$89,Hipótesis!$F$87,Hipótesis!$F$88)*MAX(0,BK61)</f>
        <v>-13941.3136946033</v>
      </c>
      <c r="BL62" s="138" t="n">
        <f aca="false">-IF(6&lt;Hipótesis!$D$89,Hipótesis!$F$87,Hipótesis!$F$88)*MAX(0,BL61)</f>
        <v>-13942.7025834922</v>
      </c>
      <c r="BM62" s="138" t="n">
        <f aca="false">-IF(6&lt;Hipótesis!$D$89,Hipótesis!$F$87,Hipótesis!$F$88)*MAX(0,BM61)</f>
        <v>-13944.0914723811</v>
      </c>
      <c r="BN62" s="138" t="n">
        <f aca="false">-IF(6&lt;Hipótesis!$D$89,Hipótesis!$F$87,Hipótesis!$F$88)*MAX(0,BN61)</f>
        <v>-13945.4803612699</v>
      </c>
      <c r="BO62" s="138" t="n">
        <f aca="false">-IF(6&lt;Hipótesis!$D$89,Hipótesis!$F$87,Hipótesis!$F$88)*MAX(0,BO61)</f>
        <v>-9096.80219762916</v>
      </c>
      <c r="BP62" s="138" t="n">
        <f aca="false">-IF(6&lt;Hipótesis!$D$89,Hipótesis!$F$87,Hipótesis!$F$88)*MAX(0,BP61)</f>
        <v>-13948.2581390477</v>
      </c>
      <c r="BQ62" s="138" t="n">
        <f aca="false">-IF(6&lt;Hipótesis!$D$89,Hipótesis!$F$87,Hipótesis!$F$88)*MAX(0,BQ61)</f>
        <v>-13949.6470279366</v>
      </c>
      <c r="BR62" s="138" t="n">
        <f aca="false">-IF(6&lt;Hipótesis!$D$89,Hipótesis!$F$87,Hipótesis!$F$88)*MAX(0,BR61)</f>
        <v>-13951.0359168255</v>
      </c>
      <c r="BS62" s="138" t="n">
        <f aca="false">-IF(6&lt;Hipótesis!$D$89,Hipótesis!$F$87,Hipótesis!$F$88)*MAX(0,BS61)</f>
        <v>-13952.4248057144</v>
      </c>
      <c r="BT62" s="138" t="n">
        <f aca="false">-IF(6&lt;Hipótesis!$D$89,Hipótesis!$F$87,Hipótesis!$F$88)*MAX(0,BT61)</f>
        <v>-13953.8136946033</v>
      </c>
      <c r="BU62" s="138" t="n">
        <f aca="false">-IF(6&lt;Hipótesis!$D$89,Hipótesis!$F$87,Hipótesis!$F$88)*MAX(0,BU61)</f>
        <v>-13955.2025834922</v>
      </c>
      <c r="BV62" s="138" t="n">
        <f aca="false">-IF(6&lt;Hipótesis!$D$89,Hipótesis!$F$87,Hipótesis!$F$88)*MAX(0,BV61)</f>
        <v>-13956.5914723811</v>
      </c>
      <c r="BW62" s="138" t="n">
        <f aca="false">-IF(7&lt;Hipótesis!$D$89,Hipótesis!$F$87,Hipótesis!$F$88)*MAX(0,BW61)</f>
        <v>-13351.4097689263</v>
      </c>
      <c r="BX62" s="138" t="n">
        <f aca="false">-IF(7&lt;Hipótesis!$D$89,Hipótesis!$F$87,Hipótesis!$F$88)*MAX(0,BX61)</f>
        <v>-13352.7986578152</v>
      </c>
      <c r="BY62" s="138" t="n">
        <f aca="false">-IF(7&lt;Hipótesis!$D$89,Hipótesis!$F$87,Hipótesis!$F$88)*MAX(0,BY61)</f>
        <v>-13354.187546704</v>
      </c>
      <c r="BZ62" s="138" t="n">
        <f aca="false">-IF(7&lt;Hipótesis!$D$89,Hipótesis!$F$87,Hipótesis!$F$88)*MAX(0,BZ61)</f>
        <v>-13355.5764355929</v>
      </c>
      <c r="CA62" s="138" t="n">
        <f aca="false">-IF(7&lt;Hipótesis!$D$89,Hipótesis!$F$87,Hipótesis!$F$88)*MAX(0,CA61)</f>
        <v>-8506.89827195216</v>
      </c>
      <c r="CB62" s="138" t="n">
        <f aca="false">-IF(7&lt;Hipótesis!$D$89,Hipótesis!$F$87,Hipótesis!$F$88)*MAX(0,CB61)</f>
        <v>-13358.3542133707</v>
      </c>
      <c r="CC62" s="138" t="n">
        <f aca="false">-IF(7&lt;Hipótesis!$D$89,Hipótesis!$F$87,Hipótesis!$F$88)*MAX(0,CC61)</f>
        <v>-13359.7431022596</v>
      </c>
      <c r="CD62" s="138" t="n">
        <f aca="false">-IF(7&lt;Hipótesis!$D$89,Hipótesis!$F$87,Hipótesis!$F$88)*MAX(0,CD61)</f>
        <v>-13361.1319911485</v>
      </c>
      <c r="CE62" s="138" t="n">
        <f aca="false">-IF(7&lt;Hipótesis!$D$89,Hipótesis!$F$87,Hipótesis!$F$88)*MAX(0,CE61)</f>
        <v>-13362.5208800374</v>
      </c>
      <c r="CF62" s="138" t="n">
        <f aca="false">-IF(7&lt;Hipótesis!$D$89,Hipótesis!$F$87,Hipótesis!$F$88)*MAX(0,CF61)</f>
        <v>-13363.9097689263</v>
      </c>
      <c r="CG62" s="138" t="n">
        <f aca="false">-IF(7&lt;Hipótesis!$D$89,Hipótesis!$F$87,Hipótesis!$F$88)*MAX(0,CG61)</f>
        <v>-13365.2986578152</v>
      </c>
      <c r="CH62" s="138" t="n">
        <f aca="false">-IF(7&lt;Hipótesis!$D$89,Hipótesis!$F$87,Hipótesis!$F$88)*MAX(0,CH61)</f>
        <v>-13366.687546704</v>
      </c>
    </row>
    <row r="63" customFormat="false" ht="13.5" hidden="false" customHeight="true" outlineLevel="0" collapsed="false">
      <c r="A63" s="30" t="s">
        <v>743</v>
      </c>
      <c r="C63" s="138" t="n">
        <f aca="false">C61+C62</f>
        <v>-17543.3458306285</v>
      </c>
      <c r="D63" s="138" t="n">
        <f aca="false">D61+D62</f>
        <v>-15678.3928242814</v>
      </c>
      <c r="E63" s="138" t="n">
        <f aca="false">E61+E62</f>
        <v>-12980.8354452706</v>
      </c>
      <c r="F63" s="138" t="n">
        <f aca="false">F61+F62</f>
        <v>-11047.0826539086</v>
      </c>
      <c r="G63" s="138" t="n">
        <f aca="false">G61+G62</f>
        <v>-13633.3906828195</v>
      </c>
      <c r="H63" s="138" t="n">
        <f aca="false">H61+H62</f>
        <v>-6837.29585097794</v>
      </c>
      <c r="I63" s="138" t="n">
        <f aca="false">I61+I62</f>
        <v>-4426.73595411468</v>
      </c>
      <c r="J63" s="138" t="n">
        <f aca="false">J61+J62</f>
        <v>-616.013136881874</v>
      </c>
      <c r="K63" s="138" t="n">
        <f aca="false">K61+K62</f>
        <v>2592.17297705938</v>
      </c>
      <c r="L63" s="138" t="n">
        <f aca="false">L61+L62</f>
        <v>5724.10422128173</v>
      </c>
      <c r="M63" s="138" t="n">
        <f aca="false">M61+M62</f>
        <v>8178.39499444555</v>
      </c>
      <c r="N63" s="138" t="n">
        <f aca="false">N61+N62</f>
        <v>11141.6650914744</v>
      </c>
      <c r="O63" s="138" t="n">
        <f aca="false">O61+O62</f>
        <v>9761.47026607084</v>
      </c>
      <c r="P63" s="138" t="n">
        <f aca="false">P61+P62</f>
        <v>10589.8488998387</v>
      </c>
      <c r="Q63" s="138" t="n">
        <f aca="false">Q61+Q62</f>
        <v>13338.2710251509</v>
      </c>
      <c r="R63" s="138" t="n">
        <f aca="false">R61+R62</f>
        <v>16086.6931504632</v>
      </c>
      <c r="S63" s="138" t="n">
        <f aca="false">S61+S62</f>
        <v>6960.17045759982</v>
      </c>
      <c r="T63" s="138" t="n">
        <f aca="false">T61+T62</f>
        <v>21583.5374010877</v>
      </c>
      <c r="U63" s="138" t="n">
        <f aca="false">U61+U62</f>
        <v>22406.6299663999</v>
      </c>
      <c r="V63" s="138" t="n">
        <f aca="false">V61+V62</f>
        <v>22889.9584917122</v>
      </c>
      <c r="W63" s="138" t="n">
        <f aca="false">W61+W62</f>
        <v>25638.3806170245</v>
      </c>
      <c r="X63" s="138" t="n">
        <f aca="false">X61+X62</f>
        <v>27891.95847664</v>
      </c>
      <c r="Y63" s="138" t="n">
        <f aca="false">Y61+Y62</f>
        <v>30145.5363362555</v>
      </c>
      <c r="Z63" s="138" t="n">
        <f aca="false">Z61+Z62</f>
        <v>32220.6687852172</v>
      </c>
      <c r="AA63" s="138" t="n">
        <f aca="false">AA61+AA62</f>
        <v>31978.4511207303</v>
      </c>
      <c r="AB63" s="138" t="n">
        <f aca="false">AB61+AB62</f>
        <v>31490.344535188</v>
      </c>
      <c r="AC63" s="138" t="n">
        <f aca="false">AC61+AC62</f>
        <v>32985.3273964458</v>
      </c>
      <c r="AD63" s="138" t="n">
        <f aca="false">AD61+AD62</f>
        <v>34480.3102577035</v>
      </c>
      <c r="AE63" s="138" t="n">
        <f aca="false">AE61+AE62</f>
        <v>19485.0651403604</v>
      </c>
      <c r="AF63" s="138" t="n">
        <f aca="false">AF61+AF62</f>
        <v>37470.275980219</v>
      </c>
      <c r="AG63" s="138" t="n">
        <f aca="false">AG61+AG62</f>
        <v>38965.2588414767</v>
      </c>
      <c r="AH63" s="138" t="n">
        <f aca="false">AH61+AH62</f>
        <v>40460.2417027345</v>
      </c>
      <c r="AI63" s="138" t="n">
        <f aca="false">AI61+AI62</f>
        <v>41955.2245639922</v>
      </c>
      <c r="AJ63" s="138" t="n">
        <f aca="false">AJ61+AJ62</f>
        <v>43450.2074252499</v>
      </c>
      <c r="AK63" s="138" t="n">
        <f aca="false">AK61+AK62</f>
        <v>44945.1902865077</v>
      </c>
      <c r="AL63" s="138" t="n">
        <f aca="false">AL61+AL62</f>
        <v>44457.0837009654</v>
      </c>
      <c r="AM63" s="138" t="n">
        <f aca="false">AM61+AM62</f>
        <v>38757.1526859945</v>
      </c>
      <c r="AN63" s="138" t="n">
        <f aca="false">AN61+AN62</f>
        <v>40076.2552106337</v>
      </c>
      <c r="AO63" s="138" t="n">
        <f aca="false">AO61+AO62</f>
        <v>41395.3577352729</v>
      </c>
      <c r="AP63" s="138" t="n">
        <f aca="false">AP61+AP62</f>
        <v>42714.4602599121</v>
      </c>
      <c r="AQ63" s="138" t="n">
        <f aca="false">AQ61+AQ62</f>
        <v>29483.3616269623</v>
      </c>
      <c r="AR63" s="138" t="n">
        <f aca="false">AR61+AR62</f>
        <v>45352.6653091905</v>
      </c>
      <c r="AS63" s="138" t="n">
        <f aca="false">AS61+AS62</f>
        <v>45356.8319758571</v>
      </c>
      <c r="AT63" s="138" t="n">
        <f aca="false">AT61+AT62</f>
        <v>45360.9986425238</v>
      </c>
      <c r="AU63" s="138" t="n">
        <f aca="false">AU61+AU62</f>
        <v>45365.1653091905</v>
      </c>
      <c r="AV63" s="138" t="n">
        <f aca="false">AV61+AV62</f>
        <v>45369.3319758571</v>
      </c>
      <c r="AW63" s="138" t="n">
        <f aca="false">AW61+AW62</f>
        <v>45373.4986425238</v>
      </c>
      <c r="AX63" s="138" t="n">
        <f aca="false">AX61+AX62</f>
        <v>45377.6653091905</v>
      </c>
      <c r="AY63" s="138" t="n">
        <f aca="false">AY61+AY62</f>
        <v>43583.0389255875</v>
      </c>
      <c r="AZ63" s="138" t="n">
        <f aca="false">AZ61+AZ62</f>
        <v>43587.2055922542</v>
      </c>
      <c r="BA63" s="138" t="n">
        <f aca="false">BA61+BA62</f>
        <v>43591.3722589209</v>
      </c>
      <c r="BB63" s="138" t="n">
        <f aca="false">BB61+BB62</f>
        <v>43595.5389255875</v>
      </c>
      <c r="BC63" s="138" t="n">
        <f aca="false">BC61+BC62</f>
        <v>29049.5044346652</v>
      </c>
      <c r="BD63" s="138" t="n">
        <f aca="false">BD61+BD62</f>
        <v>43603.8722589209</v>
      </c>
      <c r="BE63" s="138" t="n">
        <f aca="false">BE61+BE62</f>
        <v>43608.0389255875</v>
      </c>
      <c r="BF63" s="138" t="n">
        <f aca="false">BF61+BF62</f>
        <v>43612.2055922542</v>
      </c>
      <c r="BG63" s="138" t="n">
        <f aca="false">BG61+BG62</f>
        <v>43616.3722589209</v>
      </c>
      <c r="BH63" s="138" t="n">
        <f aca="false">BH61+BH62</f>
        <v>43620.5389255875</v>
      </c>
      <c r="BI63" s="138" t="n">
        <f aca="false">BI61+BI62</f>
        <v>43624.7055922542</v>
      </c>
      <c r="BJ63" s="138" t="n">
        <f aca="false">BJ61+BJ62</f>
        <v>43628.8722589209</v>
      </c>
      <c r="BK63" s="138" t="n">
        <f aca="false">BK61+BK62</f>
        <v>41823.9410838098</v>
      </c>
      <c r="BL63" s="138" t="n">
        <f aca="false">BL61+BL62</f>
        <v>41828.1077504765</v>
      </c>
      <c r="BM63" s="138" t="n">
        <f aca="false">BM61+BM62</f>
        <v>41832.2744171432</v>
      </c>
      <c r="BN63" s="138" t="n">
        <f aca="false">BN61+BN62</f>
        <v>41836.4410838098</v>
      </c>
      <c r="BO63" s="138" t="n">
        <f aca="false">BO61+BO62</f>
        <v>27290.4065928875</v>
      </c>
      <c r="BP63" s="138" t="n">
        <f aca="false">BP61+BP62</f>
        <v>41844.7744171432</v>
      </c>
      <c r="BQ63" s="138" t="n">
        <f aca="false">BQ61+BQ62</f>
        <v>41848.9410838098</v>
      </c>
      <c r="BR63" s="138" t="n">
        <f aca="false">BR61+BR62</f>
        <v>41853.1077504765</v>
      </c>
      <c r="BS63" s="138" t="n">
        <f aca="false">BS61+BS62</f>
        <v>41857.2744171432</v>
      </c>
      <c r="BT63" s="138" t="n">
        <f aca="false">BT61+BT62</f>
        <v>41861.4410838098</v>
      </c>
      <c r="BU63" s="138" t="n">
        <f aca="false">BU61+BU62</f>
        <v>41865.6077504765</v>
      </c>
      <c r="BV63" s="138" t="n">
        <f aca="false">BV61+BV62</f>
        <v>41869.7744171432</v>
      </c>
      <c r="BW63" s="138" t="n">
        <f aca="false">BW61+BW62</f>
        <v>40054.2293067788</v>
      </c>
      <c r="BX63" s="138" t="n">
        <f aca="false">BX61+BX62</f>
        <v>40058.3959734455</v>
      </c>
      <c r="BY63" s="138" t="n">
        <f aca="false">BY61+BY62</f>
        <v>40062.5626401121</v>
      </c>
      <c r="BZ63" s="138" t="n">
        <f aca="false">BZ61+BZ62</f>
        <v>40066.7293067788</v>
      </c>
      <c r="CA63" s="138" t="n">
        <f aca="false">CA61+CA62</f>
        <v>25520.6948158565</v>
      </c>
      <c r="CB63" s="138" t="n">
        <f aca="false">CB61+CB62</f>
        <v>40075.0626401122</v>
      </c>
      <c r="CC63" s="138" t="n">
        <f aca="false">CC61+CC62</f>
        <v>40079.2293067788</v>
      </c>
      <c r="CD63" s="138" t="n">
        <f aca="false">CD61+CD62</f>
        <v>40083.3959734455</v>
      </c>
      <c r="CE63" s="138" t="n">
        <f aca="false">CE61+CE62</f>
        <v>40087.5626401122</v>
      </c>
      <c r="CF63" s="138" t="n">
        <f aca="false">CF61+CF62</f>
        <v>40091.7293067788</v>
      </c>
      <c r="CG63" s="138" t="n">
        <f aca="false">CG61+CG62</f>
        <v>40095.8959734455</v>
      </c>
      <c r="CH63" s="138" t="n">
        <f aca="false">CH61+CH62</f>
        <v>40100.0626401121</v>
      </c>
    </row>
    <row r="64" customFormat="false" ht="13.5" hidden="false" customHeight="true" outlineLevel="0" collapsed="false"/>
    <row r="65" customFormat="false" ht="12.75" hidden="false" customHeight="true" outlineLevel="0" collapsed="false">
      <c r="A65" s="10" t="s">
        <v>744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</row>
    <row r="66" customFormat="false" ht="13.5" hidden="false" customHeight="true" outlineLevel="0" collapsed="false">
      <c r="A66" s="13" t="s">
        <v>737</v>
      </c>
      <c r="C66" s="138" t="n">
        <f aca="false">C56</f>
        <v>-15979.8590337535</v>
      </c>
      <c r="D66" s="138" t="n">
        <f aca="false">D56</f>
        <v>-14111.1549680314</v>
      </c>
      <c r="E66" s="138" t="n">
        <f aca="false">E56</f>
        <v>-11405.7908343331</v>
      </c>
      <c r="F66" s="138" t="n">
        <f aca="false">F56</f>
        <v>-9467.71808515862</v>
      </c>
      <c r="G66" s="138" t="n">
        <f aca="false">G56</f>
        <v>-12049.970418757</v>
      </c>
      <c r="H66" s="138" t="n">
        <f aca="false">H56</f>
        <v>-5247.39748535294</v>
      </c>
      <c r="I66" s="138" t="n">
        <f aca="false">I56</f>
        <v>-2829.97287685658</v>
      </c>
      <c r="J66" s="138" t="n">
        <f aca="false">J56</f>
        <v>1043.38756648775</v>
      </c>
      <c r="K66" s="138" t="n">
        <f aca="false">K56</f>
        <v>4829.79921031797</v>
      </c>
      <c r="L66" s="138" t="n">
        <f aca="false">L56</f>
        <v>8616.21085414819</v>
      </c>
      <c r="M66" s="138" t="n">
        <f aca="false">M56</f>
        <v>11565.9624300021</v>
      </c>
      <c r="N66" s="138" t="n">
        <f aca="false">N56</f>
        <v>15113.1354401409</v>
      </c>
      <c r="O66" s="138" t="n">
        <f aca="false">O56</f>
        <v>13433.1084502797</v>
      </c>
      <c r="P66" s="138" t="n">
        <f aca="false">P56</f>
        <v>14433.3393605615</v>
      </c>
      <c r="Q66" s="138" t="n">
        <f aca="false">Q56</f>
        <v>17744.8902708434</v>
      </c>
      <c r="R66" s="138" t="n">
        <f aca="false">R56</f>
        <v>21056.4411811253</v>
      </c>
      <c r="S66" s="138" t="n">
        <f aca="false">S56</f>
        <v>10112.3560551819</v>
      </c>
      <c r="T66" s="138" t="n">
        <f aca="false">T56</f>
        <v>27679.543001689</v>
      </c>
      <c r="U66" s="138" t="n">
        <f aca="false">U56</f>
        <v>28679.7739119709</v>
      </c>
      <c r="V66" s="138" t="n">
        <f aca="false">V56</f>
        <v>29272.1248222528</v>
      </c>
      <c r="W66" s="138" t="n">
        <f aca="false">W56</f>
        <v>32583.6757325347</v>
      </c>
      <c r="X66" s="138" t="n">
        <f aca="false">X56</f>
        <v>35297.8052085317</v>
      </c>
      <c r="Y66" s="138" t="n">
        <f aca="false">Y56</f>
        <v>38011.9346845288</v>
      </c>
      <c r="Z66" s="138" t="n">
        <f aca="false">Z56</f>
        <v>40510.5855868119</v>
      </c>
      <c r="AA66" s="138" t="n">
        <f aca="false">AA56</f>
        <v>40228.4870800089</v>
      </c>
      <c r="AB66" s="138" t="n">
        <f aca="false">AB56</f>
        <v>39645.5348597875</v>
      </c>
      <c r="AC66" s="138" t="n">
        <f aca="false">AC56</f>
        <v>41443.2422395661</v>
      </c>
      <c r="AD66" s="138" t="n">
        <f aca="false">AD56</f>
        <v>43240.9496193447</v>
      </c>
      <c r="AE66" s="138" t="n">
        <f aca="false">AE56</f>
        <v>25242.4649479818</v>
      </c>
      <c r="AF66" s="138" t="n">
        <f aca="false">AF56</f>
        <v>46836.3643789019</v>
      </c>
      <c r="AG66" s="138" t="n">
        <f aca="false">AG56</f>
        <v>48634.0717586805</v>
      </c>
      <c r="AH66" s="138" t="n">
        <f aca="false">AH56</f>
        <v>50431.7791384591</v>
      </c>
      <c r="AI66" s="138" t="n">
        <f aca="false">AI56</f>
        <v>52229.4865182377</v>
      </c>
      <c r="AJ66" s="138" t="n">
        <f aca="false">AJ56</f>
        <v>54027.1938980163</v>
      </c>
      <c r="AK66" s="138" t="n">
        <f aca="false">AK56</f>
        <v>55824.9012777949</v>
      </c>
      <c r="AL66" s="138" t="n">
        <f aca="false">AL56</f>
        <v>55241.9490575735</v>
      </c>
      <c r="AM66" s="138" t="n">
        <f aca="false">AM56</f>
        <v>54605.9307253521</v>
      </c>
      <c r="AN66" s="138" t="n">
        <f aca="false">AN56</f>
        <v>56403.6381051307</v>
      </c>
      <c r="AO66" s="138" t="n">
        <f aca="false">AO56</f>
        <v>58201.3454849093</v>
      </c>
      <c r="AP66" s="138" t="n">
        <f aca="false">AP56</f>
        <v>59999.0528646879</v>
      </c>
      <c r="AQ66" s="138" t="n">
        <f aca="false">AQ56</f>
        <v>42000.568193325</v>
      </c>
      <c r="AR66" s="138" t="n">
        <f aca="false">AR56</f>
        <v>63594.4676242451</v>
      </c>
      <c r="AS66" s="138" t="n">
        <f aca="false">AS56</f>
        <v>63594.4676242451</v>
      </c>
      <c r="AT66" s="138" t="n">
        <f aca="false">AT56</f>
        <v>63594.4676242451</v>
      </c>
      <c r="AU66" s="138" t="n">
        <f aca="false">AU56</f>
        <v>63594.4676242451</v>
      </c>
      <c r="AV66" s="138" t="n">
        <f aca="false">AV56</f>
        <v>63594.4676242451</v>
      </c>
      <c r="AW66" s="138" t="n">
        <f aca="false">AW56</f>
        <v>63594.4676242451</v>
      </c>
      <c r="AX66" s="138" t="n">
        <f aca="false">AX56</f>
        <v>63594.4676242451</v>
      </c>
      <c r="AY66" s="138" t="n">
        <f aca="false">AY56</f>
        <v>61147.1301408851</v>
      </c>
      <c r="AZ66" s="138" t="n">
        <f aca="false">AZ56</f>
        <v>61147.1301408851</v>
      </c>
      <c r="BA66" s="138" t="n">
        <f aca="false">BA56</f>
        <v>61147.1301408851</v>
      </c>
      <c r="BB66" s="138" t="n">
        <f aca="false">BB56</f>
        <v>61147.1301408851</v>
      </c>
      <c r="BC66" s="138" t="n">
        <f aca="false">BC56</f>
        <v>41350.9380897436</v>
      </c>
      <c r="BD66" s="138" t="n">
        <f aca="false">BD56</f>
        <v>61147.1301408851</v>
      </c>
      <c r="BE66" s="138" t="n">
        <f aca="false">BE56</f>
        <v>61147.1301408851</v>
      </c>
      <c r="BF66" s="138" t="n">
        <f aca="false">BF56</f>
        <v>61147.1301408851</v>
      </c>
      <c r="BG66" s="138" t="n">
        <f aca="false">BG56</f>
        <v>61147.1301408851</v>
      </c>
      <c r="BH66" s="138" t="n">
        <f aca="false">BH56</f>
        <v>61147.1301408851</v>
      </c>
      <c r="BI66" s="138" t="n">
        <f aca="false">BI56</f>
        <v>61147.1301408851</v>
      </c>
      <c r="BJ66" s="138" t="n">
        <f aca="false">BJ56</f>
        <v>61147.1301408851</v>
      </c>
      <c r="BK66" s="138" t="n">
        <f aca="false">BK56</f>
        <v>58685.7725330243</v>
      </c>
      <c r="BL66" s="138" t="n">
        <f aca="false">BL56</f>
        <v>58685.7725330243</v>
      </c>
      <c r="BM66" s="138" t="n">
        <f aca="false">BM56</f>
        <v>58685.7725330243</v>
      </c>
      <c r="BN66" s="138" t="n">
        <f aca="false">BN56</f>
        <v>58685.7725330243</v>
      </c>
      <c r="BO66" s="138" t="n">
        <f aca="false">BO56</f>
        <v>38889.5804818828</v>
      </c>
      <c r="BP66" s="138" t="n">
        <f aca="false">BP56</f>
        <v>58685.7725330243</v>
      </c>
      <c r="BQ66" s="138" t="n">
        <f aca="false">BQ56</f>
        <v>58685.7725330243</v>
      </c>
      <c r="BR66" s="138" t="n">
        <f aca="false">BR56</f>
        <v>58685.7725330243</v>
      </c>
      <c r="BS66" s="138" t="n">
        <f aca="false">BS56</f>
        <v>58685.7725330243</v>
      </c>
      <c r="BT66" s="138" t="n">
        <f aca="false">BT56</f>
        <v>58685.7725330243</v>
      </c>
      <c r="BU66" s="138" t="n">
        <f aca="false">BU56</f>
        <v>58685.7725330243</v>
      </c>
      <c r="BV66" s="138" t="n">
        <f aca="false">BV56</f>
        <v>58685.7725330243</v>
      </c>
      <c r="BW66" s="138" t="n">
        <f aca="false">BW56</f>
        <v>56209.9741969276</v>
      </c>
      <c r="BX66" s="138" t="n">
        <f aca="false">BX56</f>
        <v>56209.9741969276</v>
      </c>
      <c r="BY66" s="138" t="n">
        <f aca="false">BY56</f>
        <v>56209.9741969276</v>
      </c>
      <c r="BZ66" s="138" t="n">
        <f aca="false">BZ56</f>
        <v>56209.9741969276</v>
      </c>
      <c r="CA66" s="138" t="n">
        <f aca="false">CA56</f>
        <v>36413.7821457861</v>
      </c>
      <c r="CB66" s="138" t="n">
        <f aca="false">CB56</f>
        <v>56209.9741969276</v>
      </c>
      <c r="CC66" s="138" t="n">
        <f aca="false">CC56</f>
        <v>56209.9741969276</v>
      </c>
      <c r="CD66" s="138" t="n">
        <f aca="false">CD56</f>
        <v>56209.9741969276</v>
      </c>
      <c r="CE66" s="138" t="n">
        <f aca="false">CE56</f>
        <v>56209.9741969276</v>
      </c>
      <c r="CF66" s="138" t="n">
        <f aca="false">CF56</f>
        <v>56209.9741969276</v>
      </c>
      <c r="CG66" s="138" t="n">
        <f aca="false">CG56</f>
        <v>56209.9741969276</v>
      </c>
      <c r="CH66" s="138" t="n">
        <f aca="false">CH56</f>
        <v>56209.9741969276</v>
      </c>
    </row>
    <row r="67" customFormat="false" ht="13.5" hidden="false" customHeight="true" outlineLevel="0" collapsed="false">
      <c r="A67" s="13" t="s">
        <v>745</v>
      </c>
      <c r="C67" s="138" t="n">
        <f aca="false">C62</f>
        <v>-0</v>
      </c>
      <c r="D67" s="138" t="n">
        <f aca="false">D62</f>
        <v>-0</v>
      </c>
      <c r="E67" s="138" t="n">
        <f aca="false">E62</f>
        <v>-0</v>
      </c>
      <c r="F67" s="138" t="n">
        <f aca="false">F62</f>
        <v>-0</v>
      </c>
      <c r="G67" s="138" t="n">
        <f aca="false">G62</f>
        <v>-0</v>
      </c>
      <c r="H67" s="138" t="n">
        <f aca="false">H62</f>
        <v>-0</v>
      </c>
      <c r="I67" s="138" t="n">
        <f aca="false">I62</f>
        <v>-0</v>
      </c>
      <c r="J67" s="138" t="n">
        <f aca="false">J62</f>
        <v>-0</v>
      </c>
      <c r="K67" s="138" t="n">
        <f aca="false">K62</f>
        <v>-457.442290069303</v>
      </c>
      <c r="L67" s="138" t="n">
        <f aca="false">L62</f>
        <v>-1010.13603904972</v>
      </c>
      <c r="M67" s="138" t="n">
        <f aca="false">M62</f>
        <v>-1443.24617549039</v>
      </c>
      <c r="N67" s="138" t="n">
        <f aca="false">N62</f>
        <v>-1966.17619261313</v>
      </c>
      <c r="O67" s="138" t="n">
        <f aca="false">O62</f>
        <v>-1722.61239989485</v>
      </c>
      <c r="P67" s="138" t="n">
        <f aca="false">P62</f>
        <v>-1868.79686467741</v>
      </c>
      <c r="Q67" s="138" t="n">
        <f aca="false">Q62</f>
        <v>-2353.81253385016</v>
      </c>
      <c r="R67" s="138" t="n">
        <f aca="false">R62</f>
        <v>-2838.82820302291</v>
      </c>
      <c r="S67" s="138" t="n">
        <f aca="false">S62</f>
        <v>-1228.26537487056</v>
      </c>
      <c r="T67" s="138" t="n">
        <f aca="false">T62</f>
        <v>-3808.85954136841</v>
      </c>
      <c r="U67" s="138" t="n">
        <f aca="false">U62</f>
        <v>-3954.11117054117</v>
      </c>
      <c r="V67" s="138" t="n">
        <f aca="false">V62</f>
        <v>-4039.40443971392</v>
      </c>
      <c r="W67" s="138" t="n">
        <f aca="false">W62</f>
        <v>-4524.42010888667</v>
      </c>
      <c r="X67" s="138" t="n">
        <f aca="false">X62</f>
        <v>-4922.11031940705</v>
      </c>
      <c r="Y67" s="138" t="n">
        <f aca="false">Y62</f>
        <v>-5319.80052992743</v>
      </c>
      <c r="Z67" s="138" t="n">
        <f aca="false">Z62</f>
        <v>-5686.00037386187</v>
      </c>
      <c r="AA67" s="138" t="n">
        <f aca="false">AA62</f>
        <v>-5643.25608012888</v>
      </c>
      <c r="AB67" s="138" t="n">
        <f aca="false">AB62</f>
        <v>-5557.11962385671</v>
      </c>
      <c r="AC67" s="138" t="n">
        <f aca="false">AC62</f>
        <v>-5820.94012878455</v>
      </c>
      <c r="AD67" s="138" t="n">
        <f aca="false">AD62</f>
        <v>-6084.76063371238</v>
      </c>
      <c r="AE67" s="138" t="n">
        <f aca="false">AE62</f>
        <v>-3438.54090712242</v>
      </c>
      <c r="AF67" s="138" t="n">
        <f aca="false">AF62</f>
        <v>-6612.40164356806</v>
      </c>
      <c r="AG67" s="138" t="n">
        <f aca="false">AG62</f>
        <v>-6876.22214849589</v>
      </c>
      <c r="AH67" s="138" t="n">
        <f aca="false">AH62</f>
        <v>-7140.04265342373</v>
      </c>
      <c r="AI67" s="138" t="n">
        <f aca="false">AI62</f>
        <v>-7403.86315835156</v>
      </c>
      <c r="AJ67" s="138" t="n">
        <f aca="false">AJ62</f>
        <v>-7667.6836632794</v>
      </c>
      <c r="AK67" s="138" t="n">
        <f aca="false">AK62</f>
        <v>-7931.50416820724</v>
      </c>
      <c r="AL67" s="138" t="n">
        <f aca="false">AL62</f>
        <v>-7845.36771193507</v>
      </c>
      <c r="AM67" s="138" t="n">
        <f aca="false">AM62</f>
        <v>-12919.0508953315</v>
      </c>
      <c r="AN67" s="138" t="n">
        <f aca="false">AN62</f>
        <v>-13358.7517368779</v>
      </c>
      <c r="AO67" s="138" t="n">
        <f aca="false">AO62</f>
        <v>-13798.4525784243</v>
      </c>
      <c r="AP67" s="138" t="n">
        <f aca="false">AP62</f>
        <v>-14238.1534199707</v>
      </c>
      <c r="AQ67" s="138" t="n">
        <f aca="false">AQ62</f>
        <v>-9827.78720898742</v>
      </c>
      <c r="AR67" s="138" t="n">
        <f aca="false">AR62</f>
        <v>-15117.5551030635</v>
      </c>
      <c r="AS67" s="138" t="n">
        <f aca="false">AS62</f>
        <v>-15118.9439919524</v>
      </c>
      <c r="AT67" s="138" t="n">
        <f aca="false">AT62</f>
        <v>-15120.3328808413</v>
      </c>
      <c r="AU67" s="138" t="n">
        <f aca="false">AU62</f>
        <v>-15121.7217697302</v>
      </c>
      <c r="AV67" s="138" t="n">
        <f aca="false">AV62</f>
        <v>-15123.110658619</v>
      </c>
      <c r="AW67" s="138" t="n">
        <f aca="false">AW62</f>
        <v>-15124.4995475079</v>
      </c>
      <c r="AX67" s="138" t="n">
        <f aca="false">AX62</f>
        <v>-15125.8884363968</v>
      </c>
      <c r="AY67" s="138" t="n">
        <f aca="false">AY62</f>
        <v>-14527.6796418625</v>
      </c>
      <c r="AZ67" s="138" t="n">
        <f aca="false">AZ62</f>
        <v>-14529.0685307514</v>
      </c>
      <c r="BA67" s="138" t="n">
        <f aca="false">BA62</f>
        <v>-14530.4574196403</v>
      </c>
      <c r="BB67" s="138" t="n">
        <f aca="false">BB62</f>
        <v>-14531.8463085292</v>
      </c>
      <c r="BC67" s="138" t="n">
        <f aca="false">BC62</f>
        <v>-9683.16814488839</v>
      </c>
      <c r="BD67" s="138" t="n">
        <f aca="false">BD62</f>
        <v>-14534.624086307</v>
      </c>
      <c r="BE67" s="138" t="n">
        <f aca="false">BE62</f>
        <v>-14536.0129751958</v>
      </c>
      <c r="BF67" s="138" t="n">
        <f aca="false">BF62</f>
        <v>-14537.4018640847</v>
      </c>
      <c r="BG67" s="138" t="n">
        <f aca="false">BG62</f>
        <v>-14538.7907529736</v>
      </c>
      <c r="BH67" s="138" t="n">
        <f aca="false">BH62</f>
        <v>-14540.1796418625</v>
      </c>
      <c r="BI67" s="138" t="n">
        <f aca="false">BI62</f>
        <v>-14541.5685307514</v>
      </c>
      <c r="BJ67" s="138" t="n">
        <f aca="false">BJ62</f>
        <v>-14542.9574196403</v>
      </c>
      <c r="BK67" s="138" t="n">
        <f aca="false">BK62</f>
        <v>-13941.3136946033</v>
      </c>
      <c r="BL67" s="138" t="n">
        <f aca="false">BL62</f>
        <v>-13942.7025834922</v>
      </c>
      <c r="BM67" s="138" t="n">
        <f aca="false">BM62</f>
        <v>-13944.0914723811</v>
      </c>
      <c r="BN67" s="138" t="n">
        <f aca="false">BN62</f>
        <v>-13945.4803612699</v>
      </c>
      <c r="BO67" s="138" t="n">
        <f aca="false">BO62</f>
        <v>-9096.80219762916</v>
      </c>
      <c r="BP67" s="138" t="n">
        <f aca="false">BP62</f>
        <v>-13948.2581390477</v>
      </c>
      <c r="BQ67" s="138" t="n">
        <f aca="false">BQ62</f>
        <v>-13949.6470279366</v>
      </c>
      <c r="BR67" s="138" t="n">
        <f aca="false">BR62</f>
        <v>-13951.0359168255</v>
      </c>
      <c r="BS67" s="138" t="n">
        <f aca="false">BS62</f>
        <v>-13952.4248057144</v>
      </c>
      <c r="BT67" s="138" t="n">
        <f aca="false">BT62</f>
        <v>-13953.8136946033</v>
      </c>
      <c r="BU67" s="138" t="n">
        <f aca="false">BU62</f>
        <v>-13955.2025834922</v>
      </c>
      <c r="BV67" s="138" t="n">
        <f aca="false">BV62</f>
        <v>-13956.5914723811</v>
      </c>
      <c r="BW67" s="138" t="n">
        <f aca="false">BW62</f>
        <v>-13351.4097689263</v>
      </c>
      <c r="BX67" s="138" t="n">
        <f aca="false">BX62</f>
        <v>-13352.7986578152</v>
      </c>
      <c r="BY67" s="138" t="n">
        <f aca="false">BY62</f>
        <v>-13354.187546704</v>
      </c>
      <c r="BZ67" s="138" t="n">
        <f aca="false">BZ62</f>
        <v>-13355.5764355929</v>
      </c>
      <c r="CA67" s="138" t="n">
        <f aca="false">CA62</f>
        <v>-8506.89827195216</v>
      </c>
      <c r="CB67" s="138" t="n">
        <f aca="false">CB62</f>
        <v>-13358.3542133707</v>
      </c>
      <c r="CC67" s="138" t="n">
        <f aca="false">CC62</f>
        <v>-13359.7431022596</v>
      </c>
      <c r="CD67" s="138" t="n">
        <f aca="false">CD62</f>
        <v>-13361.1319911485</v>
      </c>
      <c r="CE67" s="138" t="n">
        <f aca="false">CE62</f>
        <v>-13362.5208800374</v>
      </c>
      <c r="CF67" s="138" t="n">
        <f aca="false">CF62</f>
        <v>-13363.9097689263</v>
      </c>
      <c r="CG67" s="138" t="n">
        <f aca="false">CG62</f>
        <v>-13365.2986578152</v>
      </c>
      <c r="CH67" s="138" t="n">
        <f aca="false">CH62</f>
        <v>-13366.687546704</v>
      </c>
    </row>
    <row r="68" customFormat="false" ht="13.5" hidden="false" customHeight="true" outlineLevel="0" collapsed="false">
      <c r="A68" s="13" t="s">
        <v>746</v>
      </c>
      <c r="C68" s="139" t="n">
        <f aca="false">C212+C213</f>
        <v>2089.96908604054</v>
      </c>
      <c r="D68" s="139" t="n">
        <f aca="false">D212+D213</f>
        <v>4250.40817208108</v>
      </c>
      <c r="E68" s="139" t="n">
        <f aca="false">E212+E213</f>
        <v>7492.36600812162</v>
      </c>
      <c r="F68" s="139" t="n">
        <f aca="false">F212+F213</f>
        <v>9804.51134416216</v>
      </c>
      <c r="G68" s="139" t="n">
        <f aca="false">G212+G213</f>
        <v>7115.5211895304</v>
      </c>
      <c r="H68" s="139" t="n">
        <f aca="false">H212+H213</f>
        <v>14933.8370162432</v>
      </c>
      <c r="I68" s="139" t="n">
        <f aca="false">I212+I213</f>
        <v>17924.5833711081</v>
      </c>
      <c r="J68" s="139" t="n">
        <f aca="false">J212+J213</f>
        <v>22771.0580648108</v>
      </c>
      <c r="K68" s="139" t="n">
        <f aca="false">K212+K213</f>
        <v>27617.5327585135</v>
      </c>
      <c r="L68" s="139" t="n">
        <f aca="false">L212+L213</f>
        <v>32464.0074522162</v>
      </c>
      <c r="M68" s="139" t="n">
        <f aca="false">M212+M213</f>
        <v>36228.9633959189</v>
      </c>
      <c r="N68" s="139" t="n">
        <f aca="false">N212+N213</f>
        <v>40874.7943396216</v>
      </c>
      <c r="O68" s="139" t="n">
        <f aca="false">O212+O213</f>
        <v>45520.6252833243</v>
      </c>
      <c r="P68" s="139" t="n">
        <f aca="false">P212+P213</f>
        <v>49849.341227027</v>
      </c>
      <c r="Q68" s="139" t="n">
        <f aca="false">Q212+Q213</f>
        <v>54178.0571707297</v>
      </c>
      <c r="R68" s="139" t="n">
        <f aca="false">R212+R213</f>
        <v>58506.7731144325</v>
      </c>
      <c r="S68" s="139" t="n">
        <f aca="false">S212+S213</f>
        <v>46071.2263898493</v>
      </c>
      <c r="T68" s="139" t="n">
        <f aca="false">T212+T213</f>
        <v>67164.2050018378</v>
      </c>
      <c r="U68" s="139" t="n">
        <f aca="false">U212+U213</f>
        <v>71492.9209455405</v>
      </c>
      <c r="V68" s="139" t="n">
        <f aca="false">V212+V213</f>
        <v>75821.6368892433</v>
      </c>
      <c r="W68" s="139" t="n">
        <f aca="false">W212+W213</f>
        <v>80150.352832946</v>
      </c>
      <c r="X68" s="139" t="n">
        <f aca="false">X212+X213</f>
        <v>83598.1937766487</v>
      </c>
      <c r="Y68" s="139" t="n">
        <f aca="false">Y212+Y213</f>
        <v>87046.0347203514</v>
      </c>
      <c r="Z68" s="139" t="n">
        <f aca="false">Z212+Z213</f>
        <v>90165.0156640541</v>
      </c>
      <c r="AA68" s="139" t="n">
        <f aca="false">AA212+AA213</f>
        <v>92433.1280781892</v>
      </c>
      <c r="AB68" s="139" t="n">
        <f aca="false">AB212+AB213</f>
        <v>94701.2404923243</v>
      </c>
      <c r="AC68" s="139" t="n">
        <f aca="false">AC212+AC213</f>
        <v>96969.3529064595</v>
      </c>
      <c r="AD68" s="139" t="n">
        <f aca="false">AD212+AD213</f>
        <v>99237.4653205946</v>
      </c>
      <c r="AE68" s="139" t="n">
        <f aca="false">AE212+AE213</f>
        <v>77838.3833795027</v>
      </c>
      <c r="AF68" s="139" t="n">
        <f aca="false">AF212+AF213</f>
        <v>103773.690148865</v>
      </c>
      <c r="AG68" s="139" t="n">
        <f aca="false">AG212+AG213</f>
        <v>106041.802563</v>
      </c>
      <c r="AH68" s="139" t="n">
        <f aca="false">AH212+AH213</f>
        <v>108309.914977135</v>
      </c>
      <c r="AI68" s="139" t="n">
        <f aca="false">AI212+AI213</f>
        <v>110578.02739127</v>
      </c>
      <c r="AJ68" s="139" t="n">
        <f aca="false">AJ212+AJ213</f>
        <v>112846.139805405</v>
      </c>
      <c r="AK68" s="139" t="n">
        <f aca="false">AK212+AK213</f>
        <v>115114.252219541</v>
      </c>
      <c r="AL68" s="139" t="n">
        <f aca="false">AL212+AL213</f>
        <v>117382.364633676</v>
      </c>
      <c r="AM68" s="139" t="n">
        <f aca="false">AM212+AM213</f>
        <v>119650.477047811</v>
      </c>
      <c r="AN68" s="139" t="n">
        <f aca="false">AN212+AN213</f>
        <v>121918.589461946</v>
      </c>
      <c r="AO68" s="139" t="n">
        <f aca="false">AO212+AO213</f>
        <v>124186.701876081</v>
      </c>
      <c r="AP68" s="139" t="n">
        <f aca="false">AP212+AP213</f>
        <v>126454.814290216</v>
      </c>
      <c r="AQ68" s="139" t="n">
        <f aca="false">AQ212+AQ213</f>
        <v>105055.732349124</v>
      </c>
      <c r="AR68" s="139" t="n">
        <f aca="false">AR212+AR213</f>
        <v>130991.039118487</v>
      </c>
      <c r="AS68" s="139" t="n">
        <f aca="false">AS212+AS213</f>
        <v>130991.039118487</v>
      </c>
      <c r="AT68" s="139" t="n">
        <f aca="false">AT212+AT213</f>
        <v>130991.039118487</v>
      </c>
      <c r="AU68" s="139" t="n">
        <f aca="false">AU212+AU213</f>
        <v>130991.039118487</v>
      </c>
      <c r="AV68" s="139" t="n">
        <f aca="false">AV212+AV213</f>
        <v>130991.039118487</v>
      </c>
      <c r="AW68" s="139" t="n">
        <f aca="false">AW212+AW213</f>
        <v>130991.039118487</v>
      </c>
      <c r="AX68" s="139" t="n">
        <f aca="false">AX212+AX213</f>
        <v>130991.039118487</v>
      </c>
      <c r="AY68" s="139" t="n">
        <f aca="false">AY212+AY213</f>
        <v>130991.039118487</v>
      </c>
      <c r="AZ68" s="139" t="n">
        <f aca="false">AZ212+AZ213</f>
        <v>130991.039118487</v>
      </c>
      <c r="BA68" s="139" t="n">
        <f aca="false">BA212+BA213</f>
        <v>130991.039118487</v>
      </c>
      <c r="BB68" s="139" t="n">
        <f aca="false">BB212+BB213</f>
        <v>130991.039118487</v>
      </c>
      <c r="BC68" s="139" t="n">
        <f aca="false">BC212+BC213</f>
        <v>107323.844763259</v>
      </c>
      <c r="BD68" s="139" t="n">
        <f aca="false">BD212+BD213</f>
        <v>130991.039118487</v>
      </c>
      <c r="BE68" s="139" t="n">
        <f aca="false">BE212+BE213</f>
        <v>130991.039118487</v>
      </c>
      <c r="BF68" s="139" t="n">
        <f aca="false">BF212+BF213</f>
        <v>130991.039118487</v>
      </c>
      <c r="BG68" s="139" t="n">
        <f aca="false">BG212+BG213</f>
        <v>130991.039118487</v>
      </c>
      <c r="BH68" s="139" t="n">
        <f aca="false">BH212+BH213</f>
        <v>130991.039118487</v>
      </c>
      <c r="BI68" s="139" t="n">
        <f aca="false">BI212+BI213</f>
        <v>130991.039118487</v>
      </c>
      <c r="BJ68" s="139" t="n">
        <f aca="false">BJ212+BJ213</f>
        <v>130991.039118487</v>
      </c>
      <c r="BK68" s="139" t="n">
        <f aca="false">BK212+BK213</f>
        <v>130991.039118487</v>
      </c>
      <c r="BL68" s="139" t="n">
        <f aca="false">BL212+BL213</f>
        <v>130991.039118487</v>
      </c>
      <c r="BM68" s="139" t="n">
        <f aca="false">BM212+BM213</f>
        <v>130991.039118487</v>
      </c>
      <c r="BN68" s="139" t="n">
        <f aca="false">BN212+BN213</f>
        <v>130991.039118487</v>
      </c>
      <c r="BO68" s="139" t="n">
        <f aca="false">BO212+BO213</f>
        <v>107323.844763259</v>
      </c>
      <c r="BP68" s="139" t="n">
        <f aca="false">BP212+BP213</f>
        <v>130991.039118487</v>
      </c>
      <c r="BQ68" s="139" t="n">
        <f aca="false">BQ212+BQ213</f>
        <v>130991.039118487</v>
      </c>
      <c r="BR68" s="139" t="n">
        <f aca="false">BR212+BR213</f>
        <v>130991.039118487</v>
      </c>
      <c r="BS68" s="139" t="n">
        <f aca="false">BS212+BS213</f>
        <v>130991.039118487</v>
      </c>
      <c r="BT68" s="139" t="n">
        <f aca="false">BT212+BT213</f>
        <v>130991.039118487</v>
      </c>
      <c r="BU68" s="139" t="n">
        <f aca="false">BU212+BU213</f>
        <v>130991.039118487</v>
      </c>
      <c r="BV68" s="139" t="n">
        <f aca="false">BV212+BV213</f>
        <v>130991.039118487</v>
      </c>
      <c r="BW68" s="139" t="n">
        <f aca="false">BW212+BW213</f>
        <v>130991.039118487</v>
      </c>
      <c r="BX68" s="139" t="n">
        <f aca="false">BX212+BX213</f>
        <v>130991.039118487</v>
      </c>
      <c r="BY68" s="139" t="n">
        <f aca="false">BY212+BY213</f>
        <v>130991.039118487</v>
      </c>
      <c r="BZ68" s="139" t="n">
        <f aca="false">BZ212+BZ213</f>
        <v>130991.039118487</v>
      </c>
      <c r="CA68" s="139" t="n">
        <f aca="false">CA212+CA213</f>
        <v>107323.844763259</v>
      </c>
      <c r="CB68" s="139" t="n">
        <f aca="false">CB212+CB213</f>
        <v>130991.039118487</v>
      </c>
      <c r="CC68" s="139" t="n">
        <f aca="false">CC212+CC213</f>
        <v>130991.039118487</v>
      </c>
      <c r="CD68" s="139" t="n">
        <f aca="false">CD212+CD213</f>
        <v>130991.039118487</v>
      </c>
      <c r="CE68" s="139" t="n">
        <f aca="false">CE212+CE213</f>
        <v>130991.039118487</v>
      </c>
      <c r="CF68" s="139" t="n">
        <f aca="false">CF212+CF213</f>
        <v>130991.039118487</v>
      </c>
      <c r="CG68" s="139" t="n">
        <f aca="false">CG212+CG213</f>
        <v>130991.039118487</v>
      </c>
      <c r="CH68" s="139" t="n">
        <f aca="false">CH212+CH213</f>
        <v>130991.039118487</v>
      </c>
    </row>
    <row r="69" customFormat="false" ht="13.5" hidden="false" customHeight="true" outlineLevel="0" collapsed="false">
      <c r="A69" s="13" t="s">
        <v>747</v>
      </c>
      <c r="C69" s="139" t="n">
        <f aca="false">-C39*Hipótesis!$F$67/30</f>
        <v>200.135291643458</v>
      </c>
      <c r="D69" s="139" t="n">
        <f aca="false">-D39*Hipótesis!$F$67/30</f>
        <v>415.244319504708</v>
      </c>
      <c r="E69" s="139" t="n">
        <f aca="false">-E39*Hipótesis!$F$67/30</f>
        <v>845.503705473355</v>
      </c>
      <c r="F69" s="139" t="n">
        <f aca="false">-F39*Hipótesis!$F$67/30</f>
        <v>1139.12054805357</v>
      </c>
      <c r="G69" s="139" t="n">
        <f aca="false">-G39*Hipótesis!$F$67/30</f>
        <v>1147.91947433213</v>
      </c>
      <c r="H69" s="139" t="n">
        <f aca="false">-H39*Hipótesis!$F$67/30</f>
        <v>1867.9808216073</v>
      </c>
      <c r="I69" s="139" t="n">
        <f aca="false">-I39*Hipótesis!$F$67/30</f>
        <v>2337.52140949397</v>
      </c>
      <c r="J69" s="139" t="n">
        <f aca="false">-J39*Hipótesis!$F$67/30</f>
        <v>3154.88356989729</v>
      </c>
      <c r="K69" s="139" t="n">
        <f aca="false">-K39*Hipótesis!$F$67/30</f>
        <v>3972.24573030062</v>
      </c>
      <c r="L69" s="139" t="n">
        <f aca="false">-L39*Hipótesis!$F$67/30</f>
        <v>4789.60789070394</v>
      </c>
      <c r="M69" s="139" t="n">
        <f aca="false">-M39*Hipótesis!$F$67/30</f>
        <v>5391.81969299987</v>
      </c>
      <c r="N69" s="139" t="n">
        <f aca="false">-N39*Hipótesis!$F$67/30</f>
        <v>6243.59376559235</v>
      </c>
      <c r="O69" s="139" t="n">
        <f aca="false">-O39*Hipótesis!$F$67/30</f>
        <v>7095.36783818482</v>
      </c>
      <c r="P69" s="139" t="n">
        <f aca="false">-P39*Hipótesis!$F$67/30</f>
        <v>7875.39275806704</v>
      </c>
      <c r="Q69" s="139" t="n">
        <f aca="false">-Q39*Hipótesis!$F$67/30</f>
        <v>8655.41767794926</v>
      </c>
      <c r="R69" s="139" t="n">
        <f aca="false">-R39*Hipótesis!$F$67/30</f>
        <v>9435.44259783148</v>
      </c>
      <c r="S69" s="139" t="n">
        <f aca="false">-S39*Hipótesis!$F$67/30</f>
        <v>9297.99730542855</v>
      </c>
      <c r="T69" s="139" t="n">
        <f aca="false">-T39*Hipótesis!$F$67/30</f>
        <v>10995.4924375959</v>
      </c>
      <c r="U69" s="139" t="n">
        <f aca="false">-U39*Hipótesis!$F$67/30</f>
        <v>11775.5173574781</v>
      </c>
      <c r="V69" s="139" t="n">
        <f aca="false">-V39*Hipótesis!$F$67/30</f>
        <v>12555.5422773604</v>
      </c>
      <c r="W69" s="139" t="n">
        <f aca="false">-W39*Hipótesis!$F$67/30</f>
        <v>13335.5671972426</v>
      </c>
      <c r="X69" s="139" t="n">
        <f aca="false">-X39*Hipótesis!$F$67/30</f>
        <v>13866.0298468282</v>
      </c>
      <c r="Y69" s="139" t="n">
        <f aca="false">-Y39*Hipótesis!$F$67/30</f>
        <v>14396.4924964139</v>
      </c>
      <c r="Z69" s="139" t="n">
        <f aca="false">-Z39*Hipótesis!$F$67/30</f>
        <v>14827.130237881</v>
      </c>
      <c r="AA69" s="139" t="n">
        <f aca="false">-AA39*Hipótesis!$F$67/30</f>
        <v>15252.2454931791</v>
      </c>
      <c r="AB69" s="139" t="n">
        <f aca="false">-AB39*Hipótesis!$F$67/30</f>
        <v>15677.3607484772</v>
      </c>
      <c r="AC69" s="139" t="n">
        <f aca="false">-AC39*Hipótesis!$F$67/30</f>
        <v>16102.4760037754</v>
      </c>
      <c r="AD69" s="139" t="n">
        <f aca="false">-AD39*Hipótesis!$F$67/30</f>
        <v>16527.5912590735</v>
      </c>
      <c r="AE69" s="139" t="n">
        <f aca="false">-AE39*Hipótesis!$F$67/30</f>
        <v>15657.4544499691</v>
      </c>
      <c r="AF69" s="139" t="n">
        <f aca="false">-AF39*Hipótesis!$F$67/30</f>
        <v>17377.8217696698</v>
      </c>
      <c r="AG69" s="139" t="n">
        <f aca="false">-AG39*Hipótesis!$F$67/30</f>
        <v>17802.9370249679</v>
      </c>
      <c r="AH69" s="139" t="n">
        <f aca="false">-AH39*Hipótesis!$F$67/30</f>
        <v>18228.052280266</v>
      </c>
      <c r="AI69" s="139" t="n">
        <f aca="false">-AI39*Hipótesis!$F$67/30</f>
        <v>18653.1675355642</v>
      </c>
      <c r="AJ69" s="139" t="n">
        <f aca="false">-AJ39*Hipótesis!$F$67/30</f>
        <v>19078.2827908623</v>
      </c>
      <c r="AK69" s="139" t="n">
        <f aca="false">-AK39*Hipótesis!$F$67/30</f>
        <v>19503.3980461604</v>
      </c>
      <c r="AL69" s="139" t="n">
        <f aca="false">-AL39*Hipótesis!$F$67/30</f>
        <v>19928.5133014586</v>
      </c>
      <c r="AM69" s="139" t="n">
        <f aca="false">-AM39*Hipótesis!$F$67/30</f>
        <v>20353.6285567567</v>
      </c>
      <c r="AN69" s="139" t="n">
        <f aca="false">-AN39*Hipótesis!$F$67/30</f>
        <v>20778.7438120548</v>
      </c>
      <c r="AO69" s="139" t="n">
        <f aca="false">-AO39*Hipótesis!$F$67/30</f>
        <v>21203.859067353</v>
      </c>
      <c r="AP69" s="139" t="n">
        <f aca="false">-AP39*Hipótesis!$F$67/30</f>
        <v>21628.9743226511</v>
      </c>
      <c r="AQ69" s="139" t="n">
        <f aca="false">-AQ39*Hipótesis!$F$67/30</f>
        <v>20758.8375135467</v>
      </c>
      <c r="AR69" s="139" t="n">
        <f aca="false">-AR39*Hipótesis!$F$67/30</f>
        <v>22479.2048332474</v>
      </c>
      <c r="AS69" s="139" t="n">
        <f aca="false">-AS39*Hipótesis!$F$67/30</f>
        <v>22479.2048332474</v>
      </c>
      <c r="AT69" s="139" t="n">
        <f aca="false">-AT39*Hipótesis!$F$67/30</f>
        <v>22479.2048332474</v>
      </c>
      <c r="AU69" s="139" t="n">
        <f aca="false">-AU39*Hipótesis!$F$67/30</f>
        <v>22479.2048332474</v>
      </c>
      <c r="AV69" s="139" t="n">
        <f aca="false">-AV39*Hipótesis!$F$67/30</f>
        <v>22479.2048332474</v>
      </c>
      <c r="AW69" s="139" t="n">
        <f aca="false">-AW39*Hipótesis!$F$67/30</f>
        <v>22479.2048332474</v>
      </c>
      <c r="AX69" s="139" t="n">
        <f aca="false">-AX39*Hipótesis!$F$67/30</f>
        <v>22479.2048332474</v>
      </c>
      <c r="AY69" s="139" t="n">
        <f aca="false">-AY39*Hipótesis!$F$67/30</f>
        <v>22479.2048332474</v>
      </c>
      <c r="AZ69" s="139" t="n">
        <f aca="false">-AZ39*Hipótesis!$F$67/30</f>
        <v>22479.2048332474</v>
      </c>
      <c r="BA69" s="139" t="n">
        <f aca="false">-BA39*Hipótesis!$F$67/30</f>
        <v>22479.2048332474</v>
      </c>
      <c r="BB69" s="139" t="n">
        <f aca="false">-BB39*Hipótesis!$F$67/30</f>
        <v>22479.2048332474</v>
      </c>
      <c r="BC69" s="139" t="n">
        <f aca="false">-BC39*Hipótesis!$F$67/30</f>
        <v>21183.9527688448</v>
      </c>
      <c r="BD69" s="139" t="n">
        <f aca="false">-BD39*Hipótesis!$F$67/30</f>
        <v>22479.2048332474</v>
      </c>
      <c r="BE69" s="139" t="n">
        <f aca="false">-BE39*Hipótesis!$F$67/30</f>
        <v>22479.2048332474</v>
      </c>
      <c r="BF69" s="139" t="n">
        <f aca="false">-BF39*Hipótesis!$F$67/30</f>
        <v>22479.2048332474</v>
      </c>
      <c r="BG69" s="139" t="n">
        <f aca="false">-BG39*Hipótesis!$F$67/30</f>
        <v>22479.2048332474</v>
      </c>
      <c r="BH69" s="139" t="n">
        <f aca="false">-BH39*Hipótesis!$F$67/30</f>
        <v>22479.2048332474</v>
      </c>
      <c r="BI69" s="139" t="n">
        <f aca="false">-BI39*Hipótesis!$F$67/30</f>
        <v>22479.2048332474</v>
      </c>
      <c r="BJ69" s="139" t="n">
        <f aca="false">-BJ39*Hipótesis!$F$67/30</f>
        <v>22479.2048332474</v>
      </c>
      <c r="BK69" s="139" t="n">
        <f aca="false">-BK39*Hipótesis!$F$67/30</f>
        <v>22479.2048332474</v>
      </c>
      <c r="BL69" s="139" t="n">
        <f aca="false">-BL39*Hipótesis!$F$67/30</f>
        <v>22479.2048332474</v>
      </c>
      <c r="BM69" s="139" t="n">
        <f aca="false">-BM39*Hipótesis!$F$67/30</f>
        <v>22479.2048332474</v>
      </c>
      <c r="BN69" s="139" t="n">
        <f aca="false">-BN39*Hipótesis!$F$67/30</f>
        <v>22479.2048332474</v>
      </c>
      <c r="BO69" s="139" t="n">
        <f aca="false">-BO39*Hipótesis!$F$67/30</f>
        <v>21183.9527688448</v>
      </c>
      <c r="BP69" s="139" t="n">
        <f aca="false">-BP39*Hipótesis!$F$67/30</f>
        <v>22479.2048332474</v>
      </c>
      <c r="BQ69" s="139" t="n">
        <f aca="false">-BQ39*Hipótesis!$F$67/30</f>
        <v>22479.2048332474</v>
      </c>
      <c r="BR69" s="139" t="n">
        <f aca="false">-BR39*Hipótesis!$F$67/30</f>
        <v>22479.2048332474</v>
      </c>
      <c r="BS69" s="139" t="n">
        <f aca="false">-BS39*Hipótesis!$F$67/30</f>
        <v>22479.2048332474</v>
      </c>
      <c r="BT69" s="139" t="n">
        <f aca="false">-BT39*Hipótesis!$F$67/30</f>
        <v>22479.2048332474</v>
      </c>
      <c r="BU69" s="139" t="n">
        <f aca="false">-BU39*Hipótesis!$F$67/30</f>
        <v>22479.2048332474</v>
      </c>
      <c r="BV69" s="139" t="n">
        <f aca="false">-BV39*Hipótesis!$F$67/30</f>
        <v>22479.2048332474</v>
      </c>
      <c r="BW69" s="139" t="n">
        <f aca="false">-BW39*Hipótesis!$F$67/30</f>
        <v>22479.2048332474</v>
      </c>
      <c r="BX69" s="139" t="n">
        <f aca="false">-BX39*Hipótesis!$F$67/30</f>
        <v>22479.2048332474</v>
      </c>
      <c r="BY69" s="139" t="n">
        <f aca="false">-BY39*Hipótesis!$F$67/30</f>
        <v>22479.2048332474</v>
      </c>
      <c r="BZ69" s="139" t="n">
        <f aca="false">-BZ39*Hipótesis!$F$67/30</f>
        <v>22479.2048332474</v>
      </c>
      <c r="CA69" s="139" t="n">
        <f aca="false">-CA39*Hipótesis!$F$67/30</f>
        <v>21183.9527688448</v>
      </c>
      <c r="CB69" s="139" t="n">
        <f aca="false">-CB39*Hipótesis!$F$67/30</f>
        <v>22479.2048332474</v>
      </c>
      <c r="CC69" s="139" t="n">
        <f aca="false">-CC39*Hipótesis!$F$67/30</f>
        <v>22479.2048332474</v>
      </c>
      <c r="CD69" s="139" t="n">
        <f aca="false">-CD39*Hipótesis!$F$67/30</f>
        <v>22479.2048332474</v>
      </c>
      <c r="CE69" s="139" t="n">
        <f aca="false">-CE39*Hipótesis!$F$67/30</f>
        <v>22479.2048332474</v>
      </c>
      <c r="CF69" s="139" t="n">
        <f aca="false">-CF39*Hipótesis!$F$67/30</f>
        <v>22479.2048332474</v>
      </c>
      <c r="CG69" s="139" t="n">
        <f aca="false">-CG39*Hipótesis!$F$67/30</f>
        <v>22479.2048332474</v>
      </c>
      <c r="CH69" s="139" t="n">
        <f aca="false">-CH39*Hipótesis!$F$67/30</f>
        <v>22479.2048332474</v>
      </c>
    </row>
    <row r="70" customFormat="false" ht="13.5" hidden="false" customHeight="true" outlineLevel="0" collapsed="false">
      <c r="A70" s="30" t="s">
        <v>748</v>
      </c>
      <c r="C70" s="139" t="n">
        <f aca="false">C212*(1-Hipótesis!$D$73)+C213-C69</f>
        <v>1331.94629439708</v>
      </c>
      <c r="D70" s="139" t="n">
        <f aca="false">D212*(1-Hipótesis!$D$73)+D213-D69</f>
        <v>2677.10685257637</v>
      </c>
      <c r="E70" s="139" t="n">
        <f aca="false">E212*(1-Hipótesis!$D$73)+E213-E69</f>
        <v>4239.72455264827</v>
      </c>
      <c r="F70" s="139" t="n">
        <f aca="false">F212*(1-Hipótesis!$D$73)+F213-F69</f>
        <v>5567.05979610859</v>
      </c>
      <c r="G70" s="139" t="n">
        <f aca="false">G212*(1-Hipótesis!$D$73)+G213-G69</f>
        <v>2220.35946519828</v>
      </c>
      <c r="H70" s="139" t="n">
        <f aca="false">H212*(1-Hipótesis!$D$73)+H213-H69</f>
        <v>8282.11769463595</v>
      </c>
      <c r="I70" s="139" t="n">
        <f aca="false">I212*(1-Hipótesis!$D$73)+I213-I69</f>
        <v>9704.96960031955</v>
      </c>
      <c r="J70" s="139" t="n">
        <f aca="false">J212*(1-Hipótesis!$D$73)+J213-J69</f>
        <v>11522.2912690216</v>
      </c>
      <c r="K70" s="139" t="n">
        <f aca="false">K212*(1-Hipótesis!$D$73)+K213-K69</f>
        <v>13339.6129377237</v>
      </c>
      <c r="L70" s="139" t="n">
        <f aca="false">L212*(1-Hipótesis!$D$73)+L213-L69</f>
        <v>15156.9346064258</v>
      </c>
      <c r="M70" s="139" t="n">
        <f aca="false">M212*(1-Hipótesis!$D$73)+M213-M69</f>
        <v>16756.7991332353</v>
      </c>
      <c r="N70" s="139" t="n">
        <f aca="false">N212*(1-Hipótesis!$D$73)+N213-N69</f>
        <v>18459.4513897482</v>
      </c>
      <c r="O70" s="139" t="n">
        <f aca="false">O212*(1-Hipótesis!$D$73)+O213-O69</f>
        <v>20162.1036462611</v>
      </c>
      <c r="P70" s="139" t="n">
        <f aca="false">P212*(1-Hipótesis!$D$73)+P213-P69</f>
        <v>21809.6590554843</v>
      </c>
      <c r="Q70" s="139" t="n">
        <f aca="false">Q212*(1-Hipótesis!$D$73)+Q213-Q69</f>
        <v>23457.2144647075</v>
      </c>
      <c r="R70" s="139" t="n">
        <f aca="false">R212*(1-Hipótesis!$D$73)+R213-R69</f>
        <v>25104.7698739307</v>
      </c>
      <c r="S70" s="139" t="n">
        <f aca="false">S212*(1-Hipótesis!$D$73)+S213-S69</f>
        <v>10905.5328271532</v>
      </c>
      <c r="T70" s="139" t="n">
        <f aca="false">T212*(1-Hipótesis!$D$73)+T213-T69</f>
        <v>28399.8806923771</v>
      </c>
      <c r="U70" s="139" t="n">
        <f aca="false">U212*(1-Hipótesis!$D$73)+U213-U69</f>
        <v>30047.4361016002</v>
      </c>
      <c r="V70" s="139" t="n">
        <f aca="false">V212*(1-Hipótesis!$D$73)+V213-V69</f>
        <v>31694.9915108234</v>
      </c>
      <c r="W70" s="139" t="n">
        <f aca="false">W212*(1-Hipótesis!$D$73)+W213-W69</f>
        <v>33342.5469200466</v>
      </c>
      <c r="X70" s="139" t="n">
        <f aca="false">X212*(1-Hipótesis!$D$73)+X213-X69</f>
        <v>34887.3145995664</v>
      </c>
      <c r="Y70" s="139" t="n">
        <f aca="false">Y212*(1-Hipótesis!$D$73)+Y213-Y69</f>
        <v>36432.0822790861</v>
      </c>
      <c r="Z70" s="139" t="n">
        <f aca="false">Z212*(1-Hipótesis!$D$73)+Z213-Z69</f>
        <v>37945.1308667244</v>
      </c>
      <c r="AA70" s="139" t="n">
        <f aca="false">AA212*(1-Hipótesis!$D$73)+AA213-AA69</f>
        <v>38427.2605770804</v>
      </c>
      <c r="AB70" s="139" t="n">
        <f aca="false">AB212*(1-Hipótesis!$D$73)+AB213-AB69</f>
        <v>38909.3902874363</v>
      </c>
      <c r="AC70" s="139" t="n">
        <f aca="false">AC212*(1-Hipótesis!$D$73)+AC213-AC69</f>
        <v>39391.5199977922</v>
      </c>
      <c r="AD70" s="139" t="n">
        <f aca="false">AD212*(1-Hipótesis!$D$73)+AD213-AD69</f>
        <v>39873.6497081481</v>
      </c>
      <c r="AE70" s="139" t="n">
        <f aca="false">AE212*(1-Hipótesis!$D$73)+AE213-AE69</f>
        <v>17983.8371276796</v>
      </c>
      <c r="AF70" s="139" t="n">
        <f aca="false">AF212*(1-Hipótesis!$D$73)+AF213-AF69</f>
        <v>40837.90912886</v>
      </c>
      <c r="AG70" s="139" t="n">
        <f aca="false">AG212*(1-Hipótesis!$D$73)+AG213-AG69</f>
        <v>41320.0388392159</v>
      </c>
      <c r="AH70" s="139" t="n">
        <f aca="false">AH212*(1-Hipótesis!$D$73)+AH213-AH69</f>
        <v>41802.1685495718</v>
      </c>
      <c r="AI70" s="139" t="n">
        <f aca="false">AI212*(1-Hipótesis!$D$73)+AI213-AI69</f>
        <v>42284.2982599277</v>
      </c>
      <c r="AJ70" s="139" t="n">
        <f aca="false">AJ212*(1-Hipótesis!$D$73)+AJ213-AJ69</f>
        <v>42766.4279702837</v>
      </c>
      <c r="AK70" s="139" t="n">
        <f aca="false">AK212*(1-Hipótesis!$D$73)+AK213-AK69</f>
        <v>43248.5576806396</v>
      </c>
      <c r="AL70" s="139" t="n">
        <f aca="false">AL212*(1-Hipótesis!$D$73)+AL213-AL69</f>
        <v>43730.6873909955</v>
      </c>
      <c r="AM70" s="139" t="n">
        <f aca="false">AM212*(1-Hipótesis!$D$73)+AM213-AM69</f>
        <v>44212.8171013514</v>
      </c>
      <c r="AN70" s="139" t="n">
        <f aca="false">AN212*(1-Hipótesis!$D$73)+AN213-AN69</f>
        <v>44694.9468117073</v>
      </c>
      <c r="AO70" s="139" t="n">
        <f aca="false">AO212*(1-Hipótesis!$D$73)+AO213-AO69</f>
        <v>45177.0765220633</v>
      </c>
      <c r="AP70" s="139" t="n">
        <f aca="false">AP212*(1-Hipótesis!$D$73)+AP213-AP69</f>
        <v>45659.2062324192</v>
      </c>
      <c r="AQ70" s="139" t="n">
        <f aca="false">AQ212*(1-Hipótesis!$D$73)+AQ213-AQ69</f>
        <v>23769.3936519507</v>
      </c>
      <c r="AR70" s="139" t="n">
        <f aca="false">AR212*(1-Hipótesis!$D$73)+AR213-AR69</f>
        <v>46623.465653131</v>
      </c>
      <c r="AS70" s="139" t="n">
        <f aca="false">AS212*(1-Hipótesis!$D$73)+AS213-AS69</f>
        <v>46623.465653131</v>
      </c>
      <c r="AT70" s="139" t="n">
        <f aca="false">AT212*(1-Hipótesis!$D$73)+AT213-AT69</f>
        <v>46623.465653131</v>
      </c>
      <c r="AU70" s="139" t="n">
        <f aca="false">AU212*(1-Hipótesis!$D$73)+AU213-AU69</f>
        <v>46623.465653131</v>
      </c>
      <c r="AV70" s="139" t="n">
        <f aca="false">AV212*(1-Hipótesis!$D$73)+AV213-AV69</f>
        <v>46623.465653131</v>
      </c>
      <c r="AW70" s="139" t="n">
        <f aca="false">AW212*(1-Hipótesis!$D$73)+AW213-AW69</f>
        <v>46623.465653131</v>
      </c>
      <c r="AX70" s="139" t="n">
        <f aca="false">AX212*(1-Hipótesis!$D$73)+AX213-AX69</f>
        <v>46623.465653131</v>
      </c>
      <c r="AY70" s="139" t="n">
        <f aca="false">AY212*(1-Hipótesis!$D$73)+AY213-AY69</f>
        <v>46623.465653131</v>
      </c>
      <c r="AZ70" s="139" t="n">
        <f aca="false">AZ212*(1-Hipótesis!$D$73)+AZ213-AZ69</f>
        <v>46623.465653131</v>
      </c>
      <c r="BA70" s="139" t="n">
        <f aca="false">BA212*(1-Hipótesis!$D$73)+BA213-BA69</f>
        <v>46623.465653131</v>
      </c>
      <c r="BB70" s="139" t="n">
        <f aca="false">BB212*(1-Hipótesis!$D$73)+BB213-BB69</f>
        <v>46623.465653131</v>
      </c>
      <c r="BC70" s="139" t="n">
        <f aca="false">BC212*(1-Hipótesis!$D$73)+BC213-BC69</f>
        <v>24251.5233623066</v>
      </c>
      <c r="BD70" s="139" t="n">
        <f aca="false">BD212*(1-Hipótesis!$D$73)+BD213-BD69</f>
        <v>46623.465653131</v>
      </c>
      <c r="BE70" s="139" t="n">
        <f aca="false">BE212*(1-Hipótesis!$D$73)+BE213-BE69</f>
        <v>46623.465653131</v>
      </c>
      <c r="BF70" s="139" t="n">
        <f aca="false">BF212*(1-Hipótesis!$D$73)+BF213-BF69</f>
        <v>46623.465653131</v>
      </c>
      <c r="BG70" s="139" t="n">
        <f aca="false">BG212*(1-Hipótesis!$D$73)+BG213-BG69</f>
        <v>46623.465653131</v>
      </c>
      <c r="BH70" s="139" t="n">
        <f aca="false">BH212*(1-Hipótesis!$D$73)+BH213-BH69</f>
        <v>46623.465653131</v>
      </c>
      <c r="BI70" s="139" t="n">
        <f aca="false">BI212*(1-Hipótesis!$D$73)+BI213-BI69</f>
        <v>46623.465653131</v>
      </c>
      <c r="BJ70" s="139" t="n">
        <f aca="false">BJ212*(1-Hipótesis!$D$73)+BJ213-BJ69</f>
        <v>46623.465653131</v>
      </c>
      <c r="BK70" s="139" t="n">
        <f aca="false">BK212*(1-Hipótesis!$D$73)+BK213-BK69</f>
        <v>46623.465653131</v>
      </c>
      <c r="BL70" s="139" t="n">
        <f aca="false">BL212*(1-Hipótesis!$D$73)+BL213-BL69</f>
        <v>46623.465653131</v>
      </c>
      <c r="BM70" s="139" t="n">
        <f aca="false">BM212*(1-Hipótesis!$D$73)+BM213-BM69</f>
        <v>46623.465653131</v>
      </c>
      <c r="BN70" s="139" t="n">
        <f aca="false">BN212*(1-Hipótesis!$D$73)+BN213-BN69</f>
        <v>46623.465653131</v>
      </c>
      <c r="BO70" s="139" t="n">
        <f aca="false">BO212*(1-Hipótesis!$D$73)+BO213-BO69</f>
        <v>24251.5233623066</v>
      </c>
      <c r="BP70" s="139" t="n">
        <f aca="false">BP212*(1-Hipótesis!$D$73)+BP213-BP69</f>
        <v>46623.465653131</v>
      </c>
      <c r="BQ70" s="139" t="n">
        <f aca="false">BQ212*(1-Hipótesis!$D$73)+BQ213-BQ69</f>
        <v>46623.465653131</v>
      </c>
      <c r="BR70" s="139" t="n">
        <f aca="false">BR212*(1-Hipótesis!$D$73)+BR213-BR69</f>
        <v>46623.465653131</v>
      </c>
      <c r="BS70" s="139" t="n">
        <f aca="false">BS212*(1-Hipótesis!$D$73)+BS213-BS69</f>
        <v>46623.465653131</v>
      </c>
      <c r="BT70" s="139" t="n">
        <f aca="false">BT212*(1-Hipótesis!$D$73)+BT213-BT69</f>
        <v>46623.465653131</v>
      </c>
      <c r="BU70" s="139" t="n">
        <f aca="false">BU212*(1-Hipótesis!$D$73)+BU213-BU69</f>
        <v>46623.465653131</v>
      </c>
      <c r="BV70" s="139" t="n">
        <f aca="false">BV212*(1-Hipótesis!$D$73)+BV213-BV69</f>
        <v>46623.465653131</v>
      </c>
      <c r="BW70" s="139" t="n">
        <f aca="false">BW212*(1-Hipótesis!$D$73)+BW213-BW69</f>
        <v>46623.465653131</v>
      </c>
      <c r="BX70" s="139" t="n">
        <f aca="false">BX212*(1-Hipótesis!$D$73)+BX213-BX69</f>
        <v>46623.465653131</v>
      </c>
      <c r="BY70" s="139" t="n">
        <f aca="false">BY212*(1-Hipótesis!$D$73)+BY213-BY69</f>
        <v>46623.465653131</v>
      </c>
      <c r="BZ70" s="139" t="n">
        <f aca="false">BZ212*(1-Hipótesis!$D$73)+BZ213-BZ69</f>
        <v>46623.465653131</v>
      </c>
      <c r="CA70" s="139" t="n">
        <f aca="false">CA212*(1-Hipótesis!$D$73)+CA213-CA69</f>
        <v>24251.5233623066</v>
      </c>
      <c r="CB70" s="139" t="n">
        <f aca="false">CB212*(1-Hipótesis!$D$73)+CB213-CB69</f>
        <v>46623.465653131</v>
      </c>
      <c r="CC70" s="139" t="n">
        <f aca="false">CC212*(1-Hipótesis!$D$73)+CC213-CC69</f>
        <v>46623.465653131</v>
      </c>
      <c r="CD70" s="139" t="n">
        <f aca="false">CD212*(1-Hipótesis!$D$73)+CD213-CD69</f>
        <v>46623.465653131</v>
      </c>
      <c r="CE70" s="139" t="n">
        <f aca="false">CE212*(1-Hipótesis!$D$73)+CE213-CE69</f>
        <v>46623.465653131</v>
      </c>
      <c r="CF70" s="139" t="n">
        <f aca="false">CF212*(1-Hipótesis!$D$73)+CF213-CF69</f>
        <v>46623.465653131</v>
      </c>
      <c r="CG70" s="139" t="n">
        <f aca="false">CG212*(1-Hipótesis!$D$73)+CG213-CG69</f>
        <v>46623.465653131</v>
      </c>
      <c r="CH70" s="139" t="n">
        <f aca="false">CH212*(1-Hipótesis!$D$73)+CH213-CH69</f>
        <v>46623.465653131</v>
      </c>
    </row>
    <row r="71" customFormat="false" ht="13.5" hidden="false" customHeight="true" outlineLevel="0" collapsed="false">
      <c r="A71" s="13" t="s">
        <v>749</v>
      </c>
      <c r="C71" s="138" t="n">
        <f aca="false">-C70</f>
        <v>-1331.94629439708</v>
      </c>
      <c r="D71" s="138" t="n">
        <f aca="false">-(D70-C70)</f>
        <v>-1345.16055817929</v>
      </c>
      <c r="E71" s="138" t="n">
        <f aca="false">-(E70-D70)</f>
        <v>-1562.61770007189</v>
      </c>
      <c r="F71" s="138" t="n">
        <f aca="false">-(F70-E70)</f>
        <v>-1327.33524346032</v>
      </c>
      <c r="G71" s="138" t="n">
        <f aca="false">-(G70-F70)</f>
        <v>3346.70033091031</v>
      </c>
      <c r="H71" s="138" t="n">
        <f aca="false">-(H70-G70)</f>
        <v>-6061.75822943767</v>
      </c>
      <c r="I71" s="138" t="n">
        <f aca="false">-(I70-H70)</f>
        <v>-1422.8519056836</v>
      </c>
      <c r="J71" s="138" t="n">
        <f aca="false">-(J70-I70)</f>
        <v>-1817.32166870208</v>
      </c>
      <c r="K71" s="138" t="n">
        <f aca="false">-(K70-J70)</f>
        <v>-1817.32166870208</v>
      </c>
      <c r="L71" s="138" t="n">
        <f aca="false">-(L70-K70)</f>
        <v>-1817.32166870208</v>
      </c>
      <c r="M71" s="138" t="n">
        <f aca="false">-(M70-L70)</f>
        <v>-1599.86452680948</v>
      </c>
      <c r="N71" s="138" t="n">
        <f aca="false">-(N70-M70)</f>
        <v>-1702.65225651293</v>
      </c>
      <c r="O71" s="138" t="n">
        <f aca="false">-(O70-N70)</f>
        <v>-1702.65225651293</v>
      </c>
      <c r="P71" s="138" t="n">
        <f aca="false">-(P70-O70)</f>
        <v>-1647.55540922318</v>
      </c>
      <c r="Q71" s="138" t="n">
        <f aca="false">-(Q70-P70)</f>
        <v>-1647.55540922319</v>
      </c>
      <c r="R71" s="138" t="n">
        <f aca="false">-(R70-Q70)</f>
        <v>-1647.5554092232</v>
      </c>
      <c r="S71" s="138" t="n">
        <f aca="false">-(S70-R70)</f>
        <v>14199.2370467775</v>
      </c>
      <c r="T71" s="138" t="n">
        <f aca="false">-(T70-S70)</f>
        <v>-17494.3478652238</v>
      </c>
      <c r="U71" s="138" t="n">
        <f aca="false">-(U70-T70)</f>
        <v>-1647.55540922319</v>
      </c>
      <c r="V71" s="138" t="n">
        <f aca="false">-(V70-U70)</f>
        <v>-1647.55540922319</v>
      </c>
      <c r="W71" s="138" t="n">
        <f aca="false">-(W70-V70)</f>
        <v>-1647.55540922319</v>
      </c>
      <c r="X71" s="138" t="n">
        <f aca="false">-(X70-W70)</f>
        <v>-1544.76767951973</v>
      </c>
      <c r="Y71" s="138" t="n">
        <f aca="false">-(Y70-X70)</f>
        <v>-1544.76767951973</v>
      </c>
      <c r="Z71" s="138" t="n">
        <f aca="false">-(Z70-Y70)</f>
        <v>-1513.04858763835</v>
      </c>
      <c r="AA71" s="138" t="n">
        <f aca="false">-(AA70-Z70)</f>
        <v>-482.129710355926</v>
      </c>
      <c r="AB71" s="138" t="n">
        <f aca="false">-(AB70-AA70)</f>
        <v>-482.129710355919</v>
      </c>
      <c r="AC71" s="138" t="n">
        <f aca="false">-(AC70-AB70)</f>
        <v>-482.129710355919</v>
      </c>
      <c r="AD71" s="138" t="n">
        <f aca="false">-(AD70-AC70)</f>
        <v>-482.129710355926</v>
      </c>
      <c r="AE71" s="138" t="n">
        <f aca="false">-(AE70-AD70)</f>
        <v>21889.8125804685</v>
      </c>
      <c r="AF71" s="138" t="n">
        <f aca="false">-(AF70-AE70)</f>
        <v>-22854.0720011804</v>
      </c>
      <c r="AG71" s="138" t="n">
        <f aca="false">-(AG70-AF70)</f>
        <v>-482.129710355919</v>
      </c>
      <c r="AH71" s="138" t="n">
        <f aca="false">-(AH70-AG70)</f>
        <v>-482.129710355934</v>
      </c>
      <c r="AI71" s="138" t="n">
        <f aca="false">-(AI70-AH70)</f>
        <v>-482.129710355905</v>
      </c>
      <c r="AJ71" s="138" t="n">
        <f aca="false">-(AJ70-AI70)</f>
        <v>-482.129710355934</v>
      </c>
      <c r="AK71" s="138" t="n">
        <f aca="false">-(AK70-AJ70)</f>
        <v>-482.129710355912</v>
      </c>
      <c r="AL71" s="138" t="n">
        <f aca="false">-(AL70-AK70)</f>
        <v>-482.129710355926</v>
      </c>
      <c r="AM71" s="138" t="n">
        <f aca="false">-(AM70-AL70)</f>
        <v>-482.129710355912</v>
      </c>
      <c r="AN71" s="138" t="n">
        <f aca="false">-(AN70-AM70)</f>
        <v>-482.129710355926</v>
      </c>
      <c r="AO71" s="138" t="n">
        <f aca="false">-(AO70-AN70)</f>
        <v>-482.129710355919</v>
      </c>
      <c r="AP71" s="138" t="n">
        <f aca="false">-(AP70-AO70)</f>
        <v>-482.129710355934</v>
      </c>
      <c r="AQ71" s="138" t="n">
        <f aca="false">-(AQ70-AP70)</f>
        <v>21889.8125804685</v>
      </c>
      <c r="AR71" s="138" t="n">
        <f aca="false">-(AR70-AQ70)</f>
        <v>-22854.0720011804</v>
      </c>
      <c r="AS71" s="138" t="n">
        <f aca="false">-(AS70-AR70)</f>
        <v>-0</v>
      </c>
      <c r="AT71" s="138" t="n">
        <f aca="false">-(AT70-AS70)</f>
        <v>-0</v>
      </c>
      <c r="AU71" s="138" t="n">
        <f aca="false">-(AU70-AT70)</f>
        <v>-0</v>
      </c>
      <c r="AV71" s="138" t="n">
        <f aca="false">-(AV70-AU70)</f>
        <v>-0</v>
      </c>
      <c r="AW71" s="138" t="n">
        <f aca="false">-(AW70-AV70)</f>
        <v>-0</v>
      </c>
      <c r="AX71" s="138" t="n">
        <f aca="false">-(AX70-AW70)</f>
        <v>-0</v>
      </c>
      <c r="AY71" s="138" t="n">
        <f aca="false">-(AY70-AX70)</f>
        <v>-0</v>
      </c>
      <c r="AZ71" s="138" t="n">
        <f aca="false">-(AZ70-AY70)</f>
        <v>-0</v>
      </c>
      <c r="BA71" s="138" t="n">
        <f aca="false">-(BA70-AZ70)</f>
        <v>-0</v>
      </c>
      <c r="BB71" s="138" t="n">
        <f aca="false">-(BB70-BA70)</f>
        <v>-0</v>
      </c>
      <c r="BC71" s="138" t="n">
        <f aca="false">-(BC70-BB70)</f>
        <v>22371.9422908245</v>
      </c>
      <c r="BD71" s="138" t="n">
        <f aca="false">-(BD70-BC70)</f>
        <v>-22371.9422908245</v>
      </c>
      <c r="BE71" s="138" t="n">
        <f aca="false">-(BE70-BD70)</f>
        <v>-0</v>
      </c>
      <c r="BF71" s="138" t="n">
        <f aca="false">-(BF70-BE70)</f>
        <v>-0</v>
      </c>
      <c r="BG71" s="138" t="n">
        <f aca="false">-(BG70-BF70)</f>
        <v>-0</v>
      </c>
      <c r="BH71" s="138" t="n">
        <f aca="false">-(BH70-BG70)</f>
        <v>-0</v>
      </c>
      <c r="BI71" s="138" t="n">
        <f aca="false">-(BI70-BH70)</f>
        <v>-0</v>
      </c>
      <c r="BJ71" s="138" t="n">
        <f aca="false">-(BJ70-BI70)</f>
        <v>-0</v>
      </c>
      <c r="BK71" s="138" t="n">
        <f aca="false">-(BK70-BJ70)</f>
        <v>-0</v>
      </c>
      <c r="BL71" s="138" t="n">
        <f aca="false">-(BL70-BK70)</f>
        <v>-0</v>
      </c>
      <c r="BM71" s="138" t="n">
        <f aca="false">-(BM70-BL70)</f>
        <v>-0</v>
      </c>
      <c r="BN71" s="138" t="n">
        <f aca="false">-(BN70-BM70)</f>
        <v>-0</v>
      </c>
      <c r="BO71" s="138" t="n">
        <f aca="false">-(BO70-BN70)</f>
        <v>22371.9422908245</v>
      </c>
      <c r="BP71" s="138" t="n">
        <f aca="false">-(BP70-BO70)</f>
        <v>-22371.9422908245</v>
      </c>
      <c r="BQ71" s="138" t="n">
        <f aca="false">-(BQ70-BP70)</f>
        <v>-0</v>
      </c>
      <c r="BR71" s="138" t="n">
        <f aca="false">-(BR70-BQ70)</f>
        <v>-0</v>
      </c>
      <c r="BS71" s="138" t="n">
        <f aca="false">-(BS70-BR70)</f>
        <v>-0</v>
      </c>
      <c r="BT71" s="138" t="n">
        <f aca="false">-(BT70-BS70)</f>
        <v>-0</v>
      </c>
      <c r="BU71" s="138" t="n">
        <f aca="false">-(BU70-BT70)</f>
        <v>-0</v>
      </c>
      <c r="BV71" s="138" t="n">
        <f aca="false">-(BV70-BU70)</f>
        <v>-0</v>
      </c>
      <c r="BW71" s="138" t="n">
        <f aca="false">-(BW70-BV70)</f>
        <v>-0</v>
      </c>
      <c r="BX71" s="138" t="n">
        <f aca="false">-(BX70-BW70)</f>
        <v>-0</v>
      </c>
      <c r="BY71" s="138" t="n">
        <f aca="false">-(BY70-BX70)</f>
        <v>-0</v>
      </c>
      <c r="BZ71" s="138" t="n">
        <f aca="false">-(BZ70-BY70)</f>
        <v>-0</v>
      </c>
      <c r="CA71" s="138" t="n">
        <f aca="false">-(CA70-BZ70)</f>
        <v>22371.9422908245</v>
      </c>
      <c r="CB71" s="138" t="n">
        <f aca="false">-(CB70-CA70)</f>
        <v>-22371.9422908245</v>
      </c>
      <c r="CC71" s="138" t="n">
        <f aca="false">-(CC70-CB70)</f>
        <v>-0</v>
      </c>
      <c r="CD71" s="138" t="n">
        <f aca="false">-(CD70-CC70)</f>
        <v>-0</v>
      </c>
      <c r="CE71" s="138" t="n">
        <f aca="false">-(CE70-CD70)</f>
        <v>-0</v>
      </c>
      <c r="CF71" s="138" t="n">
        <f aca="false">-(CF70-CE70)</f>
        <v>-0</v>
      </c>
      <c r="CG71" s="138" t="n">
        <f aca="false">-(CG70-CF70)</f>
        <v>-0</v>
      </c>
      <c r="CH71" s="138" t="n">
        <f aca="false">-(CH70-CG70)</f>
        <v>-0</v>
      </c>
    </row>
    <row r="72" customFormat="false" ht="13.5" hidden="false" customHeight="true" outlineLevel="0" collapsed="false">
      <c r="A72" s="13" t="s">
        <v>750</v>
      </c>
      <c r="C72" s="138" t="n">
        <f aca="false">-CAPEX!$C$22*CAPEX!$C$29-CAPEX!$C$50</f>
        <v>-35912</v>
      </c>
      <c r="D72" s="138" t="n">
        <f aca="false">-CAPEX!$C$22*CAPEX!$D$29</f>
        <v>-14425.6</v>
      </c>
      <c r="E72" s="138" t="n">
        <f aca="false">-CAPEX!$C$22*CAPEX!$E$29</f>
        <v>-10304</v>
      </c>
      <c r="F72" s="138" t="n">
        <f aca="false">-CAPEX!$C$22*CAPEX!$F$29</f>
        <v>-9273.6</v>
      </c>
      <c r="G72" s="138" t="n">
        <f aca="false">-CAPEX!$C$22*CAPEX!$G$29</f>
        <v>-8243.2</v>
      </c>
      <c r="H72" s="138" t="n">
        <f aca="false">-CAPEX!$C$22*CAPEX!$H$29</f>
        <v>-7212.8</v>
      </c>
      <c r="I72" s="138" t="n">
        <f aca="false">-CAPEX!$C$22*CAPEX!$I$29</f>
        <v>-6182.4</v>
      </c>
      <c r="J72" s="138" t="n">
        <f aca="false">-CAPEX!$C$22*CAPEX!$J$29</f>
        <v>-5152</v>
      </c>
      <c r="K72" s="138" t="n">
        <f aca="false">-CAPEX!$C$22*CAPEX!$K$29</f>
        <v>-4121.6</v>
      </c>
      <c r="L72" s="138" t="n">
        <f aca="false">-CAPEX!$C$22*CAPEX!$L$29</f>
        <v>-3091.2</v>
      </c>
      <c r="M72" s="138" t="n">
        <f aca="false">-CAPEX!$C$22*CAPEX!$M$29</f>
        <v>-2060.8</v>
      </c>
      <c r="N72" s="138" t="n">
        <f aca="false">-CAPEX!$C$22*CAPEX!$N$29</f>
        <v>-2060.8</v>
      </c>
      <c r="O72" s="138" t="n">
        <f aca="false">0</f>
        <v>0</v>
      </c>
      <c r="P72" s="138" t="n">
        <f aca="false">0</f>
        <v>0</v>
      </c>
      <c r="Q72" s="138" t="n">
        <f aca="false">0</f>
        <v>0</v>
      </c>
      <c r="R72" s="138" t="n">
        <f aca="false">0</f>
        <v>0</v>
      </c>
      <c r="S72" s="138" t="n">
        <f aca="false">0</f>
        <v>0</v>
      </c>
      <c r="T72" s="138" t="n">
        <f aca="false">0</f>
        <v>0</v>
      </c>
      <c r="U72" s="138" t="n">
        <f aca="false">0</f>
        <v>0</v>
      </c>
      <c r="V72" s="138" t="n">
        <f aca="false">0</f>
        <v>0</v>
      </c>
      <c r="W72" s="138" t="n">
        <f aca="false">0</f>
        <v>0</v>
      </c>
      <c r="X72" s="138" t="n">
        <f aca="false">0</f>
        <v>0</v>
      </c>
      <c r="Y72" s="138" t="n">
        <f aca="false">0</f>
        <v>0</v>
      </c>
      <c r="Z72" s="138" t="n">
        <f aca="false">0</f>
        <v>0</v>
      </c>
      <c r="AA72" s="138" t="n">
        <f aca="false">0</f>
        <v>0</v>
      </c>
      <c r="AB72" s="138" t="n">
        <f aca="false">0</f>
        <v>0</v>
      </c>
      <c r="AC72" s="138" t="n">
        <f aca="false">0</f>
        <v>0</v>
      </c>
      <c r="AD72" s="138" t="n">
        <f aca="false">0</f>
        <v>0</v>
      </c>
      <c r="AE72" s="138" t="n">
        <f aca="false">0</f>
        <v>0</v>
      </c>
      <c r="AF72" s="138" t="n">
        <f aca="false">0</f>
        <v>0</v>
      </c>
      <c r="AG72" s="138" t="n">
        <f aca="false">0</f>
        <v>0</v>
      </c>
      <c r="AH72" s="138" t="n">
        <f aca="false">0</f>
        <v>0</v>
      </c>
      <c r="AI72" s="138" t="n">
        <f aca="false">0</f>
        <v>0</v>
      </c>
      <c r="AJ72" s="138" t="n">
        <f aca="false">0</f>
        <v>0</v>
      </c>
      <c r="AK72" s="138" t="n">
        <f aca="false">0</f>
        <v>0</v>
      </c>
      <c r="AL72" s="138" t="n">
        <f aca="false">0</f>
        <v>0</v>
      </c>
      <c r="AM72" s="138" t="n">
        <f aca="false">0</f>
        <v>0</v>
      </c>
      <c r="AN72" s="138" t="n">
        <f aca="false">0</f>
        <v>0</v>
      </c>
      <c r="AO72" s="138" t="n">
        <f aca="false">0</f>
        <v>0</v>
      </c>
      <c r="AP72" s="138" t="n">
        <f aca="false">0</f>
        <v>0</v>
      </c>
      <c r="AQ72" s="138" t="n">
        <f aca="false">0</f>
        <v>0</v>
      </c>
      <c r="AR72" s="138" t="n">
        <f aca="false">0</f>
        <v>0</v>
      </c>
      <c r="AS72" s="138" t="n">
        <f aca="false">0</f>
        <v>0</v>
      </c>
      <c r="AT72" s="138" t="n">
        <f aca="false">0</f>
        <v>0</v>
      </c>
      <c r="AU72" s="138" t="n">
        <f aca="false">0</f>
        <v>0</v>
      </c>
      <c r="AV72" s="138" t="n">
        <f aca="false">0</f>
        <v>0</v>
      </c>
      <c r="AW72" s="138" t="n">
        <f aca="false">0</f>
        <v>0</v>
      </c>
      <c r="AX72" s="138" t="n">
        <f aca="false">0</f>
        <v>0</v>
      </c>
      <c r="AY72" s="138" t="n">
        <f aca="false">0</f>
        <v>0</v>
      </c>
      <c r="AZ72" s="138" t="n">
        <f aca="false">0</f>
        <v>0</v>
      </c>
      <c r="BA72" s="138" t="n">
        <f aca="false">0</f>
        <v>0</v>
      </c>
      <c r="BB72" s="138" t="n">
        <f aca="false">0</f>
        <v>0</v>
      </c>
      <c r="BC72" s="138" t="n">
        <f aca="false">0</f>
        <v>0</v>
      </c>
      <c r="BD72" s="138" t="n">
        <f aca="false">0</f>
        <v>0</v>
      </c>
      <c r="BE72" s="138" t="n">
        <f aca="false">0</f>
        <v>0</v>
      </c>
      <c r="BF72" s="138" t="n">
        <f aca="false">0</f>
        <v>0</v>
      </c>
      <c r="BG72" s="138" t="n">
        <f aca="false">0</f>
        <v>0</v>
      </c>
      <c r="BH72" s="138" t="n">
        <f aca="false">0</f>
        <v>0</v>
      </c>
      <c r="BI72" s="138" t="n">
        <f aca="false">0</f>
        <v>0</v>
      </c>
      <c r="BJ72" s="138" t="n">
        <f aca="false">0</f>
        <v>0</v>
      </c>
      <c r="BK72" s="138" t="n">
        <f aca="false">0</f>
        <v>0</v>
      </c>
      <c r="BL72" s="138" t="n">
        <f aca="false">0</f>
        <v>0</v>
      </c>
      <c r="BM72" s="138" t="n">
        <f aca="false">0</f>
        <v>0</v>
      </c>
      <c r="BN72" s="138" t="n">
        <f aca="false">0</f>
        <v>0</v>
      </c>
      <c r="BO72" s="138" t="n">
        <f aca="false">0</f>
        <v>0</v>
      </c>
      <c r="BP72" s="138" t="n">
        <f aca="false">0</f>
        <v>0</v>
      </c>
      <c r="BQ72" s="138" t="n">
        <f aca="false">0</f>
        <v>0</v>
      </c>
      <c r="BR72" s="138" t="n">
        <f aca="false">0</f>
        <v>0</v>
      </c>
      <c r="BS72" s="138" t="n">
        <f aca="false">0</f>
        <v>0</v>
      </c>
      <c r="BT72" s="138" t="n">
        <f aca="false">0</f>
        <v>0</v>
      </c>
      <c r="BU72" s="138" t="n">
        <f aca="false">0</f>
        <v>0</v>
      </c>
      <c r="BV72" s="138" t="n">
        <f aca="false">0</f>
        <v>0</v>
      </c>
      <c r="BW72" s="138" t="n">
        <f aca="false">0</f>
        <v>0</v>
      </c>
      <c r="BX72" s="138" t="n">
        <f aca="false">0</f>
        <v>0</v>
      </c>
      <c r="BY72" s="138" t="n">
        <f aca="false">0</f>
        <v>0</v>
      </c>
      <c r="BZ72" s="138" t="n">
        <f aca="false">0</f>
        <v>0</v>
      </c>
      <c r="CA72" s="138" t="n">
        <f aca="false">0</f>
        <v>0</v>
      </c>
      <c r="CB72" s="138" t="n">
        <f aca="false">0</f>
        <v>0</v>
      </c>
      <c r="CC72" s="138" t="n">
        <f aca="false">0</f>
        <v>0</v>
      </c>
      <c r="CD72" s="138" t="n">
        <f aca="false">0</f>
        <v>0</v>
      </c>
      <c r="CE72" s="138" t="n">
        <f aca="false">0</f>
        <v>0</v>
      </c>
      <c r="CF72" s="138" t="n">
        <f aca="false">0</f>
        <v>0</v>
      </c>
      <c r="CG72" s="138" t="n">
        <f aca="false">0</f>
        <v>0</v>
      </c>
      <c r="CH72" s="138" t="n">
        <f aca="false">0</f>
        <v>0</v>
      </c>
    </row>
    <row r="73" customFormat="false" ht="13.5" hidden="false" customHeight="true" outlineLevel="0" collapsed="false">
      <c r="A73" s="13" t="s">
        <v>751</v>
      </c>
      <c r="C73" s="138" t="n">
        <f aca="false">-C36*Hipótesis!$D$68</f>
        <v>-46.4437574675676</v>
      </c>
      <c r="D73" s="138" t="n">
        <f aca="false">-D36*Hipótesis!$D$68</f>
        <v>-94.4535149351351</v>
      </c>
      <c r="E73" s="138" t="n">
        <f aca="false">-E36*Hipótesis!$D$68</f>
        <v>-166.497022402703</v>
      </c>
      <c r="F73" s="138" t="n">
        <f aca="false">-F36*Hipótesis!$D$68</f>
        <v>-217.87802987027</v>
      </c>
      <c r="G73" s="138" t="n">
        <f aca="false">-G36*Hipótesis!$D$68</f>
        <v>-158.122693100676</v>
      </c>
      <c r="H73" s="138" t="n">
        <f aca="false">-H36*Hipótesis!$D$68</f>
        <v>-331.863044805405</v>
      </c>
      <c r="I73" s="138" t="n">
        <f aca="false">-I36*Hipótesis!$D$68</f>
        <v>-398.324074913513</v>
      </c>
      <c r="J73" s="138" t="n">
        <f aca="false">-J36*Hipótesis!$D$68</f>
        <v>-506.023512551351</v>
      </c>
      <c r="K73" s="138" t="n">
        <f aca="false">-K36*Hipótesis!$D$68</f>
        <v>-613.722950189189</v>
      </c>
      <c r="L73" s="138" t="n">
        <f aca="false">-L36*Hipótesis!$D$68</f>
        <v>-721.422387827027</v>
      </c>
      <c r="M73" s="138" t="n">
        <f aca="false">-M36*Hipótesis!$D$68</f>
        <v>-805.088075464865</v>
      </c>
      <c r="N73" s="138" t="n">
        <f aca="false">-N36*Hipótesis!$D$68</f>
        <v>-908.328763102703</v>
      </c>
      <c r="O73" s="138" t="n">
        <f aca="false">-O36*Hipótesis!$D$68</f>
        <v>-1011.56945074054</v>
      </c>
      <c r="P73" s="138" t="n">
        <f aca="false">-P36*Hipótesis!$D$68</f>
        <v>-1107.76313837838</v>
      </c>
      <c r="Q73" s="138" t="n">
        <f aca="false">-Q36*Hipótesis!$D$68</f>
        <v>-1203.95682601622</v>
      </c>
      <c r="R73" s="138" t="n">
        <f aca="false">-R36*Hipótesis!$D$68</f>
        <v>-1300.15051365405</v>
      </c>
      <c r="S73" s="138" t="n">
        <f aca="false">-S36*Hipótesis!$D$68</f>
        <v>-1023.80503088554</v>
      </c>
      <c r="T73" s="138" t="n">
        <f aca="false">-T36*Hipótesis!$D$68</f>
        <v>-1492.53788892973</v>
      </c>
      <c r="U73" s="138" t="n">
        <f aca="false">-U36*Hipótesis!$D$68</f>
        <v>-1588.73157656757</v>
      </c>
      <c r="V73" s="138" t="n">
        <f aca="false">-V36*Hipótesis!$D$68</f>
        <v>-1684.92526420541</v>
      </c>
      <c r="W73" s="138" t="n">
        <f aca="false">-W36*Hipótesis!$D$68</f>
        <v>-1781.11895184324</v>
      </c>
      <c r="X73" s="138" t="n">
        <f aca="false">-X36*Hipótesis!$D$68</f>
        <v>-1857.73763948108</v>
      </c>
      <c r="Y73" s="138" t="n">
        <f aca="false">-Y36*Hipótesis!$D$68</f>
        <v>-1934.35632711892</v>
      </c>
      <c r="Z73" s="138" t="n">
        <f aca="false">-Z36*Hipótesis!$D$68</f>
        <v>-2003.66701475676</v>
      </c>
      <c r="AA73" s="138" t="n">
        <f aca="false">-AA36*Hipótesis!$D$68</f>
        <v>-2054.06951284865</v>
      </c>
      <c r="AB73" s="138" t="n">
        <f aca="false">-AB36*Hipótesis!$D$68</f>
        <v>-2104.47201094054</v>
      </c>
      <c r="AC73" s="138" t="n">
        <f aca="false">-AC36*Hipótesis!$D$68</f>
        <v>-2154.87450903243</v>
      </c>
      <c r="AD73" s="138" t="n">
        <f aca="false">-AD36*Hipótesis!$D$68</f>
        <v>-2205.27700712432</v>
      </c>
      <c r="AE73" s="138" t="n">
        <f aca="false">-AE36*Hipótesis!$D$68</f>
        <v>-1729.74185287784</v>
      </c>
      <c r="AF73" s="138" t="n">
        <f aca="false">-AF36*Hipótesis!$D$68</f>
        <v>-2306.08200330811</v>
      </c>
      <c r="AG73" s="138" t="n">
        <f aca="false">-AG36*Hipótesis!$D$68</f>
        <v>-2356.4845014</v>
      </c>
      <c r="AH73" s="138" t="n">
        <f aca="false">-AH36*Hipótesis!$D$68</f>
        <v>-2406.88699949189</v>
      </c>
      <c r="AI73" s="138" t="n">
        <f aca="false">-AI36*Hipótesis!$D$68</f>
        <v>-2457.28949758378</v>
      </c>
      <c r="AJ73" s="138" t="n">
        <f aca="false">-AJ36*Hipótesis!$D$68</f>
        <v>-2507.69199567568</v>
      </c>
      <c r="AK73" s="138" t="n">
        <f aca="false">-AK36*Hipótesis!$D$68</f>
        <v>-2558.09449376757</v>
      </c>
      <c r="AL73" s="138" t="n">
        <f aca="false">-AL36*Hipótesis!$D$68</f>
        <v>-2608.49699185946</v>
      </c>
      <c r="AM73" s="138" t="n">
        <f aca="false">-AM36*Hipótesis!$D$68</f>
        <v>-2658.89948995135</v>
      </c>
      <c r="AN73" s="138" t="n">
        <f aca="false">-AN36*Hipótesis!$D$68</f>
        <v>-2709.30198804324</v>
      </c>
      <c r="AO73" s="138" t="n">
        <f aca="false">-AO36*Hipótesis!$D$68</f>
        <v>-2759.70448613514</v>
      </c>
      <c r="AP73" s="138" t="n">
        <f aca="false">-AP36*Hipótesis!$D$68</f>
        <v>-2810.10698422703</v>
      </c>
      <c r="AQ73" s="138" t="n">
        <f aca="false">-AQ36*Hipótesis!$D$68</f>
        <v>-2334.57182998054</v>
      </c>
      <c r="AR73" s="138" t="n">
        <f aca="false">-AR36*Hipótesis!$D$68</f>
        <v>-2910.91198041081</v>
      </c>
      <c r="AS73" s="138" t="n">
        <f aca="false">-AS36*Hipótesis!$D$68</f>
        <v>-2910.91198041081</v>
      </c>
      <c r="AT73" s="138" t="n">
        <f aca="false">-AT36*Hipótesis!$D$68</f>
        <v>-2910.91198041081</v>
      </c>
      <c r="AU73" s="138" t="n">
        <f aca="false">-AU36*Hipótesis!$D$68</f>
        <v>-2910.91198041081</v>
      </c>
      <c r="AV73" s="138" t="n">
        <f aca="false">-AV36*Hipótesis!$D$68</f>
        <v>-2910.91198041081</v>
      </c>
      <c r="AW73" s="138" t="n">
        <f aca="false">-AW36*Hipótesis!$D$68</f>
        <v>-2910.91198041081</v>
      </c>
      <c r="AX73" s="138" t="n">
        <f aca="false">-AX36*Hipótesis!$D$68</f>
        <v>-2910.91198041081</v>
      </c>
      <c r="AY73" s="138" t="n">
        <f aca="false">-AY36*Hipótesis!$D$68</f>
        <v>-2910.91198041081</v>
      </c>
      <c r="AZ73" s="138" t="n">
        <f aca="false">-AZ36*Hipótesis!$D$68</f>
        <v>-2910.91198041081</v>
      </c>
      <c r="BA73" s="138" t="n">
        <f aca="false">-BA36*Hipótesis!$D$68</f>
        <v>-2910.91198041081</v>
      </c>
      <c r="BB73" s="138" t="n">
        <f aca="false">-BB36*Hipótesis!$D$68</f>
        <v>-2910.91198041081</v>
      </c>
      <c r="BC73" s="138" t="n">
        <f aca="false">-BC36*Hipótesis!$D$68</f>
        <v>-2384.97432807243</v>
      </c>
      <c r="BD73" s="138" t="n">
        <f aca="false">-BD36*Hipótesis!$D$68</f>
        <v>-2910.91198041081</v>
      </c>
      <c r="BE73" s="138" t="n">
        <f aca="false">-BE36*Hipótesis!$D$68</f>
        <v>-2910.91198041081</v>
      </c>
      <c r="BF73" s="138" t="n">
        <f aca="false">-BF36*Hipótesis!$D$68</f>
        <v>-2910.91198041081</v>
      </c>
      <c r="BG73" s="138" t="n">
        <f aca="false">-BG36*Hipótesis!$D$68</f>
        <v>-2910.91198041081</v>
      </c>
      <c r="BH73" s="138" t="n">
        <f aca="false">-BH36*Hipótesis!$D$68</f>
        <v>-2910.91198041081</v>
      </c>
      <c r="BI73" s="138" t="n">
        <f aca="false">-BI36*Hipótesis!$D$68</f>
        <v>-2910.91198041081</v>
      </c>
      <c r="BJ73" s="138" t="n">
        <f aca="false">-BJ36*Hipótesis!$D$68</f>
        <v>-2910.91198041081</v>
      </c>
      <c r="BK73" s="138" t="n">
        <f aca="false">-BK36*Hipótesis!$D$68</f>
        <v>-2910.91198041081</v>
      </c>
      <c r="BL73" s="138" t="n">
        <f aca="false">-BL36*Hipótesis!$D$68</f>
        <v>-2910.91198041081</v>
      </c>
      <c r="BM73" s="138" t="n">
        <f aca="false">-BM36*Hipótesis!$D$68</f>
        <v>-2910.91198041081</v>
      </c>
      <c r="BN73" s="138" t="n">
        <f aca="false">-BN36*Hipótesis!$D$68</f>
        <v>-2910.91198041081</v>
      </c>
      <c r="BO73" s="138" t="n">
        <f aca="false">-BO36*Hipótesis!$D$68</f>
        <v>-2384.97432807243</v>
      </c>
      <c r="BP73" s="138" t="n">
        <f aca="false">-BP36*Hipótesis!$D$68</f>
        <v>-2910.91198041081</v>
      </c>
      <c r="BQ73" s="138" t="n">
        <f aca="false">-BQ36*Hipótesis!$D$68</f>
        <v>-2910.91198041081</v>
      </c>
      <c r="BR73" s="138" t="n">
        <f aca="false">-BR36*Hipótesis!$D$68</f>
        <v>-2910.91198041081</v>
      </c>
      <c r="BS73" s="138" t="n">
        <f aca="false">-BS36*Hipótesis!$D$68</f>
        <v>-2910.91198041081</v>
      </c>
      <c r="BT73" s="138" t="n">
        <f aca="false">-BT36*Hipótesis!$D$68</f>
        <v>-2910.91198041081</v>
      </c>
      <c r="BU73" s="138" t="n">
        <f aca="false">-BU36*Hipótesis!$D$68</f>
        <v>-2910.91198041081</v>
      </c>
      <c r="BV73" s="138" t="n">
        <f aca="false">-BV36*Hipótesis!$D$68</f>
        <v>-2910.91198041081</v>
      </c>
      <c r="BW73" s="138" t="n">
        <f aca="false">-BW36*Hipótesis!$D$68</f>
        <v>-2910.91198041081</v>
      </c>
      <c r="BX73" s="138" t="n">
        <f aca="false">-BX36*Hipótesis!$D$68</f>
        <v>-2910.91198041081</v>
      </c>
      <c r="BY73" s="138" t="n">
        <f aca="false">-BY36*Hipótesis!$D$68</f>
        <v>-2910.91198041081</v>
      </c>
      <c r="BZ73" s="138" t="n">
        <f aca="false">-BZ36*Hipótesis!$D$68</f>
        <v>-2910.91198041081</v>
      </c>
      <c r="CA73" s="138" t="n">
        <f aca="false">-CA36*Hipótesis!$D$68</f>
        <v>-2384.97432807243</v>
      </c>
      <c r="CB73" s="138" t="n">
        <f aca="false">-CB36*Hipótesis!$D$68</f>
        <v>-2910.91198041081</v>
      </c>
      <c r="CC73" s="138" t="n">
        <f aca="false">-CC36*Hipótesis!$D$68</f>
        <v>-2910.91198041081</v>
      </c>
      <c r="CD73" s="138" t="n">
        <f aca="false">-CD36*Hipótesis!$D$68</f>
        <v>-2910.91198041081</v>
      </c>
      <c r="CE73" s="138" t="n">
        <f aca="false">-CE36*Hipótesis!$D$68</f>
        <v>-2910.91198041081</v>
      </c>
      <c r="CF73" s="138" t="n">
        <f aca="false">-CF36*Hipótesis!$D$68</f>
        <v>-2910.91198041081</v>
      </c>
      <c r="CG73" s="138" t="n">
        <f aca="false">-CG36*Hipótesis!$D$68</f>
        <v>-2910.91198041081</v>
      </c>
      <c r="CH73" s="138" t="n">
        <f aca="false">-CH36*Hipótesis!$D$68</f>
        <v>-2910.91198041081</v>
      </c>
    </row>
    <row r="74" customFormat="false" ht="13.5" hidden="false" customHeight="true" outlineLevel="0" collapsed="false">
      <c r="A74" s="30" t="s">
        <v>752</v>
      </c>
      <c r="C74" s="138" t="n">
        <f aca="false">C66+C67+C71+C72+C73</f>
        <v>-53270.2490856181</v>
      </c>
      <c r="D74" s="138" t="n">
        <f aca="false">D66+D67+D71+D72+D73</f>
        <v>-29976.3690411459</v>
      </c>
      <c r="E74" s="138" t="n">
        <f aca="false">E66+E67+E71+E72+E73</f>
        <v>-23438.9055568077</v>
      </c>
      <c r="F74" s="138" t="n">
        <f aca="false">F66+F67+F71+F72+F73</f>
        <v>-20286.5313584892</v>
      </c>
      <c r="G74" s="138" t="n">
        <f aca="false">G66+G67+G71+G72+G73</f>
        <v>-17104.5927809474</v>
      </c>
      <c r="H74" s="138" t="n">
        <f aca="false">H66+H67+H71+H72+H73</f>
        <v>-18853.818759596</v>
      </c>
      <c r="I74" s="138" t="n">
        <f aca="false">I66+I67+I71+I72+I73</f>
        <v>-10833.5488574537</v>
      </c>
      <c r="J74" s="138" t="n">
        <f aca="false">J66+J67+J71+J72+J73</f>
        <v>-6431.95761476569</v>
      </c>
      <c r="K74" s="138" t="n">
        <f aca="false">K66+K67+K71+K72+K73</f>
        <v>-2180.2876986426</v>
      </c>
      <c r="L74" s="138" t="n">
        <f aca="false">L66+L67+L71+L72+L73</f>
        <v>1976.13075856936</v>
      </c>
      <c r="M74" s="138" t="n">
        <f aca="false">M66+M67+M71+M72+M73</f>
        <v>5656.9636522374</v>
      </c>
      <c r="N74" s="138" t="n">
        <f aca="false">N66+N67+N71+N72+N73</f>
        <v>8475.17822791213</v>
      </c>
      <c r="O74" s="138" t="n">
        <f aca="false">O66+O67+O71+O72+O73</f>
        <v>8996.27434313133</v>
      </c>
      <c r="P74" s="138" t="n">
        <f aca="false">P66+P67+P71+P72+P73</f>
        <v>9809.22394828256</v>
      </c>
      <c r="Q74" s="138" t="n">
        <f aca="false">Q66+Q67+Q71+Q72+Q73</f>
        <v>12539.5655017538</v>
      </c>
      <c r="R74" s="138" t="n">
        <f aca="false">R66+R67+R71+R72+R73</f>
        <v>15269.9070552251</v>
      </c>
      <c r="S74" s="138" t="n">
        <f aca="false">S66+S67+S71+S72+S73</f>
        <v>22059.5226962033</v>
      </c>
      <c r="T74" s="138" t="n">
        <f aca="false">T66+T67+T71+T72+T73</f>
        <v>4883.79770616704</v>
      </c>
      <c r="U74" s="138" t="n">
        <f aca="false">U66+U67+U71+U72+U73</f>
        <v>21489.375755639</v>
      </c>
      <c r="V74" s="138" t="n">
        <f aca="false">V66+V67+V71+V72+V73</f>
        <v>21900.2397091103</v>
      </c>
      <c r="W74" s="138" t="n">
        <f aca="false">W66+W67+W71+W72+W73</f>
        <v>24630.5812625816</v>
      </c>
      <c r="X74" s="138" t="n">
        <f aca="false">X66+X67+X71+X72+X73</f>
        <v>26973.1895701239</v>
      </c>
      <c r="Y74" s="138" t="n">
        <f aca="false">Y66+Y67+Y71+Y72+Y73</f>
        <v>29213.0101479627</v>
      </c>
      <c r="Z74" s="138" t="n">
        <f aca="false">Z66+Z67+Z71+Z72+Z73</f>
        <v>31307.8696105549</v>
      </c>
      <c r="AA74" s="138" t="n">
        <f aca="false">AA66+AA67+AA71+AA72+AA73</f>
        <v>32049.0317766755</v>
      </c>
      <c r="AB74" s="138" t="n">
        <f aca="false">AB66+AB67+AB71+AB72+AB73</f>
        <v>31501.8135146343</v>
      </c>
      <c r="AC74" s="138" t="n">
        <f aca="false">AC66+AC67+AC71+AC72+AC73</f>
        <v>32985.2978913932</v>
      </c>
      <c r="AD74" s="138" t="n">
        <f aca="false">AD66+AD67+AD71+AD72+AD73</f>
        <v>34468.7822681521</v>
      </c>
      <c r="AE74" s="138" t="n">
        <f aca="false">AE66+AE67+AE71+AE72+AE73</f>
        <v>41963.9947684501</v>
      </c>
      <c r="AF74" s="138" t="n">
        <f aca="false">AF66+AF67+AF71+AF72+AF73</f>
        <v>15063.8087308454</v>
      </c>
      <c r="AG74" s="138" t="n">
        <f aca="false">AG66+AG67+AG71+AG72+AG73</f>
        <v>38919.2353984287</v>
      </c>
      <c r="AH74" s="138" t="n">
        <f aca="false">AH66+AH67+AH71+AH72+AH73</f>
        <v>40402.7197751875</v>
      </c>
      <c r="AI74" s="138" t="n">
        <f aca="false">AI66+AI67+AI71+AI72+AI73</f>
        <v>41886.2041519464</v>
      </c>
      <c r="AJ74" s="138" t="n">
        <f aca="false">AJ66+AJ67+AJ71+AJ72+AJ73</f>
        <v>43369.6885287053</v>
      </c>
      <c r="AK74" s="138" t="n">
        <f aca="false">AK66+AK67+AK71+AK72+AK73</f>
        <v>44853.1729054642</v>
      </c>
      <c r="AL74" s="138" t="n">
        <f aca="false">AL66+AL67+AL71+AL72+AL73</f>
        <v>44305.954643423</v>
      </c>
      <c r="AM74" s="138" t="n">
        <f aca="false">AM66+AM67+AM71+AM72+AM73</f>
        <v>38545.8506297133</v>
      </c>
      <c r="AN74" s="138" t="n">
        <f aca="false">AN66+AN67+AN71+AN72+AN73</f>
        <v>39853.4546698536</v>
      </c>
      <c r="AO74" s="138" t="n">
        <f aca="false">AO66+AO67+AO71+AO72+AO73</f>
        <v>41161.0587099939</v>
      </c>
      <c r="AP74" s="138" t="n">
        <f aca="false">AP66+AP67+AP71+AP72+AP73</f>
        <v>42468.6627501342</v>
      </c>
      <c r="AQ74" s="138" t="n">
        <f aca="false">AQ66+AQ67+AQ71+AQ72+AQ73</f>
        <v>51728.0217348255</v>
      </c>
      <c r="AR74" s="138" t="n">
        <f aca="false">AR66+AR67+AR71+AR72+AR73</f>
        <v>22711.9285395904</v>
      </c>
      <c r="AS74" s="138" t="n">
        <f aca="false">AS66+AS67+AS71+AS72+AS73</f>
        <v>45564.6116518819</v>
      </c>
      <c r="AT74" s="138" t="n">
        <f aca="false">AT66+AT67+AT71+AT72+AT73</f>
        <v>45563.222762993</v>
      </c>
      <c r="AU74" s="138" t="n">
        <f aca="false">AU66+AU67+AU71+AU72+AU73</f>
        <v>45561.8338741041</v>
      </c>
      <c r="AV74" s="138" t="n">
        <f aca="false">AV66+AV67+AV71+AV72+AV73</f>
        <v>45560.4449852152</v>
      </c>
      <c r="AW74" s="138" t="n">
        <f aca="false">AW66+AW67+AW71+AW72+AW73</f>
        <v>45559.0560963263</v>
      </c>
      <c r="AX74" s="138" t="n">
        <f aca="false">AX66+AX67+AX71+AX72+AX73</f>
        <v>45557.6672074374</v>
      </c>
      <c r="AY74" s="138" t="n">
        <f aca="false">AY66+AY67+AY71+AY72+AY73</f>
        <v>43708.5385186117</v>
      </c>
      <c r="AZ74" s="138" t="n">
        <f aca="false">AZ66+AZ67+AZ71+AZ72+AZ73</f>
        <v>43707.1496297229</v>
      </c>
      <c r="BA74" s="138" t="n">
        <f aca="false">BA66+BA67+BA71+BA72+BA73</f>
        <v>43705.760740834</v>
      </c>
      <c r="BB74" s="138" t="n">
        <f aca="false">BB66+BB67+BB71+BB72+BB73</f>
        <v>43704.3718519451</v>
      </c>
      <c r="BC74" s="138" t="n">
        <f aca="false">BC66+BC67+BC71+BC72+BC73</f>
        <v>51654.7379076072</v>
      </c>
      <c r="BD74" s="138" t="n">
        <f aca="false">BD66+BD67+BD71+BD72+BD73</f>
        <v>21329.6517833428</v>
      </c>
      <c r="BE74" s="138" t="n">
        <f aca="false">BE66+BE67+BE71+BE72+BE73</f>
        <v>43700.2051852784</v>
      </c>
      <c r="BF74" s="138" t="n">
        <f aca="false">BF66+BF67+BF71+BF72+BF73</f>
        <v>43698.8162963895</v>
      </c>
      <c r="BG74" s="138" t="n">
        <f aca="false">BG66+BG67+BG71+BG72+BG73</f>
        <v>43697.4274075006</v>
      </c>
      <c r="BH74" s="138" t="n">
        <f aca="false">BH66+BH67+BH71+BH72+BH73</f>
        <v>43696.0385186117</v>
      </c>
      <c r="BI74" s="138" t="n">
        <f aca="false">BI66+BI67+BI71+BI72+BI73</f>
        <v>43694.6496297229</v>
      </c>
      <c r="BJ74" s="138" t="n">
        <f aca="false">BJ66+BJ67+BJ71+BJ72+BJ73</f>
        <v>43693.260740834</v>
      </c>
      <c r="BK74" s="138" t="n">
        <f aca="false">BK66+BK67+BK71+BK72+BK73</f>
        <v>41833.5468580102</v>
      </c>
      <c r="BL74" s="138" t="n">
        <f aca="false">BL66+BL67+BL71+BL72+BL73</f>
        <v>41832.1579691213</v>
      </c>
      <c r="BM74" s="138" t="n">
        <f aca="false">BM66+BM67+BM71+BM72+BM73</f>
        <v>41830.7690802324</v>
      </c>
      <c r="BN74" s="138" t="n">
        <f aca="false">BN66+BN67+BN71+BN72+BN73</f>
        <v>41829.3801913435</v>
      </c>
      <c r="BO74" s="138" t="n">
        <f aca="false">BO66+BO67+BO71+BO72+BO73</f>
        <v>49779.7462470056</v>
      </c>
      <c r="BP74" s="138" t="n">
        <f aca="false">BP66+BP67+BP71+BP72+BP73</f>
        <v>19454.6601227413</v>
      </c>
      <c r="BQ74" s="138" t="n">
        <f aca="false">BQ66+BQ67+BQ71+BQ72+BQ73</f>
        <v>41825.2135246768</v>
      </c>
      <c r="BR74" s="138" t="n">
        <f aca="false">BR66+BR67+BR71+BR72+BR73</f>
        <v>41823.824635788</v>
      </c>
      <c r="BS74" s="138" t="n">
        <f aca="false">BS66+BS67+BS71+BS72+BS73</f>
        <v>41822.4357468991</v>
      </c>
      <c r="BT74" s="138" t="n">
        <f aca="false">BT66+BT67+BT71+BT72+BT73</f>
        <v>41821.0468580102</v>
      </c>
      <c r="BU74" s="138" t="n">
        <f aca="false">BU66+BU67+BU71+BU72+BU73</f>
        <v>41819.6579691213</v>
      </c>
      <c r="BV74" s="138" t="n">
        <f aca="false">BV66+BV67+BV71+BV72+BV73</f>
        <v>41818.2690802324</v>
      </c>
      <c r="BW74" s="138" t="n">
        <f aca="false">BW66+BW67+BW71+BW72+BW73</f>
        <v>39947.6524475906</v>
      </c>
      <c r="BX74" s="138" t="n">
        <f aca="false">BX66+BX67+BX71+BX72+BX73</f>
        <v>39946.2635587017</v>
      </c>
      <c r="BY74" s="138" t="n">
        <f aca="false">BY66+BY67+BY71+BY72+BY73</f>
        <v>39944.8746698128</v>
      </c>
      <c r="BZ74" s="138" t="n">
        <f aca="false">BZ66+BZ67+BZ71+BZ72+BZ73</f>
        <v>39943.4857809239</v>
      </c>
      <c r="CA74" s="138" t="n">
        <f aca="false">CA66+CA67+CA71+CA72+CA73</f>
        <v>47893.851836586</v>
      </c>
      <c r="CB74" s="138" t="n">
        <f aca="false">CB66+CB67+CB71+CB72+CB73</f>
        <v>17568.7657123217</v>
      </c>
      <c r="CC74" s="138" t="n">
        <f aca="false">CC66+CC67+CC71+CC72+CC73</f>
        <v>39939.3191142572</v>
      </c>
      <c r="CD74" s="138" t="n">
        <f aca="false">CD66+CD67+CD71+CD72+CD73</f>
        <v>39937.9302253683</v>
      </c>
      <c r="CE74" s="138" t="n">
        <f aca="false">CE66+CE67+CE71+CE72+CE73</f>
        <v>39936.5413364795</v>
      </c>
      <c r="CF74" s="138" t="n">
        <f aca="false">CF66+CF67+CF71+CF72+CF73</f>
        <v>39935.1524475906</v>
      </c>
      <c r="CG74" s="138" t="n">
        <f aca="false">CG66+CG67+CG71+CG72+CG73</f>
        <v>39933.7635587017</v>
      </c>
      <c r="CH74" s="138" t="n">
        <f aca="false">CH66+CH67+CH71+CH72+CH73</f>
        <v>39932.3746698128</v>
      </c>
    </row>
    <row r="75" customFormat="false" ht="13.5" hidden="false" customHeight="true" outlineLevel="0" collapsed="false">
      <c r="A75" s="13" t="s">
        <v>753</v>
      </c>
      <c r="C75" s="138" t="n">
        <f aca="false">Hipótesis!$D$122</f>
        <v>200000</v>
      </c>
      <c r="D75" s="138" t="n">
        <f aca="false">0</f>
        <v>0</v>
      </c>
      <c r="E75" s="138" t="n">
        <f aca="false">0</f>
        <v>0</v>
      </c>
      <c r="F75" s="138" t="n">
        <f aca="false">0</f>
        <v>0</v>
      </c>
      <c r="G75" s="138" t="n">
        <f aca="false">0</f>
        <v>0</v>
      </c>
      <c r="H75" s="138" t="n">
        <f aca="false">0</f>
        <v>0</v>
      </c>
      <c r="I75" s="138" t="n">
        <f aca="false">0</f>
        <v>0</v>
      </c>
      <c r="J75" s="138" t="n">
        <f aca="false">0</f>
        <v>0</v>
      </c>
      <c r="K75" s="138" t="n">
        <f aca="false">0</f>
        <v>0</v>
      </c>
      <c r="L75" s="138" t="n">
        <f aca="false">0</f>
        <v>0</v>
      </c>
      <c r="M75" s="138" t="n">
        <f aca="false">0</f>
        <v>0</v>
      </c>
      <c r="N75" s="138" t="n">
        <f aca="false">0</f>
        <v>0</v>
      </c>
      <c r="O75" s="138" t="n">
        <f aca="false">0</f>
        <v>0</v>
      </c>
      <c r="P75" s="138" t="n">
        <f aca="false">0</f>
        <v>0</v>
      </c>
      <c r="Q75" s="138" t="n">
        <f aca="false">0</f>
        <v>0</v>
      </c>
      <c r="R75" s="138" t="n">
        <f aca="false">0</f>
        <v>0</v>
      </c>
      <c r="S75" s="138" t="n">
        <f aca="false">0</f>
        <v>0</v>
      </c>
      <c r="T75" s="138" t="n">
        <f aca="false">0</f>
        <v>0</v>
      </c>
      <c r="U75" s="138" t="n">
        <f aca="false">0</f>
        <v>0</v>
      </c>
      <c r="V75" s="138" t="n">
        <f aca="false">0</f>
        <v>0</v>
      </c>
      <c r="W75" s="138" t="n">
        <f aca="false">0</f>
        <v>0</v>
      </c>
      <c r="X75" s="138" t="n">
        <f aca="false">0</f>
        <v>0</v>
      </c>
      <c r="Y75" s="138" t="n">
        <f aca="false">0</f>
        <v>0</v>
      </c>
      <c r="Z75" s="138" t="n">
        <f aca="false">0</f>
        <v>0</v>
      </c>
      <c r="AA75" s="138" t="n">
        <f aca="false">0</f>
        <v>0</v>
      </c>
      <c r="AB75" s="138" t="n">
        <f aca="false">0</f>
        <v>0</v>
      </c>
      <c r="AC75" s="138" t="n">
        <f aca="false">0</f>
        <v>0</v>
      </c>
      <c r="AD75" s="138" t="n">
        <f aca="false">0</f>
        <v>0</v>
      </c>
      <c r="AE75" s="138" t="n">
        <f aca="false">0</f>
        <v>0</v>
      </c>
      <c r="AF75" s="138" t="n">
        <f aca="false">0</f>
        <v>0</v>
      </c>
      <c r="AG75" s="138" t="n">
        <f aca="false">0</f>
        <v>0</v>
      </c>
      <c r="AH75" s="138" t="n">
        <f aca="false">0</f>
        <v>0</v>
      </c>
      <c r="AI75" s="138" t="n">
        <f aca="false">0</f>
        <v>0</v>
      </c>
      <c r="AJ75" s="138" t="n">
        <f aca="false">0</f>
        <v>0</v>
      </c>
      <c r="AK75" s="138" t="n">
        <f aca="false">0</f>
        <v>0</v>
      </c>
      <c r="AL75" s="138" t="n">
        <f aca="false">0</f>
        <v>0</v>
      </c>
      <c r="AM75" s="138" t="n">
        <f aca="false">0</f>
        <v>0</v>
      </c>
      <c r="AN75" s="138" t="n">
        <f aca="false">0</f>
        <v>0</v>
      </c>
      <c r="AO75" s="138" t="n">
        <f aca="false">0</f>
        <v>0</v>
      </c>
      <c r="AP75" s="138" t="n">
        <f aca="false">0</f>
        <v>0</v>
      </c>
      <c r="AQ75" s="138" t="n">
        <f aca="false">0</f>
        <v>0</v>
      </c>
      <c r="AR75" s="138" t="n">
        <f aca="false">0</f>
        <v>0</v>
      </c>
      <c r="AS75" s="138" t="n">
        <f aca="false">0</f>
        <v>0</v>
      </c>
      <c r="AT75" s="138" t="n">
        <f aca="false">0</f>
        <v>0</v>
      </c>
      <c r="AU75" s="138" t="n">
        <f aca="false">0</f>
        <v>0</v>
      </c>
      <c r="AV75" s="138" t="n">
        <f aca="false">0</f>
        <v>0</v>
      </c>
      <c r="AW75" s="138" t="n">
        <f aca="false">0</f>
        <v>0</v>
      </c>
      <c r="AX75" s="138" t="n">
        <f aca="false">0</f>
        <v>0</v>
      </c>
      <c r="AY75" s="138" t="n">
        <f aca="false">0</f>
        <v>0</v>
      </c>
      <c r="AZ75" s="138" t="n">
        <f aca="false">0</f>
        <v>0</v>
      </c>
      <c r="BA75" s="138" t="n">
        <f aca="false">0</f>
        <v>0</v>
      </c>
      <c r="BB75" s="138" t="n">
        <f aca="false">0</f>
        <v>0</v>
      </c>
      <c r="BC75" s="138" t="n">
        <f aca="false">0</f>
        <v>0</v>
      </c>
      <c r="BD75" s="138" t="n">
        <f aca="false">0</f>
        <v>0</v>
      </c>
      <c r="BE75" s="138" t="n">
        <f aca="false">0</f>
        <v>0</v>
      </c>
      <c r="BF75" s="138" t="n">
        <f aca="false">0</f>
        <v>0</v>
      </c>
      <c r="BG75" s="138" t="n">
        <f aca="false">0</f>
        <v>0</v>
      </c>
      <c r="BH75" s="138" t="n">
        <f aca="false">0</f>
        <v>0</v>
      </c>
      <c r="BI75" s="138" t="n">
        <f aca="false">0</f>
        <v>0</v>
      </c>
      <c r="BJ75" s="138" t="n">
        <f aca="false">0</f>
        <v>0</v>
      </c>
      <c r="BK75" s="138" t="n">
        <f aca="false">0</f>
        <v>0</v>
      </c>
      <c r="BL75" s="138" t="n">
        <f aca="false">0</f>
        <v>0</v>
      </c>
      <c r="BM75" s="138" t="n">
        <f aca="false">0</f>
        <v>0</v>
      </c>
      <c r="BN75" s="138" t="n">
        <f aca="false">0</f>
        <v>0</v>
      </c>
      <c r="BO75" s="138" t="n">
        <f aca="false">0</f>
        <v>0</v>
      </c>
      <c r="BP75" s="138" t="n">
        <f aca="false">0</f>
        <v>0</v>
      </c>
      <c r="BQ75" s="138" t="n">
        <f aca="false">0</f>
        <v>0</v>
      </c>
      <c r="BR75" s="138" t="n">
        <f aca="false">0</f>
        <v>0</v>
      </c>
      <c r="BS75" s="138" t="n">
        <f aca="false">0</f>
        <v>0</v>
      </c>
      <c r="BT75" s="138" t="n">
        <f aca="false">0</f>
        <v>0</v>
      </c>
      <c r="BU75" s="138" t="n">
        <f aca="false">0</f>
        <v>0</v>
      </c>
      <c r="BV75" s="138" t="n">
        <f aca="false">0</f>
        <v>0</v>
      </c>
      <c r="BW75" s="138" t="n">
        <f aca="false">0</f>
        <v>0</v>
      </c>
      <c r="BX75" s="138" t="n">
        <f aca="false">0</f>
        <v>0</v>
      </c>
      <c r="BY75" s="138" t="n">
        <f aca="false">0</f>
        <v>0</v>
      </c>
      <c r="BZ75" s="138" t="n">
        <f aca="false">0</f>
        <v>0</v>
      </c>
      <c r="CA75" s="138" t="n">
        <f aca="false">0</f>
        <v>0</v>
      </c>
      <c r="CB75" s="138" t="n">
        <f aca="false">0</f>
        <v>0</v>
      </c>
      <c r="CC75" s="138" t="n">
        <f aca="false">0</f>
        <v>0</v>
      </c>
      <c r="CD75" s="138" t="n">
        <f aca="false">0</f>
        <v>0</v>
      </c>
      <c r="CE75" s="138" t="n">
        <f aca="false">0</f>
        <v>0</v>
      </c>
      <c r="CF75" s="138" t="n">
        <f aca="false">0</f>
        <v>0</v>
      </c>
      <c r="CG75" s="138" t="n">
        <f aca="false">0</f>
        <v>0</v>
      </c>
      <c r="CH75" s="138" t="n">
        <f aca="false">0</f>
        <v>0</v>
      </c>
    </row>
    <row r="76" customFormat="false" ht="13.5" hidden="false" customHeight="true" outlineLevel="0" collapsed="false">
      <c r="A76" s="13" t="s">
        <v>754</v>
      </c>
      <c r="C76" s="138" t="n">
        <f aca="false">-C106</f>
        <v>-333.333333333333</v>
      </c>
      <c r="D76" s="138" t="n">
        <f aca="false">-D106</f>
        <v>-333.333333333333</v>
      </c>
      <c r="E76" s="138" t="n">
        <f aca="false">-E106</f>
        <v>-333.333333333333</v>
      </c>
      <c r="F76" s="138" t="n">
        <f aca="false">-F106</f>
        <v>-333.333333333333</v>
      </c>
      <c r="G76" s="138" t="n">
        <f aca="false">-G106</f>
        <v>-333.333333333333</v>
      </c>
      <c r="H76" s="138" t="n">
        <f aca="false">-H106</f>
        <v>-333.333333333333</v>
      </c>
      <c r="I76" s="138" t="n">
        <f aca="false">-I106</f>
        <v>-333.333333333333</v>
      </c>
      <c r="J76" s="138" t="n">
        <f aca="false">-J106</f>
        <v>-354.201084663088</v>
      </c>
      <c r="K76" s="138" t="n">
        <f aca="false">-K106</f>
        <v>-429.929317539693</v>
      </c>
      <c r="L76" s="138" t="n">
        <f aca="false">-L106</f>
        <v>-505.657550416297</v>
      </c>
      <c r="M76" s="138" t="n">
        <f aca="false">-M106</f>
        <v>-564.652581933376</v>
      </c>
      <c r="N76" s="138" t="n">
        <f aca="false">-N106</f>
        <v>-635.596042136151</v>
      </c>
      <c r="O76" s="138" t="n">
        <f aca="false">-O106</f>
        <v>-601.995502338927</v>
      </c>
      <c r="P76" s="138" t="n">
        <f aca="false">-P106</f>
        <v>-622.000120544564</v>
      </c>
      <c r="Q76" s="138" t="n">
        <f aca="false">-Q106</f>
        <v>-688.231138750202</v>
      </c>
      <c r="R76" s="138" t="n">
        <f aca="false">-R106</f>
        <v>-754.462156955839</v>
      </c>
      <c r="S76" s="138" t="n">
        <f aca="false">-S106</f>
        <v>-535.580454436972</v>
      </c>
      <c r="T76" s="138" t="n">
        <f aca="false">-T106</f>
        <v>-886.924193367114</v>
      </c>
      <c r="U76" s="138" t="n">
        <f aca="false">-U106</f>
        <v>-906.928811572752</v>
      </c>
      <c r="V76" s="138" t="n">
        <f aca="false">-V106</f>
        <v>-918.775829778389</v>
      </c>
      <c r="W76" s="138" t="n">
        <f aca="false">-W106</f>
        <v>-985.006847984027</v>
      </c>
      <c r="X76" s="138" t="n">
        <f aca="false">-X106</f>
        <v>-1039.28943750397</v>
      </c>
      <c r="Y76" s="138" t="n">
        <f aca="false">-Y106</f>
        <v>-1093.57202702391</v>
      </c>
      <c r="Z76" s="138" t="n">
        <f aca="false">-Z106</f>
        <v>-1143.54504506957</v>
      </c>
      <c r="AA76" s="138" t="n">
        <f aca="false">-AA106</f>
        <v>-2804.56974160018</v>
      </c>
      <c r="AB76" s="138" t="n">
        <f aca="false">-AB106</f>
        <v>-2787.35514164019</v>
      </c>
      <c r="AC76" s="138" t="n">
        <f aca="false">-AC106</f>
        <v>-2817.75373368021</v>
      </c>
      <c r="AD76" s="138" t="n">
        <f aca="false">-AD106</f>
        <v>-2848.15232572023</v>
      </c>
      <c r="AE76" s="138" t="n">
        <f aca="false">-AE106</f>
        <v>-2482.62707673741</v>
      </c>
      <c r="AF76" s="138" t="n">
        <f aca="false">-AF106</f>
        <v>-2908.94950980026</v>
      </c>
      <c r="AG76" s="138" t="n">
        <f aca="false">-AG106</f>
        <v>-2939.34810184028</v>
      </c>
      <c r="AH76" s="138" t="n">
        <f aca="false">-AH106</f>
        <v>-2969.74669388029</v>
      </c>
      <c r="AI76" s="138" t="n">
        <f aca="false">-AI106</f>
        <v>-3000.14528592031</v>
      </c>
      <c r="AJ76" s="138" t="n">
        <f aca="false">-AJ106</f>
        <v>-3030.54387796033</v>
      </c>
      <c r="AK76" s="138" t="n">
        <f aca="false">-AK106</f>
        <v>-3060.94247000034</v>
      </c>
      <c r="AL76" s="138" t="n">
        <f aca="false">-AL106</f>
        <v>-3043.72787004036</v>
      </c>
      <c r="AM76" s="138" t="n">
        <f aca="false">-AM106</f>
        <v>-3025.45194784037</v>
      </c>
      <c r="AN76" s="138" t="n">
        <f aca="false">-AN106</f>
        <v>-3055.85053988039</v>
      </c>
      <c r="AO76" s="138" t="n">
        <f aca="false">-AO106</f>
        <v>-3086.24913192041</v>
      </c>
      <c r="AP76" s="138" t="n">
        <f aca="false">-AP106</f>
        <v>-3116.64772396042</v>
      </c>
      <c r="AQ76" s="138" t="n">
        <f aca="false">-AQ106</f>
        <v>-2751.12247497761</v>
      </c>
      <c r="AR76" s="138" t="n">
        <f aca="false">-AR106</f>
        <v>-3177.44490804046</v>
      </c>
      <c r="AS76" s="138" t="n">
        <f aca="false">-AS106</f>
        <v>-3171.8893524849</v>
      </c>
      <c r="AT76" s="138" t="n">
        <f aca="false">-AT106</f>
        <v>-3166.33379692935</v>
      </c>
      <c r="AU76" s="138" t="n">
        <f aca="false">-AU106</f>
        <v>-3160.77824137379</v>
      </c>
      <c r="AV76" s="138" t="n">
        <f aca="false">-AV106</f>
        <v>-3155.22268581824</v>
      </c>
      <c r="AW76" s="138" t="n">
        <f aca="false">-AW106</f>
        <v>-3149.66713026268</v>
      </c>
      <c r="AX76" s="138" t="n">
        <f aca="false">-AX106</f>
        <v>-3144.11157470712</v>
      </c>
      <c r="AY76" s="138" t="n">
        <f aca="false">-AY106</f>
        <v>-3089.60926948437</v>
      </c>
      <c r="AZ76" s="138" t="n">
        <f aca="false">-AZ106</f>
        <v>-3084.05371392881</v>
      </c>
      <c r="BA76" s="138" t="n">
        <f aca="false">-BA106</f>
        <v>-3078.49815837326</v>
      </c>
      <c r="BB76" s="138" t="n">
        <f aca="false">-BB106</f>
        <v>-3072.9426028177</v>
      </c>
      <c r="BC76" s="138" t="n">
        <f aca="false">-BC106</f>
        <v>-2671.46320623932</v>
      </c>
      <c r="BD76" s="138" t="n">
        <f aca="false">-BD106</f>
        <v>-3061.83149170659</v>
      </c>
      <c r="BE76" s="138" t="n">
        <f aca="false">-BE106</f>
        <v>-3056.27593615103</v>
      </c>
      <c r="BF76" s="138" t="n">
        <f aca="false">-BF106</f>
        <v>-3050.72038059548</v>
      </c>
      <c r="BG76" s="138" t="n">
        <f aca="false">-BG106</f>
        <v>-3045.16482503992</v>
      </c>
      <c r="BH76" s="138" t="n">
        <f aca="false">-BH106</f>
        <v>-3039.60926948437</v>
      </c>
      <c r="BI76" s="138" t="n">
        <f aca="false">-BI106</f>
        <v>-3034.05371392881</v>
      </c>
      <c r="BJ76" s="138" t="n">
        <f aca="false">-BJ106</f>
        <v>-3028.49815837326</v>
      </c>
      <c r="BK76" s="138" t="n">
        <f aca="false">-BK106</f>
        <v>-2973.71545066048</v>
      </c>
      <c r="BL76" s="138" t="n">
        <f aca="false">-BL106</f>
        <v>-2968.15989510493</v>
      </c>
      <c r="BM76" s="138" t="n">
        <f aca="false">-BM106</f>
        <v>-2962.60433954937</v>
      </c>
      <c r="BN76" s="138" t="n">
        <f aca="false">-BN106</f>
        <v>-2957.04878399382</v>
      </c>
      <c r="BO76" s="138" t="n">
        <f aca="false">-BO106</f>
        <v>-2555.56938741543</v>
      </c>
      <c r="BP76" s="138" t="n">
        <f aca="false">-BP106</f>
        <v>-2945.93767288271</v>
      </c>
      <c r="BQ76" s="138" t="n">
        <f aca="false">-BQ106</f>
        <v>-2940.38211732715</v>
      </c>
      <c r="BR76" s="138" t="n">
        <f aca="false">-BR106</f>
        <v>-2934.8265617716</v>
      </c>
      <c r="BS76" s="138" t="n">
        <f aca="false">-BS106</f>
        <v>-2929.27100621604</v>
      </c>
      <c r="BT76" s="138" t="n">
        <f aca="false">-BT106</f>
        <v>-2923.71545066049</v>
      </c>
      <c r="BU76" s="138" t="n">
        <f aca="false">-BU106</f>
        <v>-2918.15989510493</v>
      </c>
      <c r="BV76" s="138" t="n">
        <f aca="false">-BV106</f>
        <v>-2912.60433954937</v>
      </c>
      <c r="BW76" s="138" t="n">
        <f aca="false">-BW106</f>
        <v>-2857.53281727189</v>
      </c>
      <c r="BX76" s="138" t="n">
        <f aca="false">-BX106</f>
        <v>-2851.97726171633</v>
      </c>
      <c r="BY76" s="138" t="n">
        <f aca="false">-BY106</f>
        <v>-2846.42170616078</v>
      </c>
      <c r="BZ76" s="138" t="n">
        <f aca="false">-BZ106</f>
        <v>-2840.86615060522</v>
      </c>
      <c r="CA76" s="138" t="n">
        <f aca="false">-CA106</f>
        <v>-2439.38675402683</v>
      </c>
      <c r="CB76" s="138" t="n">
        <f aca="false">-CB106</f>
        <v>-2829.75503949411</v>
      </c>
      <c r="CC76" s="138" t="n">
        <f aca="false">-CC106</f>
        <v>-2824.19948393855</v>
      </c>
      <c r="CD76" s="138" t="n">
        <f aca="false">-CD106</f>
        <v>-2818.643928383</v>
      </c>
      <c r="CE76" s="138" t="n">
        <f aca="false">-CE106</f>
        <v>-2813.08837282744</v>
      </c>
      <c r="CF76" s="138" t="n">
        <f aca="false">-CF106</f>
        <v>-2807.53281727189</v>
      </c>
      <c r="CG76" s="138" t="n">
        <f aca="false">-CG106</f>
        <v>-2801.97726171633</v>
      </c>
      <c r="CH76" s="138" t="n">
        <f aca="false">-CH106</f>
        <v>-2796.42170616072</v>
      </c>
    </row>
    <row r="77" customFormat="false" ht="13.5" hidden="false" customHeight="true" outlineLevel="0" collapsed="false">
      <c r="A77" s="13" t="s">
        <v>755</v>
      </c>
      <c r="C77" s="138" t="n">
        <f aca="false">0</f>
        <v>0</v>
      </c>
      <c r="D77" s="138" t="n">
        <f aca="false">C81*Hipótesis!$D$71/12</f>
        <v>-0</v>
      </c>
      <c r="E77" s="138" t="n">
        <f aca="false">D81*Hipótesis!$D$71/12</f>
        <v>0</v>
      </c>
      <c r="F77" s="138" t="n">
        <f aca="false">E81*Hipótesis!$D$71/12</f>
        <v>0</v>
      </c>
      <c r="G77" s="138" t="n">
        <f aca="false">F81*Hipótesis!$D$71/12</f>
        <v>0</v>
      </c>
      <c r="H77" s="138" t="n">
        <f aca="false">G81*Hipótesis!$D$71/12</f>
        <v>0</v>
      </c>
      <c r="I77" s="138" t="n">
        <f aca="false">H81*Hipótesis!$D$71/12</f>
        <v>0</v>
      </c>
      <c r="J77" s="138" t="n">
        <f aca="false">I81*Hipótesis!$D$71/12</f>
        <v>27.9461818780437</v>
      </c>
      <c r="K77" s="138" t="n">
        <f aca="false">J81*Hipótesis!$D$71/12</f>
        <v>59.1774959173666</v>
      </c>
      <c r="L77" s="138" t="n">
        <f aca="false">K81*Hipótesis!$D$71/12</f>
        <v>71.4122207644901</v>
      </c>
      <c r="M77" s="138" t="n">
        <f aca="false">L81*Hipótesis!$D$71/12</f>
        <v>64.9998579056258</v>
      </c>
      <c r="N77" s="138" t="n">
        <f aca="false">M81*Hipótesis!$D$71/12</f>
        <v>41.9580148487998</v>
      </c>
      <c r="O77" s="138" t="n">
        <f aca="false">N81*Hipótesis!$D$71/12</f>
        <v>6.21890406538355</v>
      </c>
      <c r="P77" s="138" t="n">
        <f aca="false">O81*Hipótesis!$D$71/12</f>
        <v>0</v>
      </c>
      <c r="Q77" s="138" t="n">
        <f aca="false">P81*Hipótesis!$D$71/12</f>
        <v>0</v>
      </c>
      <c r="R77" s="138" t="n">
        <f aca="false">Q81*Hipótesis!$D$71/12</f>
        <v>0</v>
      </c>
      <c r="S77" s="138" t="n">
        <f aca="false">R81*Hipótesis!$D$71/12</f>
        <v>0</v>
      </c>
      <c r="T77" s="138" t="n">
        <f aca="false">S81*Hipótesis!$D$71/12</f>
        <v>0</v>
      </c>
      <c r="U77" s="138" t="n">
        <f aca="false">T81*Hipótesis!$D$71/12</f>
        <v>0</v>
      </c>
      <c r="V77" s="138" t="n">
        <f aca="false">U81*Hipótesis!$D$71/12</f>
        <v>0</v>
      </c>
      <c r="W77" s="138" t="n">
        <f aca="false">V81*Hipótesis!$D$71/12</f>
        <v>0</v>
      </c>
      <c r="X77" s="138" t="n">
        <f aca="false">W81*Hipótesis!$D$71/12</f>
        <v>0</v>
      </c>
      <c r="Y77" s="138" t="n">
        <f aca="false">X81*Hipótesis!$D$71/12</f>
        <v>0</v>
      </c>
      <c r="Z77" s="138" t="n">
        <f aca="false">Y81*Hipótesis!$D$71/12</f>
        <v>0</v>
      </c>
      <c r="AA77" s="138" t="n">
        <f aca="false">Z81*Hipótesis!$D$71/12</f>
        <v>0</v>
      </c>
      <c r="AB77" s="138" t="n">
        <f aca="false">AA81*Hipótesis!$D$71/12</f>
        <v>0</v>
      </c>
      <c r="AC77" s="138" t="n">
        <f aca="false">AB81*Hipótesis!$D$71/12</f>
        <v>0</v>
      </c>
      <c r="AD77" s="138" t="n">
        <f aca="false">AC81*Hipótesis!$D$71/12</f>
        <v>0</v>
      </c>
      <c r="AE77" s="138" t="n">
        <f aca="false">AD81*Hipótesis!$D$71/12</f>
        <v>0</v>
      </c>
      <c r="AF77" s="138" t="n">
        <f aca="false">AE81*Hipótesis!$D$71/12</f>
        <v>0</v>
      </c>
      <c r="AG77" s="138" t="n">
        <f aca="false">AF81*Hipótesis!$D$71/12</f>
        <v>0</v>
      </c>
      <c r="AH77" s="138" t="n">
        <f aca="false">AG81*Hipótesis!$D$71/12</f>
        <v>0</v>
      </c>
      <c r="AI77" s="138" t="n">
        <f aca="false">AH81*Hipótesis!$D$71/12</f>
        <v>0</v>
      </c>
      <c r="AJ77" s="138" t="n">
        <f aca="false">AI81*Hipótesis!$D$71/12</f>
        <v>0</v>
      </c>
      <c r="AK77" s="138" t="n">
        <f aca="false">AJ81*Hipótesis!$D$71/12</f>
        <v>0</v>
      </c>
      <c r="AL77" s="138" t="n">
        <f aca="false">AK81*Hipótesis!$D$71/12</f>
        <v>0</v>
      </c>
      <c r="AM77" s="138" t="n">
        <f aca="false">AL81*Hipótesis!$D$71/12</f>
        <v>0</v>
      </c>
      <c r="AN77" s="138" t="n">
        <f aca="false">AM81*Hipótesis!$D$71/12</f>
        <v>0</v>
      </c>
      <c r="AO77" s="138" t="n">
        <f aca="false">AN81*Hipótesis!$D$71/12</f>
        <v>0</v>
      </c>
      <c r="AP77" s="138" t="n">
        <f aca="false">AO81*Hipótesis!$D$71/12</f>
        <v>0</v>
      </c>
      <c r="AQ77" s="138" t="n">
        <f aca="false">AP81*Hipótesis!$D$71/12</f>
        <v>0</v>
      </c>
      <c r="AR77" s="138" t="n">
        <f aca="false">AQ81*Hipótesis!$D$71/12</f>
        <v>0</v>
      </c>
      <c r="AS77" s="138" t="n">
        <f aca="false">AR81*Hipótesis!$D$71/12</f>
        <v>0</v>
      </c>
      <c r="AT77" s="138" t="n">
        <f aca="false">AS81*Hipótesis!$D$71/12</f>
        <v>0</v>
      </c>
      <c r="AU77" s="138" t="n">
        <f aca="false">AT81*Hipótesis!$D$71/12</f>
        <v>0</v>
      </c>
      <c r="AV77" s="138" t="n">
        <f aca="false">AU81*Hipótesis!$D$71/12</f>
        <v>0</v>
      </c>
      <c r="AW77" s="138" t="n">
        <f aca="false">AV81*Hipótesis!$D$71/12</f>
        <v>0</v>
      </c>
      <c r="AX77" s="138" t="n">
        <f aca="false">AW81*Hipótesis!$D$71/12</f>
        <v>0</v>
      </c>
      <c r="AY77" s="138" t="n">
        <f aca="false">AX81*Hipótesis!$D$71/12</f>
        <v>0</v>
      </c>
      <c r="AZ77" s="138" t="n">
        <f aca="false">AY81*Hipótesis!$D$71/12</f>
        <v>0</v>
      </c>
      <c r="BA77" s="138" t="n">
        <f aca="false">AZ81*Hipótesis!$D$71/12</f>
        <v>0</v>
      </c>
      <c r="BB77" s="138" t="n">
        <f aca="false">BA81*Hipótesis!$D$71/12</f>
        <v>0</v>
      </c>
      <c r="BC77" s="138" t="n">
        <f aca="false">BB81*Hipótesis!$D$71/12</f>
        <v>0</v>
      </c>
      <c r="BD77" s="138" t="n">
        <f aca="false">BC81*Hipótesis!$D$71/12</f>
        <v>0</v>
      </c>
      <c r="BE77" s="138" t="n">
        <f aca="false">BD81*Hipótesis!$D$71/12</f>
        <v>0</v>
      </c>
      <c r="BF77" s="138" t="n">
        <f aca="false">BE81*Hipótesis!$D$71/12</f>
        <v>0</v>
      </c>
      <c r="BG77" s="138" t="n">
        <f aca="false">BF81*Hipótesis!$D$71/12</f>
        <v>0</v>
      </c>
      <c r="BH77" s="138" t="n">
        <f aca="false">BG81*Hipótesis!$D$71/12</f>
        <v>0</v>
      </c>
      <c r="BI77" s="138" t="n">
        <f aca="false">BH81*Hipótesis!$D$71/12</f>
        <v>0</v>
      </c>
      <c r="BJ77" s="138" t="n">
        <f aca="false">BI81*Hipótesis!$D$71/12</f>
        <v>0</v>
      </c>
      <c r="BK77" s="138" t="n">
        <f aca="false">BJ81*Hipótesis!$D$71/12</f>
        <v>0</v>
      </c>
      <c r="BL77" s="138" t="n">
        <f aca="false">BK81*Hipótesis!$D$71/12</f>
        <v>0</v>
      </c>
      <c r="BM77" s="138" t="n">
        <f aca="false">BL81*Hipótesis!$D$71/12</f>
        <v>0</v>
      </c>
      <c r="BN77" s="138" t="n">
        <f aca="false">BM81*Hipótesis!$D$71/12</f>
        <v>0</v>
      </c>
      <c r="BO77" s="138" t="n">
        <f aca="false">BN81*Hipótesis!$D$71/12</f>
        <v>0</v>
      </c>
      <c r="BP77" s="138" t="n">
        <f aca="false">BO81*Hipótesis!$D$71/12</f>
        <v>0</v>
      </c>
      <c r="BQ77" s="138" t="n">
        <f aca="false">BP81*Hipótesis!$D$71/12</f>
        <v>0</v>
      </c>
      <c r="BR77" s="138" t="n">
        <f aca="false">BQ81*Hipótesis!$D$71/12</f>
        <v>0</v>
      </c>
      <c r="BS77" s="138" t="n">
        <f aca="false">BR81*Hipótesis!$D$71/12</f>
        <v>0</v>
      </c>
      <c r="BT77" s="138" t="n">
        <f aca="false">BS81*Hipótesis!$D$71/12</f>
        <v>0</v>
      </c>
      <c r="BU77" s="138" t="n">
        <f aca="false">BT81*Hipótesis!$D$71/12</f>
        <v>0</v>
      </c>
      <c r="BV77" s="138" t="n">
        <f aca="false">BU81*Hipótesis!$D$71/12</f>
        <v>0</v>
      </c>
      <c r="BW77" s="138" t="n">
        <f aca="false">BV81*Hipótesis!$D$71/12</f>
        <v>0</v>
      </c>
      <c r="BX77" s="138" t="n">
        <f aca="false">BW81*Hipótesis!$D$71/12</f>
        <v>0</v>
      </c>
      <c r="BY77" s="138" t="n">
        <f aca="false">BX81*Hipótesis!$D$71/12</f>
        <v>0</v>
      </c>
      <c r="BZ77" s="138" t="n">
        <f aca="false">BY81*Hipótesis!$D$71/12</f>
        <v>0</v>
      </c>
      <c r="CA77" s="138" t="n">
        <f aca="false">BZ81*Hipótesis!$D$71/12</f>
        <v>0</v>
      </c>
      <c r="CB77" s="138" t="n">
        <f aca="false">CA81*Hipótesis!$D$71/12</f>
        <v>0</v>
      </c>
      <c r="CC77" s="138" t="n">
        <f aca="false">CB81*Hipótesis!$D$71/12</f>
        <v>0</v>
      </c>
      <c r="CD77" s="138" t="n">
        <f aca="false">CC81*Hipótesis!$D$71/12</f>
        <v>0</v>
      </c>
      <c r="CE77" s="138" t="n">
        <f aca="false">CD81*Hipótesis!$D$71/12</f>
        <v>0</v>
      </c>
      <c r="CF77" s="138" t="n">
        <f aca="false">CE81*Hipótesis!$D$71/12</f>
        <v>0</v>
      </c>
      <c r="CG77" s="138" t="n">
        <f aca="false">CF81*Hipótesis!$D$71/12</f>
        <v>0</v>
      </c>
      <c r="CH77" s="138" t="n">
        <f aca="false">CG81*Hipótesis!$D$71/12</f>
        <v>0</v>
      </c>
    </row>
    <row r="78" customFormat="false" ht="13.5" hidden="false" customHeight="true" outlineLevel="0" collapsed="false">
      <c r="A78" s="30" t="s">
        <v>756</v>
      </c>
      <c r="C78" s="138" t="n">
        <f aca="false">C74+C75+C76-C77</f>
        <v>146396.417581049</v>
      </c>
      <c r="D78" s="138" t="n">
        <f aca="false">D74+D75+D76-D77</f>
        <v>-30309.7023744792</v>
      </c>
      <c r="E78" s="138" t="n">
        <f aca="false">E74+E75+E76-E77</f>
        <v>-23772.2388901411</v>
      </c>
      <c r="F78" s="138" t="n">
        <f aca="false">F74+F75+F76-F77</f>
        <v>-20619.8646918225</v>
      </c>
      <c r="G78" s="138" t="n">
        <f aca="false">G74+G75+G76-G77</f>
        <v>-17437.9261142807</v>
      </c>
      <c r="H78" s="138" t="n">
        <f aca="false">H74+H75+H76-H77</f>
        <v>-19187.1520929294</v>
      </c>
      <c r="I78" s="138" t="n">
        <f aca="false">I74+I75+I76-I77</f>
        <v>-11166.882190787</v>
      </c>
      <c r="J78" s="138" t="n">
        <f aca="false">J74+J75+J76-J77</f>
        <v>-6814.10488130682</v>
      </c>
      <c r="K78" s="138" t="n">
        <f aca="false">K74+K75+K76-K77</f>
        <v>-2669.39451209966</v>
      </c>
      <c r="L78" s="138" t="n">
        <f aca="false">L74+L75+L76-L77</f>
        <v>1399.06098738857</v>
      </c>
      <c r="M78" s="138" t="n">
        <f aca="false">M74+M75+M76-M77</f>
        <v>5027.3112123984</v>
      </c>
      <c r="N78" s="138" t="n">
        <f aca="false">N74+N75+N76-N77</f>
        <v>7797.62417092718</v>
      </c>
      <c r="O78" s="138" t="n">
        <f aca="false">O74+O75+O76-O77</f>
        <v>8388.05993672702</v>
      </c>
      <c r="P78" s="138" t="n">
        <f aca="false">P74+P75+P76-P77</f>
        <v>9187.22382773799</v>
      </c>
      <c r="Q78" s="138" t="n">
        <f aca="false">Q74+Q75+Q76-Q77</f>
        <v>11851.3343630036</v>
      </c>
      <c r="R78" s="138" t="n">
        <f aca="false">R74+R75+R76-R77</f>
        <v>14515.4448982693</v>
      </c>
      <c r="S78" s="138" t="n">
        <f aca="false">S74+S75+S76-S77</f>
        <v>21523.9422417664</v>
      </c>
      <c r="T78" s="138" t="n">
        <f aca="false">T74+T75+T76-T77</f>
        <v>3996.87351279993</v>
      </c>
      <c r="U78" s="138" t="n">
        <f aca="false">U74+U75+U76-U77</f>
        <v>20582.4469440662</v>
      </c>
      <c r="V78" s="138" t="n">
        <f aca="false">V74+V75+V76-V77</f>
        <v>20981.4638793319</v>
      </c>
      <c r="W78" s="138" t="n">
        <f aca="false">W74+W75+W76-W77</f>
        <v>23645.5744145976</v>
      </c>
      <c r="X78" s="138" t="n">
        <f aca="false">X74+X75+X76-X77</f>
        <v>25933.9001326199</v>
      </c>
      <c r="Y78" s="138" t="n">
        <f aca="false">Y74+Y75+Y76-Y77</f>
        <v>28119.4381209388</v>
      </c>
      <c r="Z78" s="138" t="n">
        <f aca="false">Z74+Z75+Z76-Z77</f>
        <v>30164.3245654854</v>
      </c>
      <c r="AA78" s="138" t="n">
        <f aca="false">AA74+AA75+AA76-AA77</f>
        <v>29244.4620350753</v>
      </c>
      <c r="AB78" s="138" t="n">
        <f aca="false">AB74+AB75+AB76-AB77</f>
        <v>28714.4583729941</v>
      </c>
      <c r="AC78" s="138" t="n">
        <f aca="false">AC74+AC75+AC76-AC77</f>
        <v>30167.544157713</v>
      </c>
      <c r="AD78" s="138" t="n">
        <f aca="false">AD74+AD75+AD76-AD77</f>
        <v>31620.6299424318</v>
      </c>
      <c r="AE78" s="138" t="n">
        <f aca="false">AE74+AE75+AE76-AE77</f>
        <v>39481.3676917127</v>
      </c>
      <c r="AF78" s="138" t="n">
        <f aca="false">AF74+AF75+AF76-AF77</f>
        <v>12154.8592210451</v>
      </c>
      <c r="AG78" s="138" t="n">
        <f aca="false">AG74+AG75+AG76-AG77</f>
        <v>35979.8872965884</v>
      </c>
      <c r="AH78" s="138" t="n">
        <f aca="false">AH74+AH75+AH76-AH77</f>
        <v>37432.9730813072</v>
      </c>
      <c r="AI78" s="138" t="n">
        <f aca="false">AI74+AI75+AI76-AI77</f>
        <v>38886.0588660261</v>
      </c>
      <c r="AJ78" s="138" t="n">
        <f aca="false">AJ74+AJ75+AJ76-AJ77</f>
        <v>40339.144650745</v>
      </c>
      <c r="AK78" s="138" t="n">
        <f aca="false">AK74+AK75+AK76-AK77</f>
        <v>41792.2304354638</v>
      </c>
      <c r="AL78" s="138" t="n">
        <f aca="false">AL74+AL75+AL76-AL77</f>
        <v>41262.2267733827</v>
      </c>
      <c r="AM78" s="138" t="n">
        <f aca="false">AM74+AM75+AM76-AM77</f>
        <v>35520.3986818729</v>
      </c>
      <c r="AN78" s="138" t="n">
        <f aca="false">AN74+AN75+AN76-AN77</f>
        <v>36797.6041299732</v>
      </c>
      <c r="AO78" s="138" t="n">
        <f aca="false">AO74+AO75+AO76-AO77</f>
        <v>38074.8095780735</v>
      </c>
      <c r="AP78" s="138" t="n">
        <f aca="false">AP74+AP75+AP76-AP77</f>
        <v>39352.0150261738</v>
      </c>
      <c r="AQ78" s="138" t="n">
        <f aca="false">AQ74+AQ75+AQ76-AQ77</f>
        <v>48976.8992598479</v>
      </c>
      <c r="AR78" s="138" t="n">
        <f aca="false">AR74+AR75+AR76-AR77</f>
        <v>19534.4836315499</v>
      </c>
      <c r="AS78" s="138" t="n">
        <f aca="false">AS74+AS75+AS76-AS77</f>
        <v>42392.722299397</v>
      </c>
      <c r="AT78" s="138" t="n">
        <f aca="false">AT74+AT75+AT76-AT77</f>
        <v>42396.8889660637</v>
      </c>
      <c r="AU78" s="138" t="n">
        <f aca="false">AU74+AU75+AU76-AU77</f>
        <v>42401.0556327303</v>
      </c>
      <c r="AV78" s="138" t="n">
        <f aca="false">AV74+AV75+AV76-AV77</f>
        <v>42405.222299397</v>
      </c>
      <c r="AW78" s="138" t="n">
        <f aca="false">AW74+AW75+AW76-AW77</f>
        <v>42409.3889660637</v>
      </c>
      <c r="AX78" s="138" t="n">
        <f aca="false">AX74+AX75+AX76-AX77</f>
        <v>42413.5556327303</v>
      </c>
      <c r="AY78" s="138" t="n">
        <f aca="false">AY74+AY75+AY76-AY77</f>
        <v>40618.9292491274</v>
      </c>
      <c r="AZ78" s="138" t="n">
        <f aca="false">AZ74+AZ75+AZ76-AZ77</f>
        <v>40623.095915794</v>
      </c>
      <c r="BA78" s="138" t="n">
        <f aca="false">BA74+BA75+BA76-BA77</f>
        <v>40627.2625824607</v>
      </c>
      <c r="BB78" s="138" t="n">
        <f aca="false">BB74+BB75+BB76-BB77</f>
        <v>40631.4292491274</v>
      </c>
      <c r="BC78" s="138" t="n">
        <f aca="false">BC74+BC75+BC76-BC77</f>
        <v>48983.2747013679</v>
      </c>
      <c r="BD78" s="138" t="n">
        <f aca="false">BD74+BD75+BD76-BD77</f>
        <v>18267.8202916362</v>
      </c>
      <c r="BE78" s="138" t="n">
        <f aca="false">BE74+BE75+BE76-BE77</f>
        <v>40643.9292491274</v>
      </c>
      <c r="BF78" s="138" t="n">
        <f aca="false">BF74+BF75+BF76-BF77</f>
        <v>40648.095915794</v>
      </c>
      <c r="BG78" s="138" t="n">
        <f aca="false">BG74+BG75+BG76-BG77</f>
        <v>40652.2625824607</v>
      </c>
      <c r="BH78" s="138" t="n">
        <f aca="false">BH74+BH75+BH76-BH77</f>
        <v>40656.4292491274</v>
      </c>
      <c r="BI78" s="138" t="n">
        <f aca="false">BI74+BI75+BI76-BI77</f>
        <v>40660.595915794</v>
      </c>
      <c r="BJ78" s="138" t="n">
        <f aca="false">BJ74+BJ75+BJ76-BJ77</f>
        <v>40664.7625824607</v>
      </c>
      <c r="BK78" s="138" t="n">
        <f aca="false">BK74+BK75+BK76-BK77</f>
        <v>38859.8314073497</v>
      </c>
      <c r="BL78" s="138" t="n">
        <f aca="false">BL74+BL75+BL76-BL77</f>
        <v>38863.9980740164</v>
      </c>
      <c r="BM78" s="138" t="n">
        <f aca="false">BM74+BM75+BM76-BM77</f>
        <v>38868.164740683</v>
      </c>
      <c r="BN78" s="138" t="n">
        <f aca="false">BN74+BN75+BN76-BN77</f>
        <v>38872.3314073497</v>
      </c>
      <c r="BO78" s="138" t="n">
        <f aca="false">BO74+BO75+BO76-BO77</f>
        <v>47224.1768595902</v>
      </c>
      <c r="BP78" s="138" t="n">
        <f aca="false">BP74+BP75+BP76-BP77</f>
        <v>16508.7224498586</v>
      </c>
      <c r="BQ78" s="138" t="n">
        <f aca="false">BQ74+BQ75+BQ76-BQ77</f>
        <v>38884.8314073497</v>
      </c>
      <c r="BR78" s="138" t="n">
        <f aca="false">BR74+BR75+BR76-BR77</f>
        <v>38888.9980740164</v>
      </c>
      <c r="BS78" s="138" t="n">
        <f aca="false">BS74+BS75+BS76-BS77</f>
        <v>38893.164740683</v>
      </c>
      <c r="BT78" s="138" t="n">
        <f aca="false">BT74+BT75+BT76-BT77</f>
        <v>38897.3314073497</v>
      </c>
      <c r="BU78" s="138" t="n">
        <f aca="false">BU74+BU75+BU76-BU77</f>
        <v>38901.4980740164</v>
      </c>
      <c r="BV78" s="138" t="n">
        <f aca="false">BV74+BV75+BV76-BV77</f>
        <v>38905.664740683</v>
      </c>
      <c r="BW78" s="138" t="n">
        <f aca="false">BW74+BW75+BW76-BW77</f>
        <v>37090.1196303187</v>
      </c>
      <c r="BX78" s="138" t="n">
        <f aca="false">BX74+BX75+BX76-BX77</f>
        <v>37094.2862969853</v>
      </c>
      <c r="BY78" s="138" t="n">
        <f aca="false">BY74+BY75+BY76-BY77</f>
        <v>37098.452963652</v>
      </c>
      <c r="BZ78" s="138" t="n">
        <f aca="false">BZ74+BZ75+BZ76-BZ77</f>
        <v>37102.6196303187</v>
      </c>
      <c r="CA78" s="138" t="n">
        <f aca="false">CA74+CA75+CA76-CA77</f>
        <v>45454.4650825592</v>
      </c>
      <c r="CB78" s="138" t="n">
        <f aca="false">CB74+CB75+CB76-CB77</f>
        <v>14739.0106728275</v>
      </c>
      <c r="CC78" s="138" t="n">
        <f aca="false">CC74+CC75+CC76-CC77</f>
        <v>37115.1196303187</v>
      </c>
      <c r="CD78" s="138" t="n">
        <f aca="false">CD74+CD75+CD76-CD77</f>
        <v>37119.2862969853</v>
      </c>
      <c r="CE78" s="138" t="n">
        <f aca="false">CE74+CE75+CE76-CE77</f>
        <v>37123.452963652</v>
      </c>
      <c r="CF78" s="138" t="n">
        <f aca="false">CF74+CF75+CF76-CF77</f>
        <v>37127.6196303187</v>
      </c>
      <c r="CG78" s="138" t="n">
        <f aca="false">CG74+CG75+CG76-CG77</f>
        <v>37131.7862969853</v>
      </c>
      <c r="CH78" s="138" t="n">
        <f aca="false">CH74+CH75+CH76-CH77</f>
        <v>37135.9529636521</v>
      </c>
    </row>
    <row r="79" customFormat="false" ht="13.5" hidden="false" customHeight="true" outlineLevel="0" collapsed="false">
      <c r="A79" s="13" t="s">
        <v>757</v>
      </c>
      <c r="C79" s="138" t="n">
        <f aca="false">C78</f>
        <v>146396.417581049</v>
      </c>
      <c r="D79" s="138" t="n">
        <f aca="false">C86+D78</f>
        <v>116086.715206569</v>
      </c>
      <c r="E79" s="138" t="n">
        <f aca="false">D86+E78</f>
        <v>92314.4763164283</v>
      </c>
      <c r="F79" s="138" t="n">
        <f aca="false">E86+F78</f>
        <v>71694.6116246057</v>
      </c>
      <c r="G79" s="138" t="n">
        <f aca="false">F86+G78</f>
        <v>54256.685510325</v>
      </c>
      <c r="H79" s="138" t="n">
        <f aca="false">G86+H78</f>
        <v>35069.5334173957</v>
      </c>
      <c r="I79" s="138" t="n">
        <f aca="false">H86+I78</f>
        <v>23902.6512266086</v>
      </c>
      <c r="J79" s="138" t="n">
        <f aca="false">I86+J78</f>
        <v>23185.8951186932</v>
      </c>
      <c r="K79" s="138" t="n">
        <f aca="false">J86+K78</f>
        <v>27330.6054879003</v>
      </c>
      <c r="L79" s="138" t="n">
        <f aca="false">K86+L78</f>
        <v>31399.0609873886</v>
      </c>
      <c r="M79" s="138" t="n">
        <f aca="false">L86+M78</f>
        <v>35027.3112123984</v>
      </c>
      <c r="N79" s="138" t="n">
        <f aca="false">M86+N78</f>
        <v>37797.6241709272</v>
      </c>
      <c r="O79" s="138" t="n">
        <f aca="false">N86+O78</f>
        <v>38388.059936727</v>
      </c>
      <c r="P79" s="138" t="n">
        <f aca="false">O86+P78</f>
        <v>46218.4319683813</v>
      </c>
      <c r="Q79" s="138" t="n">
        <f aca="false">P86+Q78</f>
        <v>58069.766331385</v>
      </c>
      <c r="R79" s="138" t="n">
        <f aca="false">Q86+R78</f>
        <v>72585.2112296543</v>
      </c>
      <c r="S79" s="138" t="n">
        <f aca="false">R86+S78</f>
        <v>94109.1534714206</v>
      </c>
      <c r="T79" s="138" t="n">
        <f aca="false">S86+T78</f>
        <v>98106.0269842205</v>
      </c>
      <c r="U79" s="138" t="n">
        <f aca="false">T86+U78</f>
        <v>118688.473928287</v>
      </c>
      <c r="V79" s="138" t="n">
        <f aca="false">U86+V78</f>
        <v>139669.937807619</v>
      </c>
      <c r="W79" s="138" t="n">
        <f aca="false">V86+W78</f>
        <v>163315.512222216</v>
      </c>
      <c r="X79" s="138" t="n">
        <f aca="false">W86+X78</f>
        <v>189249.412354836</v>
      </c>
      <c r="Y79" s="138" t="n">
        <f aca="false">X86+Y78</f>
        <v>217368.850475775</v>
      </c>
      <c r="Z79" s="138" t="n">
        <f aca="false">Y86+Z78</f>
        <v>247533.17504126</v>
      </c>
      <c r="AA79" s="138" t="n">
        <f aca="false">Z86+AA78</f>
        <v>276777.637076336</v>
      </c>
      <c r="AB79" s="138" t="n">
        <f aca="false">AA86+AB78</f>
        <v>305492.09544933</v>
      </c>
      <c r="AC79" s="138" t="n">
        <f aca="false">AB86+AC78</f>
        <v>335659.639607043</v>
      </c>
      <c r="AD79" s="138" t="n">
        <f aca="false">AC86+AD78</f>
        <v>367280.269549475</v>
      </c>
      <c r="AE79" s="138" t="n">
        <f aca="false">AD86+AE78</f>
        <v>406761.637241187</v>
      </c>
      <c r="AF79" s="138" t="n">
        <f aca="false">AE86+AF78</f>
        <v>418916.496462232</v>
      </c>
      <c r="AG79" s="138" t="n">
        <f aca="false">AF86+AG78</f>
        <v>454896.383758821</v>
      </c>
      <c r="AH79" s="138" t="n">
        <f aca="false">AG86+AH78</f>
        <v>492329.356840128</v>
      </c>
      <c r="AI79" s="138" t="n">
        <f aca="false">AH86+AI78</f>
        <v>531215.415706154</v>
      </c>
      <c r="AJ79" s="138" t="n">
        <f aca="false">AI86+AJ78</f>
        <v>571554.560356899</v>
      </c>
      <c r="AK79" s="138" t="n">
        <f aca="false">AJ86+AK78</f>
        <v>613346.790792363</v>
      </c>
      <c r="AL79" s="138" t="n">
        <f aca="false">AK86+AL78</f>
        <v>654609.017565746</v>
      </c>
      <c r="AM79" s="138" t="n">
        <f aca="false">AL86+AM78</f>
        <v>690129.416247618</v>
      </c>
      <c r="AN79" s="138" t="n">
        <f aca="false">AM86+AN78</f>
        <v>726927.020377592</v>
      </c>
      <c r="AO79" s="138" t="n">
        <f aca="false">AN86+AO78</f>
        <v>765001.829955665</v>
      </c>
      <c r="AP79" s="138" t="n">
        <f aca="false">AO86+AP78</f>
        <v>804353.844981839</v>
      </c>
      <c r="AQ79" s="138" t="n">
        <f aca="false">AP86+AQ78</f>
        <v>853330.744241687</v>
      </c>
      <c r="AR79" s="138" t="n">
        <f aca="false">AQ86+AR78</f>
        <v>872865.227873237</v>
      </c>
      <c r="AS79" s="138" t="n">
        <f aca="false">AR86+AS78</f>
        <v>915257.950172634</v>
      </c>
      <c r="AT79" s="138" t="n">
        <f aca="false">AS86+AT78</f>
        <v>957654.839138697</v>
      </c>
      <c r="AU79" s="138" t="n">
        <f aca="false">AT86+AU78</f>
        <v>1000055.89477143</v>
      </c>
      <c r="AV79" s="138" t="n">
        <f aca="false">AU86+AV78</f>
        <v>1042461.11707082</v>
      </c>
      <c r="AW79" s="138" t="n">
        <f aca="false">AV86+AW78</f>
        <v>1084870.50603689</v>
      </c>
      <c r="AX79" s="138" t="n">
        <f aca="false">AW86+AX78</f>
        <v>1127284.06166962</v>
      </c>
      <c r="AY79" s="138" t="n">
        <f aca="false">AX86+AY78</f>
        <v>963909.893045503</v>
      </c>
      <c r="AZ79" s="138" t="n">
        <f aca="false">AY86+AZ78</f>
        <v>1004532.9889613</v>
      </c>
      <c r="BA79" s="138" t="n">
        <f aca="false">AZ86+BA78</f>
        <v>1045160.25154376</v>
      </c>
      <c r="BB79" s="138" t="n">
        <f aca="false">BA86+BB78</f>
        <v>1085791.68079288</v>
      </c>
      <c r="BC79" s="138" t="n">
        <f aca="false">BB86+BC78</f>
        <v>1134774.95549425</v>
      </c>
      <c r="BD79" s="138" t="n">
        <f aca="false">BC86+BD78</f>
        <v>1153042.77578589</v>
      </c>
      <c r="BE79" s="138" t="n">
        <f aca="false">BD86+BE78</f>
        <v>1193686.70503502</v>
      </c>
      <c r="BF79" s="138" t="n">
        <f aca="false">BE86+BF78</f>
        <v>1234334.80095081</v>
      </c>
      <c r="BG79" s="138" t="n">
        <f aca="false">BF86+BG78</f>
        <v>1274987.06353327</v>
      </c>
      <c r="BH79" s="138" t="n">
        <f aca="false">BG86+BH78</f>
        <v>1315643.4927824</v>
      </c>
      <c r="BI79" s="138" t="n">
        <f aca="false">BH86+BI78</f>
        <v>1356304.08869819</v>
      </c>
      <c r="BJ79" s="138" t="n">
        <f aca="false">BI86+BJ78</f>
        <v>1396968.85128065</v>
      </c>
      <c r="BK79" s="138" t="n">
        <f aca="false">BJ86+BK78</f>
        <v>1232340.17630822</v>
      </c>
      <c r="BL79" s="138" t="n">
        <f aca="false">BK86+BL78</f>
        <v>1271204.17438224</v>
      </c>
      <c r="BM79" s="138" t="n">
        <f aca="false">BL86+BM78</f>
        <v>1310072.33912292</v>
      </c>
      <c r="BN79" s="138" t="n">
        <f aca="false">BM86+BN78</f>
        <v>1348944.67053027</v>
      </c>
      <c r="BO79" s="138" t="n">
        <f aca="false">BN86+BO78</f>
        <v>1396168.84738986</v>
      </c>
      <c r="BP79" s="138" t="n">
        <f aca="false">BO86+BP78</f>
        <v>1412677.56983972</v>
      </c>
      <c r="BQ79" s="138" t="n">
        <f aca="false">BP86+BQ78</f>
        <v>1451562.40124707</v>
      </c>
      <c r="BR79" s="138" t="n">
        <f aca="false">BQ86+BR78</f>
        <v>1490451.39932108</v>
      </c>
      <c r="BS79" s="138" t="n">
        <f aca="false">BR86+BS78</f>
        <v>1529344.56406177</v>
      </c>
      <c r="BT79" s="138" t="n">
        <f aca="false">BS86+BT78</f>
        <v>1568241.89546912</v>
      </c>
      <c r="BU79" s="138" t="n">
        <f aca="false">BT86+BU78</f>
        <v>1607143.39354313</v>
      </c>
      <c r="BV79" s="138" t="n">
        <f aca="false">BU86+BV78</f>
        <v>1646049.05828381</v>
      </c>
      <c r="BW79" s="138" t="n">
        <f aca="false">BV86+BW78</f>
        <v>1488094.34117488</v>
      </c>
      <c r="BX79" s="138" t="n">
        <f aca="false">BW86+BX78</f>
        <v>1525188.62747187</v>
      </c>
      <c r="BY79" s="138" t="n">
        <f aca="false">BX86+BY78</f>
        <v>1562287.08043552</v>
      </c>
      <c r="BZ79" s="138" t="n">
        <f aca="false">BY86+BZ78</f>
        <v>1599389.70006584</v>
      </c>
      <c r="CA79" s="138" t="n">
        <f aca="false">BZ86+CA78</f>
        <v>1644844.1651484</v>
      </c>
      <c r="CB79" s="138" t="n">
        <f aca="false">CA86+CB78</f>
        <v>1659583.17582122</v>
      </c>
      <c r="CC79" s="138" t="n">
        <f aca="false">CB86+CC78</f>
        <v>1696698.29545154</v>
      </c>
      <c r="CD79" s="138" t="n">
        <f aca="false">CC86+CD78</f>
        <v>1733817.58174853</v>
      </c>
      <c r="CE79" s="138" t="n">
        <f aca="false">CD86+CE78</f>
        <v>1770941.03471218</v>
      </c>
      <c r="CF79" s="138" t="n">
        <f aca="false">CE86+CF78</f>
        <v>1808068.6543425</v>
      </c>
      <c r="CG79" s="138" t="n">
        <f aca="false">CF86+CG78</f>
        <v>1845200.44063948</v>
      </c>
      <c r="CH79" s="138" t="n">
        <f aca="false">CG86+CH78</f>
        <v>1882336.39360314</v>
      </c>
    </row>
    <row r="80" customFormat="false" ht="13.5" hidden="false" customHeight="true" outlineLevel="0" collapsed="false">
      <c r="A80" s="30" t="s">
        <v>758</v>
      </c>
      <c r="C80" s="138" t="n">
        <f aca="false">IF(C79&lt;Hipótesis!$D$72,MIN(Hipótesis!$D$70-0,Hipótesis!$D$72-C79),-MIN(0,MAX(0,C79-Hipótesis!$D$72)))</f>
        <v>-0</v>
      </c>
      <c r="D80" s="138" t="n">
        <f aca="false">IF(D79&lt;Hipótesis!$D$72,MIN(Hipótesis!$D$70-C81,Hipótesis!$D$72-D79),-MIN(C81,MAX(0,D79-Hipótesis!$D$72)))</f>
        <v>0</v>
      </c>
      <c r="E80" s="138" t="n">
        <f aca="false">IF(E79&lt;Hipótesis!$D$72,MIN(Hipótesis!$D$70-D81,Hipótesis!$D$72-E79),-MIN(D81,MAX(0,E79-Hipótesis!$D$72)))</f>
        <v>-0</v>
      </c>
      <c r="F80" s="138" t="n">
        <f aca="false">IF(F79&lt;Hipótesis!$D$72,MIN(Hipótesis!$D$70-E81,Hipótesis!$D$72-F79),-MIN(E81,MAX(0,F79-Hipótesis!$D$72)))</f>
        <v>-0</v>
      </c>
      <c r="G80" s="138" t="n">
        <f aca="false">IF(G79&lt;Hipótesis!$D$72,MIN(Hipótesis!$D$70-F81,Hipótesis!$D$72-G79),-MIN(F81,MAX(0,G79-Hipótesis!$D$72)))</f>
        <v>-0</v>
      </c>
      <c r="H80" s="138" t="n">
        <f aca="false">IF(H79&lt;Hipótesis!$D$72,MIN(Hipótesis!$D$70-G81,Hipótesis!$D$72-H79),-MIN(G81,MAX(0,H79-Hipótesis!$D$72)))</f>
        <v>-0</v>
      </c>
      <c r="I80" s="138" t="n">
        <f aca="false">IF(I79&lt;Hipótesis!$D$72,MIN(Hipótesis!$D$70-H81,Hipótesis!$D$72-I79),-MIN(H81,MAX(0,I79-Hipótesis!$D$72)))</f>
        <v>6097.34877339136</v>
      </c>
      <c r="J80" s="138" t="n">
        <f aca="false">IF(J79&lt;Hipótesis!$D$72,MIN(Hipótesis!$D$70-I81,Hipótesis!$D$72-J79),-MIN(I81,MAX(0,J79-Hipótesis!$D$72)))</f>
        <v>6814.10488130682</v>
      </c>
      <c r="K80" s="138" t="n">
        <f aca="false">IF(K79&lt;Hipótesis!$D$72,MIN(Hipótesis!$D$70-J81,Hipótesis!$D$72-K79),-MIN(J81,MAX(0,K79-Hipótesis!$D$72)))</f>
        <v>2669.39451209966</v>
      </c>
      <c r="L80" s="138" t="n">
        <f aca="false">IF(L79&lt;Hipótesis!$D$72,MIN(Hipótesis!$D$70-K81,Hipótesis!$D$72-L79),-MIN(K81,MAX(0,L79-Hipótesis!$D$72)))</f>
        <v>-1399.06098738857</v>
      </c>
      <c r="M80" s="138" t="n">
        <f aca="false">IF(M79&lt;Hipótesis!$D$72,MIN(Hipótesis!$D$70-L81,Hipótesis!$D$72-M79),-MIN(L81,MAX(0,M79-Hipótesis!$D$72)))</f>
        <v>-5027.3112123984</v>
      </c>
      <c r="N80" s="138" t="n">
        <f aca="false">IF(N79&lt;Hipótesis!$D$72,MIN(Hipótesis!$D$70-M81,Hipótesis!$D$72-N79),-MIN(M81,MAX(0,N79-Hipótesis!$D$72)))</f>
        <v>-7797.62417092718</v>
      </c>
      <c r="O80" s="138" t="n">
        <f aca="false">IF(O79&lt;Hipótesis!$D$72,MIN(Hipótesis!$D$70-N81,Hipótesis!$D$72-O79),-MIN(N81,MAX(0,O79-Hipótesis!$D$72)))</f>
        <v>-1356.85179608368</v>
      </c>
      <c r="P80" s="138" t="n">
        <f aca="false">IF(P79&lt;Hipótesis!$D$72,MIN(Hipótesis!$D$70-O81,Hipótesis!$D$72-P79),-MIN(O81,MAX(0,P79-Hipótesis!$D$72)))</f>
        <v>-0</v>
      </c>
      <c r="Q80" s="138" t="n">
        <f aca="false">IF(Q79&lt;Hipótesis!$D$72,MIN(Hipótesis!$D$70-P81,Hipótesis!$D$72-Q79),-MIN(P81,MAX(0,Q79-Hipótesis!$D$72)))</f>
        <v>-0</v>
      </c>
      <c r="R80" s="138" t="n">
        <f aca="false">IF(R79&lt;Hipótesis!$D$72,MIN(Hipótesis!$D$70-Q81,Hipótesis!$D$72-R79),-MIN(Q81,MAX(0,R79-Hipótesis!$D$72)))</f>
        <v>-0</v>
      </c>
      <c r="S80" s="138" t="n">
        <f aca="false">IF(S79&lt;Hipótesis!$D$72,MIN(Hipótesis!$D$70-R81,Hipótesis!$D$72-S79),-MIN(R81,MAX(0,S79-Hipótesis!$D$72)))</f>
        <v>-0</v>
      </c>
      <c r="T80" s="138" t="n">
        <f aca="false">IF(T79&lt;Hipótesis!$D$72,MIN(Hipótesis!$D$70-S81,Hipótesis!$D$72-T79),-MIN(S81,MAX(0,T79-Hipótesis!$D$72)))</f>
        <v>-0</v>
      </c>
      <c r="U80" s="138" t="n">
        <f aca="false">IF(U79&lt;Hipótesis!$D$72,MIN(Hipótesis!$D$70-T81,Hipótesis!$D$72-U79),-MIN(T81,MAX(0,U79-Hipótesis!$D$72)))</f>
        <v>-0</v>
      </c>
      <c r="V80" s="138" t="n">
        <f aca="false">IF(V79&lt;Hipótesis!$D$72,MIN(Hipótesis!$D$70-U81,Hipótesis!$D$72-V79),-MIN(U81,MAX(0,V79-Hipótesis!$D$72)))</f>
        <v>-0</v>
      </c>
      <c r="W80" s="138" t="n">
        <f aca="false">IF(W79&lt;Hipótesis!$D$72,MIN(Hipótesis!$D$70-V81,Hipótesis!$D$72-W79),-MIN(V81,MAX(0,W79-Hipótesis!$D$72)))</f>
        <v>-0</v>
      </c>
      <c r="X80" s="138" t="n">
        <f aca="false">IF(X79&lt;Hipótesis!$D$72,MIN(Hipótesis!$D$70-W81,Hipótesis!$D$72-X79),-MIN(W81,MAX(0,X79-Hipótesis!$D$72)))</f>
        <v>-0</v>
      </c>
      <c r="Y80" s="138" t="n">
        <f aca="false">IF(Y79&lt;Hipótesis!$D$72,MIN(Hipótesis!$D$70-X81,Hipótesis!$D$72-Y79),-MIN(X81,MAX(0,Y79-Hipótesis!$D$72)))</f>
        <v>-0</v>
      </c>
      <c r="Z80" s="138" t="n">
        <f aca="false">IF(Z79&lt;Hipótesis!$D$72,MIN(Hipótesis!$D$70-Y81,Hipótesis!$D$72-Z79),-MIN(Y81,MAX(0,Z79-Hipótesis!$D$72)))</f>
        <v>-0</v>
      </c>
      <c r="AA80" s="138" t="n">
        <f aca="false">IF(AA79&lt;Hipótesis!$D$72,MIN(Hipótesis!$D$70-Z81,Hipótesis!$D$72-AA79),-MIN(Z81,MAX(0,AA79-Hipótesis!$D$72)))</f>
        <v>-0</v>
      </c>
      <c r="AB80" s="138" t="n">
        <f aca="false">IF(AB79&lt;Hipótesis!$D$72,MIN(Hipótesis!$D$70-AA81,Hipótesis!$D$72-AB79),-MIN(AA81,MAX(0,AB79-Hipótesis!$D$72)))</f>
        <v>-0</v>
      </c>
      <c r="AC80" s="138" t="n">
        <f aca="false">IF(AC79&lt;Hipótesis!$D$72,MIN(Hipótesis!$D$70-AB81,Hipótesis!$D$72-AC79),-MIN(AB81,MAX(0,AC79-Hipótesis!$D$72)))</f>
        <v>-0</v>
      </c>
      <c r="AD80" s="138" t="n">
        <f aca="false">IF(AD79&lt;Hipótesis!$D$72,MIN(Hipótesis!$D$70-AC81,Hipótesis!$D$72-AD79),-MIN(AC81,MAX(0,AD79-Hipótesis!$D$72)))</f>
        <v>-0</v>
      </c>
      <c r="AE80" s="138" t="n">
        <f aca="false">IF(AE79&lt;Hipótesis!$D$72,MIN(Hipótesis!$D$70-AD81,Hipótesis!$D$72-AE79),-MIN(AD81,MAX(0,AE79-Hipótesis!$D$72)))</f>
        <v>-0</v>
      </c>
      <c r="AF80" s="138" t="n">
        <f aca="false">IF(AF79&lt;Hipótesis!$D$72,MIN(Hipótesis!$D$70-AE81,Hipótesis!$D$72-AF79),-MIN(AE81,MAX(0,AF79-Hipótesis!$D$72)))</f>
        <v>-0</v>
      </c>
      <c r="AG80" s="138" t="n">
        <f aca="false">IF(AG79&lt;Hipótesis!$D$72,MIN(Hipótesis!$D$70-AF81,Hipótesis!$D$72-AG79),-MIN(AF81,MAX(0,AG79-Hipótesis!$D$72)))</f>
        <v>-0</v>
      </c>
      <c r="AH80" s="138" t="n">
        <f aca="false">IF(AH79&lt;Hipótesis!$D$72,MIN(Hipótesis!$D$70-AG81,Hipótesis!$D$72-AH79),-MIN(AG81,MAX(0,AH79-Hipótesis!$D$72)))</f>
        <v>-0</v>
      </c>
      <c r="AI80" s="138" t="n">
        <f aca="false">IF(AI79&lt;Hipótesis!$D$72,MIN(Hipótesis!$D$70-AH81,Hipótesis!$D$72-AI79),-MIN(AH81,MAX(0,AI79-Hipótesis!$D$72)))</f>
        <v>-0</v>
      </c>
      <c r="AJ80" s="138" t="n">
        <f aca="false">IF(AJ79&lt;Hipótesis!$D$72,MIN(Hipótesis!$D$70-AI81,Hipótesis!$D$72-AJ79),-MIN(AI81,MAX(0,AJ79-Hipótesis!$D$72)))</f>
        <v>-0</v>
      </c>
      <c r="AK80" s="138" t="n">
        <f aca="false">IF(AK79&lt;Hipótesis!$D$72,MIN(Hipótesis!$D$70-AJ81,Hipótesis!$D$72-AK79),-MIN(AJ81,MAX(0,AK79-Hipótesis!$D$72)))</f>
        <v>-0</v>
      </c>
      <c r="AL80" s="138" t="n">
        <f aca="false">IF(AL79&lt;Hipótesis!$D$72,MIN(Hipótesis!$D$70-AK81,Hipótesis!$D$72-AL79),-MIN(AK81,MAX(0,AL79-Hipótesis!$D$72)))</f>
        <v>-0</v>
      </c>
      <c r="AM80" s="138" t="n">
        <f aca="false">IF(AM79&lt;Hipótesis!$D$72,MIN(Hipótesis!$D$70-AL81,Hipótesis!$D$72-AM79),-MIN(AL81,MAX(0,AM79-Hipótesis!$D$72)))</f>
        <v>-0</v>
      </c>
      <c r="AN80" s="138" t="n">
        <f aca="false">IF(AN79&lt;Hipótesis!$D$72,MIN(Hipótesis!$D$70-AM81,Hipótesis!$D$72-AN79),-MIN(AM81,MAX(0,AN79-Hipótesis!$D$72)))</f>
        <v>-0</v>
      </c>
      <c r="AO80" s="138" t="n">
        <f aca="false">IF(AO79&lt;Hipótesis!$D$72,MIN(Hipótesis!$D$70-AN81,Hipótesis!$D$72-AO79),-MIN(AN81,MAX(0,AO79-Hipótesis!$D$72)))</f>
        <v>-0</v>
      </c>
      <c r="AP80" s="138" t="n">
        <f aca="false">IF(AP79&lt;Hipótesis!$D$72,MIN(Hipótesis!$D$70-AO81,Hipótesis!$D$72-AP79),-MIN(AO81,MAX(0,AP79-Hipótesis!$D$72)))</f>
        <v>-0</v>
      </c>
      <c r="AQ80" s="138" t="n">
        <f aca="false">IF(AQ79&lt;Hipótesis!$D$72,MIN(Hipótesis!$D$70-AP81,Hipótesis!$D$72-AQ79),-MIN(AP81,MAX(0,AQ79-Hipótesis!$D$72)))</f>
        <v>-0</v>
      </c>
      <c r="AR80" s="138" t="n">
        <f aca="false">IF(AR79&lt;Hipótesis!$D$72,MIN(Hipótesis!$D$70-AQ81,Hipótesis!$D$72-AR79),-MIN(AQ81,MAX(0,AR79-Hipótesis!$D$72)))</f>
        <v>-0</v>
      </c>
      <c r="AS80" s="138" t="n">
        <f aca="false">IF(AS79&lt;Hipótesis!$D$72,MIN(Hipótesis!$D$70-AR81,Hipótesis!$D$72-AS79),-MIN(AR81,MAX(0,AS79-Hipótesis!$D$72)))</f>
        <v>-0</v>
      </c>
      <c r="AT80" s="138" t="n">
        <f aca="false">IF(AT79&lt;Hipótesis!$D$72,MIN(Hipótesis!$D$70-AS81,Hipótesis!$D$72-AT79),-MIN(AS81,MAX(0,AT79-Hipótesis!$D$72)))</f>
        <v>-0</v>
      </c>
      <c r="AU80" s="138" t="n">
        <f aca="false">IF(AU79&lt;Hipótesis!$D$72,MIN(Hipótesis!$D$70-AT81,Hipótesis!$D$72-AU79),-MIN(AT81,MAX(0,AU79-Hipótesis!$D$72)))</f>
        <v>-0</v>
      </c>
      <c r="AV80" s="138" t="n">
        <f aca="false">IF(AV79&lt;Hipótesis!$D$72,MIN(Hipótesis!$D$70-AU81,Hipótesis!$D$72-AV79),-MIN(AU81,MAX(0,AV79-Hipótesis!$D$72)))</f>
        <v>-0</v>
      </c>
      <c r="AW80" s="138" t="n">
        <f aca="false">IF(AW79&lt;Hipótesis!$D$72,MIN(Hipótesis!$D$70-AV81,Hipótesis!$D$72-AW79),-MIN(AV81,MAX(0,AW79-Hipótesis!$D$72)))</f>
        <v>-0</v>
      </c>
      <c r="AX80" s="138" t="n">
        <f aca="false">IF(AX79&lt;Hipótesis!$D$72,MIN(Hipótesis!$D$70-AW81,Hipótesis!$D$72-AX79),-MIN(AW81,MAX(0,AX79-Hipótesis!$D$72)))</f>
        <v>-0</v>
      </c>
      <c r="AY80" s="138" t="n">
        <f aca="false">IF(AY79&lt;Hipótesis!$D$72,MIN(Hipótesis!$D$70-AX81,Hipótesis!$D$72-AY79),-MIN(AX81,MAX(0,AY79-Hipótesis!$D$72)))</f>
        <v>-0</v>
      </c>
      <c r="AZ80" s="138" t="n">
        <f aca="false">IF(AZ79&lt;Hipótesis!$D$72,MIN(Hipótesis!$D$70-AY81,Hipótesis!$D$72-AZ79),-MIN(AY81,MAX(0,AZ79-Hipótesis!$D$72)))</f>
        <v>-0</v>
      </c>
      <c r="BA80" s="138" t="n">
        <f aca="false">IF(BA79&lt;Hipótesis!$D$72,MIN(Hipótesis!$D$70-AZ81,Hipótesis!$D$72-BA79),-MIN(AZ81,MAX(0,BA79-Hipótesis!$D$72)))</f>
        <v>-0</v>
      </c>
      <c r="BB80" s="138" t="n">
        <f aca="false">IF(BB79&lt;Hipótesis!$D$72,MIN(Hipótesis!$D$70-BA81,Hipótesis!$D$72-BB79),-MIN(BA81,MAX(0,BB79-Hipótesis!$D$72)))</f>
        <v>-0</v>
      </c>
      <c r="BC80" s="138" t="n">
        <f aca="false">IF(BC79&lt;Hipótesis!$D$72,MIN(Hipótesis!$D$70-BB81,Hipótesis!$D$72-BC79),-MIN(BB81,MAX(0,BC79-Hipótesis!$D$72)))</f>
        <v>-0</v>
      </c>
      <c r="BD80" s="138" t="n">
        <f aca="false">IF(BD79&lt;Hipótesis!$D$72,MIN(Hipótesis!$D$70-BC81,Hipótesis!$D$72-BD79),-MIN(BC81,MAX(0,BD79-Hipótesis!$D$72)))</f>
        <v>-0</v>
      </c>
      <c r="BE80" s="138" t="n">
        <f aca="false">IF(BE79&lt;Hipótesis!$D$72,MIN(Hipótesis!$D$70-BD81,Hipótesis!$D$72-BE79),-MIN(BD81,MAX(0,BE79-Hipótesis!$D$72)))</f>
        <v>-0</v>
      </c>
      <c r="BF80" s="138" t="n">
        <f aca="false">IF(BF79&lt;Hipótesis!$D$72,MIN(Hipótesis!$D$70-BE81,Hipótesis!$D$72-BF79),-MIN(BE81,MAX(0,BF79-Hipótesis!$D$72)))</f>
        <v>-0</v>
      </c>
      <c r="BG80" s="138" t="n">
        <f aca="false">IF(BG79&lt;Hipótesis!$D$72,MIN(Hipótesis!$D$70-BF81,Hipótesis!$D$72-BG79),-MIN(BF81,MAX(0,BG79-Hipótesis!$D$72)))</f>
        <v>-0</v>
      </c>
      <c r="BH80" s="138" t="n">
        <f aca="false">IF(BH79&lt;Hipótesis!$D$72,MIN(Hipótesis!$D$70-BG81,Hipótesis!$D$72-BH79),-MIN(BG81,MAX(0,BH79-Hipótesis!$D$72)))</f>
        <v>-0</v>
      </c>
      <c r="BI80" s="138" t="n">
        <f aca="false">IF(BI79&lt;Hipótesis!$D$72,MIN(Hipótesis!$D$70-BH81,Hipótesis!$D$72-BI79),-MIN(BH81,MAX(0,BI79-Hipótesis!$D$72)))</f>
        <v>-0</v>
      </c>
      <c r="BJ80" s="138" t="n">
        <f aca="false">IF(BJ79&lt;Hipótesis!$D$72,MIN(Hipótesis!$D$70-BI81,Hipótesis!$D$72-BJ79),-MIN(BI81,MAX(0,BJ79-Hipótesis!$D$72)))</f>
        <v>-0</v>
      </c>
      <c r="BK80" s="138" t="n">
        <f aca="false">IF(BK79&lt;Hipótesis!$D$72,MIN(Hipótesis!$D$70-BJ81,Hipótesis!$D$72-BK79),-MIN(BJ81,MAX(0,BK79-Hipótesis!$D$72)))</f>
        <v>-0</v>
      </c>
      <c r="BL80" s="138" t="n">
        <f aca="false">IF(BL79&lt;Hipótesis!$D$72,MIN(Hipótesis!$D$70-BK81,Hipótesis!$D$72-BL79),-MIN(BK81,MAX(0,BL79-Hipótesis!$D$72)))</f>
        <v>-0</v>
      </c>
      <c r="BM80" s="138" t="n">
        <f aca="false">IF(BM79&lt;Hipótesis!$D$72,MIN(Hipótesis!$D$70-BL81,Hipótesis!$D$72-BM79),-MIN(BL81,MAX(0,BM79-Hipótesis!$D$72)))</f>
        <v>-0</v>
      </c>
      <c r="BN80" s="138" t="n">
        <f aca="false">IF(BN79&lt;Hipótesis!$D$72,MIN(Hipótesis!$D$70-BM81,Hipótesis!$D$72-BN79),-MIN(BM81,MAX(0,BN79-Hipótesis!$D$72)))</f>
        <v>-0</v>
      </c>
      <c r="BO80" s="138" t="n">
        <f aca="false">IF(BO79&lt;Hipótesis!$D$72,MIN(Hipótesis!$D$70-BN81,Hipótesis!$D$72-BO79),-MIN(BN81,MAX(0,BO79-Hipótesis!$D$72)))</f>
        <v>-0</v>
      </c>
      <c r="BP80" s="138" t="n">
        <f aca="false">IF(BP79&lt;Hipótesis!$D$72,MIN(Hipótesis!$D$70-BO81,Hipótesis!$D$72-BP79),-MIN(BO81,MAX(0,BP79-Hipótesis!$D$72)))</f>
        <v>-0</v>
      </c>
      <c r="BQ80" s="138" t="n">
        <f aca="false">IF(BQ79&lt;Hipótesis!$D$72,MIN(Hipótesis!$D$70-BP81,Hipótesis!$D$72-BQ79),-MIN(BP81,MAX(0,BQ79-Hipótesis!$D$72)))</f>
        <v>-0</v>
      </c>
      <c r="BR80" s="138" t="n">
        <f aca="false">IF(BR79&lt;Hipótesis!$D$72,MIN(Hipótesis!$D$70-BQ81,Hipótesis!$D$72-BR79),-MIN(BQ81,MAX(0,BR79-Hipótesis!$D$72)))</f>
        <v>-0</v>
      </c>
      <c r="BS80" s="138" t="n">
        <f aca="false">IF(BS79&lt;Hipótesis!$D$72,MIN(Hipótesis!$D$70-BR81,Hipótesis!$D$72-BS79),-MIN(BR81,MAX(0,BS79-Hipótesis!$D$72)))</f>
        <v>-0</v>
      </c>
      <c r="BT80" s="138" t="n">
        <f aca="false">IF(BT79&lt;Hipótesis!$D$72,MIN(Hipótesis!$D$70-BS81,Hipótesis!$D$72-BT79),-MIN(BS81,MAX(0,BT79-Hipótesis!$D$72)))</f>
        <v>-0</v>
      </c>
      <c r="BU80" s="138" t="n">
        <f aca="false">IF(BU79&lt;Hipótesis!$D$72,MIN(Hipótesis!$D$70-BT81,Hipótesis!$D$72-BU79),-MIN(BT81,MAX(0,BU79-Hipótesis!$D$72)))</f>
        <v>-0</v>
      </c>
      <c r="BV80" s="138" t="n">
        <f aca="false">IF(BV79&lt;Hipótesis!$D$72,MIN(Hipótesis!$D$70-BU81,Hipótesis!$D$72-BV79),-MIN(BU81,MAX(0,BV79-Hipótesis!$D$72)))</f>
        <v>-0</v>
      </c>
      <c r="BW80" s="138" t="n">
        <f aca="false">IF(BW79&lt;Hipótesis!$D$72,MIN(Hipótesis!$D$70-BV81,Hipótesis!$D$72-BW79),-MIN(BV81,MAX(0,BW79-Hipótesis!$D$72)))</f>
        <v>-0</v>
      </c>
      <c r="BX80" s="138" t="n">
        <f aca="false">IF(BX79&lt;Hipótesis!$D$72,MIN(Hipótesis!$D$70-BW81,Hipótesis!$D$72-BX79),-MIN(BW81,MAX(0,BX79-Hipótesis!$D$72)))</f>
        <v>-0</v>
      </c>
      <c r="BY80" s="138" t="n">
        <f aca="false">IF(BY79&lt;Hipótesis!$D$72,MIN(Hipótesis!$D$70-BX81,Hipótesis!$D$72-BY79),-MIN(BX81,MAX(0,BY79-Hipótesis!$D$72)))</f>
        <v>-0</v>
      </c>
      <c r="BZ80" s="138" t="n">
        <f aca="false">IF(BZ79&lt;Hipótesis!$D$72,MIN(Hipótesis!$D$70-BY81,Hipótesis!$D$72-BZ79),-MIN(BY81,MAX(0,BZ79-Hipótesis!$D$72)))</f>
        <v>-0</v>
      </c>
      <c r="CA80" s="138" t="n">
        <f aca="false">IF(CA79&lt;Hipótesis!$D$72,MIN(Hipótesis!$D$70-BZ81,Hipótesis!$D$72-CA79),-MIN(BZ81,MAX(0,CA79-Hipótesis!$D$72)))</f>
        <v>-0</v>
      </c>
      <c r="CB80" s="138" t="n">
        <f aca="false">IF(CB79&lt;Hipótesis!$D$72,MIN(Hipótesis!$D$70-CA81,Hipótesis!$D$72-CB79),-MIN(CA81,MAX(0,CB79-Hipótesis!$D$72)))</f>
        <v>-0</v>
      </c>
      <c r="CC80" s="138" t="n">
        <f aca="false">IF(CC79&lt;Hipótesis!$D$72,MIN(Hipótesis!$D$70-CB81,Hipótesis!$D$72-CC79),-MIN(CB81,MAX(0,CC79-Hipótesis!$D$72)))</f>
        <v>-0</v>
      </c>
      <c r="CD80" s="138" t="n">
        <f aca="false">IF(CD79&lt;Hipótesis!$D$72,MIN(Hipótesis!$D$70-CC81,Hipótesis!$D$72-CD79),-MIN(CC81,MAX(0,CD79-Hipótesis!$D$72)))</f>
        <v>-0</v>
      </c>
      <c r="CE80" s="138" t="n">
        <f aca="false">IF(CE79&lt;Hipótesis!$D$72,MIN(Hipótesis!$D$70-CD81,Hipótesis!$D$72-CE79),-MIN(CD81,MAX(0,CE79-Hipótesis!$D$72)))</f>
        <v>-0</v>
      </c>
      <c r="CF80" s="138" t="n">
        <f aca="false">IF(CF79&lt;Hipótesis!$D$72,MIN(Hipótesis!$D$70-CE81,Hipótesis!$D$72-CF79),-MIN(CE81,MAX(0,CF79-Hipótesis!$D$72)))</f>
        <v>-0</v>
      </c>
      <c r="CG80" s="138" t="n">
        <f aca="false">IF(CG79&lt;Hipótesis!$D$72,MIN(Hipótesis!$D$70-CF81,Hipótesis!$D$72-CG79),-MIN(CF81,MAX(0,CG79-Hipótesis!$D$72)))</f>
        <v>-0</v>
      </c>
      <c r="CH80" s="138" t="n">
        <f aca="false">IF(CH79&lt;Hipótesis!$D$72,MIN(Hipótesis!$D$70-CG81,Hipótesis!$D$72-CH79),-MIN(CG81,MAX(0,CH79-Hipótesis!$D$72)))</f>
        <v>-0</v>
      </c>
    </row>
    <row r="81" customFormat="false" ht="13.5" hidden="false" customHeight="true" outlineLevel="0" collapsed="false">
      <c r="A81" s="64" t="s">
        <v>759</v>
      </c>
      <c r="C81" s="99" t="n">
        <f aca="false">C80</f>
        <v>-0</v>
      </c>
      <c r="D81" s="99" t="n">
        <f aca="false">C81+D80</f>
        <v>0</v>
      </c>
      <c r="E81" s="99" t="n">
        <f aca="false">D81+E80</f>
        <v>0</v>
      </c>
      <c r="F81" s="99" t="n">
        <f aca="false">E81+F80</f>
        <v>0</v>
      </c>
      <c r="G81" s="99" t="n">
        <f aca="false">F81+G80</f>
        <v>0</v>
      </c>
      <c r="H81" s="99" t="n">
        <f aca="false">G81+H80</f>
        <v>0</v>
      </c>
      <c r="I81" s="99" t="n">
        <f aca="false">H81+I80</f>
        <v>6097.34877339136</v>
      </c>
      <c r="J81" s="99" t="n">
        <f aca="false">I81+J80</f>
        <v>12911.4536546982</v>
      </c>
      <c r="K81" s="99" t="n">
        <f aca="false">J81+K80</f>
        <v>15580.8481667978</v>
      </c>
      <c r="L81" s="99" t="n">
        <f aca="false">K81+L80</f>
        <v>14181.7871794093</v>
      </c>
      <c r="M81" s="99" t="n">
        <f aca="false">L81+M80</f>
        <v>9154.47596701086</v>
      </c>
      <c r="N81" s="99" t="n">
        <f aca="false">M81+N80</f>
        <v>1356.85179608368</v>
      </c>
      <c r="O81" s="99" t="n">
        <f aca="false">N81+O80</f>
        <v>0</v>
      </c>
      <c r="P81" s="99" t="n">
        <f aca="false">O81+P80</f>
        <v>0</v>
      </c>
      <c r="Q81" s="99" t="n">
        <f aca="false">P81+Q80</f>
        <v>0</v>
      </c>
      <c r="R81" s="99" t="n">
        <f aca="false">Q81+R80</f>
        <v>0</v>
      </c>
      <c r="S81" s="99" t="n">
        <f aca="false">R81+S80</f>
        <v>0</v>
      </c>
      <c r="T81" s="99" t="n">
        <f aca="false">S81+T80</f>
        <v>0</v>
      </c>
      <c r="U81" s="99" t="n">
        <f aca="false">T81+U80</f>
        <v>0</v>
      </c>
      <c r="V81" s="99" t="n">
        <f aca="false">U81+V80</f>
        <v>0</v>
      </c>
      <c r="W81" s="99" t="n">
        <f aca="false">V81+W80</f>
        <v>0</v>
      </c>
      <c r="X81" s="99" t="n">
        <f aca="false">W81+X80</f>
        <v>0</v>
      </c>
      <c r="Y81" s="99" t="n">
        <f aca="false">X81+Y80</f>
        <v>0</v>
      </c>
      <c r="Z81" s="99" t="n">
        <f aca="false">Y81+Z80</f>
        <v>0</v>
      </c>
      <c r="AA81" s="99" t="n">
        <f aca="false">Z81+AA80</f>
        <v>0</v>
      </c>
      <c r="AB81" s="99" t="n">
        <f aca="false">AA81+AB80</f>
        <v>0</v>
      </c>
      <c r="AC81" s="99" t="n">
        <f aca="false">AB81+AC80</f>
        <v>0</v>
      </c>
      <c r="AD81" s="99" t="n">
        <f aca="false">AC81+AD80</f>
        <v>0</v>
      </c>
      <c r="AE81" s="99" t="n">
        <f aca="false">AD81+AE80</f>
        <v>0</v>
      </c>
      <c r="AF81" s="99" t="n">
        <f aca="false">AE81+AF80</f>
        <v>0</v>
      </c>
      <c r="AG81" s="99" t="n">
        <f aca="false">AF81+AG80</f>
        <v>0</v>
      </c>
      <c r="AH81" s="99" t="n">
        <f aca="false">AG81+AH80</f>
        <v>0</v>
      </c>
      <c r="AI81" s="99" t="n">
        <f aca="false">AH81+AI80</f>
        <v>0</v>
      </c>
      <c r="AJ81" s="99" t="n">
        <f aca="false">AI81+AJ80</f>
        <v>0</v>
      </c>
      <c r="AK81" s="99" t="n">
        <f aca="false">AJ81+AK80</f>
        <v>0</v>
      </c>
      <c r="AL81" s="99" t="n">
        <f aca="false">AK81+AL80</f>
        <v>0</v>
      </c>
      <c r="AM81" s="99" t="n">
        <f aca="false">AL81+AM80</f>
        <v>0</v>
      </c>
      <c r="AN81" s="99" t="n">
        <f aca="false">AM81+AN80</f>
        <v>0</v>
      </c>
      <c r="AO81" s="99" t="n">
        <f aca="false">AN81+AO80</f>
        <v>0</v>
      </c>
      <c r="AP81" s="99" t="n">
        <f aca="false">AO81+AP80</f>
        <v>0</v>
      </c>
      <c r="AQ81" s="99" t="n">
        <f aca="false">AP81+AQ80</f>
        <v>0</v>
      </c>
      <c r="AR81" s="99" t="n">
        <f aca="false">AQ81+AR80</f>
        <v>0</v>
      </c>
      <c r="AS81" s="99" t="n">
        <f aca="false">AR81+AS80</f>
        <v>0</v>
      </c>
      <c r="AT81" s="99" t="n">
        <f aca="false">AS81+AT80</f>
        <v>0</v>
      </c>
      <c r="AU81" s="99" t="n">
        <f aca="false">AT81+AU80</f>
        <v>0</v>
      </c>
      <c r="AV81" s="99" t="n">
        <f aca="false">AU81+AV80</f>
        <v>0</v>
      </c>
      <c r="AW81" s="99" t="n">
        <f aca="false">AV81+AW80</f>
        <v>0</v>
      </c>
      <c r="AX81" s="99" t="n">
        <f aca="false">AW81+AX80</f>
        <v>0</v>
      </c>
      <c r="AY81" s="99" t="n">
        <f aca="false">AX81+AY80</f>
        <v>0</v>
      </c>
      <c r="AZ81" s="99" t="n">
        <f aca="false">AY81+AZ80</f>
        <v>0</v>
      </c>
      <c r="BA81" s="99" t="n">
        <f aca="false">AZ81+BA80</f>
        <v>0</v>
      </c>
      <c r="BB81" s="99" t="n">
        <f aca="false">BA81+BB80</f>
        <v>0</v>
      </c>
      <c r="BC81" s="99" t="n">
        <f aca="false">BB81+BC80</f>
        <v>0</v>
      </c>
      <c r="BD81" s="99" t="n">
        <f aca="false">BC81+BD80</f>
        <v>0</v>
      </c>
      <c r="BE81" s="99" t="n">
        <f aca="false">BD81+BE80</f>
        <v>0</v>
      </c>
      <c r="BF81" s="99" t="n">
        <f aca="false">BE81+BF80</f>
        <v>0</v>
      </c>
      <c r="BG81" s="99" t="n">
        <f aca="false">BF81+BG80</f>
        <v>0</v>
      </c>
      <c r="BH81" s="99" t="n">
        <f aca="false">BG81+BH80</f>
        <v>0</v>
      </c>
      <c r="BI81" s="99" t="n">
        <f aca="false">BH81+BI80</f>
        <v>0</v>
      </c>
      <c r="BJ81" s="99" t="n">
        <f aca="false">BI81+BJ80</f>
        <v>0</v>
      </c>
      <c r="BK81" s="99" t="n">
        <f aca="false">BJ81+BK80</f>
        <v>0</v>
      </c>
      <c r="BL81" s="99" t="n">
        <f aca="false">BK81+BL80</f>
        <v>0</v>
      </c>
      <c r="BM81" s="99" t="n">
        <f aca="false">BL81+BM80</f>
        <v>0</v>
      </c>
      <c r="BN81" s="99" t="n">
        <f aca="false">BM81+BN80</f>
        <v>0</v>
      </c>
      <c r="BO81" s="99" t="n">
        <f aca="false">BN81+BO80</f>
        <v>0</v>
      </c>
      <c r="BP81" s="99" t="n">
        <f aca="false">BO81+BP80</f>
        <v>0</v>
      </c>
      <c r="BQ81" s="99" t="n">
        <f aca="false">BP81+BQ80</f>
        <v>0</v>
      </c>
      <c r="BR81" s="99" t="n">
        <f aca="false">BQ81+BR80</f>
        <v>0</v>
      </c>
      <c r="BS81" s="99" t="n">
        <f aca="false">BR81+BS80</f>
        <v>0</v>
      </c>
      <c r="BT81" s="99" t="n">
        <f aca="false">BS81+BT80</f>
        <v>0</v>
      </c>
      <c r="BU81" s="99" t="n">
        <f aca="false">BT81+BU80</f>
        <v>0</v>
      </c>
      <c r="BV81" s="99" t="n">
        <f aca="false">BU81+BV80</f>
        <v>0</v>
      </c>
      <c r="BW81" s="99" t="n">
        <f aca="false">BV81+BW80</f>
        <v>0</v>
      </c>
      <c r="BX81" s="99" t="n">
        <f aca="false">BW81+BX80</f>
        <v>0</v>
      </c>
      <c r="BY81" s="99" t="n">
        <f aca="false">BX81+BY80</f>
        <v>0</v>
      </c>
      <c r="BZ81" s="99" t="n">
        <f aca="false">BY81+BZ80</f>
        <v>0</v>
      </c>
      <c r="CA81" s="99" t="n">
        <f aca="false">BZ81+CA80</f>
        <v>0</v>
      </c>
      <c r="CB81" s="99" t="n">
        <f aca="false">CA81+CB80</f>
        <v>0</v>
      </c>
      <c r="CC81" s="99" t="n">
        <f aca="false">CB81+CC80</f>
        <v>0</v>
      </c>
      <c r="CD81" s="99" t="n">
        <f aca="false">CC81+CD80</f>
        <v>0</v>
      </c>
      <c r="CE81" s="99" t="n">
        <f aca="false">CD81+CE80</f>
        <v>0</v>
      </c>
      <c r="CF81" s="99" t="n">
        <f aca="false">CE81+CF80</f>
        <v>0</v>
      </c>
      <c r="CG81" s="99" t="n">
        <f aca="false">CF81+CG80</f>
        <v>0</v>
      </c>
      <c r="CH81" s="99" t="n">
        <f aca="false">CG81+CH80</f>
        <v>0</v>
      </c>
    </row>
    <row r="82" customFormat="false" ht="13.5" hidden="false" customHeight="true" outlineLevel="0" collapsed="false">
      <c r="A82" s="13" t="s">
        <v>760</v>
      </c>
      <c r="C82" s="138" t="n">
        <f aca="false">C79+C80</f>
        <v>146396.417581049</v>
      </c>
      <c r="D82" s="138" t="n">
        <f aca="false">D79+D80</f>
        <v>116086.715206569</v>
      </c>
      <c r="E82" s="138" t="n">
        <f aca="false">E79+E80</f>
        <v>92314.4763164283</v>
      </c>
      <c r="F82" s="138" t="n">
        <f aca="false">F79+F80</f>
        <v>71694.6116246057</v>
      </c>
      <c r="G82" s="138" t="n">
        <f aca="false">G79+G80</f>
        <v>54256.685510325</v>
      </c>
      <c r="H82" s="138" t="n">
        <f aca="false">H79+H80</f>
        <v>35069.5334173957</v>
      </c>
      <c r="I82" s="138" t="n">
        <f aca="false">I79+I80</f>
        <v>30000</v>
      </c>
      <c r="J82" s="138" t="n">
        <f aca="false">J79+J80</f>
        <v>30000</v>
      </c>
      <c r="K82" s="138" t="n">
        <f aca="false">K79+K80</f>
        <v>30000</v>
      </c>
      <c r="L82" s="138" t="n">
        <f aca="false">L79+L80</f>
        <v>30000</v>
      </c>
      <c r="M82" s="138" t="n">
        <f aca="false">M79+M80</f>
        <v>30000</v>
      </c>
      <c r="N82" s="138" t="n">
        <f aca="false">N79+N80</f>
        <v>30000</v>
      </c>
      <c r="O82" s="138" t="n">
        <f aca="false">O79+O80</f>
        <v>37031.2081406433</v>
      </c>
      <c r="P82" s="138" t="n">
        <f aca="false">P79+P80</f>
        <v>46218.4319683813</v>
      </c>
      <c r="Q82" s="138" t="n">
        <f aca="false">Q79+Q80</f>
        <v>58069.766331385</v>
      </c>
      <c r="R82" s="138" t="n">
        <f aca="false">R79+R80</f>
        <v>72585.2112296543</v>
      </c>
      <c r="S82" s="138" t="n">
        <f aca="false">S79+S80</f>
        <v>94109.1534714206</v>
      </c>
      <c r="T82" s="138" t="n">
        <f aca="false">T79+T80</f>
        <v>98106.0269842205</v>
      </c>
      <c r="U82" s="138" t="n">
        <f aca="false">U79+U80</f>
        <v>118688.473928287</v>
      </c>
      <c r="V82" s="138" t="n">
        <f aca="false">V79+V80</f>
        <v>139669.937807619</v>
      </c>
      <c r="W82" s="138" t="n">
        <f aca="false">W79+W80</f>
        <v>163315.512222216</v>
      </c>
      <c r="X82" s="138" t="n">
        <f aca="false">X79+X80</f>
        <v>189249.412354836</v>
      </c>
      <c r="Y82" s="138" t="n">
        <f aca="false">Y79+Y80</f>
        <v>217368.850475775</v>
      </c>
      <c r="Z82" s="138" t="n">
        <f aca="false">Z79+Z80</f>
        <v>247533.17504126</v>
      </c>
      <c r="AA82" s="138" t="n">
        <f aca="false">AA79+AA80</f>
        <v>276777.637076336</v>
      </c>
      <c r="AB82" s="138" t="n">
        <f aca="false">AB79+AB80</f>
        <v>305492.09544933</v>
      </c>
      <c r="AC82" s="138" t="n">
        <f aca="false">AC79+AC80</f>
        <v>335659.639607043</v>
      </c>
      <c r="AD82" s="138" t="n">
        <f aca="false">AD79+AD80</f>
        <v>367280.269549475</v>
      </c>
      <c r="AE82" s="138" t="n">
        <f aca="false">AE79+AE80</f>
        <v>406761.637241187</v>
      </c>
      <c r="AF82" s="138" t="n">
        <f aca="false">AF79+AF80</f>
        <v>418916.496462232</v>
      </c>
      <c r="AG82" s="138" t="n">
        <f aca="false">AG79+AG80</f>
        <v>454896.383758821</v>
      </c>
      <c r="AH82" s="138" t="n">
        <f aca="false">AH79+AH80</f>
        <v>492329.356840128</v>
      </c>
      <c r="AI82" s="138" t="n">
        <f aca="false">AI79+AI80</f>
        <v>531215.415706154</v>
      </c>
      <c r="AJ82" s="138" t="n">
        <f aca="false">AJ79+AJ80</f>
        <v>571554.560356899</v>
      </c>
      <c r="AK82" s="138" t="n">
        <f aca="false">AK79+AK80</f>
        <v>613346.790792363</v>
      </c>
      <c r="AL82" s="138" t="n">
        <f aca="false">AL79+AL80</f>
        <v>654609.017565746</v>
      </c>
      <c r="AM82" s="138" t="n">
        <f aca="false">AM79+AM80</f>
        <v>690129.416247618</v>
      </c>
      <c r="AN82" s="138" t="n">
        <f aca="false">AN79+AN80</f>
        <v>726927.020377592</v>
      </c>
      <c r="AO82" s="138" t="n">
        <f aca="false">AO79+AO80</f>
        <v>765001.829955665</v>
      </c>
      <c r="AP82" s="138" t="n">
        <f aca="false">AP79+AP80</f>
        <v>804353.844981839</v>
      </c>
      <c r="AQ82" s="138" t="n">
        <f aca="false">AQ79+AQ80</f>
        <v>853330.744241687</v>
      </c>
      <c r="AR82" s="138" t="n">
        <f aca="false">AR79+AR80</f>
        <v>872865.227873237</v>
      </c>
      <c r="AS82" s="138" t="n">
        <f aca="false">AS79+AS80</f>
        <v>915257.950172634</v>
      </c>
      <c r="AT82" s="138" t="n">
        <f aca="false">AT79+AT80</f>
        <v>957654.839138697</v>
      </c>
      <c r="AU82" s="138" t="n">
        <f aca="false">AU79+AU80</f>
        <v>1000055.89477143</v>
      </c>
      <c r="AV82" s="138" t="n">
        <f aca="false">AV79+AV80</f>
        <v>1042461.11707082</v>
      </c>
      <c r="AW82" s="138" t="n">
        <f aca="false">AW79+AW80</f>
        <v>1084870.50603689</v>
      </c>
      <c r="AX82" s="138" t="n">
        <f aca="false">AX79+AX80</f>
        <v>1127284.06166962</v>
      </c>
      <c r="AY82" s="138" t="n">
        <f aca="false">AY79+AY80</f>
        <v>963909.893045503</v>
      </c>
      <c r="AZ82" s="138" t="n">
        <f aca="false">AZ79+AZ80</f>
        <v>1004532.9889613</v>
      </c>
      <c r="BA82" s="138" t="n">
        <f aca="false">BA79+BA80</f>
        <v>1045160.25154376</v>
      </c>
      <c r="BB82" s="138" t="n">
        <f aca="false">BB79+BB80</f>
        <v>1085791.68079288</v>
      </c>
      <c r="BC82" s="138" t="n">
        <f aca="false">BC79+BC80</f>
        <v>1134774.95549425</v>
      </c>
      <c r="BD82" s="138" t="n">
        <f aca="false">BD79+BD80</f>
        <v>1153042.77578589</v>
      </c>
      <c r="BE82" s="138" t="n">
        <f aca="false">BE79+BE80</f>
        <v>1193686.70503502</v>
      </c>
      <c r="BF82" s="138" t="n">
        <f aca="false">BF79+BF80</f>
        <v>1234334.80095081</v>
      </c>
      <c r="BG82" s="138" t="n">
        <f aca="false">BG79+BG80</f>
        <v>1274987.06353327</v>
      </c>
      <c r="BH82" s="138" t="n">
        <f aca="false">BH79+BH80</f>
        <v>1315643.4927824</v>
      </c>
      <c r="BI82" s="138" t="n">
        <f aca="false">BI79+BI80</f>
        <v>1356304.08869819</v>
      </c>
      <c r="BJ82" s="138" t="n">
        <f aca="false">BJ79+BJ80</f>
        <v>1396968.85128065</v>
      </c>
      <c r="BK82" s="138" t="n">
        <f aca="false">BK79+BK80</f>
        <v>1232340.17630822</v>
      </c>
      <c r="BL82" s="138" t="n">
        <f aca="false">BL79+BL80</f>
        <v>1271204.17438224</v>
      </c>
      <c r="BM82" s="138" t="n">
        <f aca="false">BM79+BM80</f>
        <v>1310072.33912292</v>
      </c>
      <c r="BN82" s="138" t="n">
        <f aca="false">BN79+BN80</f>
        <v>1348944.67053027</v>
      </c>
      <c r="BO82" s="138" t="n">
        <f aca="false">BO79+BO80</f>
        <v>1396168.84738986</v>
      </c>
      <c r="BP82" s="138" t="n">
        <f aca="false">BP79+BP80</f>
        <v>1412677.56983972</v>
      </c>
      <c r="BQ82" s="138" t="n">
        <f aca="false">BQ79+BQ80</f>
        <v>1451562.40124707</v>
      </c>
      <c r="BR82" s="138" t="n">
        <f aca="false">BR79+BR80</f>
        <v>1490451.39932108</v>
      </c>
      <c r="BS82" s="138" t="n">
        <f aca="false">BS79+BS80</f>
        <v>1529344.56406177</v>
      </c>
      <c r="BT82" s="138" t="n">
        <f aca="false">BT79+BT80</f>
        <v>1568241.89546912</v>
      </c>
      <c r="BU82" s="138" t="n">
        <f aca="false">BU79+BU80</f>
        <v>1607143.39354313</v>
      </c>
      <c r="BV82" s="138" t="n">
        <f aca="false">BV79+BV80</f>
        <v>1646049.05828381</v>
      </c>
      <c r="BW82" s="138" t="n">
        <f aca="false">BW79+BW80</f>
        <v>1488094.34117488</v>
      </c>
      <c r="BX82" s="138" t="n">
        <f aca="false">BX79+BX80</f>
        <v>1525188.62747187</v>
      </c>
      <c r="BY82" s="138" t="n">
        <f aca="false">BY79+BY80</f>
        <v>1562287.08043552</v>
      </c>
      <c r="BZ82" s="138" t="n">
        <f aca="false">BZ79+BZ80</f>
        <v>1599389.70006584</v>
      </c>
      <c r="CA82" s="138" t="n">
        <f aca="false">CA79+CA80</f>
        <v>1644844.1651484</v>
      </c>
      <c r="CB82" s="138" t="n">
        <f aca="false">CB79+CB80</f>
        <v>1659583.17582122</v>
      </c>
      <c r="CC82" s="138" t="n">
        <f aca="false">CC79+CC80</f>
        <v>1696698.29545154</v>
      </c>
      <c r="CD82" s="138" t="n">
        <f aca="false">CD79+CD80</f>
        <v>1733817.58174853</v>
      </c>
      <c r="CE82" s="138" t="n">
        <f aca="false">CE79+CE80</f>
        <v>1770941.03471218</v>
      </c>
      <c r="CF82" s="138" t="n">
        <f aca="false">CF79+CF80</f>
        <v>1808068.6543425</v>
      </c>
      <c r="CG82" s="138" t="n">
        <f aca="false">CG79+CG80</f>
        <v>1845200.44063948</v>
      </c>
      <c r="CH82" s="138" t="n">
        <f aca="false">CH79+CH80</f>
        <v>1882336.39360314</v>
      </c>
    </row>
    <row r="83" customFormat="false" ht="13.5" hidden="false" customHeight="true" outlineLevel="0" collapsed="false">
      <c r="A83" s="13" t="s">
        <v>761</v>
      </c>
      <c r="C83" s="138" t="n">
        <f aca="false">-IF(AND(1&gt;=Hipótesis!$D$76,MOD(1,12)=0,C81=0),MIN(Hipótesis!$D$77*MAX(0,SUM(C63:C63)),MAX(0,C82-Hipótesis!$D$80)),0)</f>
        <v>-0</v>
      </c>
      <c r="D83" s="138" t="n">
        <f aca="false">-IF(AND(2&gt;=Hipótesis!$D$76,MOD(2,12)=0,D81=0),MIN(Hipótesis!$D$77*MAX(0,SUM(C63:D63)),MAX(0,D82-Hipótesis!$D$80)),0)</f>
        <v>-0</v>
      </c>
      <c r="E83" s="138" t="n">
        <f aca="false">-IF(AND(3&gt;=Hipótesis!$D$76,MOD(3,12)=0,E81=0),MIN(Hipótesis!$D$77*MAX(0,SUM(C63:E63)),MAX(0,E82-Hipótesis!$D$80)),0)</f>
        <v>-0</v>
      </c>
      <c r="F83" s="138" t="n">
        <f aca="false">-IF(AND(4&gt;=Hipótesis!$D$76,MOD(4,12)=0,F81=0),MIN(Hipótesis!$D$77*MAX(0,SUM(C63:F63)),MAX(0,F82-Hipótesis!$D$80)),0)</f>
        <v>-0</v>
      </c>
      <c r="G83" s="138" t="n">
        <f aca="false">-IF(AND(5&gt;=Hipótesis!$D$76,MOD(5,12)=0,G81=0),MIN(Hipótesis!$D$77*MAX(0,SUM(C63:G63)),MAX(0,G82-Hipótesis!$D$80)),0)</f>
        <v>-0</v>
      </c>
      <c r="H83" s="138" t="n">
        <f aca="false">-IF(AND(6&gt;=Hipótesis!$D$76,MOD(6,12)=0,H81=0),MIN(Hipótesis!$D$77*MAX(0,SUM(C63:H63)),MAX(0,H82-Hipótesis!$D$80)),0)</f>
        <v>-0</v>
      </c>
      <c r="I83" s="138" t="n">
        <f aca="false">-IF(AND(7&gt;=Hipótesis!$D$76,MOD(7,12)=0,I81=0),MIN(Hipótesis!$D$77*MAX(0,SUM(C63:I63)),MAX(0,I82-Hipótesis!$D$80)),0)</f>
        <v>-0</v>
      </c>
      <c r="J83" s="138" t="n">
        <f aca="false">-IF(AND(8&gt;=Hipótesis!$D$76,MOD(8,12)=0,J81=0),MIN(Hipótesis!$D$77*MAX(0,SUM(C63:J63)),MAX(0,J82-Hipótesis!$D$80)),0)</f>
        <v>-0</v>
      </c>
      <c r="K83" s="138" t="n">
        <f aca="false">-IF(AND(9&gt;=Hipótesis!$D$76,MOD(9,12)=0,K81=0),MIN(Hipótesis!$D$77*MAX(0,SUM(C63:K63)),MAX(0,K82-Hipótesis!$D$80)),0)</f>
        <v>-0</v>
      </c>
      <c r="L83" s="138" t="n">
        <f aca="false">-IF(AND(10&gt;=Hipótesis!$D$76,MOD(10,12)=0,L81=0),MIN(Hipótesis!$D$77*MAX(0,SUM(C63:L63)),MAX(0,L82-Hipótesis!$D$80)),0)</f>
        <v>-0</v>
      </c>
      <c r="M83" s="138" t="n">
        <f aca="false">-IF(AND(11&gt;=Hipótesis!$D$76,MOD(11,12)=0,M81=0),MIN(Hipótesis!$D$77*MAX(0,SUM(C63:M63)),MAX(0,M82-Hipótesis!$D$80)),0)</f>
        <v>-0</v>
      </c>
      <c r="N83" s="138" t="n">
        <f aca="false">-IF(AND(12&gt;=Hipótesis!$D$76,MOD(12,12)=0,N81=0),MIN(Hipótesis!$D$77*MAX(0,SUM(C63:N63)),MAX(0,N82-Hipótesis!$D$80)),0)</f>
        <v>-0</v>
      </c>
      <c r="O83" s="138" t="n">
        <f aca="false">-IF(AND(13&gt;=Hipótesis!$D$76,MOD(13,12)=0,O81=0),MIN(Hipótesis!$D$77*MAX(0,SUM(D63:O63)),MAX(0,O82-Hipótesis!$D$80)),0)</f>
        <v>-0</v>
      </c>
      <c r="P83" s="138" t="n">
        <f aca="false">-IF(AND(14&gt;=Hipótesis!$D$76,MOD(14,12)=0,P81=0),MIN(Hipótesis!$D$77*MAX(0,SUM(E63:P63)),MAX(0,P82-Hipótesis!$D$80)),0)</f>
        <v>-0</v>
      </c>
      <c r="Q83" s="138" t="n">
        <f aca="false">-IF(AND(15&gt;=Hipótesis!$D$76,MOD(15,12)=0,Q81=0),MIN(Hipótesis!$D$77*MAX(0,SUM(F63:Q63)),MAX(0,Q82-Hipótesis!$D$80)),0)</f>
        <v>-0</v>
      </c>
      <c r="R83" s="138" t="n">
        <f aca="false">-IF(AND(16&gt;=Hipótesis!$D$76,MOD(16,12)=0,R81=0),MIN(Hipótesis!$D$77*MAX(0,SUM(G63:R63)),MAX(0,R82-Hipótesis!$D$80)),0)</f>
        <v>-0</v>
      </c>
      <c r="S83" s="138" t="n">
        <f aca="false">-IF(AND(17&gt;=Hipótesis!$D$76,MOD(17,12)=0,S81=0),MIN(Hipótesis!$D$77*MAX(0,SUM(H63:S63)),MAX(0,S82-Hipótesis!$D$80)),0)</f>
        <v>-0</v>
      </c>
      <c r="T83" s="138" t="n">
        <f aca="false">-IF(AND(18&gt;=Hipótesis!$D$76,MOD(18,12)=0,T81=0),MIN(Hipótesis!$D$77*MAX(0,SUM(I63:T63)),MAX(0,T82-Hipótesis!$D$80)),0)</f>
        <v>-0</v>
      </c>
      <c r="U83" s="138" t="n">
        <f aca="false">-IF(AND(19&gt;=Hipótesis!$D$76,MOD(19,12)=0,U81=0),MIN(Hipótesis!$D$77*MAX(0,SUM(J63:U63)),MAX(0,U82-Hipótesis!$D$80)),0)</f>
        <v>-0</v>
      </c>
      <c r="V83" s="138" t="n">
        <f aca="false">-IF(AND(20&gt;=Hipótesis!$D$76,MOD(20,12)=0,V81=0),MIN(Hipótesis!$D$77*MAX(0,SUM(K63:V63)),MAX(0,V82-Hipótesis!$D$80)),0)</f>
        <v>-0</v>
      </c>
      <c r="W83" s="138" t="n">
        <f aca="false">-IF(AND(21&gt;=Hipótesis!$D$76,MOD(21,12)=0,W81=0),MIN(Hipótesis!$D$77*MAX(0,SUM(L63:W63)),MAX(0,W82-Hipótesis!$D$80)),0)</f>
        <v>-0</v>
      </c>
      <c r="X83" s="138" t="n">
        <f aca="false">-IF(AND(22&gt;=Hipótesis!$D$76,MOD(22,12)=0,X81=0),MIN(Hipótesis!$D$77*MAX(0,SUM(M63:X63)),MAX(0,X82-Hipótesis!$D$80)),0)</f>
        <v>-0</v>
      </c>
      <c r="Y83" s="138" t="n">
        <f aca="false">-IF(AND(23&gt;=Hipótesis!$D$76,MOD(23,12)=0,Y81=0),MIN(Hipótesis!$D$77*MAX(0,SUM(N63:Y63)),MAX(0,Y82-Hipótesis!$D$80)),0)</f>
        <v>-0</v>
      </c>
      <c r="Z83" s="138" t="n">
        <f aca="false">-IF(AND(24&gt;=Hipótesis!$D$76,MOD(24,12)=0,Z81=0),MIN(Hipótesis!$D$77*MAX(0,SUM(O63:Z63)),MAX(0,Z82-Hipótesis!$D$80)),0)</f>
        <v>-0</v>
      </c>
      <c r="AA83" s="138" t="n">
        <f aca="false">-IF(AND(25&gt;=Hipótesis!$D$76,MOD(25,12)=0,AA81=0),MIN(Hipótesis!$D$77*MAX(0,SUM(P63:AA63)),MAX(0,AA82-Hipótesis!$D$80)),0)</f>
        <v>-0</v>
      </c>
      <c r="AB83" s="138" t="n">
        <f aca="false">-IF(AND(26&gt;=Hipótesis!$D$76,MOD(26,12)=0,AB81=0),MIN(Hipótesis!$D$77*MAX(0,SUM(Q63:AB63)),MAX(0,AB82-Hipótesis!$D$80)),0)</f>
        <v>-0</v>
      </c>
      <c r="AC83" s="138" t="n">
        <f aca="false">-IF(AND(27&gt;=Hipótesis!$D$76,MOD(27,12)=0,AC81=0),MIN(Hipótesis!$D$77*MAX(0,SUM(R63:AC63)),MAX(0,AC82-Hipótesis!$D$80)),0)</f>
        <v>-0</v>
      </c>
      <c r="AD83" s="138" t="n">
        <f aca="false">-IF(AND(28&gt;=Hipótesis!$D$76,MOD(28,12)=0,AD81=0),MIN(Hipótesis!$D$77*MAX(0,SUM(S63:AD63)),MAX(0,AD82-Hipótesis!$D$80)),0)</f>
        <v>-0</v>
      </c>
      <c r="AE83" s="138" t="n">
        <f aca="false">-IF(AND(29&gt;=Hipótesis!$D$76,MOD(29,12)=0,AE81=0),MIN(Hipótesis!$D$77*MAX(0,SUM(T63:AE63)),MAX(0,AE82-Hipótesis!$D$80)),0)</f>
        <v>-0</v>
      </c>
      <c r="AF83" s="138" t="n">
        <f aca="false">-IF(AND(30&gt;=Hipótesis!$D$76,MOD(30,12)=0,AF81=0),MIN(Hipótesis!$D$77*MAX(0,SUM(U63:AF63)),MAX(0,AF82-Hipótesis!$D$80)),0)</f>
        <v>-0</v>
      </c>
      <c r="AG83" s="138" t="n">
        <f aca="false">-IF(AND(31&gt;=Hipótesis!$D$76,MOD(31,12)=0,AG81=0),MIN(Hipótesis!$D$77*MAX(0,SUM(V63:AG63)),MAX(0,AG82-Hipótesis!$D$80)),0)</f>
        <v>-0</v>
      </c>
      <c r="AH83" s="138" t="n">
        <f aca="false">-IF(AND(32&gt;=Hipótesis!$D$76,MOD(32,12)=0,AH81=0),MIN(Hipótesis!$D$77*MAX(0,SUM(W63:AH63)),MAX(0,AH82-Hipótesis!$D$80)),0)</f>
        <v>-0</v>
      </c>
      <c r="AI83" s="138" t="n">
        <f aca="false">-IF(AND(33&gt;=Hipótesis!$D$76,MOD(33,12)=0,AI81=0),MIN(Hipótesis!$D$77*MAX(0,SUM(X63:AI63)),MAX(0,AI82-Hipótesis!$D$80)),0)</f>
        <v>-0</v>
      </c>
      <c r="AJ83" s="138" t="n">
        <f aca="false">-IF(AND(34&gt;=Hipótesis!$D$76,MOD(34,12)=0,AJ81=0),MIN(Hipótesis!$D$77*MAX(0,SUM(Y63:AJ63)),MAX(0,AJ82-Hipótesis!$D$80)),0)</f>
        <v>-0</v>
      </c>
      <c r="AK83" s="138" t="n">
        <f aca="false">-IF(AND(35&gt;=Hipótesis!$D$76,MOD(35,12)=0,AK81=0),MIN(Hipótesis!$D$77*MAX(0,SUM(Z63:AK63)),MAX(0,AK82-Hipótesis!$D$80)),0)</f>
        <v>-0</v>
      </c>
      <c r="AL83" s="138" t="n">
        <f aca="false">-IF(AND(36&gt;=Hipótesis!$D$76,MOD(36,12)=0,AL81=0),MIN(Hipótesis!$D$77*MAX(0,SUM(AA63:AL63)),MAX(0,AL82-Hipótesis!$D$80)),0)</f>
        <v>-0</v>
      </c>
      <c r="AM83" s="138" t="n">
        <f aca="false">-IF(AND(37&gt;=Hipótesis!$D$76,MOD(37,12)=0,AM81=0),MIN(Hipótesis!$D$77*MAX(0,SUM(AB63:AM63)),MAX(0,AM82-Hipótesis!$D$80)),0)</f>
        <v>-0</v>
      </c>
      <c r="AN83" s="138" t="n">
        <f aca="false">-IF(AND(38&gt;=Hipótesis!$D$76,MOD(38,12)=0,AN81=0),MIN(Hipótesis!$D$77*MAX(0,SUM(AC63:AN63)),MAX(0,AN82-Hipótesis!$D$80)),0)</f>
        <v>-0</v>
      </c>
      <c r="AO83" s="138" t="n">
        <f aca="false">-IF(AND(39&gt;=Hipótesis!$D$76,MOD(39,12)=0,AO81=0),MIN(Hipótesis!$D$77*MAX(0,SUM(AD63:AO63)),MAX(0,AO82-Hipótesis!$D$80)),0)</f>
        <v>-0</v>
      </c>
      <c r="AP83" s="138" t="n">
        <f aca="false">-IF(AND(40&gt;=Hipótesis!$D$76,MOD(40,12)=0,AP81=0),MIN(Hipótesis!$D$77*MAX(0,SUM(AE63:AP63)),MAX(0,AP82-Hipótesis!$D$80)),0)</f>
        <v>-0</v>
      </c>
      <c r="AQ83" s="138" t="n">
        <f aca="false">-IF(AND(41&gt;=Hipótesis!$D$76,MOD(41,12)=0,AQ81=0),MIN(Hipótesis!$D$77*MAX(0,SUM(AF63:AQ63)),MAX(0,AQ82-Hipótesis!$D$80)),0)</f>
        <v>-0</v>
      </c>
      <c r="AR83" s="138" t="n">
        <f aca="false">-IF(AND(42&gt;=Hipótesis!$D$76,MOD(42,12)=0,AR81=0),MIN(Hipótesis!$D$77*MAX(0,SUM(AG63:AR63)),MAX(0,AR82-Hipótesis!$D$80)),0)</f>
        <v>-0</v>
      </c>
      <c r="AS83" s="138" t="n">
        <f aca="false">-IF(AND(43&gt;=Hipótesis!$D$76,MOD(43,12)=0,AS81=0),MIN(Hipótesis!$D$77*MAX(0,SUM(AH63:AS63)),MAX(0,AS82-Hipótesis!$D$80)),0)</f>
        <v>-0</v>
      </c>
      <c r="AT83" s="138" t="n">
        <f aca="false">-IF(AND(44&gt;=Hipótesis!$D$76,MOD(44,12)=0,AT81=0),MIN(Hipótesis!$D$77*MAX(0,SUM(AI63:AT63)),MAX(0,AT82-Hipótesis!$D$80)),0)</f>
        <v>-0</v>
      </c>
      <c r="AU83" s="138" t="n">
        <f aca="false">-IF(AND(45&gt;=Hipótesis!$D$76,MOD(45,12)=0,AU81=0),MIN(Hipótesis!$D$77*MAX(0,SUM(AJ63:AU63)),MAX(0,AU82-Hipótesis!$D$80)),0)</f>
        <v>-0</v>
      </c>
      <c r="AV83" s="138" t="n">
        <f aca="false">-IF(AND(46&gt;=Hipótesis!$D$76,MOD(46,12)=0,AV81=0),MIN(Hipótesis!$D$77*MAX(0,SUM(AK63:AV63)),MAX(0,AV82-Hipótesis!$D$80)),0)</f>
        <v>-0</v>
      </c>
      <c r="AW83" s="138" t="n">
        <f aca="false">-IF(AND(47&gt;=Hipótesis!$D$76,MOD(47,12)=0,AW81=0),MIN(Hipótesis!$D$77*MAX(0,SUM(AL63:AW63)),MAX(0,AW82-Hipótesis!$D$80)),0)</f>
        <v>-0</v>
      </c>
      <c r="AX83" s="138" t="n">
        <f aca="false">-IF(AND(48&gt;=Hipótesis!$D$76,MOD(48,12)=0,AX81=0),MIN(Hipótesis!$D$77*MAX(0,SUM(AM63:AX63)),MAX(0,AX82-Hipótesis!$D$80)),0)</f>
        <v>-203993.097873244</v>
      </c>
      <c r="AY83" s="138" t="n">
        <f aca="false">-IF(AND(49&gt;=Hipótesis!$D$76,MOD(49,12)=0,AY81=0),MIN(Hipótesis!$D$77*MAX(0,SUM(AN63:AY63)),MAX(0,AY82-Hipótesis!$D$80)),0)</f>
        <v>-0</v>
      </c>
      <c r="AZ83" s="138" t="n">
        <f aca="false">-IF(AND(50&gt;=Hipótesis!$D$76,MOD(50,12)=0,AZ81=0),MIN(Hipótesis!$D$77*MAX(0,SUM(AO63:AZ63)),MAX(0,AZ82-Hipótesis!$D$80)),0)</f>
        <v>-0</v>
      </c>
      <c r="BA83" s="138" t="n">
        <f aca="false">-IF(AND(51&gt;=Hipótesis!$D$76,MOD(51,12)=0,BA81=0),MIN(Hipótesis!$D$77*MAX(0,SUM(AP63:BA63)),MAX(0,BA82-Hipótesis!$D$80)),0)</f>
        <v>-0</v>
      </c>
      <c r="BB83" s="138" t="n">
        <f aca="false">-IF(AND(52&gt;=Hipótesis!$D$76,MOD(52,12)=0,BB81=0),MIN(Hipótesis!$D$77*MAX(0,SUM(AQ63:BB63)),MAX(0,BB82-Hipótesis!$D$80)),0)</f>
        <v>-0</v>
      </c>
      <c r="BC83" s="138" t="n">
        <f aca="false">-IF(AND(53&gt;=Hipótesis!$D$76,MOD(53,12)=0,BC81=0),MIN(Hipótesis!$D$77*MAX(0,SUM(AR63:BC63)),MAX(0,BC82-Hipótesis!$D$80)),0)</f>
        <v>-0</v>
      </c>
      <c r="BD83" s="138" t="n">
        <f aca="false">-IF(AND(54&gt;=Hipótesis!$D$76,MOD(54,12)=0,BD81=0),MIN(Hipótesis!$D$77*MAX(0,SUM(AS63:BD63)),MAX(0,BD82-Hipótesis!$D$80)),0)</f>
        <v>-0</v>
      </c>
      <c r="BE83" s="138" t="n">
        <f aca="false">-IF(AND(55&gt;=Hipótesis!$D$76,MOD(55,12)=0,BE81=0),MIN(Hipótesis!$D$77*MAX(0,SUM(AT63:BE63)),MAX(0,BE82-Hipótesis!$D$80)),0)</f>
        <v>-0</v>
      </c>
      <c r="BF83" s="138" t="n">
        <f aca="false">-IF(AND(56&gt;=Hipótesis!$D$76,MOD(56,12)=0,BF81=0),MIN(Hipótesis!$D$77*MAX(0,SUM(AU63:BF63)),MAX(0,BF82-Hipótesis!$D$80)),0)</f>
        <v>-0</v>
      </c>
      <c r="BG83" s="138" t="n">
        <f aca="false">-IF(AND(57&gt;=Hipótesis!$D$76,MOD(57,12)=0,BG81=0),MIN(Hipótesis!$D$77*MAX(0,SUM(AV63:BG63)),MAX(0,BG82-Hipótesis!$D$80)),0)</f>
        <v>-0</v>
      </c>
      <c r="BH83" s="138" t="n">
        <f aca="false">-IF(AND(58&gt;=Hipótesis!$D$76,MOD(58,12)=0,BH81=0),MIN(Hipótesis!$D$77*MAX(0,SUM(AW63:BH63)),MAX(0,BH82-Hipótesis!$D$80)),0)</f>
        <v>-0</v>
      </c>
      <c r="BI83" s="138" t="n">
        <f aca="false">-IF(AND(59&gt;=Hipótesis!$D$76,MOD(59,12)=0,BI81=0),MIN(Hipótesis!$D$77*MAX(0,SUM(AX63:BI63)),MAX(0,BI82-Hipótesis!$D$80)),0)</f>
        <v>-0</v>
      </c>
      <c r="BJ83" s="138" t="n">
        <f aca="false">-IF(AND(60&gt;=Hipótesis!$D$76,MOD(60,12)=0,BJ81=0),MIN(Hipótesis!$D$77*MAX(0,SUM(AY63:BJ63)),MAX(0,BJ82-Hipótesis!$D$80)),0)</f>
        <v>-203488.506379785</v>
      </c>
      <c r="BK83" s="138" t="n">
        <f aca="false">-IF(AND(61&gt;=Hipótesis!$D$76,MOD(61,12)=0,BK81=0),MIN(Hipótesis!$D$77*MAX(0,SUM(AZ63:BK63)),MAX(0,BK82-Hipótesis!$D$80)),0)</f>
        <v>-0</v>
      </c>
      <c r="BL83" s="138" t="n">
        <f aca="false">-IF(AND(62&gt;=Hipótesis!$D$76,MOD(62,12)=0,BL81=0),MIN(Hipótesis!$D$77*MAX(0,SUM(BA63:BL63)),MAX(0,BL82-Hipótesis!$D$80)),0)</f>
        <v>-0</v>
      </c>
      <c r="BM83" s="138" t="n">
        <f aca="false">-IF(AND(63&gt;=Hipótesis!$D$76,MOD(63,12)=0,BM81=0),MIN(Hipótesis!$D$77*MAX(0,SUM(BB63:BM63)),MAX(0,BM82-Hipótesis!$D$80)),0)</f>
        <v>-0</v>
      </c>
      <c r="BN83" s="138" t="n">
        <f aca="false">-IF(AND(64&gt;=Hipótesis!$D$76,MOD(64,12)=0,BN81=0),MIN(Hipótesis!$D$77*MAX(0,SUM(BC63:BN63)),MAX(0,BN82-Hipótesis!$D$80)),0)</f>
        <v>-0</v>
      </c>
      <c r="BO83" s="138" t="n">
        <f aca="false">-IF(AND(65&gt;=Hipótesis!$D$76,MOD(65,12)=0,BO81=0),MIN(Hipótesis!$D$77*MAX(0,SUM(BD63:BO63)),MAX(0,BO82-Hipótesis!$D$80)),0)</f>
        <v>-0</v>
      </c>
      <c r="BP83" s="138" t="n">
        <f aca="false">-IF(AND(66&gt;=Hipótesis!$D$76,MOD(66,12)=0,BP81=0),MIN(Hipótesis!$D$77*MAX(0,SUM(BE63:BP63)),MAX(0,BP82-Hipótesis!$D$80)),0)</f>
        <v>-0</v>
      </c>
      <c r="BQ83" s="138" t="n">
        <f aca="false">-IF(AND(67&gt;=Hipótesis!$D$76,MOD(67,12)=0,BQ81=0),MIN(Hipótesis!$D$77*MAX(0,SUM(BF63:BQ63)),MAX(0,BQ82-Hipótesis!$D$80)),0)</f>
        <v>-0</v>
      </c>
      <c r="BR83" s="138" t="n">
        <f aca="false">-IF(AND(68&gt;=Hipótesis!$D$76,MOD(68,12)=0,BR81=0),MIN(Hipótesis!$D$77*MAX(0,SUM(BG63:BR63)),MAX(0,BR82-Hipótesis!$D$80)),0)</f>
        <v>-0</v>
      </c>
      <c r="BS83" s="138" t="n">
        <f aca="false">-IF(AND(69&gt;=Hipótesis!$D$76,MOD(69,12)=0,BS81=0),MIN(Hipótesis!$D$77*MAX(0,SUM(BH63:BS63)),MAX(0,BS82-Hipótesis!$D$80)),0)</f>
        <v>-0</v>
      </c>
      <c r="BT83" s="138" t="n">
        <f aca="false">-IF(AND(70&gt;=Hipótesis!$D$76,MOD(70,12)=0,BT81=0),MIN(Hipótesis!$D$77*MAX(0,SUM(BI63:BT63)),MAX(0,BT82-Hipótesis!$D$80)),0)</f>
        <v>-0</v>
      </c>
      <c r="BU83" s="138" t="n">
        <f aca="false">-IF(AND(71&gt;=Hipótesis!$D$76,MOD(71,12)=0,BU81=0),MIN(Hipótesis!$D$77*MAX(0,SUM(BJ63:BU63)),MAX(0,BU82-Hipótesis!$D$80)),0)</f>
        <v>-0</v>
      </c>
      <c r="BV83" s="138" t="n">
        <f aca="false">-IF(AND(72&gt;=Hipótesis!$D$76,MOD(72,12)=0,BV81=0),MIN(Hipótesis!$D$77*MAX(0,SUM(BK63:BV63)),MAX(0,BV82-Hipótesis!$D$80)),0)</f>
        <v>-195044.836739252</v>
      </c>
      <c r="BW83" s="138" t="n">
        <f aca="false">-IF(AND(73&gt;=Hipótesis!$D$76,MOD(73,12)=0,BW81=0),MIN(Hipótesis!$D$77*MAX(0,SUM(BL63:BW63)),MAX(0,BW82-Hipótesis!$D$80)),0)</f>
        <v>-0</v>
      </c>
      <c r="BX83" s="138" t="n">
        <f aca="false">-IF(AND(74&gt;=Hipótesis!$D$76,MOD(74,12)=0,BX81=0),MIN(Hipótesis!$D$77*MAX(0,SUM(BM63:BX63)),MAX(0,BX82-Hipótesis!$D$80)),0)</f>
        <v>-0</v>
      </c>
      <c r="BY83" s="138" t="n">
        <f aca="false">-IF(AND(75&gt;=Hipótesis!$D$76,MOD(75,12)=0,BY81=0),MIN(Hipótesis!$D$77*MAX(0,SUM(BN63:BY63)),MAX(0,BY82-Hipótesis!$D$80)),0)</f>
        <v>-0</v>
      </c>
      <c r="BZ83" s="138" t="n">
        <f aca="false">-IF(AND(76&gt;=Hipótesis!$D$76,MOD(76,12)=0,BZ81=0),MIN(Hipótesis!$D$77*MAX(0,SUM(BO63:BZ63)),MAX(0,BZ82-Hipótesis!$D$80)),0)</f>
        <v>-0</v>
      </c>
      <c r="CA83" s="138" t="n">
        <f aca="false">-IF(AND(77&gt;=Hipótesis!$D$76,MOD(77,12)=0,CA81=0),MIN(Hipótesis!$D$77*MAX(0,SUM(BP63:CA63)),MAX(0,CA82-Hipótesis!$D$80)),0)</f>
        <v>-0</v>
      </c>
      <c r="CB83" s="138" t="n">
        <f aca="false">-IF(AND(78&gt;=Hipótesis!$D$76,MOD(78,12)=0,CB81=0),MIN(Hipótesis!$D$77*MAX(0,SUM(BQ63:CB63)),MAX(0,CB82-Hipótesis!$D$80)),0)</f>
        <v>-0</v>
      </c>
      <c r="CC83" s="138" t="n">
        <f aca="false">-IF(AND(79&gt;=Hipótesis!$D$76,MOD(79,12)=0,CC81=0),MIN(Hipótesis!$D$77*MAX(0,SUM(BR63:CC63)),MAX(0,CC82-Hipótesis!$D$80)),0)</f>
        <v>-0</v>
      </c>
      <c r="CD83" s="138" t="n">
        <f aca="false">-IF(AND(80&gt;=Hipótesis!$D$76,MOD(80,12)=0,CD81=0),MIN(Hipótesis!$D$77*MAX(0,SUM(BS63:CD63)),MAX(0,CD82-Hipótesis!$D$80)),0)</f>
        <v>-0</v>
      </c>
      <c r="CE83" s="138" t="n">
        <f aca="false">-IF(AND(81&gt;=Hipótesis!$D$76,MOD(81,12)=0,CE81=0),MIN(Hipótesis!$D$77*MAX(0,SUM(BT63:CE63)),MAX(0,CE82-Hipótesis!$D$80)),0)</f>
        <v>-0</v>
      </c>
      <c r="CF83" s="138" t="n">
        <f aca="false">-IF(AND(82&gt;=Hipótesis!$D$76,MOD(82,12)=0,CF81=0),MIN(Hipótesis!$D$77*MAX(0,SUM(BU63:CF63)),MAX(0,CF82-Hipótesis!$D$80)),0)</f>
        <v>-0</v>
      </c>
      <c r="CG83" s="138" t="n">
        <f aca="false">-IF(AND(83&gt;=Hipótesis!$D$76,MOD(83,12)=0,CG81=0),MIN(Hipótesis!$D$77*MAX(0,SUM(BV63:CG63)),MAX(0,CG82-Hipótesis!$D$80)),0)</f>
        <v>-0</v>
      </c>
      <c r="CH83" s="138" t="n">
        <f aca="false">-IF(AND(84&gt;=Hipótesis!$D$76,MOD(84,12)=0,CH81=0),MIN(Hipótesis!$D$77*MAX(0,SUM(BW63:CH63)),MAX(0,CH82-Hipótesis!$D$80)),0)</f>
        <v>-186550.220209503</v>
      </c>
    </row>
    <row r="84" customFormat="false" ht="13.5" hidden="false" customHeight="true" outlineLevel="0" collapsed="false">
      <c r="A84" s="30" t="s">
        <v>762</v>
      </c>
      <c r="C84" s="138" t="n">
        <f aca="false">-IF(AND(1&gt;=Hipótesis!$D$78,MOD(1,12)=0,C96=0,C89=0,C101=0,C81=0),MIN(Hipótesis!$D$79*MAX(0,C112),MAX(0,C82+C83-Hipótesis!$D$80)),0)</f>
        <v>-0</v>
      </c>
      <c r="D84" s="138" t="n">
        <f aca="false">-IF(AND(2&gt;=Hipótesis!$D$78,MOD(2,12)=0,D96=0,D89=0,D101=0,D81=0),MIN(Hipótesis!$D$79*MAX(0,D112),MAX(0,D82+D83-Hipótesis!$D$80)),0)</f>
        <v>-0</v>
      </c>
      <c r="E84" s="138" t="n">
        <f aca="false">-IF(AND(3&gt;=Hipótesis!$D$78,MOD(3,12)=0,E96=0,E89=0,E101=0,E81=0),MIN(Hipótesis!$D$79*MAX(0,E112),MAX(0,E82+E83-Hipótesis!$D$80)),0)</f>
        <v>-0</v>
      </c>
      <c r="F84" s="138" t="n">
        <f aca="false">-IF(AND(4&gt;=Hipótesis!$D$78,MOD(4,12)=0,F96=0,F89=0,F101=0,F81=0),MIN(Hipótesis!$D$79*MAX(0,F112),MAX(0,F82+F83-Hipótesis!$D$80)),0)</f>
        <v>-0</v>
      </c>
      <c r="G84" s="138" t="n">
        <f aca="false">-IF(AND(5&gt;=Hipótesis!$D$78,MOD(5,12)=0,G96=0,G89=0,G101=0,G81=0),MIN(Hipótesis!$D$79*MAX(0,G112),MAX(0,G82+G83-Hipótesis!$D$80)),0)</f>
        <v>-0</v>
      </c>
      <c r="H84" s="138" t="n">
        <f aca="false">-IF(AND(6&gt;=Hipótesis!$D$78,MOD(6,12)=0,H96=0,H89=0,H101=0,H81=0),MIN(Hipótesis!$D$79*MAX(0,H112),MAX(0,H82+H83-Hipótesis!$D$80)),0)</f>
        <v>-0</v>
      </c>
      <c r="I84" s="138" t="n">
        <f aca="false">-IF(AND(7&gt;=Hipótesis!$D$78,MOD(7,12)=0,I96=0,I89=0,I101=0,I81=0),MIN(Hipótesis!$D$79*MAX(0,I112),MAX(0,I82+I83-Hipótesis!$D$80)),0)</f>
        <v>-0</v>
      </c>
      <c r="J84" s="138" t="n">
        <f aca="false">-IF(AND(8&gt;=Hipótesis!$D$78,MOD(8,12)=0,J96=0,J89=0,J101=0,J81=0),MIN(Hipótesis!$D$79*MAX(0,J112),MAX(0,J82+J83-Hipótesis!$D$80)),0)</f>
        <v>-0</v>
      </c>
      <c r="K84" s="138" t="n">
        <f aca="false">-IF(AND(9&gt;=Hipótesis!$D$78,MOD(9,12)=0,K96=0,K89=0,K101=0,K81=0),MIN(Hipótesis!$D$79*MAX(0,K112),MAX(0,K82+K83-Hipótesis!$D$80)),0)</f>
        <v>-0</v>
      </c>
      <c r="L84" s="138" t="n">
        <f aca="false">-IF(AND(10&gt;=Hipótesis!$D$78,MOD(10,12)=0,L96=0,L89=0,L101=0,L81=0),MIN(Hipótesis!$D$79*MAX(0,L112),MAX(0,L82+L83-Hipótesis!$D$80)),0)</f>
        <v>-0</v>
      </c>
      <c r="M84" s="138" t="n">
        <f aca="false">-IF(AND(11&gt;=Hipótesis!$D$78,MOD(11,12)=0,M96=0,M89=0,M101=0,M81=0),MIN(Hipótesis!$D$79*MAX(0,M112),MAX(0,M82+M83-Hipótesis!$D$80)),0)</f>
        <v>-0</v>
      </c>
      <c r="N84" s="138" t="n">
        <f aca="false">-IF(AND(12&gt;=Hipótesis!$D$78,MOD(12,12)=0,N96=0,N89=0,N101=0,N81=0),MIN(Hipótesis!$D$79*MAX(0,N112),MAX(0,N82+N83-Hipótesis!$D$80)),0)</f>
        <v>-0</v>
      </c>
      <c r="O84" s="138" t="n">
        <f aca="false">-IF(AND(13&gt;=Hipótesis!$D$78,MOD(13,12)=0,O96=0,O89=0,O101=0,O81=0),MIN(Hipótesis!$D$79*MAX(0,O112),MAX(0,O82+O83-Hipótesis!$D$80)),0)</f>
        <v>-0</v>
      </c>
      <c r="P84" s="138" t="n">
        <f aca="false">-IF(AND(14&gt;=Hipótesis!$D$78,MOD(14,12)=0,P96=0,P89=0,P101=0,P81=0),MIN(Hipótesis!$D$79*MAX(0,P112),MAX(0,P82+P83-Hipótesis!$D$80)),0)</f>
        <v>-0</v>
      </c>
      <c r="Q84" s="138" t="n">
        <f aca="false">-IF(AND(15&gt;=Hipótesis!$D$78,MOD(15,12)=0,Q96=0,Q89=0,Q101=0,Q81=0),MIN(Hipótesis!$D$79*MAX(0,Q112),MAX(0,Q82+Q83-Hipótesis!$D$80)),0)</f>
        <v>-0</v>
      </c>
      <c r="R84" s="138" t="n">
        <f aca="false">-IF(AND(16&gt;=Hipótesis!$D$78,MOD(16,12)=0,R96=0,R89=0,R101=0,R81=0),MIN(Hipótesis!$D$79*MAX(0,R112),MAX(0,R82+R83-Hipótesis!$D$80)),0)</f>
        <v>-0</v>
      </c>
      <c r="S84" s="138" t="n">
        <f aca="false">-IF(AND(17&gt;=Hipótesis!$D$78,MOD(17,12)=0,S96=0,S89=0,S101=0,S81=0),MIN(Hipótesis!$D$79*MAX(0,S112),MAX(0,S82+S83-Hipótesis!$D$80)),0)</f>
        <v>-0</v>
      </c>
      <c r="T84" s="138" t="n">
        <f aca="false">-IF(AND(18&gt;=Hipótesis!$D$78,MOD(18,12)=0,T96=0,T89=0,T101=0,T81=0),MIN(Hipótesis!$D$79*MAX(0,T112),MAX(0,T82+T83-Hipótesis!$D$80)),0)</f>
        <v>-0</v>
      </c>
      <c r="U84" s="138" t="n">
        <f aca="false">-IF(AND(19&gt;=Hipótesis!$D$78,MOD(19,12)=0,U96=0,U89=0,U101=0,U81=0),MIN(Hipótesis!$D$79*MAX(0,U112),MAX(0,U82+U83-Hipótesis!$D$80)),0)</f>
        <v>-0</v>
      </c>
      <c r="V84" s="138" t="n">
        <f aca="false">-IF(AND(20&gt;=Hipótesis!$D$78,MOD(20,12)=0,V96=0,V89=0,V101=0,V81=0),MIN(Hipótesis!$D$79*MAX(0,V112),MAX(0,V82+V83-Hipótesis!$D$80)),0)</f>
        <v>-0</v>
      </c>
      <c r="W84" s="138" t="n">
        <f aca="false">-IF(AND(21&gt;=Hipótesis!$D$78,MOD(21,12)=0,W96=0,W89=0,W101=0,W81=0),MIN(Hipótesis!$D$79*MAX(0,W112),MAX(0,W82+W83-Hipótesis!$D$80)),0)</f>
        <v>-0</v>
      </c>
      <c r="X84" s="138" t="n">
        <f aca="false">-IF(AND(22&gt;=Hipótesis!$D$78,MOD(22,12)=0,X96=0,X89=0,X101=0,X81=0),MIN(Hipótesis!$D$79*MAX(0,X112),MAX(0,X82+X83-Hipótesis!$D$80)),0)</f>
        <v>-0</v>
      </c>
      <c r="Y84" s="138" t="n">
        <f aca="false">-IF(AND(23&gt;=Hipótesis!$D$78,MOD(23,12)=0,Y96=0,Y89=0,Y101=0,Y81=0),MIN(Hipótesis!$D$79*MAX(0,Y112),MAX(0,Y82+Y83-Hipótesis!$D$80)),0)</f>
        <v>-0</v>
      </c>
      <c r="Z84" s="138" t="n">
        <f aca="false">-IF(AND(24&gt;=Hipótesis!$D$78,MOD(24,12)=0,Z96=0,Z89=0,Z101=0,Z81=0),MIN(Hipótesis!$D$79*MAX(0,Z112),MAX(0,Z82+Z83-Hipótesis!$D$80)),0)</f>
        <v>-0</v>
      </c>
      <c r="AA84" s="138" t="n">
        <f aca="false">-IF(AND(25&gt;=Hipótesis!$D$78,MOD(25,12)=0,AA96=0,AA89=0,AA101=0,AA81=0),MIN(Hipótesis!$D$79*MAX(0,AA112),MAX(0,AA82+AA83-Hipótesis!$D$80)),0)</f>
        <v>-0</v>
      </c>
      <c r="AB84" s="138" t="n">
        <f aca="false">-IF(AND(26&gt;=Hipótesis!$D$78,MOD(26,12)=0,AB96=0,AB89=0,AB101=0,AB81=0),MIN(Hipótesis!$D$79*MAX(0,AB112),MAX(0,AB82+AB83-Hipótesis!$D$80)),0)</f>
        <v>-0</v>
      </c>
      <c r="AC84" s="138" t="n">
        <f aca="false">-IF(AND(27&gt;=Hipótesis!$D$78,MOD(27,12)=0,AC96=0,AC89=0,AC101=0,AC81=0),MIN(Hipótesis!$D$79*MAX(0,AC112),MAX(0,AC82+AC83-Hipótesis!$D$80)),0)</f>
        <v>-0</v>
      </c>
      <c r="AD84" s="138" t="n">
        <f aca="false">-IF(AND(28&gt;=Hipótesis!$D$78,MOD(28,12)=0,AD96=0,AD89=0,AD101=0,AD81=0),MIN(Hipótesis!$D$79*MAX(0,AD112),MAX(0,AD82+AD83-Hipótesis!$D$80)),0)</f>
        <v>-0</v>
      </c>
      <c r="AE84" s="138" t="n">
        <f aca="false">-IF(AND(29&gt;=Hipótesis!$D$78,MOD(29,12)=0,AE96=0,AE89=0,AE101=0,AE81=0),MIN(Hipótesis!$D$79*MAX(0,AE112),MAX(0,AE82+AE83-Hipótesis!$D$80)),0)</f>
        <v>-0</v>
      </c>
      <c r="AF84" s="138" t="n">
        <f aca="false">-IF(AND(30&gt;=Hipótesis!$D$78,MOD(30,12)=0,AF96=0,AF89=0,AF101=0,AF81=0),MIN(Hipótesis!$D$79*MAX(0,AF112),MAX(0,AF82+AF83-Hipótesis!$D$80)),0)</f>
        <v>-0</v>
      </c>
      <c r="AG84" s="138" t="n">
        <f aca="false">-IF(AND(31&gt;=Hipótesis!$D$78,MOD(31,12)=0,AG96=0,AG89=0,AG101=0,AG81=0),MIN(Hipótesis!$D$79*MAX(0,AG112),MAX(0,AG82+AG83-Hipótesis!$D$80)),0)</f>
        <v>-0</v>
      </c>
      <c r="AH84" s="138" t="n">
        <f aca="false">-IF(AND(32&gt;=Hipótesis!$D$78,MOD(32,12)=0,AH96=0,AH89=0,AH101=0,AH81=0),MIN(Hipótesis!$D$79*MAX(0,AH112),MAX(0,AH82+AH83-Hipótesis!$D$80)),0)</f>
        <v>-0</v>
      </c>
      <c r="AI84" s="138" t="n">
        <f aca="false">-IF(AND(33&gt;=Hipótesis!$D$78,MOD(33,12)=0,AI96=0,AI89=0,AI101=0,AI81=0),MIN(Hipótesis!$D$79*MAX(0,AI112),MAX(0,AI82+AI83-Hipótesis!$D$80)),0)</f>
        <v>-0</v>
      </c>
      <c r="AJ84" s="138" t="n">
        <f aca="false">-IF(AND(34&gt;=Hipótesis!$D$78,MOD(34,12)=0,AJ96=0,AJ89=0,AJ101=0,AJ81=0),MIN(Hipótesis!$D$79*MAX(0,AJ112),MAX(0,AJ82+AJ83-Hipótesis!$D$80)),0)</f>
        <v>-0</v>
      </c>
      <c r="AK84" s="138" t="n">
        <f aca="false">-IF(AND(35&gt;=Hipótesis!$D$78,MOD(35,12)=0,AK96=0,AK89=0,AK101=0,AK81=0),MIN(Hipótesis!$D$79*MAX(0,AK112),MAX(0,AK82+AK83-Hipótesis!$D$80)),0)</f>
        <v>-0</v>
      </c>
      <c r="AL84" s="138" t="n">
        <f aca="false">-IF(AND(36&gt;=Hipótesis!$D$78,MOD(36,12)=0,AL96=0,AL89=0,AL101=0,AL81=0),MIN(Hipótesis!$D$79*MAX(0,AL112),MAX(0,AL82+AL83-Hipótesis!$D$80)),0)</f>
        <v>-0</v>
      </c>
      <c r="AM84" s="138" t="n">
        <f aca="false">-IF(AND(37&gt;=Hipótesis!$D$78,MOD(37,12)=0,AM96=0,AM89=0,AM101=0,AM81=0),MIN(Hipótesis!$D$79*MAX(0,AM112),MAX(0,AM82+AM83-Hipótesis!$D$80)),0)</f>
        <v>-0</v>
      </c>
      <c r="AN84" s="138" t="n">
        <f aca="false">-IF(AND(38&gt;=Hipótesis!$D$78,MOD(38,12)=0,AN96=0,AN89=0,AN101=0,AN81=0),MIN(Hipótesis!$D$79*MAX(0,AN112),MAX(0,AN82+AN83-Hipótesis!$D$80)),0)</f>
        <v>-0</v>
      </c>
      <c r="AO84" s="138" t="n">
        <f aca="false">-IF(AND(39&gt;=Hipótesis!$D$78,MOD(39,12)=0,AO96=0,AO89=0,AO101=0,AO81=0),MIN(Hipótesis!$D$79*MAX(0,AO112),MAX(0,AO82+AO83-Hipótesis!$D$80)),0)</f>
        <v>-0</v>
      </c>
      <c r="AP84" s="138" t="n">
        <f aca="false">-IF(AND(40&gt;=Hipótesis!$D$78,MOD(40,12)=0,AP96=0,AP89=0,AP101=0,AP81=0),MIN(Hipótesis!$D$79*MAX(0,AP112),MAX(0,AP82+AP83-Hipótesis!$D$80)),0)</f>
        <v>-0</v>
      </c>
      <c r="AQ84" s="138" t="n">
        <f aca="false">-IF(AND(41&gt;=Hipótesis!$D$78,MOD(41,12)=0,AQ96=0,AQ89=0,AQ101=0,AQ81=0),MIN(Hipótesis!$D$79*MAX(0,AQ112),MAX(0,AQ82+AQ83-Hipótesis!$D$80)),0)</f>
        <v>-0</v>
      </c>
      <c r="AR84" s="138" t="n">
        <f aca="false">-IF(AND(42&gt;=Hipótesis!$D$78,MOD(42,12)=0,AR96=0,AR89=0,AR101=0,AR81=0),MIN(Hipótesis!$D$79*MAX(0,AR112),MAX(0,AR82+AR83-Hipótesis!$D$80)),0)</f>
        <v>-0</v>
      </c>
      <c r="AS84" s="138" t="n">
        <f aca="false">-IF(AND(43&gt;=Hipótesis!$D$78,MOD(43,12)=0,AS96=0,AS89=0,AS101=0,AS81=0),MIN(Hipótesis!$D$79*MAX(0,AS112),MAX(0,AS82+AS83-Hipótesis!$D$80)),0)</f>
        <v>-0</v>
      </c>
      <c r="AT84" s="138" t="n">
        <f aca="false">-IF(AND(44&gt;=Hipótesis!$D$78,MOD(44,12)=0,AT96=0,AT89=0,AT101=0,AT81=0),MIN(Hipótesis!$D$79*MAX(0,AT112),MAX(0,AT82+AT83-Hipótesis!$D$80)),0)</f>
        <v>-0</v>
      </c>
      <c r="AU84" s="138" t="n">
        <f aca="false">-IF(AND(45&gt;=Hipótesis!$D$78,MOD(45,12)=0,AU96=0,AU89=0,AU101=0,AU81=0),MIN(Hipótesis!$D$79*MAX(0,AU112),MAX(0,AU82+AU83-Hipótesis!$D$80)),0)</f>
        <v>-0</v>
      </c>
      <c r="AV84" s="138" t="n">
        <f aca="false">-IF(AND(46&gt;=Hipótesis!$D$78,MOD(46,12)=0,AV96=0,AV89=0,AV101=0,AV81=0),MIN(Hipótesis!$D$79*MAX(0,AV112),MAX(0,AV82+AV83-Hipótesis!$D$80)),0)</f>
        <v>-0</v>
      </c>
      <c r="AW84" s="138" t="n">
        <f aca="false">-IF(AND(47&gt;=Hipótesis!$D$78,MOD(47,12)=0,AW96=0,AW89=0,AW101=0,AW81=0),MIN(Hipótesis!$D$79*MAX(0,AW112),MAX(0,AW82+AW83-Hipótesis!$D$80)),0)</f>
        <v>-0</v>
      </c>
      <c r="AX84" s="138" t="n">
        <f aca="false">-IF(AND(48&gt;=Hipótesis!$D$78,MOD(48,12)=0,AX96=0,AX89=0,AX101=0,AX81=0),MIN(Hipótesis!$D$79*MAX(0,AX112),MAX(0,AX82+AX83-Hipótesis!$D$80)),0)</f>
        <v>-0</v>
      </c>
      <c r="AY84" s="138" t="n">
        <f aca="false">-IF(AND(49&gt;=Hipótesis!$D$78,MOD(49,12)=0,AY96=0,AY89=0,AY101=0,AY81=0),MIN(Hipótesis!$D$79*MAX(0,AY112),MAX(0,AY82+AY83-Hipótesis!$D$80)),0)</f>
        <v>-0</v>
      </c>
      <c r="AZ84" s="138" t="n">
        <f aca="false">-IF(AND(50&gt;=Hipótesis!$D$78,MOD(50,12)=0,AZ96=0,AZ89=0,AZ101=0,AZ81=0),MIN(Hipótesis!$D$79*MAX(0,AZ112),MAX(0,AZ82+AZ83-Hipótesis!$D$80)),0)</f>
        <v>-0</v>
      </c>
      <c r="BA84" s="138" t="n">
        <f aca="false">-IF(AND(51&gt;=Hipótesis!$D$78,MOD(51,12)=0,BA96=0,BA89=0,BA101=0,BA81=0),MIN(Hipótesis!$D$79*MAX(0,BA112),MAX(0,BA82+BA83-Hipótesis!$D$80)),0)</f>
        <v>-0</v>
      </c>
      <c r="BB84" s="138" t="n">
        <f aca="false">-IF(AND(52&gt;=Hipótesis!$D$78,MOD(52,12)=0,BB96=0,BB89=0,BB101=0,BB81=0),MIN(Hipótesis!$D$79*MAX(0,BB112),MAX(0,BB82+BB83-Hipótesis!$D$80)),0)</f>
        <v>-0</v>
      </c>
      <c r="BC84" s="138" t="n">
        <f aca="false">-IF(AND(53&gt;=Hipótesis!$D$78,MOD(53,12)=0,BC96=0,BC89=0,BC101=0,BC81=0),MIN(Hipótesis!$D$79*MAX(0,BC112),MAX(0,BC82+BC83-Hipótesis!$D$80)),0)</f>
        <v>-0</v>
      </c>
      <c r="BD84" s="138" t="n">
        <f aca="false">-IF(AND(54&gt;=Hipótesis!$D$78,MOD(54,12)=0,BD96=0,BD89=0,BD101=0,BD81=0),MIN(Hipótesis!$D$79*MAX(0,BD112),MAX(0,BD82+BD83-Hipótesis!$D$80)),0)</f>
        <v>-0</v>
      </c>
      <c r="BE84" s="138" t="n">
        <f aca="false">-IF(AND(55&gt;=Hipótesis!$D$78,MOD(55,12)=0,BE96=0,BE89=0,BE101=0,BE81=0),MIN(Hipótesis!$D$79*MAX(0,BE112),MAX(0,BE82+BE83-Hipótesis!$D$80)),0)</f>
        <v>-0</v>
      </c>
      <c r="BF84" s="138" t="n">
        <f aca="false">-IF(AND(56&gt;=Hipótesis!$D$78,MOD(56,12)=0,BF96=0,BF89=0,BF101=0,BF81=0),MIN(Hipótesis!$D$79*MAX(0,BF112),MAX(0,BF82+BF83-Hipótesis!$D$80)),0)</f>
        <v>-0</v>
      </c>
      <c r="BG84" s="138" t="n">
        <f aca="false">-IF(AND(57&gt;=Hipótesis!$D$78,MOD(57,12)=0,BG96=0,BG89=0,BG101=0,BG81=0),MIN(Hipótesis!$D$79*MAX(0,BG112),MAX(0,BG82+BG83-Hipótesis!$D$80)),0)</f>
        <v>-0</v>
      </c>
      <c r="BH84" s="138" t="n">
        <f aca="false">-IF(AND(58&gt;=Hipótesis!$D$78,MOD(58,12)=0,BH96=0,BH89=0,BH101=0,BH81=0),MIN(Hipótesis!$D$79*MAX(0,BH112),MAX(0,BH82+BH83-Hipótesis!$D$80)),0)</f>
        <v>-0</v>
      </c>
      <c r="BI84" s="138" t="n">
        <f aca="false">-IF(AND(59&gt;=Hipótesis!$D$78,MOD(59,12)=0,BI96=0,BI89=0,BI101=0,BI81=0),MIN(Hipótesis!$D$79*MAX(0,BI112),MAX(0,BI82+BI83-Hipótesis!$D$80)),0)</f>
        <v>-0</v>
      </c>
      <c r="BJ84" s="138" t="n">
        <f aca="false">-IF(AND(60&gt;=Hipótesis!$D$78,MOD(60,12)=0,BJ96=0,BJ89=0,BJ101=0,BJ81=0),MIN(Hipótesis!$D$79*MAX(0,BJ112),MAX(0,BJ82+BJ83-Hipótesis!$D$80)),0)</f>
        <v>-0</v>
      </c>
      <c r="BK84" s="138" t="n">
        <f aca="false">-IF(AND(61&gt;=Hipótesis!$D$78,MOD(61,12)=0,BK96=0,BK89=0,BK101=0,BK81=0),MIN(Hipótesis!$D$79*MAX(0,BK112),MAX(0,BK82+BK83-Hipótesis!$D$80)),0)</f>
        <v>-0</v>
      </c>
      <c r="BL84" s="138" t="n">
        <f aca="false">-IF(AND(62&gt;=Hipótesis!$D$78,MOD(62,12)=0,BL96=0,BL89=0,BL101=0,BL81=0),MIN(Hipótesis!$D$79*MAX(0,BL112),MAX(0,BL82+BL83-Hipótesis!$D$80)),0)</f>
        <v>-0</v>
      </c>
      <c r="BM84" s="138" t="n">
        <f aca="false">-IF(AND(63&gt;=Hipótesis!$D$78,MOD(63,12)=0,BM96=0,BM89=0,BM101=0,BM81=0),MIN(Hipótesis!$D$79*MAX(0,BM112),MAX(0,BM82+BM83-Hipótesis!$D$80)),0)</f>
        <v>-0</v>
      </c>
      <c r="BN84" s="138" t="n">
        <f aca="false">-IF(AND(64&gt;=Hipótesis!$D$78,MOD(64,12)=0,BN96=0,BN89=0,BN101=0,BN81=0),MIN(Hipótesis!$D$79*MAX(0,BN112),MAX(0,BN82+BN83-Hipótesis!$D$80)),0)</f>
        <v>-0</v>
      </c>
      <c r="BO84" s="138" t="n">
        <f aca="false">-IF(AND(65&gt;=Hipótesis!$D$78,MOD(65,12)=0,BO96=0,BO89=0,BO101=0,BO81=0),MIN(Hipótesis!$D$79*MAX(0,BO112),MAX(0,BO82+BO83-Hipótesis!$D$80)),0)</f>
        <v>-0</v>
      </c>
      <c r="BP84" s="138" t="n">
        <f aca="false">-IF(AND(66&gt;=Hipótesis!$D$78,MOD(66,12)=0,BP96=0,BP89=0,BP101=0,BP81=0),MIN(Hipótesis!$D$79*MAX(0,BP112),MAX(0,BP82+BP83-Hipótesis!$D$80)),0)</f>
        <v>-0</v>
      </c>
      <c r="BQ84" s="138" t="n">
        <f aca="false">-IF(AND(67&gt;=Hipótesis!$D$78,MOD(67,12)=0,BQ96=0,BQ89=0,BQ101=0,BQ81=0),MIN(Hipótesis!$D$79*MAX(0,BQ112),MAX(0,BQ82+BQ83-Hipótesis!$D$80)),0)</f>
        <v>-0</v>
      </c>
      <c r="BR84" s="138" t="n">
        <f aca="false">-IF(AND(68&gt;=Hipótesis!$D$78,MOD(68,12)=0,BR96=0,BR89=0,BR101=0,BR81=0),MIN(Hipótesis!$D$79*MAX(0,BR112),MAX(0,BR82+BR83-Hipótesis!$D$80)),0)</f>
        <v>-0</v>
      </c>
      <c r="BS84" s="138" t="n">
        <f aca="false">-IF(AND(69&gt;=Hipótesis!$D$78,MOD(69,12)=0,BS96=0,BS89=0,BS101=0,BS81=0),MIN(Hipótesis!$D$79*MAX(0,BS112),MAX(0,BS82+BS83-Hipótesis!$D$80)),0)</f>
        <v>-0</v>
      </c>
      <c r="BT84" s="138" t="n">
        <f aca="false">-IF(AND(70&gt;=Hipótesis!$D$78,MOD(70,12)=0,BT96=0,BT89=0,BT101=0,BT81=0),MIN(Hipótesis!$D$79*MAX(0,BT112),MAX(0,BT82+BT83-Hipótesis!$D$80)),0)</f>
        <v>-0</v>
      </c>
      <c r="BU84" s="138" t="n">
        <f aca="false">-IF(AND(71&gt;=Hipótesis!$D$78,MOD(71,12)=0,BU96=0,BU89=0,BU101=0,BU81=0),MIN(Hipótesis!$D$79*MAX(0,BU112),MAX(0,BU82+BU83-Hipótesis!$D$80)),0)</f>
        <v>-0</v>
      </c>
      <c r="BV84" s="138" t="n">
        <f aca="false">-IF(AND(72&gt;=Hipótesis!$D$78,MOD(72,12)=0,BV96=0,BV89=0,BV101=0,BV81=0),MIN(Hipótesis!$D$79*MAX(0,BV112),MAX(0,BV82+BV83-Hipótesis!$D$80)),0)</f>
        <v>-0</v>
      </c>
      <c r="BW84" s="138" t="n">
        <f aca="false">-IF(AND(73&gt;=Hipótesis!$D$78,MOD(73,12)=0,BW96=0,BW89=0,BW101=0,BW81=0),MIN(Hipótesis!$D$79*MAX(0,BW112),MAX(0,BW82+BW83-Hipótesis!$D$80)),0)</f>
        <v>-0</v>
      </c>
      <c r="BX84" s="138" t="n">
        <f aca="false">-IF(AND(74&gt;=Hipótesis!$D$78,MOD(74,12)=0,BX96=0,BX89=0,BX101=0,BX81=0),MIN(Hipótesis!$D$79*MAX(0,BX112),MAX(0,BX82+BX83-Hipótesis!$D$80)),0)</f>
        <v>-0</v>
      </c>
      <c r="BY84" s="138" t="n">
        <f aca="false">-IF(AND(75&gt;=Hipótesis!$D$78,MOD(75,12)=0,BY96=0,BY89=0,BY101=0,BY81=0),MIN(Hipótesis!$D$79*MAX(0,BY112),MAX(0,BY82+BY83-Hipótesis!$D$80)),0)</f>
        <v>-0</v>
      </c>
      <c r="BZ84" s="138" t="n">
        <f aca="false">-IF(AND(76&gt;=Hipótesis!$D$78,MOD(76,12)=0,BZ96=0,BZ89=0,BZ101=0,BZ81=0),MIN(Hipótesis!$D$79*MAX(0,BZ112),MAX(0,BZ82+BZ83-Hipótesis!$D$80)),0)</f>
        <v>-0</v>
      </c>
      <c r="CA84" s="138" t="n">
        <f aca="false">-IF(AND(77&gt;=Hipótesis!$D$78,MOD(77,12)=0,CA96=0,CA89=0,CA101=0,CA81=0),MIN(Hipótesis!$D$79*MAX(0,CA112),MAX(0,CA82+CA83-Hipótesis!$D$80)),0)</f>
        <v>-0</v>
      </c>
      <c r="CB84" s="138" t="n">
        <f aca="false">-IF(AND(78&gt;=Hipótesis!$D$78,MOD(78,12)=0,CB96=0,CB89=0,CB101=0,CB81=0),MIN(Hipótesis!$D$79*MAX(0,CB112),MAX(0,CB82+CB83-Hipótesis!$D$80)),0)</f>
        <v>-0</v>
      </c>
      <c r="CC84" s="138" t="n">
        <f aca="false">-IF(AND(79&gt;=Hipótesis!$D$78,MOD(79,12)=0,CC96=0,CC89=0,CC101=0,CC81=0),MIN(Hipótesis!$D$79*MAX(0,CC112),MAX(0,CC82+CC83-Hipótesis!$D$80)),0)</f>
        <v>-0</v>
      </c>
      <c r="CD84" s="138" t="n">
        <f aca="false">-IF(AND(80&gt;=Hipótesis!$D$78,MOD(80,12)=0,CD96=0,CD89=0,CD101=0,CD81=0),MIN(Hipótesis!$D$79*MAX(0,CD112),MAX(0,CD82+CD83-Hipótesis!$D$80)),0)</f>
        <v>-0</v>
      </c>
      <c r="CE84" s="138" t="n">
        <f aca="false">-IF(AND(81&gt;=Hipótesis!$D$78,MOD(81,12)=0,CE96=0,CE89=0,CE101=0,CE81=0),MIN(Hipótesis!$D$79*MAX(0,CE112),MAX(0,CE82+CE83-Hipótesis!$D$80)),0)</f>
        <v>-0</v>
      </c>
      <c r="CF84" s="138" t="n">
        <f aca="false">-IF(AND(82&gt;=Hipótesis!$D$78,MOD(82,12)=0,CF96=0,CF89=0,CF101=0,CF81=0),MIN(Hipótesis!$D$79*MAX(0,CF112),MAX(0,CF82+CF83-Hipótesis!$D$80)),0)</f>
        <v>-0</v>
      </c>
      <c r="CG84" s="138" t="n">
        <f aca="false">-IF(AND(83&gt;=Hipótesis!$D$78,MOD(83,12)=0,CG96=0,CG89=0,CG101=0,CG81=0),MIN(Hipótesis!$D$79*MAX(0,CG112),MAX(0,CG82+CG83-Hipótesis!$D$80)),0)</f>
        <v>-0</v>
      </c>
      <c r="CH84" s="138" t="n">
        <f aca="false">-IF(AND(84&gt;=Hipótesis!$D$78,MOD(84,12)=0,CH96=0,CH89=0,CH101=0,CH81=0),MIN(Hipótesis!$D$79*MAX(0,CH112),MAX(0,CH82+CH83-Hipótesis!$D$80)),0)</f>
        <v>-0</v>
      </c>
    </row>
    <row r="85" customFormat="false" ht="13.5" hidden="false" customHeight="true" outlineLevel="0" collapsed="false">
      <c r="A85" s="30" t="s">
        <v>763</v>
      </c>
      <c r="C85" s="138" t="n">
        <f aca="false">C78+C80+C83+C84</f>
        <v>146396.417581049</v>
      </c>
      <c r="D85" s="138" t="n">
        <f aca="false">D78+D80+D83+D84</f>
        <v>-30309.7023744792</v>
      </c>
      <c r="E85" s="138" t="n">
        <f aca="false">E78+E80+E83+E84</f>
        <v>-23772.2388901411</v>
      </c>
      <c r="F85" s="138" t="n">
        <f aca="false">F78+F80+F83+F84</f>
        <v>-20619.8646918225</v>
      </c>
      <c r="G85" s="138" t="n">
        <f aca="false">G78+G80+G83+G84</f>
        <v>-17437.9261142807</v>
      </c>
      <c r="H85" s="138" t="n">
        <f aca="false">H78+H80+H83+H84</f>
        <v>-19187.1520929294</v>
      </c>
      <c r="I85" s="138" t="n">
        <f aca="false">I78+I80+I83+I84</f>
        <v>-5069.53341739567</v>
      </c>
      <c r="J85" s="138" t="n">
        <f aca="false">J78+J80+J83+J84</f>
        <v>0</v>
      </c>
      <c r="K85" s="138" t="n">
        <f aca="false">K78+K80+K83+K84</f>
        <v>0</v>
      </c>
      <c r="L85" s="138" t="n">
        <f aca="false">L78+L80+L83+L84</f>
        <v>0</v>
      </c>
      <c r="M85" s="138" t="n">
        <f aca="false">M78+M80+M83+M84</f>
        <v>0</v>
      </c>
      <c r="N85" s="138" t="n">
        <f aca="false">N78+N80+N83+N84</f>
        <v>0</v>
      </c>
      <c r="O85" s="138" t="n">
        <f aca="false">O78+O80+O83+O84</f>
        <v>7031.20814064334</v>
      </c>
      <c r="P85" s="138" t="n">
        <f aca="false">P78+P80+P83+P84</f>
        <v>9187.22382773799</v>
      </c>
      <c r="Q85" s="138" t="n">
        <f aca="false">Q78+Q80+Q83+Q84</f>
        <v>11851.3343630036</v>
      </c>
      <c r="R85" s="138" t="n">
        <f aca="false">R78+R80+R83+R84</f>
        <v>14515.4448982693</v>
      </c>
      <c r="S85" s="138" t="n">
        <f aca="false">S78+S80+S83+S84</f>
        <v>21523.9422417664</v>
      </c>
      <c r="T85" s="138" t="n">
        <f aca="false">T78+T80+T83+T84</f>
        <v>3996.87351279993</v>
      </c>
      <c r="U85" s="138" t="n">
        <f aca="false">U78+U80+U83+U84</f>
        <v>20582.4469440662</v>
      </c>
      <c r="V85" s="138" t="n">
        <f aca="false">V78+V80+V83+V84</f>
        <v>20981.4638793319</v>
      </c>
      <c r="W85" s="138" t="n">
        <f aca="false">W78+W80+W83+W84</f>
        <v>23645.5744145976</v>
      </c>
      <c r="X85" s="138" t="n">
        <f aca="false">X78+X80+X83+X84</f>
        <v>25933.9001326199</v>
      </c>
      <c r="Y85" s="138" t="n">
        <f aca="false">Y78+Y80+Y83+Y84</f>
        <v>28119.4381209388</v>
      </c>
      <c r="Z85" s="138" t="n">
        <f aca="false">Z78+Z80+Z83+Z84</f>
        <v>30164.3245654854</v>
      </c>
      <c r="AA85" s="138" t="n">
        <f aca="false">AA78+AA80+AA83+AA84</f>
        <v>29244.4620350753</v>
      </c>
      <c r="AB85" s="138" t="n">
        <f aca="false">AB78+AB80+AB83+AB84</f>
        <v>28714.4583729941</v>
      </c>
      <c r="AC85" s="138" t="n">
        <f aca="false">AC78+AC80+AC83+AC84</f>
        <v>30167.544157713</v>
      </c>
      <c r="AD85" s="138" t="n">
        <f aca="false">AD78+AD80+AD83+AD84</f>
        <v>31620.6299424318</v>
      </c>
      <c r="AE85" s="138" t="n">
        <f aca="false">AE78+AE80+AE83+AE84</f>
        <v>39481.3676917127</v>
      </c>
      <c r="AF85" s="138" t="n">
        <f aca="false">AF78+AF80+AF83+AF84</f>
        <v>12154.8592210451</v>
      </c>
      <c r="AG85" s="138" t="n">
        <f aca="false">AG78+AG80+AG83+AG84</f>
        <v>35979.8872965884</v>
      </c>
      <c r="AH85" s="138" t="n">
        <f aca="false">AH78+AH80+AH83+AH84</f>
        <v>37432.9730813072</v>
      </c>
      <c r="AI85" s="138" t="n">
        <f aca="false">AI78+AI80+AI83+AI84</f>
        <v>38886.0588660261</v>
      </c>
      <c r="AJ85" s="138" t="n">
        <f aca="false">AJ78+AJ80+AJ83+AJ84</f>
        <v>40339.144650745</v>
      </c>
      <c r="AK85" s="138" t="n">
        <f aca="false">AK78+AK80+AK83+AK84</f>
        <v>41792.2304354638</v>
      </c>
      <c r="AL85" s="138" t="n">
        <f aca="false">AL78+AL80+AL83+AL84</f>
        <v>41262.2267733827</v>
      </c>
      <c r="AM85" s="138" t="n">
        <f aca="false">AM78+AM80+AM83+AM84</f>
        <v>35520.3986818729</v>
      </c>
      <c r="AN85" s="138" t="n">
        <f aca="false">AN78+AN80+AN83+AN84</f>
        <v>36797.6041299732</v>
      </c>
      <c r="AO85" s="138" t="n">
        <f aca="false">AO78+AO80+AO83+AO84</f>
        <v>38074.8095780735</v>
      </c>
      <c r="AP85" s="138" t="n">
        <f aca="false">AP78+AP80+AP83+AP84</f>
        <v>39352.0150261738</v>
      </c>
      <c r="AQ85" s="138" t="n">
        <f aca="false">AQ78+AQ80+AQ83+AQ84</f>
        <v>48976.8992598479</v>
      </c>
      <c r="AR85" s="138" t="n">
        <f aca="false">AR78+AR80+AR83+AR84</f>
        <v>19534.4836315499</v>
      </c>
      <c r="AS85" s="138" t="n">
        <f aca="false">AS78+AS80+AS83+AS84</f>
        <v>42392.722299397</v>
      </c>
      <c r="AT85" s="138" t="n">
        <f aca="false">AT78+AT80+AT83+AT84</f>
        <v>42396.8889660637</v>
      </c>
      <c r="AU85" s="138" t="n">
        <f aca="false">AU78+AU80+AU83+AU84</f>
        <v>42401.0556327303</v>
      </c>
      <c r="AV85" s="138" t="n">
        <f aca="false">AV78+AV80+AV83+AV84</f>
        <v>42405.222299397</v>
      </c>
      <c r="AW85" s="138" t="n">
        <f aca="false">AW78+AW80+AW83+AW84</f>
        <v>42409.3889660637</v>
      </c>
      <c r="AX85" s="138" t="n">
        <f aca="false">AX78+AX80+AX83+AX84</f>
        <v>-161579.542240513</v>
      </c>
      <c r="AY85" s="138" t="n">
        <f aca="false">AY78+AY80+AY83+AY84</f>
        <v>40618.9292491274</v>
      </c>
      <c r="AZ85" s="138" t="n">
        <f aca="false">AZ78+AZ80+AZ83+AZ84</f>
        <v>40623.095915794</v>
      </c>
      <c r="BA85" s="138" t="n">
        <f aca="false">BA78+BA80+BA83+BA84</f>
        <v>40627.2625824607</v>
      </c>
      <c r="BB85" s="138" t="n">
        <f aca="false">BB78+BB80+BB83+BB84</f>
        <v>40631.4292491274</v>
      </c>
      <c r="BC85" s="138" t="n">
        <f aca="false">BC78+BC80+BC83+BC84</f>
        <v>48983.2747013679</v>
      </c>
      <c r="BD85" s="138" t="n">
        <f aca="false">BD78+BD80+BD83+BD84</f>
        <v>18267.8202916362</v>
      </c>
      <c r="BE85" s="138" t="n">
        <f aca="false">BE78+BE80+BE83+BE84</f>
        <v>40643.9292491274</v>
      </c>
      <c r="BF85" s="138" t="n">
        <f aca="false">BF78+BF80+BF83+BF84</f>
        <v>40648.095915794</v>
      </c>
      <c r="BG85" s="138" t="n">
        <f aca="false">BG78+BG80+BG83+BG84</f>
        <v>40652.2625824607</v>
      </c>
      <c r="BH85" s="138" t="n">
        <f aca="false">BH78+BH80+BH83+BH84</f>
        <v>40656.4292491274</v>
      </c>
      <c r="BI85" s="138" t="n">
        <f aca="false">BI78+BI80+BI83+BI84</f>
        <v>40660.595915794</v>
      </c>
      <c r="BJ85" s="138" t="n">
        <f aca="false">BJ78+BJ80+BJ83+BJ84</f>
        <v>-162823.743797324</v>
      </c>
      <c r="BK85" s="138" t="n">
        <f aca="false">BK78+BK80+BK83+BK84</f>
        <v>38859.8314073497</v>
      </c>
      <c r="BL85" s="138" t="n">
        <f aca="false">BL78+BL80+BL83+BL84</f>
        <v>38863.9980740164</v>
      </c>
      <c r="BM85" s="138" t="n">
        <f aca="false">BM78+BM80+BM83+BM84</f>
        <v>38868.164740683</v>
      </c>
      <c r="BN85" s="138" t="n">
        <f aca="false">BN78+BN80+BN83+BN84</f>
        <v>38872.3314073497</v>
      </c>
      <c r="BO85" s="138" t="n">
        <f aca="false">BO78+BO80+BO83+BO84</f>
        <v>47224.1768595902</v>
      </c>
      <c r="BP85" s="138" t="n">
        <f aca="false">BP78+BP80+BP83+BP84</f>
        <v>16508.7224498586</v>
      </c>
      <c r="BQ85" s="138" t="n">
        <f aca="false">BQ78+BQ80+BQ83+BQ84</f>
        <v>38884.8314073497</v>
      </c>
      <c r="BR85" s="138" t="n">
        <f aca="false">BR78+BR80+BR83+BR84</f>
        <v>38888.9980740164</v>
      </c>
      <c r="BS85" s="138" t="n">
        <f aca="false">BS78+BS80+BS83+BS84</f>
        <v>38893.164740683</v>
      </c>
      <c r="BT85" s="138" t="n">
        <f aca="false">BT78+BT80+BT83+BT84</f>
        <v>38897.3314073497</v>
      </c>
      <c r="BU85" s="138" t="n">
        <f aca="false">BU78+BU80+BU83+BU84</f>
        <v>38901.4980740164</v>
      </c>
      <c r="BV85" s="138" t="n">
        <f aca="false">BV78+BV80+BV83+BV84</f>
        <v>-156139.171998569</v>
      </c>
      <c r="BW85" s="138" t="n">
        <f aca="false">BW78+BW80+BW83+BW84</f>
        <v>37090.1196303187</v>
      </c>
      <c r="BX85" s="138" t="n">
        <f aca="false">BX78+BX80+BX83+BX84</f>
        <v>37094.2862969853</v>
      </c>
      <c r="BY85" s="138" t="n">
        <f aca="false">BY78+BY80+BY83+BY84</f>
        <v>37098.452963652</v>
      </c>
      <c r="BZ85" s="138" t="n">
        <f aca="false">BZ78+BZ80+BZ83+BZ84</f>
        <v>37102.6196303187</v>
      </c>
      <c r="CA85" s="138" t="n">
        <f aca="false">CA78+CA80+CA83+CA84</f>
        <v>45454.4650825592</v>
      </c>
      <c r="CB85" s="138" t="n">
        <f aca="false">CB78+CB80+CB83+CB84</f>
        <v>14739.0106728275</v>
      </c>
      <c r="CC85" s="138" t="n">
        <f aca="false">CC78+CC80+CC83+CC84</f>
        <v>37115.1196303187</v>
      </c>
      <c r="CD85" s="138" t="n">
        <f aca="false">CD78+CD80+CD83+CD84</f>
        <v>37119.2862969853</v>
      </c>
      <c r="CE85" s="138" t="n">
        <f aca="false">CE78+CE80+CE83+CE84</f>
        <v>37123.452963652</v>
      </c>
      <c r="CF85" s="138" t="n">
        <f aca="false">CF78+CF80+CF83+CF84</f>
        <v>37127.6196303187</v>
      </c>
      <c r="CG85" s="138" t="n">
        <f aca="false">CG78+CG80+CG83+CG84</f>
        <v>37131.7862969853</v>
      </c>
      <c r="CH85" s="138" t="n">
        <f aca="false">CH78+CH80+CH83+CH84</f>
        <v>-149414.267245851</v>
      </c>
    </row>
    <row r="86" customFormat="false" ht="13.5" hidden="false" customHeight="true" outlineLevel="0" collapsed="false">
      <c r="A86" s="64" t="s">
        <v>764</v>
      </c>
      <c r="C86" s="99" t="n">
        <f aca="false">C85</f>
        <v>146396.417581049</v>
      </c>
      <c r="D86" s="99" t="n">
        <f aca="false">C86+D85</f>
        <v>116086.715206569</v>
      </c>
      <c r="E86" s="99" t="n">
        <f aca="false">D86+E85</f>
        <v>92314.4763164283</v>
      </c>
      <c r="F86" s="99" t="n">
        <f aca="false">E86+F85</f>
        <v>71694.6116246057</v>
      </c>
      <c r="G86" s="99" t="n">
        <f aca="false">F86+G85</f>
        <v>54256.685510325</v>
      </c>
      <c r="H86" s="99" t="n">
        <f aca="false">G86+H85</f>
        <v>35069.5334173957</v>
      </c>
      <c r="I86" s="99" t="n">
        <f aca="false">H86+I85</f>
        <v>30000</v>
      </c>
      <c r="J86" s="99" t="n">
        <f aca="false">I86+J85</f>
        <v>30000</v>
      </c>
      <c r="K86" s="99" t="n">
        <f aca="false">J86+K85</f>
        <v>30000</v>
      </c>
      <c r="L86" s="99" t="n">
        <f aca="false">K86+L85</f>
        <v>30000</v>
      </c>
      <c r="M86" s="99" t="n">
        <f aca="false">L86+M85</f>
        <v>30000</v>
      </c>
      <c r="N86" s="99" t="n">
        <f aca="false">M86+N85</f>
        <v>30000</v>
      </c>
      <c r="O86" s="99" t="n">
        <f aca="false">N86+O85</f>
        <v>37031.2081406433</v>
      </c>
      <c r="P86" s="99" t="n">
        <f aca="false">O86+P85</f>
        <v>46218.4319683813</v>
      </c>
      <c r="Q86" s="99" t="n">
        <f aca="false">P86+Q85</f>
        <v>58069.766331385</v>
      </c>
      <c r="R86" s="99" t="n">
        <f aca="false">Q86+R85</f>
        <v>72585.2112296543</v>
      </c>
      <c r="S86" s="99" t="n">
        <f aca="false">R86+S85</f>
        <v>94109.1534714206</v>
      </c>
      <c r="T86" s="99" t="n">
        <f aca="false">S86+T85</f>
        <v>98106.0269842205</v>
      </c>
      <c r="U86" s="99" t="n">
        <f aca="false">T86+U85</f>
        <v>118688.473928287</v>
      </c>
      <c r="V86" s="99" t="n">
        <f aca="false">U86+V85</f>
        <v>139669.937807619</v>
      </c>
      <c r="W86" s="99" t="n">
        <f aca="false">V86+W85</f>
        <v>163315.512222216</v>
      </c>
      <c r="X86" s="99" t="n">
        <f aca="false">W86+X85</f>
        <v>189249.412354836</v>
      </c>
      <c r="Y86" s="99" t="n">
        <f aca="false">X86+Y85</f>
        <v>217368.850475775</v>
      </c>
      <c r="Z86" s="99" t="n">
        <f aca="false">Y86+Z85</f>
        <v>247533.17504126</v>
      </c>
      <c r="AA86" s="99" t="n">
        <f aca="false">Z86+AA85</f>
        <v>276777.637076336</v>
      </c>
      <c r="AB86" s="99" t="n">
        <f aca="false">AA86+AB85</f>
        <v>305492.09544933</v>
      </c>
      <c r="AC86" s="99" t="n">
        <f aca="false">AB86+AC85</f>
        <v>335659.639607043</v>
      </c>
      <c r="AD86" s="99" t="n">
        <f aca="false">AC86+AD85</f>
        <v>367280.269549475</v>
      </c>
      <c r="AE86" s="99" t="n">
        <f aca="false">AD86+AE85</f>
        <v>406761.637241187</v>
      </c>
      <c r="AF86" s="99" t="n">
        <f aca="false">AE86+AF85</f>
        <v>418916.496462232</v>
      </c>
      <c r="AG86" s="99" t="n">
        <f aca="false">AF86+AG85</f>
        <v>454896.383758821</v>
      </c>
      <c r="AH86" s="99" t="n">
        <f aca="false">AG86+AH85</f>
        <v>492329.356840128</v>
      </c>
      <c r="AI86" s="99" t="n">
        <f aca="false">AH86+AI85</f>
        <v>531215.415706154</v>
      </c>
      <c r="AJ86" s="99" t="n">
        <f aca="false">AI86+AJ85</f>
        <v>571554.560356899</v>
      </c>
      <c r="AK86" s="99" t="n">
        <f aca="false">AJ86+AK85</f>
        <v>613346.790792363</v>
      </c>
      <c r="AL86" s="99" t="n">
        <f aca="false">AK86+AL85</f>
        <v>654609.017565746</v>
      </c>
      <c r="AM86" s="99" t="n">
        <f aca="false">AL86+AM85</f>
        <v>690129.416247618</v>
      </c>
      <c r="AN86" s="99" t="n">
        <f aca="false">AM86+AN85</f>
        <v>726927.020377592</v>
      </c>
      <c r="AO86" s="99" t="n">
        <f aca="false">AN86+AO85</f>
        <v>765001.829955665</v>
      </c>
      <c r="AP86" s="99" t="n">
        <f aca="false">AO86+AP85</f>
        <v>804353.844981839</v>
      </c>
      <c r="AQ86" s="99" t="n">
        <f aca="false">AP86+AQ85</f>
        <v>853330.744241687</v>
      </c>
      <c r="AR86" s="99" t="n">
        <f aca="false">AQ86+AR85</f>
        <v>872865.227873237</v>
      </c>
      <c r="AS86" s="99" t="n">
        <f aca="false">AR86+AS85</f>
        <v>915257.950172634</v>
      </c>
      <c r="AT86" s="99" t="n">
        <f aca="false">AS86+AT85</f>
        <v>957654.839138697</v>
      </c>
      <c r="AU86" s="99" t="n">
        <f aca="false">AT86+AU85</f>
        <v>1000055.89477143</v>
      </c>
      <c r="AV86" s="99" t="n">
        <f aca="false">AU86+AV85</f>
        <v>1042461.11707082</v>
      </c>
      <c r="AW86" s="99" t="n">
        <f aca="false">AV86+AW85</f>
        <v>1084870.50603689</v>
      </c>
      <c r="AX86" s="99" t="n">
        <f aca="false">AW86+AX85</f>
        <v>923290.963796375</v>
      </c>
      <c r="AY86" s="99" t="n">
        <f aca="false">AX86+AY85</f>
        <v>963909.893045503</v>
      </c>
      <c r="AZ86" s="99" t="n">
        <f aca="false">AY86+AZ85</f>
        <v>1004532.9889613</v>
      </c>
      <c r="BA86" s="99" t="n">
        <f aca="false">AZ86+BA85</f>
        <v>1045160.25154376</v>
      </c>
      <c r="BB86" s="99" t="n">
        <f aca="false">BA86+BB85</f>
        <v>1085791.68079288</v>
      </c>
      <c r="BC86" s="99" t="n">
        <f aca="false">BB86+BC85</f>
        <v>1134774.95549425</v>
      </c>
      <c r="BD86" s="99" t="n">
        <f aca="false">BC86+BD85</f>
        <v>1153042.77578589</v>
      </c>
      <c r="BE86" s="99" t="n">
        <f aca="false">BD86+BE85</f>
        <v>1193686.70503502</v>
      </c>
      <c r="BF86" s="99" t="n">
        <f aca="false">BE86+BF85</f>
        <v>1234334.80095081</v>
      </c>
      <c r="BG86" s="99" t="n">
        <f aca="false">BF86+BG85</f>
        <v>1274987.06353327</v>
      </c>
      <c r="BH86" s="99" t="n">
        <f aca="false">BG86+BH85</f>
        <v>1315643.4927824</v>
      </c>
      <c r="BI86" s="99" t="n">
        <f aca="false">BH86+BI85</f>
        <v>1356304.08869819</v>
      </c>
      <c r="BJ86" s="99" t="n">
        <f aca="false">BI86+BJ85</f>
        <v>1193480.34490087</v>
      </c>
      <c r="BK86" s="99" t="n">
        <f aca="false">BJ86+BK85</f>
        <v>1232340.17630822</v>
      </c>
      <c r="BL86" s="99" t="n">
        <f aca="false">BK86+BL85</f>
        <v>1271204.17438224</v>
      </c>
      <c r="BM86" s="99" t="n">
        <f aca="false">BL86+BM85</f>
        <v>1310072.33912292</v>
      </c>
      <c r="BN86" s="99" t="n">
        <f aca="false">BM86+BN85</f>
        <v>1348944.67053027</v>
      </c>
      <c r="BO86" s="99" t="n">
        <f aca="false">BN86+BO85</f>
        <v>1396168.84738986</v>
      </c>
      <c r="BP86" s="99" t="n">
        <f aca="false">BO86+BP85</f>
        <v>1412677.56983972</v>
      </c>
      <c r="BQ86" s="99" t="n">
        <f aca="false">BP86+BQ85</f>
        <v>1451562.40124707</v>
      </c>
      <c r="BR86" s="99" t="n">
        <f aca="false">BQ86+BR85</f>
        <v>1490451.39932108</v>
      </c>
      <c r="BS86" s="99" t="n">
        <f aca="false">BR86+BS85</f>
        <v>1529344.56406177</v>
      </c>
      <c r="BT86" s="99" t="n">
        <f aca="false">BS86+BT85</f>
        <v>1568241.89546912</v>
      </c>
      <c r="BU86" s="99" t="n">
        <f aca="false">BT86+BU85</f>
        <v>1607143.39354313</v>
      </c>
      <c r="BV86" s="99" t="n">
        <f aca="false">BU86+BV85</f>
        <v>1451004.22154456</v>
      </c>
      <c r="BW86" s="99" t="n">
        <f aca="false">BV86+BW85</f>
        <v>1488094.34117488</v>
      </c>
      <c r="BX86" s="99" t="n">
        <f aca="false">BW86+BX85</f>
        <v>1525188.62747187</v>
      </c>
      <c r="BY86" s="99" t="n">
        <f aca="false">BX86+BY85</f>
        <v>1562287.08043552</v>
      </c>
      <c r="BZ86" s="99" t="n">
        <f aca="false">BY86+BZ85</f>
        <v>1599389.70006584</v>
      </c>
      <c r="CA86" s="99" t="n">
        <f aca="false">BZ86+CA85</f>
        <v>1644844.1651484</v>
      </c>
      <c r="CB86" s="99" t="n">
        <f aca="false">CA86+CB85</f>
        <v>1659583.17582122</v>
      </c>
      <c r="CC86" s="99" t="n">
        <f aca="false">CB86+CC85</f>
        <v>1696698.29545154</v>
      </c>
      <c r="CD86" s="99" t="n">
        <f aca="false">CC86+CD85</f>
        <v>1733817.58174853</v>
      </c>
      <c r="CE86" s="99" t="n">
        <f aca="false">CD86+CE85</f>
        <v>1770941.03471218</v>
      </c>
      <c r="CF86" s="99" t="n">
        <f aca="false">CE86+CF85</f>
        <v>1808068.6543425</v>
      </c>
      <c r="CG86" s="99" t="n">
        <f aca="false">CF86+CG85</f>
        <v>1845200.44063948</v>
      </c>
      <c r="CH86" s="99" t="n">
        <f aca="false">CG86+CH85</f>
        <v>1695786.17339363</v>
      </c>
    </row>
    <row r="87" customFormat="false" ht="13.5" hidden="false" customHeight="true" outlineLevel="0" collapsed="false"/>
    <row r="88" customFormat="false" ht="12.75" hidden="false" customHeight="true" outlineLevel="0" collapsed="false">
      <c r="A88" s="10" t="s">
        <v>765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</row>
    <row r="89" customFormat="false" ht="13.5" hidden="false" customHeight="true" outlineLevel="0" collapsed="false">
      <c r="A89" s="13" t="s">
        <v>766</v>
      </c>
      <c r="C89" s="138" t="n">
        <f aca="false">IF(Hipótesis!$D$94=5,0,Hipótesis!$D$93)</f>
        <v>0</v>
      </c>
      <c r="D89" s="138" t="n">
        <f aca="false">C89-C90</f>
        <v>0</v>
      </c>
      <c r="E89" s="138" t="n">
        <f aca="false">D89-D90</f>
        <v>0</v>
      </c>
      <c r="F89" s="138" t="n">
        <f aca="false">E89-E90</f>
        <v>0</v>
      </c>
      <c r="G89" s="138" t="n">
        <f aca="false">F89-F90</f>
        <v>0</v>
      </c>
      <c r="H89" s="138" t="n">
        <f aca="false">G89-G90</f>
        <v>0</v>
      </c>
      <c r="I89" s="138" t="n">
        <f aca="false">H89-H90</f>
        <v>0</v>
      </c>
      <c r="J89" s="138" t="n">
        <f aca="false">I89-I90</f>
        <v>0</v>
      </c>
      <c r="K89" s="138" t="n">
        <f aca="false">J89-J90</f>
        <v>0</v>
      </c>
      <c r="L89" s="138" t="n">
        <f aca="false">K89-K90</f>
        <v>0</v>
      </c>
      <c r="M89" s="138" t="n">
        <f aca="false">L89-L90</f>
        <v>0</v>
      </c>
      <c r="N89" s="138" t="n">
        <f aca="false">M89-M90</f>
        <v>0</v>
      </c>
      <c r="O89" s="138" t="n">
        <f aca="false">N89-N90</f>
        <v>0</v>
      </c>
      <c r="P89" s="138" t="n">
        <f aca="false">O89-O90</f>
        <v>0</v>
      </c>
      <c r="Q89" s="138" t="n">
        <f aca="false">P89-P90</f>
        <v>0</v>
      </c>
      <c r="R89" s="138" t="n">
        <f aca="false">Q89-Q90</f>
        <v>0</v>
      </c>
      <c r="S89" s="138" t="n">
        <f aca="false">R89-R90</f>
        <v>0</v>
      </c>
      <c r="T89" s="138" t="n">
        <f aca="false">S89-S90</f>
        <v>0</v>
      </c>
      <c r="U89" s="138" t="n">
        <f aca="false">T89-T90</f>
        <v>0</v>
      </c>
      <c r="V89" s="138" t="n">
        <f aca="false">U89-U90</f>
        <v>0</v>
      </c>
      <c r="W89" s="138" t="n">
        <f aca="false">V89-V90</f>
        <v>0</v>
      </c>
      <c r="X89" s="138" t="n">
        <f aca="false">W89-W90</f>
        <v>0</v>
      </c>
      <c r="Y89" s="138" t="n">
        <f aca="false">X89-X90</f>
        <v>0</v>
      </c>
      <c r="Z89" s="138" t="n">
        <f aca="false">Y89-Y90</f>
        <v>0</v>
      </c>
      <c r="AA89" s="138" t="n">
        <f aca="false">Z89-Z90</f>
        <v>0</v>
      </c>
      <c r="AB89" s="138" t="n">
        <f aca="false">AA89-AA90</f>
        <v>0</v>
      </c>
      <c r="AC89" s="138" t="n">
        <f aca="false">AB89-AB90</f>
        <v>0</v>
      </c>
      <c r="AD89" s="138" t="n">
        <f aca="false">AC89-AC90</f>
        <v>0</v>
      </c>
      <c r="AE89" s="138" t="n">
        <f aca="false">AD89-AD90</f>
        <v>0</v>
      </c>
      <c r="AF89" s="138" t="n">
        <f aca="false">AE89-AE90</f>
        <v>0</v>
      </c>
      <c r="AG89" s="138" t="n">
        <f aca="false">AF89-AF90</f>
        <v>0</v>
      </c>
      <c r="AH89" s="138" t="n">
        <f aca="false">AG89-AG90</f>
        <v>0</v>
      </c>
      <c r="AI89" s="138" t="n">
        <f aca="false">AH89-AH90</f>
        <v>0</v>
      </c>
      <c r="AJ89" s="138" t="n">
        <f aca="false">AI89-AI90</f>
        <v>0</v>
      </c>
      <c r="AK89" s="138" t="n">
        <f aca="false">AJ89-AJ90</f>
        <v>0</v>
      </c>
      <c r="AL89" s="138" t="n">
        <f aca="false">AK89-AK90</f>
        <v>0</v>
      </c>
      <c r="AM89" s="138" t="n">
        <f aca="false">AL89-AL90</f>
        <v>0</v>
      </c>
      <c r="AN89" s="138" t="n">
        <f aca="false">AM89-AM90</f>
        <v>0</v>
      </c>
      <c r="AO89" s="138" t="n">
        <f aca="false">AN89-AN90</f>
        <v>0</v>
      </c>
      <c r="AP89" s="138" t="n">
        <f aca="false">AO89-AO90</f>
        <v>0</v>
      </c>
      <c r="AQ89" s="138" t="n">
        <f aca="false">AP89-AP90</f>
        <v>0</v>
      </c>
      <c r="AR89" s="138" t="n">
        <f aca="false">AQ89-AQ90</f>
        <v>0</v>
      </c>
      <c r="AS89" s="138" t="n">
        <f aca="false">AR89-AR90</f>
        <v>0</v>
      </c>
      <c r="AT89" s="138" t="n">
        <f aca="false">AS89-AS90</f>
        <v>0</v>
      </c>
      <c r="AU89" s="138" t="n">
        <f aca="false">AT89-AT90</f>
        <v>0</v>
      </c>
      <c r="AV89" s="138" t="n">
        <f aca="false">AU89-AU90</f>
        <v>0</v>
      </c>
      <c r="AW89" s="138" t="n">
        <f aca="false">AV89-AV90</f>
        <v>0</v>
      </c>
      <c r="AX89" s="138" t="n">
        <f aca="false">AW89-AW90</f>
        <v>0</v>
      </c>
      <c r="AY89" s="138" t="n">
        <f aca="false">AX89-AX90</f>
        <v>0</v>
      </c>
      <c r="AZ89" s="138" t="n">
        <f aca="false">AY89-AY90</f>
        <v>0</v>
      </c>
      <c r="BA89" s="138" t="n">
        <f aca="false">AZ89-AZ90</f>
        <v>0</v>
      </c>
      <c r="BB89" s="138" t="n">
        <f aca="false">BA89-BA90</f>
        <v>0</v>
      </c>
      <c r="BC89" s="138" t="n">
        <f aca="false">BB89-BB90</f>
        <v>0</v>
      </c>
      <c r="BD89" s="138" t="n">
        <f aca="false">BC89-BC90</f>
        <v>0</v>
      </c>
      <c r="BE89" s="138" t="n">
        <f aca="false">BD89-BD90</f>
        <v>0</v>
      </c>
      <c r="BF89" s="138" t="n">
        <f aca="false">BE89-BE90</f>
        <v>0</v>
      </c>
      <c r="BG89" s="138" t="n">
        <f aca="false">BF89-BF90</f>
        <v>0</v>
      </c>
      <c r="BH89" s="138" t="n">
        <f aca="false">BG89-BG90</f>
        <v>0</v>
      </c>
      <c r="BI89" s="138" t="n">
        <f aca="false">BH89-BH90</f>
        <v>0</v>
      </c>
      <c r="BJ89" s="138" t="n">
        <f aca="false">BI89-BI90</f>
        <v>0</v>
      </c>
      <c r="BK89" s="138" t="n">
        <f aca="false">BJ89-BJ90</f>
        <v>0</v>
      </c>
      <c r="BL89" s="138" t="n">
        <f aca="false">BK89-BK90</f>
        <v>0</v>
      </c>
      <c r="BM89" s="138" t="n">
        <f aca="false">BL89-BL90</f>
        <v>0</v>
      </c>
      <c r="BN89" s="138" t="n">
        <f aca="false">BM89-BM90</f>
        <v>0</v>
      </c>
      <c r="BO89" s="138" t="n">
        <f aca="false">BN89-BN90</f>
        <v>0</v>
      </c>
      <c r="BP89" s="138" t="n">
        <f aca="false">BO89-BO90</f>
        <v>0</v>
      </c>
      <c r="BQ89" s="138" t="n">
        <f aca="false">BP89-BP90</f>
        <v>0</v>
      </c>
      <c r="BR89" s="138" t="n">
        <f aca="false">BQ89-BQ90</f>
        <v>0</v>
      </c>
      <c r="BS89" s="138" t="n">
        <f aca="false">BR89-BR90</f>
        <v>0</v>
      </c>
      <c r="BT89" s="138" t="n">
        <f aca="false">BS89-BS90</f>
        <v>0</v>
      </c>
      <c r="BU89" s="138" t="n">
        <f aca="false">BT89-BT90</f>
        <v>0</v>
      </c>
      <c r="BV89" s="138" t="n">
        <f aca="false">BU89-BU90</f>
        <v>0</v>
      </c>
      <c r="BW89" s="138" t="n">
        <f aca="false">BV89-BV90</f>
        <v>0</v>
      </c>
      <c r="BX89" s="138" t="n">
        <f aca="false">BW89-BW90</f>
        <v>0</v>
      </c>
      <c r="BY89" s="138" t="n">
        <f aca="false">BX89-BX90</f>
        <v>0</v>
      </c>
      <c r="BZ89" s="138" t="n">
        <f aca="false">BY89-BY90</f>
        <v>0</v>
      </c>
      <c r="CA89" s="138" t="n">
        <f aca="false">BZ89-BZ90</f>
        <v>0</v>
      </c>
      <c r="CB89" s="138" t="n">
        <f aca="false">CA89-CA90</f>
        <v>0</v>
      </c>
      <c r="CC89" s="138" t="n">
        <f aca="false">CB89-CB90</f>
        <v>0</v>
      </c>
      <c r="CD89" s="138" t="n">
        <f aca="false">CC89-CC90</f>
        <v>0</v>
      </c>
      <c r="CE89" s="138" t="n">
        <f aca="false">CD89-CD90</f>
        <v>0</v>
      </c>
      <c r="CF89" s="138" t="n">
        <f aca="false">CE89-CE90</f>
        <v>0</v>
      </c>
      <c r="CG89" s="138" t="n">
        <f aca="false">CF89-CF90</f>
        <v>0</v>
      </c>
      <c r="CH89" s="138" t="n">
        <f aca="false">CG89-CG90</f>
        <v>0</v>
      </c>
    </row>
    <row r="90" customFormat="false" ht="13.5" hidden="false" customHeight="true" outlineLevel="0" collapsed="false">
      <c r="A90" s="13" t="s">
        <v>767</v>
      </c>
      <c r="C90" s="138" t="n">
        <f aca="false">IF(1&lt;=Hipótesis!$D$97,0,IF(C89&gt;0,MIN(C89,Hipótesis!$D$93/MAX(Hipótesis!$D$96-Hipótesis!$D$97,1)),0))</f>
        <v>0</v>
      </c>
      <c r="D90" s="138" t="n">
        <f aca="false">IF(2&lt;=Hipótesis!$D$97,0,IF(D89&gt;0,MIN(D89,Hipótesis!$D$93/MAX(Hipótesis!$D$96-Hipótesis!$D$97,1)),0))</f>
        <v>0</v>
      </c>
      <c r="E90" s="138" t="n">
        <f aca="false">IF(3&lt;=Hipótesis!$D$97,0,IF(E89&gt;0,MIN(E89,Hipótesis!$D$93/MAX(Hipótesis!$D$96-Hipótesis!$D$97,1)),0))</f>
        <v>0</v>
      </c>
      <c r="F90" s="138" t="n">
        <f aca="false">IF(4&lt;=Hipótesis!$D$97,0,IF(F89&gt;0,MIN(F89,Hipótesis!$D$93/MAX(Hipótesis!$D$96-Hipótesis!$D$97,1)),0))</f>
        <v>0</v>
      </c>
      <c r="G90" s="138" t="n">
        <f aca="false">IF(5&lt;=Hipótesis!$D$97,0,IF(G89&gt;0,MIN(G89,Hipótesis!$D$93/MAX(Hipótesis!$D$96-Hipótesis!$D$97,1)),0))</f>
        <v>0</v>
      </c>
      <c r="H90" s="138" t="n">
        <f aca="false">IF(6&lt;=Hipótesis!$D$97,0,IF(H89&gt;0,MIN(H89,Hipótesis!$D$93/MAX(Hipótesis!$D$96-Hipótesis!$D$97,1)),0))</f>
        <v>0</v>
      </c>
      <c r="I90" s="138" t="n">
        <f aca="false">IF(7&lt;=Hipótesis!$D$97,0,IF(I89&gt;0,MIN(I89,Hipótesis!$D$93/MAX(Hipótesis!$D$96-Hipótesis!$D$97,1)),0))</f>
        <v>0</v>
      </c>
      <c r="J90" s="138" t="n">
        <f aca="false">IF(8&lt;=Hipótesis!$D$97,0,IF(J89&gt;0,MIN(J89,Hipótesis!$D$93/MAX(Hipótesis!$D$96-Hipótesis!$D$97,1)),0))</f>
        <v>0</v>
      </c>
      <c r="K90" s="138" t="n">
        <f aca="false">IF(9&lt;=Hipótesis!$D$97,0,IF(K89&gt;0,MIN(K89,Hipótesis!$D$93/MAX(Hipótesis!$D$96-Hipótesis!$D$97,1)),0))</f>
        <v>0</v>
      </c>
      <c r="L90" s="138" t="n">
        <f aca="false">IF(10&lt;=Hipótesis!$D$97,0,IF(L89&gt;0,MIN(L89,Hipótesis!$D$93/MAX(Hipótesis!$D$96-Hipótesis!$D$97,1)),0))</f>
        <v>0</v>
      </c>
      <c r="M90" s="138" t="n">
        <f aca="false">IF(11&lt;=Hipótesis!$D$97,0,IF(M89&gt;0,MIN(M89,Hipótesis!$D$93/MAX(Hipótesis!$D$96-Hipótesis!$D$97,1)),0))</f>
        <v>0</v>
      </c>
      <c r="N90" s="138" t="n">
        <f aca="false">IF(12&lt;=Hipótesis!$D$97,0,IF(N89&gt;0,MIN(N89,Hipótesis!$D$93/MAX(Hipótesis!$D$96-Hipótesis!$D$97,1)),0))</f>
        <v>0</v>
      </c>
      <c r="O90" s="138" t="n">
        <f aca="false">IF(13&lt;=Hipótesis!$D$97,0,IF(O89&gt;0,MIN(O89,Hipótesis!$D$93/MAX(Hipótesis!$D$96-Hipótesis!$D$97,1)),0))</f>
        <v>0</v>
      </c>
      <c r="P90" s="138" t="n">
        <f aca="false">IF(14&lt;=Hipótesis!$D$97,0,IF(P89&gt;0,MIN(P89,Hipótesis!$D$93/MAX(Hipótesis!$D$96-Hipótesis!$D$97,1)),0))</f>
        <v>0</v>
      </c>
      <c r="Q90" s="138" t="n">
        <f aca="false">IF(15&lt;=Hipótesis!$D$97,0,IF(Q89&gt;0,MIN(Q89,Hipótesis!$D$93/MAX(Hipótesis!$D$96-Hipótesis!$D$97,1)),0))</f>
        <v>0</v>
      </c>
      <c r="R90" s="138" t="n">
        <f aca="false">IF(16&lt;=Hipótesis!$D$97,0,IF(R89&gt;0,MIN(R89,Hipótesis!$D$93/MAX(Hipótesis!$D$96-Hipótesis!$D$97,1)),0))</f>
        <v>0</v>
      </c>
      <c r="S90" s="138" t="n">
        <f aca="false">IF(17&lt;=Hipótesis!$D$97,0,IF(S89&gt;0,MIN(S89,Hipótesis!$D$93/MAX(Hipótesis!$D$96-Hipótesis!$D$97,1)),0))</f>
        <v>0</v>
      </c>
      <c r="T90" s="138" t="n">
        <f aca="false">IF(18&lt;=Hipótesis!$D$97,0,IF(T89&gt;0,MIN(T89,Hipótesis!$D$93/MAX(Hipótesis!$D$96-Hipótesis!$D$97,1)),0))</f>
        <v>0</v>
      </c>
      <c r="U90" s="138" t="n">
        <f aca="false">IF(19&lt;=Hipótesis!$D$97,0,IF(U89&gt;0,MIN(U89,Hipótesis!$D$93/MAX(Hipótesis!$D$96-Hipótesis!$D$97,1)),0))</f>
        <v>0</v>
      </c>
      <c r="V90" s="138" t="n">
        <f aca="false">IF(20&lt;=Hipótesis!$D$97,0,IF(V89&gt;0,MIN(V89,Hipótesis!$D$93/MAX(Hipótesis!$D$96-Hipótesis!$D$97,1)),0))</f>
        <v>0</v>
      </c>
      <c r="W90" s="138" t="n">
        <f aca="false">IF(21&lt;=Hipótesis!$D$97,0,IF(W89&gt;0,MIN(W89,Hipótesis!$D$93/MAX(Hipótesis!$D$96-Hipótesis!$D$97,1)),0))</f>
        <v>0</v>
      </c>
      <c r="X90" s="138" t="n">
        <f aca="false">IF(22&lt;=Hipótesis!$D$97,0,IF(X89&gt;0,MIN(X89,Hipótesis!$D$93/MAX(Hipótesis!$D$96-Hipótesis!$D$97,1)),0))</f>
        <v>0</v>
      </c>
      <c r="Y90" s="138" t="n">
        <f aca="false">IF(23&lt;=Hipótesis!$D$97,0,IF(Y89&gt;0,MIN(Y89,Hipótesis!$D$93/MAX(Hipótesis!$D$96-Hipótesis!$D$97,1)),0))</f>
        <v>0</v>
      </c>
      <c r="Z90" s="138" t="n">
        <f aca="false">IF(24&lt;=Hipótesis!$D$97,0,IF(Z89&gt;0,MIN(Z89,Hipótesis!$D$93/MAX(Hipótesis!$D$96-Hipótesis!$D$97,1)),0))</f>
        <v>0</v>
      </c>
      <c r="AA90" s="138" t="n">
        <f aca="false">IF(25&lt;=Hipótesis!$D$97,0,IF(AA89&gt;0,MIN(AA89,Hipótesis!$D$93/MAX(Hipótesis!$D$96-Hipótesis!$D$97,1)),0))</f>
        <v>0</v>
      </c>
      <c r="AB90" s="138" t="n">
        <f aca="false">IF(26&lt;=Hipótesis!$D$97,0,IF(AB89&gt;0,MIN(AB89,Hipótesis!$D$93/MAX(Hipótesis!$D$96-Hipótesis!$D$97,1)),0))</f>
        <v>0</v>
      </c>
      <c r="AC90" s="138" t="n">
        <f aca="false">IF(27&lt;=Hipótesis!$D$97,0,IF(AC89&gt;0,MIN(AC89,Hipótesis!$D$93/MAX(Hipótesis!$D$96-Hipótesis!$D$97,1)),0))</f>
        <v>0</v>
      </c>
      <c r="AD90" s="138" t="n">
        <f aca="false">IF(28&lt;=Hipótesis!$D$97,0,IF(AD89&gt;0,MIN(AD89,Hipótesis!$D$93/MAX(Hipótesis!$D$96-Hipótesis!$D$97,1)),0))</f>
        <v>0</v>
      </c>
      <c r="AE90" s="138" t="n">
        <f aca="false">IF(29&lt;=Hipótesis!$D$97,0,IF(AE89&gt;0,MIN(AE89,Hipótesis!$D$93/MAX(Hipótesis!$D$96-Hipótesis!$D$97,1)),0))</f>
        <v>0</v>
      </c>
      <c r="AF90" s="138" t="n">
        <f aca="false">IF(30&lt;=Hipótesis!$D$97,0,IF(AF89&gt;0,MIN(AF89,Hipótesis!$D$93/MAX(Hipótesis!$D$96-Hipótesis!$D$97,1)),0))</f>
        <v>0</v>
      </c>
      <c r="AG90" s="138" t="n">
        <f aca="false">IF(31&lt;=Hipótesis!$D$97,0,IF(AG89&gt;0,MIN(AG89,Hipótesis!$D$93/MAX(Hipótesis!$D$96-Hipótesis!$D$97,1)),0))</f>
        <v>0</v>
      </c>
      <c r="AH90" s="138" t="n">
        <f aca="false">IF(32&lt;=Hipótesis!$D$97,0,IF(AH89&gt;0,MIN(AH89,Hipótesis!$D$93/MAX(Hipótesis!$D$96-Hipótesis!$D$97,1)),0))</f>
        <v>0</v>
      </c>
      <c r="AI90" s="138" t="n">
        <f aca="false">IF(33&lt;=Hipótesis!$D$97,0,IF(AI89&gt;0,MIN(AI89,Hipótesis!$D$93/MAX(Hipótesis!$D$96-Hipótesis!$D$97,1)),0))</f>
        <v>0</v>
      </c>
      <c r="AJ90" s="138" t="n">
        <f aca="false">IF(34&lt;=Hipótesis!$D$97,0,IF(AJ89&gt;0,MIN(AJ89,Hipótesis!$D$93/MAX(Hipótesis!$D$96-Hipótesis!$D$97,1)),0))</f>
        <v>0</v>
      </c>
      <c r="AK90" s="138" t="n">
        <f aca="false">IF(35&lt;=Hipótesis!$D$97,0,IF(AK89&gt;0,MIN(AK89,Hipótesis!$D$93/MAX(Hipótesis!$D$96-Hipótesis!$D$97,1)),0))</f>
        <v>0</v>
      </c>
      <c r="AL90" s="138" t="n">
        <f aca="false">IF(36&lt;=Hipótesis!$D$97,0,IF(AL89&gt;0,MIN(AL89,Hipótesis!$D$93/MAX(Hipótesis!$D$96-Hipótesis!$D$97,1)),0))</f>
        <v>0</v>
      </c>
      <c r="AM90" s="138" t="n">
        <f aca="false">IF(37&lt;=Hipótesis!$D$97,0,IF(AM89&gt;0,MIN(AM89,Hipótesis!$D$93/MAX(Hipótesis!$D$96-Hipótesis!$D$97,1)),0))</f>
        <v>0</v>
      </c>
      <c r="AN90" s="138" t="n">
        <f aca="false">IF(38&lt;=Hipótesis!$D$97,0,IF(AN89&gt;0,MIN(AN89,Hipótesis!$D$93/MAX(Hipótesis!$D$96-Hipótesis!$D$97,1)),0))</f>
        <v>0</v>
      </c>
      <c r="AO90" s="138" t="n">
        <f aca="false">IF(39&lt;=Hipótesis!$D$97,0,IF(AO89&gt;0,MIN(AO89,Hipótesis!$D$93/MAX(Hipótesis!$D$96-Hipótesis!$D$97,1)),0))</f>
        <v>0</v>
      </c>
      <c r="AP90" s="138" t="n">
        <f aca="false">IF(40&lt;=Hipótesis!$D$97,0,IF(AP89&gt;0,MIN(AP89,Hipótesis!$D$93/MAX(Hipótesis!$D$96-Hipótesis!$D$97,1)),0))</f>
        <v>0</v>
      </c>
      <c r="AQ90" s="138" t="n">
        <f aca="false">IF(41&lt;=Hipótesis!$D$97,0,IF(AQ89&gt;0,MIN(AQ89,Hipótesis!$D$93/MAX(Hipótesis!$D$96-Hipótesis!$D$97,1)),0))</f>
        <v>0</v>
      </c>
      <c r="AR90" s="138" t="n">
        <f aca="false">IF(42&lt;=Hipótesis!$D$97,0,IF(AR89&gt;0,MIN(AR89,Hipótesis!$D$93/MAX(Hipótesis!$D$96-Hipótesis!$D$97,1)),0))</f>
        <v>0</v>
      </c>
      <c r="AS90" s="138" t="n">
        <f aca="false">IF(43&lt;=Hipótesis!$D$97,0,IF(AS89&gt;0,MIN(AS89,Hipótesis!$D$93/MAX(Hipótesis!$D$96-Hipótesis!$D$97,1)),0))</f>
        <v>0</v>
      </c>
      <c r="AT90" s="138" t="n">
        <f aca="false">IF(44&lt;=Hipótesis!$D$97,0,IF(AT89&gt;0,MIN(AT89,Hipótesis!$D$93/MAX(Hipótesis!$D$96-Hipótesis!$D$97,1)),0))</f>
        <v>0</v>
      </c>
      <c r="AU90" s="138" t="n">
        <f aca="false">IF(45&lt;=Hipótesis!$D$97,0,IF(AU89&gt;0,MIN(AU89,Hipótesis!$D$93/MAX(Hipótesis!$D$96-Hipótesis!$D$97,1)),0))</f>
        <v>0</v>
      </c>
      <c r="AV90" s="138" t="n">
        <f aca="false">IF(46&lt;=Hipótesis!$D$97,0,IF(AV89&gt;0,MIN(AV89,Hipótesis!$D$93/MAX(Hipótesis!$D$96-Hipótesis!$D$97,1)),0))</f>
        <v>0</v>
      </c>
      <c r="AW90" s="138" t="n">
        <f aca="false">IF(47&lt;=Hipótesis!$D$97,0,IF(AW89&gt;0,MIN(AW89,Hipótesis!$D$93/MAX(Hipótesis!$D$96-Hipótesis!$D$97,1)),0))</f>
        <v>0</v>
      </c>
      <c r="AX90" s="138" t="n">
        <f aca="false">IF(48&lt;=Hipótesis!$D$97,0,IF(AX89&gt;0,MIN(AX89,Hipótesis!$D$93/MAX(Hipótesis!$D$96-Hipótesis!$D$97,1)),0))</f>
        <v>0</v>
      </c>
      <c r="AY90" s="138" t="n">
        <f aca="false">IF(49&lt;=Hipótesis!$D$97,0,IF(AY89&gt;0,MIN(AY89,Hipótesis!$D$93/MAX(Hipótesis!$D$96-Hipótesis!$D$97,1)),0))</f>
        <v>0</v>
      </c>
      <c r="AZ90" s="138" t="n">
        <f aca="false">IF(50&lt;=Hipótesis!$D$97,0,IF(AZ89&gt;0,MIN(AZ89,Hipótesis!$D$93/MAX(Hipótesis!$D$96-Hipótesis!$D$97,1)),0))</f>
        <v>0</v>
      </c>
      <c r="BA90" s="138" t="n">
        <f aca="false">IF(51&lt;=Hipótesis!$D$97,0,IF(BA89&gt;0,MIN(BA89,Hipótesis!$D$93/MAX(Hipótesis!$D$96-Hipótesis!$D$97,1)),0))</f>
        <v>0</v>
      </c>
      <c r="BB90" s="138" t="n">
        <f aca="false">IF(52&lt;=Hipótesis!$D$97,0,IF(BB89&gt;0,MIN(BB89,Hipótesis!$D$93/MAX(Hipótesis!$D$96-Hipótesis!$D$97,1)),0))</f>
        <v>0</v>
      </c>
      <c r="BC90" s="138" t="n">
        <f aca="false">IF(53&lt;=Hipótesis!$D$97,0,IF(BC89&gt;0,MIN(BC89,Hipótesis!$D$93/MAX(Hipótesis!$D$96-Hipótesis!$D$97,1)),0))</f>
        <v>0</v>
      </c>
      <c r="BD90" s="138" t="n">
        <f aca="false">IF(54&lt;=Hipótesis!$D$97,0,IF(BD89&gt;0,MIN(BD89,Hipótesis!$D$93/MAX(Hipótesis!$D$96-Hipótesis!$D$97,1)),0))</f>
        <v>0</v>
      </c>
      <c r="BE90" s="138" t="n">
        <f aca="false">IF(55&lt;=Hipótesis!$D$97,0,IF(BE89&gt;0,MIN(BE89,Hipótesis!$D$93/MAX(Hipótesis!$D$96-Hipótesis!$D$97,1)),0))</f>
        <v>0</v>
      </c>
      <c r="BF90" s="138" t="n">
        <f aca="false">IF(56&lt;=Hipótesis!$D$97,0,IF(BF89&gt;0,MIN(BF89,Hipótesis!$D$93/MAX(Hipótesis!$D$96-Hipótesis!$D$97,1)),0))</f>
        <v>0</v>
      </c>
      <c r="BG90" s="138" t="n">
        <f aca="false">IF(57&lt;=Hipótesis!$D$97,0,IF(BG89&gt;0,MIN(BG89,Hipótesis!$D$93/MAX(Hipótesis!$D$96-Hipótesis!$D$97,1)),0))</f>
        <v>0</v>
      </c>
      <c r="BH90" s="138" t="n">
        <f aca="false">IF(58&lt;=Hipótesis!$D$97,0,IF(BH89&gt;0,MIN(BH89,Hipótesis!$D$93/MAX(Hipótesis!$D$96-Hipótesis!$D$97,1)),0))</f>
        <v>0</v>
      </c>
      <c r="BI90" s="138" t="n">
        <f aca="false">IF(59&lt;=Hipótesis!$D$97,0,IF(BI89&gt;0,MIN(BI89,Hipótesis!$D$93/MAX(Hipótesis!$D$96-Hipótesis!$D$97,1)),0))</f>
        <v>0</v>
      </c>
      <c r="BJ90" s="138" t="n">
        <f aca="false">IF(60&lt;=Hipótesis!$D$97,0,IF(BJ89&gt;0,MIN(BJ89,Hipótesis!$D$93/MAX(Hipótesis!$D$96-Hipótesis!$D$97,1)),0))</f>
        <v>0</v>
      </c>
      <c r="BK90" s="138" t="n">
        <f aca="false">IF(61&lt;=Hipótesis!$D$97,0,IF(BK89&gt;0,MIN(BK89,Hipótesis!$D$93/MAX(Hipótesis!$D$96-Hipótesis!$D$97,1)),0))</f>
        <v>0</v>
      </c>
      <c r="BL90" s="138" t="n">
        <f aca="false">IF(62&lt;=Hipótesis!$D$97,0,IF(BL89&gt;0,MIN(BL89,Hipótesis!$D$93/MAX(Hipótesis!$D$96-Hipótesis!$D$97,1)),0))</f>
        <v>0</v>
      </c>
      <c r="BM90" s="138" t="n">
        <f aca="false">IF(63&lt;=Hipótesis!$D$97,0,IF(BM89&gt;0,MIN(BM89,Hipótesis!$D$93/MAX(Hipótesis!$D$96-Hipótesis!$D$97,1)),0))</f>
        <v>0</v>
      </c>
      <c r="BN90" s="138" t="n">
        <f aca="false">IF(64&lt;=Hipótesis!$D$97,0,IF(BN89&gt;0,MIN(BN89,Hipótesis!$D$93/MAX(Hipótesis!$D$96-Hipótesis!$D$97,1)),0))</f>
        <v>0</v>
      </c>
      <c r="BO90" s="138" t="n">
        <f aca="false">IF(65&lt;=Hipótesis!$D$97,0,IF(BO89&gt;0,MIN(BO89,Hipótesis!$D$93/MAX(Hipótesis!$D$96-Hipótesis!$D$97,1)),0))</f>
        <v>0</v>
      </c>
      <c r="BP90" s="138" t="n">
        <f aca="false">IF(66&lt;=Hipótesis!$D$97,0,IF(BP89&gt;0,MIN(BP89,Hipótesis!$D$93/MAX(Hipótesis!$D$96-Hipótesis!$D$97,1)),0))</f>
        <v>0</v>
      </c>
      <c r="BQ90" s="138" t="n">
        <f aca="false">IF(67&lt;=Hipótesis!$D$97,0,IF(BQ89&gt;0,MIN(BQ89,Hipótesis!$D$93/MAX(Hipótesis!$D$96-Hipótesis!$D$97,1)),0))</f>
        <v>0</v>
      </c>
      <c r="BR90" s="138" t="n">
        <f aca="false">IF(68&lt;=Hipótesis!$D$97,0,IF(BR89&gt;0,MIN(BR89,Hipótesis!$D$93/MAX(Hipótesis!$D$96-Hipótesis!$D$97,1)),0))</f>
        <v>0</v>
      </c>
      <c r="BS90" s="138" t="n">
        <f aca="false">IF(69&lt;=Hipótesis!$D$97,0,IF(BS89&gt;0,MIN(BS89,Hipótesis!$D$93/MAX(Hipótesis!$D$96-Hipótesis!$D$97,1)),0))</f>
        <v>0</v>
      </c>
      <c r="BT90" s="138" t="n">
        <f aca="false">IF(70&lt;=Hipótesis!$D$97,0,IF(BT89&gt;0,MIN(BT89,Hipótesis!$D$93/MAX(Hipótesis!$D$96-Hipótesis!$D$97,1)),0))</f>
        <v>0</v>
      </c>
      <c r="BU90" s="138" t="n">
        <f aca="false">IF(71&lt;=Hipótesis!$D$97,0,IF(BU89&gt;0,MIN(BU89,Hipótesis!$D$93/MAX(Hipótesis!$D$96-Hipótesis!$D$97,1)),0))</f>
        <v>0</v>
      </c>
      <c r="BV90" s="138" t="n">
        <f aca="false">IF(72&lt;=Hipótesis!$D$97,0,IF(BV89&gt;0,MIN(BV89,Hipótesis!$D$93/MAX(Hipótesis!$D$96-Hipótesis!$D$97,1)),0))</f>
        <v>0</v>
      </c>
      <c r="BW90" s="138" t="n">
        <f aca="false">IF(73&lt;=Hipótesis!$D$97,0,IF(BW89&gt;0,MIN(BW89,Hipótesis!$D$93/MAX(Hipótesis!$D$96-Hipótesis!$D$97,1)),0))</f>
        <v>0</v>
      </c>
      <c r="BX90" s="138" t="n">
        <f aca="false">IF(74&lt;=Hipótesis!$D$97,0,IF(BX89&gt;0,MIN(BX89,Hipótesis!$D$93/MAX(Hipótesis!$D$96-Hipótesis!$D$97,1)),0))</f>
        <v>0</v>
      </c>
      <c r="BY90" s="138" t="n">
        <f aca="false">IF(75&lt;=Hipótesis!$D$97,0,IF(BY89&gt;0,MIN(BY89,Hipótesis!$D$93/MAX(Hipótesis!$D$96-Hipótesis!$D$97,1)),0))</f>
        <v>0</v>
      </c>
      <c r="BZ90" s="138" t="n">
        <f aca="false">IF(76&lt;=Hipótesis!$D$97,0,IF(BZ89&gt;0,MIN(BZ89,Hipótesis!$D$93/MAX(Hipótesis!$D$96-Hipótesis!$D$97,1)),0))</f>
        <v>0</v>
      </c>
      <c r="CA90" s="138" t="n">
        <f aca="false">IF(77&lt;=Hipótesis!$D$97,0,IF(CA89&gt;0,MIN(CA89,Hipótesis!$D$93/MAX(Hipótesis!$D$96-Hipótesis!$D$97,1)),0))</f>
        <v>0</v>
      </c>
      <c r="CB90" s="138" t="n">
        <f aca="false">IF(78&lt;=Hipótesis!$D$97,0,IF(CB89&gt;0,MIN(CB89,Hipótesis!$D$93/MAX(Hipótesis!$D$96-Hipótesis!$D$97,1)),0))</f>
        <v>0</v>
      </c>
      <c r="CC90" s="138" t="n">
        <f aca="false">IF(79&lt;=Hipótesis!$D$97,0,IF(CC89&gt;0,MIN(CC89,Hipótesis!$D$93/MAX(Hipótesis!$D$96-Hipótesis!$D$97,1)),0))</f>
        <v>0</v>
      </c>
      <c r="CD90" s="138" t="n">
        <f aca="false">IF(80&lt;=Hipótesis!$D$97,0,IF(CD89&gt;0,MIN(CD89,Hipótesis!$D$93/MAX(Hipótesis!$D$96-Hipótesis!$D$97,1)),0))</f>
        <v>0</v>
      </c>
      <c r="CE90" s="138" t="n">
        <f aca="false">IF(81&lt;=Hipótesis!$D$97,0,IF(CE89&gt;0,MIN(CE89,Hipótesis!$D$93/MAX(Hipótesis!$D$96-Hipótesis!$D$97,1)),0))</f>
        <v>0</v>
      </c>
      <c r="CF90" s="138" t="n">
        <f aca="false">IF(82&lt;=Hipótesis!$D$97,0,IF(CF89&gt;0,MIN(CF89,Hipótesis!$D$93/MAX(Hipótesis!$D$96-Hipótesis!$D$97,1)),0))</f>
        <v>0</v>
      </c>
      <c r="CG90" s="138" t="n">
        <f aca="false">IF(83&lt;=Hipótesis!$D$97,0,IF(CG89&gt;0,MIN(CG89,Hipótesis!$D$93/MAX(Hipótesis!$D$96-Hipótesis!$D$97,1)),0))</f>
        <v>0</v>
      </c>
      <c r="CH90" s="138" t="n">
        <f aca="false">IF(84&lt;=Hipótesis!$D$97,0,IF(CH89&gt;0,MIN(CH89,Hipótesis!$D$93/MAX(Hipótesis!$D$96-Hipótesis!$D$97,1)),0))</f>
        <v>0</v>
      </c>
    </row>
    <row r="91" customFormat="false" ht="13.5" hidden="false" customHeight="true" outlineLevel="0" collapsed="false">
      <c r="A91" s="13" t="s">
        <v>768</v>
      </c>
      <c r="C91" s="138" t="n">
        <f aca="false">C89*Hipótesis!$D$95/12</f>
        <v>0</v>
      </c>
      <c r="D91" s="138" t="n">
        <f aca="false">D89*Hipótesis!$D$95/12</f>
        <v>0</v>
      </c>
      <c r="E91" s="138" t="n">
        <f aca="false">E89*Hipótesis!$D$95/12</f>
        <v>0</v>
      </c>
      <c r="F91" s="138" t="n">
        <f aca="false">F89*Hipótesis!$D$95/12</f>
        <v>0</v>
      </c>
      <c r="G91" s="138" t="n">
        <f aca="false">G89*Hipótesis!$D$95/12</f>
        <v>0</v>
      </c>
      <c r="H91" s="138" t="n">
        <f aca="false">H89*Hipótesis!$D$95/12</f>
        <v>0</v>
      </c>
      <c r="I91" s="138" t="n">
        <f aca="false">I89*Hipótesis!$D$95/12</f>
        <v>0</v>
      </c>
      <c r="J91" s="138" t="n">
        <f aca="false">J89*Hipótesis!$D$95/12</f>
        <v>0</v>
      </c>
      <c r="K91" s="138" t="n">
        <f aca="false">K89*Hipótesis!$D$95/12</f>
        <v>0</v>
      </c>
      <c r="L91" s="138" t="n">
        <f aca="false">L89*Hipótesis!$D$95/12</f>
        <v>0</v>
      </c>
      <c r="M91" s="138" t="n">
        <f aca="false">M89*Hipótesis!$D$95/12</f>
        <v>0</v>
      </c>
      <c r="N91" s="138" t="n">
        <f aca="false">N89*Hipótesis!$D$95/12</f>
        <v>0</v>
      </c>
      <c r="O91" s="138" t="n">
        <f aca="false">O89*Hipótesis!$D$95/12</f>
        <v>0</v>
      </c>
      <c r="P91" s="138" t="n">
        <f aca="false">P89*Hipótesis!$D$95/12</f>
        <v>0</v>
      </c>
      <c r="Q91" s="138" t="n">
        <f aca="false">Q89*Hipótesis!$D$95/12</f>
        <v>0</v>
      </c>
      <c r="R91" s="138" t="n">
        <f aca="false">R89*Hipótesis!$D$95/12</f>
        <v>0</v>
      </c>
      <c r="S91" s="138" t="n">
        <f aca="false">S89*Hipótesis!$D$95/12</f>
        <v>0</v>
      </c>
      <c r="T91" s="138" t="n">
        <f aca="false">T89*Hipótesis!$D$95/12</f>
        <v>0</v>
      </c>
      <c r="U91" s="138" t="n">
        <f aca="false">U89*Hipótesis!$D$95/12</f>
        <v>0</v>
      </c>
      <c r="V91" s="138" t="n">
        <f aca="false">V89*Hipótesis!$D$95/12</f>
        <v>0</v>
      </c>
      <c r="W91" s="138" t="n">
        <f aca="false">W89*Hipótesis!$D$95/12</f>
        <v>0</v>
      </c>
      <c r="X91" s="138" t="n">
        <f aca="false">X89*Hipótesis!$D$95/12</f>
        <v>0</v>
      </c>
      <c r="Y91" s="138" t="n">
        <f aca="false">Y89*Hipótesis!$D$95/12</f>
        <v>0</v>
      </c>
      <c r="Z91" s="138" t="n">
        <f aca="false">Z89*Hipótesis!$D$95/12</f>
        <v>0</v>
      </c>
      <c r="AA91" s="138" t="n">
        <f aca="false">AA89*Hipótesis!$D$95/12</f>
        <v>0</v>
      </c>
      <c r="AB91" s="138" t="n">
        <f aca="false">AB89*Hipótesis!$D$95/12</f>
        <v>0</v>
      </c>
      <c r="AC91" s="138" t="n">
        <f aca="false">AC89*Hipótesis!$D$95/12</f>
        <v>0</v>
      </c>
      <c r="AD91" s="138" t="n">
        <f aca="false">AD89*Hipótesis!$D$95/12</f>
        <v>0</v>
      </c>
      <c r="AE91" s="138" t="n">
        <f aca="false">AE89*Hipótesis!$D$95/12</f>
        <v>0</v>
      </c>
      <c r="AF91" s="138" t="n">
        <f aca="false">AF89*Hipótesis!$D$95/12</f>
        <v>0</v>
      </c>
      <c r="AG91" s="138" t="n">
        <f aca="false">AG89*Hipótesis!$D$95/12</f>
        <v>0</v>
      </c>
      <c r="AH91" s="138" t="n">
        <f aca="false">AH89*Hipótesis!$D$95/12</f>
        <v>0</v>
      </c>
      <c r="AI91" s="138" t="n">
        <f aca="false">AI89*Hipótesis!$D$95/12</f>
        <v>0</v>
      </c>
      <c r="AJ91" s="138" t="n">
        <f aca="false">AJ89*Hipótesis!$D$95/12</f>
        <v>0</v>
      </c>
      <c r="AK91" s="138" t="n">
        <f aca="false">AK89*Hipótesis!$D$95/12</f>
        <v>0</v>
      </c>
      <c r="AL91" s="138" t="n">
        <f aca="false">AL89*Hipótesis!$D$95/12</f>
        <v>0</v>
      </c>
      <c r="AM91" s="138" t="n">
        <f aca="false">AM89*Hipótesis!$D$95/12</f>
        <v>0</v>
      </c>
      <c r="AN91" s="138" t="n">
        <f aca="false">AN89*Hipótesis!$D$95/12</f>
        <v>0</v>
      </c>
      <c r="AO91" s="138" t="n">
        <f aca="false">AO89*Hipótesis!$D$95/12</f>
        <v>0</v>
      </c>
      <c r="AP91" s="138" t="n">
        <f aca="false">AP89*Hipótesis!$D$95/12</f>
        <v>0</v>
      </c>
      <c r="AQ91" s="138" t="n">
        <f aca="false">AQ89*Hipótesis!$D$95/12</f>
        <v>0</v>
      </c>
      <c r="AR91" s="138" t="n">
        <f aca="false">AR89*Hipótesis!$D$95/12</f>
        <v>0</v>
      </c>
      <c r="AS91" s="138" t="n">
        <f aca="false">AS89*Hipótesis!$D$95/12</f>
        <v>0</v>
      </c>
      <c r="AT91" s="138" t="n">
        <f aca="false">AT89*Hipótesis!$D$95/12</f>
        <v>0</v>
      </c>
      <c r="AU91" s="138" t="n">
        <f aca="false">AU89*Hipótesis!$D$95/12</f>
        <v>0</v>
      </c>
      <c r="AV91" s="138" t="n">
        <f aca="false">AV89*Hipótesis!$D$95/12</f>
        <v>0</v>
      </c>
      <c r="AW91" s="138" t="n">
        <f aca="false">AW89*Hipótesis!$D$95/12</f>
        <v>0</v>
      </c>
      <c r="AX91" s="138" t="n">
        <f aca="false">AX89*Hipótesis!$D$95/12</f>
        <v>0</v>
      </c>
      <c r="AY91" s="138" t="n">
        <f aca="false">AY89*Hipótesis!$D$95/12</f>
        <v>0</v>
      </c>
      <c r="AZ91" s="138" t="n">
        <f aca="false">AZ89*Hipótesis!$D$95/12</f>
        <v>0</v>
      </c>
      <c r="BA91" s="138" t="n">
        <f aca="false">BA89*Hipótesis!$D$95/12</f>
        <v>0</v>
      </c>
      <c r="BB91" s="138" t="n">
        <f aca="false">BB89*Hipótesis!$D$95/12</f>
        <v>0</v>
      </c>
      <c r="BC91" s="138" t="n">
        <f aca="false">BC89*Hipótesis!$D$95/12</f>
        <v>0</v>
      </c>
      <c r="BD91" s="138" t="n">
        <f aca="false">BD89*Hipótesis!$D$95/12</f>
        <v>0</v>
      </c>
      <c r="BE91" s="138" t="n">
        <f aca="false">BE89*Hipótesis!$D$95/12</f>
        <v>0</v>
      </c>
      <c r="BF91" s="138" t="n">
        <f aca="false">BF89*Hipótesis!$D$95/12</f>
        <v>0</v>
      </c>
      <c r="BG91" s="138" t="n">
        <f aca="false">BG89*Hipótesis!$D$95/12</f>
        <v>0</v>
      </c>
      <c r="BH91" s="138" t="n">
        <f aca="false">BH89*Hipótesis!$D$95/12</f>
        <v>0</v>
      </c>
      <c r="BI91" s="138" t="n">
        <f aca="false">BI89*Hipótesis!$D$95/12</f>
        <v>0</v>
      </c>
      <c r="BJ91" s="138" t="n">
        <f aca="false">BJ89*Hipótesis!$D$95/12</f>
        <v>0</v>
      </c>
      <c r="BK91" s="138" t="n">
        <f aca="false">BK89*Hipótesis!$D$95/12</f>
        <v>0</v>
      </c>
      <c r="BL91" s="138" t="n">
        <f aca="false">BL89*Hipótesis!$D$95/12</f>
        <v>0</v>
      </c>
      <c r="BM91" s="138" t="n">
        <f aca="false">BM89*Hipótesis!$D$95/12</f>
        <v>0</v>
      </c>
      <c r="BN91" s="138" t="n">
        <f aca="false">BN89*Hipótesis!$D$95/12</f>
        <v>0</v>
      </c>
      <c r="BO91" s="138" t="n">
        <f aca="false">BO89*Hipótesis!$D$95/12</f>
        <v>0</v>
      </c>
      <c r="BP91" s="138" t="n">
        <f aca="false">BP89*Hipótesis!$D$95/12</f>
        <v>0</v>
      </c>
      <c r="BQ91" s="138" t="n">
        <f aca="false">BQ89*Hipótesis!$D$95/12</f>
        <v>0</v>
      </c>
      <c r="BR91" s="138" t="n">
        <f aca="false">BR89*Hipótesis!$D$95/12</f>
        <v>0</v>
      </c>
      <c r="BS91" s="138" t="n">
        <f aca="false">BS89*Hipótesis!$D$95/12</f>
        <v>0</v>
      </c>
      <c r="BT91" s="138" t="n">
        <f aca="false">BT89*Hipótesis!$D$95/12</f>
        <v>0</v>
      </c>
      <c r="BU91" s="138" t="n">
        <f aca="false">BU89*Hipótesis!$D$95/12</f>
        <v>0</v>
      </c>
      <c r="BV91" s="138" t="n">
        <f aca="false">BV89*Hipótesis!$D$95/12</f>
        <v>0</v>
      </c>
      <c r="BW91" s="138" t="n">
        <f aca="false">BW89*Hipótesis!$D$95/12</f>
        <v>0</v>
      </c>
      <c r="BX91" s="138" t="n">
        <f aca="false">BX89*Hipótesis!$D$95/12</f>
        <v>0</v>
      </c>
      <c r="BY91" s="138" t="n">
        <f aca="false">BY89*Hipótesis!$D$95/12</f>
        <v>0</v>
      </c>
      <c r="BZ91" s="138" t="n">
        <f aca="false">BZ89*Hipótesis!$D$95/12</f>
        <v>0</v>
      </c>
      <c r="CA91" s="138" t="n">
        <f aca="false">CA89*Hipótesis!$D$95/12</f>
        <v>0</v>
      </c>
      <c r="CB91" s="138" t="n">
        <f aca="false">CB89*Hipótesis!$D$95/12</f>
        <v>0</v>
      </c>
      <c r="CC91" s="138" t="n">
        <f aca="false">CC89*Hipótesis!$D$95/12</f>
        <v>0</v>
      </c>
      <c r="CD91" s="138" t="n">
        <f aca="false">CD89*Hipótesis!$D$95/12</f>
        <v>0</v>
      </c>
      <c r="CE91" s="138" t="n">
        <f aca="false">CE89*Hipótesis!$D$95/12</f>
        <v>0</v>
      </c>
      <c r="CF91" s="138" t="n">
        <f aca="false">CF89*Hipótesis!$D$95/12</f>
        <v>0</v>
      </c>
      <c r="CG91" s="138" t="n">
        <f aca="false">CG89*Hipótesis!$D$95/12</f>
        <v>0</v>
      </c>
      <c r="CH91" s="138" t="n">
        <f aca="false">CH89*Hipótesis!$D$95/12</f>
        <v>0</v>
      </c>
    </row>
    <row r="92" customFormat="false" ht="13.5" hidden="false" customHeight="true" outlineLevel="0" collapsed="false">
      <c r="A92" s="13" t="s">
        <v>769</v>
      </c>
      <c r="C92" s="138" t="n">
        <f aca="false">IF(Hipótesis!$D$94=5,0,IF(Hipótesis!$D$94=1,C90+C91,IF(Hipótesis!$D$94=2,C90+C91+IF(C89&gt;0,Hipótesis!$D$98*MAX(0,C56),0),IF(Hipótesis!$D$94=3,Hipótesis!$D$99*MAX(0,C56),Hipótesis!$D$100*C36))))</f>
        <v>0</v>
      </c>
      <c r="D92" s="138" t="n">
        <f aca="false">IF(Hipótesis!$D$94=5,0,IF(Hipótesis!$D$94=1,D90+D91,IF(Hipótesis!$D$94=2,D90+D91+IF(D89&gt;0,Hipótesis!$D$98*MAX(0,D56),0),IF(Hipótesis!$D$94=3,Hipótesis!$D$99*MAX(0,D56),Hipótesis!$D$100*D36))))</f>
        <v>0</v>
      </c>
      <c r="E92" s="138" t="n">
        <f aca="false">IF(Hipótesis!$D$94=5,0,IF(Hipótesis!$D$94=1,E90+E91,IF(Hipótesis!$D$94=2,E90+E91+IF(E89&gt;0,Hipótesis!$D$98*MAX(0,E56),0),IF(Hipótesis!$D$94=3,Hipótesis!$D$99*MAX(0,E56),Hipótesis!$D$100*E36))))</f>
        <v>0</v>
      </c>
      <c r="F92" s="138" t="n">
        <f aca="false">IF(Hipótesis!$D$94=5,0,IF(Hipótesis!$D$94=1,F90+F91,IF(Hipótesis!$D$94=2,F90+F91+IF(F89&gt;0,Hipótesis!$D$98*MAX(0,F56),0),IF(Hipótesis!$D$94=3,Hipótesis!$D$99*MAX(0,F56),Hipótesis!$D$100*F36))))</f>
        <v>0</v>
      </c>
      <c r="G92" s="138" t="n">
        <f aca="false">IF(Hipótesis!$D$94=5,0,IF(Hipótesis!$D$94=1,G90+G91,IF(Hipótesis!$D$94=2,G90+G91+IF(G89&gt;0,Hipótesis!$D$98*MAX(0,G56),0),IF(Hipótesis!$D$94=3,Hipótesis!$D$99*MAX(0,G56),Hipótesis!$D$100*G36))))</f>
        <v>0</v>
      </c>
      <c r="H92" s="138" t="n">
        <f aca="false">IF(Hipótesis!$D$94=5,0,IF(Hipótesis!$D$94=1,H90+H91,IF(Hipótesis!$D$94=2,H90+H91+IF(H89&gt;0,Hipótesis!$D$98*MAX(0,H56),0),IF(Hipótesis!$D$94=3,Hipótesis!$D$99*MAX(0,H56),Hipótesis!$D$100*H36))))</f>
        <v>0</v>
      </c>
      <c r="I92" s="138" t="n">
        <f aca="false">IF(Hipótesis!$D$94=5,0,IF(Hipótesis!$D$94=1,I90+I91,IF(Hipótesis!$D$94=2,I90+I91+IF(I89&gt;0,Hipótesis!$D$98*MAX(0,I56),0),IF(Hipótesis!$D$94=3,Hipótesis!$D$99*MAX(0,I56),Hipótesis!$D$100*I36))))</f>
        <v>0</v>
      </c>
      <c r="J92" s="138" t="n">
        <f aca="false">IF(Hipótesis!$D$94=5,0,IF(Hipótesis!$D$94=1,J90+J91,IF(Hipótesis!$D$94=2,J90+J91+IF(J89&gt;0,Hipótesis!$D$98*MAX(0,J56),0),IF(Hipótesis!$D$94=3,Hipótesis!$D$99*MAX(0,J56),Hipótesis!$D$100*J36))))</f>
        <v>0</v>
      </c>
      <c r="K92" s="138" t="n">
        <f aca="false">IF(Hipótesis!$D$94=5,0,IF(Hipótesis!$D$94=1,K90+K91,IF(Hipótesis!$D$94=2,K90+K91+IF(K89&gt;0,Hipótesis!$D$98*MAX(0,K56),0),IF(Hipótesis!$D$94=3,Hipótesis!$D$99*MAX(0,K56),Hipótesis!$D$100*K36))))</f>
        <v>0</v>
      </c>
      <c r="L92" s="138" t="n">
        <f aca="false">IF(Hipótesis!$D$94=5,0,IF(Hipótesis!$D$94=1,L90+L91,IF(Hipótesis!$D$94=2,L90+L91+IF(L89&gt;0,Hipótesis!$D$98*MAX(0,L56),0),IF(Hipótesis!$D$94=3,Hipótesis!$D$99*MAX(0,L56),Hipótesis!$D$100*L36))))</f>
        <v>0</v>
      </c>
      <c r="M92" s="138" t="n">
        <f aca="false">IF(Hipótesis!$D$94=5,0,IF(Hipótesis!$D$94=1,M90+M91,IF(Hipótesis!$D$94=2,M90+M91+IF(M89&gt;0,Hipótesis!$D$98*MAX(0,M56),0),IF(Hipótesis!$D$94=3,Hipótesis!$D$99*MAX(0,M56),Hipótesis!$D$100*M36))))</f>
        <v>0</v>
      </c>
      <c r="N92" s="138" t="n">
        <f aca="false">IF(Hipótesis!$D$94=5,0,IF(Hipótesis!$D$94=1,N90+N91,IF(Hipótesis!$D$94=2,N90+N91+IF(N89&gt;0,Hipótesis!$D$98*MAX(0,N56),0),IF(Hipótesis!$D$94=3,Hipótesis!$D$99*MAX(0,N56),Hipótesis!$D$100*N36))))</f>
        <v>0</v>
      </c>
      <c r="O92" s="138" t="n">
        <f aca="false">IF(Hipótesis!$D$94=5,0,IF(Hipótesis!$D$94=1,O90+O91,IF(Hipótesis!$D$94=2,O90+O91+IF(O89&gt;0,Hipótesis!$D$98*MAX(0,O56),0),IF(Hipótesis!$D$94=3,Hipótesis!$D$99*MAX(0,O56),Hipótesis!$D$100*O36))))</f>
        <v>0</v>
      </c>
      <c r="P92" s="138" t="n">
        <f aca="false">IF(Hipótesis!$D$94=5,0,IF(Hipótesis!$D$94=1,P90+P91,IF(Hipótesis!$D$94=2,P90+P91+IF(P89&gt;0,Hipótesis!$D$98*MAX(0,P56),0),IF(Hipótesis!$D$94=3,Hipótesis!$D$99*MAX(0,P56),Hipótesis!$D$100*P36))))</f>
        <v>0</v>
      </c>
      <c r="Q92" s="138" t="n">
        <f aca="false">IF(Hipótesis!$D$94=5,0,IF(Hipótesis!$D$94=1,Q90+Q91,IF(Hipótesis!$D$94=2,Q90+Q91+IF(Q89&gt;0,Hipótesis!$D$98*MAX(0,Q56),0),IF(Hipótesis!$D$94=3,Hipótesis!$D$99*MAX(0,Q56),Hipótesis!$D$100*Q36))))</f>
        <v>0</v>
      </c>
      <c r="R92" s="138" t="n">
        <f aca="false">IF(Hipótesis!$D$94=5,0,IF(Hipótesis!$D$94=1,R90+R91,IF(Hipótesis!$D$94=2,R90+R91+IF(R89&gt;0,Hipótesis!$D$98*MAX(0,R56),0),IF(Hipótesis!$D$94=3,Hipótesis!$D$99*MAX(0,R56),Hipótesis!$D$100*R36))))</f>
        <v>0</v>
      </c>
      <c r="S92" s="138" t="n">
        <f aca="false">IF(Hipótesis!$D$94=5,0,IF(Hipótesis!$D$94=1,S90+S91,IF(Hipótesis!$D$94=2,S90+S91+IF(S89&gt;0,Hipótesis!$D$98*MAX(0,S56),0),IF(Hipótesis!$D$94=3,Hipótesis!$D$99*MAX(0,S56),Hipótesis!$D$100*S36))))</f>
        <v>0</v>
      </c>
      <c r="T92" s="138" t="n">
        <f aca="false">IF(Hipótesis!$D$94=5,0,IF(Hipótesis!$D$94=1,T90+T91,IF(Hipótesis!$D$94=2,T90+T91+IF(T89&gt;0,Hipótesis!$D$98*MAX(0,T56),0),IF(Hipótesis!$D$94=3,Hipótesis!$D$99*MAX(0,T56),Hipótesis!$D$100*T36))))</f>
        <v>0</v>
      </c>
      <c r="U92" s="138" t="n">
        <f aca="false">IF(Hipótesis!$D$94=5,0,IF(Hipótesis!$D$94=1,U90+U91,IF(Hipótesis!$D$94=2,U90+U91+IF(U89&gt;0,Hipótesis!$D$98*MAX(0,U56),0),IF(Hipótesis!$D$94=3,Hipótesis!$D$99*MAX(0,U56),Hipótesis!$D$100*U36))))</f>
        <v>0</v>
      </c>
      <c r="V92" s="138" t="n">
        <f aca="false">IF(Hipótesis!$D$94=5,0,IF(Hipótesis!$D$94=1,V90+V91,IF(Hipótesis!$D$94=2,V90+V91+IF(V89&gt;0,Hipótesis!$D$98*MAX(0,V56),0),IF(Hipótesis!$D$94=3,Hipótesis!$D$99*MAX(0,V56),Hipótesis!$D$100*V36))))</f>
        <v>0</v>
      </c>
      <c r="W92" s="138" t="n">
        <f aca="false">IF(Hipótesis!$D$94=5,0,IF(Hipótesis!$D$94=1,W90+W91,IF(Hipótesis!$D$94=2,W90+W91+IF(W89&gt;0,Hipótesis!$D$98*MAX(0,W56),0),IF(Hipótesis!$D$94=3,Hipótesis!$D$99*MAX(0,W56),Hipótesis!$D$100*W36))))</f>
        <v>0</v>
      </c>
      <c r="X92" s="138" t="n">
        <f aca="false">IF(Hipótesis!$D$94=5,0,IF(Hipótesis!$D$94=1,X90+X91,IF(Hipótesis!$D$94=2,X90+X91+IF(X89&gt;0,Hipótesis!$D$98*MAX(0,X56),0),IF(Hipótesis!$D$94=3,Hipótesis!$D$99*MAX(0,X56),Hipótesis!$D$100*X36))))</f>
        <v>0</v>
      </c>
      <c r="Y92" s="138" t="n">
        <f aca="false">IF(Hipótesis!$D$94=5,0,IF(Hipótesis!$D$94=1,Y90+Y91,IF(Hipótesis!$D$94=2,Y90+Y91+IF(Y89&gt;0,Hipótesis!$D$98*MAX(0,Y56),0),IF(Hipótesis!$D$94=3,Hipótesis!$D$99*MAX(0,Y56),Hipótesis!$D$100*Y36))))</f>
        <v>0</v>
      </c>
      <c r="Z92" s="138" t="n">
        <f aca="false">IF(Hipótesis!$D$94=5,0,IF(Hipótesis!$D$94=1,Z90+Z91,IF(Hipótesis!$D$94=2,Z90+Z91+IF(Z89&gt;0,Hipótesis!$D$98*MAX(0,Z56),0),IF(Hipótesis!$D$94=3,Hipótesis!$D$99*MAX(0,Z56),Hipótesis!$D$100*Z36))))</f>
        <v>0</v>
      </c>
      <c r="AA92" s="138" t="n">
        <f aca="false">IF(Hipótesis!$D$94=5,0,IF(Hipótesis!$D$94=1,AA90+AA91,IF(Hipótesis!$D$94=2,AA90+AA91+IF(AA89&gt;0,Hipótesis!$D$98*MAX(0,AA56),0),IF(Hipótesis!$D$94=3,Hipótesis!$D$99*MAX(0,AA56),Hipótesis!$D$100*AA36))))</f>
        <v>0</v>
      </c>
      <c r="AB92" s="138" t="n">
        <f aca="false">IF(Hipótesis!$D$94=5,0,IF(Hipótesis!$D$94=1,AB90+AB91,IF(Hipótesis!$D$94=2,AB90+AB91+IF(AB89&gt;0,Hipótesis!$D$98*MAX(0,AB56),0),IF(Hipótesis!$D$94=3,Hipótesis!$D$99*MAX(0,AB56),Hipótesis!$D$100*AB36))))</f>
        <v>0</v>
      </c>
      <c r="AC92" s="138" t="n">
        <f aca="false">IF(Hipótesis!$D$94=5,0,IF(Hipótesis!$D$94=1,AC90+AC91,IF(Hipótesis!$D$94=2,AC90+AC91+IF(AC89&gt;0,Hipótesis!$D$98*MAX(0,AC56),0),IF(Hipótesis!$D$94=3,Hipótesis!$D$99*MAX(0,AC56),Hipótesis!$D$100*AC36))))</f>
        <v>0</v>
      </c>
      <c r="AD92" s="138" t="n">
        <f aca="false">IF(Hipótesis!$D$94=5,0,IF(Hipótesis!$D$94=1,AD90+AD91,IF(Hipótesis!$D$94=2,AD90+AD91+IF(AD89&gt;0,Hipótesis!$D$98*MAX(0,AD56),0),IF(Hipótesis!$D$94=3,Hipótesis!$D$99*MAX(0,AD56),Hipótesis!$D$100*AD36))))</f>
        <v>0</v>
      </c>
      <c r="AE92" s="138" t="n">
        <f aca="false">IF(Hipótesis!$D$94=5,0,IF(Hipótesis!$D$94=1,AE90+AE91,IF(Hipótesis!$D$94=2,AE90+AE91+IF(AE89&gt;0,Hipótesis!$D$98*MAX(0,AE56),0),IF(Hipótesis!$D$94=3,Hipótesis!$D$99*MAX(0,AE56),Hipótesis!$D$100*AE36))))</f>
        <v>0</v>
      </c>
      <c r="AF92" s="138" t="n">
        <f aca="false">IF(Hipótesis!$D$94=5,0,IF(Hipótesis!$D$94=1,AF90+AF91,IF(Hipótesis!$D$94=2,AF90+AF91+IF(AF89&gt;0,Hipótesis!$D$98*MAX(0,AF56),0),IF(Hipótesis!$D$94=3,Hipótesis!$D$99*MAX(0,AF56),Hipótesis!$D$100*AF36))))</f>
        <v>0</v>
      </c>
      <c r="AG92" s="138" t="n">
        <f aca="false">IF(Hipótesis!$D$94=5,0,IF(Hipótesis!$D$94=1,AG90+AG91,IF(Hipótesis!$D$94=2,AG90+AG91+IF(AG89&gt;0,Hipótesis!$D$98*MAX(0,AG56),0),IF(Hipótesis!$D$94=3,Hipótesis!$D$99*MAX(0,AG56),Hipótesis!$D$100*AG36))))</f>
        <v>0</v>
      </c>
      <c r="AH92" s="138" t="n">
        <f aca="false">IF(Hipótesis!$D$94=5,0,IF(Hipótesis!$D$94=1,AH90+AH91,IF(Hipótesis!$D$94=2,AH90+AH91+IF(AH89&gt;0,Hipótesis!$D$98*MAX(0,AH56),0),IF(Hipótesis!$D$94=3,Hipótesis!$D$99*MAX(0,AH56),Hipótesis!$D$100*AH36))))</f>
        <v>0</v>
      </c>
      <c r="AI92" s="138" t="n">
        <f aca="false">IF(Hipótesis!$D$94=5,0,IF(Hipótesis!$D$94=1,AI90+AI91,IF(Hipótesis!$D$94=2,AI90+AI91+IF(AI89&gt;0,Hipótesis!$D$98*MAX(0,AI56),0),IF(Hipótesis!$D$94=3,Hipótesis!$D$99*MAX(0,AI56),Hipótesis!$D$100*AI36))))</f>
        <v>0</v>
      </c>
      <c r="AJ92" s="138" t="n">
        <f aca="false">IF(Hipótesis!$D$94=5,0,IF(Hipótesis!$D$94=1,AJ90+AJ91,IF(Hipótesis!$D$94=2,AJ90+AJ91+IF(AJ89&gt;0,Hipótesis!$D$98*MAX(0,AJ56),0),IF(Hipótesis!$D$94=3,Hipótesis!$D$99*MAX(0,AJ56),Hipótesis!$D$100*AJ36))))</f>
        <v>0</v>
      </c>
      <c r="AK92" s="138" t="n">
        <f aca="false">IF(Hipótesis!$D$94=5,0,IF(Hipótesis!$D$94=1,AK90+AK91,IF(Hipótesis!$D$94=2,AK90+AK91+IF(AK89&gt;0,Hipótesis!$D$98*MAX(0,AK56),0),IF(Hipótesis!$D$94=3,Hipótesis!$D$99*MAX(0,AK56),Hipótesis!$D$100*AK36))))</f>
        <v>0</v>
      </c>
      <c r="AL92" s="138" t="n">
        <f aca="false">IF(Hipótesis!$D$94=5,0,IF(Hipótesis!$D$94=1,AL90+AL91,IF(Hipótesis!$D$94=2,AL90+AL91+IF(AL89&gt;0,Hipótesis!$D$98*MAX(0,AL56),0),IF(Hipótesis!$D$94=3,Hipótesis!$D$99*MAX(0,AL56),Hipótesis!$D$100*AL36))))</f>
        <v>0</v>
      </c>
      <c r="AM92" s="138" t="n">
        <f aca="false">IF(Hipótesis!$D$94=5,0,IF(Hipótesis!$D$94=1,AM90+AM91,IF(Hipótesis!$D$94=2,AM90+AM91+IF(AM89&gt;0,Hipótesis!$D$98*MAX(0,AM56),0),IF(Hipótesis!$D$94=3,Hipótesis!$D$99*MAX(0,AM56),Hipótesis!$D$100*AM36))))</f>
        <v>0</v>
      </c>
      <c r="AN92" s="138" t="n">
        <f aca="false">IF(Hipótesis!$D$94=5,0,IF(Hipótesis!$D$94=1,AN90+AN91,IF(Hipótesis!$D$94=2,AN90+AN91+IF(AN89&gt;0,Hipótesis!$D$98*MAX(0,AN56),0),IF(Hipótesis!$D$94=3,Hipótesis!$D$99*MAX(0,AN56),Hipótesis!$D$100*AN36))))</f>
        <v>0</v>
      </c>
      <c r="AO92" s="138" t="n">
        <f aca="false">IF(Hipótesis!$D$94=5,0,IF(Hipótesis!$D$94=1,AO90+AO91,IF(Hipótesis!$D$94=2,AO90+AO91+IF(AO89&gt;0,Hipótesis!$D$98*MAX(0,AO56),0),IF(Hipótesis!$D$94=3,Hipótesis!$D$99*MAX(0,AO56),Hipótesis!$D$100*AO36))))</f>
        <v>0</v>
      </c>
      <c r="AP92" s="138" t="n">
        <f aca="false">IF(Hipótesis!$D$94=5,0,IF(Hipótesis!$D$94=1,AP90+AP91,IF(Hipótesis!$D$94=2,AP90+AP91+IF(AP89&gt;0,Hipótesis!$D$98*MAX(0,AP56),0),IF(Hipótesis!$D$94=3,Hipótesis!$D$99*MAX(0,AP56),Hipótesis!$D$100*AP36))))</f>
        <v>0</v>
      </c>
      <c r="AQ92" s="138" t="n">
        <f aca="false">IF(Hipótesis!$D$94=5,0,IF(Hipótesis!$D$94=1,AQ90+AQ91,IF(Hipótesis!$D$94=2,AQ90+AQ91+IF(AQ89&gt;0,Hipótesis!$D$98*MAX(0,AQ56),0),IF(Hipótesis!$D$94=3,Hipótesis!$D$99*MAX(0,AQ56),Hipótesis!$D$100*AQ36))))</f>
        <v>0</v>
      </c>
      <c r="AR92" s="138" t="n">
        <f aca="false">IF(Hipótesis!$D$94=5,0,IF(Hipótesis!$D$94=1,AR90+AR91,IF(Hipótesis!$D$94=2,AR90+AR91+IF(AR89&gt;0,Hipótesis!$D$98*MAX(0,AR56),0),IF(Hipótesis!$D$94=3,Hipótesis!$D$99*MAX(0,AR56),Hipótesis!$D$100*AR36))))</f>
        <v>0</v>
      </c>
      <c r="AS92" s="138" t="n">
        <f aca="false">IF(Hipótesis!$D$94=5,0,IF(Hipótesis!$D$94=1,AS90+AS91,IF(Hipótesis!$D$94=2,AS90+AS91+IF(AS89&gt;0,Hipótesis!$D$98*MAX(0,AS56),0),IF(Hipótesis!$D$94=3,Hipótesis!$D$99*MAX(0,AS56),Hipótesis!$D$100*AS36))))</f>
        <v>0</v>
      </c>
      <c r="AT92" s="138" t="n">
        <f aca="false">IF(Hipótesis!$D$94=5,0,IF(Hipótesis!$D$94=1,AT90+AT91,IF(Hipótesis!$D$94=2,AT90+AT91+IF(AT89&gt;0,Hipótesis!$D$98*MAX(0,AT56),0),IF(Hipótesis!$D$94=3,Hipótesis!$D$99*MAX(0,AT56),Hipótesis!$D$100*AT36))))</f>
        <v>0</v>
      </c>
      <c r="AU92" s="138" t="n">
        <f aca="false">IF(Hipótesis!$D$94=5,0,IF(Hipótesis!$D$94=1,AU90+AU91,IF(Hipótesis!$D$94=2,AU90+AU91+IF(AU89&gt;0,Hipótesis!$D$98*MAX(0,AU56),0),IF(Hipótesis!$D$94=3,Hipótesis!$D$99*MAX(0,AU56),Hipótesis!$D$100*AU36))))</f>
        <v>0</v>
      </c>
      <c r="AV92" s="138" t="n">
        <f aca="false">IF(Hipótesis!$D$94=5,0,IF(Hipótesis!$D$94=1,AV90+AV91,IF(Hipótesis!$D$94=2,AV90+AV91+IF(AV89&gt;0,Hipótesis!$D$98*MAX(0,AV56),0),IF(Hipótesis!$D$94=3,Hipótesis!$D$99*MAX(0,AV56),Hipótesis!$D$100*AV36))))</f>
        <v>0</v>
      </c>
      <c r="AW92" s="138" t="n">
        <f aca="false">IF(Hipótesis!$D$94=5,0,IF(Hipótesis!$D$94=1,AW90+AW91,IF(Hipótesis!$D$94=2,AW90+AW91+IF(AW89&gt;0,Hipótesis!$D$98*MAX(0,AW56),0),IF(Hipótesis!$D$94=3,Hipótesis!$D$99*MAX(0,AW56),Hipótesis!$D$100*AW36))))</f>
        <v>0</v>
      </c>
      <c r="AX92" s="138" t="n">
        <f aca="false">IF(Hipótesis!$D$94=5,0,IF(Hipótesis!$D$94=1,AX90+AX91,IF(Hipótesis!$D$94=2,AX90+AX91+IF(AX89&gt;0,Hipótesis!$D$98*MAX(0,AX56),0),IF(Hipótesis!$D$94=3,Hipótesis!$D$99*MAX(0,AX56),Hipótesis!$D$100*AX36))))</f>
        <v>0</v>
      </c>
      <c r="AY92" s="138" t="n">
        <f aca="false">IF(Hipótesis!$D$94=5,0,IF(Hipótesis!$D$94=1,AY90+AY91,IF(Hipótesis!$D$94=2,AY90+AY91+IF(AY89&gt;0,Hipótesis!$D$98*MAX(0,AY56),0),IF(Hipótesis!$D$94=3,Hipótesis!$D$99*MAX(0,AY56),Hipótesis!$D$100*AY36))))</f>
        <v>0</v>
      </c>
      <c r="AZ92" s="138" t="n">
        <f aca="false">IF(Hipótesis!$D$94=5,0,IF(Hipótesis!$D$94=1,AZ90+AZ91,IF(Hipótesis!$D$94=2,AZ90+AZ91+IF(AZ89&gt;0,Hipótesis!$D$98*MAX(0,AZ56),0),IF(Hipótesis!$D$94=3,Hipótesis!$D$99*MAX(0,AZ56),Hipótesis!$D$100*AZ36))))</f>
        <v>0</v>
      </c>
      <c r="BA92" s="138" t="n">
        <f aca="false">IF(Hipótesis!$D$94=5,0,IF(Hipótesis!$D$94=1,BA90+BA91,IF(Hipótesis!$D$94=2,BA90+BA91+IF(BA89&gt;0,Hipótesis!$D$98*MAX(0,BA56),0),IF(Hipótesis!$D$94=3,Hipótesis!$D$99*MAX(0,BA56),Hipótesis!$D$100*BA36))))</f>
        <v>0</v>
      </c>
      <c r="BB92" s="138" t="n">
        <f aca="false">IF(Hipótesis!$D$94=5,0,IF(Hipótesis!$D$94=1,BB90+BB91,IF(Hipótesis!$D$94=2,BB90+BB91+IF(BB89&gt;0,Hipótesis!$D$98*MAX(0,BB56),0),IF(Hipótesis!$D$94=3,Hipótesis!$D$99*MAX(0,BB56),Hipótesis!$D$100*BB36))))</f>
        <v>0</v>
      </c>
      <c r="BC92" s="138" t="n">
        <f aca="false">IF(Hipótesis!$D$94=5,0,IF(Hipótesis!$D$94=1,BC90+BC91,IF(Hipótesis!$D$94=2,BC90+BC91+IF(BC89&gt;0,Hipótesis!$D$98*MAX(0,BC56),0),IF(Hipótesis!$D$94=3,Hipótesis!$D$99*MAX(0,BC56),Hipótesis!$D$100*BC36))))</f>
        <v>0</v>
      </c>
      <c r="BD92" s="138" t="n">
        <f aca="false">IF(Hipótesis!$D$94=5,0,IF(Hipótesis!$D$94=1,BD90+BD91,IF(Hipótesis!$D$94=2,BD90+BD91+IF(BD89&gt;0,Hipótesis!$D$98*MAX(0,BD56),0),IF(Hipótesis!$D$94=3,Hipótesis!$D$99*MAX(0,BD56),Hipótesis!$D$100*BD36))))</f>
        <v>0</v>
      </c>
      <c r="BE92" s="138" t="n">
        <f aca="false">IF(Hipótesis!$D$94=5,0,IF(Hipótesis!$D$94=1,BE90+BE91,IF(Hipótesis!$D$94=2,BE90+BE91+IF(BE89&gt;0,Hipótesis!$D$98*MAX(0,BE56),0),IF(Hipótesis!$D$94=3,Hipótesis!$D$99*MAX(0,BE56),Hipótesis!$D$100*BE36))))</f>
        <v>0</v>
      </c>
      <c r="BF92" s="138" t="n">
        <f aca="false">IF(Hipótesis!$D$94=5,0,IF(Hipótesis!$D$94=1,BF90+BF91,IF(Hipótesis!$D$94=2,BF90+BF91+IF(BF89&gt;0,Hipótesis!$D$98*MAX(0,BF56),0),IF(Hipótesis!$D$94=3,Hipótesis!$D$99*MAX(0,BF56),Hipótesis!$D$100*BF36))))</f>
        <v>0</v>
      </c>
      <c r="BG92" s="138" t="n">
        <f aca="false">IF(Hipótesis!$D$94=5,0,IF(Hipótesis!$D$94=1,BG90+BG91,IF(Hipótesis!$D$94=2,BG90+BG91+IF(BG89&gt;0,Hipótesis!$D$98*MAX(0,BG56),0),IF(Hipótesis!$D$94=3,Hipótesis!$D$99*MAX(0,BG56),Hipótesis!$D$100*BG36))))</f>
        <v>0</v>
      </c>
      <c r="BH92" s="138" t="n">
        <f aca="false">IF(Hipótesis!$D$94=5,0,IF(Hipótesis!$D$94=1,BH90+BH91,IF(Hipótesis!$D$94=2,BH90+BH91+IF(BH89&gt;0,Hipótesis!$D$98*MAX(0,BH56),0),IF(Hipótesis!$D$94=3,Hipótesis!$D$99*MAX(0,BH56),Hipótesis!$D$100*BH36))))</f>
        <v>0</v>
      </c>
      <c r="BI92" s="138" t="n">
        <f aca="false">IF(Hipótesis!$D$94=5,0,IF(Hipótesis!$D$94=1,BI90+BI91,IF(Hipótesis!$D$94=2,BI90+BI91+IF(BI89&gt;0,Hipótesis!$D$98*MAX(0,BI56),0),IF(Hipótesis!$D$94=3,Hipótesis!$D$99*MAX(0,BI56),Hipótesis!$D$100*BI36))))</f>
        <v>0</v>
      </c>
      <c r="BJ92" s="138" t="n">
        <f aca="false">IF(Hipótesis!$D$94=5,0,IF(Hipótesis!$D$94=1,BJ90+BJ91,IF(Hipótesis!$D$94=2,BJ90+BJ91+IF(BJ89&gt;0,Hipótesis!$D$98*MAX(0,BJ56),0),IF(Hipótesis!$D$94=3,Hipótesis!$D$99*MAX(0,BJ56),Hipótesis!$D$100*BJ36))))</f>
        <v>0</v>
      </c>
      <c r="BK92" s="138" t="n">
        <f aca="false">IF(Hipótesis!$D$94=5,0,IF(Hipótesis!$D$94=1,BK90+BK91,IF(Hipótesis!$D$94=2,BK90+BK91+IF(BK89&gt;0,Hipótesis!$D$98*MAX(0,BK56),0),IF(Hipótesis!$D$94=3,Hipótesis!$D$99*MAX(0,BK56),Hipótesis!$D$100*BK36))))</f>
        <v>0</v>
      </c>
      <c r="BL92" s="138" t="n">
        <f aca="false">IF(Hipótesis!$D$94=5,0,IF(Hipótesis!$D$94=1,BL90+BL91,IF(Hipótesis!$D$94=2,BL90+BL91+IF(BL89&gt;0,Hipótesis!$D$98*MAX(0,BL56),0),IF(Hipótesis!$D$94=3,Hipótesis!$D$99*MAX(0,BL56),Hipótesis!$D$100*BL36))))</f>
        <v>0</v>
      </c>
      <c r="BM92" s="138" t="n">
        <f aca="false">IF(Hipótesis!$D$94=5,0,IF(Hipótesis!$D$94=1,BM90+BM91,IF(Hipótesis!$D$94=2,BM90+BM91+IF(BM89&gt;0,Hipótesis!$D$98*MAX(0,BM56),0),IF(Hipótesis!$D$94=3,Hipótesis!$D$99*MAX(0,BM56),Hipótesis!$D$100*BM36))))</f>
        <v>0</v>
      </c>
      <c r="BN92" s="138" t="n">
        <f aca="false">IF(Hipótesis!$D$94=5,0,IF(Hipótesis!$D$94=1,BN90+BN91,IF(Hipótesis!$D$94=2,BN90+BN91+IF(BN89&gt;0,Hipótesis!$D$98*MAX(0,BN56),0),IF(Hipótesis!$D$94=3,Hipótesis!$D$99*MAX(0,BN56),Hipótesis!$D$100*BN36))))</f>
        <v>0</v>
      </c>
      <c r="BO92" s="138" t="n">
        <f aca="false">IF(Hipótesis!$D$94=5,0,IF(Hipótesis!$D$94=1,BO90+BO91,IF(Hipótesis!$D$94=2,BO90+BO91+IF(BO89&gt;0,Hipótesis!$D$98*MAX(0,BO56),0),IF(Hipótesis!$D$94=3,Hipótesis!$D$99*MAX(0,BO56),Hipótesis!$D$100*BO36))))</f>
        <v>0</v>
      </c>
      <c r="BP92" s="138" t="n">
        <f aca="false">IF(Hipótesis!$D$94=5,0,IF(Hipótesis!$D$94=1,BP90+BP91,IF(Hipótesis!$D$94=2,BP90+BP91+IF(BP89&gt;0,Hipótesis!$D$98*MAX(0,BP56),0),IF(Hipótesis!$D$94=3,Hipótesis!$D$99*MAX(0,BP56),Hipótesis!$D$100*BP36))))</f>
        <v>0</v>
      </c>
      <c r="BQ92" s="138" t="n">
        <f aca="false">IF(Hipótesis!$D$94=5,0,IF(Hipótesis!$D$94=1,BQ90+BQ91,IF(Hipótesis!$D$94=2,BQ90+BQ91+IF(BQ89&gt;0,Hipótesis!$D$98*MAX(0,BQ56),0),IF(Hipótesis!$D$94=3,Hipótesis!$D$99*MAX(0,BQ56),Hipótesis!$D$100*BQ36))))</f>
        <v>0</v>
      </c>
      <c r="BR92" s="138" t="n">
        <f aca="false">IF(Hipótesis!$D$94=5,0,IF(Hipótesis!$D$94=1,BR90+BR91,IF(Hipótesis!$D$94=2,BR90+BR91+IF(BR89&gt;0,Hipótesis!$D$98*MAX(0,BR56),0),IF(Hipótesis!$D$94=3,Hipótesis!$D$99*MAX(0,BR56),Hipótesis!$D$100*BR36))))</f>
        <v>0</v>
      </c>
      <c r="BS92" s="138" t="n">
        <f aca="false">IF(Hipótesis!$D$94=5,0,IF(Hipótesis!$D$94=1,BS90+BS91,IF(Hipótesis!$D$94=2,BS90+BS91+IF(BS89&gt;0,Hipótesis!$D$98*MAX(0,BS56),0),IF(Hipótesis!$D$94=3,Hipótesis!$D$99*MAX(0,BS56),Hipótesis!$D$100*BS36))))</f>
        <v>0</v>
      </c>
      <c r="BT92" s="138" t="n">
        <f aca="false">IF(Hipótesis!$D$94=5,0,IF(Hipótesis!$D$94=1,BT90+BT91,IF(Hipótesis!$D$94=2,BT90+BT91+IF(BT89&gt;0,Hipótesis!$D$98*MAX(0,BT56),0),IF(Hipótesis!$D$94=3,Hipótesis!$D$99*MAX(0,BT56),Hipótesis!$D$100*BT36))))</f>
        <v>0</v>
      </c>
      <c r="BU92" s="138" t="n">
        <f aca="false">IF(Hipótesis!$D$94=5,0,IF(Hipótesis!$D$94=1,BU90+BU91,IF(Hipótesis!$D$94=2,BU90+BU91+IF(BU89&gt;0,Hipótesis!$D$98*MAX(0,BU56),0),IF(Hipótesis!$D$94=3,Hipótesis!$D$99*MAX(0,BU56),Hipótesis!$D$100*BU36))))</f>
        <v>0</v>
      </c>
      <c r="BV92" s="138" t="n">
        <f aca="false">IF(Hipótesis!$D$94=5,0,IF(Hipótesis!$D$94=1,BV90+BV91,IF(Hipótesis!$D$94=2,BV90+BV91+IF(BV89&gt;0,Hipótesis!$D$98*MAX(0,BV56),0),IF(Hipótesis!$D$94=3,Hipótesis!$D$99*MAX(0,BV56),Hipótesis!$D$100*BV36))))</f>
        <v>0</v>
      </c>
      <c r="BW92" s="138" t="n">
        <f aca="false">IF(Hipótesis!$D$94=5,0,IF(Hipótesis!$D$94=1,BW90+BW91,IF(Hipótesis!$D$94=2,BW90+BW91+IF(BW89&gt;0,Hipótesis!$D$98*MAX(0,BW56),0),IF(Hipótesis!$D$94=3,Hipótesis!$D$99*MAX(0,BW56),Hipótesis!$D$100*BW36))))</f>
        <v>0</v>
      </c>
      <c r="BX92" s="138" t="n">
        <f aca="false">IF(Hipótesis!$D$94=5,0,IF(Hipótesis!$D$94=1,BX90+BX91,IF(Hipótesis!$D$94=2,BX90+BX91+IF(BX89&gt;0,Hipótesis!$D$98*MAX(0,BX56),0),IF(Hipótesis!$D$94=3,Hipótesis!$D$99*MAX(0,BX56),Hipótesis!$D$100*BX36))))</f>
        <v>0</v>
      </c>
      <c r="BY92" s="138" t="n">
        <f aca="false">IF(Hipótesis!$D$94=5,0,IF(Hipótesis!$D$94=1,BY90+BY91,IF(Hipótesis!$D$94=2,BY90+BY91+IF(BY89&gt;0,Hipótesis!$D$98*MAX(0,BY56),0),IF(Hipótesis!$D$94=3,Hipótesis!$D$99*MAX(0,BY56),Hipótesis!$D$100*BY36))))</f>
        <v>0</v>
      </c>
      <c r="BZ92" s="138" t="n">
        <f aca="false">IF(Hipótesis!$D$94=5,0,IF(Hipótesis!$D$94=1,BZ90+BZ91,IF(Hipótesis!$D$94=2,BZ90+BZ91+IF(BZ89&gt;0,Hipótesis!$D$98*MAX(0,BZ56),0),IF(Hipótesis!$D$94=3,Hipótesis!$D$99*MAX(0,BZ56),Hipótesis!$D$100*BZ36))))</f>
        <v>0</v>
      </c>
      <c r="CA92" s="138" t="n">
        <f aca="false">IF(Hipótesis!$D$94=5,0,IF(Hipótesis!$D$94=1,CA90+CA91,IF(Hipótesis!$D$94=2,CA90+CA91+IF(CA89&gt;0,Hipótesis!$D$98*MAX(0,CA56),0),IF(Hipótesis!$D$94=3,Hipótesis!$D$99*MAX(0,CA56),Hipótesis!$D$100*CA36))))</f>
        <v>0</v>
      </c>
      <c r="CB92" s="138" t="n">
        <f aca="false">IF(Hipótesis!$D$94=5,0,IF(Hipótesis!$D$94=1,CB90+CB91,IF(Hipótesis!$D$94=2,CB90+CB91+IF(CB89&gt;0,Hipótesis!$D$98*MAX(0,CB56),0),IF(Hipótesis!$D$94=3,Hipótesis!$D$99*MAX(0,CB56),Hipótesis!$D$100*CB36))))</f>
        <v>0</v>
      </c>
      <c r="CC92" s="138" t="n">
        <f aca="false">IF(Hipótesis!$D$94=5,0,IF(Hipótesis!$D$94=1,CC90+CC91,IF(Hipótesis!$D$94=2,CC90+CC91+IF(CC89&gt;0,Hipótesis!$D$98*MAX(0,CC56),0),IF(Hipótesis!$D$94=3,Hipótesis!$D$99*MAX(0,CC56),Hipótesis!$D$100*CC36))))</f>
        <v>0</v>
      </c>
      <c r="CD92" s="138" t="n">
        <f aca="false">IF(Hipótesis!$D$94=5,0,IF(Hipótesis!$D$94=1,CD90+CD91,IF(Hipótesis!$D$94=2,CD90+CD91+IF(CD89&gt;0,Hipótesis!$D$98*MAX(0,CD56),0),IF(Hipótesis!$D$94=3,Hipótesis!$D$99*MAX(0,CD56),Hipótesis!$D$100*CD36))))</f>
        <v>0</v>
      </c>
      <c r="CE92" s="138" t="n">
        <f aca="false">IF(Hipótesis!$D$94=5,0,IF(Hipótesis!$D$94=1,CE90+CE91,IF(Hipótesis!$D$94=2,CE90+CE91+IF(CE89&gt;0,Hipótesis!$D$98*MAX(0,CE56),0),IF(Hipótesis!$D$94=3,Hipótesis!$D$99*MAX(0,CE56),Hipótesis!$D$100*CE36))))</f>
        <v>0</v>
      </c>
      <c r="CF92" s="138" t="n">
        <f aca="false">IF(Hipótesis!$D$94=5,0,IF(Hipótesis!$D$94=1,CF90+CF91,IF(Hipótesis!$D$94=2,CF90+CF91+IF(CF89&gt;0,Hipótesis!$D$98*MAX(0,CF56),0),IF(Hipótesis!$D$94=3,Hipótesis!$D$99*MAX(0,CF56),Hipótesis!$D$100*CF36))))</f>
        <v>0</v>
      </c>
      <c r="CG92" s="138" t="n">
        <f aca="false">IF(Hipótesis!$D$94=5,0,IF(Hipótesis!$D$94=1,CG90+CG91,IF(Hipótesis!$D$94=2,CG90+CG91+IF(CG89&gt;0,Hipótesis!$D$98*MAX(0,CG56),0),IF(Hipótesis!$D$94=3,Hipótesis!$D$99*MAX(0,CG56),Hipótesis!$D$100*CG36))))</f>
        <v>0</v>
      </c>
      <c r="CH92" s="138" t="n">
        <f aca="false">IF(Hipótesis!$D$94=5,0,IF(Hipótesis!$D$94=1,CH90+CH91,IF(Hipótesis!$D$94=2,CH90+CH91+IF(CH89&gt;0,Hipótesis!$D$98*MAX(0,CH56),0),IF(Hipótesis!$D$94=3,Hipótesis!$D$99*MAX(0,CH56),Hipótesis!$D$100*CH36))))</f>
        <v>0</v>
      </c>
    </row>
    <row r="93" customFormat="false" ht="13.5" hidden="false" customHeight="true" outlineLevel="0" collapsed="false">
      <c r="A93" s="13" t="s">
        <v>770</v>
      </c>
      <c r="C93" s="138" t="n">
        <f aca="false">IF(Hipótesis!$D$94&lt;=2,C92,MIN(C92,MAX(0,Hipótesis!$D$101*Hipótesis!$D$93-0)))</f>
        <v>0</v>
      </c>
      <c r="D93" s="138" t="n">
        <f aca="false">IF(Hipótesis!$D$94&lt;=2,D92,MIN(D92,MAX(0,Hipótesis!$D$101*Hipótesis!$D$93-C94)))</f>
        <v>0</v>
      </c>
      <c r="E93" s="138" t="n">
        <f aca="false">IF(Hipótesis!$D$94&lt;=2,E92,MIN(E92,MAX(0,Hipótesis!$D$101*Hipótesis!$D$93-D94)))</f>
        <v>0</v>
      </c>
      <c r="F93" s="138" t="n">
        <f aca="false">IF(Hipótesis!$D$94&lt;=2,F92,MIN(F92,MAX(0,Hipótesis!$D$101*Hipótesis!$D$93-E94)))</f>
        <v>0</v>
      </c>
      <c r="G93" s="138" t="n">
        <f aca="false">IF(Hipótesis!$D$94&lt;=2,G92,MIN(G92,MAX(0,Hipótesis!$D$101*Hipótesis!$D$93-F94)))</f>
        <v>0</v>
      </c>
      <c r="H93" s="138" t="n">
        <f aca="false">IF(Hipótesis!$D$94&lt;=2,H92,MIN(H92,MAX(0,Hipótesis!$D$101*Hipótesis!$D$93-G94)))</f>
        <v>0</v>
      </c>
      <c r="I93" s="138" t="n">
        <f aca="false">IF(Hipótesis!$D$94&lt;=2,I92,MIN(I92,MAX(0,Hipótesis!$D$101*Hipótesis!$D$93-H94)))</f>
        <v>0</v>
      </c>
      <c r="J93" s="138" t="n">
        <f aca="false">IF(Hipótesis!$D$94&lt;=2,J92,MIN(J92,MAX(0,Hipótesis!$D$101*Hipótesis!$D$93-I94)))</f>
        <v>0</v>
      </c>
      <c r="K93" s="138" t="n">
        <f aca="false">IF(Hipótesis!$D$94&lt;=2,K92,MIN(K92,MAX(0,Hipótesis!$D$101*Hipótesis!$D$93-J94)))</f>
        <v>0</v>
      </c>
      <c r="L93" s="138" t="n">
        <f aca="false">IF(Hipótesis!$D$94&lt;=2,L92,MIN(L92,MAX(0,Hipótesis!$D$101*Hipótesis!$D$93-K94)))</f>
        <v>0</v>
      </c>
      <c r="M93" s="138" t="n">
        <f aca="false">IF(Hipótesis!$D$94&lt;=2,M92,MIN(M92,MAX(0,Hipótesis!$D$101*Hipótesis!$D$93-L94)))</f>
        <v>0</v>
      </c>
      <c r="N93" s="138" t="n">
        <f aca="false">IF(Hipótesis!$D$94&lt;=2,N92,MIN(N92,MAX(0,Hipótesis!$D$101*Hipótesis!$D$93-M94)))</f>
        <v>0</v>
      </c>
      <c r="O93" s="138" t="n">
        <f aca="false">IF(Hipótesis!$D$94&lt;=2,O92,MIN(O92,MAX(0,Hipótesis!$D$101*Hipótesis!$D$93-N94)))</f>
        <v>0</v>
      </c>
      <c r="P93" s="138" t="n">
        <f aca="false">IF(Hipótesis!$D$94&lt;=2,P92,MIN(P92,MAX(0,Hipótesis!$D$101*Hipótesis!$D$93-O94)))</f>
        <v>0</v>
      </c>
      <c r="Q93" s="138" t="n">
        <f aca="false">IF(Hipótesis!$D$94&lt;=2,Q92,MIN(Q92,MAX(0,Hipótesis!$D$101*Hipótesis!$D$93-P94)))</f>
        <v>0</v>
      </c>
      <c r="R93" s="138" t="n">
        <f aca="false">IF(Hipótesis!$D$94&lt;=2,R92,MIN(R92,MAX(0,Hipótesis!$D$101*Hipótesis!$D$93-Q94)))</f>
        <v>0</v>
      </c>
      <c r="S93" s="138" t="n">
        <f aca="false">IF(Hipótesis!$D$94&lt;=2,S92,MIN(S92,MAX(0,Hipótesis!$D$101*Hipótesis!$D$93-R94)))</f>
        <v>0</v>
      </c>
      <c r="T93" s="138" t="n">
        <f aca="false">IF(Hipótesis!$D$94&lt;=2,T92,MIN(T92,MAX(0,Hipótesis!$D$101*Hipótesis!$D$93-S94)))</f>
        <v>0</v>
      </c>
      <c r="U93" s="138" t="n">
        <f aca="false">IF(Hipótesis!$D$94&lt;=2,U92,MIN(U92,MAX(0,Hipótesis!$D$101*Hipótesis!$D$93-T94)))</f>
        <v>0</v>
      </c>
      <c r="V93" s="138" t="n">
        <f aca="false">IF(Hipótesis!$D$94&lt;=2,V92,MIN(V92,MAX(0,Hipótesis!$D$101*Hipótesis!$D$93-U94)))</f>
        <v>0</v>
      </c>
      <c r="W93" s="138" t="n">
        <f aca="false">IF(Hipótesis!$D$94&lt;=2,W92,MIN(W92,MAX(0,Hipótesis!$D$101*Hipótesis!$D$93-V94)))</f>
        <v>0</v>
      </c>
      <c r="X93" s="138" t="n">
        <f aca="false">IF(Hipótesis!$D$94&lt;=2,X92,MIN(X92,MAX(0,Hipótesis!$D$101*Hipótesis!$D$93-W94)))</f>
        <v>0</v>
      </c>
      <c r="Y93" s="138" t="n">
        <f aca="false">IF(Hipótesis!$D$94&lt;=2,Y92,MIN(Y92,MAX(0,Hipótesis!$D$101*Hipótesis!$D$93-X94)))</f>
        <v>0</v>
      </c>
      <c r="Z93" s="138" t="n">
        <f aca="false">IF(Hipótesis!$D$94&lt;=2,Z92,MIN(Z92,MAX(0,Hipótesis!$D$101*Hipótesis!$D$93-Y94)))</f>
        <v>0</v>
      </c>
      <c r="AA93" s="138" t="n">
        <f aca="false">IF(Hipótesis!$D$94&lt;=2,AA92,MIN(AA92,MAX(0,Hipótesis!$D$101*Hipótesis!$D$93-Z94)))</f>
        <v>0</v>
      </c>
      <c r="AB93" s="138" t="n">
        <f aca="false">IF(Hipótesis!$D$94&lt;=2,AB92,MIN(AB92,MAX(0,Hipótesis!$D$101*Hipótesis!$D$93-AA94)))</f>
        <v>0</v>
      </c>
      <c r="AC93" s="138" t="n">
        <f aca="false">IF(Hipótesis!$D$94&lt;=2,AC92,MIN(AC92,MAX(0,Hipótesis!$D$101*Hipótesis!$D$93-AB94)))</f>
        <v>0</v>
      </c>
      <c r="AD93" s="138" t="n">
        <f aca="false">IF(Hipótesis!$D$94&lt;=2,AD92,MIN(AD92,MAX(0,Hipótesis!$D$101*Hipótesis!$D$93-AC94)))</f>
        <v>0</v>
      </c>
      <c r="AE93" s="138" t="n">
        <f aca="false">IF(Hipótesis!$D$94&lt;=2,AE92,MIN(AE92,MAX(0,Hipótesis!$D$101*Hipótesis!$D$93-AD94)))</f>
        <v>0</v>
      </c>
      <c r="AF93" s="138" t="n">
        <f aca="false">IF(Hipótesis!$D$94&lt;=2,AF92,MIN(AF92,MAX(0,Hipótesis!$D$101*Hipótesis!$D$93-AE94)))</f>
        <v>0</v>
      </c>
      <c r="AG93" s="138" t="n">
        <f aca="false">IF(Hipótesis!$D$94&lt;=2,AG92,MIN(AG92,MAX(0,Hipótesis!$D$101*Hipótesis!$D$93-AF94)))</f>
        <v>0</v>
      </c>
      <c r="AH93" s="138" t="n">
        <f aca="false">IF(Hipótesis!$D$94&lt;=2,AH92,MIN(AH92,MAX(0,Hipótesis!$D$101*Hipótesis!$D$93-AG94)))</f>
        <v>0</v>
      </c>
      <c r="AI93" s="138" t="n">
        <f aca="false">IF(Hipótesis!$D$94&lt;=2,AI92,MIN(AI92,MAX(0,Hipótesis!$D$101*Hipótesis!$D$93-AH94)))</f>
        <v>0</v>
      </c>
      <c r="AJ93" s="138" t="n">
        <f aca="false">IF(Hipótesis!$D$94&lt;=2,AJ92,MIN(AJ92,MAX(0,Hipótesis!$D$101*Hipótesis!$D$93-AI94)))</f>
        <v>0</v>
      </c>
      <c r="AK93" s="138" t="n">
        <f aca="false">IF(Hipótesis!$D$94&lt;=2,AK92,MIN(AK92,MAX(0,Hipótesis!$D$101*Hipótesis!$D$93-AJ94)))</f>
        <v>0</v>
      </c>
      <c r="AL93" s="138" t="n">
        <f aca="false">IF(Hipótesis!$D$94&lt;=2,AL92,MIN(AL92,MAX(0,Hipótesis!$D$101*Hipótesis!$D$93-AK94)))</f>
        <v>0</v>
      </c>
      <c r="AM93" s="138" t="n">
        <f aca="false">IF(Hipótesis!$D$94&lt;=2,AM92,MIN(AM92,MAX(0,Hipótesis!$D$101*Hipótesis!$D$93-AL94)))</f>
        <v>0</v>
      </c>
      <c r="AN93" s="138" t="n">
        <f aca="false">IF(Hipótesis!$D$94&lt;=2,AN92,MIN(AN92,MAX(0,Hipótesis!$D$101*Hipótesis!$D$93-AM94)))</f>
        <v>0</v>
      </c>
      <c r="AO93" s="138" t="n">
        <f aca="false">IF(Hipótesis!$D$94&lt;=2,AO92,MIN(AO92,MAX(0,Hipótesis!$D$101*Hipótesis!$D$93-AN94)))</f>
        <v>0</v>
      </c>
      <c r="AP93" s="138" t="n">
        <f aca="false">IF(Hipótesis!$D$94&lt;=2,AP92,MIN(AP92,MAX(0,Hipótesis!$D$101*Hipótesis!$D$93-AO94)))</f>
        <v>0</v>
      </c>
      <c r="AQ93" s="138" t="n">
        <f aca="false">IF(Hipótesis!$D$94&lt;=2,AQ92,MIN(AQ92,MAX(0,Hipótesis!$D$101*Hipótesis!$D$93-AP94)))</f>
        <v>0</v>
      </c>
      <c r="AR93" s="138" t="n">
        <f aca="false">IF(Hipótesis!$D$94&lt;=2,AR92,MIN(AR92,MAX(0,Hipótesis!$D$101*Hipótesis!$D$93-AQ94)))</f>
        <v>0</v>
      </c>
      <c r="AS93" s="138" t="n">
        <f aca="false">IF(Hipótesis!$D$94&lt;=2,AS92,MIN(AS92,MAX(0,Hipótesis!$D$101*Hipótesis!$D$93-AR94)))</f>
        <v>0</v>
      </c>
      <c r="AT93" s="138" t="n">
        <f aca="false">IF(Hipótesis!$D$94&lt;=2,AT92,MIN(AT92,MAX(0,Hipótesis!$D$101*Hipótesis!$D$93-AS94)))</f>
        <v>0</v>
      </c>
      <c r="AU93" s="138" t="n">
        <f aca="false">IF(Hipótesis!$D$94&lt;=2,AU92,MIN(AU92,MAX(0,Hipótesis!$D$101*Hipótesis!$D$93-AT94)))</f>
        <v>0</v>
      </c>
      <c r="AV93" s="138" t="n">
        <f aca="false">IF(Hipótesis!$D$94&lt;=2,AV92,MIN(AV92,MAX(0,Hipótesis!$D$101*Hipótesis!$D$93-AU94)))</f>
        <v>0</v>
      </c>
      <c r="AW93" s="138" t="n">
        <f aca="false">IF(Hipótesis!$D$94&lt;=2,AW92,MIN(AW92,MAX(0,Hipótesis!$D$101*Hipótesis!$D$93-AV94)))</f>
        <v>0</v>
      </c>
      <c r="AX93" s="138" t="n">
        <f aca="false">IF(Hipótesis!$D$94&lt;=2,AX92,MIN(AX92,MAX(0,Hipótesis!$D$101*Hipótesis!$D$93-AW94)))</f>
        <v>0</v>
      </c>
      <c r="AY93" s="138" t="n">
        <f aca="false">IF(Hipótesis!$D$94&lt;=2,AY92,MIN(AY92,MAX(0,Hipótesis!$D$101*Hipótesis!$D$93-AX94)))</f>
        <v>0</v>
      </c>
      <c r="AZ93" s="138" t="n">
        <f aca="false">IF(Hipótesis!$D$94&lt;=2,AZ92,MIN(AZ92,MAX(0,Hipótesis!$D$101*Hipótesis!$D$93-AY94)))</f>
        <v>0</v>
      </c>
      <c r="BA93" s="138" t="n">
        <f aca="false">IF(Hipótesis!$D$94&lt;=2,BA92,MIN(BA92,MAX(0,Hipótesis!$D$101*Hipótesis!$D$93-AZ94)))</f>
        <v>0</v>
      </c>
      <c r="BB93" s="138" t="n">
        <f aca="false">IF(Hipótesis!$D$94&lt;=2,BB92,MIN(BB92,MAX(0,Hipótesis!$D$101*Hipótesis!$D$93-BA94)))</f>
        <v>0</v>
      </c>
      <c r="BC93" s="138" t="n">
        <f aca="false">IF(Hipótesis!$D$94&lt;=2,BC92,MIN(BC92,MAX(0,Hipótesis!$D$101*Hipótesis!$D$93-BB94)))</f>
        <v>0</v>
      </c>
      <c r="BD93" s="138" t="n">
        <f aca="false">IF(Hipótesis!$D$94&lt;=2,BD92,MIN(BD92,MAX(0,Hipótesis!$D$101*Hipótesis!$D$93-BC94)))</f>
        <v>0</v>
      </c>
      <c r="BE93" s="138" t="n">
        <f aca="false">IF(Hipótesis!$D$94&lt;=2,BE92,MIN(BE92,MAX(0,Hipótesis!$D$101*Hipótesis!$D$93-BD94)))</f>
        <v>0</v>
      </c>
      <c r="BF93" s="138" t="n">
        <f aca="false">IF(Hipótesis!$D$94&lt;=2,BF92,MIN(BF92,MAX(0,Hipótesis!$D$101*Hipótesis!$D$93-BE94)))</f>
        <v>0</v>
      </c>
      <c r="BG93" s="138" t="n">
        <f aca="false">IF(Hipótesis!$D$94&lt;=2,BG92,MIN(BG92,MAX(0,Hipótesis!$D$101*Hipótesis!$D$93-BF94)))</f>
        <v>0</v>
      </c>
      <c r="BH93" s="138" t="n">
        <f aca="false">IF(Hipótesis!$D$94&lt;=2,BH92,MIN(BH92,MAX(0,Hipótesis!$D$101*Hipótesis!$D$93-BG94)))</f>
        <v>0</v>
      </c>
      <c r="BI93" s="138" t="n">
        <f aca="false">IF(Hipótesis!$D$94&lt;=2,BI92,MIN(BI92,MAX(0,Hipótesis!$D$101*Hipótesis!$D$93-BH94)))</f>
        <v>0</v>
      </c>
      <c r="BJ93" s="138" t="n">
        <f aca="false">IF(Hipótesis!$D$94&lt;=2,BJ92,MIN(BJ92,MAX(0,Hipótesis!$D$101*Hipótesis!$D$93-BI94)))</f>
        <v>0</v>
      </c>
      <c r="BK93" s="138" t="n">
        <f aca="false">IF(Hipótesis!$D$94&lt;=2,BK92,MIN(BK92,MAX(0,Hipótesis!$D$101*Hipótesis!$D$93-BJ94)))</f>
        <v>0</v>
      </c>
      <c r="BL93" s="138" t="n">
        <f aca="false">IF(Hipótesis!$D$94&lt;=2,BL92,MIN(BL92,MAX(0,Hipótesis!$D$101*Hipótesis!$D$93-BK94)))</f>
        <v>0</v>
      </c>
      <c r="BM93" s="138" t="n">
        <f aca="false">IF(Hipótesis!$D$94&lt;=2,BM92,MIN(BM92,MAX(0,Hipótesis!$D$101*Hipótesis!$D$93-BL94)))</f>
        <v>0</v>
      </c>
      <c r="BN93" s="138" t="n">
        <f aca="false">IF(Hipótesis!$D$94&lt;=2,BN92,MIN(BN92,MAX(0,Hipótesis!$D$101*Hipótesis!$D$93-BM94)))</f>
        <v>0</v>
      </c>
      <c r="BO93" s="138" t="n">
        <f aca="false">IF(Hipótesis!$D$94&lt;=2,BO92,MIN(BO92,MAX(0,Hipótesis!$D$101*Hipótesis!$D$93-BN94)))</f>
        <v>0</v>
      </c>
      <c r="BP93" s="138" t="n">
        <f aca="false">IF(Hipótesis!$D$94&lt;=2,BP92,MIN(BP92,MAX(0,Hipótesis!$D$101*Hipótesis!$D$93-BO94)))</f>
        <v>0</v>
      </c>
      <c r="BQ93" s="138" t="n">
        <f aca="false">IF(Hipótesis!$D$94&lt;=2,BQ92,MIN(BQ92,MAX(0,Hipótesis!$D$101*Hipótesis!$D$93-BP94)))</f>
        <v>0</v>
      </c>
      <c r="BR93" s="138" t="n">
        <f aca="false">IF(Hipótesis!$D$94&lt;=2,BR92,MIN(BR92,MAX(0,Hipótesis!$D$101*Hipótesis!$D$93-BQ94)))</f>
        <v>0</v>
      </c>
      <c r="BS93" s="138" t="n">
        <f aca="false">IF(Hipótesis!$D$94&lt;=2,BS92,MIN(BS92,MAX(0,Hipótesis!$D$101*Hipótesis!$D$93-BR94)))</f>
        <v>0</v>
      </c>
      <c r="BT93" s="138" t="n">
        <f aca="false">IF(Hipótesis!$D$94&lt;=2,BT92,MIN(BT92,MAX(0,Hipótesis!$D$101*Hipótesis!$D$93-BS94)))</f>
        <v>0</v>
      </c>
      <c r="BU93" s="138" t="n">
        <f aca="false">IF(Hipótesis!$D$94&lt;=2,BU92,MIN(BU92,MAX(0,Hipótesis!$D$101*Hipótesis!$D$93-BT94)))</f>
        <v>0</v>
      </c>
      <c r="BV93" s="138" t="n">
        <f aca="false">IF(Hipótesis!$D$94&lt;=2,BV92,MIN(BV92,MAX(0,Hipótesis!$D$101*Hipótesis!$D$93-BU94)))</f>
        <v>0</v>
      </c>
      <c r="BW93" s="138" t="n">
        <f aca="false">IF(Hipótesis!$D$94&lt;=2,BW92,MIN(BW92,MAX(0,Hipótesis!$D$101*Hipótesis!$D$93-BV94)))</f>
        <v>0</v>
      </c>
      <c r="BX93" s="138" t="n">
        <f aca="false">IF(Hipótesis!$D$94&lt;=2,BX92,MIN(BX92,MAX(0,Hipótesis!$D$101*Hipótesis!$D$93-BW94)))</f>
        <v>0</v>
      </c>
      <c r="BY93" s="138" t="n">
        <f aca="false">IF(Hipótesis!$D$94&lt;=2,BY92,MIN(BY92,MAX(0,Hipótesis!$D$101*Hipótesis!$D$93-BX94)))</f>
        <v>0</v>
      </c>
      <c r="BZ93" s="138" t="n">
        <f aca="false">IF(Hipótesis!$D$94&lt;=2,BZ92,MIN(BZ92,MAX(0,Hipótesis!$D$101*Hipótesis!$D$93-BY94)))</f>
        <v>0</v>
      </c>
      <c r="CA93" s="138" t="n">
        <f aca="false">IF(Hipótesis!$D$94&lt;=2,CA92,MIN(CA92,MAX(0,Hipótesis!$D$101*Hipótesis!$D$93-BZ94)))</f>
        <v>0</v>
      </c>
      <c r="CB93" s="138" t="n">
        <f aca="false">IF(Hipótesis!$D$94&lt;=2,CB92,MIN(CB92,MAX(0,Hipótesis!$D$101*Hipótesis!$D$93-CA94)))</f>
        <v>0</v>
      </c>
      <c r="CC93" s="138" t="n">
        <f aca="false">IF(Hipótesis!$D$94&lt;=2,CC92,MIN(CC92,MAX(0,Hipótesis!$D$101*Hipótesis!$D$93-CB94)))</f>
        <v>0</v>
      </c>
      <c r="CD93" s="138" t="n">
        <f aca="false">IF(Hipótesis!$D$94&lt;=2,CD92,MIN(CD92,MAX(0,Hipótesis!$D$101*Hipótesis!$D$93-CC94)))</f>
        <v>0</v>
      </c>
      <c r="CE93" s="138" t="n">
        <f aca="false">IF(Hipótesis!$D$94&lt;=2,CE92,MIN(CE92,MAX(0,Hipótesis!$D$101*Hipótesis!$D$93-CD94)))</f>
        <v>0</v>
      </c>
      <c r="CF93" s="138" t="n">
        <f aca="false">IF(Hipótesis!$D$94&lt;=2,CF92,MIN(CF92,MAX(0,Hipótesis!$D$101*Hipótesis!$D$93-CE94)))</f>
        <v>0</v>
      </c>
      <c r="CG93" s="138" t="n">
        <f aca="false">IF(Hipótesis!$D$94&lt;=2,CG92,MIN(CG92,MAX(0,Hipótesis!$D$101*Hipótesis!$D$93-CF94)))</f>
        <v>0</v>
      </c>
      <c r="CH93" s="138" t="n">
        <f aca="false">IF(Hipótesis!$D$94&lt;=2,CH92,MIN(CH92,MAX(0,Hipótesis!$D$101*Hipótesis!$D$93-CG94)))</f>
        <v>0</v>
      </c>
    </row>
    <row r="94" customFormat="false" ht="13.5" hidden="false" customHeight="true" outlineLevel="0" collapsed="false">
      <c r="A94" s="13" t="s">
        <v>771</v>
      </c>
      <c r="C94" s="138" t="n">
        <f aca="false">C121</f>
        <v>0</v>
      </c>
      <c r="D94" s="138" t="n">
        <f aca="false">C94+D121</f>
        <v>0</v>
      </c>
      <c r="E94" s="138" t="n">
        <f aca="false">D94+E121</f>
        <v>0</v>
      </c>
      <c r="F94" s="138" t="n">
        <f aca="false">E94+F121</f>
        <v>0</v>
      </c>
      <c r="G94" s="138" t="n">
        <f aca="false">F94+G121</f>
        <v>0</v>
      </c>
      <c r="H94" s="138" t="n">
        <f aca="false">G94+H121</f>
        <v>0</v>
      </c>
      <c r="I94" s="138" t="n">
        <f aca="false">H94+I121</f>
        <v>0</v>
      </c>
      <c r="J94" s="138" t="n">
        <f aca="false">I94+J121</f>
        <v>0</v>
      </c>
      <c r="K94" s="138" t="n">
        <f aca="false">J94+K121</f>
        <v>0</v>
      </c>
      <c r="L94" s="138" t="n">
        <f aca="false">K94+L121</f>
        <v>0</v>
      </c>
      <c r="M94" s="138" t="n">
        <f aca="false">L94+M121</f>
        <v>0</v>
      </c>
      <c r="N94" s="138" t="n">
        <f aca="false">M94+N121</f>
        <v>0</v>
      </c>
      <c r="O94" s="138" t="n">
        <f aca="false">N94+O121</f>
        <v>0</v>
      </c>
      <c r="P94" s="138" t="n">
        <f aca="false">O94+P121</f>
        <v>0</v>
      </c>
      <c r="Q94" s="138" t="n">
        <f aca="false">P94+Q121</f>
        <v>0</v>
      </c>
      <c r="R94" s="138" t="n">
        <f aca="false">Q94+R121</f>
        <v>0</v>
      </c>
      <c r="S94" s="138" t="n">
        <f aca="false">R94+S121</f>
        <v>0</v>
      </c>
      <c r="T94" s="138" t="n">
        <f aca="false">S94+T121</f>
        <v>0</v>
      </c>
      <c r="U94" s="138" t="n">
        <f aca="false">T94+U121</f>
        <v>0</v>
      </c>
      <c r="V94" s="138" t="n">
        <f aca="false">U94+V121</f>
        <v>0</v>
      </c>
      <c r="W94" s="138" t="n">
        <f aca="false">V94+W121</f>
        <v>0</v>
      </c>
      <c r="X94" s="138" t="n">
        <f aca="false">W94+X121</f>
        <v>0</v>
      </c>
      <c r="Y94" s="138" t="n">
        <f aca="false">X94+Y121</f>
        <v>0</v>
      </c>
      <c r="Z94" s="138" t="n">
        <f aca="false">Y94+Z121</f>
        <v>0</v>
      </c>
      <c r="AA94" s="138" t="n">
        <f aca="false">Z94+AA121</f>
        <v>0</v>
      </c>
      <c r="AB94" s="138" t="n">
        <f aca="false">AA94+AB121</f>
        <v>0</v>
      </c>
      <c r="AC94" s="138" t="n">
        <f aca="false">AB94+AC121</f>
        <v>0</v>
      </c>
      <c r="AD94" s="138" t="n">
        <f aca="false">AC94+AD121</f>
        <v>0</v>
      </c>
      <c r="AE94" s="138" t="n">
        <f aca="false">AD94+AE121</f>
        <v>0</v>
      </c>
      <c r="AF94" s="138" t="n">
        <f aca="false">AE94+AF121</f>
        <v>0</v>
      </c>
      <c r="AG94" s="138" t="n">
        <f aca="false">AF94+AG121</f>
        <v>0</v>
      </c>
      <c r="AH94" s="138" t="n">
        <f aca="false">AG94+AH121</f>
        <v>0</v>
      </c>
      <c r="AI94" s="138" t="n">
        <f aca="false">AH94+AI121</f>
        <v>0</v>
      </c>
      <c r="AJ94" s="138" t="n">
        <f aca="false">AI94+AJ121</f>
        <v>0</v>
      </c>
      <c r="AK94" s="138" t="n">
        <f aca="false">AJ94+AK121</f>
        <v>0</v>
      </c>
      <c r="AL94" s="138" t="n">
        <f aca="false">AK94+AL121</f>
        <v>0</v>
      </c>
      <c r="AM94" s="138" t="n">
        <f aca="false">AL94+AM121</f>
        <v>0</v>
      </c>
      <c r="AN94" s="138" t="n">
        <f aca="false">AM94+AN121</f>
        <v>0</v>
      </c>
      <c r="AO94" s="138" t="n">
        <f aca="false">AN94+AO121</f>
        <v>0</v>
      </c>
      <c r="AP94" s="138" t="n">
        <f aca="false">AO94+AP121</f>
        <v>0</v>
      </c>
      <c r="AQ94" s="138" t="n">
        <f aca="false">AP94+AQ121</f>
        <v>0</v>
      </c>
      <c r="AR94" s="138" t="n">
        <f aca="false">AQ94+AR121</f>
        <v>0</v>
      </c>
      <c r="AS94" s="138" t="n">
        <f aca="false">AR94+AS121</f>
        <v>0</v>
      </c>
      <c r="AT94" s="138" t="n">
        <f aca="false">AS94+AT121</f>
        <v>0</v>
      </c>
      <c r="AU94" s="138" t="n">
        <f aca="false">AT94+AU121</f>
        <v>0</v>
      </c>
      <c r="AV94" s="138" t="n">
        <f aca="false">AU94+AV121</f>
        <v>0</v>
      </c>
      <c r="AW94" s="138" t="n">
        <f aca="false">AV94+AW121</f>
        <v>0</v>
      </c>
      <c r="AX94" s="138" t="n">
        <f aca="false">AW94+AX121</f>
        <v>515985.514958843</v>
      </c>
      <c r="AY94" s="138" t="n">
        <f aca="false">AX94+AY121</f>
        <v>515985.514958843</v>
      </c>
      <c r="AZ94" s="138" t="n">
        <f aca="false">AY94+AZ121</f>
        <v>515985.514958843</v>
      </c>
      <c r="BA94" s="138" t="n">
        <f aca="false">AZ94+BA121</f>
        <v>515985.514958843</v>
      </c>
      <c r="BB94" s="138" t="n">
        <f aca="false">BA94+BB121</f>
        <v>515985.514958843</v>
      </c>
      <c r="BC94" s="138" t="n">
        <f aca="false">BB94+BC121</f>
        <v>515985.514958843</v>
      </c>
      <c r="BD94" s="138" t="n">
        <f aca="false">BC94+BD121</f>
        <v>515985.514958843</v>
      </c>
      <c r="BE94" s="138" t="n">
        <f aca="false">BD94+BE121</f>
        <v>515985.514958843</v>
      </c>
      <c r="BF94" s="138" t="n">
        <f aca="false">BE94+BF121</f>
        <v>515985.514958843</v>
      </c>
      <c r="BG94" s="138" t="n">
        <f aca="false">BF94+BG121</f>
        <v>515985.514958843</v>
      </c>
      <c r="BH94" s="138" t="n">
        <f aca="false">BG94+BH121</f>
        <v>515985.514958843</v>
      </c>
      <c r="BI94" s="138" t="n">
        <f aca="false">BH94+BI121</f>
        <v>515985.514958843</v>
      </c>
      <c r="BJ94" s="138" t="n">
        <f aca="false">BI94+BJ121</f>
        <v>515985.514958843</v>
      </c>
      <c r="BK94" s="138" t="n">
        <f aca="false">BJ94+BK121</f>
        <v>515985.514958843</v>
      </c>
      <c r="BL94" s="138" t="n">
        <f aca="false">BK94+BL121</f>
        <v>515985.514958843</v>
      </c>
      <c r="BM94" s="138" t="n">
        <f aca="false">BL94+BM121</f>
        <v>515985.514958843</v>
      </c>
      <c r="BN94" s="138" t="n">
        <f aca="false">BM94+BN121</f>
        <v>515985.514958843</v>
      </c>
      <c r="BO94" s="138" t="n">
        <f aca="false">BN94+BO121</f>
        <v>515985.514958843</v>
      </c>
      <c r="BP94" s="138" t="n">
        <f aca="false">BO94+BP121</f>
        <v>515985.514958843</v>
      </c>
      <c r="BQ94" s="138" t="n">
        <f aca="false">BP94+BQ121</f>
        <v>515985.514958843</v>
      </c>
      <c r="BR94" s="138" t="n">
        <f aca="false">BQ94+BR121</f>
        <v>515985.514958843</v>
      </c>
      <c r="BS94" s="138" t="n">
        <f aca="false">BR94+BS121</f>
        <v>515985.514958843</v>
      </c>
      <c r="BT94" s="138" t="n">
        <f aca="false">BS94+BT121</f>
        <v>515985.514958843</v>
      </c>
      <c r="BU94" s="138" t="n">
        <f aca="false">BT94+BU121</f>
        <v>515985.514958843</v>
      </c>
      <c r="BV94" s="138" t="n">
        <f aca="false">BU94+BV121</f>
        <v>515985.514958843</v>
      </c>
      <c r="BW94" s="138" t="n">
        <f aca="false">BV94+BW121</f>
        <v>515985.514958843</v>
      </c>
      <c r="BX94" s="138" t="n">
        <f aca="false">BW94+BX121</f>
        <v>515985.514958843</v>
      </c>
      <c r="BY94" s="138" t="n">
        <f aca="false">BX94+BY121</f>
        <v>515985.514958843</v>
      </c>
      <c r="BZ94" s="138" t="n">
        <f aca="false">BY94+BZ121</f>
        <v>515985.514958843</v>
      </c>
      <c r="CA94" s="138" t="n">
        <f aca="false">BZ94+CA121</f>
        <v>515985.514958843</v>
      </c>
      <c r="CB94" s="138" t="n">
        <f aca="false">CA94+CB121</f>
        <v>515985.514958843</v>
      </c>
      <c r="CC94" s="138" t="n">
        <f aca="false">CB94+CC121</f>
        <v>515985.514958843</v>
      </c>
      <c r="CD94" s="138" t="n">
        <f aca="false">CC94+CD121</f>
        <v>515985.514958843</v>
      </c>
      <c r="CE94" s="138" t="n">
        <f aca="false">CD94+CE121</f>
        <v>515985.514958843</v>
      </c>
      <c r="CF94" s="138" t="n">
        <f aca="false">CE94+CF121</f>
        <v>515985.514958843</v>
      </c>
      <c r="CG94" s="138" t="n">
        <f aca="false">CF94+CG121</f>
        <v>515985.514958843</v>
      </c>
      <c r="CH94" s="138" t="n">
        <f aca="false">CG94+CH121</f>
        <v>515985.514958843</v>
      </c>
    </row>
    <row r="95" customFormat="false" ht="13.5" hidden="false" customHeight="true" outlineLevel="0" collapsed="false"/>
    <row r="96" customFormat="false" ht="13.5" hidden="false" customHeight="true" outlineLevel="0" collapsed="false">
      <c r="A96" s="13" t="s">
        <v>772</v>
      </c>
      <c r="C96" s="138" t="n">
        <f aca="false">Hipótesis!$D$105</f>
        <v>100000</v>
      </c>
      <c r="D96" s="138" t="n">
        <f aca="false">C96-C97</f>
        <v>100000</v>
      </c>
      <c r="E96" s="138" t="n">
        <f aca="false">D96-D97</f>
        <v>100000</v>
      </c>
      <c r="F96" s="138" t="n">
        <f aca="false">E96-E97</f>
        <v>100000</v>
      </c>
      <c r="G96" s="138" t="n">
        <f aca="false">F96-F97</f>
        <v>100000</v>
      </c>
      <c r="H96" s="138" t="n">
        <f aca="false">G96-G97</f>
        <v>100000</v>
      </c>
      <c r="I96" s="138" t="n">
        <f aca="false">H96-H97</f>
        <v>100000</v>
      </c>
      <c r="J96" s="138" t="n">
        <f aca="false">I96-I97</f>
        <v>100000</v>
      </c>
      <c r="K96" s="138" t="n">
        <f aca="false">J96-J97</f>
        <v>100000</v>
      </c>
      <c r="L96" s="138" t="n">
        <f aca="false">K96-K97</f>
        <v>100000</v>
      </c>
      <c r="M96" s="138" t="n">
        <f aca="false">L96-L97</f>
        <v>100000</v>
      </c>
      <c r="N96" s="138" t="n">
        <f aca="false">M96-M97</f>
        <v>100000</v>
      </c>
      <c r="O96" s="138" t="n">
        <f aca="false">N96-N97</f>
        <v>100000</v>
      </c>
      <c r="P96" s="138" t="n">
        <f aca="false">O96-O97</f>
        <v>100000</v>
      </c>
      <c r="Q96" s="138" t="n">
        <f aca="false">P96-P97</f>
        <v>100000</v>
      </c>
      <c r="R96" s="138" t="n">
        <f aca="false">Q96-Q97</f>
        <v>100000</v>
      </c>
      <c r="S96" s="138" t="n">
        <f aca="false">R96-R97</f>
        <v>100000</v>
      </c>
      <c r="T96" s="138" t="n">
        <f aca="false">S96-S97</f>
        <v>100000</v>
      </c>
      <c r="U96" s="138" t="n">
        <f aca="false">T96-T97</f>
        <v>100000</v>
      </c>
      <c r="V96" s="138" t="n">
        <f aca="false">U96-U97</f>
        <v>100000</v>
      </c>
      <c r="W96" s="138" t="n">
        <f aca="false">V96-V97</f>
        <v>100000</v>
      </c>
      <c r="X96" s="138" t="n">
        <f aca="false">W96-W97</f>
        <v>100000</v>
      </c>
      <c r="Y96" s="138" t="n">
        <f aca="false">X96-X97</f>
        <v>100000</v>
      </c>
      <c r="Z96" s="138" t="n">
        <f aca="false">Y96-Y97</f>
        <v>100000</v>
      </c>
      <c r="AA96" s="138" t="n">
        <f aca="false">Z96-Z97</f>
        <v>100000</v>
      </c>
      <c r="AB96" s="138" t="n">
        <f aca="false">AA96-AA97</f>
        <v>98333.3333333333</v>
      </c>
      <c r="AC96" s="138" t="n">
        <f aca="false">AB96-AB97</f>
        <v>96666.6666666667</v>
      </c>
      <c r="AD96" s="138" t="n">
        <f aca="false">AC96-AC97</f>
        <v>95000</v>
      </c>
      <c r="AE96" s="138" t="n">
        <f aca="false">AD96-AD97</f>
        <v>93333.3333333333</v>
      </c>
      <c r="AF96" s="138" t="n">
        <f aca="false">AE96-AE97</f>
        <v>91666.6666666666</v>
      </c>
      <c r="AG96" s="138" t="n">
        <f aca="false">AF96-AF97</f>
        <v>90000</v>
      </c>
      <c r="AH96" s="138" t="n">
        <f aca="false">AG96-AG97</f>
        <v>88333.3333333333</v>
      </c>
      <c r="AI96" s="138" t="n">
        <f aca="false">AH96-AH97</f>
        <v>86666.6666666666</v>
      </c>
      <c r="AJ96" s="138" t="n">
        <f aca="false">AI96-AI97</f>
        <v>85000</v>
      </c>
      <c r="AK96" s="138" t="n">
        <f aca="false">AJ96-AJ97</f>
        <v>83333.3333333333</v>
      </c>
      <c r="AL96" s="138" t="n">
        <f aca="false">AK96-AK97</f>
        <v>81666.6666666666</v>
      </c>
      <c r="AM96" s="138" t="n">
        <f aca="false">AL96-AL97</f>
        <v>79999.9999999999</v>
      </c>
      <c r="AN96" s="138" t="n">
        <f aca="false">AM96-AM97</f>
        <v>78333.3333333333</v>
      </c>
      <c r="AO96" s="138" t="n">
        <f aca="false">AN96-AN97</f>
        <v>76666.6666666666</v>
      </c>
      <c r="AP96" s="138" t="n">
        <f aca="false">AO96-AO97</f>
        <v>74999.9999999999</v>
      </c>
      <c r="AQ96" s="138" t="n">
        <f aca="false">AP96-AP97</f>
        <v>73333.3333333333</v>
      </c>
      <c r="AR96" s="138" t="n">
        <f aca="false">AQ96-AQ97</f>
        <v>71666.6666666666</v>
      </c>
      <c r="AS96" s="138" t="n">
        <f aca="false">AR96-AR97</f>
        <v>69999.9999999999</v>
      </c>
      <c r="AT96" s="138" t="n">
        <f aca="false">AS96-AS97</f>
        <v>68333.3333333332</v>
      </c>
      <c r="AU96" s="138" t="n">
        <f aca="false">AT96-AT97</f>
        <v>66666.6666666666</v>
      </c>
      <c r="AV96" s="138" t="n">
        <f aca="false">AU96-AU97</f>
        <v>64999.9999999999</v>
      </c>
      <c r="AW96" s="138" t="n">
        <f aca="false">AV96-AV97</f>
        <v>63333.3333333332</v>
      </c>
      <c r="AX96" s="138" t="n">
        <f aca="false">AW96-AW97</f>
        <v>61666.6666666666</v>
      </c>
      <c r="AY96" s="138" t="n">
        <f aca="false">AX96-AX97</f>
        <v>59999.9999999999</v>
      </c>
      <c r="AZ96" s="138" t="n">
        <f aca="false">AY96-AY97</f>
        <v>58333.3333333333</v>
      </c>
      <c r="BA96" s="138" t="n">
        <f aca="false">AZ96-AZ97</f>
        <v>56666.6666666666</v>
      </c>
      <c r="BB96" s="138" t="n">
        <f aca="false">BA96-BA97</f>
        <v>54999.9999999999</v>
      </c>
      <c r="BC96" s="138" t="n">
        <f aca="false">BB96-BB97</f>
        <v>53333.3333333333</v>
      </c>
      <c r="BD96" s="138" t="n">
        <f aca="false">BC96-BC97</f>
        <v>51666.6666666666</v>
      </c>
      <c r="BE96" s="138" t="n">
        <f aca="false">BD96-BD97</f>
        <v>49999.9999999999</v>
      </c>
      <c r="BF96" s="138" t="n">
        <f aca="false">BE96-BE97</f>
        <v>48333.3333333333</v>
      </c>
      <c r="BG96" s="138" t="n">
        <f aca="false">BF96-BF97</f>
        <v>46666.6666666666</v>
      </c>
      <c r="BH96" s="138" t="n">
        <f aca="false">BG96-BG97</f>
        <v>44999.9999999999</v>
      </c>
      <c r="BI96" s="138" t="n">
        <f aca="false">BH96-BH97</f>
        <v>43333.3333333333</v>
      </c>
      <c r="BJ96" s="138" t="n">
        <f aca="false">BI96-BI97</f>
        <v>41666.6666666666</v>
      </c>
      <c r="BK96" s="138" t="n">
        <f aca="false">BJ96-BJ97</f>
        <v>39999.9999999999</v>
      </c>
      <c r="BL96" s="138" t="n">
        <f aca="false">BK96-BK97</f>
        <v>38333.3333333333</v>
      </c>
      <c r="BM96" s="138" t="n">
        <f aca="false">BL96-BL97</f>
        <v>36666.6666666666</v>
      </c>
      <c r="BN96" s="138" t="n">
        <f aca="false">BM96-BM97</f>
        <v>35000</v>
      </c>
      <c r="BO96" s="138" t="n">
        <f aca="false">BN96-BN97</f>
        <v>33333.3333333333</v>
      </c>
      <c r="BP96" s="138" t="n">
        <f aca="false">BO96-BO97</f>
        <v>31666.6666666666</v>
      </c>
      <c r="BQ96" s="138" t="n">
        <f aca="false">BP96-BP97</f>
        <v>30000</v>
      </c>
      <c r="BR96" s="138" t="n">
        <f aca="false">BQ96-BQ97</f>
        <v>28333.3333333333</v>
      </c>
      <c r="BS96" s="138" t="n">
        <f aca="false">BR96-BR97</f>
        <v>26666.6666666666</v>
      </c>
      <c r="BT96" s="138" t="n">
        <f aca="false">BS96-BS97</f>
        <v>24999.9999999999</v>
      </c>
      <c r="BU96" s="138" t="n">
        <f aca="false">BT96-BT97</f>
        <v>23333.3333333333</v>
      </c>
      <c r="BV96" s="138" t="n">
        <f aca="false">BU96-BU97</f>
        <v>21666.6666666666</v>
      </c>
      <c r="BW96" s="138" t="n">
        <f aca="false">BV96-BV97</f>
        <v>19999.9999999999</v>
      </c>
      <c r="BX96" s="138" t="n">
        <f aca="false">BW96-BW97</f>
        <v>18333.3333333333</v>
      </c>
      <c r="BY96" s="138" t="n">
        <f aca="false">BX96-BX97</f>
        <v>16666.6666666666</v>
      </c>
      <c r="BZ96" s="138" t="n">
        <f aca="false">BY96-BY97</f>
        <v>14999.9999999999</v>
      </c>
      <c r="CA96" s="138" t="n">
        <f aca="false">BZ96-BZ97</f>
        <v>13333.3333333333</v>
      </c>
      <c r="CB96" s="138" t="n">
        <f aca="false">CA96-CA97</f>
        <v>11666.6666666666</v>
      </c>
      <c r="CC96" s="138" t="n">
        <f aca="false">CB96-CB97</f>
        <v>9999.99999999994</v>
      </c>
      <c r="CD96" s="138" t="n">
        <f aca="false">CC96-CC97</f>
        <v>8333.33333333328</v>
      </c>
      <c r="CE96" s="138" t="n">
        <f aca="false">CD96-CD97</f>
        <v>6666.66666666661</v>
      </c>
      <c r="CF96" s="138" t="n">
        <f aca="false">CE96-CE97</f>
        <v>4999.99999999994</v>
      </c>
      <c r="CG96" s="138" t="n">
        <f aca="false">CF96-CF97</f>
        <v>3333.33333333328</v>
      </c>
      <c r="CH96" s="138" t="n">
        <f aca="false">CG96-CG97</f>
        <v>1666.66666666661</v>
      </c>
    </row>
    <row r="97" customFormat="false" ht="13.5" hidden="false" customHeight="true" outlineLevel="0" collapsed="false">
      <c r="A97" s="13" t="s">
        <v>773</v>
      </c>
      <c r="C97" s="138" t="n">
        <f aca="false">IF(1&lt;=Hipótesis!$D$109,0,IF(C96&gt;0,MIN(C96,Hipótesis!$D$105/MAX(Hipótesis!$D$108-Hipótesis!$D$109,1)),0))</f>
        <v>0</v>
      </c>
      <c r="D97" s="138" t="n">
        <f aca="false">IF(2&lt;=Hipótesis!$D$109,0,IF(D96&gt;0,MIN(D96,Hipótesis!$D$105/MAX(Hipótesis!$D$108-Hipótesis!$D$109,1)),0))</f>
        <v>0</v>
      </c>
      <c r="E97" s="138" t="n">
        <f aca="false">IF(3&lt;=Hipótesis!$D$109,0,IF(E96&gt;0,MIN(E96,Hipótesis!$D$105/MAX(Hipótesis!$D$108-Hipótesis!$D$109,1)),0))</f>
        <v>0</v>
      </c>
      <c r="F97" s="138" t="n">
        <f aca="false">IF(4&lt;=Hipótesis!$D$109,0,IF(F96&gt;0,MIN(F96,Hipótesis!$D$105/MAX(Hipótesis!$D$108-Hipótesis!$D$109,1)),0))</f>
        <v>0</v>
      </c>
      <c r="G97" s="138" t="n">
        <f aca="false">IF(5&lt;=Hipótesis!$D$109,0,IF(G96&gt;0,MIN(G96,Hipótesis!$D$105/MAX(Hipótesis!$D$108-Hipótesis!$D$109,1)),0))</f>
        <v>0</v>
      </c>
      <c r="H97" s="138" t="n">
        <f aca="false">IF(6&lt;=Hipótesis!$D$109,0,IF(H96&gt;0,MIN(H96,Hipótesis!$D$105/MAX(Hipótesis!$D$108-Hipótesis!$D$109,1)),0))</f>
        <v>0</v>
      </c>
      <c r="I97" s="138" t="n">
        <f aca="false">IF(7&lt;=Hipótesis!$D$109,0,IF(I96&gt;0,MIN(I96,Hipótesis!$D$105/MAX(Hipótesis!$D$108-Hipótesis!$D$109,1)),0))</f>
        <v>0</v>
      </c>
      <c r="J97" s="138" t="n">
        <f aca="false">IF(8&lt;=Hipótesis!$D$109,0,IF(J96&gt;0,MIN(J96,Hipótesis!$D$105/MAX(Hipótesis!$D$108-Hipótesis!$D$109,1)),0))</f>
        <v>0</v>
      </c>
      <c r="K97" s="138" t="n">
        <f aca="false">IF(9&lt;=Hipótesis!$D$109,0,IF(K96&gt;0,MIN(K96,Hipótesis!$D$105/MAX(Hipótesis!$D$108-Hipótesis!$D$109,1)),0))</f>
        <v>0</v>
      </c>
      <c r="L97" s="138" t="n">
        <f aca="false">IF(10&lt;=Hipótesis!$D$109,0,IF(L96&gt;0,MIN(L96,Hipótesis!$D$105/MAX(Hipótesis!$D$108-Hipótesis!$D$109,1)),0))</f>
        <v>0</v>
      </c>
      <c r="M97" s="138" t="n">
        <f aca="false">IF(11&lt;=Hipótesis!$D$109,0,IF(M96&gt;0,MIN(M96,Hipótesis!$D$105/MAX(Hipótesis!$D$108-Hipótesis!$D$109,1)),0))</f>
        <v>0</v>
      </c>
      <c r="N97" s="138" t="n">
        <f aca="false">IF(12&lt;=Hipótesis!$D$109,0,IF(N96&gt;0,MIN(N96,Hipótesis!$D$105/MAX(Hipótesis!$D$108-Hipótesis!$D$109,1)),0))</f>
        <v>0</v>
      </c>
      <c r="O97" s="138" t="n">
        <f aca="false">IF(13&lt;=Hipótesis!$D$109,0,IF(O96&gt;0,MIN(O96,Hipótesis!$D$105/MAX(Hipótesis!$D$108-Hipótesis!$D$109,1)),0))</f>
        <v>0</v>
      </c>
      <c r="P97" s="138" t="n">
        <f aca="false">IF(14&lt;=Hipótesis!$D$109,0,IF(P96&gt;0,MIN(P96,Hipótesis!$D$105/MAX(Hipótesis!$D$108-Hipótesis!$D$109,1)),0))</f>
        <v>0</v>
      </c>
      <c r="Q97" s="138" t="n">
        <f aca="false">IF(15&lt;=Hipótesis!$D$109,0,IF(Q96&gt;0,MIN(Q96,Hipótesis!$D$105/MAX(Hipótesis!$D$108-Hipótesis!$D$109,1)),0))</f>
        <v>0</v>
      </c>
      <c r="R97" s="138" t="n">
        <f aca="false">IF(16&lt;=Hipótesis!$D$109,0,IF(R96&gt;0,MIN(R96,Hipótesis!$D$105/MAX(Hipótesis!$D$108-Hipótesis!$D$109,1)),0))</f>
        <v>0</v>
      </c>
      <c r="S97" s="138" t="n">
        <f aca="false">IF(17&lt;=Hipótesis!$D$109,0,IF(S96&gt;0,MIN(S96,Hipótesis!$D$105/MAX(Hipótesis!$D$108-Hipótesis!$D$109,1)),0))</f>
        <v>0</v>
      </c>
      <c r="T97" s="138" t="n">
        <f aca="false">IF(18&lt;=Hipótesis!$D$109,0,IF(T96&gt;0,MIN(T96,Hipótesis!$D$105/MAX(Hipótesis!$D$108-Hipótesis!$D$109,1)),0))</f>
        <v>0</v>
      </c>
      <c r="U97" s="138" t="n">
        <f aca="false">IF(19&lt;=Hipótesis!$D$109,0,IF(U96&gt;0,MIN(U96,Hipótesis!$D$105/MAX(Hipótesis!$D$108-Hipótesis!$D$109,1)),0))</f>
        <v>0</v>
      </c>
      <c r="V97" s="138" t="n">
        <f aca="false">IF(20&lt;=Hipótesis!$D$109,0,IF(V96&gt;0,MIN(V96,Hipótesis!$D$105/MAX(Hipótesis!$D$108-Hipótesis!$D$109,1)),0))</f>
        <v>0</v>
      </c>
      <c r="W97" s="138" t="n">
        <f aca="false">IF(21&lt;=Hipótesis!$D$109,0,IF(W96&gt;0,MIN(W96,Hipótesis!$D$105/MAX(Hipótesis!$D$108-Hipótesis!$D$109,1)),0))</f>
        <v>0</v>
      </c>
      <c r="X97" s="138" t="n">
        <f aca="false">IF(22&lt;=Hipótesis!$D$109,0,IF(X96&gt;0,MIN(X96,Hipótesis!$D$105/MAX(Hipótesis!$D$108-Hipótesis!$D$109,1)),0))</f>
        <v>0</v>
      </c>
      <c r="Y97" s="138" t="n">
        <f aca="false">IF(23&lt;=Hipótesis!$D$109,0,IF(Y96&gt;0,MIN(Y96,Hipótesis!$D$105/MAX(Hipótesis!$D$108-Hipótesis!$D$109,1)),0))</f>
        <v>0</v>
      </c>
      <c r="Z97" s="138" t="n">
        <f aca="false">IF(24&lt;=Hipótesis!$D$109,0,IF(Z96&gt;0,MIN(Z96,Hipótesis!$D$105/MAX(Hipótesis!$D$108-Hipótesis!$D$109,1)),0))</f>
        <v>0</v>
      </c>
      <c r="AA97" s="138" t="n">
        <f aca="false">IF(25&lt;=Hipótesis!$D$109,0,IF(AA96&gt;0,MIN(AA96,Hipótesis!$D$105/MAX(Hipótesis!$D$108-Hipótesis!$D$109,1)),0))</f>
        <v>1666.66666666667</v>
      </c>
      <c r="AB97" s="138" t="n">
        <f aca="false">IF(26&lt;=Hipótesis!$D$109,0,IF(AB96&gt;0,MIN(AB96,Hipótesis!$D$105/MAX(Hipótesis!$D$108-Hipótesis!$D$109,1)),0))</f>
        <v>1666.66666666667</v>
      </c>
      <c r="AC97" s="138" t="n">
        <f aca="false">IF(27&lt;=Hipótesis!$D$109,0,IF(AC96&gt;0,MIN(AC96,Hipótesis!$D$105/MAX(Hipótesis!$D$108-Hipótesis!$D$109,1)),0))</f>
        <v>1666.66666666667</v>
      </c>
      <c r="AD97" s="138" t="n">
        <f aca="false">IF(28&lt;=Hipótesis!$D$109,0,IF(AD96&gt;0,MIN(AD96,Hipótesis!$D$105/MAX(Hipótesis!$D$108-Hipótesis!$D$109,1)),0))</f>
        <v>1666.66666666667</v>
      </c>
      <c r="AE97" s="138" t="n">
        <f aca="false">IF(29&lt;=Hipótesis!$D$109,0,IF(AE96&gt;0,MIN(AE96,Hipótesis!$D$105/MAX(Hipótesis!$D$108-Hipótesis!$D$109,1)),0))</f>
        <v>1666.66666666667</v>
      </c>
      <c r="AF97" s="138" t="n">
        <f aca="false">IF(30&lt;=Hipótesis!$D$109,0,IF(AF96&gt;0,MIN(AF96,Hipótesis!$D$105/MAX(Hipótesis!$D$108-Hipótesis!$D$109,1)),0))</f>
        <v>1666.66666666667</v>
      </c>
      <c r="AG97" s="138" t="n">
        <f aca="false">IF(31&lt;=Hipótesis!$D$109,0,IF(AG96&gt;0,MIN(AG96,Hipótesis!$D$105/MAX(Hipótesis!$D$108-Hipótesis!$D$109,1)),0))</f>
        <v>1666.66666666667</v>
      </c>
      <c r="AH97" s="138" t="n">
        <f aca="false">IF(32&lt;=Hipótesis!$D$109,0,IF(AH96&gt;0,MIN(AH96,Hipótesis!$D$105/MAX(Hipótesis!$D$108-Hipótesis!$D$109,1)),0))</f>
        <v>1666.66666666667</v>
      </c>
      <c r="AI97" s="138" t="n">
        <f aca="false">IF(33&lt;=Hipótesis!$D$109,0,IF(AI96&gt;0,MIN(AI96,Hipótesis!$D$105/MAX(Hipótesis!$D$108-Hipótesis!$D$109,1)),0))</f>
        <v>1666.66666666667</v>
      </c>
      <c r="AJ97" s="138" t="n">
        <f aca="false">IF(34&lt;=Hipótesis!$D$109,0,IF(AJ96&gt;0,MIN(AJ96,Hipótesis!$D$105/MAX(Hipótesis!$D$108-Hipótesis!$D$109,1)),0))</f>
        <v>1666.66666666667</v>
      </c>
      <c r="AK97" s="138" t="n">
        <f aca="false">IF(35&lt;=Hipótesis!$D$109,0,IF(AK96&gt;0,MIN(AK96,Hipótesis!$D$105/MAX(Hipótesis!$D$108-Hipótesis!$D$109,1)),0))</f>
        <v>1666.66666666667</v>
      </c>
      <c r="AL97" s="138" t="n">
        <f aca="false">IF(36&lt;=Hipótesis!$D$109,0,IF(AL96&gt;0,MIN(AL96,Hipótesis!$D$105/MAX(Hipótesis!$D$108-Hipótesis!$D$109,1)),0))</f>
        <v>1666.66666666667</v>
      </c>
      <c r="AM97" s="138" t="n">
        <f aca="false">IF(37&lt;=Hipótesis!$D$109,0,IF(AM96&gt;0,MIN(AM96,Hipótesis!$D$105/MAX(Hipótesis!$D$108-Hipótesis!$D$109,1)),0))</f>
        <v>1666.66666666667</v>
      </c>
      <c r="AN97" s="138" t="n">
        <f aca="false">IF(38&lt;=Hipótesis!$D$109,0,IF(AN96&gt;0,MIN(AN96,Hipótesis!$D$105/MAX(Hipótesis!$D$108-Hipótesis!$D$109,1)),0))</f>
        <v>1666.66666666667</v>
      </c>
      <c r="AO97" s="138" t="n">
        <f aca="false">IF(39&lt;=Hipótesis!$D$109,0,IF(AO96&gt;0,MIN(AO96,Hipótesis!$D$105/MAX(Hipótesis!$D$108-Hipótesis!$D$109,1)),0))</f>
        <v>1666.66666666667</v>
      </c>
      <c r="AP97" s="138" t="n">
        <f aca="false">IF(40&lt;=Hipótesis!$D$109,0,IF(AP96&gt;0,MIN(AP96,Hipótesis!$D$105/MAX(Hipótesis!$D$108-Hipótesis!$D$109,1)),0))</f>
        <v>1666.66666666667</v>
      </c>
      <c r="AQ97" s="138" t="n">
        <f aca="false">IF(41&lt;=Hipótesis!$D$109,0,IF(AQ96&gt;0,MIN(AQ96,Hipótesis!$D$105/MAX(Hipótesis!$D$108-Hipótesis!$D$109,1)),0))</f>
        <v>1666.66666666667</v>
      </c>
      <c r="AR97" s="138" t="n">
        <f aca="false">IF(42&lt;=Hipótesis!$D$109,0,IF(AR96&gt;0,MIN(AR96,Hipótesis!$D$105/MAX(Hipótesis!$D$108-Hipótesis!$D$109,1)),0))</f>
        <v>1666.66666666667</v>
      </c>
      <c r="AS97" s="138" t="n">
        <f aca="false">IF(43&lt;=Hipótesis!$D$109,0,IF(AS96&gt;0,MIN(AS96,Hipótesis!$D$105/MAX(Hipótesis!$D$108-Hipótesis!$D$109,1)),0))</f>
        <v>1666.66666666667</v>
      </c>
      <c r="AT97" s="138" t="n">
        <f aca="false">IF(44&lt;=Hipótesis!$D$109,0,IF(AT96&gt;0,MIN(AT96,Hipótesis!$D$105/MAX(Hipótesis!$D$108-Hipótesis!$D$109,1)),0))</f>
        <v>1666.66666666667</v>
      </c>
      <c r="AU97" s="138" t="n">
        <f aca="false">IF(45&lt;=Hipótesis!$D$109,0,IF(AU96&gt;0,MIN(AU96,Hipótesis!$D$105/MAX(Hipótesis!$D$108-Hipótesis!$D$109,1)),0))</f>
        <v>1666.66666666667</v>
      </c>
      <c r="AV97" s="138" t="n">
        <f aca="false">IF(46&lt;=Hipótesis!$D$109,0,IF(AV96&gt;0,MIN(AV96,Hipótesis!$D$105/MAX(Hipótesis!$D$108-Hipótesis!$D$109,1)),0))</f>
        <v>1666.66666666667</v>
      </c>
      <c r="AW97" s="138" t="n">
        <f aca="false">IF(47&lt;=Hipótesis!$D$109,0,IF(AW96&gt;0,MIN(AW96,Hipótesis!$D$105/MAX(Hipótesis!$D$108-Hipótesis!$D$109,1)),0))</f>
        <v>1666.66666666667</v>
      </c>
      <c r="AX97" s="138" t="n">
        <f aca="false">IF(48&lt;=Hipótesis!$D$109,0,IF(AX96&gt;0,MIN(AX96,Hipótesis!$D$105/MAX(Hipótesis!$D$108-Hipótesis!$D$109,1)),0))</f>
        <v>1666.66666666667</v>
      </c>
      <c r="AY97" s="138" t="n">
        <f aca="false">IF(49&lt;=Hipótesis!$D$109,0,IF(AY96&gt;0,MIN(AY96,Hipótesis!$D$105/MAX(Hipótesis!$D$108-Hipótesis!$D$109,1)),0))</f>
        <v>1666.66666666667</v>
      </c>
      <c r="AZ97" s="138" t="n">
        <f aca="false">IF(50&lt;=Hipótesis!$D$109,0,IF(AZ96&gt;0,MIN(AZ96,Hipótesis!$D$105/MAX(Hipótesis!$D$108-Hipótesis!$D$109,1)),0))</f>
        <v>1666.66666666667</v>
      </c>
      <c r="BA97" s="138" t="n">
        <f aca="false">IF(51&lt;=Hipótesis!$D$109,0,IF(BA96&gt;0,MIN(BA96,Hipótesis!$D$105/MAX(Hipótesis!$D$108-Hipótesis!$D$109,1)),0))</f>
        <v>1666.66666666667</v>
      </c>
      <c r="BB97" s="138" t="n">
        <f aca="false">IF(52&lt;=Hipótesis!$D$109,0,IF(BB96&gt;0,MIN(BB96,Hipótesis!$D$105/MAX(Hipótesis!$D$108-Hipótesis!$D$109,1)),0))</f>
        <v>1666.66666666667</v>
      </c>
      <c r="BC97" s="138" t="n">
        <f aca="false">IF(53&lt;=Hipótesis!$D$109,0,IF(BC96&gt;0,MIN(BC96,Hipótesis!$D$105/MAX(Hipótesis!$D$108-Hipótesis!$D$109,1)),0))</f>
        <v>1666.66666666667</v>
      </c>
      <c r="BD97" s="138" t="n">
        <f aca="false">IF(54&lt;=Hipótesis!$D$109,0,IF(BD96&gt;0,MIN(BD96,Hipótesis!$D$105/MAX(Hipótesis!$D$108-Hipótesis!$D$109,1)),0))</f>
        <v>1666.66666666667</v>
      </c>
      <c r="BE97" s="138" t="n">
        <f aca="false">IF(55&lt;=Hipótesis!$D$109,0,IF(BE96&gt;0,MIN(BE96,Hipótesis!$D$105/MAX(Hipótesis!$D$108-Hipótesis!$D$109,1)),0))</f>
        <v>1666.66666666667</v>
      </c>
      <c r="BF97" s="138" t="n">
        <f aca="false">IF(56&lt;=Hipótesis!$D$109,0,IF(BF96&gt;0,MIN(BF96,Hipótesis!$D$105/MAX(Hipótesis!$D$108-Hipótesis!$D$109,1)),0))</f>
        <v>1666.66666666667</v>
      </c>
      <c r="BG97" s="138" t="n">
        <f aca="false">IF(57&lt;=Hipótesis!$D$109,0,IF(BG96&gt;0,MIN(BG96,Hipótesis!$D$105/MAX(Hipótesis!$D$108-Hipótesis!$D$109,1)),0))</f>
        <v>1666.66666666667</v>
      </c>
      <c r="BH97" s="138" t="n">
        <f aca="false">IF(58&lt;=Hipótesis!$D$109,0,IF(BH96&gt;0,MIN(BH96,Hipótesis!$D$105/MAX(Hipótesis!$D$108-Hipótesis!$D$109,1)),0))</f>
        <v>1666.66666666667</v>
      </c>
      <c r="BI97" s="138" t="n">
        <f aca="false">IF(59&lt;=Hipótesis!$D$109,0,IF(BI96&gt;0,MIN(BI96,Hipótesis!$D$105/MAX(Hipótesis!$D$108-Hipótesis!$D$109,1)),0))</f>
        <v>1666.66666666667</v>
      </c>
      <c r="BJ97" s="138" t="n">
        <f aca="false">IF(60&lt;=Hipótesis!$D$109,0,IF(BJ96&gt;0,MIN(BJ96,Hipótesis!$D$105/MAX(Hipótesis!$D$108-Hipótesis!$D$109,1)),0))</f>
        <v>1666.66666666667</v>
      </c>
      <c r="BK97" s="138" t="n">
        <f aca="false">IF(61&lt;=Hipótesis!$D$109,0,IF(BK96&gt;0,MIN(BK96,Hipótesis!$D$105/MAX(Hipótesis!$D$108-Hipótesis!$D$109,1)),0))</f>
        <v>1666.66666666667</v>
      </c>
      <c r="BL97" s="138" t="n">
        <f aca="false">IF(62&lt;=Hipótesis!$D$109,0,IF(BL96&gt;0,MIN(BL96,Hipótesis!$D$105/MAX(Hipótesis!$D$108-Hipótesis!$D$109,1)),0))</f>
        <v>1666.66666666667</v>
      </c>
      <c r="BM97" s="138" t="n">
        <f aca="false">IF(63&lt;=Hipótesis!$D$109,0,IF(BM96&gt;0,MIN(BM96,Hipótesis!$D$105/MAX(Hipótesis!$D$108-Hipótesis!$D$109,1)),0))</f>
        <v>1666.66666666667</v>
      </c>
      <c r="BN97" s="138" t="n">
        <f aca="false">IF(64&lt;=Hipótesis!$D$109,0,IF(BN96&gt;0,MIN(BN96,Hipótesis!$D$105/MAX(Hipótesis!$D$108-Hipótesis!$D$109,1)),0))</f>
        <v>1666.66666666667</v>
      </c>
      <c r="BO97" s="138" t="n">
        <f aca="false">IF(65&lt;=Hipótesis!$D$109,0,IF(BO96&gt;0,MIN(BO96,Hipótesis!$D$105/MAX(Hipótesis!$D$108-Hipótesis!$D$109,1)),0))</f>
        <v>1666.66666666667</v>
      </c>
      <c r="BP97" s="138" t="n">
        <f aca="false">IF(66&lt;=Hipótesis!$D$109,0,IF(BP96&gt;0,MIN(BP96,Hipótesis!$D$105/MAX(Hipótesis!$D$108-Hipótesis!$D$109,1)),0))</f>
        <v>1666.66666666667</v>
      </c>
      <c r="BQ97" s="138" t="n">
        <f aca="false">IF(67&lt;=Hipótesis!$D$109,0,IF(BQ96&gt;0,MIN(BQ96,Hipótesis!$D$105/MAX(Hipótesis!$D$108-Hipótesis!$D$109,1)),0))</f>
        <v>1666.66666666667</v>
      </c>
      <c r="BR97" s="138" t="n">
        <f aca="false">IF(68&lt;=Hipótesis!$D$109,0,IF(BR96&gt;0,MIN(BR96,Hipótesis!$D$105/MAX(Hipótesis!$D$108-Hipótesis!$D$109,1)),0))</f>
        <v>1666.66666666667</v>
      </c>
      <c r="BS97" s="138" t="n">
        <f aca="false">IF(69&lt;=Hipótesis!$D$109,0,IF(BS96&gt;0,MIN(BS96,Hipótesis!$D$105/MAX(Hipótesis!$D$108-Hipótesis!$D$109,1)),0))</f>
        <v>1666.66666666667</v>
      </c>
      <c r="BT97" s="138" t="n">
        <f aca="false">IF(70&lt;=Hipótesis!$D$109,0,IF(BT96&gt;0,MIN(BT96,Hipótesis!$D$105/MAX(Hipótesis!$D$108-Hipótesis!$D$109,1)),0))</f>
        <v>1666.66666666667</v>
      </c>
      <c r="BU97" s="138" t="n">
        <f aca="false">IF(71&lt;=Hipótesis!$D$109,0,IF(BU96&gt;0,MIN(BU96,Hipótesis!$D$105/MAX(Hipótesis!$D$108-Hipótesis!$D$109,1)),0))</f>
        <v>1666.66666666667</v>
      </c>
      <c r="BV97" s="138" t="n">
        <f aca="false">IF(72&lt;=Hipótesis!$D$109,0,IF(BV96&gt;0,MIN(BV96,Hipótesis!$D$105/MAX(Hipótesis!$D$108-Hipótesis!$D$109,1)),0))</f>
        <v>1666.66666666667</v>
      </c>
      <c r="BW97" s="138" t="n">
        <f aca="false">IF(73&lt;=Hipótesis!$D$109,0,IF(BW96&gt;0,MIN(BW96,Hipótesis!$D$105/MAX(Hipótesis!$D$108-Hipótesis!$D$109,1)),0))</f>
        <v>1666.66666666667</v>
      </c>
      <c r="BX97" s="138" t="n">
        <f aca="false">IF(74&lt;=Hipótesis!$D$109,0,IF(BX96&gt;0,MIN(BX96,Hipótesis!$D$105/MAX(Hipótesis!$D$108-Hipótesis!$D$109,1)),0))</f>
        <v>1666.66666666667</v>
      </c>
      <c r="BY97" s="138" t="n">
        <f aca="false">IF(75&lt;=Hipótesis!$D$109,0,IF(BY96&gt;0,MIN(BY96,Hipótesis!$D$105/MAX(Hipótesis!$D$108-Hipótesis!$D$109,1)),0))</f>
        <v>1666.66666666667</v>
      </c>
      <c r="BZ97" s="138" t="n">
        <f aca="false">IF(76&lt;=Hipótesis!$D$109,0,IF(BZ96&gt;0,MIN(BZ96,Hipótesis!$D$105/MAX(Hipótesis!$D$108-Hipótesis!$D$109,1)),0))</f>
        <v>1666.66666666667</v>
      </c>
      <c r="CA97" s="138" t="n">
        <f aca="false">IF(77&lt;=Hipótesis!$D$109,0,IF(CA96&gt;0,MIN(CA96,Hipótesis!$D$105/MAX(Hipótesis!$D$108-Hipótesis!$D$109,1)),0))</f>
        <v>1666.66666666667</v>
      </c>
      <c r="CB97" s="138" t="n">
        <f aca="false">IF(78&lt;=Hipótesis!$D$109,0,IF(CB96&gt;0,MIN(CB96,Hipótesis!$D$105/MAX(Hipótesis!$D$108-Hipótesis!$D$109,1)),0))</f>
        <v>1666.66666666667</v>
      </c>
      <c r="CC97" s="138" t="n">
        <f aca="false">IF(79&lt;=Hipótesis!$D$109,0,IF(CC96&gt;0,MIN(CC96,Hipótesis!$D$105/MAX(Hipótesis!$D$108-Hipótesis!$D$109,1)),0))</f>
        <v>1666.66666666667</v>
      </c>
      <c r="CD97" s="138" t="n">
        <f aca="false">IF(80&lt;=Hipótesis!$D$109,0,IF(CD96&gt;0,MIN(CD96,Hipótesis!$D$105/MAX(Hipótesis!$D$108-Hipótesis!$D$109,1)),0))</f>
        <v>1666.66666666667</v>
      </c>
      <c r="CE97" s="138" t="n">
        <f aca="false">IF(81&lt;=Hipótesis!$D$109,0,IF(CE96&gt;0,MIN(CE96,Hipótesis!$D$105/MAX(Hipótesis!$D$108-Hipótesis!$D$109,1)),0))</f>
        <v>1666.66666666667</v>
      </c>
      <c r="CF97" s="138" t="n">
        <f aca="false">IF(82&lt;=Hipótesis!$D$109,0,IF(CF96&gt;0,MIN(CF96,Hipótesis!$D$105/MAX(Hipótesis!$D$108-Hipótesis!$D$109,1)),0))</f>
        <v>1666.66666666667</v>
      </c>
      <c r="CG97" s="138" t="n">
        <f aca="false">IF(83&lt;=Hipótesis!$D$109,0,IF(CG96&gt;0,MIN(CG96,Hipótesis!$D$105/MAX(Hipótesis!$D$108-Hipótesis!$D$109,1)),0))</f>
        <v>1666.66666666667</v>
      </c>
      <c r="CH97" s="138" t="n">
        <f aca="false">IF(84&lt;=Hipótesis!$D$109,0,IF(CH96&gt;0,MIN(CH96,Hipótesis!$D$105/MAX(Hipótesis!$D$108-Hipótesis!$D$109,1)),0))</f>
        <v>1666.66666666661</v>
      </c>
    </row>
    <row r="98" customFormat="false" ht="13.5" hidden="false" customHeight="true" outlineLevel="0" collapsed="false">
      <c r="A98" s="13" t="s">
        <v>774</v>
      </c>
      <c r="C98" s="138" t="n">
        <f aca="false">C96*Hipótesis!$D$106/12+IF(C96&gt;0,Hipótesis!$D$107*MAX(0,C56),0)</f>
        <v>333.333333333333</v>
      </c>
      <c r="D98" s="138" t="n">
        <f aca="false">D96*Hipótesis!$D$106/12+IF(D96&gt;0,Hipótesis!$D$107*MAX(0,D56),0)</f>
        <v>333.333333333333</v>
      </c>
      <c r="E98" s="138" t="n">
        <f aca="false">E96*Hipótesis!$D$106/12+IF(E96&gt;0,Hipótesis!$D$107*MAX(0,E56),0)</f>
        <v>333.333333333333</v>
      </c>
      <c r="F98" s="138" t="n">
        <f aca="false">F96*Hipótesis!$D$106/12+IF(F96&gt;0,Hipótesis!$D$107*MAX(0,F56),0)</f>
        <v>333.333333333333</v>
      </c>
      <c r="G98" s="138" t="n">
        <f aca="false">G96*Hipótesis!$D$106/12+IF(G96&gt;0,Hipótesis!$D$107*MAX(0,G56),0)</f>
        <v>333.333333333333</v>
      </c>
      <c r="H98" s="138" t="n">
        <f aca="false">H96*Hipótesis!$D$106/12+IF(H96&gt;0,Hipótesis!$D$107*MAX(0,H56),0)</f>
        <v>333.333333333333</v>
      </c>
      <c r="I98" s="138" t="n">
        <f aca="false">I96*Hipótesis!$D$106/12+IF(I96&gt;0,Hipótesis!$D$107*MAX(0,I56),0)</f>
        <v>333.333333333333</v>
      </c>
      <c r="J98" s="138" t="n">
        <f aca="false">J96*Hipótesis!$D$106/12+IF(J96&gt;0,Hipótesis!$D$107*MAX(0,J56),0)</f>
        <v>354.201084663088</v>
      </c>
      <c r="K98" s="138" t="n">
        <f aca="false">K96*Hipótesis!$D$106/12+IF(K96&gt;0,Hipótesis!$D$107*MAX(0,K56),0)</f>
        <v>429.929317539693</v>
      </c>
      <c r="L98" s="138" t="n">
        <f aca="false">L96*Hipótesis!$D$106/12+IF(L96&gt;0,Hipótesis!$D$107*MAX(0,L56),0)</f>
        <v>505.657550416297</v>
      </c>
      <c r="M98" s="138" t="n">
        <f aca="false">M96*Hipótesis!$D$106/12+IF(M96&gt;0,Hipótesis!$D$107*MAX(0,M56),0)</f>
        <v>564.652581933376</v>
      </c>
      <c r="N98" s="138" t="n">
        <f aca="false">N96*Hipótesis!$D$106/12+IF(N96&gt;0,Hipótesis!$D$107*MAX(0,N56),0)</f>
        <v>635.596042136151</v>
      </c>
      <c r="O98" s="138" t="n">
        <f aca="false">O96*Hipótesis!$D$106/12+IF(O96&gt;0,Hipótesis!$D$107*MAX(0,O56),0)</f>
        <v>601.995502338927</v>
      </c>
      <c r="P98" s="138" t="n">
        <f aca="false">P96*Hipótesis!$D$106/12+IF(P96&gt;0,Hipótesis!$D$107*MAX(0,P56),0)</f>
        <v>622.000120544564</v>
      </c>
      <c r="Q98" s="138" t="n">
        <f aca="false">Q96*Hipótesis!$D$106/12+IF(Q96&gt;0,Hipótesis!$D$107*MAX(0,Q56),0)</f>
        <v>688.231138750202</v>
      </c>
      <c r="R98" s="138" t="n">
        <f aca="false">R96*Hipótesis!$D$106/12+IF(R96&gt;0,Hipótesis!$D$107*MAX(0,R56),0)</f>
        <v>754.462156955839</v>
      </c>
      <c r="S98" s="138" t="n">
        <f aca="false">S96*Hipótesis!$D$106/12+IF(S96&gt;0,Hipótesis!$D$107*MAX(0,S56),0)</f>
        <v>535.580454436972</v>
      </c>
      <c r="T98" s="138" t="n">
        <f aca="false">T96*Hipótesis!$D$106/12+IF(T96&gt;0,Hipótesis!$D$107*MAX(0,T56),0)</f>
        <v>886.924193367114</v>
      </c>
      <c r="U98" s="138" t="n">
        <f aca="false">U96*Hipótesis!$D$106/12+IF(U96&gt;0,Hipótesis!$D$107*MAX(0,U56),0)</f>
        <v>906.928811572752</v>
      </c>
      <c r="V98" s="138" t="n">
        <f aca="false">V96*Hipótesis!$D$106/12+IF(V96&gt;0,Hipótesis!$D$107*MAX(0,V56),0)</f>
        <v>918.775829778389</v>
      </c>
      <c r="W98" s="138" t="n">
        <f aca="false">W96*Hipótesis!$D$106/12+IF(W96&gt;0,Hipótesis!$D$107*MAX(0,W56),0)</f>
        <v>985.006847984027</v>
      </c>
      <c r="X98" s="138" t="n">
        <f aca="false">X96*Hipótesis!$D$106/12+IF(X96&gt;0,Hipótesis!$D$107*MAX(0,X56),0)</f>
        <v>1039.28943750397</v>
      </c>
      <c r="Y98" s="138" t="n">
        <f aca="false">Y96*Hipótesis!$D$106/12+IF(Y96&gt;0,Hipótesis!$D$107*MAX(0,Y56),0)</f>
        <v>1093.57202702391</v>
      </c>
      <c r="Z98" s="138" t="n">
        <f aca="false">Z96*Hipótesis!$D$106/12+IF(Z96&gt;0,Hipótesis!$D$107*MAX(0,Z56),0)</f>
        <v>1143.54504506957</v>
      </c>
      <c r="AA98" s="138" t="n">
        <f aca="false">AA96*Hipótesis!$D$106/12+IF(AA96&gt;0,Hipótesis!$D$107*MAX(0,AA56),0)</f>
        <v>1137.90307493351</v>
      </c>
      <c r="AB98" s="138" t="n">
        <f aca="false">AB96*Hipótesis!$D$106/12+IF(AB96&gt;0,Hipótesis!$D$107*MAX(0,AB56),0)</f>
        <v>1120.68847497353</v>
      </c>
      <c r="AC98" s="138" t="n">
        <f aca="false">AC96*Hipótesis!$D$106/12+IF(AC96&gt;0,Hipótesis!$D$107*MAX(0,AC56),0)</f>
        <v>1151.08706701354</v>
      </c>
      <c r="AD98" s="138" t="n">
        <f aca="false">AD96*Hipótesis!$D$106/12+IF(AD96&gt;0,Hipótesis!$D$107*MAX(0,AD56),0)</f>
        <v>1181.48565905356</v>
      </c>
      <c r="AE98" s="138" t="n">
        <f aca="false">AE96*Hipótesis!$D$106/12+IF(AE96&gt;0,Hipótesis!$D$107*MAX(0,AE56),0)</f>
        <v>815.960410070747</v>
      </c>
      <c r="AF98" s="138" t="n">
        <f aca="false">AF96*Hipótesis!$D$106/12+IF(AF96&gt;0,Hipótesis!$D$107*MAX(0,AF56),0)</f>
        <v>1242.28284313359</v>
      </c>
      <c r="AG98" s="138" t="n">
        <f aca="false">AG96*Hipótesis!$D$106/12+IF(AG96&gt;0,Hipótesis!$D$107*MAX(0,AG56),0)</f>
        <v>1272.68143517361</v>
      </c>
      <c r="AH98" s="138" t="n">
        <f aca="false">AH96*Hipótesis!$D$106/12+IF(AH96&gt;0,Hipótesis!$D$107*MAX(0,AH56),0)</f>
        <v>1303.08002721363</v>
      </c>
      <c r="AI98" s="138" t="n">
        <f aca="false">AI96*Hipótesis!$D$106/12+IF(AI96&gt;0,Hipótesis!$D$107*MAX(0,AI56),0)</f>
        <v>1333.47861925364</v>
      </c>
      <c r="AJ98" s="138" t="n">
        <f aca="false">AJ96*Hipótesis!$D$106/12+IF(AJ96&gt;0,Hipótesis!$D$107*MAX(0,AJ56),0)</f>
        <v>1363.87721129366</v>
      </c>
      <c r="AK98" s="138" t="n">
        <f aca="false">AK96*Hipótesis!$D$106/12+IF(AK96&gt;0,Hipótesis!$D$107*MAX(0,AK56),0)</f>
        <v>1394.27580333368</v>
      </c>
      <c r="AL98" s="138" t="n">
        <f aca="false">AL96*Hipótesis!$D$106/12+IF(AL96&gt;0,Hipótesis!$D$107*MAX(0,AL56),0)</f>
        <v>1377.06120337369</v>
      </c>
      <c r="AM98" s="138" t="n">
        <f aca="false">AM96*Hipótesis!$D$106/12+IF(AM96&gt;0,Hipótesis!$D$107*MAX(0,AM56),0)</f>
        <v>1358.78528117371</v>
      </c>
      <c r="AN98" s="138" t="n">
        <f aca="false">AN96*Hipótesis!$D$106/12+IF(AN96&gt;0,Hipótesis!$D$107*MAX(0,AN56),0)</f>
        <v>1389.18387321372</v>
      </c>
      <c r="AO98" s="138" t="n">
        <f aca="false">AO96*Hipótesis!$D$106/12+IF(AO96&gt;0,Hipótesis!$D$107*MAX(0,AO56),0)</f>
        <v>1419.58246525374</v>
      </c>
      <c r="AP98" s="138" t="n">
        <f aca="false">AP96*Hipótesis!$D$106/12+IF(AP96&gt;0,Hipótesis!$D$107*MAX(0,AP56),0)</f>
        <v>1449.98105729376</v>
      </c>
      <c r="AQ98" s="138" t="n">
        <f aca="false">AQ96*Hipótesis!$D$106/12+IF(AQ96&gt;0,Hipótesis!$D$107*MAX(0,AQ56),0)</f>
        <v>1084.45580831094</v>
      </c>
      <c r="AR98" s="138" t="n">
        <f aca="false">AR96*Hipótesis!$D$106/12+IF(AR96&gt;0,Hipótesis!$D$107*MAX(0,AR56),0)</f>
        <v>1510.77824137379</v>
      </c>
      <c r="AS98" s="138" t="n">
        <f aca="false">AS96*Hipótesis!$D$106/12+IF(AS96&gt;0,Hipótesis!$D$107*MAX(0,AS56),0)</f>
        <v>1505.22268581823</v>
      </c>
      <c r="AT98" s="138" t="n">
        <f aca="false">AT96*Hipótesis!$D$106/12+IF(AT96&gt;0,Hipótesis!$D$107*MAX(0,AT56),0)</f>
        <v>1499.66713026268</v>
      </c>
      <c r="AU98" s="138" t="n">
        <f aca="false">AU96*Hipótesis!$D$106/12+IF(AU96&gt;0,Hipótesis!$D$107*MAX(0,AU56),0)</f>
        <v>1494.11157470712</v>
      </c>
      <c r="AV98" s="138" t="n">
        <f aca="false">AV96*Hipótesis!$D$106/12+IF(AV96&gt;0,Hipótesis!$D$107*MAX(0,AV56),0)</f>
        <v>1488.55601915157</v>
      </c>
      <c r="AW98" s="138" t="n">
        <f aca="false">AW96*Hipótesis!$D$106/12+IF(AW96&gt;0,Hipótesis!$D$107*MAX(0,AW56),0)</f>
        <v>1483.00046359601</v>
      </c>
      <c r="AX98" s="138" t="n">
        <f aca="false">AX96*Hipótesis!$D$106/12+IF(AX96&gt;0,Hipótesis!$D$107*MAX(0,AX56),0)</f>
        <v>1477.44490804046</v>
      </c>
      <c r="AY98" s="138" t="n">
        <f aca="false">AY96*Hipótesis!$D$106/12+IF(AY96&gt;0,Hipótesis!$D$107*MAX(0,AY56),0)</f>
        <v>1422.9426028177</v>
      </c>
      <c r="AZ98" s="138" t="n">
        <f aca="false">AZ96*Hipótesis!$D$106/12+IF(AZ96&gt;0,Hipótesis!$D$107*MAX(0,AZ56),0)</f>
        <v>1417.38704726215</v>
      </c>
      <c r="BA98" s="138" t="n">
        <f aca="false">BA96*Hipótesis!$D$106/12+IF(BA96&gt;0,Hipótesis!$D$107*MAX(0,BA56),0)</f>
        <v>1411.83149170659</v>
      </c>
      <c r="BB98" s="138" t="n">
        <f aca="false">BB96*Hipótesis!$D$106/12+IF(BB96&gt;0,Hipótesis!$D$107*MAX(0,BB56),0)</f>
        <v>1406.27593615103</v>
      </c>
      <c r="BC98" s="138" t="n">
        <f aca="false">BC96*Hipótesis!$D$106/12+IF(BC96&gt;0,Hipótesis!$D$107*MAX(0,BC56),0)</f>
        <v>1004.79653957265</v>
      </c>
      <c r="BD98" s="138" t="n">
        <f aca="false">BD96*Hipótesis!$D$106/12+IF(BD96&gt;0,Hipótesis!$D$107*MAX(0,BD56),0)</f>
        <v>1395.16482503992</v>
      </c>
      <c r="BE98" s="138" t="n">
        <f aca="false">BE96*Hipótesis!$D$106/12+IF(BE96&gt;0,Hipótesis!$D$107*MAX(0,BE56),0)</f>
        <v>1389.60926948437</v>
      </c>
      <c r="BF98" s="138" t="n">
        <f aca="false">BF96*Hipótesis!$D$106/12+IF(BF96&gt;0,Hipótesis!$D$107*MAX(0,BF56),0)</f>
        <v>1384.05371392881</v>
      </c>
      <c r="BG98" s="138" t="n">
        <f aca="false">BG96*Hipótesis!$D$106/12+IF(BG96&gt;0,Hipótesis!$D$107*MAX(0,BG56),0)</f>
        <v>1378.49815837326</v>
      </c>
      <c r="BH98" s="138" t="n">
        <f aca="false">BH96*Hipótesis!$D$106/12+IF(BH96&gt;0,Hipótesis!$D$107*MAX(0,BH56),0)</f>
        <v>1372.9426028177</v>
      </c>
      <c r="BI98" s="138" t="n">
        <f aca="false">BI96*Hipótesis!$D$106/12+IF(BI96&gt;0,Hipótesis!$D$107*MAX(0,BI56),0)</f>
        <v>1367.38704726215</v>
      </c>
      <c r="BJ98" s="138" t="n">
        <f aca="false">BJ96*Hipótesis!$D$106/12+IF(BJ96&gt;0,Hipótesis!$D$107*MAX(0,BJ56),0)</f>
        <v>1361.83149170659</v>
      </c>
      <c r="BK98" s="138" t="n">
        <f aca="false">BK96*Hipótesis!$D$106/12+IF(BK96&gt;0,Hipótesis!$D$107*MAX(0,BK56),0)</f>
        <v>1307.04878399382</v>
      </c>
      <c r="BL98" s="138" t="n">
        <f aca="false">BL96*Hipótesis!$D$106/12+IF(BL96&gt;0,Hipótesis!$D$107*MAX(0,BL56),0)</f>
        <v>1301.49322843826</v>
      </c>
      <c r="BM98" s="138" t="n">
        <f aca="false">BM96*Hipótesis!$D$106/12+IF(BM96&gt;0,Hipótesis!$D$107*MAX(0,BM56),0)</f>
        <v>1295.93767288271</v>
      </c>
      <c r="BN98" s="138" t="n">
        <f aca="false">BN96*Hipótesis!$D$106/12+IF(BN96&gt;0,Hipótesis!$D$107*MAX(0,BN56),0)</f>
        <v>1290.38211732715</v>
      </c>
      <c r="BO98" s="138" t="n">
        <f aca="false">BO96*Hipótesis!$D$106/12+IF(BO96&gt;0,Hipótesis!$D$107*MAX(0,BO56),0)</f>
        <v>888.902720748766</v>
      </c>
      <c r="BP98" s="138" t="n">
        <f aca="false">BP96*Hipótesis!$D$106/12+IF(BP96&gt;0,Hipótesis!$D$107*MAX(0,BP56),0)</f>
        <v>1279.27100621604</v>
      </c>
      <c r="BQ98" s="138" t="n">
        <f aca="false">BQ96*Hipótesis!$D$106/12+IF(BQ96&gt;0,Hipótesis!$D$107*MAX(0,BQ56),0)</f>
        <v>1273.71545066049</v>
      </c>
      <c r="BR98" s="138" t="n">
        <f aca="false">BR96*Hipótesis!$D$106/12+IF(BR96&gt;0,Hipótesis!$D$107*MAX(0,BR56),0)</f>
        <v>1268.15989510493</v>
      </c>
      <c r="BS98" s="138" t="n">
        <f aca="false">BS96*Hipótesis!$D$106/12+IF(BS96&gt;0,Hipótesis!$D$107*MAX(0,BS56),0)</f>
        <v>1262.60433954937</v>
      </c>
      <c r="BT98" s="138" t="n">
        <f aca="false">BT96*Hipótesis!$D$106/12+IF(BT96&gt;0,Hipótesis!$D$107*MAX(0,BT56),0)</f>
        <v>1257.04878399382</v>
      </c>
      <c r="BU98" s="138" t="n">
        <f aca="false">BU96*Hipótesis!$D$106/12+IF(BU96&gt;0,Hipótesis!$D$107*MAX(0,BU56),0)</f>
        <v>1251.49322843826</v>
      </c>
      <c r="BV98" s="138" t="n">
        <f aca="false">BV96*Hipótesis!$D$106/12+IF(BV96&gt;0,Hipótesis!$D$107*MAX(0,BV56),0)</f>
        <v>1245.93767288271</v>
      </c>
      <c r="BW98" s="138" t="n">
        <f aca="false">BW96*Hipótesis!$D$106/12+IF(BW96&gt;0,Hipótesis!$D$107*MAX(0,BW56),0)</f>
        <v>1190.86615060522</v>
      </c>
      <c r="BX98" s="138" t="n">
        <f aca="false">BX96*Hipótesis!$D$106/12+IF(BX96&gt;0,Hipótesis!$D$107*MAX(0,BX56),0)</f>
        <v>1185.31059504966</v>
      </c>
      <c r="BY98" s="138" t="n">
        <f aca="false">BY96*Hipótesis!$D$106/12+IF(BY96&gt;0,Hipótesis!$D$107*MAX(0,BY56),0)</f>
        <v>1179.75503949411</v>
      </c>
      <c r="BZ98" s="138" t="n">
        <f aca="false">BZ96*Hipótesis!$D$106/12+IF(BZ96&gt;0,Hipótesis!$D$107*MAX(0,BZ56),0)</f>
        <v>1174.19948393855</v>
      </c>
      <c r="CA98" s="138" t="n">
        <f aca="false">CA96*Hipótesis!$D$106/12+IF(CA96&gt;0,Hipótesis!$D$107*MAX(0,CA56),0)</f>
        <v>772.720087360167</v>
      </c>
      <c r="CB98" s="138" t="n">
        <f aca="false">CB96*Hipótesis!$D$106/12+IF(CB96&gt;0,Hipótesis!$D$107*MAX(0,CB56),0)</f>
        <v>1163.08837282744</v>
      </c>
      <c r="CC98" s="138" t="n">
        <f aca="false">CC96*Hipótesis!$D$106/12+IF(CC96&gt;0,Hipótesis!$D$107*MAX(0,CC56),0)</f>
        <v>1157.53281727189</v>
      </c>
      <c r="CD98" s="138" t="n">
        <f aca="false">CD96*Hipótesis!$D$106/12+IF(CD96&gt;0,Hipótesis!$D$107*MAX(0,CD56),0)</f>
        <v>1151.97726171633</v>
      </c>
      <c r="CE98" s="138" t="n">
        <f aca="false">CE96*Hipótesis!$D$106/12+IF(CE96&gt;0,Hipótesis!$D$107*MAX(0,CE56),0)</f>
        <v>1146.42170616077</v>
      </c>
      <c r="CF98" s="138" t="n">
        <f aca="false">CF96*Hipótesis!$D$106/12+IF(CF96&gt;0,Hipótesis!$D$107*MAX(0,CF56),0)</f>
        <v>1140.86615060522</v>
      </c>
      <c r="CG98" s="138" t="n">
        <f aca="false">CG96*Hipótesis!$D$106/12+IF(CG96&gt;0,Hipótesis!$D$107*MAX(0,CG56),0)</f>
        <v>1135.31059504966</v>
      </c>
      <c r="CH98" s="138" t="n">
        <f aca="false">CH96*Hipótesis!$D$106/12+IF(CH96&gt;0,Hipótesis!$D$107*MAX(0,CH56),0)</f>
        <v>1129.75503949411</v>
      </c>
    </row>
    <row r="99" customFormat="false" ht="13.5" hidden="false" customHeight="true" outlineLevel="0" collapsed="false">
      <c r="A99" s="13" t="s">
        <v>775</v>
      </c>
      <c r="C99" s="138" t="n">
        <f aca="false">C97+C98</f>
        <v>333.333333333333</v>
      </c>
      <c r="D99" s="138" t="n">
        <f aca="false">D97+D98</f>
        <v>333.333333333333</v>
      </c>
      <c r="E99" s="138" t="n">
        <f aca="false">E97+E98</f>
        <v>333.333333333333</v>
      </c>
      <c r="F99" s="138" t="n">
        <f aca="false">F97+F98</f>
        <v>333.333333333333</v>
      </c>
      <c r="G99" s="138" t="n">
        <f aca="false">G97+G98</f>
        <v>333.333333333333</v>
      </c>
      <c r="H99" s="138" t="n">
        <f aca="false">H97+H98</f>
        <v>333.333333333333</v>
      </c>
      <c r="I99" s="138" t="n">
        <f aca="false">I97+I98</f>
        <v>333.333333333333</v>
      </c>
      <c r="J99" s="138" t="n">
        <f aca="false">J97+J98</f>
        <v>354.201084663088</v>
      </c>
      <c r="K99" s="138" t="n">
        <f aca="false">K97+K98</f>
        <v>429.929317539693</v>
      </c>
      <c r="L99" s="138" t="n">
        <f aca="false">L97+L98</f>
        <v>505.657550416297</v>
      </c>
      <c r="M99" s="138" t="n">
        <f aca="false">M97+M98</f>
        <v>564.652581933376</v>
      </c>
      <c r="N99" s="138" t="n">
        <f aca="false">N97+N98</f>
        <v>635.596042136151</v>
      </c>
      <c r="O99" s="138" t="n">
        <f aca="false">O97+O98</f>
        <v>601.995502338927</v>
      </c>
      <c r="P99" s="138" t="n">
        <f aca="false">P97+P98</f>
        <v>622.000120544564</v>
      </c>
      <c r="Q99" s="138" t="n">
        <f aca="false">Q97+Q98</f>
        <v>688.231138750202</v>
      </c>
      <c r="R99" s="138" t="n">
        <f aca="false">R97+R98</f>
        <v>754.462156955839</v>
      </c>
      <c r="S99" s="138" t="n">
        <f aca="false">S97+S98</f>
        <v>535.580454436972</v>
      </c>
      <c r="T99" s="138" t="n">
        <f aca="false">T97+T98</f>
        <v>886.924193367114</v>
      </c>
      <c r="U99" s="138" t="n">
        <f aca="false">U97+U98</f>
        <v>906.928811572752</v>
      </c>
      <c r="V99" s="138" t="n">
        <f aca="false">V97+V98</f>
        <v>918.775829778389</v>
      </c>
      <c r="W99" s="138" t="n">
        <f aca="false">W97+W98</f>
        <v>985.006847984027</v>
      </c>
      <c r="X99" s="138" t="n">
        <f aca="false">X97+X98</f>
        <v>1039.28943750397</v>
      </c>
      <c r="Y99" s="138" t="n">
        <f aca="false">Y97+Y98</f>
        <v>1093.57202702391</v>
      </c>
      <c r="Z99" s="138" t="n">
        <f aca="false">Z97+Z98</f>
        <v>1143.54504506957</v>
      </c>
      <c r="AA99" s="138" t="n">
        <f aca="false">AA97+AA98</f>
        <v>2804.56974160018</v>
      </c>
      <c r="AB99" s="138" t="n">
        <f aca="false">AB97+AB98</f>
        <v>2787.35514164019</v>
      </c>
      <c r="AC99" s="138" t="n">
        <f aca="false">AC97+AC98</f>
        <v>2817.75373368021</v>
      </c>
      <c r="AD99" s="138" t="n">
        <f aca="false">AD97+AD98</f>
        <v>2848.15232572023</v>
      </c>
      <c r="AE99" s="138" t="n">
        <f aca="false">AE97+AE98</f>
        <v>2482.62707673741</v>
      </c>
      <c r="AF99" s="138" t="n">
        <f aca="false">AF97+AF98</f>
        <v>2908.94950980026</v>
      </c>
      <c r="AG99" s="138" t="n">
        <f aca="false">AG97+AG98</f>
        <v>2939.34810184028</v>
      </c>
      <c r="AH99" s="138" t="n">
        <f aca="false">AH97+AH98</f>
        <v>2969.74669388029</v>
      </c>
      <c r="AI99" s="138" t="n">
        <f aca="false">AI97+AI98</f>
        <v>3000.14528592031</v>
      </c>
      <c r="AJ99" s="138" t="n">
        <f aca="false">AJ97+AJ98</f>
        <v>3030.54387796033</v>
      </c>
      <c r="AK99" s="138" t="n">
        <f aca="false">AK97+AK98</f>
        <v>3060.94247000034</v>
      </c>
      <c r="AL99" s="138" t="n">
        <f aca="false">AL97+AL98</f>
        <v>3043.72787004036</v>
      </c>
      <c r="AM99" s="138" t="n">
        <f aca="false">AM97+AM98</f>
        <v>3025.45194784037</v>
      </c>
      <c r="AN99" s="138" t="n">
        <f aca="false">AN97+AN98</f>
        <v>3055.85053988039</v>
      </c>
      <c r="AO99" s="138" t="n">
        <f aca="false">AO97+AO98</f>
        <v>3086.24913192041</v>
      </c>
      <c r="AP99" s="138" t="n">
        <f aca="false">AP97+AP98</f>
        <v>3116.64772396042</v>
      </c>
      <c r="AQ99" s="138" t="n">
        <f aca="false">AQ97+AQ98</f>
        <v>2751.12247497761</v>
      </c>
      <c r="AR99" s="138" t="n">
        <f aca="false">AR97+AR98</f>
        <v>3177.44490804046</v>
      </c>
      <c r="AS99" s="138" t="n">
        <f aca="false">AS97+AS98</f>
        <v>3171.8893524849</v>
      </c>
      <c r="AT99" s="138" t="n">
        <f aca="false">AT97+AT98</f>
        <v>3166.33379692935</v>
      </c>
      <c r="AU99" s="138" t="n">
        <f aca="false">AU97+AU98</f>
        <v>3160.77824137379</v>
      </c>
      <c r="AV99" s="138" t="n">
        <f aca="false">AV97+AV98</f>
        <v>3155.22268581824</v>
      </c>
      <c r="AW99" s="138" t="n">
        <f aca="false">AW97+AW98</f>
        <v>3149.66713026268</v>
      </c>
      <c r="AX99" s="138" t="n">
        <f aca="false">AX97+AX98</f>
        <v>3144.11157470712</v>
      </c>
      <c r="AY99" s="138" t="n">
        <f aca="false">AY97+AY98</f>
        <v>3089.60926948437</v>
      </c>
      <c r="AZ99" s="138" t="n">
        <f aca="false">AZ97+AZ98</f>
        <v>3084.05371392881</v>
      </c>
      <c r="BA99" s="138" t="n">
        <f aca="false">BA97+BA98</f>
        <v>3078.49815837326</v>
      </c>
      <c r="BB99" s="138" t="n">
        <f aca="false">BB97+BB98</f>
        <v>3072.9426028177</v>
      </c>
      <c r="BC99" s="138" t="n">
        <f aca="false">BC97+BC98</f>
        <v>2671.46320623932</v>
      </c>
      <c r="BD99" s="138" t="n">
        <f aca="false">BD97+BD98</f>
        <v>3061.83149170659</v>
      </c>
      <c r="BE99" s="138" t="n">
        <f aca="false">BE97+BE98</f>
        <v>3056.27593615103</v>
      </c>
      <c r="BF99" s="138" t="n">
        <f aca="false">BF97+BF98</f>
        <v>3050.72038059548</v>
      </c>
      <c r="BG99" s="138" t="n">
        <f aca="false">BG97+BG98</f>
        <v>3045.16482503992</v>
      </c>
      <c r="BH99" s="138" t="n">
        <f aca="false">BH97+BH98</f>
        <v>3039.60926948437</v>
      </c>
      <c r="BI99" s="138" t="n">
        <f aca="false">BI97+BI98</f>
        <v>3034.05371392881</v>
      </c>
      <c r="BJ99" s="138" t="n">
        <f aca="false">BJ97+BJ98</f>
        <v>3028.49815837326</v>
      </c>
      <c r="BK99" s="138" t="n">
        <f aca="false">BK97+BK98</f>
        <v>2973.71545066048</v>
      </c>
      <c r="BL99" s="138" t="n">
        <f aca="false">BL97+BL98</f>
        <v>2968.15989510493</v>
      </c>
      <c r="BM99" s="138" t="n">
        <f aca="false">BM97+BM98</f>
        <v>2962.60433954937</v>
      </c>
      <c r="BN99" s="138" t="n">
        <f aca="false">BN97+BN98</f>
        <v>2957.04878399382</v>
      </c>
      <c r="BO99" s="138" t="n">
        <f aca="false">BO97+BO98</f>
        <v>2555.56938741543</v>
      </c>
      <c r="BP99" s="138" t="n">
        <f aca="false">BP97+BP98</f>
        <v>2945.93767288271</v>
      </c>
      <c r="BQ99" s="138" t="n">
        <f aca="false">BQ97+BQ98</f>
        <v>2940.38211732715</v>
      </c>
      <c r="BR99" s="138" t="n">
        <f aca="false">BR97+BR98</f>
        <v>2934.8265617716</v>
      </c>
      <c r="BS99" s="138" t="n">
        <f aca="false">BS97+BS98</f>
        <v>2929.27100621604</v>
      </c>
      <c r="BT99" s="138" t="n">
        <f aca="false">BT97+BT98</f>
        <v>2923.71545066049</v>
      </c>
      <c r="BU99" s="138" t="n">
        <f aca="false">BU97+BU98</f>
        <v>2918.15989510493</v>
      </c>
      <c r="BV99" s="138" t="n">
        <f aca="false">BV97+BV98</f>
        <v>2912.60433954937</v>
      </c>
      <c r="BW99" s="138" t="n">
        <f aca="false">BW97+BW98</f>
        <v>2857.53281727189</v>
      </c>
      <c r="BX99" s="138" t="n">
        <f aca="false">BX97+BX98</f>
        <v>2851.97726171633</v>
      </c>
      <c r="BY99" s="138" t="n">
        <f aca="false">BY97+BY98</f>
        <v>2846.42170616078</v>
      </c>
      <c r="BZ99" s="138" t="n">
        <f aca="false">BZ97+BZ98</f>
        <v>2840.86615060522</v>
      </c>
      <c r="CA99" s="138" t="n">
        <f aca="false">CA97+CA98</f>
        <v>2439.38675402683</v>
      </c>
      <c r="CB99" s="138" t="n">
        <f aca="false">CB97+CB98</f>
        <v>2829.75503949411</v>
      </c>
      <c r="CC99" s="138" t="n">
        <f aca="false">CC97+CC98</f>
        <v>2824.19948393855</v>
      </c>
      <c r="CD99" s="138" t="n">
        <f aca="false">CD97+CD98</f>
        <v>2818.643928383</v>
      </c>
      <c r="CE99" s="138" t="n">
        <f aca="false">CE97+CE98</f>
        <v>2813.08837282744</v>
      </c>
      <c r="CF99" s="138" t="n">
        <f aca="false">CF97+CF98</f>
        <v>2807.53281727189</v>
      </c>
      <c r="CG99" s="138" t="n">
        <f aca="false">CG97+CG98</f>
        <v>2801.97726171633</v>
      </c>
      <c r="CH99" s="138" t="n">
        <f aca="false">CH97+CH98</f>
        <v>2796.42170616072</v>
      </c>
    </row>
    <row r="100" customFormat="false" ht="13.5" hidden="false" customHeight="true" outlineLevel="0" collapsed="false"/>
    <row r="101" customFormat="false" ht="13.5" hidden="false" customHeight="true" outlineLevel="0" collapsed="false">
      <c r="A101" s="13" t="s">
        <v>776</v>
      </c>
      <c r="C101" s="138" t="n">
        <f aca="false">Hipótesis!$D$113*(1-Hipótesis!$D$117)</f>
        <v>0</v>
      </c>
      <c r="D101" s="138" t="n">
        <f aca="false">C101-C102</f>
        <v>0</v>
      </c>
      <c r="E101" s="138" t="n">
        <f aca="false">D101-D102</f>
        <v>0</v>
      </c>
      <c r="F101" s="138" t="n">
        <f aca="false">E101-E102</f>
        <v>0</v>
      </c>
      <c r="G101" s="138" t="n">
        <f aca="false">F101-F102</f>
        <v>0</v>
      </c>
      <c r="H101" s="138" t="n">
        <f aca="false">G101-G102</f>
        <v>0</v>
      </c>
      <c r="I101" s="138" t="n">
        <f aca="false">H101-H102</f>
        <v>0</v>
      </c>
      <c r="J101" s="138" t="n">
        <f aca="false">I101-I102</f>
        <v>0</v>
      </c>
      <c r="K101" s="138" t="n">
        <f aca="false">J101-J102</f>
        <v>0</v>
      </c>
      <c r="L101" s="138" t="n">
        <f aca="false">K101-K102</f>
        <v>0</v>
      </c>
      <c r="M101" s="138" t="n">
        <f aca="false">L101-L102</f>
        <v>0</v>
      </c>
      <c r="N101" s="138" t="n">
        <f aca="false">M101-M102</f>
        <v>0</v>
      </c>
      <c r="O101" s="138" t="n">
        <f aca="false">N101-N102</f>
        <v>0</v>
      </c>
      <c r="P101" s="138" t="n">
        <f aca="false">O101-O102</f>
        <v>0</v>
      </c>
      <c r="Q101" s="138" t="n">
        <f aca="false">P101-P102</f>
        <v>0</v>
      </c>
      <c r="R101" s="138" t="n">
        <f aca="false">Q101-Q102</f>
        <v>0</v>
      </c>
      <c r="S101" s="138" t="n">
        <f aca="false">R101-R102</f>
        <v>0</v>
      </c>
      <c r="T101" s="138" t="n">
        <f aca="false">S101-S102</f>
        <v>0</v>
      </c>
      <c r="U101" s="138" t="n">
        <f aca="false">T101-T102</f>
        <v>0</v>
      </c>
      <c r="V101" s="138" t="n">
        <f aca="false">U101-U102</f>
        <v>0</v>
      </c>
      <c r="W101" s="138" t="n">
        <f aca="false">V101-V102</f>
        <v>0</v>
      </c>
      <c r="X101" s="138" t="n">
        <f aca="false">W101-W102</f>
        <v>0</v>
      </c>
      <c r="Y101" s="138" t="n">
        <f aca="false">X101-X102</f>
        <v>0</v>
      </c>
      <c r="Z101" s="138" t="n">
        <f aca="false">Y101-Y102</f>
        <v>0</v>
      </c>
      <c r="AA101" s="138" t="n">
        <f aca="false">Z101-Z102</f>
        <v>0</v>
      </c>
      <c r="AB101" s="138" t="n">
        <f aca="false">AA101-AA102</f>
        <v>0</v>
      </c>
      <c r="AC101" s="138" t="n">
        <f aca="false">AB101-AB102</f>
        <v>0</v>
      </c>
      <c r="AD101" s="138" t="n">
        <f aca="false">AC101-AC102</f>
        <v>0</v>
      </c>
      <c r="AE101" s="138" t="n">
        <f aca="false">AD101-AD102</f>
        <v>0</v>
      </c>
      <c r="AF101" s="138" t="n">
        <f aca="false">AE101-AE102</f>
        <v>0</v>
      </c>
      <c r="AG101" s="138" t="n">
        <f aca="false">AF101-AF102</f>
        <v>0</v>
      </c>
      <c r="AH101" s="138" t="n">
        <f aca="false">AG101-AG102</f>
        <v>0</v>
      </c>
      <c r="AI101" s="138" t="n">
        <f aca="false">AH101-AH102</f>
        <v>0</v>
      </c>
      <c r="AJ101" s="138" t="n">
        <f aca="false">AI101-AI102</f>
        <v>0</v>
      </c>
      <c r="AK101" s="138" t="n">
        <f aca="false">AJ101-AJ102</f>
        <v>0</v>
      </c>
      <c r="AL101" s="138" t="n">
        <f aca="false">AK101-AK102</f>
        <v>0</v>
      </c>
      <c r="AM101" s="138" t="n">
        <f aca="false">AL101-AL102</f>
        <v>0</v>
      </c>
      <c r="AN101" s="138" t="n">
        <f aca="false">AM101-AM102</f>
        <v>0</v>
      </c>
      <c r="AO101" s="138" t="n">
        <f aca="false">AN101-AN102</f>
        <v>0</v>
      </c>
      <c r="AP101" s="138" t="n">
        <f aca="false">AO101-AO102</f>
        <v>0</v>
      </c>
      <c r="AQ101" s="138" t="n">
        <f aca="false">AP101-AP102</f>
        <v>0</v>
      </c>
      <c r="AR101" s="138" t="n">
        <f aca="false">AQ101-AQ102</f>
        <v>0</v>
      </c>
      <c r="AS101" s="138" t="n">
        <f aca="false">AR101-AR102</f>
        <v>0</v>
      </c>
      <c r="AT101" s="138" t="n">
        <f aca="false">AS101-AS102</f>
        <v>0</v>
      </c>
      <c r="AU101" s="138" t="n">
        <f aca="false">AT101-AT102</f>
        <v>0</v>
      </c>
      <c r="AV101" s="138" t="n">
        <f aca="false">AU101-AU102</f>
        <v>0</v>
      </c>
      <c r="AW101" s="138" t="n">
        <f aca="false">AV101-AV102</f>
        <v>0</v>
      </c>
      <c r="AX101" s="138" t="n">
        <f aca="false">AW101-AW102</f>
        <v>0</v>
      </c>
      <c r="AY101" s="138" t="n">
        <f aca="false">AX101-AX102</f>
        <v>0</v>
      </c>
      <c r="AZ101" s="138" t="n">
        <f aca="false">AY101-AY102</f>
        <v>0</v>
      </c>
      <c r="BA101" s="138" t="n">
        <f aca="false">AZ101-AZ102</f>
        <v>0</v>
      </c>
      <c r="BB101" s="138" t="n">
        <f aca="false">BA101-BA102</f>
        <v>0</v>
      </c>
      <c r="BC101" s="138" t="n">
        <f aca="false">BB101-BB102</f>
        <v>0</v>
      </c>
      <c r="BD101" s="138" t="n">
        <f aca="false">BC101-BC102</f>
        <v>0</v>
      </c>
      <c r="BE101" s="138" t="n">
        <f aca="false">BD101-BD102</f>
        <v>0</v>
      </c>
      <c r="BF101" s="138" t="n">
        <f aca="false">BE101-BE102</f>
        <v>0</v>
      </c>
      <c r="BG101" s="138" t="n">
        <f aca="false">BF101-BF102</f>
        <v>0</v>
      </c>
      <c r="BH101" s="138" t="n">
        <f aca="false">BG101-BG102</f>
        <v>0</v>
      </c>
      <c r="BI101" s="138" t="n">
        <f aca="false">BH101-BH102</f>
        <v>0</v>
      </c>
      <c r="BJ101" s="138" t="n">
        <f aca="false">BI101-BI102</f>
        <v>0</v>
      </c>
      <c r="BK101" s="138" t="n">
        <f aca="false">BJ101-BJ102</f>
        <v>0</v>
      </c>
      <c r="BL101" s="138" t="n">
        <f aca="false">BK101-BK102</f>
        <v>0</v>
      </c>
      <c r="BM101" s="138" t="n">
        <f aca="false">BL101-BL102</f>
        <v>0</v>
      </c>
      <c r="BN101" s="138" t="n">
        <f aca="false">BM101-BM102</f>
        <v>0</v>
      </c>
      <c r="BO101" s="138" t="n">
        <f aca="false">BN101-BN102</f>
        <v>0</v>
      </c>
      <c r="BP101" s="138" t="n">
        <f aca="false">BO101-BO102</f>
        <v>0</v>
      </c>
      <c r="BQ101" s="138" t="n">
        <f aca="false">BP101-BP102</f>
        <v>0</v>
      </c>
      <c r="BR101" s="138" t="n">
        <f aca="false">BQ101-BQ102</f>
        <v>0</v>
      </c>
      <c r="BS101" s="138" t="n">
        <f aca="false">BR101-BR102</f>
        <v>0</v>
      </c>
      <c r="BT101" s="138" t="n">
        <f aca="false">BS101-BS102</f>
        <v>0</v>
      </c>
      <c r="BU101" s="138" t="n">
        <f aca="false">BT101-BT102</f>
        <v>0</v>
      </c>
      <c r="BV101" s="138" t="n">
        <f aca="false">BU101-BU102</f>
        <v>0</v>
      </c>
      <c r="BW101" s="138" t="n">
        <f aca="false">BV101-BV102</f>
        <v>0</v>
      </c>
      <c r="BX101" s="138" t="n">
        <f aca="false">BW101-BW102</f>
        <v>0</v>
      </c>
      <c r="BY101" s="138" t="n">
        <f aca="false">BX101-BX102</f>
        <v>0</v>
      </c>
      <c r="BZ101" s="138" t="n">
        <f aca="false">BY101-BY102</f>
        <v>0</v>
      </c>
      <c r="CA101" s="138" t="n">
        <f aca="false">BZ101-BZ102</f>
        <v>0</v>
      </c>
      <c r="CB101" s="138" t="n">
        <f aca="false">CA101-CA102</f>
        <v>0</v>
      </c>
      <c r="CC101" s="138" t="n">
        <f aca="false">CB101-CB102</f>
        <v>0</v>
      </c>
      <c r="CD101" s="138" t="n">
        <f aca="false">CC101-CC102</f>
        <v>0</v>
      </c>
      <c r="CE101" s="138" t="n">
        <f aca="false">CD101-CD102</f>
        <v>0</v>
      </c>
      <c r="CF101" s="138" t="n">
        <f aca="false">CE101-CE102</f>
        <v>0</v>
      </c>
      <c r="CG101" s="138" t="n">
        <f aca="false">CF101-CF102</f>
        <v>0</v>
      </c>
      <c r="CH101" s="138" t="n">
        <f aca="false">CG101-CG102</f>
        <v>0</v>
      </c>
    </row>
    <row r="102" customFormat="false" ht="13.5" hidden="false" customHeight="true" outlineLevel="0" collapsed="false">
      <c r="A102" s="13" t="s">
        <v>777</v>
      </c>
      <c r="C102" s="138" t="n">
        <f aca="false">IF(1&lt;=Hipótesis!$D$116,0,IF(C101&gt;0,MIN(C101,Hipótesis!$D$113*(1-Hipótesis!$D$117)/MAX(Hipótesis!$D$115-Hipótesis!$D$116,1)),0))</f>
        <v>0</v>
      </c>
      <c r="D102" s="138" t="n">
        <f aca="false">IF(2&lt;=Hipótesis!$D$116,0,IF(D101&gt;0,MIN(D101,Hipótesis!$D$113*(1-Hipótesis!$D$117)/MAX(Hipótesis!$D$115-Hipótesis!$D$116,1)),0))</f>
        <v>0</v>
      </c>
      <c r="E102" s="138" t="n">
        <f aca="false">IF(3&lt;=Hipótesis!$D$116,0,IF(E101&gt;0,MIN(E101,Hipótesis!$D$113*(1-Hipótesis!$D$117)/MAX(Hipótesis!$D$115-Hipótesis!$D$116,1)),0))</f>
        <v>0</v>
      </c>
      <c r="F102" s="138" t="n">
        <f aca="false">IF(4&lt;=Hipótesis!$D$116,0,IF(F101&gt;0,MIN(F101,Hipótesis!$D$113*(1-Hipótesis!$D$117)/MAX(Hipótesis!$D$115-Hipótesis!$D$116,1)),0))</f>
        <v>0</v>
      </c>
      <c r="G102" s="138" t="n">
        <f aca="false">IF(5&lt;=Hipótesis!$D$116,0,IF(G101&gt;0,MIN(G101,Hipótesis!$D$113*(1-Hipótesis!$D$117)/MAX(Hipótesis!$D$115-Hipótesis!$D$116,1)),0))</f>
        <v>0</v>
      </c>
      <c r="H102" s="138" t="n">
        <f aca="false">IF(6&lt;=Hipótesis!$D$116,0,IF(H101&gt;0,MIN(H101,Hipótesis!$D$113*(1-Hipótesis!$D$117)/MAX(Hipótesis!$D$115-Hipótesis!$D$116,1)),0))</f>
        <v>0</v>
      </c>
      <c r="I102" s="138" t="n">
        <f aca="false">IF(7&lt;=Hipótesis!$D$116,0,IF(I101&gt;0,MIN(I101,Hipótesis!$D$113*(1-Hipótesis!$D$117)/MAX(Hipótesis!$D$115-Hipótesis!$D$116,1)),0))</f>
        <v>0</v>
      </c>
      <c r="J102" s="138" t="n">
        <f aca="false">IF(8&lt;=Hipótesis!$D$116,0,IF(J101&gt;0,MIN(J101,Hipótesis!$D$113*(1-Hipótesis!$D$117)/MAX(Hipótesis!$D$115-Hipótesis!$D$116,1)),0))</f>
        <v>0</v>
      </c>
      <c r="K102" s="138" t="n">
        <f aca="false">IF(9&lt;=Hipótesis!$D$116,0,IF(K101&gt;0,MIN(K101,Hipótesis!$D$113*(1-Hipótesis!$D$117)/MAX(Hipótesis!$D$115-Hipótesis!$D$116,1)),0))</f>
        <v>0</v>
      </c>
      <c r="L102" s="138" t="n">
        <f aca="false">IF(10&lt;=Hipótesis!$D$116,0,IF(L101&gt;0,MIN(L101,Hipótesis!$D$113*(1-Hipótesis!$D$117)/MAX(Hipótesis!$D$115-Hipótesis!$D$116,1)),0))</f>
        <v>0</v>
      </c>
      <c r="M102" s="138" t="n">
        <f aca="false">IF(11&lt;=Hipótesis!$D$116,0,IF(M101&gt;0,MIN(M101,Hipótesis!$D$113*(1-Hipótesis!$D$117)/MAX(Hipótesis!$D$115-Hipótesis!$D$116,1)),0))</f>
        <v>0</v>
      </c>
      <c r="N102" s="138" t="n">
        <f aca="false">IF(12&lt;=Hipótesis!$D$116,0,IF(N101&gt;0,MIN(N101,Hipótesis!$D$113*(1-Hipótesis!$D$117)/MAX(Hipótesis!$D$115-Hipótesis!$D$116,1)),0))</f>
        <v>0</v>
      </c>
      <c r="O102" s="138" t="n">
        <f aca="false">IF(13&lt;=Hipótesis!$D$116,0,IF(O101&gt;0,MIN(O101,Hipótesis!$D$113*(1-Hipótesis!$D$117)/MAX(Hipótesis!$D$115-Hipótesis!$D$116,1)),0))</f>
        <v>0</v>
      </c>
      <c r="P102" s="138" t="n">
        <f aca="false">IF(14&lt;=Hipótesis!$D$116,0,IF(P101&gt;0,MIN(P101,Hipótesis!$D$113*(1-Hipótesis!$D$117)/MAX(Hipótesis!$D$115-Hipótesis!$D$116,1)),0))</f>
        <v>0</v>
      </c>
      <c r="Q102" s="138" t="n">
        <f aca="false">IF(15&lt;=Hipótesis!$D$116,0,IF(Q101&gt;0,MIN(Q101,Hipótesis!$D$113*(1-Hipótesis!$D$117)/MAX(Hipótesis!$D$115-Hipótesis!$D$116,1)),0))</f>
        <v>0</v>
      </c>
      <c r="R102" s="138" t="n">
        <f aca="false">IF(16&lt;=Hipótesis!$D$116,0,IF(R101&gt;0,MIN(R101,Hipótesis!$D$113*(1-Hipótesis!$D$117)/MAX(Hipótesis!$D$115-Hipótesis!$D$116,1)),0))</f>
        <v>0</v>
      </c>
      <c r="S102" s="138" t="n">
        <f aca="false">IF(17&lt;=Hipótesis!$D$116,0,IF(S101&gt;0,MIN(S101,Hipótesis!$D$113*(1-Hipótesis!$D$117)/MAX(Hipótesis!$D$115-Hipótesis!$D$116,1)),0))</f>
        <v>0</v>
      </c>
      <c r="T102" s="138" t="n">
        <f aca="false">IF(18&lt;=Hipótesis!$D$116,0,IF(T101&gt;0,MIN(T101,Hipótesis!$D$113*(1-Hipótesis!$D$117)/MAX(Hipótesis!$D$115-Hipótesis!$D$116,1)),0))</f>
        <v>0</v>
      </c>
      <c r="U102" s="138" t="n">
        <f aca="false">IF(19&lt;=Hipótesis!$D$116,0,IF(U101&gt;0,MIN(U101,Hipótesis!$D$113*(1-Hipótesis!$D$117)/MAX(Hipótesis!$D$115-Hipótesis!$D$116,1)),0))</f>
        <v>0</v>
      </c>
      <c r="V102" s="138" t="n">
        <f aca="false">IF(20&lt;=Hipótesis!$D$116,0,IF(V101&gt;0,MIN(V101,Hipótesis!$D$113*(1-Hipótesis!$D$117)/MAX(Hipótesis!$D$115-Hipótesis!$D$116,1)),0))</f>
        <v>0</v>
      </c>
      <c r="W102" s="138" t="n">
        <f aca="false">IF(21&lt;=Hipótesis!$D$116,0,IF(W101&gt;0,MIN(W101,Hipótesis!$D$113*(1-Hipótesis!$D$117)/MAX(Hipótesis!$D$115-Hipótesis!$D$116,1)),0))</f>
        <v>0</v>
      </c>
      <c r="X102" s="138" t="n">
        <f aca="false">IF(22&lt;=Hipótesis!$D$116,0,IF(X101&gt;0,MIN(X101,Hipótesis!$D$113*(1-Hipótesis!$D$117)/MAX(Hipótesis!$D$115-Hipótesis!$D$116,1)),0))</f>
        <v>0</v>
      </c>
      <c r="Y102" s="138" t="n">
        <f aca="false">IF(23&lt;=Hipótesis!$D$116,0,IF(Y101&gt;0,MIN(Y101,Hipótesis!$D$113*(1-Hipótesis!$D$117)/MAX(Hipótesis!$D$115-Hipótesis!$D$116,1)),0))</f>
        <v>0</v>
      </c>
      <c r="Z102" s="138" t="n">
        <f aca="false">IF(24&lt;=Hipótesis!$D$116,0,IF(Z101&gt;0,MIN(Z101,Hipótesis!$D$113*(1-Hipótesis!$D$117)/MAX(Hipótesis!$D$115-Hipótesis!$D$116,1)),0))</f>
        <v>0</v>
      </c>
      <c r="AA102" s="138" t="n">
        <f aca="false">IF(25&lt;=Hipótesis!$D$116,0,IF(AA101&gt;0,MIN(AA101,Hipótesis!$D$113*(1-Hipótesis!$D$117)/MAX(Hipótesis!$D$115-Hipótesis!$D$116,1)),0))</f>
        <v>0</v>
      </c>
      <c r="AB102" s="138" t="n">
        <f aca="false">IF(26&lt;=Hipótesis!$D$116,0,IF(AB101&gt;0,MIN(AB101,Hipótesis!$D$113*(1-Hipótesis!$D$117)/MAX(Hipótesis!$D$115-Hipótesis!$D$116,1)),0))</f>
        <v>0</v>
      </c>
      <c r="AC102" s="138" t="n">
        <f aca="false">IF(27&lt;=Hipótesis!$D$116,0,IF(AC101&gt;0,MIN(AC101,Hipótesis!$D$113*(1-Hipótesis!$D$117)/MAX(Hipótesis!$D$115-Hipótesis!$D$116,1)),0))</f>
        <v>0</v>
      </c>
      <c r="AD102" s="138" t="n">
        <f aca="false">IF(28&lt;=Hipótesis!$D$116,0,IF(AD101&gt;0,MIN(AD101,Hipótesis!$D$113*(1-Hipótesis!$D$117)/MAX(Hipótesis!$D$115-Hipótesis!$D$116,1)),0))</f>
        <v>0</v>
      </c>
      <c r="AE102" s="138" t="n">
        <f aca="false">IF(29&lt;=Hipótesis!$D$116,0,IF(AE101&gt;0,MIN(AE101,Hipótesis!$D$113*(1-Hipótesis!$D$117)/MAX(Hipótesis!$D$115-Hipótesis!$D$116,1)),0))</f>
        <v>0</v>
      </c>
      <c r="AF102" s="138" t="n">
        <f aca="false">IF(30&lt;=Hipótesis!$D$116,0,IF(AF101&gt;0,MIN(AF101,Hipótesis!$D$113*(1-Hipótesis!$D$117)/MAX(Hipótesis!$D$115-Hipótesis!$D$116,1)),0))</f>
        <v>0</v>
      </c>
      <c r="AG102" s="138" t="n">
        <f aca="false">IF(31&lt;=Hipótesis!$D$116,0,IF(AG101&gt;0,MIN(AG101,Hipótesis!$D$113*(1-Hipótesis!$D$117)/MAX(Hipótesis!$D$115-Hipótesis!$D$116,1)),0))</f>
        <v>0</v>
      </c>
      <c r="AH102" s="138" t="n">
        <f aca="false">IF(32&lt;=Hipótesis!$D$116,0,IF(AH101&gt;0,MIN(AH101,Hipótesis!$D$113*(1-Hipótesis!$D$117)/MAX(Hipótesis!$D$115-Hipótesis!$D$116,1)),0))</f>
        <v>0</v>
      </c>
      <c r="AI102" s="138" t="n">
        <f aca="false">IF(33&lt;=Hipótesis!$D$116,0,IF(AI101&gt;0,MIN(AI101,Hipótesis!$D$113*(1-Hipótesis!$D$117)/MAX(Hipótesis!$D$115-Hipótesis!$D$116,1)),0))</f>
        <v>0</v>
      </c>
      <c r="AJ102" s="138" t="n">
        <f aca="false">IF(34&lt;=Hipótesis!$D$116,0,IF(AJ101&gt;0,MIN(AJ101,Hipótesis!$D$113*(1-Hipótesis!$D$117)/MAX(Hipótesis!$D$115-Hipótesis!$D$116,1)),0))</f>
        <v>0</v>
      </c>
      <c r="AK102" s="138" t="n">
        <f aca="false">IF(35&lt;=Hipótesis!$D$116,0,IF(AK101&gt;0,MIN(AK101,Hipótesis!$D$113*(1-Hipótesis!$D$117)/MAX(Hipótesis!$D$115-Hipótesis!$D$116,1)),0))</f>
        <v>0</v>
      </c>
      <c r="AL102" s="138" t="n">
        <f aca="false">IF(36&lt;=Hipótesis!$D$116,0,IF(AL101&gt;0,MIN(AL101,Hipótesis!$D$113*(1-Hipótesis!$D$117)/MAX(Hipótesis!$D$115-Hipótesis!$D$116,1)),0))</f>
        <v>0</v>
      </c>
      <c r="AM102" s="138" t="n">
        <f aca="false">IF(37&lt;=Hipótesis!$D$116,0,IF(AM101&gt;0,MIN(AM101,Hipótesis!$D$113*(1-Hipótesis!$D$117)/MAX(Hipótesis!$D$115-Hipótesis!$D$116,1)),0))</f>
        <v>0</v>
      </c>
      <c r="AN102" s="138" t="n">
        <f aca="false">IF(38&lt;=Hipótesis!$D$116,0,IF(AN101&gt;0,MIN(AN101,Hipótesis!$D$113*(1-Hipótesis!$D$117)/MAX(Hipótesis!$D$115-Hipótesis!$D$116,1)),0))</f>
        <v>0</v>
      </c>
      <c r="AO102" s="138" t="n">
        <f aca="false">IF(39&lt;=Hipótesis!$D$116,0,IF(AO101&gt;0,MIN(AO101,Hipótesis!$D$113*(1-Hipótesis!$D$117)/MAX(Hipótesis!$D$115-Hipótesis!$D$116,1)),0))</f>
        <v>0</v>
      </c>
      <c r="AP102" s="138" t="n">
        <f aca="false">IF(40&lt;=Hipótesis!$D$116,0,IF(AP101&gt;0,MIN(AP101,Hipótesis!$D$113*(1-Hipótesis!$D$117)/MAX(Hipótesis!$D$115-Hipótesis!$D$116,1)),0))</f>
        <v>0</v>
      </c>
      <c r="AQ102" s="138" t="n">
        <f aca="false">IF(41&lt;=Hipótesis!$D$116,0,IF(AQ101&gt;0,MIN(AQ101,Hipótesis!$D$113*(1-Hipótesis!$D$117)/MAX(Hipótesis!$D$115-Hipótesis!$D$116,1)),0))</f>
        <v>0</v>
      </c>
      <c r="AR102" s="138" t="n">
        <f aca="false">IF(42&lt;=Hipótesis!$D$116,0,IF(AR101&gt;0,MIN(AR101,Hipótesis!$D$113*(1-Hipótesis!$D$117)/MAX(Hipótesis!$D$115-Hipótesis!$D$116,1)),0))</f>
        <v>0</v>
      </c>
      <c r="AS102" s="138" t="n">
        <f aca="false">IF(43&lt;=Hipótesis!$D$116,0,IF(AS101&gt;0,MIN(AS101,Hipótesis!$D$113*(1-Hipótesis!$D$117)/MAX(Hipótesis!$D$115-Hipótesis!$D$116,1)),0))</f>
        <v>0</v>
      </c>
      <c r="AT102" s="138" t="n">
        <f aca="false">IF(44&lt;=Hipótesis!$D$116,0,IF(AT101&gt;0,MIN(AT101,Hipótesis!$D$113*(1-Hipótesis!$D$117)/MAX(Hipótesis!$D$115-Hipótesis!$D$116,1)),0))</f>
        <v>0</v>
      </c>
      <c r="AU102" s="138" t="n">
        <f aca="false">IF(45&lt;=Hipótesis!$D$116,0,IF(AU101&gt;0,MIN(AU101,Hipótesis!$D$113*(1-Hipótesis!$D$117)/MAX(Hipótesis!$D$115-Hipótesis!$D$116,1)),0))</f>
        <v>0</v>
      </c>
      <c r="AV102" s="138" t="n">
        <f aca="false">IF(46&lt;=Hipótesis!$D$116,0,IF(AV101&gt;0,MIN(AV101,Hipótesis!$D$113*(1-Hipótesis!$D$117)/MAX(Hipótesis!$D$115-Hipótesis!$D$116,1)),0))</f>
        <v>0</v>
      </c>
      <c r="AW102" s="138" t="n">
        <f aca="false">IF(47&lt;=Hipótesis!$D$116,0,IF(AW101&gt;0,MIN(AW101,Hipótesis!$D$113*(1-Hipótesis!$D$117)/MAX(Hipótesis!$D$115-Hipótesis!$D$116,1)),0))</f>
        <v>0</v>
      </c>
      <c r="AX102" s="138" t="n">
        <f aca="false">IF(48&lt;=Hipótesis!$D$116,0,IF(AX101&gt;0,MIN(AX101,Hipótesis!$D$113*(1-Hipótesis!$D$117)/MAX(Hipótesis!$D$115-Hipótesis!$D$116,1)),0))</f>
        <v>0</v>
      </c>
      <c r="AY102" s="138" t="n">
        <f aca="false">IF(49&lt;=Hipótesis!$D$116,0,IF(AY101&gt;0,MIN(AY101,Hipótesis!$D$113*(1-Hipótesis!$D$117)/MAX(Hipótesis!$D$115-Hipótesis!$D$116,1)),0))</f>
        <v>0</v>
      </c>
      <c r="AZ102" s="138" t="n">
        <f aca="false">IF(50&lt;=Hipótesis!$D$116,0,IF(AZ101&gt;0,MIN(AZ101,Hipótesis!$D$113*(1-Hipótesis!$D$117)/MAX(Hipótesis!$D$115-Hipótesis!$D$116,1)),0))</f>
        <v>0</v>
      </c>
      <c r="BA102" s="138" t="n">
        <f aca="false">IF(51&lt;=Hipótesis!$D$116,0,IF(BA101&gt;0,MIN(BA101,Hipótesis!$D$113*(1-Hipótesis!$D$117)/MAX(Hipótesis!$D$115-Hipótesis!$D$116,1)),0))</f>
        <v>0</v>
      </c>
      <c r="BB102" s="138" t="n">
        <f aca="false">IF(52&lt;=Hipótesis!$D$116,0,IF(BB101&gt;0,MIN(BB101,Hipótesis!$D$113*(1-Hipótesis!$D$117)/MAX(Hipótesis!$D$115-Hipótesis!$D$116,1)),0))</f>
        <v>0</v>
      </c>
      <c r="BC102" s="138" t="n">
        <f aca="false">IF(53&lt;=Hipótesis!$D$116,0,IF(BC101&gt;0,MIN(BC101,Hipótesis!$D$113*(1-Hipótesis!$D$117)/MAX(Hipótesis!$D$115-Hipótesis!$D$116,1)),0))</f>
        <v>0</v>
      </c>
      <c r="BD102" s="138" t="n">
        <f aca="false">IF(54&lt;=Hipótesis!$D$116,0,IF(BD101&gt;0,MIN(BD101,Hipótesis!$D$113*(1-Hipótesis!$D$117)/MAX(Hipótesis!$D$115-Hipótesis!$D$116,1)),0))</f>
        <v>0</v>
      </c>
      <c r="BE102" s="138" t="n">
        <f aca="false">IF(55&lt;=Hipótesis!$D$116,0,IF(BE101&gt;0,MIN(BE101,Hipótesis!$D$113*(1-Hipótesis!$D$117)/MAX(Hipótesis!$D$115-Hipótesis!$D$116,1)),0))</f>
        <v>0</v>
      </c>
      <c r="BF102" s="138" t="n">
        <f aca="false">IF(56&lt;=Hipótesis!$D$116,0,IF(BF101&gt;0,MIN(BF101,Hipótesis!$D$113*(1-Hipótesis!$D$117)/MAX(Hipótesis!$D$115-Hipótesis!$D$116,1)),0))</f>
        <v>0</v>
      </c>
      <c r="BG102" s="138" t="n">
        <f aca="false">IF(57&lt;=Hipótesis!$D$116,0,IF(BG101&gt;0,MIN(BG101,Hipótesis!$D$113*(1-Hipótesis!$D$117)/MAX(Hipótesis!$D$115-Hipótesis!$D$116,1)),0))</f>
        <v>0</v>
      </c>
      <c r="BH102" s="138" t="n">
        <f aca="false">IF(58&lt;=Hipótesis!$D$116,0,IF(BH101&gt;0,MIN(BH101,Hipótesis!$D$113*(1-Hipótesis!$D$117)/MAX(Hipótesis!$D$115-Hipótesis!$D$116,1)),0))</f>
        <v>0</v>
      </c>
      <c r="BI102" s="138" t="n">
        <f aca="false">IF(59&lt;=Hipótesis!$D$116,0,IF(BI101&gt;0,MIN(BI101,Hipótesis!$D$113*(1-Hipótesis!$D$117)/MAX(Hipótesis!$D$115-Hipótesis!$D$116,1)),0))</f>
        <v>0</v>
      </c>
      <c r="BJ102" s="138" t="n">
        <f aca="false">IF(60&lt;=Hipótesis!$D$116,0,IF(BJ101&gt;0,MIN(BJ101,Hipótesis!$D$113*(1-Hipótesis!$D$117)/MAX(Hipótesis!$D$115-Hipótesis!$D$116,1)),0))</f>
        <v>0</v>
      </c>
      <c r="BK102" s="138" t="n">
        <f aca="false">IF(61&lt;=Hipótesis!$D$116,0,IF(BK101&gt;0,MIN(BK101,Hipótesis!$D$113*(1-Hipótesis!$D$117)/MAX(Hipótesis!$D$115-Hipótesis!$D$116,1)),0))</f>
        <v>0</v>
      </c>
      <c r="BL102" s="138" t="n">
        <f aca="false">IF(62&lt;=Hipótesis!$D$116,0,IF(BL101&gt;0,MIN(BL101,Hipótesis!$D$113*(1-Hipótesis!$D$117)/MAX(Hipótesis!$D$115-Hipótesis!$D$116,1)),0))</f>
        <v>0</v>
      </c>
      <c r="BM102" s="138" t="n">
        <f aca="false">IF(63&lt;=Hipótesis!$D$116,0,IF(BM101&gt;0,MIN(BM101,Hipótesis!$D$113*(1-Hipótesis!$D$117)/MAX(Hipótesis!$D$115-Hipótesis!$D$116,1)),0))</f>
        <v>0</v>
      </c>
      <c r="BN102" s="138" t="n">
        <f aca="false">IF(64&lt;=Hipótesis!$D$116,0,IF(BN101&gt;0,MIN(BN101,Hipótesis!$D$113*(1-Hipótesis!$D$117)/MAX(Hipótesis!$D$115-Hipótesis!$D$116,1)),0))</f>
        <v>0</v>
      </c>
      <c r="BO102" s="138" t="n">
        <f aca="false">IF(65&lt;=Hipótesis!$D$116,0,IF(BO101&gt;0,MIN(BO101,Hipótesis!$D$113*(1-Hipótesis!$D$117)/MAX(Hipótesis!$D$115-Hipótesis!$D$116,1)),0))</f>
        <v>0</v>
      </c>
      <c r="BP102" s="138" t="n">
        <f aca="false">IF(66&lt;=Hipótesis!$D$116,0,IF(BP101&gt;0,MIN(BP101,Hipótesis!$D$113*(1-Hipótesis!$D$117)/MAX(Hipótesis!$D$115-Hipótesis!$D$116,1)),0))</f>
        <v>0</v>
      </c>
      <c r="BQ102" s="138" t="n">
        <f aca="false">IF(67&lt;=Hipótesis!$D$116,0,IF(BQ101&gt;0,MIN(BQ101,Hipótesis!$D$113*(1-Hipótesis!$D$117)/MAX(Hipótesis!$D$115-Hipótesis!$D$116,1)),0))</f>
        <v>0</v>
      </c>
      <c r="BR102" s="138" t="n">
        <f aca="false">IF(68&lt;=Hipótesis!$D$116,0,IF(BR101&gt;0,MIN(BR101,Hipótesis!$D$113*(1-Hipótesis!$D$117)/MAX(Hipótesis!$D$115-Hipótesis!$D$116,1)),0))</f>
        <v>0</v>
      </c>
      <c r="BS102" s="138" t="n">
        <f aca="false">IF(69&lt;=Hipótesis!$D$116,0,IF(BS101&gt;0,MIN(BS101,Hipótesis!$D$113*(1-Hipótesis!$D$117)/MAX(Hipótesis!$D$115-Hipótesis!$D$116,1)),0))</f>
        <v>0</v>
      </c>
      <c r="BT102" s="138" t="n">
        <f aca="false">IF(70&lt;=Hipótesis!$D$116,0,IF(BT101&gt;0,MIN(BT101,Hipótesis!$D$113*(1-Hipótesis!$D$117)/MAX(Hipótesis!$D$115-Hipótesis!$D$116,1)),0))</f>
        <v>0</v>
      </c>
      <c r="BU102" s="138" t="n">
        <f aca="false">IF(71&lt;=Hipótesis!$D$116,0,IF(BU101&gt;0,MIN(BU101,Hipótesis!$D$113*(1-Hipótesis!$D$117)/MAX(Hipótesis!$D$115-Hipótesis!$D$116,1)),0))</f>
        <v>0</v>
      </c>
      <c r="BV102" s="138" t="n">
        <f aca="false">IF(72&lt;=Hipótesis!$D$116,0,IF(BV101&gt;0,MIN(BV101,Hipótesis!$D$113*(1-Hipótesis!$D$117)/MAX(Hipótesis!$D$115-Hipótesis!$D$116,1)),0))</f>
        <v>0</v>
      </c>
      <c r="BW102" s="138" t="n">
        <f aca="false">IF(73&lt;=Hipótesis!$D$116,0,IF(BW101&gt;0,MIN(BW101,Hipótesis!$D$113*(1-Hipótesis!$D$117)/MAX(Hipótesis!$D$115-Hipótesis!$D$116,1)),0))</f>
        <v>0</v>
      </c>
      <c r="BX102" s="138" t="n">
        <f aca="false">IF(74&lt;=Hipótesis!$D$116,0,IF(BX101&gt;0,MIN(BX101,Hipótesis!$D$113*(1-Hipótesis!$D$117)/MAX(Hipótesis!$D$115-Hipótesis!$D$116,1)),0))</f>
        <v>0</v>
      </c>
      <c r="BY102" s="138" t="n">
        <f aca="false">IF(75&lt;=Hipótesis!$D$116,0,IF(BY101&gt;0,MIN(BY101,Hipótesis!$D$113*(1-Hipótesis!$D$117)/MAX(Hipótesis!$D$115-Hipótesis!$D$116,1)),0))</f>
        <v>0</v>
      </c>
      <c r="BZ102" s="138" t="n">
        <f aca="false">IF(76&lt;=Hipótesis!$D$116,0,IF(BZ101&gt;0,MIN(BZ101,Hipótesis!$D$113*(1-Hipótesis!$D$117)/MAX(Hipótesis!$D$115-Hipótesis!$D$116,1)),0))</f>
        <v>0</v>
      </c>
      <c r="CA102" s="138" t="n">
        <f aca="false">IF(77&lt;=Hipótesis!$D$116,0,IF(CA101&gt;0,MIN(CA101,Hipótesis!$D$113*(1-Hipótesis!$D$117)/MAX(Hipótesis!$D$115-Hipótesis!$D$116,1)),0))</f>
        <v>0</v>
      </c>
      <c r="CB102" s="138" t="n">
        <f aca="false">IF(78&lt;=Hipótesis!$D$116,0,IF(CB101&gt;0,MIN(CB101,Hipótesis!$D$113*(1-Hipótesis!$D$117)/MAX(Hipótesis!$D$115-Hipótesis!$D$116,1)),0))</f>
        <v>0</v>
      </c>
      <c r="CC102" s="138" t="n">
        <f aca="false">IF(79&lt;=Hipótesis!$D$116,0,IF(CC101&gt;0,MIN(CC101,Hipótesis!$D$113*(1-Hipótesis!$D$117)/MAX(Hipótesis!$D$115-Hipótesis!$D$116,1)),0))</f>
        <v>0</v>
      </c>
      <c r="CD102" s="138" t="n">
        <f aca="false">IF(80&lt;=Hipótesis!$D$116,0,IF(CD101&gt;0,MIN(CD101,Hipótesis!$D$113*(1-Hipótesis!$D$117)/MAX(Hipótesis!$D$115-Hipótesis!$D$116,1)),0))</f>
        <v>0</v>
      </c>
      <c r="CE102" s="138" t="n">
        <f aca="false">IF(81&lt;=Hipótesis!$D$116,0,IF(CE101&gt;0,MIN(CE101,Hipótesis!$D$113*(1-Hipótesis!$D$117)/MAX(Hipótesis!$D$115-Hipótesis!$D$116,1)),0))</f>
        <v>0</v>
      </c>
      <c r="CF102" s="138" t="n">
        <f aca="false">IF(82&lt;=Hipótesis!$D$116,0,IF(CF101&gt;0,MIN(CF101,Hipótesis!$D$113*(1-Hipótesis!$D$117)/MAX(Hipótesis!$D$115-Hipótesis!$D$116,1)),0))</f>
        <v>0</v>
      </c>
      <c r="CG102" s="138" t="n">
        <f aca="false">IF(83&lt;=Hipótesis!$D$116,0,IF(CG101&gt;0,MIN(CG101,Hipótesis!$D$113*(1-Hipótesis!$D$117)/MAX(Hipótesis!$D$115-Hipótesis!$D$116,1)),0))</f>
        <v>0</v>
      </c>
      <c r="CH102" s="138" t="n">
        <f aca="false">IF(84&lt;=Hipótesis!$D$116,0,IF(CH101&gt;0,MIN(CH101,Hipótesis!$D$113*(1-Hipótesis!$D$117)/MAX(Hipótesis!$D$115-Hipótesis!$D$116,1)),0))</f>
        <v>0</v>
      </c>
    </row>
    <row r="103" customFormat="false" ht="13.5" hidden="false" customHeight="true" outlineLevel="0" collapsed="false">
      <c r="A103" s="13" t="s">
        <v>778</v>
      </c>
      <c r="C103" s="138" t="n">
        <f aca="false">C101*Hipótesis!$D$114/12</f>
        <v>0</v>
      </c>
      <c r="D103" s="138" t="n">
        <f aca="false">D101*Hipótesis!$D$114/12</f>
        <v>0</v>
      </c>
      <c r="E103" s="138" t="n">
        <f aca="false">E101*Hipótesis!$D$114/12</f>
        <v>0</v>
      </c>
      <c r="F103" s="138" t="n">
        <f aca="false">F101*Hipótesis!$D$114/12</f>
        <v>0</v>
      </c>
      <c r="G103" s="138" t="n">
        <f aca="false">G101*Hipótesis!$D$114/12</f>
        <v>0</v>
      </c>
      <c r="H103" s="138" t="n">
        <f aca="false">H101*Hipótesis!$D$114/12</f>
        <v>0</v>
      </c>
      <c r="I103" s="138" t="n">
        <f aca="false">I101*Hipótesis!$D$114/12</f>
        <v>0</v>
      </c>
      <c r="J103" s="138" t="n">
        <f aca="false">J101*Hipótesis!$D$114/12</f>
        <v>0</v>
      </c>
      <c r="K103" s="138" t="n">
        <f aca="false">K101*Hipótesis!$D$114/12</f>
        <v>0</v>
      </c>
      <c r="L103" s="138" t="n">
        <f aca="false">L101*Hipótesis!$D$114/12</f>
        <v>0</v>
      </c>
      <c r="M103" s="138" t="n">
        <f aca="false">M101*Hipótesis!$D$114/12</f>
        <v>0</v>
      </c>
      <c r="N103" s="138" t="n">
        <f aca="false">N101*Hipótesis!$D$114/12</f>
        <v>0</v>
      </c>
      <c r="O103" s="138" t="n">
        <f aca="false">O101*Hipótesis!$D$114/12</f>
        <v>0</v>
      </c>
      <c r="P103" s="138" t="n">
        <f aca="false">P101*Hipótesis!$D$114/12</f>
        <v>0</v>
      </c>
      <c r="Q103" s="138" t="n">
        <f aca="false">Q101*Hipótesis!$D$114/12</f>
        <v>0</v>
      </c>
      <c r="R103" s="138" t="n">
        <f aca="false">R101*Hipótesis!$D$114/12</f>
        <v>0</v>
      </c>
      <c r="S103" s="138" t="n">
        <f aca="false">S101*Hipótesis!$D$114/12</f>
        <v>0</v>
      </c>
      <c r="T103" s="138" t="n">
        <f aca="false">T101*Hipótesis!$D$114/12</f>
        <v>0</v>
      </c>
      <c r="U103" s="138" t="n">
        <f aca="false">U101*Hipótesis!$D$114/12</f>
        <v>0</v>
      </c>
      <c r="V103" s="138" t="n">
        <f aca="false">V101*Hipótesis!$D$114/12</f>
        <v>0</v>
      </c>
      <c r="W103" s="138" t="n">
        <f aca="false">W101*Hipótesis!$D$114/12</f>
        <v>0</v>
      </c>
      <c r="X103" s="138" t="n">
        <f aca="false">X101*Hipótesis!$D$114/12</f>
        <v>0</v>
      </c>
      <c r="Y103" s="138" t="n">
        <f aca="false">Y101*Hipótesis!$D$114/12</f>
        <v>0</v>
      </c>
      <c r="Z103" s="138" t="n">
        <f aca="false">Z101*Hipótesis!$D$114/12</f>
        <v>0</v>
      </c>
      <c r="AA103" s="138" t="n">
        <f aca="false">AA101*Hipótesis!$D$114/12</f>
        <v>0</v>
      </c>
      <c r="AB103" s="138" t="n">
        <f aca="false">AB101*Hipótesis!$D$114/12</f>
        <v>0</v>
      </c>
      <c r="AC103" s="138" t="n">
        <f aca="false">AC101*Hipótesis!$D$114/12</f>
        <v>0</v>
      </c>
      <c r="AD103" s="138" t="n">
        <f aca="false">AD101*Hipótesis!$D$114/12</f>
        <v>0</v>
      </c>
      <c r="AE103" s="138" t="n">
        <f aca="false">AE101*Hipótesis!$D$114/12</f>
        <v>0</v>
      </c>
      <c r="AF103" s="138" t="n">
        <f aca="false">AF101*Hipótesis!$D$114/12</f>
        <v>0</v>
      </c>
      <c r="AG103" s="138" t="n">
        <f aca="false">AG101*Hipótesis!$D$114/12</f>
        <v>0</v>
      </c>
      <c r="AH103" s="138" t="n">
        <f aca="false">AH101*Hipótesis!$D$114/12</f>
        <v>0</v>
      </c>
      <c r="AI103" s="138" t="n">
        <f aca="false">AI101*Hipótesis!$D$114/12</f>
        <v>0</v>
      </c>
      <c r="AJ103" s="138" t="n">
        <f aca="false">AJ101*Hipótesis!$D$114/12</f>
        <v>0</v>
      </c>
      <c r="AK103" s="138" t="n">
        <f aca="false">AK101*Hipótesis!$D$114/12</f>
        <v>0</v>
      </c>
      <c r="AL103" s="138" t="n">
        <f aca="false">AL101*Hipótesis!$D$114/12</f>
        <v>0</v>
      </c>
      <c r="AM103" s="138" t="n">
        <f aca="false">AM101*Hipótesis!$D$114/12</f>
        <v>0</v>
      </c>
      <c r="AN103" s="138" t="n">
        <f aca="false">AN101*Hipótesis!$D$114/12</f>
        <v>0</v>
      </c>
      <c r="AO103" s="138" t="n">
        <f aca="false">AO101*Hipótesis!$D$114/12</f>
        <v>0</v>
      </c>
      <c r="AP103" s="138" t="n">
        <f aca="false">AP101*Hipótesis!$D$114/12</f>
        <v>0</v>
      </c>
      <c r="AQ103" s="138" t="n">
        <f aca="false">AQ101*Hipótesis!$D$114/12</f>
        <v>0</v>
      </c>
      <c r="AR103" s="138" t="n">
        <f aca="false">AR101*Hipótesis!$D$114/12</f>
        <v>0</v>
      </c>
      <c r="AS103" s="138" t="n">
        <f aca="false">AS101*Hipótesis!$D$114/12</f>
        <v>0</v>
      </c>
      <c r="AT103" s="138" t="n">
        <f aca="false">AT101*Hipótesis!$D$114/12</f>
        <v>0</v>
      </c>
      <c r="AU103" s="138" t="n">
        <f aca="false">AU101*Hipótesis!$D$114/12</f>
        <v>0</v>
      </c>
      <c r="AV103" s="138" t="n">
        <f aca="false">AV101*Hipótesis!$D$114/12</f>
        <v>0</v>
      </c>
      <c r="AW103" s="138" t="n">
        <f aca="false">AW101*Hipótesis!$D$114/12</f>
        <v>0</v>
      </c>
      <c r="AX103" s="138" t="n">
        <f aca="false">AX101*Hipótesis!$D$114/12</f>
        <v>0</v>
      </c>
      <c r="AY103" s="138" t="n">
        <f aca="false">AY101*Hipótesis!$D$114/12</f>
        <v>0</v>
      </c>
      <c r="AZ103" s="138" t="n">
        <f aca="false">AZ101*Hipótesis!$D$114/12</f>
        <v>0</v>
      </c>
      <c r="BA103" s="138" t="n">
        <f aca="false">BA101*Hipótesis!$D$114/12</f>
        <v>0</v>
      </c>
      <c r="BB103" s="138" t="n">
        <f aca="false">BB101*Hipótesis!$D$114/12</f>
        <v>0</v>
      </c>
      <c r="BC103" s="138" t="n">
        <f aca="false">BC101*Hipótesis!$D$114/12</f>
        <v>0</v>
      </c>
      <c r="BD103" s="138" t="n">
        <f aca="false">BD101*Hipótesis!$D$114/12</f>
        <v>0</v>
      </c>
      <c r="BE103" s="138" t="n">
        <f aca="false">BE101*Hipótesis!$D$114/12</f>
        <v>0</v>
      </c>
      <c r="BF103" s="138" t="n">
        <f aca="false">BF101*Hipótesis!$D$114/12</f>
        <v>0</v>
      </c>
      <c r="BG103" s="138" t="n">
        <f aca="false">BG101*Hipótesis!$D$114/12</f>
        <v>0</v>
      </c>
      <c r="BH103" s="138" t="n">
        <f aca="false">BH101*Hipótesis!$D$114/12</f>
        <v>0</v>
      </c>
      <c r="BI103" s="138" t="n">
        <f aca="false">BI101*Hipótesis!$D$114/12</f>
        <v>0</v>
      </c>
      <c r="BJ103" s="138" t="n">
        <f aca="false">BJ101*Hipótesis!$D$114/12</f>
        <v>0</v>
      </c>
      <c r="BK103" s="138" t="n">
        <f aca="false">BK101*Hipótesis!$D$114/12</f>
        <v>0</v>
      </c>
      <c r="BL103" s="138" t="n">
        <f aca="false">BL101*Hipótesis!$D$114/12</f>
        <v>0</v>
      </c>
      <c r="BM103" s="138" t="n">
        <f aca="false">BM101*Hipótesis!$D$114/12</f>
        <v>0</v>
      </c>
      <c r="BN103" s="138" t="n">
        <f aca="false">BN101*Hipótesis!$D$114/12</f>
        <v>0</v>
      </c>
      <c r="BO103" s="138" t="n">
        <f aca="false">BO101*Hipótesis!$D$114/12</f>
        <v>0</v>
      </c>
      <c r="BP103" s="138" t="n">
        <f aca="false">BP101*Hipótesis!$D$114/12</f>
        <v>0</v>
      </c>
      <c r="BQ103" s="138" t="n">
        <f aca="false">BQ101*Hipótesis!$D$114/12</f>
        <v>0</v>
      </c>
      <c r="BR103" s="138" t="n">
        <f aca="false">BR101*Hipótesis!$D$114/12</f>
        <v>0</v>
      </c>
      <c r="BS103" s="138" t="n">
        <f aca="false">BS101*Hipótesis!$D$114/12</f>
        <v>0</v>
      </c>
      <c r="BT103" s="138" t="n">
        <f aca="false">BT101*Hipótesis!$D$114/12</f>
        <v>0</v>
      </c>
      <c r="BU103" s="138" t="n">
        <f aca="false">BU101*Hipótesis!$D$114/12</f>
        <v>0</v>
      </c>
      <c r="BV103" s="138" t="n">
        <f aca="false">BV101*Hipótesis!$D$114/12</f>
        <v>0</v>
      </c>
      <c r="BW103" s="138" t="n">
        <f aca="false">BW101*Hipótesis!$D$114/12</f>
        <v>0</v>
      </c>
      <c r="BX103" s="138" t="n">
        <f aca="false">BX101*Hipótesis!$D$114/12</f>
        <v>0</v>
      </c>
      <c r="BY103" s="138" t="n">
        <f aca="false">BY101*Hipótesis!$D$114/12</f>
        <v>0</v>
      </c>
      <c r="BZ103" s="138" t="n">
        <f aca="false">BZ101*Hipótesis!$D$114/12</f>
        <v>0</v>
      </c>
      <c r="CA103" s="138" t="n">
        <f aca="false">CA101*Hipótesis!$D$114/12</f>
        <v>0</v>
      </c>
      <c r="CB103" s="138" t="n">
        <f aca="false">CB101*Hipótesis!$D$114/12</f>
        <v>0</v>
      </c>
      <c r="CC103" s="138" t="n">
        <f aca="false">CC101*Hipótesis!$D$114/12</f>
        <v>0</v>
      </c>
      <c r="CD103" s="138" t="n">
        <f aca="false">CD101*Hipótesis!$D$114/12</f>
        <v>0</v>
      </c>
      <c r="CE103" s="138" t="n">
        <f aca="false">CE101*Hipótesis!$D$114/12</f>
        <v>0</v>
      </c>
      <c r="CF103" s="138" t="n">
        <f aca="false">CF101*Hipótesis!$D$114/12</f>
        <v>0</v>
      </c>
      <c r="CG103" s="138" t="n">
        <f aca="false">CG101*Hipótesis!$D$114/12</f>
        <v>0</v>
      </c>
      <c r="CH103" s="138" t="n">
        <f aca="false">CH101*Hipótesis!$D$114/12</f>
        <v>0</v>
      </c>
    </row>
    <row r="104" customFormat="false" ht="13.5" hidden="false" customHeight="true" outlineLevel="0" collapsed="false">
      <c r="A104" s="13" t="s">
        <v>779</v>
      </c>
      <c r="C104" s="138" t="n">
        <f aca="false">C102+C103</f>
        <v>0</v>
      </c>
      <c r="D104" s="138" t="n">
        <f aca="false">D102+D103</f>
        <v>0</v>
      </c>
      <c r="E104" s="138" t="n">
        <f aca="false">E102+E103</f>
        <v>0</v>
      </c>
      <c r="F104" s="138" t="n">
        <f aca="false">F102+F103</f>
        <v>0</v>
      </c>
      <c r="G104" s="138" t="n">
        <f aca="false">G102+G103</f>
        <v>0</v>
      </c>
      <c r="H104" s="138" t="n">
        <f aca="false">H102+H103</f>
        <v>0</v>
      </c>
      <c r="I104" s="138" t="n">
        <f aca="false">I102+I103</f>
        <v>0</v>
      </c>
      <c r="J104" s="138" t="n">
        <f aca="false">J102+J103</f>
        <v>0</v>
      </c>
      <c r="K104" s="138" t="n">
        <f aca="false">K102+K103</f>
        <v>0</v>
      </c>
      <c r="L104" s="138" t="n">
        <f aca="false">L102+L103</f>
        <v>0</v>
      </c>
      <c r="M104" s="138" t="n">
        <f aca="false">M102+M103</f>
        <v>0</v>
      </c>
      <c r="N104" s="138" t="n">
        <f aca="false">N102+N103</f>
        <v>0</v>
      </c>
      <c r="O104" s="138" t="n">
        <f aca="false">O102+O103</f>
        <v>0</v>
      </c>
      <c r="P104" s="138" t="n">
        <f aca="false">P102+P103</f>
        <v>0</v>
      </c>
      <c r="Q104" s="138" t="n">
        <f aca="false">Q102+Q103</f>
        <v>0</v>
      </c>
      <c r="R104" s="138" t="n">
        <f aca="false">R102+R103</f>
        <v>0</v>
      </c>
      <c r="S104" s="138" t="n">
        <f aca="false">S102+S103</f>
        <v>0</v>
      </c>
      <c r="T104" s="138" t="n">
        <f aca="false">T102+T103</f>
        <v>0</v>
      </c>
      <c r="U104" s="138" t="n">
        <f aca="false">U102+U103</f>
        <v>0</v>
      </c>
      <c r="V104" s="138" t="n">
        <f aca="false">V102+V103</f>
        <v>0</v>
      </c>
      <c r="W104" s="138" t="n">
        <f aca="false">W102+W103</f>
        <v>0</v>
      </c>
      <c r="X104" s="138" t="n">
        <f aca="false">X102+X103</f>
        <v>0</v>
      </c>
      <c r="Y104" s="138" t="n">
        <f aca="false">Y102+Y103</f>
        <v>0</v>
      </c>
      <c r="Z104" s="138" t="n">
        <f aca="false">Z102+Z103</f>
        <v>0</v>
      </c>
      <c r="AA104" s="138" t="n">
        <f aca="false">AA102+AA103</f>
        <v>0</v>
      </c>
      <c r="AB104" s="138" t="n">
        <f aca="false">AB102+AB103</f>
        <v>0</v>
      </c>
      <c r="AC104" s="138" t="n">
        <f aca="false">AC102+AC103</f>
        <v>0</v>
      </c>
      <c r="AD104" s="138" t="n">
        <f aca="false">AD102+AD103</f>
        <v>0</v>
      </c>
      <c r="AE104" s="138" t="n">
        <f aca="false">AE102+AE103</f>
        <v>0</v>
      </c>
      <c r="AF104" s="138" t="n">
        <f aca="false">AF102+AF103</f>
        <v>0</v>
      </c>
      <c r="AG104" s="138" t="n">
        <f aca="false">AG102+AG103</f>
        <v>0</v>
      </c>
      <c r="AH104" s="138" t="n">
        <f aca="false">AH102+AH103</f>
        <v>0</v>
      </c>
      <c r="AI104" s="138" t="n">
        <f aca="false">AI102+AI103</f>
        <v>0</v>
      </c>
      <c r="AJ104" s="138" t="n">
        <f aca="false">AJ102+AJ103</f>
        <v>0</v>
      </c>
      <c r="AK104" s="138" t="n">
        <f aca="false">AK102+AK103</f>
        <v>0</v>
      </c>
      <c r="AL104" s="138" t="n">
        <f aca="false">AL102+AL103</f>
        <v>0</v>
      </c>
      <c r="AM104" s="138" t="n">
        <f aca="false">AM102+AM103</f>
        <v>0</v>
      </c>
      <c r="AN104" s="138" t="n">
        <f aca="false">AN102+AN103</f>
        <v>0</v>
      </c>
      <c r="AO104" s="138" t="n">
        <f aca="false">AO102+AO103</f>
        <v>0</v>
      </c>
      <c r="AP104" s="138" t="n">
        <f aca="false">AP102+AP103</f>
        <v>0</v>
      </c>
      <c r="AQ104" s="138" t="n">
        <f aca="false">AQ102+AQ103</f>
        <v>0</v>
      </c>
      <c r="AR104" s="138" t="n">
        <f aca="false">AR102+AR103</f>
        <v>0</v>
      </c>
      <c r="AS104" s="138" t="n">
        <f aca="false">AS102+AS103</f>
        <v>0</v>
      </c>
      <c r="AT104" s="138" t="n">
        <f aca="false">AT102+AT103</f>
        <v>0</v>
      </c>
      <c r="AU104" s="138" t="n">
        <f aca="false">AU102+AU103</f>
        <v>0</v>
      </c>
      <c r="AV104" s="138" t="n">
        <f aca="false">AV102+AV103</f>
        <v>0</v>
      </c>
      <c r="AW104" s="138" t="n">
        <f aca="false">AW102+AW103</f>
        <v>0</v>
      </c>
      <c r="AX104" s="138" t="n">
        <f aca="false">AX102+AX103</f>
        <v>0</v>
      </c>
      <c r="AY104" s="138" t="n">
        <f aca="false">AY102+AY103</f>
        <v>0</v>
      </c>
      <c r="AZ104" s="138" t="n">
        <f aca="false">AZ102+AZ103</f>
        <v>0</v>
      </c>
      <c r="BA104" s="138" t="n">
        <f aca="false">BA102+BA103</f>
        <v>0</v>
      </c>
      <c r="BB104" s="138" t="n">
        <f aca="false">BB102+BB103</f>
        <v>0</v>
      </c>
      <c r="BC104" s="138" t="n">
        <f aca="false">BC102+BC103</f>
        <v>0</v>
      </c>
      <c r="BD104" s="138" t="n">
        <f aca="false">BD102+BD103</f>
        <v>0</v>
      </c>
      <c r="BE104" s="138" t="n">
        <f aca="false">BE102+BE103</f>
        <v>0</v>
      </c>
      <c r="BF104" s="138" t="n">
        <f aca="false">BF102+BF103</f>
        <v>0</v>
      </c>
      <c r="BG104" s="138" t="n">
        <f aca="false">BG102+BG103</f>
        <v>0</v>
      </c>
      <c r="BH104" s="138" t="n">
        <f aca="false">BH102+BH103</f>
        <v>0</v>
      </c>
      <c r="BI104" s="138" t="n">
        <f aca="false">BI102+BI103</f>
        <v>0</v>
      </c>
      <c r="BJ104" s="138" t="n">
        <f aca="false">BJ102+BJ103</f>
        <v>0</v>
      </c>
      <c r="BK104" s="138" t="n">
        <f aca="false">BK102+BK103</f>
        <v>0</v>
      </c>
      <c r="BL104" s="138" t="n">
        <f aca="false">BL102+BL103</f>
        <v>0</v>
      </c>
      <c r="BM104" s="138" t="n">
        <f aca="false">BM102+BM103</f>
        <v>0</v>
      </c>
      <c r="BN104" s="138" t="n">
        <f aca="false">BN102+BN103</f>
        <v>0</v>
      </c>
      <c r="BO104" s="138" t="n">
        <f aca="false">BO102+BO103</f>
        <v>0</v>
      </c>
      <c r="BP104" s="138" t="n">
        <f aca="false">BP102+BP103</f>
        <v>0</v>
      </c>
      <c r="BQ104" s="138" t="n">
        <f aca="false">BQ102+BQ103</f>
        <v>0</v>
      </c>
      <c r="BR104" s="138" t="n">
        <f aca="false">BR102+BR103</f>
        <v>0</v>
      </c>
      <c r="BS104" s="138" t="n">
        <f aca="false">BS102+BS103</f>
        <v>0</v>
      </c>
      <c r="BT104" s="138" t="n">
        <f aca="false">BT102+BT103</f>
        <v>0</v>
      </c>
      <c r="BU104" s="138" t="n">
        <f aca="false">BU102+BU103</f>
        <v>0</v>
      </c>
      <c r="BV104" s="138" t="n">
        <f aca="false">BV102+BV103</f>
        <v>0</v>
      </c>
      <c r="BW104" s="138" t="n">
        <f aca="false">BW102+BW103</f>
        <v>0</v>
      </c>
      <c r="BX104" s="138" t="n">
        <f aca="false">BX102+BX103</f>
        <v>0</v>
      </c>
      <c r="BY104" s="138" t="n">
        <f aca="false">BY102+BY103</f>
        <v>0</v>
      </c>
      <c r="BZ104" s="138" t="n">
        <f aca="false">BZ102+BZ103</f>
        <v>0</v>
      </c>
      <c r="CA104" s="138" t="n">
        <f aca="false">CA102+CA103</f>
        <v>0</v>
      </c>
      <c r="CB104" s="138" t="n">
        <f aca="false">CB102+CB103</f>
        <v>0</v>
      </c>
      <c r="CC104" s="138" t="n">
        <f aca="false">CC102+CC103</f>
        <v>0</v>
      </c>
      <c r="CD104" s="138" t="n">
        <f aca="false">CD102+CD103</f>
        <v>0</v>
      </c>
      <c r="CE104" s="138" t="n">
        <f aca="false">CE102+CE103</f>
        <v>0</v>
      </c>
      <c r="CF104" s="138" t="n">
        <f aca="false">CF102+CF103</f>
        <v>0</v>
      </c>
      <c r="CG104" s="138" t="n">
        <f aca="false">CG102+CG103</f>
        <v>0</v>
      </c>
      <c r="CH104" s="138" t="n">
        <f aca="false">CH102+CH103</f>
        <v>0</v>
      </c>
    </row>
    <row r="105" customFormat="false" ht="13.5" hidden="false" customHeight="true" outlineLevel="0" collapsed="false"/>
    <row r="106" customFormat="false" ht="13.5" hidden="false" customHeight="true" outlineLevel="0" collapsed="false">
      <c r="A106" s="64" t="s">
        <v>780</v>
      </c>
      <c r="C106" s="99" t="n">
        <f aca="false">C93+C99+C104</f>
        <v>333.333333333333</v>
      </c>
      <c r="D106" s="99" t="n">
        <f aca="false">D93+D99+D104</f>
        <v>333.333333333333</v>
      </c>
      <c r="E106" s="99" t="n">
        <f aca="false">E93+E99+E104</f>
        <v>333.333333333333</v>
      </c>
      <c r="F106" s="99" t="n">
        <f aca="false">F93+F99+F104</f>
        <v>333.333333333333</v>
      </c>
      <c r="G106" s="99" t="n">
        <f aca="false">G93+G99+G104</f>
        <v>333.333333333333</v>
      </c>
      <c r="H106" s="99" t="n">
        <f aca="false">H93+H99+H104</f>
        <v>333.333333333333</v>
      </c>
      <c r="I106" s="99" t="n">
        <f aca="false">I93+I99+I104</f>
        <v>333.333333333333</v>
      </c>
      <c r="J106" s="99" t="n">
        <f aca="false">J93+J99+J104</f>
        <v>354.201084663088</v>
      </c>
      <c r="K106" s="99" t="n">
        <f aca="false">K93+K99+K104</f>
        <v>429.929317539693</v>
      </c>
      <c r="L106" s="99" t="n">
        <f aca="false">L93+L99+L104</f>
        <v>505.657550416297</v>
      </c>
      <c r="M106" s="99" t="n">
        <f aca="false">M93+M99+M104</f>
        <v>564.652581933376</v>
      </c>
      <c r="N106" s="99" t="n">
        <f aca="false">N93+N99+N104</f>
        <v>635.596042136151</v>
      </c>
      <c r="O106" s="99" t="n">
        <f aca="false">O93+O99+O104</f>
        <v>601.995502338927</v>
      </c>
      <c r="P106" s="99" t="n">
        <f aca="false">P93+P99+P104</f>
        <v>622.000120544564</v>
      </c>
      <c r="Q106" s="99" t="n">
        <f aca="false">Q93+Q99+Q104</f>
        <v>688.231138750202</v>
      </c>
      <c r="R106" s="99" t="n">
        <f aca="false">R93+R99+R104</f>
        <v>754.462156955839</v>
      </c>
      <c r="S106" s="99" t="n">
        <f aca="false">S93+S99+S104</f>
        <v>535.580454436972</v>
      </c>
      <c r="T106" s="99" t="n">
        <f aca="false">T93+T99+T104</f>
        <v>886.924193367114</v>
      </c>
      <c r="U106" s="99" t="n">
        <f aca="false">U93+U99+U104</f>
        <v>906.928811572752</v>
      </c>
      <c r="V106" s="99" t="n">
        <f aca="false">V93+V99+V104</f>
        <v>918.775829778389</v>
      </c>
      <c r="W106" s="99" t="n">
        <f aca="false">W93+W99+W104</f>
        <v>985.006847984027</v>
      </c>
      <c r="X106" s="99" t="n">
        <f aca="false">X93+X99+X104</f>
        <v>1039.28943750397</v>
      </c>
      <c r="Y106" s="99" t="n">
        <f aca="false">Y93+Y99+Y104</f>
        <v>1093.57202702391</v>
      </c>
      <c r="Z106" s="99" t="n">
        <f aca="false">Z93+Z99+Z104</f>
        <v>1143.54504506957</v>
      </c>
      <c r="AA106" s="99" t="n">
        <f aca="false">AA93+AA99+AA104</f>
        <v>2804.56974160018</v>
      </c>
      <c r="AB106" s="99" t="n">
        <f aca="false">AB93+AB99+AB104</f>
        <v>2787.35514164019</v>
      </c>
      <c r="AC106" s="99" t="n">
        <f aca="false">AC93+AC99+AC104</f>
        <v>2817.75373368021</v>
      </c>
      <c r="AD106" s="99" t="n">
        <f aca="false">AD93+AD99+AD104</f>
        <v>2848.15232572023</v>
      </c>
      <c r="AE106" s="99" t="n">
        <f aca="false">AE93+AE99+AE104</f>
        <v>2482.62707673741</v>
      </c>
      <c r="AF106" s="99" t="n">
        <f aca="false">AF93+AF99+AF104</f>
        <v>2908.94950980026</v>
      </c>
      <c r="AG106" s="99" t="n">
        <f aca="false">AG93+AG99+AG104</f>
        <v>2939.34810184028</v>
      </c>
      <c r="AH106" s="99" t="n">
        <f aca="false">AH93+AH99+AH104</f>
        <v>2969.74669388029</v>
      </c>
      <c r="AI106" s="99" t="n">
        <f aca="false">AI93+AI99+AI104</f>
        <v>3000.14528592031</v>
      </c>
      <c r="AJ106" s="99" t="n">
        <f aca="false">AJ93+AJ99+AJ104</f>
        <v>3030.54387796033</v>
      </c>
      <c r="AK106" s="99" t="n">
        <f aca="false">AK93+AK99+AK104</f>
        <v>3060.94247000034</v>
      </c>
      <c r="AL106" s="99" t="n">
        <f aca="false">AL93+AL99+AL104</f>
        <v>3043.72787004036</v>
      </c>
      <c r="AM106" s="99" t="n">
        <f aca="false">AM93+AM99+AM104</f>
        <v>3025.45194784037</v>
      </c>
      <c r="AN106" s="99" t="n">
        <f aca="false">AN93+AN99+AN104</f>
        <v>3055.85053988039</v>
      </c>
      <c r="AO106" s="99" t="n">
        <f aca="false">AO93+AO99+AO104</f>
        <v>3086.24913192041</v>
      </c>
      <c r="AP106" s="99" t="n">
        <f aca="false">AP93+AP99+AP104</f>
        <v>3116.64772396042</v>
      </c>
      <c r="AQ106" s="99" t="n">
        <f aca="false">AQ93+AQ99+AQ104</f>
        <v>2751.12247497761</v>
      </c>
      <c r="AR106" s="99" t="n">
        <f aca="false">AR93+AR99+AR104</f>
        <v>3177.44490804046</v>
      </c>
      <c r="AS106" s="99" t="n">
        <f aca="false">AS93+AS99+AS104</f>
        <v>3171.8893524849</v>
      </c>
      <c r="AT106" s="99" t="n">
        <f aca="false">AT93+AT99+AT104</f>
        <v>3166.33379692935</v>
      </c>
      <c r="AU106" s="99" t="n">
        <f aca="false">AU93+AU99+AU104</f>
        <v>3160.77824137379</v>
      </c>
      <c r="AV106" s="99" t="n">
        <f aca="false">AV93+AV99+AV104</f>
        <v>3155.22268581824</v>
      </c>
      <c r="AW106" s="99" t="n">
        <f aca="false">AW93+AW99+AW104</f>
        <v>3149.66713026268</v>
      </c>
      <c r="AX106" s="99" t="n">
        <f aca="false">AX93+AX99+AX104</f>
        <v>3144.11157470712</v>
      </c>
      <c r="AY106" s="99" t="n">
        <f aca="false">AY93+AY99+AY104</f>
        <v>3089.60926948437</v>
      </c>
      <c r="AZ106" s="99" t="n">
        <f aca="false">AZ93+AZ99+AZ104</f>
        <v>3084.05371392881</v>
      </c>
      <c r="BA106" s="99" t="n">
        <f aca="false">BA93+BA99+BA104</f>
        <v>3078.49815837326</v>
      </c>
      <c r="BB106" s="99" t="n">
        <f aca="false">BB93+BB99+BB104</f>
        <v>3072.9426028177</v>
      </c>
      <c r="BC106" s="99" t="n">
        <f aca="false">BC93+BC99+BC104</f>
        <v>2671.46320623932</v>
      </c>
      <c r="BD106" s="99" t="n">
        <f aca="false">BD93+BD99+BD104</f>
        <v>3061.83149170659</v>
      </c>
      <c r="BE106" s="99" t="n">
        <f aca="false">BE93+BE99+BE104</f>
        <v>3056.27593615103</v>
      </c>
      <c r="BF106" s="99" t="n">
        <f aca="false">BF93+BF99+BF104</f>
        <v>3050.72038059548</v>
      </c>
      <c r="BG106" s="99" t="n">
        <f aca="false">BG93+BG99+BG104</f>
        <v>3045.16482503992</v>
      </c>
      <c r="BH106" s="99" t="n">
        <f aca="false">BH93+BH99+BH104</f>
        <v>3039.60926948437</v>
      </c>
      <c r="BI106" s="99" t="n">
        <f aca="false">BI93+BI99+BI104</f>
        <v>3034.05371392881</v>
      </c>
      <c r="BJ106" s="99" t="n">
        <f aca="false">BJ93+BJ99+BJ104</f>
        <v>3028.49815837326</v>
      </c>
      <c r="BK106" s="99" t="n">
        <f aca="false">BK93+BK99+BK104</f>
        <v>2973.71545066048</v>
      </c>
      <c r="BL106" s="99" t="n">
        <f aca="false">BL93+BL99+BL104</f>
        <v>2968.15989510493</v>
      </c>
      <c r="BM106" s="99" t="n">
        <f aca="false">BM93+BM99+BM104</f>
        <v>2962.60433954937</v>
      </c>
      <c r="BN106" s="99" t="n">
        <f aca="false">BN93+BN99+BN104</f>
        <v>2957.04878399382</v>
      </c>
      <c r="BO106" s="99" t="n">
        <f aca="false">BO93+BO99+BO104</f>
        <v>2555.56938741543</v>
      </c>
      <c r="BP106" s="99" t="n">
        <f aca="false">BP93+BP99+BP104</f>
        <v>2945.93767288271</v>
      </c>
      <c r="BQ106" s="99" t="n">
        <f aca="false">BQ93+BQ99+BQ104</f>
        <v>2940.38211732715</v>
      </c>
      <c r="BR106" s="99" t="n">
        <f aca="false">BR93+BR99+BR104</f>
        <v>2934.8265617716</v>
      </c>
      <c r="BS106" s="99" t="n">
        <f aca="false">BS93+BS99+BS104</f>
        <v>2929.27100621604</v>
      </c>
      <c r="BT106" s="99" t="n">
        <f aca="false">BT93+BT99+BT104</f>
        <v>2923.71545066049</v>
      </c>
      <c r="BU106" s="99" t="n">
        <f aca="false">BU93+BU99+BU104</f>
        <v>2918.15989510493</v>
      </c>
      <c r="BV106" s="99" t="n">
        <f aca="false">BV93+BV99+BV104</f>
        <v>2912.60433954937</v>
      </c>
      <c r="BW106" s="99" t="n">
        <f aca="false">BW93+BW99+BW104</f>
        <v>2857.53281727189</v>
      </c>
      <c r="BX106" s="99" t="n">
        <f aca="false">BX93+BX99+BX104</f>
        <v>2851.97726171633</v>
      </c>
      <c r="BY106" s="99" t="n">
        <f aca="false">BY93+BY99+BY104</f>
        <v>2846.42170616078</v>
      </c>
      <c r="BZ106" s="99" t="n">
        <f aca="false">BZ93+BZ99+BZ104</f>
        <v>2840.86615060522</v>
      </c>
      <c r="CA106" s="99" t="n">
        <f aca="false">CA93+CA99+CA104</f>
        <v>2439.38675402683</v>
      </c>
      <c r="CB106" s="99" t="n">
        <f aca="false">CB93+CB99+CB104</f>
        <v>2829.75503949411</v>
      </c>
      <c r="CC106" s="99" t="n">
        <f aca="false">CC93+CC99+CC104</f>
        <v>2824.19948393855</v>
      </c>
      <c r="CD106" s="99" t="n">
        <f aca="false">CD93+CD99+CD104</f>
        <v>2818.643928383</v>
      </c>
      <c r="CE106" s="99" t="n">
        <f aca="false">CE93+CE99+CE104</f>
        <v>2813.08837282744</v>
      </c>
      <c r="CF106" s="99" t="n">
        <f aca="false">CF93+CF99+CF104</f>
        <v>2807.53281727189</v>
      </c>
      <c r="CG106" s="99" t="n">
        <f aca="false">CG93+CG99+CG104</f>
        <v>2801.97726171633</v>
      </c>
      <c r="CH106" s="99" t="n">
        <f aca="false">CH93+CH99+CH104</f>
        <v>2796.42170616072</v>
      </c>
    </row>
    <row r="107" customFormat="false" ht="13.5" hidden="false" customHeight="true" outlineLevel="0" collapsed="false">
      <c r="A107" s="13" t="s">
        <v>781</v>
      </c>
      <c r="C107" s="138" t="n">
        <f aca="false">C106</f>
        <v>333.333333333333</v>
      </c>
      <c r="D107" s="138" t="n">
        <f aca="false">C107+D106</f>
        <v>666.666666666667</v>
      </c>
      <c r="E107" s="138" t="n">
        <f aca="false">D107+E106</f>
        <v>1000</v>
      </c>
      <c r="F107" s="138" t="n">
        <f aca="false">E107+F106</f>
        <v>1333.33333333333</v>
      </c>
      <c r="G107" s="138" t="n">
        <f aca="false">F107+G106</f>
        <v>1666.66666666667</v>
      </c>
      <c r="H107" s="138" t="n">
        <f aca="false">G107+H106</f>
        <v>2000</v>
      </c>
      <c r="I107" s="138" t="n">
        <f aca="false">H107+I106</f>
        <v>2333.33333333333</v>
      </c>
      <c r="J107" s="138" t="n">
        <f aca="false">I107+J106</f>
        <v>2687.53441799642</v>
      </c>
      <c r="K107" s="138" t="n">
        <f aca="false">J107+K106</f>
        <v>3117.46373553611</v>
      </c>
      <c r="L107" s="138" t="n">
        <f aca="false">K107+L106</f>
        <v>3623.12128595241</v>
      </c>
      <c r="M107" s="138" t="n">
        <f aca="false">L107+M106</f>
        <v>4187.77386788579</v>
      </c>
      <c r="N107" s="138" t="n">
        <f aca="false">M107+N106</f>
        <v>4823.36991002194</v>
      </c>
      <c r="O107" s="138" t="n">
        <f aca="false">N107+O106</f>
        <v>5425.36541236087</v>
      </c>
      <c r="P107" s="138" t="n">
        <f aca="false">O107+P106</f>
        <v>6047.36553290543</v>
      </c>
      <c r="Q107" s="138" t="n">
        <f aca="false">P107+Q106</f>
        <v>6735.59667165563</v>
      </c>
      <c r="R107" s="138" t="n">
        <f aca="false">Q107+R106</f>
        <v>7490.05882861147</v>
      </c>
      <c r="S107" s="138" t="n">
        <f aca="false">R107+S106</f>
        <v>8025.63928304844</v>
      </c>
      <c r="T107" s="138" t="n">
        <f aca="false">S107+T106</f>
        <v>8912.56347641556</v>
      </c>
      <c r="U107" s="138" t="n">
        <f aca="false">T107+U106</f>
        <v>9819.49228798831</v>
      </c>
      <c r="V107" s="138" t="n">
        <f aca="false">U107+V106</f>
        <v>10738.2681177667</v>
      </c>
      <c r="W107" s="138" t="n">
        <f aca="false">V107+W106</f>
        <v>11723.2749657507</v>
      </c>
      <c r="X107" s="138" t="n">
        <f aca="false">W107+X106</f>
        <v>12762.5644032547</v>
      </c>
      <c r="Y107" s="138" t="n">
        <f aca="false">X107+Y106</f>
        <v>13856.1364302786</v>
      </c>
      <c r="Z107" s="138" t="n">
        <f aca="false">Y107+Z106</f>
        <v>14999.6814753482</v>
      </c>
      <c r="AA107" s="138" t="n">
        <f aca="false">Z107+AA106</f>
        <v>17804.2512169484</v>
      </c>
      <c r="AB107" s="138" t="n">
        <f aca="false">AA107+AB106</f>
        <v>20591.6063585885</v>
      </c>
      <c r="AC107" s="138" t="n">
        <f aca="false">AB107+AC106</f>
        <v>23409.3600922688</v>
      </c>
      <c r="AD107" s="138" t="n">
        <f aca="false">AC107+AD106</f>
        <v>26257.512417989</v>
      </c>
      <c r="AE107" s="138" t="n">
        <f aca="false">AD107+AE106</f>
        <v>28740.1394947264</v>
      </c>
      <c r="AF107" s="138" t="n">
        <f aca="false">AE107+AF106</f>
        <v>31649.0890045267</v>
      </c>
      <c r="AG107" s="138" t="n">
        <f aca="false">AF107+AG106</f>
        <v>34588.4371063669</v>
      </c>
      <c r="AH107" s="138" t="n">
        <f aca="false">AG107+AH106</f>
        <v>37558.1838002472</v>
      </c>
      <c r="AI107" s="138" t="n">
        <f aca="false">AH107+AI106</f>
        <v>40558.3290861675</v>
      </c>
      <c r="AJ107" s="138" t="n">
        <f aca="false">AI107+AJ106</f>
        <v>43588.8729641279</v>
      </c>
      <c r="AK107" s="138" t="n">
        <f aca="false">AJ107+AK106</f>
        <v>46649.8154341282</v>
      </c>
      <c r="AL107" s="138" t="n">
        <f aca="false">AK107+AL106</f>
        <v>49693.5433041686</v>
      </c>
      <c r="AM107" s="138" t="n">
        <f aca="false">AL107+AM106</f>
        <v>52718.9952520089</v>
      </c>
      <c r="AN107" s="138" t="n">
        <f aca="false">AM107+AN106</f>
        <v>55774.8457918893</v>
      </c>
      <c r="AO107" s="138" t="n">
        <f aca="false">AN107+AO106</f>
        <v>58861.0949238097</v>
      </c>
      <c r="AP107" s="138" t="n">
        <f aca="false">AO107+AP106</f>
        <v>61977.7426477702</v>
      </c>
      <c r="AQ107" s="138" t="n">
        <f aca="false">AP107+AQ106</f>
        <v>64728.8651227478</v>
      </c>
      <c r="AR107" s="138" t="n">
        <f aca="false">AQ107+AR106</f>
        <v>67906.3100307882</v>
      </c>
      <c r="AS107" s="138" t="n">
        <f aca="false">AR107+AS106</f>
        <v>71078.1993832731</v>
      </c>
      <c r="AT107" s="138" t="n">
        <f aca="false">AS107+AT106</f>
        <v>74244.5331802025</v>
      </c>
      <c r="AU107" s="138" t="n">
        <f aca="false">AT107+AU106</f>
        <v>77405.3114215763</v>
      </c>
      <c r="AV107" s="138" t="n">
        <f aca="false">AU107+AV106</f>
        <v>80560.5341073945</v>
      </c>
      <c r="AW107" s="138" t="n">
        <f aca="false">AV107+AW106</f>
        <v>83710.2012376572</v>
      </c>
      <c r="AX107" s="138" t="n">
        <f aca="false">AW107+AX106</f>
        <v>86854.3128123643</v>
      </c>
      <c r="AY107" s="138" t="n">
        <f aca="false">AX107+AY106</f>
        <v>89943.9220818487</v>
      </c>
      <c r="AZ107" s="138" t="n">
        <f aca="false">AY107+AZ106</f>
        <v>93027.9757957775</v>
      </c>
      <c r="BA107" s="138" t="n">
        <f aca="false">AZ107+BA106</f>
        <v>96106.4739541507</v>
      </c>
      <c r="BB107" s="138" t="n">
        <f aca="false">BA107+BB106</f>
        <v>99179.4165569684</v>
      </c>
      <c r="BC107" s="138" t="n">
        <f aca="false">BB107+BC106</f>
        <v>101850.879763208</v>
      </c>
      <c r="BD107" s="138" t="n">
        <f aca="false">BC107+BD106</f>
        <v>104912.711254914</v>
      </c>
      <c r="BE107" s="138" t="n">
        <f aca="false">BD107+BE106</f>
        <v>107968.987191065</v>
      </c>
      <c r="BF107" s="138" t="n">
        <f aca="false">BE107+BF106</f>
        <v>111019.707571661</v>
      </c>
      <c r="BG107" s="138" t="n">
        <f aca="false">BF107+BG106</f>
        <v>114064.872396701</v>
      </c>
      <c r="BH107" s="138" t="n">
        <f aca="false">BG107+BH106</f>
        <v>117104.481666185</v>
      </c>
      <c r="BI107" s="138" t="n">
        <f aca="false">BH107+BI106</f>
        <v>120138.535380114</v>
      </c>
      <c r="BJ107" s="138" t="n">
        <f aca="false">BI107+BJ106</f>
        <v>123167.033538487</v>
      </c>
      <c r="BK107" s="138" t="n">
        <f aca="false">BJ107+BK106</f>
        <v>126140.748989148</v>
      </c>
      <c r="BL107" s="138" t="n">
        <f aca="false">BK107+BL106</f>
        <v>129108.908884253</v>
      </c>
      <c r="BM107" s="138" t="n">
        <f aca="false">BL107+BM106</f>
        <v>132071.513223802</v>
      </c>
      <c r="BN107" s="138" t="n">
        <f aca="false">BM107+BN106</f>
        <v>135028.562007796</v>
      </c>
      <c r="BO107" s="138" t="n">
        <f aca="false">BN107+BO106</f>
        <v>137584.131395211</v>
      </c>
      <c r="BP107" s="138" t="n">
        <f aca="false">BO107+BP106</f>
        <v>140530.069068094</v>
      </c>
      <c r="BQ107" s="138" t="n">
        <f aca="false">BP107+BQ106</f>
        <v>143470.451185421</v>
      </c>
      <c r="BR107" s="138" t="n">
        <f aca="false">BQ107+BR106</f>
        <v>146405.277747193</v>
      </c>
      <c r="BS107" s="138" t="n">
        <f aca="false">BR107+BS106</f>
        <v>149334.548753409</v>
      </c>
      <c r="BT107" s="138" t="n">
        <f aca="false">BS107+BT106</f>
        <v>152258.264204069</v>
      </c>
      <c r="BU107" s="138" t="n">
        <f aca="false">BT107+BU106</f>
        <v>155176.424099174</v>
      </c>
      <c r="BV107" s="138" t="n">
        <f aca="false">BU107+BV106</f>
        <v>158089.028438724</v>
      </c>
      <c r="BW107" s="138" t="n">
        <f aca="false">BV107+BW106</f>
        <v>160946.561255995</v>
      </c>
      <c r="BX107" s="138" t="n">
        <f aca="false">BW107+BX106</f>
        <v>163798.538517712</v>
      </c>
      <c r="BY107" s="138" t="n">
        <f aca="false">BX107+BY106</f>
        <v>166644.960223872</v>
      </c>
      <c r="BZ107" s="138" t="n">
        <f aca="false">BY107+BZ106</f>
        <v>169485.826374478</v>
      </c>
      <c r="CA107" s="138" t="n">
        <f aca="false">BZ107+CA106</f>
        <v>171925.213128505</v>
      </c>
      <c r="CB107" s="138" t="n">
        <f aca="false">CA107+CB106</f>
        <v>174754.968167999</v>
      </c>
      <c r="CC107" s="138" t="n">
        <f aca="false">CB107+CC106</f>
        <v>177579.167651937</v>
      </c>
      <c r="CD107" s="138" t="n">
        <f aca="false">CC107+CD106</f>
        <v>180397.81158032</v>
      </c>
      <c r="CE107" s="138" t="n">
        <f aca="false">CD107+CE106</f>
        <v>183210.899953148</v>
      </c>
      <c r="CF107" s="138" t="n">
        <f aca="false">CE107+CF106</f>
        <v>186018.43277042</v>
      </c>
      <c r="CG107" s="138" t="n">
        <f aca="false">CF107+CG106</f>
        <v>188820.410032136</v>
      </c>
      <c r="CH107" s="138" t="n">
        <f aca="false">CG107+CH106</f>
        <v>191616.831738297</v>
      </c>
    </row>
    <row r="108" customFormat="false" ht="13.5" hidden="false" customHeight="true" outlineLevel="0" collapsed="false"/>
    <row r="109" customFormat="false" ht="12.75" hidden="false" customHeight="true" outlineLevel="0" collapsed="false">
      <c r="A109" s="10" t="s">
        <v>782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</row>
    <row r="110" customFormat="false" ht="13.5" hidden="false" customHeight="true" outlineLevel="0" collapsed="false">
      <c r="A110" s="13" t="s">
        <v>783</v>
      </c>
      <c r="C110" s="138" t="n">
        <f aca="false">C63</f>
        <v>-17543.3458306285</v>
      </c>
      <c r="D110" s="138" t="n">
        <f aca="false">C113+D63</f>
        <v>-33221.7386549099</v>
      </c>
      <c r="E110" s="138" t="n">
        <f aca="false">D113+E63</f>
        <v>-46202.5741001805</v>
      </c>
      <c r="F110" s="138" t="n">
        <f aca="false">E113+F63</f>
        <v>-57249.6567540892</v>
      </c>
      <c r="G110" s="138" t="n">
        <f aca="false">F113+G63</f>
        <v>-70883.0474369087</v>
      </c>
      <c r="H110" s="138" t="n">
        <f aca="false">G113+H63</f>
        <v>-77720.3432878866</v>
      </c>
      <c r="I110" s="138" t="n">
        <f aca="false">H113+I63</f>
        <v>-82147.0792420013</v>
      </c>
      <c r="J110" s="138" t="n">
        <f aca="false">I113+J63</f>
        <v>-82763.0923788831</v>
      </c>
      <c r="K110" s="138" t="n">
        <f aca="false">J113+K63</f>
        <v>-80170.9194018238</v>
      </c>
      <c r="L110" s="138" t="n">
        <f aca="false">K113+L63</f>
        <v>-74446.815180542</v>
      </c>
      <c r="M110" s="138" t="n">
        <f aca="false">L113+M63</f>
        <v>-66268.4201860965</v>
      </c>
      <c r="N110" s="138" t="n">
        <f aca="false">M113+N63</f>
        <v>-55126.7550946221</v>
      </c>
      <c r="O110" s="138" t="n">
        <f aca="false">N113+O63</f>
        <v>-45365.2848285513</v>
      </c>
      <c r="P110" s="138" t="n">
        <f aca="false">O113+P63</f>
        <v>-34775.4359287126</v>
      </c>
      <c r="Q110" s="138" t="n">
        <f aca="false">P113+Q63</f>
        <v>-21437.1649035617</v>
      </c>
      <c r="R110" s="138" t="n">
        <f aca="false">Q113+R63</f>
        <v>-5350.47175309849</v>
      </c>
      <c r="S110" s="138" t="n">
        <f aca="false">R113+S63</f>
        <v>1609.69870450133</v>
      </c>
      <c r="T110" s="138" t="n">
        <f aca="false">S113+T63</f>
        <v>23193.236105589</v>
      </c>
      <c r="U110" s="138" t="n">
        <f aca="false">T113+U63</f>
        <v>45599.8660719889</v>
      </c>
      <c r="V110" s="138" t="n">
        <f aca="false">U113+V63</f>
        <v>68489.8245637011</v>
      </c>
      <c r="W110" s="138" t="n">
        <f aca="false">V113+W63</f>
        <v>94128.2051807256</v>
      </c>
      <c r="X110" s="138" t="n">
        <f aca="false">W113+X63</f>
        <v>122020.163657366</v>
      </c>
      <c r="Y110" s="138" t="n">
        <f aca="false">X113+Y63</f>
        <v>152165.699993621</v>
      </c>
      <c r="Z110" s="138" t="n">
        <f aca="false">Y113+Z63</f>
        <v>184386.368778838</v>
      </c>
      <c r="AA110" s="138" t="n">
        <f aca="false">Z113+AA63</f>
        <v>216364.819899569</v>
      </c>
      <c r="AB110" s="138" t="n">
        <f aca="false">AA113+AB63</f>
        <v>247855.164434757</v>
      </c>
      <c r="AC110" s="138" t="n">
        <f aca="false">AB113+AC63</f>
        <v>280840.491831202</v>
      </c>
      <c r="AD110" s="138" t="n">
        <f aca="false">AC113+AD63</f>
        <v>315320.802088906</v>
      </c>
      <c r="AE110" s="138" t="n">
        <f aca="false">AD113+AE63</f>
        <v>334805.867229266</v>
      </c>
      <c r="AF110" s="138" t="n">
        <f aca="false">AE113+AF63</f>
        <v>372276.143209485</v>
      </c>
      <c r="AG110" s="138" t="n">
        <f aca="false">AF113+AG63</f>
        <v>411241.402050962</v>
      </c>
      <c r="AH110" s="138" t="n">
        <f aca="false">AG113+AH63</f>
        <v>451701.643753697</v>
      </c>
      <c r="AI110" s="138" t="n">
        <f aca="false">AH113+AI63</f>
        <v>493656.868317689</v>
      </c>
      <c r="AJ110" s="138" t="n">
        <f aca="false">AI113+AJ63</f>
        <v>537107.075742939</v>
      </c>
      <c r="AK110" s="138" t="n">
        <f aca="false">AJ113+AK63</f>
        <v>582052.266029446</v>
      </c>
      <c r="AL110" s="138" t="n">
        <f aca="false">AK113+AL63</f>
        <v>626509.349730412</v>
      </c>
      <c r="AM110" s="138" t="n">
        <f aca="false">AL113+AM63</f>
        <v>665266.502416406</v>
      </c>
      <c r="AN110" s="138" t="n">
        <f aca="false">AM113+AN63</f>
        <v>705342.75762704</v>
      </c>
      <c r="AO110" s="138" t="n">
        <f aca="false">AN113+AO63</f>
        <v>746738.115362313</v>
      </c>
      <c r="AP110" s="138" t="n">
        <f aca="false">AO113+AP63</f>
        <v>789452.575622225</v>
      </c>
      <c r="AQ110" s="138" t="n">
        <f aca="false">AP113+AQ63</f>
        <v>818935.937249187</v>
      </c>
      <c r="AR110" s="138" t="n">
        <f aca="false">AQ113+AR63</f>
        <v>864288.602558378</v>
      </c>
      <c r="AS110" s="138" t="n">
        <f aca="false">AR113+AS63</f>
        <v>909645.434534235</v>
      </c>
      <c r="AT110" s="138" t="n">
        <f aca="false">AS113+AT63</f>
        <v>955006.433176759</v>
      </c>
      <c r="AU110" s="138" t="n">
        <f aca="false">AT113+AU63</f>
        <v>1000371.59848595</v>
      </c>
      <c r="AV110" s="138" t="n">
        <f aca="false">AU113+AV63</f>
        <v>1045740.93046181</v>
      </c>
      <c r="AW110" s="138" t="n">
        <f aca="false">AV113+AW63</f>
        <v>1091114.42910433</v>
      </c>
      <c r="AX110" s="138" t="n">
        <f aca="false">AW113+AX63</f>
        <v>1136492.09441352</v>
      </c>
      <c r="AY110" s="138" t="n">
        <f aca="false">AX113+AY63</f>
        <v>1180075.13333911</v>
      </c>
      <c r="AZ110" s="138" t="n">
        <f aca="false">AY113+AZ63</f>
        <v>1223662.33893136</v>
      </c>
      <c r="BA110" s="138" t="n">
        <f aca="false">AZ113+BA63</f>
        <v>1267253.71119028</v>
      </c>
      <c r="BB110" s="138" t="n">
        <f aca="false">BA113+BB63</f>
        <v>1310849.25011587</v>
      </c>
      <c r="BC110" s="138" t="n">
        <f aca="false">BB113+BC63</f>
        <v>1339898.75455054</v>
      </c>
      <c r="BD110" s="138" t="n">
        <f aca="false">BC113+BD63</f>
        <v>1383502.62680946</v>
      </c>
      <c r="BE110" s="138" t="n">
        <f aca="false">BD113+BE63</f>
        <v>1427110.66573504</v>
      </c>
      <c r="BF110" s="138" t="n">
        <f aca="false">BE113+BF63</f>
        <v>1470722.8713273</v>
      </c>
      <c r="BG110" s="138" t="n">
        <f aca="false">BF113+BG63</f>
        <v>1514339.24358622</v>
      </c>
      <c r="BH110" s="138" t="n">
        <f aca="false">BG113+BH63</f>
        <v>1557959.78251181</v>
      </c>
      <c r="BI110" s="138" t="n">
        <f aca="false">BH113+BI63</f>
        <v>1601584.48810406</v>
      </c>
      <c r="BJ110" s="138" t="n">
        <f aca="false">BI113+BJ63</f>
        <v>1645213.36036298</v>
      </c>
      <c r="BK110" s="138" t="n">
        <f aca="false">BJ113+BK63</f>
        <v>1687037.30144679</v>
      </c>
      <c r="BL110" s="138" t="n">
        <f aca="false">BK113+BL63</f>
        <v>1728865.40919727</v>
      </c>
      <c r="BM110" s="138" t="n">
        <f aca="false">BL113+BM63</f>
        <v>1770697.68361441</v>
      </c>
      <c r="BN110" s="138" t="n">
        <f aca="false">BM113+BN63</f>
        <v>1812534.12469822</v>
      </c>
      <c r="BO110" s="138" t="n">
        <f aca="false">BN113+BO63</f>
        <v>1839824.53129111</v>
      </c>
      <c r="BP110" s="138" t="n">
        <f aca="false">BO113+BP63</f>
        <v>1881669.30570825</v>
      </c>
      <c r="BQ110" s="138" t="n">
        <f aca="false">BP113+BQ63</f>
        <v>1923518.24679206</v>
      </c>
      <c r="BR110" s="138" t="n">
        <f aca="false">BQ113+BR63</f>
        <v>1965371.35454254</v>
      </c>
      <c r="BS110" s="138" t="n">
        <f aca="false">BR113+BS63</f>
        <v>2007228.62895968</v>
      </c>
      <c r="BT110" s="138" t="n">
        <f aca="false">BS113+BT63</f>
        <v>2049090.07004349</v>
      </c>
      <c r="BU110" s="138" t="n">
        <f aca="false">BT113+BU63</f>
        <v>2090955.67779397</v>
      </c>
      <c r="BV110" s="138" t="n">
        <f aca="false">BU113+BV63</f>
        <v>2132825.45221111</v>
      </c>
      <c r="BW110" s="138" t="n">
        <f aca="false">BV113+BW63</f>
        <v>2172879.68151789</v>
      </c>
      <c r="BX110" s="138" t="n">
        <f aca="false">BW113+BX63</f>
        <v>2212938.07749134</v>
      </c>
      <c r="BY110" s="138" t="n">
        <f aca="false">BX113+BY63</f>
        <v>2253000.64013145</v>
      </c>
      <c r="BZ110" s="138" t="n">
        <f aca="false">BY113+BZ63</f>
        <v>2293067.36943823</v>
      </c>
      <c r="CA110" s="138" t="n">
        <f aca="false">BZ113+CA63</f>
        <v>2318588.06425408</v>
      </c>
      <c r="CB110" s="138" t="n">
        <f aca="false">CA113+CB63</f>
        <v>2358663.1268942</v>
      </c>
      <c r="CC110" s="138" t="n">
        <f aca="false">CB113+CC63</f>
        <v>2398742.35620097</v>
      </c>
      <c r="CD110" s="138" t="n">
        <f aca="false">CC113+CD63</f>
        <v>2438825.75217442</v>
      </c>
      <c r="CE110" s="138" t="n">
        <f aca="false">CD113+CE63</f>
        <v>2478913.31481453</v>
      </c>
      <c r="CF110" s="138" t="n">
        <f aca="false">CE113+CF63</f>
        <v>2519005.04412131</v>
      </c>
      <c r="CG110" s="138" t="n">
        <f aca="false">CF113+CG63</f>
        <v>2559100.94009476</v>
      </c>
      <c r="CH110" s="138" t="n">
        <f aca="false">CG113+CH63</f>
        <v>2599201.00273487</v>
      </c>
    </row>
    <row r="111" customFormat="false" ht="13.5" hidden="false" customHeight="true" outlineLevel="0" collapsed="false">
      <c r="A111" s="13" t="s">
        <v>784</v>
      </c>
      <c r="C111" s="138" t="n">
        <f aca="false">MIN(0.2*Hipótesis!$D$81,MAX(0,C110)*0.1)</f>
        <v>0</v>
      </c>
      <c r="D111" s="138" t="n">
        <f aca="false">MIN(0.2*Hipótesis!$D$81,MAX(0,D110)*0.1)</f>
        <v>0</v>
      </c>
      <c r="E111" s="138" t="n">
        <f aca="false">MIN(0.2*Hipótesis!$D$81,MAX(0,E110)*0.1)</f>
        <v>0</v>
      </c>
      <c r="F111" s="138" t="n">
        <f aca="false">MIN(0.2*Hipótesis!$D$81,MAX(0,F110)*0.1)</f>
        <v>0</v>
      </c>
      <c r="G111" s="138" t="n">
        <f aca="false">MIN(0.2*Hipótesis!$D$81,MAX(0,G110)*0.1)</f>
        <v>0</v>
      </c>
      <c r="H111" s="138" t="n">
        <f aca="false">MIN(0.2*Hipótesis!$D$81,MAX(0,H110)*0.1)</f>
        <v>0</v>
      </c>
      <c r="I111" s="138" t="n">
        <f aca="false">MIN(0.2*Hipótesis!$D$81,MAX(0,I110)*0.1)</f>
        <v>0</v>
      </c>
      <c r="J111" s="138" t="n">
        <f aca="false">MIN(0.2*Hipótesis!$D$81,MAX(0,J110)*0.1)</f>
        <v>0</v>
      </c>
      <c r="K111" s="138" t="n">
        <f aca="false">MIN(0.2*Hipótesis!$D$81,MAX(0,K110)*0.1)</f>
        <v>0</v>
      </c>
      <c r="L111" s="138" t="n">
        <f aca="false">MIN(0.2*Hipótesis!$D$81,MAX(0,L110)*0.1)</f>
        <v>0</v>
      </c>
      <c r="M111" s="138" t="n">
        <f aca="false">MIN(0.2*Hipótesis!$D$81,MAX(0,M110)*0.1)</f>
        <v>0</v>
      </c>
      <c r="N111" s="138" t="n">
        <f aca="false">MIN(0.2*Hipótesis!$D$81,MAX(0,N110)*0.1)</f>
        <v>0</v>
      </c>
      <c r="O111" s="138" t="n">
        <f aca="false">MIN(0.2*Hipótesis!$D$81,MAX(0,O110)*0.1)</f>
        <v>0</v>
      </c>
      <c r="P111" s="138" t="n">
        <f aca="false">MIN(0.2*Hipótesis!$D$81,MAX(0,P110)*0.1)</f>
        <v>0</v>
      </c>
      <c r="Q111" s="138" t="n">
        <f aca="false">MIN(0.2*Hipótesis!$D$81,MAX(0,Q110)*0.1)</f>
        <v>0</v>
      </c>
      <c r="R111" s="138" t="n">
        <f aca="false">MIN(0.2*Hipótesis!$D$81,MAX(0,R110)*0.1)</f>
        <v>0</v>
      </c>
      <c r="S111" s="138" t="n">
        <f aca="false">MIN(0.2*Hipótesis!$D$81,MAX(0,S110)*0.1)</f>
        <v>160.969870450133</v>
      </c>
      <c r="T111" s="138" t="n">
        <f aca="false">MIN(0.2*Hipótesis!$D$81,MAX(0,T110)*0.1)</f>
        <v>2319.3236105589</v>
      </c>
      <c r="U111" s="138" t="n">
        <f aca="false">MIN(0.2*Hipótesis!$D$81,MAX(0,U110)*0.1)</f>
        <v>4559.98660719889</v>
      </c>
      <c r="V111" s="138" t="n">
        <f aca="false">MIN(0.2*Hipótesis!$D$81,MAX(0,V110)*0.1)</f>
        <v>6848.98245637012</v>
      </c>
      <c r="W111" s="138" t="n">
        <f aca="false">MIN(0.2*Hipótesis!$D$81,MAX(0,W110)*0.1)</f>
        <v>9412.82051807256</v>
      </c>
      <c r="X111" s="138" t="n">
        <f aca="false">MIN(0.2*Hipótesis!$D$81,MAX(0,X110)*0.1)</f>
        <v>12202.0163657366</v>
      </c>
      <c r="Y111" s="138" t="n">
        <f aca="false">MIN(0.2*Hipótesis!$D$81,MAX(0,Y110)*0.1)</f>
        <v>15216.5699993621</v>
      </c>
      <c r="Z111" s="138" t="n">
        <f aca="false">MIN(0.2*Hipótesis!$D$81,MAX(0,Z110)*0.1)</f>
        <v>18438.6368778838</v>
      </c>
      <c r="AA111" s="138" t="n">
        <f aca="false">MIN(0.2*Hipótesis!$D$81,MAX(0,AA110)*0.1)</f>
        <v>20006</v>
      </c>
      <c r="AB111" s="138" t="n">
        <f aca="false">MIN(0.2*Hipótesis!$D$81,MAX(0,AB110)*0.1)</f>
        <v>20006</v>
      </c>
      <c r="AC111" s="138" t="n">
        <f aca="false">MIN(0.2*Hipótesis!$D$81,MAX(0,AC110)*0.1)</f>
        <v>20006</v>
      </c>
      <c r="AD111" s="138" t="n">
        <f aca="false">MIN(0.2*Hipótesis!$D$81,MAX(0,AD110)*0.1)</f>
        <v>20006</v>
      </c>
      <c r="AE111" s="138" t="n">
        <f aca="false">MIN(0.2*Hipótesis!$D$81,MAX(0,AE110)*0.1)</f>
        <v>20006</v>
      </c>
      <c r="AF111" s="138" t="n">
        <f aca="false">MIN(0.2*Hipótesis!$D$81,MAX(0,AF110)*0.1)</f>
        <v>20006</v>
      </c>
      <c r="AG111" s="138" t="n">
        <f aca="false">MIN(0.2*Hipótesis!$D$81,MAX(0,AG110)*0.1)</f>
        <v>20006</v>
      </c>
      <c r="AH111" s="138" t="n">
        <f aca="false">MIN(0.2*Hipótesis!$D$81,MAX(0,AH110)*0.1)</f>
        <v>20006</v>
      </c>
      <c r="AI111" s="138" t="n">
        <f aca="false">MIN(0.2*Hipótesis!$D$81,MAX(0,AI110)*0.1)</f>
        <v>20006</v>
      </c>
      <c r="AJ111" s="138" t="n">
        <f aca="false">MIN(0.2*Hipótesis!$D$81,MAX(0,AJ110)*0.1)</f>
        <v>20006</v>
      </c>
      <c r="AK111" s="138" t="n">
        <f aca="false">MIN(0.2*Hipótesis!$D$81,MAX(0,AK110)*0.1)</f>
        <v>20006</v>
      </c>
      <c r="AL111" s="138" t="n">
        <f aca="false">MIN(0.2*Hipótesis!$D$81,MAX(0,AL110)*0.1)</f>
        <v>20006</v>
      </c>
      <c r="AM111" s="138" t="n">
        <f aca="false">MIN(0.2*Hipótesis!$D$81,MAX(0,AM110)*0.1)</f>
        <v>20006</v>
      </c>
      <c r="AN111" s="138" t="n">
        <f aca="false">MIN(0.2*Hipótesis!$D$81,MAX(0,AN110)*0.1)</f>
        <v>20006</v>
      </c>
      <c r="AO111" s="138" t="n">
        <f aca="false">MIN(0.2*Hipótesis!$D$81,MAX(0,AO110)*0.1)</f>
        <v>20006</v>
      </c>
      <c r="AP111" s="138" t="n">
        <f aca="false">MIN(0.2*Hipótesis!$D$81,MAX(0,AP110)*0.1)</f>
        <v>20006</v>
      </c>
      <c r="AQ111" s="138" t="n">
        <f aca="false">MIN(0.2*Hipótesis!$D$81,MAX(0,AQ110)*0.1)</f>
        <v>20006</v>
      </c>
      <c r="AR111" s="138" t="n">
        <f aca="false">MIN(0.2*Hipótesis!$D$81,MAX(0,AR110)*0.1)</f>
        <v>20006</v>
      </c>
      <c r="AS111" s="138" t="n">
        <f aca="false">MIN(0.2*Hipótesis!$D$81,MAX(0,AS110)*0.1)</f>
        <v>20006</v>
      </c>
      <c r="AT111" s="138" t="n">
        <f aca="false">MIN(0.2*Hipótesis!$D$81,MAX(0,AT110)*0.1)</f>
        <v>20006</v>
      </c>
      <c r="AU111" s="138" t="n">
        <f aca="false">MIN(0.2*Hipótesis!$D$81,MAX(0,AU110)*0.1)</f>
        <v>20006</v>
      </c>
      <c r="AV111" s="138" t="n">
        <f aca="false">MIN(0.2*Hipótesis!$D$81,MAX(0,AV110)*0.1)</f>
        <v>20006</v>
      </c>
      <c r="AW111" s="138" t="n">
        <f aca="false">MIN(0.2*Hipótesis!$D$81,MAX(0,AW110)*0.1)</f>
        <v>20006</v>
      </c>
      <c r="AX111" s="138" t="n">
        <f aca="false">MIN(0.2*Hipótesis!$D$81,MAX(0,AX110)*0.1)</f>
        <v>20006</v>
      </c>
      <c r="AY111" s="138" t="n">
        <f aca="false">MIN(0.2*Hipótesis!$D$81,MAX(0,AY110)*0.1)</f>
        <v>20006</v>
      </c>
      <c r="AZ111" s="138" t="n">
        <f aca="false">MIN(0.2*Hipótesis!$D$81,MAX(0,AZ110)*0.1)</f>
        <v>20006</v>
      </c>
      <c r="BA111" s="138" t="n">
        <f aca="false">MIN(0.2*Hipótesis!$D$81,MAX(0,BA110)*0.1)</f>
        <v>20006</v>
      </c>
      <c r="BB111" s="138" t="n">
        <f aca="false">MIN(0.2*Hipótesis!$D$81,MAX(0,BB110)*0.1)</f>
        <v>20006</v>
      </c>
      <c r="BC111" s="138" t="n">
        <f aca="false">MIN(0.2*Hipótesis!$D$81,MAX(0,BC110)*0.1)</f>
        <v>20006</v>
      </c>
      <c r="BD111" s="138" t="n">
        <f aca="false">MIN(0.2*Hipótesis!$D$81,MAX(0,BD110)*0.1)</f>
        <v>20006</v>
      </c>
      <c r="BE111" s="138" t="n">
        <f aca="false">MIN(0.2*Hipótesis!$D$81,MAX(0,BE110)*0.1)</f>
        <v>20006</v>
      </c>
      <c r="BF111" s="138" t="n">
        <f aca="false">MIN(0.2*Hipótesis!$D$81,MAX(0,BF110)*0.1)</f>
        <v>20006</v>
      </c>
      <c r="BG111" s="138" t="n">
        <f aca="false">MIN(0.2*Hipótesis!$D$81,MAX(0,BG110)*0.1)</f>
        <v>20006</v>
      </c>
      <c r="BH111" s="138" t="n">
        <f aca="false">MIN(0.2*Hipótesis!$D$81,MAX(0,BH110)*0.1)</f>
        <v>20006</v>
      </c>
      <c r="BI111" s="138" t="n">
        <f aca="false">MIN(0.2*Hipótesis!$D$81,MAX(0,BI110)*0.1)</f>
        <v>20006</v>
      </c>
      <c r="BJ111" s="138" t="n">
        <f aca="false">MIN(0.2*Hipótesis!$D$81,MAX(0,BJ110)*0.1)</f>
        <v>20006</v>
      </c>
      <c r="BK111" s="138" t="n">
        <f aca="false">MIN(0.2*Hipótesis!$D$81,MAX(0,BK110)*0.1)</f>
        <v>20006</v>
      </c>
      <c r="BL111" s="138" t="n">
        <f aca="false">MIN(0.2*Hipótesis!$D$81,MAX(0,BL110)*0.1)</f>
        <v>20006</v>
      </c>
      <c r="BM111" s="138" t="n">
        <f aca="false">MIN(0.2*Hipótesis!$D$81,MAX(0,BM110)*0.1)</f>
        <v>20006</v>
      </c>
      <c r="BN111" s="138" t="n">
        <f aca="false">MIN(0.2*Hipótesis!$D$81,MAX(0,BN110)*0.1)</f>
        <v>20006</v>
      </c>
      <c r="BO111" s="138" t="n">
        <f aca="false">MIN(0.2*Hipótesis!$D$81,MAX(0,BO110)*0.1)</f>
        <v>20006</v>
      </c>
      <c r="BP111" s="138" t="n">
        <f aca="false">MIN(0.2*Hipótesis!$D$81,MAX(0,BP110)*0.1)</f>
        <v>20006</v>
      </c>
      <c r="BQ111" s="138" t="n">
        <f aca="false">MIN(0.2*Hipótesis!$D$81,MAX(0,BQ110)*0.1)</f>
        <v>20006</v>
      </c>
      <c r="BR111" s="138" t="n">
        <f aca="false">MIN(0.2*Hipótesis!$D$81,MAX(0,BR110)*0.1)</f>
        <v>20006</v>
      </c>
      <c r="BS111" s="138" t="n">
        <f aca="false">MIN(0.2*Hipótesis!$D$81,MAX(0,BS110)*0.1)</f>
        <v>20006</v>
      </c>
      <c r="BT111" s="138" t="n">
        <f aca="false">MIN(0.2*Hipótesis!$D$81,MAX(0,BT110)*0.1)</f>
        <v>20006</v>
      </c>
      <c r="BU111" s="138" t="n">
        <f aca="false">MIN(0.2*Hipótesis!$D$81,MAX(0,BU110)*0.1)</f>
        <v>20006</v>
      </c>
      <c r="BV111" s="138" t="n">
        <f aca="false">MIN(0.2*Hipótesis!$D$81,MAX(0,BV110)*0.1)</f>
        <v>20006</v>
      </c>
      <c r="BW111" s="138" t="n">
        <f aca="false">MIN(0.2*Hipótesis!$D$81,MAX(0,BW110)*0.1)</f>
        <v>20006</v>
      </c>
      <c r="BX111" s="138" t="n">
        <f aca="false">MIN(0.2*Hipótesis!$D$81,MAX(0,BX110)*0.1)</f>
        <v>20006</v>
      </c>
      <c r="BY111" s="138" t="n">
        <f aca="false">MIN(0.2*Hipótesis!$D$81,MAX(0,BY110)*0.1)</f>
        <v>20006</v>
      </c>
      <c r="BZ111" s="138" t="n">
        <f aca="false">MIN(0.2*Hipótesis!$D$81,MAX(0,BZ110)*0.1)</f>
        <v>20006</v>
      </c>
      <c r="CA111" s="138" t="n">
        <f aca="false">MIN(0.2*Hipótesis!$D$81,MAX(0,CA110)*0.1)</f>
        <v>20006</v>
      </c>
      <c r="CB111" s="138" t="n">
        <f aca="false">MIN(0.2*Hipótesis!$D$81,MAX(0,CB110)*0.1)</f>
        <v>20006</v>
      </c>
      <c r="CC111" s="138" t="n">
        <f aca="false">MIN(0.2*Hipótesis!$D$81,MAX(0,CC110)*0.1)</f>
        <v>20006</v>
      </c>
      <c r="CD111" s="138" t="n">
        <f aca="false">MIN(0.2*Hipótesis!$D$81,MAX(0,CD110)*0.1)</f>
        <v>20006</v>
      </c>
      <c r="CE111" s="138" t="n">
        <f aca="false">MIN(0.2*Hipótesis!$D$81,MAX(0,CE110)*0.1)</f>
        <v>20006</v>
      </c>
      <c r="CF111" s="138" t="n">
        <f aca="false">MIN(0.2*Hipótesis!$D$81,MAX(0,CF110)*0.1)</f>
        <v>20006</v>
      </c>
      <c r="CG111" s="138" t="n">
        <f aca="false">MIN(0.2*Hipótesis!$D$81,MAX(0,CG110)*0.1)</f>
        <v>20006</v>
      </c>
      <c r="CH111" s="138" t="n">
        <f aca="false">MIN(0.2*Hipótesis!$D$81,MAX(0,CH110)*0.1)</f>
        <v>20006</v>
      </c>
    </row>
    <row r="112" customFormat="false" ht="13.5" hidden="false" customHeight="true" outlineLevel="0" collapsed="false">
      <c r="A112" s="30" t="s">
        <v>785</v>
      </c>
      <c r="C112" s="138" t="n">
        <f aca="false">MAX(0,C110-C111)</f>
        <v>0</v>
      </c>
      <c r="D112" s="138" t="n">
        <f aca="false">MAX(0,D110-D111)</f>
        <v>0</v>
      </c>
      <c r="E112" s="138" t="n">
        <f aca="false">MAX(0,E110-E111)</f>
        <v>0</v>
      </c>
      <c r="F112" s="138" t="n">
        <f aca="false">MAX(0,F110-F111)</f>
        <v>0</v>
      </c>
      <c r="G112" s="138" t="n">
        <f aca="false">MAX(0,G110-G111)</f>
        <v>0</v>
      </c>
      <c r="H112" s="138" t="n">
        <f aca="false">MAX(0,H110-H111)</f>
        <v>0</v>
      </c>
      <c r="I112" s="138" t="n">
        <f aca="false">MAX(0,I110-I111)</f>
        <v>0</v>
      </c>
      <c r="J112" s="138" t="n">
        <f aca="false">MAX(0,J110-J111)</f>
        <v>0</v>
      </c>
      <c r="K112" s="138" t="n">
        <f aca="false">MAX(0,K110-K111)</f>
        <v>0</v>
      </c>
      <c r="L112" s="138" t="n">
        <f aca="false">MAX(0,L110-L111)</f>
        <v>0</v>
      </c>
      <c r="M112" s="138" t="n">
        <f aca="false">MAX(0,M110-M111)</f>
        <v>0</v>
      </c>
      <c r="N112" s="138" t="n">
        <f aca="false">MAX(0,N110-N111)</f>
        <v>0</v>
      </c>
      <c r="O112" s="138" t="n">
        <f aca="false">MAX(0,O110-O111)</f>
        <v>0</v>
      </c>
      <c r="P112" s="138" t="n">
        <f aca="false">MAX(0,P110-P111)</f>
        <v>0</v>
      </c>
      <c r="Q112" s="138" t="n">
        <f aca="false">MAX(0,Q110-Q111)</f>
        <v>0</v>
      </c>
      <c r="R112" s="138" t="n">
        <f aca="false">MAX(0,R110-R111)</f>
        <v>0</v>
      </c>
      <c r="S112" s="138" t="n">
        <f aca="false">MAX(0,S110-S111)</f>
        <v>1448.72883405119</v>
      </c>
      <c r="T112" s="138" t="n">
        <f aca="false">MAX(0,T110-T111)</f>
        <v>20873.9124950301</v>
      </c>
      <c r="U112" s="138" t="n">
        <f aca="false">MAX(0,U110-U111)</f>
        <v>41039.8794647901</v>
      </c>
      <c r="V112" s="138" t="n">
        <f aca="false">MAX(0,V110-V111)</f>
        <v>61640.842107331</v>
      </c>
      <c r="W112" s="138" t="n">
        <f aca="false">MAX(0,W110-W111)</f>
        <v>84715.384662653</v>
      </c>
      <c r="X112" s="138" t="n">
        <f aca="false">MAX(0,X110-X111)</f>
        <v>109818.147291629</v>
      </c>
      <c r="Y112" s="138" t="n">
        <f aca="false">MAX(0,Y110-Y111)</f>
        <v>136949.129994259</v>
      </c>
      <c r="Z112" s="138" t="n">
        <f aca="false">MAX(0,Z110-Z111)</f>
        <v>165947.731900954</v>
      </c>
      <c r="AA112" s="138" t="n">
        <f aca="false">MAX(0,AA110-AA111)</f>
        <v>196358.819899569</v>
      </c>
      <c r="AB112" s="138" t="n">
        <f aca="false">MAX(0,AB110-AB111)</f>
        <v>227849.164434757</v>
      </c>
      <c r="AC112" s="138" t="n">
        <f aca="false">MAX(0,AC110-AC111)</f>
        <v>260834.491831202</v>
      </c>
      <c r="AD112" s="138" t="n">
        <f aca="false">MAX(0,AD110-AD111)</f>
        <v>295314.802088906</v>
      </c>
      <c r="AE112" s="138" t="n">
        <f aca="false">MAX(0,AE110-AE111)</f>
        <v>314799.867229266</v>
      </c>
      <c r="AF112" s="138" t="n">
        <f aca="false">MAX(0,AF110-AF111)</f>
        <v>352270.143209485</v>
      </c>
      <c r="AG112" s="138" t="n">
        <f aca="false">MAX(0,AG110-AG111)</f>
        <v>391235.402050962</v>
      </c>
      <c r="AH112" s="138" t="n">
        <f aca="false">MAX(0,AH110-AH111)</f>
        <v>431695.643753697</v>
      </c>
      <c r="AI112" s="138" t="n">
        <f aca="false">MAX(0,AI110-AI111)</f>
        <v>473650.868317689</v>
      </c>
      <c r="AJ112" s="138" t="n">
        <f aca="false">MAX(0,AJ110-AJ111)</f>
        <v>517101.075742939</v>
      </c>
      <c r="AK112" s="138" t="n">
        <f aca="false">MAX(0,AK110-AK111)</f>
        <v>562046.266029446</v>
      </c>
      <c r="AL112" s="138" t="n">
        <f aca="false">MAX(0,AL110-AL111)</f>
        <v>606503.349730412</v>
      </c>
      <c r="AM112" s="138" t="n">
        <f aca="false">MAX(0,AM110-AM111)</f>
        <v>645260.502416406</v>
      </c>
      <c r="AN112" s="138" t="n">
        <f aca="false">MAX(0,AN110-AN111)</f>
        <v>685336.75762704</v>
      </c>
      <c r="AO112" s="138" t="n">
        <f aca="false">MAX(0,AO110-AO111)</f>
        <v>726732.115362313</v>
      </c>
      <c r="AP112" s="138" t="n">
        <f aca="false">MAX(0,AP110-AP111)</f>
        <v>769446.575622225</v>
      </c>
      <c r="AQ112" s="138" t="n">
        <f aca="false">MAX(0,AQ110-AQ111)</f>
        <v>798929.937249187</v>
      </c>
      <c r="AR112" s="138" t="n">
        <f aca="false">MAX(0,AR110-AR111)</f>
        <v>844282.602558378</v>
      </c>
      <c r="AS112" s="138" t="n">
        <f aca="false">MAX(0,AS110-AS111)</f>
        <v>889639.434534235</v>
      </c>
      <c r="AT112" s="138" t="n">
        <f aca="false">MAX(0,AT110-AT111)</f>
        <v>935000.433176759</v>
      </c>
      <c r="AU112" s="138" t="n">
        <f aca="false">MAX(0,AU110-AU111)</f>
        <v>980365.598485949</v>
      </c>
      <c r="AV112" s="138" t="n">
        <f aca="false">MAX(0,AV110-AV111)</f>
        <v>1025734.93046181</v>
      </c>
      <c r="AW112" s="138" t="n">
        <f aca="false">MAX(0,AW110-AW111)</f>
        <v>1071108.42910433</v>
      </c>
      <c r="AX112" s="138" t="n">
        <f aca="false">MAX(0,AX110-AX111)</f>
        <v>1116486.09441352</v>
      </c>
      <c r="AY112" s="138" t="n">
        <f aca="false">MAX(0,AY110-AY111)</f>
        <v>1160069.13333911</v>
      </c>
      <c r="AZ112" s="138" t="n">
        <f aca="false">MAX(0,AZ110-AZ111)</f>
        <v>1203656.33893136</v>
      </c>
      <c r="BA112" s="138" t="n">
        <f aca="false">MAX(0,BA110-BA111)</f>
        <v>1247247.71119028</v>
      </c>
      <c r="BB112" s="138" t="n">
        <f aca="false">MAX(0,BB110-BB111)</f>
        <v>1290843.25011587</v>
      </c>
      <c r="BC112" s="138" t="n">
        <f aca="false">MAX(0,BC110-BC111)</f>
        <v>1319892.75455054</v>
      </c>
      <c r="BD112" s="138" t="n">
        <f aca="false">MAX(0,BD110-BD111)</f>
        <v>1363496.62680946</v>
      </c>
      <c r="BE112" s="138" t="n">
        <f aca="false">MAX(0,BE110-BE111)</f>
        <v>1407104.66573504</v>
      </c>
      <c r="BF112" s="138" t="n">
        <f aca="false">MAX(0,BF110-BF111)</f>
        <v>1450716.8713273</v>
      </c>
      <c r="BG112" s="138" t="n">
        <f aca="false">MAX(0,BG110-BG111)</f>
        <v>1494333.24358622</v>
      </c>
      <c r="BH112" s="138" t="n">
        <f aca="false">MAX(0,BH110-BH111)</f>
        <v>1537953.78251181</v>
      </c>
      <c r="BI112" s="138" t="n">
        <f aca="false">MAX(0,BI110-BI111)</f>
        <v>1581578.48810406</v>
      </c>
      <c r="BJ112" s="138" t="n">
        <f aca="false">MAX(0,BJ110-BJ111)</f>
        <v>1625207.36036298</v>
      </c>
      <c r="BK112" s="138" t="n">
        <f aca="false">MAX(0,BK110-BK111)</f>
        <v>1667031.30144679</v>
      </c>
      <c r="BL112" s="138" t="n">
        <f aca="false">MAX(0,BL110-BL111)</f>
        <v>1708859.40919727</v>
      </c>
      <c r="BM112" s="138" t="n">
        <f aca="false">MAX(0,BM110-BM111)</f>
        <v>1750691.68361441</v>
      </c>
      <c r="BN112" s="138" t="n">
        <f aca="false">MAX(0,BN110-BN111)</f>
        <v>1792528.12469822</v>
      </c>
      <c r="BO112" s="138" t="n">
        <f aca="false">MAX(0,BO110-BO111)</f>
        <v>1819818.53129111</v>
      </c>
      <c r="BP112" s="138" t="n">
        <f aca="false">MAX(0,BP110-BP111)</f>
        <v>1861663.30570825</v>
      </c>
      <c r="BQ112" s="138" t="n">
        <f aca="false">MAX(0,BQ110-BQ111)</f>
        <v>1903512.24679206</v>
      </c>
      <c r="BR112" s="138" t="n">
        <f aca="false">MAX(0,BR110-BR111)</f>
        <v>1945365.35454254</v>
      </c>
      <c r="BS112" s="138" t="n">
        <f aca="false">MAX(0,BS110-BS111)</f>
        <v>1987222.62895968</v>
      </c>
      <c r="BT112" s="138" t="n">
        <f aca="false">MAX(0,BT110-BT111)</f>
        <v>2029084.07004349</v>
      </c>
      <c r="BU112" s="138" t="n">
        <f aca="false">MAX(0,BU110-BU111)</f>
        <v>2070949.67779397</v>
      </c>
      <c r="BV112" s="138" t="n">
        <f aca="false">MAX(0,BV110-BV111)</f>
        <v>2112819.45221111</v>
      </c>
      <c r="BW112" s="138" t="n">
        <f aca="false">MAX(0,BW110-BW111)</f>
        <v>2152873.68151789</v>
      </c>
      <c r="BX112" s="138" t="n">
        <f aca="false">MAX(0,BX110-BX111)</f>
        <v>2192932.07749134</v>
      </c>
      <c r="BY112" s="138" t="n">
        <f aca="false">MAX(0,BY110-BY111)</f>
        <v>2232994.64013145</v>
      </c>
      <c r="BZ112" s="138" t="n">
        <f aca="false">MAX(0,BZ110-BZ111)</f>
        <v>2273061.36943823</v>
      </c>
      <c r="CA112" s="138" t="n">
        <f aca="false">MAX(0,CA110-CA111)</f>
        <v>2298582.06425408</v>
      </c>
      <c r="CB112" s="138" t="n">
        <f aca="false">MAX(0,CB110-CB111)</f>
        <v>2338657.1268942</v>
      </c>
      <c r="CC112" s="138" t="n">
        <f aca="false">MAX(0,CC110-CC111)</f>
        <v>2378736.35620097</v>
      </c>
      <c r="CD112" s="138" t="n">
        <f aca="false">MAX(0,CD110-CD111)</f>
        <v>2418819.75217442</v>
      </c>
      <c r="CE112" s="138" t="n">
        <f aca="false">MAX(0,CE110-CE111)</f>
        <v>2458907.31481453</v>
      </c>
      <c r="CF112" s="138" t="n">
        <f aca="false">MAX(0,CF110-CF111)</f>
        <v>2498999.04412131</v>
      </c>
      <c r="CG112" s="138" t="n">
        <f aca="false">MAX(0,CG110-CG111)</f>
        <v>2539094.94009476</v>
      </c>
      <c r="CH112" s="138" t="n">
        <f aca="false">MAX(0,CH110-CH111)</f>
        <v>2579195.00273487</v>
      </c>
    </row>
    <row r="113" customFormat="false" ht="13.5" hidden="false" customHeight="true" outlineLevel="0" collapsed="false">
      <c r="A113" s="13" t="s">
        <v>786</v>
      </c>
      <c r="C113" s="138" t="n">
        <f aca="false">C110+C84</f>
        <v>-17543.3458306285</v>
      </c>
      <c r="D113" s="138" t="n">
        <f aca="false">D110+D84</f>
        <v>-33221.7386549099</v>
      </c>
      <c r="E113" s="138" t="n">
        <f aca="false">E110+E84</f>
        <v>-46202.5741001805</v>
      </c>
      <c r="F113" s="138" t="n">
        <f aca="false">F110+F84</f>
        <v>-57249.6567540892</v>
      </c>
      <c r="G113" s="138" t="n">
        <f aca="false">G110+G84</f>
        <v>-70883.0474369087</v>
      </c>
      <c r="H113" s="138" t="n">
        <f aca="false">H110+H84</f>
        <v>-77720.3432878866</v>
      </c>
      <c r="I113" s="138" t="n">
        <f aca="false">I110+I84</f>
        <v>-82147.0792420013</v>
      </c>
      <c r="J113" s="138" t="n">
        <f aca="false">J110+J84</f>
        <v>-82763.0923788831</v>
      </c>
      <c r="K113" s="138" t="n">
        <f aca="false">K110+K84</f>
        <v>-80170.9194018238</v>
      </c>
      <c r="L113" s="138" t="n">
        <f aca="false">L110+L84</f>
        <v>-74446.815180542</v>
      </c>
      <c r="M113" s="138" t="n">
        <f aca="false">M110+M84</f>
        <v>-66268.4201860965</v>
      </c>
      <c r="N113" s="138" t="n">
        <f aca="false">N110+N84</f>
        <v>-55126.7550946221</v>
      </c>
      <c r="O113" s="138" t="n">
        <f aca="false">O110+O84</f>
        <v>-45365.2848285513</v>
      </c>
      <c r="P113" s="138" t="n">
        <f aca="false">P110+P84</f>
        <v>-34775.4359287126</v>
      </c>
      <c r="Q113" s="138" t="n">
        <f aca="false">Q110+Q84</f>
        <v>-21437.1649035617</v>
      </c>
      <c r="R113" s="138" t="n">
        <f aca="false">R110+R84</f>
        <v>-5350.47175309849</v>
      </c>
      <c r="S113" s="138" t="n">
        <f aca="false">S110+S84</f>
        <v>1609.69870450133</v>
      </c>
      <c r="T113" s="138" t="n">
        <f aca="false">T110+T84</f>
        <v>23193.236105589</v>
      </c>
      <c r="U113" s="138" t="n">
        <f aca="false">U110+U84</f>
        <v>45599.8660719889</v>
      </c>
      <c r="V113" s="138" t="n">
        <f aca="false">V110+V84</f>
        <v>68489.8245637011</v>
      </c>
      <c r="W113" s="138" t="n">
        <f aca="false">W110+W84</f>
        <v>94128.2051807256</v>
      </c>
      <c r="X113" s="138" t="n">
        <f aca="false">X110+X84</f>
        <v>122020.163657366</v>
      </c>
      <c r="Y113" s="138" t="n">
        <f aca="false">Y110+Y84</f>
        <v>152165.699993621</v>
      </c>
      <c r="Z113" s="138" t="n">
        <f aca="false">Z110+Z84</f>
        <v>184386.368778838</v>
      </c>
      <c r="AA113" s="138" t="n">
        <f aca="false">AA110+AA84</f>
        <v>216364.819899569</v>
      </c>
      <c r="AB113" s="138" t="n">
        <f aca="false">AB110+AB84</f>
        <v>247855.164434757</v>
      </c>
      <c r="AC113" s="138" t="n">
        <f aca="false">AC110+AC84</f>
        <v>280840.491831202</v>
      </c>
      <c r="AD113" s="138" t="n">
        <f aca="false">AD110+AD84</f>
        <v>315320.802088906</v>
      </c>
      <c r="AE113" s="138" t="n">
        <f aca="false">AE110+AE84</f>
        <v>334805.867229266</v>
      </c>
      <c r="AF113" s="138" t="n">
        <f aca="false">AF110+AF84</f>
        <v>372276.143209485</v>
      </c>
      <c r="AG113" s="138" t="n">
        <f aca="false">AG110+AG84</f>
        <v>411241.402050962</v>
      </c>
      <c r="AH113" s="138" t="n">
        <f aca="false">AH110+AH84</f>
        <v>451701.643753697</v>
      </c>
      <c r="AI113" s="138" t="n">
        <f aca="false">AI110+AI84</f>
        <v>493656.868317689</v>
      </c>
      <c r="AJ113" s="138" t="n">
        <f aca="false">AJ110+AJ84</f>
        <v>537107.075742939</v>
      </c>
      <c r="AK113" s="138" t="n">
        <f aca="false">AK110+AK84</f>
        <v>582052.266029446</v>
      </c>
      <c r="AL113" s="138" t="n">
        <f aca="false">AL110+AL84</f>
        <v>626509.349730412</v>
      </c>
      <c r="AM113" s="138" t="n">
        <f aca="false">AM110+AM84</f>
        <v>665266.502416406</v>
      </c>
      <c r="AN113" s="138" t="n">
        <f aca="false">AN110+AN84</f>
        <v>705342.75762704</v>
      </c>
      <c r="AO113" s="138" t="n">
        <f aca="false">AO110+AO84</f>
        <v>746738.115362313</v>
      </c>
      <c r="AP113" s="138" t="n">
        <f aca="false">AP110+AP84</f>
        <v>789452.575622225</v>
      </c>
      <c r="AQ113" s="138" t="n">
        <f aca="false">AQ110+AQ84</f>
        <v>818935.937249187</v>
      </c>
      <c r="AR113" s="138" t="n">
        <f aca="false">AR110+AR84</f>
        <v>864288.602558378</v>
      </c>
      <c r="AS113" s="138" t="n">
        <f aca="false">AS110+AS84</f>
        <v>909645.434534235</v>
      </c>
      <c r="AT113" s="138" t="n">
        <f aca="false">AT110+AT84</f>
        <v>955006.433176759</v>
      </c>
      <c r="AU113" s="138" t="n">
        <f aca="false">AU110+AU84</f>
        <v>1000371.59848595</v>
      </c>
      <c r="AV113" s="138" t="n">
        <f aca="false">AV110+AV84</f>
        <v>1045740.93046181</v>
      </c>
      <c r="AW113" s="138" t="n">
        <f aca="false">AW110+AW84</f>
        <v>1091114.42910433</v>
      </c>
      <c r="AX113" s="138" t="n">
        <f aca="false">AX110+AX84</f>
        <v>1136492.09441352</v>
      </c>
      <c r="AY113" s="138" t="n">
        <f aca="false">AY110+AY84</f>
        <v>1180075.13333911</v>
      </c>
      <c r="AZ113" s="138" t="n">
        <f aca="false">AZ110+AZ84</f>
        <v>1223662.33893136</v>
      </c>
      <c r="BA113" s="138" t="n">
        <f aca="false">BA110+BA84</f>
        <v>1267253.71119028</v>
      </c>
      <c r="BB113" s="138" t="n">
        <f aca="false">BB110+BB84</f>
        <v>1310849.25011587</v>
      </c>
      <c r="BC113" s="138" t="n">
        <f aca="false">BC110+BC84</f>
        <v>1339898.75455054</v>
      </c>
      <c r="BD113" s="138" t="n">
        <f aca="false">BD110+BD84</f>
        <v>1383502.62680946</v>
      </c>
      <c r="BE113" s="138" t="n">
        <f aca="false">BE110+BE84</f>
        <v>1427110.66573504</v>
      </c>
      <c r="BF113" s="138" t="n">
        <f aca="false">BF110+BF84</f>
        <v>1470722.8713273</v>
      </c>
      <c r="BG113" s="138" t="n">
        <f aca="false">BG110+BG84</f>
        <v>1514339.24358622</v>
      </c>
      <c r="BH113" s="138" t="n">
        <f aca="false">BH110+BH84</f>
        <v>1557959.78251181</v>
      </c>
      <c r="BI113" s="138" t="n">
        <f aca="false">BI110+BI84</f>
        <v>1601584.48810406</v>
      </c>
      <c r="BJ113" s="138" t="n">
        <f aca="false">BJ110+BJ84</f>
        <v>1645213.36036298</v>
      </c>
      <c r="BK113" s="138" t="n">
        <f aca="false">BK110+BK84</f>
        <v>1687037.30144679</v>
      </c>
      <c r="BL113" s="138" t="n">
        <f aca="false">BL110+BL84</f>
        <v>1728865.40919727</v>
      </c>
      <c r="BM113" s="138" t="n">
        <f aca="false">BM110+BM84</f>
        <v>1770697.68361441</v>
      </c>
      <c r="BN113" s="138" t="n">
        <f aca="false">BN110+BN84</f>
        <v>1812534.12469822</v>
      </c>
      <c r="BO113" s="138" t="n">
        <f aca="false">BO110+BO84</f>
        <v>1839824.53129111</v>
      </c>
      <c r="BP113" s="138" t="n">
        <f aca="false">BP110+BP84</f>
        <v>1881669.30570825</v>
      </c>
      <c r="BQ113" s="138" t="n">
        <f aca="false">BQ110+BQ84</f>
        <v>1923518.24679206</v>
      </c>
      <c r="BR113" s="138" t="n">
        <f aca="false">BR110+BR84</f>
        <v>1965371.35454254</v>
      </c>
      <c r="BS113" s="138" t="n">
        <f aca="false">BS110+BS84</f>
        <v>2007228.62895968</v>
      </c>
      <c r="BT113" s="138" t="n">
        <f aca="false">BT110+BT84</f>
        <v>2049090.07004349</v>
      </c>
      <c r="BU113" s="138" t="n">
        <f aca="false">BU110+BU84</f>
        <v>2090955.67779397</v>
      </c>
      <c r="BV113" s="138" t="n">
        <f aca="false">BV110+BV84</f>
        <v>2132825.45221111</v>
      </c>
      <c r="BW113" s="138" t="n">
        <f aca="false">BW110+BW84</f>
        <v>2172879.68151789</v>
      </c>
      <c r="BX113" s="138" t="n">
        <f aca="false">BX110+BX84</f>
        <v>2212938.07749134</v>
      </c>
      <c r="BY113" s="138" t="n">
        <f aca="false">BY110+BY84</f>
        <v>2253000.64013145</v>
      </c>
      <c r="BZ113" s="138" t="n">
        <f aca="false">BZ110+BZ84</f>
        <v>2293067.36943823</v>
      </c>
      <c r="CA113" s="138" t="n">
        <f aca="false">CA110+CA84</f>
        <v>2318588.06425408</v>
      </c>
      <c r="CB113" s="138" t="n">
        <f aca="false">CB110+CB84</f>
        <v>2358663.1268942</v>
      </c>
      <c r="CC113" s="138" t="n">
        <f aca="false">CC110+CC84</f>
        <v>2398742.35620097</v>
      </c>
      <c r="CD113" s="138" t="n">
        <f aca="false">CD110+CD84</f>
        <v>2438825.75217442</v>
      </c>
      <c r="CE113" s="138" t="n">
        <f aca="false">CE110+CE84</f>
        <v>2478913.31481453</v>
      </c>
      <c r="CF113" s="138" t="n">
        <f aca="false">CF110+CF84</f>
        <v>2519005.04412131</v>
      </c>
      <c r="CG113" s="138" t="n">
        <f aca="false">CG110+CG84</f>
        <v>2559100.94009476</v>
      </c>
      <c r="CH113" s="138" t="n">
        <f aca="false">CH110+CH84</f>
        <v>2599201.00273487</v>
      </c>
    </row>
    <row r="114" customFormat="false" ht="13.5" hidden="false" customHeight="true" outlineLevel="0" collapsed="false">
      <c r="A114" s="13" t="s">
        <v>787</v>
      </c>
      <c r="C114" s="138" t="n">
        <f aca="false">-C84</f>
        <v>0</v>
      </c>
      <c r="D114" s="138" t="n">
        <f aca="false">C114-D84</f>
        <v>0</v>
      </c>
      <c r="E114" s="138" t="n">
        <f aca="false">D114-E84</f>
        <v>0</v>
      </c>
      <c r="F114" s="138" t="n">
        <f aca="false">E114-F84</f>
        <v>0</v>
      </c>
      <c r="G114" s="138" t="n">
        <f aca="false">F114-G84</f>
        <v>0</v>
      </c>
      <c r="H114" s="138" t="n">
        <f aca="false">G114-H84</f>
        <v>0</v>
      </c>
      <c r="I114" s="138" t="n">
        <f aca="false">H114-I84</f>
        <v>0</v>
      </c>
      <c r="J114" s="138" t="n">
        <f aca="false">I114-J84</f>
        <v>0</v>
      </c>
      <c r="K114" s="138" t="n">
        <f aca="false">J114-K84</f>
        <v>0</v>
      </c>
      <c r="L114" s="138" t="n">
        <f aca="false">K114-L84</f>
        <v>0</v>
      </c>
      <c r="M114" s="138" t="n">
        <f aca="false">L114-M84</f>
        <v>0</v>
      </c>
      <c r="N114" s="138" t="n">
        <f aca="false">M114-N84</f>
        <v>0</v>
      </c>
      <c r="O114" s="138" t="n">
        <f aca="false">N114-O84</f>
        <v>0</v>
      </c>
      <c r="P114" s="138" t="n">
        <f aca="false">O114-P84</f>
        <v>0</v>
      </c>
      <c r="Q114" s="138" t="n">
        <f aca="false">P114-Q84</f>
        <v>0</v>
      </c>
      <c r="R114" s="138" t="n">
        <f aca="false">Q114-R84</f>
        <v>0</v>
      </c>
      <c r="S114" s="138" t="n">
        <f aca="false">R114-S84</f>
        <v>0</v>
      </c>
      <c r="T114" s="138" t="n">
        <f aca="false">S114-T84</f>
        <v>0</v>
      </c>
      <c r="U114" s="138" t="n">
        <f aca="false">T114-U84</f>
        <v>0</v>
      </c>
      <c r="V114" s="138" t="n">
        <f aca="false">U114-V84</f>
        <v>0</v>
      </c>
      <c r="W114" s="138" t="n">
        <f aca="false">V114-W84</f>
        <v>0</v>
      </c>
      <c r="X114" s="138" t="n">
        <f aca="false">W114-X84</f>
        <v>0</v>
      </c>
      <c r="Y114" s="138" t="n">
        <f aca="false">X114-Y84</f>
        <v>0</v>
      </c>
      <c r="Z114" s="138" t="n">
        <f aca="false">Y114-Z84</f>
        <v>0</v>
      </c>
      <c r="AA114" s="138" t="n">
        <f aca="false">Z114-AA84</f>
        <v>0</v>
      </c>
      <c r="AB114" s="138" t="n">
        <f aca="false">AA114-AB84</f>
        <v>0</v>
      </c>
      <c r="AC114" s="138" t="n">
        <f aca="false">AB114-AC84</f>
        <v>0</v>
      </c>
      <c r="AD114" s="138" t="n">
        <f aca="false">AC114-AD84</f>
        <v>0</v>
      </c>
      <c r="AE114" s="138" t="n">
        <f aca="false">AD114-AE84</f>
        <v>0</v>
      </c>
      <c r="AF114" s="138" t="n">
        <f aca="false">AE114-AF84</f>
        <v>0</v>
      </c>
      <c r="AG114" s="138" t="n">
        <f aca="false">AF114-AG84</f>
        <v>0</v>
      </c>
      <c r="AH114" s="138" t="n">
        <f aca="false">AG114-AH84</f>
        <v>0</v>
      </c>
      <c r="AI114" s="138" t="n">
        <f aca="false">AH114-AI84</f>
        <v>0</v>
      </c>
      <c r="AJ114" s="138" t="n">
        <f aca="false">AI114-AJ84</f>
        <v>0</v>
      </c>
      <c r="AK114" s="138" t="n">
        <f aca="false">AJ114-AK84</f>
        <v>0</v>
      </c>
      <c r="AL114" s="138" t="n">
        <f aca="false">AK114-AL84</f>
        <v>0</v>
      </c>
      <c r="AM114" s="138" t="n">
        <f aca="false">AL114-AM84</f>
        <v>0</v>
      </c>
      <c r="AN114" s="138" t="n">
        <f aca="false">AM114-AN84</f>
        <v>0</v>
      </c>
      <c r="AO114" s="138" t="n">
        <f aca="false">AN114-AO84</f>
        <v>0</v>
      </c>
      <c r="AP114" s="138" t="n">
        <f aca="false">AO114-AP84</f>
        <v>0</v>
      </c>
      <c r="AQ114" s="138" t="n">
        <f aca="false">AP114-AQ84</f>
        <v>0</v>
      </c>
      <c r="AR114" s="138" t="n">
        <f aca="false">AQ114-AR84</f>
        <v>0</v>
      </c>
      <c r="AS114" s="138" t="n">
        <f aca="false">AR114-AS84</f>
        <v>0</v>
      </c>
      <c r="AT114" s="138" t="n">
        <f aca="false">AS114-AT84</f>
        <v>0</v>
      </c>
      <c r="AU114" s="138" t="n">
        <f aca="false">AT114-AU84</f>
        <v>0</v>
      </c>
      <c r="AV114" s="138" t="n">
        <f aca="false">AU114-AV84</f>
        <v>0</v>
      </c>
      <c r="AW114" s="138" t="n">
        <f aca="false">AV114-AW84</f>
        <v>0</v>
      </c>
      <c r="AX114" s="138" t="n">
        <f aca="false">AW114-AX84</f>
        <v>0</v>
      </c>
      <c r="AY114" s="138" t="n">
        <f aca="false">AX114-AY84</f>
        <v>0</v>
      </c>
      <c r="AZ114" s="138" t="n">
        <f aca="false">AY114-AZ84</f>
        <v>0</v>
      </c>
      <c r="BA114" s="138" t="n">
        <f aca="false">AZ114-BA84</f>
        <v>0</v>
      </c>
      <c r="BB114" s="138" t="n">
        <f aca="false">BA114-BB84</f>
        <v>0</v>
      </c>
      <c r="BC114" s="138" t="n">
        <f aca="false">BB114-BC84</f>
        <v>0</v>
      </c>
      <c r="BD114" s="138" t="n">
        <f aca="false">BC114-BD84</f>
        <v>0</v>
      </c>
      <c r="BE114" s="138" t="n">
        <f aca="false">BD114-BE84</f>
        <v>0</v>
      </c>
      <c r="BF114" s="138" t="n">
        <f aca="false">BE114-BF84</f>
        <v>0</v>
      </c>
      <c r="BG114" s="138" t="n">
        <f aca="false">BF114-BG84</f>
        <v>0</v>
      </c>
      <c r="BH114" s="138" t="n">
        <f aca="false">BG114-BH84</f>
        <v>0</v>
      </c>
      <c r="BI114" s="138" t="n">
        <f aca="false">BH114-BI84</f>
        <v>0</v>
      </c>
      <c r="BJ114" s="138" t="n">
        <f aca="false">BI114-BJ84</f>
        <v>0</v>
      </c>
      <c r="BK114" s="138" t="n">
        <f aca="false">BJ114-BK84</f>
        <v>0</v>
      </c>
      <c r="BL114" s="138" t="n">
        <f aca="false">BK114-BL84</f>
        <v>0</v>
      </c>
      <c r="BM114" s="138" t="n">
        <f aca="false">BL114-BM84</f>
        <v>0</v>
      </c>
      <c r="BN114" s="138" t="n">
        <f aca="false">BM114-BN84</f>
        <v>0</v>
      </c>
      <c r="BO114" s="138" t="n">
        <f aca="false">BN114-BO84</f>
        <v>0</v>
      </c>
      <c r="BP114" s="138" t="n">
        <f aca="false">BO114-BP84</f>
        <v>0</v>
      </c>
      <c r="BQ114" s="138" t="n">
        <f aca="false">BP114-BQ84</f>
        <v>0</v>
      </c>
      <c r="BR114" s="138" t="n">
        <f aca="false">BQ114-BR84</f>
        <v>0</v>
      </c>
      <c r="BS114" s="138" t="n">
        <f aca="false">BR114-BS84</f>
        <v>0</v>
      </c>
      <c r="BT114" s="138" t="n">
        <f aca="false">BS114-BT84</f>
        <v>0</v>
      </c>
      <c r="BU114" s="138" t="n">
        <f aca="false">BT114-BU84</f>
        <v>0</v>
      </c>
      <c r="BV114" s="138" t="n">
        <f aca="false">BU114-BV84</f>
        <v>0</v>
      </c>
      <c r="BW114" s="138" t="n">
        <f aca="false">BV114-BW84</f>
        <v>0</v>
      </c>
      <c r="BX114" s="138" t="n">
        <f aca="false">BW114-BX84</f>
        <v>0</v>
      </c>
      <c r="BY114" s="138" t="n">
        <f aca="false">BX114-BY84</f>
        <v>0</v>
      </c>
      <c r="BZ114" s="138" t="n">
        <f aca="false">BY114-BZ84</f>
        <v>0</v>
      </c>
      <c r="CA114" s="138" t="n">
        <f aca="false">BZ114-CA84</f>
        <v>0</v>
      </c>
      <c r="CB114" s="138" t="n">
        <f aca="false">CA114-CB84</f>
        <v>0</v>
      </c>
      <c r="CC114" s="138" t="n">
        <f aca="false">CB114-CC84</f>
        <v>0</v>
      </c>
      <c r="CD114" s="138" t="n">
        <f aca="false">CC114-CD84</f>
        <v>0</v>
      </c>
      <c r="CE114" s="138" t="n">
        <f aca="false">CD114-CE84</f>
        <v>0</v>
      </c>
      <c r="CF114" s="138" t="n">
        <f aca="false">CE114-CF84</f>
        <v>0</v>
      </c>
      <c r="CG114" s="138" t="n">
        <f aca="false">CF114-CG84</f>
        <v>0</v>
      </c>
      <c r="CH114" s="138" t="n">
        <f aca="false">CG114-CH84</f>
        <v>0</v>
      </c>
    </row>
    <row r="115" customFormat="false" ht="13.5" hidden="false" customHeight="true" outlineLevel="0" collapsed="false">
      <c r="A115" s="13" t="s">
        <v>788</v>
      </c>
      <c r="C115" s="138" t="n">
        <f aca="false">-C83</f>
        <v>0</v>
      </c>
      <c r="D115" s="138" t="n">
        <f aca="false">C115-D83</f>
        <v>0</v>
      </c>
      <c r="E115" s="138" t="n">
        <f aca="false">D115-E83</f>
        <v>0</v>
      </c>
      <c r="F115" s="138" t="n">
        <f aca="false">E115-F83</f>
        <v>0</v>
      </c>
      <c r="G115" s="138" t="n">
        <f aca="false">F115-G83</f>
        <v>0</v>
      </c>
      <c r="H115" s="138" t="n">
        <f aca="false">G115-H83</f>
        <v>0</v>
      </c>
      <c r="I115" s="138" t="n">
        <f aca="false">H115-I83</f>
        <v>0</v>
      </c>
      <c r="J115" s="138" t="n">
        <f aca="false">I115-J83</f>
        <v>0</v>
      </c>
      <c r="K115" s="138" t="n">
        <f aca="false">J115-K83</f>
        <v>0</v>
      </c>
      <c r="L115" s="138" t="n">
        <f aca="false">K115-L83</f>
        <v>0</v>
      </c>
      <c r="M115" s="138" t="n">
        <f aca="false">L115-M83</f>
        <v>0</v>
      </c>
      <c r="N115" s="138" t="n">
        <f aca="false">M115-N83</f>
        <v>0</v>
      </c>
      <c r="O115" s="138" t="n">
        <f aca="false">N115-O83</f>
        <v>0</v>
      </c>
      <c r="P115" s="138" t="n">
        <f aca="false">O115-P83</f>
        <v>0</v>
      </c>
      <c r="Q115" s="138" t="n">
        <f aca="false">P115-Q83</f>
        <v>0</v>
      </c>
      <c r="R115" s="138" t="n">
        <f aca="false">Q115-R83</f>
        <v>0</v>
      </c>
      <c r="S115" s="138" t="n">
        <f aca="false">R115-S83</f>
        <v>0</v>
      </c>
      <c r="T115" s="138" t="n">
        <f aca="false">S115-T83</f>
        <v>0</v>
      </c>
      <c r="U115" s="138" t="n">
        <f aca="false">T115-U83</f>
        <v>0</v>
      </c>
      <c r="V115" s="138" t="n">
        <f aca="false">U115-V83</f>
        <v>0</v>
      </c>
      <c r="W115" s="138" t="n">
        <f aca="false">V115-W83</f>
        <v>0</v>
      </c>
      <c r="X115" s="138" t="n">
        <f aca="false">W115-X83</f>
        <v>0</v>
      </c>
      <c r="Y115" s="138" t="n">
        <f aca="false">X115-Y83</f>
        <v>0</v>
      </c>
      <c r="Z115" s="138" t="n">
        <f aca="false">Y115-Z83</f>
        <v>0</v>
      </c>
      <c r="AA115" s="138" t="n">
        <f aca="false">Z115-AA83</f>
        <v>0</v>
      </c>
      <c r="AB115" s="138" t="n">
        <f aca="false">AA115-AB83</f>
        <v>0</v>
      </c>
      <c r="AC115" s="138" t="n">
        <f aca="false">AB115-AC83</f>
        <v>0</v>
      </c>
      <c r="AD115" s="138" t="n">
        <f aca="false">AC115-AD83</f>
        <v>0</v>
      </c>
      <c r="AE115" s="138" t="n">
        <f aca="false">AD115-AE83</f>
        <v>0</v>
      </c>
      <c r="AF115" s="138" t="n">
        <f aca="false">AE115-AF83</f>
        <v>0</v>
      </c>
      <c r="AG115" s="138" t="n">
        <f aca="false">AF115-AG83</f>
        <v>0</v>
      </c>
      <c r="AH115" s="138" t="n">
        <f aca="false">AG115-AH83</f>
        <v>0</v>
      </c>
      <c r="AI115" s="138" t="n">
        <f aca="false">AH115-AI83</f>
        <v>0</v>
      </c>
      <c r="AJ115" s="138" t="n">
        <f aca="false">AI115-AJ83</f>
        <v>0</v>
      </c>
      <c r="AK115" s="138" t="n">
        <f aca="false">AJ115-AK83</f>
        <v>0</v>
      </c>
      <c r="AL115" s="138" t="n">
        <f aca="false">AK115-AL83</f>
        <v>0</v>
      </c>
      <c r="AM115" s="138" t="n">
        <f aca="false">AL115-AM83</f>
        <v>0</v>
      </c>
      <c r="AN115" s="138" t="n">
        <f aca="false">AM115-AN83</f>
        <v>0</v>
      </c>
      <c r="AO115" s="138" t="n">
        <f aca="false">AN115-AO83</f>
        <v>0</v>
      </c>
      <c r="AP115" s="138" t="n">
        <f aca="false">AO115-AP83</f>
        <v>0</v>
      </c>
      <c r="AQ115" s="138" t="n">
        <f aca="false">AP115-AQ83</f>
        <v>0</v>
      </c>
      <c r="AR115" s="138" t="n">
        <f aca="false">AQ115-AR83</f>
        <v>0</v>
      </c>
      <c r="AS115" s="138" t="n">
        <f aca="false">AR115-AS83</f>
        <v>0</v>
      </c>
      <c r="AT115" s="138" t="n">
        <f aca="false">AS115-AT83</f>
        <v>0</v>
      </c>
      <c r="AU115" s="138" t="n">
        <f aca="false">AT115-AU83</f>
        <v>0</v>
      </c>
      <c r="AV115" s="138" t="n">
        <f aca="false">AU115-AV83</f>
        <v>0</v>
      </c>
      <c r="AW115" s="138" t="n">
        <f aca="false">AV115-AW83</f>
        <v>0</v>
      </c>
      <c r="AX115" s="138" t="n">
        <f aca="false">AW115-AX83</f>
        <v>203993.097873244</v>
      </c>
      <c r="AY115" s="138" t="n">
        <f aca="false">AX115-AY83</f>
        <v>203993.097873244</v>
      </c>
      <c r="AZ115" s="138" t="n">
        <f aca="false">AY115-AZ83</f>
        <v>203993.097873244</v>
      </c>
      <c r="BA115" s="138" t="n">
        <f aca="false">AZ115-BA83</f>
        <v>203993.097873244</v>
      </c>
      <c r="BB115" s="138" t="n">
        <f aca="false">BA115-BB83</f>
        <v>203993.097873244</v>
      </c>
      <c r="BC115" s="138" t="n">
        <f aca="false">BB115-BC83</f>
        <v>203993.097873244</v>
      </c>
      <c r="BD115" s="138" t="n">
        <f aca="false">BC115-BD83</f>
        <v>203993.097873244</v>
      </c>
      <c r="BE115" s="138" t="n">
        <f aca="false">BD115-BE83</f>
        <v>203993.097873244</v>
      </c>
      <c r="BF115" s="138" t="n">
        <f aca="false">BE115-BF83</f>
        <v>203993.097873244</v>
      </c>
      <c r="BG115" s="138" t="n">
        <f aca="false">BF115-BG83</f>
        <v>203993.097873244</v>
      </c>
      <c r="BH115" s="138" t="n">
        <f aca="false">BG115-BH83</f>
        <v>203993.097873244</v>
      </c>
      <c r="BI115" s="138" t="n">
        <f aca="false">BH115-BI83</f>
        <v>203993.097873244</v>
      </c>
      <c r="BJ115" s="138" t="n">
        <f aca="false">BI115-BJ83</f>
        <v>407481.604253028</v>
      </c>
      <c r="BK115" s="138" t="n">
        <f aca="false">BJ115-BK83</f>
        <v>407481.604253028</v>
      </c>
      <c r="BL115" s="138" t="n">
        <f aca="false">BK115-BL83</f>
        <v>407481.604253028</v>
      </c>
      <c r="BM115" s="138" t="n">
        <f aca="false">BL115-BM83</f>
        <v>407481.604253028</v>
      </c>
      <c r="BN115" s="138" t="n">
        <f aca="false">BM115-BN83</f>
        <v>407481.604253028</v>
      </c>
      <c r="BO115" s="138" t="n">
        <f aca="false">BN115-BO83</f>
        <v>407481.604253028</v>
      </c>
      <c r="BP115" s="138" t="n">
        <f aca="false">BO115-BP83</f>
        <v>407481.604253028</v>
      </c>
      <c r="BQ115" s="138" t="n">
        <f aca="false">BP115-BQ83</f>
        <v>407481.604253028</v>
      </c>
      <c r="BR115" s="138" t="n">
        <f aca="false">BQ115-BR83</f>
        <v>407481.604253028</v>
      </c>
      <c r="BS115" s="138" t="n">
        <f aca="false">BR115-BS83</f>
        <v>407481.604253028</v>
      </c>
      <c r="BT115" s="138" t="n">
        <f aca="false">BS115-BT83</f>
        <v>407481.604253028</v>
      </c>
      <c r="BU115" s="138" t="n">
        <f aca="false">BT115-BU83</f>
        <v>407481.604253028</v>
      </c>
      <c r="BV115" s="138" t="n">
        <f aca="false">BU115-BV83</f>
        <v>602526.44099228</v>
      </c>
      <c r="BW115" s="138" t="n">
        <f aca="false">BV115-BW83</f>
        <v>602526.44099228</v>
      </c>
      <c r="BX115" s="138" t="n">
        <f aca="false">BW115-BX83</f>
        <v>602526.44099228</v>
      </c>
      <c r="BY115" s="138" t="n">
        <f aca="false">BX115-BY83</f>
        <v>602526.44099228</v>
      </c>
      <c r="BZ115" s="138" t="n">
        <f aca="false">BY115-BZ83</f>
        <v>602526.44099228</v>
      </c>
      <c r="CA115" s="138" t="n">
        <f aca="false">BZ115-CA83</f>
        <v>602526.44099228</v>
      </c>
      <c r="CB115" s="138" t="n">
        <f aca="false">CA115-CB83</f>
        <v>602526.44099228</v>
      </c>
      <c r="CC115" s="138" t="n">
        <f aca="false">CB115-CC83</f>
        <v>602526.44099228</v>
      </c>
      <c r="CD115" s="138" t="n">
        <f aca="false">CC115-CD83</f>
        <v>602526.44099228</v>
      </c>
      <c r="CE115" s="138" t="n">
        <f aca="false">CD115-CE83</f>
        <v>602526.44099228</v>
      </c>
      <c r="CF115" s="138" t="n">
        <f aca="false">CE115-CF83</f>
        <v>602526.44099228</v>
      </c>
      <c r="CG115" s="138" t="n">
        <f aca="false">CF115-CG83</f>
        <v>602526.44099228</v>
      </c>
      <c r="CH115" s="138" t="n">
        <f aca="false">CG115-CH83</f>
        <v>789076.661201782</v>
      </c>
    </row>
    <row r="116" customFormat="false" ht="13.5" hidden="false" customHeight="true" outlineLevel="0" collapsed="false">
      <c r="A116" s="13" t="s">
        <v>789</v>
      </c>
      <c r="C116" s="138" t="n">
        <f aca="false">Hipótesis!$C$44*(1-Hipótesis!$D$83)</f>
        <v>1540</v>
      </c>
      <c r="D116" s="138" t="n">
        <f aca="false">Hipótesis!$C$44*(1-Hipótesis!$D$83)</f>
        <v>1540</v>
      </c>
      <c r="E116" s="138" t="n">
        <f aca="false">Hipótesis!$C$44*(1-Hipótesis!$D$83)</f>
        <v>1540</v>
      </c>
      <c r="F116" s="138" t="n">
        <f aca="false">Hipótesis!$C$44*(1-Hipótesis!$D$83)</f>
        <v>1540</v>
      </c>
      <c r="G116" s="138" t="n">
        <f aca="false">Hipótesis!$C$44*(1-Hipótesis!$D$83)</f>
        <v>1540</v>
      </c>
      <c r="H116" s="138" t="n">
        <f aca="false">Hipótesis!$C$44*(1-Hipótesis!$D$83)</f>
        <v>1540</v>
      </c>
      <c r="I116" s="138" t="n">
        <f aca="false">Hipótesis!$C$44*(1-Hipótesis!$D$83)</f>
        <v>1540</v>
      </c>
      <c r="J116" s="138" t="n">
        <f aca="false">Hipótesis!$C$44*(1-Hipótesis!$D$83)</f>
        <v>1540</v>
      </c>
      <c r="K116" s="138" t="n">
        <f aca="false">Hipótesis!$C$44*(1-Hipótesis!$D$83)</f>
        <v>1540</v>
      </c>
      <c r="L116" s="138" t="n">
        <f aca="false">Hipótesis!$C$44*(1-Hipótesis!$D$83)</f>
        <v>1540</v>
      </c>
      <c r="M116" s="138" t="n">
        <f aca="false">Hipótesis!$C$44*(1-Hipótesis!$D$83)</f>
        <v>1540</v>
      </c>
      <c r="N116" s="138" t="n">
        <f aca="false">Hipótesis!$C$44*(1-Hipótesis!$D$83)</f>
        <v>1540</v>
      </c>
      <c r="O116" s="138" t="n">
        <f aca="false">Hipótesis!$D$44*(1-Hipótesis!$D$83)</f>
        <v>2450</v>
      </c>
      <c r="P116" s="138" t="n">
        <f aca="false">Hipótesis!$D$44*(1-Hipótesis!$D$83)</f>
        <v>2450</v>
      </c>
      <c r="Q116" s="138" t="n">
        <f aca="false">Hipótesis!$D$44*(1-Hipótesis!$D$83)</f>
        <v>2450</v>
      </c>
      <c r="R116" s="138" t="n">
        <f aca="false">Hipótesis!$D$44*(1-Hipótesis!$D$83)</f>
        <v>2450</v>
      </c>
      <c r="S116" s="138" t="n">
        <f aca="false">Hipótesis!$D$44*(1-Hipótesis!$D$83)</f>
        <v>2450</v>
      </c>
      <c r="T116" s="138" t="n">
        <f aca="false">Hipótesis!$D$44*(1-Hipótesis!$D$83)</f>
        <v>2450</v>
      </c>
      <c r="U116" s="138" t="n">
        <f aca="false">Hipótesis!$D$44*(1-Hipótesis!$D$83)</f>
        <v>2450</v>
      </c>
      <c r="V116" s="138" t="n">
        <f aca="false">Hipótesis!$D$44*(1-Hipótesis!$D$83)</f>
        <v>2450</v>
      </c>
      <c r="W116" s="138" t="n">
        <f aca="false">Hipótesis!$D$44*(1-Hipótesis!$D$83)</f>
        <v>2450</v>
      </c>
      <c r="X116" s="138" t="n">
        <f aca="false">Hipótesis!$D$44*(1-Hipótesis!$D$83)</f>
        <v>2450</v>
      </c>
      <c r="Y116" s="138" t="n">
        <f aca="false">Hipótesis!$D$44*(1-Hipótesis!$D$83)</f>
        <v>2450</v>
      </c>
      <c r="Z116" s="138" t="n">
        <f aca="false">Hipótesis!$D$44*(1-Hipótesis!$D$83)</f>
        <v>2450</v>
      </c>
      <c r="AA116" s="138" t="n">
        <f aca="false">Hipótesis!$E$44*(1-Hipótesis!$D$83)</f>
        <v>2800</v>
      </c>
      <c r="AB116" s="138" t="n">
        <f aca="false">Hipótesis!$E$44*(1-Hipótesis!$D$83)</f>
        <v>2800</v>
      </c>
      <c r="AC116" s="138" t="n">
        <f aca="false">Hipótesis!$E$44*(1-Hipótesis!$D$83)</f>
        <v>2800</v>
      </c>
      <c r="AD116" s="138" t="n">
        <f aca="false">Hipótesis!$E$44*(1-Hipótesis!$D$83)</f>
        <v>2800</v>
      </c>
      <c r="AE116" s="138" t="n">
        <f aca="false">Hipótesis!$E$44*(1-Hipótesis!$D$83)</f>
        <v>2800</v>
      </c>
      <c r="AF116" s="138" t="n">
        <f aca="false">Hipótesis!$E$44*(1-Hipótesis!$D$83)</f>
        <v>2800</v>
      </c>
      <c r="AG116" s="138" t="n">
        <f aca="false">Hipótesis!$E$44*(1-Hipótesis!$D$83)</f>
        <v>2800</v>
      </c>
      <c r="AH116" s="138" t="n">
        <f aca="false">Hipótesis!$E$44*(1-Hipótesis!$D$83)</f>
        <v>2800</v>
      </c>
      <c r="AI116" s="138" t="n">
        <f aca="false">Hipótesis!$E$44*(1-Hipótesis!$D$83)</f>
        <v>2800</v>
      </c>
      <c r="AJ116" s="138" t="n">
        <f aca="false">Hipótesis!$E$44*(1-Hipótesis!$D$83)</f>
        <v>2800</v>
      </c>
      <c r="AK116" s="138" t="n">
        <f aca="false">Hipótesis!$E$44*(1-Hipótesis!$D$83)</f>
        <v>2800</v>
      </c>
      <c r="AL116" s="138" t="n">
        <f aca="false">Hipótesis!$E$44*(1-Hipótesis!$D$83)</f>
        <v>2800</v>
      </c>
      <c r="AM116" s="138" t="n">
        <f aca="false">Hipótesis!$F$44*(1-Hipótesis!$D$83)</f>
        <v>3150</v>
      </c>
      <c r="AN116" s="138" t="n">
        <f aca="false">Hipótesis!$F$44*(1-Hipótesis!$D$83)</f>
        <v>3150</v>
      </c>
      <c r="AO116" s="138" t="n">
        <f aca="false">Hipótesis!$F$44*(1-Hipótesis!$D$83)</f>
        <v>3150</v>
      </c>
      <c r="AP116" s="138" t="n">
        <f aca="false">Hipótesis!$F$44*(1-Hipótesis!$D$83)</f>
        <v>3150</v>
      </c>
      <c r="AQ116" s="138" t="n">
        <f aca="false">Hipótesis!$F$44*(1-Hipótesis!$D$83)</f>
        <v>3150</v>
      </c>
      <c r="AR116" s="138" t="n">
        <f aca="false">Hipótesis!$F$44*(1-Hipótesis!$D$83)</f>
        <v>3150</v>
      </c>
      <c r="AS116" s="138" t="n">
        <f aca="false">Hipótesis!$F$44*(1-Hipótesis!$D$83)</f>
        <v>3150</v>
      </c>
      <c r="AT116" s="138" t="n">
        <f aca="false">Hipótesis!$F$44*(1-Hipótesis!$D$83)</f>
        <v>3150</v>
      </c>
      <c r="AU116" s="138" t="n">
        <f aca="false">Hipótesis!$F$44*(1-Hipótesis!$D$83)</f>
        <v>3150</v>
      </c>
      <c r="AV116" s="138" t="n">
        <f aca="false">Hipótesis!$F$44*(1-Hipótesis!$D$83)</f>
        <v>3150</v>
      </c>
      <c r="AW116" s="138" t="n">
        <f aca="false">Hipótesis!$F$44*(1-Hipótesis!$D$83)</f>
        <v>3150</v>
      </c>
      <c r="AX116" s="138" t="n">
        <f aca="false">Hipótesis!$F$44*(1-Hipótesis!$D$83)</f>
        <v>3150</v>
      </c>
      <c r="AY116" s="138" t="n">
        <f aca="false">Hipótesis!$G$44*(1-Hipótesis!$D$83)</f>
        <v>3500</v>
      </c>
      <c r="AZ116" s="138" t="n">
        <f aca="false">Hipótesis!$G$44*(1-Hipótesis!$D$83)</f>
        <v>3500</v>
      </c>
      <c r="BA116" s="138" t="n">
        <f aca="false">Hipótesis!$G$44*(1-Hipótesis!$D$83)</f>
        <v>3500</v>
      </c>
      <c r="BB116" s="138" t="n">
        <f aca="false">Hipótesis!$G$44*(1-Hipótesis!$D$83)</f>
        <v>3500</v>
      </c>
      <c r="BC116" s="138" t="n">
        <f aca="false">Hipótesis!$G$44*(1-Hipótesis!$D$83)</f>
        <v>3500</v>
      </c>
      <c r="BD116" s="138" t="n">
        <f aca="false">Hipótesis!$G$44*(1-Hipótesis!$D$83)</f>
        <v>3500</v>
      </c>
      <c r="BE116" s="138" t="n">
        <f aca="false">Hipótesis!$G$44*(1-Hipótesis!$D$83)</f>
        <v>3500</v>
      </c>
      <c r="BF116" s="138" t="n">
        <f aca="false">Hipótesis!$G$44*(1-Hipótesis!$D$83)</f>
        <v>3500</v>
      </c>
      <c r="BG116" s="138" t="n">
        <f aca="false">Hipótesis!$G$44*(1-Hipótesis!$D$83)</f>
        <v>3500</v>
      </c>
      <c r="BH116" s="138" t="n">
        <f aca="false">Hipótesis!$G$44*(1-Hipótesis!$D$83)</f>
        <v>3500</v>
      </c>
      <c r="BI116" s="138" t="n">
        <f aca="false">Hipótesis!$G$44*(1-Hipótesis!$D$83)</f>
        <v>3500</v>
      </c>
      <c r="BJ116" s="138" t="n">
        <f aca="false">Hipótesis!$G$44*(1-Hipótesis!$D$83)</f>
        <v>3500</v>
      </c>
      <c r="BK116" s="138" t="n">
        <f aca="false">Hipótesis!$H$44*(1-Hipótesis!$D$83)</f>
        <v>3850</v>
      </c>
      <c r="BL116" s="138" t="n">
        <f aca="false">Hipótesis!$H$44*(1-Hipótesis!$D$83)</f>
        <v>3850</v>
      </c>
      <c r="BM116" s="138" t="n">
        <f aca="false">Hipótesis!$H$44*(1-Hipótesis!$D$83)</f>
        <v>3850</v>
      </c>
      <c r="BN116" s="138" t="n">
        <f aca="false">Hipótesis!$H$44*(1-Hipótesis!$D$83)</f>
        <v>3850</v>
      </c>
      <c r="BO116" s="138" t="n">
        <f aca="false">Hipótesis!$H$44*(1-Hipótesis!$D$83)</f>
        <v>3850</v>
      </c>
      <c r="BP116" s="138" t="n">
        <f aca="false">Hipótesis!$H$44*(1-Hipótesis!$D$83)</f>
        <v>3850</v>
      </c>
      <c r="BQ116" s="138" t="n">
        <f aca="false">Hipótesis!$H$44*(1-Hipótesis!$D$83)</f>
        <v>3850</v>
      </c>
      <c r="BR116" s="138" t="n">
        <f aca="false">Hipótesis!$H$44*(1-Hipótesis!$D$83)</f>
        <v>3850</v>
      </c>
      <c r="BS116" s="138" t="n">
        <f aca="false">Hipótesis!$H$44*(1-Hipótesis!$D$83)</f>
        <v>3850</v>
      </c>
      <c r="BT116" s="138" t="n">
        <f aca="false">Hipótesis!$H$44*(1-Hipótesis!$D$83)</f>
        <v>3850</v>
      </c>
      <c r="BU116" s="138" t="n">
        <f aca="false">Hipótesis!$H$44*(1-Hipótesis!$D$83)</f>
        <v>3850</v>
      </c>
      <c r="BV116" s="138" t="n">
        <f aca="false">Hipótesis!$H$44*(1-Hipótesis!$D$83)</f>
        <v>3850</v>
      </c>
      <c r="BW116" s="138" t="n">
        <f aca="false">Hipótesis!$I$44*(1-Hipótesis!$D$83)</f>
        <v>4200</v>
      </c>
      <c r="BX116" s="138" t="n">
        <f aca="false">Hipótesis!$I$44*(1-Hipótesis!$D$83)</f>
        <v>4200</v>
      </c>
      <c r="BY116" s="138" t="n">
        <f aca="false">Hipótesis!$I$44*(1-Hipótesis!$D$83)</f>
        <v>4200</v>
      </c>
      <c r="BZ116" s="138" t="n">
        <f aca="false">Hipótesis!$I$44*(1-Hipótesis!$D$83)</f>
        <v>4200</v>
      </c>
      <c r="CA116" s="138" t="n">
        <f aca="false">Hipótesis!$I$44*(1-Hipótesis!$D$83)</f>
        <v>4200</v>
      </c>
      <c r="CB116" s="138" t="n">
        <f aca="false">Hipótesis!$I$44*(1-Hipótesis!$D$83)</f>
        <v>4200</v>
      </c>
      <c r="CC116" s="138" t="n">
        <f aca="false">Hipótesis!$I$44*(1-Hipótesis!$D$83)</f>
        <v>4200</v>
      </c>
      <c r="CD116" s="138" t="n">
        <f aca="false">Hipótesis!$I$44*(1-Hipótesis!$D$83)</f>
        <v>4200</v>
      </c>
      <c r="CE116" s="138" t="n">
        <f aca="false">Hipótesis!$I$44*(1-Hipótesis!$D$83)</f>
        <v>4200</v>
      </c>
      <c r="CF116" s="138" t="n">
        <f aca="false">Hipótesis!$I$44*(1-Hipótesis!$D$83)</f>
        <v>4200</v>
      </c>
      <c r="CG116" s="138" t="n">
        <f aca="false">Hipótesis!$I$44*(1-Hipótesis!$D$83)</f>
        <v>4200</v>
      </c>
      <c r="CH116" s="138" t="n">
        <f aca="false">Hipótesis!$I$44*(1-Hipótesis!$D$83)</f>
        <v>4200</v>
      </c>
    </row>
    <row r="117" customFormat="false" ht="13.5" hidden="false" customHeight="true" outlineLevel="0" collapsed="false">
      <c r="A117" s="13" t="s">
        <v>790</v>
      </c>
      <c r="C117" s="138" t="n">
        <f aca="false">-C84*Hipótesis!$D$82*(1-Hipótesis!$D$84)</f>
        <v>0</v>
      </c>
      <c r="D117" s="138" t="n">
        <f aca="false">-D84*Hipótesis!$D$82*(1-Hipótesis!$D$84)</f>
        <v>0</v>
      </c>
      <c r="E117" s="138" t="n">
        <f aca="false">-E84*Hipótesis!$D$82*(1-Hipótesis!$D$84)</f>
        <v>0</v>
      </c>
      <c r="F117" s="138" t="n">
        <f aca="false">-F84*Hipótesis!$D$82*(1-Hipótesis!$D$84)</f>
        <v>0</v>
      </c>
      <c r="G117" s="138" t="n">
        <f aca="false">-G84*Hipótesis!$D$82*(1-Hipótesis!$D$84)</f>
        <v>0</v>
      </c>
      <c r="H117" s="138" t="n">
        <f aca="false">-H84*Hipótesis!$D$82*(1-Hipótesis!$D$84)</f>
        <v>0</v>
      </c>
      <c r="I117" s="138" t="n">
        <f aca="false">-I84*Hipótesis!$D$82*(1-Hipótesis!$D$84)</f>
        <v>0</v>
      </c>
      <c r="J117" s="138" t="n">
        <f aca="false">-J84*Hipótesis!$D$82*(1-Hipótesis!$D$84)</f>
        <v>0</v>
      </c>
      <c r="K117" s="138" t="n">
        <f aca="false">-K84*Hipótesis!$D$82*(1-Hipótesis!$D$84)</f>
        <v>0</v>
      </c>
      <c r="L117" s="138" t="n">
        <f aca="false">-L84*Hipótesis!$D$82*(1-Hipótesis!$D$84)</f>
        <v>0</v>
      </c>
      <c r="M117" s="138" t="n">
        <f aca="false">-M84*Hipótesis!$D$82*(1-Hipótesis!$D$84)</f>
        <v>0</v>
      </c>
      <c r="N117" s="138" t="n">
        <f aca="false">-N84*Hipótesis!$D$82*(1-Hipótesis!$D$84)</f>
        <v>0</v>
      </c>
      <c r="O117" s="138" t="n">
        <f aca="false">-O84*Hipótesis!$D$82*(1-Hipótesis!$D$84)</f>
        <v>0</v>
      </c>
      <c r="P117" s="138" t="n">
        <f aca="false">-P84*Hipótesis!$D$82*(1-Hipótesis!$D$84)</f>
        <v>0</v>
      </c>
      <c r="Q117" s="138" t="n">
        <f aca="false">-Q84*Hipótesis!$D$82*(1-Hipótesis!$D$84)</f>
        <v>0</v>
      </c>
      <c r="R117" s="138" t="n">
        <f aca="false">-R84*Hipótesis!$D$82*(1-Hipótesis!$D$84)</f>
        <v>0</v>
      </c>
      <c r="S117" s="138" t="n">
        <f aca="false">-S84*Hipótesis!$D$82*(1-Hipótesis!$D$84)</f>
        <v>0</v>
      </c>
      <c r="T117" s="138" t="n">
        <f aca="false">-T84*Hipótesis!$D$82*(1-Hipótesis!$D$84)</f>
        <v>0</v>
      </c>
      <c r="U117" s="138" t="n">
        <f aca="false">-U84*Hipótesis!$D$82*(1-Hipótesis!$D$84)</f>
        <v>0</v>
      </c>
      <c r="V117" s="138" t="n">
        <f aca="false">-V84*Hipótesis!$D$82*(1-Hipótesis!$D$84)</f>
        <v>0</v>
      </c>
      <c r="W117" s="138" t="n">
        <f aca="false">-W84*Hipótesis!$D$82*(1-Hipótesis!$D$84)</f>
        <v>0</v>
      </c>
      <c r="X117" s="138" t="n">
        <f aca="false">-X84*Hipótesis!$D$82*(1-Hipótesis!$D$84)</f>
        <v>0</v>
      </c>
      <c r="Y117" s="138" t="n">
        <f aca="false">-Y84*Hipótesis!$D$82*(1-Hipótesis!$D$84)</f>
        <v>0</v>
      </c>
      <c r="Z117" s="138" t="n">
        <f aca="false">-Z84*Hipótesis!$D$82*(1-Hipótesis!$D$84)</f>
        <v>0</v>
      </c>
      <c r="AA117" s="138" t="n">
        <f aca="false">-AA84*Hipótesis!$D$82*(1-Hipótesis!$D$84)</f>
        <v>0</v>
      </c>
      <c r="AB117" s="138" t="n">
        <f aca="false">-AB84*Hipótesis!$D$82*(1-Hipótesis!$D$84)</f>
        <v>0</v>
      </c>
      <c r="AC117" s="138" t="n">
        <f aca="false">-AC84*Hipótesis!$D$82*(1-Hipótesis!$D$84)</f>
        <v>0</v>
      </c>
      <c r="AD117" s="138" t="n">
        <f aca="false">-AD84*Hipótesis!$D$82*(1-Hipótesis!$D$84)</f>
        <v>0</v>
      </c>
      <c r="AE117" s="138" t="n">
        <f aca="false">-AE84*Hipótesis!$D$82*(1-Hipótesis!$D$84)</f>
        <v>0</v>
      </c>
      <c r="AF117" s="138" t="n">
        <f aca="false">-AF84*Hipótesis!$D$82*(1-Hipótesis!$D$84)</f>
        <v>0</v>
      </c>
      <c r="AG117" s="138" t="n">
        <f aca="false">-AG84*Hipótesis!$D$82*(1-Hipótesis!$D$84)</f>
        <v>0</v>
      </c>
      <c r="AH117" s="138" t="n">
        <f aca="false">-AH84*Hipótesis!$D$82*(1-Hipótesis!$D$84)</f>
        <v>0</v>
      </c>
      <c r="AI117" s="138" t="n">
        <f aca="false">-AI84*Hipótesis!$D$82*(1-Hipótesis!$D$84)</f>
        <v>0</v>
      </c>
      <c r="AJ117" s="138" t="n">
        <f aca="false">-AJ84*Hipótesis!$D$82*(1-Hipótesis!$D$84)</f>
        <v>0</v>
      </c>
      <c r="AK117" s="138" t="n">
        <f aca="false">-AK84*Hipótesis!$D$82*(1-Hipótesis!$D$84)</f>
        <v>0</v>
      </c>
      <c r="AL117" s="138" t="n">
        <f aca="false">-AL84*Hipótesis!$D$82*(1-Hipótesis!$D$84)</f>
        <v>0</v>
      </c>
      <c r="AM117" s="138" t="n">
        <f aca="false">-AM84*Hipótesis!$D$82*(1-Hipótesis!$D$84)</f>
        <v>0</v>
      </c>
      <c r="AN117" s="138" t="n">
        <f aca="false">-AN84*Hipótesis!$D$82*(1-Hipótesis!$D$84)</f>
        <v>0</v>
      </c>
      <c r="AO117" s="138" t="n">
        <f aca="false">-AO84*Hipótesis!$D$82*(1-Hipótesis!$D$84)</f>
        <v>0</v>
      </c>
      <c r="AP117" s="138" t="n">
        <f aca="false">-AP84*Hipótesis!$D$82*(1-Hipótesis!$D$84)</f>
        <v>0</v>
      </c>
      <c r="AQ117" s="138" t="n">
        <f aca="false">-AQ84*Hipótesis!$D$82*(1-Hipótesis!$D$84)</f>
        <v>0</v>
      </c>
      <c r="AR117" s="138" t="n">
        <f aca="false">-AR84*Hipótesis!$D$82*(1-Hipótesis!$D$84)</f>
        <v>0</v>
      </c>
      <c r="AS117" s="138" t="n">
        <f aca="false">-AS84*Hipótesis!$D$82*(1-Hipótesis!$D$84)</f>
        <v>0</v>
      </c>
      <c r="AT117" s="138" t="n">
        <f aca="false">-AT84*Hipótesis!$D$82*(1-Hipótesis!$D$84)</f>
        <v>0</v>
      </c>
      <c r="AU117" s="138" t="n">
        <f aca="false">-AU84*Hipótesis!$D$82*(1-Hipótesis!$D$84)</f>
        <v>0</v>
      </c>
      <c r="AV117" s="138" t="n">
        <f aca="false">-AV84*Hipótesis!$D$82*(1-Hipótesis!$D$84)</f>
        <v>0</v>
      </c>
      <c r="AW117" s="138" t="n">
        <f aca="false">-AW84*Hipótesis!$D$82*(1-Hipótesis!$D$84)</f>
        <v>0</v>
      </c>
      <c r="AX117" s="138" t="n">
        <f aca="false">-AX84*Hipótesis!$D$82*(1-Hipótesis!$D$84)</f>
        <v>0</v>
      </c>
      <c r="AY117" s="138" t="n">
        <f aca="false">-AY84*Hipótesis!$D$82*(1-Hipótesis!$D$84)</f>
        <v>0</v>
      </c>
      <c r="AZ117" s="138" t="n">
        <f aca="false">-AZ84*Hipótesis!$D$82*(1-Hipótesis!$D$84)</f>
        <v>0</v>
      </c>
      <c r="BA117" s="138" t="n">
        <f aca="false">-BA84*Hipótesis!$D$82*(1-Hipótesis!$D$84)</f>
        <v>0</v>
      </c>
      <c r="BB117" s="138" t="n">
        <f aca="false">-BB84*Hipótesis!$D$82*(1-Hipótesis!$D$84)</f>
        <v>0</v>
      </c>
      <c r="BC117" s="138" t="n">
        <f aca="false">-BC84*Hipótesis!$D$82*(1-Hipótesis!$D$84)</f>
        <v>0</v>
      </c>
      <c r="BD117" s="138" t="n">
        <f aca="false">-BD84*Hipótesis!$D$82*(1-Hipótesis!$D$84)</f>
        <v>0</v>
      </c>
      <c r="BE117" s="138" t="n">
        <f aca="false">-BE84*Hipótesis!$D$82*(1-Hipótesis!$D$84)</f>
        <v>0</v>
      </c>
      <c r="BF117" s="138" t="n">
        <f aca="false">-BF84*Hipótesis!$D$82*(1-Hipótesis!$D$84)</f>
        <v>0</v>
      </c>
      <c r="BG117" s="138" t="n">
        <f aca="false">-BG84*Hipótesis!$D$82*(1-Hipótesis!$D$84)</f>
        <v>0</v>
      </c>
      <c r="BH117" s="138" t="n">
        <f aca="false">-BH84*Hipótesis!$D$82*(1-Hipótesis!$D$84)</f>
        <v>0</v>
      </c>
      <c r="BI117" s="138" t="n">
        <f aca="false">-BI84*Hipótesis!$D$82*(1-Hipótesis!$D$84)</f>
        <v>0</v>
      </c>
      <c r="BJ117" s="138" t="n">
        <f aca="false">-BJ84*Hipótesis!$D$82*(1-Hipótesis!$D$84)</f>
        <v>0</v>
      </c>
      <c r="BK117" s="138" t="n">
        <f aca="false">-BK84*Hipótesis!$D$82*(1-Hipótesis!$D$84)</f>
        <v>0</v>
      </c>
      <c r="BL117" s="138" t="n">
        <f aca="false">-BL84*Hipótesis!$D$82*(1-Hipótesis!$D$84)</f>
        <v>0</v>
      </c>
      <c r="BM117" s="138" t="n">
        <f aca="false">-BM84*Hipótesis!$D$82*(1-Hipótesis!$D$84)</f>
        <v>0</v>
      </c>
      <c r="BN117" s="138" t="n">
        <f aca="false">-BN84*Hipótesis!$D$82*(1-Hipótesis!$D$84)</f>
        <v>0</v>
      </c>
      <c r="BO117" s="138" t="n">
        <f aca="false">-BO84*Hipótesis!$D$82*(1-Hipótesis!$D$84)</f>
        <v>0</v>
      </c>
      <c r="BP117" s="138" t="n">
        <f aca="false">-BP84*Hipótesis!$D$82*(1-Hipótesis!$D$84)</f>
        <v>0</v>
      </c>
      <c r="BQ117" s="138" t="n">
        <f aca="false">-BQ84*Hipótesis!$D$82*(1-Hipótesis!$D$84)</f>
        <v>0</v>
      </c>
      <c r="BR117" s="138" t="n">
        <f aca="false">-BR84*Hipótesis!$D$82*(1-Hipótesis!$D$84)</f>
        <v>0</v>
      </c>
      <c r="BS117" s="138" t="n">
        <f aca="false">-BS84*Hipótesis!$D$82*(1-Hipótesis!$D$84)</f>
        <v>0</v>
      </c>
      <c r="BT117" s="138" t="n">
        <f aca="false">-BT84*Hipótesis!$D$82*(1-Hipótesis!$D$84)</f>
        <v>0</v>
      </c>
      <c r="BU117" s="138" t="n">
        <f aca="false">-BU84*Hipótesis!$D$82*(1-Hipótesis!$D$84)</f>
        <v>0</v>
      </c>
      <c r="BV117" s="138" t="n">
        <f aca="false">-BV84*Hipótesis!$D$82*(1-Hipótesis!$D$84)</f>
        <v>0</v>
      </c>
      <c r="BW117" s="138" t="n">
        <f aca="false">-BW84*Hipótesis!$D$82*(1-Hipótesis!$D$84)</f>
        <v>0</v>
      </c>
      <c r="BX117" s="138" t="n">
        <f aca="false">-BX84*Hipótesis!$D$82*(1-Hipótesis!$D$84)</f>
        <v>0</v>
      </c>
      <c r="BY117" s="138" t="n">
        <f aca="false">-BY84*Hipótesis!$D$82*(1-Hipótesis!$D$84)</f>
        <v>0</v>
      </c>
      <c r="BZ117" s="138" t="n">
        <f aca="false">-BZ84*Hipótesis!$D$82*(1-Hipótesis!$D$84)</f>
        <v>0</v>
      </c>
      <c r="CA117" s="138" t="n">
        <f aca="false">-CA84*Hipótesis!$D$82*(1-Hipótesis!$D$84)</f>
        <v>0</v>
      </c>
      <c r="CB117" s="138" t="n">
        <f aca="false">-CB84*Hipótesis!$D$82*(1-Hipótesis!$D$84)</f>
        <v>0</v>
      </c>
      <c r="CC117" s="138" t="n">
        <f aca="false">-CC84*Hipótesis!$D$82*(1-Hipótesis!$D$84)</f>
        <v>0</v>
      </c>
      <c r="CD117" s="138" t="n">
        <f aca="false">-CD84*Hipótesis!$D$82*(1-Hipótesis!$D$84)</f>
        <v>0</v>
      </c>
      <c r="CE117" s="138" t="n">
        <f aca="false">-CE84*Hipótesis!$D$82*(1-Hipótesis!$D$84)</f>
        <v>0</v>
      </c>
      <c r="CF117" s="138" t="n">
        <f aca="false">-CF84*Hipótesis!$D$82*(1-Hipótesis!$D$84)</f>
        <v>0</v>
      </c>
      <c r="CG117" s="138" t="n">
        <f aca="false">-CG84*Hipótesis!$D$82*(1-Hipótesis!$D$84)</f>
        <v>0</v>
      </c>
      <c r="CH117" s="138" t="n">
        <f aca="false">-CH84*Hipótesis!$D$82*(1-Hipótesis!$D$84)</f>
        <v>0</v>
      </c>
    </row>
    <row r="118" customFormat="false" ht="13.5" hidden="false" customHeight="true" outlineLevel="0" collapsed="false">
      <c r="A118" s="30" t="s">
        <v>791</v>
      </c>
      <c r="C118" s="138" t="n">
        <f aca="false">C116+C117</f>
        <v>1540</v>
      </c>
      <c r="D118" s="138" t="n">
        <f aca="false">D116+D117</f>
        <v>1540</v>
      </c>
      <c r="E118" s="138" t="n">
        <f aca="false">E116+E117</f>
        <v>1540</v>
      </c>
      <c r="F118" s="138" t="n">
        <f aca="false">F116+F117</f>
        <v>1540</v>
      </c>
      <c r="G118" s="138" t="n">
        <f aca="false">G116+G117</f>
        <v>1540</v>
      </c>
      <c r="H118" s="138" t="n">
        <f aca="false">H116+H117</f>
        <v>1540</v>
      </c>
      <c r="I118" s="138" t="n">
        <f aca="false">I116+I117</f>
        <v>1540</v>
      </c>
      <c r="J118" s="138" t="n">
        <f aca="false">J116+J117</f>
        <v>1540</v>
      </c>
      <c r="K118" s="138" t="n">
        <f aca="false">K116+K117</f>
        <v>1540</v>
      </c>
      <c r="L118" s="138" t="n">
        <f aca="false">L116+L117</f>
        <v>1540</v>
      </c>
      <c r="M118" s="138" t="n">
        <f aca="false">M116+M117</f>
        <v>1540</v>
      </c>
      <c r="N118" s="138" t="n">
        <f aca="false">N116+N117</f>
        <v>1540</v>
      </c>
      <c r="O118" s="138" t="n">
        <f aca="false">O116+O117</f>
        <v>2450</v>
      </c>
      <c r="P118" s="138" t="n">
        <f aca="false">P116+P117</f>
        <v>2450</v>
      </c>
      <c r="Q118" s="138" t="n">
        <f aca="false">Q116+Q117</f>
        <v>2450</v>
      </c>
      <c r="R118" s="138" t="n">
        <f aca="false">R116+R117</f>
        <v>2450</v>
      </c>
      <c r="S118" s="138" t="n">
        <f aca="false">S116+S117</f>
        <v>2450</v>
      </c>
      <c r="T118" s="138" t="n">
        <f aca="false">T116+T117</f>
        <v>2450</v>
      </c>
      <c r="U118" s="138" t="n">
        <f aca="false">U116+U117</f>
        <v>2450</v>
      </c>
      <c r="V118" s="138" t="n">
        <f aca="false">V116+V117</f>
        <v>2450</v>
      </c>
      <c r="W118" s="138" t="n">
        <f aca="false">W116+W117</f>
        <v>2450</v>
      </c>
      <c r="X118" s="138" t="n">
        <f aca="false">X116+X117</f>
        <v>2450</v>
      </c>
      <c r="Y118" s="138" t="n">
        <f aca="false">Y116+Y117</f>
        <v>2450</v>
      </c>
      <c r="Z118" s="138" t="n">
        <f aca="false">Z116+Z117</f>
        <v>2450</v>
      </c>
      <c r="AA118" s="138" t="n">
        <f aca="false">AA116+AA117</f>
        <v>2800</v>
      </c>
      <c r="AB118" s="138" t="n">
        <f aca="false">AB116+AB117</f>
        <v>2800</v>
      </c>
      <c r="AC118" s="138" t="n">
        <f aca="false">AC116+AC117</f>
        <v>2800</v>
      </c>
      <c r="AD118" s="138" t="n">
        <f aca="false">AD116+AD117</f>
        <v>2800</v>
      </c>
      <c r="AE118" s="138" t="n">
        <f aca="false">AE116+AE117</f>
        <v>2800</v>
      </c>
      <c r="AF118" s="138" t="n">
        <f aca="false">AF116+AF117</f>
        <v>2800</v>
      </c>
      <c r="AG118" s="138" t="n">
        <f aca="false">AG116+AG117</f>
        <v>2800</v>
      </c>
      <c r="AH118" s="138" t="n">
        <f aca="false">AH116+AH117</f>
        <v>2800</v>
      </c>
      <c r="AI118" s="138" t="n">
        <f aca="false">AI116+AI117</f>
        <v>2800</v>
      </c>
      <c r="AJ118" s="138" t="n">
        <f aca="false">AJ116+AJ117</f>
        <v>2800</v>
      </c>
      <c r="AK118" s="138" t="n">
        <f aca="false">AK116+AK117</f>
        <v>2800</v>
      </c>
      <c r="AL118" s="138" t="n">
        <f aca="false">AL116+AL117</f>
        <v>2800</v>
      </c>
      <c r="AM118" s="138" t="n">
        <f aca="false">AM116+AM117</f>
        <v>3150</v>
      </c>
      <c r="AN118" s="138" t="n">
        <f aca="false">AN116+AN117</f>
        <v>3150</v>
      </c>
      <c r="AO118" s="138" t="n">
        <f aca="false">AO116+AO117</f>
        <v>3150</v>
      </c>
      <c r="AP118" s="138" t="n">
        <f aca="false">AP116+AP117</f>
        <v>3150</v>
      </c>
      <c r="AQ118" s="138" t="n">
        <f aca="false">AQ116+AQ117</f>
        <v>3150</v>
      </c>
      <c r="AR118" s="138" t="n">
        <f aca="false">AR116+AR117</f>
        <v>3150</v>
      </c>
      <c r="AS118" s="138" t="n">
        <f aca="false">AS116+AS117</f>
        <v>3150</v>
      </c>
      <c r="AT118" s="138" t="n">
        <f aca="false">AT116+AT117</f>
        <v>3150</v>
      </c>
      <c r="AU118" s="138" t="n">
        <f aca="false">AU116+AU117</f>
        <v>3150</v>
      </c>
      <c r="AV118" s="138" t="n">
        <f aca="false">AV116+AV117</f>
        <v>3150</v>
      </c>
      <c r="AW118" s="138" t="n">
        <f aca="false">AW116+AW117</f>
        <v>3150</v>
      </c>
      <c r="AX118" s="138" t="n">
        <f aca="false">AX116+AX117</f>
        <v>3150</v>
      </c>
      <c r="AY118" s="138" t="n">
        <f aca="false">AY116+AY117</f>
        <v>3500</v>
      </c>
      <c r="AZ118" s="138" t="n">
        <f aca="false">AZ116+AZ117</f>
        <v>3500</v>
      </c>
      <c r="BA118" s="138" t="n">
        <f aca="false">BA116+BA117</f>
        <v>3500</v>
      </c>
      <c r="BB118" s="138" t="n">
        <f aca="false">BB116+BB117</f>
        <v>3500</v>
      </c>
      <c r="BC118" s="138" t="n">
        <f aca="false">BC116+BC117</f>
        <v>3500</v>
      </c>
      <c r="BD118" s="138" t="n">
        <f aca="false">BD116+BD117</f>
        <v>3500</v>
      </c>
      <c r="BE118" s="138" t="n">
        <f aca="false">BE116+BE117</f>
        <v>3500</v>
      </c>
      <c r="BF118" s="138" t="n">
        <f aca="false">BF116+BF117</f>
        <v>3500</v>
      </c>
      <c r="BG118" s="138" t="n">
        <f aca="false">BG116+BG117</f>
        <v>3500</v>
      </c>
      <c r="BH118" s="138" t="n">
        <f aca="false">BH116+BH117</f>
        <v>3500</v>
      </c>
      <c r="BI118" s="138" t="n">
        <f aca="false">BI116+BI117</f>
        <v>3500</v>
      </c>
      <c r="BJ118" s="138" t="n">
        <f aca="false">BJ116+BJ117</f>
        <v>3500</v>
      </c>
      <c r="BK118" s="138" t="n">
        <f aca="false">BK116+BK117</f>
        <v>3850</v>
      </c>
      <c r="BL118" s="138" t="n">
        <f aca="false">BL116+BL117</f>
        <v>3850</v>
      </c>
      <c r="BM118" s="138" t="n">
        <f aca="false">BM116+BM117</f>
        <v>3850</v>
      </c>
      <c r="BN118" s="138" t="n">
        <f aca="false">BN116+BN117</f>
        <v>3850</v>
      </c>
      <c r="BO118" s="138" t="n">
        <f aca="false">BO116+BO117</f>
        <v>3850</v>
      </c>
      <c r="BP118" s="138" t="n">
        <f aca="false">BP116+BP117</f>
        <v>3850</v>
      </c>
      <c r="BQ118" s="138" t="n">
        <f aca="false">BQ116+BQ117</f>
        <v>3850</v>
      </c>
      <c r="BR118" s="138" t="n">
        <f aca="false">BR116+BR117</f>
        <v>3850</v>
      </c>
      <c r="BS118" s="138" t="n">
        <f aca="false">BS116+BS117</f>
        <v>3850</v>
      </c>
      <c r="BT118" s="138" t="n">
        <f aca="false">BT116+BT117</f>
        <v>3850</v>
      </c>
      <c r="BU118" s="138" t="n">
        <f aca="false">BU116+BU117</f>
        <v>3850</v>
      </c>
      <c r="BV118" s="138" t="n">
        <f aca="false">BV116+BV117</f>
        <v>3850</v>
      </c>
      <c r="BW118" s="138" t="n">
        <f aca="false">BW116+BW117</f>
        <v>4200</v>
      </c>
      <c r="BX118" s="138" t="n">
        <f aca="false">BX116+BX117</f>
        <v>4200</v>
      </c>
      <c r="BY118" s="138" t="n">
        <f aca="false">BY116+BY117</f>
        <v>4200</v>
      </c>
      <c r="BZ118" s="138" t="n">
        <f aca="false">BZ116+BZ117</f>
        <v>4200</v>
      </c>
      <c r="CA118" s="138" t="n">
        <f aca="false">CA116+CA117</f>
        <v>4200</v>
      </c>
      <c r="CB118" s="138" t="n">
        <f aca="false">CB116+CB117</f>
        <v>4200</v>
      </c>
      <c r="CC118" s="138" t="n">
        <f aca="false">CC116+CC117</f>
        <v>4200</v>
      </c>
      <c r="CD118" s="138" t="n">
        <f aca="false">CD116+CD117</f>
        <v>4200</v>
      </c>
      <c r="CE118" s="138" t="n">
        <f aca="false">CE116+CE117</f>
        <v>4200</v>
      </c>
      <c r="CF118" s="138" t="n">
        <f aca="false">CF116+CF117</f>
        <v>4200</v>
      </c>
      <c r="CG118" s="138" t="n">
        <f aca="false">CG116+CG117</f>
        <v>4200</v>
      </c>
      <c r="CH118" s="138" t="n">
        <f aca="false">CH116+CH117</f>
        <v>4200</v>
      </c>
    </row>
    <row r="119" customFormat="false" ht="13.5" hidden="false" customHeight="true" outlineLevel="0" collapsed="false"/>
    <row r="120" customFormat="false" ht="12.75" hidden="false" customHeight="true" outlineLevel="0" collapsed="false">
      <c r="A120" s="10" t="s">
        <v>792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</row>
    <row r="121" customFormat="false" ht="12.75" hidden="false" customHeight="true" outlineLevel="0" collapsed="false">
      <c r="A121" s="30" t="s">
        <v>793</v>
      </c>
      <c r="B121" s="152" t="n">
        <f aca="false">-Hipótesis!$D$93</f>
        <v>-100000</v>
      </c>
      <c r="C121" s="152" t="n">
        <f aca="false">C93+IF(Hipótesis!$D$94=5,IF(C$3=Hipótesis!$D$124,$C$158,0),IF(C$3=84,$C$134,0))</f>
        <v>0</v>
      </c>
      <c r="D121" s="152" t="n">
        <f aca="false">D93+IF(Hipótesis!$D$94=5,IF(D$3=Hipótesis!$D$124,$C$158,0),IF(D$3=84,$C$134,0))</f>
        <v>0</v>
      </c>
      <c r="E121" s="152" t="n">
        <f aca="false">E93+IF(Hipótesis!$D$94=5,IF(E$3=Hipótesis!$D$124,$C$158,0),IF(E$3=84,$C$134,0))</f>
        <v>0</v>
      </c>
      <c r="F121" s="152" t="n">
        <f aca="false">F93+IF(Hipótesis!$D$94=5,IF(F$3=Hipótesis!$D$124,$C$158,0),IF(F$3=84,$C$134,0))</f>
        <v>0</v>
      </c>
      <c r="G121" s="152" t="n">
        <f aca="false">G93+IF(Hipótesis!$D$94=5,IF(G$3=Hipótesis!$D$124,$C$158,0),IF(G$3=84,$C$134,0))</f>
        <v>0</v>
      </c>
      <c r="H121" s="152" t="n">
        <f aca="false">H93+IF(Hipótesis!$D$94=5,IF(H$3=Hipótesis!$D$124,$C$158,0),IF(H$3=84,$C$134,0))</f>
        <v>0</v>
      </c>
      <c r="I121" s="152" t="n">
        <f aca="false">I93+IF(Hipótesis!$D$94=5,IF(I$3=Hipótesis!$D$124,$C$158,0),IF(I$3=84,$C$134,0))</f>
        <v>0</v>
      </c>
      <c r="J121" s="152" t="n">
        <f aca="false">J93+IF(Hipótesis!$D$94=5,IF(J$3=Hipótesis!$D$124,$C$158,0),IF(J$3=84,$C$134,0))</f>
        <v>0</v>
      </c>
      <c r="K121" s="152" t="n">
        <f aca="false">K93+IF(Hipótesis!$D$94=5,IF(K$3=Hipótesis!$D$124,$C$158,0),IF(K$3=84,$C$134,0))</f>
        <v>0</v>
      </c>
      <c r="L121" s="152" t="n">
        <f aca="false">L93+IF(Hipótesis!$D$94=5,IF(L$3=Hipótesis!$D$124,$C$158,0),IF(L$3=84,$C$134,0))</f>
        <v>0</v>
      </c>
      <c r="M121" s="152" t="n">
        <f aca="false">M93+IF(Hipótesis!$D$94=5,IF(M$3=Hipótesis!$D$124,$C$158,0),IF(M$3=84,$C$134,0))</f>
        <v>0</v>
      </c>
      <c r="N121" s="152" t="n">
        <f aca="false">N93+IF(Hipótesis!$D$94=5,IF(N$3=Hipótesis!$D$124,$C$158,0),IF(N$3=84,$C$134,0))</f>
        <v>0</v>
      </c>
      <c r="O121" s="152" t="n">
        <f aca="false">O93+IF(Hipótesis!$D$94=5,IF(O$3=Hipótesis!$D$124,$C$158,0),IF(O$3=84,$C$134,0))</f>
        <v>0</v>
      </c>
      <c r="P121" s="152" t="n">
        <f aca="false">P93+IF(Hipótesis!$D$94=5,IF(P$3=Hipótesis!$D$124,$C$158,0),IF(P$3=84,$C$134,0))</f>
        <v>0</v>
      </c>
      <c r="Q121" s="152" t="n">
        <f aca="false">Q93+IF(Hipótesis!$D$94=5,IF(Q$3=Hipótesis!$D$124,$C$158,0),IF(Q$3=84,$C$134,0))</f>
        <v>0</v>
      </c>
      <c r="R121" s="152" t="n">
        <f aca="false">R93+IF(Hipótesis!$D$94=5,IF(R$3=Hipótesis!$D$124,$C$158,0),IF(R$3=84,$C$134,0))</f>
        <v>0</v>
      </c>
      <c r="S121" s="152" t="n">
        <f aca="false">S93+IF(Hipótesis!$D$94=5,IF(S$3=Hipótesis!$D$124,$C$158,0),IF(S$3=84,$C$134,0))</f>
        <v>0</v>
      </c>
      <c r="T121" s="152" t="n">
        <f aca="false">T93+IF(Hipótesis!$D$94=5,IF(T$3=Hipótesis!$D$124,$C$158,0),IF(T$3=84,$C$134,0))</f>
        <v>0</v>
      </c>
      <c r="U121" s="152" t="n">
        <f aca="false">U93+IF(Hipótesis!$D$94=5,IF(U$3=Hipótesis!$D$124,$C$158,0),IF(U$3=84,$C$134,0))</f>
        <v>0</v>
      </c>
      <c r="V121" s="152" t="n">
        <f aca="false">V93+IF(Hipótesis!$D$94=5,IF(V$3=Hipótesis!$D$124,$C$158,0),IF(V$3=84,$C$134,0))</f>
        <v>0</v>
      </c>
      <c r="W121" s="152" t="n">
        <f aca="false">W93+IF(Hipótesis!$D$94=5,IF(W$3=Hipótesis!$D$124,$C$158,0),IF(W$3=84,$C$134,0))</f>
        <v>0</v>
      </c>
      <c r="X121" s="152" t="n">
        <f aca="false">X93+IF(Hipótesis!$D$94=5,IF(X$3=Hipótesis!$D$124,$C$158,0),IF(X$3=84,$C$134,0))</f>
        <v>0</v>
      </c>
      <c r="Y121" s="152" t="n">
        <f aca="false">Y93+IF(Hipótesis!$D$94=5,IF(Y$3=Hipótesis!$D$124,$C$158,0),IF(Y$3=84,$C$134,0))</f>
        <v>0</v>
      </c>
      <c r="Z121" s="152" t="n">
        <f aca="false">Z93+IF(Hipótesis!$D$94=5,IF(Z$3=Hipótesis!$D$124,$C$158,0),IF(Z$3=84,$C$134,0))</f>
        <v>0</v>
      </c>
      <c r="AA121" s="152" t="n">
        <f aca="false">AA93+IF(Hipótesis!$D$94=5,IF(AA$3=Hipótesis!$D$124,$C$158,0),IF(AA$3=84,$C$134,0))</f>
        <v>0</v>
      </c>
      <c r="AB121" s="152" t="n">
        <f aca="false">AB93+IF(Hipótesis!$D$94=5,IF(AB$3=Hipótesis!$D$124,$C$158,0),IF(AB$3=84,$C$134,0))</f>
        <v>0</v>
      </c>
      <c r="AC121" s="152" t="n">
        <f aca="false">AC93+IF(Hipótesis!$D$94=5,IF(AC$3=Hipótesis!$D$124,$C$158,0),IF(AC$3=84,$C$134,0))</f>
        <v>0</v>
      </c>
      <c r="AD121" s="152" t="n">
        <f aca="false">AD93+IF(Hipótesis!$D$94=5,IF(AD$3=Hipótesis!$D$124,$C$158,0),IF(AD$3=84,$C$134,0))</f>
        <v>0</v>
      </c>
      <c r="AE121" s="152" t="n">
        <f aca="false">AE93+IF(Hipótesis!$D$94=5,IF(AE$3=Hipótesis!$D$124,$C$158,0),IF(AE$3=84,$C$134,0))</f>
        <v>0</v>
      </c>
      <c r="AF121" s="152" t="n">
        <f aca="false">AF93+IF(Hipótesis!$D$94=5,IF(AF$3=Hipótesis!$D$124,$C$158,0),IF(AF$3=84,$C$134,0))</f>
        <v>0</v>
      </c>
      <c r="AG121" s="152" t="n">
        <f aca="false">AG93+IF(Hipótesis!$D$94=5,IF(AG$3=Hipótesis!$D$124,$C$158,0),IF(AG$3=84,$C$134,0))</f>
        <v>0</v>
      </c>
      <c r="AH121" s="152" t="n">
        <f aca="false">AH93+IF(Hipótesis!$D$94=5,IF(AH$3=Hipótesis!$D$124,$C$158,0),IF(AH$3=84,$C$134,0))</f>
        <v>0</v>
      </c>
      <c r="AI121" s="152" t="n">
        <f aca="false">AI93+IF(Hipótesis!$D$94=5,IF(AI$3=Hipótesis!$D$124,$C$158,0),IF(AI$3=84,$C$134,0))</f>
        <v>0</v>
      </c>
      <c r="AJ121" s="152" t="n">
        <f aca="false">AJ93+IF(Hipótesis!$D$94=5,IF(AJ$3=Hipótesis!$D$124,$C$158,0),IF(AJ$3=84,$C$134,0))</f>
        <v>0</v>
      </c>
      <c r="AK121" s="152" t="n">
        <f aca="false">AK93+IF(Hipótesis!$D$94=5,IF(AK$3=Hipótesis!$D$124,$C$158,0),IF(AK$3=84,$C$134,0))</f>
        <v>0</v>
      </c>
      <c r="AL121" s="152" t="n">
        <f aca="false">AL93+IF(Hipótesis!$D$94=5,IF(AL$3=Hipótesis!$D$124,$C$158,0),IF(AL$3=84,$C$134,0))</f>
        <v>0</v>
      </c>
      <c r="AM121" s="152" t="n">
        <f aca="false">AM93+IF(Hipótesis!$D$94=5,IF(AM$3=Hipótesis!$D$124,$C$158,0),IF(AM$3=84,$C$134,0))</f>
        <v>0</v>
      </c>
      <c r="AN121" s="152" t="n">
        <f aca="false">AN93+IF(Hipótesis!$D$94=5,IF(AN$3=Hipótesis!$D$124,$C$158,0),IF(AN$3=84,$C$134,0))</f>
        <v>0</v>
      </c>
      <c r="AO121" s="152" t="n">
        <f aca="false">AO93+IF(Hipótesis!$D$94=5,IF(AO$3=Hipótesis!$D$124,$C$158,0),IF(AO$3=84,$C$134,0))</f>
        <v>0</v>
      </c>
      <c r="AP121" s="152" t="n">
        <f aca="false">AP93+IF(Hipótesis!$D$94=5,IF(AP$3=Hipótesis!$D$124,$C$158,0),IF(AP$3=84,$C$134,0))</f>
        <v>0</v>
      </c>
      <c r="AQ121" s="152" t="n">
        <f aca="false">AQ93+IF(Hipótesis!$D$94=5,IF(AQ$3=Hipótesis!$D$124,$C$158,0),IF(AQ$3=84,$C$134,0))</f>
        <v>0</v>
      </c>
      <c r="AR121" s="152" t="n">
        <f aca="false">AR93+IF(Hipótesis!$D$94=5,IF(AR$3=Hipótesis!$D$124,$C$158,0),IF(AR$3=84,$C$134,0))</f>
        <v>0</v>
      </c>
      <c r="AS121" s="152" t="n">
        <f aca="false">AS93+IF(Hipótesis!$D$94=5,IF(AS$3=Hipótesis!$D$124,$C$158,0),IF(AS$3=84,$C$134,0))</f>
        <v>0</v>
      </c>
      <c r="AT121" s="152" t="n">
        <f aca="false">AT93+IF(Hipótesis!$D$94=5,IF(AT$3=Hipótesis!$D$124,$C$158,0),IF(AT$3=84,$C$134,0))</f>
        <v>0</v>
      </c>
      <c r="AU121" s="152" t="n">
        <f aca="false">AU93+IF(Hipótesis!$D$94=5,IF(AU$3=Hipótesis!$D$124,$C$158,0),IF(AU$3=84,$C$134,0))</f>
        <v>0</v>
      </c>
      <c r="AV121" s="152" t="n">
        <f aca="false">AV93+IF(Hipótesis!$D$94=5,IF(AV$3=Hipótesis!$D$124,$C$158,0),IF(AV$3=84,$C$134,0))</f>
        <v>0</v>
      </c>
      <c r="AW121" s="152" t="n">
        <f aca="false">AW93+IF(Hipótesis!$D$94=5,IF(AW$3=Hipótesis!$D$124,$C$158,0),IF(AW$3=84,$C$134,0))</f>
        <v>0</v>
      </c>
      <c r="AX121" s="152" t="n">
        <f aca="false">AX93+IF(Hipótesis!$D$94=5,IF(AX$3=Hipótesis!$D$124,$C$158,0),IF(AX$3=84,$C$134,0))</f>
        <v>515985.514958843</v>
      </c>
      <c r="AY121" s="152" t="n">
        <f aca="false">AY93+IF(Hipótesis!$D$94=5,IF(AY$3=Hipótesis!$D$124,$C$158,0),IF(AY$3=84,$C$134,0))</f>
        <v>0</v>
      </c>
      <c r="AZ121" s="152" t="n">
        <f aca="false">AZ93+IF(Hipótesis!$D$94=5,IF(AZ$3=Hipótesis!$D$124,$C$158,0),IF(AZ$3=84,$C$134,0))</f>
        <v>0</v>
      </c>
      <c r="BA121" s="152" t="n">
        <f aca="false">BA93+IF(Hipótesis!$D$94=5,IF(BA$3=Hipótesis!$D$124,$C$158,0),IF(BA$3=84,$C$134,0))</f>
        <v>0</v>
      </c>
      <c r="BB121" s="152" t="n">
        <f aca="false">BB93+IF(Hipótesis!$D$94=5,IF(BB$3=Hipótesis!$D$124,$C$158,0),IF(BB$3=84,$C$134,0))</f>
        <v>0</v>
      </c>
      <c r="BC121" s="152" t="n">
        <f aca="false">BC93+IF(Hipótesis!$D$94=5,IF(BC$3=Hipótesis!$D$124,$C$158,0),IF(BC$3=84,$C$134,0))</f>
        <v>0</v>
      </c>
      <c r="BD121" s="152" t="n">
        <f aca="false">BD93+IF(Hipótesis!$D$94=5,IF(BD$3=Hipótesis!$D$124,$C$158,0),IF(BD$3=84,$C$134,0))</f>
        <v>0</v>
      </c>
      <c r="BE121" s="152" t="n">
        <f aca="false">BE93+IF(Hipótesis!$D$94=5,IF(BE$3=Hipótesis!$D$124,$C$158,0),IF(BE$3=84,$C$134,0))</f>
        <v>0</v>
      </c>
      <c r="BF121" s="152" t="n">
        <f aca="false">BF93+IF(Hipótesis!$D$94=5,IF(BF$3=Hipótesis!$D$124,$C$158,0),IF(BF$3=84,$C$134,0))</f>
        <v>0</v>
      </c>
      <c r="BG121" s="152" t="n">
        <f aca="false">BG93+IF(Hipótesis!$D$94=5,IF(BG$3=Hipótesis!$D$124,$C$158,0),IF(BG$3=84,$C$134,0))</f>
        <v>0</v>
      </c>
      <c r="BH121" s="152" t="n">
        <f aca="false">BH93+IF(Hipótesis!$D$94=5,IF(BH$3=Hipótesis!$D$124,$C$158,0),IF(BH$3=84,$C$134,0))</f>
        <v>0</v>
      </c>
      <c r="BI121" s="152" t="n">
        <f aca="false">BI93+IF(Hipótesis!$D$94=5,IF(BI$3=Hipótesis!$D$124,$C$158,0),IF(BI$3=84,$C$134,0))</f>
        <v>0</v>
      </c>
      <c r="BJ121" s="152" t="n">
        <f aca="false">BJ93+IF(Hipótesis!$D$94=5,IF(BJ$3=Hipótesis!$D$124,$C$158,0),IF(BJ$3=84,$C$134,0))</f>
        <v>0</v>
      </c>
      <c r="BK121" s="152" t="n">
        <f aca="false">BK93+IF(Hipótesis!$D$94=5,IF(BK$3=Hipótesis!$D$124,$C$158,0),IF(BK$3=84,$C$134,0))</f>
        <v>0</v>
      </c>
      <c r="BL121" s="152" t="n">
        <f aca="false">BL93+IF(Hipótesis!$D$94=5,IF(BL$3=Hipótesis!$D$124,$C$158,0),IF(BL$3=84,$C$134,0))</f>
        <v>0</v>
      </c>
      <c r="BM121" s="152" t="n">
        <f aca="false">BM93+IF(Hipótesis!$D$94=5,IF(BM$3=Hipótesis!$D$124,$C$158,0),IF(BM$3=84,$C$134,0))</f>
        <v>0</v>
      </c>
      <c r="BN121" s="152" t="n">
        <f aca="false">BN93+IF(Hipótesis!$D$94=5,IF(BN$3=Hipótesis!$D$124,$C$158,0),IF(BN$3=84,$C$134,0))</f>
        <v>0</v>
      </c>
      <c r="BO121" s="152" t="n">
        <f aca="false">BO93+IF(Hipótesis!$D$94=5,IF(BO$3=Hipótesis!$D$124,$C$158,0),IF(BO$3=84,$C$134,0))</f>
        <v>0</v>
      </c>
      <c r="BP121" s="152" t="n">
        <f aca="false">BP93+IF(Hipótesis!$D$94=5,IF(BP$3=Hipótesis!$D$124,$C$158,0),IF(BP$3=84,$C$134,0))</f>
        <v>0</v>
      </c>
      <c r="BQ121" s="152" t="n">
        <f aca="false">BQ93+IF(Hipótesis!$D$94=5,IF(BQ$3=Hipótesis!$D$124,$C$158,0),IF(BQ$3=84,$C$134,0))</f>
        <v>0</v>
      </c>
      <c r="BR121" s="152" t="n">
        <f aca="false">BR93+IF(Hipótesis!$D$94=5,IF(BR$3=Hipótesis!$D$124,$C$158,0),IF(BR$3=84,$C$134,0))</f>
        <v>0</v>
      </c>
      <c r="BS121" s="152" t="n">
        <f aca="false">BS93+IF(Hipótesis!$D$94=5,IF(BS$3=Hipótesis!$D$124,$C$158,0),IF(BS$3=84,$C$134,0))</f>
        <v>0</v>
      </c>
      <c r="BT121" s="152" t="n">
        <f aca="false">BT93+IF(Hipótesis!$D$94=5,IF(BT$3=Hipótesis!$D$124,$C$158,0),IF(BT$3=84,$C$134,0))</f>
        <v>0</v>
      </c>
      <c r="BU121" s="152" t="n">
        <f aca="false">BU93+IF(Hipótesis!$D$94=5,IF(BU$3=Hipótesis!$D$124,$C$158,0),IF(BU$3=84,$C$134,0))</f>
        <v>0</v>
      </c>
      <c r="BV121" s="152" t="n">
        <f aca="false">BV93+IF(Hipótesis!$D$94=5,IF(BV$3=Hipótesis!$D$124,$C$158,0),IF(BV$3=84,$C$134,0))</f>
        <v>0</v>
      </c>
      <c r="BW121" s="152" t="n">
        <f aca="false">BW93+IF(Hipótesis!$D$94=5,IF(BW$3=Hipótesis!$D$124,$C$158,0),IF(BW$3=84,$C$134,0))</f>
        <v>0</v>
      </c>
      <c r="BX121" s="152" t="n">
        <f aca="false">BX93+IF(Hipótesis!$D$94=5,IF(BX$3=Hipótesis!$D$124,$C$158,0),IF(BX$3=84,$C$134,0))</f>
        <v>0</v>
      </c>
      <c r="BY121" s="152" t="n">
        <f aca="false">BY93+IF(Hipótesis!$D$94=5,IF(BY$3=Hipótesis!$D$124,$C$158,0),IF(BY$3=84,$C$134,0))</f>
        <v>0</v>
      </c>
      <c r="BZ121" s="152" t="n">
        <f aca="false">BZ93+IF(Hipótesis!$D$94=5,IF(BZ$3=Hipótesis!$D$124,$C$158,0),IF(BZ$3=84,$C$134,0))</f>
        <v>0</v>
      </c>
      <c r="CA121" s="152" t="n">
        <f aca="false">CA93+IF(Hipótesis!$D$94=5,IF(CA$3=Hipótesis!$D$124,$C$158,0),IF(CA$3=84,$C$134,0))</f>
        <v>0</v>
      </c>
      <c r="CB121" s="152" t="n">
        <f aca="false">CB93+IF(Hipótesis!$D$94=5,IF(CB$3=Hipótesis!$D$124,$C$158,0),IF(CB$3=84,$C$134,0))</f>
        <v>0</v>
      </c>
      <c r="CC121" s="152" t="n">
        <f aca="false">CC93+IF(Hipótesis!$D$94=5,IF(CC$3=Hipótesis!$D$124,$C$158,0),IF(CC$3=84,$C$134,0))</f>
        <v>0</v>
      </c>
      <c r="CD121" s="152" t="n">
        <f aca="false">CD93+IF(Hipótesis!$D$94=5,IF(CD$3=Hipótesis!$D$124,$C$158,0),IF(CD$3=84,$C$134,0))</f>
        <v>0</v>
      </c>
      <c r="CE121" s="152" t="n">
        <f aca="false">CE93+IF(Hipótesis!$D$94=5,IF(CE$3=Hipótesis!$D$124,$C$158,0),IF(CE$3=84,$C$134,0))</f>
        <v>0</v>
      </c>
      <c r="CF121" s="152" t="n">
        <f aca="false">CF93+IF(Hipótesis!$D$94=5,IF(CF$3=Hipótesis!$D$124,$C$158,0),IF(CF$3=84,$C$134,0))</f>
        <v>0</v>
      </c>
      <c r="CG121" s="152" t="n">
        <f aca="false">CG93+IF(Hipótesis!$D$94=5,IF(CG$3=Hipótesis!$D$124,$C$158,0),IF(CG$3=84,$C$134,0))</f>
        <v>0</v>
      </c>
      <c r="CH121" s="152" t="n">
        <f aca="false">CH93+IF(Hipótesis!$D$94=5,IF(CH$3=Hipótesis!$D$124,$C$158,0),IF(CH$3=84,$C$134,0))</f>
        <v>0</v>
      </c>
    </row>
    <row r="122" customFormat="false" ht="12.75" hidden="false" customHeight="true" outlineLevel="0" collapsed="false">
      <c r="A122" s="13" t="s">
        <v>794</v>
      </c>
      <c r="B122" s="138" t="n">
        <f aca="false">Hipótesis!$D$122</f>
        <v>200000</v>
      </c>
      <c r="C122" s="138" t="n">
        <f aca="false">-C106-IF(Hipótesis!$D$94=5,IF(C$3=Hipótesis!$D$124,$C$158,0),IF(C$3=84,$C$134,0))</f>
        <v>-333.333333333333</v>
      </c>
      <c r="D122" s="138" t="n">
        <f aca="false">-D106-IF(Hipótesis!$D$94=5,IF(D$3=Hipótesis!$D$124,$C$158,0),IF(D$3=84,$C$134,0))</f>
        <v>-333.333333333333</v>
      </c>
      <c r="E122" s="138" t="n">
        <f aca="false">-E106-IF(Hipótesis!$D$94=5,IF(E$3=Hipótesis!$D$124,$C$158,0),IF(E$3=84,$C$134,0))</f>
        <v>-333.333333333333</v>
      </c>
      <c r="F122" s="138" t="n">
        <f aca="false">-F106-IF(Hipótesis!$D$94=5,IF(F$3=Hipótesis!$D$124,$C$158,0),IF(F$3=84,$C$134,0))</f>
        <v>-333.333333333333</v>
      </c>
      <c r="G122" s="138" t="n">
        <f aca="false">-G106-IF(Hipótesis!$D$94=5,IF(G$3=Hipótesis!$D$124,$C$158,0),IF(G$3=84,$C$134,0))</f>
        <v>-333.333333333333</v>
      </c>
      <c r="H122" s="138" t="n">
        <f aca="false">-H106-IF(Hipótesis!$D$94=5,IF(H$3=Hipótesis!$D$124,$C$158,0),IF(H$3=84,$C$134,0))</f>
        <v>-333.333333333333</v>
      </c>
      <c r="I122" s="138" t="n">
        <f aca="false">-I106-IF(Hipótesis!$D$94=5,IF(I$3=Hipótesis!$D$124,$C$158,0),IF(I$3=84,$C$134,0))</f>
        <v>-333.333333333333</v>
      </c>
      <c r="J122" s="138" t="n">
        <f aca="false">-J106-IF(Hipótesis!$D$94=5,IF(J$3=Hipótesis!$D$124,$C$158,0),IF(J$3=84,$C$134,0))</f>
        <v>-354.201084663088</v>
      </c>
      <c r="K122" s="138" t="n">
        <f aca="false">-K106-IF(Hipótesis!$D$94=5,IF(K$3=Hipótesis!$D$124,$C$158,0),IF(K$3=84,$C$134,0))</f>
        <v>-429.929317539693</v>
      </c>
      <c r="L122" s="138" t="n">
        <f aca="false">-L106-IF(Hipótesis!$D$94=5,IF(L$3=Hipótesis!$D$124,$C$158,0),IF(L$3=84,$C$134,0))</f>
        <v>-505.657550416297</v>
      </c>
      <c r="M122" s="138" t="n">
        <f aca="false">-M106-IF(Hipótesis!$D$94=5,IF(M$3=Hipótesis!$D$124,$C$158,0),IF(M$3=84,$C$134,0))</f>
        <v>-564.652581933376</v>
      </c>
      <c r="N122" s="138" t="n">
        <f aca="false">-N106-IF(Hipótesis!$D$94=5,IF(N$3=Hipótesis!$D$124,$C$158,0),IF(N$3=84,$C$134,0))</f>
        <v>-635.596042136151</v>
      </c>
      <c r="O122" s="138" t="n">
        <f aca="false">-O106-IF(Hipótesis!$D$94=5,IF(O$3=Hipótesis!$D$124,$C$158,0),IF(O$3=84,$C$134,0))</f>
        <v>-601.995502338927</v>
      </c>
      <c r="P122" s="138" t="n">
        <f aca="false">-P106-IF(Hipótesis!$D$94=5,IF(P$3=Hipótesis!$D$124,$C$158,0),IF(P$3=84,$C$134,0))</f>
        <v>-622.000120544564</v>
      </c>
      <c r="Q122" s="138" t="n">
        <f aca="false">-Q106-IF(Hipótesis!$D$94=5,IF(Q$3=Hipótesis!$D$124,$C$158,0),IF(Q$3=84,$C$134,0))</f>
        <v>-688.231138750202</v>
      </c>
      <c r="R122" s="138" t="n">
        <f aca="false">-R106-IF(Hipótesis!$D$94=5,IF(R$3=Hipótesis!$D$124,$C$158,0),IF(R$3=84,$C$134,0))</f>
        <v>-754.462156955839</v>
      </c>
      <c r="S122" s="138" t="n">
        <f aca="false">-S106-IF(Hipótesis!$D$94=5,IF(S$3=Hipótesis!$D$124,$C$158,0),IF(S$3=84,$C$134,0))</f>
        <v>-535.580454436972</v>
      </c>
      <c r="T122" s="138" t="n">
        <f aca="false">-T106-IF(Hipótesis!$D$94=5,IF(T$3=Hipótesis!$D$124,$C$158,0),IF(T$3=84,$C$134,0))</f>
        <v>-886.924193367114</v>
      </c>
      <c r="U122" s="138" t="n">
        <f aca="false">-U106-IF(Hipótesis!$D$94=5,IF(U$3=Hipótesis!$D$124,$C$158,0),IF(U$3=84,$C$134,0))</f>
        <v>-906.928811572752</v>
      </c>
      <c r="V122" s="138" t="n">
        <f aca="false">-V106-IF(Hipótesis!$D$94=5,IF(V$3=Hipótesis!$D$124,$C$158,0),IF(V$3=84,$C$134,0))</f>
        <v>-918.775829778389</v>
      </c>
      <c r="W122" s="138" t="n">
        <f aca="false">-W106-IF(Hipótesis!$D$94=5,IF(W$3=Hipótesis!$D$124,$C$158,0),IF(W$3=84,$C$134,0))</f>
        <v>-985.006847984027</v>
      </c>
      <c r="X122" s="138" t="n">
        <f aca="false">-X106-IF(Hipótesis!$D$94=5,IF(X$3=Hipótesis!$D$124,$C$158,0),IF(X$3=84,$C$134,0))</f>
        <v>-1039.28943750397</v>
      </c>
      <c r="Y122" s="138" t="n">
        <f aca="false">-Y106-IF(Hipótesis!$D$94=5,IF(Y$3=Hipótesis!$D$124,$C$158,0),IF(Y$3=84,$C$134,0))</f>
        <v>-1093.57202702391</v>
      </c>
      <c r="Z122" s="138" t="n">
        <f aca="false">-Z106-IF(Hipótesis!$D$94=5,IF(Z$3=Hipótesis!$D$124,$C$158,0),IF(Z$3=84,$C$134,0))</f>
        <v>-1143.54504506957</v>
      </c>
      <c r="AA122" s="138" t="n">
        <f aca="false">-AA106-IF(Hipótesis!$D$94=5,IF(AA$3=Hipótesis!$D$124,$C$158,0),IF(AA$3=84,$C$134,0))</f>
        <v>-2804.56974160018</v>
      </c>
      <c r="AB122" s="138" t="n">
        <f aca="false">-AB106-IF(Hipótesis!$D$94=5,IF(AB$3=Hipótesis!$D$124,$C$158,0),IF(AB$3=84,$C$134,0))</f>
        <v>-2787.35514164019</v>
      </c>
      <c r="AC122" s="138" t="n">
        <f aca="false">-AC106-IF(Hipótesis!$D$94=5,IF(AC$3=Hipótesis!$D$124,$C$158,0),IF(AC$3=84,$C$134,0))</f>
        <v>-2817.75373368021</v>
      </c>
      <c r="AD122" s="138" t="n">
        <f aca="false">-AD106-IF(Hipótesis!$D$94=5,IF(AD$3=Hipótesis!$D$124,$C$158,0),IF(AD$3=84,$C$134,0))</f>
        <v>-2848.15232572023</v>
      </c>
      <c r="AE122" s="138" t="n">
        <f aca="false">-AE106-IF(Hipótesis!$D$94=5,IF(AE$3=Hipótesis!$D$124,$C$158,0),IF(AE$3=84,$C$134,0))</f>
        <v>-2482.62707673741</v>
      </c>
      <c r="AF122" s="138" t="n">
        <f aca="false">-AF106-IF(Hipótesis!$D$94=5,IF(AF$3=Hipótesis!$D$124,$C$158,0),IF(AF$3=84,$C$134,0))</f>
        <v>-2908.94950980026</v>
      </c>
      <c r="AG122" s="138" t="n">
        <f aca="false">-AG106-IF(Hipótesis!$D$94=5,IF(AG$3=Hipótesis!$D$124,$C$158,0),IF(AG$3=84,$C$134,0))</f>
        <v>-2939.34810184028</v>
      </c>
      <c r="AH122" s="138" t="n">
        <f aca="false">-AH106-IF(Hipótesis!$D$94=5,IF(AH$3=Hipótesis!$D$124,$C$158,0),IF(AH$3=84,$C$134,0))</f>
        <v>-2969.74669388029</v>
      </c>
      <c r="AI122" s="138" t="n">
        <f aca="false">-AI106-IF(Hipótesis!$D$94=5,IF(AI$3=Hipótesis!$D$124,$C$158,0),IF(AI$3=84,$C$134,0))</f>
        <v>-3000.14528592031</v>
      </c>
      <c r="AJ122" s="138" t="n">
        <f aca="false">-AJ106-IF(Hipótesis!$D$94=5,IF(AJ$3=Hipótesis!$D$124,$C$158,0),IF(AJ$3=84,$C$134,0))</f>
        <v>-3030.54387796033</v>
      </c>
      <c r="AK122" s="138" t="n">
        <f aca="false">-AK106-IF(Hipótesis!$D$94=5,IF(AK$3=Hipótesis!$D$124,$C$158,0),IF(AK$3=84,$C$134,0))</f>
        <v>-3060.94247000034</v>
      </c>
      <c r="AL122" s="138" t="n">
        <f aca="false">-AL106-IF(Hipótesis!$D$94=5,IF(AL$3=Hipótesis!$D$124,$C$158,0),IF(AL$3=84,$C$134,0))</f>
        <v>-3043.72787004036</v>
      </c>
      <c r="AM122" s="138" t="n">
        <f aca="false">-AM106-IF(Hipótesis!$D$94=5,IF(AM$3=Hipótesis!$D$124,$C$158,0),IF(AM$3=84,$C$134,0))</f>
        <v>-3025.45194784037</v>
      </c>
      <c r="AN122" s="138" t="n">
        <f aca="false">-AN106-IF(Hipótesis!$D$94=5,IF(AN$3=Hipótesis!$D$124,$C$158,0),IF(AN$3=84,$C$134,0))</f>
        <v>-3055.85053988039</v>
      </c>
      <c r="AO122" s="138" t="n">
        <f aca="false">-AO106-IF(Hipótesis!$D$94=5,IF(AO$3=Hipótesis!$D$124,$C$158,0),IF(AO$3=84,$C$134,0))</f>
        <v>-3086.24913192041</v>
      </c>
      <c r="AP122" s="138" t="n">
        <f aca="false">-AP106-IF(Hipótesis!$D$94=5,IF(AP$3=Hipótesis!$D$124,$C$158,0),IF(AP$3=84,$C$134,0))</f>
        <v>-3116.64772396042</v>
      </c>
      <c r="AQ122" s="138" t="n">
        <f aca="false">-AQ106-IF(Hipótesis!$D$94=5,IF(AQ$3=Hipótesis!$D$124,$C$158,0),IF(AQ$3=84,$C$134,0))</f>
        <v>-2751.12247497761</v>
      </c>
      <c r="AR122" s="138" t="n">
        <f aca="false">-AR106-IF(Hipótesis!$D$94=5,IF(AR$3=Hipótesis!$D$124,$C$158,0),IF(AR$3=84,$C$134,0))</f>
        <v>-3177.44490804046</v>
      </c>
      <c r="AS122" s="138" t="n">
        <f aca="false">-AS106-IF(Hipótesis!$D$94=5,IF(AS$3=Hipótesis!$D$124,$C$158,0),IF(AS$3=84,$C$134,0))</f>
        <v>-3171.8893524849</v>
      </c>
      <c r="AT122" s="138" t="n">
        <f aca="false">-AT106-IF(Hipótesis!$D$94=5,IF(AT$3=Hipótesis!$D$124,$C$158,0),IF(AT$3=84,$C$134,0))</f>
        <v>-3166.33379692935</v>
      </c>
      <c r="AU122" s="138" t="n">
        <f aca="false">-AU106-IF(Hipótesis!$D$94=5,IF(AU$3=Hipótesis!$D$124,$C$158,0),IF(AU$3=84,$C$134,0))</f>
        <v>-3160.77824137379</v>
      </c>
      <c r="AV122" s="138" t="n">
        <f aca="false">-AV106-IF(Hipótesis!$D$94=5,IF(AV$3=Hipótesis!$D$124,$C$158,0),IF(AV$3=84,$C$134,0))</f>
        <v>-3155.22268581824</v>
      </c>
      <c r="AW122" s="138" t="n">
        <f aca="false">-AW106-IF(Hipótesis!$D$94=5,IF(AW$3=Hipótesis!$D$124,$C$158,0),IF(AW$3=84,$C$134,0))</f>
        <v>-3149.66713026268</v>
      </c>
      <c r="AX122" s="138" t="n">
        <f aca="false">-AX106-IF(Hipótesis!$D$94=5,IF(AX$3=Hipótesis!$D$124,$C$158,0),IF(AX$3=84,$C$134,0))</f>
        <v>-519129.62653355</v>
      </c>
      <c r="AY122" s="138" t="n">
        <f aca="false">-AY106-IF(Hipótesis!$D$94=5,IF(AY$3=Hipótesis!$D$124,$C$158,0),IF(AY$3=84,$C$134,0))</f>
        <v>-3089.60926948437</v>
      </c>
      <c r="AZ122" s="138" t="n">
        <f aca="false">-AZ106-IF(Hipótesis!$D$94=5,IF(AZ$3=Hipótesis!$D$124,$C$158,0),IF(AZ$3=84,$C$134,0))</f>
        <v>-3084.05371392881</v>
      </c>
      <c r="BA122" s="138" t="n">
        <f aca="false">-BA106-IF(Hipótesis!$D$94=5,IF(BA$3=Hipótesis!$D$124,$C$158,0),IF(BA$3=84,$C$134,0))</f>
        <v>-3078.49815837326</v>
      </c>
      <c r="BB122" s="138" t="n">
        <f aca="false">-BB106-IF(Hipótesis!$D$94=5,IF(BB$3=Hipótesis!$D$124,$C$158,0),IF(BB$3=84,$C$134,0))</f>
        <v>-3072.9426028177</v>
      </c>
      <c r="BC122" s="138" t="n">
        <f aca="false">-BC106-IF(Hipótesis!$D$94=5,IF(BC$3=Hipótesis!$D$124,$C$158,0),IF(BC$3=84,$C$134,0))</f>
        <v>-2671.46320623932</v>
      </c>
      <c r="BD122" s="138" t="n">
        <f aca="false">-BD106-IF(Hipótesis!$D$94=5,IF(BD$3=Hipótesis!$D$124,$C$158,0),IF(BD$3=84,$C$134,0))</f>
        <v>-3061.83149170659</v>
      </c>
      <c r="BE122" s="138" t="n">
        <f aca="false">-BE106-IF(Hipótesis!$D$94=5,IF(BE$3=Hipótesis!$D$124,$C$158,0),IF(BE$3=84,$C$134,0))</f>
        <v>-3056.27593615103</v>
      </c>
      <c r="BF122" s="138" t="n">
        <f aca="false">-BF106-IF(Hipótesis!$D$94=5,IF(BF$3=Hipótesis!$D$124,$C$158,0),IF(BF$3=84,$C$134,0))</f>
        <v>-3050.72038059548</v>
      </c>
      <c r="BG122" s="138" t="n">
        <f aca="false">-BG106-IF(Hipótesis!$D$94=5,IF(BG$3=Hipótesis!$D$124,$C$158,0),IF(BG$3=84,$C$134,0))</f>
        <v>-3045.16482503992</v>
      </c>
      <c r="BH122" s="138" t="n">
        <f aca="false">-BH106-IF(Hipótesis!$D$94=5,IF(BH$3=Hipótesis!$D$124,$C$158,0),IF(BH$3=84,$C$134,0))</f>
        <v>-3039.60926948437</v>
      </c>
      <c r="BI122" s="138" t="n">
        <f aca="false">-BI106-IF(Hipótesis!$D$94=5,IF(BI$3=Hipótesis!$D$124,$C$158,0),IF(BI$3=84,$C$134,0))</f>
        <v>-3034.05371392881</v>
      </c>
      <c r="BJ122" s="138" t="n">
        <f aca="false">-BJ106-IF(Hipótesis!$D$94=5,IF(BJ$3=Hipótesis!$D$124,$C$158,0),IF(BJ$3=84,$C$134,0))</f>
        <v>-3028.49815837326</v>
      </c>
      <c r="BK122" s="138" t="n">
        <f aca="false">-BK106-IF(Hipótesis!$D$94=5,IF(BK$3=Hipótesis!$D$124,$C$158,0),IF(BK$3=84,$C$134,0))</f>
        <v>-2973.71545066048</v>
      </c>
      <c r="BL122" s="138" t="n">
        <f aca="false">-BL106-IF(Hipótesis!$D$94=5,IF(BL$3=Hipótesis!$D$124,$C$158,0),IF(BL$3=84,$C$134,0))</f>
        <v>-2968.15989510493</v>
      </c>
      <c r="BM122" s="138" t="n">
        <f aca="false">-BM106-IF(Hipótesis!$D$94=5,IF(BM$3=Hipótesis!$D$124,$C$158,0),IF(BM$3=84,$C$134,0))</f>
        <v>-2962.60433954937</v>
      </c>
      <c r="BN122" s="138" t="n">
        <f aca="false">-BN106-IF(Hipótesis!$D$94=5,IF(BN$3=Hipótesis!$D$124,$C$158,0),IF(BN$3=84,$C$134,0))</f>
        <v>-2957.04878399382</v>
      </c>
      <c r="BO122" s="138" t="n">
        <f aca="false">-BO106-IF(Hipótesis!$D$94=5,IF(BO$3=Hipótesis!$D$124,$C$158,0),IF(BO$3=84,$C$134,0))</f>
        <v>-2555.56938741543</v>
      </c>
      <c r="BP122" s="138" t="n">
        <f aca="false">-BP106-IF(Hipótesis!$D$94=5,IF(BP$3=Hipótesis!$D$124,$C$158,0),IF(BP$3=84,$C$134,0))</f>
        <v>-2945.93767288271</v>
      </c>
      <c r="BQ122" s="138" t="n">
        <f aca="false">-BQ106-IF(Hipótesis!$D$94=5,IF(BQ$3=Hipótesis!$D$124,$C$158,0),IF(BQ$3=84,$C$134,0))</f>
        <v>-2940.38211732715</v>
      </c>
      <c r="BR122" s="138" t="n">
        <f aca="false">-BR106-IF(Hipótesis!$D$94=5,IF(BR$3=Hipótesis!$D$124,$C$158,0),IF(BR$3=84,$C$134,0))</f>
        <v>-2934.8265617716</v>
      </c>
      <c r="BS122" s="138" t="n">
        <f aca="false">-BS106-IF(Hipótesis!$D$94=5,IF(BS$3=Hipótesis!$D$124,$C$158,0),IF(BS$3=84,$C$134,0))</f>
        <v>-2929.27100621604</v>
      </c>
      <c r="BT122" s="138" t="n">
        <f aca="false">-BT106-IF(Hipótesis!$D$94=5,IF(BT$3=Hipótesis!$D$124,$C$158,0),IF(BT$3=84,$C$134,0))</f>
        <v>-2923.71545066049</v>
      </c>
      <c r="BU122" s="138" t="n">
        <f aca="false">-BU106-IF(Hipótesis!$D$94=5,IF(BU$3=Hipótesis!$D$124,$C$158,0),IF(BU$3=84,$C$134,0))</f>
        <v>-2918.15989510493</v>
      </c>
      <c r="BV122" s="138" t="n">
        <f aca="false">-BV106-IF(Hipótesis!$D$94=5,IF(BV$3=Hipótesis!$D$124,$C$158,0),IF(BV$3=84,$C$134,0))</f>
        <v>-2912.60433954937</v>
      </c>
      <c r="BW122" s="138" t="n">
        <f aca="false">-BW106-IF(Hipótesis!$D$94=5,IF(BW$3=Hipótesis!$D$124,$C$158,0),IF(BW$3=84,$C$134,0))</f>
        <v>-2857.53281727189</v>
      </c>
      <c r="BX122" s="138" t="n">
        <f aca="false">-BX106-IF(Hipótesis!$D$94=5,IF(BX$3=Hipótesis!$D$124,$C$158,0),IF(BX$3=84,$C$134,0))</f>
        <v>-2851.97726171633</v>
      </c>
      <c r="BY122" s="138" t="n">
        <f aca="false">-BY106-IF(Hipótesis!$D$94=5,IF(BY$3=Hipótesis!$D$124,$C$158,0),IF(BY$3=84,$C$134,0))</f>
        <v>-2846.42170616078</v>
      </c>
      <c r="BZ122" s="138" t="n">
        <f aca="false">-BZ106-IF(Hipótesis!$D$94=5,IF(BZ$3=Hipótesis!$D$124,$C$158,0),IF(BZ$3=84,$C$134,0))</f>
        <v>-2840.86615060522</v>
      </c>
      <c r="CA122" s="138" t="n">
        <f aca="false">-CA106-IF(Hipótesis!$D$94=5,IF(CA$3=Hipótesis!$D$124,$C$158,0),IF(CA$3=84,$C$134,0))</f>
        <v>-2439.38675402683</v>
      </c>
      <c r="CB122" s="138" t="n">
        <f aca="false">-CB106-IF(Hipótesis!$D$94=5,IF(CB$3=Hipótesis!$D$124,$C$158,0),IF(CB$3=84,$C$134,0))</f>
        <v>-2829.75503949411</v>
      </c>
      <c r="CC122" s="138" t="n">
        <f aca="false">-CC106-IF(Hipótesis!$D$94=5,IF(CC$3=Hipótesis!$D$124,$C$158,0),IF(CC$3=84,$C$134,0))</f>
        <v>-2824.19948393855</v>
      </c>
      <c r="CD122" s="138" t="n">
        <f aca="false">-CD106-IF(Hipótesis!$D$94=5,IF(CD$3=Hipótesis!$D$124,$C$158,0),IF(CD$3=84,$C$134,0))</f>
        <v>-2818.643928383</v>
      </c>
      <c r="CE122" s="138" t="n">
        <f aca="false">-CE106-IF(Hipótesis!$D$94=5,IF(CE$3=Hipótesis!$D$124,$C$158,0),IF(CE$3=84,$C$134,0))</f>
        <v>-2813.08837282744</v>
      </c>
      <c r="CF122" s="138" t="n">
        <f aca="false">-CF106-IF(Hipótesis!$D$94=5,IF(CF$3=Hipótesis!$D$124,$C$158,0),IF(CF$3=84,$C$134,0))</f>
        <v>-2807.53281727189</v>
      </c>
      <c r="CG122" s="138" t="n">
        <f aca="false">-CG106-IF(Hipótesis!$D$94=5,IF(CG$3=Hipótesis!$D$124,$C$158,0),IF(CG$3=84,$C$134,0))</f>
        <v>-2801.97726171633</v>
      </c>
      <c r="CH122" s="138" t="n">
        <f aca="false">-CH106-IF(Hipótesis!$D$94=5,IF(CH$3=Hipótesis!$D$124,$C$158,0),IF(CH$3=84,$C$134,0))</f>
        <v>-2796.42170616072</v>
      </c>
    </row>
    <row r="123" customFormat="false" ht="12.75" hidden="false" customHeight="true" outlineLevel="0" collapsed="false">
      <c r="A123" s="13" t="s">
        <v>795</v>
      </c>
      <c r="B123" s="138" t="n">
        <f aca="false">-Hipótesis!$D$105</f>
        <v>-100000</v>
      </c>
      <c r="C123" s="138" t="n">
        <f aca="false">C99</f>
        <v>333.333333333333</v>
      </c>
      <c r="D123" s="138" t="n">
        <f aca="false">D99</f>
        <v>333.333333333333</v>
      </c>
      <c r="E123" s="138" t="n">
        <f aca="false">E99</f>
        <v>333.333333333333</v>
      </c>
      <c r="F123" s="138" t="n">
        <f aca="false">F99</f>
        <v>333.333333333333</v>
      </c>
      <c r="G123" s="138" t="n">
        <f aca="false">G99</f>
        <v>333.333333333333</v>
      </c>
      <c r="H123" s="138" t="n">
        <f aca="false">H99</f>
        <v>333.333333333333</v>
      </c>
      <c r="I123" s="138" t="n">
        <f aca="false">I99</f>
        <v>333.333333333333</v>
      </c>
      <c r="J123" s="138" t="n">
        <f aca="false">J99</f>
        <v>354.201084663088</v>
      </c>
      <c r="K123" s="138" t="n">
        <f aca="false">K99</f>
        <v>429.929317539693</v>
      </c>
      <c r="L123" s="138" t="n">
        <f aca="false">L99</f>
        <v>505.657550416297</v>
      </c>
      <c r="M123" s="138" t="n">
        <f aca="false">M99</f>
        <v>564.652581933376</v>
      </c>
      <c r="N123" s="138" t="n">
        <f aca="false">N99</f>
        <v>635.596042136151</v>
      </c>
      <c r="O123" s="138" t="n">
        <f aca="false">O99</f>
        <v>601.995502338927</v>
      </c>
      <c r="P123" s="138" t="n">
        <f aca="false">P99</f>
        <v>622.000120544564</v>
      </c>
      <c r="Q123" s="138" t="n">
        <f aca="false">Q99</f>
        <v>688.231138750202</v>
      </c>
      <c r="R123" s="138" t="n">
        <f aca="false">R99</f>
        <v>754.462156955839</v>
      </c>
      <c r="S123" s="138" t="n">
        <f aca="false">S99</f>
        <v>535.580454436972</v>
      </c>
      <c r="T123" s="138" t="n">
        <f aca="false">T99</f>
        <v>886.924193367114</v>
      </c>
      <c r="U123" s="138" t="n">
        <f aca="false">U99</f>
        <v>906.928811572752</v>
      </c>
      <c r="V123" s="138" t="n">
        <f aca="false">V99</f>
        <v>918.775829778389</v>
      </c>
      <c r="W123" s="138" t="n">
        <f aca="false">W99</f>
        <v>985.006847984027</v>
      </c>
      <c r="X123" s="138" t="n">
        <f aca="false">X99</f>
        <v>1039.28943750397</v>
      </c>
      <c r="Y123" s="138" t="n">
        <f aca="false">Y99</f>
        <v>1093.57202702391</v>
      </c>
      <c r="Z123" s="138" t="n">
        <f aca="false">Z99</f>
        <v>1143.54504506957</v>
      </c>
      <c r="AA123" s="138" t="n">
        <f aca="false">AA99</f>
        <v>2804.56974160018</v>
      </c>
      <c r="AB123" s="138" t="n">
        <f aca="false">AB99</f>
        <v>2787.35514164019</v>
      </c>
      <c r="AC123" s="138" t="n">
        <f aca="false">AC99</f>
        <v>2817.75373368021</v>
      </c>
      <c r="AD123" s="138" t="n">
        <f aca="false">AD99</f>
        <v>2848.15232572023</v>
      </c>
      <c r="AE123" s="138" t="n">
        <f aca="false">AE99</f>
        <v>2482.62707673741</v>
      </c>
      <c r="AF123" s="138" t="n">
        <f aca="false">AF99</f>
        <v>2908.94950980026</v>
      </c>
      <c r="AG123" s="138" t="n">
        <f aca="false">AG99</f>
        <v>2939.34810184028</v>
      </c>
      <c r="AH123" s="138" t="n">
        <f aca="false">AH99</f>
        <v>2969.74669388029</v>
      </c>
      <c r="AI123" s="138" t="n">
        <f aca="false">AI99</f>
        <v>3000.14528592031</v>
      </c>
      <c r="AJ123" s="138" t="n">
        <f aca="false">AJ99</f>
        <v>3030.54387796033</v>
      </c>
      <c r="AK123" s="138" t="n">
        <f aca="false">AK99</f>
        <v>3060.94247000034</v>
      </c>
      <c r="AL123" s="138" t="n">
        <f aca="false">AL99</f>
        <v>3043.72787004036</v>
      </c>
      <c r="AM123" s="138" t="n">
        <f aca="false">AM99</f>
        <v>3025.45194784037</v>
      </c>
      <c r="AN123" s="138" t="n">
        <f aca="false">AN99</f>
        <v>3055.85053988039</v>
      </c>
      <c r="AO123" s="138" t="n">
        <f aca="false">AO99</f>
        <v>3086.24913192041</v>
      </c>
      <c r="AP123" s="138" t="n">
        <f aca="false">AP99</f>
        <v>3116.64772396042</v>
      </c>
      <c r="AQ123" s="138" t="n">
        <f aca="false">AQ99</f>
        <v>2751.12247497761</v>
      </c>
      <c r="AR123" s="138" t="n">
        <f aca="false">AR99</f>
        <v>3177.44490804046</v>
      </c>
      <c r="AS123" s="138" t="n">
        <f aca="false">AS99</f>
        <v>3171.8893524849</v>
      </c>
      <c r="AT123" s="138" t="n">
        <f aca="false">AT99</f>
        <v>3166.33379692935</v>
      </c>
      <c r="AU123" s="138" t="n">
        <f aca="false">AU99</f>
        <v>3160.77824137379</v>
      </c>
      <c r="AV123" s="138" t="n">
        <f aca="false">AV99</f>
        <v>3155.22268581824</v>
      </c>
      <c r="AW123" s="138" t="n">
        <f aca="false">AW99</f>
        <v>3149.66713026268</v>
      </c>
      <c r="AX123" s="138" t="n">
        <f aca="false">AX99</f>
        <v>3144.11157470712</v>
      </c>
      <c r="AY123" s="138" t="n">
        <f aca="false">AY99</f>
        <v>3089.60926948437</v>
      </c>
      <c r="AZ123" s="138" t="n">
        <f aca="false">AZ99</f>
        <v>3084.05371392881</v>
      </c>
      <c r="BA123" s="138" t="n">
        <f aca="false">BA99</f>
        <v>3078.49815837326</v>
      </c>
      <c r="BB123" s="138" t="n">
        <f aca="false">BB99</f>
        <v>3072.9426028177</v>
      </c>
      <c r="BC123" s="138" t="n">
        <f aca="false">BC99</f>
        <v>2671.46320623932</v>
      </c>
      <c r="BD123" s="138" t="n">
        <f aca="false">BD99</f>
        <v>3061.83149170659</v>
      </c>
      <c r="BE123" s="138" t="n">
        <f aca="false">BE99</f>
        <v>3056.27593615103</v>
      </c>
      <c r="BF123" s="138" t="n">
        <f aca="false">BF99</f>
        <v>3050.72038059548</v>
      </c>
      <c r="BG123" s="138" t="n">
        <f aca="false">BG99</f>
        <v>3045.16482503992</v>
      </c>
      <c r="BH123" s="138" t="n">
        <f aca="false">BH99</f>
        <v>3039.60926948437</v>
      </c>
      <c r="BI123" s="138" t="n">
        <f aca="false">BI99</f>
        <v>3034.05371392881</v>
      </c>
      <c r="BJ123" s="138" t="n">
        <f aca="false">BJ99</f>
        <v>3028.49815837326</v>
      </c>
      <c r="BK123" s="138" t="n">
        <f aca="false">BK99</f>
        <v>2973.71545066048</v>
      </c>
      <c r="BL123" s="138" t="n">
        <f aca="false">BL99</f>
        <v>2968.15989510493</v>
      </c>
      <c r="BM123" s="138" t="n">
        <f aca="false">BM99</f>
        <v>2962.60433954937</v>
      </c>
      <c r="BN123" s="138" t="n">
        <f aca="false">BN99</f>
        <v>2957.04878399382</v>
      </c>
      <c r="BO123" s="138" t="n">
        <f aca="false">BO99</f>
        <v>2555.56938741543</v>
      </c>
      <c r="BP123" s="138" t="n">
        <f aca="false">BP99</f>
        <v>2945.93767288271</v>
      </c>
      <c r="BQ123" s="138" t="n">
        <f aca="false">BQ99</f>
        <v>2940.38211732715</v>
      </c>
      <c r="BR123" s="138" t="n">
        <f aca="false">BR99</f>
        <v>2934.8265617716</v>
      </c>
      <c r="BS123" s="138" t="n">
        <f aca="false">BS99</f>
        <v>2929.27100621604</v>
      </c>
      <c r="BT123" s="138" t="n">
        <f aca="false">BT99</f>
        <v>2923.71545066049</v>
      </c>
      <c r="BU123" s="138" t="n">
        <f aca="false">BU99</f>
        <v>2918.15989510493</v>
      </c>
      <c r="BV123" s="138" t="n">
        <f aca="false">BV99</f>
        <v>2912.60433954937</v>
      </c>
      <c r="BW123" s="138" t="n">
        <f aca="false">BW99</f>
        <v>2857.53281727189</v>
      </c>
      <c r="BX123" s="138" t="n">
        <f aca="false">BX99</f>
        <v>2851.97726171633</v>
      </c>
      <c r="BY123" s="138" t="n">
        <f aca="false">BY99</f>
        <v>2846.42170616078</v>
      </c>
      <c r="BZ123" s="138" t="n">
        <f aca="false">BZ99</f>
        <v>2840.86615060522</v>
      </c>
      <c r="CA123" s="138" t="n">
        <f aca="false">CA99</f>
        <v>2439.38675402683</v>
      </c>
      <c r="CB123" s="138" t="n">
        <f aca="false">CB99</f>
        <v>2829.75503949411</v>
      </c>
      <c r="CC123" s="138" t="n">
        <f aca="false">CC99</f>
        <v>2824.19948393855</v>
      </c>
      <c r="CD123" s="138" t="n">
        <f aca="false">CD99</f>
        <v>2818.643928383</v>
      </c>
      <c r="CE123" s="138" t="n">
        <f aca="false">CE99</f>
        <v>2813.08837282744</v>
      </c>
      <c r="CF123" s="138" t="n">
        <f aca="false">CF99</f>
        <v>2807.53281727189</v>
      </c>
      <c r="CG123" s="138" t="n">
        <f aca="false">CG99</f>
        <v>2801.97726171633</v>
      </c>
      <c r="CH123" s="138" t="n">
        <f aca="false">CH99</f>
        <v>2796.42170616072</v>
      </c>
    </row>
    <row r="124" customFormat="false" ht="13.5" hidden="false" customHeight="true" outlineLevel="0" collapsed="false"/>
    <row r="125" customFormat="false" ht="13.5" hidden="false" customHeight="true" outlineLevel="0" collapsed="false">
      <c r="A125" s="10" t="s">
        <v>796</v>
      </c>
      <c r="B125" s="10"/>
    </row>
    <row r="126" customFormat="false" ht="13.5" hidden="false" customHeight="true" outlineLevel="0" collapsed="false">
      <c r="A126" s="13" t="s">
        <v>797</v>
      </c>
      <c r="C126" s="16" t="n">
        <f aca="false">Hipótesis!$D$93</f>
        <v>100000</v>
      </c>
    </row>
    <row r="127" customFormat="false" ht="13.5" hidden="false" customHeight="true" outlineLevel="0" collapsed="false">
      <c r="A127" s="13" t="s">
        <v>798</v>
      </c>
      <c r="C127" s="19" t="n">
        <f aca="false">IFERROR(IRR($B$121:$CH$121,0.02),"n.d.")</f>
        <v>0.034776637141909</v>
      </c>
    </row>
    <row r="128" customFormat="false" ht="13.5" hidden="false" customHeight="true" outlineLevel="0" collapsed="false">
      <c r="A128" s="13" t="s">
        <v>86</v>
      </c>
      <c r="C128" s="19" t="n">
        <f aca="false">IFERROR((1+IRR($B$121:$CH$121,0.02))^12-1,"n.d.")</f>
        <v>0.507160062726353</v>
      </c>
    </row>
    <row r="129" customFormat="false" ht="13.5" hidden="false" customHeight="true" outlineLevel="0" collapsed="false">
      <c r="A129" s="13" t="s">
        <v>799</v>
      </c>
      <c r="C129" s="23" t="n">
        <f aca="false">IFERROR(SUM($C$121:$CH$121)/$C$126,0)</f>
        <v>5.15985514958843</v>
      </c>
    </row>
    <row r="130" customFormat="false" ht="13.5" hidden="false" customHeight="true" outlineLevel="0" collapsed="false">
      <c r="A130" s="13" t="s">
        <v>58</v>
      </c>
      <c r="C130" s="17" t="n">
        <f aca="false">IFERROR(COUNTIF($C$94:$CH$94,"&lt;"&amp;$C$126)+1,"n.d.")</f>
        <v>48</v>
      </c>
    </row>
    <row r="131" customFormat="false" ht="13.5" hidden="false" customHeight="true" outlineLevel="0" collapsed="false">
      <c r="A131" s="13" t="s">
        <v>800</v>
      </c>
      <c r="C131" s="16" t="n">
        <f aca="false">IFERROR($B$121+NPV((1+Hipótesis!$D$121)^(1/12)-1,$C$121:$CH$121),0)</f>
        <v>227918.12295137</v>
      </c>
    </row>
    <row r="132" customFormat="false" ht="13.5" hidden="false" customHeight="true" outlineLevel="0" collapsed="false">
      <c r="A132" s="13" t="s">
        <v>801</v>
      </c>
      <c r="C132" s="138" t="n">
        <f aca="false">SUM($AY$56:$BJ$56)</f>
        <v>713969.369639479</v>
      </c>
    </row>
    <row r="133" customFormat="false" ht="13.5" hidden="false" customHeight="true" outlineLevel="0" collapsed="false">
      <c r="A133" s="13" t="s">
        <v>802</v>
      </c>
      <c r="C133" s="138" t="n">
        <f aca="false">IF(Hipótesis!$D$94=5,$C$157,$C$132*Hipótesis!$D$120)</f>
        <v>5159855.14958843</v>
      </c>
    </row>
    <row r="134" customFormat="false" ht="13.5" hidden="false" customHeight="true" outlineLevel="0" collapsed="false">
      <c r="A134" s="13" t="s">
        <v>803</v>
      </c>
      <c r="C134" s="138" t="n">
        <f aca="false">MAX(0,$C$133)*Hipótesis!$D$119</f>
        <v>515985.514958843</v>
      </c>
    </row>
    <row r="135" customFormat="false" ht="13.5" hidden="false" customHeight="true" outlineLevel="0" collapsed="false">
      <c r="A135" s="13" t="s">
        <v>804</v>
      </c>
      <c r="C135" s="19" t="n">
        <f aca="false">IF(ISNUMBER($C$128),$C$128,"n.d.")</f>
        <v>0.507160062726353</v>
      </c>
    </row>
    <row r="136" customFormat="false" ht="13.5" hidden="false" customHeight="true" outlineLevel="0" collapsed="false">
      <c r="A136" s="13" t="s">
        <v>83</v>
      </c>
      <c r="C136" s="19" t="n">
        <f aca="false">IFERROR((1+IRR($B$123:$CH$123,0.01))^12-1,"n.d.")</f>
        <v>0.174166818595914</v>
      </c>
    </row>
    <row r="137" customFormat="false" ht="13.5" hidden="false" customHeight="true" outlineLevel="0" collapsed="false">
      <c r="A137" s="13" t="s">
        <v>805</v>
      </c>
      <c r="C137" s="19" t="n">
        <f aca="false">IFERROR((1+IRR($B$122:$CH$122,0.01))^12-1,"n.d.")</f>
        <v>0.376413839677306</v>
      </c>
    </row>
    <row r="138" customFormat="false" ht="13.5" hidden="false" customHeight="true" outlineLevel="0" collapsed="false">
      <c r="A138" s="13" t="s">
        <v>89</v>
      </c>
      <c r="C138" s="16" t="n">
        <f aca="false">Hipótesis!$D$122</f>
        <v>200000</v>
      </c>
    </row>
    <row r="139" customFormat="false" ht="13.5" hidden="false" customHeight="true" outlineLevel="0" collapsed="false">
      <c r="A139" s="13" t="s">
        <v>806</v>
      </c>
      <c r="C139" s="16" t="n">
        <f aca="false">Hipótesis!$D$113*Hipótesis!$D$117</f>
        <v>0</v>
      </c>
    </row>
    <row r="140" customFormat="false" ht="13.5" hidden="false" customHeight="true" outlineLevel="0" collapsed="false"/>
    <row r="141" customFormat="false" ht="13.5" hidden="false" customHeight="true" outlineLevel="0" collapsed="false">
      <c r="A141" s="146" t="s">
        <v>688</v>
      </c>
      <c r="C141" s="147" t="n">
        <v>1</v>
      </c>
      <c r="D141" s="147" t="n">
        <v>2</v>
      </c>
      <c r="E141" s="147" t="n">
        <v>3</v>
      </c>
      <c r="F141" s="147" t="n">
        <v>4</v>
      </c>
      <c r="G141" s="147" t="n">
        <v>5</v>
      </c>
      <c r="H141" s="147" t="n">
        <v>6</v>
      </c>
      <c r="I141" s="147" t="n">
        <v>7</v>
      </c>
    </row>
    <row r="142" customFormat="false" ht="13.5" hidden="false" customHeight="true" outlineLevel="0" collapsed="false">
      <c r="A142" s="13" t="s">
        <v>807</v>
      </c>
      <c r="C142" s="138" t="n">
        <f aca="false">SUM($C$56:$N$56)</f>
        <v>-29923.3682011463</v>
      </c>
      <c r="D142" s="138" t="n">
        <f aca="false">SUM($O$56:$Z$56)</f>
        <v>308815.578266312</v>
      </c>
      <c r="E142" s="138" t="n">
        <f aca="false">SUM($AA$56:$AL$56)</f>
        <v>553026.424774353</v>
      </c>
      <c r="F142" s="138" t="n">
        <f aca="false">SUM($AM$56:$AX$56)</f>
        <v>716371.80874312</v>
      </c>
      <c r="G142" s="138" t="n">
        <f aca="false">SUM($AY$56:$BJ$56)</f>
        <v>713969.369639479</v>
      </c>
      <c r="H142" s="138" t="n">
        <f aca="false">SUM($BK$56:$BV$56)</f>
        <v>684433.07834515</v>
      </c>
      <c r="I142" s="138" t="n">
        <f aca="false">SUM($BW$56:$CH$56)</f>
        <v>654723.49831199</v>
      </c>
    </row>
    <row r="143" customFormat="false" ht="13.5" hidden="false" customHeight="true" outlineLevel="0" collapsed="false">
      <c r="A143" s="13" t="s">
        <v>808</v>
      </c>
      <c r="C143" s="138" t="n">
        <f aca="false">SUM($C$106:$N$106)</f>
        <v>4823.36991002194</v>
      </c>
      <c r="D143" s="138" t="n">
        <f aca="false">SUM($O$106:$Z$106)</f>
        <v>10176.3115653262</v>
      </c>
      <c r="E143" s="138" t="n">
        <f aca="false">SUM($AA$106:$AL$106)</f>
        <v>34693.8618288204</v>
      </c>
      <c r="F143" s="138" t="n">
        <f aca="false">SUM($AM$106:$AX$106)</f>
        <v>37160.7695081957</v>
      </c>
      <c r="G143" s="138" t="n">
        <f aca="false">SUM($AY$106:$BJ$106)</f>
        <v>36312.7207261229</v>
      </c>
      <c r="H143" s="138" t="n">
        <f aca="false">SUM($BK$106:$BV$106)</f>
        <v>34921.9949002363</v>
      </c>
      <c r="I143" s="138" t="n">
        <f aca="false">SUM($BW$106:$CH$106)</f>
        <v>33527.8032995731</v>
      </c>
    </row>
    <row r="144" customFormat="false" ht="13.5" hidden="false" customHeight="true" outlineLevel="0" collapsed="false">
      <c r="A144" s="30" t="s">
        <v>809</v>
      </c>
      <c r="C144" s="153" t="n">
        <f aca="false">IFERROR(C142/C143,0)</f>
        <v>-6.2038302596224</v>
      </c>
      <c r="D144" s="153" t="n">
        <f aca="false">IFERROR(D142/D143,0)</f>
        <v>30.346513693482</v>
      </c>
      <c r="E144" s="153" t="n">
        <f aca="false">IFERROR(E142/E143,0)</f>
        <v>15.9401806435671</v>
      </c>
      <c r="F144" s="153" t="n">
        <f aca="false">IFERROR(F142/F143,0)</f>
        <v>19.2776365566145</v>
      </c>
      <c r="G144" s="153" t="n">
        <f aca="false">IFERROR(G142/G143,0)</f>
        <v>19.6616875674055</v>
      </c>
      <c r="H144" s="153" t="n">
        <f aca="false">IFERROR(H142/H143,0)</f>
        <v>19.5989112391892</v>
      </c>
      <c r="I144" s="153" t="n">
        <f aca="false">IFERROR(I142/I143,0)</f>
        <v>19.5277779597427</v>
      </c>
    </row>
    <row r="145" customFormat="false" ht="13.5" hidden="false" customHeight="true" outlineLevel="0" collapsed="false">
      <c r="A145" s="30" t="s">
        <v>810</v>
      </c>
      <c r="C145" s="18" t="n">
        <f aca="false">MIN(D144:I144)</f>
        <v>15.9401806435671</v>
      </c>
    </row>
    <row r="146" customFormat="false" ht="13.5" hidden="false" customHeight="true" outlineLevel="0" collapsed="false">
      <c r="A146" s="30" t="s">
        <v>811</v>
      </c>
      <c r="C146" s="16" t="n">
        <f aca="false">MIN($C$86:$CH$86)</f>
        <v>30000</v>
      </c>
    </row>
    <row r="147" customFormat="false" ht="13.5" hidden="false" customHeight="true" outlineLevel="0" collapsed="false">
      <c r="A147" s="30" t="s">
        <v>812</v>
      </c>
      <c r="C147" s="16" t="n">
        <f aca="false">SUM($C$36:$N$36)</f>
        <v>248408.39133152</v>
      </c>
    </row>
    <row r="148" customFormat="false" ht="13.5" hidden="false" customHeight="true" outlineLevel="0" collapsed="false">
      <c r="A148" s="30" t="s">
        <v>813</v>
      </c>
      <c r="C148" s="138" t="n">
        <f aca="false">-SUM($C$84:$N$84)</f>
        <v>-0</v>
      </c>
      <c r="D148" s="138" t="n">
        <f aca="false">-SUM($O$84:$Z$84)</f>
        <v>-0</v>
      </c>
      <c r="E148" s="138" t="n">
        <f aca="false">-SUM($AA$84:$AL$84)</f>
        <v>-0</v>
      </c>
      <c r="F148" s="138" t="n">
        <f aca="false">-SUM($AM$84:$AX$84)</f>
        <v>-0</v>
      </c>
      <c r="G148" s="138" t="n">
        <f aca="false">-SUM($AY$84:$BJ$84)</f>
        <v>-0</v>
      </c>
      <c r="H148" s="138" t="n">
        <f aca="false">-SUM($BK$84:$BV$84)</f>
        <v>-0</v>
      </c>
      <c r="I148" s="138" t="n">
        <f aca="false">-SUM($BW$84:$CH$84)</f>
        <v>-0</v>
      </c>
    </row>
    <row r="149" customFormat="false" ht="13.5" hidden="false" customHeight="true" outlineLevel="0" collapsed="false">
      <c r="A149" s="30" t="s">
        <v>814</v>
      </c>
      <c r="C149" s="16" t="n">
        <f aca="false">SUM($C$118:$N$118)/12</f>
        <v>1540</v>
      </c>
      <c r="D149" s="16" t="n">
        <f aca="false">SUM($O$118:$Z$118)/12</f>
        <v>2450</v>
      </c>
      <c r="E149" s="16" t="n">
        <f aca="false">SUM($AA$118:$AL$118)/12</f>
        <v>2800</v>
      </c>
      <c r="F149" s="16" t="n">
        <f aca="false">SUM($AM$118:$AX$118)/12</f>
        <v>3150</v>
      </c>
      <c r="G149" s="16" t="n">
        <f aca="false">SUM($AY$118:$BJ$118)/12</f>
        <v>3500</v>
      </c>
      <c r="H149" s="16" t="n">
        <f aca="false">SUM($BK$118:$BV$118)/12</f>
        <v>3850</v>
      </c>
      <c r="I149" s="16" t="n">
        <f aca="false">SUM($BW$118:$CH$118)/12</f>
        <v>4200</v>
      </c>
    </row>
    <row r="150" customFormat="false" ht="13.5" hidden="false" customHeight="true" outlineLevel="0" collapsed="false">
      <c r="A150" s="30" t="s">
        <v>815</v>
      </c>
      <c r="C150" s="16" t="n">
        <f aca="false">MAX($C$81:$CH$81)</f>
        <v>15580.8481667978</v>
      </c>
    </row>
    <row r="152" customFormat="false" ht="15" hidden="false" customHeight="true" outlineLevel="0" collapsed="false">
      <c r="A152" s="72" t="s">
        <v>816</v>
      </c>
    </row>
    <row r="153" customFormat="false" ht="15" hidden="false" customHeight="true" outlineLevel="0" collapsed="false">
      <c r="A153" s="1" t="s">
        <v>817</v>
      </c>
      <c r="C153" s="1" t="n">
        <f aca="false">SUMIFS($C$56:$CH$56,$C$3:$CH$3,"&gt;="&amp;Hipótesis!$D$124-11,$C$3:$CH$3,"&lt;="&amp;Hipótesis!$D$124)</f>
        <v>716371.80874312</v>
      </c>
    </row>
    <row r="154" customFormat="false" ht="15" hidden="false" customHeight="true" outlineLevel="0" collapsed="false">
      <c r="A154" s="1" t="s">
        <v>818</v>
      </c>
      <c r="C154" s="1" t="n">
        <f aca="false">$C$153*Hipótesis!$D$120</f>
        <v>4298230.85245872</v>
      </c>
    </row>
    <row r="155" customFormat="false" ht="15" hidden="false" customHeight="true" outlineLevel="0" collapsed="false">
      <c r="A155" s="1" t="s">
        <v>819</v>
      </c>
      <c r="C155" s="1" t="n">
        <f aca="false">SUMIFS($C$86:$CH$86,$C$3:$CH$3,"="&amp;Hipótesis!$D$124)</f>
        <v>923290.963796375</v>
      </c>
    </row>
    <row r="156" customFormat="false" ht="15" hidden="false" customHeight="true" outlineLevel="0" collapsed="false">
      <c r="A156" s="1" t="s">
        <v>820</v>
      </c>
      <c r="C156" s="1" t="n">
        <f aca="false">SUMIFS($C$96:$CH$96,$C$3:$CH$3,"="&amp;Hipótesis!$D$124)+SUMIFS($C$101:$CH$101,$C$3:$CH$3,"="&amp;Hipótesis!$D$124)+SUMIFS($C$89:$CH$89,$C$3:$CH$3,"="&amp;Hipótesis!$D$124)</f>
        <v>61666.6666666666</v>
      </c>
    </row>
    <row r="157" customFormat="false" ht="15" hidden="false" customHeight="true" outlineLevel="0" collapsed="false">
      <c r="A157" s="72" t="s">
        <v>821</v>
      </c>
      <c r="C157" s="1" t="n">
        <f aca="false">MAX(0,$C$154+Hipótesis!$D$125*($C$155-$C$156))</f>
        <v>5159855.14958843</v>
      </c>
    </row>
    <row r="158" customFormat="false" ht="15" hidden="false" customHeight="true" outlineLevel="0" collapsed="false">
      <c r="A158" s="1" t="s">
        <v>822</v>
      </c>
      <c r="C158" s="1" t="n">
        <f aca="false">MIN($C$157,MAX($C$157*Hipótesis!$D$119,Hipótesis!$D$127*Hipótesis!$D$93))</f>
        <v>515985.514958843</v>
      </c>
    </row>
    <row r="159" customFormat="false" ht="15" hidden="false" customHeight="true" outlineLevel="0" collapsed="false">
      <c r="A159" s="1" t="s">
        <v>823</v>
      </c>
      <c r="C159" s="1" t="n">
        <f aca="false">MAX(0,$C$158-$C$157*Hipótesis!$D$119)</f>
        <v>0</v>
      </c>
    </row>
    <row r="160" customFormat="false" ht="15" hidden="false" customHeight="true" outlineLevel="0" collapsed="false">
      <c r="A160" s="72" t="s">
        <v>824</v>
      </c>
    </row>
    <row r="161" customFormat="false" ht="15" hidden="false" customHeight="true" outlineLevel="0" collapsed="false">
      <c r="A161" s="1" t="s">
        <v>825</v>
      </c>
      <c r="C161" s="80" t="n">
        <f aca="false">IF(Hipótesis!$D$94=5,Hipótesis!$D$93,0)</f>
        <v>100000</v>
      </c>
    </row>
    <row r="162" customFormat="false" ht="15" hidden="false" customHeight="true" outlineLevel="0" collapsed="false">
      <c r="A162" s="1" t="s">
        <v>826</v>
      </c>
      <c r="C162" s="1" t="n">
        <f aca="false">SUMIFS($C$63:$CH$63,$C$3:$CH$3,"&lt;="&amp;Hipótesis!$D$126)</f>
        <v>0</v>
      </c>
    </row>
    <row r="163" customFormat="false" ht="15" hidden="false" customHeight="true" outlineLevel="0" collapsed="false">
      <c r="A163" s="72" t="s">
        <v>827</v>
      </c>
      <c r="C163" s="1" t="n">
        <f aca="false">$C$161+$C$162</f>
        <v>100000</v>
      </c>
    </row>
    <row r="164" customFormat="false" ht="15" hidden="false" customHeight="true" outlineLevel="0" collapsed="false">
      <c r="A164" s="1" t="s">
        <v>828</v>
      </c>
      <c r="C164" s="80" t="n">
        <f aca="false">Hipótesis!$D$105</f>
        <v>100000</v>
      </c>
    </row>
    <row r="165" customFormat="false" ht="15" hidden="false" customHeight="true" outlineLevel="0" collapsed="false">
      <c r="A165" s="72" t="s">
        <v>829</v>
      </c>
      <c r="C165" s="1" t="str">
        <f aca="false">IF($C$163&gt;=$C$164,"SI CUMPLE","NO CUMPLE - faltan "&amp;TEXT($C$164-$C$163,"#,##0")&amp;" EUR")</f>
        <v>SI CUMPLE</v>
      </c>
    </row>
    <row r="168" customFormat="false" ht="15" hidden="false" customHeight="false" outlineLevel="0" collapsed="false">
      <c r="A168" s="154" t="s">
        <v>830</v>
      </c>
    </row>
    <row r="169" customFormat="false" ht="15" hidden="false" customHeight="false" outlineLevel="0" collapsed="false">
      <c r="A169" s="1" t="s">
        <v>831</v>
      </c>
    </row>
    <row r="171" customFormat="false" ht="15" hidden="false" customHeight="false" outlineLevel="0" collapsed="false">
      <c r="A171" s="1" t="s">
        <v>832</v>
      </c>
      <c r="C171" s="27" t="n">
        <f aca="false">MOD(Restaurantes!$D$32+C$3-2,12)+1</f>
        <v>4</v>
      </c>
      <c r="D171" s="27" t="n">
        <f aca="false">MOD(Restaurantes!$D$32+D$3-2,12)+1</f>
        <v>5</v>
      </c>
      <c r="E171" s="27" t="n">
        <f aca="false">MOD(Restaurantes!$D$32+E$3-2,12)+1</f>
        <v>6</v>
      </c>
      <c r="F171" s="27" t="n">
        <f aca="false">MOD(Restaurantes!$D$32+F$3-2,12)+1</f>
        <v>7</v>
      </c>
      <c r="G171" s="27" t="n">
        <f aca="false">MOD(Restaurantes!$D$32+G$3-2,12)+1</f>
        <v>8</v>
      </c>
      <c r="H171" s="27" t="n">
        <f aca="false">MOD(Restaurantes!$D$32+H$3-2,12)+1</f>
        <v>9</v>
      </c>
      <c r="I171" s="27" t="n">
        <f aca="false">MOD(Restaurantes!$D$32+I$3-2,12)+1</f>
        <v>10</v>
      </c>
      <c r="J171" s="27" t="n">
        <f aca="false">MOD(Restaurantes!$D$32+J$3-2,12)+1</f>
        <v>11</v>
      </c>
      <c r="K171" s="27" t="n">
        <f aca="false">MOD(Restaurantes!$D$32+K$3-2,12)+1</f>
        <v>12</v>
      </c>
      <c r="L171" s="27" t="n">
        <f aca="false">MOD(Restaurantes!$D$32+L$3-2,12)+1</f>
        <v>1</v>
      </c>
      <c r="M171" s="27" t="n">
        <f aca="false">MOD(Restaurantes!$D$32+M$3-2,12)+1</f>
        <v>2</v>
      </c>
      <c r="N171" s="27" t="n">
        <f aca="false">MOD(Restaurantes!$D$32+N$3-2,12)+1</f>
        <v>3</v>
      </c>
      <c r="O171" s="27" t="n">
        <f aca="false">MOD(Restaurantes!$D$32+O$3-2,12)+1</f>
        <v>4</v>
      </c>
      <c r="P171" s="27" t="n">
        <f aca="false">MOD(Restaurantes!$D$32+P$3-2,12)+1</f>
        <v>5</v>
      </c>
      <c r="Q171" s="27" t="n">
        <f aca="false">MOD(Restaurantes!$D$32+Q$3-2,12)+1</f>
        <v>6</v>
      </c>
      <c r="R171" s="27" t="n">
        <f aca="false">MOD(Restaurantes!$D$32+R$3-2,12)+1</f>
        <v>7</v>
      </c>
      <c r="S171" s="27" t="n">
        <f aca="false">MOD(Restaurantes!$D$32+S$3-2,12)+1</f>
        <v>8</v>
      </c>
      <c r="T171" s="27" t="n">
        <f aca="false">MOD(Restaurantes!$D$32+T$3-2,12)+1</f>
        <v>9</v>
      </c>
      <c r="U171" s="27" t="n">
        <f aca="false">MOD(Restaurantes!$D$32+U$3-2,12)+1</f>
        <v>10</v>
      </c>
      <c r="V171" s="27" t="n">
        <f aca="false">MOD(Restaurantes!$D$32+V$3-2,12)+1</f>
        <v>11</v>
      </c>
      <c r="W171" s="27" t="n">
        <f aca="false">MOD(Restaurantes!$D$32+W$3-2,12)+1</f>
        <v>12</v>
      </c>
      <c r="X171" s="27" t="n">
        <f aca="false">MOD(Restaurantes!$D$32+X$3-2,12)+1</f>
        <v>1</v>
      </c>
      <c r="Y171" s="27" t="n">
        <f aca="false">MOD(Restaurantes!$D$32+Y$3-2,12)+1</f>
        <v>2</v>
      </c>
      <c r="Z171" s="27" t="n">
        <f aca="false">MOD(Restaurantes!$D$32+Z$3-2,12)+1</f>
        <v>3</v>
      </c>
      <c r="AA171" s="27" t="n">
        <f aca="false">MOD(Restaurantes!$D$32+AA$3-2,12)+1</f>
        <v>4</v>
      </c>
      <c r="AB171" s="27" t="n">
        <f aca="false">MOD(Restaurantes!$D$32+AB$3-2,12)+1</f>
        <v>5</v>
      </c>
      <c r="AC171" s="27" t="n">
        <f aca="false">MOD(Restaurantes!$D$32+AC$3-2,12)+1</f>
        <v>6</v>
      </c>
      <c r="AD171" s="27" t="n">
        <f aca="false">MOD(Restaurantes!$D$32+AD$3-2,12)+1</f>
        <v>7</v>
      </c>
      <c r="AE171" s="27" t="n">
        <f aca="false">MOD(Restaurantes!$D$32+AE$3-2,12)+1</f>
        <v>8</v>
      </c>
      <c r="AF171" s="27" t="n">
        <f aca="false">MOD(Restaurantes!$D$32+AF$3-2,12)+1</f>
        <v>9</v>
      </c>
      <c r="AG171" s="27" t="n">
        <f aca="false">MOD(Restaurantes!$D$32+AG$3-2,12)+1</f>
        <v>10</v>
      </c>
      <c r="AH171" s="27" t="n">
        <f aca="false">MOD(Restaurantes!$D$32+AH$3-2,12)+1</f>
        <v>11</v>
      </c>
      <c r="AI171" s="27" t="n">
        <f aca="false">MOD(Restaurantes!$D$32+AI$3-2,12)+1</f>
        <v>12</v>
      </c>
      <c r="AJ171" s="27" t="n">
        <f aca="false">MOD(Restaurantes!$D$32+AJ$3-2,12)+1</f>
        <v>1</v>
      </c>
      <c r="AK171" s="27" t="n">
        <f aca="false">MOD(Restaurantes!$D$32+AK$3-2,12)+1</f>
        <v>2</v>
      </c>
      <c r="AL171" s="27" t="n">
        <f aca="false">MOD(Restaurantes!$D$32+AL$3-2,12)+1</f>
        <v>3</v>
      </c>
      <c r="AM171" s="27" t="n">
        <f aca="false">MOD(Restaurantes!$D$32+AM$3-2,12)+1</f>
        <v>4</v>
      </c>
      <c r="AN171" s="27" t="n">
        <f aca="false">MOD(Restaurantes!$D$32+AN$3-2,12)+1</f>
        <v>5</v>
      </c>
      <c r="AO171" s="27" t="n">
        <f aca="false">MOD(Restaurantes!$D$32+AO$3-2,12)+1</f>
        <v>6</v>
      </c>
      <c r="AP171" s="27" t="n">
        <f aca="false">MOD(Restaurantes!$D$32+AP$3-2,12)+1</f>
        <v>7</v>
      </c>
      <c r="AQ171" s="27" t="n">
        <f aca="false">MOD(Restaurantes!$D$32+AQ$3-2,12)+1</f>
        <v>8</v>
      </c>
      <c r="AR171" s="27" t="n">
        <f aca="false">MOD(Restaurantes!$D$32+AR$3-2,12)+1</f>
        <v>9</v>
      </c>
      <c r="AS171" s="27" t="n">
        <f aca="false">MOD(Restaurantes!$D$32+AS$3-2,12)+1</f>
        <v>10</v>
      </c>
      <c r="AT171" s="27" t="n">
        <f aca="false">MOD(Restaurantes!$D$32+AT$3-2,12)+1</f>
        <v>11</v>
      </c>
      <c r="AU171" s="27" t="n">
        <f aca="false">MOD(Restaurantes!$D$32+AU$3-2,12)+1</f>
        <v>12</v>
      </c>
      <c r="AV171" s="27" t="n">
        <f aca="false">MOD(Restaurantes!$D$32+AV$3-2,12)+1</f>
        <v>1</v>
      </c>
      <c r="AW171" s="27" t="n">
        <f aca="false">MOD(Restaurantes!$D$32+AW$3-2,12)+1</f>
        <v>2</v>
      </c>
      <c r="AX171" s="27" t="n">
        <f aca="false">MOD(Restaurantes!$D$32+AX$3-2,12)+1</f>
        <v>3</v>
      </c>
      <c r="AY171" s="27" t="n">
        <f aca="false">MOD(Restaurantes!$D$32+AY$3-2,12)+1</f>
        <v>4</v>
      </c>
      <c r="AZ171" s="27" t="n">
        <f aca="false">MOD(Restaurantes!$D$32+AZ$3-2,12)+1</f>
        <v>5</v>
      </c>
      <c r="BA171" s="27" t="n">
        <f aca="false">MOD(Restaurantes!$D$32+BA$3-2,12)+1</f>
        <v>6</v>
      </c>
      <c r="BB171" s="27" t="n">
        <f aca="false">MOD(Restaurantes!$D$32+BB$3-2,12)+1</f>
        <v>7</v>
      </c>
      <c r="BC171" s="27" t="n">
        <f aca="false">MOD(Restaurantes!$D$32+BC$3-2,12)+1</f>
        <v>8</v>
      </c>
      <c r="BD171" s="27" t="n">
        <f aca="false">MOD(Restaurantes!$D$32+BD$3-2,12)+1</f>
        <v>9</v>
      </c>
      <c r="BE171" s="27" t="n">
        <f aca="false">MOD(Restaurantes!$D$32+BE$3-2,12)+1</f>
        <v>10</v>
      </c>
      <c r="BF171" s="27" t="n">
        <f aca="false">MOD(Restaurantes!$D$32+BF$3-2,12)+1</f>
        <v>11</v>
      </c>
      <c r="BG171" s="27" t="n">
        <f aca="false">MOD(Restaurantes!$D$32+BG$3-2,12)+1</f>
        <v>12</v>
      </c>
      <c r="BH171" s="27" t="n">
        <f aca="false">MOD(Restaurantes!$D$32+BH$3-2,12)+1</f>
        <v>1</v>
      </c>
      <c r="BI171" s="27" t="n">
        <f aca="false">MOD(Restaurantes!$D$32+BI$3-2,12)+1</f>
        <v>2</v>
      </c>
      <c r="BJ171" s="27" t="n">
        <f aca="false">MOD(Restaurantes!$D$32+BJ$3-2,12)+1</f>
        <v>3</v>
      </c>
      <c r="BK171" s="27" t="n">
        <f aca="false">MOD(Restaurantes!$D$32+BK$3-2,12)+1</f>
        <v>4</v>
      </c>
      <c r="BL171" s="27" t="n">
        <f aca="false">MOD(Restaurantes!$D$32+BL$3-2,12)+1</f>
        <v>5</v>
      </c>
      <c r="BM171" s="27" t="n">
        <f aca="false">MOD(Restaurantes!$D$32+BM$3-2,12)+1</f>
        <v>6</v>
      </c>
      <c r="BN171" s="27" t="n">
        <f aca="false">MOD(Restaurantes!$D$32+BN$3-2,12)+1</f>
        <v>7</v>
      </c>
      <c r="BO171" s="27" t="n">
        <f aca="false">MOD(Restaurantes!$D$32+BO$3-2,12)+1</f>
        <v>8</v>
      </c>
      <c r="BP171" s="27" t="n">
        <f aca="false">MOD(Restaurantes!$D$32+BP$3-2,12)+1</f>
        <v>9</v>
      </c>
      <c r="BQ171" s="27" t="n">
        <f aca="false">MOD(Restaurantes!$D$32+BQ$3-2,12)+1</f>
        <v>10</v>
      </c>
      <c r="BR171" s="27" t="n">
        <f aca="false">MOD(Restaurantes!$D$32+BR$3-2,12)+1</f>
        <v>11</v>
      </c>
      <c r="BS171" s="27" t="n">
        <f aca="false">MOD(Restaurantes!$D$32+BS$3-2,12)+1</f>
        <v>12</v>
      </c>
      <c r="BT171" s="27" t="n">
        <f aca="false">MOD(Restaurantes!$D$32+BT$3-2,12)+1</f>
        <v>1</v>
      </c>
      <c r="BU171" s="27" t="n">
        <f aca="false">MOD(Restaurantes!$D$32+BU$3-2,12)+1</f>
        <v>2</v>
      </c>
      <c r="BV171" s="27" t="n">
        <f aca="false">MOD(Restaurantes!$D$32+BV$3-2,12)+1</f>
        <v>3</v>
      </c>
      <c r="BW171" s="27" t="n">
        <f aca="false">MOD(Restaurantes!$D$32+BW$3-2,12)+1</f>
        <v>4</v>
      </c>
      <c r="BX171" s="27" t="n">
        <f aca="false">MOD(Restaurantes!$D$32+BX$3-2,12)+1</f>
        <v>5</v>
      </c>
      <c r="BY171" s="27" t="n">
        <f aca="false">MOD(Restaurantes!$D$32+BY$3-2,12)+1</f>
        <v>6</v>
      </c>
      <c r="BZ171" s="27" t="n">
        <f aca="false">MOD(Restaurantes!$D$32+BZ$3-2,12)+1</f>
        <v>7</v>
      </c>
      <c r="CA171" s="27" t="n">
        <f aca="false">MOD(Restaurantes!$D$32+CA$3-2,12)+1</f>
        <v>8</v>
      </c>
      <c r="CB171" s="27" t="n">
        <f aca="false">MOD(Restaurantes!$D$32+CB$3-2,12)+1</f>
        <v>9</v>
      </c>
      <c r="CC171" s="27" t="n">
        <f aca="false">MOD(Restaurantes!$D$32+CC$3-2,12)+1</f>
        <v>10</v>
      </c>
      <c r="CD171" s="27" t="n">
        <f aca="false">MOD(Restaurantes!$D$32+CD$3-2,12)+1</f>
        <v>11</v>
      </c>
      <c r="CE171" s="27" t="n">
        <f aca="false">MOD(Restaurantes!$D$32+CE$3-2,12)+1</f>
        <v>12</v>
      </c>
      <c r="CF171" s="27" t="n">
        <f aca="false">MOD(Restaurantes!$D$32+CF$3-2,12)+1</f>
        <v>1</v>
      </c>
      <c r="CG171" s="27" t="n">
        <f aca="false">MOD(Restaurantes!$D$32+CG$3-2,12)+1</f>
        <v>2</v>
      </c>
      <c r="CH171" s="27" t="n">
        <f aca="false">MOD(Restaurantes!$D$32+CH$3-2,12)+1</f>
        <v>3</v>
      </c>
    </row>
    <row r="172" customFormat="false" ht="15" hidden="false" customHeight="false" outlineLevel="0" collapsed="false">
      <c r="A172" s="1" t="s">
        <v>833</v>
      </c>
      <c r="C172" s="26" t="n">
        <f aca="false">IF(C171=8,Restaurantes!$D$31,1)</f>
        <v>1</v>
      </c>
      <c r="D172" s="26" t="n">
        <f aca="false">IF(D171=8,Restaurantes!$D$31,1)</f>
        <v>1</v>
      </c>
      <c r="E172" s="26" t="n">
        <f aca="false">IF(E171=8,Restaurantes!$D$31,1)</f>
        <v>1</v>
      </c>
      <c r="F172" s="26" t="n">
        <f aca="false">IF(F171=8,Restaurantes!$D$31,1)</f>
        <v>1</v>
      </c>
      <c r="G172" s="26" t="n">
        <f aca="false">IF(G171=8,Restaurantes!$D$31,1)</f>
        <v>0.15</v>
      </c>
      <c r="H172" s="26" t="n">
        <f aca="false">IF(H171=8,Restaurantes!$D$31,1)</f>
        <v>1</v>
      </c>
      <c r="I172" s="26" t="n">
        <f aca="false">IF(I171=8,Restaurantes!$D$31,1)</f>
        <v>1</v>
      </c>
      <c r="J172" s="26" t="n">
        <f aca="false">IF(J171=8,Restaurantes!$D$31,1)</f>
        <v>1</v>
      </c>
      <c r="K172" s="26" t="n">
        <f aca="false">IF(K171=8,Restaurantes!$D$31,1)</f>
        <v>1</v>
      </c>
      <c r="L172" s="26" t="n">
        <f aca="false">IF(L171=8,Restaurantes!$D$31,1)</f>
        <v>1</v>
      </c>
      <c r="M172" s="26" t="n">
        <f aca="false">IF(M171=8,Restaurantes!$D$31,1)</f>
        <v>1</v>
      </c>
      <c r="N172" s="26" t="n">
        <f aca="false">IF(N171=8,Restaurantes!$D$31,1)</f>
        <v>1</v>
      </c>
      <c r="O172" s="26" t="n">
        <f aca="false">IF(O171=8,Restaurantes!$D$31,1)</f>
        <v>1</v>
      </c>
      <c r="P172" s="26" t="n">
        <f aca="false">IF(P171=8,Restaurantes!$D$31,1)</f>
        <v>1</v>
      </c>
      <c r="Q172" s="26" t="n">
        <f aca="false">IF(Q171=8,Restaurantes!$D$31,1)</f>
        <v>1</v>
      </c>
      <c r="R172" s="26" t="n">
        <f aca="false">IF(R171=8,Restaurantes!$D$31,1)</f>
        <v>1</v>
      </c>
      <c r="S172" s="26" t="n">
        <f aca="false">IF(S171=8,Restaurantes!$D$31,1)</f>
        <v>0.15</v>
      </c>
      <c r="T172" s="26" t="n">
        <f aca="false">IF(T171=8,Restaurantes!$D$31,1)</f>
        <v>1</v>
      </c>
      <c r="U172" s="26" t="n">
        <f aca="false">IF(U171=8,Restaurantes!$D$31,1)</f>
        <v>1</v>
      </c>
      <c r="V172" s="26" t="n">
        <f aca="false">IF(V171=8,Restaurantes!$D$31,1)</f>
        <v>1</v>
      </c>
      <c r="W172" s="26" t="n">
        <f aca="false">IF(W171=8,Restaurantes!$D$31,1)</f>
        <v>1</v>
      </c>
      <c r="X172" s="26" t="n">
        <f aca="false">IF(X171=8,Restaurantes!$D$31,1)</f>
        <v>1</v>
      </c>
      <c r="Y172" s="26" t="n">
        <f aca="false">IF(Y171=8,Restaurantes!$D$31,1)</f>
        <v>1</v>
      </c>
      <c r="Z172" s="26" t="n">
        <f aca="false">IF(Z171=8,Restaurantes!$D$31,1)</f>
        <v>1</v>
      </c>
      <c r="AA172" s="26" t="n">
        <f aca="false">IF(AA171=8,Restaurantes!$D$31,1)</f>
        <v>1</v>
      </c>
      <c r="AB172" s="26" t="n">
        <f aca="false">IF(AB171=8,Restaurantes!$D$31,1)</f>
        <v>1</v>
      </c>
      <c r="AC172" s="26" t="n">
        <f aca="false">IF(AC171=8,Restaurantes!$D$31,1)</f>
        <v>1</v>
      </c>
      <c r="AD172" s="26" t="n">
        <f aca="false">IF(AD171=8,Restaurantes!$D$31,1)</f>
        <v>1</v>
      </c>
      <c r="AE172" s="26" t="n">
        <f aca="false">IF(AE171=8,Restaurantes!$D$31,1)</f>
        <v>0.15</v>
      </c>
      <c r="AF172" s="26" t="n">
        <f aca="false">IF(AF171=8,Restaurantes!$D$31,1)</f>
        <v>1</v>
      </c>
      <c r="AG172" s="26" t="n">
        <f aca="false">IF(AG171=8,Restaurantes!$D$31,1)</f>
        <v>1</v>
      </c>
      <c r="AH172" s="26" t="n">
        <f aca="false">IF(AH171=8,Restaurantes!$D$31,1)</f>
        <v>1</v>
      </c>
      <c r="AI172" s="26" t="n">
        <f aca="false">IF(AI171=8,Restaurantes!$D$31,1)</f>
        <v>1</v>
      </c>
      <c r="AJ172" s="26" t="n">
        <f aca="false">IF(AJ171=8,Restaurantes!$D$31,1)</f>
        <v>1</v>
      </c>
      <c r="AK172" s="26" t="n">
        <f aca="false">IF(AK171=8,Restaurantes!$D$31,1)</f>
        <v>1</v>
      </c>
      <c r="AL172" s="26" t="n">
        <f aca="false">IF(AL171=8,Restaurantes!$D$31,1)</f>
        <v>1</v>
      </c>
      <c r="AM172" s="26" t="n">
        <f aca="false">IF(AM171=8,Restaurantes!$D$31,1)</f>
        <v>1</v>
      </c>
      <c r="AN172" s="26" t="n">
        <f aca="false">IF(AN171=8,Restaurantes!$D$31,1)</f>
        <v>1</v>
      </c>
      <c r="AO172" s="26" t="n">
        <f aca="false">IF(AO171=8,Restaurantes!$D$31,1)</f>
        <v>1</v>
      </c>
      <c r="AP172" s="26" t="n">
        <f aca="false">IF(AP171=8,Restaurantes!$D$31,1)</f>
        <v>1</v>
      </c>
      <c r="AQ172" s="26" t="n">
        <f aca="false">IF(AQ171=8,Restaurantes!$D$31,1)</f>
        <v>0.15</v>
      </c>
      <c r="AR172" s="26" t="n">
        <f aca="false">IF(AR171=8,Restaurantes!$D$31,1)</f>
        <v>1</v>
      </c>
      <c r="AS172" s="26" t="n">
        <f aca="false">IF(AS171=8,Restaurantes!$D$31,1)</f>
        <v>1</v>
      </c>
      <c r="AT172" s="26" t="n">
        <f aca="false">IF(AT171=8,Restaurantes!$D$31,1)</f>
        <v>1</v>
      </c>
      <c r="AU172" s="26" t="n">
        <f aca="false">IF(AU171=8,Restaurantes!$D$31,1)</f>
        <v>1</v>
      </c>
      <c r="AV172" s="26" t="n">
        <f aca="false">IF(AV171=8,Restaurantes!$D$31,1)</f>
        <v>1</v>
      </c>
      <c r="AW172" s="26" t="n">
        <f aca="false">IF(AW171=8,Restaurantes!$D$31,1)</f>
        <v>1</v>
      </c>
      <c r="AX172" s="26" t="n">
        <f aca="false">IF(AX171=8,Restaurantes!$D$31,1)</f>
        <v>1</v>
      </c>
      <c r="AY172" s="26" t="n">
        <f aca="false">IF(AY171=8,Restaurantes!$D$31,1)</f>
        <v>1</v>
      </c>
      <c r="AZ172" s="26" t="n">
        <f aca="false">IF(AZ171=8,Restaurantes!$D$31,1)</f>
        <v>1</v>
      </c>
      <c r="BA172" s="26" t="n">
        <f aca="false">IF(BA171=8,Restaurantes!$D$31,1)</f>
        <v>1</v>
      </c>
      <c r="BB172" s="26" t="n">
        <f aca="false">IF(BB171=8,Restaurantes!$D$31,1)</f>
        <v>1</v>
      </c>
      <c r="BC172" s="26" t="n">
        <f aca="false">IF(BC171=8,Restaurantes!$D$31,1)</f>
        <v>0.15</v>
      </c>
      <c r="BD172" s="26" t="n">
        <f aca="false">IF(BD171=8,Restaurantes!$D$31,1)</f>
        <v>1</v>
      </c>
      <c r="BE172" s="26" t="n">
        <f aca="false">IF(BE171=8,Restaurantes!$D$31,1)</f>
        <v>1</v>
      </c>
      <c r="BF172" s="26" t="n">
        <f aca="false">IF(BF171=8,Restaurantes!$D$31,1)</f>
        <v>1</v>
      </c>
      <c r="BG172" s="26" t="n">
        <f aca="false">IF(BG171=8,Restaurantes!$D$31,1)</f>
        <v>1</v>
      </c>
      <c r="BH172" s="26" t="n">
        <f aca="false">IF(BH171=8,Restaurantes!$D$31,1)</f>
        <v>1</v>
      </c>
      <c r="BI172" s="26" t="n">
        <f aca="false">IF(BI171=8,Restaurantes!$D$31,1)</f>
        <v>1</v>
      </c>
      <c r="BJ172" s="26" t="n">
        <f aca="false">IF(BJ171=8,Restaurantes!$D$31,1)</f>
        <v>1</v>
      </c>
      <c r="BK172" s="26" t="n">
        <f aca="false">IF(BK171=8,Restaurantes!$D$31,1)</f>
        <v>1</v>
      </c>
      <c r="BL172" s="26" t="n">
        <f aca="false">IF(BL171=8,Restaurantes!$D$31,1)</f>
        <v>1</v>
      </c>
      <c r="BM172" s="26" t="n">
        <f aca="false">IF(BM171=8,Restaurantes!$D$31,1)</f>
        <v>1</v>
      </c>
      <c r="BN172" s="26" t="n">
        <f aca="false">IF(BN171=8,Restaurantes!$D$31,1)</f>
        <v>1</v>
      </c>
      <c r="BO172" s="26" t="n">
        <f aca="false">IF(BO171=8,Restaurantes!$D$31,1)</f>
        <v>0.15</v>
      </c>
      <c r="BP172" s="26" t="n">
        <f aca="false">IF(BP171=8,Restaurantes!$D$31,1)</f>
        <v>1</v>
      </c>
      <c r="BQ172" s="26" t="n">
        <f aca="false">IF(BQ171=8,Restaurantes!$D$31,1)</f>
        <v>1</v>
      </c>
      <c r="BR172" s="26" t="n">
        <f aca="false">IF(BR171=8,Restaurantes!$D$31,1)</f>
        <v>1</v>
      </c>
      <c r="BS172" s="26" t="n">
        <f aca="false">IF(BS171=8,Restaurantes!$D$31,1)</f>
        <v>1</v>
      </c>
      <c r="BT172" s="26" t="n">
        <f aca="false">IF(BT171=8,Restaurantes!$D$31,1)</f>
        <v>1</v>
      </c>
      <c r="BU172" s="26" t="n">
        <f aca="false">IF(BU171=8,Restaurantes!$D$31,1)</f>
        <v>1</v>
      </c>
      <c r="BV172" s="26" t="n">
        <f aca="false">IF(BV171=8,Restaurantes!$D$31,1)</f>
        <v>1</v>
      </c>
      <c r="BW172" s="26" t="n">
        <f aca="false">IF(BW171=8,Restaurantes!$D$31,1)</f>
        <v>1</v>
      </c>
      <c r="BX172" s="26" t="n">
        <f aca="false">IF(BX171=8,Restaurantes!$D$31,1)</f>
        <v>1</v>
      </c>
      <c r="BY172" s="26" t="n">
        <f aca="false">IF(BY171=8,Restaurantes!$D$31,1)</f>
        <v>1</v>
      </c>
      <c r="BZ172" s="26" t="n">
        <f aca="false">IF(BZ171=8,Restaurantes!$D$31,1)</f>
        <v>1</v>
      </c>
      <c r="CA172" s="26" t="n">
        <f aca="false">IF(CA171=8,Restaurantes!$D$31,1)</f>
        <v>0.15</v>
      </c>
      <c r="CB172" s="26" t="n">
        <f aca="false">IF(CB171=8,Restaurantes!$D$31,1)</f>
        <v>1</v>
      </c>
      <c r="CC172" s="26" t="n">
        <f aca="false">IF(CC171=8,Restaurantes!$D$31,1)</f>
        <v>1</v>
      </c>
      <c r="CD172" s="26" t="n">
        <f aca="false">IF(CD171=8,Restaurantes!$D$31,1)</f>
        <v>1</v>
      </c>
      <c r="CE172" s="26" t="n">
        <f aca="false">IF(CE171=8,Restaurantes!$D$31,1)</f>
        <v>1</v>
      </c>
      <c r="CF172" s="26" t="n">
        <f aca="false">IF(CF171=8,Restaurantes!$D$31,1)</f>
        <v>1</v>
      </c>
      <c r="CG172" s="26" t="n">
        <f aca="false">IF(CG171=8,Restaurantes!$D$31,1)</f>
        <v>1</v>
      </c>
      <c r="CH172" s="26" t="n">
        <f aca="false">IF(CH171=8,Restaurantes!$D$31,1)</f>
        <v>1</v>
      </c>
    </row>
    <row r="173" customFormat="false" ht="15" hidden="false" customHeight="false" outlineLevel="0" collapsed="false">
      <c r="A173" s="1" t="s">
        <v>834</v>
      </c>
      <c r="C173" s="26" t="n">
        <f aca="false">IF(C$3&lt;Restaurantes!$D$8,0,MIN(1,(C$3-Restaurantes!$D$8+1)/MAX(1,Restaurantes!$F$9)))</f>
        <v>0.0416666666666667</v>
      </c>
      <c r="D173" s="26" t="n">
        <f aca="false">IF(D$3&lt;Restaurantes!$D$8,0,MIN(1,(D$3-Restaurantes!$D$8+1)/MAX(1,Restaurantes!$F$9)))</f>
        <v>0.0833333333333333</v>
      </c>
      <c r="E173" s="26" t="n">
        <f aca="false">IF(E$3&lt;Restaurantes!$D$8,0,MIN(1,(E$3-Restaurantes!$D$8+1)/MAX(1,Restaurantes!$F$9)))</f>
        <v>0.125</v>
      </c>
      <c r="F173" s="26" t="n">
        <f aca="false">IF(F$3&lt;Restaurantes!$D$8,0,MIN(1,(F$3-Restaurantes!$D$8+1)/MAX(1,Restaurantes!$F$9)))</f>
        <v>0.166666666666667</v>
      </c>
      <c r="G173" s="26" t="n">
        <f aca="false">IF(G$3&lt;Restaurantes!$D$8,0,MIN(1,(G$3-Restaurantes!$D$8+1)/MAX(1,Restaurantes!$F$9)))</f>
        <v>0.208333333333333</v>
      </c>
      <c r="H173" s="26" t="n">
        <f aca="false">IF(H$3&lt;Restaurantes!$D$8,0,MIN(1,(H$3-Restaurantes!$D$8+1)/MAX(1,Restaurantes!$F$9)))</f>
        <v>0.25</v>
      </c>
      <c r="I173" s="26" t="n">
        <f aca="false">IF(I$3&lt;Restaurantes!$D$8,0,MIN(1,(I$3-Restaurantes!$D$8+1)/MAX(1,Restaurantes!$F$9)))</f>
        <v>0.291666666666667</v>
      </c>
      <c r="J173" s="26" t="n">
        <f aca="false">IF(J$3&lt;Restaurantes!$D$8,0,MIN(1,(J$3-Restaurantes!$D$8+1)/MAX(1,Restaurantes!$F$9)))</f>
        <v>0.333333333333333</v>
      </c>
      <c r="K173" s="26" t="n">
        <f aca="false">IF(K$3&lt;Restaurantes!$D$8,0,MIN(1,(K$3-Restaurantes!$D$8+1)/MAX(1,Restaurantes!$F$9)))</f>
        <v>0.375</v>
      </c>
      <c r="L173" s="26" t="n">
        <f aca="false">IF(L$3&lt;Restaurantes!$D$8,0,MIN(1,(L$3-Restaurantes!$D$8+1)/MAX(1,Restaurantes!$F$9)))</f>
        <v>0.416666666666667</v>
      </c>
      <c r="M173" s="26" t="n">
        <f aca="false">IF(M$3&lt;Restaurantes!$D$8,0,MIN(1,(M$3-Restaurantes!$D$8+1)/MAX(1,Restaurantes!$F$9)))</f>
        <v>0.458333333333333</v>
      </c>
      <c r="N173" s="26" t="n">
        <f aca="false">IF(N$3&lt;Restaurantes!$D$8,0,MIN(1,(N$3-Restaurantes!$D$8+1)/MAX(1,Restaurantes!$F$9)))</f>
        <v>0.5</v>
      </c>
      <c r="O173" s="26" t="n">
        <f aca="false">IF(O$3&lt;Restaurantes!$D$8,0,MIN(1,(O$3-Restaurantes!$D$8+1)/MAX(1,Restaurantes!$F$9)))</f>
        <v>0.541666666666667</v>
      </c>
      <c r="P173" s="26" t="n">
        <f aca="false">IF(P$3&lt;Restaurantes!$D$8,0,MIN(1,(P$3-Restaurantes!$D$8+1)/MAX(1,Restaurantes!$F$9)))</f>
        <v>0.583333333333333</v>
      </c>
      <c r="Q173" s="26" t="n">
        <f aca="false">IF(Q$3&lt;Restaurantes!$D$8,0,MIN(1,(Q$3-Restaurantes!$D$8+1)/MAX(1,Restaurantes!$F$9)))</f>
        <v>0.625</v>
      </c>
      <c r="R173" s="26" t="n">
        <f aca="false">IF(R$3&lt;Restaurantes!$D$8,0,MIN(1,(R$3-Restaurantes!$D$8+1)/MAX(1,Restaurantes!$F$9)))</f>
        <v>0.666666666666667</v>
      </c>
      <c r="S173" s="26" t="n">
        <f aca="false">IF(S$3&lt;Restaurantes!$D$8,0,MIN(1,(S$3-Restaurantes!$D$8+1)/MAX(1,Restaurantes!$F$9)))</f>
        <v>0.708333333333333</v>
      </c>
      <c r="T173" s="26" t="n">
        <f aca="false">IF(T$3&lt;Restaurantes!$D$8,0,MIN(1,(T$3-Restaurantes!$D$8+1)/MAX(1,Restaurantes!$F$9)))</f>
        <v>0.75</v>
      </c>
      <c r="U173" s="26" t="n">
        <f aca="false">IF(U$3&lt;Restaurantes!$D$8,0,MIN(1,(U$3-Restaurantes!$D$8+1)/MAX(1,Restaurantes!$F$9)))</f>
        <v>0.791666666666667</v>
      </c>
      <c r="V173" s="26" t="n">
        <f aca="false">IF(V$3&lt;Restaurantes!$D$8,0,MIN(1,(V$3-Restaurantes!$D$8+1)/MAX(1,Restaurantes!$F$9)))</f>
        <v>0.833333333333333</v>
      </c>
      <c r="W173" s="26" t="n">
        <f aca="false">IF(W$3&lt;Restaurantes!$D$8,0,MIN(1,(W$3-Restaurantes!$D$8+1)/MAX(1,Restaurantes!$F$9)))</f>
        <v>0.875</v>
      </c>
      <c r="X173" s="26" t="n">
        <f aca="false">IF(X$3&lt;Restaurantes!$D$8,0,MIN(1,(X$3-Restaurantes!$D$8+1)/MAX(1,Restaurantes!$F$9)))</f>
        <v>0.916666666666667</v>
      </c>
      <c r="Y173" s="26" t="n">
        <f aca="false">IF(Y$3&lt;Restaurantes!$D$8,0,MIN(1,(Y$3-Restaurantes!$D$8+1)/MAX(1,Restaurantes!$F$9)))</f>
        <v>0.958333333333333</v>
      </c>
      <c r="Z173" s="26" t="n">
        <f aca="false">IF(Z$3&lt;Restaurantes!$D$8,0,MIN(1,(Z$3-Restaurantes!$D$8+1)/MAX(1,Restaurantes!$F$9)))</f>
        <v>1</v>
      </c>
      <c r="AA173" s="26" t="n">
        <f aca="false">IF(AA$3&lt;Restaurantes!$D$8,0,MIN(1,(AA$3-Restaurantes!$D$8+1)/MAX(1,Restaurantes!$F$9)))</f>
        <v>1</v>
      </c>
      <c r="AB173" s="26" t="n">
        <f aca="false">IF(AB$3&lt;Restaurantes!$D$8,0,MIN(1,(AB$3-Restaurantes!$D$8+1)/MAX(1,Restaurantes!$F$9)))</f>
        <v>1</v>
      </c>
      <c r="AC173" s="26" t="n">
        <f aca="false">IF(AC$3&lt;Restaurantes!$D$8,0,MIN(1,(AC$3-Restaurantes!$D$8+1)/MAX(1,Restaurantes!$F$9)))</f>
        <v>1</v>
      </c>
      <c r="AD173" s="26" t="n">
        <f aca="false">IF(AD$3&lt;Restaurantes!$D$8,0,MIN(1,(AD$3-Restaurantes!$D$8+1)/MAX(1,Restaurantes!$F$9)))</f>
        <v>1</v>
      </c>
      <c r="AE173" s="26" t="n">
        <f aca="false">IF(AE$3&lt;Restaurantes!$D$8,0,MIN(1,(AE$3-Restaurantes!$D$8+1)/MAX(1,Restaurantes!$F$9)))</f>
        <v>1</v>
      </c>
      <c r="AF173" s="26" t="n">
        <f aca="false">IF(AF$3&lt;Restaurantes!$D$8,0,MIN(1,(AF$3-Restaurantes!$D$8+1)/MAX(1,Restaurantes!$F$9)))</f>
        <v>1</v>
      </c>
      <c r="AG173" s="26" t="n">
        <f aca="false">IF(AG$3&lt;Restaurantes!$D$8,0,MIN(1,(AG$3-Restaurantes!$D$8+1)/MAX(1,Restaurantes!$F$9)))</f>
        <v>1</v>
      </c>
      <c r="AH173" s="26" t="n">
        <f aca="false">IF(AH$3&lt;Restaurantes!$D$8,0,MIN(1,(AH$3-Restaurantes!$D$8+1)/MAX(1,Restaurantes!$F$9)))</f>
        <v>1</v>
      </c>
      <c r="AI173" s="26" t="n">
        <f aca="false">IF(AI$3&lt;Restaurantes!$D$8,0,MIN(1,(AI$3-Restaurantes!$D$8+1)/MAX(1,Restaurantes!$F$9)))</f>
        <v>1</v>
      </c>
      <c r="AJ173" s="26" t="n">
        <f aca="false">IF(AJ$3&lt;Restaurantes!$D$8,0,MIN(1,(AJ$3-Restaurantes!$D$8+1)/MAX(1,Restaurantes!$F$9)))</f>
        <v>1</v>
      </c>
      <c r="AK173" s="26" t="n">
        <f aca="false">IF(AK$3&lt;Restaurantes!$D$8,0,MIN(1,(AK$3-Restaurantes!$D$8+1)/MAX(1,Restaurantes!$F$9)))</f>
        <v>1</v>
      </c>
      <c r="AL173" s="26" t="n">
        <f aca="false">IF(AL$3&lt;Restaurantes!$D$8,0,MIN(1,(AL$3-Restaurantes!$D$8+1)/MAX(1,Restaurantes!$F$9)))</f>
        <v>1</v>
      </c>
      <c r="AM173" s="26" t="n">
        <f aca="false">IF(AM$3&lt;Restaurantes!$D$8,0,MIN(1,(AM$3-Restaurantes!$D$8+1)/MAX(1,Restaurantes!$F$9)))</f>
        <v>1</v>
      </c>
      <c r="AN173" s="26" t="n">
        <f aca="false">IF(AN$3&lt;Restaurantes!$D$8,0,MIN(1,(AN$3-Restaurantes!$D$8+1)/MAX(1,Restaurantes!$F$9)))</f>
        <v>1</v>
      </c>
      <c r="AO173" s="26" t="n">
        <f aca="false">IF(AO$3&lt;Restaurantes!$D$8,0,MIN(1,(AO$3-Restaurantes!$D$8+1)/MAX(1,Restaurantes!$F$9)))</f>
        <v>1</v>
      </c>
      <c r="AP173" s="26" t="n">
        <f aca="false">IF(AP$3&lt;Restaurantes!$D$8,0,MIN(1,(AP$3-Restaurantes!$D$8+1)/MAX(1,Restaurantes!$F$9)))</f>
        <v>1</v>
      </c>
      <c r="AQ173" s="26" t="n">
        <f aca="false">IF(AQ$3&lt;Restaurantes!$D$8,0,MIN(1,(AQ$3-Restaurantes!$D$8+1)/MAX(1,Restaurantes!$F$9)))</f>
        <v>1</v>
      </c>
      <c r="AR173" s="26" t="n">
        <f aca="false">IF(AR$3&lt;Restaurantes!$D$8,0,MIN(1,(AR$3-Restaurantes!$D$8+1)/MAX(1,Restaurantes!$F$9)))</f>
        <v>1</v>
      </c>
      <c r="AS173" s="26" t="n">
        <f aca="false">IF(AS$3&lt;Restaurantes!$D$8,0,MIN(1,(AS$3-Restaurantes!$D$8+1)/MAX(1,Restaurantes!$F$9)))</f>
        <v>1</v>
      </c>
      <c r="AT173" s="26" t="n">
        <f aca="false">IF(AT$3&lt;Restaurantes!$D$8,0,MIN(1,(AT$3-Restaurantes!$D$8+1)/MAX(1,Restaurantes!$F$9)))</f>
        <v>1</v>
      </c>
      <c r="AU173" s="26" t="n">
        <f aca="false">IF(AU$3&lt;Restaurantes!$D$8,0,MIN(1,(AU$3-Restaurantes!$D$8+1)/MAX(1,Restaurantes!$F$9)))</f>
        <v>1</v>
      </c>
      <c r="AV173" s="26" t="n">
        <f aca="false">IF(AV$3&lt;Restaurantes!$D$8,0,MIN(1,(AV$3-Restaurantes!$D$8+1)/MAX(1,Restaurantes!$F$9)))</f>
        <v>1</v>
      </c>
      <c r="AW173" s="26" t="n">
        <f aca="false">IF(AW$3&lt;Restaurantes!$D$8,0,MIN(1,(AW$3-Restaurantes!$D$8+1)/MAX(1,Restaurantes!$F$9)))</f>
        <v>1</v>
      </c>
      <c r="AX173" s="26" t="n">
        <f aca="false">IF(AX$3&lt;Restaurantes!$D$8,0,MIN(1,(AX$3-Restaurantes!$D$8+1)/MAX(1,Restaurantes!$F$9)))</f>
        <v>1</v>
      </c>
      <c r="AY173" s="26" t="n">
        <f aca="false">IF(AY$3&lt;Restaurantes!$D$8,0,MIN(1,(AY$3-Restaurantes!$D$8+1)/MAX(1,Restaurantes!$F$9)))</f>
        <v>1</v>
      </c>
      <c r="AZ173" s="26" t="n">
        <f aca="false">IF(AZ$3&lt;Restaurantes!$D$8,0,MIN(1,(AZ$3-Restaurantes!$D$8+1)/MAX(1,Restaurantes!$F$9)))</f>
        <v>1</v>
      </c>
      <c r="BA173" s="26" t="n">
        <f aca="false">IF(BA$3&lt;Restaurantes!$D$8,0,MIN(1,(BA$3-Restaurantes!$D$8+1)/MAX(1,Restaurantes!$F$9)))</f>
        <v>1</v>
      </c>
      <c r="BB173" s="26" t="n">
        <f aca="false">IF(BB$3&lt;Restaurantes!$D$8,0,MIN(1,(BB$3-Restaurantes!$D$8+1)/MAX(1,Restaurantes!$F$9)))</f>
        <v>1</v>
      </c>
      <c r="BC173" s="26" t="n">
        <f aca="false">IF(BC$3&lt;Restaurantes!$D$8,0,MIN(1,(BC$3-Restaurantes!$D$8+1)/MAX(1,Restaurantes!$F$9)))</f>
        <v>1</v>
      </c>
      <c r="BD173" s="26" t="n">
        <f aca="false">IF(BD$3&lt;Restaurantes!$D$8,0,MIN(1,(BD$3-Restaurantes!$D$8+1)/MAX(1,Restaurantes!$F$9)))</f>
        <v>1</v>
      </c>
      <c r="BE173" s="26" t="n">
        <f aca="false">IF(BE$3&lt;Restaurantes!$D$8,0,MIN(1,(BE$3-Restaurantes!$D$8+1)/MAX(1,Restaurantes!$F$9)))</f>
        <v>1</v>
      </c>
      <c r="BF173" s="26" t="n">
        <f aca="false">IF(BF$3&lt;Restaurantes!$D$8,0,MIN(1,(BF$3-Restaurantes!$D$8+1)/MAX(1,Restaurantes!$F$9)))</f>
        <v>1</v>
      </c>
      <c r="BG173" s="26" t="n">
        <f aca="false">IF(BG$3&lt;Restaurantes!$D$8,0,MIN(1,(BG$3-Restaurantes!$D$8+1)/MAX(1,Restaurantes!$F$9)))</f>
        <v>1</v>
      </c>
      <c r="BH173" s="26" t="n">
        <f aca="false">IF(BH$3&lt;Restaurantes!$D$8,0,MIN(1,(BH$3-Restaurantes!$D$8+1)/MAX(1,Restaurantes!$F$9)))</f>
        <v>1</v>
      </c>
      <c r="BI173" s="26" t="n">
        <f aca="false">IF(BI$3&lt;Restaurantes!$D$8,0,MIN(1,(BI$3-Restaurantes!$D$8+1)/MAX(1,Restaurantes!$F$9)))</f>
        <v>1</v>
      </c>
      <c r="BJ173" s="26" t="n">
        <f aca="false">IF(BJ$3&lt;Restaurantes!$D$8,0,MIN(1,(BJ$3-Restaurantes!$D$8+1)/MAX(1,Restaurantes!$F$9)))</f>
        <v>1</v>
      </c>
      <c r="BK173" s="26" t="n">
        <f aca="false">IF(BK$3&lt;Restaurantes!$D$8,0,MIN(1,(BK$3-Restaurantes!$D$8+1)/MAX(1,Restaurantes!$F$9)))</f>
        <v>1</v>
      </c>
      <c r="BL173" s="26" t="n">
        <f aca="false">IF(BL$3&lt;Restaurantes!$D$8,0,MIN(1,(BL$3-Restaurantes!$D$8+1)/MAX(1,Restaurantes!$F$9)))</f>
        <v>1</v>
      </c>
      <c r="BM173" s="26" t="n">
        <f aca="false">IF(BM$3&lt;Restaurantes!$D$8,0,MIN(1,(BM$3-Restaurantes!$D$8+1)/MAX(1,Restaurantes!$F$9)))</f>
        <v>1</v>
      </c>
      <c r="BN173" s="26" t="n">
        <f aca="false">IF(BN$3&lt;Restaurantes!$D$8,0,MIN(1,(BN$3-Restaurantes!$D$8+1)/MAX(1,Restaurantes!$F$9)))</f>
        <v>1</v>
      </c>
      <c r="BO173" s="26" t="n">
        <f aca="false">IF(BO$3&lt;Restaurantes!$D$8,0,MIN(1,(BO$3-Restaurantes!$D$8+1)/MAX(1,Restaurantes!$F$9)))</f>
        <v>1</v>
      </c>
      <c r="BP173" s="26" t="n">
        <f aca="false">IF(BP$3&lt;Restaurantes!$D$8,0,MIN(1,(BP$3-Restaurantes!$D$8+1)/MAX(1,Restaurantes!$F$9)))</f>
        <v>1</v>
      </c>
      <c r="BQ173" s="26" t="n">
        <f aca="false">IF(BQ$3&lt;Restaurantes!$D$8,0,MIN(1,(BQ$3-Restaurantes!$D$8+1)/MAX(1,Restaurantes!$F$9)))</f>
        <v>1</v>
      </c>
      <c r="BR173" s="26" t="n">
        <f aca="false">IF(BR$3&lt;Restaurantes!$D$8,0,MIN(1,(BR$3-Restaurantes!$D$8+1)/MAX(1,Restaurantes!$F$9)))</f>
        <v>1</v>
      </c>
      <c r="BS173" s="26" t="n">
        <f aca="false">IF(BS$3&lt;Restaurantes!$D$8,0,MIN(1,(BS$3-Restaurantes!$D$8+1)/MAX(1,Restaurantes!$F$9)))</f>
        <v>1</v>
      </c>
      <c r="BT173" s="26" t="n">
        <f aca="false">IF(BT$3&lt;Restaurantes!$D$8,0,MIN(1,(BT$3-Restaurantes!$D$8+1)/MAX(1,Restaurantes!$F$9)))</f>
        <v>1</v>
      </c>
      <c r="BU173" s="26" t="n">
        <f aca="false">IF(BU$3&lt;Restaurantes!$D$8,0,MIN(1,(BU$3-Restaurantes!$D$8+1)/MAX(1,Restaurantes!$F$9)))</f>
        <v>1</v>
      </c>
      <c r="BV173" s="26" t="n">
        <f aca="false">IF(BV$3&lt;Restaurantes!$D$8,0,MIN(1,(BV$3-Restaurantes!$D$8+1)/MAX(1,Restaurantes!$F$9)))</f>
        <v>1</v>
      </c>
      <c r="BW173" s="26" t="n">
        <f aca="false">IF(BW$3&lt;Restaurantes!$D$8,0,MIN(1,(BW$3-Restaurantes!$D$8+1)/MAX(1,Restaurantes!$F$9)))</f>
        <v>1</v>
      </c>
      <c r="BX173" s="26" t="n">
        <f aca="false">IF(BX$3&lt;Restaurantes!$D$8,0,MIN(1,(BX$3-Restaurantes!$D$8+1)/MAX(1,Restaurantes!$F$9)))</f>
        <v>1</v>
      </c>
      <c r="BY173" s="26" t="n">
        <f aca="false">IF(BY$3&lt;Restaurantes!$D$8,0,MIN(1,(BY$3-Restaurantes!$D$8+1)/MAX(1,Restaurantes!$F$9)))</f>
        <v>1</v>
      </c>
      <c r="BZ173" s="26" t="n">
        <f aca="false">IF(BZ$3&lt;Restaurantes!$D$8,0,MIN(1,(BZ$3-Restaurantes!$D$8+1)/MAX(1,Restaurantes!$F$9)))</f>
        <v>1</v>
      </c>
      <c r="CA173" s="26" t="n">
        <f aca="false">IF(CA$3&lt;Restaurantes!$D$8,0,MIN(1,(CA$3-Restaurantes!$D$8+1)/MAX(1,Restaurantes!$F$9)))</f>
        <v>1</v>
      </c>
      <c r="CB173" s="26" t="n">
        <f aca="false">IF(CB$3&lt;Restaurantes!$D$8,0,MIN(1,(CB$3-Restaurantes!$D$8+1)/MAX(1,Restaurantes!$F$9)))</f>
        <v>1</v>
      </c>
      <c r="CC173" s="26" t="n">
        <f aca="false">IF(CC$3&lt;Restaurantes!$D$8,0,MIN(1,(CC$3-Restaurantes!$D$8+1)/MAX(1,Restaurantes!$F$9)))</f>
        <v>1</v>
      </c>
      <c r="CD173" s="26" t="n">
        <f aca="false">IF(CD$3&lt;Restaurantes!$D$8,0,MIN(1,(CD$3-Restaurantes!$D$8+1)/MAX(1,Restaurantes!$F$9)))</f>
        <v>1</v>
      </c>
      <c r="CE173" s="26" t="n">
        <f aca="false">IF(CE$3&lt;Restaurantes!$D$8,0,MIN(1,(CE$3-Restaurantes!$D$8+1)/MAX(1,Restaurantes!$F$9)))</f>
        <v>1</v>
      </c>
      <c r="CF173" s="26" t="n">
        <f aca="false">IF(CF$3&lt;Restaurantes!$D$8,0,MIN(1,(CF$3-Restaurantes!$D$8+1)/MAX(1,Restaurantes!$F$9)))</f>
        <v>1</v>
      </c>
      <c r="CG173" s="26" t="n">
        <f aca="false">IF(CG$3&lt;Restaurantes!$D$8,0,MIN(1,(CG$3-Restaurantes!$D$8+1)/MAX(1,Restaurantes!$F$9)))</f>
        <v>1</v>
      </c>
      <c r="CH173" s="26" t="n">
        <f aca="false">IF(CH$3&lt;Restaurantes!$D$8,0,MIN(1,(CH$3-Restaurantes!$D$8+1)/MAX(1,Restaurantes!$F$9)))</f>
        <v>1</v>
      </c>
    </row>
    <row r="174" customFormat="false" ht="15" hidden="false" customHeight="false" outlineLevel="0" collapsed="false">
      <c r="A174" s="1" t="s">
        <v>835</v>
      </c>
      <c r="C174" s="27" t="n">
        <f aca="false">C18*C21</f>
        <v>38.3601797063335</v>
      </c>
      <c r="D174" s="27" t="n">
        <f aca="false">D18*D21</f>
        <v>78.5877454203246</v>
      </c>
      <c r="E174" s="27" t="n">
        <f aca="false">E18*E21</f>
        <v>149.499906224817</v>
      </c>
      <c r="F174" s="27" t="n">
        <f aca="false">F18*F21</f>
        <v>182.051887322976</v>
      </c>
      <c r="G174" s="27" t="n">
        <f aca="false">G18*G21</f>
        <v>212.736482413478</v>
      </c>
      <c r="H174" s="27" t="n">
        <f aca="false">H18*H21</f>
        <v>264.818208841722</v>
      </c>
      <c r="I174" s="27" t="n">
        <f aca="false">I18*I21</f>
        <v>316.899935269966</v>
      </c>
      <c r="J174" s="27" t="n">
        <f aca="false">J18*J21</f>
        <v>368.98166169821</v>
      </c>
      <c r="K174" s="27" t="n">
        <f aca="false">K18*K21</f>
        <v>421.063388126454</v>
      </c>
      <c r="L174" s="27" t="n">
        <f aca="false">L18*L21</f>
        <v>473.145114554698</v>
      </c>
      <c r="M174" s="27" t="n">
        <f aca="false">M18*M21</f>
        <v>494.54224589244</v>
      </c>
      <c r="N174" s="27" t="n">
        <f aca="false">N18*N21</f>
        <v>547.062477357807</v>
      </c>
      <c r="O174" s="27" t="n">
        <f aca="false">O18*O21</f>
        <v>599.582708823174</v>
      </c>
      <c r="P174" s="27" t="n">
        <f aca="false">P18*P21</f>
        <v>643.155049001849</v>
      </c>
      <c r="Q174" s="27" t="n">
        <f aca="false">Q18*Q21</f>
        <v>686.727389180524</v>
      </c>
      <c r="R174" s="27" t="n">
        <f aca="false">R18*R21</f>
        <v>730.299729359199</v>
      </c>
      <c r="S174" s="27" t="n">
        <f aca="false">S18*S21</f>
        <v>773.872069537874</v>
      </c>
      <c r="T174" s="27" t="n">
        <f aca="false">T18*T21</f>
        <v>817.444409716549</v>
      </c>
      <c r="U174" s="27" t="n">
        <f aca="false">U18*U21</f>
        <v>861.016749895224</v>
      </c>
      <c r="V174" s="27" t="n">
        <f aca="false">V18*V21</f>
        <v>904.589090073899</v>
      </c>
      <c r="W174" s="27" t="n">
        <f aca="false">W18*W21</f>
        <v>948.161430252574</v>
      </c>
      <c r="X174" s="27" t="n">
        <f aca="false">X18*X21</f>
        <v>960.610670303624</v>
      </c>
      <c r="Y174" s="27" t="n">
        <f aca="false">Y18*Y21</f>
        <v>973.059910354674</v>
      </c>
      <c r="Z174" s="27" t="n">
        <f aca="false">Z18*Z21</f>
        <v>973.059910354674</v>
      </c>
      <c r="AA174" s="27" t="n">
        <f aca="false">AA18*AA21</f>
        <v>973.059910354674</v>
      </c>
      <c r="AB174" s="27" t="n">
        <f aca="false">AB18*AB21</f>
        <v>973.059910354674</v>
      </c>
      <c r="AC174" s="27" t="n">
        <f aca="false">AC18*AC21</f>
        <v>973.059910354674</v>
      </c>
      <c r="AD174" s="27" t="n">
        <f aca="false">AD18*AD21</f>
        <v>973.059910354674</v>
      </c>
      <c r="AE174" s="27" t="n">
        <f aca="false">AE18*AE21</f>
        <v>973.059910354674</v>
      </c>
      <c r="AF174" s="27" t="n">
        <f aca="false">AF18*AF21</f>
        <v>973.059910354674</v>
      </c>
      <c r="AG174" s="27" t="n">
        <f aca="false">AG18*AG21</f>
        <v>973.059910354674</v>
      </c>
      <c r="AH174" s="27" t="n">
        <f aca="false">AH18*AH21</f>
        <v>973.059910354674</v>
      </c>
      <c r="AI174" s="27" t="n">
        <f aca="false">AI18*AI21</f>
        <v>973.059910354674</v>
      </c>
      <c r="AJ174" s="27" t="n">
        <f aca="false">AJ18*AJ21</f>
        <v>973.059910354674</v>
      </c>
      <c r="AK174" s="27" t="n">
        <f aca="false">AK18*AK21</f>
        <v>973.059910354674</v>
      </c>
      <c r="AL174" s="27" t="n">
        <f aca="false">AL18*AL21</f>
        <v>973.059910354674</v>
      </c>
      <c r="AM174" s="27" t="n">
        <f aca="false">AM18*AM21</f>
        <v>973.059910354674</v>
      </c>
      <c r="AN174" s="27" t="n">
        <f aca="false">AN18*AN21</f>
        <v>973.059910354674</v>
      </c>
      <c r="AO174" s="27" t="n">
        <f aca="false">AO18*AO21</f>
        <v>973.059910354674</v>
      </c>
      <c r="AP174" s="27" t="n">
        <f aca="false">AP18*AP21</f>
        <v>973.059910354674</v>
      </c>
      <c r="AQ174" s="27" t="n">
        <f aca="false">AQ18*AQ21</f>
        <v>973.059910354674</v>
      </c>
      <c r="AR174" s="27" t="n">
        <f aca="false">AR18*AR21</f>
        <v>973.059910354674</v>
      </c>
      <c r="AS174" s="27" t="n">
        <f aca="false">AS18*AS21</f>
        <v>973.059910354674</v>
      </c>
      <c r="AT174" s="27" t="n">
        <f aca="false">AT18*AT21</f>
        <v>973.059910354674</v>
      </c>
      <c r="AU174" s="27" t="n">
        <f aca="false">AU18*AU21</f>
        <v>973.059910354674</v>
      </c>
      <c r="AV174" s="27" t="n">
        <f aca="false">AV18*AV21</f>
        <v>973.059910354674</v>
      </c>
      <c r="AW174" s="27" t="n">
        <f aca="false">AW18*AW21</f>
        <v>973.059910354674</v>
      </c>
      <c r="AX174" s="27" t="n">
        <f aca="false">AX18*AX21</f>
        <v>973.059910354674</v>
      </c>
      <c r="AY174" s="27" t="n">
        <f aca="false">AY18*AY21</f>
        <v>973.059910354674</v>
      </c>
      <c r="AZ174" s="27" t="n">
        <f aca="false">AZ18*AZ21</f>
        <v>973.059910354674</v>
      </c>
      <c r="BA174" s="27" t="n">
        <f aca="false">BA18*BA21</f>
        <v>973.059910354674</v>
      </c>
      <c r="BB174" s="27" t="n">
        <f aca="false">BB18*BB21</f>
        <v>973.059910354674</v>
      </c>
      <c r="BC174" s="27" t="n">
        <f aca="false">BC18*BC21</f>
        <v>973.059910354674</v>
      </c>
      <c r="BD174" s="27" t="n">
        <f aca="false">BD18*BD21</f>
        <v>973.059910354674</v>
      </c>
      <c r="BE174" s="27" t="n">
        <f aca="false">BE18*BE21</f>
        <v>973.059910354674</v>
      </c>
      <c r="BF174" s="27" t="n">
        <f aca="false">BF18*BF21</f>
        <v>973.059910354674</v>
      </c>
      <c r="BG174" s="27" t="n">
        <f aca="false">BG18*BG21</f>
        <v>973.059910354674</v>
      </c>
      <c r="BH174" s="27" t="n">
        <f aca="false">BH18*BH21</f>
        <v>973.059910354674</v>
      </c>
      <c r="BI174" s="27" t="n">
        <f aca="false">BI18*BI21</f>
        <v>973.059910354674</v>
      </c>
      <c r="BJ174" s="27" t="n">
        <f aca="false">BJ18*BJ21</f>
        <v>973.059910354674</v>
      </c>
      <c r="BK174" s="27" t="n">
        <f aca="false">BK18*BK21</f>
        <v>973.059910354674</v>
      </c>
      <c r="BL174" s="27" t="n">
        <f aca="false">BL18*BL21</f>
        <v>973.059910354674</v>
      </c>
      <c r="BM174" s="27" t="n">
        <f aca="false">BM18*BM21</f>
        <v>973.059910354674</v>
      </c>
      <c r="BN174" s="27" t="n">
        <f aca="false">BN18*BN21</f>
        <v>973.059910354674</v>
      </c>
      <c r="BO174" s="27" t="n">
        <f aca="false">BO18*BO21</f>
        <v>973.059910354674</v>
      </c>
      <c r="BP174" s="27" t="n">
        <f aca="false">BP18*BP21</f>
        <v>973.059910354674</v>
      </c>
      <c r="BQ174" s="27" t="n">
        <f aca="false">BQ18*BQ21</f>
        <v>973.059910354674</v>
      </c>
      <c r="BR174" s="27" t="n">
        <f aca="false">BR18*BR21</f>
        <v>973.059910354674</v>
      </c>
      <c r="BS174" s="27" t="n">
        <f aca="false">BS18*BS21</f>
        <v>973.059910354674</v>
      </c>
      <c r="BT174" s="27" t="n">
        <f aca="false">BT18*BT21</f>
        <v>973.059910354674</v>
      </c>
      <c r="BU174" s="27" t="n">
        <f aca="false">BU18*BU21</f>
        <v>973.059910354674</v>
      </c>
      <c r="BV174" s="27" t="n">
        <f aca="false">BV18*BV21</f>
        <v>973.059910354674</v>
      </c>
      <c r="BW174" s="27" t="n">
        <f aca="false">BW18*BW21</f>
        <v>973.059910354674</v>
      </c>
      <c r="BX174" s="27" t="n">
        <f aca="false">BX18*BX21</f>
        <v>973.059910354674</v>
      </c>
      <c r="BY174" s="27" t="n">
        <f aca="false">BY18*BY21</f>
        <v>973.059910354674</v>
      </c>
      <c r="BZ174" s="27" t="n">
        <f aca="false">BZ18*BZ21</f>
        <v>973.059910354674</v>
      </c>
      <c r="CA174" s="27" t="n">
        <f aca="false">CA18*CA21</f>
        <v>973.059910354674</v>
      </c>
      <c r="CB174" s="27" t="n">
        <f aca="false">CB18*CB21</f>
        <v>973.059910354674</v>
      </c>
      <c r="CC174" s="27" t="n">
        <f aca="false">CC18*CC21</f>
        <v>973.059910354674</v>
      </c>
      <c r="CD174" s="27" t="n">
        <f aca="false">CD18*CD21</f>
        <v>973.059910354674</v>
      </c>
      <c r="CE174" s="27" t="n">
        <f aca="false">CE18*CE21</f>
        <v>973.059910354674</v>
      </c>
      <c r="CF174" s="27" t="n">
        <f aca="false">CF18*CF21</f>
        <v>973.059910354674</v>
      </c>
      <c r="CG174" s="27" t="n">
        <f aca="false">CG18*CG21</f>
        <v>973.059910354674</v>
      </c>
      <c r="CH174" s="27" t="n">
        <f aca="false">CH18*CH21</f>
        <v>973.059910354674</v>
      </c>
    </row>
    <row r="175" customFormat="false" ht="15" hidden="false" customHeight="false" outlineLevel="0" collapsed="false">
      <c r="A175" s="1" t="s">
        <v>836</v>
      </c>
      <c r="C175" s="27" t="n">
        <f aca="false">IF(Restaurantes!$D$10=1,Restaurantes!$D$13*Restaurantes!$D$24*Restaurantes!$D$25*Restaurantes!$D$22/MAX(0.0001,Hipótesis!$F$130),9000000000)</f>
        <v>205.361394064897</v>
      </c>
      <c r="D175" s="27" t="n">
        <f aca="false">IF(Restaurantes!$D$10=1,Restaurantes!$D$13*Restaurantes!$D$24*Restaurantes!$D$25*Restaurantes!$D$22/MAX(0.0001,Hipótesis!$F$130),9000000000)</f>
        <v>205.361394064897</v>
      </c>
      <c r="E175" s="27" t="n">
        <f aca="false">IF(Restaurantes!$D$10=1,Restaurantes!$D$13*Restaurantes!$D$24*Restaurantes!$D$25*Restaurantes!$D$22/MAX(0.0001,Hipótesis!$F$130),9000000000)</f>
        <v>205.361394064897</v>
      </c>
      <c r="F175" s="27" t="n">
        <f aca="false">IF(Restaurantes!$D$10=1,Restaurantes!$D$13*Restaurantes!$D$24*Restaurantes!$D$25*Restaurantes!$D$22/MAX(0.0001,Hipótesis!$F$130),9000000000)</f>
        <v>205.361394064897</v>
      </c>
      <c r="G175" s="27" t="n">
        <f aca="false">IF(Restaurantes!$D$10=1,Restaurantes!$D$13*Restaurantes!$D$24*Restaurantes!$D$25*Restaurantes!$D$22/MAX(0.0001,Hipótesis!$F$130),9000000000)</f>
        <v>205.361394064897</v>
      </c>
      <c r="H175" s="27" t="n">
        <f aca="false">IF(Restaurantes!$D$10=1,Restaurantes!$D$13*Restaurantes!$D$24*Restaurantes!$D$25*Restaurantes!$D$22/MAX(0.0001,Hipótesis!$F$130),9000000000)</f>
        <v>205.361394064897</v>
      </c>
      <c r="I175" s="27" t="n">
        <f aca="false">IF(Restaurantes!$D$10=1,Restaurantes!$D$13*Restaurantes!$D$24*Restaurantes!$D$25*Restaurantes!$D$22/MAX(0.0001,Hipótesis!$F$130),9000000000)</f>
        <v>205.361394064897</v>
      </c>
      <c r="J175" s="27" t="n">
        <f aca="false">IF(Restaurantes!$D$10=1,Restaurantes!$D$13*Restaurantes!$D$24*Restaurantes!$D$25*Restaurantes!$D$22/MAX(0.0001,Hipótesis!$F$130),9000000000)</f>
        <v>205.361394064897</v>
      </c>
      <c r="K175" s="27" t="n">
        <f aca="false">IF(Restaurantes!$D$10=1,Restaurantes!$D$13*Restaurantes!$D$24*Restaurantes!$D$25*Restaurantes!$D$22/MAX(0.0001,Hipótesis!$F$130),9000000000)</f>
        <v>205.361394064897</v>
      </c>
      <c r="L175" s="27" t="n">
        <f aca="false">IF(Restaurantes!$D$10=1,Restaurantes!$D$13*Restaurantes!$D$24*Restaurantes!$D$25*Restaurantes!$D$22/MAX(0.0001,Hipótesis!$F$130),9000000000)</f>
        <v>205.361394064897</v>
      </c>
      <c r="M175" s="27" t="n">
        <f aca="false">IF(Restaurantes!$D$10=1,Restaurantes!$D$13*Restaurantes!$D$24*Restaurantes!$D$25*Restaurantes!$D$22/MAX(0.0001,Hipótesis!$F$130),9000000000)</f>
        <v>205.361394064897</v>
      </c>
      <c r="N175" s="27" t="n">
        <f aca="false">IF(Restaurantes!$D$10=1,Restaurantes!$D$13*Restaurantes!$D$24*Restaurantes!$D$25*Restaurantes!$D$22/MAX(0.0001,Hipótesis!$F$130),9000000000)</f>
        <v>205.361394064897</v>
      </c>
      <c r="O175" s="27" t="n">
        <f aca="false">IF(Restaurantes!$D$10=1,Restaurantes!$D$13*Restaurantes!$D$24*Restaurantes!$D$25*Restaurantes!$D$22/MAX(0.0001,Hipótesis!$F$130),9000000000)</f>
        <v>205.361394064897</v>
      </c>
      <c r="P175" s="27" t="n">
        <f aca="false">IF(Restaurantes!$D$10=1,Restaurantes!$D$13*Restaurantes!$D$24*Restaurantes!$D$25*Restaurantes!$D$22/MAX(0.0001,Hipótesis!$F$130),9000000000)</f>
        <v>205.361394064897</v>
      </c>
      <c r="Q175" s="27" t="n">
        <f aca="false">IF(Restaurantes!$D$10=1,Restaurantes!$D$13*Restaurantes!$D$24*Restaurantes!$D$25*Restaurantes!$D$22/MAX(0.0001,Hipótesis!$F$130),9000000000)</f>
        <v>205.361394064897</v>
      </c>
      <c r="R175" s="27" t="n">
        <f aca="false">IF(Restaurantes!$D$10=1,Restaurantes!$D$13*Restaurantes!$D$24*Restaurantes!$D$25*Restaurantes!$D$22/MAX(0.0001,Hipótesis!$F$130),9000000000)</f>
        <v>205.361394064897</v>
      </c>
      <c r="S175" s="27" t="n">
        <f aca="false">IF(Restaurantes!$D$10=1,Restaurantes!$D$13*Restaurantes!$D$24*Restaurantes!$D$25*Restaurantes!$D$22/MAX(0.0001,Hipótesis!$F$130),9000000000)</f>
        <v>205.361394064897</v>
      </c>
      <c r="T175" s="27" t="n">
        <f aca="false">IF(Restaurantes!$D$10=1,Restaurantes!$D$13*Restaurantes!$D$24*Restaurantes!$D$25*Restaurantes!$D$22/MAX(0.0001,Hipótesis!$F$130),9000000000)</f>
        <v>205.361394064897</v>
      </c>
      <c r="U175" s="27" t="n">
        <f aca="false">IF(Restaurantes!$D$10=1,Restaurantes!$D$13*Restaurantes!$D$24*Restaurantes!$D$25*Restaurantes!$D$22/MAX(0.0001,Hipótesis!$F$130),9000000000)</f>
        <v>205.361394064897</v>
      </c>
      <c r="V175" s="27" t="n">
        <f aca="false">IF(Restaurantes!$D$10=1,Restaurantes!$D$13*Restaurantes!$D$24*Restaurantes!$D$25*Restaurantes!$D$22/MAX(0.0001,Hipótesis!$F$130),9000000000)</f>
        <v>205.361394064897</v>
      </c>
      <c r="W175" s="27" t="n">
        <f aca="false">IF(Restaurantes!$D$10=1,Restaurantes!$D$13*Restaurantes!$D$24*Restaurantes!$D$25*Restaurantes!$D$22/MAX(0.0001,Hipótesis!$F$130),9000000000)</f>
        <v>205.361394064897</v>
      </c>
      <c r="X175" s="27" t="n">
        <f aca="false">IF(Restaurantes!$D$10=1,Restaurantes!$D$13*Restaurantes!$D$24*Restaurantes!$D$25*Restaurantes!$D$22/MAX(0.0001,Hipótesis!$F$130),9000000000)</f>
        <v>205.361394064897</v>
      </c>
      <c r="Y175" s="27" t="n">
        <f aca="false">IF(Restaurantes!$D$10=1,Restaurantes!$D$13*Restaurantes!$D$24*Restaurantes!$D$25*Restaurantes!$D$22/MAX(0.0001,Hipótesis!$F$130),9000000000)</f>
        <v>205.361394064897</v>
      </c>
      <c r="Z175" s="27" t="n">
        <f aca="false">IF(Restaurantes!$D$10=1,Restaurantes!$D$13*Restaurantes!$D$24*Restaurantes!$D$25*Restaurantes!$D$22/MAX(0.0001,Hipótesis!$F$130),9000000000)</f>
        <v>205.361394064897</v>
      </c>
      <c r="AA175" s="27" t="n">
        <f aca="false">IF(Restaurantes!$D$10=1,Restaurantes!$D$13*Restaurantes!$D$24*Restaurantes!$D$25*Restaurantes!$D$22/MAX(0.0001,Hipótesis!$F$130),9000000000)</f>
        <v>205.361394064897</v>
      </c>
      <c r="AB175" s="27" t="n">
        <f aca="false">IF(Restaurantes!$D$10=1,Restaurantes!$D$13*Restaurantes!$D$24*Restaurantes!$D$25*Restaurantes!$D$22/MAX(0.0001,Hipótesis!$F$130),9000000000)</f>
        <v>205.361394064897</v>
      </c>
      <c r="AC175" s="27" t="n">
        <f aca="false">IF(Restaurantes!$D$10=1,Restaurantes!$D$13*Restaurantes!$D$24*Restaurantes!$D$25*Restaurantes!$D$22/MAX(0.0001,Hipótesis!$F$130),9000000000)</f>
        <v>205.361394064897</v>
      </c>
      <c r="AD175" s="27" t="n">
        <f aca="false">IF(Restaurantes!$D$10=1,Restaurantes!$D$13*Restaurantes!$D$24*Restaurantes!$D$25*Restaurantes!$D$22/MAX(0.0001,Hipótesis!$F$130),9000000000)</f>
        <v>205.361394064897</v>
      </c>
      <c r="AE175" s="27" t="n">
        <f aca="false">IF(Restaurantes!$D$10=1,Restaurantes!$D$13*Restaurantes!$D$24*Restaurantes!$D$25*Restaurantes!$D$22/MAX(0.0001,Hipótesis!$F$130),9000000000)</f>
        <v>205.361394064897</v>
      </c>
      <c r="AF175" s="27" t="n">
        <f aca="false">IF(Restaurantes!$D$10=1,Restaurantes!$D$13*Restaurantes!$D$24*Restaurantes!$D$25*Restaurantes!$D$22/MAX(0.0001,Hipótesis!$F$130),9000000000)</f>
        <v>205.361394064897</v>
      </c>
      <c r="AG175" s="27" t="n">
        <f aca="false">IF(Restaurantes!$D$10=1,Restaurantes!$D$13*Restaurantes!$D$24*Restaurantes!$D$25*Restaurantes!$D$22/MAX(0.0001,Hipótesis!$F$130),9000000000)</f>
        <v>205.361394064897</v>
      </c>
      <c r="AH175" s="27" t="n">
        <f aca="false">IF(Restaurantes!$D$10=1,Restaurantes!$D$13*Restaurantes!$D$24*Restaurantes!$D$25*Restaurantes!$D$22/MAX(0.0001,Hipótesis!$F$130),9000000000)</f>
        <v>205.361394064897</v>
      </c>
      <c r="AI175" s="27" t="n">
        <f aca="false">IF(Restaurantes!$D$10=1,Restaurantes!$D$13*Restaurantes!$D$24*Restaurantes!$D$25*Restaurantes!$D$22/MAX(0.0001,Hipótesis!$F$130),9000000000)</f>
        <v>205.361394064897</v>
      </c>
      <c r="AJ175" s="27" t="n">
        <f aca="false">IF(Restaurantes!$D$10=1,Restaurantes!$D$13*Restaurantes!$D$24*Restaurantes!$D$25*Restaurantes!$D$22/MAX(0.0001,Hipótesis!$F$130),9000000000)</f>
        <v>205.361394064897</v>
      </c>
      <c r="AK175" s="27" t="n">
        <f aca="false">IF(Restaurantes!$D$10=1,Restaurantes!$D$13*Restaurantes!$D$24*Restaurantes!$D$25*Restaurantes!$D$22/MAX(0.0001,Hipótesis!$F$130),9000000000)</f>
        <v>205.361394064897</v>
      </c>
      <c r="AL175" s="27" t="n">
        <f aca="false">IF(Restaurantes!$D$10=1,Restaurantes!$D$13*Restaurantes!$D$24*Restaurantes!$D$25*Restaurantes!$D$22/MAX(0.0001,Hipótesis!$F$130),9000000000)</f>
        <v>205.361394064897</v>
      </c>
      <c r="AM175" s="27" t="n">
        <f aca="false">IF(Restaurantes!$D$10=1,Restaurantes!$D$13*Restaurantes!$D$24*Restaurantes!$D$25*Restaurantes!$D$22/MAX(0.0001,Hipótesis!$F$130),9000000000)</f>
        <v>205.361394064897</v>
      </c>
      <c r="AN175" s="27" t="n">
        <f aca="false">IF(Restaurantes!$D$10=1,Restaurantes!$D$13*Restaurantes!$D$24*Restaurantes!$D$25*Restaurantes!$D$22/MAX(0.0001,Hipótesis!$F$130),9000000000)</f>
        <v>205.361394064897</v>
      </c>
      <c r="AO175" s="27" t="n">
        <f aca="false">IF(Restaurantes!$D$10=1,Restaurantes!$D$13*Restaurantes!$D$24*Restaurantes!$D$25*Restaurantes!$D$22/MAX(0.0001,Hipótesis!$F$130),9000000000)</f>
        <v>205.361394064897</v>
      </c>
      <c r="AP175" s="27" t="n">
        <f aca="false">IF(Restaurantes!$D$10=1,Restaurantes!$D$13*Restaurantes!$D$24*Restaurantes!$D$25*Restaurantes!$D$22/MAX(0.0001,Hipótesis!$F$130),9000000000)</f>
        <v>205.361394064897</v>
      </c>
      <c r="AQ175" s="27" t="n">
        <f aca="false">IF(Restaurantes!$D$10=1,Restaurantes!$D$13*Restaurantes!$D$24*Restaurantes!$D$25*Restaurantes!$D$22/MAX(0.0001,Hipótesis!$F$130),9000000000)</f>
        <v>205.361394064897</v>
      </c>
      <c r="AR175" s="27" t="n">
        <f aca="false">IF(Restaurantes!$D$10=1,Restaurantes!$D$13*Restaurantes!$D$24*Restaurantes!$D$25*Restaurantes!$D$22/MAX(0.0001,Hipótesis!$F$130),9000000000)</f>
        <v>205.361394064897</v>
      </c>
      <c r="AS175" s="27" t="n">
        <f aca="false">IF(Restaurantes!$D$10=1,Restaurantes!$D$13*Restaurantes!$D$24*Restaurantes!$D$25*Restaurantes!$D$22/MAX(0.0001,Hipótesis!$F$130),9000000000)</f>
        <v>205.361394064897</v>
      </c>
      <c r="AT175" s="27" t="n">
        <f aca="false">IF(Restaurantes!$D$10=1,Restaurantes!$D$13*Restaurantes!$D$24*Restaurantes!$D$25*Restaurantes!$D$22/MAX(0.0001,Hipótesis!$F$130),9000000000)</f>
        <v>205.361394064897</v>
      </c>
      <c r="AU175" s="27" t="n">
        <f aca="false">IF(Restaurantes!$D$10=1,Restaurantes!$D$13*Restaurantes!$D$24*Restaurantes!$D$25*Restaurantes!$D$22/MAX(0.0001,Hipótesis!$F$130),9000000000)</f>
        <v>205.361394064897</v>
      </c>
      <c r="AV175" s="27" t="n">
        <f aca="false">IF(Restaurantes!$D$10=1,Restaurantes!$D$13*Restaurantes!$D$24*Restaurantes!$D$25*Restaurantes!$D$22/MAX(0.0001,Hipótesis!$F$130),9000000000)</f>
        <v>205.361394064897</v>
      </c>
      <c r="AW175" s="27" t="n">
        <f aca="false">IF(Restaurantes!$D$10=1,Restaurantes!$D$13*Restaurantes!$D$24*Restaurantes!$D$25*Restaurantes!$D$22/MAX(0.0001,Hipótesis!$F$130),9000000000)</f>
        <v>205.361394064897</v>
      </c>
      <c r="AX175" s="27" t="n">
        <f aca="false">IF(Restaurantes!$D$10=1,Restaurantes!$D$13*Restaurantes!$D$24*Restaurantes!$D$25*Restaurantes!$D$22/MAX(0.0001,Hipótesis!$F$130),9000000000)</f>
        <v>205.361394064897</v>
      </c>
      <c r="AY175" s="27" t="n">
        <f aca="false">IF(Restaurantes!$D$10=1,Restaurantes!$D$13*Restaurantes!$D$24*Restaurantes!$D$25*Restaurantes!$D$22/MAX(0.0001,Hipótesis!$F$130),9000000000)</f>
        <v>205.361394064897</v>
      </c>
      <c r="AZ175" s="27" t="n">
        <f aca="false">IF(Restaurantes!$D$10=1,Restaurantes!$D$13*Restaurantes!$D$24*Restaurantes!$D$25*Restaurantes!$D$22/MAX(0.0001,Hipótesis!$F$130),9000000000)</f>
        <v>205.361394064897</v>
      </c>
      <c r="BA175" s="27" t="n">
        <f aca="false">IF(Restaurantes!$D$10=1,Restaurantes!$D$13*Restaurantes!$D$24*Restaurantes!$D$25*Restaurantes!$D$22/MAX(0.0001,Hipótesis!$F$130),9000000000)</f>
        <v>205.361394064897</v>
      </c>
      <c r="BB175" s="27" t="n">
        <f aca="false">IF(Restaurantes!$D$10=1,Restaurantes!$D$13*Restaurantes!$D$24*Restaurantes!$D$25*Restaurantes!$D$22/MAX(0.0001,Hipótesis!$F$130),9000000000)</f>
        <v>205.361394064897</v>
      </c>
      <c r="BC175" s="27" t="n">
        <f aca="false">IF(Restaurantes!$D$10=1,Restaurantes!$D$13*Restaurantes!$D$24*Restaurantes!$D$25*Restaurantes!$D$22/MAX(0.0001,Hipótesis!$F$130),9000000000)</f>
        <v>205.361394064897</v>
      </c>
      <c r="BD175" s="27" t="n">
        <f aca="false">IF(Restaurantes!$D$10=1,Restaurantes!$D$13*Restaurantes!$D$24*Restaurantes!$D$25*Restaurantes!$D$22/MAX(0.0001,Hipótesis!$F$130),9000000000)</f>
        <v>205.361394064897</v>
      </c>
      <c r="BE175" s="27" t="n">
        <f aca="false">IF(Restaurantes!$D$10=1,Restaurantes!$D$13*Restaurantes!$D$24*Restaurantes!$D$25*Restaurantes!$D$22/MAX(0.0001,Hipótesis!$F$130),9000000000)</f>
        <v>205.361394064897</v>
      </c>
      <c r="BF175" s="27" t="n">
        <f aca="false">IF(Restaurantes!$D$10=1,Restaurantes!$D$13*Restaurantes!$D$24*Restaurantes!$D$25*Restaurantes!$D$22/MAX(0.0001,Hipótesis!$F$130),9000000000)</f>
        <v>205.361394064897</v>
      </c>
      <c r="BG175" s="27" t="n">
        <f aca="false">IF(Restaurantes!$D$10=1,Restaurantes!$D$13*Restaurantes!$D$24*Restaurantes!$D$25*Restaurantes!$D$22/MAX(0.0001,Hipótesis!$F$130),9000000000)</f>
        <v>205.361394064897</v>
      </c>
      <c r="BH175" s="27" t="n">
        <f aca="false">IF(Restaurantes!$D$10=1,Restaurantes!$D$13*Restaurantes!$D$24*Restaurantes!$D$25*Restaurantes!$D$22/MAX(0.0001,Hipótesis!$F$130),9000000000)</f>
        <v>205.361394064897</v>
      </c>
      <c r="BI175" s="27" t="n">
        <f aca="false">IF(Restaurantes!$D$10=1,Restaurantes!$D$13*Restaurantes!$D$24*Restaurantes!$D$25*Restaurantes!$D$22/MAX(0.0001,Hipótesis!$F$130),9000000000)</f>
        <v>205.361394064897</v>
      </c>
      <c r="BJ175" s="27" t="n">
        <f aca="false">IF(Restaurantes!$D$10=1,Restaurantes!$D$13*Restaurantes!$D$24*Restaurantes!$D$25*Restaurantes!$D$22/MAX(0.0001,Hipótesis!$F$130),9000000000)</f>
        <v>205.361394064897</v>
      </c>
      <c r="BK175" s="27" t="n">
        <f aca="false">IF(Restaurantes!$D$10=1,Restaurantes!$D$13*Restaurantes!$D$24*Restaurantes!$D$25*Restaurantes!$D$22/MAX(0.0001,Hipótesis!$F$130),9000000000)</f>
        <v>205.361394064897</v>
      </c>
      <c r="BL175" s="27" t="n">
        <f aca="false">IF(Restaurantes!$D$10=1,Restaurantes!$D$13*Restaurantes!$D$24*Restaurantes!$D$25*Restaurantes!$D$22/MAX(0.0001,Hipótesis!$F$130),9000000000)</f>
        <v>205.361394064897</v>
      </c>
      <c r="BM175" s="27" t="n">
        <f aca="false">IF(Restaurantes!$D$10=1,Restaurantes!$D$13*Restaurantes!$D$24*Restaurantes!$D$25*Restaurantes!$D$22/MAX(0.0001,Hipótesis!$F$130),9000000000)</f>
        <v>205.361394064897</v>
      </c>
      <c r="BN175" s="27" t="n">
        <f aca="false">IF(Restaurantes!$D$10=1,Restaurantes!$D$13*Restaurantes!$D$24*Restaurantes!$D$25*Restaurantes!$D$22/MAX(0.0001,Hipótesis!$F$130),9000000000)</f>
        <v>205.361394064897</v>
      </c>
      <c r="BO175" s="27" t="n">
        <f aca="false">IF(Restaurantes!$D$10=1,Restaurantes!$D$13*Restaurantes!$D$24*Restaurantes!$D$25*Restaurantes!$D$22/MAX(0.0001,Hipótesis!$F$130),9000000000)</f>
        <v>205.361394064897</v>
      </c>
      <c r="BP175" s="27" t="n">
        <f aca="false">IF(Restaurantes!$D$10=1,Restaurantes!$D$13*Restaurantes!$D$24*Restaurantes!$D$25*Restaurantes!$D$22/MAX(0.0001,Hipótesis!$F$130),9000000000)</f>
        <v>205.361394064897</v>
      </c>
      <c r="BQ175" s="27" t="n">
        <f aca="false">IF(Restaurantes!$D$10=1,Restaurantes!$D$13*Restaurantes!$D$24*Restaurantes!$D$25*Restaurantes!$D$22/MAX(0.0001,Hipótesis!$F$130),9000000000)</f>
        <v>205.361394064897</v>
      </c>
      <c r="BR175" s="27" t="n">
        <f aca="false">IF(Restaurantes!$D$10=1,Restaurantes!$D$13*Restaurantes!$D$24*Restaurantes!$D$25*Restaurantes!$D$22/MAX(0.0001,Hipótesis!$F$130),9000000000)</f>
        <v>205.361394064897</v>
      </c>
      <c r="BS175" s="27" t="n">
        <f aca="false">IF(Restaurantes!$D$10=1,Restaurantes!$D$13*Restaurantes!$D$24*Restaurantes!$D$25*Restaurantes!$D$22/MAX(0.0001,Hipótesis!$F$130),9000000000)</f>
        <v>205.361394064897</v>
      </c>
      <c r="BT175" s="27" t="n">
        <f aca="false">IF(Restaurantes!$D$10=1,Restaurantes!$D$13*Restaurantes!$D$24*Restaurantes!$D$25*Restaurantes!$D$22/MAX(0.0001,Hipótesis!$F$130),9000000000)</f>
        <v>205.361394064897</v>
      </c>
      <c r="BU175" s="27" t="n">
        <f aca="false">IF(Restaurantes!$D$10=1,Restaurantes!$D$13*Restaurantes!$D$24*Restaurantes!$D$25*Restaurantes!$D$22/MAX(0.0001,Hipótesis!$F$130),9000000000)</f>
        <v>205.361394064897</v>
      </c>
      <c r="BV175" s="27" t="n">
        <f aca="false">IF(Restaurantes!$D$10=1,Restaurantes!$D$13*Restaurantes!$D$24*Restaurantes!$D$25*Restaurantes!$D$22/MAX(0.0001,Hipótesis!$F$130),9000000000)</f>
        <v>205.361394064897</v>
      </c>
      <c r="BW175" s="27" t="n">
        <f aca="false">IF(Restaurantes!$D$10=1,Restaurantes!$D$13*Restaurantes!$D$24*Restaurantes!$D$25*Restaurantes!$D$22/MAX(0.0001,Hipótesis!$F$130),9000000000)</f>
        <v>205.361394064897</v>
      </c>
      <c r="BX175" s="27" t="n">
        <f aca="false">IF(Restaurantes!$D$10=1,Restaurantes!$D$13*Restaurantes!$D$24*Restaurantes!$D$25*Restaurantes!$D$22/MAX(0.0001,Hipótesis!$F$130),9000000000)</f>
        <v>205.361394064897</v>
      </c>
      <c r="BY175" s="27" t="n">
        <f aca="false">IF(Restaurantes!$D$10=1,Restaurantes!$D$13*Restaurantes!$D$24*Restaurantes!$D$25*Restaurantes!$D$22/MAX(0.0001,Hipótesis!$F$130),9000000000)</f>
        <v>205.361394064897</v>
      </c>
      <c r="BZ175" s="27" t="n">
        <f aca="false">IF(Restaurantes!$D$10=1,Restaurantes!$D$13*Restaurantes!$D$24*Restaurantes!$D$25*Restaurantes!$D$22/MAX(0.0001,Hipótesis!$F$130),9000000000)</f>
        <v>205.361394064897</v>
      </c>
      <c r="CA175" s="27" t="n">
        <f aca="false">IF(Restaurantes!$D$10=1,Restaurantes!$D$13*Restaurantes!$D$24*Restaurantes!$D$25*Restaurantes!$D$22/MAX(0.0001,Hipótesis!$F$130),9000000000)</f>
        <v>205.361394064897</v>
      </c>
      <c r="CB175" s="27" t="n">
        <f aca="false">IF(Restaurantes!$D$10=1,Restaurantes!$D$13*Restaurantes!$D$24*Restaurantes!$D$25*Restaurantes!$D$22/MAX(0.0001,Hipótesis!$F$130),9000000000)</f>
        <v>205.361394064897</v>
      </c>
      <c r="CC175" s="27" t="n">
        <f aca="false">IF(Restaurantes!$D$10=1,Restaurantes!$D$13*Restaurantes!$D$24*Restaurantes!$D$25*Restaurantes!$D$22/MAX(0.0001,Hipótesis!$F$130),9000000000)</f>
        <v>205.361394064897</v>
      </c>
      <c r="CD175" s="27" t="n">
        <f aca="false">IF(Restaurantes!$D$10=1,Restaurantes!$D$13*Restaurantes!$D$24*Restaurantes!$D$25*Restaurantes!$D$22/MAX(0.0001,Hipótesis!$F$130),9000000000)</f>
        <v>205.361394064897</v>
      </c>
      <c r="CE175" s="27" t="n">
        <f aca="false">IF(Restaurantes!$D$10=1,Restaurantes!$D$13*Restaurantes!$D$24*Restaurantes!$D$25*Restaurantes!$D$22/MAX(0.0001,Hipótesis!$F$130),9000000000)</f>
        <v>205.361394064897</v>
      </c>
      <c r="CF175" s="27" t="n">
        <f aca="false">IF(Restaurantes!$D$10=1,Restaurantes!$D$13*Restaurantes!$D$24*Restaurantes!$D$25*Restaurantes!$D$22/MAX(0.0001,Hipótesis!$F$130),9000000000)</f>
        <v>205.361394064897</v>
      </c>
      <c r="CG175" s="27" t="n">
        <f aca="false">IF(Restaurantes!$D$10=1,Restaurantes!$D$13*Restaurantes!$D$24*Restaurantes!$D$25*Restaurantes!$D$22/MAX(0.0001,Hipótesis!$F$130),9000000000)</f>
        <v>205.361394064897</v>
      </c>
      <c r="CH175" s="27" t="n">
        <f aca="false">IF(Restaurantes!$D$10=1,Restaurantes!$D$13*Restaurantes!$D$24*Restaurantes!$D$25*Restaurantes!$D$22/MAX(0.0001,Hipótesis!$F$130),9000000000)</f>
        <v>205.361394064897</v>
      </c>
    </row>
    <row r="176" customFormat="false" ht="15" hidden="false" customHeight="false" outlineLevel="0" collapsed="false">
      <c r="A176" s="1" t="s">
        <v>837</v>
      </c>
      <c r="C176" s="27" t="n">
        <f aca="false">MIN(Restaurantes!$D$7*Hipótesis!$D$13*Hipótesis!$F$26,C175)*C173</f>
        <v>6</v>
      </c>
      <c r="D176" s="27" t="n">
        <f aca="false">MIN(Restaurantes!$D$7*Hipótesis!$D$13*Hipótesis!$F$26,D175)*D173</f>
        <v>12</v>
      </c>
      <c r="E176" s="27" t="n">
        <f aca="false">MIN(Restaurantes!$D$7*Hipótesis!$D$13*Hipótesis!$F$26,E175)*E173</f>
        <v>18</v>
      </c>
      <c r="F176" s="27" t="n">
        <f aca="false">MIN(Restaurantes!$D$7*Hipótesis!$D$13*Hipótesis!$F$26,F175)*F173</f>
        <v>24</v>
      </c>
      <c r="G176" s="27" t="n">
        <f aca="false">MIN(Restaurantes!$D$7*Hipótesis!$D$13*Hipótesis!$F$26,G175)*G173</f>
        <v>30</v>
      </c>
      <c r="H176" s="27" t="n">
        <f aca="false">MIN(Restaurantes!$D$7*Hipótesis!$D$13*Hipótesis!$F$26,H175)*H173</f>
        <v>36</v>
      </c>
      <c r="I176" s="27" t="n">
        <f aca="false">MIN(Restaurantes!$D$7*Hipótesis!$D$13*Hipótesis!$F$26,I175)*I173</f>
        <v>42</v>
      </c>
      <c r="J176" s="27" t="n">
        <f aca="false">MIN(Restaurantes!$D$7*Hipótesis!$D$13*Hipótesis!$F$26,J175)*J173</f>
        <v>48</v>
      </c>
      <c r="K176" s="27" t="n">
        <f aca="false">MIN(Restaurantes!$D$7*Hipótesis!$D$13*Hipótesis!$F$26,K175)*K173</f>
        <v>54</v>
      </c>
      <c r="L176" s="27" t="n">
        <f aca="false">MIN(Restaurantes!$D$7*Hipótesis!$D$13*Hipótesis!$F$26,L175)*L173</f>
        <v>60</v>
      </c>
      <c r="M176" s="27" t="n">
        <f aca="false">MIN(Restaurantes!$D$7*Hipótesis!$D$13*Hipótesis!$F$26,M175)*M173</f>
        <v>66</v>
      </c>
      <c r="N176" s="27" t="n">
        <f aca="false">MIN(Restaurantes!$D$7*Hipótesis!$D$13*Hipótesis!$F$26,N175)*N173</f>
        <v>72</v>
      </c>
      <c r="O176" s="27" t="n">
        <f aca="false">MIN(Restaurantes!$D$7*Hipótesis!$D$13*Hipótesis!$F$26,O175)*O173</f>
        <v>78</v>
      </c>
      <c r="P176" s="27" t="n">
        <f aca="false">MIN(Restaurantes!$D$7*Hipótesis!$D$13*Hipótesis!$F$26,P175)*P173</f>
        <v>84</v>
      </c>
      <c r="Q176" s="27" t="n">
        <f aca="false">MIN(Restaurantes!$D$7*Hipótesis!$D$13*Hipótesis!$F$26,Q175)*Q173</f>
        <v>90</v>
      </c>
      <c r="R176" s="27" t="n">
        <f aca="false">MIN(Restaurantes!$D$7*Hipótesis!$D$13*Hipótesis!$F$26,R175)*R173</f>
        <v>96</v>
      </c>
      <c r="S176" s="27" t="n">
        <f aca="false">MIN(Restaurantes!$D$7*Hipótesis!$D$13*Hipótesis!$F$26,S175)*S173</f>
        <v>102</v>
      </c>
      <c r="T176" s="27" t="n">
        <f aca="false">MIN(Restaurantes!$D$7*Hipótesis!$D$13*Hipótesis!$F$26,T175)*T173</f>
        <v>108</v>
      </c>
      <c r="U176" s="27" t="n">
        <f aca="false">MIN(Restaurantes!$D$7*Hipótesis!$D$13*Hipótesis!$F$26,U175)*U173</f>
        <v>114</v>
      </c>
      <c r="V176" s="27" t="n">
        <f aca="false">MIN(Restaurantes!$D$7*Hipótesis!$D$13*Hipótesis!$F$26,V175)*V173</f>
        <v>120</v>
      </c>
      <c r="W176" s="27" t="n">
        <f aca="false">MIN(Restaurantes!$D$7*Hipótesis!$D$13*Hipótesis!$F$26,W175)*W173</f>
        <v>126</v>
      </c>
      <c r="X176" s="27" t="n">
        <f aca="false">MIN(Restaurantes!$D$7*Hipótesis!$D$13*Hipótesis!$F$26,X175)*X173</f>
        <v>132</v>
      </c>
      <c r="Y176" s="27" t="n">
        <f aca="false">MIN(Restaurantes!$D$7*Hipótesis!$D$13*Hipótesis!$F$26,Y175)*Y173</f>
        <v>138</v>
      </c>
      <c r="Z176" s="27" t="n">
        <f aca="false">MIN(Restaurantes!$D$7*Hipótesis!$D$13*Hipótesis!$F$26,Z175)*Z173</f>
        <v>144</v>
      </c>
      <c r="AA176" s="27" t="n">
        <f aca="false">MIN(Restaurantes!$D$7*Hipótesis!$D$13*Hipótesis!$F$26,AA175)*AA173</f>
        <v>144</v>
      </c>
      <c r="AB176" s="27" t="n">
        <f aca="false">MIN(Restaurantes!$D$7*Hipótesis!$D$13*Hipótesis!$F$26,AB175)*AB173</f>
        <v>144</v>
      </c>
      <c r="AC176" s="27" t="n">
        <f aca="false">MIN(Restaurantes!$D$7*Hipótesis!$D$13*Hipótesis!$F$26,AC175)*AC173</f>
        <v>144</v>
      </c>
      <c r="AD176" s="27" t="n">
        <f aca="false">MIN(Restaurantes!$D$7*Hipótesis!$D$13*Hipótesis!$F$26,AD175)*AD173</f>
        <v>144</v>
      </c>
      <c r="AE176" s="27" t="n">
        <f aca="false">MIN(Restaurantes!$D$7*Hipótesis!$D$13*Hipótesis!$F$26,AE175)*AE173</f>
        <v>144</v>
      </c>
      <c r="AF176" s="27" t="n">
        <f aca="false">MIN(Restaurantes!$D$7*Hipótesis!$D$13*Hipótesis!$F$26,AF175)*AF173</f>
        <v>144</v>
      </c>
      <c r="AG176" s="27" t="n">
        <f aca="false">MIN(Restaurantes!$D$7*Hipótesis!$D$13*Hipótesis!$F$26,AG175)*AG173</f>
        <v>144</v>
      </c>
      <c r="AH176" s="27" t="n">
        <f aca="false">MIN(Restaurantes!$D$7*Hipótesis!$D$13*Hipótesis!$F$26,AH175)*AH173</f>
        <v>144</v>
      </c>
      <c r="AI176" s="27" t="n">
        <f aca="false">MIN(Restaurantes!$D$7*Hipótesis!$D$13*Hipótesis!$F$26,AI175)*AI173</f>
        <v>144</v>
      </c>
      <c r="AJ176" s="27" t="n">
        <f aca="false">MIN(Restaurantes!$D$7*Hipótesis!$D$13*Hipótesis!$F$26,AJ175)*AJ173</f>
        <v>144</v>
      </c>
      <c r="AK176" s="27" t="n">
        <f aca="false">MIN(Restaurantes!$D$7*Hipótesis!$D$13*Hipótesis!$F$26,AK175)*AK173</f>
        <v>144</v>
      </c>
      <c r="AL176" s="27" t="n">
        <f aca="false">MIN(Restaurantes!$D$7*Hipótesis!$D$13*Hipótesis!$F$26,AL175)*AL173</f>
        <v>144</v>
      </c>
      <c r="AM176" s="27" t="n">
        <f aca="false">MIN(Restaurantes!$D$7*Hipótesis!$D$13*Hipótesis!$F$26,AM175)*AM173</f>
        <v>144</v>
      </c>
      <c r="AN176" s="27" t="n">
        <f aca="false">MIN(Restaurantes!$D$7*Hipótesis!$D$13*Hipótesis!$F$26,AN175)*AN173</f>
        <v>144</v>
      </c>
      <c r="AO176" s="27" t="n">
        <f aca="false">MIN(Restaurantes!$D$7*Hipótesis!$D$13*Hipótesis!$F$26,AO175)*AO173</f>
        <v>144</v>
      </c>
      <c r="AP176" s="27" t="n">
        <f aca="false">MIN(Restaurantes!$D$7*Hipótesis!$D$13*Hipótesis!$F$26,AP175)*AP173</f>
        <v>144</v>
      </c>
      <c r="AQ176" s="27" t="n">
        <f aca="false">MIN(Restaurantes!$D$7*Hipótesis!$D$13*Hipótesis!$F$26,AQ175)*AQ173</f>
        <v>144</v>
      </c>
      <c r="AR176" s="27" t="n">
        <f aca="false">MIN(Restaurantes!$D$7*Hipótesis!$D$13*Hipótesis!$F$26,AR175)*AR173</f>
        <v>144</v>
      </c>
      <c r="AS176" s="27" t="n">
        <f aca="false">MIN(Restaurantes!$D$7*Hipótesis!$D$13*Hipótesis!$F$26,AS175)*AS173</f>
        <v>144</v>
      </c>
      <c r="AT176" s="27" t="n">
        <f aca="false">MIN(Restaurantes!$D$7*Hipótesis!$D$13*Hipótesis!$F$26,AT175)*AT173</f>
        <v>144</v>
      </c>
      <c r="AU176" s="27" t="n">
        <f aca="false">MIN(Restaurantes!$D$7*Hipótesis!$D$13*Hipótesis!$F$26,AU175)*AU173</f>
        <v>144</v>
      </c>
      <c r="AV176" s="27" t="n">
        <f aca="false">MIN(Restaurantes!$D$7*Hipótesis!$D$13*Hipótesis!$F$26,AV175)*AV173</f>
        <v>144</v>
      </c>
      <c r="AW176" s="27" t="n">
        <f aca="false">MIN(Restaurantes!$D$7*Hipótesis!$D$13*Hipótesis!$F$26,AW175)*AW173</f>
        <v>144</v>
      </c>
      <c r="AX176" s="27" t="n">
        <f aca="false">MIN(Restaurantes!$D$7*Hipótesis!$D$13*Hipótesis!$F$26,AX175)*AX173</f>
        <v>144</v>
      </c>
      <c r="AY176" s="27" t="n">
        <f aca="false">MIN(Restaurantes!$D$7*Hipótesis!$D$13*Hipótesis!$F$26,AY175)*AY173</f>
        <v>144</v>
      </c>
      <c r="AZ176" s="27" t="n">
        <f aca="false">MIN(Restaurantes!$D$7*Hipótesis!$D$13*Hipótesis!$F$26,AZ175)*AZ173</f>
        <v>144</v>
      </c>
      <c r="BA176" s="27" t="n">
        <f aca="false">MIN(Restaurantes!$D$7*Hipótesis!$D$13*Hipótesis!$F$26,BA175)*BA173</f>
        <v>144</v>
      </c>
      <c r="BB176" s="27" t="n">
        <f aca="false">MIN(Restaurantes!$D$7*Hipótesis!$D$13*Hipótesis!$F$26,BB175)*BB173</f>
        <v>144</v>
      </c>
      <c r="BC176" s="27" t="n">
        <f aca="false">MIN(Restaurantes!$D$7*Hipótesis!$D$13*Hipótesis!$F$26,BC175)*BC173</f>
        <v>144</v>
      </c>
      <c r="BD176" s="27" t="n">
        <f aca="false">MIN(Restaurantes!$D$7*Hipótesis!$D$13*Hipótesis!$F$26,BD175)*BD173</f>
        <v>144</v>
      </c>
      <c r="BE176" s="27" t="n">
        <f aca="false">MIN(Restaurantes!$D$7*Hipótesis!$D$13*Hipótesis!$F$26,BE175)*BE173</f>
        <v>144</v>
      </c>
      <c r="BF176" s="27" t="n">
        <f aca="false">MIN(Restaurantes!$D$7*Hipótesis!$D$13*Hipótesis!$F$26,BF175)*BF173</f>
        <v>144</v>
      </c>
      <c r="BG176" s="27" t="n">
        <f aca="false">MIN(Restaurantes!$D$7*Hipótesis!$D$13*Hipótesis!$F$26,BG175)*BG173</f>
        <v>144</v>
      </c>
      <c r="BH176" s="27" t="n">
        <f aca="false">MIN(Restaurantes!$D$7*Hipótesis!$D$13*Hipótesis!$F$26,BH175)*BH173</f>
        <v>144</v>
      </c>
      <c r="BI176" s="27" t="n">
        <f aca="false">MIN(Restaurantes!$D$7*Hipótesis!$D$13*Hipótesis!$F$26,BI175)*BI173</f>
        <v>144</v>
      </c>
      <c r="BJ176" s="27" t="n">
        <f aca="false">MIN(Restaurantes!$D$7*Hipótesis!$D$13*Hipótesis!$F$26,BJ175)*BJ173</f>
        <v>144</v>
      </c>
      <c r="BK176" s="27" t="n">
        <f aca="false">MIN(Restaurantes!$D$7*Hipótesis!$D$13*Hipótesis!$F$26,BK175)*BK173</f>
        <v>144</v>
      </c>
      <c r="BL176" s="27" t="n">
        <f aca="false">MIN(Restaurantes!$D$7*Hipótesis!$D$13*Hipótesis!$F$26,BL175)*BL173</f>
        <v>144</v>
      </c>
      <c r="BM176" s="27" t="n">
        <f aca="false">MIN(Restaurantes!$D$7*Hipótesis!$D$13*Hipótesis!$F$26,BM175)*BM173</f>
        <v>144</v>
      </c>
      <c r="BN176" s="27" t="n">
        <f aca="false">MIN(Restaurantes!$D$7*Hipótesis!$D$13*Hipótesis!$F$26,BN175)*BN173</f>
        <v>144</v>
      </c>
      <c r="BO176" s="27" t="n">
        <f aca="false">MIN(Restaurantes!$D$7*Hipótesis!$D$13*Hipótesis!$F$26,BO175)*BO173</f>
        <v>144</v>
      </c>
      <c r="BP176" s="27" t="n">
        <f aca="false">MIN(Restaurantes!$D$7*Hipótesis!$D$13*Hipótesis!$F$26,BP175)*BP173</f>
        <v>144</v>
      </c>
      <c r="BQ176" s="27" t="n">
        <f aca="false">MIN(Restaurantes!$D$7*Hipótesis!$D$13*Hipótesis!$F$26,BQ175)*BQ173</f>
        <v>144</v>
      </c>
      <c r="BR176" s="27" t="n">
        <f aca="false">MIN(Restaurantes!$D$7*Hipótesis!$D$13*Hipótesis!$F$26,BR175)*BR173</f>
        <v>144</v>
      </c>
      <c r="BS176" s="27" t="n">
        <f aca="false">MIN(Restaurantes!$D$7*Hipótesis!$D$13*Hipótesis!$F$26,BS175)*BS173</f>
        <v>144</v>
      </c>
      <c r="BT176" s="27" t="n">
        <f aca="false">MIN(Restaurantes!$D$7*Hipótesis!$D$13*Hipótesis!$F$26,BT175)*BT173</f>
        <v>144</v>
      </c>
      <c r="BU176" s="27" t="n">
        <f aca="false">MIN(Restaurantes!$D$7*Hipótesis!$D$13*Hipótesis!$F$26,BU175)*BU173</f>
        <v>144</v>
      </c>
      <c r="BV176" s="27" t="n">
        <f aca="false">MIN(Restaurantes!$D$7*Hipótesis!$D$13*Hipótesis!$F$26,BV175)*BV173</f>
        <v>144</v>
      </c>
      <c r="BW176" s="27" t="n">
        <f aca="false">MIN(Restaurantes!$D$7*Hipótesis!$D$13*Hipótesis!$F$26,BW175)*BW173</f>
        <v>144</v>
      </c>
      <c r="BX176" s="27" t="n">
        <f aca="false">MIN(Restaurantes!$D$7*Hipótesis!$D$13*Hipótesis!$F$26,BX175)*BX173</f>
        <v>144</v>
      </c>
      <c r="BY176" s="27" t="n">
        <f aca="false">MIN(Restaurantes!$D$7*Hipótesis!$D$13*Hipótesis!$F$26,BY175)*BY173</f>
        <v>144</v>
      </c>
      <c r="BZ176" s="27" t="n">
        <f aca="false">MIN(Restaurantes!$D$7*Hipótesis!$D$13*Hipótesis!$F$26,BZ175)*BZ173</f>
        <v>144</v>
      </c>
      <c r="CA176" s="27" t="n">
        <f aca="false">MIN(Restaurantes!$D$7*Hipótesis!$D$13*Hipótesis!$F$26,CA175)*CA173</f>
        <v>144</v>
      </c>
      <c r="CB176" s="27" t="n">
        <f aca="false">MIN(Restaurantes!$D$7*Hipótesis!$D$13*Hipótesis!$F$26,CB175)*CB173</f>
        <v>144</v>
      </c>
      <c r="CC176" s="27" t="n">
        <f aca="false">MIN(Restaurantes!$D$7*Hipótesis!$D$13*Hipótesis!$F$26,CC175)*CC173</f>
        <v>144</v>
      </c>
      <c r="CD176" s="27" t="n">
        <f aca="false">MIN(Restaurantes!$D$7*Hipótesis!$D$13*Hipótesis!$F$26,CD175)*CD173</f>
        <v>144</v>
      </c>
      <c r="CE176" s="27" t="n">
        <f aca="false">MIN(Restaurantes!$D$7*Hipótesis!$D$13*Hipótesis!$F$26,CE175)*CE173</f>
        <v>144</v>
      </c>
      <c r="CF176" s="27" t="n">
        <f aca="false">MIN(Restaurantes!$D$7*Hipótesis!$D$13*Hipótesis!$F$26,CF175)*CF173</f>
        <v>144</v>
      </c>
      <c r="CG176" s="27" t="n">
        <f aca="false">MIN(Restaurantes!$D$7*Hipótesis!$D$13*Hipótesis!$F$26,CG175)*CG173</f>
        <v>144</v>
      </c>
      <c r="CH176" s="27" t="n">
        <f aca="false">MIN(Restaurantes!$D$7*Hipótesis!$D$13*Hipótesis!$F$26,CH175)*CH173</f>
        <v>144</v>
      </c>
    </row>
    <row r="177" customFormat="false" ht="15" hidden="false" customHeight="false" outlineLevel="0" collapsed="false">
      <c r="A177" s="1" t="s">
        <v>838</v>
      </c>
      <c r="C177" s="27" t="n">
        <f aca="false">MIN(C176,MAX(0,C8-C174))</f>
        <v>6</v>
      </c>
      <c r="D177" s="27" t="n">
        <f aca="false">MIN(D176,MAX(0,D8-D174))</f>
        <v>12</v>
      </c>
      <c r="E177" s="27" t="n">
        <f aca="false">MIN(E176,MAX(0,E8-E174))</f>
        <v>18</v>
      </c>
      <c r="F177" s="27" t="n">
        <f aca="false">MIN(F176,MAX(0,F8-F174))</f>
        <v>24</v>
      </c>
      <c r="G177" s="27" t="n">
        <f aca="false">MIN(G176,MAX(0,G8-G174))</f>
        <v>30</v>
      </c>
      <c r="H177" s="27" t="n">
        <f aca="false">MIN(H176,MAX(0,H8-H174))</f>
        <v>36</v>
      </c>
      <c r="I177" s="27" t="n">
        <f aca="false">MIN(I176,MAX(0,I8-I174))</f>
        <v>42</v>
      </c>
      <c r="J177" s="27" t="n">
        <f aca="false">MIN(J176,MAX(0,J8-J174))</f>
        <v>48</v>
      </c>
      <c r="K177" s="27" t="n">
        <f aca="false">MIN(K176,MAX(0,K8-K174))</f>
        <v>54</v>
      </c>
      <c r="L177" s="27" t="n">
        <f aca="false">MIN(L176,MAX(0,L8-L174))</f>
        <v>60</v>
      </c>
      <c r="M177" s="27" t="n">
        <f aca="false">MIN(M176,MAX(0,M8-M174))</f>
        <v>66</v>
      </c>
      <c r="N177" s="27" t="n">
        <f aca="false">MIN(N176,MAX(0,N8-N174))</f>
        <v>72</v>
      </c>
      <c r="O177" s="27" t="n">
        <f aca="false">MIN(O176,MAX(0,O8-O174))</f>
        <v>78</v>
      </c>
      <c r="P177" s="27" t="n">
        <f aca="false">MIN(P176,MAX(0,P8-P174))</f>
        <v>84</v>
      </c>
      <c r="Q177" s="27" t="n">
        <f aca="false">MIN(Q176,MAX(0,Q8-Q174))</f>
        <v>90</v>
      </c>
      <c r="R177" s="27" t="n">
        <f aca="false">MIN(R176,MAX(0,R8-R174))</f>
        <v>96</v>
      </c>
      <c r="S177" s="27" t="n">
        <f aca="false">MIN(S176,MAX(0,S8-S174))</f>
        <v>102</v>
      </c>
      <c r="T177" s="27" t="n">
        <f aca="false">MIN(T176,MAX(0,T8-T174))</f>
        <v>108</v>
      </c>
      <c r="U177" s="27" t="n">
        <f aca="false">MIN(U176,MAX(0,U8-U174))</f>
        <v>114</v>
      </c>
      <c r="V177" s="27" t="n">
        <f aca="false">MIN(V176,MAX(0,V8-V174))</f>
        <v>120</v>
      </c>
      <c r="W177" s="27" t="n">
        <f aca="false">MIN(W176,MAX(0,W8-W174))</f>
        <v>126</v>
      </c>
      <c r="X177" s="27" t="n">
        <f aca="false">MIN(X176,MAX(0,X8-X174))</f>
        <v>132</v>
      </c>
      <c r="Y177" s="27" t="n">
        <f aca="false">MIN(Y176,MAX(0,Y8-Y174))</f>
        <v>138</v>
      </c>
      <c r="Z177" s="27" t="n">
        <f aca="false">MIN(Z176,MAX(0,Z8-Z174))</f>
        <v>144</v>
      </c>
      <c r="AA177" s="27" t="n">
        <f aca="false">MIN(AA176,MAX(0,AA8-AA174))</f>
        <v>144</v>
      </c>
      <c r="AB177" s="27" t="n">
        <f aca="false">MIN(AB176,MAX(0,AB8-AB174))</f>
        <v>144</v>
      </c>
      <c r="AC177" s="27" t="n">
        <f aca="false">MIN(AC176,MAX(0,AC8-AC174))</f>
        <v>144</v>
      </c>
      <c r="AD177" s="27" t="n">
        <f aca="false">MIN(AD176,MAX(0,AD8-AD174))</f>
        <v>144</v>
      </c>
      <c r="AE177" s="27" t="n">
        <f aca="false">MIN(AE176,MAX(0,AE8-AE174))</f>
        <v>144</v>
      </c>
      <c r="AF177" s="27" t="n">
        <f aca="false">MIN(AF176,MAX(0,AF8-AF174))</f>
        <v>144</v>
      </c>
      <c r="AG177" s="27" t="n">
        <f aca="false">MIN(AG176,MAX(0,AG8-AG174))</f>
        <v>144</v>
      </c>
      <c r="AH177" s="27" t="n">
        <f aca="false">MIN(AH176,MAX(0,AH8-AH174))</f>
        <v>144</v>
      </c>
      <c r="AI177" s="27" t="n">
        <f aca="false">MIN(AI176,MAX(0,AI8-AI174))</f>
        <v>144</v>
      </c>
      <c r="AJ177" s="27" t="n">
        <f aca="false">MIN(AJ176,MAX(0,AJ8-AJ174))</f>
        <v>144</v>
      </c>
      <c r="AK177" s="27" t="n">
        <f aca="false">MIN(AK176,MAX(0,AK8-AK174))</f>
        <v>144</v>
      </c>
      <c r="AL177" s="27" t="n">
        <f aca="false">MIN(AL176,MAX(0,AL8-AL174))</f>
        <v>144</v>
      </c>
      <c r="AM177" s="27" t="n">
        <f aca="false">MIN(AM176,MAX(0,AM8-AM174))</f>
        <v>144</v>
      </c>
      <c r="AN177" s="27" t="n">
        <f aca="false">MIN(AN176,MAX(0,AN8-AN174))</f>
        <v>144</v>
      </c>
      <c r="AO177" s="27" t="n">
        <f aca="false">MIN(AO176,MAX(0,AO8-AO174))</f>
        <v>144</v>
      </c>
      <c r="AP177" s="27" t="n">
        <f aca="false">MIN(AP176,MAX(0,AP8-AP174))</f>
        <v>144</v>
      </c>
      <c r="AQ177" s="27" t="n">
        <f aca="false">MIN(AQ176,MAX(0,AQ8-AQ174))</f>
        <v>144</v>
      </c>
      <c r="AR177" s="27" t="n">
        <f aca="false">MIN(AR176,MAX(0,AR8-AR174))</f>
        <v>144</v>
      </c>
      <c r="AS177" s="27" t="n">
        <f aca="false">MIN(AS176,MAX(0,AS8-AS174))</f>
        <v>144</v>
      </c>
      <c r="AT177" s="27" t="n">
        <f aca="false">MIN(AT176,MAX(0,AT8-AT174))</f>
        <v>144</v>
      </c>
      <c r="AU177" s="27" t="n">
        <f aca="false">MIN(AU176,MAX(0,AU8-AU174))</f>
        <v>144</v>
      </c>
      <c r="AV177" s="27" t="n">
        <f aca="false">MIN(AV176,MAX(0,AV8-AV174))</f>
        <v>144</v>
      </c>
      <c r="AW177" s="27" t="n">
        <f aca="false">MIN(AW176,MAX(0,AW8-AW174))</f>
        <v>144</v>
      </c>
      <c r="AX177" s="27" t="n">
        <f aca="false">MIN(AX176,MAX(0,AX8-AX174))</f>
        <v>144</v>
      </c>
      <c r="AY177" s="27" t="n">
        <f aca="false">MIN(AY176,MAX(0,AY8-AY174))</f>
        <v>144</v>
      </c>
      <c r="AZ177" s="27" t="n">
        <f aca="false">MIN(AZ176,MAX(0,AZ8-AZ174))</f>
        <v>144</v>
      </c>
      <c r="BA177" s="27" t="n">
        <f aca="false">MIN(BA176,MAX(0,BA8-BA174))</f>
        <v>144</v>
      </c>
      <c r="BB177" s="27" t="n">
        <f aca="false">MIN(BB176,MAX(0,BB8-BB174))</f>
        <v>144</v>
      </c>
      <c r="BC177" s="27" t="n">
        <f aca="false">MIN(BC176,MAX(0,BC8-BC174))</f>
        <v>144</v>
      </c>
      <c r="BD177" s="27" t="n">
        <f aca="false">MIN(BD176,MAX(0,BD8-BD174))</f>
        <v>144</v>
      </c>
      <c r="BE177" s="27" t="n">
        <f aca="false">MIN(BE176,MAX(0,BE8-BE174))</f>
        <v>144</v>
      </c>
      <c r="BF177" s="27" t="n">
        <f aca="false">MIN(BF176,MAX(0,BF8-BF174))</f>
        <v>144</v>
      </c>
      <c r="BG177" s="27" t="n">
        <f aca="false">MIN(BG176,MAX(0,BG8-BG174))</f>
        <v>144</v>
      </c>
      <c r="BH177" s="27" t="n">
        <f aca="false">MIN(BH176,MAX(0,BH8-BH174))</f>
        <v>144</v>
      </c>
      <c r="BI177" s="27" t="n">
        <f aca="false">MIN(BI176,MAX(0,BI8-BI174))</f>
        <v>144</v>
      </c>
      <c r="BJ177" s="27" t="n">
        <f aca="false">MIN(BJ176,MAX(0,BJ8-BJ174))</f>
        <v>144</v>
      </c>
      <c r="BK177" s="27" t="n">
        <f aca="false">MIN(BK176,MAX(0,BK8-BK174))</f>
        <v>144</v>
      </c>
      <c r="BL177" s="27" t="n">
        <f aca="false">MIN(BL176,MAX(0,BL8-BL174))</f>
        <v>144</v>
      </c>
      <c r="BM177" s="27" t="n">
        <f aca="false">MIN(BM176,MAX(0,BM8-BM174))</f>
        <v>144</v>
      </c>
      <c r="BN177" s="27" t="n">
        <f aca="false">MIN(BN176,MAX(0,BN8-BN174))</f>
        <v>144</v>
      </c>
      <c r="BO177" s="27" t="n">
        <f aca="false">MIN(BO176,MAX(0,BO8-BO174))</f>
        <v>144</v>
      </c>
      <c r="BP177" s="27" t="n">
        <f aca="false">MIN(BP176,MAX(0,BP8-BP174))</f>
        <v>144</v>
      </c>
      <c r="BQ177" s="27" t="n">
        <f aca="false">MIN(BQ176,MAX(0,BQ8-BQ174))</f>
        <v>144</v>
      </c>
      <c r="BR177" s="27" t="n">
        <f aca="false">MIN(BR176,MAX(0,BR8-BR174))</f>
        <v>144</v>
      </c>
      <c r="BS177" s="27" t="n">
        <f aca="false">MIN(BS176,MAX(0,BS8-BS174))</f>
        <v>144</v>
      </c>
      <c r="BT177" s="27" t="n">
        <f aca="false">MIN(BT176,MAX(0,BT8-BT174))</f>
        <v>144</v>
      </c>
      <c r="BU177" s="27" t="n">
        <f aca="false">MIN(BU176,MAX(0,BU8-BU174))</f>
        <v>144</v>
      </c>
      <c r="BV177" s="27" t="n">
        <f aca="false">MIN(BV176,MAX(0,BV8-BV174))</f>
        <v>144</v>
      </c>
      <c r="BW177" s="27" t="n">
        <f aca="false">MIN(BW176,MAX(0,BW8-BW174))</f>
        <v>144</v>
      </c>
      <c r="BX177" s="27" t="n">
        <f aca="false">MIN(BX176,MAX(0,BX8-BX174))</f>
        <v>144</v>
      </c>
      <c r="BY177" s="27" t="n">
        <f aca="false">MIN(BY176,MAX(0,BY8-BY174))</f>
        <v>144</v>
      </c>
      <c r="BZ177" s="27" t="n">
        <f aca="false">MIN(BZ176,MAX(0,BZ8-BZ174))</f>
        <v>144</v>
      </c>
      <c r="CA177" s="27" t="n">
        <f aca="false">MIN(CA176,MAX(0,CA8-CA174))</f>
        <v>144</v>
      </c>
      <c r="CB177" s="27" t="n">
        <f aca="false">MIN(CB176,MAX(0,CB8-CB174))</f>
        <v>144</v>
      </c>
      <c r="CC177" s="27" t="n">
        <f aca="false">MIN(CC176,MAX(0,CC8-CC174))</f>
        <v>144</v>
      </c>
      <c r="CD177" s="27" t="n">
        <f aca="false">MIN(CD176,MAX(0,CD8-CD174))</f>
        <v>144</v>
      </c>
      <c r="CE177" s="27" t="n">
        <f aca="false">MIN(CE176,MAX(0,CE8-CE174))</f>
        <v>144</v>
      </c>
      <c r="CF177" s="27" t="n">
        <f aca="false">MIN(CF176,MAX(0,CF8-CF174))</f>
        <v>144</v>
      </c>
      <c r="CG177" s="27" t="n">
        <f aca="false">MIN(CG176,MAX(0,CG8-CG174))</f>
        <v>144</v>
      </c>
      <c r="CH177" s="27" t="n">
        <f aca="false">MIN(CH176,MAX(0,CH8-CH174))</f>
        <v>144</v>
      </c>
    </row>
    <row r="178" customFormat="false" ht="15" hidden="false" customHeight="false" outlineLevel="0" collapsed="false">
      <c r="A178" s="25" t="s">
        <v>839</v>
      </c>
      <c r="C178" s="155" t="n">
        <f aca="false">C177*C172</f>
        <v>6</v>
      </c>
      <c r="D178" s="155" t="n">
        <f aca="false">D177*D172</f>
        <v>12</v>
      </c>
      <c r="E178" s="155" t="n">
        <f aca="false">E177*E172</f>
        <v>18</v>
      </c>
      <c r="F178" s="155" t="n">
        <f aca="false">F177*F172</f>
        <v>24</v>
      </c>
      <c r="G178" s="155" t="n">
        <f aca="false">G177*G172</f>
        <v>4.5</v>
      </c>
      <c r="H178" s="155" t="n">
        <f aca="false">H177*H172</f>
        <v>36</v>
      </c>
      <c r="I178" s="155" t="n">
        <f aca="false">I177*I172</f>
        <v>42</v>
      </c>
      <c r="J178" s="155" t="n">
        <f aca="false">J177*J172</f>
        <v>48</v>
      </c>
      <c r="K178" s="155" t="n">
        <f aca="false">K177*K172</f>
        <v>54</v>
      </c>
      <c r="L178" s="155" t="n">
        <f aca="false">L177*L172</f>
        <v>60</v>
      </c>
      <c r="M178" s="155" t="n">
        <f aca="false">M177*M172</f>
        <v>66</v>
      </c>
      <c r="N178" s="155" t="n">
        <f aca="false">N177*N172</f>
        <v>72</v>
      </c>
      <c r="O178" s="155" t="n">
        <f aca="false">O177*O172</f>
        <v>78</v>
      </c>
      <c r="P178" s="155" t="n">
        <f aca="false">P177*P172</f>
        <v>84</v>
      </c>
      <c r="Q178" s="155" t="n">
        <f aca="false">Q177*Q172</f>
        <v>90</v>
      </c>
      <c r="R178" s="155" t="n">
        <f aca="false">R177*R172</f>
        <v>96</v>
      </c>
      <c r="S178" s="155" t="n">
        <f aca="false">S177*S172</f>
        <v>15.3</v>
      </c>
      <c r="T178" s="155" t="n">
        <f aca="false">T177*T172</f>
        <v>108</v>
      </c>
      <c r="U178" s="155" t="n">
        <f aca="false">U177*U172</f>
        <v>114</v>
      </c>
      <c r="V178" s="155" t="n">
        <f aca="false">V177*V172</f>
        <v>120</v>
      </c>
      <c r="W178" s="155" t="n">
        <f aca="false">W177*W172</f>
        <v>126</v>
      </c>
      <c r="X178" s="155" t="n">
        <f aca="false">X177*X172</f>
        <v>132</v>
      </c>
      <c r="Y178" s="155" t="n">
        <f aca="false">Y177*Y172</f>
        <v>138</v>
      </c>
      <c r="Z178" s="155" t="n">
        <f aca="false">Z177*Z172</f>
        <v>144</v>
      </c>
      <c r="AA178" s="155" t="n">
        <f aca="false">AA177*AA172</f>
        <v>144</v>
      </c>
      <c r="AB178" s="155" t="n">
        <f aca="false">AB177*AB172</f>
        <v>144</v>
      </c>
      <c r="AC178" s="155" t="n">
        <f aca="false">AC177*AC172</f>
        <v>144</v>
      </c>
      <c r="AD178" s="155" t="n">
        <f aca="false">AD177*AD172</f>
        <v>144</v>
      </c>
      <c r="AE178" s="155" t="n">
        <f aca="false">AE177*AE172</f>
        <v>21.6</v>
      </c>
      <c r="AF178" s="155" t="n">
        <f aca="false">AF177*AF172</f>
        <v>144</v>
      </c>
      <c r="AG178" s="155" t="n">
        <f aca="false">AG177*AG172</f>
        <v>144</v>
      </c>
      <c r="AH178" s="155" t="n">
        <f aca="false">AH177*AH172</f>
        <v>144</v>
      </c>
      <c r="AI178" s="155" t="n">
        <f aca="false">AI177*AI172</f>
        <v>144</v>
      </c>
      <c r="AJ178" s="155" t="n">
        <f aca="false">AJ177*AJ172</f>
        <v>144</v>
      </c>
      <c r="AK178" s="155" t="n">
        <f aca="false">AK177*AK172</f>
        <v>144</v>
      </c>
      <c r="AL178" s="155" t="n">
        <f aca="false">AL177*AL172</f>
        <v>144</v>
      </c>
      <c r="AM178" s="155" t="n">
        <f aca="false">AM177*AM172</f>
        <v>144</v>
      </c>
      <c r="AN178" s="155" t="n">
        <f aca="false">AN177*AN172</f>
        <v>144</v>
      </c>
      <c r="AO178" s="155" t="n">
        <f aca="false">AO177*AO172</f>
        <v>144</v>
      </c>
      <c r="AP178" s="155" t="n">
        <f aca="false">AP177*AP172</f>
        <v>144</v>
      </c>
      <c r="AQ178" s="155" t="n">
        <f aca="false">AQ177*AQ172</f>
        <v>21.6</v>
      </c>
      <c r="AR178" s="155" t="n">
        <f aca="false">AR177*AR172</f>
        <v>144</v>
      </c>
      <c r="AS178" s="155" t="n">
        <f aca="false">AS177*AS172</f>
        <v>144</v>
      </c>
      <c r="AT178" s="155" t="n">
        <f aca="false">AT177*AT172</f>
        <v>144</v>
      </c>
      <c r="AU178" s="155" t="n">
        <f aca="false">AU177*AU172</f>
        <v>144</v>
      </c>
      <c r="AV178" s="155" t="n">
        <f aca="false">AV177*AV172</f>
        <v>144</v>
      </c>
      <c r="AW178" s="155" t="n">
        <f aca="false">AW177*AW172</f>
        <v>144</v>
      </c>
      <c r="AX178" s="155" t="n">
        <f aca="false">AX177*AX172</f>
        <v>144</v>
      </c>
      <c r="AY178" s="155" t="n">
        <f aca="false">AY177*AY172</f>
        <v>144</v>
      </c>
      <c r="AZ178" s="155" t="n">
        <f aca="false">AZ177*AZ172</f>
        <v>144</v>
      </c>
      <c r="BA178" s="155" t="n">
        <f aca="false">BA177*BA172</f>
        <v>144</v>
      </c>
      <c r="BB178" s="155" t="n">
        <f aca="false">BB177*BB172</f>
        <v>144</v>
      </c>
      <c r="BC178" s="155" t="n">
        <f aca="false">BC177*BC172</f>
        <v>21.6</v>
      </c>
      <c r="BD178" s="155" t="n">
        <f aca="false">BD177*BD172</f>
        <v>144</v>
      </c>
      <c r="BE178" s="155" t="n">
        <f aca="false">BE177*BE172</f>
        <v>144</v>
      </c>
      <c r="BF178" s="155" t="n">
        <f aca="false">BF177*BF172</f>
        <v>144</v>
      </c>
      <c r="BG178" s="155" t="n">
        <f aca="false">BG177*BG172</f>
        <v>144</v>
      </c>
      <c r="BH178" s="155" t="n">
        <f aca="false">BH177*BH172</f>
        <v>144</v>
      </c>
      <c r="BI178" s="155" t="n">
        <f aca="false">BI177*BI172</f>
        <v>144</v>
      </c>
      <c r="BJ178" s="155" t="n">
        <f aca="false">BJ177*BJ172</f>
        <v>144</v>
      </c>
      <c r="BK178" s="155" t="n">
        <f aca="false">BK177*BK172</f>
        <v>144</v>
      </c>
      <c r="BL178" s="155" t="n">
        <f aca="false">BL177*BL172</f>
        <v>144</v>
      </c>
      <c r="BM178" s="155" t="n">
        <f aca="false">BM177*BM172</f>
        <v>144</v>
      </c>
      <c r="BN178" s="155" t="n">
        <f aca="false">BN177*BN172</f>
        <v>144</v>
      </c>
      <c r="BO178" s="155" t="n">
        <f aca="false">BO177*BO172</f>
        <v>21.6</v>
      </c>
      <c r="BP178" s="155" t="n">
        <f aca="false">BP177*BP172</f>
        <v>144</v>
      </c>
      <c r="BQ178" s="155" t="n">
        <f aca="false">BQ177*BQ172</f>
        <v>144</v>
      </c>
      <c r="BR178" s="155" t="n">
        <f aca="false">BR177*BR172</f>
        <v>144</v>
      </c>
      <c r="BS178" s="155" t="n">
        <f aca="false">BS177*BS172</f>
        <v>144</v>
      </c>
      <c r="BT178" s="155" t="n">
        <f aca="false">BT177*BT172</f>
        <v>144</v>
      </c>
      <c r="BU178" s="155" t="n">
        <f aca="false">BU177*BU172</f>
        <v>144</v>
      </c>
      <c r="BV178" s="155" t="n">
        <f aca="false">BV177*BV172</f>
        <v>144</v>
      </c>
      <c r="BW178" s="155" t="n">
        <f aca="false">BW177*BW172</f>
        <v>144</v>
      </c>
      <c r="BX178" s="155" t="n">
        <f aca="false">BX177*BX172</f>
        <v>144</v>
      </c>
      <c r="BY178" s="155" t="n">
        <f aca="false">BY177*BY172</f>
        <v>144</v>
      </c>
      <c r="BZ178" s="155" t="n">
        <f aca="false">BZ177*BZ172</f>
        <v>144</v>
      </c>
      <c r="CA178" s="155" t="n">
        <f aca="false">CA177*CA172</f>
        <v>21.6</v>
      </c>
      <c r="CB178" s="155" t="n">
        <f aca="false">CB177*CB172</f>
        <v>144</v>
      </c>
      <c r="CC178" s="155" t="n">
        <f aca="false">CC177*CC172</f>
        <v>144</v>
      </c>
      <c r="CD178" s="155" t="n">
        <f aca="false">CD177*CD172</f>
        <v>144</v>
      </c>
      <c r="CE178" s="155" t="n">
        <f aca="false">CE177*CE172</f>
        <v>144</v>
      </c>
      <c r="CF178" s="155" t="n">
        <f aca="false">CF177*CF172</f>
        <v>144</v>
      </c>
      <c r="CG178" s="155" t="n">
        <f aca="false">CG177*CG172</f>
        <v>144</v>
      </c>
      <c r="CH178" s="155" t="n">
        <f aca="false">CH177*CH172</f>
        <v>144</v>
      </c>
    </row>
    <row r="179" customFormat="false" ht="15" hidden="false" customHeight="false" outlineLevel="0" collapsed="false">
      <c r="A179" s="25" t="s">
        <v>840</v>
      </c>
      <c r="C179" s="155" t="n">
        <f aca="false">C174+C23</f>
        <v>38.3601797063335</v>
      </c>
      <c r="D179" s="155" t="n">
        <f aca="false">D174+D23</f>
        <v>78.5877454203246</v>
      </c>
      <c r="E179" s="155" t="n">
        <f aca="false">E174+E23</f>
        <v>149.499906224817</v>
      </c>
      <c r="F179" s="155" t="n">
        <f aca="false">F174+F23</f>
        <v>182.051887322976</v>
      </c>
      <c r="G179" s="155" t="n">
        <f aca="false">G174+G23</f>
        <v>212.736482413478</v>
      </c>
      <c r="H179" s="155" t="n">
        <f aca="false">H174+H23</f>
        <v>264.818208841722</v>
      </c>
      <c r="I179" s="155" t="n">
        <f aca="false">I174+I23</f>
        <v>318.899935269966</v>
      </c>
      <c r="J179" s="155" t="n">
        <f aca="false">J174+J23</f>
        <v>408.98166169821</v>
      </c>
      <c r="K179" s="155" t="n">
        <f aca="false">K174+K23</f>
        <v>499.063388126454</v>
      </c>
      <c r="L179" s="155" t="n">
        <f aca="false">L174+L23</f>
        <v>589.145114554698</v>
      </c>
      <c r="M179" s="155" t="n">
        <f aca="false">M174+M23</f>
        <v>648.54224589244</v>
      </c>
      <c r="N179" s="155" t="n">
        <f aca="false">N174+N23</f>
        <v>739.062477357807</v>
      </c>
      <c r="O179" s="155" t="n">
        <f aca="false">O174+O23</f>
        <v>829.582708823174</v>
      </c>
      <c r="P179" s="155" t="n">
        <f aca="false">P174+P23</f>
        <v>911.155049001849</v>
      </c>
      <c r="Q179" s="155" t="n">
        <f aca="false">Q174+Q23</f>
        <v>992.727389180524</v>
      </c>
      <c r="R179" s="155" t="n">
        <f aca="false">R174+R23</f>
        <v>1074.2997293592</v>
      </c>
      <c r="S179" s="155" t="n">
        <f aca="false">S174+S23</f>
        <v>1155.87206953787</v>
      </c>
      <c r="T179" s="155" t="n">
        <f aca="false">T174+T23</f>
        <v>1237.44440971655</v>
      </c>
      <c r="U179" s="155" t="n">
        <f aca="false">U174+U23</f>
        <v>1319.01674989522</v>
      </c>
      <c r="V179" s="155" t="n">
        <f aca="false">V174+V23</f>
        <v>1400.5890900739</v>
      </c>
      <c r="W179" s="155" t="n">
        <f aca="false">W174+W23</f>
        <v>1482.16143025257</v>
      </c>
      <c r="X179" s="155" t="n">
        <f aca="false">X174+X23</f>
        <v>1532.61067030362</v>
      </c>
      <c r="Y179" s="155" t="n">
        <f aca="false">Y174+Y23</f>
        <v>1583.05991035467</v>
      </c>
      <c r="Z179" s="155" t="n">
        <f aca="false">Z174+Z23</f>
        <v>1621.05991035467</v>
      </c>
      <c r="AA179" s="155" t="n">
        <f aca="false">AA174+AA23</f>
        <v>1665.05991035467</v>
      </c>
      <c r="AB179" s="155" t="n">
        <f aca="false">AB174+AB23</f>
        <v>1709.05991035467</v>
      </c>
      <c r="AC179" s="155" t="n">
        <f aca="false">AC174+AC23</f>
        <v>1753.05991035467</v>
      </c>
      <c r="AD179" s="155" t="n">
        <f aca="false">AD174+AD23</f>
        <v>1797.05991035467</v>
      </c>
      <c r="AE179" s="155" t="n">
        <f aca="false">AE174+AE23</f>
        <v>1841.05991035467</v>
      </c>
      <c r="AF179" s="155" t="n">
        <f aca="false">AF174+AF23</f>
        <v>1885.05991035467</v>
      </c>
      <c r="AG179" s="155" t="n">
        <f aca="false">AG174+AG23</f>
        <v>1929.05991035467</v>
      </c>
      <c r="AH179" s="155" t="n">
        <f aca="false">AH174+AH23</f>
        <v>1973.05991035467</v>
      </c>
      <c r="AI179" s="155" t="n">
        <f aca="false">AI174+AI23</f>
        <v>2017.05991035467</v>
      </c>
      <c r="AJ179" s="155" t="n">
        <f aca="false">AJ174+AJ23</f>
        <v>2061.05991035467</v>
      </c>
      <c r="AK179" s="155" t="n">
        <f aca="false">AK174+AK23</f>
        <v>2105.05991035467</v>
      </c>
      <c r="AL179" s="155" t="n">
        <f aca="false">AL174+AL23</f>
        <v>2149.05991035467</v>
      </c>
      <c r="AM179" s="155" t="n">
        <f aca="false">AM174+AM23</f>
        <v>2193.05991035467</v>
      </c>
      <c r="AN179" s="155" t="n">
        <f aca="false">AN174+AN23</f>
        <v>2237.05991035467</v>
      </c>
      <c r="AO179" s="155" t="n">
        <f aca="false">AO174+AO23</f>
        <v>2281.05991035467</v>
      </c>
      <c r="AP179" s="155" t="n">
        <f aca="false">AP174+AP23</f>
        <v>2325.05991035467</v>
      </c>
      <c r="AQ179" s="155" t="n">
        <f aca="false">AQ174+AQ23</f>
        <v>2369.05991035467</v>
      </c>
      <c r="AR179" s="155" t="n">
        <f aca="false">AR174+AR23</f>
        <v>2413.05991035467</v>
      </c>
      <c r="AS179" s="155" t="n">
        <f aca="false">AS174+AS23</f>
        <v>2413.05991035467</v>
      </c>
      <c r="AT179" s="155" t="n">
        <f aca="false">AT174+AT23</f>
        <v>2413.05991035467</v>
      </c>
      <c r="AU179" s="155" t="n">
        <f aca="false">AU174+AU23</f>
        <v>2413.05991035467</v>
      </c>
      <c r="AV179" s="155" t="n">
        <f aca="false">AV174+AV23</f>
        <v>2413.05991035467</v>
      </c>
      <c r="AW179" s="155" t="n">
        <f aca="false">AW174+AW23</f>
        <v>2413.05991035467</v>
      </c>
      <c r="AX179" s="155" t="n">
        <f aca="false">AX174+AX23</f>
        <v>2413.05991035467</v>
      </c>
      <c r="AY179" s="155" t="n">
        <f aca="false">AY174+AY23</f>
        <v>2413.05991035467</v>
      </c>
      <c r="AZ179" s="155" t="n">
        <f aca="false">AZ174+AZ23</f>
        <v>2413.05991035467</v>
      </c>
      <c r="BA179" s="155" t="n">
        <f aca="false">BA174+BA23</f>
        <v>2413.05991035467</v>
      </c>
      <c r="BB179" s="155" t="n">
        <f aca="false">BB174+BB23</f>
        <v>2413.05991035467</v>
      </c>
      <c r="BC179" s="155" t="n">
        <f aca="false">BC174+BC23</f>
        <v>2413.05991035467</v>
      </c>
      <c r="BD179" s="155" t="n">
        <f aca="false">BD174+BD23</f>
        <v>2413.05991035467</v>
      </c>
      <c r="BE179" s="155" t="n">
        <f aca="false">BE174+BE23</f>
        <v>2413.05991035467</v>
      </c>
      <c r="BF179" s="155" t="n">
        <f aca="false">BF174+BF23</f>
        <v>2413.05991035467</v>
      </c>
      <c r="BG179" s="155" t="n">
        <f aca="false">BG174+BG23</f>
        <v>2413.05991035467</v>
      </c>
      <c r="BH179" s="155" t="n">
        <f aca="false">BH174+BH23</f>
        <v>2413.05991035467</v>
      </c>
      <c r="BI179" s="155" t="n">
        <f aca="false">BI174+BI23</f>
        <v>2413.05991035467</v>
      </c>
      <c r="BJ179" s="155" t="n">
        <f aca="false">BJ174+BJ23</f>
        <v>2413.05991035467</v>
      </c>
      <c r="BK179" s="155" t="n">
        <f aca="false">BK174+BK23</f>
        <v>2413.05991035467</v>
      </c>
      <c r="BL179" s="155" t="n">
        <f aca="false">BL174+BL23</f>
        <v>2413.05991035467</v>
      </c>
      <c r="BM179" s="155" t="n">
        <f aca="false">BM174+BM23</f>
        <v>2413.05991035467</v>
      </c>
      <c r="BN179" s="155" t="n">
        <f aca="false">BN174+BN23</f>
        <v>2413.05991035467</v>
      </c>
      <c r="BO179" s="155" t="n">
        <f aca="false">BO174+BO23</f>
        <v>2413.05991035467</v>
      </c>
      <c r="BP179" s="155" t="n">
        <f aca="false">BP174+BP23</f>
        <v>2413.05991035467</v>
      </c>
      <c r="BQ179" s="155" t="n">
        <f aca="false">BQ174+BQ23</f>
        <v>2413.05991035467</v>
      </c>
      <c r="BR179" s="155" t="n">
        <f aca="false">BR174+BR23</f>
        <v>2413.05991035467</v>
      </c>
      <c r="BS179" s="155" t="n">
        <f aca="false">BS174+BS23</f>
        <v>2413.05991035467</v>
      </c>
      <c r="BT179" s="155" t="n">
        <f aca="false">BT174+BT23</f>
        <v>2413.05991035467</v>
      </c>
      <c r="BU179" s="155" t="n">
        <f aca="false">BU174+BU23</f>
        <v>2413.05991035467</v>
      </c>
      <c r="BV179" s="155" t="n">
        <f aca="false">BV174+BV23</f>
        <v>2413.05991035467</v>
      </c>
      <c r="BW179" s="155" t="n">
        <f aca="false">BW174+BW23</f>
        <v>2413.05991035467</v>
      </c>
      <c r="BX179" s="155" t="n">
        <f aca="false">BX174+BX23</f>
        <v>2413.05991035467</v>
      </c>
      <c r="BY179" s="155" t="n">
        <f aca="false">BY174+BY23</f>
        <v>2413.05991035467</v>
      </c>
      <c r="BZ179" s="155" t="n">
        <f aca="false">BZ174+BZ23</f>
        <v>2413.05991035467</v>
      </c>
      <c r="CA179" s="155" t="n">
        <f aca="false">CA174+CA23</f>
        <v>2413.05991035467</v>
      </c>
      <c r="CB179" s="155" t="n">
        <f aca="false">CB174+CB23</f>
        <v>2413.05991035467</v>
      </c>
      <c r="CC179" s="155" t="n">
        <f aca="false">CC174+CC23</f>
        <v>2413.05991035467</v>
      </c>
      <c r="CD179" s="155" t="n">
        <f aca="false">CD174+CD23</f>
        <v>2413.05991035467</v>
      </c>
      <c r="CE179" s="155" t="n">
        <f aca="false">CE174+CE23</f>
        <v>2413.05991035467</v>
      </c>
      <c r="CF179" s="155" t="n">
        <f aca="false">CF174+CF23</f>
        <v>2413.05991035467</v>
      </c>
      <c r="CG179" s="155" t="n">
        <f aca="false">CG174+CG23</f>
        <v>2413.05991035467</v>
      </c>
      <c r="CH179" s="155" t="n">
        <f aca="false">CH174+CH23</f>
        <v>2413.05991035467</v>
      </c>
    </row>
    <row r="180" customFormat="false" ht="15" hidden="false" customHeight="false" outlineLevel="0" collapsed="false">
      <c r="A180" s="1" t="s">
        <v>841</v>
      </c>
      <c r="C180" s="26" t="n">
        <f aca="false">IFERROR((C179+C178)/C8,0)</f>
        <v>0.0462085205274308</v>
      </c>
      <c r="D180" s="26" t="n">
        <f aca="false">IFERROR((D179+D178)/D8,0)</f>
        <v>0.0629081565418921</v>
      </c>
      <c r="E180" s="26" t="n">
        <f aca="false">IFERROR((E179+E178)/E8,0)</f>
        <v>0.0872395344920924</v>
      </c>
      <c r="F180" s="26" t="n">
        <f aca="false">IFERROR((F179+F178)/F8,0)</f>
        <v>0.0858549530512402</v>
      </c>
      <c r="G180" s="26" t="n">
        <f aca="false">IFERROR((G179+G178)/G8,0)</f>
        <v>0.0754293341713466</v>
      </c>
      <c r="H180" s="26" t="n">
        <f aca="false">IFERROR((H179+H178)/H8,0)</f>
        <v>0.104450766958931</v>
      </c>
      <c r="I180" s="26" t="n">
        <f aca="false">IFERROR((I179+I178)/I8,0)</f>
        <v>0.125312477524294</v>
      </c>
      <c r="J180" s="26" t="n">
        <f aca="false">IFERROR((J179+J178)/J8,0)</f>
        <v>0.158674188089656</v>
      </c>
      <c r="K180" s="26" t="n">
        <f aca="false">IFERROR((K179+K178)/K8,0)</f>
        <v>0.192035898655019</v>
      </c>
      <c r="L180" s="26" t="n">
        <f aca="false">IFERROR((L179+L178)/L8,0)</f>
        <v>0.225397609220381</v>
      </c>
      <c r="M180" s="26" t="n">
        <f aca="false">IFERROR((M179+M178)/M8,0)</f>
        <v>0.248104946490431</v>
      </c>
      <c r="N180" s="26" t="n">
        <f aca="false">IFERROR((N179+N178)/N8,0)</f>
        <v>0.281618915749239</v>
      </c>
      <c r="O180" s="26" t="n">
        <f aca="false">IFERROR((O179+O178)/O8,0)</f>
        <v>0.315132885008047</v>
      </c>
      <c r="P180" s="26" t="n">
        <f aca="false">IFERROR((P179+P178)/P8,0)</f>
        <v>0.345539947570087</v>
      </c>
      <c r="Q180" s="26" t="n">
        <f aca="false">IFERROR((Q179+Q178)/Q8,0)</f>
        <v>0.375947010132127</v>
      </c>
      <c r="R180" s="26" t="n">
        <f aca="false">IFERROR((R179+R178)/R8,0)</f>
        <v>0.406354072694166</v>
      </c>
      <c r="S180" s="26" t="n">
        <f aca="false">IFERROR((S179+S178)/S8,0)</f>
        <v>0.40665696858954</v>
      </c>
      <c r="T180" s="26" t="n">
        <f aca="false">IFERROR((T179+T178)/T8,0)</f>
        <v>0.467168197818246</v>
      </c>
      <c r="U180" s="26" t="n">
        <f aca="false">IFERROR((U179+U178)/U8,0)</f>
        <v>0.497575260380286</v>
      </c>
      <c r="V180" s="26" t="n">
        <f aca="false">IFERROR((V179+V178)/V8,0)</f>
        <v>0.527982322942326</v>
      </c>
      <c r="W180" s="26" t="n">
        <f aca="false">IFERROR((W179+W178)/W8,0)</f>
        <v>0.558389385504366</v>
      </c>
      <c r="X180" s="26" t="n">
        <f aca="false">IFERROR((X179+X178)/X8,0)</f>
        <v>0.577989816077647</v>
      </c>
      <c r="Y180" s="26" t="n">
        <f aca="false">IFERROR((Y179+Y178)/Y8,0)</f>
        <v>0.597590246650929</v>
      </c>
      <c r="Z180" s="26" t="n">
        <f aca="false">IFERROR((Z179+Z178)/Z8,0)</f>
        <v>0.612868024428706</v>
      </c>
      <c r="AA180" s="26" t="n">
        <f aca="false">IFERROR((AA179+AA178)/AA8,0)</f>
        <v>0.628145802206484</v>
      </c>
      <c r="AB180" s="26" t="n">
        <f aca="false">IFERROR((AB179+AB178)/AB8,0)</f>
        <v>0.643423579984262</v>
      </c>
      <c r="AC180" s="26" t="n">
        <f aca="false">IFERROR((AC179+AC178)/AC8,0)</f>
        <v>0.65870135776204</v>
      </c>
      <c r="AD180" s="26" t="n">
        <f aca="false">IFERROR((AD179+AD178)/AD8,0)</f>
        <v>0.673979135539818</v>
      </c>
      <c r="AE180" s="26" t="n">
        <f aca="false">IFERROR((AE179+AE178)/AE8,0)</f>
        <v>0.646756913317595</v>
      </c>
      <c r="AF180" s="26" t="n">
        <f aca="false">IFERROR((AF179+AF178)/AF8,0)</f>
        <v>0.704534691095373</v>
      </c>
      <c r="AG180" s="26" t="n">
        <f aca="false">IFERROR((AG179+AG178)/AG8,0)</f>
        <v>0.719812468873151</v>
      </c>
      <c r="AH180" s="26" t="n">
        <f aca="false">IFERROR((AH179+AH178)/AH8,0)</f>
        <v>0.735090246650929</v>
      </c>
      <c r="AI180" s="26" t="n">
        <f aca="false">IFERROR((AI179+AI178)/AI8,0)</f>
        <v>0.750368024428706</v>
      </c>
      <c r="AJ180" s="26" t="n">
        <f aca="false">IFERROR((AJ179+AJ178)/AJ8,0)</f>
        <v>0.765645802206484</v>
      </c>
      <c r="AK180" s="26" t="n">
        <f aca="false">IFERROR((AK179+AK178)/AK8,0)</f>
        <v>0.780923579984262</v>
      </c>
      <c r="AL180" s="26" t="n">
        <f aca="false">IFERROR((AL179+AL178)/AL8,0)</f>
        <v>0.79620135776204</v>
      </c>
      <c r="AM180" s="26" t="n">
        <f aca="false">IFERROR((AM179+AM178)/AM8,0)</f>
        <v>0.811479135539817</v>
      </c>
      <c r="AN180" s="26" t="n">
        <f aca="false">IFERROR((AN179+AN178)/AN8,0)</f>
        <v>0.826756913317595</v>
      </c>
      <c r="AO180" s="26" t="n">
        <f aca="false">IFERROR((AO179+AO178)/AO8,0)</f>
        <v>0.842034691095373</v>
      </c>
      <c r="AP180" s="26" t="n">
        <f aca="false">IFERROR((AP179+AP178)/AP8,0)</f>
        <v>0.857312468873151</v>
      </c>
      <c r="AQ180" s="26" t="n">
        <f aca="false">IFERROR((AQ179+AQ178)/AQ8,0)</f>
        <v>0.830090246650929</v>
      </c>
      <c r="AR180" s="26" t="n">
        <f aca="false">IFERROR((AR179+AR178)/AR8,0)</f>
        <v>0.887868024428707</v>
      </c>
      <c r="AS180" s="26" t="n">
        <f aca="false">IFERROR((AS179+AS178)/AS8,0)</f>
        <v>0.887868024428707</v>
      </c>
      <c r="AT180" s="26" t="n">
        <f aca="false">IFERROR((AT179+AT178)/AT8,0)</f>
        <v>0.887868024428707</v>
      </c>
      <c r="AU180" s="26" t="n">
        <f aca="false">IFERROR((AU179+AU178)/AU8,0)</f>
        <v>0.887868024428707</v>
      </c>
      <c r="AV180" s="26" t="n">
        <f aca="false">IFERROR((AV179+AV178)/AV8,0)</f>
        <v>0.887868024428707</v>
      </c>
      <c r="AW180" s="26" t="n">
        <f aca="false">IFERROR((AW179+AW178)/AW8,0)</f>
        <v>0.887868024428707</v>
      </c>
      <c r="AX180" s="26" t="n">
        <f aca="false">IFERROR((AX179+AX178)/AX8,0)</f>
        <v>0.887868024428707</v>
      </c>
      <c r="AY180" s="26" t="n">
        <f aca="false">IFERROR((AY179+AY178)/AY8,0)</f>
        <v>0.887868024428707</v>
      </c>
      <c r="AZ180" s="26" t="n">
        <f aca="false">IFERROR((AZ179+AZ178)/AZ8,0)</f>
        <v>0.887868024428707</v>
      </c>
      <c r="BA180" s="26" t="n">
        <f aca="false">IFERROR((BA179+BA178)/BA8,0)</f>
        <v>0.887868024428707</v>
      </c>
      <c r="BB180" s="26" t="n">
        <f aca="false">IFERROR((BB179+BB178)/BB8,0)</f>
        <v>0.887868024428707</v>
      </c>
      <c r="BC180" s="26" t="n">
        <f aca="false">IFERROR((BC179+BC178)/BC8,0)</f>
        <v>0.845368024428707</v>
      </c>
      <c r="BD180" s="26" t="n">
        <f aca="false">IFERROR((BD179+BD178)/BD8,0)</f>
        <v>0.887868024428707</v>
      </c>
      <c r="BE180" s="26" t="n">
        <f aca="false">IFERROR((BE179+BE178)/BE8,0)</f>
        <v>0.887868024428707</v>
      </c>
      <c r="BF180" s="26" t="n">
        <f aca="false">IFERROR((BF179+BF178)/BF8,0)</f>
        <v>0.887868024428707</v>
      </c>
      <c r="BG180" s="26" t="n">
        <f aca="false">IFERROR((BG179+BG178)/BG8,0)</f>
        <v>0.887868024428707</v>
      </c>
      <c r="BH180" s="26" t="n">
        <f aca="false">IFERROR((BH179+BH178)/BH8,0)</f>
        <v>0.887868024428707</v>
      </c>
      <c r="BI180" s="26" t="n">
        <f aca="false">IFERROR((BI179+BI178)/BI8,0)</f>
        <v>0.887868024428707</v>
      </c>
      <c r="BJ180" s="26" t="n">
        <f aca="false">IFERROR((BJ179+BJ178)/BJ8,0)</f>
        <v>0.887868024428707</v>
      </c>
      <c r="BK180" s="26" t="n">
        <f aca="false">IFERROR((BK179+BK178)/BK8,0)</f>
        <v>0.887868024428707</v>
      </c>
      <c r="BL180" s="26" t="n">
        <f aca="false">IFERROR((BL179+BL178)/BL8,0)</f>
        <v>0.887868024428707</v>
      </c>
      <c r="BM180" s="26" t="n">
        <f aca="false">IFERROR((BM179+BM178)/BM8,0)</f>
        <v>0.887868024428707</v>
      </c>
      <c r="BN180" s="26" t="n">
        <f aca="false">IFERROR((BN179+BN178)/BN8,0)</f>
        <v>0.887868024428707</v>
      </c>
      <c r="BO180" s="26" t="n">
        <f aca="false">IFERROR((BO179+BO178)/BO8,0)</f>
        <v>0.845368024428707</v>
      </c>
      <c r="BP180" s="26" t="n">
        <f aca="false">IFERROR((BP179+BP178)/BP8,0)</f>
        <v>0.887868024428707</v>
      </c>
      <c r="BQ180" s="26" t="n">
        <f aca="false">IFERROR((BQ179+BQ178)/BQ8,0)</f>
        <v>0.887868024428707</v>
      </c>
      <c r="BR180" s="26" t="n">
        <f aca="false">IFERROR((BR179+BR178)/BR8,0)</f>
        <v>0.887868024428707</v>
      </c>
      <c r="BS180" s="26" t="n">
        <f aca="false">IFERROR((BS179+BS178)/BS8,0)</f>
        <v>0.887868024428707</v>
      </c>
      <c r="BT180" s="26" t="n">
        <f aca="false">IFERROR((BT179+BT178)/BT8,0)</f>
        <v>0.887868024428707</v>
      </c>
      <c r="BU180" s="26" t="n">
        <f aca="false">IFERROR((BU179+BU178)/BU8,0)</f>
        <v>0.887868024428707</v>
      </c>
      <c r="BV180" s="26" t="n">
        <f aca="false">IFERROR((BV179+BV178)/BV8,0)</f>
        <v>0.887868024428707</v>
      </c>
      <c r="BW180" s="26" t="n">
        <f aca="false">IFERROR((BW179+BW178)/BW8,0)</f>
        <v>0.887868024428707</v>
      </c>
      <c r="BX180" s="26" t="n">
        <f aca="false">IFERROR((BX179+BX178)/BX8,0)</f>
        <v>0.887868024428707</v>
      </c>
      <c r="BY180" s="26" t="n">
        <f aca="false">IFERROR((BY179+BY178)/BY8,0)</f>
        <v>0.887868024428707</v>
      </c>
      <c r="BZ180" s="26" t="n">
        <f aca="false">IFERROR((BZ179+BZ178)/BZ8,0)</f>
        <v>0.887868024428707</v>
      </c>
      <c r="CA180" s="26" t="n">
        <f aca="false">IFERROR((CA179+CA178)/CA8,0)</f>
        <v>0.845368024428707</v>
      </c>
      <c r="CB180" s="26" t="n">
        <f aca="false">IFERROR((CB179+CB178)/CB8,0)</f>
        <v>0.887868024428707</v>
      </c>
      <c r="CC180" s="26" t="n">
        <f aca="false">IFERROR((CC179+CC178)/CC8,0)</f>
        <v>0.887868024428707</v>
      </c>
      <c r="CD180" s="26" t="n">
        <f aca="false">IFERROR((CD179+CD178)/CD8,0)</f>
        <v>0.887868024428707</v>
      </c>
      <c r="CE180" s="26" t="n">
        <f aca="false">IFERROR((CE179+CE178)/CE8,0)</f>
        <v>0.887868024428707</v>
      </c>
      <c r="CF180" s="26" t="n">
        <f aca="false">IFERROR((CF179+CF178)/CF8,0)</f>
        <v>0.887868024428707</v>
      </c>
      <c r="CG180" s="26" t="n">
        <f aca="false">IFERROR((CG179+CG178)/CG8,0)</f>
        <v>0.887868024428707</v>
      </c>
      <c r="CH180" s="26" t="n">
        <f aca="false">IFERROR((CH179+CH178)/CH8,0)</f>
        <v>0.887868024428707</v>
      </c>
    </row>
    <row r="181" customFormat="false" ht="15" hidden="false" customHeight="false" outlineLevel="0" collapsed="false">
      <c r="A181" s="1" t="s">
        <v>842</v>
      </c>
      <c r="C181" s="27" t="n">
        <f aca="false">C178*Hipótesis!$F$23</f>
        <v>7.45819662162162</v>
      </c>
      <c r="D181" s="27" t="n">
        <f aca="false">D178*Hipótesis!$F$23</f>
        <v>14.9163932432432</v>
      </c>
      <c r="E181" s="27" t="n">
        <f aca="false">E178*Hipótesis!$F$23</f>
        <v>22.3745898648649</v>
      </c>
      <c r="F181" s="27" t="n">
        <f aca="false">F178*Hipótesis!$F$23</f>
        <v>29.8327864864865</v>
      </c>
      <c r="G181" s="27" t="n">
        <f aca="false">G178*Hipótesis!$F$23</f>
        <v>5.59364746621622</v>
      </c>
      <c r="H181" s="27" t="n">
        <f aca="false">H178*Hipótesis!$F$23</f>
        <v>44.7491797297297</v>
      </c>
      <c r="I181" s="27" t="n">
        <f aca="false">I178*Hipótesis!$F$23</f>
        <v>52.2073763513514</v>
      </c>
      <c r="J181" s="27" t="n">
        <f aca="false">J178*Hipótesis!$F$23</f>
        <v>59.665572972973</v>
      </c>
      <c r="K181" s="27" t="n">
        <f aca="false">K178*Hipótesis!$F$23</f>
        <v>67.1237695945946</v>
      </c>
      <c r="L181" s="27" t="n">
        <f aca="false">L178*Hipótesis!$F$23</f>
        <v>74.5819662162162</v>
      </c>
      <c r="M181" s="27" t="n">
        <f aca="false">M178*Hipótesis!$F$23</f>
        <v>82.0401628378378</v>
      </c>
      <c r="N181" s="27" t="n">
        <f aca="false">N178*Hipótesis!$F$23</f>
        <v>89.4983594594595</v>
      </c>
      <c r="O181" s="27" t="n">
        <f aca="false">O178*Hipótesis!$F$23</f>
        <v>96.9565560810811</v>
      </c>
      <c r="P181" s="27" t="n">
        <f aca="false">P178*Hipótesis!$F$23</f>
        <v>104.414752702703</v>
      </c>
      <c r="Q181" s="27" t="n">
        <f aca="false">Q178*Hipótesis!$F$23</f>
        <v>111.872949324324</v>
      </c>
      <c r="R181" s="27" t="n">
        <f aca="false">R178*Hipótesis!$F$23</f>
        <v>119.331145945946</v>
      </c>
      <c r="S181" s="27" t="n">
        <f aca="false">S178*Hipótesis!$F$23</f>
        <v>19.0184013851351</v>
      </c>
      <c r="T181" s="27" t="n">
        <f aca="false">T178*Hipótesis!$F$23</f>
        <v>134.247539189189</v>
      </c>
      <c r="U181" s="27" t="n">
        <f aca="false">U178*Hipótesis!$F$23</f>
        <v>141.705735810811</v>
      </c>
      <c r="V181" s="27" t="n">
        <f aca="false">V178*Hipótesis!$F$23</f>
        <v>149.163932432432</v>
      </c>
      <c r="W181" s="27" t="n">
        <f aca="false">W178*Hipótesis!$F$23</f>
        <v>156.622129054054</v>
      </c>
      <c r="X181" s="27" t="n">
        <f aca="false">X178*Hipótesis!$F$23</f>
        <v>164.080325675676</v>
      </c>
      <c r="Y181" s="27" t="n">
        <f aca="false">Y178*Hipótesis!$F$23</f>
        <v>171.538522297297</v>
      </c>
      <c r="Z181" s="27" t="n">
        <f aca="false">Z178*Hipótesis!$F$23</f>
        <v>178.996718918919</v>
      </c>
      <c r="AA181" s="27" t="n">
        <f aca="false">AA178*Hipótesis!$F$23</f>
        <v>178.996718918919</v>
      </c>
      <c r="AB181" s="27" t="n">
        <f aca="false">AB178*Hipótesis!$F$23</f>
        <v>178.996718918919</v>
      </c>
      <c r="AC181" s="27" t="n">
        <f aca="false">AC178*Hipótesis!$F$23</f>
        <v>178.996718918919</v>
      </c>
      <c r="AD181" s="27" t="n">
        <f aca="false">AD178*Hipótesis!$F$23</f>
        <v>178.996718918919</v>
      </c>
      <c r="AE181" s="27" t="n">
        <f aca="false">AE178*Hipótesis!$F$23</f>
        <v>26.8495078378378</v>
      </c>
      <c r="AF181" s="27" t="n">
        <f aca="false">AF178*Hipótesis!$F$23</f>
        <v>178.996718918919</v>
      </c>
      <c r="AG181" s="27" t="n">
        <f aca="false">AG178*Hipótesis!$F$23</f>
        <v>178.996718918919</v>
      </c>
      <c r="AH181" s="27" t="n">
        <f aca="false">AH178*Hipótesis!$F$23</f>
        <v>178.996718918919</v>
      </c>
      <c r="AI181" s="27" t="n">
        <f aca="false">AI178*Hipótesis!$F$23</f>
        <v>178.996718918919</v>
      </c>
      <c r="AJ181" s="27" t="n">
        <f aca="false">AJ178*Hipótesis!$F$23</f>
        <v>178.996718918919</v>
      </c>
      <c r="AK181" s="27" t="n">
        <f aca="false">AK178*Hipótesis!$F$23</f>
        <v>178.996718918919</v>
      </c>
      <c r="AL181" s="27" t="n">
        <f aca="false">AL178*Hipótesis!$F$23</f>
        <v>178.996718918919</v>
      </c>
      <c r="AM181" s="27" t="n">
        <f aca="false">AM178*Hipótesis!$F$23</f>
        <v>178.996718918919</v>
      </c>
      <c r="AN181" s="27" t="n">
        <f aca="false">AN178*Hipótesis!$F$23</f>
        <v>178.996718918919</v>
      </c>
      <c r="AO181" s="27" t="n">
        <f aca="false">AO178*Hipótesis!$F$23</f>
        <v>178.996718918919</v>
      </c>
      <c r="AP181" s="27" t="n">
        <f aca="false">AP178*Hipótesis!$F$23</f>
        <v>178.996718918919</v>
      </c>
      <c r="AQ181" s="27" t="n">
        <f aca="false">AQ178*Hipótesis!$F$23</f>
        <v>26.8495078378378</v>
      </c>
      <c r="AR181" s="27" t="n">
        <f aca="false">AR178*Hipótesis!$F$23</f>
        <v>178.996718918919</v>
      </c>
      <c r="AS181" s="27" t="n">
        <f aca="false">AS178*Hipótesis!$F$23</f>
        <v>178.996718918919</v>
      </c>
      <c r="AT181" s="27" t="n">
        <f aca="false">AT178*Hipótesis!$F$23</f>
        <v>178.996718918919</v>
      </c>
      <c r="AU181" s="27" t="n">
        <f aca="false">AU178*Hipótesis!$F$23</f>
        <v>178.996718918919</v>
      </c>
      <c r="AV181" s="27" t="n">
        <f aca="false">AV178*Hipótesis!$F$23</f>
        <v>178.996718918919</v>
      </c>
      <c r="AW181" s="27" t="n">
        <f aca="false">AW178*Hipótesis!$F$23</f>
        <v>178.996718918919</v>
      </c>
      <c r="AX181" s="27" t="n">
        <f aca="false">AX178*Hipótesis!$F$23</f>
        <v>178.996718918919</v>
      </c>
      <c r="AY181" s="27" t="n">
        <f aca="false">AY178*Hipótesis!$F$23</f>
        <v>178.996718918919</v>
      </c>
      <c r="AZ181" s="27" t="n">
        <f aca="false">AZ178*Hipótesis!$F$23</f>
        <v>178.996718918919</v>
      </c>
      <c r="BA181" s="27" t="n">
        <f aca="false">BA178*Hipótesis!$F$23</f>
        <v>178.996718918919</v>
      </c>
      <c r="BB181" s="27" t="n">
        <f aca="false">BB178*Hipótesis!$F$23</f>
        <v>178.996718918919</v>
      </c>
      <c r="BC181" s="27" t="n">
        <f aca="false">BC178*Hipótesis!$F$23</f>
        <v>26.8495078378378</v>
      </c>
      <c r="BD181" s="27" t="n">
        <f aca="false">BD178*Hipótesis!$F$23</f>
        <v>178.996718918919</v>
      </c>
      <c r="BE181" s="27" t="n">
        <f aca="false">BE178*Hipótesis!$F$23</f>
        <v>178.996718918919</v>
      </c>
      <c r="BF181" s="27" t="n">
        <f aca="false">BF178*Hipótesis!$F$23</f>
        <v>178.996718918919</v>
      </c>
      <c r="BG181" s="27" t="n">
        <f aca="false">BG178*Hipótesis!$F$23</f>
        <v>178.996718918919</v>
      </c>
      <c r="BH181" s="27" t="n">
        <f aca="false">BH178*Hipótesis!$F$23</f>
        <v>178.996718918919</v>
      </c>
      <c r="BI181" s="27" t="n">
        <f aca="false">BI178*Hipótesis!$F$23</f>
        <v>178.996718918919</v>
      </c>
      <c r="BJ181" s="27" t="n">
        <f aca="false">BJ178*Hipótesis!$F$23</f>
        <v>178.996718918919</v>
      </c>
      <c r="BK181" s="27" t="n">
        <f aca="false">BK178*Hipótesis!$F$23</f>
        <v>178.996718918919</v>
      </c>
      <c r="BL181" s="27" t="n">
        <f aca="false">BL178*Hipótesis!$F$23</f>
        <v>178.996718918919</v>
      </c>
      <c r="BM181" s="27" t="n">
        <f aca="false">BM178*Hipótesis!$F$23</f>
        <v>178.996718918919</v>
      </c>
      <c r="BN181" s="27" t="n">
        <f aca="false">BN178*Hipótesis!$F$23</f>
        <v>178.996718918919</v>
      </c>
      <c r="BO181" s="27" t="n">
        <f aca="false">BO178*Hipótesis!$F$23</f>
        <v>26.8495078378378</v>
      </c>
      <c r="BP181" s="27" t="n">
        <f aca="false">BP178*Hipótesis!$F$23</f>
        <v>178.996718918919</v>
      </c>
      <c r="BQ181" s="27" t="n">
        <f aca="false">BQ178*Hipótesis!$F$23</f>
        <v>178.996718918919</v>
      </c>
      <c r="BR181" s="27" t="n">
        <f aca="false">BR178*Hipótesis!$F$23</f>
        <v>178.996718918919</v>
      </c>
      <c r="BS181" s="27" t="n">
        <f aca="false">BS178*Hipótesis!$F$23</f>
        <v>178.996718918919</v>
      </c>
      <c r="BT181" s="27" t="n">
        <f aca="false">BT178*Hipótesis!$F$23</f>
        <v>178.996718918919</v>
      </c>
      <c r="BU181" s="27" t="n">
        <f aca="false">BU178*Hipótesis!$F$23</f>
        <v>178.996718918919</v>
      </c>
      <c r="BV181" s="27" t="n">
        <f aca="false">BV178*Hipótesis!$F$23</f>
        <v>178.996718918919</v>
      </c>
      <c r="BW181" s="27" t="n">
        <f aca="false">BW178*Hipótesis!$F$23</f>
        <v>178.996718918919</v>
      </c>
      <c r="BX181" s="27" t="n">
        <f aca="false">BX178*Hipótesis!$F$23</f>
        <v>178.996718918919</v>
      </c>
      <c r="BY181" s="27" t="n">
        <f aca="false">BY178*Hipótesis!$F$23</f>
        <v>178.996718918919</v>
      </c>
      <c r="BZ181" s="27" t="n">
        <f aca="false">BZ178*Hipótesis!$F$23</f>
        <v>178.996718918919</v>
      </c>
      <c r="CA181" s="27" t="n">
        <f aca="false">CA178*Hipótesis!$F$23</f>
        <v>26.8495078378378</v>
      </c>
      <c r="CB181" s="27" t="n">
        <f aca="false">CB178*Hipótesis!$F$23</f>
        <v>178.996718918919</v>
      </c>
      <c r="CC181" s="27" t="n">
        <f aca="false">CC178*Hipótesis!$F$23</f>
        <v>178.996718918919</v>
      </c>
      <c r="CD181" s="27" t="n">
        <f aca="false">CD178*Hipótesis!$F$23</f>
        <v>178.996718918919</v>
      </c>
      <c r="CE181" s="27" t="n">
        <f aca="false">CE178*Hipótesis!$F$23</f>
        <v>178.996718918919</v>
      </c>
      <c r="CF181" s="27" t="n">
        <f aca="false">CF178*Hipótesis!$F$23</f>
        <v>178.996718918919</v>
      </c>
      <c r="CG181" s="27" t="n">
        <f aca="false">CG178*Hipótesis!$F$23</f>
        <v>178.996718918919</v>
      </c>
      <c r="CH181" s="27" t="n">
        <f aca="false">CH178*Hipótesis!$F$23</f>
        <v>178.996718918919</v>
      </c>
    </row>
    <row r="182" customFormat="false" ht="15" hidden="false" customHeight="false" outlineLevel="0" collapsed="false">
      <c r="A182" s="1" t="s">
        <v>843</v>
      </c>
      <c r="C182" s="27" t="n">
        <f aca="false">C20*C21+C23*Hipótesis!$F$23</f>
        <v>12.3975</v>
      </c>
      <c r="D182" s="27" t="n">
        <f aca="false">D20*D21+D23*Hipótesis!$F$23</f>
        <v>27.405</v>
      </c>
      <c r="E182" s="27" t="n">
        <f aca="false">E20*E21+E23*Hipótesis!$F$23</f>
        <v>75.69</v>
      </c>
      <c r="F182" s="27" t="n">
        <f aca="false">F20*F21+F23*Hipótesis!$F$23</f>
        <v>111.5775</v>
      </c>
      <c r="G182" s="27" t="n">
        <f aca="false">G20*G21+G23*Hipótesis!$F$23</f>
        <v>144.855</v>
      </c>
      <c r="H182" s="27" t="n">
        <f aca="false">H20*H21+H23*Hipótesis!$F$23</f>
        <v>208.03875</v>
      </c>
      <c r="I182" s="27" t="n">
        <f aca="false">I20*I21+I23*Hipótesis!$F$23</f>
        <v>273.708565540541</v>
      </c>
      <c r="J182" s="27" t="n">
        <f aca="false">J20*J21+J23*Hipótesis!$F$23</f>
        <v>384.127560810811</v>
      </c>
      <c r="K182" s="27" t="n">
        <f aca="false">K20*K21+K23*Hipótesis!$F$23</f>
        <v>494.546556081081</v>
      </c>
      <c r="L182" s="27" t="n">
        <f aca="false">L20*L21+L23*Hipótesis!$F$23</f>
        <v>604.965551351351</v>
      </c>
      <c r="M182" s="27" t="n">
        <f aca="false">M20*M21+M23*Hipótesis!$F$23</f>
        <v>682.107046621622</v>
      </c>
      <c r="N182" s="27" t="n">
        <f aca="false">N20*N21+N23*Hipótesis!$F$23</f>
        <v>802.748541891892</v>
      </c>
      <c r="O182" s="27" t="n">
        <f aca="false">O20*O21+O23*Hipótesis!$F$23</f>
        <v>923.390037162162</v>
      </c>
      <c r="P182" s="27" t="n">
        <f aca="false">P20*P21+P23*Hipótesis!$F$23</f>
        <v>1031.52528243243</v>
      </c>
      <c r="Q182" s="27" t="n">
        <f aca="false">Q20*Q21+Q23*Hipótesis!$F$23</f>
        <v>1139.6605277027</v>
      </c>
      <c r="R182" s="27" t="n">
        <f aca="false">R20*R21+R23*Hipótesis!$F$23</f>
        <v>1247.79577297297</v>
      </c>
      <c r="S182" s="27" t="n">
        <f aca="false">S20*S21+S23*Hipótesis!$F$23</f>
        <v>1355.93101824324</v>
      </c>
      <c r="T182" s="27" t="n">
        <f aca="false">T20*T21+T23*Hipótesis!$F$23</f>
        <v>1464.06626351351</v>
      </c>
      <c r="U182" s="27" t="n">
        <f aca="false">U20*U21+U23*Hipótesis!$F$23</f>
        <v>1572.20150878378</v>
      </c>
      <c r="V182" s="27" t="n">
        <f aca="false">V20*V21+V23*Hipótesis!$F$23</f>
        <v>1680.33675405405</v>
      </c>
      <c r="W182" s="27" t="n">
        <f aca="false">W20*W21+W23*Hipótesis!$F$23</f>
        <v>1788.47199932432</v>
      </c>
      <c r="X182" s="27" t="n">
        <f aca="false">X20*X21+X23*Hipótesis!$F$23</f>
        <v>1853.10724459459</v>
      </c>
      <c r="Y182" s="27" t="n">
        <f aca="false">Y20*Y21+Y23*Hipótesis!$F$23</f>
        <v>1917.74248986486</v>
      </c>
      <c r="Z182" s="27" t="n">
        <f aca="false">Z20*Z21+Z23*Hipótesis!$F$23</f>
        <v>1964.97773513514</v>
      </c>
      <c r="AA182" s="27" t="n">
        <f aca="false">AA20*AA21+AA23*Hipótesis!$F$23</f>
        <v>2019.67117702703</v>
      </c>
      <c r="AB182" s="27" t="n">
        <f aca="false">AB20*AB21+AB23*Hipótesis!$F$23</f>
        <v>2074.36461891892</v>
      </c>
      <c r="AC182" s="27" t="n">
        <f aca="false">AC20*AC21+AC23*Hipótesis!$F$23</f>
        <v>2129.05806081081</v>
      </c>
      <c r="AD182" s="27" t="n">
        <f aca="false">AD20*AD21+AD23*Hipótesis!$F$23</f>
        <v>2183.7515027027</v>
      </c>
      <c r="AE182" s="27" t="n">
        <f aca="false">AE20*AE21+AE23*Hipótesis!$F$23</f>
        <v>2238.44494459459</v>
      </c>
      <c r="AF182" s="27" t="n">
        <f aca="false">AF20*AF21+AF23*Hipótesis!$F$23</f>
        <v>2293.13838648649</v>
      </c>
      <c r="AG182" s="27" t="n">
        <f aca="false">AG20*AG21+AG23*Hipótesis!$F$23</f>
        <v>2347.83182837838</v>
      </c>
      <c r="AH182" s="27" t="n">
        <f aca="false">AH20*AH21+AH23*Hipótesis!$F$23</f>
        <v>2402.52527027027</v>
      </c>
      <c r="AI182" s="27" t="n">
        <f aca="false">AI20*AI21+AI23*Hipótesis!$F$23</f>
        <v>2457.21871216216</v>
      </c>
      <c r="AJ182" s="27" t="n">
        <f aca="false">AJ20*AJ21+AJ23*Hipótesis!$F$23</f>
        <v>2511.91215405405</v>
      </c>
      <c r="AK182" s="27" t="n">
        <f aca="false">AK20*AK21+AK23*Hipótesis!$F$23</f>
        <v>2566.60559594595</v>
      </c>
      <c r="AL182" s="27" t="n">
        <f aca="false">AL20*AL21+AL23*Hipótesis!$F$23</f>
        <v>2621.29903783784</v>
      </c>
      <c r="AM182" s="27" t="n">
        <f aca="false">AM20*AM21+AM23*Hipótesis!$F$23</f>
        <v>2675.99247972973</v>
      </c>
      <c r="AN182" s="27" t="n">
        <f aca="false">AN20*AN21+AN23*Hipótesis!$F$23</f>
        <v>2730.68592162162</v>
      </c>
      <c r="AO182" s="27" t="n">
        <f aca="false">AO20*AO21+AO23*Hipótesis!$F$23</f>
        <v>2785.37936351351</v>
      </c>
      <c r="AP182" s="27" t="n">
        <f aca="false">AP20*AP21+AP23*Hipótesis!$F$23</f>
        <v>2840.07280540541</v>
      </c>
      <c r="AQ182" s="27" t="n">
        <f aca="false">AQ20*AQ21+AQ23*Hipótesis!$F$23</f>
        <v>2894.7662472973</v>
      </c>
      <c r="AR182" s="27" t="n">
        <f aca="false">AR20*AR21+AR23*Hipótesis!$F$23</f>
        <v>2949.45968918919</v>
      </c>
      <c r="AS182" s="27" t="n">
        <f aca="false">AS20*AS21+AS23*Hipótesis!$F$23</f>
        <v>2949.45968918919</v>
      </c>
      <c r="AT182" s="27" t="n">
        <f aca="false">AT20*AT21+AT23*Hipótesis!$F$23</f>
        <v>2949.45968918919</v>
      </c>
      <c r="AU182" s="27" t="n">
        <f aca="false">AU20*AU21+AU23*Hipótesis!$F$23</f>
        <v>2949.45968918919</v>
      </c>
      <c r="AV182" s="27" t="n">
        <f aca="false">AV20*AV21+AV23*Hipótesis!$F$23</f>
        <v>2949.45968918919</v>
      </c>
      <c r="AW182" s="27" t="n">
        <f aca="false">AW20*AW21+AW23*Hipótesis!$F$23</f>
        <v>2949.45968918919</v>
      </c>
      <c r="AX182" s="27" t="n">
        <f aca="false">AX20*AX21+AX23*Hipótesis!$F$23</f>
        <v>2949.45968918919</v>
      </c>
      <c r="AY182" s="27" t="n">
        <f aca="false">AY20*AY21+AY23*Hipótesis!$F$23</f>
        <v>2949.45968918919</v>
      </c>
      <c r="AZ182" s="27" t="n">
        <f aca="false">AZ20*AZ21+AZ23*Hipótesis!$F$23</f>
        <v>2949.45968918919</v>
      </c>
      <c r="BA182" s="27" t="n">
        <f aca="false">BA20*BA21+BA23*Hipótesis!$F$23</f>
        <v>2949.45968918919</v>
      </c>
      <c r="BB182" s="27" t="n">
        <f aca="false">BB20*BB21+BB23*Hipótesis!$F$23</f>
        <v>2949.45968918919</v>
      </c>
      <c r="BC182" s="27" t="n">
        <f aca="false">BC20*BC21+BC23*Hipótesis!$F$23</f>
        <v>2949.45968918919</v>
      </c>
      <c r="BD182" s="27" t="n">
        <f aca="false">BD20*BD21+BD23*Hipótesis!$F$23</f>
        <v>2949.45968918919</v>
      </c>
      <c r="BE182" s="27" t="n">
        <f aca="false">BE20*BE21+BE23*Hipótesis!$F$23</f>
        <v>2949.45968918919</v>
      </c>
      <c r="BF182" s="27" t="n">
        <f aca="false">BF20*BF21+BF23*Hipótesis!$F$23</f>
        <v>2949.45968918919</v>
      </c>
      <c r="BG182" s="27" t="n">
        <f aca="false">BG20*BG21+BG23*Hipótesis!$F$23</f>
        <v>2949.45968918919</v>
      </c>
      <c r="BH182" s="27" t="n">
        <f aca="false">BH20*BH21+BH23*Hipótesis!$F$23</f>
        <v>2949.45968918919</v>
      </c>
      <c r="BI182" s="27" t="n">
        <f aca="false">BI20*BI21+BI23*Hipótesis!$F$23</f>
        <v>2949.45968918919</v>
      </c>
      <c r="BJ182" s="27" t="n">
        <f aca="false">BJ20*BJ21+BJ23*Hipótesis!$F$23</f>
        <v>2949.45968918919</v>
      </c>
      <c r="BK182" s="27" t="n">
        <f aca="false">BK20*BK21+BK23*Hipótesis!$F$23</f>
        <v>2949.45968918919</v>
      </c>
      <c r="BL182" s="27" t="n">
        <f aca="false">BL20*BL21+BL23*Hipótesis!$F$23</f>
        <v>2949.45968918919</v>
      </c>
      <c r="BM182" s="27" t="n">
        <f aca="false">BM20*BM21+BM23*Hipótesis!$F$23</f>
        <v>2949.45968918919</v>
      </c>
      <c r="BN182" s="27" t="n">
        <f aca="false">BN20*BN21+BN23*Hipótesis!$F$23</f>
        <v>2949.45968918919</v>
      </c>
      <c r="BO182" s="27" t="n">
        <f aca="false">BO20*BO21+BO23*Hipótesis!$F$23</f>
        <v>2949.45968918919</v>
      </c>
      <c r="BP182" s="27" t="n">
        <f aca="false">BP20*BP21+BP23*Hipótesis!$F$23</f>
        <v>2949.45968918919</v>
      </c>
      <c r="BQ182" s="27" t="n">
        <f aca="false">BQ20*BQ21+BQ23*Hipótesis!$F$23</f>
        <v>2949.45968918919</v>
      </c>
      <c r="BR182" s="27" t="n">
        <f aca="false">BR20*BR21+BR23*Hipótesis!$F$23</f>
        <v>2949.45968918919</v>
      </c>
      <c r="BS182" s="27" t="n">
        <f aca="false">BS20*BS21+BS23*Hipótesis!$F$23</f>
        <v>2949.45968918919</v>
      </c>
      <c r="BT182" s="27" t="n">
        <f aca="false">BT20*BT21+BT23*Hipótesis!$F$23</f>
        <v>2949.45968918919</v>
      </c>
      <c r="BU182" s="27" t="n">
        <f aca="false">BU20*BU21+BU23*Hipótesis!$F$23</f>
        <v>2949.45968918919</v>
      </c>
      <c r="BV182" s="27" t="n">
        <f aca="false">BV20*BV21+BV23*Hipótesis!$F$23</f>
        <v>2949.45968918919</v>
      </c>
      <c r="BW182" s="27" t="n">
        <f aca="false">BW20*BW21+BW23*Hipótesis!$F$23</f>
        <v>2949.45968918919</v>
      </c>
      <c r="BX182" s="27" t="n">
        <f aca="false">BX20*BX21+BX23*Hipótesis!$F$23</f>
        <v>2949.45968918919</v>
      </c>
      <c r="BY182" s="27" t="n">
        <f aca="false">BY20*BY21+BY23*Hipótesis!$F$23</f>
        <v>2949.45968918919</v>
      </c>
      <c r="BZ182" s="27" t="n">
        <f aca="false">BZ20*BZ21+BZ23*Hipótesis!$F$23</f>
        <v>2949.45968918919</v>
      </c>
      <c r="CA182" s="27" t="n">
        <f aca="false">CA20*CA21+CA23*Hipótesis!$F$23</f>
        <v>2949.45968918919</v>
      </c>
      <c r="CB182" s="27" t="n">
        <f aca="false">CB20*CB21+CB23*Hipótesis!$F$23</f>
        <v>2949.45968918919</v>
      </c>
      <c r="CC182" s="27" t="n">
        <f aca="false">CC20*CC21+CC23*Hipótesis!$F$23</f>
        <v>2949.45968918919</v>
      </c>
      <c r="CD182" s="27" t="n">
        <f aca="false">CD20*CD21+CD23*Hipótesis!$F$23</f>
        <v>2949.45968918919</v>
      </c>
      <c r="CE182" s="27" t="n">
        <f aca="false">CE20*CE21+CE23*Hipótesis!$F$23</f>
        <v>2949.45968918919</v>
      </c>
      <c r="CF182" s="27" t="n">
        <f aca="false">CF20*CF21+CF23*Hipótesis!$F$23</f>
        <v>2949.45968918919</v>
      </c>
      <c r="CG182" s="27" t="n">
        <f aca="false">CG20*CG21+CG23*Hipótesis!$F$23</f>
        <v>2949.45968918919</v>
      </c>
      <c r="CH182" s="27" t="n">
        <f aca="false">CH20*CH21+CH23*Hipótesis!$F$23</f>
        <v>2949.45968918919</v>
      </c>
    </row>
    <row r="183" customFormat="false" ht="15" hidden="false" customHeight="false" outlineLevel="0" collapsed="false">
      <c r="A183" s="1" t="s">
        <v>844</v>
      </c>
      <c r="C183" s="26" t="n">
        <f aca="false">IFERROR(C181/(C181+C182),0)</f>
        <v>0.3756199927783</v>
      </c>
      <c r="D183" s="26" t="n">
        <f aca="false">IFERROR(D181/(D181+D182),0)</f>
        <v>0.352455155658768</v>
      </c>
      <c r="E183" s="26" t="n">
        <f aca="false">IFERROR(E181/(E181+E182),0)</f>
        <v>0.228161764564534</v>
      </c>
      <c r="F183" s="26" t="n">
        <f aca="false">IFERROR(F181/(F181+F182),0)</f>
        <v>0.210966169631071</v>
      </c>
      <c r="G183" s="26" t="n">
        <f aca="false">IFERROR(G181/(G181+G182),0)</f>
        <v>0.0371797790171048</v>
      </c>
      <c r="H183" s="26" t="n">
        <f aca="false">IFERROR(H181/(H181+H182),0)</f>
        <v>0.177022612502004</v>
      </c>
      <c r="I183" s="26" t="n">
        <f aca="false">IFERROR(I181/(I181+I182),0)</f>
        <v>0.160186629866264</v>
      </c>
      <c r="J183" s="26" t="n">
        <f aca="false">IFERROR(J181/(J181+J182),0)</f>
        <v>0.134444560834603</v>
      </c>
      <c r="K183" s="26" t="n">
        <f aca="false">IFERROR(K181/(K181+K182),0)</f>
        <v>0.119507416586138</v>
      </c>
      <c r="L183" s="26" t="n">
        <f aca="false">IFERROR(L181/(L181+L182),0)</f>
        <v>0.10975239300878</v>
      </c>
      <c r="M183" s="26" t="n">
        <f aca="false">IFERROR(M181/(M181+M182),0)</f>
        <v>0.107361725361624</v>
      </c>
      <c r="N183" s="26" t="n">
        <f aca="false">IFERROR(N181/(N181+N182),0)</f>
        <v>0.100306719276817</v>
      </c>
      <c r="O183" s="26" t="n">
        <f aca="false">IFERROR(O181/(O181+O182),0)</f>
        <v>0.0950231585258671</v>
      </c>
      <c r="P183" s="26" t="n">
        <f aca="false">IFERROR(P181/(P181+P182),0)</f>
        <v>0.091919247031628</v>
      </c>
      <c r="Q183" s="26" t="n">
        <f aca="false">IFERROR(Q181/(Q181+Q182),0)</f>
        <v>0.0893886990462888</v>
      </c>
      <c r="R183" s="26" t="n">
        <f aca="false">IFERROR(R181/(R181+R182),0)</f>
        <v>0.0872860773162958</v>
      </c>
      <c r="S183" s="26" t="n">
        <f aca="false">IFERROR(S181/(S181+S182),0)</f>
        <v>0.0138320734665828</v>
      </c>
      <c r="T183" s="26" t="n">
        <f aca="false">IFERROR(T181/(T181+T182),0)</f>
        <v>0.0839932302168576</v>
      </c>
      <c r="U183" s="26" t="n">
        <f aca="false">IFERROR(U181/(U181+U182),0)</f>
        <v>0.08267993280134</v>
      </c>
      <c r="V183" s="26" t="n">
        <f aca="false">IFERROR(V181/(V181+V182),0)</f>
        <v>0.0815325916706259</v>
      </c>
      <c r="W183" s="26" t="n">
        <f aca="false">IFERROR(W181/(W181+W182),0)</f>
        <v>0.0805216193751146</v>
      </c>
      <c r="X183" s="26" t="n">
        <f aca="false">IFERROR(X181/(X181+X182),0)</f>
        <v>0.0813411346043995</v>
      </c>
      <c r="Y183" s="26" t="n">
        <f aca="false">IFERROR(Y181/(Y181+Y182),0)</f>
        <v>0.0821040928906806</v>
      </c>
      <c r="Z183" s="26" t="n">
        <f aca="false">IFERROR(Z181/(Z181+Z182),0)</f>
        <v>0.0834882703851499</v>
      </c>
      <c r="AA183" s="26" t="n">
        <f aca="false">IFERROR(AA181/(AA181+AA182),0)</f>
        <v>0.0814114397399286</v>
      </c>
      <c r="AB183" s="26" t="n">
        <f aca="false">IFERROR(AB181/(AB181+AB182),0)</f>
        <v>0.0794354264951893</v>
      </c>
      <c r="AC183" s="26" t="n">
        <f aca="false">IFERROR(AC181/(AC181+AC182),0)</f>
        <v>0.0775530635108579</v>
      </c>
      <c r="AD183" s="26" t="n">
        <f aca="false">IFERROR(AD181/(AD181+AD182),0)</f>
        <v>0.0757578472733199</v>
      </c>
      <c r="AE183" s="26" t="n">
        <f aca="false">IFERROR(AE181/(AE181+AE182),0)</f>
        <v>0.0118525465018498</v>
      </c>
      <c r="AF183" s="26" t="n">
        <f aca="false">IFERROR(AF181/(AF181+AF182),0)</f>
        <v>0.0724057186549136</v>
      </c>
      <c r="AG183" s="26" t="n">
        <f aca="false">IFERROR(AG181/(AG181+AG182),0)</f>
        <v>0.0708384900552015</v>
      </c>
      <c r="AH183" s="26" t="n">
        <f aca="false">IFERROR(AH181/(AH181+AH182),0)</f>
        <v>0.0693376696648393</v>
      </c>
      <c r="AI183" s="26" t="n">
        <f aca="false">IFERROR(AI181/(AI181+AI182),0)</f>
        <v>0.0678991241795116</v>
      </c>
      <c r="AJ183" s="26" t="n">
        <f aca="false">IFERROR(AJ181/(AJ181+AJ182),0)</f>
        <v>0.0665190563369616</v>
      </c>
      <c r="AK183" s="26" t="n">
        <f aca="false">IFERROR(AK181/(AK181+AK182),0)</f>
        <v>0.0651939714465636</v>
      </c>
      <c r="AL183" s="26" t="n">
        <f aca="false">IFERROR(AL181/(AL181+AL182),0)</f>
        <v>0.0639206478412227</v>
      </c>
      <c r="AM183" s="26" t="n">
        <f aca="false">IFERROR(AM181/(AM181+AM182),0)</f>
        <v>0.062696110725618</v>
      </c>
      <c r="AN183" s="26" t="n">
        <f aca="false">IFERROR(AN181/(AN181+AN182),0)</f>
        <v>0.0615176089739004</v>
      </c>
      <c r="AO183" s="26" t="n">
        <f aca="false">IFERROR(AO181/(AO181+AO182),0)</f>
        <v>0.0603825944959191</v>
      </c>
      <c r="AP183" s="26" t="n">
        <f aca="false">IFERROR(AP181/(AP181+AP182),0)</f>
        <v>0.059288703846255</v>
      </c>
      <c r="AQ183" s="26" t="n">
        <f aca="false">IFERROR(AQ181/(AQ181+AQ182),0)</f>
        <v>0.00918995175551275</v>
      </c>
      <c r="AR183" s="26" t="n">
        <f aca="false">IFERROR(AR181/(AR181+AR182),0)</f>
        <v>0.0572156666319557</v>
      </c>
      <c r="AS183" s="26" t="n">
        <f aca="false">IFERROR(AS181/(AS181+AS182),0)</f>
        <v>0.0572156666319557</v>
      </c>
      <c r="AT183" s="26" t="n">
        <f aca="false">IFERROR(AT181/(AT181+AT182),0)</f>
        <v>0.0572156666319557</v>
      </c>
      <c r="AU183" s="26" t="n">
        <f aca="false">IFERROR(AU181/(AU181+AU182),0)</f>
        <v>0.0572156666319557</v>
      </c>
      <c r="AV183" s="26" t="n">
        <f aca="false">IFERROR(AV181/(AV181+AV182),0)</f>
        <v>0.0572156666319557</v>
      </c>
      <c r="AW183" s="26" t="n">
        <f aca="false">IFERROR(AW181/(AW181+AW182),0)</f>
        <v>0.0572156666319557</v>
      </c>
      <c r="AX183" s="26" t="n">
        <f aca="false">IFERROR(AX181/(AX181+AX182),0)</f>
        <v>0.0572156666319557</v>
      </c>
      <c r="AY183" s="26" t="n">
        <f aca="false">IFERROR(AY181/(AY181+AY182),0)</f>
        <v>0.0572156666319557</v>
      </c>
      <c r="AZ183" s="26" t="n">
        <f aca="false">IFERROR(AZ181/(AZ181+AZ182),0)</f>
        <v>0.0572156666319557</v>
      </c>
      <c r="BA183" s="26" t="n">
        <f aca="false">IFERROR(BA181/(BA181+BA182),0)</f>
        <v>0.0572156666319557</v>
      </c>
      <c r="BB183" s="26" t="n">
        <f aca="false">IFERROR(BB181/(BB181+BB182),0)</f>
        <v>0.0572156666319557</v>
      </c>
      <c r="BC183" s="26" t="n">
        <f aca="false">IFERROR(BC181/(BC181+BC182),0)</f>
        <v>0.00902107478102653</v>
      </c>
      <c r="BD183" s="26" t="n">
        <f aca="false">IFERROR(BD181/(BD181+BD182),0)</f>
        <v>0.0572156666319557</v>
      </c>
      <c r="BE183" s="26" t="n">
        <f aca="false">IFERROR(BE181/(BE181+BE182),0)</f>
        <v>0.0572156666319557</v>
      </c>
      <c r="BF183" s="26" t="n">
        <f aca="false">IFERROR(BF181/(BF181+BF182),0)</f>
        <v>0.0572156666319557</v>
      </c>
      <c r="BG183" s="26" t="n">
        <f aca="false">IFERROR(BG181/(BG181+BG182),0)</f>
        <v>0.0572156666319557</v>
      </c>
      <c r="BH183" s="26" t="n">
        <f aca="false">IFERROR(BH181/(BH181+BH182),0)</f>
        <v>0.0572156666319557</v>
      </c>
      <c r="BI183" s="26" t="n">
        <f aca="false">IFERROR(BI181/(BI181+BI182),0)</f>
        <v>0.0572156666319557</v>
      </c>
      <c r="BJ183" s="26" t="n">
        <f aca="false">IFERROR(BJ181/(BJ181+BJ182),0)</f>
        <v>0.0572156666319557</v>
      </c>
      <c r="BK183" s="26" t="n">
        <f aca="false">IFERROR(BK181/(BK181+BK182),0)</f>
        <v>0.0572156666319557</v>
      </c>
      <c r="BL183" s="26" t="n">
        <f aca="false">IFERROR(BL181/(BL181+BL182),0)</f>
        <v>0.0572156666319557</v>
      </c>
      <c r="BM183" s="26" t="n">
        <f aca="false">IFERROR(BM181/(BM181+BM182),0)</f>
        <v>0.0572156666319557</v>
      </c>
      <c r="BN183" s="26" t="n">
        <f aca="false">IFERROR(BN181/(BN181+BN182),0)</f>
        <v>0.0572156666319557</v>
      </c>
      <c r="BO183" s="26" t="n">
        <f aca="false">IFERROR(BO181/(BO181+BO182),0)</f>
        <v>0.00902107478102653</v>
      </c>
      <c r="BP183" s="26" t="n">
        <f aca="false">IFERROR(BP181/(BP181+BP182),0)</f>
        <v>0.0572156666319557</v>
      </c>
      <c r="BQ183" s="26" t="n">
        <f aca="false">IFERROR(BQ181/(BQ181+BQ182),0)</f>
        <v>0.0572156666319557</v>
      </c>
      <c r="BR183" s="26" t="n">
        <f aca="false">IFERROR(BR181/(BR181+BR182),0)</f>
        <v>0.0572156666319557</v>
      </c>
      <c r="BS183" s="26" t="n">
        <f aca="false">IFERROR(BS181/(BS181+BS182),0)</f>
        <v>0.0572156666319557</v>
      </c>
      <c r="BT183" s="26" t="n">
        <f aca="false">IFERROR(BT181/(BT181+BT182),0)</f>
        <v>0.0572156666319557</v>
      </c>
      <c r="BU183" s="26" t="n">
        <f aca="false">IFERROR(BU181/(BU181+BU182),0)</f>
        <v>0.0572156666319557</v>
      </c>
      <c r="BV183" s="26" t="n">
        <f aca="false">IFERROR(BV181/(BV181+BV182),0)</f>
        <v>0.0572156666319557</v>
      </c>
      <c r="BW183" s="26" t="n">
        <f aca="false">IFERROR(BW181/(BW181+BW182),0)</f>
        <v>0.0572156666319557</v>
      </c>
      <c r="BX183" s="26" t="n">
        <f aca="false">IFERROR(BX181/(BX181+BX182),0)</f>
        <v>0.0572156666319557</v>
      </c>
      <c r="BY183" s="26" t="n">
        <f aca="false">IFERROR(BY181/(BY181+BY182),0)</f>
        <v>0.0572156666319557</v>
      </c>
      <c r="BZ183" s="26" t="n">
        <f aca="false">IFERROR(BZ181/(BZ181+BZ182),0)</f>
        <v>0.0572156666319557</v>
      </c>
      <c r="CA183" s="26" t="n">
        <f aca="false">IFERROR(CA181/(CA181+CA182),0)</f>
        <v>0.00902107478102653</v>
      </c>
      <c r="CB183" s="26" t="n">
        <f aca="false">IFERROR(CB181/(CB181+CB182),0)</f>
        <v>0.0572156666319557</v>
      </c>
      <c r="CC183" s="26" t="n">
        <f aca="false">IFERROR(CC181/(CC181+CC182),0)</f>
        <v>0.0572156666319557</v>
      </c>
      <c r="CD183" s="26" t="n">
        <f aca="false">IFERROR(CD181/(CD181+CD182),0)</f>
        <v>0.0572156666319557</v>
      </c>
      <c r="CE183" s="26" t="n">
        <f aca="false">IFERROR(CE181/(CE181+CE182),0)</f>
        <v>0.0572156666319557</v>
      </c>
      <c r="CF183" s="26" t="n">
        <f aca="false">IFERROR(CF181/(CF181+CF182),0)</f>
        <v>0.0572156666319557</v>
      </c>
      <c r="CG183" s="26" t="n">
        <f aca="false">IFERROR(CG181/(CG181+CG182),0)</f>
        <v>0.0572156666319557</v>
      </c>
      <c r="CH183" s="26" t="n">
        <f aca="false">IFERROR(CH181/(CH181+CH182),0)</f>
        <v>0.0572156666319557</v>
      </c>
    </row>
    <row r="184" customFormat="false" ht="15" hidden="false" customHeight="false" outlineLevel="0" collapsed="false">
      <c r="A184" s="1" t="s">
        <v>845</v>
      </c>
      <c r="C184" s="28" t="n">
        <f aca="false">C16*C21*Hipótesis!$F$16</f>
        <v>1033.125</v>
      </c>
      <c r="D184" s="28" t="n">
        <f aca="false">D16*D21*Hipótesis!$F$16</f>
        <v>2144.55</v>
      </c>
      <c r="E184" s="28" t="n">
        <f aca="false">E16*E21*Hipótesis!$F$16</f>
        <v>4457.6625</v>
      </c>
      <c r="F184" s="28" t="n">
        <f aca="false">F16*F21*Hipótesis!$F$16</f>
        <v>5737.65</v>
      </c>
      <c r="G184" s="28" t="n">
        <f aca="false">G16*G21*Hipótesis!$F$16</f>
        <v>6939.3375</v>
      </c>
      <c r="H184" s="28" t="n">
        <f aca="false">H16*H21*Hipótesis!$F$16</f>
        <v>8858.775</v>
      </c>
      <c r="I184" s="28" t="n">
        <f aca="false">I16*I21*Hipótesis!$F$16</f>
        <v>10778.2125</v>
      </c>
      <c r="J184" s="28" t="n">
        <f aca="false">J16*J21*Hipótesis!$F$16</f>
        <v>12697.65</v>
      </c>
      <c r="K184" s="28" t="n">
        <f aca="false">K16*K21*Hipótesis!$F$16</f>
        <v>14617.0875</v>
      </c>
      <c r="L184" s="28" t="n">
        <f aca="false">L16*L21*Hipótesis!$F$16</f>
        <v>16536.525</v>
      </c>
      <c r="M184" s="28" t="n">
        <f aca="false">M16*M21*Hipótesis!$F$16</f>
        <v>17254.275</v>
      </c>
      <c r="N184" s="28" t="n">
        <f aca="false">N16*N21*Hipótesis!$F$16</f>
        <v>18950.775</v>
      </c>
      <c r="O184" s="28" t="n">
        <f aca="false">O16*O21*Hipótesis!$F$16</f>
        <v>20647.275</v>
      </c>
      <c r="P184" s="28" t="n">
        <f aca="false">P16*P21*Hipótesis!$F$16</f>
        <v>21991.425</v>
      </c>
      <c r="Q184" s="28" t="n">
        <f aca="false">Q16*Q21*Hipótesis!$F$16</f>
        <v>23335.575</v>
      </c>
      <c r="R184" s="28" t="n">
        <f aca="false">R16*R21*Hipótesis!$F$16</f>
        <v>24679.725</v>
      </c>
      <c r="S184" s="28" t="n">
        <f aca="false">S16*S21*Hipótesis!$F$16</f>
        <v>26023.875</v>
      </c>
      <c r="T184" s="28" t="n">
        <f aca="false">T16*T21*Hipótesis!$F$16</f>
        <v>27368.025</v>
      </c>
      <c r="U184" s="28" t="n">
        <f aca="false">U16*U21*Hipótesis!$F$16</f>
        <v>28712.175</v>
      </c>
      <c r="V184" s="28" t="n">
        <f aca="false">V16*V21*Hipótesis!$F$16</f>
        <v>30056.325</v>
      </c>
      <c r="W184" s="28" t="n">
        <f aca="false">W16*W21*Hipótesis!$F$16</f>
        <v>31400.475</v>
      </c>
      <c r="X184" s="28" t="n">
        <f aca="false">X16*X21*Hipótesis!$F$16</f>
        <v>31765.875</v>
      </c>
      <c r="Y184" s="28" t="n">
        <f aca="false">Y16*Y21*Hipótesis!$F$16</f>
        <v>32131.275</v>
      </c>
      <c r="Z184" s="28" t="n">
        <f aca="false">Z16*Z21*Hipótesis!$F$16</f>
        <v>32131.275</v>
      </c>
      <c r="AA184" s="28" t="n">
        <f aca="false">AA16*AA21*Hipótesis!$F$16</f>
        <v>32131.275</v>
      </c>
      <c r="AB184" s="28" t="n">
        <f aca="false">AB16*AB21*Hipótesis!$F$16</f>
        <v>32131.275</v>
      </c>
      <c r="AC184" s="28" t="n">
        <f aca="false">AC16*AC21*Hipótesis!$F$16</f>
        <v>32131.275</v>
      </c>
      <c r="AD184" s="28" t="n">
        <f aca="false">AD16*AD21*Hipótesis!$F$16</f>
        <v>32131.275</v>
      </c>
      <c r="AE184" s="28" t="n">
        <f aca="false">AE16*AE21*Hipótesis!$F$16</f>
        <v>32131.275</v>
      </c>
      <c r="AF184" s="28" t="n">
        <f aca="false">AF16*AF21*Hipótesis!$F$16</f>
        <v>32131.275</v>
      </c>
      <c r="AG184" s="28" t="n">
        <f aca="false">AG16*AG21*Hipótesis!$F$16</f>
        <v>32131.275</v>
      </c>
      <c r="AH184" s="28" t="n">
        <f aca="false">AH16*AH21*Hipótesis!$F$16</f>
        <v>32131.275</v>
      </c>
      <c r="AI184" s="28" t="n">
        <f aca="false">AI16*AI21*Hipótesis!$F$16</f>
        <v>32131.275</v>
      </c>
      <c r="AJ184" s="28" t="n">
        <f aca="false">AJ16*AJ21*Hipótesis!$F$16</f>
        <v>32131.275</v>
      </c>
      <c r="AK184" s="28" t="n">
        <f aca="false">AK16*AK21*Hipótesis!$F$16</f>
        <v>32131.275</v>
      </c>
      <c r="AL184" s="28" t="n">
        <f aca="false">AL16*AL21*Hipótesis!$F$16</f>
        <v>32131.275</v>
      </c>
      <c r="AM184" s="28" t="n">
        <f aca="false">AM16*AM21*Hipótesis!$F$16</f>
        <v>32131.275</v>
      </c>
      <c r="AN184" s="28" t="n">
        <f aca="false">AN16*AN21*Hipótesis!$F$16</f>
        <v>32131.275</v>
      </c>
      <c r="AO184" s="28" t="n">
        <f aca="false">AO16*AO21*Hipótesis!$F$16</f>
        <v>32131.275</v>
      </c>
      <c r="AP184" s="28" t="n">
        <f aca="false">AP16*AP21*Hipótesis!$F$16</f>
        <v>32131.275</v>
      </c>
      <c r="AQ184" s="28" t="n">
        <f aca="false">AQ16*AQ21*Hipótesis!$F$16</f>
        <v>32131.275</v>
      </c>
      <c r="AR184" s="28" t="n">
        <f aca="false">AR16*AR21*Hipótesis!$F$16</f>
        <v>32131.275</v>
      </c>
      <c r="AS184" s="28" t="n">
        <f aca="false">AS16*AS21*Hipótesis!$F$16</f>
        <v>32131.275</v>
      </c>
      <c r="AT184" s="28" t="n">
        <f aca="false">AT16*AT21*Hipótesis!$F$16</f>
        <v>32131.275</v>
      </c>
      <c r="AU184" s="28" t="n">
        <f aca="false">AU16*AU21*Hipótesis!$F$16</f>
        <v>32131.275</v>
      </c>
      <c r="AV184" s="28" t="n">
        <f aca="false">AV16*AV21*Hipótesis!$F$16</f>
        <v>32131.275</v>
      </c>
      <c r="AW184" s="28" t="n">
        <f aca="false">AW16*AW21*Hipótesis!$F$16</f>
        <v>32131.275</v>
      </c>
      <c r="AX184" s="28" t="n">
        <f aca="false">AX16*AX21*Hipótesis!$F$16</f>
        <v>32131.275</v>
      </c>
      <c r="AY184" s="28" t="n">
        <f aca="false">AY16*AY21*Hipótesis!$F$16</f>
        <v>32131.275</v>
      </c>
      <c r="AZ184" s="28" t="n">
        <f aca="false">AZ16*AZ21*Hipótesis!$F$16</f>
        <v>32131.275</v>
      </c>
      <c r="BA184" s="28" t="n">
        <f aca="false">BA16*BA21*Hipótesis!$F$16</f>
        <v>32131.275</v>
      </c>
      <c r="BB184" s="28" t="n">
        <f aca="false">BB16*BB21*Hipótesis!$F$16</f>
        <v>32131.275</v>
      </c>
      <c r="BC184" s="28" t="n">
        <f aca="false">BC16*BC21*Hipótesis!$F$16</f>
        <v>32131.275</v>
      </c>
      <c r="BD184" s="28" t="n">
        <f aca="false">BD16*BD21*Hipótesis!$F$16</f>
        <v>32131.275</v>
      </c>
      <c r="BE184" s="28" t="n">
        <f aca="false">BE16*BE21*Hipótesis!$F$16</f>
        <v>32131.275</v>
      </c>
      <c r="BF184" s="28" t="n">
        <f aca="false">BF16*BF21*Hipótesis!$F$16</f>
        <v>32131.275</v>
      </c>
      <c r="BG184" s="28" t="n">
        <f aca="false">BG16*BG21*Hipótesis!$F$16</f>
        <v>32131.275</v>
      </c>
      <c r="BH184" s="28" t="n">
        <f aca="false">BH16*BH21*Hipótesis!$F$16</f>
        <v>32131.275</v>
      </c>
      <c r="BI184" s="28" t="n">
        <f aca="false">BI16*BI21*Hipótesis!$F$16</f>
        <v>32131.275</v>
      </c>
      <c r="BJ184" s="28" t="n">
        <f aca="false">BJ16*BJ21*Hipótesis!$F$16</f>
        <v>32131.275</v>
      </c>
      <c r="BK184" s="28" t="n">
        <f aca="false">BK16*BK21*Hipótesis!$F$16</f>
        <v>32131.275</v>
      </c>
      <c r="BL184" s="28" t="n">
        <f aca="false">BL16*BL21*Hipótesis!$F$16</f>
        <v>32131.275</v>
      </c>
      <c r="BM184" s="28" t="n">
        <f aca="false">BM16*BM21*Hipótesis!$F$16</f>
        <v>32131.275</v>
      </c>
      <c r="BN184" s="28" t="n">
        <f aca="false">BN16*BN21*Hipótesis!$F$16</f>
        <v>32131.275</v>
      </c>
      <c r="BO184" s="28" t="n">
        <f aca="false">BO16*BO21*Hipótesis!$F$16</f>
        <v>32131.275</v>
      </c>
      <c r="BP184" s="28" t="n">
        <f aca="false">BP16*BP21*Hipótesis!$F$16</f>
        <v>32131.275</v>
      </c>
      <c r="BQ184" s="28" t="n">
        <f aca="false">BQ16*BQ21*Hipótesis!$F$16</f>
        <v>32131.275</v>
      </c>
      <c r="BR184" s="28" t="n">
        <f aca="false">BR16*BR21*Hipótesis!$F$16</f>
        <v>32131.275</v>
      </c>
      <c r="BS184" s="28" t="n">
        <f aca="false">BS16*BS21*Hipótesis!$F$16</f>
        <v>32131.275</v>
      </c>
      <c r="BT184" s="28" t="n">
        <f aca="false">BT16*BT21*Hipótesis!$F$16</f>
        <v>32131.275</v>
      </c>
      <c r="BU184" s="28" t="n">
        <f aca="false">BU16*BU21*Hipótesis!$F$16</f>
        <v>32131.275</v>
      </c>
      <c r="BV184" s="28" t="n">
        <f aca="false">BV16*BV21*Hipótesis!$F$16</f>
        <v>32131.275</v>
      </c>
      <c r="BW184" s="28" t="n">
        <f aca="false">BW16*BW21*Hipótesis!$F$16</f>
        <v>32131.275</v>
      </c>
      <c r="BX184" s="28" t="n">
        <f aca="false">BX16*BX21*Hipótesis!$F$16</f>
        <v>32131.275</v>
      </c>
      <c r="BY184" s="28" t="n">
        <f aca="false">BY16*BY21*Hipótesis!$F$16</f>
        <v>32131.275</v>
      </c>
      <c r="BZ184" s="28" t="n">
        <f aca="false">BZ16*BZ21*Hipótesis!$F$16</f>
        <v>32131.275</v>
      </c>
      <c r="CA184" s="28" t="n">
        <f aca="false">CA16*CA21*Hipótesis!$F$16</f>
        <v>32131.275</v>
      </c>
      <c r="CB184" s="28" t="n">
        <f aca="false">CB16*CB21*Hipótesis!$F$16</f>
        <v>32131.275</v>
      </c>
      <c r="CC184" s="28" t="n">
        <f aca="false">CC16*CC21*Hipótesis!$F$16</f>
        <v>32131.275</v>
      </c>
      <c r="CD184" s="28" t="n">
        <f aca="false">CD16*CD21*Hipótesis!$F$16</f>
        <v>32131.275</v>
      </c>
      <c r="CE184" s="28" t="n">
        <f aca="false">CE16*CE21*Hipótesis!$F$16</f>
        <v>32131.275</v>
      </c>
      <c r="CF184" s="28" t="n">
        <f aca="false">CF16*CF21*Hipótesis!$F$16</f>
        <v>32131.275</v>
      </c>
      <c r="CG184" s="28" t="n">
        <f aca="false">CG16*CG21*Hipótesis!$F$16</f>
        <v>32131.275</v>
      </c>
      <c r="CH184" s="28" t="n">
        <f aca="false">CH16*CH21*Hipótesis!$F$16</f>
        <v>32131.275</v>
      </c>
    </row>
    <row r="185" customFormat="false" ht="15" hidden="false" customHeight="false" outlineLevel="0" collapsed="false">
      <c r="A185" s="1" t="s">
        <v>846</v>
      </c>
      <c r="C185" s="28" t="n">
        <f aca="false">C23*Hipótesis!$F$20</f>
        <v>0</v>
      </c>
      <c r="D185" s="28" t="n">
        <f aca="false">D23*Hipótesis!$F$20</f>
        <v>0</v>
      </c>
      <c r="E185" s="28" t="n">
        <f aca="false">E23*Hipótesis!$F$20</f>
        <v>0</v>
      </c>
      <c r="F185" s="28" t="n">
        <f aca="false">F23*Hipótesis!$F$20</f>
        <v>0</v>
      </c>
      <c r="G185" s="28" t="n">
        <f aca="false">G23*Hipótesis!$F$20</f>
        <v>0</v>
      </c>
      <c r="H185" s="28" t="n">
        <f aca="false">H23*Hipótesis!$F$20</f>
        <v>0</v>
      </c>
      <c r="I185" s="28" t="n">
        <f aca="false">I23*Hipótesis!$F$20</f>
        <v>114.551132027027</v>
      </c>
      <c r="J185" s="28" t="n">
        <f aca="false">J23*Hipótesis!$F$20</f>
        <v>2291.02264054054</v>
      </c>
      <c r="K185" s="28" t="n">
        <f aca="false">K23*Hipótesis!$F$20</f>
        <v>4467.49414905405</v>
      </c>
      <c r="L185" s="28" t="n">
        <f aca="false">L23*Hipótesis!$F$20</f>
        <v>6643.96565756757</v>
      </c>
      <c r="M185" s="28" t="n">
        <f aca="false">M23*Hipótesis!$F$20</f>
        <v>8820.43716608108</v>
      </c>
      <c r="N185" s="28" t="n">
        <f aca="false">N23*Hipótesis!$F$20</f>
        <v>10996.9086745946</v>
      </c>
      <c r="O185" s="28" t="n">
        <f aca="false">O23*Hipótesis!$F$20</f>
        <v>13173.3801831081</v>
      </c>
      <c r="P185" s="28" t="n">
        <f aca="false">P23*Hipótesis!$F$20</f>
        <v>15349.8516916216</v>
      </c>
      <c r="Q185" s="28" t="n">
        <f aca="false">Q23*Hipótesis!$F$20</f>
        <v>17526.3232001351</v>
      </c>
      <c r="R185" s="28" t="n">
        <f aca="false">R23*Hipótesis!$F$20</f>
        <v>19702.7947086487</v>
      </c>
      <c r="S185" s="28" t="n">
        <f aca="false">S23*Hipótesis!$F$20</f>
        <v>21879.2662171622</v>
      </c>
      <c r="T185" s="28" t="n">
        <f aca="false">T23*Hipótesis!$F$20</f>
        <v>24055.7377256757</v>
      </c>
      <c r="U185" s="28" t="n">
        <f aca="false">U23*Hipótesis!$F$20</f>
        <v>26232.2092341892</v>
      </c>
      <c r="V185" s="28" t="n">
        <f aca="false">V23*Hipótesis!$F$20</f>
        <v>28408.6807427027</v>
      </c>
      <c r="W185" s="28" t="n">
        <f aca="false">W23*Hipótesis!$F$20</f>
        <v>30585.1522512162</v>
      </c>
      <c r="X185" s="28" t="n">
        <f aca="false">X23*Hipótesis!$F$20</f>
        <v>32761.6237597297</v>
      </c>
      <c r="Y185" s="28" t="n">
        <f aca="false">Y23*Hipótesis!$F$20</f>
        <v>34938.0952682433</v>
      </c>
      <c r="Z185" s="28" t="n">
        <f aca="false">Z23*Hipótesis!$F$20</f>
        <v>37114.5667767568</v>
      </c>
      <c r="AA185" s="28" t="n">
        <f aca="false">AA23*Hipótesis!$F$20</f>
        <v>39634.6916813514</v>
      </c>
      <c r="AB185" s="28" t="n">
        <f aca="false">AB23*Hipótesis!$F$20</f>
        <v>42154.816585946</v>
      </c>
      <c r="AC185" s="28" t="n">
        <f aca="false">AC23*Hipótesis!$F$20</f>
        <v>44674.9414905406</v>
      </c>
      <c r="AD185" s="28" t="n">
        <f aca="false">AD23*Hipótesis!$F$20</f>
        <v>47195.0663951351</v>
      </c>
      <c r="AE185" s="28" t="n">
        <f aca="false">AE23*Hipótesis!$F$20</f>
        <v>49715.1912997297</v>
      </c>
      <c r="AF185" s="28" t="n">
        <f aca="false">AF23*Hipótesis!$F$20</f>
        <v>52235.3162043243</v>
      </c>
      <c r="AG185" s="28" t="n">
        <f aca="false">AG23*Hipótesis!$F$20</f>
        <v>54755.4411089189</v>
      </c>
      <c r="AH185" s="28" t="n">
        <f aca="false">AH23*Hipótesis!$F$20</f>
        <v>57275.5660135135</v>
      </c>
      <c r="AI185" s="28" t="n">
        <f aca="false">AI23*Hipótesis!$F$20</f>
        <v>59795.6909181081</v>
      </c>
      <c r="AJ185" s="28" t="n">
        <f aca="false">AJ23*Hipótesis!$F$20</f>
        <v>62315.8158227027</v>
      </c>
      <c r="AK185" s="28" t="n">
        <f aca="false">AK23*Hipótesis!$F$20</f>
        <v>64835.9407272973</v>
      </c>
      <c r="AL185" s="28" t="n">
        <f aca="false">AL23*Hipótesis!$F$20</f>
        <v>67356.0656318919</v>
      </c>
      <c r="AM185" s="28" t="n">
        <f aca="false">AM23*Hipótesis!$F$20</f>
        <v>69876.1905364865</v>
      </c>
      <c r="AN185" s="28" t="n">
        <f aca="false">AN23*Hipótesis!$F$20</f>
        <v>72396.3154410811</v>
      </c>
      <c r="AO185" s="28" t="n">
        <f aca="false">AO23*Hipótesis!$F$20</f>
        <v>74916.4403456757</v>
      </c>
      <c r="AP185" s="28" t="n">
        <f aca="false">AP23*Hipótesis!$F$20</f>
        <v>77436.5652502703</v>
      </c>
      <c r="AQ185" s="28" t="n">
        <f aca="false">AQ23*Hipótesis!$F$20</f>
        <v>79956.6901548649</v>
      </c>
      <c r="AR185" s="28" t="n">
        <f aca="false">AR23*Hipótesis!$F$20</f>
        <v>82476.8150594595</v>
      </c>
      <c r="AS185" s="28" t="n">
        <f aca="false">AS23*Hipótesis!$F$20</f>
        <v>82476.8150594595</v>
      </c>
      <c r="AT185" s="28" t="n">
        <f aca="false">AT23*Hipótesis!$F$20</f>
        <v>82476.8150594595</v>
      </c>
      <c r="AU185" s="28" t="n">
        <f aca="false">AU23*Hipótesis!$F$20</f>
        <v>82476.8150594595</v>
      </c>
      <c r="AV185" s="28" t="n">
        <f aca="false">AV23*Hipótesis!$F$20</f>
        <v>82476.8150594595</v>
      </c>
      <c r="AW185" s="28" t="n">
        <f aca="false">AW23*Hipótesis!$F$20</f>
        <v>82476.8150594595</v>
      </c>
      <c r="AX185" s="28" t="n">
        <f aca="false">AX23*Hipótesis!$F$20</f>
        <v>82476.8150594595</v>
      </c>
      <c r="AY185" s="28" t="n">
        <f aca="false">AY23*Hipótesis!$F$20</f>
        <v>82476.8150594595</v>
      </c>
      <c r="AZ185" s="28" t="n">
        <f aca="false">AZ23*Hipótesis!$F$20</f>
        <v>82476.8150594595</v>
      </c>
      <c r="BA185" s="28" t="n">
        <f aca="false">BA23*Hipótesis!$F$20</f>
        <v>82476.8150594595</v>
      </c>
      <c r="BB185" s="28" t="n">
        <f aca="false">BB23*Hipótesis!$F$20</f>
        <v>82476.8150594595</v>
      </c>
      <c r="BC185" s="28" t="n">
        <f aca="false">BC23*Hipótesis!$F$20</f>
        <v>82476.8150594595</v>
      </c>
      <c r="BD185" s="28" t="n">
        <f aca="false">BD23*Hipótesis!$F$20</f>
        <v>82476.8150594595</v>
      </c>
      <c r="BE185" s="28" t="n">
        <f aca="false">BE23*Hipótesis!$F$20</f>
        <v>82476.8150594595</v>
      </c>
      <c r="BF185" s="28" t="n">
        <f aca="false">BF23*Hipótesis!$F$20</f>
        <v>82476.8150594595</v>
      </c>
      <c r="BG185" s="28" t="n">
        <f aca="false">BG23*Hipótesis!$F$20</f>
        <v>82476.8150594595</v>
      </c>
      <c r="BH185" s="28" t="n">
        <f aca="false">BH23*Hipótesis!$F$20</f>
        <v>82476.8150594595</v>
      </c>
      <c r="BI185" s="28" t="n">
        <f aca="false">BI23*Hipótesis!$F$20</f>
        <v>82476.8150594595</v>
      </c>
      <c r="BJ185" s="28" t="n">
        <f aca="false">BJ23*Hipótesis!$F$20</f>
        <v>82476.8150594595</v>
      </c>
      <c r="BK185" s="28" t="n">
        <f aca="false">BK23*Hipótesis!$F$20</f>
        <v>82476.8150594595</v>
      </c>
      <c r="BL185" s="28" t="n">
        <f aca="false">BL23*Hipótesis!$F$20</f>
        <v>82476.8150594595</v>
      </c>
      <c r="BM185" s="28" t="n">
        <f aca="false">BM23*Hipótesis!$F$20</f>
        <v>82476.8150594595</v>
      </c>
      <c r="BN185" s="28" t="n">
        <f aca="false">BN23*Hipótesis!$F$20</f>
        <v>82476.8150594595</v>
      </c>
      <c r="BO185" s="28" t="n">
        <f aca="false">BO23*Hipótesis!$F$20</f>
        <v>82476.8150594595</v>
      </c>
      <c r="BP185" s="28" t="n">
        <f aca="false">BP23*Hipótesis!$F$20</f>
        <v>82476.8150594595</v>
      </c>
      <c r="BQ185" s="28" t="n">
        <f aca="false">BQ23*Hipótesis!$F$20</f>
        <v>82476.8150594595</v>
      </c>
      <c r="BR185" s="28" t="n">
        <f aca="false">BR23*Hipótesis!$F$20</f>
        <v>82476.8150594595</v>
      </c>
      <c r="BS185" s="28" t="n">
        <f aca="false">BS23*Hipótesis!$F$20</f>
        <v>82476.8150594595</v>
      </c>
      <c r="BT185" s="28" t="n">
        <f aca="false">BT23*Hipótesis!$F$20</f>
        <v>82476.8150594595</v>
      </c>
      <c r="BU185" s="28" t="n">
        <f aca="false">BU23*Hipótesis!$F$20</f>
        <v>82476.8150594595</v>
      </c>
      <c r="BV185" s="28" t="n">
        <f aca="false">BV23*Hipótesis!$F$20</f>
        <v>82476.8150594595</v>
      </c>
      <c r="BW185" s="28" t="n">
        <f aca="false">BW23*Hipótesis!$F$20</f>
        <v>82476.8150594595</v>
      </c>
      <c r="BX185" s="28" t="n">
        <f aca="false">BX23*Hipótesis!$F$20</f>
        <v>82476.8150594595</v>
      </c>
      <c r="BY185" s="28" t="n">
        <f aca="false">BY23*Hipótesis!$F$20</f>
        <v>82476.8150594595</v>
      </c>
      <c r="BZ185" s="28" t="n">
        <f aca="false">BZ23*Hipótesis!$F$20</f>
        <v>82476.8150594595</v>
      </c>
      <c r="CA185" s="28" t="n">
        <f aca="false">CA23*Hipótesis!$F$20</f>
        <v>82476.8150594595</v>
      </c>
      <c r="CB185" s="28" t="n">
        <f aca="false">CB23*Hipótesis!$F$20</f>
        <v>82476.8150594595</v>
      </c>
      <c r="CC185" s="28" t="n">
        <f aca="false">CC23*Hipótesis!$F$20</f>
        <v>82476.8150594595</v>
      </c>
      <c r="CD185" s="28" t="n">
        <f aca="false">CD23*Hipótesis!$F$20</f>
        <v>82476.8150594595</v>
      </c>
      <c r="CE185" s="28" t="n">
        <f aca="false">CE23*Hipótesis!$F$20</f>
        <v>82476.8150594595</v>
      </c>
      <c r="CF185" s="28" t="n">
        <f aca="false">CF23*Hipótesis!$F$20</f>
        <v>82476.8150594595</v>
      </c>
      <c r="CG185" s="28" t="n">
        <f aca="false">CG23*Hipótesis!$F$20</f>
        <v>82476.8150594595</v>
      </c>
      <c r="CH185" s="28" t="n">
        <f aca="false">CH23*Hipótesis!$F$20</f>
        <v>82476.8150594595</v>
      </c>
    </row>
    <row r="186" customFormat="false" ht="15" hidden="false" customHeight="false" outlineLevel="0" collapsed="false">
      <c r="A186" s="25" t="s">
        <v>847</v>
      </c>
      <c r="C186" s="156" t="n">
        <f aca="false">C184+C185</f>
        <v>1033.125</v>
      </c>
      <c r="D186" s="156" t="n">
        <f aca="false">D184+D185</f>
        <v>2144.55</v>
      </c>
      <c r="E186" s="156" t="n">
        <f aca="false">E184+E185</f>
        <v>4457.6625</v>
      </c>
      <c r="F186" s="156" t="n">
        <f aca="false">F184+F185</f>
        <v>5737.65</v>
      </c>
      <c r="G186" s="156" t="n">
        <f aca="false">G184+G185</f>
        <v>6939.3375</v>
      </c>
      <c r="H186" s="156" t="n">
        <f aca="false">H184+H185</f>
        <v>8858.775</v>
      </c>
      <c r="I186" s="156" t="n">
        <f aca="false">I184+I185</f>
        <v>10892.763632027</v>
      </c>
      <c r="J186" s="156" t="n">
        <f aca="false">J184+J185</f>
        <v>14988.6726405405</v>
      </c>
      <c r="K186" s="156" t="n">
        <f aca="false">K184+K185</f>
        <v>19084.5816490541</v>
      </c>
      <c r="L186" s="156" t="n">
        <f aca="false">L184+L185</f>
        <v>23180.4906575676</v>
      </c>
      <c r="M186" s="156" t="n">
        <f aca="false">M184+M185</f>
        <v>26074.7121660811</v>
      </c>
      <c r="N186" s="156" t="n">
        <f aca="false">N184+N185</f>
        <v>29947.6836745946</v>
      </c>
      <c r="O186" s="156" t="n">
        <f aca="false">O184+O185</f>
        <v>33820.6551831081</v>
      </c>
      <c r="P186" s="156" t="n">
        <f aca="false">P184+P185</f>
        <v>37341.2766916216</v>
      </c>
      <c r="Q186" s="156" t="n">
        <f aca="false">Q184+Q185</f>
        <v>40861.8982001351</v>
      </c>
      <c r="R186" s="156" t="n">
        <f aca="false">R184+R185</f>
        <v>44382.5197086487</v>
      </c>
      <c r="S186" s="156" t="n">
        <f aca="false">S184+S185</f>
        <v>47903.1412171622</v>
      </c>
      <c r="T186" s="156" t="n">
        <f aca="false">T184+T185</f>
        <v>51423.7627256757</v>
      </c>
      <c r="U186" s="156" t="n">
        <f aca="false">U184+U185</f>
        <v>54944.3842341892</v>
      </c>
      <c r="V186" s="156" t="n">
        <f aca="false">V184+V185</f>
        <v>58465.0057427027</v>
      </c>
      <c r="W186" s="156" t="n">
        <f aca="false">W184+W185</f>
        <v>61985.6272512162</v>
      </c>
      <c r="X186" s="156" t="n">
        <f aca="false">X184+X185</f>
        <v>64527.4987597297</v>
      </c>
      <c r="Y186" s="156" t="n">
        <f aca="false">Y184+Y185</f>
        <v>67069.3702682433</v>
      </c>
      <c r="Z186" s="156" t="n">
        <f aca="false">Z184+Z185</f>
        <v>69245.8417767568</v>
      </c>
      <c r="AA186" s="156" t="n">
        <f aca="false">AA184+AA185</f>
        <v>71765.9666813514</v>
      </c>
      <c r="AB186" s="156" t="n">
        <f aca="false">AB184+AB185</f>
        <v>74286.091585946</v>
      </c>
      <c r="AC186" s="156" t="n">
        <f aca="false">AC184+AC185</f>
        <v>76806.2164905406</v>
      </c>
      <c r="AD186" s="156" t="n">
        <f aca="false">AD184+AD185</f>
        <v>79326.3413951351</v>
      </c>
      <c r="AE186" s="156" t="n">
        <f aca="false">AE184+AE185</f>
        <v>81846.4662997297</v>
      </c>
      <c r="AF186" s="156" t="n">
        <f aca="false">AF184+AF185</f>
        <v>84366.5912043243</v>
      </c>
      <c r="AG186" s="156" t="n">
        <f aca="false">AG184+AG185</f>
        <v>86886.7161089189</v>
      </c>
      <c r="AH186" s="156" t="n">
        <f aca="false">AH184+AH185</f>
        <v>89406.8410135135</v>
      </c>
      <c r="AI186" s="156" t="n">
        <f aca="false">AI184+AI185</f>
        <v>91926.9659181081</v>
      </c>
      <c r="AJ186" s="156" t="n">
        <f aca="false">AJ184+AJ185</f>
        <v>94447.0908227027</v>
      </c>
      <c r="AK186" s="156" t="n">
        <f aca="false">AK184+AK185</f>
        <v>96967.2157272973</v>
      </c>
      <c r="AL186" s="156" t="n">
        <f aca="false">AL184+AL185</f>
        <v>99487.3406318919</v>
      </c>
      <c r="AM186" s="156" t="n">
        <f aca="false">AM184+AM185</f>
        <v>102007.465536486</v>
      </c>
      <c r="AN186" s="156" t="n">
        <f aca="false">AN184+AN185</f>
        <v>104527.590441081</v>
      </c>
      <c r="AO186" s="156" t="n">
        <f aca="false">AO184+AO185</f>
        <v>107047.715345676</v>
      </c>
      <c r="AP186" s="156" t="n">
        <f aca="false">AP184+AP185</f>
        <v>109567.84025027</v>
      </c>
      <c r="AQ186" s="156" t="n">
        <f aca="false">AQ184+AQ185</f>
        <v>112087.965154865</v>
      </c>
      <c r="AR186" s="156" t="n">
        <f aca="false">AR184+AR185</f>
        <v>114608.090059459</v>
      </c>
      <c r="AS186" s="156" t="n">
        <f aca="false">AS184+AS185</f>
        <v>114608.090059459</v>
      </c>
      <c r="AT186" s="156" t="n">
        <f aca="false">AT184+AT185</f>
        <v>114608.090059459</v>
      </c>
      <c r="AU186" s="156" t="n">
        <f aca="false">AU184+AU185</f>
        <v>114608.090059459</v>
      </c>
      <c r="AV186" s="156" t="n">
        <f aca="false">AV184+AV185</f>
        <v>114608.090059459</v>
      </c>
      <c r="AW186" s="156" t="n">
        <f aca="false">AW184+AW185</f>
        <v>114608.090059459</v>
      </c>
      <c r="AX186" s="156" t="n">
        <f aca="false">AX184+AX185</f>
        <v>114608.090059459</v>
      </c>
      <c r="AY186" s="156" t="n">
        <f aca="false">AY184+AY185</f>
        <v>114608.090059459</v>
      </c>
      <c r="AZ186" s="156" t="n">
        <f aca="false">AZ184+AZ185</f>
        <v>114608.090059459</v>
      </c>
      <c r="BA186" s="156" t="n">
        <f aca="false">BA184+BA185</f>
        <v>114608.090059459</v>
      </c>
      <c r="BB186" s="156" t="n">
        <f aca="false">BB184+BB185</f>
        <v>114608.090059459</v>
      </c>
      <c r="BC186" s="156" t="n">
        <f aca="false">BC184+BC185</f>
        <v>114608.090059459</v>
      </c>
      <c r="BD186" s="156" t="n">
        <f aca="false">BD184+BD185</f>
        <v>114608.090059459</v>
      </c>
      <c r="BE186" s="156" t="n">
        <f aca="false">BE184+BE185</f>
        <v>114608.090059459</v>
      </c>
      <c r="BF186" s="156" t="n">
        <f aca="false">BF184+BF185</f>
        <v>114608.090059459</v>
      </c>
      <c r="BG186" s="156" t="n">
        <f aca="false">BG184+BG185</f>
        <v>114608.090059459</v>
      </c>
      <c r="BH186" s="156" t="n">
        <f aca="false">BH184+BH185</f>
        <v>114608.090059459</v>
      </c>
      <c r="BI186" s="156" t="n">
        <f aca="false">BI184+BI185</f>
        <v>114608.090059459</v>
      </c>
      <c r="BJ186" s="156" t="n">
        <f aca="false">BJ184+BJ185</f>
        <v>114608.090059459</v>
      </c>
      <c r="BK186" s="156" t="n">
        <f aca="false">BK184+BK185</f>
        <v>114608.090059459</v>
      </c>
      <c r="BL186" s="156" t="n">
        <f aca="false">BL184+BL185</f>
        <v>114608.090059459</v>
      </c>
      <c r="BM186" s="156" t="n">
        <f aca="false">BM184+BM185</f>
        <v>114608.090059459</v>
      </c>
      <c r="BN186" s="156" t="n">
        <f aca="false">BN184+BN185</f>
        <v>114608.090059459</v>
      </c>
      <c r="BO186" s="156" t="n">
        <f aca="false">BO184+BO185</f>
        <v>114608.090059459</v>
      </c>
      <c r="BP186" s="156" t="n">
        <f aca="false">BP184+BP185</f>
        <v>114608.090059459</v>
      </c>
      <c r="BQ186" s="156" t="n">
        <f aca="false">BQ184+BQ185</f>
        <v>114608.090059459</v>
      </c>
      <c r="BR186" s="156" t="n">
        <f aca="false">BR184+BR185</f>
        <v>114608.090059459</v>
      </c>
      <c r="BS186" s="156" t="n">
        <f aca="false">BS184+BS185</f>
        <v>114608.090059459</v>
      </c>
      <c r="BT186" s="156" t="n">
        <f aca="false">BT184+BT185</f>
        <v>114608.090059459</v>
      </c>
      <c r="BU186" s="156" t="n">
        <f aca="false">BU184+BU185</f>
        <v>114608.090059459</v>
      </c>
      <c r="BV186" s="156" t="n">
        <f aca="false">BV184+BV185</f>
        <v>114608.090059459</v>
      </c>
      <c r="BW186" s="156" t="n">
        <f aca="false">BW184+BW185</f>
        <v>114608.090059459</v>
      </c>
      <c r="BX186" s="156" t="n">
        <f aca="false">BX184+BX185</f>
        <v>114608.090059459</v>
      </c>
      <c r="BY186" s="156" t="n">
        <f aca="false">BY184+BY185</f>
        <v>114608.090059459</v>
      </c>
      <c r="BZ186" s="156" t="n">
        <f aca="false">BZ184+BZ185</f>
        <v>114608.090059459</v>
      </c>
      <c r="CA186" s="156" t="n">
        <f aca="false">CA184+CA185</f>
        <v>114608.090059459</v>
      </c>
      <c r="CB186" s="156" t="n">
        <f aca="false">CB184+CB185</f>
        <v>114608.090059459</v>
      </c>
      <c r="CC186" s="156" t="n">
        <f aca="false">CC184+CC185</f>
        <v>114608.090059459</v>
      </c>
      <c r="CD186" s="156" t="n">
        <f aca="false">CD184+CD185</f>
        <v>114608.090059459</v>
      </c>
      <c r="CE186" s="156" t="n">
        <f aca="false">CE184+CE185</f>
        <v>114608.090059459</v>
      </c>
      <c r="CF186" s="156" t="n">
        <f aca="false">CF184+CF185</f>
        <v>114608.090059459</v>
      </c>
      <c r="CG186" s="156" t="n">
        <f aca="false">CG184+CG185</f>
        <v>114608.090059459</v>
      </c>
      <c r="CH186" s="156" t="n">
        <f aca="false">CH184+CH185</f>
        <v>114608.090059459</v>
      </c>
    </row>
    <row r="187" customFormat="false" ht="15" hidden="false" customHeight="false" outlineLevel="0" collapsed="false">
      <c r="A187" s="1" t="s">
        <v>848</v>
      </c>
      <c r="C187" s="28" t="n">
        <f aca="false">C178*Hipótesis!$F$130</f>
        <v>1289.06287337838</v>
      </c>
      <c r="D187" s="28" t="n">
        <f aca="false">D178*Hipótesis!$F$130</f>
        <v>2578.12574675676</v>
      </c>
      <c r="E187" s="28" t="n">
        <f aca="false">E178*Hipótesis!$F$130</f>
        <v>3867.18862013514</v>
      </c>
      <c r="F187" s="28" t="n">
        <f aca="false">F178*Hipótesis!$F$130</f>
        <v>5156.25149351351</v>
      </c>
      <c r="G187" s="28" t="n">
        <f aca="false">G178*Hipótesis!$F$130</f>
        <v>966.797155033784</v>
      </c>
      <c r="H187" s="28" t="n">
        <f aca="false">H178*Hipótesis!$F$130</f>
        <v>7734.37724027027</v>
      </c>
      <c r="I187" s="28" t="n">
        <f aca="false">I178*Hipótesis!$F$130</f>
        <v>9023.44011364865</v>
      </c>
      <c r="J187" s="28" t="n">
        <f aca="false">J178*Hipótesis!$F$130</f>
        <v>10312.502987027</v>
      </c>
      <c r="K187" s="28" t="n">
        <f aca="false">K178*Hipótesis!$F$130</f>
        <v>11601.5658604054</v>
      </c>
      <c r="L187" s="28" t="n">
        <f aca="false">L178*Hipótesis!$F$130</f>
        <v>12890.6287337838</v>
      </c>
      <c r="M187" s="28" t="n">
        <f aca="false">M178*Hipótesis!$F$130</f>
        <v>14179.6916071622</v>
      </c>
      <c r="N187" s="28" t="n">
        <f aca="false">N178*Hipótesis!$F$130</f>
        <v>15468.7544805405</v>
      </c>
      <c r="O187" s="28" t="n">
        <f aca="false">O178*Hipótesis!$F$130</f>
        <v>16757.8173539189</v>
      </c>
      <c r="P187" s="28" t="n">
        <f aca="false">P178*Hipótesis!$F$130</f>
        <v>18046.8802272973</v>
      </c>
      <c r="Q187" s="28" t="n">
        <f aca="false">Q178*Hipótesis!$F$130</f>
        <v>19335.9431006757</v>
      </c>
      <c r="R187" s="28" t="n">
        <f aca="false">R178*Hipótesis!$F$130</f>
        <v>20625.0059740541</v>
      </c>
      <c r="S187" s="28" t="n">
        <f aca="false">S178*Hipótesis!$F$130</f>
        <v>3287.11032711487</v>
      </c>
      <c r="T187" s="28" t="n">
        <f aca="false">T178*Hipótesis!$F$130</f>
        <v>23203.1317208108</v>
      </c>
      <c r="U187" s="28" t="n">
        <f aca="false">U178*Hipótesis!$F$130</f>
        <v>24492.1945941892</v>
      </c>
      <c r="V187" s="28" t="n">
        <f aca="false">V178*Hipótesis!$F$130</f>
        <v>25781.2574675676</v>
      </c>
      <c r="W187" s="28" t="n">
        <f aca="false">W178*Hipótesis!$F$130</f>
        <v>27070.320340946</v>
      </c>
      <c r="X187" s="28" t="n">
        <f aca="false">X178*Hipótesis!$F$130</f>
        <v>28359.3832143243</v>
      </c>
      <c r="Y187" s="28" t="n">
        <f aca="false">Y178*Hipótesis!$F$130</f>
        <v>29648.4460877027</v>
      </c>
      <c r="Z187" s="28" t="n">
        <f aca="false">Z178*Hipótesis!$F$130</f>
        <v>30937.5089610811</v>
      </c>
      <c r="AA187" s="28" t="n">
        <f aca="false">AA178*Hipótesis!$F$130</f>
        <v>30937.5089610811</v>
      </c>
      <c r="AB187" s="28" t="n">
        <f aca="false">AB178*Hipótesis!$F$130</f>
        <v>30937.5089610811</v>
      </c>
      <c r="AC187" s="28" t="n">
        <f aca="false">AC178*Hipótesis!$F$130</f>
        <v>30937.5089610811</v>
      </c>
      <c r="AD187" s="28" t="n">
        <f aca="false">AD178*Hipótesis!$F$130</f>
        <v>30937.5089610811</v>
      </c>
      <c r="AE187" s="28" t="n">
        <f aca="false">AE178*Hipótesis!$F$130</f>
        <v>4640.62634416216</v>
      </c>
      <c r="AF187" s="28" t="n">
        <f aca="false">AF178*Hipótesis!$F$130</f>
        <v>30937.5089610811</v>
      </c>
      <c r="AG187" s="28" t="n">
        <f aca="false">AG178*Hipótesis!$F$130</f>
        <v>30937.5089610811</v>
      </c>
      <c r="AH187" s="28" t="n">
        <f aca="false">AH178*Hipótesis!$F$130</f>
        <v>30937.5089610811</v>
      </c>
      <c r="AI187" s="28" t="n">
        <f aca="false">AI178*Hipótesis!$F$130</f>
        <v>30937.5089610811</v>
      </c>
      <c r="AJ187" s="28" t="n">
        <f aca="false">AJ178*Hipótesis!$F$130</f>
        <v>30937.5089610811</v>
      </c>
      <c r="AK187" s="28" t="n">
        <f aca="false">AK178*Hipótesis!$F$130</f>
        <v>30937.5089610811</v>
      </c>
      <c r="AL187" s="28" t="n">
        <f aca="false">AL178*Hipótesis!$F$130</f>
        <v>30937.5089610811</v>
      </c>
      <c r="AM187" s="28" t="n">
        <f aca="false">AM178*Hipótesis!$F$130</f>
        <v>30937.5089610811</v>
      </c>
      <c r="AN187" s="28" t="n">
        <f aca="false">AN178*Hipótesis!$F$130</f>
        <v>30937.5089610811</v>
      </c>
      <c r="AO187" s="28" t="n">
        <f aca="false">AO178*Hipótesis!$F$130</f>
        <v>30937.5089610811</v>
      </c>
      <c r="AP187" s="28" t="n">
        <f aca="false">AP178*Hipótesis!$F$130</f>
        <v>30937.5089610811</v>
      </c>
      <c r="AQ187" s="28" t="n">
        <f aca="false">AQ178*Hipótesis!$F$130</f>
        <v>4640.62634416216</v>
      </c>
      <c r="AR187" s="28" t="n">
        <f aca="false">AR178*Hipótesis!$F$130</f>
        <v>30937.5089610811</v>
      </c>
      <c r="AS187" s="28" t="n">
        <f aca="false">AS178*Hipótesis!$F$130</f>
        <v>30937.5089610811</v>
      </c>
      <c r="AT187" s="28" t="n">
        <f aca="false">AT178*Hipótesis!$F$130</f>
        <v>30937.5089610811</v>
      </c>
      <c r="AU187" s="28" t="n">
        <f aca="false">AU178*Hipótesis!$F$130</f>
        <v>30937.5089610811</v>
      </c>
      <c r="AV187" s="28" t="n">
        <f aca="false">AV178*Hipótesis!$F$130</f>
        <v>30937.5089610811</v>
      </c>
      <c r="AW187" s="28" t="n">
        <f aca="false">AW178*Hipótesis!$F$130</f>
        <v>30937.5089610811</v>
      </c>
      <c r="AX187" s="28" t="n">
        <f aca="false">AX178*Hipótesis!$F$130</f>
        <v>30937.5089610811</v>
      </c>
      <c r="AY187" s="28" t="n">
        <f aca="false">AY178*Hipótesis!$F$130</f>
        <v>30937.5089610811</v>
      </c>
      <c r="AZ187" s="28" t="n">
        <f aca="false">AZ178*Hipótesis!$F$130</f>
        <v>30937.5089610811</v>
      </c>
      <c r="BA187" s="28" t="n">
        <f aca="false">BA178*Hipótesis!$F$130</f>
        <v>30937.5089610811</v>
      </c>
      <c r="BB187" s="28" t="n">
        <f aca="false">BB178*Hipótesis!$F$130</f>
        <v>30937.5089610811</v>
      </c>
      <c r="BC187" s="28" t="n">
        <f aca="false">BC178*Hipótesis!$F$130</f>
        <v>4640.62634416216</v>
      </c>
      <c r="BD187" s="28" t="n">
        <f aca="false">BD178*Hipótesis!$F$130</f>
        <v>30937.5089610811</v>
      </c>
      <c r="BE187" s="28" t="n">
        <f aca="false">BE178*Hipótesis!$F$130</f>
        <v>30937.5089610811</v>
      </c>
      <c r="BF187" s="28" t="n">
        <f aca="false">BF178*Hipótesis!$F$130</f>
        <v>30937.5089610811</v>
      </c>
      <c r="BG187" s="28" t="n">
        <f aca="false">BG178*Hipótesis!$F$130</f>
        <v>30937.5089610811</v>
      </c>
      <c r="BH187" s="28" t="n">
        <f aca="false">BH178*Hipótesis!$F$130</f>
        <v>30937.5089610811</v>
      </c>
      <c r="BI187" s="28" t="n">
        <f aca="false">BI178*Hipótesis!$F$130</f>
        <v>30937.5089610811</v>
      </c>
      <c r="BJ187" s="28" t="n">
        <f aca="false">BJ178*Hipótesis!$F$130</f>
        <v>30937.5089610811</v>
      </c>
      <c r="BK187" s="28" t="n">
        <f aca="false">BK178*Hipótesis!$F$130</f>
        <v>30937.5089610811</v>
      </c>
      <c r="BL187" s="28" t="n">
        <f aca="false">BL178*Hipótesis!$F$130</f>
        <v>30937.5089610811</v>
      </c>
      <c r="BM187" s="28" t="n">
        <f aca="false">BM178*Hipótesis!$F$130</f>
        <v>30937.5089610811</v>
      </c>
      <c r="BN187" s="28" t="n">
        <f aca="false">BN178*Hipótesis!$F$130</f>
        <v>30937.5089610811</v>
      </c>
      <c r="BO187" s="28" t="n">
        <f aca="false">BO178*Hipótesis!$F$130</f>
        <v>4640.62634416216</v>
      </c>
      <c r="BP187" s="28" t="n">
        <f aca="false">BP178*Hipótesis!$F$130</f>
        <v>30937.5089610811</v>
      </c>
      <c r="BQ187" s="28" t="n">
        <f aca="false">BQ178*Hipótesis!$F$130</f>
        <v>30937.5089610811</v>
      </c>
      <c r="BR187" s="28" t="n">
        <f aca="false">BR178*Hipótesis!$F$130</f>
        <v>30937.5089610811</v>
      </c>
      <c r="BS187" s="28" t="n">
        <f aca="false">BS178*Hipótesis!$F$130</f>
        <v>30937.5089610811</v>
      </c>
      <c r="BT187" s="28" t="n">
        <f aca="false">BT178*Hipótesis!$F$130</f>
        <v>30937.5089610811</v>
      </c>
      <c r="BU187" s="28" t="n">
        <f aca="false">BU178*Hipótesis!$F$130</f>
        <v>30937.5089610811</v>
      </c>
      <c r="BV187" s="28" t="n">
        <f aca="false">BV178*Hipótesis!$F$130</f>
        <v>30937.5089610811</v>
      </c>
      <c r="BW187" s="28" t="n">
        <f aca="false">BW178*Hipótesis!$F$130</f>
        <v>30937.5089610811</v>
      </c>
      <c r="BX187" s="28" t="n">
        <f aca="false">BX178*Hipótesis!$F$130</f>
        <v>30937.5089610811</v>
      </c>
      <c r="BY187" s="28" t="n">
        <f aca="false">BY178*Hipótesis!$F$130</f>
        <v>30937.5089610811</v>
      </c>
      <c r="BZ187" s="28" t="n">
        <f aca="false">BZ178*Hipótesis!$F$130</f>
        <v>30937.5089610811</v>
      </c>
      <c r="CA187" s="28" t="n">
        <f aca="false">CA178*Hipótesis!$F$130</f>
        <v>4640.62634416216</v>
      </c>
      <c r="CB187" s="28" t="n">
        <f aca="false">CB178*Hipótesis!$F$130</f>
        <v>30937.5089610811</v>
      </c>
      <c r="CC187" s="28" t="n">
        <f aca="false">CC178*Hipótesis!$F$130</f>
        <v>30937.5089610811</v>
      </c>
      <c r="CD187" s="28" t="n">
        <f aca="false">CD178*Hipótesis!$F$130</f>
        <v>30937.5089610811</v>
      </c>
      <c r="CE187" s="28" t="n">
        <f aca="false">CE178*Hipótesis!$F$130</f>
        <v>30937.5089610811</v>
      </c>
      <c r="CF187" s="28" t="n">
        <f aca="false">CF178*Hipótesis!$F$130</f>
        <v>30937.5089610811</v>
      </c>
      <c r="CG187" s="28" t="n">
        <f aca="false">CG178*Hipótesis!$F$130</f>
        <v>30937.5089610811</v>
      </c>
      <c r="CH187" s="28" t="n">
        <f aca="false">CH178*Hipótesis!$F$130</f>
        <v>30937.5089610811</v>
      </c>
    </row>
    <row r="188" customFormat="false" ht="15" hidden="false" customHeight="false" outlineLevel="0" collapsed="false">
      <c r="A188" s="1" t="s">
        <v>849</v>
      </c>
      <c r="C188" s="27" t="n">
        <f aca="false">IFERROR(C187/Restaurantes!$D$22,0)</f>
        <v>44.5657000303675</v>
      </c>
      <c r="D188" s="27" t="n">
        <f aca="false">IFERROR(D187/Restaurantes!$D$22,0)</f>
        <v>89.1314000607349</v>
      </c>
      <c r="E188" s="27" t="n">
        <f aca="false">IFERROR(E187/Restaurantes!$D$22,0)</f>
        <v>133.697100091102</v>
      </c>
      <c r="F188" s="27" t="n">
        <f aca="false">IFERROR(F187/Restaurantes!$D$22,0)</f>
        <v>178.26280012147</v>
      </c>
      <c r="G188" s="27" t="n">
        <f aca="false">IFERROR(G187/Restaurantes!$D$22,0)</f>
        <v>33.4242750227756</v>
      </c>
      <c r="H188" s="27" t="n">
        <f aca="false">IFERROR(H187/Restaurantes!$D$22,0)</f>
        <v>267.394200182205</v>
      </c>
      <c r="I188" s="27" t="n">
        <f aca="false">IFERROR(I187/Restaurantes!$D$22,0)</f>
        <v>311.959900212572</v>
      </c>
      <c r="J188" s="27" t="n">
        <f aca="false">IFERROR(J187/Restaurantes!$D$22,0)</f>
        <v>356.52560024294</v>
      </c>
      <c r="K188" s="27" t="n">
        <f aca="false">IFERROR(K187/Restaurantes!$D$22,0)</f>
        <v>401.091300273307</v>
      </c>
      <c r="L188" s="27" t="n">
        <f aca="false">IFERROR(L187/Restaurantes!$D$22,0)</f>
        <v>445.657000303675</v>
      </c>
      <c r="M188" s="27" t="n">
        <f aca="false">IFERROR(M187/Restaurantes!$D$22,0)</f>
        <v>490.222700334042</v>
      </c>
      <c r="N188" s="27" t="n">
        <f aca="false">IFERROR(N187/Restaurantes!$D$22,0)</f>
        <v>534.788400364409</v>
      </c>
      <c r="O188" s="27" t="n">
        <f aca="false">IFERROR(O187/Restaurantes!$D$22,0)</f>
        <v>579.354100394777</v>
      </c>
      <c r="P188" s="27" t="n">
        <f aca="false">IFERROR(P187/Restaurantes!$D$22,0)</f>
        <v>623.919800425144</v>
      </c>
      <c r="Q188" s="27" t="n">
        <f aca="false">IFERROR(Q187/Restaurantes!$D$22,0)</f>
        <v>668.485500455512</v>
      </c>
      <c r="R188" s="27" t="n">
        <f aca="false">IFERROR(R187/Restaurantes!$D$22,0)</f>
        <v>713.051200485879</v>
      </c>
      <c r="S188" s="27" t="n">
        <f aca="false">IFERROR(S187/Restaurantes!$D$22,0)</f>
        <v>113.642535077437</v>
      </c>
      <c r="T188" s="27" t="n">
        <f aca="false">IFERROR(T187/Restaurantes!$D$22,0)</f>
        <v>802.182600546614</v>
      </c>
      <c r="U188" s="27" t="n">
        <f aca="false">IFERROR(U187/Restaurantes!$D$22,0)</f>
        <v>846.748300576982</v>
      </c>
      <c r="V188" s="27" t="n">
        <f aca="false">IFERROR(V187/Restaurantes!$D$22,0)</f>
        <v>891.314000607349</v>
      </c>
      <c r="W188" s="27" t="n">
        <f aca="false">IFERROR(W187/Restaurantes!$D$22,0)</f>
        <v>935.879700637717</v>
      </c>
      <c r="X188" s="27" t="n">
        <f aca="false">IFERROR(X187/Restaurantes!$D$22,0)</f>
        <v>980.445400668084</v>
      </c>
      <c r="Y188" s="27" t="n">
        <f aca="false">IFERROR(Y187/Restaurantes!$D$22,0)</f>
        <v>1025.01110069845</v>
      </c>
      <c r="Z188" s="27" t="n">
        <f aca="false">IFERROR(Z187/Restaurantes!$D$22,0)</f>
        <v>1069.57680072882</v>
      </c>
      <c r="AA188" s="27" t="n">
        <f aca="false">IFERROR(AA187/Restaurantes!$D$22,0)</f>
        <v>1069.57680072882</v>
      </c>
      <c r="AB188" s="27" t="n">
        <f aca="false">IFERROR(AB187/Restaurantes!$D$22,0)</f>
        <v>1069.57680072882</v>
      </c>
      <c r="AC188" s="27" t="n">
        <f aca="false">IFERROR(AC187/Restaurantes!$D$22,0)</f>
        <v>1069.57680072882</v>
      </c>
      <c r="AD188" s="27" t="n">
        <f aca="false">IFERROR(AD187/Restaurantes!$D$22,0)</f>
        <v>1069.57680072882</v>
      </c>
      <c r="AE188" s="27" t="n">
        <f aca="false">IFERROR(AE187/Restaurantes!$D$22,0)</f>
        <v>160.436520109323</v>
      </c>
      <c r="AF188" s="27" t="n">
        <f aca="false">IFERROR(AF187/Restaurantes!$D$22,0)</f>
        <v>1069.57680072882</v>
      </c>
      <c r="AG188" s="27" t="n">
        <f aca="false">IFERROR(AG187/Restaurantes!$D$22,0)</f>
        <v>1069.57680072882</v>
      </c>
      <c r="AH188" s="27" t="n">
        <f aca="false">IFERROR(AH187/Restaurantes!$D$22,0)</f>
        <v>1069.57680072882</v>
      </c>
      <c r="AI188" s="27" t="n">
        <f aca="false">IFERROR(AI187/Restaurantes!$D$22,0)</f>
        <v>1069.57680072882</v>
      </c>
      <c r="AJ188" s="27" t="n">
        <f aca="false">IFERROR(AJ187/Restaurantes!$D$22,0)</f>
        <v>1069.57680072882</v>
      </c>
      <c r="AK188" s="27" t="n">
        <f aca="false">IFERROR(AK187/Restaurantes!$D$22,0)</f>
        <v>1069.57680072882</v>
      </c>
      <c r="AL188" s="27" t="n">
        <f aca="false">IFERROR(AL187/Restaurantes!$D$22,0)</f>
        <v>1069.57680072882</v>
      </c>
      <c r="AM188" s="27" t="n">
        <f aca="false">IFERROR(AM187/Restaurantes!$D$22,0)</f>
        <v>1069.57680072882</v>
      </c>
      <c r="AN188" s="27" t="n">
        <f aca="false">IFERROR(AN187/Restaurantes!$D$22,0)</f>
        <v>1069.57680072882</v>
      </c>
      <c r="AO188" s="27" t="n">
        <f aca="false">IFERROR(AO187/Restaurantes!$D$22,0)</f>
        <v>1069.57680072882</v>
      </c>
      <c r="AP188" s="27" t="n">
        <f aca="false">IFERROR(AP187/Restaurantes!$D$22,0)</f>
        <v>1069.57680072882</v>
      </c>
      <c r="AQ188" s="27" t="n">
        <f aca="false">IFERROR(AQ187/Restaurantes!$D$22,0)</f>
        <v>160.436520109323</v>
      </c>
      <c r="AR188" s="27" t="n">
        <f aca="false">IFERROR(AR187/Restaurantes!$D$22,0)</f>
        <v>1069.57680072882</v>
      </c>
      <c r="AS188" s="27" t="n">
        <f aca="false">IFERROR(AS187/Restaurantes!$D$22,0)</f>
        <v>1069.57680072882</v>
      </c>
      <c r="AT188" s="27" t="n">
        <f aca="false">IFERROR(AT187/Restaurantes!$D$22,0)</f>
        <v>1069.57680072882</v>
      </c>
      <c r="AU188" s="27" t="n">
        <f aca="false">IFERROR(AU187/Restaurantes!$D$22,0)</f>
        <v>1069.57680072882</v>
      </c>
      <c r="AV188" s="27" t="n">
        <f aca="false">IFERROR(AV187/Restaurantes!$D$22,0)</f>
        <v>1069.57680072882</v>
      </c>
      <c r="AW188" s="27" t="n">
        <f aca="false">IFERROR(AW187/Restaurantes!$D$22,0)</f>
        <v>1069.57680072882</v>
      </c>
      <c r="AX188" s="27" t="n">
        <f aca="false">IFERROR(AX187/Restaurantes!$D$22,0)</f>
        <v>1069.57680072882</v>
      </c>
      <c r="AY188" s="27" t="n">
        <f aca="false">IFERROR(AY187/Restaurantes!$D$22,0)</f>
        <v>1069.57680072882</v>
      </c>
      <c r="AZ188" s="27" t="n">
        <f aca="false">IFERROR(AZ187/Restaurantes!$D$22,0)</f>
        <v>1069.57680072882</v>
      </c>
      <c r="BA188" s="27" t="n">
        <f aca="false">IFERROR(BA187/Restaurantes!$D$22,0)</f>
        <v>1069.57680072882</v>
      </c>
      <c r="BB188" s="27" t="n">
        <f aca="false">IFERROR(BB187/Restaurantes!$D$22,0)</f>
        <v>1069.57680072882</v>
      </c>
      <c r="BC188" s="27" t="n">
        <f aca="false">IFERROR(BC187/Restaurantes!$D$22,0)</f>
        <v>160.436520109323</v>
      </c>
      <c r="BD188" s="27" t="n">
        <f aca="false">IFERROR(BD187/Restaurantes!$D$22,0)</f>
        <v>1069.57680072882</v>
      </c>
      <c r="BE188" s="27" t="n">
        <f aca="false">IFERROR(BE187/Restaurantes!$D$22,0)</f>
        <v>1069.57680072882</v>
      </c>
      <c r="BF188" s="27" t="n">
        <f aca="false">IFERROR(BF187/Restaurantes!$D$22,0)</f>
        <v>1069.57680072882</v>
      </c>
      <c r="BG188" s="27" t="n">
        <f aca="false">IFERROR(BG187/Restaurantes!$D$22,0)</f>
        <v>1069.57680072882</v>
      </c>
      <c r="BH188" s="27" t="n">
        <f aca="false">IFERROR(BH187/Restaurantes!$D$22,0)</f>
        <v>1069.57680072882</v>
      </c>
      <c r="BI188" s="27" t="n">
        <f aca="false">IFERROR(BI187/Restaurantes!$D$22,0)</f>
        <v>1069.57680072882</v>
      </c>
      <c r="BJ188" s="27" t="n">
        <f aca="false">IFERROR(BJ187/Restaurantes!$D$22,0)</f>
        <v>1069.57680072882</v>
      </c>
      <c r="BK188" s="27" t="n">
        <f aca="false">IFERROR(BK187/Restaurantes!$D$22,0)</f>
        <v>1069.57680072882</v>
      </c>
      <c r="BL188" s="27" t="n">
        <f aca="false">IFERROR(BL187/Restaurantes!$D$22,0)</f>
        <v>1069.57680072882</v>
      </c>
      <c r="BM188" s="27" t="n">
        <f aca="false">IFERROR(BM187/Restaurantes!$D$22,0)</f>
        <v>1069.57680072882</v>
      </c>
      <c r="BN188" s="27" t="n">
        <f aca="false">IFERROR(BN187/Restaurantes!$D$22,0)</f>
        <v>1069.57680072882</v>
      </c>
      <c r="BO188" s="27" t="n">
        <f aca="false">IFERROR(BO187/Restaurantes!$D$22,0)</f>
        <v>160.436520109323</v>
      </c>
      <c r="BP188" s="27" t="n">
        <f aca="false">IFERROR(BP187/Restaurantes!$D$22,0)</f>
        <v>1069.57680072882</v>
      </c>
      <c r="BQ188" s="27" t="n">
        <f aca="false">IFERROR(BQ187/Restaurantes!$D$22,0)</f>
        <v>1069.57680072882</v>
      </c>
      <c r="BR188" s="27" t="n">
        <f aca="false">IFERROR(BR187/Restaurantes!$D$22,0)</f>
        <v>1069.57680072882</v>
      </c>
      <c r="BS188" s="27" t="n">
        <f aca="false">IFERROR(BS187/Restaurantes!$D$22,0)</f>
        <v>1069.57680072882</v>
      </c>
      <c r="BT188" s="27" t="n">
        <f aca="false">IFERROR(BT187/Restaurantes!$D$22,0)</f>
        <v>1069.57680072882</v>
      </c>
      <c r="BU188" s="27" t="n">
        <f aca="false">IFERROR(BU187/Restaurantes!$D$22,0)</f>
        <v>1069.57680072882</v>
      </c>
      <c r="BV188" s="27" t="n">
        <f aca="false">IFERROR(BV187/Restaurantes!$D$22,0)</f>
        <v>1069.57680072882</v>
      </c>
      <c r="BW188" s="27" t="n">
        <f aca="false">IFERROR(BW187/Restaurantes!$D$22,0)</f>
        <v>1069.57680072882</v>
      </c>
      <c r="BX188" s="27" t="n">
        <f aca="false">IFERROR(BX187/Restaurantes!$D$22,0)</f>
        <v>1069.57680072882</v>
      </c>
      <c r="BY188" s="27" t="n">
        <f aca="false">IFERROR(BY187/Restaurantes!$D$22,0)</f>
        <v>1069.57680072882</v>
      </c>
      <c r="BZ188" s="27" t="n">
        <f aca="false">IFERROR(BZ187/Restaurantes!$D$22,0)</f>
        <v>1069.57680072882</v>
      </c>
      <c r="CA188" s="27" t="n">
        <f aca="false">IFERROR(CA187/Restaurantes!$D$22,0)</f>
        <v>160.436520109323</v>
      </c>
      <c r="CB188" s="27" t="n">
        <f aca="false">IFERROR(CB187/Restaurantes!$D$22,0)</f>
        <v>1069.57680072882</v>
      </c>
      <c r="CC188" s="27" t="n">
        <f aca="false">IFERROR(CC187/Restaurantes!$D$22,0)</f>
        <v>1069.57680072882</v>
      </c>
      <c r="CD188" s="27" t="n">
        <f aca="false">IFERROR(CD187/Restaurantes!$D$22,0)</f>
        <v>1069.57680072882</v>
      </c>
      <c r="CE188" s="27" t="n">
        <f aca="false">IFERROR(CE187/Restaurantes!$D$22,0)</f>
        <v>1069.57680072882</v>
      </c>
      <c r="CF188" s="27" t="n">
        <f aca="false">IFERROR(CF187/Restaurantes!$D$22,0)</f>
        <v>1069.57680072882</v>
      </c>
      <c r="CG188" s="27" t="n">
        <f aca="false">IFERROR(CG187/Restaurantes!$D$22,0)</f>
        <v>1069.57680072882</v>
      </c>
      <c r="CH188" s="27" t="n">
        <f aca="false">IFERROR(CH187/Restaurantes!$D$22,0)</f>
        <v>1069.57680072882</v>
      </c>
    </row>
    <row r="189" customFormat="false" ht="15" hidden="false" customHeight="false" outlineLevel="0" collapsed="false">
      <c r="A189" s="1" t="s">
        <v>850</v>
      </c>
      <c r="C189" s="28" t="n">
        <f aca="false">C188*Restaurantes!$D$30*Restaurantes!$D$29</f>
        <v>0</v>
      </c>
      <c r="D189" s="28" t="n">
        <f aca="false">D188*Restaurantes!$D$30*Restaurantes!$D$29</f>
        <v>0</v>
      </c>
      <c r="E189" s="28" t="n">
        <f aca="false">E188*Restaurantes!$D$30*Restaurantes!$D$29</f>
        <v>0</v>
      </c>
      <c r="F189" s="28" t="n">
        <f aca="false">F188*Restaurantes!$D$30*Restaurantes!$D$29</f>
        <v>0</v>
      </c>
      <c r="G189" s="28" t="n">
        <f aca="false">G188*Restaurantes!$D$30*Restaurantes!$D$29</f>
        <v>0</v>
      </c>
      <c r="H189" s="28" t="n">
        <f aca="false">H188*Restaurantes!$D$30*Restaurantes!$D$29</f>
        <v>0</v>
      </c>
      <c r="I189" s="28" t="n">
        <f aca="false">I188*Restaurantes!$D$30*Restaurantes!$D$29</f>
        <v>0</v>
      </c>
      <c r="J189" s="28" t="n">
        <f aca="false">J188*Restaurantes!$D$30*Restaurantes!$D$29</f>
        <v>0</v>
      </c>
      <c r="K189" s="28" t="n">
        <f aca="false">K188*Restaurantes!$D$30*Restaurantes!$D$29</f>
        <v>0</v>
      </c>
      <c r="L189" s="28" t="n">
        <f aca="false">L188*Restaurantes!$D$30*Restaurantes!$D$29</f>
        <v>0</v>
      </c>
      <c r="M189" s="28" t="n">
        <f aca="false">M188*Restaurantes!$D$30*Restaurantes!$D$29</f>
        <v>0</v>
      </c>
      <c r="N189" s="28" t="n">
        <f aca="false">N188*Restaurantes!$D$30*Restaurantes!$D$29</f>
        <v>0</v>
      </c>
      <c r="O189" s="28" t="n">
        <f aca="false">O188*Restaurantes!$D$30*Restaurantes!$D$29</f>
        <v>0</v>
      </c>
      <c r="P189" s="28" t="n">
        <f aca="false">P188*Restaurantes!$D$30*Restaurantes!$D$29</f>
        <v>0</v>
      </c>
      <c r="Q189" s="28" t="n">
        <f aca="false">Q188*Restaurantes!$D$30*Restaurantes!$D$29</f>
        <v>0</v>
      </c>
      <c r="R189" s="28" t="n">
        <f aca="false">R188*Restaurantes!$D$30*Restaurantes!$D$29</f>
        <v>0</v>
      </c>
      <c r="S189" s="28" t="n">
        <f aca="false">S188*Restaurantes!$D$30*Restaurantes!$D$29</f>
        <v>0</v>
      </c>
      <c r="T189" s="28" t="n">
        <f aca="false">T188*Restaurantes!$D$30*Restaurantes!$D$29</f>
        <v>0</v>
      </c>
      <c r="U189" s="28" t="n">
        <f aca="false">U188*Restaurantes!$D$30*Restaurantes!$D$29</f>
        <v>0</v>
      </c>
      <c r="V189" s="28" t="n">
        <f aca="false">V188*Restaurantes!$D$30*Restaurantes!$D$29</f>
        <v>0</v>
      </c>
      <c r="W189" s="28" t="n">
        <f aca="false">W188*Restaurantes!$D$30*Restaurantes!$D$29</f>
        <v>0</v>
      </c>
      <c r="X189" s="28" t="n">
        <f aca="false">X188*Restaurantes!$D$30*Restaurantes!$D$29</f>
        <v>0</v>
      </c>
      <c r="Y189" s="28" t="n">
        <f aca="false">Y188*Restaurantes!$D$30*Restaurantes!$D$29</f>
        <v>0</v>
      </c>
      <c r="Z189" s="28" t="n">
        <f aca="false">Z188*Restaurantes!$D$30*Restaurantes!$D$29</f>
        <v>0</v>
      </c>
      <c r="AA189" s="28" t="n">
        <f aca="false">AA188*Restaurantes!$D$30*Restaurantes!$D$29</f>
        <v>0</v>
      </c>
      <c r="AB189" s="28" t="n">
        <f aca="false">AB188*Restaurantes!$D$30*Restaurantes!$D$29</f>
        <v>0</v>
      </c>
      <c r="AC189" s="28" t="n">
        <f aca="false">AC188*Restaurantes!$D$30*Restaurantes!$D$29</f>
        <v>0</v>
      </c>
      <c r="AD189" s="28" t="n">
        <f aca="false">AD188*Restaurantes!$D$30*Restaurantes!$D$29</f>
        <v>0</v>
      </c>
      <c r="AE189" s="28" t="n">
        <f aca="false">AE188*Restaurantes!$D$30*Restaurantes!$D$29</f>
        <v>0</v>
      </c>
      <c r="AF189" s="28" t="n">
        <f aca="false">AF188*Restaurantes!$D$30*Restaurantes!$D$29</f>
        <v>0</v>
      </c>
      <c r="AG189" s="28" t="n">
        <f aca="false">AG188*Restaurantes!$D$30*Restaurantes!$D$29</f>
        <v>0</v>
      </c>
      <c r="AH189" s="28" t="n">
        <f aca="false">AH188*Restaurantes!$D$30*Restaurantes!$D$29</f>
        <v>0</v>
      </c>
      <c r="AI189" s="28" t="n">
        <f aca="false">AI188*Restaurantes!$D$30*Restaurantes!$D$29</f>
        <v>0</v>
      </c>
      <c r="AJ189" s="28" t="n">
        <f aca="false">AJ188*Restaurantes!$D$30*Restaurantes!$D$29</f>
        <v>0</v>
      </c>
      <c r="AK189" s="28" t="n">
        <f aca="false">AK188*Restaurantes!$D$30*Restaurantes!$D$29</f>
        <v>0</v>
      </c>
      <c r="AL189" s="28" t="n">
        <f aca="false">AL188*Restaurantes!$D$30*Restaurantes!$D$29</f>
        <v>0</v>
      </c>
      <c r="AM189" s="28" t="n">
        <f aca="false">AM188*Restaurantes!$D$30*Restaurantes!$D$29</f>
        <v>0</v>
      </c>
      <c r="AN189" s="28" t="n">
        <f aca="false">AN188*Restaurantes!$D$30*Restaurantes!$D$29</f>
        <v>0</v>
      </c>
      <c r="AO189" s="28" t="n">
        <f aca="false">AO188*Restaurantes!$D$30*Restaurantes!$D$29</f>
        <v>0</v>
      </c>
      <c r="AP189" s="28" t="n">
        <f aca="false">AP188*Restaurantes!$D$30*Restaurantes!$D$29</f>
        <v>0</v>
      </c>
      <c r="AQ189" s="28" t="n">
        <f aca="false">AQ188*Restaurantes!$D$30*Restaurantes!$D$29</f>
        <v>0</v>
      </c>
      <c r="AR189" s="28" t="n">
        <f aca="false">AR188*Restaurantes!$D$30*Restaurantes!$D$29</f>
        <v>0</v>
      </c>
      <c r="AS189" s="28" t="n">
        <f aca="false">AS188*Restaurantes!$D$30*Restaurantes!$D$29</f>
        <v>0</v>
      </c>
      <c r="AT189" s="28" t="n">
        <f aca="false">AT188*Restaurantes!$D$30*Restaurantes!$D$29</f>
        <v>0</v>
      </c>
      <c r="AU189" s="28" t="n">
        <f aca="false">AU188*Restaurantes!$D$30*Restaurantes!$D$29</f>
        <v>0</v>
      </c>
      <c r="AV189" s="28" t="n">
        <f aca="false">AV188*Restaurantes!$D$30*Restaurantes!$D$29</f>
        <v>0</v>
      </c>
      <c r="AW189" s="28" t="n">
        <f aca="false">AW188*Restaurantes!$D$30*Restaurantes!$D$29</f>
        <v>0</v>
      </c>
      <c r="AX189" s="28" t="n">
        <f aca="false">AX188*Restaurantes!$D$30*Restaurantes!$D$29</f>
        <v>0</v>
      </c>
      <c r="AY189" s="28" t="n">
        <f aca="false">AY188*Restaurantes!$D$30*Restaurantes!$D$29</f>
        <v>0</v>
      </c>
      <c r="AZ189" s="28" t="n">
        <f aca="false">AZ188*Restaurantes!$D$30*Restaurantes!$D$29</f>
        <v>0</v>
      </c>
      <c r="BA189" s="28" t="n">
        <f aca="false">BA188*Restaurantes!$D$30*Restaurantes!$D$29</f>
        <v>0</v>
      </c>
      <c r="BB189" s="28" t="n">
        <f aca="false">BB188*Restaurantes!$D$30*Restaurantes!$D$29</f>
        <v>0</v>
      </c>
      <c r="BC189" s="28" t="n">
        <f aca="false">BC188*Restaurantes!$D$30*Restaurantes!$D$29</f>
        <v>0</v>
      </c>
      <c r="BD189" s="28" t="n">
        <f aca="false">BD188*Restaurantes!$D$30*Restaurantes!$D$29</f>
        <v>0</v>
      </c>
      <c r="BE189" s="28" t="n">
        <f aca="false">BE188*Restaurantes!$D$30*Restaurantes!$D$29</f>
        <v>0</v>
      </c>
      <c r="BF189" s="28" t="n">
        <f aca="false">BF188*Restaurantes!$D$30*Restaurantes!$D$29</f>
        <v>0</v>
      </c>
      <c r="BG189" s="28" t="n">
        <f aca="false">BG188*Restaurantes!$D$30*Restaurantes!$D$29</f>
        <v>0</v>
      </c>
      <c r="BH189" s="28" t="n">
        <f aca="false">BH188*Restaurantes!$D$30*Restaurantes!$D$29</f>
        <v>0</v>
      </c>
      <c r="BI189" s="28" t="n">
        <f aca="false">BI188*Restaurantes!$D$30*Restaurantes!$D$29</f>
        <v>0</v>
      </c>
      <c r="BJ189" s="28" t="n">
        <f aca="false">BJ188*Restaurantes!$D$30*Restaurantes!$D$29</f>
        <v>0</v>
      </c>
      <c r="BK189" s="28" t="n">
        <f aca="false">BK188*Restaurantes!$D$30*Restaurantes!$D$29</f>
        <v>0</v>
      </c>
      <c r="BL189" s="28" t="n">
        <f aca="false">BL188*Restaurantes!$D$30*Restaurantes!$D$29</f>
        <v>0</v>
      </c>
      <c r="BM189" s="28" t="n">
        <f aca="false">BM188*Restaurantes!$D$30*Restaurantes!$D$29</f>
        <v>0</v>
      </c>
      <c r="BN189" s="28" t="n">
        <f aca="false">BN188*Restaurantes!$D$30*Restaurantes!$D$29</f>
        <v>0</v>
      </c>
      <c r="BO189" s="28" t="n">
        <f aca="false">BO188*Restaurantes!$D$30*Restaurantes!$D$29</f>
        <v>0</v>
      </c>
      <c r="BP189" s="28" t="n">
        <f aca="false">BP188*Restaurantes!$D$30*Restaurantes!$D$29</f>
        <v>0</v>
      </c>
      <c r="BQ189" s="28" t="n">
        <f aca="false">BQ188*Restaurantes!$D$30*Restaurantes!$D$29</f>
        <v>0</v>
      </c>
      <c r="BR189" s="28" t="n">
        <f aca="false">BR188*Restaurantes!$D$30*Restaurantes!$D$29</f>
        <v>0</v>
      </c>
      <c r="BS189" s="28" t="n">
        <f aca="false">BS188*Restaurantes!$D$30*Restaurantes!$D$29</f>
        <v>0</v>
      </c>
      <c r="BT189" s="28" t="n">
        <f aca="false">BT188*Restaurantes!$D$30*Restaurantes!$D$29</f>
        <v>0</v>
      </c>
      <c r="BU189" s="28" t="n">
        <f aca="false">BU188*Restaurantes!$D$30*Restaurantes!$D$29</f>
        <v>0</v>
      </c>
      <c r="BV189" s="28" t="n">
        <f aca="false">BV188*Restaurantes!$D$30*Restaurantes!$D$29</f>
        <v>0</v>
      </c>
      <c r="BW189" s="28" t="n">
        <f aca="false">BW188*Restaurantes!$D$30*Restaurantes!$D$29</f>
        <v>0</v>
      </c>
      <c r="BX189" s="28" t="n">
        <f aca="false">BX188*Restaurantes!$D$30*Restaurantes!$D$29</f>
        <v>0</v>
      </c>
      <c r="BY189" s="28" t="n">
        <f aca="false">BY188*Restaurantes!$D$30*Restaurantes!$D$29</f>
        <v>0</v>
      </c>
      <c r="BZ189" s="28" t="n">
        <f aca="false">BZ188*Restaurantes!$D$30*Restaurantes!$D$29</f>
        <v>0</v>
      </c>
      <c r="CA189" s="28" t="n">
        <f aca="false">CA188*Restaurantes!$D$30*Restaurantes!$D$29</f>
        <v>0</v>
      </c>
      <c r="CB189" s="28" t="n">
        <f aca="false">CB188*Restaurantes!$D$30*Restaurantes!$D$29</f>
        <v>0</v>
      </c>
      <c r="CC189" s="28" t="n">
        <f aca="false">CC188*Restaurantes!$D$30*Restaurantes!$D$29</f>
        <v>0</v>
      </c>
      <c r="CD189" s="28" t="n">
        <f aca="false">CD188*Restaurantes!$D$30*Restaurantes!$D$29</f>
        <v>0</v>
      </c>
      <c r="CE189" s="28" t="n">
        <f aca="false">CE188*Restaurantes!$D$30*Restaurantes!$D$29</f>
        <v>0</v>
      </c>
      <c r="CF189" s="28" t="n">
        <f aca="false">CF188*Restaurantes!$D$30*Restaurantes!$D$29</f>
        <v>0</v>
      </c>
      <c r="CG189" s="28" t="n">
        <f aca="false">CG188*Restaurantes!$D$30*Restaurantes!$D$29</f>
        <v>0</v>
      </c>
      <c r="CH189" s="28" t="n">
        <f aca="false">CH188*Restaurantes!$D$30*Restaurantes!$D$29</f>
        <v>0</v>
      </c>
    </row>
    <row r="190" customFormat="false" ht="15" hidden="false" customHeight="false" outlineLevel="0" collapsed="false">
      <c r="A190" s="25" t="s">
        <v>851</v>
      </c>
      <c r="C190" s="156" t="n">
        <f aca="false">C178*Hipótesis!$F$21+C189</f>
        <v>1289.06287337838</v>
      </c>
      <c r="D190" s="156" t="n">
        <f aca="false">D178*Hipótesis!$F$21+D189</f>
        <v>2578.12574675676</v>
      </c>
      <c r="E190" s="156" t="n">
        <f aca="false">E178*Hipótesis!$F$21+E189</f>
        <v>3867.18862013514</v>
      </c>
      <c r="F190" s="156" t="n">
        <f aca="false">F178*Hipótesis!$F$21+F189</f>
        <v>5156.25149351351</v>
      </c>
      <c r="G190" s="156" t="n">
        <f aca="false">G178*Hipótesis!$F$21+G189</f>
        <v>966.797155033784</v>
      </c>
      <c r="H190" s="156" t="n">
        <f aca="false">H178*Hipótesis!$F$21+H189</f>
        <v>7734.37724027027</v>
      </c>
      <c r="I190" s="156" t="n">
        <f aca="false">I178*Hipótesis!$F$21+I189</f>
        <v>9023.44011364865</v>
      </c>
      <c r="J190" s="156" t="n">
        <f aca="false">J178*Hipótesis!$F$21+J189</f>
        <v>10312.502987027</v>
      </c>
      <c r="K190" s="156" t="n">
        <f aca="false">K178*Hipótesis!$F$21+K189</f>
        <v>11601.5658604054</v>
      </c>
      <c r="L190" s="156" t="n">
        <f aca="false">L178*Hipótesis!$F$21+L189</f>
        <v>12890.6287337838</v>
      </c>
      <c r="M190" s="156" t="n">
        <f aca="false">M178*Hipótesis!$F$21+M189</f>
        <v>14179.6916071622</v>
      </c>
      <c r="N190" s="156" t="n">
        <f aca="false">N178*Hipótesis!$F$21+N189</f>
        <v>15468.7544805405</v>
      </c>
      <c r="O190" s="156" t="n">
        <f aca="false">O178*Hipótesis!$F$21+O189</f>
        <v>16757.8173539189</v>
      </c>
      <c r="P190" s="156" t="n">
        <f aca="false">P178*Hipótesis!$F$21+P189</f>
        <v>18046.8802272973</v>
      </c>
      <c r="Q190" s="156" t="n">
        <f aca="false">Q178*Hipótesis!$F$21+Q189</f>
        <v>19335.9431006757</v>
      </c>
      <c r="R190" s="156" t="n">
        <f aca="false">R178*Hipótesis!$F$21+R189</f>
        <v>20625.0059740541</v>
      </c>
      <c r="S190" s="156" t="n">
        <f aca="false">S178*Hipótesis!$F$21+S189</f>
        <v>3287.11032711487</v>
      </c>
      <c r="T190" s="156" t="n">
        <f aca="false">T178*Hipótesis!$F$21+T189</f>
        <v>23203.1317208108</v>
      </c>
      <c r="U190" s="156" t="n">
        <f aca="false">U178*Hipótesis!$F$21+U189</f>
        <v>24492.1945941892</v>
      </c>
      <c r="V190" s="156" t="n">
        <f aca="false">V178*Hipótesis!$F$21+V189</f>
        <v>25781.2574675676</v>
      </c>
      <c r="W190" s="156" t="n">
        <f aca="false">W178*Hipótesis!$F$21+W189</f>
        <v>27070.320340946</v>
      </c>
      <c r="X190" s="156" t="n">
        <f aca="false">X178*Hipótesis!$F$21+X189</f>
        <v>28359.3832143243</v>
      </c>
      <c r="Y190" s="156" t="n">
        <f aca="false">Y178*Hipótesis!$F$21+Y189</f>
        <v>29648.4460877027</v>
      </c>
      <c r="Z190" s="156" t="n">
        <f aca="false">Z178*Hipótesis!$F$21+Z189</f>
        <v>30937.5089610811</v>
      </c>
      <c r="AA190" s="156" t="n">
        <f aca="false">AA178*Hipótesis!$F$21+AA189</f>
        <v>30937.5089610811</v>
      </c>
      <c r="AB190" s="156" t="n">
        <f aca="false">AB178*Hipótesis!$F$21+AB189</f>
        <v>30937.5089610811</v>
      </c>
      <c r="AC190" s="156" t="n">
        <f aca="false">AC178*Hipótesis!$F$21+AC189</f>
        <v>30937.5089610811</v>
      </c>
      <c r="AD190" s="156" t="n">
        <f aca="false">AD178*Hipótesis!$F$21+AD189</f>
        <v>30937.5089610811</v>
      </c>
      <c r="AE190" s="156" t="n">
        <f aca="false">AE178*Hipótesis!$F$21+AE189</f>
        <v>4640.62634416216</v>
      </c>
      <c r="AF190" s="156" t="n">
        <f aca="false">AF178*Hipótesis!$F$21+AF189</f>
        <v>30937.5089610811</v>
      </c>
      <c r="AG190" s="156" t="n">
        <f aca="false">AG178*Hipótesis!$F$21+AG189</f>
        <v>30937.5089610811</v>
      </c>
      <c r="AH190" s="156" t="n">
        <f aca="false">AH178*Hipótesis!$F$21+AH189</f>
        <v>30937.5089610811</v>
      </c>
      <c r="AI190" s="156" t="n">
        <f aca="false">AI178*Hipótesis!$F$21+AI189</f>
        <v>30937.5089610811</v>
      </c>
      <c r="AJ190" s="156" t="n">
        <f aca="false">AJ178*Hipótesis!$F$21+AJ189</f>
        <v>30937.5089610811</v>
      </c>
      <c r="AK190" s="156" t="n">
        <f aca="false">AK178*Hipótesis!$F$21+AK189</f>
        <v>30937.5089610811</v>
      </c>
      <c r="AL190" s="156" t="n">
        <f aca="false">AL178*Hipótesis!$F$21+AL189</f>
        <v>30937.5089610811</v>
      </c>
      <c r="AM190" s="156" t="n">
        <f aca="false">AM178*Hipótesis!$F$21+AM189</f>
        <v>30937.5089610811</v>
      </c>
      <c r="AN190" s="156" t="n">
        <f aca="false">AN178*Hipótesis!$F$21+AN189</f>
        <v>30937.5089610811</v>
      </c>
      <c r="AO190" s="156" t="n">
        <f aca="false">AO178*Hipótesis!$F$21+AO189</f>
        <v>30937.5089610811</v>
      </c>
      <c r="AP190" s="156" t="n">
        <f aca="false">AP178*Hipótesis!$F$21+AP189</f>
        <v>30937.5089610811</v>
      </c>
      <c r="AQ190" s="156" t="n">
        <f aca="false">AQ178*Hipótesis!$F$21+AQ189</f>
        <v>4640.62634416216</v>
      </c>
      <c r="AR190" s="156" t="n">
        <f aca="false">AR178*Hipótesis!$F$21+AR189</f>
        <v>30937.5089610811</v>
      </c>
      <c r="AS190" s="156" t="n">
        <f aca="false">AS178*Hipótesis!$F$21+AS189</f>
        <v>30937.5089610811</v>
      </c>
      <c r="AT190" s="156" t="n">
        <f aca="false">AT178*Hipótesis!$F$21+AT189</f>
        <v>30937.5089610811</v>
      </c>
      <c r="AU190" s="156" t="n">
        <f aca="false">AU178*Hipótesis!$F$21+AU189</f>
        <v>30937.5089610811</v>
      </c>
      <c r="AV190" s="156" t="n">
        <f aca="false">AV178*Hipótesis!$F$21+AV189</f>
        <v>30937.5089610811</v>
      </c>
      <c r="AW190" s="156" t="n">
        <f aca="false">AW178*Hipótesis!$F$21+AW189</f>
        <v>30937.5089610811</v>
      </c>
      <c r="AX190" s="156" t="n">
        <f aca="false">AX178*Hipótesis!$F$21+AX189</f>
        <v>30937.5089610811</v>
      </c>
      <c r="AY190" s="156" t="n">
        <f aca="false">AY178*Hipótesis!$F$21+AY189</f>
        <v>30937.5089610811</v>
      </c>
      <c r="AZ190" s="156" t="n">
        <f aca="false">AZ178*Hipótesis!$F$21+AZ189</f>
        <v>30937.5089610811</v>
      </c>
      <c r="BA190" s="156" t="n">
        <f aca="false">BA178*Hipótesis!$F$21+BA189</f>
        <v>30937.5089610811</v>
      </c>
      <c r="BB190" s="156" t="n">
        <f aca="false">BB178*Hipótesis!$F$21+BB189</f>
        <v>30937.5089610811</v>
      </c>
      <c r="BC190" s="156" t="n">
        <f aca="false">BC178*Hipótesis!$F$21+BC189</f>
        <v>4640.62634416216</v>
      </c>
      <c r="BD190" s="156" t="n">
        <f aca="false">BD178*Hipótesis!$F$21+BD189</f>
        <v>30937.5089610811</v>
      </c>
      <c r="BE190" s="156" t="n">
        <f aca="false">BE178*Hipótesis!$F$21+BE189</f>
        <v>30937.5089610811</v>
      </c>
      <c r="BF190" s="156" t="n">
        <f aca="false">BF178*Hipótesis!$F$21+BF189</f>
        <v>30937.5089610811</v>
      </c>
      <c r="BG190" s="156" t="n">
        <f aca="false">BG178*Hipótesis!$F$21+BG189</f>
        <v>30937.5089610811</v>
      </c>
      <c r="BH190" s="156" t="n">
        <f aca="false">BH178*Hipótesis!$F$21+BH189</f>
        <v>30937.5089610811</v>
      </c>
      <c r="BI190" s="156" t="n">
        <f aca="false">BI178*Hipótesis!$F$21+BI189</f>
        <v>30937.5089610811</v>
      </c>
      <c r="BJ190" s="156" t="n">
        <f aca="false">BJ178*Hipótesis!$F$21+BJ189</f>
        <v>30937.5089610811</v>
      </c>
      <c r="BK190" s="156" t="n">
        <f aca="false">BK178*Hipótesis!$F$21+BK189</f>
        <v>30937.5089610811</v>
      </c>
      <c r="BL190" s="156" t="n">
        <f aca="false">BL178*Hipótesis!$F$21+BL189</f>
        <v>30937.5089610811</v>
      </c>
      <c r="BM190" s="156" t="n">
        <f aca="false">BM178*Hipótesis!$F$21+BM189</f>
        <v>30937.5089610811</v>
      </c>
      <c r="BN190" s="156" t="n">
        <f aca="false">BN178*Hipótesis!$F$21+BN189</f>
        <v>30937.5089610811</v>
      </c>
      <c r="BO190" s="156" t="n">
        <f aca="false">BO178*Hipótesis!$F$21+BO189</f>
        <v>4640.62634416216</v>
      </c>
      <c r="BP190" s="156" t="n">
        <f aca="false">BP178*Hipótesis!$F$21+BP189</f>
        <v>30937.5089610811</v>
      </c>
      <c r="BQ190" s="156" t="n">
        <f aca="false">BQ178*Hipótesis!$F$21+BQ189</f>
        <v>30937.5089610811</v>
      </c>
      <c r="BR190" s="156" t="n">
        <f aca="false">BR178*Hipótesis!$F$21+BR189</f>
        <v>30937.5089610811</v>
      </c>
      <c r="BS190" s="156" t="n">
        <f aca="false">BS178*Hipótesis!$F$21+BS189</f>
        <v>30937.5089610811</v>
      </c>
      <c r="BT190" s="156" t="n">
        <f aca="false">BT178*Hipótesis!$F$21+BT189</f>
        <v>30937.5089610811</v>
      </c>
      <c r="BU190" s="156" t="n">
        <f aca="false">BU178*Hipótesis!$F$21+BU189</f>
        <v>30937.5089610811</v>
      </c>
      <c r="BV190" s="156" t="n">
        <f aca="false">BV178*Hipótesis!$F$21+BV189</f>
        <v>30937.5089610811</v>
      </c>
      <c r="BW190" s="156" t="n">
        <f aca="false">BW178*Hipótesis!$F$21+BW189</f>
        <v>30937.5089610811</v>
      </c>
      <c r="BX190" s="156" t="n">
        <f aca="false">BX178*Hipótesis!$F$21+BX189</f>
        <v>30937.5089610811</v>
      </c>
      <c r="BY190" s="156" t="n">
        <f aca="false">BY178*Hipótesis!$F$21+BY189</f>
        <v>30937.5089610811</v>
      </c>
      <c r="BZ190" s="156" t="n">
        <f aca="false">BZ178*Hipótesis!$F$21+BZ189</f>
        <v>30937.5089610811</v>
      </c>
      <c r="CA190" s="156" t="n">
        <f aca="false">CA178*Hipótesis!$F$21+CA189</f>
        <v>4640.62634416216</v>
      </c>
      <c r="CB190" s="156" t="n">
        <f aca="false">CB178*Hipótesis!$F$21+CB189</f>
        <v>30937.5089610811</v>
      </c>
      <c r="CC190" s="156" t="n">
        <f aca="false">CC178*Hipótesis!$F$21+CC189</f>
        <v>30937.5089610811</v>
      </c>
      <c r="CD190" s="156" t="n">
        <f aca="false">CD178*Hipótesis!$F$21+CD189</f>
        <v>30937.5089610811</v>
      </c>
      <c r="CE190" s="156" t="n">
        <f aca="false">CE178*Hipótesis!$F$21+CE189</f>
        <v>30937.5089610811</v>
      </c>
      <c r="CF190" s="156" t="n">
        <f aca="false">CF178*Hipótesis!$F$21+CF189</f>
        <v>30937.5089610811</v>
      </c>
      <c r="CG190" s="156" t="n">
        <f aca="false">CG178*Hipótesis!$F$21+CG189</f>
        <v>30937.5089610811</v>
      </c>
      <c r="CH190" s="156" t="n">
        <f aca="false">CH178*Hipótesis!$F$21+CH189</f>
        <v>30937.5089610811</v>
      </c>
    </row>
    <row r="191" customFormat="false" ht="15" hidden="false" customHeight="false" outlineLevel="0" collapsed="false">
      <c r="A191" s="1" t="s">
        <v>852</v>
      </c>
      <c r="C191" s="26" t="n">
        <f aca="false">IFERROR(C190/(C186+C190),0)</f>
        <v>0.555107055788306</v>
      </c>
      <c r="D191" s="26" t="n">
        <f aca="false">IFERROR(D190/(D186+D190),0)</f>
        <v>0.545903611639494</v>
      </c>
      <c r="E191" s="26" t="n">
        <f aca="false">IFERROR(E190/(E186+E190),0)</f>
        <v>0.464535469082642</v>
      </c>
      <c r="F191" s="26" t="n">
        <f aca="false">IFERROR(F190/(F186+F190),0)</f>
        <v>0.473315413819711</v>
      </c>
      <c r="G191" s="26" t="n">
        <f aca="false">IFERROR(G190/(G186+G190),0)</f>
        <v>0.122284428133061</v>
      </c>
      <c r="H191" s="26" t="n">
        <f aca="false">IFERROR(H190/(H186+H190),0)</f>
        <v>0.466118620999544</v>
      </c>
      <c r="I191" s="26" t="n">
        <f aca="false">IFERROR(I190/(I186+I190),0)</f>
        <v>0.453070285325228</v>
      </c>
      <c r="J191" s="26" t="n">
        <f aca="false">IFERROR(J190/(J186+J190),0)</f>
        <v>0.407589874036951</v>
      </c>
      <c r="K191" s="26" t="n">
        <f aca="false">IFERROR(K190/(K186+K190),0)</f>
        <v>0.378071762081866</v>
      </c>
      <c r="L191" s="26" t="n">
        <f aca="false">IFERROR(L190/(L186+L190),0)</f>
        <v>0.357367028007302</v>
      </c>
      <c r="M191" s="26" t="n">
        <f aca="false">IFERROR(M190/(M186+M190),0)</f>
        <v>0.352251934646397</v>
      </c>
      <c r="N191" s="26" t="n">
        <f aca="false">IFERROR(N190/(N186+N190),0)</f>
        <v>0.340598142630688</v>
      </c>
      <c r="O191" s="26" t="n">
        <f aca="false">IFERROR(O190/(O186+O190),0)</f>
        <v>0.331323120555905</v>
      </c>
      <c r="P191" s="26" t="n">
        <f aca="false">IFERROR(P190/(P186+P190),0)</f>
        <v>0.325825613835022</v>
      </c>
      <c r="Q191" s="26" t="n">
        <f aca="false">IFERROR(Q190/(Q186+Q190),0)</f>
        <v>0.321206586197224</v>
      </c>
      <c r="R191" s="26" t="n">
        <f aca="false">IFERROR(R190/(R186+R190),0)</f>
        <v>0.317271050658401</v>
      </c>
      <c r="S191" s="26" t="n">
        <f aca="false">IFERROR(S190/(S186+S190),0)</f>
        <v>0.0642135998154195</v>
      </c>
      <c r="T191" s="26" t="n">
        <f aca="false">IFERROR(T190/(T186+T190),0)</f>
        <v>0.310921845172712</v>
      </c>
      <c r="U191" s="26" t="n">
        <f aca="false">IFERROR(U190/(U186+U190),0)</f>
        <v>0.308323884983821</v>
      </c>
      <c r="V191" s="26" t="n">
        <f aca="false">IFERROR(V190/(V186+V190),0)</f>
        <v>0.306022563911471</v>
      </c>
      <c r="W191" s="26" t="n">
        <f aca="false">IFERROR(W190/(W186+W190),0)</f>
        <v>0.303969819791446</v>
      </c>
      <c r="X191" s="26" t="n">
        <f aca="false">IFERROR(X190/(X186+X190),0)</f>
        <v>0.305310961156452</v>
      </c>
      <c r="Y191" s="26" t="n">
        <f aca="false">IFERROR(Y190/(Y186+Y190),0)</f>
        <v>0.306545858920025</v>
      </c>
      <c r="Z191" s="26" t="n">
        <f aca="false">IFERROR(Z190/(Z186+Z190),0)</f>
        <v>0.308808886239382</v>
      </c>
      <c r="AA191" s="26" t="n">
        <f aca="false">IFERROR(AA190/(AA186+AA190),0)</f>
        <v>0.301231372819277</v>
      </c>
      <c r="AB191" s="26" t="n">
        <f aca="false">IFERROR(AB190/(AB186+AB190),0)</f>
        <v>0.294016825125218</v>
      </c>
      <c r="AC191" s="26" t="n">
        <f aca="false">IFERROR(AC190/(AC186+AC190),0)</f>
        <v>0.287139773860636</v>
      </c>
      <c r="AD191" s="26" t="n">
        <f aca="false">IFERROR(AD190/(AD186+AD190),0)</f>
        <v>0.280577078173263</v>
      </c>
      <c r="AE191" s="26" t="n">
        <f aca="false">IFERROR(AE190/(AE186+AE190),0)</f>
        <v>0.0536568660397663</v>
      </c>
      <c r="AF191" s="26" t="n">
        <f aca="false">IFERROR(AF190/(AF186+AF190),0)</f>
        <v>0.268312305604925</v>
      </c>
      <c r="AG191" s="26" t="n">
        <f aca="false">IFERROR(AG190/(AG186+AG190),0)</f>
        <v>0.26257341342751</v>
      </c>
      <c r="AH191" s="26" t="n">
        <f aca="false">IFERROR(AH190/(AH186+AH190),0)</f>
        <v>0.257074876947793</v>
      </c>
      <c r="AI191" s="26" t="n">
        <f aca="false">IFERROR(AI190/(AI186+AI190),0)</f>
        <v>0.251801906055444</v>
      </c>
      <c r="AJ191" s="26" t="n">
        <f aca="false">IFERROR(AJ190/(AJ186+AJ190),0)</f>
        <v>0.2467408997152</v>
      </c>
      <c r="AK191" s="26" t="n">
        <f aca="false">IFERROR(AK190/(AK186+AK190),0)</f>
        <v>0.241879328824294</v>
      </c>
      <c r="AL191" s="26" t="n">
        <f aca="false">IFERROR(AL190/(AL186+AL190),0)</f>
        <v>0.237205632650758</v>
      </c>
      <c r="AM191" s="26" t="n">
        <f aca="false">IFERROR(AM190/(AM186+AM190),0)</f>
        <v>0.232709127050509</v>
      </c>
      <c r="AN191" s="26" t="n">
        <f aca="false">IFERROR(AN190/(AN186+AN190),0)</f>
        <v>0.228379922929339</v>
      </c>
      <c r="AO191" s="26" t="n">
        <f aca="false">IFERROR(AO190/(AO186+AO190),0)</f>
        <v>0.224208853640035</v>
      </c>
      <c r="AP191" s="26" t="n">
        <f aca="false">IFERROR(AP190/(AP186+AP190),0)</f>
        <v>0.22018741019279</v>
      </c>
      <c r="AQ191" s="26" t="n">
        <f aca="false">IFERROR(AQ190/(AQ186+AQ190),0)</f>
        <v>0.0397556955375483</v>
      </c>
      <c r="AR191" s="26" t="n">
        <f aca="false">IFERROR(AR190/(AR186+AR190),0)</f>
        <v>0.212562311531762</v>
      </c>
      <c r="AS191" s="26" t="n">
        <f aca="false">IFERROR(AS190/(AS186+AS190),0)</f>
        <v>0.212562311531762</v>
      </c>
      <c r="AT191" s="26" t="n">
        <f aca="false">IFERROR(AT190/(AT186+AT190),0)</f>
        <v>0.212562311531762</v>
      </c>
      <c r="AU191" s="26" t="n">
        <f aca="false">IFERROR(AU190/(AU186+AU190),0)</f>
        <v>0.212562311531762</v>
      </c>
      <c r="AV191" s="26" t="n">
        <f aca="false">IFERROR(AV190/(AV186+AV190),0)</f>
        <v>0.212562311531762</v>
      </c>
      <c r="AW191" s="26" t="n">
        <f aca="false">IFERROR(AW190/(AW186+AW190),0)</f>
        <v>0.212562311531762</v>
      </c>
      <c r="AX191" s="26" t="n">
        <f aca="false">IFERROR(AX190/(AX186+AX190),0)</f>
        <v>0.212562311531762</v>
      </c>
      <c r="AY191" s="26" t="n">
        <f aca="false">IFERROR(AY190/(AY186+AY190),0)</f>
        <v>0.212562311531762</v>
      </c>
      <c r="AZ191" s="26" t="n">
        <f aca="false">IFERROR(AZ190/(AZ186+AZ190),0)</f>
        <v>0.212562311531762</v>
      </c>
      <c r="BA191" s="26" t="n">
        <f aca="false">IFERROR(BA190/(BA186+BA190),0)</f>
        <v>0.212562311531762</v>
      </c>
      <c r="BB191" s="26" t="n">
        <f aca="false">IFERROR(BB190/(BB186+BB190),0)</f>
        <v>0.212562311531762</v>
      </c>
      <c r="BC191" s="26" t="n">
        <f aca="false">IFERROR(BC190/(BC186+BC190),0)</f>
        <v>0.0389155244946622</v>
      </c>
      <c r="BD191" s="26" t="n">
        <f aca="false">IFERROR(BD190/(BD186+BD190),0)</f>
        <v>0.212562311531762</v>
      </c>
      <c r="BE191" s="26" t="n">
        <f aca="false">IFERROR(BE190/(BE186+BE190),0)</f>
        <v>0.212562311531762</v>
      </c>
      <c r="BF191" s="26" t="n">
        <f aca="false">IFERROR(BF190/(BF186+BF190),0)</f>
        <v>0.212562311531762</v>
      </c>
      <c r="BG191" s="26" t="n">
        <f aca="false">IFERROR(BG190/(BG186+BG190),0)</f>
        <v>0.212562311531762</v>
      </c>
      <c r="BH191" s="26" t="n">
        <f aca="false">IFERROR(BH190/(BH186+BH190),0)</f>
        <v>0.212562311531762</v>
      </c>
      <c r="BI191" s="26" t="n">
        <f aca="false">IFERROR(BI190/(BI186+BI190),0)</f>
        <v>0.212562311531762</v>
      </c>
      <c r="BJ191" s="26" t="n">
        <f aca="false">IFERROR(BJ190/(BJ186+BJ190),0)</f>
        <v>0.212562311531762</v>
      </c>
      <c r="BK191" s="26" t="n">
        <f aca="false">IFERROR(BK190/(BK186+BK190),0)</f>
        <v>0.212562311531762</v>
      </c>
      <c r="BL191" s="26" t="n">
        <f aca="false">IFERROR(BL190/(BL186+BL190),0)</f>
        <v>0.212562311531762</v>
      </c>
      <c r="BM191" s="26" t="n">
        <f aca="false">IFERROR(BM190/(BM186+BM190),0)</f>
        <v>0.212562311531762</v>
      </c>
      <c r="BN191" s="26" t="n">
        <f aca="false">IFERROR(BN190/(BN186+BN190),0)</f>
        <v>0.212562311531762</v>
      </c>
      <c r="BO191" s="26" t="n">
        <f aca="false">IFERROR(BO190/(BO186+BO190),0)</f>
        <v>0.0389155244946622</v>
      </c>
      <c r="BP191" s="26" t="n">
        <f aca="false">IFERROR(BP190/(BP186+BP190),0)</f>
        <v>0.212562311531762</v>
      </c>
      <c r="BQ191" s="26" t="n">
        <f aca="false">IFERROR(BQ190/(BQ186+BQ190),0)</f>
        <v>0.212562311531762</v>
      </c>
      <c r="BR191" s="26" t="n">
        <f aca="false">IFERROR(BR190/(BR186+BR190),0)</f>
        <v>0.212562311531762</v>
      </c>
      <c r="BS191" s="26" t="n">
        <f aca="false">IFERROR(BS190/(BS186+BS190),0)</f>
        <v>0.212562311531762</v>
      </c>
      <c r="BT191" s="26" t="n">
        <f aca="false">IFERROR(BT190/(BT186+BT190),0)</f>
        <v>0.212562311531762</v>
      </c>
      <c r="BU191" s="26" t="n">
        <f aca="false">IFERROR(BU190/(BU186+BU190),0)</f>
        <v>0.212562311531762</v>
      </c>
      <c r="BV191" s="26" t="n">
        <f aca="false">IFERROR(BV190/(BV186+BV190),0)</f>
        <v>0.212562311531762</v>
      </c>
      <c r="BW191" s="26" t="n">
        <f aca="false">IFERROR(BW190/(BW186+BW190),0)</f>
        <v>0.212562311531762</v>
      </c>
      <c r="BX191" s="26" t="n">
        <f aca="false">IFERROR(BX190/(BX186+BX190),0)</f>
        <v>0.212562311531762</v>
      </c>
      <c r="BY191" s="26" t="n">
        <f aca="false">IFERROR(BY190/(BY186+BY190),0)</f>
        <v>0.212562311531762</v>
      </c>
      <c r="BZ191" s="26" t="n">
        <f aca="false">IFERROR(BZ190/(BZ186+BZ190),0)</f>
        <v>0.212562311531762</v>
      </c>
      <c r="CA191" s="26" t="n">
        <f aca="false">IFERROR(CA190/(CA186+CA190),0)</f>
        <v>0.0389155244946622</v>
      </c>
      <c r="CB191" s="26" t="n">
        <f aca="false">IFERROR(CB190/(CB186+CB190),0)</f>
        <v>0.212562311531762</v>
      </c>
      <c r="CC191" s="26" t="n">
        <f aca="false">IFERROR(CC190/(CC186+CC190),0)</f>
        <v>0.212562311531762</v>
      </c>
      <c r="CD191" s="26" t="n">
        <f aca="false">IFERROR(CD190/(CD186+CD190),0)</f>
        <v>0.212562311531762</v>
      </c>
      <c r="CE191" s="26" t="n">
        <f aca="false">IFERROR(CE190/(CE186+CE190),0)</f>
        <v>0.212562311531762</v>
      </c>
      <c r="CF191" s="26" t="n">
        <f aca="false">IFERROR(CF190/(CF186+CF190),0)</f>
        <v>0.212562311531762</v>
      </c>
      <c r="CG191" s="26" t="n">
        <f aca="false">IFERROR(CG190/(CG186+CG190),0)</f>
        <v>0.212562311531762</v>
      </c>
      <c r="CH191" s="26" t="n">
        <f aca="false">IFERROR(CH190/(CH186+CH190),0)</f>
        <v>0.212562311531762</v>
      </c>
    </row>
    <row r="192" customFormat="false" ht="15" hidden="false" customHeight="false" outlineLevel="0" collapsed="false">
      <c r="A192" s="1" t="s">
        <v>853</v>
      </c>
      <c r="C192" s="28" t="n">
        <f aca="false">-C186*Hipótesis!$F$34</f>
        <v>-103.3125</v>
      </c>
      <c r="D192" s="28" t="n">
        <f aca="false">-D186*Hipótesis!$F$34</f>
        <v>-214.455</v>
      </c>
      <c r="E192" s="28" t="n">
        <f aca="false">-E186*Hipótesis!$F$34</f>
        <v>-445.76625</v>
      </c>
      <c r="F192" s="28" t="n">
        <f aca="false">-F186*Hipótesis!$F$34</f>
        <v>-573.765</v>
      </c>
      <c r="G192" s="28" t="n">
        <f aca="false">-G186*Hipótesis!$F$34</f>
        <v>-693.93375</v>
      </c>
      <c r="H192" s="28" t="n">
        <f aca="false">-H186*Hipótesis!$F$34</f>
        <v>-885.8775</v>
      </c>
      <c r="I192" s="28" t="n">
        <f aca="false">-I186*Hipótesis!$F$34</f>
        <v>-1089.2763632027</v>
      </c>
      <c r="J192" s="28" t="n">
        <f aca="false">-J186*Hipótesis!$F$34</f>
        <v>-1498.86726405405</v>
      </c>
      <c r="K192" s="28" t="n">
        <f aca="false">-K186*Hipótesis!$F$34</f>
        <v>-1908.45816490541</v>
      </c>
      <c r="L192" s="28" t="n">
        <f aca="false">-L186*Hipótesis!$F$34</f>
        <v>-2318.04906575676</v>
      </c>
      <c r="M192" s="28" t="n">
        <f aca="false">-M186*Hipótesis!$F$34</f>
        <v>-2607.47121660811</v>
      </c>
      <c r="N192" s="28" t="n">
        <f aca="false">-N186*Hipótesis!$F$34</f>
        <v>-2994.76836745946</v>
      </c>
      <c r="O192" s="28" t="n">
        <f aca="false">-O186*Hipótesis!$F$34</f>
        <v>-3382.06551831081</v>
      </c>
      <c r="P192" s="28" t="n">
        <f aca="false">-P186*Hipótesis!$F$34</f>
        <v>-3734.12766916216</v>
      </c>
      <c r="Q192" s="28" t="n">
        <f aca="false">-Q186*Hipótesis!$F$34</f>
        <v>-4086.18982001351</v>
      </c>
      <c r="R192" s="28" t="n">
        <f aca="false">-R186*Hipótesis!$F$34</f>
        <v>-4438.25197086487</v>
      </c>
      <c r="S192" s="28" t="n">
        <f aca="false">-S186*Hipótesis!$F$34</f>
        <v>-4790.31412171622</v>
      </c>
      <c r="T192" s="28" t="n">
        <f aca="false">-T186*Hipótesis!$F$34</f>
        <v>-5142.37627256757</v>
      </c>
      <c r="U192" s="28" t="n">
        <f aca="false">-U186*Hipótesis!$F$34</f>
        <v>-5494.43842341892</v>
      </c>
      <c r="V192" s="28" t="n">
        <f aca="false">-V186*Hipótesis!$F$34</f>
        <v>-5846.50057427027</v>
      </c>
      <c r="W192" s="28" t="n">
        <f aca="false">-W186*Hipótesis!$F$34</f>
        <v>-6198.56272512162</v>
      </c>
      <c r="X192" s="28" t="n">
        <f aca="false">-X186*Hipótesis!$F$34</f>
        <v>-6452.74987597297</v>
      </c>
      <c r="Y192" s="28" t="n">
        <f aca="false">-Y186*Hipótesis!$F$34</f>
        <v>-6706.93702682433</v>
      </c>
      <c r="Z192" s="28" t="n">
        <f aca="false">-Z186*Hipótesis!$F$34</f>
        <v>-6924.58417767568</v>
      </c>
      <c r="AA192" s="28" t="n">
        <f aca="false">-AA186*Hipótesis!$F$34</f>
        <v>-7176.59666813514</v>
      </c>
      <c r="AB192" s="28" t="n">
        <f aca="false">-AB186*Hipótesis!$F$34</f>
        <v>-7428.6091585946</v>
      </c>
      <c r="AC192" s="28" t="n">
        <f aca="false">-AC186*Hipótesis!$F$34</f>
        <v>-7680.62164905406</v>
      </c>
      <c r="AD192" s="28" t="n">
        <f aca="false">-AD186*Hipótesis!$F$34</f>
        <v>-7932.63413951351</v>
      </c>
      <c r="AE192" s="28" t="n">
        <f aca="false">-AE186*Hipótesis!$F$34</f>
        <v>-8184.64662997298</v>
      </c>
      <c r="AF192" s="28" t="n">
        <f aca="false">-AF186*Hipótesis!$F$34</f>
        <v>-8436.65912043243</v>
      </c>
      <c r="AG192" s="28" t="n">
        <f aca="false">-AG186*Hipótesis!$F$34</f>
        <v>-8688.67161089189</v>
      </c>
      <c r="AH192" s="28" t="n">
        <f aca="false">-AH186*Hipótesis!$F$34</f>
        <v>-8940.68410135135</v>
      </c>
      <c r="AI192" s="28" t="n">
        <f aca="false">-AI186*Hipótesis!$F$34</f>
        <v>-9192.69659181081</v>
      </c>
      <c r="AJ192" s="28" t="n">
        <f aca="false">-AJ186*Hipótesis!$F$34</f>
        <v>-9444.70908227027</v>
      </c>
      <c r="AK192" s="28" t="n">
        <f aca="false">-AK186*Hipótesis!$F$34</f>
        <v>-9696.72157272973</v>
      </c>
      <c r="AL192" s="28" t="n">
        <f aca="false">-AL186*Hipótesis!$F$34</f>
        <v>-9948.73406318919</v>
      </c>
      <c r="AM192" s="28" t="n">
        <f aca="false">-AM186*Hipótesis!$F$34</f>
        <v>-10200.7465536486</v>
      </c>
      <c r="AN192" s="28" t="n">
        <f aca="false">-AN186*Hipótesis!$F$34</f>
        <v>-10452.7590441081</v>
      </c>
      <c r="AO192" s="28" t="n">
        <f aca="false">-AO186*Hipótesis!$F$34</f>
        <v>-10704.7715345676</v>
      </c>
      <c r="AP192" s="28" t="n">
        <f aca="false">-AP186*Hipótesis!$F$34</f>
        <v>-10956.784025027</v>
      </c>
      <c r="AQ192" s="28" t="n">
        <f aca="false">-AQ186*Hipótesis!$F$34</f>
        <v>-11208.7965154865</v>
      </c>
      <c r="AR192" s="28" t="n">
        <f aca="false">-AR186*Hipótesis!$F$34</f>
        <v>-11460.8090059459</v>
      </c>
      <c r="AS192" s="28" t="n">
        <f aca="false">-AS186*Hipótesis!$F$34</f>
        <v>-11460.8090059459</v>
      </c>
      <c r="AT192" s="28" t="n">
        <f aca="false">-AT186*Hipótesis!$F$34</f>
        <v>-11460.8090059459</v>
      </c>
      <c r="AU192" s="28" t="n">
        <f aca="false">-AU186*Hipótesis!$F$34</f>
        <v>-11460.8090059459</v>
      </c>
      <c r="AV192" s="28" t="n">
        <f aca="false">-AV186*Hipótesis!$F$34</f>
        <v>-11460.8090059459</v>
      </c>
      <c r="AW192" s="28" t="n">
        <f aca="false">-AW186*Hipótesis!$F$34</f>
        <v>-11460.8090059459</v>
      </c>
      <c r="AX192" s="28" t="n">
        <f aca="false">-AX186*Hipótesis!$F$34</f>
        <v>-11460.8090059459</v>
      </c>
      <c r="AY192" s="28" t="n">
        <f aca="false">-AY186*Hipótesis!$F$34</f>
        <v>-11460.8090059459</v>
      </c>
      <c r="AZ192" s="28" t="n">
        <f aca="false">-AZ186*Hipótesis!$F$34</f>
        <v>-11460.8090059459</v>
      </c>
      <c r="BA192" s="28" t="n">
        <f aca="false">-BA186*Hipótesis!$F$34</f>
        <v>-11460.8090059459</v>
      </c>
      <c r="BB192" s="28" t="n">
        <f aca="false">-BB186*Hipótesis!$F$34</f>
        <v>-11460.8090059459</v>
      </c>
      <c r="BC192" s="28" t="n">
        <f aca="false">-BC186*Hipótesis!$F$34</f>
        <v>-11460.8090059459</v>
      </c>
      <c r="BD192" s="28" t="n">
        <f aca="false">-BD186*Hipótesis!$F$34</f>
        <v>-11460.8090059459</v>
      </c>
      <c r="BE192" s="28" t="n">
        <f aca="false">-BE186*Hipótesis!$F$34</f>
        <v>-11460.8090059459</v>
      </c>
      <c r="BF192" s="28" t="n">
        <f aca="false">-BF186*Hipótesis!$F$34</f>
        <v>-11460.8090059459</v>
      </c>
      <c r="BG192" s="28" t="n">
        <f aca="false">-BG186*Hipótesis!$F$34</f>
        <v>-11460.8090059459</v>
      </c>
      <c r="BH192" s="28" t="n">
        <f aca="false">-BH186*Hipótesis!$F$34</f>
        <v>-11460.8090059459</v>
      </c>
      <c r="BI192" s="28" t="n">
        <f aca="false">-BI186*Hipótesis!$F$34</f>
        <v>-11460.8090059459</v>
      </c>
      <c r="BJ192" s="28" t="n">
        <f aca="false">-BJ186*Hipótesis!$F$34</f>
        <v>-11460.8090059459</v>
      </c>
      <c r="BK192" s="28" t="n">
        <f aca="false">-BK186*Hipótesis!$F$34</f>
        <v>-11460.8090059459</v>
      </c>
      <c r="BL192" s="28" t="n">
        <f aca="false">-BL186*Hipótesis!$F$34</f>
        <v>-11460.8090059459</v>
      </c>
      <c r="BM192" s="28" t="n">
        <f aca="false">-BM186*Hipótesis!$F$34</f>
        <v>-11460.8090059459</v>
      </c>
      <c r="BN192" s="28" t="n">
        <f aca="false">-BN186*Hipótesis!$F$34</f>
        <v>-11460.8090059459</v>
      </c>
      <c r="BO192" s="28" t="n">
        <f aca="false">-BO186*Hipótesis!$F$34</f>
        <v>-11460.8090059459</v>
      </c>
      <c r="BP192" s="28" t="n">
        <f aca="false">-BP186*Hipótesis!$F$34</f>
        <v>-11460.8090059459</v>
      </c>
      <c r="BQ192" s="28" t="n">
        <f aca="false">-BQ186*Hipótesis!$F$34</f>
        <v>-11460.8090059459</v>
      </c>
      <c r="BR192" s="28" t="n">
        <f aca="false">-BR186*Hipótesis!$F$34</f>
        <v>-11460.8090059459</v>
      </c>
      <c r="BS192" s="28" t="n">
        <f aca="false">-BS186*Hipótesis!$F$34</f>
        <v>-11460.8090059459</v>
      </c>
      <c r="BT192" s="28" t="n">
        <f aca="false">-BT186*Hipótesis!$F$34</f>
        <v>-11460.8090059459</v>
      </c>
      <c r="BU192" s="28" t="n">
        <f aca="false">-BU186*Hipótesis!$F$34</f>
        <v>-11460.8090059459</v>
      </c>
      <c r="BV192" s="28" t="n">
        <f aca="false">-BV186*Hipótesis!$F$34</f>
        <v>-11460.8090059459</v>
      </c>
      <c r="BW192" s="28" t="n">
        <f aca="false">-BW186*Hipótesis!$F$34</f>
        <v>-11460.8090059459</v>
      </c>
      <c r="BX192" s="28" t="n">
        <f aca="false">-BX186*Hipótesis!$F$34</f>
        <v>-11460.8090059459</v>
      </c>
      <c r="BY192" s="28" t="n">
        <f aca="false">-BY186*Hipótesis!$F$34</f>
        <v>-11460.8090059459</v>
      </c>
      <c r="BZ192" s="28" t="n">
        <f aca="false">-BZ186*Hipótesis!$F$34</f>
        <v>-11460.8090059459</v>
      </c>
      <c r="CA192" s="28" t="n">
        <f aca="false">-CA186*Hipótesis!$F$34</f>
        <v>-11460.8090059459</v>
      </c>
      <c r="CB192" s="28" t="n">
        <f aca="false">-CB186*Hipótesis!$F$34</f>
        <v>-11460.8090059459</v>
      </c>
      <c r="CC192" s="28" t="n">
        <f aca="false">-CC186*Hipótesis!$F$34</f>
        <v>-11460.8090059459</v>
      </c>
      <c r="CD192" s="28" t="n">
        <f aca="false">-CD186*Hipótesis!$F$34</f>
        <v>-11460.8090059459</v>
      </c>
      <c r="CE192" s="28" t="n">
        <f aca="false">-CE186*Hipótesis!$F$34</f>
        <v>-11460.8090059459</v>
      </c>
      <c r="CF192" s="28" t="n">
        <f aca="false">-CF186*Hipótesis!$F$34</f>
        <v>-11460.8090059459</v>
      </c>
      <c r="CG192" s="28" t="n">
        <f aca="false">-CG186*Hipótesis!$F$34</f>
        <v>-11460.8090059459</v>
      </c>
      <c r="CH192" s="28" t="n">
        <f aca="false">-CH186*Hipótesis!$F$34</f>
        <v>-11460.8090059459</v>
      </c>
    </row>
    <row r="193" customFormat="false" ht="15" hidden="false" customHeight="false" outlineLevel="0" collapsed="false">
      <c r="A193" s="1" t="s">
        <v>854</v>
      </c>
      <c r="C193" s="28" t="n">
        <f aca="false">-C190*Restaurantes!$D$27</f>
        <v>-128.906287337838</v>
      </c>
      <c r="D193" s="28" t="n">
        <f aca="false">-D190*Restaurantes!$D$27</f>
        <v>-257.812574675676</v>
      </c>
      <c r="E193" s="28" t="n">
        <f aca="false">-E190*Restaurantes!$D$27</f>
        <v>-386.718862013514</v>
      </c>
      <c r="F193" s="28" t="n">
        <f aca="false">-F190*Restaurantes!$D$27</f>
        <v>-515.625149351351</v>
      </c>
      <c r="G193" s="28" t="n">
        <f aca="false">-G190*Restaurantes!$D$27</f>
        <v>-96.6797155033784</v>
      </c>
      <c r="H193" s="28" t="n">
        <f aca="false">-H190*Restaurantes!$D$27</f>
        <v>-773.437724027027</v>
      </c>
      <c r="I193" s="28" t="n">
        <f aca="false">-I190*Restaurantes!$D$27</f>
        <v>-902.344011364865</v>
      </c>
      <c r="J193" s="28" t="n">
        <f aca="false">-J190*Restaurantes!$D$27</f>
        <v>-1031.2502987027</v>
      </c>
      <c r="K193" s="28" t="n">
        <f aca="false">-K190*Restaurantes!$D$27</f>
        <v>-1160.15658604054</v>
      </c>
      <c r="L193" s="28" t="n">
        <f aca="false">-L190*Restaurantes!$D$27</f>
        <v>-1289.06287337838</v>
      </c>
      <c r="M193" s="28" t="n">
        <f aca="false">-M190*Restaurantes!$D$27</f>
        <v>-1417.96916071622</v>
      </c>
      <c r="N193" s="28" t="n">
        <f aca="false">-N190*Restaurantes!$D$27</f>
        <v>-1546.87544805405</v>
      </c>
      <c r="O193" s="28" t="n">
        <f aca="false">-O190*Restaurantes!$D$27</f>
        <v>-1675.78173539189</v>
      </c>
      <c r="P193" s="28" t="n">
        <f aca="false">-P190*Restaurantes!$D$27</f>
        <v>-1804.68802272973</v>
      </c>
      <c r="Q193" s="28" t="n">
        <f aca="false">-Q190*Restaurantes!$D$27</f>
        <v>-1933.59431006757</v>
      </c>
      <c r="R193" s="28" t="n">
        <f aca="false">-R190*Restaurantes!$D$27</f>
        <v>-2062.50059740541</v>
      </c>
      <c r="S193" s="28" t="n">
        <f aca="false">-S190*Restaurantes!$D$27</f>
        <v>-328.711032711487</v>
      </c>
      <c r="T193" s="28" t="n">
        <f aca="false">-T190*Restaurantes!$D$27</f>
        <v>-2320.31317208108</v>
      </c>
      <c r="U193" s="28" t="n">
        <f aca="false">-U190*Restaurantes!$D$27</f>
        <v>-2449.21945941892</v>
      </c>
      <c r="V193" s="28" t="n">
        <f aca="false">-V190*Restaurantes!$D$27</f>
        <v>-2578.12574675676</v>
      </c>
      <c r="W193" s="28" t="n">
        <f aca="false">-W190*Restaurantes!$D$27</f>
        <v>-2707.0320340946</v>
      </c>
      <c r="X193" s="28" t="n">
        <f aca="false">-X190*Restaurantes!$D$27</f>
        <v>-2835.93832143243</v>
      </c>
      <c r="Y193" s="28" t="n">
        <f aca="false">-Y190*Restaurantes!$D$27</f>
        <v>-2964.84460877027</v>
      </c>
      <c r="Z193" s="28" t="n">
        <f aca="false">-Z190*Restaurantes!$D$27</f>
        <v>-3093.75089610811</v>
      </c>
      <c r="AA193" s="28" t="n">
        <f aca="false">-AA190*Restaurantes!$D$27</f>
        <v>-3093.75089610811</v>
      </c>
      <c r="AB193" s="28" t="n">
        <f aca="false">-AB190*Restaurantes!$D$27</f>
        <v>-3093.75089610811</v>
      </c>
      <c r="AC193" s="28" t="n">
        <f aca="false">-AC190*Restaurantes!$D$27</f>
        <v>-3093.75089610811</v>
      </c>
      <c r="AD193" s="28" t="n">
        <f aca="false">-AD190*Restaurantes!$D$27</f>
        <v>-3093.75089610811</v>
      </c>
      <c r="AE193" s="28" t="n">
        <f aca="false">-AE190*Restaurantes!$D$27</f>
        <v>-464.062634416216</v>
      </c>
      <c r="AF193" s="28" t="n">
        <f aca="false">-AF190*Restaurantes!$D$27</f>
        <v>-3093.75089610811</v>
      </c>
      <c r="AG193" s="28" t="n">
        <f aca="false">-AG190*Restaurantes!$D$27</f>
        <v>-3093.75089610811</v>
      </c>
      <c r="AH193" s="28" t="n">
        <f aca="false">-AH190*Restaurantes!$D$27</f>
        <v>-3093.75089610811</v>
      </c>
      <c r="AI193" s="28" t="n">
        <f aca="false">-AI190*Restaurantes!$D$27</f>
        <v>-3093.75089610811</v>
      </c>
      <c r="AJ193" s="28" t="n">
        <f aca="false">-AJ190*Restaurantes!$D$27</f>
        <v>-3093.75089610811</v>
      </c>
      <c r="AK193" s="28" t="n">
        <f aca="false">-AK190*Restaurantes!$D$27</f>
        <v>-3093.75089610811</v>
      </c>
      <c r="AL193" s="28" t="n">
        <f aca="false">-AL190*Restaurantes!$D$27</f>
        <v>-3093.75089610811</v>
      </c>
      <c r="AM193" s="28" t="n">
        <f aca="false">-AM190*Restaurantes!$D$27</f>
        <v>-3093.75089610811</v>
      </c>
      <c r="AN193" s="28" t="n">
        <f aca="false">-AN190*Restaurantes!$D$27</f>
        <v>-3093.75089610811</v>
      </c>
      <c r="AO193" s="28" t="n">
        <f aca="false">-AO190*Restaurantes!$D$27</f>
        <v>-3093.75089610811</v>
      </c>
      <c r="AP193" s="28" t="n">
        <f aca="false">-AP190*Restaurantes!$D$27</f>
        <v>-3093.75089610811</v>
      </c>
      <c r="AQ193" s="28" t="n">
        <f aca="false">-AQ190*Restaurantes!$D$27</f>
        <v>-464.062634416216</v>
      </c>
      <c r="AR193" s="28" t="n">
        <f aca="false">-AR190*Restaurantes!$D$27</f>
        <v>-3093.75089610811</v>
      </c>
      <c r="AS193" s="28" t="n">
        <f aca="false">-AS190*Restaurantes!$D$27</f>
        <v>-3093.75089610811</v>
      </c>
      <c r="AT193" s="28" t="n">
        <f aca="false">-AT190*Restaurantes!$D$27</f>
        <v>-3093.75089610811</v>
      </c>
      <c r="AU193" s="28" t="n">
        <f aca="false">-AU190*Restaurantes!$D$27</f>
        <v>-3093.75089610811</v>
      </c>
      <c r="AV193" s="28" t="n">
        <f aca="false">-AV190*Restaurantes!$D$27</f>
        <v>-3093.75089610811</v>
      </c>
      <c r="AW193" s="28" t="n">
        <f aca="false">-AW190*Restaurantes!$D$27</f>
        <v>-3093.75089610811</v>
      </c>
      <c r="AX193" s="28" t="n">
        <f aca="false">-AX190*Restaurantes!$D$27</f>
        <v>-3093.75089610811</v>
      </c>
      <c r="AY193" s="28" t="n">
        <f aca="false">-AY190*Restaurantes!$D$27</f>
        <v>-3093.75089610811</v>
      </c>
      <c r="AZ193" s="28" t="n">
        <f aca="false">-AZ190*Restaurantes!$D$27</f>
        <v>-3093.75089610811</v>
      </c>
      <c r="BA193" s="28" t="n">
        <f aca="false">-BA190*Restaurantes!$D$27</f>
        <v>-3093.75089610811</v>
      </c>
      <c r="BB193" s="28" t="n">
        <f aca="false">-BB190*Restaurantes!$D$27</f>
        <v>-3093.75089610811</v>
      </c>
      <c r="BC193" s="28" t="n">
        <f aca="false">-BC190*Restaurantes!$D$27</f>
        <v>-464.062634416216</v>
      </c>
      <c r="BD193" s="28" t="n">
        <f aca="false">-BD190*Restaurantes!$D$27</f>
        <v>-3093.75089610811</v>
      </c>
      <c r="BE193" s="28" t="n">
        <f aca="false">-BE190*Restaurantes!$D$27</f>
        <v>-3093.75089610811</v>
      </c>
      <c r="BF193" s="28" t="n">
        <f aca="false">-BF190*Restaurantes!$D$27</f>
        <v>-3093.75089610811</v>
      </c>
      <c r="BG193" s="28" t="n">
        <f aca="false">-BG190*Restaurantes!$D$27</f>
        <v>-3093.75089610811</v>
      </c>
      <c r="BH193" s="28" t="n">
        <f aca="false">-BH190*Restaurantes!$D$27</f>
        <v>-3093.75089610811</v>
      </c>
      <c r="BI193" s="28" t="n">
        <f aca="false">-BI190*Restaurantes!$D$27</f>
        <v>-3093.75089610811</v>
      </c>
      <c r="BJ193" s="28" t="n">
        <f aca="false">-BJ190*Restaurantes!$D$27</f>
        <v>-3093.75089610811</v>
      </c>
      <c r="BK193" s="28" t="n">
        <f aca="false">-BK190*Restaurantes!$D$27</f>
        <v>-3093.75089610811</v>
      </c>
      <c r="BL193" s="28" t="n">
        <f aca="false">-BL190*Restaurantes!$D$27</f>
        <v>-3093.75089610811</v>
      </c>
      <c r="BM193" s="28" t="n">
        <f aca="false">-BM190*Restaurantes!$D$27</f>
        <v>-3093.75089610811</v>
      </c>
      <c r="BN193" s="28" t="n">
        <f aca="false">-BN190*Restaurantes!$D$27</f>
        <v>-3093.75089610811</v>
      </c>
      <c r="BO193" s="28" t="n">
        <f aca="false">-BO190*Restaurantes!$D$27</f>
        <v>-464.062634416216</v>
      </c>
      <c r="BP193" s="28" t="n">
        <f aca="false">-BP190*Restaurantes!$D$27</f>
        <v>-3093.75089610811</v>
      </c>
      <c r="BQ193" s="28" t="n">
        <f aca="false">-BQ190*Restaurantes!$D$27</f>
        <v>-3093.75089610811</v>
      </c>
      <c r="BR193" s="28" t="n">
        <f aca="false">-BR190*Restaurantes!$D$27</f>
        <v>-3093.75089610811</v>
      </c>
      <c r="BS193" s="28" t="n">
        <f aca="false">-BS190*Restaurantes!$D$27</f>
        <v>-3093.75089610811</v>
      </c>
      <c r="BT193" s="28" t="n">
        <f aca="false">-BT190*Restaurantes!$D$27</f>
        <v>-3093.75089610811</v>
      </c>
      <c r="BU193" s="28" t="n">
        <f aca="false">-BU190*Restaurantes!$D$27</f>
        <v>-3093.75089610811</v>
      </c>
      <c r="BV193" s="28" t="n">
        <f aca="false">-BV190*Restaurantes!$D$27</f>
        <v>-3093.75089610811</v>
      </c>
      <c r="BW193" s="28" t="n">
        <f aca="false">-BW190*Restaurantes!$D$27</f>
        <v>-3093.75089610811</v>
      </c>
      <c r="BX193" s="28" t="n">
        <f aca="false">-BX190*Restaurantes!$D$27</f>
        <v>-3093.75089610811</v>
      </c>
      <c r="BY193" s="28" t="n">
        <f aca="false">-BY190*Restaurantes!$D$27</f>
        <v>-3093.75089610811</v>
      </c>
      <c r="BZ193" s="28" t="n">
        <f aca="false">-BZ190*Restaurantes!$D$27</f>
        <v>-3093.75089610811</v>
      </c>
      <c r="CA193" s="28" t="n">
        <f aca="false">-CA190*Restaurantes!$D$27</f>
        <v>-464.062634416216</v>
      </c>
      <c r="CB193" s="28" t="n">
        <f aca="false">-CB190*Restaurantes!$D$27</f>
        <v>-3093.75089610811</v>
      </c>
      <c r="CC193" s="28" t="n">
        <f aca="false">-CC190*Restaurantes!$D$27</f>
        <v>-3093.75089610811</v>
      </c>
      <c r="CD193" s="28" t="n">
        <f aca="false">-CD190*Restaurantes!$D$27</f>
        <v>-3093.75089610811</v>
      </c>
      <c r="CE193" s="28" t="n">
        <f aca="false">-CE190*Restaurantes!$D$27</f>
        <v>-3093.75089610811</v>
      </c>
      <c r="CF193" s="28" t="n">
        <f aca="false">-CF190*Restaurantes!$D$27</f>
        <v>-3093.75089610811</v>
      </c>
      <c r="CG193" s="28" t="n">
        <f aca="false">-CG190*Restaurantes!$D$27</f>
        <v>-3093.75089610811</v>
      </c>
      <c r="CH193" s="28" t="n">
        <f aca="false">-CH190*Restaurantes!$D$27</f>
        <v>-3093.75089610811</v>
      </c>
    </row>
    <row r="194" customFormat="false" ht="15" hidden="false" customHeight="false" outlineLevel="0" collapsed="false">
      <c r="A194" s="1" t="s">
        <v>855</v>
      </c>
      <c r="C194" s="28" t="n">
        <f aca="false">-(C19*C21*Hipótesis!$F$18+C23*Hipótesis!$F$22)</f>
        <v>-136.64254338843</v>
      </c>
      <c r="D194" s="28" t="n">
        <f aca="false">-(D19*D21*Hipótesis!$F$18+D23*Hipótesis!$F$22)</f>
        <v>-288.258822994652</v>
      </c>
      <c r="E194" s="28" t="n">
        <f aca="false">-(E19*E21*Hipótesis!$F$18+E23*Hipótesis!$F$22)</f>
        <v>-655.025460708271</v>
      </c>
      <c r="F194" s="28" t="n">
        <f aca="false">-(F19*F21*Hipótesis!$F$18+F23*Hipótesis!$F$22)</f>
        <v>-885.14955503346</v>
      </c>
      <c r="G194" s="28" t="n">
        <f aca="false">-(G19*G21*Hipótesis!$F$18+G23*Hipótesis!$F$22)</f>
        <v>-1100.29991314086</v>
      </c>
      <c r="H194" s="28" t="n">
        <f aca="false">-(H19*H21*Hipótesis!$F$18+H23*Hipótesis!$F$22)</f>
        <v>-1487.02433207713</v>
      </c>
      <c r="I194" s="28" t="n">
        <f aca="false">-(I19*I21*Hipótesis!$F$18+I23*Hipótesis!$F$22)</f>
        <v>-1893.07217170877</v>
      </c>
      <c r="J194" s="28" t="n">
        <f aca="false">-(J19*J21*Hipótesis!$F$18+J23*Hipótesis!$F$22)</f>
        <v>-2646.94158385707</v>
      </c>
      <c r="K194" s="28" t="n">
        <f aca="false">-(K19*K21*Hipótesis!$F$18+K23*Hipótesis!$F$22)</f>
        <v>-3400.81099600536</v>
      </c>
      <c r="L194" s="28" t="n">
        <f aca="false">-(L19*L21*Hipótesis!$F$18+L23*Hipótesis!$F$22)</f>
        <v>-4154.68040815366</v>
      </c>
      <c r="M194" s="28" t="n">
        <f aca="false">-(M19*M21*Hipótesis!$F$18+M23*Hipótesis!$F$22)</f>
        <v>-4693.39946219456</v>
      </c>
      <c r="N194" s="28" t="n">
        <f aca="false">-(N19*N21*Hipótesis!$F$18+N23*Hipótesis!$F$22)</f>
        <v>-5481.68078653201</v>
      </c>
      <c r="O194" s="28" t="n">
        <f aca="false">-(O19*O21*Hipótesis!$F$18+O23*Hipótesis!$F$22)</f>
        <v>-6269.96211086946</v>
      </c>
      <c r="P194" s="28" t="n">
        <f aca="false">-(P19*P21*Hipótesis!$F$18+P23*Hipótesis!$F$22)</f>
        <v>-6986.49428249665</v>
      </c>
      <c r="Q194" s="28" t="n">
        <f aca="false">-(Q19*Q21*Hipótesis!$F$18+Q23*Hipótesis!$F$22)</f>
        <v>-7703.02645412384</v>
      </c>
      <c r="R194" s="28" t="n">
        <f aca="false">-(R19*R21*Hipótesis!$F$18+R23*Hipótesis!$F$22)</f>
        <v>-8419.55862575103</v>
      </c>
      <c r="S194" s="28" t="n">
        <f aca="false">-(S19*S21*Hipótesis!$F$18+S23*Hipótesis!$F$22)</f>
        <v>-9136.09079737823</v>
      </c>
      <c r="T194" s="28" t="n">
        <f aca="false">-(T19*T21*Hipótesis!$F$18+T23*Hipótesis!$F$22)</f>
        <v>-9852.62296900542</v>
      </c>
      <c r="U194" s="28" t="n">
        <f aca="false">-(U19*U21*Hipótesis!$F$18+U23*Hipótesis!$F$22)</f>
        <v>-10569.1551406326</v>
      </c>
      <c r="V194" s="28" t="n">
        <f aca="false">-(V19*V21*Hipótesis!$F$18+V23*Hipótesis!$F$22)</f>
        <v>-11285.6873122598</v>
      </c>
      <c r="W194" s="28" t="n">
        <f aca="false">-(W19*W21*Hipótesis!$F$18+W23*Hipótesis!$F$22)</f>
        <v>-12002.219483887</v>
      </c>
      <c r="X194" s="28" t="n">
        <f aca="false">-(X19*X21*Hipótesis!$F$18+X23*Hipótesis!$F$22)</f>
        <v>-12469.1893852176</v>
      </c>
      <c r="Y194" s="28" t="n">
        <f aca="false">-(Y19*Y21*Hipótesis!$F$18+Y23*Hipótesis!$F$22)</f>
        <v>-12936.1592865483</v>
      </c>
      <c r="Z194" s="28" t="n">
        <f aca="false">-(Z19*Z21*Hipótesis!$F$18+Z23*Hipótesis!$F$22)</f>
        <v>-13303.3042797603</v>
      </c>
      <c r="AA194" s="28" t="n">
        <f aca="false">-(AA19*AA21*Hipótesis!$F$18+AA23*Hipótesis!$F$22)</f>
        <v>-13728.4195350584</v>
      </c>
      <c r="AB194" s="28" t="n">
        <f aca="false">-(AB19*AB21*Hipótesis!$F$18+AB23*Hipótesis!$F$22)</f>
        <v>-14153.5347903566</v>
      </c>
      <c r="AC194" s="28" t="n">
        <f aca="false">-(AC19*AC21*Hipótesis!$F$18+AC23*Hipótesis!$F$22)</f>
        <v>-14578.6500456547</v>
      </c>
      <c r="AD194" s="28" t="n">
        <f aca="false">-(AD19*AD21*Hipótesis!$F$18+AD23*Hipótesis!$F$22)</f>
        <v>-15003.7653009528</v>
      </c>
      <c r="AE194" s="28" t="n">
        <f aca="false">-(AE19*AE21*Hipótesis!$F$18+AE23*Hipótesis!$F$22)</f>
        <v>-15428.880556251</v>
      </c>
      <c r="AF194" s="28" t="n">
        <f aca="false">-(AF19*AF21*Hipótesis!$F$18+AF23*Hipótesis!$F$22)</f>
        <v>-15853.9958115491</v>
      </c>
      <c r="AG194" s="28" t="n">
        <f aca="false">-(AG19*AG21*Hipótesis!$F$18+AG23*Hipótesis!$F$22)</f>
        <v>-16279.1110668472</v>
      </c>
      <c r="AH194" s="28" t="n">
        <f aca="false">-(AH19*AH21*Hipótesis!$F$18+AH23*Hipótesis!$F$22)</f>
        <v>-16704.2263221454</v>
      </c>
      <c r="AI194" s="28" t="n">
        <f aca="false">-(AI19*AI21*Hipótesis!$F$18+AI23*Hipótesis!$F$22)</f>
        <v>-17129.3415774435</v>
      </c>
      <c r="AJ194" s="28" t="n">
        <f aca="false">-(AJ19*AJ21*Hipótesis!$F$18+AJ23*Hipótesis!$F$22)</f>
        <v>-17554.4568327416</v>
      </c>
      <c r="AK194" s="28" t="n">
        <f aca="false">-(AK19*AK21*Hipótesis!$F$18+AK23*Hipótesis!$F$22)</f>
        <v>-17979.5720880398</v>
      </c>
      <c r="AL194" s="28" t="n">
        <f aca="false">-(AL19*AL21*Hipótesis!$F$18+AL23*Hipótesis!$F$22)</f>
        <v>-18404.6873433379</v>
      </c>
      <c r="AM194" s="28" t="n">
        <f aca="false">-(AM19*AM21*Hipótesis!$F$18+AM23*Hipótesis!$F$22)</f>
        <v>-18829.802598636</v>
      </c>
      <c r="AN194" s="28" t="n">
        <f aca="false">-(AN19*AN21*Hipótesis!$F$18+AN23*Hipótesis!$F$22)</f>
        <v>-19254.9178539342</v>
      </c>
      <c r="AO194" s="28" t="n">
        <f aca="false">-(AO19*AO21*Hipótesis!$F$18+AO23*Hipótesis!$F$22)</f>
        <v>-19680.0331092323</v>
      </c>
      <c r="AP194" s="28" t="n">
        <f aca="false">-(AP19*AP21*Hipótesis!$F$18+AP23*Hipótesis!$F$22)</f>
        <v>-20105.1483645304</v>
      </c>
      <c r="AQ194" s="28" t="n">
        <f aca="false">-(AQ19*AQ21*Hipótesis!$F$18+AQ23*Hipótesis!$F$22)</f>
        <v>-20530.2636198286</v>
      </c>
      <c r="AR194" s="28" t="n">
        <f aca="false">-(AR19*AR21*Hipótesis!$F$18+AR23*Hipótesis!$F$22)</f>
        <v>-20955.3788751267</v>
      </c>
      <c r="AS194" s="28" t="n">
        <f aca="false">-(AS19*AS21*Hipótesis!$F$18+AS23*Hipótesis!$F$22)</f>
        <v>-20955.3788751267</v>
      </c>
      <c r="AT194" s="28" t="n">
        <f aca="false">-(AT19*AT21*Hipótesis!$F$18+AT23*Hipótesis!$F$22)</f>
        <v>-20955.3788751267</v>
      </c>
      <c r="AU194" s="28" t="n">
        <f aca="false">-(AU19*AU21*Hipótesis!$F$18+AU23*Hipótesis!$F$22)</f>
        <v>-20955.3788751267</v>
      </c>
      <c r="AV194" s="28" t="n">
        <f aca="false">-(AV19*AV21*Hipótesis!$F$18+AV23*Hipótesis!$F$22)</f>
        <v>-20955.3788751267</v>
      </c>
      <c r="AW194" s="28" t="n">
        <f aca="false">-(AW19*AW21*Hipótesis!$F$18+AW23*Hipótesis!$F$22)</f>
        <v>-20955.3788751267</v>
      </c>
      <c r="AX194" s="28" t="n">
        <f aca="false">-(AX19*AX21*Hipótesis!$F$18+AX23*Hipótesis!$F$22)</f>
        <v>-20955.3788751267</v>
      </c>
      <c r="AY194" s="28" t="n">
        <f aca="false">-(AY19*AY21*Hipótesis!$F$18+AY23*Hipótesis!$F$22)</f>
        <v>-20955.3788751267</v>
      </c>
      <c r="AZ194" s="28" t="n">
        <f aca="false">-(AZ19*AZ21*Hipótesis!$F$18+AZ23*Hipótesis!$F$22)</f>
        <v>-20955.3788751267</v>
      </c>
      <c r="BA194" s="28" t="n">
        <f aca="false">-(BA19*BA21*Hipótesis!$F$18+BA23*Hipótesis!$F$22)</f>
        <v>-20955.3788751267</v>
      </c>
      <c r="BB194" s="28" t="n">
        <f aca="false">-(BB19*BB21*Hipótesis!$F$18+BB23*Hipótesis!$F$22)</f>
        <v>-20955.3788751267</v>
      </c>
      <c r="BC194" s="28" t="n">
        <f aca="false">-(BC19*BC21*Hipótesis!$F$18+BC23*Hipótesis!$F$22)</f>
        <v>-20955.3788751267</v>
      </c>
      <c r="BD194" s="28" t="n">
        <f aca="false">-(BD19*BD21*Hipótesis!$F$18+BD23*Hipótesis!$F$22)</f>
        <v>-20955.3788751267</v>
      </c>
      <c r="BE194" s="28" t="n">
        <f aca="false">-(BE19*BE21*Hipótesis!$F$18+BE23*Hipótesis!$F$22)</f>
        <v>-20955.3788751267</v>
      </c>
      <c r="BF194" s="28" t="n">
        <f aca="false">-(BF19*BF21*Hipótesis!$F$18+BF23*Hipótesis!$F$22)</f>
        <v>-20955.3788751267</v>
      </c>
      <c r="BG194" s="28" t="n">
        <f aca="false">-(BG19*BG21*Hipótesis!$F$18+BG23*Hipótesis!$F$22)</f>
        <v>-20955.3788751267</v>
      </c>
      <c r="BH194" s="28" t="n">
        <f aca="false">-(BH19*BH21*Hipótesis!$F$18+BH23*Hipótesis!$F$22)</f>
        <v>-20955.3788751267</v>
      </c>
      <c r="BI194" s="28" t="n">
        <f aca="false">-(BI19*BI21*Hipótesis!$F$18+BI23*Hipótesis!$F$22)</f>
        <v>-20955.3788751267</v>
      </c>
      <c r="BJ194" s="28" t="n">
        <f aca="false">-(BJ19*BJ21*Hipótesis!$F$18+BJ23*Hipótesis!$F$22)</f>
        <v>-20955.3788751267</v>
      </c>
      <c r="BK194" s="28" t="n">
        <f aca="false">-(BK19*BK21*Hipótesis!$F$18+BK23*Hipótesis!$F$22)</f>
        <v>-20955.3788751267</v>
      </c>
      <c r="BL194" s="28" t="n">
        <f aca="false">-(BL19*BL21*Hipótesis!$F$18+BL23*Hipótesis!$F$22)</f>
        <v>-20955.3788751267</v>
      </c>
      <c r="BM194" s="28" t="n">
        <f aca="false">-(BM19*BM21*Hipótesis!$F$18+BM23*Hipótesis!$F$22)</f>
        <v>-20955.3788751267</v>
      </c>
      <c r="BN194" s="28" t="n">
        <f aca="false">-(BN19*BN21*Hipótesis!$F$18+BN23*Hipótesis!$F$22)</f>
        <v>-20955.3788751267</v>
      </c>
      <c r="BO194" s="28" t="n">
        <f aca="false">-(BO19*BO21*Hipótesis!$F$18+BO23*Hipótesis!$F$22)</f>
        <v>-20955.3788751267</v>
      </c>
      <c r="BP194" s="28" t="n">
        <f aca="false">-(BP19*BP21*Hipótesis!$F$18+BP23*Hipótesis!$F$22)</f>
        <v>-20955.3788751267</v>
      </c>
      <c r="BQ194" s="28" t="n">
        <f aca="false">-(BQ19*BQ21*Hipótesis!$F$18+BQ23*Hipótesis!$F$22)</f>
        <v>-20955.3788751267</v>
      </c>
      <c r="BR194" s="28" t="n">
        <f aca="false">-(BR19*BR21*Hipótesis!$F$18+BR23*Hipótesis!$F$22)</f>
        <v>-20955.3788751267</v>
      </c>
      <c r="BS194" s="28" t="n">
        <f aca="false">-(BS19*BS21*Hipótesis!$F$18+BS23*Hipótesis!$F$22)</f>
        <v>-20955.3788751267</v>
      </c>
      <c r="BT194" s="28" t="n">
        <f aca="false">-(BT19*BT21*Hipótesis!$F$18+BT23*Hipótesis!$F$22)</f>
        <v>-20955.3788751267</v>
      </c>
      <c r="BU194" s="28" t="n">
        <f aca="false">-(BU19*BU21*Hipótesis!$F$18+BU23*Hipótesis!$F$22)</f>
        <v>-20955.3788751267</v>
      </c>
      <c r="BV194" s="28" t="n">
        <f aca="false">-(BV19*BV21*Hipótesis!$F$18+BV23*Hipótesis!$F$22)</f>
        <v>-20955.3788751267</v>
      </c>
      <c r="BW194" s="28" t="n">
        <f aca="false">-(BW19*BW21*Hipótesis!$F$18+BW23*Hipótesis!$F$22)</f>
        <v>-20955.3788751267</v>
      </c>
      <c r="BX194" s="28" t="n">
        <f aca="false">-(BX19*BX21*Hipótesis!$F$18+BX23*Hipótesis!$F$22)</f>
        <v>-20955.3788751267</v>
      </c>
      <c r="BY194" s="28" t="n">
        <f aca="false">-(BY19*BY21*Hipótesis!$F$18+BY23*Hipótesis!$F$22)</f>
        <v>-20955.3788751267</v>
      </c>
      <c r="BZ194" s="28" t="n">
        <f aca="false">-(BZ19*BZ21*Hipótesis!$F$18+BZ23*Hipótesis!$F$22)</f>
        <v>-20955.3788751267</v>
      </c>
      <c r="CA194" s="28" t="n">
        <f aca="false">-(CA19*CA21*Hipótesis!$F$18+CA23*Hipótesis!$F$22)</f>
        <v>-20955.3788751267</v>
      </c>
      <c r="CB194" s="28" t="n">
        <f aca="false">-(CB19*CB21*Hipótesis!$F$18+CB23*Hipótesis!$F$22)</f>
        <v>-20955.3788751267</v>
      </c>
      <c r="CC194" s="28" t="n">
        <f aca="false">-(CC19*CC21*Hipótesis!$F$18+CC23*Hipótesis!$F$22)</f>
        <v>-20955.3788751267</v>
      </c>
      <c r="CD194" s="28" t="n">
        <f aca="false">-(CD19*CD21*Hipótesis!$F$18+CD23*Hipótesis!$F$22)</f>
        <v>-20955.3788751267</v>
      </c>
      <c r="CE194" s="28" t="n">
        <f aca="false">-(CE19*CE21*Hipótesis!$F$18+CE23*Hipótesis!$F$22)</f>
        <v>-20955.3788751267</v>
      </c>
      <c r="CF194" s="28" t="n">
        <f aca="false">-(CF19*CF21*Hipótesis!$F$18+CF23*Hipótesis!$F$22)</f>
        <v>-20955.3788751267</v>
      </c>
      <c r="CG194" s="28" t="n">
        <f aca="false">-(CG19*CG21*Hipótesis!$F$18+CG23*Hipótesis!$F$22)</f>
        <v>-20955.3788751267</v>
      </c>
      <c r="CH194" s="28" t="n">
        <f aca="false">-(CH19*CH21*Hipótesis!$F$18+CH23*Hipótesis!$F$22)</f>
        <v>-20955.3788751267</v>
      </c>
    </row>
    <row r="195" customFormat="false" ht="15" hidden="false" customHeight="false" outlineLevel="0" collapsed="false">
      <c r="A195" s="1" t="s">
        <v>856</v>
      </c>
      <c r="C195" s="28" t="n">
        <f aca="false">-C178*Hipótesis!$F$129</f>
        <v>-63.4927482550279</v>
      </c>
      <c r="D195" s="28" t="n">
        <f aca="false">-D178*Hipótesis!$F$129</f>
        <v>-126.985496510056</v>
      </c>
      <c r="E195" s="28" t="n">
        <f aca="false">-E178*Hipótesis!$F$129</f>
        <v>-190.478244765084</v>
      </c>
      <c r="F195" s="28" t="n">
        <f aca="false">-F178*Hipótesis!$F$129</f>
        <v>-253.970993020112</v>
      </c>
      <c r="G195" s="28" t="n">
        <f aca="false">-G178*Hipótesis!$F$129</f>
        <v>-47.619561191271</v>
      </c>
      <c r="H195" s="28" t="n">
        <f aca="false">-H178*Hipótesis!$F$129</f>
        <v>-380.956489530168</v>
      </c>
      <c r="I195" s="28" t="n">
        <f aca="false">-I178*Hipótesis!$F$129</f>
        <v>-444.449237785196</v>
      </c>
      <c r="J195" s="28" t="n">
        <f aca="false">-J178*Hipótesis!$F$129</f>
        <v>-507.941986040223</v>
      </c>
      <c r="K195" s="28" t="n">
        <f aca="false">-K178*Hipótesis!$F$129</f>
        <v>-571.434734295252</v>
      </c>
      <c r="L195" s="28" t="n">
        <f aca="false">-L178*Hipótesis!$F$129</f>
        <v>-634.927482550279</v>
      </c>
      <c r="M195" s="28" t="n">
        <f aca="false">-M178*Hipótesis!$F$129</f>
        <v>-698.420230805307</v>
      </c>
      <c r="N195" s="28" t="n">
        <f aca="false">-N178*Hipótesis!$F$129</f>
        <v>-761.912979060335</v>
      </c>
      <c r="O195" s="28" t="n">
        <f aca="false">-O178*Hipótesis!$F$129</f>
        <v>-825.405727315363</v>
      </c>
      <c r="P195" s="28" t="n">
        <f aca="false">-P178*Hipótesis!$F$129</f>
        <v>-888.898475570391</v>
      </c>
      <c r="Q195" s="28" t="n">
        <f aca="false">-Q178*Hipótesis!$F$129</f>
        <v>-952.391223825419</v>
      </c>
      <c r="R195" s="28" t="n">
        <f aca="false">-R178*Hipótesis!$F$129</f>
        <v>-1015.88397208045</v>
      </c>
      <c r="S195" s="28" t="n">
        <f aca="false">-S178*Hipótesis!$F$129</f>
        <v>-161.906508050321</v>
      </c>
      <c r="T195" s="28" t="n">
        <f aca="false">-T178*Hipótesis!$F$129</f>
        <v>-1142.8694685905</v>
      </c>
      <c r="U195" s="28" t="n">
        <f aca="false">-U178*Hipótesis!$F$129</f>
        <v>-1206.36221684553</v>
      </c>
      <c r="V195" s="28" t="n">
        <f aca="false">-V178*Hipótesis!$F$129</f>
        <v>-1269.85496510056</v>
      </c>
      <c r="W195" s="28" t="n">
        <f aca="false">-W178*Hipótesis!$F$129</f>
        <v>-1333.34771335559</v>
      </c>
      <c r="X195" s="28" t="n">
        <f aca="false">-X178*Hipótesis!$F$129</f>
        <v>-1396.84046161061</v>
      </c>
      <c r="Y195" s="28" t="n">
        <f aca="false">-Y178*Hipótesis!$F$129</f>
        <v>-1460.33320986564</v>
      </c>
      <c r="Z195" s="28" t="n">
        <f aca="false">-Z178*Hipótesis!$F$129</f>
        <v>-1523.82595812067</v>
      </c>
      <c r="AA195" s="28" t="n">
        <f aca="false">-AA178*Hipótesis!$F$129</f>
        <v>-1523.82595812067</v>
      </c>
      <c r="AB195" s="28" t="n">
        <f aca="false">-AB178*Hipótesis!$F$129</f>
        <v>-1523.82595812067</v>
      </c>
      <c r="AC195" s="28" t="n">
        <f aca="false">-AC178*Hipótesis!$F$129</f>
        <v>-1523.82595812067</v>
      </c>
      <c r="AD195" s="28" t="n">
        <f aca="false">-AD178*Hipótesis!$F$129</f>
        <v>-1523.82595812067</v>
      </c>
      <c r="AE195" s="28" t="n">
        <f aca="false">-AE178*Hipótesis!$F$129</f>
        <v>-228.573893718101</v>
      </c>
      <c r="AF195" s="28" t="n">
        <f aca="false">-AF178*Hipótesis!$F$129</f>
        <v>-1523.82595812067</v>
      </c>
      <c r="AG195" s="28" t="n">
        <f aca="false">-AG178*Hipótesis!$F$129</f>
        <v>-1523.82595812067</v>
      </c>
      <c r="AH195" s="28" t="n">
        <f aca="false">-AH178*Hipótesis!$F$129</f>
        <v>-1523.82595812067</v>
      </c>
      <c r="AI195" s="28" t="n">
        <f aca="false">-AI178*Hipótesis!$F$129</f>
        <v>-1523.82595812067</v>
      </c>
      <c r="AJ195" s="28" t="n">
        <f aca="false">-AJ178*Hipótesis!$F$129</f>
        <v>-1523.82595812067</v>
      </c>
      <c r="AK195" s="28" t="n">
        <f aca="false">-AK178*Hipótesis!$F$129</f>
        <v>-1523.82595812067</v>
      </c>
      <c r="AL195" s="28" t="n">
        <f aca="false">-AL178*Hipótesis!$F$129</f>
        <v>-1523.82595812067</v>
      </c>
      <c r="AM195" s="28" t="n">
        <f aca="false">-AM178*Hipótesis!$F$129</f>
        <v>-1523.82595812067</v>
      </c>
      <c r="AN195" s="28" t="n">
        <f aca="false">-AN178*Hipótesis!$F$129</f>
        <v>-1523.82595812067</v>
      </c>
      <c r="AO195" s="28" t="n">
        <f aca="false">-AO178*Hipótesis!$F$129</f>
        <v>-1523.82595812067</v>
      </c>
      <c r="AP195" s="28" t="n">
        <f aca="false">-AP178*Hipótesis!$F$129</f>
        <v>-1523.82595812067</v>
      </c>
      <c r="AQ195" s="28" t="n">
        <f aca="false">-AQ178*Hipótesis!$F$129</f>
        <v>-228.573893718101</v>
      </c>
      <c r="AR195" s="28" t="n">
        <f aca="false">-AR178*Hipótesis!$F$129</f>
        <v>-1523.82595812067</v>
      </c>
      <c r="AS195" s="28" t="n">
        <f aca="false">-AS178*Hipótesis!$F$129</f>
        <v>-1523.82595812067</v>
      </c>
      <c r="AT195" s="28" t="n">
        <f aca="false">-AT178*Hipótesis!$F$129</f>
        <v>-1523.82595812067</v>
      </c>
      <c r="AU195" s="28" t="n">
        <f aca="false">-AU178*Hipótesis!$F$129</f>
        <v>-1523.82595812067</v>
      </c>
      <c r="AV195" s="28" t="n">
        <f aca="false">-AV178*Hipótesis!$F$129</f>
        <v>-1523.82595812067</v>
      </c>
      <c r="AW195" s="28" t="n">
        <f aca="false">-AW178*Hipótesis!$F$129</f>
        <v>-1523.82595812067</v>
      </c>
      <c r="AX195" s="28" t="n">
        <f aca="false">-AX178*Hipótesis!$F$129</f>
        <v>-1523.82595812067</v>
      </c>
      <c r="AY195" s="28" t="n">
        <f aca="false">-AY178*Hipótesis!$F$129</f>
        <v>-1523.82595812067</v>
      </c>
      <c r="AZ195" s="28" t="n">
        <f aca="false">-AZ178*Hipótesis!$F$129</f>
        <v>-1523.82595812067</v>
      </c>
      <c r="BA195" s="28" t="n">
        <f aca="false">-BA178*Hipótesis!$F$129</f>
        <v>-1523.82595812067</v>
      </c>
      <c r="BB195" s="28" t="n">
        <f aca="false">-BB178*Hipótesis!$F$129</f>
        <v>-1523.82595812067</v>
      </c>
      <c r="BC195" s="28" t="n">
        <f aca="false">-BC178*Hipótesis!$F$129</f>
        <v>-228.573893718101</v>
      </c>
      <c r="BD195" s="28" t="n">
        <f aca="false">-BD178*Hipótesis!$F$129</f>
        <v>-1523.82595812067</v>
      </c>
      <c r="BE195" s="28" t="n">
        <f aca="false">-BE178*Hipótesis!$F$129</f>
        <v>-1523.82595812067</v>
      </c>
      <c r="BF195" s="28" t="n">
        <f aca="false">-BF178*Hipótesis!$F$129</f>
        <v>-1523.82595812067</v>
      </c>
      <c r="BG195" s="28" t="n">
        <f aca="false">-BG178*Hipótesis!$F$129</f>
        <v>-1523.82595812067</v>
      </c>
      <c r="BH195" s="28" t="n">
        <f aca="false">-BH178*Hipótesis!$F$129</f>
        <v>-1523.82595812067</v>
      </c>
      <c r="BI195" s="28" t="n">
        <f aca="false">-BI178*Hipótesis!$F$129</f>
        <v>-1523.82595812067</v>
      </c>
      <c r="BJ195" s="28" t="n">
        <f aca="false">-BJ178*Hipótesis!$F$129</f>
        <v>-1523.82595812067</v>
      </c>
      <c r="BK195" s="28" t="n">
        <f aca="false">-BK178*Hipótesis!$F$129</f>
        <v>-1523.82595812067</v>
      </c>
      <c r="BL195" s="28" t="n">
        <f aca="false">-BL178*Hipótesis!$F$129</f>
        <v>-1523.82595812067</v>
      </c>
      <c r="BM195" s="28" t="n">
        <f aca="false">-BM178*Hipótesis!$F$129</f>
        <v>-1523.82595812067</v>
      </c>
      <c r="BN195" s="28" t="n">
        <f aca="false">-BN178*Hipótesis!$F$129</f>
        <v>-1523.82595812067</v>
      </c>
      <c r="BO195" s="28" t="n">
        <f aca="false">-BO178*Hipótesis!$F$129</f>
        <v>-228.573893718101</v>
      </c>
      <c r="BP195" s="28" t="n">
        <f aca="false">-BP178*Hipótesis!$F$129</f>
        <v>-1523.82595812067</v>
      </c>
      <c r="BQ195" s="28" t="n">
        <f aca="false">-BQ178*Hipótesis!$F$129</f>
        <v>-1523.82595812067</v>
      </c>
      <c r="BR195" s="28" t="n">
        <f aca="false">-BR178*Hipótesis!$F$129</f>
        <v>-1523.82595812067</v>
      </c>
      <c r="BS195" s="28" t="n">
        <f aca="false">-BS178*Hipótesis!$F$129</f>
        <v>-1523.82595812067</v>
      </c>
      <c r="BT195" s="28" t="n">
        <f aca="false">-BT178*Hipótesis!$F$129</f>
        <v>-1523.82595812067</v>
      </c>
      <c r="BU195" s="28" t="n">
        <f aca="false">-BU178*Hipótesis!$F$129</f>
        <v>-1523.82595812067</v>
      </c>
      <c r="BV195" s="28" t="n">
        <f aca="false">-BV178*Hipótesis!$F$129</f>
        <v>-1523.82595812067</v>
      </c>
      <c r="BW195" s="28" t="n">
        <f aca="false">-BW178*Hipótesis!$F$129</f>
        <v>-1523.82595812067</v>
      </c>
      <c r="BX195" s="28" t="n">
        <f aca="false">-BX178*Hipótesis!$F$129</f>
        <v>-1523.82595812067</v>
      </c>
      <c r="BY195" s="28" t="n">
        <f aca="false">-BY178*Hipótesis!$F$129</f>
        <v>-1523.82595812067</v>
      </c>
      <c r="BZ195" s="28" t="n">
        <f aca="false">-BZ178*Hipótesis!$F$129</f>
        <v>-1523.82595812067</v>
      </c>
      <c r="CA195" s="28" t="n">
        <f aca="false">-CA178*Hipótesis!$F$129</f>
        <v>-228.573893718101</v>
      </c>
      <c r="CB195" s="28" t="n">
        <f aca="false">-CB178*Hipótesis!$F$129</f>
        <v>-1523.82595812067</v>
      </c>
      <c r="CC195" s="28" t="n">
        <f aca="false">-CC178*Hipótesis!$F$129</f>
        <v>-1523.82595812067</v>
      </c>
      <c r="CD195" s="28" t="n">
        <f aca="false">-CD178*Hipótesis!$F$129</f>
        <v>-1523.82595812067</v>
      </c>
      <c r="CE195" s="28" t="n">
        <f aca="false">-CE178*Hipótesis!$F$129</f>
        <v>-1523.82595812067</v>
      </c>
      <c r="CF195" s="28" t="n">
        <f aca="false">-CF178*Hipótesis!$F$129</f>
        <v>-1523.82595812067</v>
      </c>
      <c r="CG195" s="28" t="n">
        <f aca="false">-CG178*Hipótesis!$F$129</f>
        <v>-1523.82595812067</v>
      </c>
      <c r="CH195" s="28" t="n">
        <f aca="false">-CH178*Hipótesis!$F$129</f>
        <v>-1523.82595812067</v>
      </c>
    </row>
    <row r="196" customFormat="false" ht="15" hidden="false" customHeight="false" outlineLevel="0" collapsed="false">
      <c r="A196" s="25" t="s">
        <v>857</v>
      </c>
      <c r="C196" s="157" t="n">
        <f aca="false">IFERROR(C177*Hipótesis!$F$130/Restaurantes!$D$22/(Restaurantes!$D$24*Restaurantes!$D$25),0)</f>
        <v>5.12754602584767</v>
      </c>
      <c r="D196" s="157" t="n">
        <f aca="false">IFERROR(D177*Hipótesis!$F$130/Restaurantes!$D$22/(Restaurantes!$D$24*Restaurantes!$D$25),0)</f>
        <v>10.2550920516953</v>
      </c>
      <c r="E196" s="157" t="n">
        <f aca="false">IFERROR(E177*Hipótesis!$F$130/Restaurantes!$D$22/(Restaurantes!$D$24*Restaurantes!$D$25),0)</f>
        <v>15.382638077543</v>
      </c>
      <c r="F196" s="157" t="n">
        <f aca="false">IFERROR(F177*Hipótesis!$F$130/Restaurantes!$D$22/(Restaurantes!$D$24*Restaurantes!$D$25),0)</f>
        <v>20.5101841033907</v>
      </c>
      <c r="G196" s="157" t="n">
        <f aca="false">IFERROR(G177*Hipótesis!$F$130/Restaurantes!$D$22/(Restaurantes!$D$24*Restaurantes!$D$25),0)</f>
        <v>25.6377301292383</v>
      </c>
      <c r="H196" s="157" t="n">
        <f aca="false">IFERROR(H177*Hipótesis!$F$130/Restaurantes!$D$22/(Restaurantes!$D$24*Restaurantes!$D$25),0)</f>
        <v>30.765276155086</v>
      </c>
      <c r="I196" s="157" t="n">
        <f aca="false">IFERROR(I177*Hipótesis!$F$130/Restaurantes!$D$22/(Restaurantes!$D$24*Restaurantes!$D$25),0)</f>
        <v>35.8928221809337</v>
      </c>
      <c r="J196" s="157" t="n">
        <f aca="false">IFERROR(J177*Hipótesis!$F$130/Restaurantes!$D$22/(Restaurantes!$D$24*Restaurantes!$D$25),0)</f>
        <v>41.0203682067814</v>
      </c>
      <c r="K196" s="157" t="n">
        <f aca="false">IFERROR(K177*Hipótesis!$F$130/Restaurantes!$D$22/(Restaurantes!$D$24*Restaurantes!$D$25),0)</f>
        <v>46.147914232629</v>
      </c>
      <c r="L196" s="157" t="n">
        <f aca="false">IFERROR(L177*Hipótesis!$F$130/Restaurantes!$D$22/(Restaurantes!$D$24*Restaurantes!$D$25),0)</f>
        <v>51.2754602584767</v>
      </c>
      <c r="M196" s="157" t="n">
        <f aca="false">IFERROR(M177*Hipótesis!$F$130/Restaurantes!$D$22/(Restaurantes!$D$24*Restaurantes!$D$25),0)</f>
        <v>56.4030062843243</v>
      </c>
      <c r="N196" s="157" t="n">
        <f aca="false">IFERROR(N177*Hipótesis!$F$130/Restaurantes!$D$22/(Restaurantes!$D$24*Restaurantes!$D$25),0)</f>
        <v>61.530552310172</v>
      </c>
      <c r="O196" s="157" t="n">
        <f aca="false">IFERROR(O177*Hipótesis!$F$130/Restaurantes!$D$22/(Restaurantes!$D$24*Restaurantes!$D$25),0)</f>
        <v>66.6580983360197</v>
      </c>
      <c r="P196" s="157" t="n">
        <f aca="false">IFERROR(P177*Hipótesis!$F$130/Restaurantes!$D$22/(Restaurantes!$D$24*Restaurantes!$D$25),0)</f>
        <v>71.7856443618674</v>
      </c>
      <c r="Q196" s="157" t="n">
        <f aca="false">IFERROR(Q177*Hipótesis!$F$130/Restaurantes!$D$22/(Restaurantes!$D$24*Restaurantes!$D$25),0)</f>
        <v>76.913190387715</v>
      </c>
      <c r="R196" s="157" t="n">
        <f aca="false">IFERROR(R177*Hipótesis!$F$130/Restaurantes!$D$22/(Restaurantes!$D$24*Restaurantes!$D$25),0)</f>
        <v>82.0407364135627</v>
      </c>
      <c r="S196" s="157" t="n">
        <f aca="false">IFERROR(S177*Hipótesis!$F$130/Restaurantes!$D$22/(Restaurantes!$D$24*Restaurantes!$D$25),0)</f>
        <v>87.1682824394104</v>
      </c>
      <c r="T196" s="157" t="n">
        <f aca="false">IFERROR(T177*Hipótesis!$F$130/Restaurantes!$D$22/(Restaurantes!$D$24*Restaurantes!$D$25),0)</f>
        <v>92.295828465258</v>
      </c>
      <c r="U196" s="157" t="n">
        <f aca="false">IFERROR(U177*Hipótesis!$F$130/Restaurantes!$D$22/(Restaurantes!$D$24*Restaurantes!$D$25),0)</f>
        <v>97.4233744911057</v>
      </c>
      <c r="V196" s="157" t="n">
        <f aca="false">IFERROR(V177*Hipótesis!$F$130/Restaurantes!$D$22/(Restaurantes!$D$24*Restaurantes!$D$25),0)</f>
        <v>102.550920516953</v>
      </c>
      <c r="W196" s="157" t="n">
        <f aca="false">IFERROR(W177*Hipótesis!$F$130/Restaurantes!$D$22/(Restaurantes!$D$24*Restaurantes!$D$25),0)</f>
        <v>107.678466542801</v>
      </c>
      <c r="X196" s="157" t="n">
        <f aca="false">IFERROR(X177*Hipótesis!$F$130/Restaurantes!$D$22/(Restaurantes!$D$24*Restaurantes!$D$25),0)</f>
        <v>112.806012568649</v>
      </c>
      <c r="Y196" s="157" t="n">
        <f aca="false">IFERROR(Y177*Hipótesis!$F$130/Restaurantes!$D$22/(Restaurantes!$D$24*Restaurantes!$D$25),0)</f>
        <v>117.933558594496</v>
      </c>
      <c r="Z196" s="157" t="n">
        <f aca="false">IFERROR(Z177*Hipótesis!$F$130/Restaurantes!$D$22/(Restaurantes!$D$24*Restaurantes!$D$25),0)</f>
        <v>123.061104620344</v>
      </c>
      <c r="AA196" s="157" t="n">
        <f aca="false">IFERROR(AA177*Hipótesis!$F$130/Restaurantes!$D$22/(Restaurantes!$D$24*Restaurantes!$D$25),0)</f>
        <v>123.061104620344</v>
      </c>
      <c r="AB196" s="157" t="n">
        <f aca="false">IFERROR(AB177*Hipótesis!$F$130/Restaurantes!$D$22/(Restaurantes!$D$24*Restaurantes!$D$25),0)</f>
        <v>123.061104620344</v>
      </c>
      <c r="AC196" s="157" t="n">
        <f aca="false">IFERROR(AC177*Hipótesis!$F$130/Restaurantes!$D$22/(Restaurantes!$D$24*Restaurantes!$D$25),0)</f>
        <v>123.061104620344</v>
      </c>
      <c r="AD196" s="157" t="n">
        <f aca="false">IFERROR(AD177*Hipótesis!$F$130/Restaurantes!$D$22/(Restaurantes!$D$24*Restaurantes!$D$25),0)</f>
        <v>123.061104620344</v>
      </c>
      <c r="AE196" s="157" t="n">
        <f aca="false">IFERROR(AE177*Hipótesis!$F$130/Restaurantes!$D$22/(Restaurantes!$D$24*Restaurantes!$D$25),0)</f>
        <v>123.061104620344</v>
      </c>
      <c r="AF196" s="157" t="n">
        <f aca="false">IFERROR(AF177*Hipótesis!$F$130/Restaurantes!$D$22/(Restaurantes!$D$24*Restaurantes!$D$25),0)</f>
        <v>123.061104620344</v>
      </c>
      <c r="AG196" s="157" t="n">
        <f aca="false">IFERROR(AG177*Hipótesis!$F$130/Restaurantes!$D$22/(Restaurantes!$D$24*Restaurantes!$D$25),0)</f>
        <v>123.061104620344</v>
      </c>
      <c r="AH196" s="157" t="n">
        <f aca="false">IFERROR(AH177*Hipótesis!$F$130/Restaurantes!$D$22/(Restaurantes!$D$24*Restaurantes!$D$25),0)</f>
        <v>123.061104620344</v>
      </c>
      <c r="AI196" s="157" t="n">
        <f aca="false">IFERROR(AI177*Hipótesis!$F$130/Restaurantes!$D$22/(Restaurantes!$D$24*Restaurantes!$D$25),0)</f>
        <v>123.061104620344</v>
      </c>
      <c r="AJ196" s="157" t="n">
        <f aca="false">IFERROR(AJ177*Hipótesis!$F$130/Restaurantes!$D$22/(Restaurantes!$D$24*Restaurantes!$D$25),0)</f>
        <v>123.061104620344</v>
      </c>
      <c r="AK196" s="157" t="n">
        <f aca="false">IFERROR(AK177*Hipótesis!$F$130/Restaurantes!$D$22/(Restaurantes!$D$24*Restaurantes!$D$25),0)</f>
        <v>123.061104620344</v>
      </c>
      <c r="AL196" s="157" t="n">
        <f aca="false">IFERROR(AL177*Hipótesis!$F$130/Restaurantes!$D$22/(Restaurantes!$D$24*Restaurantes!$D$25),0)</f>
        <v>123.061104620344</v>
      </c>
      <c r="AM196" s="157" t="n">
        <f aca="false">IFERROR(AM177*Hipótesis!$F$130/Restaurantes!$D$22/(Restaurantes!$D$24*Restaurantes!$D$25),0)</f>
        <v>123.061104620344</v>
      </c>
      <c r="AN196" s="157" t="n">
        <f aca="false">IFERROR(AN177*Hipótesis!$F$130/Restaurantes!$D$22/(Restaurantes!$D$24*Restaurantes!$D$25),0)</f>
        <v>123.061104620344</v>
      </c>
      <c r="AO196" s="157" t="n">
        <f aca="false">IFERROR(AO177*Hipótesis!$F$130/Restaurantes!$D$22/(Restaurantes!$D$24*Restaurantes!$D$25),0)</f>
        <v>123.061104620344</v>
      </c>
      <c r="AP196" s="157" t="n">
        <f aca="false">IFERROR(AP177*Hipótesis!$F$130/Restaurantes!$D$22/(Restaurantes!$D$24*Restaurantes!$D$25),0)</f>
        <v>123.061104620344</v>
      </c>
      <c r="AQ196" s="157" t="n">
        <f aca="false">IFERROR(AQ177*Hipótesis!$F$130/Restaurantes!$D$22/(Restaurantes!$D$24*Restaurantes!$D$25),0)</f>
        <v>123.061104620344</v>
      </c>
      <c r="AR196" s="157" t="n">
        <f aca="false">IFERROR(AR177*Hipótesis!$F$130/Restaurantes!$D$22/(Restaurantes!$D$24*Restaurantes!$D$25),0)</f>
        <v>123.061104620344</v>
      </c>
      <c r="AS196" s="157" t="n">
        <f aca="false">IFERROR(AS177*Hipótesis!$F$130/Restaurantes!$D$22/(Restaurantes!$D$24*Restaurantes!$D$25),0)</f>
        <v>123.061104620344</v>
      </c>
      <c r="AT196" s="157" t="n">
        <f aca="false">IFERROR(AT177*Hipótesis!$F$130/Restaurantes!$D$22/(Restaurantes!$D$24*Restaurantes!$D$25),0)</f>
        <v>123.061104620344</v>
      </c>
      <c r="AU196" s="157" t="n">
        <f aca="false">IFERROR(AU177*Hipótesis!$F$130/Restaurantes!$D$22/(Restaurantes!$D$24*Restaurantes!$D$25),0)</f>
        <v>123.061104620344</v>
      </c>
      <c r="AV196" s="157" t="n">
        <f aca="false">IFERROR(AV177*Hipótesis!$F$130/Restaurantes!$D$22/(Restaurantes!$D$24*Restaurantes!$D$25),0)</f>
        <v>123.061104620344</v>
      </c>
      <c r="AW196" s="157" t="n">
        <f aca="false">IFERROR(AW177*Hipótesis!$F$130/Restaurantes!$D$22/(Restaurantes!$D$24*Restaurantes!$D$25),0)</f>
        <v>123.061104620344</v>
      </c>
      <c r="AX196" s="157" t="n">
        <f aca="false">IFERROR(AX177*Hipótesis!$F$130/Restaurantes!$D$22/(Restaurantes!$D$24*Restaurantes!$D$25),0)</f>
        <v>123.061104620344</v>
      </c>
      <c r="AY196" s="157" t="n">
        <f aca="false">IFERROR(AY177*Hipótesis!$F$130/Restaurantes!$D$22/(Restaurantes!$D$24*Restaurantes!$D$25),0)</f>
        <v>123.061104620344</v>
      </c>
      <c r="AZ196" s="157" t="n">
        <f aca="false">IFERROR(AZ177*Hipótesis!$F$130/Restaurantes!$D$22/(Restaurantes!$D$24*Restaurantes!$D$25),0)</f>
        <v>123.061104620344</v>
      </c>
      <c r="BA196" s="157" t="n">
        <f aca="false">IFERROR(BA177*Hipótesis!$F$130/Restaurantes!$D$22/(Restaurantes!$D$24*Restaurantes!$D$25),0)</f>
        <v>123.061104620344</v>
      </c>
      <c r="BB196" s="157" t="n">
        <f aca="false">IFERROR(BB177*Hipótesis!$F$130/Restaurantes!$D$22/(Restaurantes!$D$24*Restaurantes!$D$25),0)</f>
        <v>123.061104620344</v>
      </c>
      <c r="BC196" s="157" t="n">
        <f aca="false">IFERROR(BC177*Hipótesis!$F$130/Restaurantes!$D$22/(Restaurantes!$D$24*Restaurantes!$D$25),0)</f>
        <v>123.061104620344</v>
      </c>
      <c r="BD196" s="157" t="n">
        <f aca="false">IFERROR(BD177*Hipótesis!$F$130/Restaurantes!$D$22/(Restaurantes!$D$24*Restaurantes!$D$25),0)</f>
        <v>123.061104620344</v>
      </c>
      <c r="BE196" s="157" t="n">
        <f aca="false">IFERROR(BE177*Hipótesis!$F$130/Restaurantes!$D$22/(Restaurantes!$D$24*Restaurantes!$D$25),0)</f>
        <v>123.061104620344</v>
      </c>
      <c r="BF196" s="157" t="n">
        <f aca="false">IFERROR(BF177*Hipótesis!$F$130/Restaurantes!$D$22/(Restaurantes!$D$24*Restaurantes!$D$25),0)</f>
        <v>123.061104620344</v>
      </c>
      <c r="BG196" s="157" t="n">
        <f aca="false">IFERROR(BG177*Hipótesis!$F$130/Restaurantes!$D$22/(Restaurantes!$D$24*Restaurantes!$D$25),0)</f>
        <v>123.061104620344</v>
      </c>
      <c r="BH196" s="157" t="n">
        <f aca="false">IFERROR(BH177*Hipótesis!$F$130/Restaurantes!$D$22/(Restaurantes!$D$24*Restaurantes!$D$25),0)</f>
        <v>123.061104620344</v>
      </c>
      <c r="BI196" s="157" t="n">
        <f aca="false">IFERROR(BI177*Hipótesis!$F$130/Restaurantes!$D$22/(Restaurantes!$D$24*Restaurantes!$D$25),0)</f>
        <v>123.061104620344</v>
      </c>
      <c r="BJ196" s="157" t="n">
        <f aca="false">IFERROR(BJ177*Hipótesis!$F$130/Restaurantes!$D$22/(Restaurantes!$D$24*Restaurantes!$D$25),0)</f>
        <v>123.061104620344</v>
      </c>
      <c r="BK196" s="157" t="n">
        <f aca="false">IFERROR(BK177*Hipótesis!$F$130/Restaurantes!$D$22/(Restaurantes!$D$24*Restaurantes!$D$25),0)</f>
        <v>123.061104620344</v>
      </c>
      <c r="BL196" s="157" t="n">
        <f aca="false">IFERROR(BL177*Hipótesis!$F$130/Restaurantes!$D$22/(Restaurantes!$D$24*Restaurantes!$D$25),0)</f>
        <v>123.061104620344</v>
      </c>
      <c r="BM196" s="157" t="n">
        <f aca="false">IFERROR(BM177*Hipótesis!$F$130/Restaurantes!$D$22/(Restaurantes!$D$24*Restaurantes!$D$25),0)</f>
        <v>123.061104620344</v>
      </c>
      <c r="BN196" s="157" t="n">
        <f aca="false">IFERROR(BN177*Hipótesis!$F$130/Restaurantes!$D$22/(Restaurantes!$D$24*Restaurantes!$D$25),0)</f>
        <v>123.061104620344</v>
      </c>
      <c r="BO196" s="157" t="n">
        <f aca="false">IFERROR(BO177*Hipótesis!$F$130/Restaurantes!$D$22/(Restaurantes!$D$24*Restaurantes!$D$25),0)</f>
        <v>123.061104620344</v>
      </c>
      <c r="BP196" s="157" t="n">
        <f aca="false">IFERROR(BP177*Hipótesis!$F$130/Restaurantes!$D$22/(Restaurantes!$D$24*Restaurantes!$D$25),0)</f>
        <v>123.061104620344</v>
      </c>
      <c r="BQ196" s="157" t="n">
        <f aca="false">IFERROR(BQ177*Hipótesis!$F$130/Restaurantes!$D$22/(Restaurantes!$D$24*Restaurantes!$D$25),0)</f>
        <v>123.061104620344</v>
      </c>
      <c r="BR196" s="157" t="n">
        <f aca="false">IFERROR(BR177*Hipótesis!$F$130/Restaurantes!$D$22/(Restaurantes!$D$24*Restaurantes!$D$25),0)</f>
        <v>123.061104620344</v>
      </c>
      <c r="BS196" s="157" t="n">
        <f aca="false">IFERROR(BS177*Hipótesis!$F$130/Restaurantes!$D$22/(Restaurantes!$D$24*Restaurantes!$D$25),0)</f>
        <v>123.061104620344</v>
      </c>
      <c r="BT196" s="157" t="n">
        <f aca="false">IFERROR(BT177*Hipótesis!$F$130/Restaurantes!$D$22/(Restaurantes!$D$24*Restaurantes!$D$25),0)</f>
        <v>123.061104620344</v>
      </c>
      <c r="BU196" s="157" t="n">
        <f aca="false">IFERROR(BU177*Hipótesis!$F$130/Restaurantes!$D$22/(Restaurantes!$D$24*Restaurantes!$D$25),0)</f>
        <v>123.061104620344</v>
      </c>
      <c r="BV196" s="157" t="n">
        <f aca="false">IFERROR(BV177*Hipótesis!$F$130/Restaurantes!$D$22/(Restaurantes!$D$24*Restaurantes!$D$25),0)</f>
        <v>123.061104620344</v>
      </c>
      <c r="BW196" s="157" t="n">
        <f aca="false">IFERROR(BW177*Hipótesis!$F$130/Restaurantes!$D$22/(Restaurantes!$D$24*Restaurantes!$D$25),0)</f>
        <v>123.061104620344</v>
      </c>
      <c r="BX196" s="157" t="n">
        <f aca="false">IFERROR(BX177*Hipótesis!$F$130/Restaurantes!$D$22/(Restaurantes!$D$24*Restaurantes!$D$25),0)</f>
        <v>123.061104620344</v>
      </c>
      <c r="BY196" s="157" t="n">
        <f aca="false">IFERROR(BY177*Hipótesis!$F$130/Restaurantes!$D$22/(Restaurantes!$D$24*Restaurantes!$D$25),0)</f>
        <v>123.061104620344</v>
      </c>
      <c r="BZ196" s="157" t="n">
        <f aca="false">IFERROR(BZ177*Hipótesis!$F$130/Restaurantes!$D$22/(Restaurantes!$D$24*Restaurantes!$D$25),0)</f>
        <v>123.061104620344</v>
      </c>
      <c r="CA196" s="157" t="n">
        <f aca="false">IFERROR(CA177*Hipótesis!$F$130/Restaurantes!$D$22/(Restaurantes!$D$24*Restaurantes!$D$25),0)</f>
        <v>123.061104620344</v>
      </c>
      <c r="CB196" s="157" t="n">
        <f aca="false">IFERROR(CB177*Hipótesis!$F$130/Restaurantes!$D$22/(Restaurantes!$D$24*Restaurantes!$D$25),0)</f>
        <v>123.061104620344</v>
      </c>
      <c r="CC196" s="157" t="n">
        <f aca="false">IFERROR(CC177*Hipótesis!$F$130/Restaurantes!$D$22/(Restaurantes!$D$24*Restaurantes!$D$25),0)</f>
        <v>123.061104620344</v>
      </c>
      <c r="CD196" s="157" t="n">
        <f aca="false">IFERROR(CD177*Hipótesis!$F$130/Restaurantes!$D$22/(Restaurantes!$D$24*Restaurantes!$D$25),0)</f>
        <v>123.061104620344</v>
      </c>
      <c r="CE196" s="157" t="n">
        <f aca="false">IFERROR(CE177*Hipótesis!$F$130/Restaurantes!$D$22/(Restaurantes!$D$24*Restaurantes!$D$25),0)</f>
        <v>123.061104620344</v>
      </c>
      <c r="CF196" s="157" t="n">
        <f aca="false">IFERROR(CF177*Hipótesis!$F$130/Restaurantes!$D$22/(Restaurantes!$D$24*Restaurantes!$D$25),0)</f>
        <v>123.061104620344</v>
      </c>
      <c r="CG196" s="157" t="n">
        <f aca="false">IFERROR(CG177*Hipótesis!$F$130/Restaurantes!$D$22/(Restaurantes!$D$24*Restaurantes!$D$25),0)</f>
        <v>123.061104620344</v>
      </c>
      <c r="CH196" s="157" t="n">
        <f aca="false">IFERROR(CH177*Hipótesis!$F$130/Restaurantes!$D$22/(Restaurantes!$D$24*Restaurantes!$D$25),0)</f>
        <v>123.061104620344</v>
      </c>
    </row>
    <row r="197" customFormat="false" ht="15" hidden="false" customHeight="false" outlineLevel="0" collapsed="false">
      <c r="A197" s="1" t="s">
        <v>858</v>
      </c>
      <c r="C197" s="158" t="n">
        <f aca="false">MAX(0,C196)</f>
        <v>5.12754602584767</v>
      </c>
      <c r="D197" s="158" t="n">
        <f aca="false">MAX(0,D196-C196)+C196*Restaurantes!$D$62</f>
        <v>5.20445921623538</v>
      </c>
      <c r="E197" s="158" t="n">
        <f aca="false">MAX(0,E196-D196)+D196*Restaurantes!$D$62</f>
        <v>5.2813724066231</v>
      </c>
      <c r="F197" s="158" t="n">
        <f aca="false">MAX(0,F196-E196)+E196*Restaurantes!$D$62</f>
        <v>5.35828559701081</v>
      </c>
      <c r="G197" s="158" t="n">
        <f aca="false">MAX(0,G196-F196)+F196*Restaurantes!$D$62</f>
        <v>5.43519878739853</v>
      </c>
      <c r="H197" s="158" t="n">
        <f aca="false">MAX(0,H196-G196)+G196*Restaurantes!$D$62</f>
        <v>5.51211197778624</v>
      </c>
      <c r="I197" s="158" t="n">
        <f aca="false">MAX(0,I196-H196)+H196*Restaurantes!$D$62</f>
        <v>5.58902516817396</v>
      </c>
      <c r="J197" s="158" t="n">
        <f aca="false">MAX(0,J196-I196)+I196*Restaurantes!$D$62</f>
        <v>5.66593835856168</v>
      </c>
      <c r="K197" s="158" t="n">
        <f aca="false">MAX(0,K196-J196)+J196*Restaurantes!$D$62</f>
        <v>5.74285154894938</v>
      </c>
      <c r="L197" s="158" t="n">
        <f aca="false">MAX(0,L196-K196)+K196*Restaurantes!$D$62</f>
        <v>5.81976473933711</v>
      </c>
      <c r="M197" s="158" t="n">
        <f aca="false">MAX(0,M196-L196)+L196*Restaurantes!$D$62</f>
        <v>5.89667792972481</v>
      </c>
      <c r="N197" s="158" t="n">
        <f aca="false">MAX(0,N196-M196)+M196*Restaurantes!$D$62</f>
        <v>5.97359112011254</v>
      </c>
      <c r="O197" s="158" t="n">
        <f aca="false">MAX(0,O196-N196)+N196*Restaurantes!$D$62</f>
        <v>6.05050431050025</v>
      </c>
      <c r="P197" s="158" t="n">
        <f aca="false">MAX(0,P196-O196)+O196*Restaurantes!$D$62</f>
        <v>6.12741750088796</v>
      </c>
      <c r="Q197" s="158" t="n">
        <f aca="false">MAX(0,Q196-P196)+P196*Restaurantes!$D$62</f>
        <v>6.20433069127568</v>
      </c>
      <c r="R197" s="158" t="n">
        <f aca="false">MAX(0,R196-Q196)+Q196*Restaurantes!$D$62</f>
        <v>6.2812438816634</v>
      </c>
      <c r="S197" s="158" t="n">
        <f aca="false">MAX(0,S196-R196)+R196*Restaurantes!$D$62</f>
        <v>6.35815707205109</v>
      </c>
      <c r="T197" s="158" t="n">
        <f aca="false">MAX(0,T196-S196)+S196*Restaurantes!$D$62</f>
        <v>6.43507026243883</v>
      </c>
      <c r="U197" s="158" t="n">
        <f aca="false">MAX(0,U196-T196)+T196*Restaurantes!$D$62</f>
        <v>6.51198345282655</v>
      </c>
      <c r="V197" s="158" t="n">
        <f aca="false">MAX(0,V196-U196)+U196*Restaurantes!$D$62</f>
        <v>6.58889664321425</v>
      </c>
      <c r="W197" s="158" t="n">
        <f aca="false">MAX(0,W196-V196)+V196*Restaurantes!$D$62</f>
        <v>6.66580983360197</v>
      </c>
      <c r="X197" s="158" t="n">
        <f aca="false">MAX(0,X196-W196)+W196*Restaurantes!$D$62</f>
        <v>6.74272302398967</v>
      </c>
      <c r="Y197" s="158" t="n">
        <f aca="false">MAX(0,Y196-X196)+X196*Restaurantes!$D$62</f>
        <v>6.81963621437742</v>
      </c>
      <c r="Z197" s="158" t="n">
        <f aca="false">MAX(0,Z196-Y196)+Y196*Restaurantes!$D$62</f>
        <v>6.89654940476511</v>
      </c>
      <c r="AA197" s="158" t="n">
        <f aca="false">MAX(0,AA196-Z196)+Z196*Restaurantes!$D$62</f>
        <v>1.84591656930516</v>
      </c>
      <c r="AB197" s="158" t="n">
        <f aca="false">MAX(0,AB196-AA196)+AA196*Restaurantes!$D$62</f>
        <v>1.84591656930516</v>
      </c>
      <c r="AC197" s="158" t="n">
        <f aca="false">MAX(0,AC196-AB196)+AB196*Restaurantes!$D$62</f>
        <v>1.84591656930516</v>
      </c>
      <c r="AD197" s="158" t="n">
        <f aca="false">MAX(0,AD196-AC196)+AC196*Restaurantes!$D$62</f>
        <v>1.84591656930516</v>
      </c>
      <c r="AE197" s="158" t="n">
        <f aca="false">MAX(0,AE196-AD196)+AD196*Restaurantes!$D$62</f>
        <v>1.84591656930516</v>
      </c>
      <c r="AF197" s="158" t="n">
        <f aca="false">MAX(0,AF196-AE196)+AE196*Restaurantes!$D$62</f>
        <v>1.84591656930516</v>
      </c>
      <c r="AG197" s="158" t="n">
        <f aca="false">MAX(0,AG196-AF196)+AF196*Restaurantes!$D$62</f>
        <v>1.84591656930516</v>
      </c>
      <c r="AH197" s="158" t="n">
        <f aca="false">MAX(0,AH196-AG196)+AG196*Restaurantes!$D$62</f>
        <v>1.84591656930516</v>
      </c>
      <c r="AI197" s="158" t="n">
        <f aca="false">MAX(0,AI196-AH196)+AH196*Restaurantes!$D$62</f>
        <v>1.84591656930516</v>
      </c>
      <c r="AJ197" s="158" t="n">
        <f aca="false">MAX(0,AJ196-AI196)+AI196*Restaurantes!$D$62</f>
        <v>1.84591656930516</v>
      </c>
      <c r="AK197" s="158" t="n">
        <f aca="false">MAX(0,AK196-AJ196)+AJ196*Restaurantes!$D$62</f>
        <v>1.84591656930516</v>
      </c>
      <c r="AL197" s="158" t="n">
        <f aca="false">MAX(0,AL196-AK196)+AK196*Restaurantes!$D$62</f>
        <v>1.84591656930516</v>
      </c>
      <c r="AM197" s="158" t="n">
        <f aca="false">MAX(0,AM196-AL196)+AL196*Restaurantes!$D$62</f>
        <v>1.84591656930516</v>
      </c>
      <c r="AN197" s="158" t="n">
        <f aca="false">MAX(0,AN196-AM196)+AM196*Restaurantes!$D$62</f>
        <v>1.84591656930516</v>
      </c>
      <c r="AO197" s="158" t="n">
        <f aca="false">MAX(0,AO196-AN196)+AN196*Restaurantes!$D$62</f>
        <v>1.84591656930516</v>
      </c>
      <c r="AP197" s="158" t="n">
        <f aca="false">MAX(0,AP196-AO196)+AO196*Restaurantes!$D$62</f>
        <v>1.84591656930516</v>
      </c>
      <c r="AQ197" s="158" t="n">
        <f aca="false">MAX(0,AQ196-AP196)+AP196*Restaurantes!$D$62</f>
        <v>1.84591656930516</v>
      </c>
      <c r="AR197" s="158" t="n">
        <f aca="false">MAX(0,AR196-AQ196)+AQ196*Restaurantes!$D$62</f>
        <v>1.84591656930516</v>
      </c>
      <c r="AS197" s="158" t="n">
        <f aca="false">MAX(0,AS196-AR196)+AR196*Restaurantes!$D$62</f>
        <v>1.84591656930516</v>
      </c>
      <c r="AT197" s="158" t="n">
        <f aca="false">MAX(0,AT196-AS196)+AS196*Restaurantes!$D$62</f>
        <v>1.84591656930516</v>
      </c>
      <c r="AU197" s="158" t="n">
        <f aca="false">MAX(0,AU196-AT196)+AT196*Restaurantes!$D$62</f>
        <v>1.84591656930516</v>
      </c>
      <c r="AV197" s="158" t="n">
        <f aca="false">MAX(0,AV196-AU196)+AU196*Restaurantes!$D$62</f>
        <v>1.84591656930516</v>
      </c>
      <c r="AW197" s="158" t="n">
        <f aca="false">MAX(0,AW196-AV196)+AV196*Restaurantes!$D$62</f>
        <v>1.84591656930516</v>
      </c>
      <c r="AX197" s="158" t="n">
        <f aca="false">MAX(0,AX196-AW196)+AW196*Restaurantes!$D$62</f>
        <v>1.84591656930516</v>
      </c>
      <c r="AY197" s="158" t="n">
        <f aca="false">MAX(0,AY196-AX196)+AX196*Restaurantes!$D$62</f>
        <v>1.84591656930516</v>
      </c>
      <c r="AZ197" s="158" t="n">
        <f aca="false">MAX(0,AZ196-AY196)+AY196*Restaurantes!$D$62</f>
        <v>1.84591656930516</v>
      </c>
      <c r="BA197" s="158" t="n">
        <f aca="false">MAX(0,BA196-AZ196)+AZ196*Restaurantes!$D$62</f>
        <v>1.84591656930516</v>
      </c>
      <c r="BB197" s="158" t="n">
        <f aca="false">MAX(0,BB196-BA196)+BA196*Restaurantes!$D$62</f>
        <v>1.84591656930516</v>
      </c>
      <c r="BC197" s="158" t="n">
        <f aca="false">MAX(0,BC196-BB196)+BB196*Restaurantes!$D$62</f>
        <v>1.84591656930516</v>
      </c>
      <c r="BD197" s="158" t="n">
        <f aca="false">MAX(0,BD196-BC196)+BC196*Restaurantes!$D$62</f>
        <v>1.84591656930516</v>
      </c>
      <c r="BE197" s="158" t="n">
        <f aca="false">MAX(0,BE196-BD196)+BD196*Restaurantes!$D$62</f>
        <v>1.84591656930516</v>
      </c>
      <c r="BF197" s="158" t="n">
        <f aca="false">MAX(0,BF196-BE196)+BE196*Restaurantes!$D$62</f>
        <v>1.84591656930516</v>
      </c>
      <c r="BG197" s="158" t="n">
        <f aca="false">MAX(0,BG196-BF196)+BF196*Restaurantes!$D$62</f>
        <v>1.84591656930516</v>
      </c>
      <c r="BH197" s="158" t="n">
        <f aca="false">MAX(0,BH196-BG196)+BG196*Restaurantes!$D$62</f>
        <v>1.84591656930516</v>
      </c>
      <c r="BI197" s="158" t="n">
        <f aca="false">MAX(0,BI196-BH196)+BH196*Restaurantes!$D$62</f>
        <v>1.84591656930516</v>
      </c>
      <c r="BJ197" s="158" t="n">
        <f aca="false">MAX(0,BJ196-BI196)+BI196*Restaurantes!$D$62</f>
        <v>1.84591656930516</v>
      </c>
      <c r="BK197" s="158" t="n">
        <f aca="false">MAX(0,BK196-BJ196)+BJ196*Restaurantes!$D$62</f>
        <v>1.84591656930516</v>
      </c>
      <c r="BL197" s="158" t="n">
        <f aca="false">MAX(0,BL196-BK196)+BK196*Restaurantes!$D$62</f>
        <v>1.84591656930516</v>
      </c>
      <c r="BM197" s="158" t="n">
        <f aca="false">MAX(0,BM196-BL196)+BL196*Restaurantes!$D$62</f>
        <v>1.84591656930516</v>
      </c>
      <c r="BN197" s="158" t="n">
        <f aca="false">MAX(0,BN196-BM196)+BM196*Restaurantes!$D$62</f>
        <v>1.84591656930516</v>
      </c>
      <c r="BO197" s="158" t="n">
        <f aca="false">MAX(0,BO196-BN196)+BN196*Restaurantes!$D$62</f>
        <v>1.84591656930516</v>
      </c>
      <c r="BP197" s="158" t="n">
        <f aca="false">MAX(0,BP196-BO196)+BO196*Restaurantes!$D$62</f>
        <v>1.84591656930516</v>
      </c>
      <c r="BQ197" s="158" t="n">
        <f aca="false">MAX(0,BQ196-BP196)+BP196*Restaurantes!$D$62</f>
        <v>1.84591656930516</v>
      </c>
      <c r="BR197" s="158" t="n">
        <f aca="false">MAX(0,BR196-BQ196)+BQ196*Restaurantes!$D$62</f>
        <v>1.84591656930516</v>
      </c>
      <c r="BS197" s="158" t="n">
        <f aca="false">MAX(0,BS196-BR196)+BR196*Restaurantes!$D$62</f>
        <v>1.84591656930516</v>
      </c>
      <c r="BT197" s="158" t="n">
        <f aca="false">MAX(0,BT196-BS196)+BS196*Restaurantes!$D$62</f>
        <v>1.84591656930516</v>
      </c>
      <c r="BU197" s="158" t="n">
        <f aca="false">MAX(0,BU196-BT196)+BT196*Restaurantes!$D$62</f>
        <v>1.84591656930516</v>
      </c>
      <c r="BV197" s="158" t="n">
        <f aca="false">MAX(0,BV196-BU196)+BU196*Restaurantes!$D$62</f>
        <v>1.84591656930516</v>
      </c>
      <c r="BW197" s="158" t="n">
        <f aca="false">MAX(0,BW196-BV196)+BV196*Restaurantes!$D$62</f>
        <v>1.84591656930516</v>
      </c>
      <c r="BX197" s="158" t="n">
        <f aca="false">MAX(0,BX196-BW196)+BW196*Restaurantes!$D$62</f>
        <v>1.84591656930516</v>
      </c>
      <c r="BY197" s="158" t="n">
        <f aca="false">MAX(0,BY196-BX196)+BX196*Restaurantes!$D$62</f>
        <v>1.84591656930516</v>
      </c>
      <c r="BZ197" s="158" t="n">
        <f aca="false">MAX(0,BZ196-BY196)+BY196*Restaurantes!$D$62</f>
        <v>1.84591656930516</v>
      </c>
      <c r="CA197" s="158" t="n">
        <f aca="false">MAX(0,CA196-BZ196)+BZ196*Restaurantes!$D$62</f>
        <v>1.84591656930516</v>
      </c>
      <c r="CB197" s="158" t="n">
        <f aca="false">MAX(0,CB196-CA196)+CA196*Restaurantes!$D$62</f>
        <v>1.84591656930516</v>
      </c>
      <c r="CC197" s="158" t="n">
        <f aca="false">MAX(0,CC196-CB196)+CB196*Restaurantes!$D$62</f>
        <v>1.84591656930516</v>
      </c>
      <c r="CD197" s="158" t="n">
        <f aca="false">MAX(0,CD196-CC196)+CC196*Restaurantes!$D$62</f>
        <v>1.84591656930516</v>
      </c>
      <c r="CE197" s="158" t="n">
        <f aca="false">MAX(0,CE196-CD196)+CD196*Restaurantes!$D$62</f>
        <v>1.84591656930516</v>
      </c>
      <c r="CF197" s="158" t="n">
        <f aca="false">MAX(0,CF196-CE196)+CE196*Restaurantes!$D$62</f>
        <v>1.84591656930516</v>
      </c>
      <c r="CG197" s="158" t="n">
        <f aca="false">MAX(0,CG196-CF196)+CF196*Restaurantes!$D$62</f>
        <v>1.84591656930516</v>
      </c>
      <c r="CH197" s="158" t="n">
        <f aca="false">MAX(0,CH196-CG196)+CG196*Restaurantes!$D$62</f>
        <v>1.84591656930516</v>
      </c>
    </row>
    <row r="198" customFormat="false" ht="15" hidden="false" customHeight="false" outlineLevel="0" collapsed="false">
      <c r="A198" s="1" t="s">
        <v>859</v>
      </c>
      <c r="C198" s="158" t="n">
        <f aca="false">IFERROR(C188/Restaurantes!$D$35,0)</f>
        <v>1.7826280012147</v>
      </c>
      <c r="D198" s="158" t="n">
        <f aca="false">IFERROR(D188/Restaurantes!$D$35,0)</f>
        <v>3.5652560024294</v>
      </c>
      <c r="E198" s="158" t="n">
        <f aca="false">IFERROR(E188/Restaurantes!$D$35,0)</f>
        <v>5.34788400364409</v>
      </c>
      <c r="F198" s="158" t="n">
        <f aca="false">IFERROR(F188/Restaurantes!$D$35,0)</f>
        <v>7.13051200485879</v>
      </c>
      <c r="G198" s="158" t="n">
        <f aca="false">IFERROR(G188/Restaurantes!$D$35,0)</f>
        <v>1.33697100091102</v>
      </c>
      <c r="H198" s="158" t="n">
        <f aca="false">IFERROR(H188/Restaurantes!$D$35,0)</f>
        <v>10.6957680072882</v>
      </c>
      <c r="I198" s="158" t="n">
        <f aca="false">IFERROR(I188/Restaurantes!$D$35,0)</f>
        <v>12.4783960085029</v>
      </c>
      <c r="J198" s="158" t="n">
        <f aca="false">IFERROR(J188/Restaurantes!$D$35,0)</f>
        <v>14.2610240097176</v>
      </c>
      <c r="K198" s="158" t="n">
        <f aca="false">IFERROR(K188/Restaurantes!$D$35,0)</f>
        <v>16.0436520109323</v>
      </c>
      <c r="L198" s="158" t="n">
        <f aca="false">IFERROR(L188/Restaurantes!$D$35,0)</f>
        <v>17.826280012147</v>
      </c>
      <c r="M198" s="158" t="n">
        <f aca="false">IFERROR(M188/Restaurantes!$D$35,0)</f>
        <v>19.6089080133617</v>
      </c>
      <c r="N198" s="158" t="n">
        <f aca="false">IFERROR(N188/Restaurantes!$D$35,0)</f>
        <v>21.3915360145764</v>
      </c>
      <c r="O198" s="158" t="n">
        <f aca="false">IFERROR(O188/Restaurantes!$D$35,0)</f>
        <v>23.1741640157911</v>
      </c>
      <c r="P198" s="158" t="n">
        <f aca="false">IFERROR(P188/Restaurantes!$D$35,0)</f>
        <v>24.9567920170058</v>
      </c>
      <c r="Q198" s="158" t="n">
        <f aca="false">IFERROR(Q188/Restaurantes!$D$35,0)</f>
        <v>26.7394200182205</v>
      </c>
      <c r="R198" s="158" t="n">
        <f aca="false">IFERROR(R188/Restaurantes!$D$35,0)</f>
        <v>28.5220480194352</v>
      </c>
      <c r="S198" s="158" t="n">
        <f aca="false">IFERROR(S188/Restaurantes!$D$35,0)</f>
        <v>4.54570140309748</v>
      </c>
      <c r="T198" s="158" t="n">
        <f aca="false">IFERROR(T188/Restaurantes!$D$35,0)</f>
        <v>32.0873040218646</v>
      </c>
      <c r="U198" s="158" t="n">
        <f aca="false">IFERROR(U188/Restaurantes!$D$35,0)</f>
        <v>33.8699320230793</v>
      </c>
      <c r="V198" s="158" t="n">
        <f aca="false">IFERROR(V188/Restaurantes!$D$35,0)</f>
        <v>35.652560024294</v>
      </c>
      <c r="W198" s="158" t="n">
        <f aca="false">IFERROR(W188/Restaurantes!$D$35,0)</f>
        <v>37.4351880255087</v>
      </c>
      <c r="X198" s="158" t="n">
        <f aca="false">IFERROR(X188/Restaurantes!$D$35,0)</f>
        <v>39.2178160267234</v>
      </c>
      <c r="Y198" s="158" t="n">
        <f aca="false">IFERROR(Y188/Restaurantes!$D$35,0)</f>
        <v>41.0004440279381</v>
      </c>
      <c r="Z198" s="158" t="n">
        <f aca="false">IFERROR(Z188/Restaurantes!$D$35,0)</f>
        <v>42.7830720291528</v>
      </c>
      <c r="AA198" s="158" t="n">
        <f aca="false">IFERROR(AA188/Restaurantes!$D$35,0)</f>
        <v>42.7830720291528</v>
      </c>
      <c r="AB198" s="158" t="n">
        <f aca="false">IFERROR(AB188/Restaurantes!$D$35,0)</f>
        <v>42.7830720291528</v>
      </c>
      <c r="AC198" s="158" t="n">
        <f aca="false">IFERROR(AC188/Restaurantes!$D$35,0)</f>
        <v>42.7830720291528</v>
      </c>
      <c r="AD198" s="158" t="n">
        <f aca="false">IFERROR(AD188/Restaurantes!$D$35,0)</f>
        <v>42.7830720291528</v>
      </c>
      <c r="AE198" s="158" t="n">
        <f aca="false">IFERROR(AE188/Restaurantes!$D$35,0)</f>
        <v>6.41746080437291</v>
      </c>
      <c r="AF198" s="158" t="n">
        <f aca="false">IFERROR(AF188/Restaurantes!$D$35,0)</f>
        <v>42.7830720291528</v>
      </c>
      <c r="AG198" s="158" t="n">
        <f aca="false">IFERROR(AG188/Restaurantes!$D$35,0)</f>
        <v>42.7830720291528</v>
      </c>
      <c r="AH198" s="158" t="n">
        <f aca="false">IFERROR(AH188/Restaurantes!$D$35,0)</f>
        <v>42.7830720291528</v>
      </c>
      <c r="AI198" s="158" t="n">
        <f aca="false">IFERROR(AI188/Restaurantes!$D$35,0)</f>
        <v>42.7830720291528</v>
      </c>
      <c r="AJ198" s="158" t="n">
        <f aca="false">IFERROR(AJ188/Restaurantes!$D$35,0)</f>
        <v>42.7830720291528</v>
      </c>
      <c r="AK198" s="158" t="n">
        <f aca="false">IFERROR(AK188/Restaurantes!$D$35,0)</f>
        <v>42.7830720291528</v>
      </c>
      <c r="AL198" s="158" t="n">
        <f aca="false">IFERROR(AL188/Restaurantes!$D$35,0)</f>
        <v>42.7830720291528</v>
      </c>
      <c r="AM198" s="158" t="n">
        <f aca="false">IFERROR(AM188/Restaurantes!$D$35,0)</f>
        <v>42.7830720291528</v>
      </c>
      <c r="AN198" s="158" t="n">
        <f aca="false">IFERROR(AN188/Restaurantes!$D$35,0)</f>
        <v>42.7830720291528</v>
      </c>
      <c r="AO198" s="158" t="n">
        <f aca="false">IFERROR(AO188/Restaurantes!$D$35,0)</f>
        <v>42.7830720291528</v>
      </c>
      <c r="AP198" s="158" t="n">
        <f aca="false">IFERROR(AP188/Restaurantes!$D$35,0)</f>
        <v>42.7830720291528</v>
      </c>
      <c r="AQ198" s="158" t="n">
        <f aca="false">IFERROR(AQ188/Restaurantes!$D$35,0)</f>
        <v>6.41746080437291</v>
      </c>
      <c r="AR198" s="158" t="n">
        <f aca="false">IFERROR(AR188/Restaurantes!$D$35,0)</f>
        <v>42.7830720291528</v>
      </c>
      <c r="AS198" s="158" t="n">
        <f aca="false">IFERROR(AS188/Restaurantes!$D$35,0)</f>
        <v>42.7830720291528</v>
      </c>
      <c r="AT198" s="158" t="n">
        <f aca="false">IFERROR(AT188/Restaurantes!$D$35,0)</f>
        <v>42.7830720291528</v>
      </c>
      <c r="AU198" s="158" t="n">
        <f aca="false">IFERROR(AU188/Restaurantes!$D$35,0)</f>
        <v>42.7830720291528</v>
      </c>
      <c r="AV198" s="158" t="n">
        <f aca="false">IFERROR(AV188/Restaurantes!$D$35,0)</f>
        <v>42.7830720291528</v>
      </c>
      <c r="AW198" s="158" t="n">
        <f aca="false">IFERROR(AW188/Restaurantes!$D$35,0)</f>
        <v>42.7830720291528</v>
      </c>
      <c r="AX198" s="158" t="n">
        <f aca="false">IFERROR(AX188/Restaurantes!$D$35,0)</f>
        <v>42.7830720291528</v>
      </c>
      <c r="AY198" s="158" t="n">
        <f aca="false">IFERROR(AY188/Restaurantes!$D$35,0)</f>
        <v>42.7830720291528</v>
      </c>
      <c r="AZ198" s="158" t="n">
        <f aca="false">IFERROR(AZ188/Restaurantes!$D$35,0)</f>
        <v>42.7830720291528</v>
      </c>
      <c r="BA198" s="158" t="n">
        <f aca="false">IFERROR(BA188/Restaurantes!$D$35,0)</f>
        <v>42.7830720291528</v>
      </c>
      <c r="BB198" s="158" t="n">
        <f aca="false">IFERROR(BB188/Restaurantes!$D$35,0)</f>
        <v>42.7830720291528</v>
      </c>
      <c r="BC198" s="158" t="n">
        <f aca="false">IFERROR(BC188/Restaurantes!$D$35,0)</f>
        <v>6.41746080437291</v>
      </c>
      <c r="BD198" s="158" t="n">
        <f aca="false">IFERROR(BD188/Restaurantes!$D$35,0)</f>
        <v>42.7830720291528</v>
      </c>
      <c r="BE198" s="158" t="n">
        <f aca="false">IFERROR(BE188/Restaurantes!$D$35,0)</f>
        <v>42.7830720291528</v>
      </c>
      <c r="BF198" s="158" t="n">
        <f aca="false">IFERROR(BF188/Restaurantes!$D$35,0)</f>
        <v>42.7830720291528</v>
      </c>
      <c r="BG198" s="158" t="n">
        <f aca="false">IFERROR(BG188/Restaurantes!$D$35,0)</f>
        <v>42.7830720291528</v>
      </c>
      <c r="BH198" s="158" t="n">
        <f aca="false">IFERROR(BH188/Restaurantes!$D$35,0)</f>
        <v>42.7830720291528</v>
      </c>
      <c r="BI198" s="158" t="n">
        <f aca="false">IFERROR(BI188/Restaurantes!$D$35,0)</f>
        <v>42.7830720291528</v>
      </c>
      <c r="BJ198" s="158" t="n">
        <f aca="false">IFERROR(BJ188/Restaurantes!$D$35,0)</f>
        <v>42.7830720291528</v>
      </c>
      <c r="BK198" s="158" t="n">
        <f aca="false">IFERROR(BK188/Restaurantes!$D$35,0)</f>
        <v>42.7830720291528</v>
      </c>
      <c r="BL198" s="158" t="n">
        <f aca="false">IFERROR(BL188/Restaurantes!$D$35,0)</f>
        <v>42.7830720291528</v>
      </c>
      <c r="BM198" s="158" t="n">
        <f aca="false">IFERROR(BM188/Restaurantes!$D$35,0)</f>
        <v>42.7830720291528</v>
      </c>
      <c r="BN198" s="158" t="n">
        <f aca="false">IFERROR(BN188/Restaurantes!$D$35,0)</f>
        <v>42.7830720291528</v>
      </c>
      <c r="BO198" s="158" t="n">
        <f aca="false">IFERROR(BO188/Restaurantes!$D$35,0)</f>
        <v>6.41746080437291</v>
      </c>
      <c r="BP198" s="158" t="n">
        <f aca="false">IFERROR(BP188/Restaurantes!$D$35,0)</f>
        <v>42.7830720291528</v>
      </c>
      <c r="BQ198" s="158" t="n">
        <f aca="false">IFERROR(BQ188/Restaurantes!$D$35,0)</f>
        <v>42.7830720291528</v>
      </c>
      <c r="BR198" s="158" t="n">
        <f aca="false">IFERROR(BR188/Restaurantes!$D$35,0)</f>
        <v>42.7830720291528</v>
      </c>
      <c r="BS198" s="158" t="n">
        <f aca="false">IFERROR(BS188/Restaurantes!$D$35,0)</f>
        <v>42.7830720291528</v>
      </c>
      <c r="BT198" s="158" t="n">
        <f aca="false">IFERROR(BT188/Restaurantes!$D$35,0)</f>
        <v>42.7830720291528</v>
      </c>
      <c r="BU198" s="158" t="n">
        <f aca="false">IFERROR(BU188/Restaurantes!$D$35,0)</f>
        <v>42.7830720291528</v>
      </c>
      <c r="BV198" s="158" t="n">
        <f aca="false">IFERROR(BV188/Restaurantes!$D$35,0)</f>
        <v>42.7830720291528</v>
      </c>
      <c r="BW198" s="158" t="n">
        <f aca="false">IFERROR(BW188/Restaurantes!$D$35,0)</f>
        <v>42.7830720291528</v>
      </c>
      <c r="BX198" s="158" t="n">
        <f aca="false">IFERROR(BX188/Restaurantes!$D$35,0)</f>
        <v>42.7830720291528</v>
      </c>
      <c r="BY198" s="158" t="n">
        <f aca="false">IFERROR(BY188/Restaurantes!$D$35,0)</f>
        <v>42.7830720291528</v>
      </c>
      <c r="BZ198" s="158" t="n">
        <f aca="false">IFERROR(BZ188/Restaurantes!$D$35,0)</f>
        <v>42.7830720291528</v>
      </c>
      <c r="CA198" s="158" t="n">
        <f aca="false">IFERROR(CA188/Restaurantes!$D$35,0)</f>
        <v>6.41746080437291</v>
      </c>
      <c r="CB198" s="158" t="n">
        <f aca="false">IFERROR(CB188/Restaurantes!$D$35,0)</f>
        <v>42.7830720291528</v>
      </c>
      <c r="CC198" s="158" t="n">
        <f aca="false">IFERROR(CC188/Restaurantes!$D$35,0)</f>
        <v>42.7830720291528</v>
      </c>
      <c r="CD198" s="158" t="n">
        <f aca="false">IFERROR(CD188/Restaurantes!$D$35,0)</f>
        <v>42.7830720291528</v>
      </c>
      <c r="CE198" s="158" t="n">
        <f aca="false">IFERROR(CE188/Restaurantes!$D$35,0)</f>
        <v>42.7830720291528</v>
      </c>
      <c r="CF198" s="158" t="n">
        <f aca="false">IFERROR(CF188/Restaurantes!$D$35,0)</f>
        <v>42.7830720291528</v>
      </c>
      <c r="CG198" s="158" t="n">
        <f aca="false">IFERROR(CG188/Restaurantes!$D$35,0)</f>
        <v>42.7830720291528</v>
      </c>
      <c r="CH198" s="158" t="n">
        <f aca="false">IFERROR(CH188/Restaurantes!$D$35,0)</f>
        <v>42.7830720291528</v>
      </c>
    </row>
    <row r="199" customFormat="false" ht="15" hidden="false" customHeight="false" outlineLevel="0" collapsed="false">
      <c r="A199" s="1" t="s">
        <v>860</v>
      </c>
      <c r="C199" s="158" t="n">
        <f aca="false">IFERROR(C198/Restaurantes!$F$36,0)</f>
        <v>0.254661143030671</v>
      </c>
      <c r="D199" s="158" t="n">
        <f aca="false">IFERROR(D198/Restaurantes!$F$36,0)</f>
        <v>0.509322286061342</v>
      </c>
      <c r="E199" s="158" t="n">
        <f aca="false">IFERROR(E198/Restaurantes!$F$36,0)</f>
        <v>0.763983429092013</v>
      </c>
      <c r="F199" s="158" t="n">
        <f aca="false">IFERROR(F198/Restaurantes!$F$36,0)</f>
        <v>1.01864457212268</v>
      </c>
      <c r="G199" s="158" t="n">
        <f aca="false">IFERROR(G198/Restaurantes!$F$36,0)</f>
        <v>0.190995857273003</v>
      </c>
      <c r="H199" s="158" t="n">
        <f aca="false">IFERROR(H198/Restaurantes!$F$36,0)</f>
        <v>1.52796685818403</v>
      </c>
      <c r="I199" s="158" t="n">
        <f aca="false">IFERROR(I198/Restaurantes!$F$36,0)</f>
        <v>1.7826280012147</v>
      </c>
      <c r="J199" s="158" t="n">
        <f aca="false">IFERROR(J198/Restaurantes!$F$36,0)</f>
        <v>2.03728914424537</v>
      </c>
      <c r="K199" s="158" t="n">
        <f aca="false">IFERROR(K198/Restaurantes!$F$36,0)</f>
        <v>2.29195028727604</v>
      </c>
      <c r="L199" s="158" t="n">
        <f aca="false">IFERROR(L198/Restaurantes!$F$36,0)</f>
        <v>2.54661143030671</v>
      </c>
      <c r="M199" s="158" t="n">
        <f aca="false">IFERROR(M198/Restaurantes!$F$36,0)</f>
        <v>2.80127257333738</v>
      </c>
      <c r="N199" s="158" t="n">
        <f aca="false">IFERROR(N198/Restaurantes!$F$36,0)</f>
        <v>3.05593371636805</v>
      </c>
      <c r="O199" s="158" t="n">
        <f aca="false">IFERROR(O198/Restaurantes!$F$36,0)</f>
        <v>3.31059485939873</v>
      </c>
      <c r="P199" s="158" t="n">
        <f aca="false">IFERROR(P198/Restaurantes!$F$36,0)</f>
        <v>3.5652560024294</v>
      </c>
      <c r="Q199" s="158" t="n">
        <f aca="false">IFERROR(Q198/Restaurantes!$F$36,0)</f>
        <v>3.81991714546007</v>
      </c>
      <c r="R199" s="158" t="n">
        <f aca="false">IFERROR(R198/Restaurantes!$F$36,0)</f>
        <v>4.07457828849074</v>
      </c>
      <c r="S199" s="158" t="n">
        <f aca="false">IFERROR(S198/Restaurantes!$F$36,0)</f>
        <v>0.649385914728211</v>
      </c>
      <c r="T199" s="158" t="n">
        <f aca="false">IFERROR(T198/Restaurantes!$F$36,0)</f>
        <v>4.58390057455208</v>
      </c>
      <c r="U199" s="158" t="n">
        <f aca="false">IFERROR(U198/Restaurantes!$F$36,0)</f>
        <v>4.83856171758275</v>
      </c>
      <c r="V199" s="158" t="n">
        <f aca="false">IFERROR(V198/Restaurantes!$F$36,0)</f>
        <v>5.09322286061342</v>
      </c>
      <c r="W199" s="158" t="n">
        <f aca="false">IFERROR(W198/Restaurantes!$F$36,0)</f>
        <v>5.34788400364409</v>
      </c>
      <c r="X199" s="158" t="n">
        <f aca="false">IFERROR(X198/Restaurantes!$F$36,0)</f>
        <v>5.60254514667477</v>
      </c>
      <c r="Y199" s="158" t="n">
        <f aca="false">IFERROR(Y198/Restaurantes!$F$36,0)</f>
        <v>5.85720628970544</v>
      </c>
      <c r="Z199" s="158" t="n">
        <f aca="false">IFERROR(Z198/Restaurantes!$F$36,0)</f>
        <v>6.11186743273611</v>
      </c>
      <c r="AA199" s="158" t="n">
        <f aca="false">IFERROR(AA198/Restaurantes!$F$36,0)</f>
        <v>6.11186743273611</v>
      </c>
      <c r="AB199" s="158" t="n">
        <f aca="false">IFERROR(AB198/Restaurantes!$F$36,0)</f>
        <v>6.11186743273611</v>
      </c>
      <c r="AC199" s="158" t="n">
        <f aca="false">IFERROR(AC198/Restaurantes!$F$36,0)</f>
        <v>6.11186743273611</v>
      </c>
      <c r="AD199" s="158" t="n">
        <f aca="false">IFERROR(AD198/Restaurantes!$F$36,0)</f>
        <v>6.11186743273611</v>
      </c>
      <c r="AE199" s="158" t="n">
        <f aca="false">IFERROR(AE198/Restaurantes!$F$36,0)</f>
        <v>0.916780114910416</v>
      </c>
      <c r="AF199" s="158" t="n">
        <f aca="false">IFERROR(AF198/Restaurantes!$F$36,0)</f>
        <v>6.11186743273611</v>
      </c>
      <c r="AG199" s="158" t="n">
        <f aca="false">IFERROR(AG198/Restaurantes!$F$36,0)</f>
        <v>6.11186743273611</v>
      </c>
      <c r="AH199" s="158" t="n">
        <f aca="false">IFERROR(AH198/Restaurantes!$F$36,0)</f>
        <v>6.11186743273611</v>
      </c>
      <c r="AI199" s="158" t="n">
        <f aca="false">IFERROR(AI198/Restaurantes!$F$36,0)</f>
        <v>6.11186743273611</v>
      </c>
      <c r="AJ199" s="158" t="n">
        <f aca="false">IFERROR(AJ198/Restaurantes!$F$36,0)</f>
        <v>6.11186743273611</v>
      </c>
      <c r="AK199" s="158" t="n">
        <f aca="false">IFERROR(AK198/Restaurantes!$F$36,0)</f>
        <v>6.11186743273611</v>
      </c>
      <c r="AL199" s="158" t="n">
        <f aca="false">IFERROR(AL198/Restaurantes!$F$36,0)</f>
        <v>6.11186743273611</v>
      </c>
      <c r="AM199" s="158" t="n">
        <f aca="false">IFERROR(AM198/Restaurantes!$F$36,0)</f>
        <v>6.11186743273611</v>
      </c>
      <c r="AN199" s="158" t="n">
        <f aca="false">IFERROR(AN198/Restaurantes!$F$36,0)</f>
        <v>6.11186743273611</v>
      </c>
      <c r="AO199" s="158" t="n">
        <f aca="false">IFERROR(AO198/Restaurantes!$F$36,0)</f>
        <v>6.11186743273611</v>
      </c>
      <c r="AP199" s="158" t="n">
        <f aca="false">IFERROR(AP198/Restaurantes!$F$36,0)</f>
        <v>6.11186743273611</v>
      </c>
      <c r="AQ199" s="158" t="n">
        <f aca="false">IFERROR(AQ198/Restaurantes!$F$36,0)</f>
        <v>0.916780114910416</v>
      </c>
      <c r="AR199" s="158" t="n">
        <f aca="false">IFERROR(AR198/Restaurantes!$F$36,0)</f>
        <v>6.11186743273611</v>
      </c>
      <c r="AS199" s="158" t="n">
        <f aca="false">IFERROR(AS198/Restaurantes!$F$36,0)</f>
        <v>6.11186743273611</v>
      </c>
      <c r="AT199" s="158" t="n">
        <f aca="false">IFERROR(AT198/Restaurantes!$F$36,0)</f>
        <v>6.11186743273611</v>
      </c>
      <c r="AU199" s="158" t="n">
        <f aca="false">IFERROR(AU198/Restaurantes!$F$36,0)</f>
        <v>6.11186743273611</v>
      </c>
      <c r="AV199" s="158" t="n">
        <f aca="false">IFERROR(AV198/Restaurantes!$F$36,0)</f>
        <v>6.11186743273611</v>
      </c>
      <c r="AW199" s="158" t="n">
        <f aca="false">IFERROR(AW198/Restaurantes!$F$36,0)</f>
        <v>6.11186743273611</v>
      </c>
      <c r="AX199" s="158" t="n">
        <f aca="false">IFERROR(AX198/Restaurantes!$F$36,0)</f>
        <v>6.11186743273611</v>
      </c>
      <c r="AY199" s="158" t="n">
        <f aca="false">IFERROR(AY198/Restaurantes!$F$36,0)</f>
        <v>6.11186743273611</v>
      </c>
      <c r="AZ199" s="158" t="n">
        <f aca="false">IFERROR(AZ198/Restaurantes!$F$36,0)</f>
        <v>6.11186743273611</v>
      </c>
      <c r="BA199" s="158" t="n">
        <f aca="false">IFERROR(BA198/Restaurantes!$F$36,0)</f>
        <v>6.11186743273611</v>
      </c>
      <c r="BB199" s="158" t="n">
        <f aca="false">IFERROR(BB198/Restaurantes!$F$36,0)</f>
        <v>6.11186743273611</v>
      </c>
      <c r="BC199" s="158" t="n">
        <f aca="false">IFERROR(BC198/Restaurantes!$F$36,0)</f>
        <v>0.916780114910416</v>
      </c>
      <c r="BD199" s="158" t="n">
        <f aca="false">IFERROR(BD198/Restaurantes!$F$36,0)</f>
        <v>6.11186743273611</v>
      </c>
      <c r="BE199" s="158" t="n">
        <f aca="false">IFERROR(BE198/Restaurantes!$F$36,0)</f>
        <v>6.11186743273611</v>
      </c>
      <c r="BF199" s="158" t="n">
        <f aca="false">IFERROR(BF198/Restaurantes!$F$36,0)</f>
        <v>6.11186743273611</v>
      </c>
      <c r="BG199" s="158" t="n">
        <f aca="false">IFERROR(BG198/Restaurantes!$F$36,0)</f>
        <v>6.11186743273611</v>
      </c>
      <c r="BH199" s="158" t="n">
        <f aca="false">IFERROR(BH198/Restaurantes!$F$36,0)</f>
        <v>6.11186743273611</v>
      </c>
      <c r="BI199" s="158" t="n">
        <f aca="false">IFERROR(BI198/Restaurantes!$F$36,0)</f>
        <v>6.11186743273611</v>
      </c>
      <c r="BJ199" s="158" t="n">
        <f aca="false">IFERROR(BJ198/Restaurantes!$F$36,0)</f>
        <v>6.11186743273611</v>
      </c>
      <c r="BK199" s="158" t="n">
        <f aca="false">IFERROR(BK198/Restaurantes!$F$36,0)</f>
        <v>6.11186743273611</v>
      </c>
      <c r="BL199" s="158" t="n">
        <f aca="false">IFERROR(BL198/Restaurantes!$F$36,0)</f>
        <v>6.11186743273611</v>
      </c>
      <c r="BM199" s="158" t="n">
        <f aca="false">IFERROR(BM198/Restaurantes!$F$36,0)</f>
        <v>6.11186743273611</v>
      </c>
      <c r="BN199" s="158" t="n">
        <f aca="false">IFERROR(BN198/Restaurantes!$F$36,0)</f>
        <v>6.11186743273611</v>
      </c>
      <c r="BO199" s="158" t="n">
        <f aca="false">IFERROR(BO198/Restaurantes!$F$36,0)</f>
        <v>0.916780114910416</v>
      </c>
      <c r="BP199" s="158" t="n">
        <f aca="false">IFERROR(BP198/Restaurantes!$F$36,0)</f>
        <v>6.11186743273611</v>
      </c>
      <c r="BQ199" s="158" t="n">
        <f aca="false">IFERROR(BQ198/Restaurantes!$F$36,0)</f>
        <v>6.11186743273611</v>
      </c>
      <c r="BR199" s="158" t="n">
        <f aca="false">IFERROR(BR198/Restaurantes!$F$36,0)</f>
        <v>6.11186743273611</v>
      </c>
      <c r="BS199" s="158" t="n">
        <f aca="false">IFERROR(BS198/Restaurantes!$F$36,0)</f>
        <v>6.11186743273611</v>
      </c>
      <c r="BT199" s="158" t="n">
        <f aca="false">IFERROR(BT198/Restaurantes!$F$36,0)</f>
        <v>6.11186743273611</v>
      </c>
      <c r="BU199" s="158" t="n">
        <f aca="false">IFERROR(BU198/Restaurantes!$F$36,0)</f>
        <v>6.11186743273611</v>
      </c>
      <c r="BV199" s="158" t="n">
        <f aca="false">IFERROR(BV198/Restaurantes!$F$36,0)</f>
        <v>6.11186743273611</v>
      </c>
      <c r="BW199" s="158" t="n">
        <f aca="false">IFERROR(BW198/Restaurantes!$F$36,0)</f>
        <v>6.11186743273611</v>
      </c>
      <c r="BX199" s="158" t="n">
        <f aca="false">IFERROR(BX198/Restaurantes!$F$36,0)</f>
        <v>6.11186743273611</v>
      </c>
      <c r="BY199" s="158" t="n">
        <f aca="false">IFERROR(BY198/Restaurantes!$F$36,0)</f>
        <v>6.11186743273611</v>
      </c>
      <c r="BZ199" s="158" t="n">
        <f aca="false">IFERROR(BZ198/Restaurantes!$F$36,0)</f>
        <v>6.11186743273611</v>
      </c>
      <c r="CA199" s="158" t="n">
        <f aca="false">IFERROR(CA198/Restaurantes!$F$36,0)</f>
        <v>0.916780114910416</v>
      </c>
      <c r="CB199" s="158" t="n">
        <f aca="false">IFERROR(CB198/Restaurantes!$F$36,0)</f>
        <v>6.11186743273611</v>
      </c>
      <c r="CC199" s="158" t="n">
        <f aca="false">IFERROR(CC198/Restaurantes!$F$36,0)</f>
        <v>6.11186743273611</v>
      </c>
      <c r="CD199" s="158" t="n">
        <f aca="false">IFERROR(CD198/Restaurantes!$F$36,0)</f>
        <v>6.11186743273611</v>
      </c>
      <c r="CE199" s="158" t="n">
        <f aca="false">IFERROR(CE198/Restaurantes!$F$36,0)</f>
        <v>6.11186743273611</v>
      </c>
      <c r="CF199" s="158" t="n">
        <f aca="false">IFERROR(CF198/Restaurantes!$F$36,0)</f>
        <v>6.11186743273611</v>
      </c>
      <c r="CG199" s="158" t="n">
        <f aca="false">IFERROR(CG198/Restaurantes!$F$36,0)</f>
        <v>6.11186743273611</v>
      </c>
      <c r="CH199" s="158" t="n">
        <f aca="false">IFERROR(CH198/Restaurantes!$F$36,0)</f>
        <v>6.11186743273611</v>
      </c>
    </row>
    <row r="200" customFormat="false" ht="15" hidden="false" customHeight="false" outlineLevel="0" collapsed="false">
      <c r="A200" s="25" t="s">
        <v>861</v>
      </c>
      <c r="C200" s="155" t="n">
        <f aca="false">IF(C198&gt;0,MAX(1,ROUNDUP(C199/Restaurantes!$D$38,0)),0)</f>
        <v>1</v>
      </c>
      <c r="D200" s="155" t="n">
        <f aca="false">IF(D198&gt;0,MAX(1,ROUNDUP(D199/Restaurantes!$D$38,0)),0)</f>
        <v>1</v>
      </c>
      <c r="E200" s="155" t="n">
        <f aca="false">IF(E198&gt;0,MAX(1,ROUNDUP(E199/Restaurantes!$D$38,0)),0)</f>
        <v>1</v>
      </c>
      <c r="F200" s="155" t="n">
        <f aca="false">IF(F198&gt;0,MAX(1,ROUNDUP(F199/Restaurantes!$D$38,0)),0)</f>
        <v>1</v>
      </c>
      <c r="G200" s="155" t="n">
        <f aca="false">IF(G198&gt;0,MAX(1,ROUNDUP(G199/Restaurantes!$D$38,0)),0)</f>
        <v>1</v>
      </c>
      <c r="H200" s="155" t="n">
        <f aca="false">IF(H198&gt;0,MAX(1,ROUNDUP(H199/Restaurantes!$D$38,0)),0)</f>
        <v>1</v>
      </c>
      <c r="I200" s="155" t="n">
        <f aca="false">IF(I198&gt;0,MAX(1,ROUNDUP(I199/Restaurantes!$D$38,0)),0)</f>
        <v>1</v>
      </c>
      <c r="J200" s="155" t="n">
        <f aca="false">IF(J198&gt;0,MAX(1,ROUNDUP(J199/Restaurantes!$D$38,0)),0)</f>
        <v>1</v>
      </c>
      <c r="K200" s="155" t="n">
        <f aca="false">IF(K198&gt;0,MAX(1,ROUNDUP(K199/Restaurantes!$D$38,0)),0)</f>
        <v>1</v>
      </c>
      <c r="L200" s="155" t="n">
        <f aca="false">IF(L198&gt;0,MAX(1,ROUNDUP(L199/Restaurantes!$D$38,0)),0)</f>
        <v>1</v>
      </c>
      <c r="M200" s="155" t="n">
        <f aca="false">IF(M198&gt;0,MAX(1,ROUNDUP(M199/Restaurantes!$D$38,0)),0)</f>
        <v>1</v>
      </c>
      <c r="N200" s="155" t="n">
        <f aca="false">IF(N198&gt;0,MAX(1,ROUNDUP(N199/Restaurantes!$D$38,0)),0)</f>
        <v>1</v>
      </c>
      <c r="O200" s="155" t="n">
        <f aca="false">IF(O198&gt;0,MAX(1,ROUNDUP(O199/Restaurantes!$D$38,0)),0)</f>
        <v>1</v>
      </c>
      <c r="P200" s="155" t="n">
        <f aca="false">IF(P198&gt;0,MAX(1,ROUNDUP(P199/Restaurantes!$D$38,0)),0)</f>
        <v>1</v>
      </c>
      <c r="Q200" s="155" t="n">
        <f aca="false">IF(Q198&gt;0,MAX(1,ROUNDUP(Q199/Restaurantes!$D$38,0)),0)</f>
        <v>1</v>
      </c>
      <c r="R200" s="155" t="n">
        <f aca="false">IF(R198&gt;0,MAX(1,ROUNDUP(R199/Restaurantes!$D$38,0)),0)</f>
        <v>1</v>
      </c>
      <c r="S200" s="155" t="n">
        <f aca="false">IF(S198&gt;0,MAX(1,ROUNDUP(S199/Restaurantes!$D$38,0)),0)</f>
        <v>1</v>
      </c>
      <c r="T200" s="155" t="n">
        <f aca="false">IF(T198&gt;0,MAX(1,ROUNDUP(T199/Restaurantes!$D$38,0)),0)</f>
        <v>1</v>
      </c>
      <c r="U200" s="155" t="n">
        <f aca="false">IF(U198&gt;0,MAX(1,ROUNDUP(U199/Restaurantes!$D$38,0)),0)</f>
        <v>1</v>
      </c>
      <c r="V200" s="155" t="n">
        <f aca="false">IF(V198&gt;0,MAX(1,ROUNDUP(V199/Restaurantes!$D$38,0)),0)</f>
        <v>2</v>
      </c>
      <c r="W200" s="155" t="n">
        <f aca="false">IF(W198&gt;0,MAX(1,ROUNDUP(W199/Restaurantes!$D$38,0)),0)</f>
        <v>2</v>
      </c>
      <c r="X200" s="155" t="n">
        <f aca="false">IF(X198&gt;0,MAX(1,ROUNDUP(X199/Restaurantes!$D$38,0)),0)</f>
        <v>2</v>
      </c>
      <c r="Y200" s="155" t="n">
        <f aca="false">IF(Y198&gt;0,MAX(1,ROUNDUP(Y199/Restaurantes!$D$38,0)),0)</f>
        <v>2</v>
      </c>
      <c r="Z200" s="155" t="n">
        <f aca="false">IF(Z198&gt;0,MAX(1,ROUNDUP(Z199/Restaurantes!$D$38,0)),0)</f>
        <v>2</v>
      </c>
      <c r="AA200" s="155" t="n">
        <f aca="false">IF(AA198&gt;0,MAX(1,ROUNDUP(AA199/Restaurantes!$D$38,0)),0)</f>
        <v>2</v>
      </c>
      <c r="AB200" s="155" t="n">
        <f aca="false">IF(AB198&gt;0,MAX(1,ROUNDUP(AB199/Restaurantes!$D$38,0)),0)</f>
        <v>2</v>
      </c>
      <c r="AC200" s="155" t="n">
        <f aca="false">IF(AC198&gt;0,MAX(1,ROUNDUP(AC199/Restaurantes!$D$38,0)),0)</f>
        <v>2</v>
      </c>
      <c r="AD200" s="155" t="n">
        <f aca="false">IF(AD198&gt;0,MAX(1,ROUNDUP(AD199/Restaurantes!$D$38,0)),0)</f>
        <v>2</v>
      </c>
      <c r="AE200" s="155" t="n">
        <f aca="false">IF(AE198&gt;0,MAX(1,ROUNDUP(AE199/Restaurantes!$D$38,0)),0)</f>
        <v>1</v>
      </c>
      <c r="AF200" s="155" t="n">
        <f aca="false">IF(AF198&gt;0,MAX(1,ROUNDUP(AF199/Restaurantes!$D$38,0)),0)</f>
        <v>2</v>
      </c>
      <c r="AG200" s="155" t="n">
        <f aca="false">IF(AG198&gt;0,MAX(1,ROUNDUP(AG199/Restaurantes!$D$38,0)),0)</f>
        <v>2</v>
      </c>
      <c r="AH200" s="155" t="n">
        <f aca="false">IF(AH198&gt;0,MAX(1,ROUNDUP(AH199/Restaurantes!$D$38,0)),0)</f>
        <v>2</v>
      </c>
      <c r="AI200" s="155" t="n">
        <f aca="false">IF(AI198&gt;0,MAX(1,ROUNDUP(AI199/Restaurantes!$D$38,0)),0)</f>
        <v>2</v>
      </c>
      <c r="AJ200" s="155" t="n">
        <f aca="false">IF(AJ198&gt;0,MAX(1,ROUNDUP(AJ199/Restaurantes!$D$38,0)),0)</f>
        <v>2</v>
      </c>
      <c r="AK200" s="155" t="n">
        <f aca="false">IF(AK198&gt;0,MAX(1,ROUNDUP(AK199/Restaurantes!$D$38,0)),0)</f>
        <v>2</v>
      </c>
      <c r="AL200" s="155" t="n">
        <f aca="false">IF(AL198&gt;0,MAX(1,ROUNDUP(AL199/Restaurantes!$D$38,0)),0)</f>
        <v>2</v>
      </c>
      <c r="AM200" s="155" t="n">
        <f aca="false">IF(AM198&gt;0,MAX(1,ROUNDUP(AM199/Restaurantes!$D$38,0)),0)</f>
        <v>2</v>
      </c>
      <c r="AN200" s="155" t="n">
        <f aca="false">IF(AN198&gt;0,MAX(1,ROUNDUP(AN199/Restaurantes!$D$38,0)),0)</f>
        <v>2</v>
      </c>
      <c r="AO200" s="155" t="n">
        <f aca="false">IF(AO198&gt;0,MAX(1,ROUNDUP(AO199/Restaurantes!$D$38,0)),0)</f>
        <v>2</v>
      </c>
      <c r="AP200" s="155" t="n">
        <f aca="false">IF(AP198&gt;0,MAX(1,ROUNDUP(AP199/Restaurantes!$D$38,0)),0)</f>
        <v>2</v>
      </c>
      <c r="AQ200" s="155" t="n">
        <f aca="false">IF(AQ198&gt;0,MAX(1,ROUNDUP(AQ199/Restaurantes!$D$38,0)),0)</f>
        <v>1</v>
      </c>
      <c r="AR200" s="155" t="n">
        <f aca="false">IF(AR198&gt;0,MAX(1,ROUNDUP(AR199/Restaurantes!$D$38,0)),0)</f>
        <v>2</v>
      </c>
      <c r="AS200" s="155" t="n">
        <f aca="false">IF(AS198&gt;0,MAX(1,ROUNDUP(AS199/Restaurantes!$D$38,0)),0)</f>
        <v>2</v>
      </c>
      <c r="AT200" s="155" t="n">
        <f aca="false">IF(AT198&gt;0,MAX(1,ROUNDUP(AT199/Restaurantes!$D$38,0)),0)</f>
        <v>2</v>
      </c>
      <c r="AU200" s="155" t="n">
        <f aca="false">IF(AU198&gt;0,MAX(1,ROUNDUP(AU199/Restaurantes!$D$38,0)),0)</f>
        <v>2</v>
      </c>
      <c r="AV200" s="155" t="n">
        <f aca="false">IF(AV198&gt;0,MAX(1,ROUNDUP(AV199/Restaurantes!$D$38,0)),0)</f>
        <v>2</v>
      </c>
      <c r="AW200" s="155" t="n">
        <f aca="false">IF(AW198&gt;0,MAX(1,ROUNDUP(AW199/Restaurantes!$D$38,0)),0)</f>
        <v>2</v>
      </c>
      <c r="AX200" s="155" t="n">
        <f aca="false">IF(AX198&gt;0,MAX(1,ROUNDUP(AX199/Restaurantes!$D$38,0)),0)</f>
        <v>2</v>
      </c>
      <c r="AY200" s="155" t="n">
        <f aca="false">IF(AY198&gt;0,MAX(1,ROUNDUP(AY199/Restaurantes!$D$38,0)),0)</f>
        <v>2</v>
      </c>
      <c r="AZ200" s="155" t="n">
        <f aca="false">IF(AZ198&gt;0,MAX(1,ROUNDUP(AZ199/Restaurantes!$D$38,0)),0)</f>
        <v>2</v>
      </c>
      <c r="BA200" s="155" t="n">
        <f aca="false">IF(BA198&gt;0,MAX(1,ROUNDUP(BA199/Restaurantes!$D$38,0)),0)</f>
        <v>2</v>
      </c>
      <c r="BB200" s="155" t="n">
        <f aca="false">IF(BB198&gt;0,MAX(1,ROUNDUP(BB199/Restaurantes!$D$38,0)),0)</f>
        <v>2</v>
      </c>
      <c r="BC200" s="155" t="n">
        <f aca="false">IF(BC198&gt;0,MAX(1,ROUNDUP(BC199/Restaurantes!$D$38,0)),0)</f>
        <v>1</v>
      </c>
      <c r="BD200" s="155" t="n">
        <f aca="false">IF(BD198&gt;0,MAX(1,ROUNDUP(BD199/Restaurantes!$D$38,0)),0)</f>
        <v>2</v>
      </c>
      <c r="BE200" s="155" t="n">
        <f aca="false">IF(BE198&gt;0,MAX(1,ROUNDUP(BE199/Restaurantes!$D$38,0)),0)</f>
        <v>2</v>
      </c>
      <c r="BF200" s="155" t="n">
        <f aca="false">IF(BF198&gt;0,MAX(1,ROUNDUP(BF199/Restaurantes!$D$38,0)),0)</f>
        <v>2</v>
      </c>
      <c r="BG200" s="155" t="n">
        <f aca="false">IF(BG198&gt;0,MAX(1,ROUNDUP(BG199/Restaurantes!$D$38,0)),0)</f>
        <v>2</v>
      </c>
      <c r="BH200" s="155" t="n">
        <f aca="false">IF(BH198&gt;0,MAX(1,ROUNDUP(BH199/Restaurantes!$D$38,0)),0)</f>
        <v>2</v>
      </c>
      <c r="BI200" s="155" t="n">
        <f aca="false">IF(BI198&gt;0,MAX(1,ROUNDUP(BI199/Restaurantes!$D$38,0)),0)</f>
        <v>2</v>
      </c>
      <c r="BJ200" s="155" t="n">
        <f aca="false">IF(BJ198&gt;0,MAX(1,ROUNDUP(BJ199/Restaurantes!$D$38,0)),0)</f>
        <v>2</v>
      </c>
      <c r="BK200" s="155" t="n">
        <f aca="false">IF(BK198&gt;0,MAX(1,ROUNDUP(BK199/Restaurantes!$D$38,0)),0)</f>
        <v>2</v>
      </c>
      <c r="BL200" s="155" t="n">
        <f aca="false">IF(BL198&gt;0,MAX(1,ROUNDUP(BL199/Restaurantes!$D$38,0)),0)</f>
        <v>2</v>
      </c>
      <c r="BM200" s="155" t="n">
        <f aca="false">IF(BM198&gt;0,MAX(1,ROUNDUP(BM199/Restaurantes!$D$38,0)),0)</f>
        <v>2</v>
      </c>
      <c r="BN200" s="155" t="n">
        <f aca="false">IF(BN198&gt;0,MAX(1,ROUNDUP(BN199/Restaurantes!$D$38,0)),0)</f>
        <v>2</v>
      </c>
      <c r="BO200" s="155" t="n">
        <f aca="false">IF(BO198&gt;0,MAX(1,ROUNDUP(BO199/Restaurantes!$D$38,0)),0)</f>
        <v>1</v>
      </c>
      <c r="BP200" s="155" t="n">
        <f aca="false">IF(BP198&gt;0,MAX(1,ROUNDUP(BP199/Restaurantes!$D$38,0)),0)</f>
        <v>2</v>
      </c>
      <c r="BQ200" s="155" t="n">
        <f aca="false">IF(BQ198&gt;0,MAX(1,ROUNDUP(BQ199/Restaurantes!$D$38,0)),0)</f>
        <v>2</v>
      </c>
      <c r="BR200" s="155" t="n">
        <f aca="false">IF(BR198&gt;0,MAX(1,ROUNDUP(BR199/Restaurantes!$D$38,0)),0)</f>
        <v>2</v>
      </c>
      <c r="BS200" s="155" t="n">
        <f aca="false">IF(BS198&gt;0,MAX(1,ROUNDUP(BS199/Restaurantes!$D$38,0)),0)</f>
        <v>2</v>
      </c>
      <c r="BT200" s="155" t="n">
        <f aca="false">IF(BT198&gt;0,MAX(1,ROUNDUP(BT199/Restaurantes!$D$38,0)),0)</f>
        <v>2</v>
      </c>
      <c r="BU200" s="155" t="n">
        <f aca="false">IF(BU198&gt;0,MAX(1,ROUNDUP(BU199/Restaurantes!$D$38,0)),0)</f>
        <v>2</v>
      </c>
      <c r="BV200" s="155" t="n">
        <f aca="false">IF(BV198&gt;0,MAX(1,ROUNDUP(BV199/Restaurantes!$D$38,0)),0)</f>
        <v>2</v>
      </c>
      <c r="BW200" s="155" t="n">
        <f aca="false">IF(BW198&gt;0,MAX(1,ROUNDUP(BW199/Restaurantes!$D$38,0)),0)</f>
        <v>2</v>
      </c>
      <c r="BX200" s="155" t="n">
        <f aca="false">IF(BX198&gt;0,MAX(1,ROUNDUP(BX199/Restaurantes!$D$38,0)),0)</f>
        <v>2</v>
      </c>
      <c r="BY200" s="155" t="n">
        <f aca="false">IF(BY198&gt;0,MAX(1,ROUNDUP(BY199/Restaurantes!$D$38,0)),0)</f>
        <v>2</v>
      </c>
      <c r="BZ200" s="155" t="n">
        <f aca="false">IF(BZ198&gt;0,MAX(1,ROUNDUP(BZ199/Restaurantes!$D$38,0)),0)</f>
        <v>2</v>
      </c>
      <c r="CA200" s="155" t="n">
        <f aca="false">IF(CA198&gt;0,MAX(1,ROUNDUP(CA199/Restaurantes!$D$38,0)),0)</f>
        <v>1</v>
      </c>
      <c r="CB200" s="155" t="n">
        <f aca="false">IF(CB198&gt;0,MAX(1,ROUNDUP(CB199/Restaurantes!$D$38,0)),0)</f>
        <v>2</v>
      </c>
      <c r="CC200" s="155" t="n">
        <f aca="false">IF(CC198&gt;0,MAX(1,ROUNDUP(CC199/Restaurantes!$D$38,0)),0)</f>
        <v>2</v>
      </c>
      <c r="CD200" s="155" t="n">
        <f aca="false">IF(CD198&gt;0,MAX(1,ROUNDUP(CD199/Restaurantes!$D$38,0)),0)</f>
        <v>2</v>
      </c>
      <c r="CE200" s="155" t="n">
        <f aca="false">IF(CE198&gt;0,MAX(1,ROUNDUP(CE199/Restaurantes!$D$38,0)),0)</f>
        <v>2</v>
      </c>
      <c r="CF200" s="155" t="n">
        <f aca="false">IF(CF198&gt;0,MAX(1,ROUNDUP(CF199/Restaurantes!$D$38,0)),0)</f>
        <v>2</v>
      </c>
      <c r="CG200" s="155" t="n">
        <f aca="false">IF(CG198&gt;0,MAX(1,ROUNDUP(CG199/Restaurantes!$D$38,0)),0)</f>
        <v>2</v>
      </c>
      <c r="CH200" s="155" t="n">
        <f aca="false">IF(CH198&gt;0,MAX(1,ROUNDUP(CH199/Restaurantes!$D$38,0)),0)</f>
        <v>2</v>
      </c>
    </row>
    <row r="201" customFormat="false" ht="15" hidden="false" customHeight="false" outlineLevel="0" collapsed="false">
      <c r="A201" s="1" t="s">
        <v>862</v>
      </c>
      <c r="C201" s="27" t="n">
        <f aca="false">MAX(C199,C200*Restaurantes!$D$39)*Restaurantes!$D$35</f>
        <v>50</v>
      </c>
      <c r="D201" s="27" t="n">
        <f aca="false">MAX(D199,D200*Restaurantes!$D$39)*Restaurantes!$D$35</f>
        <v>50</v>
      </c>
      <c r="E201" s="27" t="n">
        <f aca="false">MAX(E199,E200*Restaurantes!$D$39)*Restaurantes!$D$35</f>
        <v>50</v>
      </c>
      <c r="F201" s="27" t="n">
        <f aca="false">MAX(F199,F200*Restaurantes!$D$39)*Restaurantes!$D$35</f>
        <v>50</v>
      </c>
      <c r="G201" s="27" t="n">
        <f aca="false">MAX(G199,G200*Restaurantes!$D$39)*Restaurantes!$D$35</f>
        <v>50</v>
      </c>
      <c r="H201" s="27" t="n">
        <f aca="false">MAX(H199,H200*Restaurantes!$D$39)*Restaurantes!$D$35</f>
        <v>50</v>
      </c>
      <c r="I201" s="27" t="n">
        <f aca="false">MAX(I199,I200*Restaurantes!$D$39)*Restaurantes!$D$35</f>
        <v>50</v>
      </c>
      <c r="J201" s="27" t="n">
        <f aca="false">MAX(J199,J200*Restaurantes!$D$39)*Restaurantes!$D$35</f>
        <v>50.9322286061342</v>
      </c>
      <c r="K201" s="27" t="n">
        <f aca="false">MAX(K199,K200*Restaurantes!$D$39)*Restaurantes!$D$35</f>
        <v>57.298757181901</v>
      </c>
      <c r="L201" s="27" t="n">
        <f aca="false">MAX(L199,L200*Restaurantes!$D$39)*Restaurantes!$D$35</f>
        <v>63.6652857576678</v>
      </c>
      <c r="M201" s="27" t="n">
        <f aca="false">MAX(M199,M200*Restaurantes!$D$39)*Restaurantes!$D$35</f>
        <v>70.0318143334346</v>
      </c>
      <c r="N201" s="27" t="n">
        <f aca="false">MAX(N199,N200*Restaurantes!$D$39)*Restaurantes!$D$35</f>
        <v>76.3983429092014</v>
      </c>
      <c r="O201" s="27" t="n">
        <f aca="false">MAX(O199,O200*Restaurantes!$D$39)*Restaurantes!$D$35</f>
        <v>82.7648714849681</v>
      </c>
      <c r="P201" s="27" t="n">
        <f aca="false">MAX(P199,P200*Restaurantes!$D$39)*Restaurantes!$D$35</f>
        <v>89.1314000607349</v>
      </c>
      <c r="Q201" s="27" t="n">
        <f aca="false">MAX(Q199,Q200*Restaurantes!$D$39)*Restaurantes!$D$35</f>
        <v>95.4979286365017</v>
      </c>
      <c r="R201" s="27" t="n">
        <f aca="false">MAX(R199,R200*Restaurantes!$D$39)*Restaurantes!$D$35</f>
        <v>101.864457212268</v>
      </c>
      <c r="S201" s="27" t="n">
        <f aca="false">MAX(S199,S200*Restaurantes!$D$39)*Restaurantes!$D$35</f>
        <v>50</v>
      </c>
      <c r="T201" s="27" t="n">
        <f aca="false">MAX(T199,T200*Restaurantes!$D$39)*Restaurantes!$D$35</f>
        <v>114.597514363802</v>
      </c>
      <c r="U201" s="27" t="n">
        <f aca="false">MAX(U199,U200*Restaurantes!$D$39)*Restaurantes!$D$35</f>
        <v>120.964042939569</v>
      </c>
      <c r="V201" s="27" t="n">
        <f aca="false">MAX(V199,V200*Restaurantes!$D$39)*Restaurantes!$D$35</f>
        <v>127.330571515336</v>
      </c>
      <c r="W201" s="27" t="n">
        <f aca="false">MAX(W199,W200*Restaurantes!$D$39)*Restaurantes!$D$35</f>
        <v>133.697100091102</v>
      </c>
      <c r="X201" s="27" t="n">
        <f aca="false">MAX(X199,X200*Restaurantes!$D$39)*Restaurantes!$D$35</f>
        <v>140.063628666869</v>
      </c>
      <c r="Y201" s="27" t="n">
        <f aca="false">MAX(Y199,Y200*Restaurantes!$D$39)*Restaurantes!$D$35</f>
        <v>146.430157242636</v>
      </c>
      <c r="Z201" s="27" t="n">
        <f aca="false">MAX(Z199,Z200*Restaurantes!$D$39)*Restaurantes!$D$35</f>
        <v>152.796685818403</v>
      </c>
      <c r="AA201" s="27" t="n">
        <f aca="false">MAX(AA199,AA200*Restaurantes!$D$39)*Restaurantes!$D$35</f>
        <v>152.796685818403</v>
      </c>
      <c r="AB201" s="27" t="n">
        <f aca="false">MAX(AB199,AB200*Restaurantes!$D$39)*Restaurantes!$D$35</f>
        <v>152.796685818403</v>
      </c>
      <c r="AC201" s="27" t="n">
        <f aca="false">MAX(AC199,AC200*Restaurantes!$D$39)*Restaurantes!$D$35</f>
        <v>152.796685818403</v>
      </c>
      <c r="AD201" s="27" t="n">
        <f aca="false">MAX(AD199,AD200*Restaurantes!$D$39)*Restaurantes!$D$35</f>
        <v>152.796685818403</v>
      </c>
      <c r="AE201" s="27" t="n">
        <f aca="false">MAX(AE199,AE200*Restaurantes!$D$39)*Restaurantes!$D$35</f>
        <v>50</v>
      </c>
      <c r="AF201" s="27" t="n">
        <f aca="false">MAX(AF199,AF200*Restaurantes!$D$39)*Restaurantes!$D$35</f>
        <v>152.796685818403</v>
      </c>
      <c r="AG201" s="27" t="n">
        <f aca="false">MAX(AG199,AG200*Restaurantes!$D$39)*Restaurantes!$D$35</f>
        <v>152.796685818403</v>
      </c>
      <c r="AH201" s="27" t="n">
        <f aca="false">MAX(AH199,AH200*Restaurantes!$D$39)*Restaurantes!$D$35</f>
        <v>152.796685818403</v>
      </c>
      <c r="AI201" s="27" t="n">
        <f aca="false">MAX(AI199,AI200*Restaurantes!$D$39)*Restaurantes!$D$35</f>
        <v>152.796685818403</v>
      </c>
      <c r="AJ201" s="27" t="n">
        <f aca="false">MAX(AJ199,AJ200*Restaurantes!$D$39)*Restaurantes!$D$35</f>
        <v>152.796685818403</v>
      </c>
      <c r="AK201" s="27" t="n">
        <f aca="false">MAX(AK199,AK200*Restaurantes!$D$39)*Restaurantes!$D$35</f>
        <v>152.796685818403</v>
      </c>
      <c r="AL201" s="27" t="n">
        <f aca="false">MAX(AL199,AL200*Restaurantes!$D$39)*Restaurantes!$D$35</f>
        <v>152.796685818403</v>
      </c>
      <c r="AM201" s="27" t="n">
        <f aca="false">MAX(AM199,AM200*Restaurantes!$D$39)*Restaurantes!$D$35</f>
        <v>152.796685818403</v>
      </c>
      <c r="AN201" s="27" t="n">
        <f aca="false">MAX(AN199,AN200*Restaurantes!$D$39)*Restaurantes!$D$35</f>
        <v>152.796685818403</v>
      </c>
      <c r="AO201" s="27" t="n">
        <f aca="false">MAX(AO199,AO200*Restaurantes!$D$39)*Restaurantes!$D$35</f>
        <v>152.796685818403</v>
      </c>
      <c r="AP201" s="27" t="n">
        <f aca="false">MAX(AP199,AP200*Restaurantes!$D$39)*Restaurantes!$D$35</f>
        <v>152.796685818403</v>
      </c>
      <c r="AQ201" s="27" t="n">
        <f aca="false">MAX(AQ199,AQ200*Restaurantes!$D$39)*Restaurantes!$D$35</f>
        <v>50</v>
      </c>
      <c r="AR201" s="27" t="n">
        <f aca="false">MAX(AR199,AR200*Restaurantes!$D$39)*Restaurantes!$D$35</f>
        <v>152.796685818403</v>
      </c>
      <c r="AS201" s="27" t="n">
        <f aca="false">MAX(AS199,AS200*Restaurantes!$D$39)*Restaurantes!$D$35</f>
        <v>152.796685818403</v>
      </c>
      <c r="AT201" s="27" t="n">
        <f aca="false">MAX(AT199,AT200*Restaurantes!$D$39)*Restaurantes!$D$35</f>
        <v>152.796685818403</v>
      </c>
      <c r="AU201" s="27" t="n">
        <f aca="false">MAX(AU199,AU200*Restaurantes!$D$39)*Restaurantes!$D$35</f>
        <v>152.796685818403</v>
      </c>
      <c r="AV201" s="27" t="n">
        <f aca="false">MAX(AV199,AV200*Restaurantes!$D$39)*Restaurantes!$D$35</f>
        <v>152.796685818403</v>
      </c>
      <c r="AW201" s="27" t="n">
        <f aca="false">MAX(AW199,AW200*Restaurantes!$D$39)*Restaurantes!$D$35</f>
        <v>152.796685818403</v>
      </c>
      <c r="AX201" s="27" t="n">
        <f aca="false">MAX(AX199,AX200*Restaurantes!$D$39)*Restaurantes!$D$35</f>
        <v>152.796685818403</v>
      </c>
      <c r="AY201" s="27" t="n">
        <f aca="false">MAX(AY199,AY200*Restaurantes!$D$39)*Restaurantes!$D$35</f>
        <v>152.796685818403</v>
      </c>
      <c r="AZ201" s="27" t="n">
        <f aca="false">MAX(AZ199,AZ200*Restaurantes!$D$39)*Restaurantes!$D$35</f>
        <v>152.796685818403</v>
      </c>
      <c r="BA201" s="27" t="n">
        <f aca="false">MAX(BA199,BA200*Restaurantes!$D$39)*Restaurantes!$D$35</f>
        <v>152.796685818403</v>
      </c>
      <c r="BB201" s="27" t="n">
        <f aca="false">MAX(BB199,BB200*Restaurantes!$D$39)*Restaurantes!$D$35</f>
        <v>152.796685818403</v>
      </c>
      <c r="BC201" s="27" t="n">
        <f aca="false">MAX(BC199,BC200*Restaurantes!$D$39)*Restaurantes!$D$35</f>
        <v>50</v>
      </c>
      <c r="BD201" s="27" t="n">
        <f aca="false">MAX(BD199,BD200*Restaurantes!$D$39)*Restaurantes!$D$35</f>
        <v>152.796685818403</v>
      </c>
      <c r="BE201" s="27" t="n">
        <f aca="false">MAX(BE199,BE200*Restaurantes!$D$39)*Restaurantes!$D$35</f>
        <v>152.796685818403</v>
      </c>
      <c r="BF201" s="27" t="n">
        <f aca="false">MAX(BF199,BF200*Restaurantes!$D$39)*Restaurantes!$D$35</f>
        <v>152.796685818403</v>
      </c>
      <c r="BG201" s="27" t="n">
        <f aca="false">MAX(BG199,BG200*Restaurantes!$D$39)*Restaurantes!$D$35</f>
        <v>152.796685818403</v>
      </c>
      <c r="BH201" s="27" t="n">
        <f aca="false">MAX(BH199,BH200*Restaurantes!$D$39)*Restaurantes!$D$35</f>
        <v>152.796685818403</v>
      </c>
      <c r="BI201" s="27" t="n">
        <f aca="false">MAX(BI199,BI200*Restaurantes!$D$39)*Restaurantes!$D$35</f>
        <v>152.796685818403</v>
      </c>
      <c r="BJ201" s="27" t="n">
        <f aca="false">MAX(BJ199,BJ200*Restaurantes!$D$39)*Restaurantes!$D$35</f>
        <v>152.796685818403</v>
      </c>
      <c r="BK201" s="27" t="n">
        <f aca="false">MAX(BK199,BK200*Restaurantes!$D$39)*Restaurantes!$D$35</f>
        <v>152.796685818403</v>
      </c>
      <c r="BL201" s="27" t="n">
        <f aca="false">MAX(BL199,BL200*Restaurantes!$D$39)*Restaurantes!$D$35</f>
        <v>152.796685818403</v>
      </c>
      <c r="BM201" s="27" t="n">
        <f aca="false">MAX(BM199,BM200*Restaurantes!$D$39)*Restaurantes!$D$35</f>
        <v>152.796685818403</v>
      </c>
      <c r="BN201" s="27" t="n">
        <f aca="false">MAX(BN199,BN200*Restaurantes!$D$39)*Restaurantes!$D$35</f>
        <v>152.796685818403</v>
      </c>
      <c r="BO201" s="27" t="n">
        <f aca="false">MAX(BO199,BO200*Restaurantes!$D$39)*Restaurantes!$D$35</f>
        <v>50</v>
      </c>
      <c r="BP201" s="27" t="n">
        <f aca="false">MAX(BP199,BP200*Restaurantes!$D$39)*Restaurantes!$D$35</f>
        <v>152.796685818403</v>
      </c>
      <c r="BQ201" s="27" t="n">
        <f aca="false">MAX(BQ199,BQ200*Restaurantes!$D$39)*Restaurantes!$D$35</f>
        <v>152.796685818403</v>
      </c>
      <c r="BR201" s="27" t="n">
        <f aca="false">MAX(BR199,BR200*Restaurantes!$D$39)*Restaurantes!$D$35</f>
        <v>152.796685818403</v>
      </c>
      <c r="BS201" s="27" t="n">
        <f aca="false">MAX(BS199,BS200*Restaurantes!$D$39)*Restaurantes!$D$35</f>
        <v>152.796685818403</v>
      </c>
      <c r="BT201" s="27" t="n">
        <f aca="false">MAX(BT199,BT200*Restaurantes!$D$39)*Restaurantes!$D$35</f>
        <v>152.796685818403</v>
      </c>
      <c r="BU201" s="27" t="n">
        <f aca="false">MAX(BU199,BU200*Restaurantes!$D$39)*Restaurantes!$D$35</f>
        <v>152.796685818403</v>
      </c>
      <c r="BV201" s="27" t="n">
        <f aca="false">MAX(BV199,BV200*Restaurantes!$D$39)*Restaurantes!$D$35</f>
        <v>152.796685818403</v>
      </c>
      <c r="BW201" s="27" t="n">
        <f aca="false">MAX(BW199,BW200*Restaurantes!$D$39)*Restaurantes!$D$35</f>
        <v>152.796685818403</v>
      </c>
      <c r="BX201" s="27" t="n">
        <f aca="false">MAX(BX199,BX200*Restaurantes!$D$39)*Restaurantes!$D$35</f>
        <v>152.796685818403</v>
      </c>
      <c r="BY201" s="27" t="n">
        <f aca="false">MAX(BY199,BY200*Restaurantes!$D$39)*Restaurantes!$D$35</f>
        <v>152.796685818403</v>
      </c>
      <c r="BZ201" s="27" t="n">
        <f aca="false">MAX(BZ199,BZ200*Restaurantes!$D$39)*Restaurantes!$D$35</f>
        <v>152.796685818403</v>
      </c>
      <c r="CA201" s="27" t="n">
        <f aca="false">MAX(CA199,CA200*Restaurantes!$D$39)*Restaurantes!$D$35</f>
        <v>50</v>
      </c>
      <c r="CB201" s="27" t="n">
        <f aca="false">MAX(CB199,CB200*Restaurantes!$D$39)*Restaurantes!$D$35</f>
        <v>152.796685818403</v>
      </c>
      <c r="CC201" s="27" t="n">
        <f aca="false">MAX(CC199,CC200*Restaurantes!$D$39)*Restaurantes!$D$35</f>
        <v>152.796685818403</v>
      </c>
      <c r="CD201" s="27" t="n">
        <f aca="false">MAX(CD199,CD200*Restaurantes!$D$39)*Restaurantes!$D$35</f>
        <v>152.796685818403</v>
      </c>
      <c r="CE201" s="27" t="n">
        <f aca="false">MAX(CE199,CE200*Restaurantes!$D$39)*Restaurantes!$D$35</f>
        <v>152.796685818403</v>
      </c>
      <c r="CF201" s="27" t="n">
        <f aca="false">MAX(CF199,CF200*Restaurantes!$D$39)*Restaurantes!$D$35</f>
        <v>152.796685818403</v>
      </c>
      <c r="CG201" s="27" t="n">
        <f aca="false">MAX(CG199,CG200*Restaurantes!$D$39)*Restaurantes!$D$35</f>
        <v>152.796685818403</v>
      </c>
      <c r="CH201" s="27" t="n">
        <f aca="false">MAX(CH199,CH200*Restaurantes!$D$39)*Restaurantes!$D$35</f>
        <v>152.796685818403</v>
      </c>
    </row>
    <row r="202" customFormat="false" ht="15" hidden="false" customHeight="false" outlineLevel="0" collapsed="false">
      <c r="A202" s="1" t="s">
        <v>863</v>
      </c>
      <c r="C202" s="28" t="n">
        <f aca="false">-C201*Restaurantes!$D$37</f>
        <v>-800</v>
      </c>
      <c r="D202" s="28" t="n">
        <f aca="false">-D201*Restaurantes!$D$37</f>
        <v>-800</v>
      </c>
      <c r="E202" s="28" t="n">
        <f aca="false">-E201*Restaurantes!$D$37</f>
        <v>-800</v>
      </c>
      <c r="F202" s="28" t="n">
        <f aca="false">-F201*Restaurantes!$D$37</f>
        <v>-800</v>
      </c>
      <c r="G202" s="28" t="n">
        <f aca="false">-G201*Restaurantes!$D$37</f>
        <v>-800</v>
      </c>
      <c r="H202" s="28" t="n">
        <f aca="false">-H201*Restaurantes!$D$37</f>
        <v>-800</v>
      </c>
      <c r="I202" s="28" t="n">
        <f aca="false">-I201*Restaurantes!$D$37</f>
        <v>-800</v>
      </c>
      <c r="J202" s="28" t="n">
        <f aca="false">-J201*Restaurantes!$D$37</f>
        <v>-814.915657698148</v>
      </c>
      <c r="K202" s="28" t="n">
        <f aca="false">-K201*Restaurantes!$D$37</f>
        <v>-916.780114910416</v>
      </c>
      <c r="L202" s="28" t="n">
        <f aca="false">-L201*Restaurantes!$D$37</f>
        <v>-1018.64457212268</v>
      </c>
      <c r="M202" s="28" t="n">
        <f aca="false">-M201*Restaurantes!$D$37</f>
        <v>-1120.50902933495</v>
      </c>
      <c r="N202" s="28" t="n">
        <f aca="false">-N201*Restaurantes!$D$37</f>
        <v>-1222.37348654722</v>
      </c>
      <c r="O202" s="28" t="n">
        <f aca="false">-O201*Restaurantes!$D$37</f>
        <v>-1324.23794375949</v>
      </c>
      <c r="P202" s="28" t="n">
        <f aca="false">-P201*Restaurantes!$D$37</f>
        <v>-1426.10240097176</v>
      </c>
      <c r="Q202" s="28" t="n">
        <f aca="false">-Q201*Restaurantes!$D$37</f>
        <v>-1527.96685818403</v>
      </c>
      <c r="R202" s="28" t="n">
        <f aca="false">-R201*Restaurantes!$D$37</f>
        <v>-1629.8313153963</v>
      </c>
      <c r="S202" s="28" t="n">
        <f aca="false">-S201*Restaurantes!$D$37</f>
        <v>-800</v>
      </c>
      <c r="T202" s="28" t="n">
        <f aca="false">-T201*Restaurantes!$D$37</f>
        <v>-1833.56022982083</v>
      </c>
      <c r="U202" s="28" t="n">
        <f aca="false">-U201*Restaurantes!$D$37</f>
        <v>-1935.4246870331</v>
      </c>
      <c r="V202" s="28" t="n">
        <f aca="false">-V201*Restaurantes!$D$37</f>
        <v>-2037.28914424537</v>
      </c>
      <c r="W202" s="28" t="n">
        <f aca="false">-W201*Restaurantes!$D$37</f>
        <v>-2139.15360145764</v>
      </c>
      <c r="X202" s="28" t="n">
        <f aca="false">-X201*Restaurantes!$D$37</f>
        <v>-2241.01805866991</v>
      </c>
      <c r="Y202" s="28" t="n">
        <f aca="false">-Y201*Restaurantes!$D$37</f>
        <v>-2342.88251588217</v>
      </c>
      <c r="Z202" s="28" t="n">
        <f aca="false">-Z201*Restaurantes!$D$37</f>
        <v>-2444.74697309444</v>
      </c>
      <c r="AA202" s="28" t="n">
        <f aca="false">-AA201*Restaurantes!$D$37</f>
        <v>-2444.74697309444</v>
      </c>
      <c r="AB202" s="28" t="n">
        <f aca="false">-AB201*Restaurantes!$D$37</f>
        <v>-2444.74697309444</v>
      </c>
      <c r="AC202" s="28" t="n">
        <f aca="false">-AC201*Restaurantes!$D$37</f>
        <v>-2444.74697309444</v>
      </c>
      <c r="AD202" s="28" t="n">
        <f aca="false">-AD201*Restaurantes!$D$37</f>
        <v>-2444.74697309444</v>
      </c>
      <c r="AE202" s="28" t="n">
        <f aca="false">-AE201*Restaurantes!$D$37</f>
        <v>-800</v>
      </c>
      <c r="AF202" s="28" t="n">
        <f aca="false">-AF201*Restaurantes!$D$37</f>
        <v>-2444.74697309444</v>
      </c>
      <c r="AG202" s="28" t="n">
        <f aca="false">-AG201*Restaurantes!$D$37</f>
        <v>-2444.74697309444</v>
      </c>
      <c r="AH202" s="28" t="n">
        <f aca="false">-AH201*Restaurantes!$D$37</f>
        <v>-2444.74697309444</v>
      </c>
      <c r="AI202" s="28" t="n">
        <f aca="false">-AI201*Restaurantes!$D$37</f>
        <v>-2444.74697309444</v>
      </c>
      <c r="AJ202" s="28" t="n">
        <f aca="false">-AJ201*Restaurantes!$D$37</f>
        <v>-2444.74697309444</v>
      </c>
      <c r="AK202" s="28" t="n">
        <f aca="false">-AK201*Restaurantes!$D$37</f>
        <v>-2444.74697309444</v>
      </c>
      <c r="AL202" s="28" t="n">
        <f aca="false">-AL201*Restaurantes!$D$37</f>
        <v>-2444.74697309444</v>
      </c>
      <c r="AM202" s="28" t="n">
        <f aca="false">-AM201*Restaurantes!$D$37</f>
        <v>-2444.74697309444</v>
      </c>
      <c r="AN202" s="28" t="n">
        <f aca="false">-AN201*Restaurantes!$D$37</f>
        <v>-2444.74697309444</v>
      </c>
      <c r="AO202" s="28" t="n">
        <f aca="false">-AO201*Restaurantes!$D$37</f>
        <v>-2444.74697309444</v>
      </c>
      <c r="AP202" s="28" t="n">
        <f aca="false">-AP201*Restaurantes!$D$37</f>
        <v>-2444.74697309444</v>
      </c>
      <c r="AQ202" s="28" t="n">
        <f aca="false">-AQ201*Restaurantes!$D$37</f>
        <v>-800</v>
      </c>
      <c r="AR202" s="28" t="n">
        <f aca="false">-AR201*Restaurantes!$D$37</f>
        <v>-2444.74697309444</v>
      </c>
      <c r="AS202" s="28" t="n">
        <f aca="false">-AS201*Restaurantes!$D$37</f>
        <v>-2444.74697309444</v>
      </c>
      <c r="AT202" s="28" t="n">
        <f aca="false">-AT201*Restaurantes!$D$37</f>
        <v>-2444.74697309444</v>
      </c>
      <c r="AU202" s="28" t="n">
        <f aca="false">-AU201*Restaurantes!$D$37</f>
        <v>-2444.74697309444</v>
      </c>
      <c r="AV202" s="28" t="n">
        <f aca="false">-AV201*Restaurantes!$D$37</f>
        <v>-2444.74697309444</v>
      </c>
      <c r="AW202" s="28" t="n">
        <f aca="false">-AW201*Restaurantes!$D$37</f>
        <v>-2444.74697309444</v>
      </c>
      <c r="AX202" s="28" t="n">
        <f aca="false">-AX201*Restaurantes!$D$37</f>
        <v>-2444.74697309444</v>
      </c>
      <c r="AY202" s="28" t="n">
        <f aca="false">-AY201*Restaurantes!$D$37</f>
        <v>-2444.74697309444</v>
      </c>
      <c r="AZ202" s="28" t="n">
        <f aca="false">-AZ201*Restaurantes!$D$37</f>
        <v>-2444.74697309444</v>
      </c>
      <c r="BA202" s="28" t="n">
        <f aca="false">-BA201*Restaurantes!$D$37</f>
        <v>-2444.74697309444</v>
      </c>
      <c r="BB202" s="28" t="n">
        <f aca="false">-BB201*Restaurantes!$D$37</f>
        <v>-2444.74697309444</v>
      </c>
      <c r="BC202" s="28" t="n">
        <f aca="false">-BC201*Restaurantes!$D$37</f>
        <v>-800</v>
      </c>
      <c r="BD202" s="28" t="n">
        <f aca="false">-BD201*Restaurantes!$D$37</f>
        <v>-2444.74697309444</v>
      </c>
      <c r="BE202" s="28" t="n">
        <f aca="false">-BE201*Restaurantes!$D$37</f>
        <v>-2444.74697309444</v>
      </c>
      <c r="BF202" s="28" t="n">
        <f aca="false">-BF201*Restaurantes!$D$37</f>
        <v>-2444.74697309444</v>
      </c>
      <c r="BG202" s="28" t="n">
        <f aca="false">-BG201*Restaurantes!$D$37</f>
        <v>-2444.74697309444</v>
      </c>
      <c r="BH202" s="28" t="n">
        <f aca="false">-BH201*Restaurantes!$D$37</f>
        <v>-2444.74697309444</v>
      </c>
      <c r="BI202" s="28" t="n">
        <f aca="false">-BI201*Restaurantes!$D$37</f>
        <v>-2444.74697309444</v>
      </c>
      <c r="BJ202" s="28" t="n">
        <f aca="false">-BJ201*Restaurantes!$D$37</f>
        <v>-2444.74697309444</v>
      </c>
      <c r="BK202" s="28" t="n">
        <f aca="false">-BK201*Restaurantes!$D$37</f>
        <v>-2444.74697309444</v>
      </c>
      <c r="BL202" s="28" t="n">
        <f aca="false">-BL201*Restaurantes!$D$37</f>
        <v>-2444.74697309444</v>
      </c>
      <c r="BM202" s="28" t="n">
        <f aca="false">-BM201*Restaurantes!$D$37</f>
        <v>-2444.74697309444</v>
      </c>
      <c r="BN202" s="28" t="n">
        <f aca="false">-BN201*Restaurantes!$D$37</f>
        <v>-2444.74697309444</v>
      </c>
      <c r="BO202" s="28" t="n">
        <f aca="false">-BO201*Restaurantes!$D$37</f>
        <v>-800</v>
      </c>
      <c r="BP202" s="28" t="n">
        <f aca="false">-BP201*Restaurantes!$D$37</f>
        <v>-2444.74697309444</v>
      </c>
      <c r="BQ202" s="28" t="n">
        <f aca="false">-BQ201*Restaurantes!$D$37</f>
        <v>-2444.74697309444</v>
      </c>
      <c r="BR202" s="28" t="n">
        <f aca="false">-BR201*Restaurantes!$D$37</f>
        <v>-2444.74697309444</v>
      </c>
      <c r="BS202" s="28" t="n">
        <f aca="false">-BS201*Restaurantes!$D$37</f>
        <v>-2444.74697309444</v>
      </c>
      <c r="BT202" s="28" t="n">
        <f aca="false">-BT201*Restaurantes!$D$37</f>
        <v>-2444.74697309444</v>
      </c>
      <c r="BU202" s="28" t="n">
        <f aca="false">-BU201*Restaurantes!$D$37</f>
        <v>-2444.74697309444</v>
      </c>
      <c r="BV202" s="28" t="n">
        <f aca="false">-BV201*Restaurantes!$D$37</f>
        <v>-2444.74697309444</v>
      </c>
      <c r="BW202" s="28" t="n">
        <f aca="false">-BW201*Restaurantes!$D$37</f>
        <v>-2444.74697309444</v>
      </c>
      <c r="BX202" s="28" t="n">
        <f aca="false">-BX201*Restaurantes!$D$37</f>
        <v>-2444.74697309444</v>
      </c>
      <c r="BY202" s="28" t="n">
        <f aca="false">-BY201*Restaurantes!$D$37</f>
        <v>-2444.74697309444</v>
      </c>
      <c r="BZ202" s="28" t="n">
        <f aca="false">-BZ201*Restaurantes!$D$37</f>
        <v>-2444.74697309444</v>
      </c>
      <c r="CA202" s="28" t="n">
        <f aca="false">-CA201*Restaurantes!$D$37</f>
        <v>-800</v>
      </c>
      <c r="CB202" s="28" t="n">
        <f aca="false">-CB201*Restaurantes!$D$37</f>
        <v>-2444.74697309444</v>
      </c>
      <c r="CC202" s="28" t="n">
        <f aca="false">-CC201*Restaurantes!$D$37</f>
        <v>-2444.74697309444</v>
      </c>
      <c r="CD202" s="28" t="n">
        <f aca="false">-CD201*Restaurantes!$D$37</f>
        <v>-2444.74697309444</v>
      </c>
      <c r="CE202" s="28" t="n">
        <f aca="false">-CE201*Restaurantes!$D$37</f>
        <v>-2444.74697309444</v>
      </c>
      <c r="CF202" s="28" t="n">
        <f aca="false">-CF201*Restaurantes!$D$37</f>
        <v>-2444.74697309444</v>
      </c>
      <c r="CG202" s="28" t="n">
        <f aca="false">-CG201*Restaurantes!$D$37</f>
        <v>-2444.74697309444</v>
      </c>
      <c r="CH202" s="28" t="n">
        <f aca="false">-CH201*Restaurantes!$D$37</f>
        <v>-2444.74697309444</v>
      </c>
    </row>
    <row r="203" customFormat="false" ht="15" hidden="false" customHeight="false" outlineLevel="0" collapsed="false">
      <c r="A203" s="1" t="s">
        <v>864</v>
      </c>
      <c r="C203" s="28" t="n">
        <f aca="false">-IF(AND(C$3&gt;=Restaurantes!$D$8,Restaurantes!$D$7&gt;0),Restaurantes!$D$44+Restaurantes!$D$45,0)</f>
        <v>-600</v>
      </c>
      <c r="D203" s="28" t="n">
        <f aca="false">-IF(AND(D$3&gt;=Restaurantes!$D$8,Restaurantes!$D$7&gt;0),Restaurantes!$D$44+Restaurantes!$D$45,0)</f>
        <v>-600</v>
      </c>
      <c r="E203" s="28" t="n">
        <f aca="false">-IF(AND(E$3&gt;=Restaurantes!$D$8,Restaurantes!$D$7&gt;0),Restaurantes!$D$44+Restaurantes!$D$45,0)</f>
        <v>-600</v>
      </c>
      <c r="F203" s="28" t="n">
        <f aca="false">-IF(AND(F$3&gt;=Restaurantes!$D$8,Restaurantes!$D$7&gt;0),Restaurantes!$D$44+Restaurantes!$D$45,0)</f>
        <v>-600</v>
      </c>
      <c r="G203" s="28" t="n">
        <f aca="false">-IF(AND(G$3&gt;=Restaurantes!$D$8,Restaurantes!$D$7&gt;0),Restaurantes!$D$44+Restaurantes!$D$45,0)</f>
        <v>-600</v>
      </c>
      <c r="H203" s="28" t="n">
        <f aca="false">-IF(AND(H$3&gt;=Restaurantes!$D$8,Restaurantes!$D$7&gt;0),Restaurantes!$D$44+Restaurantes!$D$45,0)</f>
        <v>-600</v>
      </c>
      <c r="I203" s="28" t="n">
        <f aca="false">-IF(AND(I$3&gt;=Restaurantes!$D$8,Restaurantes!$D$7&gt;0),Restaurantes!$D$44+Restaurantes!$D$45,0)</f>
        <v>-600</v>
      </c>
      <c r="J203" s="28" t="n">
        <f aca="false">-IF(AND(J$3&gt;=Restaurantes!$D$8,Restaurantes!$D$7&gt;0),Restaurantes!$D$44+Restaurantes!$D$45,0)</f>
        <v>-600</v>
      </c>
      <c r="K203" s="28" t="n">
        <f aca="false">-IF(AND(K$3&gt;=Restaurantes!$D$8,Restaurantes!$D$7&gt;0),Restaurantes!$D$44+Restaurantes!$D$45,0)</f>
        <v>-600</v>
      </c>
      <c r="L203" s="28" t="n">
        <f aca="false">-IF(AND(L$3&gt;=Restaurantes!$D$8,Restaurantes!$D$7&gt;0),Restaurantes!$D$44+Restaurantes!$D$45,0)</f>
        <v>-600</v>
      </c>
      <c r="M203" s="28" t="n">
        <f aca="false">-IF(AND(M$3&gt;=Restaurantes!$D$8,Restaurantes!$D$7&gt;0),Restaurantes!$D$44+Restaurantes!$D$45,0)</f>
        <v>-600</v>
      </c>
      <c r="N203" s="28" t="n">
        <f aca="false">-IF(AND(N$3&gt;=Restaurantes!$D$8,Restaurantes!$D$7&gt;0),Restaurantes!$D$44+Restaurantes!$D$45,0)</f>
        <v>-600</v>
      </c>
      <c r="O203" s="28" t="n">
        <f aca="false">-IF(AND(O$3&gt;=Restaurantes!$D$8,Restaurantes!$D$7&gt;0),Restaurantes!$D$44+Restaurantes!$D$45,0)</f>
        <v>-600</v>
      </c>
      <c r="P203" s="28" t="n">
        <f aca="false">-IF(AND(P$3&gt;=Restaurantes!$D$8,Restaurantes!$D$7&gt;0),Restaurantes!$D$44+Restaurantes!$D$45,0)</f>
        <v>-600</v>
      </c>
      <c r="Q203" s="28" t="n">
        <f aca="false">-IF(AND(Q$3&gt;=Restaurantes!$D$8,Restaurantes!$D$7&gt;0),Restaurantes!$D$44+Restaurantes!$D$45,0)</f>
        <v>-600</v>
      </c>
      <c r="R203" s="28" t="n">
        <f aca="false">-IF(AND(R$3&gt;=Restaurantes!$D$8,Restaurantes!$D$7&gt;0),Restaurantes!$D$44+Restaurantes!$D$45,0)</f>
        <v>-600</v>
      </c>
      <c r="S203" s="28" t="n">
        <f aca="false">-IF(AND(S$3&gt;=Restaurantes!$D$8,Restaurantes!$D$7&gt;0),Restaurantes!$D$44+Restaurantes!$D$45,0)</f>
        <v>-600</v>
      </c>
      <c r="T203" s="28" t="n">
        <f aca="false">-IF(AND(T$3&gt;=Restaurantes!$D$8,Restaurantes!$D$7&gt;0),Restaurantes!$D$44+Restaurantes!$D$45,0)</f>
        <v>-600</v>
      </c>
      <c r="U203" s="28" t="n">
        <f aca="false">-IF(AND(U$3&gt;=Restaurantes!$D$8,Restaurantes!$D$7&gt;0),Restaurantes!$D$44+Restaurantes!$D$45,0)</f>
        <v>-600</v>
      </c>
      <c r="V203" s="28" t="n">
        <f aca="false">-IF(AND(V$3&gt;=Restaurantes!$D$8,Restaurantes!$D$7&gt;0),Restaurantes!$D$44+Restaurantes!$D$45,0)</f>
        <v>-600</v>
      </c>
      <c r="W203" s="28" t="n">
        <f aca="false">-IF(AND(W$3&gt;=Restaurantes!$D$8,Restaurantes!$D$7&gt;0),Restaurantes!$D$44+Restaurantes!$D$45,0)</f>
        <v>-600</v>
      </c>
      <c r="X203" s="28" t="n">
        <f aca="false">-IF(AND(X$3&gt;=Restaurantes!$D$8,Restaurantes!$D$7&gt;0),Restaurantes!$D$44+Restaurantes!$D$45,0)</f>
        <v>-600</v>
      </c>
      <c r="Y203" s="28" t="n">
        <f aca="false">-IF(AND(Y$3&gt;=Restaurantes!$D$8,Restaurantes!$D$7&gt;0),Restaurantes!$D$44+Restaurantes!$D$45,0)</f>
        <v>-600</v>
      </c>
      <c r="Z203" s="28" t="n">
        <f aca="false">-IF(AND(Z$3&gt;=Restaurantes!$D$8,Restaurantes!$D$7&gt;0),Restaurantes!$D$44+Restaurantes!$D$45,0)</f>
        <v>-600</v>
      </c>
      <c r="AA203" s="28" t="n">
        <f aca="false">-IF(AND(AA$3&gt;=Restaurantes!$D$8,Restaurantes!$D$7&gt;0),Restaurantes!$D$44+Restaurantes!$D$45,0)</f>
        <v>-600</v>
      </c>
      <c r="AB203" s="28" t="n">
        <f aca="false">-IF(AND(AB$3&gt;=Restaurantes!$D$8,Restaurantes!$D$7&gt;0),Restaurantes!$D$44+Restaurantes!$D$45,0)</f>
        <v>-600</v>
      </c>
      <c r="AC203" s="28" t="n">
        <f aca="false">-IF(AND(AC$3&gt;=Restaurantes!$D$8,Restaurantes!$D$7&gt;0),Restaurantes!$D$44+Restaurantes!$D$45,0)</f>
        <v>-600</v>
      </c>
      <c r="AD203" s="28" t="n">
        <f aca="false">-IF(AND(AD$3&gt;=Restaurantes!$D$8,Restaurantes!$D$7&gt;0),Restaurantes!$D$44+Restaurantes!$D$45,0)</f>
        <v>-600</v>
      </c>
      <c r="AE203" s="28" t="n">
        <f aca="false">-IF(AND(AE$3&gt;=Restaurantes!$D$8,Restaurantes!$D$7&gt;0),Restaurantes!$D$44+Restaurantes!$D$45,0)</f>
        <v>-600</v>
      </c>
      <c r="AF203" s="28" t="n">
        <f aca="false">-IF(AND(AF$3&gt;=Restaurantes!$D$8,Restaurantes!$D$7&gt;0),Restaurantes!$D$44+Restaurantes!$D$45,0)</f>
        <v>-600</v>
      </c>
      <c r="AG203" s="28" t="n">
        <f aca="false">-IF(AND(AG$3&gt;=Restaurantes!$D$8,Restaurantes!$D$7&gt;0),Restaurantes!$D$44+Restaurantes!$D$45,0)</f>
        <v>-600</v>
      </c>
      <c r="AH203" s="28" t="n">
        <f aca="false">-IF(AND(AH$3&gt;=Restaurantes!$D$8,Restaurantes!$D$7&gt;0),Restaurantes!$D$44+Restaurantes!$D$45,0)</f>
        <v>-600</v>
      </c>
      <c r="AI203" s="28" t="n">
        <f aca="false">-IF(AND(AI$3&gt;=Restaurantes!$D$8,Restaurantes!$D$7&gt;0),Restaurantes!$D$44+Restaurantes!$D$45,0)</f>
        <v>-600</v>
      </c>
      <c r="AJ203" s="28" t="n">
        <f aca="false">-IF(AND(AJ$3&gt;=Restaurantes!$D$8,Restaurantes!$D$7&gt;0),Restaurantes!$D$44+Restaurantes!$D$45,0)</f>
        <v>-600</v>
      </c>
      <c r="AK203" s="28" t="n">
        <f aca="false">-IF(AND(AK$3&gt;=Restaurantes!$D$8,Restaurantes!$D$7&gt;0),Restaurantes!$D$44+Restaurantes!$D$45,0)</f>
        <v>-600</v>
      </c>
      <c r="AL203" s="28" t="n">
        <f aca="false">-IF(AND(AL$3&gt;=Restaurantes!$D$8,Restaurantes!$D$7&gt;0),Restaurantes!$D$44+Restaurantes!$D$45,0)</f>
        <v>-600</v>
      </c>
      <c r="AM203" s="28" t="n">
        <f aca="false">-IF(AND(AM$3&gt;=Restaurantes!$D$8,Restaurantes!$D$7&gt;0),Restaurantes!$D$44+Restaurantes!$D$45,0)</f>
        <v>-600</v>
      </c>
      <c r="AN203" s="28" t="n">
        <f aca="false">-IF(AND(AN$3&gt;=Restaurantes!$D$8,Restaurantes!$D$7&gt;0),Restaurantes!$D$44+Restaurantes!$D$45,0)</f>
        <v>-600</v>
      </c>
      <c r="AO203" s="28" t="n">
        <f aca="false">-IF(AND(AO$3&gt;=Restaurantes!$D$8,Restaurantes!$D$7&gt;0),Restaurantes!$D$44+Restaurantes!$D$45,0)</f>
        <v>-600</v>
      </c>
      <c r="AP203" s="28" t="n">
        <f aca="false">-IF(AND(AP$3&gt;=Restaurantes!$D$8,Restaurantes!$D$7&gt;0),Restaurantes!$D$44+Restaurantes!$D$45,0)</f>
        <v>-600</v>
      </c>
      <c r="AQ203" s="28" t="n">
        <f aca="false">-IF(AND(AQ$3&gt;=Restaurantes!$D$8,Restaurantes!$D$7&gt;0),Restaurantes!$D$44+Restaurantes!$D$45,0)</f>
        <v>-600</v>
      </c>
      <c r="AR203" s="28" t="n">
        <f aca="false">-IF(AND(AR$3&gt;=Restaurantes!$D$8,Restaurantes!$D$7&gt;0),Restaurantes!$D$44+Restaurantes!$D$45,0)</f>
        <v>-600</v>
      </c>
      <c r="AS203" s="28" t="n">
        <f aca="false">-IF(AND(AS$3&gt;=Restaurantes!$D$8,Restaurantes!$D$7&gt;0),Restaurantes!$D$44+Restaurantes!$D$45,0)</f>
        <v>-600</v>
      </c>
      <c r="AT203" s="28" t="n">
        <f aca="false">-IF(AND(AT$3&gt;=Restaurantes!$D$8,Restaurantes!$D$7&gt;0),Restaurantes!$D$44+Restaurantes!$D$45,0)</f>
        <v>-600</v>
      </c>
      <c r="AU203" s="28" t="n">
        <f aca="false">-IF(AND(AU$3&gt;=Restaurantes!$D$8,Restaurantes!$D$7&gt;0),Restaurantes!$D$44+Restaurantes!$D$45,0)</f>
        <v>-600</v>
      </c>
      <c r="AV203" s="28" t="n">
        <f aca="false">-IF(AND(AV$3&gt;=Restaurantes!$D$8,Restaurantes!$D$7&gt;0),Restaurantes!$D$44+Restaurantes!$D$45,0)</f>
        <v>-600</v>
      </c>
      <c r="AW203" s="28" t="n">
        <f aca="false">-IF(AND(AW$3&gt;=Restaurantes!$D$8,Restaurantes!$D$7&gt;0),Restaurantes!$D$44+Restaurantes!$D$45,0)</f>
        <v>-600</v>
      </c>
      <c r="AX203" s="28" t="n">
        <f aca="false">-IF(AND(AX$3&gt;=Restaurantes!$D$8,Restaurantes!$D$7&gt;0),Restaurantes!$D$44+Restaurantes!$D$45,0)</f>
        <v>-600</v>
      </c>
      <c r="AY203" s="28" t="n">
        <f aca="false">-IF(AND(AY$3&gt;=Restaurantes!$D$8,Restaurantes!$D$7&gt;0),Restaurantes!$D$44+Restaurantes!$D$45,0)</f>
        <v>-600</v>
      </c>
      <c r="AZ203" s="28" t="n">
        <f aca="false">-IF(AND(AZ$3&gt;=Restaurantes!$D$8,Restaurantes!$D$7&gt;0),Restaurantes!$D$44+Restaurantes!$D$45,0)</f>
        <v>-600</v>
      </c>
      <c r="BA203" s="28" t="n">
        <f aca="false">-IF(AND(BA$3&gt;=Restaurantes!$D$8,Restaurantes!$D$7&gt;0),Restaurantes!$D$44+Restaurantes!$D$45,0)</f>
        <v>-600</v>
      </c>
      <c r="BB203" s="28" t="n">
        <f aca="false">-IF(AND(BB$3&gt;=Restaurantes!$D$8,Restaurantes!$D$7&gt;0),Restaurantes!$D$44+Restaurantes!$D$45,0)</f>
        <v>-600</v>
      </c>
      <c r="BC203" s="28" t="n">
        <f aca="false">-IF(AND(BC$3&gt;=Restaurantes!$D$8,Restaurantes!$D$7&gt;0),Restaurantes!$D$44+Restaurantes!$D$45,0)</f>
        <v>-600</v>
      </c>
      <c r="BD203" s="28" t="n">
        <f aca="false">-IF(AND(BD$3&gt;=Restaurantes!$D$8,Restaurantes!$D$7&gt;0),Restaurantes!$D$44+Restaurantes!$D$45,0)</f>
        <v>-600</v>
      </c>
      <c r="BE203" s="28" t="n">
        <f aca="false">-IF(AND(BE$3&gt;=Restaurantes!$D$8,Restaurantes!$D$7&gt;0),Restaurantes!$D$44+Restaurantes!$D$45,0)</f>
        <v>-600</v>
      </c>
      <c r="BF203" s="28" t="n">
        <f aca="false">-IF(AND(BF$3&gt;=Restaurantes!$D$8,Restaurantes!$D$7&gt;0),Restaurantes!$D$44+Restaurantes!$D$45,0)</f>
        <v>-600</v>
      </c>
      <c r="BG203" s="28" t="n">
        <f aca="false">-IF(AND(BG$3&gt;=Restaurantes!$D$8,Restaurantes!$D$7&gt;0),Restaurantes!$D$44+Restaurantes!$D$45,0)</f>
        <v>-600</v>
      </c>
      <c r="BH203" s="28" t="n">
        <f aca="false">-IF(AND(BH$3&gt;=Restaurantes!$D$8,Restaurantes!$D$7&gt;0),Restaurantes!$D$44+Restaurantes!$D$45,0)</f>
        <v>-600</v>
      </c>
      <c r="BI203" s="28" t="n">
        <f aca="false">-IF(AND(BI$3&gt;=Restaurantes!$D$8,Restaurantes!$D$7&gt;0),Restaurantes!$D$44+Restaurantes!$D$45,0)</f>
        <v>-600</v>
      </c>
      <c r="BJ203" s="28" t="n">
        <f aca="false">-IF(AND(BJ$3&gt;=Restaurantes!$D$8,Restaurantes!$D$7&gt;0),Restaurantes!$D$44+Restaurantes!$D$45,0)</f>
        <v>-600</v>
      </c>
      <c r="BK203" s="28" t="n">
        <f aca="false">-IF(AND(BK$3&gt;=Restaurantes!$D$8,Restaurantes!$D$7&gt;0),Restaurantes!$D$44+Restaurantes!$D$45,0)</f>
        <v>-600</v>
      </c>
      <c r="BL203" s="28" t="n">
        <f aca="false">-IF(AND(BL$3&gt;=Restaurantes!$D$8,Restaurantes!$D$7&gt;0),Restaurantes!$D$44+Restaurantes!$D$45,0)</f>
        <v>-600</v>
      </c>
      <c r="BM203" s="28" t="n">
        <f aca="false">-IF(AND(BM$3&gt;=Restaurantes!$D$8,Restaurantes!$D$7&gt;0),Restaurantes!$D$44+Restaurantes!$D$45,0)</f>
        <v>-600</v>
      </c>
      <c r="BN203" s="28" t="n">
        <f aca="false">-IF(AND(BN$3&gt;=Restaurantes!$D$8,Restaurantes!$D$7&gt;0),Restaurantes!$D$44+Restaurantes!$D$45,0)</f>
        <v>-600</v>
      </c>
      <c r="BO203" s="28" t="n">
        <f aca="false">-IF(AND(BO$3&gt;=Restaurantes!$D$8,Restaurantes!$D$7&gt;0),Restaurantes!$D$44+Restaurantes!$D$45,0)</f>
        <v>-600</v>
      </c>
      <c r="BP203" s="28" t="n">
        <f aca="false">-IF(AND(BP$3&gt;=Restaurantes!$D$8,Restaurantes!$D$7&gt;0),Restaurantes!$D$44+Restaurantes!$D$45,0)</f>
        <v>-600</v>
      </c>
      <c r="BQ203" s="28" t="n">
        <f aca="false">-IF(AND(BQ$3&gt;=Restaurantes!$D$8,Restaurantes!$D$7&gt;0),Restaurantes!$D$44+Restaurantes!$D$45,0)</f>
        <v>-600</v>
      </c>
      <c r="BR203" s="28" t="n">
        <f aca="false">-IF(AND(BR$3&gt;=Restaurantes!$D$8,Restaurantes!$D$7&gt;0),Restaurantes!$D$44+Restaurantes!$D$45,0)</f>
        <v>-600</v>
      </c>
      <c r="BS203" s="28" t="n">
        <f aca="false">-IF(AND(BS$3&gt;=Restaurantes!$D$8,Restaurantes!$D$7&gt;0),Restaurantes!$D$44+Restaurantes!$D$45,0)</f>
        <v>-600</v>
      </c>
      <c r="BT203" s="28" t="n">
        <f aca="false">-IF(AND(BT$3&gt;=Restaurantes!$D$8,Restaurantes!$D$7&gt;0),Restaurantes!$D$44+Restaurantes!$D$45,0)</f>
        <v>-600</v>
      </c>
      <c r="BU203" s="28" t="n">
        <f aca="false">-IF(AND(BU$3&gt;=Restaurantes!$D$8,Restaurantes!$D$7&gt;0),Restaurantes!$D$44+Restaurantes!$D$45,0)</f>
        <v>-600</v>
      </c>
      <c r="BV203" s="28" t="n">
        <f aca="false">-IF(AND(BV$3&gt;=Restaurantes!$D$8,Restaurantes!$D$7&gt;0),Restaurantes!$D$44+Restaurantes!$D$45,0)</f>
        <v>-600</v>
      </c>
      <c r="BW203" s="28" t="n">
        <f aca="false">-IF(AND(BW$3&gt;=Restaurantes!$D$8,Restaurantes!$D$7&gt;0),Restaurantes!$D$44+Restaurantes!$D$45,0)</f>
        <v>-600</v>
      </c>
      <c r="BX203" s="28" t="n">
        <f aca="false">-IF(AND(BX$3&gt;=Restaurantes!$D$8,Restaurantes!$D$7&gt;0),Restaurantes!$D$44+Restaurantes!$D$45,0)</f>
        <v>-600</v>
      </c>
      <c r="BY203" s="28" t="n">
        <f aca="false">-IF(AND(BY$3&gt;=Restaurantes!$D$8,Restaurantes!$D$7&gt;0),Restaurantes!$D$44+Restaurantes!$D$45,0)</f>
        <v>-600</v>
      </c>
      <c r="BZ203" s="28" t="n">
        <f aca="false">-IF(AND(BZ$3&gt;=Restaurantes!$D$8,Restaurantes!$D$7&gt;0),Restaurantes!$D$44+Restaurantes!$D$45,0)</f>
        <v>-600</v>
      </c>
      <c r="CA203" s="28" t="n">
        <f aca="false">-IF(AND(CA$3&gt;=Restaurantes!$D$8,Restaurantes!$D$7&gt;0),Restaurantes!$D$44+Restaurantes!$D$45,0)</f>
        <v>-600</v>
      </c>
      <c r="CB203" s="28" t="n">
        <f aca="false">-IF(AND(CB$3&gt;=Restaurantes!$D$8,Restaurantes!$D$7&gt;0),Restaurantes!$D$44+Restaurantes!$D$45,0)</f>
        <v>-600</v>
      </c>
      <c r="CC203" s="28" t="n">
        <f aca="false">-IF(AND(CC$3&gt;=Restaurantes!$D$8,Restaurantes!$D$7&gt;0),Restaurantes!$D$44+Restaurantes!$D$45,0)</f>
        <v>-600</v>
      </c>
      <c r="CD203" s="28" t="n">
        <f aca="false">-IF(AND(CD$3&gt;=Restaurantes!$D$8,Restaurantes!$D$7&gt;0),Restaurantes!$D$44+Restaurantes!$D$45,0)</f>
        <v>-600</v>
      </c>
      <c r="CE203" s="28" t="n">
        <f aca="false">-IF(AND(CE$3&gt;=Restaurantes!$D$8,Restaurantes!$D$7&gt;0),Restaurantes!$D$44+Restaurantes!$D$45,0)</f>
        <v>-600</v>
      </c>
      <c r="CF203" s="28" t="n">
        <f aca="false">-IF(AND(CF$3&gt;=Restaurantes!$D$8,Restaurantes!$D$7&gt;0),Restaurantes!$D$44+Restaurantes!$D$45,0)</f>
        <v>-600</v>
      </c>
      <c r="CG203" s="28" t="n">
        <f aca="false">-IF(AND(CG$3&gt;=Restaurantes!$D$8,Restaurantes!$D$7&gt;0),Restaurantes!$D$44+Restaurantes!$D$45,0)</f>
        <v>-600</v>
      </c>
      <c r="CH203" s="28" t="n">
        <f aca="false">-IF(AND(CH$3&gt;=Restaurantes!$D$8,Restaurantes!$D$7&gt;0),Restaurantes!$D$44+Restaurantes!$D$45,0)</f>
        <v>-600</v>
      </c>
    </row>
    <row r="204" customFormat="false" ht="15" hidden="false" customHeight="false" outlineLevel="0" collapsed="false">
      <c r="A204" s="1" t="s">
        <v>865</v>
      </c>
      <c r="C204" s="28" t="n">
        <f aca="false">-IF(AND(C$3&gt;=Restaurantes!$D$8,Restaurantes!$D$7&gt;0),Restaurantes!$D$51*(Restaurantes!$D$52*Restaurantes!$D$53+Restaurantes!$D$54*Restaurantes!$D$55),0)</f>
        <v>-541.075</v>
      </c>
      <c r="D204" s="28" t="n">
        <f aca="false">-IF(AND(D$3&gt;=Restaurantes!$D$8,Restaurantes!$D$7&gt;0),Restaurantes!$D$51*(Restaurantes!$D$52*Restaurantes!$D$53+Restaurantes!$D$54*Restaurantes!$D$55),0)</f>
        <v>-541.075</v>
      </c>
      <c r="E204" s="28" t="n">
        <f aca="false">-IF(AND(E$3&gt;=Restaurantes!$D$8,Restaurantes!$D$7&gt;0),Restaurantes!$D$51*(Restaurantes!$D$52*Restaurantes!$D$53+Restaurantes!$D$54*Restaurantes!$D$55),0)</f>
        <v>-541.075</v>
      </c>
      <c r="F204" s="28" t="n">
        <f aca="false">-IF(AND(F$3&gt;=Restaurantes!$D$8,Restaurantes!$D$7&gt;0),Restaurantes!$D$51*(Restaurantes!$D$52*Restaurantes!$D$53+Restaurantes!$D$54*Restaurantes!$D$55),0)</f>
        <v>-541.075</v>
      </c>
      <c r="G204" s="28" t="n">
        <f aca="false">-IF(AND(G$3&gt;=Restaurantes!$D$8,Restaurantes!$D$7&gt;0),Restaurantes!$D$51*(Restaurantes!$D$52*Restaurantes!$D$53+Restaurantes!$D$54*Restaurantes!$D$55),0)</f>
        <v>-541.075</v>
      </c>
      <c r="H204" s="28" t="n">
        <f aca="false">-IF(AND(H$3&gt;=Restaurantes!$D$8,Restaurantes!$D$7&gt;0),Restaurantes!$D$51*(Restaurantes!$D$52*Restaurantes!$D$53+Restaurantes!$D$54*Restaurantes!$D$55),0)</f>
        <v>-541.075</v>
      </c>
      <c r="I204" s="28" t="n">
        <f aca="false">-IF(AND(I$3&gt;=Restaurantes!$D$8,Restaurantes!$D$7&gt;0),Restaurantes!$D$51*(Restaurantes!$D$52*Restaurantes!$D$53+Restaurantes!$D$54*Restaurantes!$D$55),0)</f>
        <v>-541.075</v>
      </c>
      <c r="J204" s="28" t="n">
        <f aca="false">-IF(AND(J$3&gt;=Restaurantes!$D$8,Restaurantes!$D$7&gt;0),Restaurantes!$D$51*(Restaurantes!$D$52*Restaurantes!$D$53+Restaurantes!$D$54*Restaurantes!$D$55),0)</f>
        <v>-541.075</v>
      </c>
      <c r="K204" s="28" t="n">
        <f aca="false">-IF(AND(K$3&gt;=Restaurantes!$D$8,Restaurantes!$D$7&gt;0),Restaurantes!$D$51*(Restaurantes!$D$52*Restaurantes!$D$53+Restaurantes!$D$54*Restaurantes!$D$55),0)</f>
        <v>-541.075</v>
      </c>
      <c r="L204" s="28" t="n">
        <f aca="false">-IF(AND(L$3&gt;=Restaurantes!$D$8,Restaurantes!$D$7&gt;0),Restaurantes!$D$51*(Restaurantes!$D$52*Restaurantes!$D$53+Restaurantes!$D$54*Restaurantes!$D$55),0)</f>
        <v>-541.075</v>
      </c>
      <c r="M204" s="28" t="n">
        <f aca="false">-IF(AND(M$3&gt;=Restaurantes!$D$8,Restaurantes!$D$7&gt;0),Restaurantes!$D$51*(Restaurantes!$D$52*Restaurantes!$D$53+Restaurantes!$D$54*Restaurantes!$D$55),0)</f>
        <v>-541.075</v>
      </c>
      <c r="N204" s="28" t="n">
        <f aca="false">-IF(AND(N$3&gt;=Restaurantes!$D$8,Restaurantes!$D$7&gt;0),Restaurantes!$D$51*(Restaurantes!$D$52*Restaurantes!$D$53+Restaurantes!$D$54*Restaurantes!$D$55),0)</f>
        <v>-541.075</v>
      </c>
      <c r="O204" s="28" t="n">
        <f aca="false">-IF(AND(O$3&gt;=Restaurantes!$D$8,Restaurantes!$D$7&gt;0),Restaurantes!$D$51*(Restaurantes!$D$52*Restaurantes!$D$53+Restaurantes!$D$54*Restaurantes!$D$55),0)</f>
        <v>-541.075</v>
      </c>
      <c r="P204" s="28" t="n">
        <f aca="false">-IF(AND(P$3&gt;=Restaurantes!$D$8,Restaurantes!$D$7&gt;0),Restaurantes!$D$51*(Restaurantes!$D$52*Restaurantes!$D$53+Restaurantes!$D$54*Restaurantes!$D$55),0)</f>
        <v>-541.075</v>
      </c>
      <c r="Q204" s="28" t="n">
        <f aca="false">-IF(AND(Q$3&gt;=Restaurantes!$D$8,Restaurantes!$D$7&gt;0),Restaurantes!$D$51*(Restaurantes!$D$52*Restaurantes!$D$53+Restaurantes!$D$54*Restaurantes!$D$55),0)</f>
        <v>-541.075</v>
      </c>
      <c r="R204" s="28" t="n">
        <f aca="false">-IF(AND(R$3&gt;=Restaurantes!$D$8,Restaurantes!$D$7&gt;0),Restaurantes!$D$51*(Restaurantes!$D$52*Restaurantes!$D$53+Restaurantes!$D$54*Restaurantes!$D$55),0)</f>
        <v>-541.075</v>
      </c>
      <c r="S204" s="28" t="n">
        <f aca="false">-IF(AND(S$3&gt;=Restaurantes!$D$8,Restaurantes!$D$7&gt;0),Restaurantes!$D$51*(Restaurantes!$D$52*Restaurantes!$D$53+Restaurantes!$D$54*Restaurantes!$D$55),0)</f>
        <v>-541.075</v>
      </c>
      <c r="T204" s="28" t="n">
        <f aca="false">-IF(AND(T$3&gt;=Restaurantes!$D$8,Restaurantes!$D$7&gt;0),Restaurantes!$D$51*(Restaurantes!$D$52*Restaurantes!$D$53+Restaurantes!$D$54*Restaurantes!$D$55),0)</f>
        <v>-541.075</v>
      </c>
      <c r="U204" s="28" t="n">
        <f aca="false">-IF(AND(U$3&gt;=Restaurantes!$D$8,Restaurantes!$D$7&gt;0),Restaurantes!$D$51*(Restaurantes!$D$52*Restaurantes!$D$53+Restaurantes!$D$54*Restaurantes!$D$55),0)</f>
        <v>-541.075</v>
      </c>
      <c r="V204" s="28" t="n">
        <f aca="false">-IF(AND(V$3&gt;=Restaurantes!$D$8,Restaurantes!$D$7&gt;0),Restaurantes!$D$51*(Restaurantes!$D$52*Restaurantes!$D$53+Restaurantes!$D$54*Restaurantes!$D$55),0)</f>
        <v>-541.075</v>
      </c>
      <c r="W204" s="28" t="n">
        <f aca="false">-IF(AND(W$3&gt;=Restaurantes!$D$8,Restaurantes!$D$7&gt;0),Restaurantes!$D$51*(Restaurantes!$D$52*Restaurantes!$D$53+Restaurantes!$D$54*Restaurantes!$D$55),0)</f>
        <v>-541.075</v>
      </c>
      <c r="X204" s="28" t="n">
        <f aca="false">-IF(AND(X$3&gt;=Restaurantes!$D$8,Restaurantes!$D$7&gt;0),Restaurantes!$D$51*(Restaurantes!$D$52*Restaurantes!$D$53+Restaurantes!$D$54*Restaurantes!$D$55),0)</f>
        <v>-541.075</v>
      </c>
      <c r="Y204" s="28" t="n">
        <f aca="false">-IF(AND(Y$3&gt;=Restaurantes!$D$8,Restaurantes!$D$7&gt;0),Restaurantes!$D$51*(Restaurantes!$D$52*Restaurantes!$D$53+Restaurantes!$D$54*Restaurantes!$D$55),0)</f>
        <v>-541.075</v>
      </c>
      <c r="Z204" s="28" t="n">
        <f aca="false">-IF(AND(Z$3&gt;=Restaurantes!$D$8,Restaurantes!$D$7&gt;0),Restaurantes!$D$51*(Restaurantes!$D$52*Restaurantes!$D$53+Restaurantes!$D$54*Restaurantes!$D$55),0)</f>
        <v>-541.075</v>
      </c>
      <c r="AA204" s="28" t="n">
        <f aca="false">-IF(AND(AA$3&gt;=Restaurantes!$D$8,Restaurantes!$D$7&gt;0),Restaurantes!$D$51*(Restaurantes!$D$52*Restaurantes!$D$53+Restaurantes!$D$54*Restaurantes!$D$55),0)</f>
        <v>-541.075</v>
      </c>
      <c r="AB204" s="28" t="n">
        <f aca="false">-IF(AND(AB$3&gt;=Restaurantes!$D$8,Restaurantes!$D$7&gt;0),Restaurantes!$D$51*(Restaurantes!$D$52*Restaurantes!$D$53+Restaurantes!$D$54*Restaurantes!$D$55),0)</f>
        <v>-541.075</v>
      </c>
      <c r="AC204" s="28" t="n">
        <f aca="false">-IF(AND(AC$3&gt;=Restaurantes!$D$8,Restaurantes!$D$7&gt;0),Restaurantes!$D$51*(Restaurantes!$D$52*Restaurantes!$D$53+Restaurantes!$D$54*Restaurantes!$D$55),0)</f>
        <v>-541.075</v>
      </c>
      <c r="AD204" s="28" t="n">
        <f aca="false">-IF(AND(AD$3&gt;=Restaurantes!$D$8,Restaurantes!$D$7&gt;0),Restaurantes!$D$51*(Restaurantes!$D$52*Restaurantes!$D$53+Restaurantes!$D$54*Restaurantes!$D$55),0)</f>
        <v>-541.075</v>
      </c>
      <c r="AE204" s="28" t="n">
        <f aca="false">-IF(AND(AE$3&gt;=Restaurantes!$D$8,Restaurantes!$D$7&gt;0),Restaurantes!$D$51*(Restaurantes!$D$52*Restaurantes!$D$53+Restaurantes!$D$54*Restaurantes!$D$55),0)</f>
        <v>-541.075</v>
      </c>
      <c r="AF204" s="28" t="n">
        <f aca="false">-IF(AND(AF$3&gt;=Restaurantes!$D$8,Restaurantes!$D$7&gt;0),Restaurantes!$D$51*(Restaurantes!$D$52*Restaurantes!$D$53+Restaurantes!$D$54*Restaurantes!$D$55),0)</f>
        <v>-541.075</v>
      </c>
      <c r="AG204" s="28" t="n">
        <f aca="false">-IF(AND(AG$3&gt;=Restaurantes!$D$8,Restaurantes!$D$7&gt;0),Restaurantes!$D$51*(Restaurantes!$D$52*Restaurantes!$D$53+Restaurantes!$D$54*Restaurantes!$D$55),0)</f>
        <v>-541.075</v>
      </c>
      <c r="AH204" s="28" t="n">
        <f aca="false">-IF(AND(AH$3&gt;=Restaurantes!$D$8,Restaurantes!$D$7&gt;0),Restaurantes!$D$51*(Restaurantes!$D$52*Restaurantes!$D$53+Restaurantes!$D$54*Restaurantes!$D$55),0)</f>
        <v>-541.075</v>
      </c>
      <c r="AI204" s="28" t="n">
        <f aca="false">-IF(AND(AI$3&gt;=Restaurantes!$D$8,Restaurantes!$D$7&gt;0),Restaurantes!$D$51*(Restaurantes!$D$52*Restaurantes!$D$53+Restaurantes!$D$54*Restaurantes!$D$55),0)</f>
        <v>-541.075</v>
      </c>
      <c r="AJ204" s="28" t="n">
        <f aca="false">-IF(AND(AJ$3&gt;=Restaurantes!$D$8,Restaurantes!$D$7&gt;0),Restaurantes!$D$51*(Restaurantes!$D$52*Restaurantes!$D$53+Restaurantes!$D$54*Restaurantes!$D$55),0)</f>
        <v>-541.075</v>
      </c>
      <c r="AK204" s="28" t="n">
        <f aca="false">-IF(AND(AK$3&gt;=Restaurantes!$D$8,Restaurantes!$D$7&gt;0),Restaurantes!$D$51*(Restaurantes!$D$52*Restaurantes!$D$53+Restaurantes!$D$54*Restaurantes!$D$55),0)</f>
        <v>-541.075</v>
      </c>
      <c r="AL204" s="28" t="n">
        <f aca="false">-IF(AND(AL$3&gt;=Restaurantes!$D$8,Restaurantes!$D$7&gt;0),Restaurantes!$D$51*(Restaurantes!$D$52*Restaurantes!$D$53+Restaurantes!$D$54*Restaurantes!$D$55),0)</f>
        <v>-541.075</v>
      </c>
      <c r="AM204" s="28" t="n">
        <f aca="false">-IF(AND(AM$3&gt;=Restaurantes!$D$8,Restaurantes!$D$7&gt;0),Restaurantes!$D$51*(Restaurantes!$D$52*Restaurantes!$D$53+Restaurantes!$D$54*Restaurantes!$D$55),0)</f>
        <v>-541.075</v>
      </c>
      <c r="AN204" s="28" t="n">
        <f aca="false">-IF(AND(AN$3&gt;=Restaurantes!$D$8,Restaurantes!$D$7&gt;0),Restaurantes!$D$51*(Restaurantes!$D$52*Restaurantes!$D$53+Restaurantes!$D$54*Restaurantes!$D$55),0)</f>
        <v>-541.075</v>
      </c>
      <c r="AO204" s="28" t="n">
        <f aca="false">-IF(AND(AO$3&gt;=Restaurantes!$D$8,Restaurantes!$D$7&gt;0),Restaurantes!$D$51*(Restaurantes!$D$52*Restaurantes!$D$53+Restaurantes!$D$54*Restaurantes!$D$55),0)</f>
        <v>-541.075</v>
      </c>
      <c r="AP204" s="28" t="n">
        <f aca="false">-IF(AND(AP$3&gt;=Restaurantes!$D$8,Restaurantes!$D$7&gt;0),Restaurantes!$D$51*(Restaurantes!$D$52*Restaurantes!$D$53+Restaurantes!$D$54*Restaurantes!$D$55),0)</f>
        <v>-541.075</v>
      </c>
      <c r="AQ204" s="28" t="n">
        <f aca="false">-IF(AND(AQ$3&gt;=Restaurantes!$D$8,Restaurantes!$D$7&gt;0),Restaurantes!$D$51*(Restaurantes!$D$52*Restaurantes!$D$53+Restaurantes!$D$54*Restaurantes!$D$55),0)</f>
        <v>-541.075</v>
      </c>
      <c r="AR204" s="28" t="n">
        <f aca="false">-IF(AND(AR$3&gt;=Restaurantes!$D$8,Restaurantes!$D$7&gt;0),Restaurantes!$D$51*(Restaurantes!$D$52*Restaurantes!$D$53+Restaurantes!$D$54*Restaurantes!$D$55),0)</f>
        <v>-541.075</v>
      </c>
      <c r="AS204" s="28" t="n">
        <f aca="false">-IF(AND(AS$3&gt;=Restaurantes!$D$8,Restaurantes!$D$7&gt;0),Restaurantes!$D$51*(Restaurantes!$D$52*Restaurantes!$D$53+Restaurantes!$D$54*Restaurantes!$D$55),0)</f>
        <v>-541.075</v>
      </c>
      <c r="AT204" s="28" t="n">
        <f aca="false">-IF(AND(AT$3&gt;=Restaurantes!$D$8,Restaurantes!$D$7&gt;0),Restaurantes!$D$51*(Restaurantes!$D$52*Restaurantes!$D$53+Restaurantes!$D$54*Restaurantes!$D$55),0)</f>
        <v>-541.075</v>
      </c>
      <c r="AU204" s="28" t="n">
        <f aca="false">-IF(AND(AU$3&gt;=Restaurantes!$D$8,Restaurantes!$D$7&gt;0),Restaurantes!$D$51*(Restaurantes!$D$52*Restaurantes!$D$53+Restaurantes!$D$54*Restaurantes!$D$55),0)</f>
        <v>-541.075</v>
      </c>
      <c r="AV204" s="28" t="n">
        <f aca="false">-IF(AND(AV$3&gt;=Restaurantes!$D$8,Restaurantes!$D$7&gt;0),Restaurantes!$D$51*(Restaurantes!$D$52*Restaurantes!$D$53+Restaurantes!$D$54*Restaurantes!$D$55),0)</f>
        <v>-541.075</v>
      </c>
      <c r="AW204" s="28" t="n">
        <f aca="false">-IF(AND(AW$3&gt;=Restaurantes!$D$8,Restaurantes!$D$7&gt;0),Restaurantes!$D$51*(Restaurantes!$D$52*Restaurantes!$D$53+Restaurantes!$D$54*Restaurantes!$D$55),0)</f>
        <v>-541.075</v>
      </c>
      <c r="AX204" s="28" t="n">
        <f aca="false">-IF(AND(AX$3&gt;=Restaurantes!$D$8,Restaurantes!$D$7&gt;0),Restaurantes!$D$51*(Restaurantes!$D$52*Restaurantes!$D$53+Restaurantes!$D$54*Restaurantes!$D$55),0)</f>
        <v>-541.075</v>
      </c>
      <c r="AY204" s="28" t="n">
        <f aca="false">-IF(AND(AY$3&gt;=Restaurantes!$D$8,Restaurantes!$D$7&gt;0),Restaurantes!$D$51*(Restaurantes!$D$52*Restaurantes!$D$53+Restaurantes!$D$54*Restaurantes!$D$55),0)</f>
        <v>-541.075</v>
      </c>
      <c r="AZ204" s="28" t="n">
        <f aca="false">-IF(AND(AZ$3&gt;=Restaurantes!$D$8,Restaurantes!$D$7&gt;0),Restaurantes!$D$51*(Restaurantes!$D$52*Restaurantes!$D$53+Restaurantes!$D$54*Restaurantes!$D$55),0)</f>
        <v>-541.075</v>
      </c>
      <c r="BA204" s="28" t="n">
        <f aca="false">-IF(AND(BA$3&gt;=Restaurantes!$D$8,Restaurantes!$D$7&gt;0),Restaurantes!$D$51*(Restaurantes!$D$52*Restaurantes!$D$53+Restaurantes!$D$54*Restaurantes!$D$55),0)</f>
        <v>-541.075</v>
      </c>
      <c r="BB204" s="28" t="n">
        <f aca="false">-IF(AND(BB$3&gt;=Restaurantes!$D$8,Restaurantes!$D$7&gt;0),Restaurantes!$D$51*(Restaurantes!$D$52*Restaurantes!$D$53+Restaurantes!$D$54*Restaurantes!$D$55),0)</f>
        <v>-541.075</v>
      </c>
      <c r="BC204" s="28" t="n">
        <f aca="false">-IF(AND(BC$3&gt;=Restaurantes!$D$8,Restaurantes!$D$7&gt;0),Restaurantes!$D$51*(Restaurantes!$D$52*Restaurantes!$D$53+Restaurantes!$D$54*Restaurantes!$D$55),0)</f>
        <v>-541.075</v>
      </c>
      <c r="BD204" s="28" t="n">
        <f aca="false">-IF(AND(BD$3&gt;=Restaurantes!$D$8,Restaurantes!$D$7&gt;0),Restaurantes!$D$51*(Restaurantes!$D$52*Restaurantes!$D$53+Restaurantes!$D$54*Restaurantes!$D$55),0)</f>
        <v>-541.075</v>
      </c>
      <c r="BE204" s="28" t="n">
        <f aca="false">-IF(AND(BE$3&gt;=Restaurantes!$D$8,Restaurantes!$D$7&gt;0),Restaurantes!$D$51*(Restaurantes!$D$52*Restaurantes!$D$53+Restaurantes!$D$54*Restaurantes!$D$55),0)</f>
        <v>-541.075</v>
      </c>
      <c r="BF204" s="28" t="n">
        <f aca="false">-IF(AND(BF$3&gt;=Restaurantes!$D$8,Restaurantes!$D$7&gt;0),Restaurantes!$D$51*(Restaurantes!$D$52*Restaurantes!$D$53+Restaurantes!$D$54*Restaurantes!$D$55),0)</f>
        <v>-541.075</v>
      </c>
      <c r="BG204" s="28" t="n">
        <f aca="false">-IF(AND(BG$3&gt;=Restaurantes!$D$8,Restaurantes!$D$7&gt;0),Restaurantes!$D$51*(Restaurantes!$D$52*Restaurantes!$D$53+Restaurantes!$D$54*Restaurantes!$D$55),0)</f>
        <v>-541.075</v>
      </c>
      <c r="BH204" s="28" t="n">
        <f aca="false">-IF(AND(BH$3&gt;=Restaurantes!$D$8,Restaurantes!$D$7&gt;0),Restaurantes!$D$51*(Restaurantes!$D$52*Restaurantes!$D$53+Restaurantes!$D$54*Restaurantes!$D$55),0)</f>
        <v>-541.075</v>
      </c>
      <c r="BI204" s="28" t="n">
        <f aca="false">-IF(AND(BI$3&gt;=Restaurantes!$D$8,Restaurantes!$D$7&gt;0),Restaurantes!$D$51*(Restaurantes!$D$52*Restaurantes!$D$53+Restaurantes!$D$54*Restaurantes!$D$55),0)</f>
        <v>-541.075</v>
      </c>
      <c r="BJ204" s="28" t="n">
        <f aca="false">-IF(AND(BJ$3&gt;=Restaurantes!$D$8,Restaurantes!$D$7&gt;0),Restaurantes!$D$51*(Restaurantes!$D$52*Restaurantes!$D$53+Restaurantes!$D$54*Restaurantes!$D$55),0)</f>
        <v>-541.075</v>
      </c>
      <c r="BK204" s="28" t="n">
        <f aca="false">-IF(AND(BK$3&gt;=Restaurantes!$D$8,Restaurantes!$D$7&gt;0),Restaurantes!$D$51*(Restaurantes!$D$52*Restaurantes!$D$53+Restaurantes!$D$54*Restaurantes!$D$55),0)</f>
        <v>-541.075</v>
      </c>
      <c r="BL204" s="28" t="n">
        <f aca="false">-IF(AND(BL$3&gt;=Restaurantes!$D$8,Restaurantes!$D$7&gt;0),Restaurantes!$D$51*(Restaurantes!$D$52*Restaurantes!$D$53+Restaurantes!$D$54*Restaurantes!$D$55),0)</f>
        <v>-541.075</v>
      </c>
      <c r="BM204" s="28" t="n">
        <f aca="false">-IF(AND(BM$3&gt;=Restaurantes!$D$8,Restaurantes!$D$7&gt;0),Restaurantes!$D$51*(Restaurantes!$D$52*Restaurantes!$D$53+Restaurantes!$D$54*Restaurantes!$D$55),0)</f>
        <v>-541.075</v>
      </c>
      <c r="BN204" s="28" t="n">
        <f aca="false">-IF(AND(BN$3&gt;=Restaurantes!$D$8,Restaurantes!$D$7&gt;0),Restaurantes!$D$51*(Restaurantes!$D$52*Restaurantes!$D$53+Restaurantes!$D$54*Restaurantes!$D$55),0)</f>
        <v>-541.075</v>
      </c>
      <c r="BO204" s="28" t="n">
        <f aca="false">-IF(AND(BO$3&gt;=Restaurantes!$D$8,Restaurantes!$D$7&gt;0),Restaurantes!$D$51*(Restaurantes!$D$52*Restaurantes!$D$53+Restaurantes!$D$54*Restaurantes!$D$55),0)</f>
        <v>-541.075</v>
      </c>
      <c r="BP204" s="28" t="n">
        <f aca="false">-IF(AND(BP$3&gt;=Restaurantes!$D$8,Restaurantes!$D$7&gt;0),Restaurantes!$D$51*(Restaurantes!$D$52*Restaurantes!$D$53+Restaurantes!$D$54*Restaurantes!$D$55),0)</f>
        <v>-541.075</v>
      </c>
      <c r="BQ204" s="28" t="n">
        <f aca="false">-IF(AND(BQ$3&gt;=Restaurantes!$D$8,Restaurantes!$D$7&gt;0),Restaurantes!$D$51*(Restaurantes!$D$52*Restaurantes!$D$53+Restaurantes!$D$54*Restaurantes!$D$55),0)</f>
        <v>-541.075</v>
      </c>
      <c r="BR204" s="28" t="n">
        <f aca="false">-IF(AND(BR$3&gt;=Restaurantes!$D$8,Restaurantes!$D$7&gt;0),Restaurantes!$D$51*(Restaurantes!$D$52*Restaurantes!$D$53+Restaurantes!$D$54*Restaurantes!$D$55),0)</f>
        <v>-541.075</v>
      </c>
      <c r="BS204" s="28" t="n">
        <f aca="false">-IF(AND(BS$3&gt;=Restaurantes!$D$8,Restaurantes!$D$7&gt;0),Restaurantes!$D$51*(Restaurantes!$D$52*Restaurantes!$D$53+Restaurantes!$D$54*Restaurantes!$D$55),0)</f>
        <v>-541.075</v>
      </c>
      <c r="BT204" s="28" t="n">
        <f aca="false">-IF(AND(BT$3&gt;=Restaurantes!$D$8,Restaurantes!$D$7&gt;0),Restaurantes!$D$51*(Restaurantes!$D$52*Restaurantes!$D$53+Restaurantes!$D$54*Restaurantes!$D$55),0)</f>
        <v>-541.075</v>
      </c>
      <c r="BU204" s="28" t="n">
        <f aca="false">-IF(AND(BU$3&gt;=Restaurantes!$D$8,Restaurantes!$D$7&gt;0),Restaurantes!$D$51*(Restaurantes!$D$52*Restaurantes!$D$53+Restaurantes!$D$54*Restaurantes!$D$55),0)</f>
        <v>-541.075</v>
      </c>
      <c r="BV204" s="28" t="n">
        <f aca="false">-IF(AND(BV$3&gt;=Restaurantes!$D$8,Restaurantes!$D$7&gt;0),Restaurantes!$D$51*(Restaurantes!$D$52*Restaurantes!$D$53+Restaurantes!$D$54*Restaurantes!$D$55),0)</f>
        <v>-541.075</v>
      </c>
      <c r="BW204" s="28" t="n">
        <f aca="false">-IF(AND(BW$3&gt;=Restaurantes!$D$8,Restaurantes!$D$7&gt;0),Restaurantes!$D$51*(Restaurantes!$D$52*Restaurantes!$D$53+Restaurantes!$D$54*Restaurantes!$D$55),0)</f>
        <v>-541.075</v>
      </c>
      <c r="BX204" s="28" t="n">
        <f aca="false">-IF(AND(BX$3&gt;=Restaurantes!$D$8,Restaurantes!$D$7&gt;0),Restaurantes!$D$51*(Restaurantes!$D$52*Restaurantes!$D$53+Restaurantes!$D$54*Restaurantes!$D$55),0)</f>
        <v>-541.075</v>
      </c>
      <c r="BY204" s="28" t="n">
        <f aca="false">-IF(AND(BY$3&gt;=Restaurantes!$D$8,Restaurantes!$D$7&gt;0),Restaurantes!$D$51*(Restaurantes!$D$52*Restaurantes!$D$53+Restaurantes!$D$54*Restaurantes!$D$55),0)</f>
        <v>-541.075</v>
      </c>
      <c r="BZ204" s="28" t="n">
        <f aca="false">-IF(AND(BZ$3&gt;=Restaurantes!$D$8,Restaurantes!$D$7&gt;0),Restaurantes!$D$51*(Restaurantes!$D$52*Restaurantes!$D$53+Restaurantes!$D$54*Restaurantes!$D$55),0)</f>
        <v>-541.075</v>
      </c>
      <c r="CA204" s="28" t="n">
        <f aca="false">-IF(AND(CA$3&gt;=Restaurantes!$D$8,Restaurantes!$D$7&gt;0),Restaurantes!$D$51*(Restaurantes!$D$52*Restaurantes!$D$53+Restaurantes!$D$54*Restaurantes!$D$55),0)</f>
        <v>-541.075</v>
      </c>
      <c r="CB204" s="28" t="n">
        <f aca="false">-IF(AND(CB$3&gt;=Restaurantes!$D$8,Restaurantes!$D$7&gt;0),Restaurantes!$D$51*(Restaurantes!$D$52*Restaurantes!$D$53+Restaurantes!$D$54*Restaurantes!$D$55),0)</f>
        <v>-541.075</v>
      </c>
      <c r="CC204" s="28" t="n">
        <f aca="false">-IF(AND(CC$3&gt;=Restaurantes!$D$8,Restaurantes!$D$7&gt;0),Restaurantes!$D$51*(Restaurantes!$D$52*Restaurantes!$D$53+Restaurantes!$D$54*Restaurantes!$D$55),0)</f>
        <v>-541.075</v>
      </c>
      <c r="CD204" s="28" t="n">
        <f aca="false">-IF(AND(CD$3&gt;=Restaurantes!$D$8,Restaurantes!$D$7&gt;0),Restaurantes!$D$51*(Restaurantes!$D$52*Restaurantes!$D$53+Restaurantes!$D$54*Restaurantes!$D$55),0)</f>
        <v>-541.075</v>
      </c>
      <c r="CE204" s="28" t="n">
        <f aca="false">-IF(AND(CE$3&gt;=Restaurantes!$D$8,Restaurantes!$D$7&gt;0),Restaurantes!$D$51*(Restaurantes!$D$52*Restaurantes!$D$53+Restaurantes!$D$54*Restaurantes!$D$55),0)</f>
        <v>-541.075</v>
      </c>
      <c r="CF204" s="28" t="n">
        <f aca="false">-IF(AND(CF$3&gt;=Restaurantes!$D$8,Restaurantes!$D$7&gt;0),Restaurantes!$D$51*(Restaurantes!$D$52*Restaurantes!$D$53+Restaurantes!$D$54*Restaurantes!$D$55),0)</f>
        <v>-541.075</v>
      </c>
      <c r="CG204" s="28" t="n">
        <f aca="false">-IF(AND(CG$3&gt;=Restaurantes!$D$8,Restaurantes!$D$7&gt;0),Restaurantes!$D$51*(Restaurantes!$D$52*Restaurantes!$D$53+Restaurantes!$D$54*Restaurantes!$D$55),0)</f>
        <v>-541.075</v>
      </c>
      <c r="CH204" s="28" t="n">
        <f aca="false">-IF(AND(CH$3&gt;=Restaurantes!$D$8,Restaurantes!$D$7&gt;0),Restaurantes!$D$51*(Restaurantes!$D$52*Restaurantes!$D$53+Restaurantes!$D$54*Restaurantes!$D$55),0)</f>
        <v>-541.075</v>
      </c>
    </row>
    <row r="205" customFormat="false" ht="15" hidden="false" customHeight="false" outlineLevel="0" collapsed="false">
      <c r="A205" s="1" t="s">
        <v>866</v>
      </c>
      <c r="C205" s="28" t="n">
        <f aca="false">-C188*Restaurantes!$D$56/60*Restaurantes!$D$57</f>
        <v>-35.652560024294</v>
      </c>
      <c r="D205" s="28" t="n">
        <f aca="false">-D188*Restaurantes!$D$56/60*Restaurantes!$D$57</f>
        <v>-71.3051200485879</v>
      </c>
      <c r="E205" s="28" t="n">
        <f aca="false">-E188*Restaurantes!$D$56/60*Restaurantes!$D$57</f>
        <v>-106.957680072882</v>
      </c>
      <c r="F205" s="28" t="n">
        <f aca="false">-F188*Restaurantes!$D$56/60*Restaurantes!$D$57</f>
        <v>-142.610240097176</v>
      </c>
      <c r="G205" s="28" t="n">
        <f aca="false">-G188*Restaurantes!$D$56/60*Restaurantes!$D$57</f>
        <v>-26.7394200182205</v>
      </c>
      <c r="H205" s="28" t="n">
        <f aca="false">-H188*Restaurantes!$D$56/60*Restaurantes!$D$57</f>
        <v>-213.915360145764</v>
      </c>
      <c r="I205" s="28" t="n">
        <f aca="false">-I188*Restaurantes!$D$56/60*Restaurantes!$D$57</f>
        <v>-249.567920170058</v>
      </c>
      <c r="J205" s="28" t="n">
        <f aca="false">-J188*Restaurantes!$D$56/60*Restaurantes!$D$57</f>
        <v>-285.220480194352</v>
      </c>
      <c r="K205" s="28" t="n">
        <f aca="false">-K188*Restaurantes!$D$56/60*Restaurantes!$D$57</f>
        <v>-320.873040218646</v>
      </c>
      <c r="L205" s="28" t="n">
        <f aca="false">-L188*Restaurantes!$D$56/60*Restaurantes!$D$57</f>
        <v>-356.52560024294</v>
      </c>
      <c r="M205" s="28" t="n">
        <f aca="false">-M188*Restaurantes!$D$56/60*Restaurantes!$D$57</f>
        <v>-392.178160267234</v>
      </c>
      <c r="N205" s="28" t="n">
        <f aca="false">-N188*Restaurantes!$D$56/60*Restaurantes!$D$57</f>
        <v>-427.830720291528</v>
      </c>
      <c r="O205" s="28" t="n">
        <f aca="false">-O188*Restaurantes!$D$56/60*Restaurantes!$D$57</f>
        <v>-463.483280315822</v>
      </c>
      <c r="P205" s="28" t="n">
        <f aca="false">-P188*Restaurantes!$D$56/60*Restaurantes!$D$57</f>
        <v>-499.135840340115</v>
      </c>
      <c r="Q205" s="28" t="n">
        <f aca="false">-Q188*Restaurantes!$D$56/60*Restaurantes!$D$57</f>
        <v>-534.788400364409</v>
      </c>
      <c r="R205" s="28" t="n">
        <f aca="false">-R188*Restaurantes!$D$56/60*Restaurantes!$D$57</f>
        <v>-570.440960388703</v>
      </c>
      <c r="S205" s="28" t="n">
        <f aca="false">-S188*Restaurantes!$D$56/60*Restaurantes!$D$57</f>
        <v>-90.9140280619496</v>
      </c>
      <c r="T205" s="28" t="n">
        <f aca="false">-T188*Restaurantes!$D$56/60*Restaurantes!$D$57</f>
        <v>-641.746080437291</v>
      </c>
      <c r="U205" s="28" t="n">
        <f aca="false">-U188*Restaurantes!$D$56/60*Restaurantes!$D$57</f>
        <v>-677.398640461585</v>
      </c>
      <c r="V205" s="28" t="n">
        <f aca="false">-V188*Restaurantes!$D$56/60*Restaurantes!$D$57</f>
        <v>-713.051200485879</v>
      </c>
      <c r="W205" s="28" t="n">
        <f aca="false">-W188*Restaurantes!$D$56/60*Restaurantes!$D$57</f>
        <v>-748.703760510173</v>
      </c>
      <c r="X205" s="28" t="n">
        <f aca="false">-X188*Restaurantes!$D$56/60*Restaurantes!$D$57</f>
        <v>-784.356320534467</v>
      </c>
      <c r="Y205" s="28" t="n">
        <f aca="false">-Y188*Restaurantes!$D$56/60*Restaurantes!$D$57</f>
        <v>-820.008880558761</v>
      </c>
      <c r="Z205" s="28" t="n">
        <f aca="false">-Z188*Restaurantes!$D$56/60*Restaurantes!$D$57</f>
        <v>-855.661440583055</v>
      </c>
      <c r="AA205" s="28" t="n">
        <f aca="false">-AA188*Restaurantes!$D$56/60*Restaurantes!$D$57</f>
        <v>-855.661440583055</v>
      </c>
      <c r="AB205" s="28" t="n">
        <f aca="false">-AB188*Restaurantes!$D$56/60*Restaurantes!$D$57</f>
        <v>-855.661440583055</v>
      </c>
      <c r="AC205" s="28" t="n">
        <f aca="false">-AC188*Restaurantes!$D$56/60*Restaurantes!$D$57</f>
        <v>-855.661440583055</v>
      </c>
      <c r="AD205" s="28" t="n">
        <f aca="false">-AD188*Restaurantes!$D$56/60*Restaurantes!$D$57</f>
        <v>-855.661440583055</v>
      </c>
      <c r="AE205" s="28" t="n">
        <f aca="false">-AE188*Restaurantes!$D$56/60*Restaurantes!$D$57</f>
        <v>-128.349216087458</v>
      </c>
      <c r="AF205" s="28" t="n">
        <f aca="false">-AF188*Restaurantes!$D$56/60*Restaurantes!$D$57</f>
        <v>-855.661440583055</v>
      </c>
      <c r="AG205" s="28" t="n">
        <f aca="false">-AG188*Restaurantes!$D$56/60*Restaurantes!$D$57</f>
        <v>-855.661440583055</v>
      </c>
      <c r="AH205" s="28" t="n">
        <f aca="false">-AH188*Restaurantes!$D$56/60*Restaurantes!$D$57</f>
        <v>-855.661440583055</v>
      </c>
      <c r="AI205" s="28" t="n">
        <f aca="false">-AI188*Restaurantes!$D$56/60*Restaurantes!$D$57</f>
        <v>-855.661440583055</v>
      </c>
      <c r="AJ205" s="28" t="n">
        <f aca="false">-AJ188*Restaurantes!$D$56/60*Restaurantes!$D$57</f>
        <v>-855.661440583055</v>
      </c>
      <c r="AK205" s="28" t="n">
        <f aca="false">-AK188*Restaurantes!$D$56/60*Restaurantes!$D$57</f>
        <v>-855.661440583055</v>
      </c>
      <c r="AL205" s="28" t="n">
        <f aca="false">-AL188*Restaurantes!$D$56/60*Restaurantes!$D$57</f>
        <v>-855.661440583055</v>
      </c>
      <c r="AM205" s="28" t="n">
        <f aca="false">-AM188*Restaurantes!$D$56/60*Restaurantes!$D$57</f>
        <v>-855.661440583055</v>
      </c>
      <c r="AN205" s="28" t="n">
        <f aca="false">-AN188*Restaurantes!$D$56/60*Restaurantes!$D$57</f>
        <v>-855.661440583055</v>
      </c>
      <c r="AO205" s="28" t="n">
        <f aca="false">-AO188*Restaurantes!$D$56/60*Restaurantes!$D$57</f>
        <v>-855.661440583055</v>
      </c>
      <c r="AP205" s="28" t="n">
        <f aca="false">-AP188*Restaurantes!$D$56/60*Restaurantes!$D$57</f>
        <v>-855.661440583055</v>
      </c>
      <c r="AQ205" s="28" t="n">
        <f aca="false">-AQ188*Restaurantes!$D$56/60*Restaurantes!$D$57</f>
        <v>-128.349216087458</v>
      </c>
      <c r="AR205" s="28" t="n">
        <f aca="false">-AR188*Restaurantes!$D$56/60*Restaurantes!$D$57</f>
        <v>-855.661440583055</v>
      </c>
      <c r="AS205" s="28" t="n">
        <f aca="false">-AS188*Restaurantes!$D$56/60*Restaurantes!$D$57</f>
        <v>-855.661440583055</v>
      </c>
      <c r="AT205" s="28" t="n">
        <f aca="false">-AT188*Restaurantes!$D$56/60*Restaurantes!$D$57</f>
        <v>-855.661440583055</v>
      </c>
      <c r="AU205" s="28" t="n">
        <f aca="false">-AU188*Restaurantes!$D$56/60*Restaurantes!$D$57</f>
        <v>-855.661440583055</v>
      </c>
      <c r="AV205" s="28" t="n">
        <f aca="false">-AV188*Restaurantes!$D$56/60*Restaurantes!$D$57</f>
        <v>-855.661440583055</v>
      </c>
      <c r="AW205" s="28" t="n">
        <f aca="false">-AW188*Restaurantes!$D$56/60*Restaurantes!$D$57</f>
        <v>-855.661440583055</v>
      </c>
      <c r="AX205" s="28" t="n">
        <f aca="false">-AX188*Restaurantes!$D$56/60*Restaurantes!$D$57</f>
        <v>-855.661440583055</v>
      </c>
      <c r="AY205" s="28" t="n">
        <f aca="false">-AY188*Restaurantes!$D$56/60*Restaurantes!$D$57</f>
        <v>-855.661440583055</v>
      </c>
      <c r="AZ205" s="28" t="n">
        <f aca="false">-AZ188*Restaurantes!$D$56/60*Restaurantes!$D$57</f>
        <v>-855.661440583055</v>
      </c>
      <c r="BA205" s="28" t="n">
        <f aca="false">-BA188*Restaurantes!$D$56/60*Restaurantes!$D$57</f>
        <v>-855.661440583055</v>
      </c>
      <c r="BB205" s="28" t="n">
        <f aca="false">-BB188*Restaurantes!$D$56/60*Restaurantes!$D$57</f>
        <v>-855.661440583055</v>
      </c>
      <c r="BC205" s="28" t="n">
        <f aca="false">-BC188*Restaurantes!$D$56/60*Restaurantes!$D$57</f>
        <v>-128.349216087458</v>
      </c>
      <c r="BD205" s="28" t="n">
        <f aca="false">-BD188*Restaurantes!$D$56/60*Restaurantes!$D$57</f>
        <v>-855.661440583055</v>
      </c>
      <c r="BE205" s="28" t="n">
        <f aca="false">-BE188*Restaurantes!$D$56/60*Restaurantes!$D$57</f>
        <v>-855.661440583055</v>
      </c>
      <c r="BF205" s="28" t="n">
        <f aca="false">-BF188*Restaurantes!$D$56/60*Restaurantes!$D$57</f>
        <v>-855.661440583055</v>
      </c>
      <c r="BG205" s="28" t="n">
        <f aca="false">-BG188*Restaurantes!$D$56/60*Restaurantes!$D$57</f>
        <v>-855.661440583055</v>
      </c>
      <c r="BH205" s="28" t="n">
        <f aca="false">-BH188*Restaurantes!$D$56/60*Restaurantes!$D$57</f>
        <v>-855.661440583055</v>
      </c>
      <c r="BI205" s="28" t="n">
        <f aca="false">-BI188*Restaurantes!$D$56/60*Restaurantes!$D$57</f>
        <v>-855.661440583055</v>
      </c>
      <c r="BJ205" s="28" t="n">
        <f aca="false">-BJ188*Restaurantes!$D$56/60*Restaurantes!$D$57</f>
        <v>-855.661440583055</v>
      </c>
      <c r="BK205" s="28" t="n">
        <f aca="false">-BK188*Restaurantes!$D$56/60*Restaurantes!$D$57</f>
        <v>-855.661440583055</v>
      </c>
      <c r="BL205" s="28" t="n">
        <f aca="false">-BL188*Restaurantes!$D$56/60*Restaurantes!$D$57</f>
        <v>-855.661440583055</v>
      </c>
      <c r="BM205" s="28" t="n">
        <f aca="false">-BM188*Restaurantes!$D$56/60*Restaurantes!$D$57</f>
        <v>-855.661440583055</v>
      </c>
      <c r="BN205" s="28" t="n">
        <f aca="false">-BN188*Restaurantes!$D$56/60*Restaurantes!$D$57</f>
        <v>-855.661440583055</v>
      </c>
      <c r="BO205" s="28" t="n">
        <f aca="false">-BO188*Restaurantes!$D$56/60*Restaurantes!$D$57</f>
        <v>-128.349216087458</v>
      </c>
      <c r="BP205" s="28" t="n">
        <f aca="false">-BP188*Restaurantes!$D$56/60*Restaurantes!$D$57</f>
        <v>-855.661440583055</v>
      </c>
      <c r="BQ205" s="28" t="n">
        <f aca="false">-BQ188*Restaurantes!$D$56/60*Restaurantes!$D$57</f>
        <v>-855.661440583055</v>
      </c>
      <c r="BR205" s="28" t="n">
        <f aca="false">-BR188*Restaurantes!$D$56/60*Restaurantes!$D$57</f>
        <v>-855.661440583055</v>
      </c>
      <c r="BS205" s="28" t="n">
        <f aca="false">-BS188*Restaurantes!$D$56/60*Restaurantes!$D$57</f>
        <v>-855.661440583055</v>
      </c>
      <c r="BT205" s="28" t="n">
        <f aca="false">-BT188*Restaurantes!$D$56/60*Restaurantes!$D$57</f>
        <v>-855.661440583055</v>
      </c>
      <c r="BU205" s="28" t="n">
        <f aca="false">-BU188*Restaurantes!$D$56/60*Restaurantes!$D$57</f>
        <v>-855.661440583055</v>
      </c>
      <c r="BV205" s="28" t="n">
        <f aca="false">-BV188*Restaurantes!$D$56/60*Restaurantes!$D$57</f>
        <v>-855.661440583055</v>
      </c>
      <c r="BW205" s="28" t="n">
        <f aca="false">-BW188*Restaurantes!$D$56/60*Restaurantes!$D$57</f>
        <v>-855.661440583055</v>
      </c>
      <c r="BX205" s="28" t="n">
        <f aca="false">-BX188*Restaurantes!$D$56/60*Restaurantes!$D$57</f>
        <v>-855.661440583055</v>
      </c>
      <c r="BY205" s="28" t="n">
        <f aca="false">-BY188*Restaurantes!$D$56/60*Restaurantes!$D$57</f>
        <v>-855.661440583055</v>
      </c>
      <c r="BZ205" s="28" t="n">
        <f aca="false">-BZ188*Restaurantes!$D$56/60*Restaurantes!$D$57</f>
        <v>-855.661440583055</v>
      </c>
      <c r="CA205" s="28" t="n">
        <f aca="false">-CA188*Restaurantes!$D$56/60*Restaurantes!$D$57</f>
        <v>-128.349216087458</v>
      </c>
      <c r="CB205" s="28" t="n">
        <f aca="false">-CB188*Restaurantes!$D$56/60*Restaurantes!$D$57</f>
        <v>-855.661440583055</v>
      </c>
      <c r="CC205" s="28" t="n">
        <f aca="false">-CC188*Restaurantes!$D$56/60*Restaurantes!$D$57</f>
        <v>-855.661440583055</v>
      </c>
      <c r="CD205" s="28" t="n">
        <f aca="false">-CD188*Restaurantes!$D$56/60*Restaurantes!$D$57</f>
        <v>-855.661440583055</v>
      </c>
      <c r="CE205" s="28" t="n">
        <f aca="false">-CE188*Restaurantes!$D$56/60*Restaurantes!$D$57</f>
        <v>-855.661440583055</v>
      </c>
      <c r="CF205" s="28" t="n">
        <f aca="false">-CF188*Restaurantes!$D$56/60*Restaurantes!$D$57</f>
        <v>-855.661440583055</v>
      </c>
      <c r="CG205" s="28" t="n">
        <f aca="false">-CG188*Restaurantes!$D$56/60*Restaurantes!$D$57</f>
        <v>-855.661440583055</v>
      </c>
      <c r="CH205" s="28" t="n">
        <f aca="false">-CH188*Restaurantes!$D$56/60*Restaurantes!$D$57</f>
        <v>-855.661440583055</v>
      </c>
    </row>
    <row r="206" customFormat="false" ht="15" hidden="false" customHeight="false" outlineLevel="0" collapsed="false">
      <c r="A206" s="1" t="s">
        <v>867</v>
      </c>
      <c r="C206" s="28" t="n">
        <f aca="false">-C188*Restaurantes!$D$58</f>
        <v>-6.68485500455512</v>
      </c>
      <c r="D206" s="28" t="n">
        <f aca="false">-D188*Restaurantes!$D$58</f>
        <v>-13.3697100091102</v>
      </c>
      <c r="E206" s="28" t="n">
        <f aca="false">-E188*Restaurantes!$D$58</f>
        <v>-20.0545650136654</v>
      </c>
      <c r="F206" s="28" t="n">
        <f aca="false">-F188*Restaurantes!$D$58</f>
        <v>-26.7394200182205</v>
      </c>
      <c r="G206" s="28" t="n">
        <f aca="false">-G188*Restaurantes!$D$58</f>
        <v>-5.01364125341634</v>
      </c>
      <c r="H206" s="28" t="n">
        <f aca="false">-H188*Restaurantes!$D$58</f>
        <v>-40.1091300273307</v>
      </c>
      <c r="I206" s="28" t="n">
        <f aca="false">-I188*Restaurantes!$D$58</f>
        <v>-46.7939850318858</v>
      </c>
      <c r="J206" s="28" t="n">
        <f aca="false">-J188*Restaurantes!$D$58</f>
        <v>-53.4788400364409</v>
      </c>
      <c r="K206" s="28" t="n">
        <f aca="false">-K188*Restaurantes!$D$58</f>
        <v>-60.1636950409961</v>
      </c>
      <c r="L206" s="28" t="n">
        <f aca="false">-L188*Restaurantes!$D$58</f>
        <v>-66.8485500455512</v>
      </c>
      <c r="M206" s="28" t="n">
        <f aca="false">-M188*Restaurantes!$D$58</f>
        <v>-73.5334050501063</v>
      </c>
      <c r="N206" s="28" t="n">
        <f aca="false">-N188*Restaurantes!$D$58</f>
        <v>-80.2182600546614</v>
      </c>
      <c r="O206" s="28" t="n">
        <f aca="false">-O188*Restaurantes!$D$58</f>
        <v>-86.9031150592165</v>
      </c>
      <c r="P206" s="28" t="n">
        <f aca="false">-P188*Restaurantes!$D$58</f>
        <v>-93.5879700637717</v>
      </c>
      <c r="Q206" s="28" t="n">
        <f aca="false">-Q188*Restaurantes!$D$58</f>
        <v>-100.272825068327</v>
      </c>
      <c r="R206" s="28" t="n">
        <f aca="false">-R188*Restaurantes!$D$58</f>
        <v>-106.957680072882</v>
      </c>
      <c r="S206" s="28" t="n">
        <f aca="false">-S188*Restaurantes!$D$58</f>
        <v>-17.0463802616155</v>
      </c>
      <c r="T206" s="28" t="n">
        <f aca="false">-T188*Restaurantes!$D$58</f>
        <v>-120.327390081992</v>
      </c>
      <c r="U206" s="28" t="n">
        <f aca="false">-U188*Restaurantes!$D$58</f>
        <v>-127.012245086547</v>
      </c>
      <c r="V206" s="28" t="n">
        <f aca="false">-V188*Restaurantes!$D$58</f>
        <v>-133.697100091102</v>
      </c>
      <c r="W206" s="28" t="n">
        <f aca="false">-W188*Restaurantes!$D$58</f>
        <v>-140.381955095657</v>
      </c>
      <c r="X206" s="28" t="n">
        <f aca="false">-X188*Restaurantes!$D$58</f>
        <v>-147.066810100213</v>
      </c>
      <c r="Y206" s="28" t="n">
        <f aca="false">-Y188*Restaurantes!$D$58</f>
        <v>-153.751665104768</v>
      </c>
      <c r="Z206" s="28" t="n">
        <f aca="false">-Z188*Restaurantes!$D$58</f>
        <v>-160.436520109323</v>
      </c>
      <c r="AA206" s="28" t="n">
        <f aca="false">-AA188*Restaurantes!$D$58</f>
        <v>-160.436520109323</v>
      </c>
      <c r="AB206" s="28" t="n">
        <f aca="false">-AB188*Restaurantes!$D$58</f>
        <v>-160.436520109323</v>
      </c>
      <c r="AC206" s="28" t="n">
        <f aca="false">-AC188*Restaurantes!$D$58</f>
        <v>-160.436520109323</v>
      </c>
      <c r="AD206" s="28" t="n">
        <f aca="false">-AD188*Restaurantes!$D$58</f>
        <v>-160.436520109323</v>
      </c>
      <c r="AE206" s="28" t="n">
        <f aca="false">-AE188*Restaurantes!$D$58</f>
        <v>-24.0654780163984</v>
      </c>
      <c r="AF206" s="28" t="n">
        <f aca="false">-AF188*Restaurantes!$D$58</f>
        <v>-160.436520109323</v>
      </c>
      <c r="AG206" s="28" t="n">
        <f aca="false">-AG188*Restaurantes!$D$58</f>
        <v>-160.436520109323</v>
      </c>
      <c r="AH206" s="28" t="n">
        <f aca="false">-AH188*Restaurantes!$D$58</f>
        <v>-160.436520109323</v>
      </c>
      <c r="AI206" s="28" t="n">
        <f aca="false">-AI188*Restaurantes!$D$58</f>
        <v>-160.436520109323</v>
      </c>
      <c r="AJ206" s="28" t="n">
        <f aca="false">-AJ188*Restaurantes!$D$58</f>
        <v>-160.436520109323</v>
      </c>
      <c r="AK206" s="28" t="n">
        <f aca="false">-AK188*Restaurantes!$D$58</f>
        <v>-160.436520109323</v>
      </c>
      <c r="AL206" s="28" t="n">
        <f aca="false">-AL188*Restaurantes!$D$58</f>
        <v>-160.436520109323</v>
      </c>
      <c r="AM206" s="28" t="n">
        <f aca="false">-AM188*Restaurantes!$D$58</f>
        <v>-160.436520109323</v>
      </c>
      <c r="AN206" s="28" t="n">
        <f aca="false">-AN188*Restaurantes!$D$58</f>
        <v>-160.436520109323</v>
      </c>
      <c r="AO206" s="28" t="n">
        <f aca="false">-AO188*Restaurantes!$D$58</f>
        <v>-160.436520109323</v>
      </c>
      <c r="AP206" s="28" t="n">
        <f aca="false">-AP188*Restaurantes!$D$58</f>
        <v>-160.436520109323</v>
      </c>
      <c r="AQ206" s="28" t="n">
        <f aca="false">-AQ188*Restaurantes!$D$58</f>
        <v>-24.0654780163984</v>
      </c>
      <c r="AR206" s="28" t="n">
        <f aca="false">-AR188*Restaurantes!$D$58</f>
        <v>-160.436520109323</v>
      </c>
      <c r="AS206" s="28" t="n">
        <f aca="false">-AS188*Restaurantes!$D$58</f>
        <v>-160.436520109323</v>
      </c>
      <c r="AT206" s="28" t="n">
        <f aca="false">-AT188*Restaurantes!$D$58</f>
        <v>-160.436520109323</v>
      </c>
      <c r="AU206" s="28" t="n">
        <f aca="false">-AU188*Restaurantes!$D$58</f>
        <v>-160.436520109323</v>
      </c>
      <c r="AV206" s="28" t="n">
        <f aca="false">-AV188*Restaurantes!$D$58</f>
        <v>-160.436520109323</v>
      </c>
      <c r="AW206" s="28" t="n">
        <f aca="false">-AW188*Restaurantes!$D$58</f>
        <v>-160.436520109323</v>
      </c>
      <c r="AX206" s="28" t="n">
        <f aca="false">-AX188*Restaurantes!$D$58</f>
        <v>-160.436520109323</v>
      </c>
      <c r="AY206" s="28" t="n">
        <f aca="false">-AY188*Restaurantes!$D$58</f>
        <v>-160.436520109323</v>
      </c>
      <c r="AZ206" s="28" t="n">
        <f aca="false">-AZ188*Restaurantes!$D$58</f>
        <v>-160.436520109323</v>
      </c>
      <c r="BA206" s="28" t="n">
        <f aca="false">-BA188*Restaurantes!$D$58</f>
        <v>-160.436520109323</v>
      </c>
      <c r="BB206" s="28" t="n">
        <f aca="false">-BB188*Restaurantes!$D$58</f>
        <v>-160.436520109323</v>
      </c>
      <c r="BC206" s="28" t="n">
        <f aca="false">-BC188*Restaurantes!$D$58</f>
        <v>-24.0654780163984</v>
      </c>
      <c r="BD206" s="28" t="n">
        <f aca="false">-BD188*Restaurantes!$D$58</f>
        <v>-160.436520109323</v>
      </c>
      <c r="BE206" s="28" t="n">
        <f aca="false">-BE188*Restaurantes!$D$58</f>
        <v>-160.436520109323</v>
      </c>
      <c r="BF206" s="28" t="n">
        <f aca="false">-BF188*Restaurantes!$D$58</f>
        <v>-160.436520109323</v>
      </c>
      <c r="BG206" s="28" t="n">
        <f aca="false">-BG188*Restaurantes!$D$58</f>
        <v>-160.436520109323</v>
      </c>
      <c r="BH206" s="28" t="n">
        <f aca="false">-BH188*Restaurantes!$D$58</f>
        <v>-160.436520109323</v>
      </c>
      <c r="BI206" s="28" t="n">
        <f aca="false">-BI188*Restaurantes!$D$58</f>
        <v>-160.436520109323</v>
      </c>
      <c r="BJ206" s="28" t="n">
        <f aca="false">-BJ188*Restaurantes!$D$58</f>
        <v>-160.436520109323</v>
      </c>
      <c r="BK206" s="28" t="n">
        <f aca="false">-BK188*Restaurantes!$D$58</f>
        <v>-160.436520109323</v>
      </c>
      <c r="BL206" s="28" t="n">
        <f aca="false">-BL188*Restaurantes!$D$58</f>
        <v>-160.436520109323</v>
      </c>
      <c r="BM206" s="28" t="n">
        <f aca="false">-BM188*Restaurantes!$D$58</f>
        <v>-160.436520109323</v>
      </c>
      <c r="BN206" s="28" t="n">
        <f aca="false">-BN188*Restaurantes!$D$58</f>
        <v>-160.436520109323</v>
      </c>
      <c r="BO206" s="28" t="n">
        <f aca="false">-BO188*Restaurantes!$D$58</f>
        <v>-24.0654780163984</v>
      </c>
      <c r="BP206" s="28" t="n">
        <f aca="false">-BP188*Restaurantes!$D$58</f>
        <v>-160.436520109323</v>
      </c>
      <c r="BQ206" s="28" t="n">
        <f aca="false">-BQ188*Restaurantes!$D$58</f>
        <v>-160.436520109323</v>
      </c>
      <c r="BR206" s="28" t="n">
        <f aca="false">-BR188*Restaurantes!$D$58</f>
        <v>-160.436520109323</v>
      </c>
      <c r="BS206" s="28" t="n">
        <f aca="false">-BS188*Restaurantes!$D$58</f>
        <v>-160.436520109323</v>
      </c>
      <c r="BT206" s="28" t="n">
        <f aca="false">-BT188*Restaurantes!$D$58</f>
        <v>-160.436520109323</v>
      </c>
      <c r="BU206" s="28" t="n">
        <f aca="false">-BU188*Restaurantes!$D$58</f>
        <v>-160.436520109323</v>
      </c>
      <c r="BV206" s="28" t="n">
        <f aca="false">-BV188*Restaurantes!$D$58</f>
        <v>-160.436520109323</v>
      </c>
      <c r="BW206" s="28" t="n">
        <f aca="false">-BW188*Restaurantes!$D$58</f>
        <v>-160.436520109323</v>
      </c>
      <c r="BX206" s="28" t="n">
        <f aca="false">-BX188*Restaurantes!$D$58</f>
        <v>-160.436520109323</v>
      </c>
      <c r="BY206" s="28" t="n">
        <f aca="false">-BY188*Restaurantes!$D$58</f>
        <v>-160.436520109323</v>
      </c>
      <c r="BZ206" s="28" t="n">
        <f aca="false">-BZ188*Restaurantes!$D$58</f>
        <v>-160.436520109323</v>
      </c>
      <c r="CA206" s="28" t="n">
        <f aca="false">-CA188*Restaurantes!$D$58</f>
        <v>-24.0654780163984</v>
      </c>
      <c r="CB206" s="28" t="n">
        <f aca="false">-CB188*Restaurantes!$D$58</f>
        <v>-160.436520109323</v>
      </c>
      <c r="CC206" s="28" t="n">
        <f aca="false">-CC188*Restaurantes!$D$58</f>
        <v>-160.436520109323</v>
      </c>
      <c r="CD206" s="28" t="n">
        <f aca="false">-CD188*Restaurantes!$D$58</f>
        <v>-160.436520109323</v>
      </c>
      <c r="CE206" s="28" t="n">
        <f aca="false">-CE188*Restaurantes!$D$58</f>
        <v>-160.436520109323</v>
      </c>
      <c r="CF206" s="28" t="n">
        <f aca="false">-CF188*Restaurantes!$D$58</f>
        <v>-160.436520109323</v>
      </c>
      <c r="CG206" s="28" t="n">
        <f aca="false">-CG188*Restaurantes!$D$58</f>
        <v>-160.436520109323</v>
      </c>
      <c r="CH206" s="28" t="n">
        <f aca="false">-CH188*Restaurantes!$D$58</f>
        <v>-160.436520109323</v>
      </c>
    </row>
    <row r="207" customFormat="false" ht="15" hidden="false" customHeight="false" outlineLevel="0" collapsed="false">
      <c r="A207" s="25" t="s">
        <v>868</v>
      </c>
      <c r="C207" s="156" t="n">
        <f aca="false">SUM(C202:C206)</f>
        <v>-1983.41241502885</v>
      </c>
      <c r="D207" s="156" t="n">
        <f aca="false">SUM(D202:D206)</f>
        <v>-2025.7498300577</v>
      </c>
      <c r="E207" s="156" t="n">
        <f aca="false">SUM(E202:E206)</f>
        <v>-2068.08724508655</v>
      </c>
      <c r="F207" s="156" t="n">
        <f aca="false">SUM(F202:F206)</f>
        <v>-2110.4246601154</v>
      </c>
      <c r="G207" s="156" t="n">
        <f aca="false">SUM(G202:G206)</f>
        <v>-1972.82806127164</v>
      </c>
      <c r="H207" s="156" t="n">
        <f aca="false">SUM(H202:H206)</f>
        <v>-2195.09949017309</v>
      </c>
      <c r="I207" s="156" t="n">
        <f aca="false">SUM(I202:I206)</f>
        <v>-2237.43690520194</v>
      </c>
      <c r="J207" s="156" t="n">
        <f aca="false">SUM(J202:J206)</f>
        <v>-2294.68997792894</v>
      </c>
      <c r="K207" s="156" t="n">
        <f aca="false">SUM(K202:K206)</f>
        <v>-2438.89185017006</v>
      </c>
      <c r="L207" s="156" t="n">
        <f aca="false">SUM(L202:L206)</f>
        <v>-2583.09372241118</v>
      </c>
      <c r="M207" s="156" t="n">
        <f aca="false">SUM(M202:M206)</f>
        <v>-2727.29559465229</v>
      </c>
      <c r="N207" s="156" t="n">
        <f aca="false">SUM(N202:N206)</f>
        <v>-2871.49746689341</v>
      </c>
      <c r="O207" s="156" t="n">
        <f aca="false">SUM(O202:O206)</f>
        <v>-3015.69933913453</v>
      </c>
      <c r="P207" s="156" t="n">
        <f aca="false">SUM(P202:P206)</f>
        <v>-3159.90121137565</v>
      </c>
      <c r="Q207" s="156" t="n">
        <f aca="false">SUM(Q202:Q206)</f>
        <v>-3304.10308361676</v>
      </c>
      <c r="R207" s="156" t="n">
        <f aca="false">SUM(R202:R206)</f>
        <v>-3448.30495585788</v>
      </c>
      <c r="S207" s="156" t="n">
        <f aca="false">SUM(S202:S206)</f>
        <v>-2049.03540832357</v>
      </c>
      <c r="T207" s="156" t="n">
        <f aca="false">SUM(T202:T206)</f>
        <v>-3736.70870034012</v>
      </c>
      <c r="U207" s="156" t="n">
        <f aca="false">SUM(U202:U206)</f>
        <v>-3880.91057258123</v>
      </c>
      <c r="V207" s="156" t="n">
        <f aca="false">SUM(V202:V206)</f>
        <v>-4025.11244482235</v>
      </c>
      <c r="W207" s="156" t="n">
        <f aca="false">SUM(W202:W206)</f>
        <v>-4169.31431706347</v>
      </c>
      <c r="X207" s="156" t="n">
        <f aca="false">SUM(X202:X206)</f>
        <v>-4313.51618930459</v>
      </c>
      <c r="Y207" s="156" t="n">
        <f aca="false">SUM(Y202:Y206)</f>
        <v>-4457.7180615457</v>
      </c>
      <c r="Z207" s="156" t="n">
        <f aca="false">SUM(Z202:Z206)</f>
        <v>-4601.91993378682</v>
      </c>
      <c r="AA207" s="156" t="n">
        <f aca="false">SUM(AA202:AA206)</f>
        <v>-4601.91993378682</v>
      </c>
      <c r="AB207" s="156" t="n">
        <f aca="false">SUM(AB202:AB206)</f>
        <v>-4601.91993378682</v>
      </c>
      <c r="AC207" s="156" t="n">
        <f aca="false">SUM(AC202:AC206)</f>
        <v>-4601.91993378682</v>
      </c>
      <c r="AD207" s="156" t="n">
        <f aca="false">SUM(AD202:AD206)</f>
        <v>-4601.91993378682</v>
      </c>
      <c r="AE207" s="156" t="n">
        <f aca="false">SUM(AE202:AE206)</f>
        <v>-2093.48969410386</v>
      </c>
      <c r="AF207" s="156" t="n">
        <f aca="false">SUM(AF202:AF206)</f>
        <v>-4601.91993378682</v>
      </c>
      <c r="AG207" s="156" t="n">
        <f aca="false">SUM(AG202:AG206)</f>
        <v>-4601.91993378682</v>
      </c>
      <c r="AH207" s="156" t="n">
        <f aca="false">SUM(AH202:AH206)</f>
        <v>-4601.91993378682</v>
      </c>
      <c r="AI207" s="156" t="n">
        <f aca="false">SUM(AI202:AI206)</f>
        <v>-4601.91993378682</v>
      </c>
      <c r="AJ207" s="156" t="n">
        <f aca="false">SUM(AJ202:AJ206)</f>
        <v>-4601.91993378682</v>
      </c>
      <c r="AK207" s="156" t="n">
        <f aca="false">SUM(AK202:AK206)</f>
        <v>-4601.91993378682</v>
      </c>
      <c r="AL207" s="156" t="n">
        <f aca="false">SUM(AL202:AL206)</f>
        <v>-4601.91993378682</v>
      </c>
      <c r="AM207" s="156" t="n">
        <f aca="false">SUM(AM202:AM206)</f>
        <v>-4601.91993378682</v>
      </c>
      <c r="AN207" s="156" t="n">
        <f aca="false">SUM(AN202:AN206)</f>
        <v>-4601.91993378682</v>
      </c>
      <c r="AO207" s="156" t="n">
        <f aca="false">SUM(AO202:AO206)</f>
        <v>-4601.91993378682</v>
      </c>
      <c r="AP207" s="156" t="n">
        <f aca="false">SUM(AP202:AP206)</f>
        <v>-4601.91993378682</v>
      </c>
      <c r="AQ207" s="156" t="n">
        <f aca="false">SUM(AQ202:AQ206)</f>
        <v>-2093.48969410386</v>
      </c>
      <c r="AR207" s="156" t="n">
        <f aca="false">SUM(AR202:AR206)</f>
        <v>-4601.91993378682</v>
      </c>
      <c r="AS207" s="156" t="n">
        <f aca="false">SUM(AS202:AS206)</f>
        <v>-4601.91993378682</v>
      </c>
      <c r="AT207" s="156" t="n">
        <f aca="false">SUM(AT202:AT206)</f>
        <v>-4601.91993378682</v>
      </c>
      <c r="AU207" s="156" t="n">
        <f aca="false">SUM(AU202:AU206)</f>
        <v>-4601.91993378682</v>
      </c>
      <c r="AV207" s="156" t="n">
        <f aca="false">SUM(AV202:AV206)</f>
        <v>-4601.91993378682</v>
      </c>
      <c r="AW207" s="156" t="n">
        <f aca="false">SUM(AW202:AW206)</f>
        <v>-4601.91993378682</v>
      </c>
      <c r="AX207" s="156" t="n">
        <f aca="false">SUM(AX202:AX206)</f>
        <v>-4601.91993378682</v>
      </c>
      <c r="AY207" s="156" t="n">
        <f aca="false">SUM(AY202:AY206)</f>
        <v>-4601.91993378682</v>
      </c>
      <c r="AZ207" s="156" t="n">
        <f aca="false">SUM(AZ202:AZ206)</f>
        <v>-4601.91993378682</v>
      </c>
      <c r="BA207" s="156" t="n">
        <f aca="false">SUM(BA202:BA206)</f>
        <v>-4601.91993378682</v>
      </c>
      <c r="BB207" s="156" t="n">
        <f aca="false">SUM(BB202:BB206)</f>
        <v>-4601.91993378682</v>
      </c>
      <c r="BC207" s="156" t="n">
        <f aca="false">SUM(BC202:BC206)</f>
        <v>-2093.48969410386</v>
      </c>
      <c r="BD207" s="156" t="n">
        <f aca="false">SUM(BD202:BD206)</f>
        <v>-4601.91993378682</v>
      </c>
      <c r="BE207" s="156" t="n">
        <f aca="false">SUM(BE202:BE206)</f>
        <v>-4601.91993378682</v>
      </c>
      <c r="BF207" s="156" t="n">
        <f aca="false">SUM(BF202:BF206)</f>
        <v>-4601.91993378682</v>
      </c>
      <c r="BG207" s="156" t="n">
        <f aca="false">SUM(BG202:BG206)</f>
        <v>-4601.91993378682</v>
      </c>
      <c r="BH207" s="156" t="n">
        <f aca="false">SUM(BH202:BH206)</f>
        <v>-4601.91993378682</v>
      </c>
      <c r="BI207" s="156" t="n">
        <f aca="false">SUM(BI202:BI206)</f>
        <v>-4601.91993378682</v>
      </c>
      <c r="BJ207" s="156" t="n">
        <f aca="false">SUM(BJ202:BJ206)</f>
        <v>-4601.91993378682</v>
      </c>
      <c r="BK207" s="156" t="n">
        <f aca="false">SUM(BK202:BK206)</f>
        <v>-4601.91993378682</v>
      </c>
      <c r="BL207" s="156" t="n">
        <f aca="false">SUM(BL202:BL206)</f>
        <v>-4601.91993378682</v>
      </c>
      <c r="BM207" s="156" t="n">
        <f aca="false">SUM(BM202:BM206)</f>
        <v>-4601.91993378682</v>
      </c>
      <c r="BN207" s="156" t="n">
        <f aca="false">SUM(BN202:BN206)</f>
        <v>-4601.91993378682</v>
      </c>
      <c r="BO207" s="156" t="n">
        <f aca="false">SUM(BO202:BO206)</f>
        <v>-2093.48969410386</v>
      </c>
      <c r="BP207" s="156" t="n">
        <f aca="false">SUM(BP202:BP206)</f>
        <v>-4601.91993378682</v>
      </c>
      <c r="BQ207" s="156" t="n">
        <f aca="false">SUM(BQ202:BQ206)</f>
        <v>-4601.91993378682</v>
      </c>
      <c r="BR207" s="156" t="n">
        <f aca="false">SUM(BR202:BR206)</f>
        <v>-4601.91993378682</v>
      </c>
      <c r="BS207" s="156" t="n">
        <f aca="false">SUM(BS202:BS206)</f>
        <v>-4601.91993378682</v>
      </c>
      <c r="BT207" s="156" t="n">
        <f aca="false">SUM(BT202:BT206)</f>
        <v>-4601.91993378682</v>
      </c>
      <c r="BU207" s="156" t="n">
        <f aca="false">SUM(BU202:BU206)</f>
        <v>-4601.91993378682</v>
      </c>
      <c r="BV207" s="156" t="n">
        <f aca="false">SUM(BV202:BV206)</f>
        <v>-4601.91993378682</v>
      </c>
      <c r="BW207" s="156" t="n">
        <f aca="false">SUM(BW202:BW206)</f>
        <v>-4601.91993378682</v>
      </c>
      <c r="BX207" s="156" t="n">
        <f aca="false">SUM(BX202:BX206)</f>
        <v>-4601.91993378682</v>
      </c>
      <c r="BY207" s="156" t="n">
        <f aca="false">SUM(BY202:BY206)</f>
        <v>-4601.91993378682</v>
      </c>
      <c r="BZ207" s="156" t="n">
        <f aca="false">SUM(BZ202:BZ206)</f>
        <v>-4601.91993378682</v>
      </c>
      <c r="CA207" s="156" t="n">
        <f aca="false">SUM(CA202:CA206)</f>
        <v>-2093.48969410386</v>
      </c>
      <c r="CB207" s="156" t="n">
        <f aca="false">SUM(CB202:CB206)</f>
        <v>-4601.91993378682</v>
      </c>
      <c r="CC207" s="156" t="n">
        <f aca="false">SUM(CC202:CC206)</f>
        <v>-4601.91993378682</v>
      </c>
      <c r="CD207" s="156" t="n">
        <f aca="false">SUM(CD202:CD206)</f>
        <v>-4601.91993378682</v>
      </c>
      <c r="CE207" s="156" t="n">
        <f aca="false">SUM(CE202:CE206)</f>
        <v>-4601.91993378682</v>
      </c>
      <c r="CF207" s="156" t="n">
        <f aca="false">SUM(CF202:CF206)</f>
        <v>-4601.91993378682</v>
      </c>
      <c r="CG207" s="156" t="n">
        <f aca="false">SUM(CG202:CG206)</f>
        <v>-4601.91993378682</v>
      </c>
      <c r="CH207" s="156" t="n">
        <f aca="false">SUM(CH202:CH206)</f>
        <v>-4601.91993378682</v>
      </c>
    </row>
    <row r="208" customFormat="false" ht="15" hidden="false" customHeight="false" outlineLevel="0" collapsed="false">
      <c r="A208" s="1" t="s">
        <v>869</v>
      </c>
      <c r="C208" s="29" t="n">
        <f aca="false">IFERROR(-C207/C188,0)</f>
        <v>44.5053575659607</v>
      </c>
      <c r="D208" s="29" t="n">
        <f aca="false">IFERROR(-D207/D188,0)</f>
        <v>22.7276787829803</v>
      </c>
      <c r="E208" s="29" t="n">
        <f aca="false">IFERROR(-E207/E188,0)</f>
        <v>15.4684525219869</v>
      </c>
      <c r="F208" s="29" t="n">
        <f aca="false">IFERROR(-F207/F188,0)</f>
        <v>11.8388393914902</v>
      </c>
      <c r="G208" s="29" t="n">
        <f aca="false">IFERROR(-G207/G188,0)</f>
        <v>59.0238100879476</v>
      </c>
      <c r="H208" s="29" t="n">
        <f aca="false">IFERROR(-H207/H188,0)</f>
        <v>8.20922626099345</v>
      </c>
      <c r="I208" s="29" t="n">
        <f aca="false">IFERROR(-I207/I188,0)</f>
        <v>7.17219393799439</v>
      </c>
      <c r="J208" s="29" t="n">
        <f aca="false">IFERROR(-J207/J188,0)</f>
        <v>6.43625584352237</v>
      </c>
      <c r="K208" s="29" t="n">
        <f aca="false">IFERROR(-K207/K188,0)</f>
        <v>6.08064011487703</v>
      </c>
      <c r="L208" s="29" t="n">
        <f aca="false">IFERROR(-L207/L188,0)</f>
        <v>5.79614753196075</v>
      </c>
      <c r="M208" s="29" t="n">
        <f aca="false">IFERROR(-M207/M188,0)</f>
        <v>5.56338087321107</v>
      </c>
      <c r="N208" s="29" t="n">
        <f aca="false">IFERROR(-N207/N188,0)</f>
        <v>5.36940865758634</v>
      </c>
      <c r="O208" s="29" t="n">
        <f aca="false">IFERROR(-O207/O188,0)</f>
        <v>5.20527832128849</v>
      </c>
      <c r="P208" s="29" t="n">
        <f aca="false">IFERROR(-P207/P188,0)</f>
        <v>5.06459517589033</v>
      </c>
      <c r="Q208" s="29" t="n">
        <f aca="false">IFERROR(-Q207/Q188,0)</f>
        <v>4.94266978321193</v>
      </c>
      <c r="R208" s="29" t="n">
        <f aca="false">IFERROR(-R207/R188,0)</f>
        <v>4.83598506461833</v>
      </c>
      <c r="S208" s="29" t="n">
        <f aca="false">IFERROR(-S207/S188,0)</f>
        <v>18.0305323788081</v>
      </c>
      <c r="T208" s="29" t="n">
        <f aca="false">IFERROR(-T207/T188,0)</f>
        <v>4.65817720029566</v>
      </c>
      <c r="U208" s="29" t="n">
        <f aca="false">IFERROR(-U207/U188,0)</f>
        <v>4.58331073110716</v>
      </c>
      <c r="V208" s="29" t="n">
        <f aca="false">IFERROR(-V207/V188,0)</f>
        <v>4.51593090883752</v>
      </c>
      <c r="W208" s="29" t="n">
        <f aca="false">IFERROR(-W207/W188,0)</f>
        <v>4.45496821249832</v>
      </c>
      <c r="X208" s="29" t="n">
        <f aca="false">IFERROR(-X207/X188,0)</f>
        <v>4.39954757946268</v>
      </c>
      <c r="Y208" s="29" t="n">
        <f aca="false">IFERROR(-Y207/Y188,0)</f>
        <v>4.3489461319084</v>
      </c>
      <c r="Z208" s="29" t="n">
        <f aca="false">IFERROR(-Z207/Z188,0)</f>
        <v>4.30256147165031</v>
      </c>
      <c r="AA208" s="29" t="n">
        <f aca="false">IFERROR(-AA207/AA188,0)</f>
        <v>4.30256147165031</v>
      </c>
      <c r="AB208" s="29" t="n">
        <f aca="false">IFERROR(-AB207/AB188,0)</f>
        <v>4.30256147165031</v>
      </c>
      <c r="AC208" s="29" t="n">
        <f aca="false">IFERROR(-AC207/AC188,0)</f>
        <v>4.30256147165031</v>
      </c>
      <c r="AD208" s="29" t="n">
        <f aca="false">IFERROR(-AD207/AD188,0)</f>
        <v>4.30256147165031</v>
      </c>
      <c r="AE208" s="29" t="n">
        <f aca="false">IFERROR(-AE207/AE188,0)</f>
        <v>13.0487104349891</v>
      </c>
      <c r="AF208" s="29" t="n">
        <f aca="false">IFERROR(-AF207/AF188,0)</f>
        <v>4.30256147165031</v>
      </c>
      <c r="AG208" s="29" t="n">
        <f aca="false">IFERROR(-AG207/AG188,0)</f>
        <v>4.30256147165031</v>
      </c>
      <c r="AH208" s="29" t="n">
        <f aca="false">IFERROR(-AH207/AH188,0)</f>
        <v>4.30256147165031</v>
      </c>
      <c r="AI208" s="29" t="n">
        <f aca="false">IFERROR(-AI207/AI188,0)</f>
        <v>4.30256147165031</v>
      </c>
      <c r="AJ208" s="29" t="n">
        <f aca="false">IFERROR(-AJ207/AJ188,0)</f>
        <v>4.30256147165031</v>
      </c>
      <c r="AK208" s="29" t="n">
        <f aca="false">IFERROR(-AK207/AK188,0)</f>
        <v>4.30256147165031</v>
      </c>
      <c r="AL208" s="29" t="n">
        <f aca="false">IFERROR(-AL207/AL188,0)</f>
        <v>4.30256147165031</v>
      </c>
      <c r="AM208" s="29" t="n">
        <f aca="false">IFERROR(-AM207/AM188,0)</f>
        <v>4.30256147165031</v>
      </c>
      <c r="AN208" s="29" t="n">
        <f aca="false">IFERROR(-AN207/AN188,0)</f>
        <v>4.30256147165031</v>
      </c>
      <c r="AO208" s="29" t="n">
        <f aca="false">IFERROR(-AO207/AO188,0)</f>
        <v>4.30256147165031</v>
      </c>
      <c r="AP208" s="29" t="n">
        <f aca="false">IFERROR(-AP207/AP188,0)</f>
        <v>4.30256147165031</v>
      </c>
      <c r="AQ208" s="29" t="n">
        <f aca="false">IFERROR(-AQ207/AQ188,0)</f>
        <v>13.0487104349891</v>
      </c>
      <c r="AR208" s="29" t="n">
        <f aca="false">IFERROR(-AR207/AR188,0)</f>
        <v>4.30256147165031</v>
      </c>
      <c r="AS208" s="29" t="n">
        <f aca="false">IFERROR(-AS207/AS188,0)</f>
        <v>4.30256147165031</v>
      </c>
      <c r="AT208" s="29" t="n">
        <f aca="false">IFERROR(-AT207/AT188,0)</f>
        <v>4.30256147165031</v>
      </c>
      <c r="AU208" s="29" t="n">
        <f aca="false">IFERROR(-AU207/AU188,0)</f>
        <v>4.30256147165031</v>
      </c>
      <c r="AV208" s="29" t="n">
        <f aca="false">IFERROR(-AV207/AV188,0)</f>
        <v>4.30256147165031</v>
      </c>
      <c r="AW208" s="29" t="n">
        <f aca="false">IFERROR(-AW207/AW188,0)</f>
        <v>4.30256147165031</v>
      </c>
      <c r="AX208" s="29" t="n">
        <f aca="false">IFERROR(-AX207/AX188,0)</f>
        <v>4.30256147165031</v>
      </c>
      <c r="AY208" s="29" t="n">
        <f aca="false">IFERROR(-AY207/AY188,0)</f>
        <v>4.30256147165031</v>
      </c>
      <c r="AZ208" s="29" t="n">
        <f aca="false">IFERROR(-AZ207/AZ188,0)</f>
        <v>4.30256147165031</v>
      </c>
      <c r="BA208" s="29" t="n">
        <f aca="false">IFERROR(-BA207/BA188,0)</f>
        <v>4.30256147165031</v>
      </c>
      <c r="BB208" s="29" t="n">
        <f aca="false">IFERROR(-BB207/BB188,0)</f>
        <v>4.30256147165031</v>
      </c>
      <c r="BC208" s="29" t="n">
        <f aca="false">IFERROR(-BC207/BC188,0)</f>
        <v>13.0487104349891</v>
      </c>
      <c r="BD208" s="29" t="n">
        <f aca="false">IFERROR(-BD207/BD188,0)</f>
        <v>4.30256147165031</v>
      </c>
      <c r="BE208" s="29" t="n">
        <f aca="false">IFERROR(-BE207/BE188,0)</f>
        <v>4.30256147165031</v>
      </c>
      <c r="BF208" s="29" t="n">
        <f aca="false">IFERROR(-BF207/BF188,0)</f>
        <v>4.30256147165031</v>
      </c>
      <c r="BG208" s="29" t="n">
        <f aca="false">IFERROR(-BG207/BG188,0)</f>
        <v>4.30256147165031</v>
      </c>
      <c r="BH208" s="29" t="n">
        <f aca="false">IFERROR(-BH207/BH188,0)</f>
        <v>4.30256147165031</v>
      </c>
      <c r="BI208" s="29" t="n">
        <f aca="false">IFERROR(-BI207/BI188,0)</f>
        <v>4.30256147165031</v>
      </c>
      <c r="BJ208" s="29" t="n">
        <f aca="false">IFERROR(-BJ207/BJ188,0)</f>
        <v>4.30256147165031</v>
      </c>
      <c r="BK208" s="29" t="n">
        <f aca="false">IFERROR(-BK207/BK188,0)</f>
        <v>4.30256147165031</v>
      </c>
      <c r="BL208" s="29" t="n">
        <f aca="false">IFERROR(-BL207/BL188,0)</f>
        <v>4.30256147165031</v>
      </c>
      <c r="BM208" s="29" t="n">
        <f aca="false">IFERROR(-BM207/BM188,0)</f>
        <v>4.30256147165031</v>
      </c>
      <c r="BN208" s="29" t="n">
        <f aca="false">IFERROR(-BN207/BN188,0)</f>
        <v>4.30256147165031</v>
      </c>
      <c r="BO208" s="29" t="n">
        <f aca="false">IFERROR(-BO207/BO188,0)</f>
        <v>13.0487104349891</v>
      </c>
      <c r="BP208" s="29" t="n">
        <f aca="false">IFERROR(-BP207/BP188,0)</f>
        <v>4.30256147165031</v>
      </c>
      <c r="BQ208" s="29" t="n">
        <f aca="false">IFERROR(-BQ207/BQ188,0)</f>
        <v>4.30256147165031</v>
      </c>
      <c r="BR208" s="29" t="n">
        <f aca="false">IFERROR(-BR207/BR188,0)</f>
        <v>4.30256147165031</v>
      </c>
      <c r="BS208" s="29" t="n">
        <f aca="false">IFERROR(-BS207/BS188,0)</f>
        <v>4.30256147165031</v>
      </c>
      <c r="BT208" s="29" t="n">
        <f aca="false">IFERROR(-BT207/BT188,0)</f>
        <v>4.30256147165031</v>
      </c>
      <c r="BU208" s="29" t="n">
        <f aca="false">IFERROR(-BU207/BU188,0)</f>
        <v>4.30256147165031</v>
      </c>
      <c r="BV208" s="29" t="n">
        <f aca="false">IFERROR(-BV207/BV188,0)</f>
        <v>4.30256147165031</v>
      </c>
      <c r="BW208" s="29" t="n">
        <f aca="false">IFERROR(-BW207/BW188,0)</f>
        <v>4.30256147165031</v>
      </c>
      <c r="BX208" s="29" t="n">
        <f aca="false">IFERROR(-BX207/BX188,0)</f>
        <v>4.30256147165031</v>
      </c>
      <c r="BY208" s="29" t="n">
        <f aca="false">IFERROR(-BY207/BY188,0)</f>
        <v>4.30256147165031</v>
      </c>
      <c r="BZ208" s="29" t="n">
        <f aca="false">IFERROR(-BZ207/BZ188,0)</f>
        <v>4.30256147165031</v>
      </c>
      <c r="CA208" s="29" t="n">
        <f aca="false">IFERROR(-CA207/CA188,0)</f>
        <v>13.0487104349891</v>
      </c>
      <c r="CB208" s="29" t="n">
        <f aca="false">IFERROR(-CB207/CB188,0)</f>
        <v>4.30256147165031</v>
      </c>
      <c r="CC208" s="29" t="n">
        <f aca="false">IFERROR(-CC207/CC188,0)</f>
        <v>4.30256147165031</v>
      </c>
      <c r="CD208" s="29" t="n">
        <f aca="false">IFERROR(-CD207/CD188,0)</f>
        <v>4.30256147165031</v>
      </c>
      <c r="CE208" s="29" t="n">
        <f aca="false">IFERROR(-CE207/CE188,0)</f>
        <v>4.30256147165031</v>
      </c>
      <c r="CF208" s="29" t="n">
        <f aca="false">IFERROR(-CF207/CF188,0)</f>
        <v>4.30256147165031</v>
      </c>
      <c r="CG208" s="29" t="n">
        <f aca="false">IFERROR(-CG207/CG188,0)</f>
        <v>4.30256147165031</v>
      </c>
      <c r="CH208" s="29" t="n">
        <f aca="false">IFERROR(-CH207/CH188,0)</f>
        <v>4.30256147165031</v>
      </c>
    </row>
    <row r="209" customFormat="false" ht="15" hidden="false" customHeight="false" outlineLevel="0" collapsed="false">
      <c r="A209" s="1" t="s">
        <v>870</v>
      </c>
      <c r="C209" s="28" t="n">
        <f aca="false">-C197*Restaurantes!$D$61</f>
        <v>-205.101841033907</v>
      </c>
      <c r="D209" s="28" t="n">
        <f aca="false">-D197*Restaurantes!$D$61</f>
        <v>-208.178368649415</v>
      </c>
      <c r="E209" s="28" t="n">
        <f aca="false">-E197*Restaurantes!$D$61</f>
        <v>-211.254896264924</v>
      </c>
      <c r="F209" s="28" t="n">
        <f aca="false">-F197*Restaurantes!$D$61</f>
        <v>-214.331423880433</v>
      </c>
      <c r="G209" s="28" t="n">
        <f aca="false">-G197*Restaurantes!$D$61</f>
        <v>-217.407951495941</v>
      </c>
      <c r="H209" s="28" t="n">
        <f aca="false">-H197*Restaurantes!$D$61</f>
        <v>-220.48447911145</v>
      </c>
      <c r="I209" s="28" t="n">
        <f aca="false">-I197*Restaurantes!$D$61</f>
        <v>-223.561006726958</v>
      </c>
      <c r="J209" s="28" t="n">
        <f aca="false">-J197*Restaurantes!$D$61</f>
        <v>-226.637534342467</v>
      </c>
      <c r="K209" s="28" t="n">
        <f aca="false">-K197*Restaurantes!$D$61</f>
        <v>-229.714061957975</v>
      </c>
      <c r="L209" s="28" t="n">
        <f aca="false">-L197*Restaurantes!$D$61</f>
        <v>-232.790589573484</v>
      </c>
      <c r="M209" s="28" t="n">
        <f aca="false">-M197*Restaurantes!$D$61</f>
        <v>-235.867117188992</v>
      </c>
      <c r="N209" s="28" t="n">
        <f aca="false">-N197*Restaurantes!$D$61</f>
        <v>-238.943644804502</v>
      </c>
      <c r="O209" s="28" t="n">
        <f aca="false">-O197*Restaurantes!$D$61</f>
        <v>-242.02017242001</v>
      </c>
      <c r="P209" s="28" t="n">
        <f aca="false">-P197*Restaurantes!$D$61</f>
        <v>-245.096700035518</v>
      </c>
      <c r="Q209" s="28" t="n">
        <f aca="false">-Q197*Restaurantes!$D$61</f>
        <v>-248.173227651027</v>
      </c>
      <c r="R209" s="28" t="n">
        <f aca="false">-R197*Restaurantes!$D$61</f>
        <v>-251.249755266536</v>
      </c>
      <c r="S209" s="28" t="n">
        <f aca="false">-S197*Restaurantes!$D$61</f>
        <v>-254.326282882044</v>
      </c>
      <c r="T209" s="28" t="n">
        <f aca="false">-T197*Restaurantes!$D$61</f>
        <v>-257.402810497553</v>
      </c>
      <c r="U209" s="28" t="n">
        <f aca="false">-U197*Restaurantes!$D$61</f>
        <v>-260.479338113062</v>
      </c>
      <c r="V209" s="28" t="n">
        <f aca="false">-V197*Restaurantes!$D$61</f>
        <v>-263.55586572857</v>
      </c>
      <c r="W209" s="28" t="n">
        <f aca="false">-W197*Restaurantes!$D$61</f>
        <v>-266.632393344079</v>
      </c>
      <c r="X209" s="28" t="n">
        <f aca="false">-X197*Restaurantes!$D$61</f>
        <v>-269.708920959587</v>
      </c>
      <c r="Y209" s="28" t="n">
        <f aca="false">-Y197*Restaurantes!$D$61</f>
        <v>-272.785448575097</v>
      </c>
      <c r="Z209" s="28" t="n">
        <f aca="false">-Z197*Restaurantes!$D$61</f>
        <v>-275.861976190604</v>
      </c>
      <c r="AA209" s="28" t="n">
        <f aca="false">-AA197*Restaurantes!$D$61</f>
        <v>-73.8366627722064</v>
      </c>
      <c r="AB209" s="28" t="n">
        <f aca="false">-AB197*Restaurantes!$D$61</f>
        <v>-73.8366627722064</v>
      </c>
      <c r="AC209" s="28" t="n">
        <f aca="false">-AC197*Restaurantes!$D$61</f>
        <v>-73.8366627722064</v>
      </c>
      <c r="AD209" s="28" t="n">
        <f aca="false">-AD197*Restaurantes!$D$61</f>
        <v>-73.8366627722064</v>
      </c>
      <c r="AE209" s="28" t="n">
        <f aca="false">-AE197*Restaurantes!$D$61</f>
        <v>-73.8366627722064</v>
      </c>
      <c r="AF209" s="28" t="n">
        <f aca="false">-AF197*Restaurantes!$D$61</f>
        <v>-73.8366627722064</v>
      </c>
      <c r="AG209" s="28" t="n">
        <f aca="false">-AG197*Restaurantes!$D$61</f>
        <v>-73.8366627722064</v>
      </c>
      <c r="AH209" s="28" t="n">
        <f aca="false">-AH197*Restaurantes!$D$61</f>
        <v>-73.8366627722064</v>
      </c>
      <c r="AI209" s="28" t="n">
        <f aca="false">-AI197*Restaurantes!$D$61</f>
        <v>-73.8366627722064</v>
      </c>
      <c r="AJ209" s="28" t="n">
        <f aca="false">-AJ197*Restaurantes!$D$61</f>
        <v>-73.8366627722064</v>
      </c>
      <c r="AK209" s="28" t="n">
        <f aca="false">-AK197*Restaurantes!$D$61</f>
        <v>-73.8366627722064</v>
      </c>
      <c r="AL209" s="28" t="n">
        <f aca="false">-AL197*Restaurantes!$D$61</f>
        <v>-73.8366627722064</v>
      </c>
      <c r="AM209" s="28" t="n">
        <f aca="false">-AM197*Restaurantes!$D$61</f>
        <v>-73.8366627722064</v>
      </c>
      <c r="AN209" s="28" t="n">
        <f aca="false">-AN197*Restaurantes!$D$61</f>
        <v>-73.8366627722064</v>
      </c>
      <c r="AO209" s="28" t="n">
        <f aca="false">-AO197*Restaurantes!$D$61</f>
        <v>-73.8366627722064</v>
      </c>
      <c r="AP209" s="28" t="n">
        <f aca="false">-AP197*Restaurantes!$D$61</f>
        <v>-73.8366627722064</v>
      </c>
      <c r="AQ209" s="28" t="n">
        <f aca="false">-AQ197*Restaurantes!$D$61</f>
        <v>-73.8366627722064</v>
      </c>
      <c r="AR209" s="28" t="n">
        <f aca="false">-AR197*Restaurantes!$D$61</f>
        <v>-73.8366627722064</v>
      </c>
      <c r="AS209" s="28" t="n">
        <f aca="false">-AS197*Restaurantes!$D$61</f>
        <v>-73.8366627722064</v>
      </c>
      <c r="AT209" s="28" t="n">
        <f aca="false">-AT197*Restaurantes!$D$61</f>
        <v>-73.8366627722064</v>
      </c>
      <c r="AU209" s="28" t="n">
        <f aca="false">-AU197*Restaurantes!$D$61</f>
        <v>-73.8366627722064</v>
      </c>
      <c r="AV209" s="28" t="n">
        <f aca="false">-AV197*Restaurantes!$D$61</f>
        <v>-73.8366627722064</v>
      </c>
      <c r="AW209" s="28" t="n">
        <f aca="false">-AW197*Restaurantes!$D$61</f>
        <v>-73.8366627722064</v>
      </c>
      <c r="AX209" s="28" t="n">
        <f aca="false">-AX197*Restaurantes!$D$61</f>
        <v>-73.8366627722064</v>
      </c>
      <c r="AY209" s="28" t="n">
        <f aca="false">-AY197*Restaurantes!$D$61</f>
        <v>-73.8366627722064</v>
      </c>
      <c r="AZ209" s="28" t="n">
        <f aca="false">-AZ197*Restaurantes!$D$61</f>
        <v>-73.8366627722064</v>
      </c>
      <c r="BA209" s="28" t="n">
        <f aca="false">-BA197*Restaurantes!$D$61</f>
        <v>-73.8366627722064</v>
      </c>
      <c r="BB209" s="28" t="n">
        <f aca="false">-BB197*Restaurantes!$D$61</f>
        <v>-73.8366627722064</v>
      </c>
      <c r="BC209" s="28" t="n">
        <f aca="false">-BC197*Restaurantes!$D$61</f>
        <v>-73.8366627722064</v>
      </c>
      <c r="BD209" s="28" t="n">
        <f aca="false">-BD197*Restaurantes!$D$61</f>
        <v>-73.8366627722064</v>
      </c>
      <c r="BE209" s="28" t="n">
        <f aca="false">-BE197*Restaurantes!$D$61</f>
        <v>-73.8366627722064</v>
      </c>
      <c r="BF209" s="28" t="n">
        <f aca="false">-BF197*Restaurantes!$D$61</f>
        <v>-73.8366627722064</v>
      </c>
      <c r="BG209" s="28" t="n">
        <f aca="false">-BG197*Restaurantes!$D$61</f>
        <v>-73.8366627722064</v>
      </c>
      <c r="BH209" s="28" t="n">
        <f aca="false">-BH197*Restaurantes!$D$61</f>
        <v>-73.8366627722064</v>
      </c>
      <c r="BI209" s="28" t="n">
        <f aca="false">-BI197*Restaurantes!$D$61</f>
        <v>-73.8366627722064</v>
      </c>
      <c r="BJ209" s="28" t="n">
        <f aca="false">-BJ197*Restaurantes!$D$61</f>
        <v>-73.8366627722064</v>
      </c>
      <c r="BK209" s="28" t="n">
        <f aca="false">-BK197*Restaurantes!$D$61</f>
        <v>-73.8366627722064</v>
      </c>
      <c r="BL209" s="28" t="n">
        <f aca="false">-BL197*Restaurantes!$D$61</f>
        <v>-73.8366627722064</v>
      </c>
      <c r="BM209" s="28" t="n">
        <f aca="false">-BM197*Restaurantes!$D$61</f>
        <v>-73.8366627722064</v>
      </c>
      <c r="BN209" s="28" t="n">
        <f aca="false">-BN197*Restaurantes!$D$61</f>
        <v>-73.8366627722064</v>
      </c>
      <c r="BO209" s="28" t="n">
        <f aca="false">-BO197*Restaurantes!$D$61</f>
        <v>-73.8366627722064</v>
      </c>
      <c r="BP209" s="28" t="n">
        <f aca="false">-BP197*Restaurantes!$D$61</f>
        <v>-73.8366627722064</v>
      </c>
      <c r="BQ209" s="28" t="n">
        <f aca="false">-BQ197*Restaurantes!$D$61</f>
        <v>-73.8366627722064</v>
      </c>
      <c r="BR209" s="28" t="n">
        <f aca="false">-BR197*Restaurantes!$D$61</f>
        <v>-73.8366627722064</v>
      </c>
      <c r="BS209" s="28" t="n">
        <f aca="false">-BS197*Restaurantes!$D$61</f>
        <v>-73.8366627722064</v>
      </c>
      <c r="BT209" s="28" t="n">
        <f aca="false">-BT197*Restaurantes!$D$61</f>
        <v>-73.8366627722064</v>
      </c>
      <c r="BU209" s="28" t="n">
        <f aca="false">-BU197*Restaurantes!$D$61</f>
        <v>-73.8366627722064</v>
      </c>
      <c r="BV209" s="28" t="n">
        <f aca="false">-BV197*Restaurantes!$D$61</f>
        <v>-73.8366627722064</v>
      </c>
      <c r="BW209" s="28" t="n">
        <f aca="false">-BW197*Restaurantes!$D$61</f>
        <v>-73.8366627722064</v>
      </c>
      <c r="BX209" s="28" t="n">
        <f aca="false">-BX197*Restaurantes!$D$61</f>
        <v>-73.8366627722064</v>
      </c>
      <c r="BY209" s="28" t="n">
        <f aca="false">-BY197*Restaurantes!$D$61</f>
        <v>-73.8366627722064</v>
      </c>
      <c r="BZ209" s="28" t="n">
        <f aca="false">-BZ197*Restaurantes!$D$61</f>
        <v>-73.8366627722064</v>
      </c>
      <c r="CA209" s="28" t="n">
        <f aca="false">-CA197*Restaurantes!$D$61</f>
        <v>-73.8366627722064</v>
      </c>
      <c r="CB209" s="28" t="n">
        <f aca="false">-CB197*Restaurantes!$D$61</f>
        <v>-73.8366627722064</v>
      </c>
      <c r="CC209" s="28" t="n">
        <f aca="false">-CC197*Restaurantes!$D$61</f>
        <v>-73.8366627722064</v>
      </c>
      <c r="CD209" s="28" t="n">
        <f aca="false">-CD197*Restaurantes!$D$61</f>
        <v>-73.8366627722064</v>
      </c>
      <c r="CE209" s="28" t="n">
        <f aca="false">-CE197*Restaurantes!$D$61</f>
        <v>-73.8366627722064</v>
      </c>
      <c r="CF209" s="28" t="n">
        <f aca="false">-CF197*Restaurantes!$D$61</f>
        <v>-73.8366627722064</v>
      </c>
      <c r="CG209" s="28" t="n">
        <f aca="false">-CG197*Restaurantes!$D$61</f>
        <v>-73.8366627722064</v>
      </c>
      <c r="CH209" s="28" t="n">
        <f aca="false">-CH197*Restaurantes!$D$61</f>
        <v>-73.8366627722064</v>
      </c>
    </row>
    <row r="210" customFormat="false" ht="15" hidden="false" customHeight="false" outlineLevel="0" collapsed="false">
      <c r="A210" s="1" t="s">
        <v>871</v>
      </c>
      <c r="C210" s="27" t="n">
        <f aca="false">IFERROR(C196/(Hipótesis!$B$49*(C$3&gt;=Hipótesis!$D$49)+Hipótesis!$B$52*(C$3&gt;=Hipótesis!$D$52)),0)</f>
        <v>5.12754602584767</v>
      </c>
      <c r="D210" s="27" t="n">
        <f aca="false">IFERROR(D196/(Hipótesis!$B$49*(D$3&gt;=Hipótesis!$D$49)+Hipótesis!$B$52*(D$3&gt;=Hipótesis!$D$52)),0)</f>
        <v>10.2550920516953</v>
      </c>
      <c r="E210" s="27" t="n">
        <f aca="false">IFERROR(E196/(Hipótesis!$B$49*(E$3&gt;=Hipótesis!$D$49)+Hipótesis!$B$52*(E$3&gt;=Hipótesis!$D$52)),0)</f>
        <v>15.382638077543</v>
      </c>
      <c r="F210" s="27" t="n">
        <f aca="false">IFERROR(F196/(Hipótesis!$B$49*(F$3&gt;=Hipótesis!$D$49)+Hipótesis!$B$52*(F$3&gt;=Hipótesis!$D$52)),0)</f>
        <v>20.5101841033907</v>
      </c>
      <c r="G210" s="27" t="n">
        <f aca="false">IFERROR(G196/(Hipótesis!$B$49*(G$3&gt;=Hipótesis!$D$49)+Hipótesis!$B$52*(G$3&gt;=Hipótesis!$D$52)),0)</f>
        <v>25.6377301292383</v>
      </c>
      <c r="H210" s="27" t="n">
        <f aca="false">IFERROR(H196/(Hipótesis!$B$49*(H$3&gt;=Hipótesis!$D$49)+Hipótesis!$B$52*(H$3&gt;=Hipótesis!$D$52)),0)</f>
        <v>30.765276155086</v>
      </c>
      <c r="I210" s="27" t="n">
        <f aca="false">IFERROR(I196/(Hipótesis!$B$49*(I$3&gt;=Hipótesis!$D$49)+Hipótesis!$B$52*(I$3&gt;=Hipótesis!$D$52)),0)</f>
        <v>35.8928221809337</v>
      </c>
      <c r="J210" s="27" t="n">
        <f aca="false">IFERROR(J196/(Hipótesis!$B$49*(J$3&gt;=Hipótesis!$D$49)+Hipótesis!$B$52*(J$3&gt;=Hipótesis!$D$52)),0)</f>
        <v>41.0203682067814</v>
      </c>
      <c r="K210" s="27" t="n">
        <f aca="false">IFERROR(K196/(Hipótesis!$B$49*(K$3&gt;=Hipótesis!$D$49)+Hipótesis!$B$52*(K$3&gt;=Hipótesis!$D$52)),0)</f>
        <v>46.147914232629</v>
      </c>
      <c r="L210" s="27" t="n">
        <f aca="false">IFERROR(L196/(Hipótesis!$B$49*(L$3&gt;=Hipótesis!$D$49)+Hipótesis!$B$52*(L$3&gt;=Hipótesis!$D$52)),0)</f>
        <v>51.2754602584767</v>
      </c>
      <c r="M210" s="27" t="n">
        <f aca="false">IFERROR(M196/(Hipótesis!$B$49*(M$3&gt;=Hipótesis!$D$49)+Hipótesis!$B$52*(M$3&gt;=Hipótesis!$D$52)),0)</f>
        <v>56.4030062843243</v>
      </c>
      <c r="N210" s="27" t="n">
        <f aca="false">IFERROR(N196/(Hipótesis!$B$49*(N$3&gt;=Hipótesis!$D$49)+Hipótesis!$B$52*(N$3&gt;=Hipótesis!$D$52)),0)</f>
        <v>61.530552310172</v>
      </c>
      <c r="O210" s="27" t="n">
        <f aca="false">IFERROR(O196/(Hipótesis!$B$49*(O$3&gt;=Hipótesis!$D$49)+Hipótesis!$B$52*(O$3&gt;=Hipótesis!$D$52)),0)</f>
        <v>66.6580983360197</v>
      </c>
      <c r="P210" s="27" t="n">
        <f aca="false">IFERROR(P196/(Hipótesis!$B$49*(P$3&gt;=Hipótesis!$D$49)+Hipótesis!$B$52*(P$3&gt;=Hipótesis!$D$52)),0)</f>
        <v>71.7856443618674</v>
      </c>
      <c r="Q210" s="27" t="n">
        <f aca="false">IFERROR(Q196/(Hipótesis!$B$49*(Q$3&gt;=Hipótesis!$D$49)+Hipótesis!$B$52*(Q$3&gt;=Hipótesis!$D$52)),0)</f>
        <v>76.913190387715</v>
      </c>
      <c r="R210" s="27" t="n">
        <f aca="false">IFERROR(R196/(Hipótesis!$B$49*(R$3&gt;=Hipótesis!$D$49)+Hipótesis!$B$52*(R$3&gt;=Hipótesis!$D$52)),0)</f>
        <v>82.0407364135627</v>
      </c>
      <c r="S210" s="27" t="n">
        <f aca="false">IFERROR(S196/(Hipótesis!$B$49*(S$3&gt;=Hipótesis!$D$49)+Hipótesis!$B$52*(S$3&gt;=Hipótesis!$D$52)),0)</f>
        <v>87.1682824394104</v>
      </c>
      <c r="T210" s="27" t="n">
        <f aca="false">IFERROR(T196/(Hipótesis!$B$49*(T$3&gt;=Hipótesis!$D$49)+Hipótesis!$B$52*(T$3&gt;=Hipótesis!$D$52)),0)</f>
        <v>92.295828465258</v>
      </c>
      <c r="U210" s="27" t="n">
        <f aca="false">IFERROR(U196/(Hipótesis!$B$49*(U$3&gt;=Hipótesis!$D$49)+Hipótesis!$B$52*(U$3&gt;=Hipótesis!$D$52)),0)</f>
        <v>97.4233744911057</v>
      </c>
      <c r="V210" s="27" t="n">
        <f aca="false">IFERROR(V196/(Hipótesis!$B$49*(V$3&gt;=Hipótesis!$D$49)+Hipótesis!$B$52*(V$3&gt;=Hipótesis!$D$52)),0)</f>
        <v>51.2754602584767</v>
      </c>
      <c r="W210" s="27" t="n">
        <f aca="false">IFERROR(W196/(Hipótesis!$B$49*(W$3&gt;=Hipótesis!$D$49)+Hipótesis!$B$52*(W$3&gt;=Hipótesis!$D$52)),0)</f>
        <v>53.8392332714005</v>
      </c>
      <c r="X210" s="27" t="n">
        <f aca="false">IFERROR(X196/(Hipótesis!$B$49*(X$3&gt;=Hipótesis!$D$49)+Hipótesis!$B$52*(X$3&gt;=Hipótesis!$D$52)),0)</f>
        <v>56.4030062843243</v>
      </c>
      <c r="Y210" s="27" t="n">
        <f aca="false">IFERROR(Y196/(Hipótesis!$B$49*(Y$3&gt;=Hipótesis!$D$49)+Hipótesis!$B$52*(Y$3&gt;=Hipótesis!$D$52)),0)</f>
        <v>58.9667792972482</v>
      </c>
      <c r="Z210" s="27" t="n">
        <f aca="false">IFERROR(Z196/(Hipótesis!$B$49*(Z$3&gt;=Hipótesis!$D$49)+Hipótesis!$B$52*(Z$3&gt;=Hipótesis!$D$52)),0)</f>
        <v>61.530552310172</v>
      </c>
      <c r="AA210" s="27" t="n">
        <f aca="false">IFERROR(AA196/(Hipótesis!$B$49*(AA$3&gt;=Hipótesis!$D$49)+Hipótesis!$B$52*(AA$3&gt;=Hipótesis!$D$52)),0)</f>
        <v>61.530552310172</v>
      </c>
      <c r="AB210" s="27" t="n">
        <f aca="false">IFERROR(AB196/(Hipótesis!$B$49*(AB$3&gt;=Hipótesis!$D$49)+Hipótesis!$B$52*(AB$3&gt;=Hipótesis!$D$52)),0)</f>
        <v>61.530552310172</v>
      </c>
      <c r="AC210" s="27" t="n">
        <f aca="false">IFERROR(AC196/(Hipótesis!$B$49*(AC$3&gt;=Hipótesis!$D$49)+Hipótesis!$B$52*(AC$3&gt;=Hipótesis!$D$52)),0)</f>
        <v>61.530552310172</v>
      </c>
      <c r="AD210" s="27" t="n">
        <f aca="false">IFERROR(AD196/(Hipótesis!$B$49*(AD$3&gt;=Hipótesis!$D$49)+Hipótesis!$B$52*(AD$3&gt;=Hipótesis!$D$52)),0)</f>
        <v>61.530552310172</v>
      </c>
      <c r="AE210" s="27" t="n">
        <f aca="false">IFERROR(AE196/(Hipótesis!$B$49*(AE$3&gt;=Hipótesis!$D$49)+Hipótesis!$B$52*(AE$3&gt;=Hipótesis!$D$52)),0)</f>
        <v>61.530552310172</v>
      </c>
      <c r="AF210" s="27" t="n">
        <f aca="false">IFERROR(AF196/(Hipótesis!$B$49*(AF$3&gt;=Hipótesis!$D$49)+Hipótesis!$B$52*(AF$3&gt;=Hipótesis!$D$52)),0)</f>
        <v>61.530552310172</v>
      </c>
      <c r="AG210" s="27" t="n">
        <f aca="false">IFERROR(AG196/(Hipótesis!$B$49*(AG$3&gt;=Hipótesis!$D$49)+Hipótesis!$B$52*(AG$3&gt;=Hipótesis!$D$52)),0)</f>
        <v>61.530552310172</v>
      </c>
      <c r="AH210" s="27" t="n">
        <f aca="false">IFERROR(AH196/(Hipótesis!$B$49*(AH$3&gt;=Hipótesis!$D$49)+Hipótesis!$B$52*(AH$3&gt;=Hipótesis!$D$52)),0)</f>
        <v>61.530552310172</v>
      </c>
      <c r="AI210" s="27" t="n">
        <f aca="false">IFERROR(AI196/(Hipótesis!$B$49*(AI$3&gt;=Hipótesis!$D$49)+Hipótesis!$B$52*(AI$3&gt;=Hipótesis!$D$52)),0)</f>
        <v>61.530552310172</v>
      </c>
      <c r="AJ210" s="27" t="n">
        <f aca="false">IFERROR(AJ196/(Hipótesis!$B$49*(AJ$3&gt;=Hipótesis!$D$49)+Hipótesis!$B$52*(AJ$3&gt;=Hipótesis!$D$52)),0)</f>
        <v>61.530552310172</v>
      </c>
      <c r="AK210" s="27" t="n">
        <f aca="false">IFERROR(AK196/(Hipótesis!$B$49*(AK$3&gt;=Hipótesis!$D$49)+Hipótesis!$B$52*(AK$3&gt;=Hipótesis!$D$52)),0)</f>
        <v>61.530552310172</v>
      </c>
      <c r="AL210" s="27" t="n">
        <f aca="false">IFERROR(AL196/(Hipótesis!$B$49*(AL$3&gt;=Hipótesis!$D$49)+Hipótesis!$B$52*(AL$3&gt;=Hipótesis!$D$52)),0)</f>
        <v>61.530552310172</v>
      </c>
      <c r="AM210" s="27" t="n">
        <f aca="false">IFERROR(AM196/(Hipótesis!$B$49*(AM$3&gt;=Hipótesis!$D$49)+Hipótesis!$B$52*(AM$3&gt;=Hipótesis!$D$52)),0)</f>
        <v>61.530552310172</v>
      </c>
      <c r="AN210" s="27" t="n">
        <f aca="false">IFERROR(AN196/(Hipótesis!$B$49*(AN$3&gt;=Hipótesis!$D$49)+Hipótesis!$B$52*(AN$3&gt;=Hipótesis!$D$52)),0)</f>
        <v>61.530552310172</v>
      </c>
      <c r="AO210" s="27" t="n">
        <f aca="false">IFERROR(AO196/(Hipótesis!$B$49*(AO$3&gt;=Hipótesis!$D$49)+Hipótesis!$B$52*(AO$3&gt;=Hipótesis!$D$52)),0)</f>
        <v>61.530552310172</v>
      </c>
      <c r="AP210" s="27" t="n">
        <f aca="false">IFERROR(AP196/(Hipótesis!$B$49*(AP$3&gt;=Hipótesis!$D$49)+Hipótesis!$B$52*(AP$3&gt;=Hipótesis!$D$52)),0)</f>
        <v>61.530552310172</v>
      </c>
      <c r="AQ210" s="27" t="n">
        <f aca="false">IFERROR(AQ196/(Hipótesis!$B$49*(AQ$3&gt;=Hipótesis!$D$49)+Hipótesis!$B$52*(AQ$3&gt;=Hipótesis!$D$52)),0)</f>
        <v>61.530552310172</v>
      </c>
      <c r="AR210" s="27" t="n">
        <f aca="false">IFERROR(AR196/(Hipótesis!$B$49*(AR$3&gt;=Hipótesis!$D$49)+Hipótesis!$B$52*(AR$3&gt;=Hipótesis!$D$52)),0)</f>
        <v>61.530552310172</v>
      </c>
      <c r="AS210" s="27" t="n">
        <f aca="false">IFERROR(AS196/(Hipótesis!$B$49*(AS$3&gt;=Hipótesis!$D$49)+Hipótesis!$B$52*(AS$3&gt;=Hipótesis!$D$52)),0)</f>
        <v>61.530552310172</v>
      </c>
      <c r="AT210" s="27" t="n">
        <f aca="false">IFERROR(AT196/(Hipótesis!$B$49*(AT$3&gt;=Hipótesis!$D$49)+Hipótesis!$B$52*(AT$3&gt;=Hipótesis!$D$52)),0)</f>
        <v>61.530552310172</v>
      </c>
      <c r="AU210" s="27" t="n">
        <f aca="false">IFERROR(AU196/(Hipótesis!$B$49*(AU$3&gt;=Hipótesis!$D$49)+Hipótesis!$B$52*(AU$3&gt;=Hipótesis!$D$52)),0)</f>
        <v>61.530552310172</v>
      </c>
      <c r="AV210" s="27" t="n">
        <f aca="false">IFERROR(AV196/(Hipótesis!$B$49*(AV$3&gt;=Hipótesis!$D$49)+Hipótesis!$B$52*(AV$3&gt;=Hipótesis!$D$52)),0)</f>
        <v>61.530552310172</v>
      </c>
      <c r="AW210" s="27" t="n">
        <f aca="false">IFERROR(AW196/(Hipótesis!$B$49*(AW$3&gt;=Hipótesis!$D$49)+Hipótesis!$B$52*(AW$3&gt;=Hipótesis!$D$52)),0)</f>
        <v>61.530552310172</v>
      </c>
      <c r="AX210" s="27" t="n">
        <f aca="false">IFERROR(AX196/(Hipótesis!$B$49*(AX$3&gt;=Hipótesis!$D$49)+Hipótesis!$B$52*(AX$3&gt;=Hipótesis!$D$52)),0)</f>
        <v>61.530552310172</v>
      </c>
      <c r="AY210" s="27" t="n">
        <f aca="false">IFERROR(AY196/(Hipótesis!$B$49*(AY$3&gt;=Hipótesis!$D$49)+Hipótesis!$B$52*(AY$3&gt;=Hipótesis!$D$52)),0)</f>
        <v>61.530552310172</v>
      </c>
      <c r="AZ210" s="27" t="n">
        <f aca="false">IFERROR(AZ196/(Hipótesis!$B$49*(AZ$3&gt;=Hipótesis!$D$49)+Hipótesis!$B$52*(AZ$3&gt;=Hipótesis!$D$52)),0)</f>
        <v>61.530552310172</v>
      </c>
      <c r="BA210" s="27" t="n">
        <f aca="false">IFERROR(BA196/(Hipótesis!$B$49*(BA$3&gt;=Hipótesis!$D$49)+Hipótesis!$B$52*(BA$3&gt;=Hipótesis!$D$52)),0)</f>
        <v>61.530552310172</v>
      </c>
      <c r="BB210" s="27" t="n">
        <f aca="false">IFERROR(BB196/(Hipótesis!$B$49*(BB$3&gt;=Hipótesis!$D$49)+Hipótesis!$B$52*(BB$3&gt;=Hipótesis!$D$52)),0)</f>
        <v>61.530552310172</v>
      </c>
      <c r="BC210" s="27" t="n">
        <f aca="false">IFERROR(BC196/(Hipótesis!$B$49*(BC$3&gt;=Hipótesis!$D$49)+Hipótesis!$B$52*(BC$3&gt;=Hipótesis!$D$52)),0)</f>
        <v>61.530552310172</v>
      </c>
      <c r="BD210" s="27" t="n">
        <f aca="false">IFERROR(BD196/(Hipótesis!$B$49*(BD$3&gt;=Hipótesis!$D$49)+Hipótesis!$B$52*(BD$3&gt;=Hipótesis!$D$52)),0)</f>
        <v>61.530552310172</v>
      </c>
      <c r="BE210" s="27" t="n">
        <f aca="false">IFERROR(BE196/(Hipótesis!$B$49*(BE$3&gt;=Hipótesis!$D$49)+Hipótesis!$B$52*(BE$3&gt;=Hipótesis!$D$52)),0)</f>
        <v>61.530552310172</v>
      </c>
      <c r="BF210" s="27" t="n">
        <f aca="false">IFERROR(BF196/(Hipótesis!$B$49*(BF$3&gt;=Hipótesis!$D$49)+Hipótesis!$B$52*(BF$3&gt;=Hipótesis!$D$52)),0)</f>
        <v>61.530552310172</v>
      </c>
      <c r="BG210" s="27" t="n">
        <f aca="false">IFERROR(BG196/(Hipótesis!$B$49*(BG$3&gt;=Hipótesis!$D$49)+Hipótesis!$B$52*(BG$3&gt;=Hipótesis!$D$52)),0)</f>
        <v>61.530552310172</v>
      </c>
      <c r="BH210" s="27" t="n">
        <f aca="false">IFERROR(BH196/(Hipótesis!$B$49*(BH$3&gt;=Hipótesis!$D$49)+Hipótesis!$B$52*(BH$3&gt;=Hipótesis!$D$52)),0)</f>
        <v>61.530552310172</v>
      </c>
      <c r="BI210" s="27" t="n">
        <f aca="false">IFERROR(BI196/(Hipótesis!$B$49*(BI$3&gt;=Hipótesis!$D$49)+Hipótesis!$B$52*(BI$3&gt;=Hipótesis!$D$52)),0)</f>
        <v>61.530552310172</v>
      </c>
      <c r="BJ210" s="27" t="n">
        <f aca="false">IFERROR(BJ196/(Hipótesis!$B$49*(BJ$3&gt;=Hipótesis!$D$49)+Hipótesis!$B$52*(BJ$3&gt;=Hipótesis!$D$52)),0)</f>
        <v>61.530552310172</v>
      </c>
      <c r="BK210" s="27" t="n">
        <f aca="false">IFERROR(BK196/(Hipótesis!$B$49*(BK$3&gt;=Hipótesis!$D$49)+Hipótesis!$B$52*(BK$3&gt;=Hipótesis!$D$52)),0)</f>
        <v>61.530552310172</v>
      </c>
      <c r="BL210" s="27" t="n">
        <f aca="false">IFERROR(BL196/(Hipótesis!$B$49*(BL$3&gt;=Hipótesis!$D$49)+Hipótesis!$B$52*(BL$3&gt;=Hipótesis!$D$52)),0)</f>
        <v>61.530552310172</v>
      </c>
      <c r="BM210" s="27" t="n">
        <f aca="false">IFERROR(BM196/(Hipótesis!$B$49*(BM$3&gt;=Hipótesis!$D$49)+Hipótesis!$B$52*(BM$3&gt;=Hipótesis!$D$52)),0)</f>
        <v>61.530552310172</v>
      </c>
      <c r="BN210" s="27" t="n">
        <f aca="false">IFERROR(BN196/(Hipótesis!$B$49*(BN$3&gt;=Hipótesis!$D$49)+Hipótesis!$B$52*(BN$3&gt;=Hipótesis!$D$52)),0)</f>
        <v>61.530552310172</v>
      </c>
      <c r="BO210" s="27" t="n">
        <f aca="false">IFERROR(BO196/(Hipótesis!$B$49*(BO$3&gt;=Hipótesis!$D$49)+Hipótesis!$B$52*(BO$3&gt;=Hipótesis!$D$52)),0)</f>
        <v>61.530552310172</v>
      </c>
      <c r="BP210" s="27" t="n">
        <f aca="false">IFERROR(BP196/(Hipótesis!$B$49*(BP$3&gt;=Hipótesis!$D$49)+Hipótesis!$B$52*(BP$3&gt;=Hipótesis!$D$52)),0)</f>
        <v>61.530552310172</v>
      </c>
      <c r="BQ210" s="27" t="n">
        <f aca="false">IFERROR(BQ196/(Hipótesis!$B$49*(BQ$3&gt;=Hipótesis!$D$49)+Hipótesis!$B$52*(BQ$3&gt;=Hipótesis!$D$52)),0)</f>
        <v>61.530552310172</v>
      </c>
      <c r="BR210" s="27" t="n">
        <f aca="false">IFERROR(BR196/(Hipótesis!$B$49*(BR$3&gt;=Hipótesis!$D$49)+Hipótesis!$B$52*(BR$3&gt;=Hipótesis!$D$52)),0)</f>
        <v>61.530552310172</v>
      </c>
      <c r="BS210" s="27" t="n">
        <f aca="false">IFERROR(BS196/(Hipótesis!$B$49*(BS$3&gt;=Hipótesis!$D$49)+Hipótesis!$B$52*(BS$3&gt;=Hipótesis!$D$52)),0)</f>
        <v>61.530552310172</v>
      </c>
      <c r="BT210" s="27" t="n">
        <f aca="false">IFERROR(BT196/(Hipótesis!$B$49*(BT$3&gt;=Hipótesis!$D$49)+Hipótesis!$B$52*(BT$3&gt;=Hipótesis!$D$52)),0)</f>
        <v>61.530552310172</v>
      </c>
      <c r="BU210" s="27" t="n">
        <f aca="false">IFERROR(BU196/(Hipótesis!$B$49*(BU$3&gt;=Hipótesis!$D$49)+Hipótesis!$B$52*(BU$3&gt;=Hipótesis!$D$52)),0)</f>
        <v>61.530552310172</v>
      </c>
      <c r="BV210" s="27" t="n">
        <f aca="false">IFERROR(BV196/(Hipótesis!$B$49*(BV$3&gt;=Hipótesis!$D$49)+Hipótesis!$B$52*(BV$3&gt;=Hipótesis!$D$52)),0)</f>
        <v>61.530552310172</v>
      </c>
      <c r="BW210" s="27" t="n">
        <f aca="false">IFERROR(BW196/(Hipótesis!$B$49*(BW$3&gt;=Hipótesis!$D$49)+Hipótesis!$B$52*(BW$3&gt;=Hipótesis!$D$52)),0)</f>
        <v>61.530552310172</v>
      </c>
      <c r="BX210" s="27" t="n">
        <f aca="false">IFERROR(BX196/(Hipótesis!$B$49*(BX$3&gt;=Hipótesis!$D$49)+Hipótesis!$B$52*(BX$3&gt;=Hipótesis!$D$52)),0)</f>
        <v>61.530552310172</v>
      </c>
      <c r="BY210" s="27" t="n">
        <f aca="false">IFERROR(BY196/(Hipótesis!$B$49*(BY$3&gt;=Hipótesis!$D$49)+Hipótesis!$B$52*(BY$3&gt;=Hipótesis!$D$52)),0)</f>
        <v>61.530552310172</v>
      </c>
      <c r="BZ210" s="27" t="n">
        <f aca="false">IFERROR(BZ196/(Hipótesis!$B$49*(BZ$3&gt;=Hipótesis!$D$49)+Hipótesis!$B$52*(BZ$3&gt;=Hipótesis!$D$52)),0)</f>
        <v>61.530552310172</v>
      </c>
      <c r="CA210" s="27" t="n">
        <f aca="false">IFERROR(CA196/(Hipótesis!$B$49*(CA$3&gt;=Hipótesis!$D$49)+Hipótesis!$B$52*(CA$3&gt;=Hipótesis!$D$52)),0)</f>
        <v>61.530552310172</v>
      </c>
      <c r="CB210" s="27" t="n">
        <f aca="false">IFERROR(CB196/(Hipótesis!$B$49*(CB$3&gt;=Hipótesis!$D$49)+Hipótesis!$B$52*(CB$3&gt;=Hipótesis!$D$52)),0)</f>
        <v>61.530552310172</v>
      </c>
      <c r="CC210" s="27" t="n">
        <f aca="false">IFERROR(CC196/(Hipótesis!$B$49*(CC$3&gt;=Hipótesis!$D$49)+Hipótesis!$B$52*(CC$3&gt;=Hipótesis!$D$52)),0)</f>
        <v>61.530552310172</v>
      </c>
      <c r="CD210" s="27" t="n">
        <f aca="false">IFERROR(CD196/(Hipótesis!$B$49*(CD$3&gt;=Hipótesis!$D$49)+Hipótesis!$B$52*(CD$3&gt;=Hipótesis!$D$52)),0)</f>
        <v>61.530552310172</v>
      </c>
      <c r="CE210" s="27" t="n">
        <f aca="false">IFERROR(CE196/(Hipótesis!$B$49*(CE$3&gt;=Hipótesis!$D$49)+Hipótesis!$B$52*(CE$3&gt;=Hipótesis!$D$52)),0)</f>
        <v>61.530552310172</v>
      </c>
      <c r="CF210" s="27" t="n">
        <f aca="false">IFERROR(CF196/(Hipótesis!$B$49*(CF$3&gt;=Hipótesis!$D$49)+Hipótesis!$B$52*(CF$3&gt;=Hipótesis!$D$52)),0)</f>
        <v>61.530552310172</v>
      </c>
      <c r="CG210" s="27" t="n">
        <f aca="false">IFERROR(CG196/(Hipótesis!$B$49*(CG$3&gt;=Hipótesis!$D$49)+Hipótesis!$B$52*(CG$3&gt;=Hipótesis!$D$52)),0)</f>
        <v>61.530552310172</v>
      </c>
      <c r="CH210" s="27" t="n">
        <f aca="false">IFERROR(CH196/(Hipótesis!$B$49*(CH$3&gt;=Hipótesis!$D$49)+Hipótesis!$B$52*(CH$3&gt;=Hipótesis!$D$52)),0)</f>
        <v>61.530552310172</v>
      </c>
    </row>
    <row r="211" customFormat="false" ht="15" hidden="false" customHeight="false" outlineLevel="0" collapsed="false">
      <c r="A211" s="1" t="s">
        <v>872</v>
      </c>
      <c r="C211" s="28" t="n">
        <f aca="false">-(C182*(1-Logistica!$B$5)*Logistica!$B$7+C182*Logistica!$B$5*Logistica!$B$39)</f>
        <v>-4.78047324930469</v>
      </c>
      <c r="D211" s="28" t="n">
        <f aca="false">-(D182*(1-Logistica!$B$5)*Logistica!$B$7+D182*Logistica!$B$5*Logistica!$B$39)</f>
        <v>-10.5673619195156</v>
      </c>
      <c r="E211" s="28" t="n">
        <f aca="false">-(E182*(1-Logistica!$B$5)*Logistica!$B$7+E182*Logistica!$B$5*Logistica!$B$39)</f>
        <v>-29.1860472062813</v>
      </c>
      <c r="F211" s="28" t="n">
        <f aca="false">-(F182*(1-Logistica!$B$5)*Logistica!$B$7+F182*Logistica!$B$5*Logistica!$B$39)</f>
        <v>-43.0242592437422</v>
      </c>
      <c r="G211" s="28" t="n">
        <f aca="false">-(G182*(1-Logistica!$B$5)*Logistica!$B$7+G182*Logistica!$B$5*Logistica!$B$39)</f>
        <v>-55.8560558602969</v>
      </c>
      <c r="H211" s="28" t="n">
        <f aca="false">-(H182*(1-Logistica!$B$5)*Logistica!$B$7+H182*Logistica!$B$5*Logistica!$B$39)</f>
        <v>-80.2196958414023</v>
      </c>
      <c r="I211" s="28" t="n">
        <f aca="false">-(I182*(1-Logistica!$B$5)*Logistica!$B$7+I182*Logistica!$B$5*Logistica!$B$39)</f>
        <v>-105.541962143344</v>
      </c>
      <c r="J211" s="28" t="n">
        <f aca="false">-(J182*(1-Logistica!$B$5)*Logistica!$B$7+J182*Logistica!$B$5*Logistica!$B$39)</f>
        <v>-148.119502220346</v>
      </c>
      <c r="K211" s="28" t="n">
        <f aca="false">-(K182*(1-Logistica!$B$5)*Logistica!$B$7+K182*Logistica!$B$5*Logistica!$B$39)</f>
        <v>-190.697042297348</v>
      </c>
      <c r="L211" s="28" t="n">
        <f aca="false">-(L182*(1-Logistica!$B$5)*Logistica!$B$7+L182*Logistica!$B$5*Logistica!$B$39)</f>
        <v>-233.274582374349</v>
      </c>
      <c r="M211" s="28" t="n">
        <f aca="false">-(M182*(1-Logistica!$B$5)*Logistica!$B$7+M182*Logistica!$B$5*Logistica!$B$39)</f>
        <v>-263.020325834796</v>
      </c>
      <c r="N211" s="28" t="n">
        <f aca="false">-(N182*(1-Logistica!$B$5)*Logistica!$B$7+N182*Logistica!$B$5*Logistica!$B$39)</f>
        <v>-309.539659643681</v>
      </c>
      <c r="O211" s="28" t="n">
        <f aca="false">-(O182*(1-Logistica!$B$5)*Logistica!$B$7+O182*Logistica!$B$5*Logistica!$B$39)</f>
        <v>-356.058993452565</v>
      </c>
      <c r="P211" s="28" t="n">
        <f aca="false">-(P182*(1-Logistica!$B$5)*Logistica!$B$7+P182*Logistica!$B$5*Logistica!$B$39)</f>
        <v>-397.755920036274</v>
      </c>
      <c r="Q211" s="28" t="n">
        <f aca="false">-(Q182*(1-Logistica!$B$5)*Logistica!$B$7+Q182*Logistica!$B$5*Logistica!$B$39)</f>
        <v>-439.452846619983</v>
      </c>
      <c r="R211" s="28" t="n">
        <f aca="false">-(R182*(1-Logistica!$B$5)*Logistica!$B$7+R182*Logistica!$B$5*Logistica!$B$39)</f>
        <v>-481.149773203691</v>
      </c>
      <c r="S211" s="28" t="n">
        <f aca="false">-(S182*(1-Logistica!$B$5)*Logistica!$B$7+S182*Logistica!$B$5*Logistica!$B$39)</f>
        <v>-522.8466997874</v>
      </c>
      <c r="T211" s="28" t="n">
        <f aca="false">-(T182*(1-Logistica!$B$5)*Logistica!$B$7+T182*Logistica!$B$5*Logistica!$B$39)</f>
        <v>-564.543626371109</v>
      </c>
      <c r="U211" s="28" t="n">
        <f aca="false">-(U182*(1-Logistica!$B$5)*Logistica!$B$7+U182*Logistica!$B$5*Logistica!$B$39)</f>
        <v>-606.240552954817</v>
      </c>
      <c r="V211" s="28" t="n">
        <f aca="false">-(V182*(1-Logistica!$B$5)*Logistica!$B$7+V182*Logistica!$B$5*Logistica!$B$39)</f>
        <v>-647.937479538526</v>
      </c>
      <c r="W211" s="28" t="n">
        <f aca="false">-(W182*(1-Logistica!$B$5)*Logistica!$B$7+W182*Logistica!$B$5*Logistica!$B$39)</f>
        <v>-689.634406122235</v>
      </c>
      <c r="X211" s="28" t="n">
        <f aca="false">-(X182*(1-Logistica!$B$5)*Logistica!$B$7+X182*Logistica!$B$5*Logistica!$B$39)</f>
        <v>-714.557742357506</v>
      </c>
      <c r="Y211" s="28" t="n">
        <f aca="false">-(Y182*(1-Logistica!$B$5)*Logistica!$B$7+Y182*Logistica!$B$5*Logistica!$B$39)</f>
        <v>-739.481078592777</v>
      </c>
      <c r="Z211" s="28" t="n">
        <f aca="false">-(Z182*(1-Logistica!$B$5)*Logistica!$B$7+Z182*Logistica!$B$5*Logistica!$B$39)</f>
        <v>-757.694978688673</v>
      </c>
      <c r="AA211" s="28" t="n">
        <f aca="false">-(AA182*(1-Logistica!$B$5)*Logistica!$B$7+AA182*Logistica!$B$5*Logistica!$B$39)</f>
        <v>-778.784757747079</v>
      </c>
      <c r="AB211" s="28" t="n">
        <f aca="false">-(AB182*(1-Logistica!$B$5)*Logistica!$B$7+AB182*Logistica!$B$5*Logistica!$B$39)</f>
        <v>-799.874536805485</v>
      </c>
      <c r="AC211" s="28" t="n">
        <f aca="false">-(AC182*(1-Logistica!$B$5)*Logistica!$B$7+AC182*Logistica!$B$5*Logistica!$B$39)</f>
        <v>-820.964315863891</v>
      </c>
      <c r="AD211" s="28" t="n">
        <f aca="false">-(AD182*(1-Logistica!$B$5)*Logistica!$B$7+AD182*Logistica!$B$5*Logistica!$B$39)</f>
        <v>-842.054094922298</v>
      </c>
      <c r="AE211" s="28" t="n">
        <f aca="false">-(AE182*(1-Logistica!$B$5)*Logistica!$B$7+AE182*Logistica!$B$5*Logistica!$B$39)</f>
        <v>-863.143873980704</v>
      </c>
      <c r="AF211" s="28" t="n">
        <f aca="false">-(AF182*(1-Logistica!$B$5)*Logistica!$B$7+AF182*Logistica!$B$5*Logistica!$B$39)</f>
        <v>-884.23365303911</v>
      </c>
      <c r="AG211" s="28" t="n">
        <f aca="false">-(AG182*(1-Logistica!$B$5)*Logistica!$B$7+AG182*Logistica!$B$5*Logistica!$B$39)</f>
        <v>-905.323432097516</v>
      </c>
      <c r="AH211" s="28" t="n">
        <f aca="false">-(AH182*(1-Logistica!$B$5)*Logistica!$B$7+AH182*Logistica!$B$5*Logistica!$B$39)</f>
        <v>-926.413211155922</v>
      </c>
      <c r="AI211" s="28" t="n">
        <f aca="false">-(AI182*(1-Logistica!$B$5)*Logistica!$B$7+AI182*Logistica!$B$5*Logistica!$B$39)</f>
        <v>-947.502990214328</v>
      </c>
      <c r="AJ211" s="28" t="n">
        <f aca="false">-(AJ182*(1-Logistica!$B$5)*Logistica!$B$7+AJ182*Logistica!$B$5*Logistica!$B$39)</f>
        <v>-968.592769272734</v>
      </c>
      <c r="AK211" s="28" t="n">
        <f aca="false">-(AK182*(1-Logistica!$B$5)*Logistica!$B$7+AK182*Logistica!$B$5*Logistica!$B$39)</f>
        <v>-989.68254833114</v>
      </c>
      <c r="AL211" s="28" t="n">
        <f aca="false">-(AL182*(1-Logistica!$B$5)*Logistica!$B$7+AL182*Logistica!$B$5*Logistica!$B$39)</f>
        <v>-1010.77232738955</v>
      </c>
      <c r="AM211" s="28" t="n">
        <f aca="false">-(AM182*(1-Logistica!$B$5)*Logistica!$B$7+AM182*Logistica!$B$5*Logistica!$B$39)</f>
        <v>-1031.86210644795</v>
      </c>
      <c r="AN211" s="28" t="n">
        <f aca="false">-(AN182*(1-Logistica!$B$5)*Logistica!$B$7+AN182*Logistica!$B$5*Logistica!$B$39)</f>
        <v>-1052.95188550636</v>
      </c>
      <c r="AO211" s="28" t="n">
        <f aca="false">-(AO182*(1-Logistica!$B$5)*Logistica!$B$7+AO182*Logistica!$B$5*Logistica!$B$39)</f>
        <v>-1074.04166456476</v>
      </c>
      <c r="AP211" s="28" t="n">
        <f aca="false">-(AP182*(1-Logistica!$B$5)*Logistica!$B$7+AP182*Logistica!$B$5*Logistica!$B$39)</f>
        <v>-1095.13144362317</v>
      </c>
      <c r="AQ211" s="28" t="n">
        <f aca="false">-(AQ182*(1-Logistica!$B$5)*Logistica!$B$7+AQ182*Logistica!$B$5*Logistica!$B$39)</f>
        <v>-1116.22122268158</v>
      </c>
      <c r="AR211" s="28" t="n">
        <f aca="false">-(AR182*(1-Logistica!$B$5)*Logistica!$B$7+AR182*Logistica!$B$5*Logistica!$B$39)</f>
        <v>-1137.31100173998</v>
      </c>
      <c r="AS211" s="28" t="n">
        <f aca="false">-(AS182*(1-Logistica!$B$5)*Logistica!$B$7+AS182*Logistica!$B$5*Logistica!$B$39)</f>
        <v>-1137.31100173998</v>
      </c>
      <c r="AT211" s="28" t="n">
        <f aca="false">-(AT182*(1-Logistica!$B$5)*Logistica!$B$7+AT182*Logistica!$B$5*Logistica!$B$39)</f>
        <v>-1137.31100173998</v>
      </c>
      <c r="AU211" s="28" t="n">
        <f aca="false">-(AU182*(1-Logistica!$B$5)*Logistica!$B$7+AU182*Logistica!$B$5*Logistica!$B$39)</f>
        <v>-1137.31100173998</v>
      </c>
      <c r="AV211" s="28" t="n">
        <f aca="false">-(AV182*(1-Logistica!$B$5)*Logistica!$B$7+AV182*Logistica!$B$5*Logistica!$B$39)</f>
        <v>-1137.31100173998</v>
      </c>
      <c r="AW211" s="28" t="n">
        <f aca="false">-(AW182*(1-Logistica!$B$5)*Logistica!$B$7+AW182*Logistica!$B$5*Logistica!$B$39)</f>
        <v>-1137.31100173998</v>
      </c>
      <c r="AX211" s="28" t="n">
        <f aca="false">-(AX182*(1-Logistica!$B$5)*Logistica!$B$7+AX182*Logistica!$B$5*Logistica!$B$39)</f>
        <v>-1137.31100173998</v>
      </c>
      <c r="AY211" s="28" t="n">
        <f aca="false">-(AY182*(1-Logistica!$B$5)*Logistica!$B$7+AY182*Logistica!$B$5*Logistica!$B$39)</f>
        <v>-1137.31100173998</v>
      </c>
      <c r="AZ211" s="28" t="n">
        <f aca="false">-(AZ182*(1-Logistica!$B$5)*Logistica!$B$7+AZ182*Logistica!$B$5*Logistica!$B$39)</f>
        <v>-1137.31100173998</v>
      </c>
      <c r="BA211" s="28" t="n">
        <f aca="false">-(BA182*(1-Logistica!$B$5)*Logistica!$B$7+BA182*Logistica!$B$5*Logistica!$B$39)</f>
        <v>-1137.31100173998</v>
      </c>
      <c r="BB211" s="28" t="n">
        <f aca="false">-(BB182*(1-Logistica!$B$5)*Logistica!$B$7+BB182*Logistica!$B$5*Logistica!$B$39)</f>
        <v>-1137.31100173998</v>
      </c>
      <c r="BC211" s="28" t="n">
        <f aca="false">-(BC182*(1-Logistica!$B$5)*Logistica!$B$7+BC182*Logistica!$B$5*Logistica!$B$39)</f>
        <v>-1137.31100173998</v>
      </c>
      <c r="BD211" s="28" t="n">
        <f aca="false">-(BD182*(1-Logistica!$B$5)*Logistica!$B$7+BD182*Logistica!$B$5*Logistica!$B$39)</f>
        <v>-1137.31100173998</v>
      </c>
      <c r="BE211" s="28" t="n">
        <f aca="false">-(BE182*(1-Logistica!$B$5)*Logistica!$B$7+BE182*Logistica!$B$5*Logistica!$B$39)</f>
        <v>-1137.31100173998</v>
      </c>
      <c r="BF211" s="28" t="n">
        <f aca="false">-(BF182*(1-Logistica!$B$5)*Logistica!$B$7+BF182*Logistica!$B$5*Logistica!$B$39)</f>
        <v>-1137.31100173998</v>
      </c>
      <c r="BG211" s="28" t="n">
        <f aca="false">-(BG182*(1-Logistica!$B$5)*Logistica!$B$7+BG182*Logistica!$B$5*Logistica!$B$39)</f>
        <v>-1137.31100173998</v>
      </c>
      <c r="BH211" s="28" t="n">
        <f aca="false">-(BH182*(1-Logistica!$B$5)*Logistica!$B$7+BH182*Logistica!$B$5*Logistica!$B$39)</f>
        <v>-1137.31100173998</v>
      </c>
      <c r="BI211" s="28" t="n">
        <f aca="false">-(BI182*(1-Logistica!$B$5)*Logistica!$B$7+BI182*Logistica!$B$5*Logistica!$B$39)</f>
        <v>-1137.31100173998</v>
      </c>
      <c r="BJ211" s="28" t="n">
        <f aca="false">-(BJ182*(1-Logistica!$B$5)*Logistica!$B$7+BJ182*Logistica!$B$5*Logistica!$B$39)</f>
        <v>-1137.31100173998</v>
      </c>
      <c r="BK211" s="28" t="n">
        <f aca="false">-(BK182*(1-Logistica!$B$5)*Logistica!$B$7+BK182*Logistica!$B$5*Logistica!$B$39)</f>
        <v>-1137.31100173998</v>
      </c>
      <c r="BL211" s="28" t="n">
        <f aca="false">-(BL182*(1-Logistica!$B$5)*Logistica!$B$7+BL182*Logistica!$B$5*Logistica!$B$39)</f>
        <v>-1137.31100173998</v>
      </c>
      <c r="BM211" s="28" t="n">
        <f aca="false">-(BM182*(1-Logistica!$B$5)*Logistica!$B$7+BM182*Logistica!$B$5*Logistica!$B$39)</f>
        <v>-1137.31100173998</v>
      </c>
      <c r="BN211" s="28" t="n">
        <f aca="false">-(BN182*(1-Logistica!$B$5)*Logistica!$B$7+BN182*Logistica!$B$5*Logistica!$B$39)</f>
        <v>-1137.31100173998</v>
      </c>
      <c r="BO211" s="28" t="n">
        <f aca="false">-(BO182*(1-Logistica!$B$5)*Logistica!$B$7+BO182*Logistica!$B$5*Logistica!$B$39)</f>
        <v>-1137.31100173998</v>
      </c>
      <c r="BP211" s="28" t="n">
        <f aca="false">-(BP182*(1-Logistica!$B$5)*Logistica!$B$7+BP182*Logistica!$B$5*Logistica!$B$39)</f>
        <v>-1137.31100173998</v>
      </c>
      <c r="BQ211" s="28" t="n">
        <f aca="false">-(BQ182*(1-Logistica!$B$5)*Logistica!$B$7+BQ182*Logistica!$B$5*Logistica!$B$39)</f>
        <v>-1137.31100173998</v>
      </c>
      <c r="BR211" s="28" t="n">
        <f aca="false">-(BR182*(1-Logistica!$B$5)*Logistica!$B$7+BR182*Logistica!$B$5*Logistica!$B$39)</f>
        <v>-1137.31100173998</v>
      </c>
      <c r="BS211" s="28" t="n">
        <f aca="false">-(BS182*(1-Logistica!$B$5)*Logistica!$B$7+BS182*Logistica!$B$5*Logistica!$B$39)</f>
        <v>-1137.31100173998</v>
      </c>
      <c r="BT211" s="28" t="n">
        <f aca="false">-(BT182*(1-Logistica!$B$5)*Logistica!$B$7+BT182*Logistica!$B$5*Logistica!$B$39)</f>
        <v>-1137.31100173998</v>
      </c>
      <c r="BU211" s="28" t="n">
        <f aca="false">-(BU182*(1-Logistica!$B$5)*Logistica!$B$7+BU182*Logistica!$B$5*Logistica!$B$39)</f>
        <v>-1137.31100173998</v>
      </c>
      <c r="BV211" s="28" t="n">
        <f aca="false">-(BV182*(1-Logistica!$B$5)*Logistica!$B$7+BV182*Logistica!$B$5*Logistica!$B$39)</f>
        <v>-1137.31100173998</v>
      </c>
      <c r="BW211" s="28" t="n">
        <f aca="false">-(BW182*(1-Logistica!$B$5)*Logistica!$B$7+BW182*Logistica!$B$5*Logistica!$B$39)</f>
        <v>-1137.31100173998</v>
      </c>
      <c r="BX211" s="28" t="n">
        <f aca="false">-(BX182*(1-Logistica!$B$5)*Logistica!$B$7+BX182*Logistica!$B$5*Logistica!$B$39)</f>
        <v>-1137.31100173998</v>
      </c>
      <c r="BY211" s="28" t="n">
        <f aca="false">-(BY182*(1-Logistica!$B$5)*Logistica!$B$7+BY182*Logistica!$B$5*Logistica!$B$39)</f>
        <v>-1137.31100173998</v>
      </c>
      <c r="BZ211" s="28" t="n">
        <f aca="false">-(BZ182*(1-Logistica!$B$5)*Logistica!$B$7+BZ182*Logistica!$B$5*Logistica!$B$39)</f>
        <v>-1137.31100173998</v>
      </c>
      <c r="CA211" s="28" t="n">
        <f aca="false">-(CA182*(1-Logistica!$B$5)*Logistica!$B$7+CA182*Logistica!$B$5*Logistica!$B$39)</f>
        <v>-1137.31100173998</v>
      </c>
      <c r="CB211" s="28" t="n">
        <f aca="false">-(CB182*(1-Logistica!$B$5)*Logistica!$B$7+CB182*Logistica!$B$5*Logistica!$B$39)</f>
        <v>-1137.31100173998</v>
      </c>
      <c r="CC211" s="28" t="n">
        <f aca="false">-(CC182*(1-Logistica!$B$5)*Logistica!$B$7+CC182*Logistica!$B$5*Logistica!$B$39)</f>
        <v>-1137.31100173998</v>
      </c>
      <c r="CD211" s="28" t="n">
        <f aca="false">-(CD182*(1-Logistica!$B$5)*Logistica!$B$7+CD182*Logistica!$B$5*Logistica!$B$39)</f>
        <v>-1137.31100173998</v>
      </c>
      <c r="CE211" s="28" t="n">
        <f aca="false">-(CE182*(1-Logistica!$B$5)*Logistica!$B$7+CE182*Logistica!$B$5*Logistica!$B$39)</f>
        <v>-1137.31100173998</v>
      </c>
      <c r="CF211" s="28" t="n">
        <f aca="false">-(CF182*(1-Logistica!$B$5)*Logistica!$B$7+CF182*Logistica!$B$5*Logistica!$B$39)</f>
        <v>-1137.31100173998</v>
      </c>
      <c r="CG211" s="28" t="n">
        <f aca="false">-(CG182*(1-Logistica!$B$5)*Logistica!$B$7+CG182*Logistica!$B$5*Logistica!$B$39)</f>
        <v>-1137.31100173998</v>
      </c>
      <c r="CH211" s="28" t="n">
        <f aca="false">-(CH182*(1-Logistica!$B$5)*Logistica!$B$7+CH182*Logistica!$B$5*Logistica!$B$39)</f>
        <v>-1137.31100173998</v>
      </c>
    </row>
    <row r="212" customFormat="false" ht="15" hidden="false" customHeight="false" outlineLevel="0" collapsed="false">
      <c r="A212" s="1" t="s">
        <v>873</v>
      </c>
      <c r="C212" s="28" t="n">
        <f aca="false">(C186+C192)*Hipótesis!$F$66/30</f>
        <v>929.8125</v>
      </c>
      <c r="D212" s="28" t="n">
        <f aca="false">(D186+D192)*Hipótesis!$F$66/30</f>
        <v>1930.095</v>
      </c>
      <c r="E212" s="28" t="n">
        <f aca="false">(E186+E192)*Hipótesis!$F$66/30</f>
        <v>4011.89625</v>
      </c>
      <c r="F212" s="28" t="n">
        <f aca="false">(F186+F192)*Hipótesis!$F$66/30</f>
        <v>5163.885</v>
      </c>
      <c r="G212" s="28" t="n">
        <f aca="false">(G186+G192)*Hipótesis!$F$66/30</f>
        <v>6245.40375</v>
      </c>
      <c r="H212" s="28" t="n">
        <f aca="false">(H186+H192)*Hipótesis!$F$66/30</f>
        <v>7972.8975</v>
      </c>
      <c r="I212" s="28" t="n">
        <f aca="false">(I186+I192)*Hipótesis!$F$66/30</f>
        <v>9803.48726882432</v>
      </c>
      <c r="J212" s="28" t="n">
        <f aca="false">(J186+J192)*Hipótesis!$F$66/30</f>
        <v>13489.8053764865</v>
      </c>
      <c r="K212" s="28" t="n">
        <f aca="false">(K186+K192)*Hipótesis!$F$66/30</f>
        <v>17176.1234841486</v>
      </c>
      <c r="L212" s="28" t="n">
        <f aca="false">(L186+L192)*Hipótesis!$F$66/30</f>
        <v>20862.4415918108</v>
      </c>
      <c r="M212" s="28" t="n">
        <f aca="false">(M186+M192)*Hipótesis!$F$66/30</f>
        <v>23467.240949473</v>
      </c>
      <c r="N212" s="28" t="n">
        <f aca="false">(N186+N192)*Hipótesis!$F$66/30</f>
        <v>26952.9153071351</v>
      </c>
      <c r="O212" s="28" t="n">
        <f aca="false">(O186+O192)*Hipótesis!$F$66/30</f>
        <v>30438.5896647973</v>
      </c>
      <c r="P212" s="28" t="n">
        <f aca="false">(P186+P192)*Hipótesis!$F$66/30</f>
        <v>33607.1490224595</v>
      </c>
      <c r="Q212" s="28" t="n">
        <f aca="false">(Q186+Q192)*Hipótesis!$F$66/30</f>
        <v>36775.7083801216</v>
      </c>
      <c r="R212" s="28" t="n">
        <f aca="false">(R186+R192)*Hipótesis!$F$66/30</f>
        <v>39944.2677377838</v>
      </c>
      <c r="S212" s="28" t="n">
        <f aca="false">(S186+S192)*Hipótesis!$F$66/30</f>
        <v>43112.8270954459</v>
      </c>
      <c r="T212" s="28" t="n">
        <f aca="false">(T186+T192)*Hipótesis!$F$66/30</f>
        <v>46281.3864531081</v>
      </c>
      <c r="U212" s="28" t="n">
        <f aca="false">(U186+U192)*Hipótesis!$F$66/30</f>
        <v>49449.9458107703</v>
      </c>
      <c r="V212" s="28" t="n">
        <f aca="false">(V186+V192)*Hipótesis!$F$66/30</f>
        <v>52618.5051684324</v>
      </c>
      <c r="W212" s="28" t="n">
        <f aca="false">(W186+W192)*Hipótesis!$F$66/30</f>
        <v>55787.0645260946</v>
      </c>
      <c r="X212" s="28" t="n">
        <f aca="false">(X186+X192)*Hipótesis!$F$66/30</f>
        <v>58074.7488837568</v>
      </c>
      <c r="Y212" s="28" t="n">
        <f aca="false">(Y186+Y192)*Hipótesis!$F$66/30</f>
        <v>60362.4332414189</v>
      </c>
      <c r="Z212" s="28" t="n">
        <f aca="false">(Z186+Z192)*Hipótesis!$F$66/30</f>
        <v>62321.2575990811</v>
      </c>
      <c r="AA212" s="28" t="n">
        <f aca="false">(AA186+AA192)*Hipótesis!$F$66/30</f>
        <v>64589.3700132162</v>
      </c>
      <c r="AB212" s="28" t="n">
        <f aca="false">(AB186+AB192)*Hipótesis!$F$66/30</f>
        <v>66857.4824273514</v>
      </c>
      <c r="AC212" s="28" t="n">
        <f aca="false">(AC186+AC192)*Hipótesis!$F$66/30</f>
        <v>69125.5948414865</v>
      </c>
      <c r="AD212" s="28" t="n">
        <f aca="false">(AD186+AD192)*Hipótesis!$F$66/30</f>
        <v>71393.7072556216</v>
      </c>
      <c r="AE212" s="28" t="n">
        <f aca="false">(AE186+AE192)*Hipótesis!$F$66/30</f>
        <v>73661.8196697568</v>
      </c>
      <c r="AF212" s="28" t="n">
        <f aca="false">(AF186+AF192)*Hipótesis!$F$66/30</f>
        <v>75929.9320838919</v>
      </c>
      <c r="AG212" s="28" t="n">
        <f aca="false">(AG186+AG192)*Hipótesis!$F$66/30</f>
        <v>78198.044498027</v>
      </c>
      <c r="AH212" s="28" t="n">
        <f aca="false">(AH186+AH192)*Hipótesis!$F$66/30</f>
        <v>80466.1569121622</v>
      </c>
      <c r="AI212" s="28" t="n">
        <f aca="false">(AI186+AI192)*Hipótesis!$F$66/30</f>
        <v>82734.2693262973</v>
      </c>
      <c r="AJ212" s="28" t="n">
        <f aca="false">(AJ186+AJ192)*Hipótesis!$F$66/30</f>
        <v>85002.3817404324</v>
      </c>
      <c r="AK212" s="28" t="n">
        <f aca="false">(AK186+AK192)*Hipótesis!$F$66/30</f>
        <v>87270.4941545676</v>
      </c>
      <c r="AL212" s="28" t="n">
        <f aca="false">(AL186+AL192)*Hipótesis!$F$66/30</f>
        <v>89538.6065687027</v>
      </c>
      <c r="AM212" s="28" t="n">
        <f aca="false">(AM186+AM192)*Hipótesis!$F$66/30</f>
        <v>91806.7189828378</v>
      </c>
      <c r="AN212" s="28" t="n">
        <f aca="false">(AN186+AN192)*Hipótesis!$F$66/30</f>
        <v>94074.831396973</v>
      </c>
      <c r="AO212" s="28" t="n">
        <f aca="false">(AO186+AO192)*Hipótesis!$F$66/30</f>
        <v>96342.9438111081</v>
      </c>
      <c r="AP212" s="28" t="n">
        <f aca="false">(AP186+AP192)*Hipótesis!$F$66/30</f>
        <v>98611.0562252433</v>
      </c>
      <c r="AQ212" s="28" t="n">
        <f aca="false">(AQ186+AQ192)*Hipótesis!$F$66/30</f>
        <v>100879.168639378</v>
      </c>
      <c r="AR212" s="28" t="n">
        <f aca="false">(AR186+AR192)*Hipótesis!$F$66/30</f>
        <v>103147.281053514</v>
      </c>
      <c r="AS212" s="28" t="n">
        <f aca="false">(AS186+AS192)*Hipótesis!$F$66/30</f>
        <v>103147.281053514</v>
      </c>
      <c r="AT212" s="28" t="n">
        <f aca="false">(AT186+AT192)*Hipótesis!$F$66/30</f>
        <v>103147.281053514</v>
      </c>
      <c r="AU212" s="28" t="n">
        <f aca="false">(AU186+AU192)*Hipótesis!$F$66/30</f>
        <v>103147.281053514</v>
      </c>
      <c r="AV212" s="28" t="n">
        <f aca="false">(AV186+AV192)*Hipótesis!$F$66/30</f>
        <v>103147.281053514</v>
      </c>
      <c r="AW212" s="28" t="n">
        <f aca="false">(AW186+AW192)*Hipótesis!$F$66/30</f>
        <v>103147.281053514</v>
      </c>
      <c r="AX212" s="28" t="n">
        <f aca="false">(AX186+AX192)*Hipótesis!$F$66/30</f>
        <v>103147.281053514</v>
      </c>
      <c r="AY212" s="28" t="n">
        <f aca="false">(AY186+AY192)*Hipótesis!$F$66/30</f>
        <v>103147.281053514</v>
      </c>
      <c r="AZ212" s="28" t="n">
        <f aca="false">(AZ186+AZ192)*Hipótesis!$F$66/30</f>
        <v>103147.281053514</v>
      </c>
      <c r="BA212" s="28" t="n">
        <f aca="false">(BA186+BA192)*Hipótesis!$F$66/30</f>
        <v>103147.281053514</v>
      </c>
      <c r="BB212" s="28" t="n">
        <f aca="false">(BB186+BB192)*Hipótesis!$F$66/30</f>
        <v>103147.281053514</v>
      </c>
      <c r="BC212" s="28" t="n">
        <f aca="false">(BC186+BC192)*Hipótesis!$F$66/30</f>
        <v>103147.281053514</v>
      </c>
      <c r="BD212" s="28" t="n">
        <f aca="false">(BD186+BD192)*Hipótesis!$F$66/30</f>
        <v>103147.281053514</v>
      </c>
      <c r="BE212" s="28" t="n">
        <f aca="false">(BE186+BE192)*Hipótesis!$F$66/30</f>
        <v>103147.281053514</v>
      </c>
      <c r="BF212" s="28" t="n">
        <f aca="false">(BF186+BF192)*Hipótesis!$F$66/30</f>
        <v>103147.281053514</v>
      </c>
      <c r="BG212" s="28" t="n">
        <f aca="false">(BG186+BG192)*Hipótesis!$F$66/30</f>
        <v>103147.281053514</v>
      </c>
      <c r="BH212" s="28" t="n">
        <f aca="false">(BH186+BH192)*Hipótesis!$F$66/30</f>
        <v>103147.281053514</v>
      </c>
      <c r="BI212" s="28" t="n">
        <f aca="false">(BI186+BI192)*Hipótesis!$F$66/30</f>
        <v>103147.281053514</v>
      </c>
      <c r="BJ212" s="28" t="n">
        <f aca="false">(BJ186+BJ192)*Hipótesis!$F$66/30</f>
        <v>103147.281053514</v>
      </c>
      <c r="BK212" s="28" t="n">
        <f aca="false">(BK186+BK192)*Hipótesis!$F$66/30</f>
        <v>103147.281053514</v>
      </c>
      <c r="BL212" s="28" t="n">
        <f aca="false">(BL186+BL192)*Hipótesis!$F$66/30</f>
        <v>103147.281053514</v>
      </c>
      <c r="BM212" s="28" t="n">
        <f aca="false">(BM186+BM192)*Hipótesis!$F$66/30</f>
        <v>103147.281053514</v>
      </c>
      <c r="BN212" s="28" t="n">
        <f aca="false">(BN186+BN192)*Hipótesis!$F$66/30</f>
        <v>103147.281053514</v>
      </c>
      <c r="BO212" s="28" t="n">
        <f aca="false">(BO186+BO192)*Hipótesis!$F$66/30</f>
        <v>103147.281053514</v>
      </c>
      <c r="BP212" s="28" t="n">
        <f aca="false">(BP186+BP192)*Hipótesis!$F$66/30</f>
        <v>103147.281053514</v>
      </c>
      <c r="BQ212" s="28" t="n">
        <f aca="false">(BQ186+BQ192)*Hipótesis!$F$66/30</f>
        <v>103147.281053514</v>
      </c>
      <c r="BR212" s="28" t="n">
        <f aca="false">(BR186+BR192)*Hipótesis!$F$66/30</f>
        <v>103147.281053514</v>
      </c>
      <c r="BS212" s="28" t="n">
        <f aca="false">(BS186+BS192)*Hipótesis!$F$66/30</f>
        <v>103147.281053514</v>
      </c>
      <c r="BT212" s="28" t="n">
        <f aca="false">(BT186+BT192)*Hipótesis!$F$66/30</f>
        <v>103147.281053514</v>
      </c>
      <c r="BU212" s="28" t="n">
        <f aca="false">(BU186+BU192)*Hipótesis!$F$66/30</f>
        <v>103147.281053514</v>
      </c>
      <c r="BV212" s="28" t="n">
        <f aca="false">(BV186+BV192)*Hipótesis!$F$66/30</f>
        <v>103147.281053514</v>
      </c>
      <c r="BW212" s="28" t="n">
        <f aca="false">(BW186+BW192)*Hipótesis!$F$66/30</f>
        <v>103147.281053514</v>
      </c>
      <c r="BX212" s="28" t="n">
        <f aca="false">(BX186+BX192)*Hipótesis!$F$66/30</f>
        <v>103147.281053514</v>
      </c>
      <c r="BY212" s="28" t="n">
        <f aca="false">(BY186+BY192)*Hipótesis!$F$66/30</f>
        <v>103147.281053514</v>
      </c>
      <c r="BZ212" s="28" t="n">
        <f aca="false">(BZ186+BZ192)*Hipótesis!$F$66/30</f>
        <v>103147.281053514</v>
      </c>
      <c r="CA212" s="28" t="n">
        <f aca="false">(CA186+CA192)*Hipótesis!$F$66/30</f>
        <v>103147.281053514</v>
      </c>
      <c r="CB212" s="28" t="n">
        <f aca="false">(CB186+CB192)*Hipótesis!$F$66/30</f>
        <v>103147.281053514</v>
      </c>
      <c r="CC212" s="28" t="n">
        <f aca="false">(CC186+CC192)*Hipótesis!$F$66/30</f>
        <v>103147.281053514</v>
      </c>
      <c r="CD212" s="28" t="n">
        <f aca="false">(CD186+CD192)*Hipótesis!$F$66/30</f>
        <v>103147.281053514</v>
      </c>
      <c r="CE212" s="28" t="n">
        <f aca="false">(CE186+CE192)*Hipótesis!$F$66/30</f>
        <v>103147.281053514</v>
      </c>
      <c r="CF212" s="28" t="n">
        <f aca="false">(CF186+CF192)*Hipótesis!$F$66/30</f>
        <v>103147.281053514</v>
      </c>
      <c r="CG212" s="28" t="n">
        <f aca="false">(CG186+CG192)*Hipótesis!$F$66/30</f>
        <v>103147.281053514</v>
      </c>
      <c r="CH212" s="28" t="n">
        <f aca="false">(CH186+CH192)*Hipótesis!$F$66/30</f>
        <v>103147.281053514</v>
      </c>
    </row>
    <row r="213" customFormat="false" ht="15" hidden="false" customHeight="false" outlineLevel="0" collapsed="false">
      <c r="A213" s="1" t="s">
        <v>874</v>
      </c>
      <c r="C213" s="28" t="n">
        <f aca="false">(C190+C193)*Restaurantes!$D$28/30</f>
        <v>1160.15658604054</v>
      </c>
      <c r="D213" s="28" t="n">
        <f aca="false">(D190+D193)*Restaurantes!$D$28/30</f>
        <v>2320.31317208108</v>
      </c>
      <c r="E213" s="28" t="n">
        <f aca="false">(E190+E193)*Restaurantes!$D$28/30</f>
        <v>3480.46975812162</v>
      </c>
      <c r="F213" s="28" t="n">
        <f aca="false">(F190+F193)*Restaurantes!$D$28/30</f>
        <v>4640.62634416216</v>
      </c>
      <c r="G213" s="28" t="n">
        <f aca="false">(G190+G193)*Restaurantes!$D$28/30</f>
        <v>870.117439530406</v>
      </c>
      <c r="H213" s="28" t="n">
        <f aca="false">(H190+H193)*Restaurantes!$D$28/30</f>
        <v>6960.93951624325</v>
      </c>
      <c r="I213" s="28" t="n">
        <f aca="false">(I190+I193)*Restaurantes!$D$28/30</f>
        <v>8121.09610228379</v>
      </c>
      <c r="J213" s="28" t="n">
        <f aca="false">(J190+J193)*Restaurantes!$D$28/30</f>
        <v>9281.25268832433</v>
      </c>
      <c r="K213" s="28" t="n">
        <f aca="false">(K190+K193)*Restaurantes!$D$28/30</f>
        <v>10441.4092743649</v>
      </c>
      <c r="L213" s="28" t="n">
        <f aca="false">(L190+L193)*Restaurantes!$D$28/30</f>
        <v>11601.5658604054</v>
      </c>
      <c r="M213" s="28" t="n">
        <f aca="false">(M190+M193)*Restaurantes!$D$28/30</f>
        <v>12761.7224464459</v>
      </c>
      <c r="N213" s="28" t="n">
        <f aca="false">(N190+N193)*Restaurantes!$D$28/30</f>
        <v>13921.8790324865</v>
      </c>
      <c r="O213" s="28" t="n">
        <f aca="false">(O190+O193)*Restaurantes!$D$28/30</f>
        <v>15082.035618527</v>
      </c>
      <c r="P213" s="28" t="n">
        <f aca="false">(P190+P193)*Restaurantes!$D$28/30</f>
        <v>16242.1922045676</v>
      </c>
      <c r="Q213" s="28" t="n">
        <f aca="false">(Q190+Q193)*Restaurantes!$D$28/30</f>
        <v>17402.3487906081</v>
      </c>
      <c r="R213" s="28" t="n">
        <f aca="false">(R190+R193)*Restaurantes!$D$28/30</f>
        <v>18562.5053766487</v>
      </c>
      <c r="S213" s="28" t="n">
        <f aca="false">(S190+S193)*Restaurantes!$D$28/30</f>
        <v>2958.39929440338</v>
      </c>
      <c r="T213" s="28" t="n">
        <f aca="false">(T190+T193)*Restaurantes!$D$28/30</f>
        <v>20882.8185487297</v>
      </c>
      <c r="U213" s="28" t="n">
        <f aca="false">(U190+U193)*Restaurantes!$D$28/30</f>
        <v>22042.9751347703</v>
      </c>
      <c r="V213" s="28" t="n">
        <f aca="false">(V190+V193)*Restaurantes!$D$28/30</f>
        <v>23203.1317208108</v>
      </c>
      <c r="W213" s="28" t="n">
        <f aca="false">(W190+W193)*Restaurantes!$D$28/30</f>
        <v>24363.2883068514</v>
      </c>
      <c r="X213" s="28" t="n">
        <f aca="false">(X190+X193)*Restaurantes!$D$28/30</f>
        <v>25523.4448928919</v>
      </c>
      <c r="Y213" s="28" t="n">
        <f aca="false">(Y190+Y193)*Restaurantes!$D$28/30</f>
        <v>26683.6014789324</v>
      </c>
      <c r="Z213" s="28" t="n">
        <f aca="false">(Z190+Z193)*Restaurantes!$D$28/30</f>
        <v>27843.758064973</v>
      </c>
      <c r="AA213" s="28" t="n">
        <f aca="false">(AA190+AA193)*Restaurantes!$D$28/30</f>
        <v>27843.758064973</v>
      </c>
      <c r="AB213" s="28" t="n">
        <f aca="false">(AB190+AB193)*Restaurantes!$D$28/30</f>
        <v>27843.758064973</v>
      </c>
      <c r="AC213" s="28" t="n">
        <f aca="false">(AC190+AC193)*Restaurantes!$D$28/30</f>
        <v>27843.758064973</v>
      </c>
      <c r="AD213" s="28" t="n">
        <f aca="false">(AD190+AD193)*Restaurantes!$D$28/30</f>
        <v>27843.758064973</v>
      </c>
      <c r="AE213" s="28" t="n">
        <f aca="false">(AE190+AE193)*Restaurantes!$D$28/30</f>
        <v>4176.56370974595</v>
      </c>
      <c r="AF213" s="28" t="n">
        <f aca="false">(AF190+AF193)*Restaurantes!$D$28/30</f>
        <v>27843.758064973</v>
      </c>
      <c r="AG213" s="28" t="n">
        <f aca="false">(AG190+AG193)*Restaurantes!$D$28/30</f>
        <v>27843.758064973</v>
      </c>
      <c r="AH213" s="28" t="n">
        <f aca="false">(AH190+AH193)*Restaurantes!$D$28/30</f>
        <v>27843.758064973</v>
      </c>
      <c r="AI213" s="28" t="n">
        <f aca="false">(AI190+AI193)*Restaurantes!$D$28/30</f>
        <v>27843.758064973</v>
      </c>
      <c r="AJ213" s="28" t="n">
        <f aca="false">(AJ190+AJ193)*Restaurantes!$D$28/30</f>
        <v>27843.758064973</v>
      </c>
      <c r="AK213" s="28" t="n">
        <f aca="false">(AK190+AK193)*Restaurantes!$D$28/30</f>
        <v>27843.758064973</v>
      </c>
      <c r="AL213" s="28" t="n">
        <f aca="false">(AL190+AL193)*Restaurantes!$D$28/30</f>
        <v>27843.758064973</v>
      </c>
      <c r="AM213" s="28" t="n">
        <f aca="false">(AM190+AM193)*Restaurantes!$D$28/30</f>
        <v>27843.758064973</v>
      </c>
      <c r="AN213" s="28" t="n">
        <f aca="false">(AN190+AN193)*Restaurantes!$D$28/30</f>
        <v>27843.758064973</v>
      </c>
      <c r="AO213" s="28" t="n">
        <f aca="false">(AO190+AO193)*Restaurantes!$D$28/30</f>
        <v>27843.758064973</v>
      </c>
      <c r="AP213" s="28" t="n">
        <f aca="false">(AP190+AP193)*Restaurantes!$D$28/30</f>
        <v>27843.758064973</v>
      </c>
      <c r="AQ213" s="28" t="n">
        <f aca="false">(AQ190+AQ193)*Restaurantes!$D$28/30</f>
        <v>4176.56370974595</v>
      </c>
      <c r="AR213" s="28" t="n">
        <f aca="false">(AR190+AR193)*Restaurantes!$D$28/30</f>
        <v>27843.758064973</v>
      </c>
      <c r="AS213" s="28" t="n">
        <f aca="false">(AS190+AS193)*Restaurantes!$D$28/30</f>
        <v>27843.758064973</v>
      </c>
      <c r="AT213" s="28" t="n">
        <f aca="false">(AT190+AT193)*Restaurantes!$D$28/30</f>
        <v>27843.758064973</v>
      </c>
      <c r="AU213" s="28" t="n">
        <f aca="false">(AU190+AU193)*Restaurantes!$D$28/30</f>
        <v>27843.758064973</v>
      </c>
      <c r="AV213" s="28" t="n">
        <f aca="false">(AV190+AV193)*Restaurantes!$D$28/30</f>
        <v>27843.758064973</v>
      </c>
      <c r="AW213" s="28" t="n">
        <f aca="false">(AW190+AW193)*Restaurantes!$D$28/30</f>
        <v>27843.758064973</v>
      </c>
      <c r="AX213" s="28" t="n">
        <f aca="false">(AX190+AX193)*Restaurantes!$D$28/30</f>
        <v>27843.758064973</v>
      </c>
      <c r="AY213" s="28" t="n">
        <f aca="false">(AY190+AY193)*Restaurantes!$D$28/30</f>
        <v>27843.758064973</v>
      </c>
      <c r="AZ213" s="28" t="n">
        <f aca="false">(AZ190+AZ193)*Restaurantes!$D$28/30</f>
        <v>27843.758064973</v>
      </c>
      <c r="BA213" s="28" t="n">
        <f aca="false">(BA190+BA193)*Restaurantes!$D$28/30</f>
        <v>27843.758064973</v>
      </c>
      <c r="BB213" s="28" t="n">
        <f aca="false">(BB190+BB193)*Restaurantes!$D$28/30</f>
        <v>27843.758064973</v>
      </c>
      <c r="BC213" s="28" t="n">
        <f aca="false">(BC190+BC193)*Restaurantes!$D$28/30</f>
        <v>4176.56370974595</v>
      </c>
      <c r="BD213" s="28" t="n">
        <f aca="false">(BD190+BD193)*Restaurantes!$D$28/30</f>
        <v>27843.758064973</v>
      </c>
      <c r="BE213" s="28" t="n">
        <f aca="false">(BE190+BE193)*Restaurantes!$D$28/30</f>
        <v>27843.758064973</v>
      </c>
      <c r="BF213" s="28" t="n">
        <f aca="false">(BF190+BF193)*Restaurantes!$D$28/30</f>
        <v>27843.758064973</v>
      </c>
      <c r="BG213" s="28" t="n">
        <f aca="false">(BG190+BG193)*Restaurantes!$D$28/30</f>
        <v>27843.758064973</v>
      </c>
      <c r="BH213" s="28" t="n">
        <f aca="false">(BH190+BH193)*Restaurantes!$D$28/30</f>
        <v>27843.758064973</v>
      </c>
      <c r="BI213" s="28" t="n">
        <f aca="false">(BI190+BI193)*Restaurantes!$D$28/30</f>
        <v>27843.758064973</v>
      </c>
      <c r="BJ213" s="28" t="n">
        <f aca="false">(BJ190+BJ193)*Restaurantes!$D$28/30</f>
        <v>27843.758064973</v>
      </c>
      <c r="BK213" s="28" t="n">
        <f aca="false">(BK190+BK193)*Restaurantes!$D$28/30</f>
        <v>27843.758064973</v>
      </c>
      <c r="BL213" s="28" t="n">
        <f aca="false">(BL190+BL193)*Restaurantes!$D$28/30</f>
        <v>27843.758064973</v>
      </c>
      <c r="BM213" s="28" t="n">
        <f aca="false">(BM190+BM193)*Restaurantes!$D$28/30</f>
        <v>27843.758064973</v>
      </c>
      <c r="BN213" s="28" t="n">
        <f aca="false">(BN190+BN193)*Restaurantes!$D$28/30</f>
        <v>27843.758064973</v>
      </c>
      <c r="BO213" s="28" t="n">
        <f aca="false">(BO190+BO193)*Restaurantes!$D$28/30</f>
        <v>4176.56370974595</v>
      </c>
      <c r="BP213" s="28" t="n">
        <f aca="false">(BP190+BP193)*Restaurantes!$D$28/30</f>
        <v>27843.758064973</v>
      </c>
      <c r="BQ213" s="28" t="n">
        <f aca="false">(BQ190+BQ193)*Restaurantes!$D$28/30</f>
        <v>27843.758064973</v>
      </c>
      <c r="BR213" s="28" t="n">
        <f aca="false">(BR190+BR193)*Restaurantes!$D$28/30</f>
        <v>27843.758064973</v>
      </c>
      <c r="BS213" s="28" t="n">
        <f aca="false">(BS190+BS193)*Restaurantes!$D$28/30</f>
        <v>27843.758064973</v>
      </c>
      <c r="BT213" s="28" t="n">
        <f aca="false">(BT190+BT193)*Restaurantes!$D$28/30</f>
        <v>27843.758064973</v>
      </c>
      <c r="BU213" s="28" t="n">
        <f aca="false">(BU190+BU193)*Restaurantes!$D$28/30</f>
        <v>27843.758064973</v>
      </c>
      <c r="BV213" s="28" t="n">
        <f aca="false">(BV190+BV193)*Restaurantes!$D$28/30</f>
        <v>27843.758064973</v>
      </c>
      <c r="BW213" s="28" t="n">
        <f aca="false">(BW190+BW193)*Restaurantes!$D$28/30</f>
        <v>27843.758064973</v>
      </c>
      <c r="BX213" s="28" t="n">
        <f aca="false">(BX190+BX193)*Restaurantes!$D$28/30</f>
        <v>27843.758064973</v>
      </c>
      <c r="BY213" s="28" t="n">
        <f aca="false">(BY190+BY193)*Restaurantes!$D$28/30</f>
        <v>27843.758064973</v>
      </c>
      <c r="BZ213" s="28" t="n">
        <f aca="false">(BZ190+BZ193)*Restaurantes!$D$28/30</f>
        <v>27843.758064973</v>
      </c>
      <c r="CA213" s="28" t="n">
        <f aca="false">(CA190+CA193)*Restaurantes!$D$28/30</f>
        <v>4176.56370974595</v>
      </c>
      <c r="CB213" s="28" t="n">
        <f aca="false">(CB190+CB193)*Restaurantes!$D$28/30</f>
        <v>27843.758064973</v>
      </c>
      <c r="CC213" s="28" t="n">
        <f aca="false">(CC190+CC193)*Restaurantes!$D$28/30</f>
        <v>27843.758064973</v>
      </c>
      <c r="CD213" s="28" t="n">
        <f aca="false">(CD190+CD193)*Restaurantes!$D$28/30</f>
        <v>27843.758064973</v>
      </c>
      <c r="CE213" s="28" t="n">
        <f aca="false">(CE190+CE193)*Restaurantes!$D$28/30</f>
        <v>27843.758064973</v>
      </c>
      <c r="CF213" s="28" t="n">
        <f aca="false">(CF190+CF193)*Restaurantes!$D$28/30</f>
        <v>27843.758064973</v>
      </c>
      <c r="CG213" s="28" t="n">
        <f aca="false">(CG190+CG193)*Restaurantes!$D$28/30</f>
        <v>27843.758064973</v>
      </c>
      <c r="CH213" s="28" t="n">
        <f aca="false">(CH190+CH193)*Restaurantes!$D$28/30</f>
        <v>27843.758064973</v>
      </c>
    </row>
    <row r="214" customFormat="false" ht="15" hidden="false" customHeight="false" outlineLevel="0" collapsed="false">
      <c r="A214" s="25" t="s">
        <v>875</v>
      </c>
      <c r="C214" s="156" t="n">
        <f aca="false">C186+C192+C194+C211</f>
        <v>788.389483362265</v>
      </c>
      <c r="D214" s="156" t="n">
        <f aca="false">D186+D192+D194+D211</f>
        <v>1631.26881508583</v>
      </c>
      <c r="E214" s="156" t="n">
        <f aca="false">E186+E192+E194+E211</f>
        <v>3327.68474208545</v>
      </c>
      <c r="F214" s="156" t="n">
        <f aca="false">F186+F192+F194+F211</f>
        <v>4235.7111857228</v>
      </c>
      <c r="G214" s="156" t="n">
        <f aca="false">G186+G192+G194+G211</f>
        <v>5089.24778099885</v>
      </c>
      <c r="H214" s="156" t="n">
        <f aca="false">H186+H192+H194+H211</f>
        <v>6405.65347208147</v>
      </c>
      <c r="I214" s="156" t="n">
        <f aca="false">I186+I192+I194+I211</f>
        <v>7804.87313497221</v>
      </c>
      <c r="J214" s="156" t="n">
        <f aca="false">J186+J192+J194+J211</f>
        <v>10694.7442904091</v>
      </c>
      <c r="K214" s="156" t="n">
        <f aca="false">K186+K192+K194+K211</f>
        <v>13584.6154458459</v>
      </c>
      <c r="L214" s="156" t="n">
        <f aca="false">L186+L192+L194+L211</f>
        <v>16474.4866012828</v>
      </c>
      <c r="M214" s="156" t="n">
        <f aca="false">M186+M192+M194+M211</f>
        <v>18510.8211614436</v>
      </c>
      <c r="N214" s="156" t="n">
        <f aca="false">N186+N192+N194+N211</f>
        <v>21161.6948609594</v>
      </c>
      <c r="O214" s="156" t="n">
        <f aca="false">O186+O192+O194+O211</f>
        <v>23812.5685604753</v>
      </c>
      <c r="P214" s="156" t="n">
        <f aca="false">P186+P192+P194+P211</f>
        <v>26222.8988199265</v>
      </c>
      <c r="Q214" s="156" t="n">
        <f aca="false">Q186+Q192+Q194+Q211</f>
        <v>28633.2290793778</v>
      </c>
      <c r="R214" s="156" t="n">
        <f aca="false">R186+R192+R194+R211</f>
        <v>31043.5593388291</v>
      </c>
      <c r="S214" s="156" t="n">
        <f aca="false">S186+S192+S194+S211</f>
        <v>33453.8895982803</v>
      </c>
      <c r="T214" s="156" t="n">
        <f aca="false">T186+T192+T194+T211</f>
        <v>35864.2198577316</v>
      </c>
      <c r="U214" s="156" t="n">
        <f aca="false">U186+U192+U194+U211</f>
        <v>38274.5501171828</v>
      </c>
      <c r="V214" s="156" t="n">
        <f aca="false">V186+V192+V194+V211</f>
        <v>40684.8803766341</v>
      </c>
      <c r="W214" s="156" t="n">
        <f aca="false">W186+W192+W194+W211</f>
        <v>43095.2106360854</v>
      </c>
      <c r="X214" s="156" t="n">
        <f aca="false">X186+X192+X194+X211</f>
        <v>44891.0017561816</v>
      </c>
      <c r="Y214" s="156" t="n">
        <f aca="false">Y186+Y192+Y194+Y211</f>
        <v>46686.7928762779</v>
      </c>
      <c r="Z214" s="156" t="n">
        <f aca="false">Z186+Z192+Z194+Z211</f>
        <v>48260.2583406321</v>
      </c>
      <c r="AA214" s="156" t="n">
        <f aca="false">AA186+AA192+AA194+AA211</f>
        <v>50082.1657204107</v>
      </c>
      <c r="AB214" s="156" t="n">
        <f aca="false">AB186+AB192+AB194+AB211</f>
        <v>51904.0731001893</v>
      </c>
      <c r="AC214" s="156" t="n">
        <f aca="false">AC186+AC192+AC194+AC211</f>
        <v>53725.9804799679</v>
      </c>
      <c r="AD214" s="156" t="n">
        <f aca="false">AD186+AD192+AD194+AD211</f>
        <v>55547.8878597465</v>
      </c>
      <c r="AE214" s="156" t="n">
        <f aca="false">AE186+AE192+AE194+AE211</f>
        <v>57369.7952395251</v>
      </c>
      <c r="AF214" s="156" t="n">
        <f aca="false">AF186+AF192+AF194+AF211</f>
        <v>59191.7026193037</v>
      </c>
      <c r="AG214" s="156" t="n">
        <f aca="false">AG186+AG192+AG194+AG211</f>
        <v>61013.6099990823</v>
      </c>
      <c r="AH214" s="156" t="n">
        <f aca="false">AH186+AH192+AH194+AH211</f>
        <v>62835.5173788609</v>
      </c>
      <c r="AI214" s="156" t="n">
        <f aca="false">AI186+AI192+AI194+AI211</f>
        <v>64657.4247586395</v>
      </c>
      <c r="AJ214" s="156" t="n">
        <f aca="false">AJ186+AJ192+AJ194+AJ211</f>
        <v>66479.3321384181</v>
      </c>
      <c r="AK214" s="156" t="n">
        <f aca="false">AK186+AK192+AK194+AK211</f>
        <v>68301.2395181967</v>
      </c>
      <c r="AL214" s="156" t="n">
        <f aca="false">AL186+AL192+AL194+AL211</f>
        <v>70123.1468979753</v>
      </c>
      <c r="AM214" s="156" t="n">
        <f aca="false">AM186+AM192+AM194+AM211</f>
        <v>71945.0542777539</v>
      </c>
      <c r="AN214" s="156" t="n">
        <f aca="false">AN186+AN192+AN194+AN211</f>
        <v>73766.9616575324</v>
      </c>
      <c r="AO214" s="156" t="n">
        <f aca="false">AO186+AO192+AO194+AO211</f>
        <v>75588.8690373111</v>
      </c>
      <c r="AP214" s="156" t="n">
        <f aca="false">AP186+AP192+AP194+AP211</f>
        <v>77410.7764170897</v>
      </c>
      <c r="AQ214" s="156" t="n">
        <f aca="false">AQ186+AQ192+AQ194+AQ211</f>
        <v>79232.6837968683</v>
      </c>
      <c r="AR214" s="156" t="n">
        <f aca="false">AR186+AR192+AR194+AR211</f>
        <v>81054.5911766469</v>
      </c>
      <c r="AS214" s="156" t="n">
        <f aca="false">AS186+AS192+AS194+AS211</f>
        <v>81054.5911766469</v>
      </c>
      <c r="AT214" s="156" t="n">
        <f aca="false">AT186+AT192+AT194+AT211</f>
        <v>81054.5911766469</v>
      </c>
      <c r="AU214" s="156" t="n">
        <f aca="false">AU186+AU192+AU194+AU211</f>
        <v>81054.5911766469</v>
      </c>
      <c r="AV214" s="156" t="n">
        <f aca="false">AV186+AV192+AV194+AV211</f>
        <v>81054.5911766469</v>
      </c>
      <c r="AW214" s="156" t="n">
        <f aca="false">AW186+AW192+AW194+AW211</f>
        <v>81054.5911766469</v>
      </c>
      <c r="AX214" s="156" t="n">
        <f aca="false">AX186+AX192+AX194+AX211</f>
        <v>81054.5911766469</v>
      </c>
      <c r="AY214" s="156" t="n">
        <f aca="false">AY186+AY192+AY194+AY211</f>
        <v>81054.5911766469</v>
      </c>
      <c r="AZ214" s="156" t="n">
        <f aca="false">AZ186+AZ192+AZ194+AZ211</f>
        <v>81054.5911766469</v>
      </c>
      <c r="BA214" s="156" t="n">
        <f aca="false">BA186+BA192+BA194+BA211</f>
        <v>81054.5911766469</v>
      </c>
      <c r="BB214" s="156" t="n">
        <f aca="false">BB186+BB192+BB194+BB211</f>
        <v>81054.5911766469</v>
      </c>
      <c r="BC214" s="156" t="n">
        <f aca="false">BC186+BC192+BC194+BC211</f>
        <v>81054.5911766469</v>
      </c>
      <c r="BD214" s="156" t="n">
        <f aca="false">BD186+BD192+BD194+BD211</f>
        <v>81054.5911766469</v>
      </c>
      <c r="BE214" s="156" t="n">
        <f aca="false">BE186+BE192+BE194+BE211</f>
        <v>81054.5911766469</v>
      </c>
      <c r="BF214" s="156" t="n">
        <f aca="false">BF186+BF192+BF194+BF211</f>
        <v>81054.5911766469</v>
      </c>
      <c r="BG214" s="156" t="n">
        <f aca="false">BG186+BG192+BG194+BG211</f>
        <v>81054.5911766469</v>
      </c>
      <c r="BH214" s="156" t="n">
        <f aca="false">BH186+BH192+BH194+BH211</f>
        <v>81054.5911766469</v>
      </c>
      <c r="BI214" s="156" t="n">
        <f aca="false">BI186+BI192+BI194+BI211</f>
        <v>81054.5911766469</v>
      </c>
      <c r="BJ214" s="156" t="n">
        <f aca="false">BJ186+BJ192+BJ194+BJ211</f>
        <v>81054.5911766469</v>
      </c>
      <c r="BK214" s="156" t="n">
        <f aca="false">BK186+BK192+BK194+BK211</f>
        <v>81054.5911766469</v>
      </c>
      <c r="BL214" s="156" t="n">
        <f aca="false">BL186+BL192+BL194+BL211</f>
        <v>81054.5911766469</v>
      </c>
      <c r="BM214" s="156" t="n">
        <f aca="false">BM186+BM192+BM194+BM211</f>
        <v>81054.5911766469</v>
      </c>
      <c r="BN214" s="156" t="n">
        <f aca="false">BN186+BN192+BN194+BN211</f>
        <v>81054.5911766469</v>
      </c>
      <c r="BO214" s="156" t="n">
        <f aca="false">BO186+BO192+BO194+BO211</f>
        <v>81054.5911766469</v>
      </c>
      <c r="BP214" s="156" t="n">
        <f aca="false">BP186+BP192+BP194+BP211</f>
        <v>81054.5911766469</v>
      </c>
      <c r="BQ214" s="156" t="n">
        <f aca="false">BQ186+BQ192+BQ194+BQ211</f>
        <v>81054.5911766469</v>
      </c>
      <c r="BR214" s="156" t="n">
        <f aca="false">BR186+BR192+BR194+BR211</f>
        <v>81054.5911766469</v>
      </c>
      <c r="BS214" s="156" t="n">
        <f aca="false">BS186+BS192+BS194+BS211</f>
        <v>81054.5911766469</v>
      </c>
      <c r="BT214" s="156" t="n">
        <f aca="false">BT186+BT192+BT194+BT211</f>
        <v>81054.5911766469</v>
      </c>
      <c r="BU214" s="156" t="n">
        <f aca="false">BU186+BU192+BU194+BU211</f>
        <v>81054.5911766469</v>
      </c>
      <c r="BV214" s="156" t="n">
        <f aca="false">BV186+BV192+BV194+BV211</f>
        <v>81054.5911766469</v>
      </c>
      <c r="BW214" s="156" t="n">
        <f aca="false">BW186+BW192+BW194+BW211</f>
        <v>81054.5911766469</v>
      </c>
      <c r="BX214" s="156" t="n">
        <f aca="false">BX186+BX192+BX194+BX211</f>
        <v>81054.5911766469</v>
      </c>
      <c r="BY214" s="156" t="n">
        <f aca="false">BY186+BY192+BY194+BY211</f>
        <v>81054.5911766469</v>
      </c>
      <c r="BZ214" s="156" t="n">
        <f aca="false">BZ186+BZ192+BZ194+BZ211</f>
        <v>81054.5911766469</v>
      </c>
      <c r="CA214" s="156" t="n">
        <f aca="false">CA186+CA192+CA194+CA211</f>
        <v>81054.5911766469</v>
      </c>
      <c r="CB214" s="156" t="n">
        <f aca="false">CB186+CB192+CB194+CB211</f>
        <v>81054.5911766469</v>
      </c>
      <c r="CC214" s="156" t="n">
        <f aca="false">CC186+CC192+CC194+CC211</f>
        <v>81054.5911766469</v>
      </c>
      <c r="CD214" s="156" t="n">
        <f aca="false">CD186+CD192+CD194+CD211</f>
        <v>81054.5911766469</v>
      </c>
      <c r="CE214" s="156" t="n">
        <f aca="false">CE186+CE192+CE194+CE211</f>
        <v>81054.5911766469</v>
      </c>
      <c r="CF214" s="156" t="n">
        <f aca="false">CF186+CF192+CF194+CF211</f>
        <v>81054.5911766469</v>
      </c>
      <c r="CG214" s="156" t="n">
        <f aca="false">CG186+CG192+CG194+CG211</f>
        <v>81054.5911766469</v>
      </c>
      <c r="CH214" s="156" t="n">
        <f aca="false">CH186+CH192+CH194+CH211</f>
        <v>81054.5911766469</v>
      </c>
    </row>
    <row r="215" customFormat="false" ht="15" hidden="false" customHeight="false" outlineLevel="0" collapsed="false">
      <c r="A215" s="25" t="s">
        <v>876</v>
      </c>
      <c r="C215" s="156" t="n">
        <f aca="false">C190+C193+C195+C207+C209</f>
        <v>-1091.85041827724</v>
      </c>
      <c r="D215" s="156" t="n">
        <f aca="false">D190+D193+D195+D207+D209</f>
        <v>-40.6005231360876</v>
      </c>
      <c r="E215" s="156" t="n">
        <f aca="false">E190+E193+E195+E207+E209</f>
        <v>1010.64937200507</v>
      </c>
      <c r="F215" s="156" t="n">
        <f aca="false">F190+F193+F195+F207+F209</f>
        <v>2061.89926714622</v>
      </c>
      <c r="G215" s="156" t="n">
        <f aca="false">G190+G193+G195+G207+G209</f>
        <v>-1367.73813442844</v>
      </c>
      <c r="H215" s="156" t="n">
        <f aca="false">H190+H193+H195+H207+H209</f>
        <v>4164.39905742853</v>
      </c>
      <c r="I215" s="156" t="n">
        <f aca="false">I190+I193+I195+I207+I209</f>
        <v>5215.64895256969</v>
      </c>
      <c r="J215" s="156" t="n">
        <f aca="false">J190+J193+J195+J207+J209</f>
        <v>6251.9831900127</v>
      </c>
      <c r="K215" s="156" t="n">
        <f aca="false">K190+K193+K195+K207+K209</f>
        <v>7201.36862794158</v>
      </c>
      <c r="L215" s="156" t="n">
        <f aca="false">L190+L193+L195+L207+L209</f>
        <v>8150.75406587047</v>
      </c>
      <c r="M215" s="156" t="n">
        <f aca="false">M190+M193+M195+M207+M209</f>
        <v>9100.13950379936</v>
      </c>
      <c r="N215" s="156" t="n">
        <f aca="false">N190+N193+N195+N207+N209</f>
        <v>10049.5249417282</v>
      </c>
      <c r="O215" s="156" t="n">
        <f aca="false">O190+O193+O195+O207+O209</f>
        <v>10998.9103796571</v>
      </c>
      <c r="P215" s="156" t="n">
        <f aca="false">P190+P193+P195+P207+P209</f>
        <v>11948.295817586</v>
      </c>
      <c r="Q215" s="156" t="n">
        <f aca="false">Q190+Q193+Q195+Q207+Q209</f>
        <v>12897.6812555149</v>
      </c>
      <c r="R215" s="156" t="n">
        <f aca="false">R190+R193+R195+R207+R209</f>
        <v>13847.0666934438</v>
      </c>
      <c r="S215" s="156" t="n">
        <f aca="false">S190+S193+S195+S207+S209</f>
        <v>493.131095147449</v>
      </c>
      <c r="T215" s="156" t="n">
        <f aca="false">T190+T193+T195+T207+T209</f>
        <v>15745.8375693016</v>
      </c>
      <c r="U215" s="156" t="n">
        <f aca="false">U190+U193+U195+U207+U209</f>
        <v>16695.2230072305</v>
      </c>
      <c r="V215" s="156" t="n">
        <f aca="false">V190+V193+V195+V207+V209</f>
        <v>17644.6084451593</v>
      </c>
      <c r="W215" s="156" t="n">
        <f aca="false">W190+W193+W195+W207+W209</f>
        <v>18593.9938830882</v>
      </c>
      <c r="X215" s="156" t="n">
        <f aca="false">X190+X193+X195+X207+X209</f>
        <v>19543.3793210171</v>
      </c>
      <c r="Y215" s="156" t="n">
        <f aca="false">Y190+Y193+Y195+Y207+Y209</f>
        <v>20492.764758946</v>
      </c>
      <c r="Z215" s="156" t="n">
        <f aca="false">Z190+Z193+Z195+Z207+Z209</f>
        <v>21442.1501968749</v>
      </c>
      <c r="AA215" s="156" t="n">
        <f aca="false">AA190+AA193+AA195+AA207+AA209</f>
        <v>21644.1755102933</v>
      </c>
      <c r="AB215" s="156" t="n">
        <f aca="false">AB190+AB193+AB195+AB207+AB209</f>
        <v>21644.1755102933</v>
      </c>
      <c r="AC215" s="156" t="n">
        <f aca="false">AC190+AC193+AC195+AC207+AC209</f>
        <v>21644.1755102933</v>
      </c>
      <c r="AD215" s="156" t="n">
        <f aca="false">AD190+AD193+AD195+AD207+AD209</f>
        <v>21644.1755102933</v>
      </c>
      <c r="AE215" s="156" t="n">
        <f aca="false">AE190+AE193+AE195+AE207+AE209</f>
        <v>1780.66345915178</v>
      </c>
      <c r="AF215" s="156" t="n">
        <f aca="false">AF190+AF193+AF195+AF207+AF209</f>
        <v>21644.1755102933</v>
      </c>
      <c r="AG215" s="156" t="n">
        <f aca="false">AG190+AG193+AG195+AG207+AG209</f>
        <v>21644.1755102933</v>
      </c>
      <c r="AH215" s="156" t="n">
        <f aca="false">AH190+AH193+AH195+AH207+AH209</f>
        <v>21644.1755102933</v>
      </c>
      <c r="AI215" s="156" t="n">
        <f aca="false">AI190+AI193+AI195+AI207+AI209</f>
        <v>21644.1755102933</v>
      </c>
      <c r="AJ215" s="156" t="n">
        <f aca="false">AJ190+AJ193+AJ195+AJ207+AJ209</f>
        <v>21644.1755102933</v>
      </c>
      <c r="AK215" s="156" t="n">
        <f aca="false">AK190+AK193+AK195+AK207+AK209</f>
        <v>21644.1755102933</v>
      </c>
      <c r="AL215" s="156" t="n">
        <f aca="false">AL190+AL193+AL195+AL207+AL209</f>
        <v>21644.1755102933</v>
      </c>
      <c r="AM215" s="156" t="n">
        <f aca="false">AM190+AM193+AM195+AM207+AM209</f>
        <v>21644.1755102933</v>
      </c>
      <c r="AN215" s="156" t="n">
        <f aca="false">AN190+AN193+AN195+AN207+AN209</f>
        <v>21644.1755102933</v>
      </c>
      <c r="AO215" s="156" t="n">
        <f aca="false">AO190+AO193+AO195+AO207+AO209</f>
        <v>21644.1755102933</v>
      </c>
      <c r="AP215" s="156" t="n">
        <f aca="false">AP190+AP193+AP195+AP207+AP209</f>
        <v>21644.1755102933</v>
      </c>
      <c r="AQ215" s="156" t="n">
        <f aca="false">AQ190+AQ193+AQ195+AQ207+AQ209</f>
        <v>1780.66345915178</v>
      </c>
      <c r="AR215" s="156" t="n">
        <f aca="false">AR190+AR193+AR195+AR207+AR209</f>
        <v>21644.1755102933</v>
      </c>
      <c r="AS215" s="156" t="n">
        <f aca="false">AS190+AS193+AS195+AS207+AS209</f>
        <v>21644.1755102933</v>
      </c>
      <c r="AT215" s="156" t="n">
        <f aca="false">AT190+AT193+AT195+AT207+AT209</f>
        <v>21644.1755102933</v>
      </c>
      <c r="AU215" s="156" t="n">
        <f aca="false">AU190+AU193+AU195+AU207+AU209</f>
        <v>21644.1755102933</v>
      </c>
      <c r="AV215" s="156" t="n">
        <f aca="false">AV190+AV193+AV195+AV207+AV209</f>
        <v>21644.1755102933</v>
      </c>
      <c r="AW215" s="156" t="n">
        <f aca="false">AW190+AW193+AW195+AW207+AW209</f>
        <v>21644.1755102933</v>
      </c>
      <c r="AX215" s="156" t="n">
        <f aca="false">AX190+AX193+AX195+AX207+AX209</f>
        <v>21644.1755102933</v>
      </c>
      <c r="AY215" s="156" t="n">
        <f aca="false">AY190+AY193+AY195+AY207+AY209</f>
        <v>21644.1755102933</v>
      </c>
      <c r="AZ215" s="156" t="n">
        <f aca="false">AZ190+AZ193+AZ195+AZ207+AZ209</f>
        <v>21644.1755102933</v>
      </c>
      <c r="BA215" s="156" t="n">
        <f aca="false">BA190+BA193+BA195+BA207+BA209</f>
        <v>21644.1755102933</v>
      </c>
      <c r="BB215" s="156" t="n">
        <f aca="false">BB190+BB193+BB195+BB207+BB209</f>
        <v>21644.1755102933</v>
      </c>
      <c r="BC215" s="156" t="n">
        <f aca="false">BC190+BC193+BC195+BC207+BC209</f>
        <v>1780.66345915178</v>
      </c>
      <c r="BD215" s="156" t="n">
        <f aca="false">BD190+BD193+BD195+BD207+BD209</f>
        <v>21644.1755102933</v>
      </c>
      <c r="BE215" s="156" t="n">
        <f aca="false">BE190+BE193+BE195+BE207+BE209</f>
        <v>21644.1755102933</v>
      </c>
      <c r="BF215" s="156" t="n">
        <f aca="false">BF190+BF193+BF195+BF207+BF209</f>
        <v>21644.1755102933</v>
      </c>
      <c r="BG215" s="156" t="n">
        <f aca="false">BG190+BG193+BG195+BG207+BG209</f>
        <v>21644.1755102933</v>
      </c>
      <c r="BH215" s="156" t="n">
        <f aca="false">BH190+BH193+BH195+BH207+BH209</f>
        <v>21644.1755102933</v>
      </c>
      <c r="BI215" s="156" t="n">
        <f aca="false">BI190+BI193+BI195+BI207+BI209</f>
        <v>21644.1755102933</v>
      </c>
      <c r="BJ215" s="156" t="n">
        <f aca="false">BJ190+BJ193+BJ195+BJ207+BJ209</f>
        <v>21644.1755102933</v>
      </c>
      <c r="BK215" s="156" t="n">
        <f aca="false">BK190+BK193+BK195+BK207+BK209</f>
        <v>21644.1755102933</v>
      </c>
      <c r="BL215" s="156" t="n">
        <f aca="false">BL190+BL193+BL195+BL207+BL209</f>
        <v>21644.1755102933</v>
      </c>
      <c r="BM215" s="156" t="n">
        <f aca="false">BM190+BM193+BM195+BM207+BM209</f>
        <v>21644.1755102933</v>
      </c>
      <c r="BN215" s="156" t="n">
        <f aca="false">BN190+BN193+BN195+BN207+BN209</f>
        <v>21644.1755102933</v>
      </c>
      <c r="BO215" s="156" t="n">
        <f aca="false">BO190+BO193+BO195+BO207+BO209</f>
        <v>1780.66345915178</v>
      </c>
      <c r="BP215" s="156" t="n">
        <f aca="false">BP190+BP193+BP195+BP207+BP209</f>
        <v>21644.1755102933</v>
      </c>
      <c r="BQ215" s="156" t="n">
        <f aca="false">BQ190+BQ193+BQ195+BQ207+BQ209</f>
        <v>21644.1755102933</v>
      </c>
      <c r="BR215" s="156" t="n">
        <f aca="false">BR190+BR193+BR195+BR207+BR209</f>
        <v>21644.1755102933</v>
      </c>
      <c r="BS215" s="156" t="n">
        <f aca="false">BS190+BS193+BS195+BS207+BS209</f>
        <v>21644.1755102933</v>
      </c>
      <c r="BT215" s="156" t="n">
        <f aca="false">BT190+BT193+BT195+BT207+BT209</f>
        <v>21644.1755102933</v>
      </c>
      <c r="BU215" s="156" t="n">
        <f aca="false">BU190+BU193+BU195+BU207+BU209</f>
        <v>21644.1755102933</v>
      </c>
      <c r="BV215" s="156" t="n">
        <f aca="false">BV190+BV193+BV195+BV207+BV209</f>
        <v>21644.1755102933</v>
      </c>
      <c r="BW215" s="156" t="n">
        <f aca="false">BW190+BW193+BW195+BW207+BW209</f>
        <v>21644.1755102933</v>
      </c>
      <c r="BX215" s="156" t="n">
        <f aca="false">BX190+BX193+BX195+BX207+BX209</f>
        <v>21644.1755102933</v>
      </c>
      <c r="BY215" s="156" t="n">
        <f aca="false">BY190+BY193+BY195+BY207+BY209</f>
        <v>21644.1755102933</v>
      </c>
      <c r="BZ215" s="156" t="n">
        <f aca="false">BZ190+BZ193+BZ195+BZ207+BZ209</f>
        <v>21644.1755102933</v>
      </c>
      <c r="CA215" s="156" t="n">
        <f aca="false">CA190+CA193+CA195+CA207+CA209</f>
        <v>1780.66345915178</v>
      </c>
      <c r="CB215" s="156" t="n">
        <f aca="false">CB190+CB193+CB195+CB207+CB209</f>
        <v>21644.1755102933</v>
      </c>
      <c r="CC215" s="156" t="n">
        <f aca="false">CC190+CC193+CC195+CC207+CC209</f>
        <v>21644.1755102933</v>
      </c>
      <c r="CD215" s="156" t="n">
        <f aca="false">CD190+CD193+CD195+CD207+CD209</f>
        <v>21644.1755102933</v>
      </c>
      <c r="CE215" s="156" t="n">
        <f aca="false">CE190+CE193+CE195+CE207+CE209</f>
        <v>21644.1755102933</v>
      </c>
      <c r="CF215" s="156" t="n">
        <f aca="false">CF190+CF193+CF195+CF207+CF209</f>
        <v>21644.1755102933</v>
      </c>
      <c r="CG215" s="156" t="n">
        <f aca="false">CG190+CG193+CG195+CG207+CG209</f>
        <v>21644.1755102933</v>
      </c>
      <c r="CH215" s="156" t="n">
        <f aca="false">CH190+CH193+CH195+CH207+CH209</f>
        <v>21644.1755102933</v>
      </c>
    </row>
    <row r="216" customFormat="false" ht="15" hidden="false" customHeight="false" outlineLevel="0" collapsed="false">
      <c r="A216" s="1" t="s">
        <v>877</v>
      </c>
      <c r="C216" s="27" t="n">
        <f aca="false">IF(C179+C178&lt;=C8+0.001,1,0)</f>
        <v>1</v>
      </c>
      <c r="D216" s="27" t="n">
        <f aca="false">IF(D179+D178&lt;=D8+0.001,1,0)</f>
        <v>1</v>
      </c>
      <c r="E216" s="27" t="n">
        <f aca="false">IF(E179+E178&lt;=E8+0.001,1,0)</f>
        <v>1</v>
      </c>
      <c r="F216" s="27" t="n">
        <f aca="false">IF(F179+F178&lt;=F8+0.001,1,0)</f>
        <v>1</v>
      </c>
      <c r="G216" s="27" t="n">
        <f aca="false">IF(G179+G178&lt;=G8+0.001,1,0)</f>
        <v>1</v>
      </c>
      <c r="H216" s="27" t="n">
        <f aca="false">IF(H179+H178&lt;=H8+0.001,1,0)</f>
        <v>1</v>
      </c>
      <c r="I216" s="27" t="n">
        <f aca="false">IF(I179+I178&lt;=I8+0.001,1,0)</f>
        <v>1</v>
      </c>
      <c r="J216" s="27" t="n">
        <f aca="false">IF(J179+J178&lt;=J8+0.001,1,0)</f>
        <v>1</v>
      </c>
      <c r="K216" s="27" t="n">
        <f aca="false">IF(K179+K178&lt;=K8+0.001,1,0)</f>
        <v>1</v>
      </c>
      <c r="L216" s="27" t="n">
        <f aca="false">IF(L179+L178&lt;=L8+0.001,1,0)</f>
        <v>1</v>
      </c>
      <c r="M216" s="27" t="n">
        <f aca="false">IF(M179+M178&lt;=M8+0.001,1,0)</f>
        <v>1</v>
      </c>
      <c r="N216" s="27" t="n">
        <f aca="false">IF(N179+N178&lt;=N8+0.001,1,0)</f>
        <v>1</v>
      </c>
      <c r="O216" s="27" t="n">
        <f aca="false">IF(O179+O178&lt;=O8+0.001,1,0)</f>
        <v>1</v>
      </c>
      <c r="P216" s="27" t="n">
        <f aca="false">IF(P179+P178&lt;=P8+0.001,1,0)</f>
        <v>1</v>
      </c>
      <c r="Q216" s="27" t="n">
        <f aca="false">IF(Q179+Q178&lt;=Q8+0.001,1,0)</f>
        <v>1</v>
      </c>
      <c r="R216" s="27" t="n">
        <f aca="false">IF(R179+R178&lt;=R8+0.001,1,0)</f>
        <v>1</v>
      </c>
      <c r="S216" s="27" t="n">
        <f aca="false">IF(S179+S178&lt;=S8+0.001,1,0)</f>
        <v>1</v>
      </c>
      <c r="T216" s="27" t="n">
        <f aca="false">IF(T179+T178&lt;=T8+0.001,1,0)</f>
        <v>1</v>
      </c>
      <c r="U216" s="27" t="n">
        <f aca="false">IF(U179+U178&lt;=U8+0.001,1,0)</f>
        <v>1</v>
      </c>
      <c r="V216" s="27" t="n">
        <f aca="false">IF(V179+V178&lt;=V8+0.001,1,0)</f>
        <v>1</v>
      </c>
      <c r="W216" s="27" t="n">
        <f aca="false">IF(W179+W178&lt;=W8+0.001,1,0)</f>
        <v>1</v>
      </c>
      <c r="X216" s="27" t="n">
        <f aca="false">IF(X179+X178&lt;=X8+0.001,1,0)</f>
        <v>1</v>
      </c>
      <c r="Y216" s="27" t="n">
        <f aca="false">IF(Y179+Y178&lt;=Y8+0.001,1,0)</f>
        <v>1</v>
      </c>
      <c r="Z216" s="27" t="n">
        <f aca="false">IF(Z179+Z178&lt;=Z8+0.001,1,0)</f>
        <v>1</v>
      </c>
      <c r="AA216" s="27" t="n">
        <f aca="false">IF(AA179+AA178&lt;=AA8+0.001,1,0)</f>
        <v>1</v>
      </c>
      <c r="AB216" s="27" t="n">
        <f aca="false">IF(AB179+AB178&lt;=AB8+0.001,1,0)</f>
        <v>1</v>
      </c>
      <c r="AC216" s="27" t="n">
        <f aca="false">IF(AC179+AC178&lt;=AC8+0.001,1,0)</f>
        <v>1</v>
      </c>
      <c r="AD216" s="27" t="n">
        <f aca="false">IF(AD179+AD178&lt;=AD8+0.001,1,0)</f>
        <v>1</v>
      </c>
      <c r="AE216" s="27" t="n">
        <f aca="false">IF(AE179+AE178&lt;=AE8+0.001,1,0)</f>
        <v>1</v>
      </c>
      <c r="AF216" s="27" t="n">
        <f aca="false">IF(AF179+AF178&lt;=AF8+0.001,1,0)</f>
        <v>1</v>
      </c>
      <c r="AG216" s="27" t="n">
        <f aca="false">IF(AG179+AG178&lt;=AG8+0.001,1,0)</f>
        <v>1</v>
      </c>
      <c r="AH216" s="27" t="n">
        <f aca="false">IF(AH179+AH178&lt;=AH8+0.001,1,0)</f>
        <v>1</v>
      </c>
      <c r="AI216" s="27" t="n">
        <f aca="false">IF(AI179+AI178&lt;=AI8+0.001,1,0)</f>
        <v>1</v>
      </c>
      <c r="AJ216" s="27" t="n">
        <f aca="false">IF(AJ179+AJ178&lt;=AJ8+0.001,1,0)</f>
        <v>1</v>
      </c>
      <c r="AK216" s="27" t="n">
        <f aca="false">IF(AK179+AK178&lt;=AK8+0.001,1,0)</f>
        <v>1</v>
      </c>
      <c r="AL216" s="27" t="n">
        <f aca="false">IF(AL179+AL178&lt;=AL8+0.001,1,0)</f>
        <v>1</v>
      </c>
      <c r="AM216" s="27" t="n">
        <f aca="false">IF(AM179+AM178&lt;=AM8+0.001,1,0)</f>
        <v>1</v>
      </c>
      <c r="AN216" s="27" t="n">
        <f aca="false">IF(AN179+AN178&lt;=AN8+0.001,1,0)</f>
        <v>1</v>
      </c>
      <c r="AO216" s="27" t="n">
        <f aca="false">IF(AO179+AO178&lt;=AO8+0.001,1,0)</f>
        <v>1</v>
      </c>
      <c r="AP216" s="27" t="n">
        <f aca="false">IF(AP179+AP178&lt;=AP8+0.001,1,0)</f>
        <v>1</v>
      </c>
      <c r="AQ216" s="27" t="n">
        <f aca="false">IF(AQ179+AQ178&lt;=AQ8+0.001,1,0)</f>
        <v>1</v>
      </c>
      <c r="AR216" s="27" t="n">
        <f aca="false">IF(AR179+AR178&lt;=AR8+0.001,1,0)</f>
        <v>1</v>
      </c>
      <c r="AS216" s="27" t="n">
        <f aca="false">IF(AS179+AS178&lt;=AS8+0.001,1,0)</f>
        <v>1</v>
      </c>
      <c r="AT216" s="27" t="n">
        <f aca="false">IF(AT179+AT178&lt;=AT8+0.001,1,0)</f>
        <v>1</v>
      </c>
      <c r="AU216" s="27" t="n">
        <f aca="false">IF(AU179+AU178&lt;=AU8+0.001,1,0)</f>
        <v>1</v>
      </c>
      <c r="AV216" s="27" t="n">
        <f aca="false">IF(AV179+AV178&lt;=AV8+0.001,1,0)</f>
        <v>1</v>
      </c>
      <c r="AW216" s="27" t="n">
        <f aca="false">IF(AW179+AW178&lt;=AW8+0.001,1,0)</f>
        <v>1</v>
      </c>
      <c r="AX216" s="27" t="n">
        <f aca="false">IF(AX179+AX178&lt;=AX8+0.001,1,0)</f>
        <v>1</v>
      </c>
      <c r="AY216" s="27" t="n">
        <f aca="false">IF(AY179+AY178&lt;=AY8+0.001,1,0)</f>
        <v>1</v>
      </c>
      <c r="AZ216" s="27" t="n">
        <f aca="false">IF(AZ179+AZ178&lt;=AZ8+0.001,1,0)</f>
        <v>1</v>
      </c>
      <c r="BA216" s="27" t="n">
        <f aca="false">IF(BA179+BA178&lt;=BA8+0.001,1,0)</f>
        <v>1</v>
      </c>
      <c r="BB216" s="27" t="n">
        <f aca="false">IF(BB179+BB178&lt;=BB8+0.001,1,0)</f>
        <v>1</v>
      </c>
      <c r="BC216" s="27" t="n">
        <f aca="false">IF(BC179+BC178&lt;=BC8+0.001,1,0)</f>
        <v>1</v>
      </c>
      <c r="BD216" s="27" t="n">
        <f aca="false">IF(BD179+BD178&lt;=BD8+0.001,1,0)</f>
        <v>1</v>
      </c>
      <c r="BE216" s="27" t="n">
        <f aca="false">IF(BE179+BE178&lt;=BE8+0.001,1,0)</f>
        <v>1</v>
      </c>
      <c r="BF216" s="27" t="n">
        <f aca="false">IF(BF179+BF178&lt;=BF8+0.001,1,0)</f>
        <v>1</v>
      </c>
      <c r="BG216" s="27" t="n">
        <f aca="false">IF(BG179+BG178&lt;=BG8+0.001,1,0)</f>
        <v>1</v>
      </c>
      <c r="BH216" s="27" t="n">
        <f aca="false">IF(BH179+BH178&lt;=BH8+0.001,1,0)</f>
        <v>1</v>
      </c>
      <c r="BI216" s="27" t="n">
        <f aca="false">IF(BI179+BI178&lt;=BI8+0.001,1,0)</f>
        <v>1</v>
      </c>
      <c r="BJ216" s="27" t="n">
        <f aca="false">IF(BJ179+BJ178&lt;=BJ8+0.001,1,0)</f>
        <v>1</v>
      </c>
      <c r="BK216" s="27" t="n">
        <f aca="false">IF(BK179+BK178&lt;=BK8+0.001,1,0)</f>
        <v>1</v>
      </c>
      <c r="BL216" s="27" t="n">
        <f aca="false">IF(BL179+BL178&lt;=BL8+0.001,1,0)</f>
        <v>1</v>
      </c>
      <c r="BM216" s="27" t="n">
        <f aca="false">IF(BM179+BM178&lt;=BM8+0.001,1,0)</f>
        <v>1</v>
      </c>
      <c r="BN216" s="27" t="n">
        <f aca="false">IF(BN179+BN178&lt;=BN8+0.001,1,0)</f>
        <v>1</v>
      </c>
      <c r="BO216" s="27" t="n">
        <f aca="false">IF(BO179+BO178&lt;=BO8+0.001,1,0)</f>
        <v>1</v>
      </c>
      <c r="BP216" s="27" t="n">
        <f aca="false">IF(BP179+BP178&lt;=BP8+0.001,1,0)</f>
        <v>1</v>
      </c>
      <c r="BQ216" s="27" t="n">
        <f aca="false">IF(BQ179+BQ178&lt;=BQ8+0.001,1,0)</f>
        <v>1</v>
      </c>
      <c r="BR216" s="27" t="n">
        <f aca="false">IF(BR179+BR178&lt;=BR8+0.001,1,0)</f>
        <v>1</v>
      </c>
      <c r="BS216" s="27" t="n">
        <f aca="false">IF(BS179+BS178&lt;=BS8+0.001,1,0)</f>
        <v>1</v>
      </c>
      <c r="BT216" s="27" t="n">
        <f aca="false">IF(BT179+BT178&lt;=BT8+0.001,1,0)</f>
        <v>1</v>
      </c>
      <c r="BU216" s="27" t="n">
        <f aca="false">IF(BU179+BU178&lt;=BU8+0.001,1,0)</f>
        <v>1</v>
      </c>
      <c r="BV216" s="27" t="n">
        <f aca="false">IF(BV179+BV178&lt;=BV8+0.001,1,0)</f>
        <v>1</v>
      </c>
      <c r="BW216" s="27" t="n">
        <f aca="false">IF(BW179+BW178&lt;=BW8+0.001,1,0)</f>
        <v>1</v>
      </c>
      <c r="BX216" s="27" t="n">
        <f aca="false">IF(BX179+BX178&lt;=BX8+0.001,1,0)</f>
        <v>1</v>
      </c>
      <c r="BY216" s="27" t="n">
        <f aca="false">IF(BY179+BY178&lt;=BY8+0.001,1,0)</f>
        <v>1</v>
      </c>
      <c r="BZ216" s="27" t="n">
        <f aca="false">IF(BZ179+BZ178&lt;=BZ8+0.001,1,0)</f>
        <v>1</v>
      </c>
      <c r="CA216" s="27" t="n">
        <f aca="false">IF(CA179+CA178&lt;=CA8+0.001,1,0)</f>
        <v>1</v>
      </c>
      <c r="CB216" s="27" t="n">
        <f aca="false">IF(CB179+CB178&lt;=CB8+0.001,1,0)</f>
        <v>1</v>
      </c>
      <c r="CC216" s="27" t="n">
        <f aca="false">IF(CC179+CC178&lt;=CC8+0.001,1,0)</f>
        <v>1</v>
      </c>
      <c r="CD216" s="27" t="n">
        <f aca="false">IF(CD179+CD178&lt;=CD8+0.001,1,0)</f>
        <v>1</v>
      </c>
      <c r="CE216" s="27" t="n">
        <f aca="false">IF(CE179+CE178&lt;=CE8+0.001,1,0)</f>
        <v>1</v>
      </c>
      <c r="CF216" s="27" t="n">
        <f aca="false">IF(CF179+CF178&lt;=CF8+0.001,1,0)</f>
        <v>1</v>
      </c>
      <c r="CG216" s="27" t="n">
        <f aca="false">IF(CG179+CG178&lt;=CG8+0.001,1,0)</f>
        <v>1</v>
      </c>
      <c r="CH216" s="27" t="n">
        <f aca="false">IF(CH179+CH178&lt;=CH8+0.001,1,0)</f>
        <v>1</v>
      </c>
    </row>
    <row r="217" customFormat="false" ht="15" hidden="false" customHeight="false" outlineLevel="0" collapsed="false">
      <c r="A217" s="1" t="s">
        <v>878</v>
      </c>
      <c r="C217" s="27" t="n">
        <f aca="false">IF(C196&lt;=Restaurantes!$D$13+0.001,1,0)</f>
        <v>1</v>
      </c>
      <c r="D217" s="27" t="n">
        <f aca="false">IF(D196&lt;=Restaurantes!$D$13+0.001,1,0)</f>
        <v>1</v>
      </c>
      <c r="E217" s="27" t="n">
        <f aca="false">IF(E196&lt;=Restaurantes!$D$13+0.001,1,0)</f>
        <v>1</v>
      </c>
      <c r="F217" s="27" t="n">
        <f aca="false">IF(F196&lt;=Restaurantes!$D$13+0.001,1,0)</f>
        <v>1</v>
      </c>
      <c r="G217" s="27" t="n">
        <f aca="false">IF(G196&lt;=Restaurantes!$D$13+0.001,1,0)</f>
        <v>1</v>
      </c>
      <c r="H217" s="27" t="n">
        <f aca="false">IF(H196&lt;=Restaurantes!$D$13+0.001,1,0)</f>
        <v>1</v>
      </c>
      <c r="I217" s="27" t="n">
        <f aca="false">IF(I196&lt;=Restaurantes!$D$13+0.001,1,0)</f>
        <v>1</v>
      </c>
      <c r="J217" s="27" t="n">
        <f aca="false">IF(J196&lt;=Restaurantes!$D$13+0.001,1,0)</f>
        <v>1</v>
      </c>
      <c r="K217" s="27" t="n">
        <f aca="false">IF(K196&lt;=Restaurantes!$D$13+0.001,1,0)</f>
        <v>1</v>
      </c>
      <c r="L217" s="27" t="n">
        <f aca="false">IF(L196&lt;=Restaurantes!$D$13+0.001,1,0)</f>
        <v>1</v>
      </c>
      <c r="M217" s="27" t="n">
        <f aca="false">IF(M196&lt;=Restaurantes!$D$13+0.001,1,0)</f>
        <v>1</v>
      </c>
      <c r="N217" s="27" t="n">
        <f aca="false">IF(N196&lt;=Restaurantes!$D$13+0.001,1,0)</f>
        <v>1</v>
      </c>
      <c r="O217" s="27" t="n">
        <f aca="false">IF(O196&lt;=Restaurantes!$D$13+0.001,1,0)</f>
        <v>1</v>
      </c>
      <c r="P217" s="27" t="n">
        <f aca="false">IF(P196&lt;=Restaurantes!$D$13+0.001,1,0)</f>
        <v>1</v>
      </c>
      <c r="Q217" s="27" t="n">
        <f aca="false">IF(Q196&lt;=Restaurantes!$D$13+0.001,1,0)</f>
        <v>1</v>
      </c>
      <c r="R217" s="27" t="n">
        <f aca="false">IF(R196&lt;=Restaurantes!$D$13+0.001,1,0)</f>
        <v>1</v>
      </c>
      <c r="S217" s="27" t="n">
        <f aca="false">IF(S196&lt;=Restaurantes!$D$13+0.001,1,0)</f>
        <v>1</v>
      </c>
      <c r="T217" s="27" t="n">
        <f aca="false">IF(T196&lt;=Restaurantes!$D$13+0.001,1,0)</f>
        <v>1</v>
      </c>
      <c r="U217" s="27" t="n">
        <f aca="false">IF(U196&lt;=Restaurantes!$D$13+0.001,1,0)</f>
        <v>1</v>
      </c>
      <c r="V217" s="27" t="n">
        <f aca="false">IF(V196&lt;=Restaurantes!$D$13+0.001,1,0)</f>
        <v>1</v>
      </c>
      <c r="W217" s="27" t="n">
        <f aca="false">IF(W196&lt;=Restaurantes!$D$13+0.001,1,0)</f>
        <v>1</v>
      </c>
      <c r="X217" s="27" t="n">
        <f aca="false">IF(X196&lt;=Restaurantes!$D$13+0.001,1,0)</f>
        <v>1</v>
      </c>
      <c r="Y217" s="27" t="n">
        <f aca="false">IF(Y196&lt;=Restaurantes!$D$13+0.001,1,0)</f>
        <v>1</v>
      </c>
      <c r="Z217" s="27" t="n">
        <f aca="false">IF(Z196&lt;=Restaurantes!$D$13+0.001,1,0)</f>
        <v>1</v>
      </c>
      <c r="AA217" s="27" t="n">
        <f aca="false">IF(AA196&lt;=Restaurantes!$D$13+0.001,1,0)</f>
        <v>1</v>
      </c>
      <c r="AB217" s="27" t="n">
        <f aca="false">IF(AB196&lt;=Restaurantes!$D$13+0.001,1,0)</f>
        <v>1</v>
      </c>
      <c r="AC217" s="27" t="n">
        <f aca="false">IF(AC196&lt;=Restaurantes!$D$13+0.001,1,0)</f>
        <v>1</v>
      </c>
      <c r="AD217" s="27" t="n">
        <f aca="false">IF(AD196&lt;=Restaurantes!$D$13+0.001,1,0)</f>
        <v>1</v>
      </c>
      <c r="AE217" s="27" t="n">
        <f aca="false">IF(AE196&lt;=Restaurantes!$D$13+0.001,1,0)</f>
        <v>1</v>
      </c>
      <c r="AF217" s="27" t="n">
        <f aca="false">IF(AF196&lt;=Restaurantes!$D$13+0.001,1,0)</f>
        <v>1</v>
      </c>
      <c r="AG217" s="27" t="n">
        <f aca="false">IF(AG196&lt;=Restaurantes!$D$13+0.001,1,0)</f>
        <v>1</v>
      </c>
      <c r="AH217" s="27" t="n">
        <f aca="false">IF(AH196&lt;=Restaurantes!$D$13+0.001,1,0)</f>
        <v>1</v>
      </c>
      <c r="AI217" s="27" t="n">
        <f aca="false">IF(AI196&lt;=Restaurantes!$D$13+0.001,1,0)</f>
        <v>1</v>
      </c>
      <c r="AJ217" s="27" t="n">
        <f aca="false">IF(AJ196&lt;=Restaurantes!$D$13+0.001,1,0)</f>
        <v>1</v>
      </c>
      <c r="AK217" s="27" t="n">
        <f aca="false">IF(AK196&lt;=Restaurantes!$D$13+0.001,1,0)</f>
        <v>1</v>
      </c>
      <c r="AL217" s="27" t="n">
        <f aca="false">IF(AL196&lt;=Restaurantes!$D$13+0.001,1,0)</f>
        <v>1</v>
      </c>
      <c r="AM217" s="27" t="n">
        <f aca="false">IF(AM196&lt;=Restaurantes!$D$13+0.001,1,0)</f>
        <v>1</v>
      </c>
      <c r="AN217" s="27" t="n">
        <f aca="false">IF(AN196&lt;=Restaurantes!$D$13+0.001,1,0)</f>
        <v>1</v>
      </c>
      <c r="AO217" s="27" t="n">
        <f aca="false">IF(AO196&lt;=Restaurantes!$D$13+0.001,1,0)</f>
        <v>1</v>
      </c>
      <c r="AP217" s="27" t="n">
        <f aca="false">IF(AP196&lt;=Restaurantes!$D$13+0.001,1,0)</f>
        <v>1</v>
      </c>
      <c r="AQ217" s="27" t="n">
        <f aca="false">IF(AQ196&lt;=Restaurantes!$D$13+0.001,1,0)</f>
        <v>1</v>
      </c>
      <c r="AR217" s="27" t="n">
        <f aca="false">IF(AR196&lt;=Restaurantes!$D$13+0.001,1,0)</f>
        <v>1</v>
      </c>
      <c r="AS217" s="27" t="n">
        <f aca="false">IF(AS196&lt;=Restaurantes!$D$13+0.001,1,0)</f>
        <v>1</v>
      </c>
      <c r="AT217" s="27" t="n">
        <f aca="false">IF(AT196&lt;=Restaurantes!$D$13+0.001,1,0)</f>
        <v>1</v>
      </c>
      <c r="AU217" s="27" t="n">
        <f aca="false">IF(AU196&lt;=Restaurantes!$D$13+0.001,1,0)</f>
        <v>1</v>
      </c>
      <c r="AV217" s="27" t="n">
        <f aca="false">IF(AV196&lt;=Restaurantes!$D$13+0.001,1,0)</f>
        <v>1</v>
      </c>
      <c r="AW217" s="27" t="n">
        <f aca="false">IF(AW196&lt;=Restaurantes!$D$13+0.001,1,0)</f>
        <v>1</v>
      </c>
      <c r="AX217" s="27" t="n">
        <f aca="false">IF(AX196&lt;=Restaurantes!$D$13+0.001,1,0)</f>
        <v>1</v>
      </c>
      <c r="AY217" s="27" t="n">
        <f aca="false">IF(AY196&lt;=Restaurantes!$D$13+0.001,1,0)</f>
        <v>1</v>
      </c>
      <c r="AZ217" s="27" t="n">
        <f aca="false">IF(AZ196&lt;=Restaurantes!$D$13+0.001,1,0)</f>
        <v>1</v>
      </c>
      <c r="BA217" s="27" t="n">
        <f aca="false">IF(BA196&lt;=Restaurantes!$D$13+0.001,1,0)</f>
        <v>1</v>
      </c>
      <c r="BB217" s="27" t="n">
        <f aca="false">IF(BB196&lt;=Restaurantes!$D$13+0.001,1,0)</f>
        <v>1</v>
      </c>
      <c r="BC217" s="27" t="n">
        <f aca="false">IF(BC196&lt;=Restaurantes!$D$13+0.001,1,0)</f>
        <v>1</v>
      </c>
      <c r="BD217" s="27" t="n">
        <f aca="false">IF(BD196&lt;=Restaurantes!$D$13+0.001,1,0)</f>
        <v>1</v>
      </c>
      <c r="BE217" s="27" t="n">
        <f aca="false">IF(BE196&lt;=Restaurantes!$D$13+0.001,1,0)</f>
        <v>1</v>
      </c>
      <c r="BF217" s="27" t="n">
        <f aca="false">IF(BF196&lt;=Restaurantes!$D$13+0.001,1,0)</f>
        <v>1</v>
      </c>
      <c r="BG217" s="27" t="n">
        <f aca="false">IF(BG196&lt;=Restaurantes!$D$13+0.001,1,0)</f>
        <v>1</v>
      </c>
      <c r="BH217" s="27" t="n">
        <f aca="false">IF(BH196&lt;=Restaurantes!$D$13+0.001,1,0)</f>
        <v>1</v>
      </c>
      <c r="BI217" s="27" t="n">
        <f aca="false">IF(BI196&lt;=Restaurantes!$D$13+0.001,1,0)</f>
        <v>1</v>
      </c>
      <c r="BJ217" s="27" t="n">
        <f aca="false">IF(BJ196&lt;=Restaurantes!$D$13+0.001,1,0)</f>
        <v>1</v>
      </c>
      <c r="BK217" s="27" t="n">
        <f aca="false">IF(BK196&lt;=Restaurantes!$D$13+0.001,1,0)</f>
        <v>1</v>
      </c>
      <c r="BL217" s="27" t="n">
        <f aca="false">IF(BL196&lt;=Restaurantes!$D$13+0.001,1,0)</f>
        <v>1</v>
      </c>
      <c r="BM217" s="27" t="n">
        <f aca="false">IF(BM196&lt;=Restaurantes!$D$13+0.001,1,0)</f>
        <v>1</v>
      </c>
      <c r="BN217" s="27" t="n">
        <f aca="false">IF(BN196&lt;=Restaurantes!$D$13+0.001,1,0)</f>
        <v>1</v>
      </c>
      <c r="BO217" s="27" t="n">
        <f aca="false">IF(BO196&lt;=Restaurantes!$D$13+0.001,1,0)</f>
        <v>1</v>
      </c>
      <c r="BP217" s="27" t="n">
        <f aca="false">IF(BP196&lt;=Restaurantes!$D$13+0.001,1,0)</f>
        <v>1</v>
      </c>
      <c r="BQ217" s="27" t="n">
        <f aca="false">IF(BQ196&lt;=Restaurantes!$D$13+0.001,1,0)</f>
        <v>1</v>
      </c>
      <c r="BR217" s="27" t="n">
        <f aca="false">IF(BR196&lt;=Restaurantes!$D$13+0.001,1,0)</f>
        <v>1</v>
      </c>
      <c r="BS217" s="27" t="n">
        <f aca="false">IF(BS196&lt;=Restaurantes!$D$13+0.001,1,0)</f>
        <v>1</v>
      </c>
      <c r="BT217" s="27" t="n">
        <f aca="false">IF(BT196&lt;=Restaurantes!$D$13+0.001,1,0)</f>
        <v>1</v>
      </c>
      <c r="BU217" s="27" t="n">
        <f aca="false">IF(BU196&lt;=Restaurantes!$D$13+0.001,1,0)</f>
        <v>1</v>
      </c>
      <c r="BV217" s="27" t="n">
        <f aca="false">IF(BV196&lt;=Restaurantes!$D$13+0.001,1,0)</f>
        <v>1</v>
      </c>
      <c r="BW217" s="27" t="n">
        <f aca="false">IF(BW196&lt;=Restaurantes!$D$13+0.001,1,0)</f>
        <v>1</v>
      </c>
      <c r="BX217" s="27" t="n">
        <f aca="false">IF(BX196&lt;=Restaurantes!$D$13+0.001,1,0)</f>
        <v>1</v>
      </c>
      <c r="BY217" s="27" t="n">
        <f aca="false">IF(BY196&lt;=Restaurantes!$D$13+0.001,1,0)</f>
        <v>1</v>
      </c>
      <c r="BZ217" s="27" t="n">
        <f aca="false">IF(BZ196&lt;=Restaurantes!$D$13+0.001,1,0)</f>
        <v>1</v>
      </c>
      <c r="CA217" s="27" t="n">
        <f aca="false">IF(CA196&lt;=Restaurantes!$D$13+0.001,1,0)</f>
        <v>1</v>
      </c>
      <c r="CB217" s="27" t="n">
        <f aca="false">IF(CB196&lt;=Restaurantes!$D$13+0.001,1,0)</f>
        <v>1</v>
      </c>
      <c r="CC217" s="27" t="n">
        <f aca="false">IF(CC196&lt;=Restaurantes!$D$13+0.001,1,0)</f>
        <v>1</v>
      </c>
      <c r="CD217" s="27" t="n">
        <f aca="false">IF(CD196&lt;=Restaurantes!$D$13+0.001,1,0)</f>
        <v>1</v>
      </c>
      <c r="CE217" s="27" t="n">
        <f aca="false">IF(CE196&lt;=Restaurantes!$D$13+0.001,1,0)</f>
        <v>1</v>
      </c>
      <c r="CF217" s="27" t="n">
        <f aca="false">IF(CF196&lt;=Restaurantes!$D$13+0.001,1,0)</f>
        <v>1</v>
      </c>
      <c r="CG217" s="27" t="n">
        <f aca="false">IF(CG196&lt;=Restaurantes!$D$13+0.001,1,0)</f>
        <v>1</v>
      </c>
      <c r="CH217" s="27" t="n">
        <f aca="false">IF(CH196&lt;=Restaurantes!$D$13+0.001,1,0)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9" min="3" style="1" width="13"/>
  </cols>
  <sheetData>
    <row r="1" customFormat="false" ht="18" hidden="false" customHeight="true" outlineLevel="0" collapsed="false">
      <c r="A1" s="8" t="s">
        <v>879</v>
      </c>
    </row>
    <row r="2" customFormat="false" ht="13.5" hidden="false" customHeight="true" outlineLevel="0" collapsed="false">
      <c r="A2" s="9" t="s">
        <v>880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11" t="s">
        <v>213</v>
      </c>
      <c r="C4" s="116" t="s">
        <v>497</v>
      </c>
      <c r="D4" s="116" t="s">
        <v>498</v>
      </c>
      <c r="E4" s="116" t="s">
        <v>499</v>
      </c>
      <c r="F4" s="116" t="s">
        <v>500</v>
      </c>
      <c r="G4" s="116" t="s">
        <v>501</v>
      </c>
      <c r="H4" s="116" t="s">
        <v>502</v>
      </c>
      <c r="I4" s="116" t="s">
        <v>503</v>
      </c>
    </row>
    <row r="5" customFormat="false" ht="13.5" hidden="false" customHeight="true" outlineLevel="0" collapsed="false">
      <c r="A5" s="13" t="s">
        <v>717</v>
      </c>
      <c r="C5" s="138" t="n">
        <f aca="false">SUM(Modelo_Mensual!$C$36:$N$36)</f>
        <v>248408.39133152</v>
      </c>
      <c r="D5" s="138" t="n">
        <f aca="false">SUM(Modelo_Mensual!$O$36:$Z$36)</f>
        <v>899515.981128872</v>
      </c>
      <c r="E5" s="138" t="n">
        <f aca="false">SUM(Modelo_Mensual!$AA$36:$AL$36)</f>
        <v>1372473.06879551</v>
      </c>
      <c r="F5" s="138" t="n">
        <f aca="false">SUM(Modelo_Mensual!$AM$36:$AX$36)</f>
        <v>1682448.43206065</v>
      </c>
      <c r="G5" s="138" t="n">
        <f aca="false">SUM(Modelo_Mensual!$AY$36:$BJ$36)</f>
        <v>1720250.30562957</v>
      </c>
      <c r="H5" s="138" t="n">
        <f aca="false">SUM(Modelo_Mensual!$BK$36:$BV$36)</f>
        <v>1720250.30562957</v>
      </c>
      <c r="I5" s="138" t="n">
        <f aca="false">SUM(Modelo_Mensual!$BW$36:$CH$36)</f>
        <v>1720250.30562957</v>
      </c>
    </row>
    <row r="6" customFormat="false" ht="13.5" hidden="false" customHeight="true" outlineLevel="0" collapsed="false">
      <c r="A6" s="13" t="s">
        <v>881</v>
      </c>
      <c r="C6" s="138" t="n">
        <f aca="false">SUM(Modelo_Mensual!$C$39:$N$39)</f>
        <v>-31505.5762196025</v>
      </c>
      <c r="D6" s="138" t="n">
        <f aca="false">SUM(Modelo_Mensual!$O$39:$Z$39)</f>
        <v>-134111.390028261</v>
      </c>
      <c r="E6" s="138" t="n">
        <f aca="false">SUM(Modelo_Mensual!$AA$39:$AL$39)</f>
        <v>-209789.300703423</v>
      </c>
      <c r="F6" s="138" t="n">
        <f aca="false">SUM(Modelo_Mensual!$AM$39:$AX$39)</f>
        <v>-262078.477105094</v>
      </c>
      <c r="G6" s="138" t="n">
        <f aca="false">SUM(Modelo_Mensual!$AY$39:$BJ$39)</f>
        <v>-268455.205934566</v>
      </c>
      <c r="H6" s="138" t="n">
        <f aca="false">SUM(Modelo_Mensual!$BK$39:$BV$39)</f>
        <v>-268455.205934566</v>
      </c>
      <c r="I6" s="138" t="n">
        <f aca="false">SUM(Modelo_Mensual!$BW$39:$CH$39)</f>
        <v>-268455.205934566</v>
      </c>
    </row>
    <row r="7" customFormat="false" ht="13.5" hidden="false" customHeight="true" outlineLevel="0" collapsed="false">
      <c r="A7" s="64" t="s">
        <v>721</v>
      </c>
      <c r="C7" s="99" t="n">
        <f aca="false">SUM(Modelo_Mensual!$C$40:$N$40)</f>
        <v>192061.975978766</v>
      </c>
      <c r="D7" s="99" t="n">
        <f aca="false">SUM(Modelo_Mensual!$O$40:$Z$40)</f>
        <v>675452.992987723</v>
      </c>
      <c r="E7" s="99" t="n">
        <f aca="false">SUM(Modelo_Mensual!$AA$40:$AL$40)</f>
        <v>1025436.46121254</v>
      </c>
      <c r="F7" s="99" t="n">
        <f aca="false">SUM(Modelo_Mensual!$AM$40:$AX$40)</f>
        <v>1252125.11174949</v>
      </c>
      <c r="G7" s="99" t="n">
        <f aca="false">SUM(Modelo_Mensual!$AY$40:$BJ$40)</f>
        <v>1279770.06913205</v>
      </c>
      <c r="H7" s="99" t="n">
        <f aca="false">SUM(Modelo_Mensual!$BK$40:$BV$40)</f>
        <v>1279770.06913205</v>
      </c>
      <c r="I7" s="99" t="n">
        <f aca="false">SUM(Modelo_Mensual!$BW$40:$CH$40)</f>
        <v>1279770.06913205</v>
      </c>
    </row>
    <row r="8" customFormat="false" ht="13.5" hidden="false" customHeight="true" outlineLevel="0" collapsed="false">
      <c r="A8" s="13" t="s">
        <v>882</v>
      </c>
      <c r="C8" s="138" t="n">
        <f aca="false">SUM(Modelo_Mensual!$C$55:$N$55)</f>
        <v>-221985.344179912</v>
      </c>
      <c r="D8" s="138" t="n">
        <f aca="false">SUM(Modelo_Mensual!$O$55:$Z$55)</f>
        <v>-366637.414721412</v>
      </c>
      <c r="E8" s="138" t="n">
        <f aca="false">SUM(Modelo_Mensual!$AA$55:$AL$55)</f>
        <v>-472410.036438186</v>
      </c>
      <c r="F8" s="138" t="n">
        <f aca="false">SUM(Modelo_Mensual!$AM$55:$AX$55)</f>
        <v>-535753.30300637</v>
      </c>
      <c r="G8" s="138" t="n">
        <f aca="false">SUM(Modelo_Mensual!$AY$55:$BJ$55)</f>
        <v>-565800.699492566</v>
      </c>
      <c r="H8" s="138" t="n">
        <f aca="false">SUM(Modelo_Mensual!$BK$55:$BV$55)</f>
        <v>-595336.990786896</v>
      </c>
      <c r="I8" s="138" t="n">
        <f aca="false">SUM(Modelo_Mensual!$BW$55:$CH$55)</f>
        <v>-625046.570820055</v>
      </c>
    </row>
    <row r="9" customFormat="false" ht="13.5" hidden="false" customHeight="true" outlineLevel="0" collapsed="false">
      <c r="A9" s="64" t="s">
        <v>737</v>
      </c>
      <c r="C9" s="99" t="n">
        <f aca="false">SUM(Modelo_Mensual!$C$56:$N$56)</f>
        <v>-29923.3682011463</v>
      </c>
      <c r="D9" s="99" t="n">
        <f aca="false">SUM(Modelo_Mensual!$O$56:$Z$56)</f>
        <v>308815.578266312</v>
      </c>
      <c r="E9" s="99" t="n">
        <f aca="false">SUM(Modelo_Mensual!$AA$56:$AL$56)</f>
        <v>553026.424774353</v>
      </c>
      <c r="F9" s="99" t="n">
        <f aca="false">SUM(Modelo_Mensual!$AM$56:$AX$56)</f>
        <v>716371.80874312</v>
      </c>
      <c r="G9" s="99" t="n">
        <f aca="false">SUM(Modelo_Mensual!$AY$56:$BJ$56)</f>
        <v>713969.369639479</v>
      </c>
      <c r="H9" s="99" t="n">
        <f aca="false">SUM(Modelo_Mensual!$BK$56:$BV$56)</f>
        <v>684433.07834515</v>
      </c>
      <c r="I9" s="99" t="n">
        <f aca="false">SUM(Modelo_Mensual!$BW$56:$CH$56)</f>
        <v>654723.49831199</v>
      </c>
    </row>
    <row r="10" customFormat="false" ht="13.5" hidden="false" customHeight="true" outlineLevel="0" collapsed="false">
      <c r="A10" s="13" t="s">
        <v>738</v>
      </c>
      <c r="C10" s="138" t="n">
        <f aca="false">SUM(Modelo_Mensual!$C$58:$N$58)</f>
        <v>-14720</v>
      </c>
      <c r="D10" s="138" t="n">
        <f aca="false">SUM(Modelo_Mensual!$O$58:$Z$58)</f>
        <v>-14720</v>
      </c>
      <c r="E10" s="138" t="n">
        <f aca="false">SUM(Modelo_Mensual!$AA$58:$AL$58)</f>
        <v>-14720</v>
      </c>
      <c r="F10" s="138" t="n">
        <f aca="false">SUM(Modelo_Mensual!$AM$58:$AX$58)</f>
        <v>-14720</v>
      </c>
      <c r="G10" s="138" t="n">
        <f aca="false">SUM(Modelo_Mensual!$AY$58:$BJ$58)</f>
        <v>-14720</v>
      </c>
      <c r="H10" s="138" t="n">
        <f aca="false">SUM(Modelo_Mensual!$BK$58:$BV$58)</f>
        <v>-14720</v>
      </c>
      <c r="I10" s="138" t="n">
        <f aca="false">SUM(Modelo_Mensual!$BW$58:$CH$58)</f>
        <v>-14720</v>
      </c>
    </row>
    <row r="11" customFormat="false" ht="13.5" hidden="false" customHeight="true" outlineLevel="0" collapsed="false">
      <c r="A11" s="13" t="s">
        <v>739</v>
      </c>
      <c r="C11" s="138" t="n">
        <f aca="false">SUM(Modelo_Mensual!$C$59:$N$59)</f>
        <v>-44643.3682011463</v>
      </c>
      <c r="D11" s="138" t="n">
        <f aca="false">SUM(Modelo_Mensual!$O$59:$Z$59)</f>
        <v>294095.578266312</v>
      </c>
      <c r="E11" s="138" t="n">
        <f aca="false">SUM(Modelo_Mensual!$AA$59:$AL$59)</f>
        <v>538306.424774353</v>
      </c>
      <c r="F11" s="138" t="n">
        <f aca="false">SUM(Modelo_Mensual!$AM$59:$AX$59)</f>
        <v>701651.80874312</v>
      </c>
      <c r="G11" s="138" t="n">
        <f aca="false">SUM(Modelo_Mensual!$AY$59:$BJ$59)</f>
        <v>699249.369639479</v>
      </c>
      <c r="H11" s="138" t="n">
        <f aca="false">SUM(Modelo_Mensual!$BK$59:$BV$59)</f>
        <v>669713.07834515</v>
      </c>
      <c r="I11" s="138" t="n">
        <f aca="false">SUM(Modelo_Mensual!$BW$59:$CH$59)</f>
        <v>640003.49831199</v>
      </c>
    </row>
    <row r="12" customFormat="false" ht="13.5" hidden="false" customHeight="true" outlineLevel="0" collapsed="false">
      <c r="A12" s="13" t="s">
        <v>745</v>
      </c>
      <c r="C12" s="138" t="n">
        <f aca="false">SUM(Modelo_Mensual!$C$62:$N$62)</f>
        <v>-4877.00069722254</v>
      </c>
      <c r="D12" s="138" t="n">
        <f aca="false">SUM(Modelo_Mensual!$O$62:$Z$62)</f>
        <v>-42267.0218600224</v>
      </c>
      <c r="E12" s="138" t="n">
        <f aca="false">SUM(Modelo_Mensual!$AA$62:$AL$62)</f>
        <v>-78021.7025208659</v>
      </c>
      <c r="F12" s="138" t="n">
        <f aca="false">SUM(Modelo_Mensual!$AM$62:$AX$62)</f>
        <v>-169994.248227703</v>
      </c>
      <c r="G12" s="138" t="n">
        <f aca="false">SUM(Modelo_Mensual!$AY$62:$BJ$62)</f>
        <v>-169573.755316487</v>
      </c>
      <c r="H12" s="138" t="n">
        <f aca="false">SUM(Modelo_Mensual!$BK$62:$BV$62)</f>
        <v>-162537.363949376</v>
      </c>
      <c r="I12" s="138" t="n">
        <f aca="false">SUM(Modelo_Mensual!$BW$62:$CH$62)</f>
        <v>-155458.516841252</v>
      </c>
    </row>
    <row r="13" customFormat="false" ht="13.5" hidden="false" customHeight="true" outlineLevel="0" collapsed="false">
      <c r="A13" s="64" t="s">
        <v>883</v>
      </c>
      <c r="C13" s="99" t="n">
        <f aca="false">SUM(Modelo_Mensual!$C$63:$N$63)</f>
        <v>-55126.7550946221</v>
      </c>
      <c r="D13" s="99" t="n">
        <f aca="false">SUM(Modelo_Mensual!$O$63:$Z$63)</f>
        <v>239513.12387346</v>
      </c>
      <c r="E13" s="99" t="n">
        <f aca="false">SUM(Modelo_Mensual!$AA$63:$AL$63)</f>
        <v>442122.980951573</v>
      </c>
      <c r="F13" s="99" t="n">
        <f aca="false">SUM(Modelo_Mensual!$AM$63:$AX$63)</f>
        <v>509982.744683109</v>
      </c>
      <c r="G13" s="99" t="n">
        <f aca="false">SUM(Modelo_Mensual!$AY$63:$BJ$63)</f>
        <v>508721.265949461</v>
      </c>
      <c r="H13" s="99" t="n">
        <f aca="false">SUM(Modelo_Mensual!$BK$63:$BV$63)</f>
        <v>487612.091848129</v>
      </c>
      <c r="I13" s="99" t="n">
        <f aca="false">SUM(Modelo_Mensual!$BW$63:$CH$63)</f>
        <v>466375.550523757</v>
      </c>
    </row>
    <row r="14" customFormat="false" ht="13.5" hidden="false" customHeight="true" outlineLevel="0" collapsed="false">
      <c r="A14" s="13"/>
    </row>
    <row r="15" customFormat="false" ht="13.5" hidden="false" customHeight="true" outlineLevel="0" collapsed="false">
      <c r="A15" s="13" t="s">
        <v>884</v>
      </c>
      <c r="C15" s="138" t="n">
        <f aca="false">SUM(Modelo_Mensual!$C$72:$N$72)</f>
        <v>-108040</v>
      </c>
      <c r="D15" s="138" t="n">
        <f aca="false">SUM(Modelo_Mensual!$O$72:$Z$72)</f>
        <v>0</v>
      </c>
      <c r="E15" s="138" t="n">
        <f aca="false">SUM(Modelo_Mensual!$AA$72:$AL$72)</f>
        <v>0</v>
      </c>
      <c r="F15" s="138" t="n">
        <f aca="false">SUM(Modelo_Mensual!$AM$72:$AX$72)</f>
        <v>0</v>
      </c>
      <c r="G15" s="138" t="n">
        <f aca="false">SUM(Modelo_Mensual!$AY$72:$BJ$72)</f>
        <v>0</v>
      </c>
      <c r="H15" s="138" t="n">
        <f aca="false">SUM(Modelo_Mensual!$BK$72:$BV$72)</f>
        <v>0</v>
      </c>
      <c r="I15" s="138" t="n">
        <f aca="false">SUM(Modelo_Mensual!$BW$72:$CH$72)</f>
        <v>0</v>
      </c>
    </row>
    <row r="16" customFormat="false" ht="13.5" hidden="false" customHeight="true" outlineLevel="0" collapsed="false">
      <c r="A16" s="13" t="s">
        <v>885</v>
      </c>
      <c r="C16" s="138" t="n">
        <f aca="false">SUM(Modelo_Mensual!$C$76:$N$76)</f>
        <v>-4823.36991002194</v>
      </c>
      <c r="D16" s="138" t="n">
        <f aca="false">SUM(Modelo_Mensual!$O$76:$Z$76)</f>
        <v>-10176.3115653262</v>
      </c>
      <c r="E16" s="138" t="n">
        <f aca="false">SUM(Modelo_Mensual!$AA$76:$AL$76)</f>
        <v>-34693.8618288204</v>
      </c>
      <c r="F16" s="138" t="n">
        <f aca="false">SUM(Modelo_Mensual!$AM$76:$AX$76)</f>
        <v>-37160.7695081957</v>
      </c>
      <c r="G16" s="138" t="n">
        <f aca="false">SUM(Modelo_Mensual!$AY$76:$BJ$76)</f>
        <v>-36312.7207261229</v>
      </c>
      <c r="H16" s="138" t="n">
        <f aca="false">SUM(Modelo_Mensual!$BK$76:$BV$76)</f>
        <v>-34921.9949002363</v>
      </c>
      <c r="I16" s="138" t="n">
        <f aca="false">SUM(Modelo_Mensual!$BW$76:$CH$76)</f>
        <v>-33527.8032995731</v>
      </c>
    </row>
    <row r="17" customFormat="false" ht="13.5" hidden="false" customHeight="true" outlineLevel="0" collapsed="false">
      <c r="A17" s="64" t="s">
        <v>886</v>
      </c>
      <c r="C17" s="99" t="n">
        <f aca="false">SUM(Modelo_Mensual!$C$85:$N$85)</f>
        <v>30000</v>
      </c>
      <c r="D17" s="99" t="n">
        <f aca="false">SUM(Modelo_Mensual!$O$85:$Z$85)</f>
        <v>217533.17504126</v>
      </c>
      <c r="E17" s="99" t="n">
        <f aca="false">SUM(Modelo_Mensual!$AA$85:$AL$85)</f>
        <v>407075.842524485</v>
      </c>
      <c r="F17" s="99" t="n">
        <f aca="false">SUM(Modelo_Mensual!$AM$85:$AX$85)</f>
        <v>268681.94623063</v>
      </c>
      <c r="G17" s="99" t="n">
        <f aca="false">SUM(Modelo_Mensual!$AY$85:$BJ$85)</f>
        <v>270189.381104493</v>
      </c>
      <c r="H17" s="99" t="n">
        <f aca="false">SUM(Modelo_Mensual!$BK$85:$BV$85)</f>
        <v>257523.876643694</v>
      </c>
      <c r="I17" s="99" t="n">
        <f aca="false">SUM(Modelo_Mensual!$BW$85:$CH$85)</f>
        <v>244781.951849071</v>
      </c>
    </row>
    <row r="18" customFormat="false" ht="13.5" hidden="false" customHeight="true" outlineLevel="0" collapsed="false">
      <c r="A18" s="13" t="s">
        <v>887</v>
      </c>
      <c r="C18" s="138" t="n">
        <f aca="false">Modelo_Mensual!$N$86</f>
        <v>30000</v>
      </c>
      <c r="D18" s="138" t="n">
        <f aca="false">Modelo_Mensual!$Z$86</f>
        <v>247533.17504126</v>
      </c>
      <c r="E18" s="138" t="n">
        <f aca="false">Modelo_Mensual!$AL$86</f>
        <v>654609.017565746</v>
      </c>
      <c r="F18" s="138" t="n">
        <f aca="false">Modelo_Mensual!$AX$86</f>
        <v>923290.963796375</v>
      </c>
      <c r="G18" s="138" t="n">
        <f aca="false">Modelo_Mensual!$BJ$86</f>
        <v>1193480.34490087</v>
      </c>
      <c r="H18" s="138" t="n">
        <f aca="false">Modelo_Mensual!$BV$86</f>
        <v>1451004.22154456</v>
      </c>
      <c r="I18" s="138" t="n">
        <f aca="false">Modelo_Mensual!$CH$86</f>
        <v>1695786.17339363</v>
      </c>
    </row>
    <row r="19" customFormat="false" ht="13.5" hidden="false" customHeight="true" outlineLevel="0" collapsed="false">
      <c r="A19" s="13"/>
    </row>
    <row r="20" customFormat="false" ht="13.5" hidden="false" customHeight="true" outlineLevel="0" collapsed="false">
      <c r="A20" s="13" t="s">
        <v>50</v>
      </c>
      <c r="C20" s="151" t="n">
        <f aca="false">IFERROR(C9/C5,0)</f>
        <v>-0.120460375918667</v>
      </c>
      <c r="D20" s="151" t="n">
        <f aca="false">IFERROR(D9/D5,0)</f>
        <v>0.343313053625523</v>
      </c>
      <c r="E20" s="151" t="n">
        <f aca="false">IFERROR(E9/E5,0)</f>
        <v>0.40294154934471</v>
      </c>
      <c r="F20" s="151" t="n">
        <f aca="false">IFERROR(F9/F5,0)</f>
        <v>0.425791242745975</v>
      </c>
      <c r="G20" s="151" t="n">
        <f aca="false">IFERROR(G9/G5,0)</f>
        <v>0.41503807167073</v>
      </c>
      <c r="H20" s="151" t="n">
        <f aca="false">IFERROR(H9/H5,0)</f>
        <v>0.397868307946421</v>
      </c>
      <c r="I20" s="151" t="n">
        <f aca="false">IFERROR(I9/I5,0)</f>
        <v>0.380597809614908</v>
      </c>
    </row>
    <row r="21" customFormat="false" ht="13.5" hidden="false" customHeight="true" outlineLevel="0" collapsed="false">
      <c r="A21" s="13" t="s">
        <v>722</v>
      </c>
      <c r="C21" s="151" t="n">
        <f aca="false">IFERROR(C7/C5,0)</f>
        <v>0.773170241750989</v>
      </c>
      <c r="D21" s="151" t="n">
        <f aca="false">IFERROR(D7/D5,0)</f>
        <v>0.750907162472028</v>
      </c>
      <c r="E21" s="151" t="n">
        <f aca="false">IFERROR(E7/E5,0)</f>
        <v>0.747145051168446</v>
      </c>
      <c r="F21" s="151" t="n">
        <f aca="false">IFERROR(F7/F5,0)</f>
        <v>0.744227928707389</v>
      </c>
      <c r="G21" s="151" t="n">
        <f aca="false">IFERROR(G7/G5,0)</f>
        <v>0.743944102171621</v>
      </c>
      <c r="H21" s="151" t="n">
        <f aca="false">IFERROR(H7/H5,0)</f>
        <v>0.743944102171621</v>
      </c>
      <c r="I21" s="151" t="n">
        <f aca="false">IFERROR(I7/I5,0)</f>
        <v>0.743944102171621</v>
      </c>
    </row>
    <row r="22" customFormat="false" ht="13.5" hidden="false" customHeight="true" outlineLevel="0" collapsed="false">
      <c r="A22" s="13" t="s">
        <v>888</v>
      </c>
      <c r="C22" s="139" t="n">
        <f aca="false">SUM(Modelo_Mensual!$C$26:$N$26)</f>
        <v>4372.20957314189</v>
      </c>
      <c r="D22" s="139" t="n">
        <f aca="false">SUM(Modelo_Mensual!$O$26:$Z$26)</f>
        <v>19487.1553426014</v>
      </c>
      <c r="E22" s="139" t="n">
        <f aca="false">SUM(Modelo_Mensual!$AA$26:$AL$26)</f>
        <v>29841.6347051351</v>
      </c>
      <c r="F22" s="139" t="n">
        <f aca="false">SUM(Modelo_Mensual!$AM$26:$AX$26)</f>
        <v>36568.9280578378</v>
      </c>
      <c r="G22" s="139" t="n">
        <f aca="false">SUM(Modelo_Mensual!$AY$26:$BJ$26)</f>
        <v>37389.3296862162</v>
      </c>
      <c r="H22" s="139" t="n">
        <f aca="false">SUM(Modelo_Mensual!$BK$26:$BV$26)</f>
        <v>37389.3296862162</v>
      </c>
      <c r="I22" s="139" t="n">
        <f aca="false">SUM(Modelo_Mensual!$BW$26:$CH$26)</f>
        <v>37389.3296862162</v>
      </c>
    </row>
    <row r="23" customFormat="false" ht="13.5" hidden="false" customHeight="true" outlineLevel="0" collapsed="false">
      <c r="A23" s="30" t="s">
        <v>889</v>
      </c>
      <c r="C23" s="153" t="n">
        <f aca="false">IFERROR(C9/-C16,0)</f>
        <v>-6.2038302596224</v>
      </c>
      <c r="D23" s="153" t="n">
        <f aca="false">IFERROR(D9/-D16,0)</f>
        <v>30.346513693482</v>
      </c>
      <c r="E23" s="153" t="n">
        <f aca="false">IFERROR(E9/-E16,0)</f>
        <v>15.9401806435671</v>
      </c>
      <c r="F23" s="153" t="n">
        <f aca="false">IFERROR(F9/-F16,0)</f>
        <v>19.2776365566145</v>
      </c>
      <c r="G23" s="153" t="n">
        <f aca="false">IFERROR(G9/-G16,0)</f>
        <v>19.6616875674055</v>
      </c>
      <c r="H23" s="153" t="n">
        <f aca="false">IFERROR(H9/-H16,0)</f>
        <v>19.5989112391892</v>
      </c>
      <c r="I23" s="153" t="n">
        <f aca="false">IFERROR(I9/-I16,0)</f>
        <v>19.5277779597427</v>
      </c>
    </row>
    <row r="24" customFormat="false" ht="13.5" hidden="false" customHeight="true" outlineLevel="0" collapsed="false">
      <c r="A24" s="13" t="s">
        <v>890</v>
      </c>
      <c r="C24" s="138" t="n">
        <f aca="false">SUM(Modelo_Mensual!$C$51:$N$51)</f>
        <v>-136224</v>
      </c>
      <c r="D24" s="138" t="n">
        <f aca="false">SUM(Modelo_Mensual!$O$51:$Z$51)</f>
        <v>-251838.84</v>
      </c>
      <c r="E24" s="138" t="n">
        <f aca="false">SUM(Modelo_Mensual!$AA$51:$AL$51)</f>
        <v>-343002.3696</v>
      </c>
      <c r="F24" s="138" t="n">
        <f aca="false">SUM(Modelo_Mensual!$AM$51:$AX$51)</f>
        <v>-400774.993344</v>
      </c>
      <c r="G24" s="138" t="n">
        <f aca="false">SUM(Modelo_Mensual!$AY$51:$BJ$51)</f>
        <v>-430143.04314432</v>
      </c>
      <c r="H24" s="138" t="n">
        <f aca="false">SUM(Modelo_Mensual!$BK$51:$BV$51)</f>
        <v>-459679.33443865</v>
      </c>
      <c r="I24" s="138" t="n">
        <f aca="false">SUM(Modelo_Mensual!$BW$51:$CH$51)</f>
        <v>-489388.914471809</v>
      </c>
    </row>
    <row r="25" customFormat="false" ht="13.5" hidden="false" customHeight="true" outlineLevel="0" collapsed="false">
      <c r="A25" s="13" t="s">
        <v>891</v>
      </c>
      <c r="C25" s="138" t="n">
        <f aca="false">SUM(Modelo_Mensual!$C$52:$N$52)</f>
        <v>-28982.3341868255</v>
      </c>
      <c r="D25" s="138" t="n">
        <f aca="false">SUM(Modelo_Mensual!$O$52:$Z$52)</f>
        <v>-51079.5983154782</v>
      </c>
      <c r="E25" s="138" t="n">
        <f aca="false">SUM(Modelo_Mensual!$AA$52:$AL$52)</f>
        <v>-63451.9514765786</v>
      </c>
      <c r="F25" s="138" t="n">
        <f aca="false">SUM(Modelo_Mensual!$AM$52:$AX$52)</f>
        <v>-66045.9943007626</v>
      </c>
      <c r="G25" s="138" t="n">
        <f aca="false">SUM(Modelo_Mensual!$AY$52:$BJ$52)</f>
        <v>-66362.3409866387</v>
      </c>
      <c r="H25" s="138" t="n">
        <f aca="false">SUM(Modelo_Mensual!$BK$52:$BV$52)</f>
        <v>-66362.3409866387</v>
      </c>
      <c r="I25" s="138" t="n">
        <f aca="false">SUM(Modelo_Mensual!$BW$52:$CH$52)</f>
        <v>-66362.3409866387</v>
      </c>
    </row>
    <row r="26" customFormat="false" ht="13.5" hidden="false" customHeight="true" outlineLevel="0" collapsed="false">
      <c r="A26" s="13" t="s">
        <v>892</v>
      </c>
      <c r="C26" s="138" t="n">
        <f aca="false">SUM(Modelo_Mensual!$C$184:$N$184)</f>
        <v>120005.625</v>
      </c>
      <c r="D26" s="138" t="n">
        <f aca="false">SUM(Modelo_Mensual!$O$184:$Z$184)</f>
        <v>330243.3</v>
      </c>
      <c r="E26" s="138" t="n">
        <f aca="false">SUM(Modelo_Mensual!$AA$184:$AL$184)</f>
        <v>385575.3</v>
      </c>
      <c r="F26" s="138" t="n">
        <f aca="false">SUM(Modelo_Mensual!$AM$184:$AX$184)</f>
        <v>385575.3</v>
      </c>
      <c r="G26" s="138" t="n">
        <f aca="false">SUM(Modelo_Mensual!$AY$184:$BJ$184)</f>
        <v>385575.3</v>
      </c>
      <c r="H26" s="138" t="n">
        <f aca="false">SUM(Modelo_Mensual!$BK$184:$BV$184)</f>
        <v>385575.3</v>
      </c>
      <c r="I26" s="138" t="n">
        <f aca="false">SUM(Modelo_Mensual!$BW$184:$CH$184)</f>
        <v>385575.3</v>
      </c>
    </row>
    <row r="27" customFormat="false" ht="13.5" hidden="false" customHeight="true" outlineLevel="0" collapsed="false">
      <c r="A27" s="13" t="s">
        <v>893</v>
      </c>
      <c r="C27" s="151" t="n">
        <f aca="false">IFERROR(C26/C5,0)</f>
        <v>0.483098112574801</v>
      </c>
      <c r="D27" s="151" t="n">
        <f aca="false">IFERROR(D26/D5,0)</f>
        <v>0.367134444443724</v>
      </c>
      <c r="E27" s="151" t="n">
        <f aca="false">IFERROR(E26/E5,0)</f>
        <v>0.280934692830353</v>
      </c>
      <c r="F27" s="151" t="n">
        <f aca="false">IFERROR(F26/F5,0)</f>
        <v>0.229175107333157</v>
      </c>
      <c r="G27" s="151" t="n">
        <f aca="false">IFERROR(G26/G5,0)</f>
        <v>0.224139067865993</v>
      </c>
      <c r="H27" s="151" t="n">
        <f aca="false">IFERROR(H26/H5,0)</f>
        <v>0.224139067865993</v>
      </c>
      <c r="I27" s="151" t="n">
        <f aca="false">IFERROR(I26/I5,0)</f>
        <v>0.224139067865993</v>
      </c>
    </row>
    <row r="28" customFormat="false" ht="13.5" hidden="false" customHeight="true" outlineLevel="0" collapsed="false">
      <c r="A28" s="13" t="s">
        <v>894</v>
      </c>
      <c r="C28" s="139" t="n">
        <f aca="false">Modelo_Mensual!$N$31</f>
        <v>4</v>
      </c>
      <c r="D28" s="139" t="n">
        <f aca="false">Modelo_Mensual!$Z$31</f>
        <v>7</v>
      </c>
      <c r="E28" s="139" t="n">
        <f aca="false">Modelo_Mensual!$AL$31</f>
        <v>9</v>
      </c>
      <c r="F28" s="139" t="n">
        <f aca="false">Modelo_Mensual!$AX$31</f>
        <v>9</v>
      </c>
      <c r="G28" s="139" t="n">
        <f aca="false">Modelo_Mensual!$BJ$31</f>
        <v>9</v>
      </c>
      <c r="H28" s="139" t="n">
        <f aca="false">Modelo_Mensual!$BV$31</f>
        <v>9</v>
      </c>
      <c r="I28" s="139" t="n">
        <f aca="false">Modelo_Mensual!$CH$31</f>
        <v>9</v>
      </c>
    </row>
    <row r="29" customFormat="false" ht="13.5" hidden="false" customHeight="true" outlineLevel="0" collapsed="false">
      <c r="A29" s="13" t="s">
        <v>895</v>
      </c>
      <c r="C29" s="139" t="n">
        <f aca="false">Modelo_Mensual!$N$30</f>
        <v>0</v>
      </c>
      <c r="D29" s="139" t="n">
        <f aca="false">Modelo_Mensual!$Z$30</f>
        <v>2</v>
      </c>
      <c r="E29" s="139" t="n">
        <f aca="false">Modelo_Mensual!$AL$30</f>
        <v>4</v>
      </c>
      <c r="F29" s="139" t="n">
        <f aca="false">Modelo_Mensual!$AX$30</f>
        <v>4</v>
      </c>
      <c r="G29" s="139" t="n">
        <f aca="false">Modelo_Mensual!$BJ$30</f>
        <v>4</v>
      </c>
      <c r="H29" s="139" t="n">
        <f aca="false">Modelo_Mensual!$BV$30</f>
        <v>4</v>
      </c>
      <c r="I29" s="139" t="n">
        <f aca="false">Modelo_Mensual!$CH$30</f>
        <v>4</v>
      </c>
    </row>
    <row r="30" customFormat="false" ht="13.5" hidden="false" customHeight="true" outlineLevel="0" collapsed="false">
      <c r="A30" s="13" t="s">
        <v>749</v>
      </c>
      <c r="C30" s="138" t="n">
        <f aca="false">SUM(Modelo_Mensual!$C$71:$N$71)</f>
        <v>-18459.4513897482</v>
      </c>
      <c r="D30" s="138" t="n">
        <f aca="false">SUM(Modelo_Mensual!$O$71:$Z$71)</f>
        <v>-19485.6794769762</v>
      </c>
      <c r="E30" s="138" t="n">
        <f aca="false">SUM(Modelo_Mensual!$AA$71:$AL$71)</f>
        <v>-5785.55652427107</v>
      </c>
      <c r="F30" s="138" t="n">
        <f aca="false">SUM(Modelo_Mensual!$AM$71:$AX$71)</f>
        <v>-2892.77826213553</v>
      </c>
      <c r="G30" s="138" t="n">
        <f aca="false">SUM(Modelo_Mensual!$AY$71:$BJ$71)</f>
        <v>0</v>
      </c>
      <c r="H30" s="138" t="n">
        <f aca="false">SUM(Modelo_Mensual!$BK$71:$BV$71)</f>
        <v>0</v>
      </c>
      <c r="I30" s="138" t="n">
        <f aca="false">SUM(Modelo_Mensual!$BW$71:$CH$71)</f>
        <v>0</v>
      </c>
    </row>
    <row r="31" customFormat="false" ht="13.5" hidden="false" customHeight="true" outlineLevel="0" collapsed="false">
      <c r="A31" s="13" t="s">
        <v>896</v>
      </c>
      <c r="C31" s="139" t="n">
        <f aca="false">Modelo_Mensual!$N$68</f>
        <v>40874.7943396216</v>
      </c>
      <c r="D31" s="139" t="n">
        <f aca="false">Modelo_Mensual!$Z$68</f>
        <v>90165.0156640541</v>
      </c>
      <c r="E31" s="139" t="n">
        <f aca="false">Modelo_Mensual!$AL$68</f>
        <v>117382.364633676</v>
      </c>
      <c r="F31" s="139" t="n">
        <f aca="false">Modelo_Mensual!$AX$68</f>
        <v>130991.039118487</v>
      </c>
      <c r="G31" s="139" t="n">
        <f aca="false">Modelo_Mensual!$BJ$68</f>
        <v>130991.039118487</v>
      </c>
      <c r="H31" s="139" t="n">
        <f aca="false">Modelo_Mensual!$BV$68</f>
        <v>130991.039118487</v>
      </c>
      <c r="I31" s="139" t="n">
        <f aca="false">Modelo_Mensual!$CH$68</f>
        <v>130991.039118487</v>
      </c>
    </row>
    <row r="32" customFormat="false" ht="13.5" hidden="false" customHeight="true" outlineLevel="0" collapsed="false">
      <c r="A32" s="13" t="s">
        <v>897</v>
      </c>
      <c r="C32" s="138" t="n">
        <f aca="false">SUM(Modelo_Mensual!$C$83:$N$83)</f>
        <v>0</v>
      </c>
      <c r="D32" s="138" t="n">
        <f aca="false">SUM(Modelo_Mensual!$O$83:$Z$83)</f>
        <v>0</v>
      </c>
      <c r="E32" s="138" t="n">
        <f aca="false">SUM(Modelo_Mensual!$AA$83:$AL$83)</f>
        <v>0</v>
      </c>
      <c r="F32" s="138" t="n">
        <f aca="false">SUM(Modelo_Mensual!$AM$83:$AX$83)</f>
        <v>-203993.097873244</v>
      </c>
      <c r="G32" s="138" t="n">
        <f aca="false">SUM(Modelo_Mensual!$AY$83:$BJ$83)</f>
        <v>-203488.506379785</v>
      </c>
      <c r="H32" s="138" t="n">
        <f aca="false">SUM(Modelo_Mensual!$BK$83:$BV$83)</f>
        <v>-195044.836739252</v>
      </c>
      <c r="I32" s="138" t="n">
        <f aca="false">SUM(Modelo_Mensual!$BW$83:$CH$83)</f>
        <v>-186550.220209503</v>
      </c>
    </row>
    <row r="33" customFormat="false" ht="13.5" hidden="false" customHeight="true" outlineLevel="0" collapsed="false">
      <c r="A33" s="13" t="s">
        <v>898</v>
      </c>
      <c r="C33" s="138" t="n">
        <f aca="false">SUM(Modelo_Mensual!$C$84:$N$84)</f>
        <v>0</v>
      </c>
      <c r="D33" s="138" t="n">
        <f aca="false">SUM(Modelo_Mensual!$O$84:$Z$84)</f>
        <v>0</v>
      </c>
      <c r="E33" s="138" t="n">
        <f aca="false">SUM(Modelo_Mensual!$AA$84:$AL$84)</f>
        <v>0</v>
      </c>
      <c r="F33" s="138" t="n">
        <f aca="false">SUM(Modelo_Mensual!$AM$84:$AX$84)</f>
        <v>0</v>
      </c>
      <c r="G33" s="138" t="n">
        <f aca="false">SUM(Modelo_Mensual!$AY$84:$BJ$84)</f>
        <v>0</v>
      </c>
      <c r="H33" s="138" t="n">
        <f aca="false">SUM(Modelo_Mensual!$BK$84:$BV$84)</f>
        <v>0</v>
      </c>
      <c r="I33" s="138" t="n">
        <f aca="false">SUM(Modelo_Mensual!$BW$84:$CH$84)</f>
        <v>0</v>
      </c>
    </row>
    <row r="34" customFormat="false" ht="13.5" hidden="false" customHeight="true" outlineLevel="0" collapsed="false">
      <c r="A34" s="13" t="s">
        <v>899</v>
      </c>
      <c r="C34" s="138" t="n">
        <f aca="false">Modelo_Mensual!$N$112</f>
        <v>0</v>
      </c>
      <c r="D34" s="138" t="n">
        <f aca="false">Modelo_Mensual!$Z$112</f>
        <v>165947.731900954</v>
      </c>
      <c r="E34" s="138" t="n">
        <f aca="false">Modelo_Mensual!$AL$112</f>
        <v>606503.349730412</v>
      </c>
      <c r="F34" s="138" t="n">
        <f aca="false">Modelo_Mensual!$AX$112</f>
        <v>1116486.09441352</v>
      </c>
      <c r="G34" s="138" t="n">
        <f aca="false">Modelo_Mensual!$BJ$112</f>
        <v>1625207.36036298</v>
      </c>
      <c r="H34" s="138" t="n">
        <f aca="false">Modelo_Mensual!$BV$112</f>
        <v>2112819.45221111</v>
      </c>
      <c r="I34" s="138" t="n">
        <f aca="false">Modelo_Mensual!$CH$112</f>
        <v>2579195.00273487</v>
      </c>
    </row>
    <row r="35" customFormat="false" ht="13.5" hidden="false" customHeight="true" outlineLevel="0" collapsed="false">
      <c r="A35" s="13" t="s">
        <v>900</v>
      </c>
      <c r="C35" s="138" t="n">
        <f aca="false">Modelo_Mensual!$N$81</f>
        <v>1356.85179608368</v>
      </c>
      <c r="D35" s="138" t="n">
        <f aca="false">Modelo_Mensual!$Z$81</f>
        <v>0</v>
      </c>
      <c r="E35" s="138" t="n">
        <f aca="false">Modelo_Mensual!$AL$81</f>
        <v>0</v>
      </c>
      <c r="F35" s="138" t="n">
        <f aca="false">Modelo_Mensual!$AX$81</f>
        <v>0</v>
      </c>
      <c r="G35" s="138" t="n">
        <f aca="false">Modelo_Mensual!$BJ$81</f>
        <v>0</v>
      </c>
      <c r="H35" s="138" t="n">
        <f aca="false">Modelo_Mensual!$BV$81</f>
        <v>0</v>
      </c>
      <c r="I35" s="138" t="n">
        <f aca="false">Modelo_Mensual!$CH$81</f>
        <v>0</v>
      </c>
    </row>
    <row r="36" customFormat="false" ht="13.5" hidden="false" customHeight="true" outlineLevel="0" collapsed="false">
      <c r="A36" s="13" t="s">
        <v>901</v>
      </c>
      <c r="C36" s="138" t="n">
        <f aca="false">SUM(Modelo_Mensual!$C$60:$N$60)</f>
        <v>-5606.38619625331</v>
      </c>
      <c r="D36" s="138" t="n">
        <f aca="false">SUM(Modelo_Mensual!$O$60:$Z$60)</f>
        <v>-12315.4325328289</v>
      </c>
      <c r="E36" s="138" t="n">
        <f aca="false">SUM(Modelo_Mensual!$AA$60:$AL$60)</f>
        <v>-18161.7413019136</v>
      </c>
      <c r="F36" s="138" t="n">
        <f aca="false">SUM(Modelo_Mensual!$AM$60:$AX$60)</f>
        <v>-21674.8158323087</v>
      </c>
      <c r="G36" s="138" t="n">
        <f aca="false">SUM(Modelo_Mensual!$AY$60:$BJ$60)</f>
        <v>-20954.348373531</v>
      </c>
      <c r="H36" s="138" t="n">
        <f aca="false">SUM(Modelo_Mensual!$BK$60:$BV$60)</f>
        <v>-19563.6225476444</v>
      </c>
      <c r="I36" s="138" t="n">
        <f aca="false">SUM(Modelo_Mensual!$BW$60:$CH$60)</f>
        <v>-18169.4309469812</v>
      </c>
    </row>
    <row r="38" customFormat="false" ht="15" hidden="false" customHeight="false" outlineLevel="0" collapsed="false">
      <c r="A38" s="24" t="s">
        <v>902</v>
      </c>
    </row>
    <row r="39" customFormat="false" ht="15" hidden="false" customHeight="false" outlineLevel="0" collapsed="false">
      <c r="A39" s="1" t="s">
        <v>903</v>
      </c>
      <c r="C39" s="28" t="n">
        <f aca="false">SUM(Modelo_Mensual!$C$34:$N$34)</f>
        <v>153340.004419865</v>
      </c>
      <c r="D39" s="28" t="n">
        <f aca="false">SUM(Modelo_Mensual!$O$34:$Z$34)</f>
        <v>631970.981759189</v>
      </c>
      <c r="E39" s="28" t="n">
        <f aca="false">SUM(Modelo_Mensual!$AA$34:$AL$34)</f>
        <v>1027519.84387946</v>
      </c>
      <c r="F39" s="28" t="n">
        <f aca="false">SUM(Modelo_Mensual!$AM$34:$AX$34)</f>
        <v>1337495.20714459</v>
      </c>
      <c r="G39" s="28" t="n">
        <f aca="false">SUM(Modelo_Mensual!$AY$34:$BJ$34)</f>
        <v>1375297.08071351</v>
      </c>
      <c r="H39" s="28" t="n">
        <f aca="false">SUM(Modelo_Mensual!$BK$34:$BV$34)</f>
        <v>1375297.08071351</v>
      </c>
      <c r="I39" s="28" t="n">
        <f aca="false">SUM(Modelo_Mensual!$BW$34:$CH$34)</f>
        <v>1375297.08071351</v>
      </c>
    </row>
    <row r="40" customFormat="false" ht="15" hidden="false" customHeight="false" outlineLevel="0" collapsed="false">
      <c r="A40" s="1" t="s">
        <v>904</v>
      </c>
      <c r="C40" s="28" t="n">
        <f aca="false">SUM(Modelo_Mensual!$C$35:$N$35)</f>
        <v>95068.3869116554</v>
      </c>
      <c r="D40" s="28" t="n">
        <f aca="false">SUM(Modelo_Mensual!$O$35:$Z$35)</f>
        <v>267544.999369682</v>
      </c>
      <c r="E40" s="28" t="n">
        <f aca="false">SUM(Modelo_Mensual!$AA$35:$AL$35)</f>
        <v>344953.224916054</v>
      </c>
      <c r="F40" s="28" t="n">
        <f aca="false">SUM(Modelo_Mensual!$AM$35:$AX$35)</f>
        <v>344953.224916054</v>
      </c>
      <c r="G40" s="28" t="n">
        <f aca="false">SUM(Modelo_Mensual!$AY$35:$BJ$35)</f>
        <v>344953.224916054</v>
      </c>
      <c r="H40" s="28" t="n">
        <f aca="false">SUM(Modelo_Mensual!$BK$35:$BV$35)</f>
        <v>344953.224916054</v>
      </c>
      <c r="I40" s="28" t="n">
        <f aca="false">SUM(Modelo_Mensual!$BW$35:$CH$35)</f>
        <v>344953.224916054</v>
      </c>
    </row>
    <row r="41" customFormat="false" ht="15" hidden="false" customHeight="false" outlineLevel="0" collapsed="false">
      <c r="A41" s="1" t="s">
        <v>852</v>
      </c>
      <c r="C41" s="26" t="n">
        <f aca="false">IFERROR(C40/C5,0)</f>
        <v>0.382710046154517</v>
      </c>
      <c r="D41" s="26" t="n">
        <f aca="false">IFERROR(D40/D5,0)</f>
        <v>0.297432180175298</v>
      </c>
      <c r="E41" s="26" t="n">
        <f aca="false">IFERROR(E40/E5,0)</f>
        <v>0.251336971747494</v>
      </c>
      <c r="F41" s="26" t="n">
        <f aca="false">IFERROR(F40/F5,0)</f>
        <v>0.20503048910305</v>
      </c>
      <c r="G41" s="26" t="n">
        <f aca="false">IFERROR(G40/G5,0)</f>
        <v>0.200525018822659</v>
      </c>
      <c r="H41" s="26" t="n">
        <f aca="false">IFERROR(H40/H5,0)</f>
        <v>0.200525018822659</v>
      </c>
      <c r="I41" s="26" t="n">
        <f aca="false">IFERROR(I40/I5,0)</f>
        <v>0.200525018822659</v>
      </c>
    </row>
    <row r="42" customFormat="false" ht="15" hidden="false" customHeight="false" outlineLevel="0" collapsed="false">
      <c r="A42" s="1" t="s">
        <v>905</v>
      </c>
      <c r="C42" s="27" t="n">
        <f aca="false">SUM(Modelo_Mensual!$C$181:$N$181)</f>
        <v>550.042000844595</v>
      </c>
      <c r="D42" s="27" t="n">
        <f aca="false">SUM(Modelo_Mensual!$O$181:$Z$181)</f>
        <v>1547.94870881757</v>
      </c>
      <c r="E42" s="27" t="n">
        <f aca="false">SUM(Modelo_Mensual!$AA$181:$AL$181)</f>
        <v>1995.81341594595</v>
      </c>
      <c r="F42" s="27" t="n">
        <f aca="false">SUM(Modelo_Mensual!$AM$181:$AX$181)</f>
        <v>1995.81341594595</v>
      </c>
      <c r="G42" s="27" t="n">
        <f aca="false">SUM(Modelo_Mensual!$AY$181:$BJ$181)</f>
        <v>1995.81341594595</v>
      </c>
      <c r="H42" s="27" t="n">
        <f aca="false">SUM(Modelo_Mensual!$BK$181:$BV$181)</f>
        <v>1995.81341594595</v>
      </c>
      <c r="I42" s="27" t="n">
        <f aca="false">SUM(Modelo_Mensual!$BW$181:$CH$181)</f>
        <v>1995.81341594595</v>
      </c>
    </row>
    <row r="43" customFormat="false" ht="15" hidden="false" customHeight="false" outlineLevel="0" collapsed="false">
      <c r="A43" s="1" t="s">
        <v>98</v>
      </c>
      <c r="C43" s="26" t="n">
        <f aca="false">IFERROR(C42/C22,0)</f>
        <v>0.125804125269625</v>
      </c>
      <c r="D43" s="26" t="n">
        <f aca="false">IFERROR(D42/D22,0)</f>
        <v>0.0794343084767</v>
      </c>
      <c r="E43" s="26" t="n">
        <f aca="false">IFERROR(E42/E22,0)</f>
        <v>0.0668801637600137</v>
      </c>
      <c r="F43" s="26" t="n">
        <f aca="false">IFERROR(F42/F22,0)</f>
        <v>0.0545767546915607</v>
      </c>
      <c r="G43" s="26" t="n">
        <f aca="false">IFERROR(G42/G22,0)</f>
        <v>0.053379224305316</v>
      </c>
      <c r="H43" s="26" t="n">
        <f aca="false">IFERROR(H42/H22,0)</f>
        <v>0.053379224305316</v>
      </c>
      <c r="I43" s="26" t="n">
        <f aca="false">IFERROR(I42/I22,0)</f>
        <v>0.053379224305316</v>
      </c>
    </row>
    <row r="44" customFormat="false" ht="15" hidden="false" customHeight="false" outlineLevel="0" collapsed="false">
      <c r="A44" s="1" t="s">
        <v>906</v>
      </c>
      <c r="C44" s="28" t="n">
        <f aca="false">SUM(Modelo_Mensual!$C$214:$N$214)</f>
        <v>109709.19097425</v>
      </c>
      <c r="D44" s="28" t="n">
        <f aca="false">SUM(Modelo_Mensual!$O$214:$Z$214)</f>
        <v>440923.059357614</v>
      </c>
      <c r="E44" s="28" t="n">
        <f aca="false">SUM(Modelo_Mensual!$AA$214:$AL$214)</f>
        <v>721231.875710316</v>
      </c>
      <c r="F44" s="28" t="n">
        <f aca="false">SUM(Modelo_Mensual!$AM$214:$AX$214)</f>
        <v>945326.483423083</v>
      </c>
      <c r="G44" s="28" t="n">
        <f aca="false">SUM(Modelo_Mensual!$AY$214:$BJ$214)</f>
        <v>972655.094119762</v>
      </c>
      <c r="H44" s="28" t="n">
        <f aca="false">SUM(Modelo_Mensual!$BK$214:$BV$214)</f>
        <v>972655.094119762</v>
      </c>
      <c r="I44" s="28" t="n">
        <f aca="false">SUM(Modelo_Mensual!$BW$214:$CH$214)</f>
        <v>972655.094119762</v>
      </c>
    </row>
    <row r="45" customFormat="false" ht="15" hidden="false" customHeight="false" outlineLevel="0" collapsed="false">
      <c r="A45" s="1" t="s">
        <v>907</v>
      </c>
      <c r="C45" s="28" t="n">
        <f aca="false">SUM(Modelo_Mensual!$C$215:$N$215)</f>
        <v>50706.1779026601</v>
      </c>
      <c r="D45" s="28" t="n">
        <f aca="false">SUM(Modelo_Mensual!$O$215:$Z$215)</f>
        <v>180343.042422967</v>
      </c>
      <c r="E45" s="28" t="n">
        <f aca="false">SUM(Modelo_Mensual!$AA$215:$AL$215)</f>
        <v>239866.594072378</v>
      </c>
      <c r="F45" s="28" t="n">
        <f aca="false">SUM(Modelo_Mensual!$AM$215:$AX$215)</f>
        <v>239866.594072378</v>
      </c>
      <c r="G45" s="28" t="n">
        <f aca="false">SUM(Modelo_Mensual!$AY$215:$BJ$215)</f>
        <v>239866.594072378</v>
      </c>
      <c r="H45" s="28" t="n">
        <f aca="false">SUM(Modelo_Mensual!$BK$215:$BV$215)</f>
        <v>239866.594072378</v>
      </c>
      <c r="I45" s="28" t="n">
        <f aca="false">SUM(Modelo_Mensual!$BW$215:$CH$215)</f>
        <v>239866.594072378</v>
      </c>
    </row>
    <row r="46" customFormat="false" ht="15" hidden="false" customHeight="false" outlineLevel="0" collapsed="false">
      <c r="A46" s="1" t="s">
        <v>908</v>
      </c>
      <c r="C46" s="26" t="n">
        <f aca="false">IFERROR(C44/C39,0)</f>
        <v>0.715463596008852</v>
      </c>
      <c r="D46" s="26" t="n">
        <f aca="false">IFERROR(D44/D39,0)</f>
        <v>0.697695103231222</v>
      </c>
      <c r="E46" s="26" t="n">
        <f aca="false">IFERROR(E44/E39,0)</f>
        <v>0.701915276874132</v>
      </c>
      <c r="F46" s="26" t="n">
        <f aca="false">IFERROR(F44/F39,0)</f>
        <v>0.706788688567529</v>
      </c>
      <c r="G46" s="26" t="n">
        <f aca="false">IFERROR(G44/G39,0)</f>
        <v>0.707232719213759</v>
      </c>
      <c r="H46" s="26" t="n">
        <f aca="false">IFERROR(H44/H39,0)</f>
        <v>0.707232719213759</v>
      </c>
      <c r="I46" s="26" t="n">
        <f aca="false">IFERROR(I44/I39,0)</f>
        <v>0.707232719213759</v>
      </c>
    </row>
    <row r="47" customFormat="false" ht="15" hidden="false" customHeight="false" outlineLevel="0" collapsed="false">
      <c r="A47" s="1" t="s">
        <v>909</v>
      </c>
      <c r="C47" s="26" t="n">
        <f aca="false">IFERROR(C45/C40,0)</f>
        <v>0.533365291553543</v>
      </c>
      <c r="D47" s="26" t="n">
        <f aca="false">IFERROR(D45/D40,0)</f>
        <v>0.674066205116308</v>
      </c>
      <c r="E47" s="26" t="n">
        <f aca="false">IFERROR(E45/E40,0)</f>
        <v>0.695359766909703</v>
      </c>
      <c r="F47" s="26" t="n">
        <f aca="false">IFERROR(F45/F40,0)</f>
        <v>0.695359766909703</v>
      </c>
      <c r="G47" s="26" t="n">
        <f aca="false">IFERROR(G45/G40,0)</f>
        <v>0.695359766909703</v>
      </c>
      <c r="H47" s="26" t="n">
        <f aca="false">IFERROR(H45/H40,0)</f>
        <v>0.695359766909703</v>
      </c>
      <c r="I47" s="26" t="n">
        <f aca="false">IFERROR(I45/I40,0)</f>
        <v>0.695359766909703</v>
      </c>
    </row>
    <row r="48" customFormat="false" ht="15" hidden="false" customHeight="false" outlineLevel="0" collapsed="false">
      <c r="A48" s="1" t="s">
        <v>910</v>
      </c>
      <c r="C48" s="27" t="n">
        <f aca="false">Modelo_Mensual!$N$196</f>
        <v>61.530552310172</v>
      </c>
      <c r="D48" s="27" t="n">
        <f aca="false">Modelo_Mensual!$Z$196</f>
        <v>123.061104620344</v>
      </c>
      <c r="E48" s="27" t="n">
        <f aca="false">Modelo_Mensual!$AL$196</f>
        <v>123.061104620344</v>
      </c>
      <c r="F48" s="27" t="n">
        <f aca="false">Modelo_Mensual!$AX$196</f>
        <v>123.061104620344</v>
      </c>
      <c r="G48" s="27" t="n">
        <f aca="false">Modelo_Mensual!$BJ$196</f>
        <v>123.061104620344</v>
      </c>
      <c r="H48" s="27" t="n">
        <f aca="false">Modelo_Mensual!$BV$196</f>
        <v>123.061104620344</v>
      </c>
      <c r="I48" s="27" t="n">
        <f aca="false">Modelo_Mensual!$CH$196</f>
        <v>123.061104620344</v>
      </c>
    </row>
    <row r="49" customFormat="false" ht="15" hidden="false" customHeight="false" outlineLevel="0" collapsed="false">
      <c r="A49" s="1" t="s">
        <v>911</v>
      </c>
      <c r="C49" s="27" t="n">
        <f aca="false">SUM(Modelo_Mensual!$C$188:$N$188)</f>
        <v>3286.7203772396</v>
      </c>
      <c r="D49" s="27" t="n">
        <f aca="false">SUM(Modelo_Mensual!$O$188:$Z$188)</f>
        <v>9249.61104130276</v>
      </c>
      <c r="E49" s="27" t="n">
        <f aca="false">SUM(Modelo_Mensual!$AA$188:$AL$188)</f>
        <v>11925.7813281263</v>
      </c>
      <c r="F49" s="27" t="n">
        <f aca="false">SUM(Modelo_Mensual!$AM$188:$AX$188)</f>
        <v>11925.7813281263</v>
      </c>
      <c r="G49" s="27" t="n">
        <f aca="false">SUM(Modelo_Mensual!$AY$188:$BJ$188)</f>
        <v>11925.7813281263</v>
      </c>
      <c r="H49" s="27" t="n">
        <f aca="false">SUM(Modelo_Mensual!$BK$188:$BV$188)</f>
        <v>11925.7813281263</v>
      </c>
      <c r="I49" s="27" t="n">
        <f aca="false">SUM(Modelo_Mensual!$BW$188:$CH$188)</f>
        <v>11925.7813281263</v>
      </c>
    </row>
    <row r="50" customFormat="false" ht="15" hidden="false" customHeight="false" outlineLevel="0" collapsed="false">
      <c r="A50" s="1" t="s">
        <v>912</v>
      </c>
      <c r="C50" s="27" t="n">
        <f aca="false">Modelo_Mensual!$N$200</f>
        <v>1</v>
      </c>
      <c r="D50" s="27" t="n">
        <f aca="false">Modelo_Mensual!$Z$200</f>
        <v>2</v>
      </c>
      <c r="E50" s="27" t="n">
        <f aca="false">Modelo_Mensual!$AL$200</f>
        <v>2</v>
      </c>
      <c r="F50" s="27" t="n">
        <f aca="false">Modelo_Mensual!$AX$200</f>
        <v>2</v>
      </c>
      <c r="G50" s="27" t="n">
        <f aca="false">Modelo_Mensual!$BJ$200</f>
        <v>2</v>
      </c>
      <c r="H50" s="27" t="n">
        <f aca="false">Modelo_Mensual!$BV$200</f>
        <v>2</v>
      </c>
      <c r="I50" s="27" t="n">
        <f aca="false">Modelo_Mensual!$CH$200</f>
        <v>2</v>
      </c>
    </row>
    <row r="51" customFormat="false" ht="15" hidden="false" customHeight="false" outlineLevel="0" collapsed="false">
      <c r="A51" s="1" t="s">
        <v>913</v>
      </c>
      <c r="C51" s="28" t="n">
        <f aca="false">SUM(Modelo_Mensual!$C$207:$N$207)</f>
        <v>-27508.507218991</v>
      </c>
      <c r="D51" s="28" t="n">
        <f aca="false">SUM(Modelo_Mensual!$O$207:$Z$207)</f>
        <v>-44162.2442177527</v>
      </c>
      <c r="E51" s="28" t="n">
        <f aca="false">SUM(Modelo_Mensual!$AA$207:$AL$207)</f>
        <v>-52714.6089657589</v>
      </c>
      <c r="F51" s="28" t="n">
        <f aca="false">SUM(Modelo_Mensual!$AM$207:$AX$207)</f>
        <v>-52714.6089657589</v>
      </c>
      <c r="G51" s="28" t="n">
        <f aca="false">SUM(Modelo_Mensual!$AY$207:$BJ$207)</f>
        <v>-52714.6089657589</v>
      </c>
      <c r="H51" s="28" t="n">
        <f aca="false">SUM(Modelo_Mensual!$BK$207:$BV$207)</f>
        <v>-52714.6089657589</v>
      </c>
      <c r="I51" s="28" t="n">
        <f aca="false">SUM(Modelo_Mensual!$BW$207:$CH$207)</f>
        <v>-52714.6089657589</v>
      </c>
    </row>
    <row r="52" customFormat="false" ht="15" hidden="false" customHeight="false" outlineLevel="0" collapsed="false">
      <c r="A52" s="1" t="s">
        <v>869</v>
      </c>
      <c r="C52" s="29" t="n">
        <f aca="false">IFERROR(-C51/C49,0)</f>
        <v>8.36959158725102</v>
      </c>
      <c r="D52" s="29" t="n">
        <f aca="false">IFERROR(-D51/D49,0)</f>
        <v>4.7744974378439</v>
      </c>
      <c r="E52" s="29" t="n">
        <f aca="false">IFERROR(-E51/E49,0)</f>
        <v>4.42022266846653</v>
      </c>
      <c r="F52" s="29" t="n">
        <f aca="false">IFERROR(-F51/F49,0)</f>
        <v>4.42022266846653</v>
      </c>
      <c r="G52" s="29" t="n">
        <f aca="false">IFERROR(-G51/G49,0)</f>
        <v>4.42022266846653</v>
      </c>
      <c r="H52" s="29" t="n">
        <f aca="false">IFERROR(-H51/H49,0)</f>
        <v>4.42022266846653</v>
      </c>
      <c r="I52" s="29" t="n">
        <f aca="false">IFERROR(-I51/I49,0)</f>
        <v>4.42022266846653</v>
      </c>
    </row>
    <row r="53" customFormat="false" ht="15" hidden="false" customHeight="false" outlineLevel="0" collapsed="false">
      <c r="A53" s="1" t="s">
        <v>870</v>
      </c>
      <c r="C53" s="28" t="n">
        <f aca="false">SUM(Modelo_Mensual!$C$209:$N$209)</f>
        <v>-2664.27291503045</v>
      </c>
      <c r="D53" s="28" t="n">
        <f aca="false">SUM(Modelo_Mensual!$O$209:$Z$209)</f>
        <v>-3107.29289166369</v>
      </c>
      <c r="E53" s="28" t="n">
        <f aca="false">SUM(Modelo_Mensual!$AA$209:$AL$209)</f>
        <v>-886.039953266477</v>
      </c>
      <c r="F53" s="28" t="n">
        <f aca="false">SUM(Modelo_Mensual!$AM$209:$AX$209)</f>
        <v>-886.039953266477</v>
      </c>
      <c r="G53" s="28" t="n">
        <f aca="false">SUM(Modelo_Mensual!$AY$209:$BJ$209)</f>
        <v>-886.039953266477</v>
      </c>
      <c r="H53" s="28" t="n">
        <f aca="false">SUM(Modelo_Mensual!$BK$209:$BV$209)</f>
        <v>-886.039953266477</v>
      </c>
      <c r="I53" s="28" t="n">
        <f aca="false">SUM(Modelo_Mensual!$BW$209:$CH$209)</f>
        <v>-886.039953266477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9" min="3" style="0" width="13"/>
  </cols>
  <sheetData>
    <row r="1" customFormat="false" ht="17.35" hidden="false" customHeight="false" outlineLevel="0" collapsed="false">
      <c r="A1" s="81" t="s">
        <v>914</v>
      </c>
    </row>
    <row r="2" customFormat="false" ht="15" hidden="false" customHeight="false" outlineLevel="0" collapsed="false">
      <c r="A2" s="0" t="s">
        <v>915</v>
      </c>
    </row>
    <row r="4" customFormat="false" ht="15" hidden="false" customHeight="false" outlineLevel="0" collapsed="false">
      <c r="A4" s="82" t="s">
        <v>213</v>
      </c>
      <c r="B4" s="82"/>
      <c r="C4" s="82" t="s">
        <v>497</v>
      </c>
      <c r="D4" s="82" t="s">
        <v>498</v>
      </c>
      <c r="E4" s="82" t="s">
        <v>499</v>
      </c>
      <c r="F4" s="82" t="s">
        <v>500</v>
      </c>
      <c r="G4" s="82" t="s">
        <v>501</v>
      </c>
      <c r="H4" s="82" t="s">
        <v>502</v>
      </c>
      <c r="I4" s="82" t="s">
        <v>503</v>
      </c>
    </row>
    <row r="5" customFormat="false" ht="15" hidden="false" customHeight="false" outlineLevel="0" collapsed="false">
      <c r="A5" s="24" t="s">
        <v>916</v>
      </c>
    </row>
    <row r="6" customFormat="false" ht="15" hidden="false" customHeight="false" outlineLevel="0" collapsed="false">
      <c r="A6" s="0" t="s">
        <v>917</v>
      </c>
      <c r="C6" s="27" t="n">
        <f aca="false">SUM(Modelo_Mensual!$C$182:$N$182)</f>
        <v>3822.1675722973</v>
      </c>
      <c r="D6" s="27" t="n">
        <f aca="false">SUM(Modelo_Mensual!$O$182:$Z$182)</f>
        <v>17939.2066337838</v>
      </c>
      <c r="E6" s="27" t="n">
        <f aca="false">SUM(Modelo_Mensual!$AA$182:$AL$182)</f>
        <v>27845.8212891892</v>
      </c>
      <c r="F6" s="27" t="n">
        <f aca="false">SUM(Modelo_Mensual!$AM$182:$AX$182)</f>
        <v>34573.1146418919</v>
      </c>
      <c r="G6" s="27" t="n">
        <f aca="false">SUM(Modelo_Mensual!$AY$182:$BJ$182)</f>
        <v>35393.5162702703</v>
      </c>
      <c r="H6" s="27" t="n">
        <f aca="false">SUM(Modelo_Mensual!$BK$182:$BV$182)</f>
        <v>35393.5162702703</v>
      </c>
      <c r="I6" s="27" t="n">
        <f aca="false">SUM(Modelo_Mensual!$BW$182:$CH$182)</f>
        <v>35393.5162702703</v>
      </c>
    </row>
    <row r="7" customFormat="false" ht="15" hidden="false" customHeight="false" outlineLevel="0" collapsed="false">
      <c r="A7" s="25" t="s">
        <v>717</v>
      </c>
      <c r="C7" s="156" t="n">
        <f aca="false">SUM(Modelo_Mensual!$C$186:$N$186)</f>
        <v>153340.004419865</v>
      </c>
      <c r="D7" s="156" t="n">
        <f aca="false">SUM(Modelo_Mensual!$O$186:$Z$186)</f>
        <v>631970.981759189</v>
      </c>
      <c r="E7" s="156" t="n">
        <f aca="false">SUM(Modelo_Mensual!$AA$186:$AL$186)</f>
        <v>1027519.84387946</v>
      </c>
      <c r="F7" s="156" t="n">
        <f aca="false">SUM(Modelo_Mensual!$AM$186:$AX$186)</f>
        <v>1337495.20714459</v>
      </c>
      <c r="G7" s="156" t="n">
        <f aca="false">SUM(Modelo_Mensual!$AY$186:$BJ$186)</f>
        <v>1375297.08071351</v>
      </c>
      <c r="H7" s="156" t="n">
        <f aca="false">SUM(Modelo_Mensual!$BK$186:$BV$186)</f>
        <v>1375297.08071351</v>
      </c>
      <c r="I7" s="156" t="n">
        <f aca="false">SUM(Modelo_Mensual!$BW$186:$CH$186)</f>
        <v>1375297.08071351</v>
      </c>
    </row>
    <row r="8" customFormat="false" ht="15" hidden="false" customHeight="false" outlineLevel="0" collapsed="false">
      <c r="A8" s="0" t="s">
        <v>918</v>
      </c>
      <c r="C8" s="28" t="n">
        <f aca="false">SUM(Modelo_Mensual!$C$184:$N$184)</f>
        <v>120005.625</v>
      </c>
      <c r="D8" s="28" t="n">
        <f aca="false">SUM(Modelo_Mensual!$O$184:$Z$184)</f>
        <v>330243.3</v>
      </c>
      <c r="E8" s="28" t="n">
        <f aca="false">SUM(Modelo_Mensual!$AA$184:$AL$184)</f>
        <v>385575.3</v>
      </c>
      <c r="F8" s="28" t="n">
        <f aca="false">SUM(Modelo_Mensual!$AM$184:$AX$184)</f>
        <v>385575.3</v>
      </c>
      <c r="G8" s="28" t="n">
        <f aca="false">SUM(Modelo_Mensual!$AY$184:$BJ$184)</f>
        <v>385575.3</v>
      </c>
      <c r="H8" s="28" t="n">
        <f aca="false">SUM(Modelo_Mensual!$BK$184:$BV$184)</f>
        <v>385575.3</v>
      </c>
      <c r="I8" s="28" t="n">
        <f aca="false">SUM(Modelo_Mensual!$BW$184:$CH$184)</f>
        <v>385575.3</v>
      </c>
    </row>
    <row r="9" customFormat="false" ht="15" hidden="false" customHeight="false" outlineLevel="0" collapsed="false">
      <c r="A9" s="0" t="s">
        <v>919</v>
      </c>
      <c r="C9" s="28" t="n">
        <f aca="false">SUM(Modelo_Mensual!$C$185:$N$185)</f>
        <v>33334.3794198649</v>
      </c>
      <c r="D9" s="28" t="n">
        <f aca="false">SUM(Modelo_Mensual!$O$185:$Z$185)</f>
        <v>301727.681759189</v>
      </c>
      <c r="E9" s="28" t="n">
        <f aca="false">SUM(Modelo_Mensual!$AA$185:$AL$185)</f>
        <v>641944.54387946</v>
      </c>
      <c r="F9" s="28" t="n">
        <f aca="false">SUM(Modelo_Mensual!$AM$185:$AX$185)</f>
        <v>951919.907144595</v>
      </c>
      <c r="G9" s="28" t="n">
        <f aca="false">SUM(Modelo_Mensual!$AY$185:$BJ$185)</f>
        <v>989721.780713514</v>
      </c>
      <c r="H9" s="28" t="n">
        <f aca="false">SUM(Modelo_Mensual!$BK$185:$BV$185)</f>
        <v>989721.780713514</v>
      </c>
      <c r="I9" s="28" t="n">
        <f aca="false">SUM(Modelo_Mensual!$BW$185:$CH$185)</f>
        <v>989721.780713514</v>
      </c>
    </row>
    <row r="10" customFormat="false" ht="15" hidden="false" customHeight="false" outlineLevel="0" collapsed="false">
      <c r="A10" s="0" t="s">
        <v>920</v>
      </c>
      <c r="C10" s="28" t="n">
        <f aca="false">SUM(Modelo_Mensual!$C$192:$N$192)</f>
        <v>-15334.0004419865</v>
      </c>
      <c r="D10" s="28" t="n">
        <f aca="false">SUM(Modelo_Mensual!$O$192:$Z$192)</f>
        <v>-63197.0981759189</v>
      </c>
      <c r="E10" s="28" t="n">
        <f aca="false">SUM(Modelo_Mensual!$AA$192:$AL$192)</f>
        <v>-102751.984387946</v>
      </c>
      <c r="F10" s="28" t="n">
        <f aca="false">SUM(Modelo_Mensual!$AM$192:$AX$192)</f>
        <v>-133749.520714459</v>
      </c>
      <c r="G10" s="28" t="n">
        <f aca="false">SUM(Modelo_Mensual!$AY$192:$BJ$192)</f>
        <v>-137529.708071351</v>
      </c>
      <c r="H10" s="28" t="n">
        <f aca="false">SUM(Modelo_Mensual!$BK$192:$BV$192)</f>
        <v>-137529.708071351</v>
      </c>
      <c r="I10" s="28" t="n">
        <f aca="false">SUM(Modelo_Mensual!$BW$192:$CH$192)</f>
        <v>-137529.708071351</v>
      </c>
    </row>
    <row r="11" customFormat="false" ht="15" hidden="false" customHeight="false" outlineLevel="0" collapsed="false">
      <c r="A11" s="0" t="s">
        <v>921</v>
      </c>
      <c r="C11" s="28" t="n">
        <f aca="false">SUM(Modelo_Mensual!$C$194:$N$194)</f>
        <v>-26822.9860357942</v>
      </c>
      <c r="D11" s="28" t="n">
        <f aca="false">SUM(Modelo_Mensual!$O$194:$Z$194)</f>
        <v>-120933.47012793</v>
      </c>
      <c r="E11" s="28" t="n">
        <f aca="false">SUM(Modelo_Mensual!$AA$194:$AL$194)</f>
        <v>-192798.641270378</v>
      </c>
      <c r="F11" s="28" t="n">
        <f aca="false">SUM(Modelo_Mensual!$AM$194:$AX$194)</f>
        <v>-245087.817672048</v>
      </c>
      <c r="G11" s="28" t="n">
        <f aca="false">SUM(Modelo_Mensual!$AY$194:$BJ$194)</f>
        <v>-251464.54650152</v>
      </c>
      <c r="H11" s="28" t="n">
        <f aca="false">SUM(Modelo_Mensual!$BK$194:$BV$194)</f>
        <v>-251464.54650152</v>
      </c>
      <c r="I11" s="28" t="n">
        <f aca="false">SUM(Modelo_Mensual!$BW$194:$CH$194)</f>
        <v>-251464.54650152</v>
      </c>
    </row>
    <row r="12" customFormat="false" ht="15" hidden="false" customHeight="false" outlineLevel="0" collapsed="false">
      <c r="A12" s="0" t="s">
        <v>922</v>
      </c>
      <c r="C12" s="28" t="n">
        <f aca="false">SUM(Modelo_Mensual!$C$211:$N$211)</f>
        <v>-1473.82696783441</v>
      </c>
      <c r="D12" s="28" t="n">
        <f aca="false">SUM(Modelo_Mensual!$O$211:$Z$211)</f>
        <v>-6917.35409772555</v>
      </c>
      <c r="E12" s="28" t="n">
        <f aca="false">SUM(Modelo_Mensual!$AA$211:$AL$211)</f>
        <v>-10737.3425108198</v>
      </c>
      <c r="F12" s="28" t="n">
        <f aca="false">SUM(Modelo_Mensual!$AM$211:$AX$211)</f>
        <v>-13331.3853350037</v>
      </c>
      <c r="G12" s="28" t="n">
        <f aca="false">SUM(Modelo_Mensual!$AY$211:$BJ$211)</f>
        <v>-13647.7320208798</v>
      </c>
      <c r="H12" s="28" t="n">
        <f aca="false">SUM(Modelo_Mensual!$BK$211:$BV$211)</f>
        <v>-13647.7320208798</v>
      </c>
      <c r="I12" s="28" t="n">
        <f aca="false">SUM(Modelo_Mensual!$BW$211:$CH$211)</f>
        <v>-13647.7320208798</v>
      </c>
    </row>
    <row r="13" customFormat="false" ht="15" hidden="false" customHeight="false" outlineLevel="0" collapsed="false">
      <c r="A13" s="25" t="s">
        <v>875</v>
      </c>
      <c r="C13" s="156" t="n">
        <f aca="false">SUM(Modelo_Mensual!$C$214:$N$214)</f>
        <v>109709.19097425</v>
      </c>
      <c r="D13" s="156" t="n">
        <f aca="false">SUM(Modelo_Mensual!$O$214:$Z$214)</f>
        <v>440923.059357614</v>
      </c>
      <c r="E13" s="156" t="n">
        <f aca="false">SUM(Modelo_Mensual!$AA$214:$AL$214)</f>
        <v>721231.875710316</v>
      </c>
      <c r="F13" s="156" t="n">
        <f aca="false">SUM(Modelo_Mensual!$AM$214:$AX$214)</f>
        <v>945326.483423083</v>
      </c>
      <c r="G13" s="156" t="n">
        <f aca="false">SUM(Modelo_Mensual!$AY$214:$BJ$214)</f>
        <v>972655.094119762</v>
      </c>
      <c r="H13" s="156" t="n">
        <f aca="false">SUM(Modelo_Mensual!$BK$214:$BV$214)</f>
        <v>972655.094119762</v>
      </c>
      <c r="I13" s="156" t="n">
        <f aca="false">SUM(Modelo_Mensual!$BW$214:$CH$214)</f>
        <v>972655.094119762</v>
      </c>
    </row>
    <row r="14" customFormat="false" ht="15" hidden="false" customHeight="false" outlineLevel="0" collapsed="false">
      <c r="A14" s="0" t="s">
        <v>923</v>
      </c>
      <c r="C14" s="26" t="n">
        <f aca="false">IFERROR(C13/C7,0)</f>
        <v>0.715463596008852</v>
      </c>
      <c r="D14" s="26" t="n">
        <f aca="false">IFERROR(D13/D7,0)</f>
        <v>0.697695103231222</v>
      </c>
      <c r="E14" s="26" t="n">
        <f aca="false">IFERROR(E13/E7,0)</f>
        <v>0.701915276874132</v>
      </c>
      <c r="F14" s="26" t="n">
        <f aca="false">IFERROR(F13/F7,0)</f>
        <v>0.706788688567529</v>
      </c>
      <c r="G14" s="26" t="n">
        <f aca="false">IFERROR(G13/G7,0)</f>
        <v>0.707232719213759</v>
      </c>
      <c r="H14" s="26" t="n">
        <f aca="false">IFERROR(H13/H7,0)</f>
        <v>0.707232719213759</v>
      </c>
      <c r="I14" s="26" t="n">
        <f aca="false">IFERROR(I13/I7,0)</f>
        <v>0.707232719213759</v>
      </c>
    </row>
    <row r="15" customFormat="false" ht="15" hidden="false" customHeight="false" outlineLevel="0" collapsed="false">
      <c r="A15" s="0" t="s">
        <v>924</v>
      </c>
      <c r="C15" s="29" t="n">
        <f aca="false">IFERROR(C13/C6,0)</f>
        <v>28.7033964103017</v>
      </c>
      <c r="D15" s="29" t="n">
        <f aca="false">IFERROR(D13/D6,0)</f>
        <v>24.578737976475</v>
      </c>
      <c r="E15" s="29" t="n">
        <f aca="false">IFERROR(E13/E6,0)</f>
        <v>25.9009015471318</v>
      </c>
      <c r="F15" s="29" t="n">
        <f aca="false">IFERROR(F13/F6,0)</f>
        <v>27.3428209524878</v>
      </c>
      <c r="G15" s="29" t="n">
        <f aca="false">IFERROR(G13/G6,0)</f>
        <v>27.4811659483737</v>
      </c>
      <c r="H15" s="29" t="n">
        <f aca="false">IFERROR(H13/H6,0)</f>
        <v>27.4811659483737</v>
      </c>
      <c r="I15" s="29" t="n">
        <f aca="false">IFERROR(I13/I6,0)</f>
        <v>27.4811659483737</v>
      </c>
    </row>
    <row r="17" customFormat="false" ht="15" hidden="false" customHeight="false" outlineLevel="0" collapsed="false">
      <c r="A17" s="24" t="s">
        <v>925</v>
      </c>
    </row>
    <row r="18" customFormat="false" ht="15" hidden="false" customHeight="false" outlineLevel="0" collapsed="false">
      <c r="A18" s="0" t="s">
        <v>910</v>
      </c>
      <c r="C18" s="27" t="n">
        <f aca="false">Modelo_Mensual!$N$196</f>
        <v>61.530552310172</v>
      </c>
      <c r="D18" s="27" t="n">
        <f aca="false">Modelo_Mensual!$Z$196</f>
        <v>123.061104620344</v>
      </c>
      <c r="E18" s="27" t="n">
        <f aca="false">Modelo_Mensual!$AL$196</f>
        <v>123.061104620344</v>
      </c>
      <c r="F18" s="27" t="n">
        <f aca="false">Modelo_Mensual!$AX$196</f>
        <v>123.061104620344</v>
      </c>
      <c r="G18" s="27" t="n">
        <f aca="false">Modelo_Mensual!$BJ$196</f>
        <v>123.061104620344</v>
      </c>
      <c r="H18" s="27" t="n">
        <f aca="false">Modelo_Mensual!$BV$196</f>
        <v>123.061104620344</v>
      </c>
      <c r="I18" s="27" t="n">
        <f aca="false">Modelo_Mensual!$CH$196</f>
        <v>123.061104620344</v>
      </c>
    </row>
    <row r="19" customFormat="false" ht="15" hidden="false" customHeight="false" outlineLevel="0" collapsed="false">
      <c r="A19" s="0" t="s">
        <v>926</v>
      </c>
      <c r="C19" s="27" t="n">
        <f aca="false">SUM(Modelo_Mensual!$C$188:$N$188)</f>
        <v>3286.7203772396</v>
      </c>
      <c r="D19" s="27" t="n">
        <f aca="false">SUM(Modelo_Mensual!$O$188:$Z$188)</f>
        <v>9249.61104130276</v>
      </c>
      <c r="E19" s="27" t="n">
        <f aca="false">SUM(Modelo_Mensual!$AA$188:$AL$188)</f>
        <v>11925.7813281263</v>
      </c>
      <c r="F19" s="27" t="n">
        <f aca="false">SUM(Modelo_Mensual!$AM$188:$AX$188)</f>
        <v>11925.7813281263</v>
      </c>
      <c r="G19" s="27" t="n">
        <f aca="false">SUM(Modelo_Mensual!$AY$188:$BJ$188)</f>
        <v>11925.7813281263</v>
      </c>
      <c r="H19" s="27" t="n">
        <f aca="false">SUM(Modelo_Mensual!$BK$188:$BV$188)</f>
        <v>11925.7813281263</v>
      </c>
      <c r="I19" s="27" t="n">
        <f aca="false">SUM(Modelo_Mensual!$BW$188:$CH$188)</f>
        <v>11925.7813281263</v>
      </c>
    </row>
    <row r="20" customFormat="false" ht="15" hidden="false" customHeight="false" outlineLevel="0" collapsed="false">
      <c r="A20" s="0" t="s">
        <v>917</v>
      </c>
      <c r="C20" s="27" t="n">
        <f aca="false">SUM(Modelo_Mensual!$C$181:$N$181)</f>
        <v>550.042000844595</v>
      </c>
      <c r="D20" s="27" t="n">
        <f aca="false">SUM(Modelo_Mensual!$O$181:$Z$181)</f>
        <v>1547.94870881757</v>
      </c>
      <c r="E20" s="27" t="n">
        <f aca="false">SUM(Modelo_Mensual!$AA$181:$AL$181)</f>
        <v>1995.81341594595</v>
      </c>
      <c r="F20" s="27" t="n">
        <f aca="false">SUM(Modelo_Mensual!$AM$181:$AX$181)</f>
        <v>1995.81341594595</v>
      </c>
      <c r="G20" s="27" t="n">
        <f aca="false">SUM(Modelo_Mensual!$AY$181:$BJ$181)</f>
        <v>1995.81341594595</v>
      </c>
      <c r="H20" s="27" t="n">
        <f aca="false">SUM(Modelo_Mensual!$BK$181:$BV$181)</f>
        <v>1995.81341594595</v>
      </c>
      <c r="I20" s="27" t="n">
        <f aca="false">SUM(Modelo_Mensual!$BW$181:$CH$181)</f>
        <v>1995.81341594595</v>
      </c>
    </row>
    <row r="21" customFormat="false" ht="15" hidden="false" customHeight="false" outlineLevel="0" collapsed="false">
      <c r="A21" s="25" t="s">
        <v>717</v>
      </c>
      <c r="C21" s="156" t="n">
        <f aca="false">SUM(Modelo_Mensual!$C$190:$N$190)</f>
        <v>95068.3869116554</v>
      </c>
      <c r="D21" s="156" t="n">
        <f aca="false">SUM(Modelo_Mensual!$O$190:$Z$190)</f>
        <v>267544.999369682</v>
      </c>
      <c r="E21" s="156" t="n">
        <f aca="false">SUM(Modelo_Mensual!$AA$190:$AL$190)</f>
        <v>344953.224916054</v>
      </c>
      <c r="F21" s="156" t="n">
        <f aca="false">SUM(Modelo_Mensual!$AM$190:$AX$190)</f>
        <v>344953.224916054</v>
      </c>
      <c r="G21" s="156" t="n">
        <f aca="false">SUM(Modelo_Mensual!$AY$190:$BJ$190)</f>
        <v>344953.224916054</v>
      </c>
      <c r="H21" s="156" t="n">
        <f aca="false">SUM(Modelo_Mensual!$BK$190:$BV$190)</f>
        <v>344953.224916054</v>
      </c>
      <c r="I21" s="156" t="n">
        <f aca="false">SUM(Modelo_Mensual!$BW$190:$CH$190)</f>
        <v>344953.224916054</v>
      </c>
    </row>
    <row r="22" customFormat="false" ht="15" hidden="false" customHeight="false" outlineLevel="0" collapsed="false">
      <c r="A22" s="0" t="s">
        <v>920</v>
      </c>
      <c r="C22" s="28" t="n">
        <f aca="false">SUM(Modelo_Mensual!$C$193:$N$193)</f>
        <v>-9506.83869116554</v>
      </c>
      <c r="D22" s="28" t="n">
        <f aca="false">SUM(Modelo_Mensual!$O$193:$Z$193)</f>
        <v>-26754.4999369683</v>
      </c>
      <c r="E22" s="28" t="n">
        <f aca="false">SUM(Modelo_Mensual!$AA$193:$AL$193)</f>
        <v>-34495.3224916054</v>
      </c>
      <c r="F22" s="28" t="n">
        <f aca="false">SUM(Modelo_Mensual!$AM$193:$AX$193)</f>
        <v>-34495.3224916054</v>
      </c>
      <c r="G22" s="28" t="n">
        <f aca="false">SUM(Modelo_Mensual!$AY$193:$BJ$193)</f>
        <v>-34495.3224916054</v>
      </c>
      <c r="H22" s="28" t="n">
        <f aca="false">SUM(Modelo_Mensual!$BK$193:$BV$193)</f>
        <v>-34495.3224916054</v>
      </c>
      <c r="I22" s="28" t="n">
        <f aca="false">SUM(Modelo_Mensual!$BW$193:$CH$193)</f>
        <v>-34495.3224916054</v>
      </c>
    </row>
    <row r="23" customFormat="false" ht="15" hidden="false" customHeight="false" outlineLevel="0" collapsed="false">
      <c r="A23" s="0" t="s">
        <v>921</v>
      </c>
      <c r="C23" s="28" t="n">
        <f aca="false">SUM(Modelo_Mensual!$C$195:$N$195)</f>
        <v>-4682.59018380831</v>
      </c>
      <c r="D23" s="28" t="n">
        <f aca="false">SUM(Modelo_Mensual!$O$195:$Z$195)</f>
        <v>-13177.9199003311</v>
      </c>
      <c r="E23" s="28" t="n">
        <f aca="false">SUM(Modelo_Mensual!$AA$195:$AL$195)</f>
        <v>-16990.6594330455</v>
      </c>
      <c r="F23" s="28" t="n">
        <f aca="false">SUM(Modelo_Mensual!$AM$195:$AX$195)</f>
        <v>-16990.6594330455</v>
      </c>
      <c r="G23" s="28" t="n">
        <f aca="false">SUM(Modelo_Mensual!$AY$195:$BJ$195)</f>
        <v>-16990.6594330455</v>
      </c>
      <c r="H23" s="28" t="n">
        <f aca="false">SUM(Modelo_Mensual!$BK$195:$BV$195)</f>
        <v>-16990.6594330455</v>
      </c>
      <c r="I23" s="28" t="n">
        <f aca="false">SUM(Modelo_Mensual!$BW$195:$CH$195)</f>
        <v>-16990.6594330455</v>
      </c>
    </row>
    <row r="24" customFormat="false" ht="15" hidden="false" customHeight="false" outlineLevel="0" collapsed="false">
      <c r="A24" s="0" t="s">
        <v>863</v>
      </c>
      <c r="C24" s="28" t="n">
        <f aca="false">SUM(Modelo_Mensual!$C$202:$N$202)</f>
        <v>-10693.2228606134</v>
      </c>
      <c r="D24" s="28" t="n">
        <f aca="false">SUM(Modelo_Mensual!$O$202:$Z$202)</f>
        <v>-21682.213728515</v>
      </c>
      <c r="E24" s="28" t="n">
        <f aca="false">SUM(Modelo_Mensual!$AA$202:$AL$202)</f>
        <v>-27692.2167040389</v>
      </c>
      <c r="F24" s="28" t="n">
        <f aca="false">SUM(Modelo_Mensual!$AM$202:$AX$202)</f>
        <v>-27692.2167040389</v>
      </c>
      <c r="G24" s="28" t="n">
        <f aca="false">SUM(Modelo_Mensual!$AY$202:$BJ$202)</f>
        <v>-27692.2167040389</v>
      </c>
      <c r="H24" s="28" t="n">
        <f aca="false">SUM(Modelo_Mensual!$BK$202:$BV$202)</f>
        <v>-27692.2167040389</v>
      </c>
      <c r="I24" s="28" t="n">
        <f aca="false">SUM(Modelo_Mensual!$BW$202:$CH$202)</f>
        <v>-27692.2167040389</v>
      </c>
    </row>
    <row r="25" customFormat="false" ht="15" hidden="false" customHeight="false" outlineLevel="0" collapsed="false">
      <c r="A25" s="0" t="s">
        <v>864</v>
      </c>
      <c r="C25" s="28" t="n">
        <f aca="false">SUM(Modelo_Mensual!$C$203:$N$203)</f>
        <v>-7200</v>
      </c>
      <c r="D25" s="28" t="n">
        <f aca="false">SUM(Modelo_Mensual!$O$203:$Z$203)</f>
        <v>-7200</v>
      </c>
      <c r="E25" s="28" t="n">
        <f aca="false">SUM(Modelo_Mensual!$AA$203:$AL$203)</f>
        <v>-7200</v>
      </c>
      <c r="F25" s="28" t="n">
        <f aca="false">SUM(Modelo_Mensual!$AM$203:$AX$203)</f>
        <v>-7200</v>
      </c>
      <c r="G25" s="28" t="n">
        <f aca="false">SUM(Modelo_Mensual!$AY$203:$BJ$203)</f>
        <v>-7200</v>
      </c>
      <c r="H25" s="28" t="n">
        <f aca="false">SUM(Modelo_Mensual!$BK$203:$BV$203)</f>
        <v>-7200</v>
      </c>
      <c r="I25" s="28" t="n">
        <f aca="false">SUM(Modelo_Mensual!$BW$203:$CH$203)</f>
        <v>-7200</v>
      </c>
    </row>
    <row r="26" customFormat="false" ht="15" hidden="false" customHeight="false" outlineLevel="0" collapsed="false">
      <c r="A26" s="0" t="s">
        <v>865</v>
      </c>
      <c r="C26" s="28" t="n">
        <f aca="false">SUM(Modelo_Mensual!$C$204:$N$204)</f>
        <v>-6492.9</v>
      </c>
      <c r="D26" s="28" t="n">
        <f aca="false">SUM(Modelo_Mensual!$O$204:$Z$204)</f>
        <v>-6492.9</v>
      </c>
      <c r="E26" s="28" t="n">
        <f aca="false">SUM(Modelo_Mensual!$AA$204:$AL$204)</f>
        <v>-6492.9</v>
      </c>
      <c r="F26" s="28" t="n">
        <f aca="false">SUM(Modelo_Mensual!$AM$204:$AX$204)</f>
        <v>-6492.9</v>
      </c>
      <c r="G26" s="28" t="n">
        <f aca="false">SUM(Modelo_Mensual!$AY$204:$BJ$204)</f>
        <v>-6492.9</v>
      </c>
      <c r="H26" s="28" t="n">
        <f aca="false">SUM(Modelo_Mensual!$BK$204:$BV$204)</f>
        <v>-6492.9</v>
      </c>
      <c r="I26" s="28" t="n">
        <f aca="false">SUM(Modelo_Mensual!$BW$204:$CH$204)</f>
        <v>-6492.9</v>
      </c>
    </row>
    <row r="27" customFormat="false" ht="15" hidden="false" customHeight="false" outlineLevel="0" collapsed="false">
      <c r="A27" s="0" t="s">
        <v>927</v>
      </c>
      <c r="C27" s="28" t="n">
        <f aca="false">SUM(Modelo_Mensual!$C$205:$N$206)</f>
        <v>-3122.38435837762</v>
      </c>
      <c r="D27" s="28" t="n">
        <f aca="false">SUM(Modelo_Mensual!$O$205:$Z$206)</f>
        <v>-8787.13048923763</v>
      </c>
      <c r="E27" s="28" t="n">
        <f aca="false">SUM(Modelo_Mensual!$AA$205:$AL$206)</f>
        <v>-11329.49226172</v>
      </c>
      <c r="F27" s="28" t="n">
        <f aca="false">SUM(Modelo_Mensual!$AM$205:$AX$206)</f>
        <v>-11329.49226172</v>
      </c>
      <c r="G27" s="28" t="n">
        <f aca="false">SUM(Modelo_Mensual!$AY$205:$BJ$206)</f>
        <v>-11329.49226172</v>
      </c>
      <c r="H27" s="28" t="n">
        <f aca="false">SUM(Modelo_Mensual!$BK$205:$BV$206)</f>
        <v>-11329.49226172</v>
      </c>
      <c r="I27" s="28" t="n">
        <f aca="false">SUM(Modelo_Mensual!$BW$205:$CH$206)</f>
        <v>-11329.49226172</v>
      </c>
    </row>
    <row r="28" customFormat="false" ht="15" hidden="false" customHeight="false" outlineLevel="0" collapsed="false">
      <c r="A28" s="0" t="s">
        <v>870</v>
      </c>
      <c r="C28" s="28" t="n">
        <f aca="false">SUM(Modelo_Mensual!$C$209:$N$209)</f>
        <v>-2664.27291503045</v>
      </c>
      <c r="D28" s="28" t="n">
        <f aca="false">SUM(Modelo_Mensual!$O$209:$Z$209)</f>
        <v>-3107.29289166369</v>
      </c>
      <c r="E28" s="28" t="n">
        <f aca="false">SUM(Modelo_Mensual!$AA$209:$AL$209)</f>
        <v>-886.039953266477</v>
      </c>
      <c r="F28" s="28" t="n">
        <f aca="false">SUM(Modelo_Mensual!$AM$209:$AX$209)</f>
        <v>-886.039953266477</v>
      </c>
      <c r="G28" s="28" t="n">
        <f aca="false">SUM(Modelo_Mensual!$AY$209:$BJ$209)</f>
        <v>-886.039953266477</v>
      </c>
      <c r="H28" s="28" t="n">
        <f aca="false">SUM(Modelo_Mensual!$BK$209:$BV$209)</f>
        <v>-886.039953266477</v>
      </c>
      <c r="I28" s="28" t="n">
        <f aca="false">SUM(Modelo_Mensual!$BW$209:$CH$209)</f>
        <v>-886.039953266477</v>
      </c>
    </row>
    <row r="29" customFormat="false" ht="15" hidden="false" customHeight="false" outlineLevel="0" collapsed="false">
      <c r="A29" s="25" t="s">
        <v>876</v>
      </c>
      <c r="C29" s="156" t="n">
        <f aca="false">SUM(Modelo_Mensual!$C$215:$N$215)</f>
        <v>50706.1779026601</v>
      </c>
      <c r="D29" s="156" t="n">
        <f aca="false">SUM(Modelo_Mensual!$O$215:$Z$215)</f>
        <v>180343.042422967</v>
      </c>
      <c r="E29" s="156" t="n">
        <f aca="false">SUM(Modelo_Mensual!$AA$215:$AL$215)</f>
        <v>239866.594072378</v>
      </c>
      <c r="F29" s="156" t="n">
        <f aca="false">SUM(Modelo_Mensual!$AM$215:$AX$215)</f>
        <v>239866.594072378</v>
      </c>
      <c r="G29" s="156" t="n">
        <f aca="false">SUM(Modelo_Mensual!$AY$215:$BJ$215)</f>
        <v>239866.594072378</v>
      </c>
      <c r="H29" s="156" t="n">
        <f aca="false">SUM(Modelo_Mensual!$BK$215:$BV$215)</f>
        <v>239866.594072378</v>
      </c>
      <c r="I29" s="156" t="n">
        <f aca="false">SUM(Modelo_Mensual!$BW$215:$CH$215)</f>
        <v>239866.594072378</v>
      </c>
    </row>
    <row r="30" customFormat="false" ht="15" hidden="false" customHeight="false" outlineLevel="0" collapsed="false">
      <c r="A30" s="0" t="s">
        <v>923</v>
      </c>
      <c r="C30" s="26" t="n">
        <f aca="false">IFERROR(C29/C21,0)</f>
        <v>0.533365291553543</v>
      </c>
      <c r="D30" s="26" t="n">
        <f aca="false">IFERROR(D29/D21,0)</f>
        <v>0.674066205116308</v>
      </c>
      <c r="E30" s="26" t="n">
        <f aca="false">IFERROR(E29/E21,0)</f>
        <v>0.695359766909703</v>
      </c>
      <c r="F30" s="26" t="n">
        <f aca="false">IFERROR(F29/F21,0)</f>
        <v>0.695359766909703</v>
      </c>
      <c r="G30" s="26" t="n">
        <f aca="false">IFERROR(G29/G21,0)</f>
        <v>0.695359766909703</v>
      </c>
      <c r="H30" s="26" t="n">
        <f aca="false">IFERROR(H29/H21,0)</f>
        <v>0.695359766909703</v>
      </c>
      <c r="I30" s="26" t="n">
        <f aca="false">IFERROR(I29/I21,0)</f>
        <v>0.695359766909703</v>
      </c>
    </row>
    <row r="31" customFormat="false" ht="15" hidden="false" customHeight="false" outlineLevel="0" collapsed="false">
      <c r="A31" s="0" t="s">
        <v>924</v>
      </c>
      <c r="C31" s="29" t="n">
        <f aca="false">IFERROR(C29/C20,0)</f>
        <v>92.1860109315294</v>
      </c>
      <c r="D31" s="29" t="n">
        <f aca="false">IFERROR(D29/D20,0)</f>
        <v>116.504533642284</v>
      </c>
      <c r="E31" s="29" t="n">
        <f aca="false">IFERROR(E29/E20,0)</f>
        <v>120.184879085347</v>
      </c>
      <c r="F31" s="29" t="n">
        <f aca="false">IFERROR(F29/F20,0)</f>
        <v>120.184879085347</v>
      </c>
      <c r="G31" s="29" t="n">
        <f aca="false">IFERROR(G29/G20,0)</f>
        <v>120.184879085347</v>
      </c>
      <c r="H31" s="29" t="n">
        <f aca="false">IFERROR(H29/H20,0)</f>
        <v>120.184879085347</v>
      </c>
      <c r="I31" s="29" t="n">
        <f aca="false">IFERROR(I29/I20,0)</f>
        <v>120.184879085347</v>
      </c>
    </row>
    <row r="32" customFormat="false" ht="15" hidden="false" customHeight="false" outlineLevel="0" collapsed="false">
      <c r="A32" s="0" t="s">
        <v>928</v>
      </c>
      <c r="C32" s="29" t="n">
        <f aca="false">IFERROR(C29/C19,0)</f>
        <v>15.4275910581862</v>
      </c>
      <c r="D32" s="29" t="n">
        <f aca="false">IFERROR(D29/D19,0)</f>
        <v>19.4973649829892</v>
      </c>
      <c r="E32" s="29" t="n">
        <f aca="false">IFERROR(E29/E19,0)</f>
        <v>20.1132812578632</v>
      </c>
      <c r="F32" s="29" t="n">
        <f aca="false">IFERROR(F29/F19,0)</f>
        <v>20.1132812578632</v>
      </c>
      <c r="G32" s="29" t="n">
        <f aca="false">IFERROR(G29/G19,0)</f>
        <v>20.1132812578632</v>
      </c>
      <c r="H32" s="29" t="n">
        <f aca="false">IFERROR(H29/H19,0)</f>
        <v>20.1132812578632</v>
      </c>
      <c r="I32" s="29" t="n">
        <f aca="false">IFERROR(I29/I19,0)</f>
        <v>20.1132812578632</v>
      </c>
    </row>
    <row r="34" customFormat="false" ht="15" hidden="false" customHeight="false" outlineLevel="0" collapsed="false">
      <c r="A34" s="24" t="s">
        <v>929</v>
      </c>
    </row>
    <row r="35" customFormat="false" ht="15" hidden="false" customHeight="false" outlineLevel="0" collapsed="false">
      <c r="A35" s="0" t="s">
        <v>930</v>
      </c>
      <c r="C35" s="28" t="n">
        <f aca="false">SUM(Modelo_Mensual!$C$42:$N$42)</f>
        <v>-24000</v>
      </c>
      <c r="D35" s="28" t="n">
        <f aca="false">SUM(Modelo_Mensual!$O$42:$Z$42)</f>
        <v>-24000</v>
      </c>
      <c r="E35" s="28" t="n">
        <f aca="false">SUM(Modelo_Mensual!$AA$42:$AL$42)</f>
        <v>-24000</v>
      </c>
      <c r="F35" s="28" t="n">
        <f aca="false">SUM(Modelo_Mensual!$AM$42:$AX$42)</f>
        <v>-24000</v>
      </c>
      <c r="G35" s="28" t="n">
        <f aca="false">SUM(Modelo_Mensual!$AY$42:$BJ$42)</f>
        <v>-24000</v>
      </c>
      <c r="H35" s="28" t="n">
        <f aca="false">SUM(Modelo_Mensual!$BK$42:$BV$42)</f>
        <v>-24000</v>
      </c>
      <c r="I35" s="28" t="n">
        <f aca="false">SUM(Modelo_Mensual!$BW$42:$CH$42)</f>
        <v>-24000</v>
      </c>
    </row>
    <row r="36" customFormat="false" ht="15" hidden="false" customHeight="false" outlineLevel="0" collapsed="false">
      <c r="A36" s="0" t="s">
        <v>931</v>
      </c>
      <c r="C36" s="28" t="n">
        <f aca="false">SUM(Modelo_Mensual!$C$43:$N$43)</f>
        <v>-14514.7370780561</v>
      </c>
      <c r="D36" s="28" t="n">
        <f aca="false">SUM(Modelo_Mensual!$O$43:$Z$43)</f>
        <v>-21011.6835142696</v>
      </c>
      <c r="E36" s="28" t="n">
        <f aca="false">SUM(Modelo_Mensual!$AA$43:$AL$43)</f>
        <v>-25469.6754083409</v>
      </c>
      <c r="F36" s="28" t="n">
        <f aca="false">SUM(Modelo_Mensual!$AM$43:$AX$43)</f>
        <v>-28446.2754083409</v>
      </c>
      <c r="G36" s="28" t="n">
        <f aca="false">SUM(Modelo_Mensual!$AY$43:$BJ$43)</f>
        <v>-28809.2754083409</v>
      </c>
      <c r="H36" s="28" t="n">
        <f aca="false">SUM(Modelo_Mensual!$BK$43:$BV$43)</f>
        <v>-28809.2754083409</v>
      </c>
      <c r="I36" s="28" t="n">
        <f aca="false">SUM(Modelo_Mensual!$BW$43:$CH$43)</f>
        <v>-28809.2754083409</v>
      </c>
    </row>
    <row r="37" customFormat="false" ht="15" hidden="false" customHeight="false" outlineLevel="0" collapsed="false">
      <c r="A37" s="0" t="s">
        <v>932</v>
      </c>
      <c r="C37" s="28" t="n">
        <f aca="false">SUM(Modelo_Mensual!$C$51:$N$51)</f>
        <v>-136224</v>
      </c>
      <c r="D37" s="28" t="n">
        <f aca="false">SUM(Modelo_Mensual!$O$51:$Z$51)</f>
        <v>-251838.84</v>
      </c>
      <c r="E37" s="28" t="n">
        <f aca="false">SUM(Modelo_Mensual!$AA$51:$AL$51)</f>
        <v>-343002.3696</v>
      </c>
      <c r="F37" s="28" t="n">
        <f aca="false">SUM(Modelo_Mensual!$AM$51:$AX$51)</f>
        <v>-400774.993344</v>
      </c>
      <c r="G37" s="28" t="n">
        <f aca="false">SUM(Modelo_Mensual!$AY$51:$BJ$51)</f>
        <v>-430143.04314432</v>
      </c>
      <c r="H37" s="28" t="n">
        <f aca="false">SUM(Modelo_Mensual!$BK$51:$BV$51)</f>
        <v>-459679.33443865</v>
      </c>
      <c r="I37" s="28" t="n">
        <f aca="false">SUM(Modelo_Mensual!$BW$51:$CH$51)</f>
        <v>-489388.914471809</v>
      </c>
    </row>
    <row r="38" customFormat="false" ht="15" hidden="false" customHeight="false" outlineLevel="0" collapsed="false">
      <c r="A38" s="0" t="s">
        <v>933</v>
      </c>
      <c r="C38" s="28" t="n">
        <f aca="false">SUM(Modelo_Mensual!$C$53:$N$53)</f>
        <v>-9600</v>
      </c>
      <c r="D38" s="28" t="n">
        <f aca="false">SUM(Modelo_Mensual!$O$53:$Z$53)</f>
        <v>-9600</v>
      </c>
      <c r="E38" s="28" t="n">
        <f aca="false">SUM(Modelo_Mensual!$AA$53:$AL$53)</f>
        <v>-9600</v>
      </c>
      <c r="F38" s="28" t="n">
        <f aca="false">SUM(Modelo_Mensual!$AM$53:$AX$53)</f>
        <v>-9600</v>
      </c>
      <c r="G38" s="28" t="n">
        <f aca="false">SUM(Modelo_Mensual!$AY$53:$BJ$53)</f>
        <v>-9600</v>
      </c>
      <c r="H38" s="28" t="n">
        <f aca="false">SUM(Modelo_Mensual!$BK$53:$BV$53)</f>
        <v>-9600</v>
      </c>
      <c r="I38" s="28" t="n">
        <f aca="false">SUM(Modelo_Mensual!$BW$53:$CH$53)</f>
        <v>-9600</v>
      </c>
    </row>
    <row r="39" customFormat="false" ht="15" hidden="false" customHeight="false" outlineLevel="0" collapsed="false">
      <c r="A39" s="0" t="s">
        <v>934</v>
      </c>
      <c r="C39" s="28" t="n">
        <f aca="false">SUM(Modelo_Mensual!$C$54:$N$54)-SUM(Modelo_Mensual!$C$209:$N$209)</f>
        <v>-6000</v>
      </c>
      <c r="D39" s="28" t="n">
        <f aca="false">SUM(Modelo_Mensual!$O$54:$Z$54)-SUM(Modelo_Mensual!$O$209:$Z$209)</f>
        <v>-6000</v>
      </c>
      <c r="E39" s="28" t="n">
        <f aca="false">SUM(Modelo_Mensual!$AA$54:$AL$54)-SUM(Modelo_Mensual!$AA$209:$AL$209)</f>
        <v>-6000</v>
      </c>
      <c r="F39" s="28" t="n">
        <f aca="false">SUM(Modelo_Mensual!$AM$54:$AX$54)-SUM(Modelo_Mensual!$AM$209:$AX$209)</f>
        <v>-6000</v>
      </c>
      <c r="G39" s="28" t="n">
        <f aca="false">SUM(Modelo_Mensual!$AY$54:$BJ$54)-SUM(Modelo_Mensual!$AY$209:$BJ$209)</f>
        <v>-6000</v>
      </c>
      <c r="H39" s="28" t="n">
        <f aca="false">SUM(Modelo_Mensual!$BK$54:$BV$54)-SUM(Modelo_Mensual!$BK$209:$BV$209)</f>
        <v>-6000</v>
      </c>
      <c r="I39" s="28" t="n">
        <f aca="false">SUM(Modelo_Mensual!$BW$54:$CH$54)-SUM(Modelo_Mensual!$BW$209:$CH$209)</f>
        <v>-6000</v>
      </c>
    </row>
    <row r="40" customFormat="false" ht="15" hidden="false" customHeight="false" outlineLevel="0" collapsed="false">
      <c r="A40" s="25" t="s">
        <v>935</v>
      </c>
      <c r="C40" s="156" t="n">
        <f aca="false">SUM(C35:C39)</f>
        <v>-190338.737078056</v>
      </c>
      <c r="D40" s="156" t="n">
        <f aca="false">SUM(D35:D39)</f>
        <v>-312450.52351427</v>
      </c>
      <c r="E40" s="156" t="n">
        <f aca="false">SUM(E35:E39)</f>
        <v>-408072.045008341</v>
      </c>
      <c r="F40" s="156" t="n">
        <f aca="false">SUM(F35:F39)</f>
        <v>-468821.268752341</v>
      </c>
      <c r="G40" s="156" t="n">
        <f aca="false">SUM(G35:G39)</f>
        <v>-498552.318552661</v>
      </c>
      <c r="H40" s="156" t="n">
        <f aca="false">SUM(H35:H39)</f>
        <v>-528088.609846991</v>
      </c>
      <c r="I40" s="156" t="n">
        <f aca="false">SUM(I35:I39)</f>
        <v>-557798.18988015</v>
      </c>
    </row>
    <row r="42" customFormat="false" ht="15" hidden="false" customHeight="false" outlineLevel="0" collapsed="false">
      <c r="A42" s="25" t="s">
        <v>936</v>
      </c>
      <c r="C42" s="156" t="n">
        <f aca="false">C13+C29+C40</f>
        <v>-29923.3682011463</v>
      </c>
      <c r="D42" s="156" t="n">
        <f aca="false">D13+D29+D40</f>
        <v>308815.578266312</v>
      </c>
      <c r="E42" s="156" t="n">
        <f aca="false">E13+E29+E40</f>
        <v>553026.424774353</v>
      </c>
      <c r="F42" s="156" t="n">
        <f aca="false">F13+F29+F40</f>
        <v>716371.80874312</v>
      </c>
      <c r="G42" s="156" t="n">
        <f aca="false">G13+G29+G40</f>
        <v>713969.369639479</v>
      </c>
      <c r="H42" s="156" t="n">
        <f aca="false">H13+H29+H40</f>
        <v>684433.07834515</v>
      </c>
      <c r="I42" s="156" t="n">
        <f aca="false">I13+I29+I40</f>
        <v>654723.49831199</v>
      </c>
    </row>
    <row r="43" customFormat="false" ht="15" hidden="false" customHeight="false" outlineLevel="0" collapsed="false">
      <c r="A43" s="0" t="s">
        <v>937</v>
      </c>
      <c r="C43" s="28" t="n">
        <f aca="false">ROUND(C42-SUM(Modelo_Mensual!$C$56:$N$56),2)</f>
        <v>0</v>
      </c>
      <c r="D43" s="28" t="n">
        <f aca="false">ROUND(D42-SUM(Modelo_Mensual!$O$56:$Z$56),2)</f>
        <v>0</v>
      </c>
      <c r="E43" s="28" t="n">
        <f aca="false">ROUND(E42-SUM(Modelo_Mensual!$AA$56:$AL$56),2)</f>
        <v>0</v>
      </c>
      <c r="F43" s="28" t="n">
        <f aca="false">ROUND(F42-SUM(Modelo_Mensual!$AM$56:$AX$56),2)</f>
        <v>0</v>
      </c>
      <c r="G43" s="28" t="n">
        <f aca="false">ROUND(G42-SUM(Modelo_Mensual!$AY$56:$BJ$56),2)</f>
        <v>0</v>
      </c>
      <c r="H43" s="28" t="n">
        <f aca="false">ROUND(H42-SUM(Modelo_Mensual!$BK$56:$BV$56),2)</f>
        <v>0</v>
      </c>
      <c r="I43" s="28" t="n">
        <f aca="false">ROUND(I42-SUM(Modelo_Mensual!$BW$56:$CH$56),2)</f>
        <v>0</v>
      </c>
    </row>
    <row r="45" customFormat="false" ht="15" hidden="false" customHeight="false" outlineLevel="0" collapsed="false">
      <c r="A45" s="24" t="s">
        <v>938</v>
      </c>
    </row>
    <row r="46" customFormat="false" ht="15" hidden="false" customHeight="false" outlineLevel="0" collapsed="false">
      <c r="A46" s="0" t="s">
        <v>939</v>
      </c>
      <c r="C46" s="26" t="n">
        <f aca="false">IFERROR(C20/(C6+C20),0)</f>
        <v>0.125804125269625</v>
      </c>
      <c r="D46" s="26" t="n">
        <f aca="false">IFERROR(D20/(D6+D20),0)</f>
        <v>0.0794343084767</v>
      </c>
      <c r="E46" s="26" t="n">
        <f aca="false">IFERROR(E20/(E6+E20),0)</f>
        <v>0.0668801637600137</v>
      </c>
      <c r="F46" s="26" t="n">
        <f aca="false">IFERROR(F20/(F6+F20),0)</f>
        <v>0.0545767546915607</v>
      </c>
      <c r="G46" s="26" t="n">
        <f aca="false">IFERROR(G20/(G6+G20),0)</f>
        <v>0.053379224305316</v>
      </c>
      <c r="H46" s="26" t="n">
        <f aca="false">IFERROR(H20/(H6+H20),0)</f>
        <v>0.053379224305316</v>
      </c>
      <c r="I46" s="26" t="n">
        <f aca="false">IFERROR(I20/(I6+I20),0)</f>
        <v>0.053379224305316</v>
      </c>
    </row>
    <row r="47" customFormat="false" ht="15" hidden="false" customHeight="false" outlineLevel="0" collapsed="false">
      <c r="A47" s="0" t="s">
        <v>852</v>
      </c>
      <c r="C47" s="26" t="n">
        <f aca="false">IFERROR(C21/(C7+C21),0)</f>
        <v>0.382710046154517</v>
      </c>
      <c r="D47" s="26" t="n">
        <f aca="false">IFERROR(D21/(D7+D21),0)</f>
        <v>0.297432180175298</v>
      </c>
      <c r="E47" s="26" t="n">
        <f aca="false">IFERROR(E21/(E7+E21),0)</f>
        <v>0.251336971747494</v>
      </c>
      <c r="F47" s="26" t="n">
        <f aca="false">IFERROR(F21/(F7+F21),0)</f>
        <v>0.20503048910305</v>
      </c>
      <c r="G47" s="26" t="n">
        <f aca="false">IFERROR(G21/(G7+G21),0)</f>
        <v>0.200525018822659</v>
      </c>
      <c r="H47" s="26" t="n">
        <f aca="false">IFERROR(H21/(H7+H21),0)</f>
        <v>0.200525018822659</v>
      </c>
      <c r="I47" s="26" t="n">
        <f aca="false">IFERROR(I21/(I7+I21),0)</f>
        <v>0.200525018822659</v>
      </c>
    </row>
    <row r="48" customFormat="false" ht="15" hidden="false" customHeight="false" outlineLevel="0" collapsed="false">
      <c r="A48" s="0" t="s">
        <v>940</v>
      </c>
      <c r="C48" s="26" t="n">
        <f aca="false">IFERROR(C29/(C13+C29),0)</f>
        <v>0.31609301688274</v>
      </c>
      <c r="D48" s="26" t="n">
        <f aca="false">IFERROR(D29/(D13+D29),0)</f>
        <v>0.290283087884715</v>
      </c>
      <c r="E48" s="26" t="n">
        <f aca="false">IFERROR(E29/(E13+E29),0)</f>
        <v>0.249575461426561</v>
      </c>
      <c r="F48" s="26" t="n">
        <f aca="false">IFERROR(F29/(F13+F29),0)</f>
        <v>0.202386091031903</v>
      </c>
      <c r="G48" s="26" t="n">
        <f aca="false">IFERROR(G29/(G13+G29),0)</f>
        <v>0.197824580300924</v>
      </c>
      <c r="H48" s="26" t="n">
        <f aca="false">IFERROR(H29/(H13+H29),0)</f>
        <v>0.197824580300924</v>
      </c>
      <c r="I48" s="26" t="n">
        <f aca="false">IFERROR(I29/(I13+I29),0)</f>
        <v>0.197824580300924</v>
      </c>
    </row>
    <row r="50" customFormat="false" ht="15" hidden="false" customHeight="false" outlineLevel="0" collapsed="false">
      <c r="A50" s="0" t="s">
        <v>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0" min="2" style="1" width="13"/>
  </cols>
  <sheetData>
    <row r="1" customFormat="false" ht="18" hidden="false" customHeight="true" outlineLevel="0" collapsed="false">
      <c r="A1" s="8" t="s">
        <v>942</v>
      </c>
    </row>
    <row r="2" customFormat="false" ht="13.5" hidden="false" customHeight="true" outlineLevel="0" collapsed="false">
      <c r="A2" s="9" t="s">
        <v>943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10" t="s">
        <v>944</v>
      </c>
      <c r="B4" s="10"/>
      <c r="C4" s="10"/>
      <c r="D4" s="10"/>
    </row>
    <row r="5" customFormat="false" ht="13.5" hidden="false" customHeight="true" outlineLevel="0" collapsed="false">
      <c r="A5" s="13" t="s">
        <v>945</v>
      </c>
      <c r="B5" s="114" t="n">
        <v>2880</v>
      </c>
    </row>
    <row r="6" customFormat="false" ht="13.5" hidden="false" customHeight="true" outlineLevel="0" collapsed="false">
      <c r="A6" s="13" t="s">
        <v>946</v>
      </c>
      <c r="B6" s="159" t="n">
        <f aca="false">IFERROR(Modelo_Mensual!$CH$36/Modelo_Mensual!$CH$24,Producto!$T$32)</f>
        <v>56.9191196620625</v>
      </c>
      <c r="C6" s="9" t="s">
        <v>947</v>
      </c>
    </row>
    <row r="7" customFormat="false" ht="13.5" hidden="false" customHeight="true" outlineLevel="0" collapsed="false">
      <c r="A7" s="13" t="s">
        <v>948</v>
      </c>
      <c r="B7" s="159" t="n">
        <f aca="false">IFERROR(-Modelo_Mensual!$CH$39/Modelo_Mensual!$CH$24,Producto!$S$32)</f>
        <v>8.7910356508344</v>
      </c>
    </row>
    <row r="8" customFormat="false" ht="13.5" hidden="false" customHeight="true" outlineLevel="0" collapsed="false">
      <c r="A8" s="13" t="s">
        <v>949</v>
      </c>
      <c r="B8" s="103" t="n">
        <v>0.1</v>
      </c>
    </row>
    <row r="9" customFormat="false" ht="13.5" hidden="false" customHeight="true" outlineLevel="0" collapsed="false">
      <c r="A9" s="13" t="s">
        <v>950</v>
      </c>
      <c r="B9" s="133" t="n">
        <f aca="false">Producto!$D$11</f>
        <v>3</v>
      </c>
    </row>
    <row r="10" customFormat="false" ht="13.5" hidden="false" customHeight="true" outlineLevel="0" collapsed="false">
      <c r="A10" s="13" t="s">
        <v>473</v>
      </c>
      <c r="B10" s="160" t="n">
        <f aca="false">Producto!$J$32</f>
        <v>6.89419864864865</v>
      </c>
    </row>
    <row r="11" customFormat="false" ht="13.5" hidden="false" customHeight="true" outlineLevel="0" collapsed="false">
      <c r="A11" s="13" t="s">
        <v>951</v>
      </c>
      <c r="B11" s="34" t="n">
        <v>7</v>
      </c>
    </row>
    <row r="12" customFormat="false" ht="13.5" hidden="false" customHeight="true" outlineLevel="0" collapsed="false">
      <c r="A12" s="13" t="s">
        <v>952</v>
      </c>
      <c r="B12" s="114" t="n">
        <v>160</v>
      </c>
    </row>
    <row r="13" customFormat="false" ht="13.5" hidden="false" customHeight="true" outlineLevel="0" collapsed="false">
      <c r="A13" s="13" t="s">
        <v>953</v>
      </c>
      <c r="B13" s="104" t="n">
        <v>12</v>
      </c>
    </row>
    <row r="14" customFormat="false" ht="13.5" hidden="false" customHeight="true" outlineLevel="0" collapsed="false">
      <c r="A14" s="13" t="s">
        <v>954</v>
      </c>
      <c r="B14" s="161" t="n">
        <f aca="false">-Modelo_Mensual!$CH$55+Modelo_Mensual!$CH$50</f>
        <v>41584.0466746672</v>
      </c>
    </row>
    <row r="15" customFormat="false" ht="13.5" hidden="false" customHeight="true" outlineLevel="0" collapsed="false"/>
    <row r="16" customFormat="false" ht="13.5" hidden="false" customHeight="true" outlineLevel="0" collapsed="false">
      <c r="A16" s="10" t="s">
        <v>955</v>
      </c>
      <c r="B16" s="10"/>
      <c r="C16" s="10"/>
      <c r="D16" s="10"/>
    </row>
    <row r="17" customFormat="false" ht="13.5" hidden="false" customHeight="true" outlineLevel="0" collapsed="false">
      <c r="A17" s="13" t="s">
        <v>611</v>
      </c>
      <c r="B17" s="135" t="n">
        <f aca="false">$B$5*$B$10</f>
        <v>19855.2921081081</v>
      </c>
    </row>
    <row r="18" customFormat="false" ht="13.5" hidden="false" customHeight="true" outlineLevel="0" collapsed="false">
      <c r="A18" s="13" t="s">
        <v>956</v>
      </c>
      <c r="B18" s="110" t="n">
        <f aca="false">$B$5*$B$6</f>
        <v>163927.06462674</v>
      </c>
    </row>
    <row r="19" customFormat="false" ht="13.5" hidden="false" customHeight="true" outlineLevel="0" collapsed="false">
      <c r="A19" s="13" t="s">
        <v>957</v>
      </c>
      <c r="B19" s="110" t="n">
        <f aca="false">B18*(1-$B$8)</f>
        <v>147534.358164066</v>
      </c>
    </row>
    <row r="20" customFormat="false" ht="13.5" hidden="false" customHeight="true" outlineLevel="0" collapsed="false">
      <c r="A20" s="13" t="s">
        <v>958</v>
      </c>
      <c r="B20" s="110" t="n">
        <f aca="false">$B$5*$B$7</f>
        <v>25318.1826744031</v>
      </c>
    </row>
    <row r="21" customFormat="false" ht="13.5" hidden="false" customHeight="true" outlineLevel="0" collapsed="false">
      <c r="A21" s="13" t="s">
        <v>959</v>
      </c>
      <c r="B21" s="110" t="n">
        <f aca="false">B19-B20</f>
        <v>122216.175489663</v>
      </c>
    </row>
    <row r="22" customFormat="false" ht="13.5" hidden="false" customHeight="true" outlineLevel="0" collapsed="false">
      <c r="A22" s="13" t="s">
        <v>960</v>
      </c>
      <c r="B22" s="134" t="n">
        <f aca="false">B17*$B$9/60</f>
        <v>992.764605405406</v>
      </c>
    </row>
    <row r="23" customFormat="false" ht="13.5" hidden="false" customHeight="true" outlineLevel="0" collapsed="false">
      <c r="A23" s="13" t="s">
        <v>961</v>
      </c>
      <c r="B23" s="135" t="n">
        <f aca="false">$B$11*$B$12</f>
        <v>1120</v>
      </c>
    </row>
    <row r="24" customFormat="false" ht="13.5" hidden="false" customHeight="true" outlineLevel="0" collapsed="false">
      <c r="A24" s="13" t="s">
        <v>962</v>
      </c>
      <c r="B24" s="110" t="n">
        <f aca="false">MAX(0,B22-B23)*$B$13</f>
        <v>0</v>
      </c>
    </row>
    <row r="25" customFormat="false" ht="13.5" hidden="false" customHeight="true" outlineLevel="0" collapsed="false">
      <c r="A25" s="13" t="s">
        <v>963</v>
      </c>
      <c r="B25" s="110" t="n">
        <f aca="false">B21-$B$14-B24</f>
        <v>80632.1288149958</v>
      </c>
    </row>
    <row r="26" customFormat="false" ht="13.5" hidden="false" customHeight="true" outlineLevel="0" collapsed="false">
      <c r="A26" s="13" t="s">
        <v>964</v>
      </c>
      <c r="B26" s="110" t="n">
        <f aca="false">B25*12</f>
        <v>967585.545779949</v>
      </c>
    </row>
    <row r="27" customFormat="false" ht="13.5" hidden="false" customHeight="true" outlineLevel="0" collapsed="false">
      <c r="A27" s="13" t="s">
        <v>50</v>
      </c>
      <c r="B27" s="162" t="n">
        <f aca="false">IFERROR(B25/B19,0)</f>
        <v>0.546531193265019</v>
      </c>
    </row>
    <row r="28" customFormat="false" ht="13.5" hidden="false" customHeight="true" outlineLevel="0" collapsed="false"/>
    <row r="29" customFormat="false" ht="12.75" hidden="false" customHeight="true" outlineLevel="0" collapsed="false">
      <c r="A29" s="10" t="s">
        <v>965</v>
      </c>
      <c r="B29" s="10"/>
      <c r="C29" s="10"/>
      <c r="D29" s="10"/>
      <c r="E29" s="10"/>
      <c r="F29" s="10"/>
      <c r="G29" s="10"/>
      <c r="H29" s="10"/>
      <c r="I29" s="10"/>
      <c r="J29" s="10"/>
    </row>
    <row r="30" customFormat="false" ht="13.5" hidden="false" customHeight="true" outlineLevel="0" collapsed="false">
      <c r="A30" s="146" t="s">
        <v>966</v>
      </c>
      <c r="B30" s="163" t="n">
        <v>5</v>
      </c>
      <c r="C30" s="163" t="n">
        <v>6</v>
      </c>
      <c r="D30" s="163" t="n">
        <v>7</v>
      </c>
      <c r="E30" s="163" t="n">
        <v>8</v>
      </c>
      <c r="F30" s="163" t="n">
        <v>9</v>
      </c>
      <c r="G30" s="163" t="n">
        <v>10</v>
      </c>
    </row>
    <row r="31" customFormat="false" ht="13.5" hidden="false" customHeight="true" outlineLevel="0" collapsed="false">
      <c r="A31" s="164" t="n">
        <v>3</v>
      </c>
      <c r="B31" s="128" t="n">
        <f aca="false">($B$5*$B$6*(1-$B$8)-$B$5*$B$7)-$B$14-MAX(0,$B$5*$B$10*3/60-5*$B$12)*$B$13</f>
        <v>78318.9535501309</v>
      </c>
      <c r="C31" s="128" t="n">
        <f aca="false">($B$5*$B$6*(1-$B$8)-$B$5*$B$7)-$B$14-MAX(0,$B$5*$B$10*3/60-6*$B$12)*$B$13</f>
        <v>80238.9535501309</v>
      </c>
      <c r="D31" s="128" t="n">
        <f aca="false">($B$5*$B$6*(1-$B$8)-$B$5*$B$7)-$B$14-MAX(0,$B$5*$B$10*3/60-7*$B$12)*$B$13</f>
        <v>80632.1288149958</v>
      </c>
      <c r="E31" s="128" t="n">
        <f aca="false">($B$5*$B$6*(1-$B$8)-$B$5*$B$7)-$B$14-MAX(0,$B$5*$B$10*3/60-8*$B$12)*$B$13</f>
        <v>80632.1288149958</v>
      </c>
      <c r="F31" s="128" t="n">
        <f aca="false">($B$5*$B$6*(1-$B$8)-$B$5*$B$7)-$B$14-MAX(0,$B$5*$B$10*3/60-9*$B$12)*$B$13</f>
        <v>80632.1288149958</v>
      </c>
      <c r="G31" s="128" t="n">
        <f aca="false">($B$5*$B$6*(1-$B$8)-$B$5*$B$7)-$B$14-MAX(0,$B$5*$B$10*3/60-10*$B$12)*$B$13</f>
        <v>80632.1288149958</v>
      </c>
    </row>
    <row r="32" customFormat="false" ht="13.5" hidden="false" customHeight="true" outlineLevel="0" collapsed="false">
      <c r="A32" s="164" t="n">
        <v>4</v>
      </c>
      <c r="B32" s="128" t="n">
        <f aca="false">($B$5*$B$6*(1-$B$8)-$B$5*$B$7)-$B$14-MAX(0,$B$5*$B$10*4/60-5*$B$12)*$B$13</f>
        <v>74347.8951285093</v>
      </c>
      <c r="C32" s="128" t="n">
        <f aca="false">($B$5*$B$6*(1-$B$8)-$B$5*$B$7)-$B$14-MAX(0,$B$5*$B$10*4/60-6*$B$12)*$B$13</f>
        <v>76267.8951285093</v>
      </c>
      <c r="D32" s="128" t="n">
        <f aca="false">($B$5*$B$6*(1-$B$8)-$B$5*$B$7)-$B$14-MAX(0,$B$5*$B$10*4/60-7*$B$12)*$B$13</f>
        <v>78187.8951285093</v>
      </c>
      <c r="E32" s="128" t="n">
        <f aca="false">($B$5*$B$6*(1-$B$8)-$B$5*$B$7)-$B$14-MAX(0,$B$5*$B$10*4/60-8*$B$12)*$B$13</f>
        <v>80107.8951285093</v>
      </c>
      <c r="F32" s="128" t="n">
        <f aca="false">($B$5*$B$6*(1-$B$8)-$B$5*$B$7)-$B$14-MAX(0,$B$5*$B$10*4/60-9*$B$12)*$B$13</f>
        <v>80632.1288149958</v>
      </c>
      <c r="G32" s="128" t="n">
        <f aca="false">($B$5*$B$6*(1-$B$8)-$B$5*$B$7)-$B$14-MAX(0,$B$5*$B$10*4/60-10*$B$12)*$B$13</f>
        <v>80632.1288149958</v>
      </c>
    </row>
    <row r="33" customFormat="false" ht="13.5" hidden="false" customHeight="true" outlineLevel="0" collapsed="false">
      <c r="A33" s="164" t="n">
        <v>5</v>
      </c>
      <c r="B33" s="128" t="n">
        <f aca="false">($B$5*$B$6*(1-$B$8)-$B$5*$B$7)-$B$14-MAX(0,$B$5*$B$10*5/60-5*$B$12)*$B$13</f>
        <v>70376.8367068877</v>
      </c>
      <c r="C33" s="128" t="n">
        <f aca="false">($B$5*$B$6*(1-$B$8)-$B$5*$B$7)-$B$14-MAX(0,$B$5*$B$10*5/60-6*$B$12)*$B$13</f>
        <v>72296.8367068877</v>
      </c>
      <c r="D33" s="128" t="n">
        <f aca="false">($B$5*$B$6*(1-$B$8)-$B$5*$B$7)-$B$14-MAX(0,$B$5*$B$10*5/60-7*$B$12)*$B$13</f>
        <v>74216.8367068877</v>
      </c>
      <c r="E33" s="128" t="n">
        <f aca="false">($B$5*$B$6*(1-$B$8)-$B$5*$B$7)-$B$14-MAX(0,$B$5*$B$10*5/60-8*$B$12)*$B$13</f>
        <v>76136.8367068877</v>
      </c>
      <c r="F33" s="128" t="n">
        <f aca="false">($B$5*$B$6*(1-$B$8)-$B$5*$B$7)-$B$14-MAX(0,$B$5*$B$10*5/60-9*$B$12)*$B$13</f>
        <v>78056.8367068877</v>
      </c>
      <c r="G33" s="128" t="n">
        <f aca="false">($B$5*$B$6*(1-$B$8)-$B$5*$B$7)-$B$14-MAX(0,$B$5*$B$10*5/60-10*$B$12)*$B$13</f>
        <v>79976.8367068877</v>
      </c>
    </row>
    <row r="34" customFormat="false" ht="13.5" hidden="false" customHeight="true" outlineLevel="0" collapsed="false">
      <c r="A34" s="164" t="n">
        <v>6</v>
      </c>
      <c r="B34" s="128" t="n">
        <f aca="false">($B$5*$B$6*(1-$B$8)-$B$5*$B$7)-$B$14-MAX(0,$B$5*$B$10*6/60-5*$B$12)*$B$13</f>
        <v>66405.778285266</v>
      </c>
      <c r="C34" s="128" t="n">
        <f aca="false">($B$5*$B$6*(1-$B$8)-$B$5*$B$7)-$B$14-MAX(0,$B$5*$B$10*6/60-6*$B$12)*$B$13</f>
        <v>68325.778285266</v>
      </c>
      <c r="D34" s="128" t="n">
        <f aca="false">($B$5*$B$6*(1-$B$8)-$B$5*$B$7)-$B$14-MAX(0,$B$5*$B$10*6/60-7*$B$12)*$B$13</f>
        <v>70245.778285266</v>
      </c>
      <c r="E34" s="128" t="n">
        <f aca="false">($B$5*$B$6*(1-$B$8)-$B$5*$B$7)-$B$14-MAX(0,$B$5*$B$10*6/60-8*$B$12)*$B$13</f>
        <v>72165.778285266</v>
      </c>
      <c r="F34" s="128" t="n">
        <f aca="false">($B$5*$B$6*(1-$B$8)-$B$5*$B$7)-$B$14-MAX(0,$B$5*$B$10*6/60-9*$B$12)*$B$13</f>
        <v>74085.778285266</v>
      </c>
      <c r="G34" s="128" t="n">
        <f aca="false">($B$5*$B$6*(1-$B$8)-$B$5*$B$7)-$B$14-MAX(0,$B$5*$B$10*6/60-10*$B$12)*$B$13</f>
        <v>76005.778285266</v>
      </c>
    </row>
    <row r="35" customFormat="false" ht="13.5" hidden="false" customHeight="true" outlineLevel="0" collapsed="false">
      <c r="A35" s="164" t="n">
        <v>8</v>
      </c>
      <c r="B35" s="128" t="n">
        <f aca="false">($B$5*$B$6*(1-$B$8)-$B$5*$B$7)-$B$14-MAX(0,$B$5*$B$10*8/60-5*$B$12)*$B$13</f>
        <v>58463.6614420228</v>
      </c>
      <c r="C35" s="128" t="n">
        <f aca="false">($B$5*$B$6*(1-$B$8)-$B$5*$B$7)-$B$14-MAX(0,$B$5*$B$10*8/60-6*$B$12)*$B$13</f>
        <v>60383.6614420228</v>
      </c>
      <c r="D35" s="128" t="n">
        <f aca="false">($B$5*$B$6*(1-$B$8)-$B$5*$B$7)-$B$14-MAX(0,$B$5*$B$10*8/60-7*$B$12)*$B$13</f>
        <v>62303.6614420228</v>
      </c>
      <c r="E35" s="128" t="n">
        <f aca="false">($B$5*$B$6*(1-$B$8)-$B$5*$B$7)-$B$14-MAX(0,$B$5*$B$10*8/60-8*$B$12)*$B$13</f>
        <v>64223.6614420228</v>
      </c>
      <c r="F35" s="128" t="n">
        <f aca="false">($B$5*$B$6*(1-$B$8)-$B$5*$B$7)-$B$14-MAX(0,$B$5*$B$10*8/60-9*$B$12)*$B$13</f>
        <v>66143.6614420228</v>
      </c>
      <c r="G35" s="128" t="n">
        <f aca="false">($B$5*$B$6*(1-$B$8)-$B$5*$B$7)-$B$14-MAX(0,$B$5*$B$10*8/60-10*$B$12)*$B$13</f>
        <v>68063.6614420228</v>
      </c>
    </row>
    <row r="36" customFormat="false" ht="13.5" hidden="false" customHeight="true" outlineLevel="0" collapsed="false">
      <c r="A36" s="164" t="n">
        <v>10</v>
      </c>
      <c r="B36" s="128" t="n">
        <f aca="false">($B$5*$B$6*(1-$B$8)-$B$5*$B$7)-$B$14-MAX(0,$B$5*$B$10*10/60-5*$B$12)*$B$13</f>
        <v>50521.5445987795</v>
      </c>
      <c r="C36" s="128" t="n">
        <f aca="false">($B$5*$B$6*(1-$B$8)-$B$5*$B$7)-$B$14-MAX(0,$B$5*$B$10*10/60-6*$B$12)*$B$13</f>
        <v>52441.5445987795</v>
      </c>
      <c r="D36" s="128" t="n">
        <f aca="false">($B$5*$B$6*(1-$B$8)-$B$5*$B$7)-$B$14-MAX(0,$B$5*$B$10*10/60-7*$B$12)*$B$13</f>
        <v>54361.5445987795</v>
      </c>
      <c r="E36" s="128" t="n">
        <f aca="false">($B$5*$B$6*(1-$B$8)-$B$5*$B$7)-$B$14-MAX(0,$B$5*$B$10*10/60-8*$B$12)*$B$13</f>
        <v>56281.5445987795</v>
      </c>
      <c r="F36" s="128" t="n">
        <f aca="false">($B$5*$B$6*(1-$B$8)-$B$5*$B$7)-$B$14-MAX(0,$B$5*$B$10*10/60-9*$B$12)*$B$13</f>
        <v>58201.5445987795</v>
      </c>
      <c r="G36" s="128" t="n">
        <f aca="false">($B$5*$B$6*(1-$B$8)-$B$5*$B$7)-$B$14-MAX(0,$B$5*$B$10*10/60-10*$B$12)*$B$13</f>
        <v>60121.5445987795</v>
      </c>
    </row>
    <row r="37" customFormat="false" ht="13.5" hidden="false" customHeight="true" outlineLevel="0" collapsed="false">
      <c r="A37" s="9" t="s">
        <v>967</v>
      </c>
    </row>
    <row r="38" customFormat="false" ht="13.5" hidden="false" customHeight="true" outlineLevel="0" collapsed="false"/>
    <row r="39" customFormat="false" ht="12.75" hidden="false" customHeight="true" outlineLevel="0" collapsed="false">
      <c r="A39" s="10" t="s">
        <v>968</v>
      </c>
      <c r="B39" s="10"/>
      <c r="C39" s="10"/>
      <c r="D39" s="10"/>
      <c r="E39" s="10"/>
      <c r="F39" s="10"/>
      <c r="G39" s="10"/>
      <c r="H39" s="10"/>
      <c r="I39" s="10"/>
      <c r="J39" s="10"/>
    </row>
    <row r="40" customFormat="false" ht="13.5" hidden="false" customHeight="true" outlineLevel="0" collapsed="false">
      <c r="A40" s="146" t="s">
        <v>969</v>
      </c>
      <c r="B40" s="165" t="n">
        <f aca="false">$B$6*0.6</f>
        <v>34.1514717972375</v>
      </c>
      <c r="C40" s="165" t="n">
        <f aca="false">$B$6*0.8</f>
        <v>45.53529572965</v>
      </c>
      <c r="D40" s="165" t="n">
        <f aca="false">$B$6*1</f>
        <v>56.9191196620625</v>
      </c>
      <c r="E40" s="165" t="n">
        <f aca="false">$B$6*1.2</f>
        <v>68.302943594475</v>
      </c>
      <c r="F40" s="165" t="n">
        <f aca="false">$B$6*1.4</f>
        <v>79.6867675268875</v>
      </c>
    </row>
    <row r="41" customFormat="false" ht="13.5" hidden="false" customHeight="true" outlineLevel="0" collapsed="false">
      <c r="A41" s="163" t="n">
        <v>1000</v>
      </c>
      <c r="B41" s="128" t="n">
        <f aca="false">(1000*$B$6*0.6*(1-$B$8)-1000*$B$7)-$B$14-MAX(0,1000*$B$10*$B$9/60-$B$11*$B$12)*$B$13</f>
        <v>-19638.7577079878</v>
      </c>
      <c r="C41" s="128" t="n">
        <f aca="false">(1000*$B$6*0.8*(1-$B$8)-1000*$B$7)-$B$14-MAX(0,1000*$B$10*$B$9/60-$B$11*$B$12)*$B$13</f>
        <v>-9393.3161688166</v>
      </c>
      <c r="D41" s="128" t="n">
        <f aca="false">(1000*$B$6*1*(1-$B$8)-1000*$B$7)-$B$14-MAX(0,1000*$B$10*$B$9/60-$B$11*$B$12)*$B$13</f>
        <v>852.125370354654</v>
      </c>
      <c r="E41" s="128" t="n">
        <f aca="false">(1000*$B$6*1.2*(1-$B$8)-1000*$B$7)-$B$14-MAX(0,1000*$B$10*$B$9/60-$B$11*$B$12)*$B$13</f>
        <v>11097.5669095259</v>
      </c>
      <c r="F41" s="128" t="n">
        <f aca="false">(1000*$B$6*1.4*(1-$B$8)-1000*$B$7)-$B$14-MAX(0,1000*$B$10*$B$9/60-$B$11*$B$12)*$B$13</f>
        <v>21343.0084486972</v>
      </c>
    </row>
    <row r="42" customFormat="false" ht="13.5" hidden="false" customHeight="true" outlineLevel="0" collapsed="false">
      <c r="A42" s="163" t="n">
        <v>1500</v>
      </c>
      <c r="B42" s="128" t="n">
        <f aca="false">(1500*$B$6*0.6*(1-$B$8)-1500*$B$7)-$B$14-MAX(0,1500*$B$10*$B$9/60-$B$11*$B$12)*$B$13</f>
        <v>-8666.11322464817</v>
      </c>
      <c r="C42" s="128" t="n">
        <f aca="false">(1500*$B$6*0.8*(1-$B$8)-1500*$B$7)-$B$14-MAX(0,1500*$B$10*$B$9/60-$B$11*$B$12)*$B$13</f>
        <v>6702.04908410873</v>
      </c>
      <c r="D42" s="128" t="n">
        <f aca="false">(1500*$B$6*1*(1-$B$8)-1500*$B$7)-$B$14-MAX(0,1500*$B$10*$B$9/60-$B$11*$B$12)*$B$13</f>
        <v>22070.2113928656</v>
      </c>
      <c r="E42" s="128" t="n">
        <f aca="false">(1500*$B$6*1.2*(1-$B$8)-1500*$B$7)-$B$14-MAX(0,1500*$B$10*$B$9/60-$B$11*$B$12)*$B$13</f>
        <v>37438.3737016225</v>
      </c>
      <c r="F42" s="128" t="n">
        <f aca="false">(1500*$B$6*1.4*(1-$B$8)-1500*$B$7)-$B$14-MAX(0,1500*$B$10*$B$9/60-$B$11*$B$12)*$B$13</f>
        <v>52806.5360103794</v>
      </c>
    </row>
    <row r="43" customFormat="false" ht="13.5" hidden="false" customHeight="true" outlineLevel="0" collapsed="false">
      <c r="A43" s="163" t="n">
        <v>2000</v>
      </c>
      <c r="B43" s="128" t="n">
        <f aca="false">(2000*$B$6*0.6*(1-$B$8)-2000*$B$7)-$B$14-MAX(0,2000*$B$10*$B$9/60-$B$11*$B$12)*$B$13</f>
        <v>2306.53125869151</v>
      </c>
      <c r="C43" s="128" t="n">
        <f aca="false">(2000*$B$6*0.8*(1-$B$8)-2000*$B$7)-$B$14-MAX(0,2000*$B$10*$B$9/60-$B$11*$B$12)*$B$13</f>
        <v>22797.414337034</v>
      </c>
      <c r="D43" s="128" t="n">
        <f aca="false">(2000*$B$6*1*(1-$B$8)-2000*$B$7)-$B$14-MAX(0,2000*$B$10*$B$9/60-$B$11*$B$12)*$B$13</f>
        <v>43288.2974153765</v>
      </c>
      <c r="E43" s="128" t="n">
        <f aca="false">(2000*$B$6*1.2*(1-$B$8)-2000*$B$7)-$B$14-MAX(0,2000*$B$10*$B$9/60-$B$11*$B$12)*$B$13</f>
        <v>63779.180493719</v>
      </c>
      <c r="F43" s="128" t="n">
        <f aca="false">(2000*$B$6*1.4*(1-$B$8)-2000*$B$7)-$B$14-MAX(0,2000*$B$10*$B$9/60-$B$11*$B$12)*$B$13</f>
        <v>84270.0635720615</v>
      </c>
    </row>
    <row r="44" customFormat="false" ht="13.5" hidden="false" customHeight="true" outlineLevel="0" collapsed="false">
      <c r="A44" s="163" t="n">
        <v>2500</v>
      </c>
      <c r="B44" s="128" t="n">
        <f aca="false">(2500*$B$6*0.6*(1-$B$8)-2500*$B$7)-$B$14-MAX(0,2500*$B$10*$B$9/60-$B$11*$B$12)*$B$13</f>
        <v>13279.1757420312</v>
      </c>
      <c r="C44" s="128" t="n">
        <f aca="false">(2500*$B$6*0.8*(1-$B$8)-2500*$B$7)-$B$14-MAX(0,2500*$B$10*$B$9/60-$B$11*$B$12)*$B$13</f>
        <v>38892.7795899593</v>
      </c>
      <c r="D44" s="128" t="n">
        <f aca="false">(2500*$B$6*1*(1-$B$8)-2500*$B$7)-$B$14-MAX(0,2500*$B$10*$B$9/60-$B$11*$B$12)*$B$13</f>
        <v>64506.3834378874</v>
      </c>
      <c r="E44" s="128" t="n">
        <f aca="false">(2500*$B$6*1.2*(1-$B$8)-2500*$B$7)-$B$14-MAX(0,2500*$B$10*$B$9/60-$B$11*$B$12)*$B$13</f>
        <v>90119.9872858155</v>
      </c>
      <c r="F44" s="128" t="n">
        <f aca="false">(2500*$B$6*1.4*(1-$B$8)-2500*$B$7)-$B$14-MAX(0,2500*$B$10*$B$9/60-$B$11*$B$12)*$B$13</f>
        <v>115733.591133744</v>
      </c>
    </row>
    <row r="45" customFormat="false" ht="13.5" hidden="false" customHeight="true" outlineLevel="0" collapsed="false">
      <c r="A45" s="163" t="n">
        <v>2880</v>
      </c>
      <c r="B45" s="128" t="n">
        <f aca="false">(2880*$B$6*0.6*(1-$B$8)-2880*$B$7)-$B$14-MAX(0,2880*$B$10*$B$9/60-$B$11*$B$12)*$B$13</f>
        <v>21618.3855493693</v>
      </c>
      <c r="C45" s="128" t="n">
        <f aca="false">(2880*$B$6*0.8*(1-$B$8)-2880*$B$7)-$B$14-MAX(0,2880*$B$10*$B$9/60-$B$11*$B$12)*$B$13</f>
        <v>51125.2571821826</v>
      </c>
      <c r="D45" s="128" t="n">
        <f aca="false">(2880*$B$6*1*(1-$B$8)-2880*$B$7)-$B$14-MAX(0,2880*$B$10*$B$9/60-$B$11*$B$12)*$B$13</f>
        <v>80632.1288149958</v>
      </c>
      <c r="E45" s="128" t="n">
        <f aca="false">(2880*$B$6*1.2*(1-$B$8)-2880*$B$7)-$B$14-MAX(0,2880*$B$10*$B$9/60-$B$11*$B$12)*$B$13</f>
        <v>110139.000447809</v>
      </c>
      <c r="F45" s="128" t="n">
        <f aca="false">(2880*$B$6*1.4*(1-$B$8)-2880*$B$7)-$B$14-MAX(0,2880*$B$10*$B$9/60-$B$11*$B$12)*$B$13</f>
        <v>139645.872080622</v>
      </c>
    </row>
    <row r="46" customFormat="false" ht="13.5" hidden="false" customHeight="true" outlineLevel="0" collapsed="false"/>
    <row r="47" customFormat="false" ht="13.5" hidden="false" customHeight="true" outlineLevel="0" collapsed="false">
      <c r="A47" s="9" t="s">
        <v>970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3"/>
    <col collapsed="false" customWidth="true" hidden="false" outlineLevel="0" max="86" min="3" style="1" width="11"/>
  </cols>
  <sheetData>
    <row r="1" customFormat="false" ht="18" hidden="false" customHeight="true" outlineLevel="0" collapsed="false">
      <c r="A1" s="8" t="s">
        <v>971</v>
      </c>
    </row>
    <row r="2" customFormat="false" ht="13.5" hidden="false" customHeight="true" outlineLevel="0" collapsed="false">
      <c r="A2" s="9" t="s">
        <v>972</v>
      </c>
    </row>
    <row r="3" customFormat="false" ht="13.5" hidden="false" customHeight="true" outlineLevel="0" collapsed="false">
      <c r="A3" s="146" t="s">
        <v>687</v>
      </c>
      <c r="C3" s="147" t="n">
        <v>1</v>
      </c>
      <c r="D3" s="147" t="n">
        <v>2</v>
      </c>
      <c r="E3" s="147" t="n">
        <v>3</v>
      </c>
      <c r="F3" s="147" t="n">
        <v>4</v>
      </c>
      <c r="G3" s="147" t="n">
        <v>5</v>
      </c>
      <c r="H3" s="147" t="n">
        <v>6</v>
      </c>
      <c r="I3" s="147" t="n">
        <v>7</v>
      </c>
      <c r="J3" s="147" t="n">
        <v>8</v>
      </c>
      <c r="K3" s="147" t="n">
        <v>9</v>
      </c>
      <c r="L3" s="147" t="n">
        <v>10</v>
      </c>
      <c r="M3" s="147" t="n">
        <v>11</v>
      </c>
      <c r="N3" s="147" t="n">
        <v>12</v>
      </c>
      <c r="O3" s="147" t="n">
        <v>13</v>
      </c>
      <c r="P3" s="147" t="n">
        <v>14</v>
      </c>
      <c r="Q3" s="147" t="n">
        <v>15</v>
      </c>
      <c r="R3" s="147" t="n">
        <v>16</v>
      </c>
      <c r="S3" s="147" t="n">
        <v>17</v>
      </c>
      <c r="T3" s="147" t="n">
        <v>18</v>
      </c>
      <c r="U3" s="147" t="n">
        <v>19</v>
      </c>
      <c r="V3" s="147" t="n">
        <v>20</v>
      </c>
      <c r="W3" s="147" t="n">
        <v>21</v>
      </c>
      <c r="X3" s="147" t="n">
        <v>22</v>
      </c>
      <c r="Y3" s="147" t="n">
        <v>23</v>
      </c>
      <c r="Z3" s="147" t="n">
        <v>24</v>
      </c>
      <c r="AA3" s="147" t="n">
        <v>25</v>
      </c>
      <c r="AB3" s="147" t="n">
        <v>26</v>
      </c>
      <c r="AC3" s="147" t="n">
        <v>27</v>
      </c>
      <c r="AD3" s="147" t="n">
        <v>28</v>
      </c>
      <c r="AE3" s="147" t="n">
        <v>29</v>
      </c>
      <c r="AF3" s="147" t="n">
        <v>30</v>
      </c>
      <c r="AG3" s="147" t="n">
        <v>31</v>
      </c>
      <c r="AH3" s="147" t="n">
        <v>32</v>
      </c>
      <c r="AI3" s="147" t="n">
        <v>33</v>
      </c>
      <c r="AJ3" s="147" t="n">
        <v>34</v>
      </c>
      <c r="AK3" s="147" t="n">
        <v>35</v>
      </c>
      <c r="AL3" s="147" t="n">
        <v>36</v>
      </c>
      <c r="AM3" s="147" t="n">
        <v>37</v>
      </c>
      <c r="AN3" s="147" t="n">
        <v>38</v>
      </c>
      <c r="AO3" s="147" t="n">
        <v>39</v>
      </c>
      <c r="AP3" s="147" t="n">
        <v>40</v>
      </c>
      <c r="AQ3" s="147" t="n">
        <v>41</v>
      </c>
      <c r="AR3" s="147" t="n">
        <v>42</v>
      </c>
      <c r="AS3" s="147" t="n">
        <v>43</v>
      </c>
      <c r="AT3" s="147" t="n">
        <v>44</v>
      </c>
      <c r="AU3" s="147" t="n">
        <v>45</v>
      </c>
      <c r="AV3" s="147" t="n">
        <v>46</v>
      </c>
      <c r="AW3" s="147" t="n">
        <v>47</v>
      </c>
      <c r="AX3" s="147" t="n">
        <v>48</v>
      </c>
      <c r="AY3" s="147" t="n">
        <v>49</v>
      </c>
      <c r="AZ3" s="147" t="n">
        <v>50</v>
      </c>
      <c r="BA3" s="147" t="n">
        <v>51</v>
      </c>
      <c r="BB3" s="147" t="n">
        <v>52</v>
      </c>
      <c r="BC3" s="147" t="n">
        <v>53</v>
      </c>
      <c r="BD3" s="147" t="n">
        <v>54</v>
      </c>
      <c r="BE3" s="147" t="n">
        <v>55</v>
      </c>
      <c r="BF3" s="147" t="n">
        <v>56</v>
      </c>
      <c r="BG3" s="147" t="n">
        <v>57</v>
      </c>
      <c r="BH3" s="147" t="n">
        <v>58</v>
      </c>
      <c r="BI3" s="147" t="n">
        <v>59</v>
      </c>
      <c r="BJ3" s="147" t="n">
        <v>60</v>
      </c>
      <c r="BK3" s="147" t="n">
        <v>61</v>
      </c>
      <c r="BL3" s="147" t="n">
        <v>62</v>
      </c>
      <c r="BM3" s="147" t="n">
        <v>63</v>
      </c>
      <c r="BN3" s="147" t="n">
        <v>64</v>
      </c>
      <c r="BO3" s="147" t="n">
        <v>65</v>
      </c>
      <c r="BP3" s="147" t="n">
        <v>66</v>
      </c>
      <c r="BQ3" s="147" t="n">
        <v>67</v>
      </c>
      <c r="BR3" s="147" t="n">
        <v>68</v>
      </c>
      <c r="BS3" s="147" t="n">
        <v>69</v>
      </c>
      <c r="BT3" s="147" t="n">
        <v>70</v>
      </c>
      <c r="BU3" s="147" t="n">
        <v>71</v>
      </c>
      <c r="BV3" s="147" t="n">
        <v>72</v>
      </c>
      <c r="BW3" s="147" t="n">
        <v>73</v>
      </c>
      <c r="BX3" s="147" t="n">
        <v>74</v>
      </c>
      <c r="BY3" s="147" t="n">
        <v>75</v>
      </c>
      <c r="BZ3" s="147" t="n">
        <v>76</v>
      </c>
      <c r="CA3" s="147" t="n">
        <v>77</v>
      </c>
      <c r="CB3" s="147" t="n">
        <v>78</v>
      </c>
      <c r="CC3" s="147" t="n">
        <v>79</v>
      </c>
      <c r="CD3" s="147" t="n">
        <v>80</v>
      </c>
      <c r="CE3" s="147" t="n">
        <v>81</v>
      </c>
      <c r="CF3" s="147" t="n">
        <v>82</v>
      </c>
      <c r="CG3" s="147" t="n">
        <v>83</v>
      </c>
      <c r="CH3" s="147" t="n">
        <v>84</v>
      </c>
    </row>
    <row r="4" customFormat="false" ht="13.5" hidden="false" customHeight="true" outlineLevel="0" collapsed="false">
      <c r="A4" s="146" t="s">
        <v>688</v>
      </c>
      <c r="C4" s="148" t="n">
        <f aca="false">INT((1-1)/12)+1</f>
        <v>1</v>
      </c>
      <c r="D4" s="148" t="n">
        <f aca="false">INT((2-1)/12)+1</f>
        <v>1</v>
      </c>
      <c r="E4" s="148" t="n">
        <f aca="false">INT((3-1)/12)+1</f>
        <v>1</v>
      </c>
      <c r="F4" s="148" t="n">
        <f aca="false">INT((4-1)/12)+1</f>
        <v>1</v>
      </c>
      <c r="G4" s="148" t="n">
        <f aca="false">INT((5-1)/12)+1</f>
        <v>1</v>
      </c>
      <c r="H4" s="148" t="n">
        <f aca="false">INT((6-1)/12)+1</f>
        <v>1</v>
      </c>
      <c r="I4" s="148" t="n">
        <f aca="false">INT((7-1)/12)+1</f>
        <v>1</v>
      </c>
      <c r="J4" s="148" t="n">
        <f aca="false">INT((8-1)/12)+1</f>
        <v>1</v>
      </c>
      <c r="K4" s="148" t="n">
        <f aca="false">INT((9-1)/12)+1</f>
        <v>1</v>
      </c>
      <c r="L4" s="148" t="n">
        <f aca="false">INT((10-1)/12)+1</f>
        <v>1</v>
      </c>
      <c r="M4" s="148" t="n">
        <f aca="false">INT((11-1)/12)+1</f>
        <v>1</v>
      </c>
      <c r="N4" s="148" t="n">
        <f aca="false">INT((12-1)/12)+1</f>
        <v>1</v>
      </c>
      <c r="O4" s="148" t="n">
        <f aca="false">INT((13-1)/12)+1</f>
        <v>2</v>
      </c>
      <c r="P4" s="148" t="n">
        <f aca="false">INT((14-1)/12)+1</f>
        <v>2</v>
      </c>
      <c r="Q4" s="148" t="n">
        <f aca="false">INT((15-1)/12)+1</f>
        <v>2</v>
      </c>
      <c r="R4" s="148" t="n">
        <f aca="false">INT((16-1)/12)+1</f>
        <v>2</v>
      </c>
      <c r="S4" s="148" t="n">
        <f aca="false">INT((17-1)/12)+1</f>
        <v>2</v>
      </c>
      <c r="T4" s="148" t="n">
        <f aca="false">INT((18-1)/12)+1</f>
        <v>2</v>
      </c>
      <c r="U4" s="148" t="n">
        <f aca="false">INT((19-1)/12)+1</f>
        <v>2</v>
      </c>
      <c r="V4" s="148" t="n">
        <f aca="false">INT((20-1)/12)+1</f>
        <v>2</v>
      </c>
      <c r="W4" s="148" t="n">
        <f aca="false">INT((21-1)/12)+1</f>
        <v>2</v>
      </c>
      <c r="X4" s="148" t="n">
        <f aca="false">INT((22-1)/12)+1</f>
        <v>2</v>
      </c>
      <c r="Y4" s="148" t="n">
        <f aca="false">INT((23-1)/12)+1</f>
        <v>2</v>
      </c>
      <c r="Z4" s="148" t="n">
        <f aca="false">INT((24-1)/12)+1</f>
        <v>2</v>
      </c>
      <c r="AA4" s="148" t="n">
        <f aca="false">INT((25-1)/12)+1</f>
        <v>3</v>
      </c>
      <c r="AB4" s="148" t="n">
        <f aca="false">INT((26-1)/12)+1</f>
        <v>3</v>
      </c>
      <c r="AC4" s="148" t="n">
        <f aca="false">INT((27-1)/12)+1</f>
        <v>3</v>
      </c>
      <c r="AD4" s="148" t="n">
        <f aca="false">INT((28-1)/12)+1</f>
        <v>3</v>
      </c>
      <c r="AE4" s="148" t="n">
        <f aca="false">INT((29-1)/12)+1</f>
        <v>3</v>
      </c>
      <c r="AF4" s="148" t="n">
        <f aca="false">INT((30-1)/12)+1</f>
        <v>3</v>
      </c>
      <c r="AG4" s="148" t="n">
        <f aca="false">INT((31-1)/12)+1</f>
        <v>3</v>
      </c>
      <c r="AH4" s="148" t="n">
        <f aca="false">INT((32-1)/12)+1</f>
        <v>3</v>
      </c>
      <c r="AI4" s="148" t="n">
        <f aca="false">INT((33-1)/12)+1</f>
        <v>3</v>
      </c>
      <c r="AJ4" s="148" t="n">
        <f aca="false">INT((34-1)/12)+1</f>
        <v>3</v>
      </c>
      <c r="AK4" s="148" t="n">
        <f aca="false">INT((35-1)/12)+1</f>
        <v>3</v>
      </c>
      <c r="AL4" s="148" t="n">
        <f aca="false">INT((36-1)/12)+1</f>
        <v>3</v>
      </c>
      <c r="AM4" s="148" t="n">
        <f aca="false">INT((37-1)/12)+1</f>
        <v>4</v>
      </c>
      <c r="AN4" s="148" t="n">
        <f aca="false">INT((38-1)/12)+1</f>
        <v>4</v>
      </c>
      <c r="AO4" s="148" t="n">
        <f aca="false">INT((39-1)/12)+1</f>
        <v>4</v>
      </c>
      <c r="AP4" s="148" t="n">
        <f aca="false">INT((40-1)/12)+1</f>
        <v>4</v>
      </c>
      <c r="AQ4" s="148" t="n">
        <f aca="false">INT((41-1)/12)+1</f>
        <v>4</v>
      </c>
      <c r="AR4" s="148" t="n">
        <f aca="false">INT((42-1)/12)+1</f>
        <v>4</v>
      </c>
      <c r="AS4" s="148" t="n">
        <f aca="false">INT((43-1)/12)+1</f>
        <v>4</v>
      </c>
      <c r="AT4" s="148" t="n">
        <f aca="false">INT((44-1)/12)+1</f>
        <v>4</v>
      </c>
      <c r="AU4" s="148" t="n">
        <f aca="false">INT((45-1)/12)+1</f>
        <v>4</v>
      </c>
      <c r="AV4" s="148" t="n">
        <f aca="false">INT((46-1)/12)+1</f>
        <v>4</v>
      </c>
      <c r="AW4" s="148" t="n">
        <f aca="false">INT((47-1)/12)+1</f>
        <v>4</v>
      </c>
      <c r="AX4" s="148" t="n">
        <f aca="false">INT((48-1)/12)+1</f>
        <v>4</v>
      </c>
      <c r="AY4" s="148" t="n">
        <f aca="false">INT((49-1)/12)+1</f>
        <v>5</v>
      </c>
      <c r="AZ4" s="148" t="n">
        <f aca="false">INT((50-1)/12)+1</f>
        <v>5</v>
      </c>
      <c r="BA4" s="148" t="n">
        <f aca="false">INT((51-1)/12)+1</f>
        <v>5</v>
      </c>
      <c r="BB4" s="148" t="n">
        <f aca="false">INT((52-1)/12)+1</f>
        <v>5</v>
      </c>
      <c r="BC4" s="148" t="n">
        <f aca="false">INT((53-1)/12)+1</f>
        <v>5</v>
      </c>
      <c r="BD4" s="148" t="n">
        <f aca="false">INT((54-1)/12)+1</f>
        <v>5</v>
      </c>
      <c r="BE4" s="148" t="n">
        <f aca="false">INT((55-1)/12)+1</f>
        <v>5</v>
      </c>
      <c r="BF4" s="148" t="n">
        <f aca="false">INT((56-1)/12)+1</f>
        <v>5</v>
      </c>
      <c r="BG4" s="148" t="n">
        <f aca="false">INT((57-1)/12)+1</f>
        <v>5</v>
      </c>
      <c r="BH4" s="148" t="n">
        <f aca="false">INT((58-1)/12)+1</f>
        <v>5</v>
      </c>
      <c r="BI4" s="148" t="n">
        <f aca="false">INT((59-1)/12)+1</f>
        <v>5</v>
      </c>
      <c r="BJ4" s="148" t="n">
        <f aca="false">INT((60-1)/12)+1</f>
        <v>5</v>
      </c>
      <c r="BK4" s="148" t="n">
        <f aca="false">INT((61-1)/12)+1</f>
        <v>6</v>
      </c>
      <c r="BL4" s="148" t="n">
        <f aca="false">INT((62-1)/12)+1</f>
        <v>6</v>
      </c>
      <c r="BM4" s="148" t="n">
        <f aca="false">INT((63-1)/12)+1</f>
        <v>6</v>
      </c>
      <c r="BN4" s="148" t="n">
        <f aca="false">INT((64-1)/12)+1</f>
        <v>6</v>
      </c>
      <c r="BO4" s="148" t="n">
        <f aca="false">INT((65-1)/12)+1</f>
        <v>6</v>
      </c>
      <c r="BP4" s="148" t="n">
        <f aca="false">INT((66-1)/12)+1</f>
        <v>6</v>
      </c>
      <c r="BQ4" s="148" t="n">
        <f aca="false">INT((67-1)/12)+1</f>
        <v>6</v>
      </c>
      <c r="BR4" s="148" t="n">
        <f aca="false">INT((68-1)/12)+1</f>
        <v>6</v>
      </c>
      <c r="BS4" s="148" t="n">
        <f aca="false">INT((69-1)/12)+1</f>
        <v>6</v>
      </c>
      <c r="BT4" s="148" t="n">
        <f aca="false">INT((70-1)/12)+1</f>
        <v>6</v>
      </c>
      <c r="BU4" s="148" t="n">
        <f aca="false">INT((71-1)/12)+1</f>
        <v>6</v>
      </c>
      <c r="BV4" s="148" t="n">
        <f aca="false">INT((72-1)/12)+1</f>
        <v>6</v>
      </c>
      <c r="BW4" s="148" t="n">
        <f aca="false">INT((73-1)/12)+1</f>
        <v>7</v>
      </c>
      <c r="BX4" s="148" t="n">
        <f aca="false">INT((74-1)/12)+1</f>
        <v>7</v>
      </c>
      <c r="BY4" s="148" t="n">
        <f aca="false">INT((75-1)/12)+1</f>
        <v>7</v>
      </c>
      <c r="BZ4" s="148" t="n">
        <f aca="false">INT((76-1)/12)+1</f>
        <v>7</v>
      </c>
      <c r="CA4" s="148" t="n">
        <f aca="false">INT((77-1)/12)+1</f>
        <v>7</v>
      </c>
      <c r="CB4" s="148" t="n">
        <f aca="false">INT((78-1)/12)+1</f>
        <v>7</v>
      </c>
      <c r="CC4" s="148" t="n">
        <f aca="false">INT((79-1)/12)+1</f>
        <v>7</v>
      </c>
      <c r="CD4" s="148" t="n">
        <f aca="false">INT((80-1)/12)+1</f>
        <v>7</v>
      </c>
      <c r="CE4" s="148" t="n">
        <f aca="false">INT((81-1)/12)+1</f>
        <v>7</v>
      </c>
      <c r="CF4" s="148" t="n">
        <f aca="false">INT((82-1)/12)+1</f>
        <v>7</v>
      </c>
      <c r="CG4" s="148" t="n">
        <f aca="false">INT((83-1)/12)+1</f>
        <v>7</v>
      </c>
      <c r="CH4" s="148" t="n">
        <f aca="false">INT((84-1)/12)+1</f>
        <v>7</v>
      </c>
    </row>
    <row r="5" customFormat="false" ht="13.5" hidden="false" customHeight="true" outlineLevel="0" collapsed="false"/>
    <row r="6" customFormat="false" ht="12.75" hidden="false" customHeight="true" outlineLevel="0" collapsed="false">
      <c r="A6" s="10" t="s">
        <v>689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</row>
    <row r="7" customFormat="false" ht="13.5" hidden="false" customHeight="true" outlineLevel="0" collapsed="false">
      <c r="A7" s="13" t="s">
        <v>690</v>
      </c>
      <c r="C7" s="149" t="n">
        <f aca="false">MIN(Hipótesis!$C$26,Hipótesis!$C$27+Hipótesis!$C$28*(1-1))</f>
        <v>1</v>
      </c>
      <c r="D7" s="149" t="n">
        <f aca="false">MIN(Hipótesis!$C$26,Hipótesis!$C$27+Hipótesis!$C$28*(2-1))</f>
        <v>1.5</v>
      </c>
      <c r="E7" s="149" t="n">
        <f aca="false">MIN(Hipótesis!$C$26,Hipótesis!$C$27+Hipótesis!$C$28*(3-1))</f>
        <v>2</v>
      </c>
      <c r="F7" s="149" t="n">
        <f aca="false">MIN(Hipótesis!$C$26,Hipótesis!$C$27+Hipótesis!$C$28*(4-1))</f>
        <v>2.5</v>
      </c>
      <c r="G7" s="149" t="n">
        <f aca="false">MIN(Hipótesis!$C$26,Hipótesis!$C$27+Hipótesis!$C$28*(5-1))</f>
        <v>3</v>
      </c>
      <c r="H7" s="149" t="n">
        <f aca="false">MIN(Hipótesis!$C$26,Hipótesis!$C$27+Hipótesis!$C$28*(6-1))</f>
        <v>3</v>
      </c>
      <c r="I7" s="149" t="n">
        <f aca="false">MIN(Hipótesis!$C$26,Hipótesis!$C$27+Hipótesis!$C$28*(7-1))</f>
        <v>3</v>
      </c>
      <c r="J7" s="149" t="n">
        <f aca="false">MIN(Hipótesis!$C$26,Hipótesis!$C$27+Hipótesis!$C$28*(8-1))</f>
        <v>3</v>
      </c>
      <c r="K7" s="149" t="n">
        <f aca="false">MIN(Hipótesis!$C$26,Hipótesis!$C$27+Hipótesis!$C$28*(9-1))</f>
        <v>3</v>
      </c>
      <c r="L7" s="149" t="n">
        <f aca="false">MIN(Hipótesis!$C$26,Hipótesis!$C$27+Hipótesis!$C$28*(10-1))</f>
        <v>3</v>
      </c>
      <c r="M7" s="149" t="n">
        <f aca="false">MIN(Hipótesis!$C$26,Hipótesis!$C$27+Hipótesis!$C$28*(11-1))</f>
        <v>3</v>
      </c>
      <c r="N7" s="149" t="n">
        <f aca="false">MIN(Hipótesis!$C$26,Hipótesis!$C$27+Hipótesis!$C$28*(12-1))</f>
        <v>3</v>
      </c>
      <c r="O7" s="149" t="n">
        <f aca="false">MIN(Hipótesis!$C$26,Hipótesis!$C$27+Hipótesis!$C$28*(13-1))</f>
        <v>3</v>
      </c>
      <c r="P7" s="149" t="n">
        <f aca="false">MIN(Hipótesis!$C$26,Hipótesis!$C$27+Hipótesis!$C$28*(14-1))</f>
        <v>3</v>
      </c>
      <c r="Q7" s="149" t="n">
        <f aca="false">MIN(Hipótesis!$C$26,Hipótesis!$C$27+Hipótesis!$C$28*(15-1))</f>
        <v>3</v>
      </c>
      <c r="R7" s="149" t="n">
        <f aca="false">MIN(Hipótesis!$C$26,Hipótesis!$C$27+Hipótesis!$C$28*(16-1))</f>
        <v>3</v>
      </c>
      <c r="S7" s="149" t="n">
        <f aca="false">MIN(Hipótesis!$C$26,Hipótesis!$C$27+Hipótesis!$C$28*(17-1))</f>
        <v>3</v>
      </c>
      <c r="T7" s="149" t="n">
        <f aca="false">MIN(Hipótesis!$C$26,Hipótesis!$C$27+Hipótesis!$C$28*(18-1))</f>
        <v>3</v>
      </c>
      <c r="U7" s="149" t="n">
        <f aca="false">MIN(Hipótesis!$C$26,Hipótesis!$C$27+Hipótesis!$C$28*(19-1))</f>
        <v>3</v>
      </c>
      <c r="V7" s="149" t="n">
        <f aca="false">MIN(Hipótesis!$C$26,Hipótesis!$C$27+Hipótesis!$C$28*(20-1))</f>
        <v>3</v>
      </c>
      <c r="W7" s="149" t="n">
        <f aca="false">MIN(Hipótesis!$C$26,Hipótesis!$C$27+Hipótesis!$C$28*(21-1))</f>
        <v>3</v>
      </c>
      <c r="X7" s="149" t="n">
        <f aca="false">MIN(Hipótesis!$C$26,Hipótesis!$C$27+Hipótesis!$C$28*(22-1))</f>
        <v>3</v>
      </c>
      <c r="Y7" s="149" t="n">
        <f aca="false">MIN(Hipótesis!$C$26,Hipótesis!$C$27+Hipótesis!$C$28*(23-1))</f>
        <v>3</v>
      </c>
      <c r="Z7" s="149" t="n">
        <f aca="false">MIN(Hipótesis!$C$26,Hipótesis!$C$27+Hipótesis!$C$28*(24-1))</f>
        <v>3</v>
      </c>
      <c r="AA7" s="149" t="n">
        <f aca="false">MIN(Hipótesis!$C$26,Hipótesis!$C$27+Hipótesis!$C$28*(25-1))</f>
        <v>3</v>
      </c>
      <c r="AB7" s="149" t="n">
        <f aca="false">MIN(Hipótesis!$C$26,Hipótesis!$C$27+Hipótesis!$C$28*(26-1))</f>
        <v>3</v>
      </c>
      <c r="AC7" s="149" t="n">
        <f aca="false">MIN(Hipótesis!$C$26,Hipótesis!$C$27+Hipótesis!$C$28*(27-1))</f>
        <v>3</v>
      </c>
      <c r="AD7" s="149" t="n">
        <f aca="false">MIN(Hipótesis!$C$26,Hipótesis!$C$27+Hipótesis!$C$28*(28-1))</f>
        <v>3</v>
      </c>
      <c r="AE7" s="149" t="n">
        <f aca="false">MIN(Hipótesis!$C$26,Hipótesis!$C$27+Hipótesis!$C$28*(29-1))</f>
        <v>3</v>
      </c>
      <c r="AF7" s="149" t="n">
        <f aca="false">MIN(Hipótesis!$C$26,Hipótesis!$C$27+Hipótesis!$C$28*(30-1))</f>
        <v>3</v>
      </c>
      <c r="AG7" s="149" t="n">
        <f aca="false">MIN(Hipótesis!$C$26,Hipótesis!$C$27+Hipótesis!$C$28*(31-1))</f>
        <v>3</v>
      </c>
      <c r="AH7" s="149" t="n">
        <f aca="false">MIN(Hipótesis!$C$26,Hipótesis!$C$27+Hipótesis!$C$28*(32-1))</f>
        <v>3</v>
      </c>
      <c r="AI7" s="149" t="n">
        <f aca="false">MIN(Hipótesis!$C$26,Hipótesis!$C$27+Hipótesis!$C$28*(33-1))</f>
        <v>3</v>
      </c>
      <c r="AJ7" s="149" t="n">
        <f aca="false">MIN(Hipótesis!$C$26,Hipótesis!$C$27+Hipótesis!$C$28*(34-1))</f>
        <v>3</v>
      </c>
      <c r="AK7" s="149" t="n">
        <f aca="false">MIN(Hipótesis!$C$26,Hipótesis!$C$27+Hipótesis!$C$28*(35-1))</f>
        <v>3</v>
      </c>
      <c r="AL7" s="149" t="n">
        <f aca="false">MIN(Hipótesis!$C$26,Hipótesis!$C$27+Hipótesis!$C$28*(36-1))</f>
        <v>3</v>
      </c>
      <c r="AM7" s="149" t="n">
        <f aca="false">MIN(Hipótesis!$C$26,Hipótesis!$C$27+Hipótesis!$C$28*(37-1))</f>
        <v>3</v>
      </c>
      <c r="AN7" s="149" t="n">
        <f aca="false">MIN(Hipótesis!$C$26,Hipótesis!$C$27+Hipótesis!$C$28*(38-1))</f>
        <v>3</v>
      </c>
      <c r="AO7" s="149" t="n">
        <f aca="false">MIN(Hipótesis!$C$26,Hipótesis!$C$27+Hipótesis!$C$28*(39-1))</f>
        <v>3</v>
      </c>
      <c r="AP7" s="149" t="n">
        <f aca="false">MIN(Hipótesis!$C$26,Hipótesis!$C$27+Hipótesis!$C$28*(40-1))</f>
        <v>3</v>
      </c>
      <c r="AQ7" s="149" t="n">
        <f aca="false">MIN(Hipótesis!$C$26,Hipótesis!$C$27+Hipótesis!$C$28*(41-1))</f>
        <v>3</v>
      </c>
      <c r="AR7" s="149" t="n">
        <f aca="false">MIN(Hipótesis!$C$26,Hipótesis!$C$27+Hipótesis!$C$28*(42-1))</f>
        <v>3</v>
      </c>
      <c r="AS7" s="149" t="n">
        <f aca="false">MIN(Hipótesis!$C$26,Hipótesis!$C$27+Hipótesis!$C$28*(43-1))</f>
        <v>3</v>
      </c>
      <c r="AT7" s="149" t="n">
        <f aca="false">MIN(Hipótesis!$C$26,Hipótesis!$C$27+Hipótesis!$C$28*(44-1))</f>
        <v>3</v>
      </c>
      <c r="AU7" s="149" t="n">
        <f aca="false">MIN(Hipótesis!$C$26,Hipótesis!$C$27+Hipótesis!$C$28*(45-1))</f>
        <v>3</v>
      </c>
      <c r="AV7" s="149" t="n">
        <f aca="false">MIN(Hipótesis!$C$26,Hipótesis!$C$27+Hipótesis!$C$28*(46-1))</f>
        <v>3</v>
      </c>
      <c r="AW7" s="149" t="n">
        <f aca="false">MIN(Hipótesis!$C$26,Hipótesis!$C$27+Hipótesis!$C$28*(47-1))</f>
        <v>3</v>
      </c>
      <c r="AX7" s="149" t="n">
        <f aca="false">MIN(Hipótesis!$C$26,Hipótesis!$C$27+Hipótesis!$C$28*(48-1))</f>
        <v>3</v>
      </c>
      <c r="AY7" s="149" t="n">
        <f aca="false">MIN(Hipótesis!$C$26,Hipótesis!$C$27+Hipótesis!$C$28*(49-1))</f>
        <v>3</v>
      </c>
      <c r="AZ7" s="149" t="n">
        <f aca="false">MIN(Hipótesis!$C$26,Hipótesis!$C$27+Hipótesis!$C$28*(50-1))</f>
        <v>3</v>
      </c>
      <c r="BA7" s="149" t="n">
        <f aca="false">MIN(Hipótesis!$C$26,Hipótesis!$C$27+Hipótesis!$C$28*(51-1))</f>
        <v>3</v>
      </c>
      <c r="BB7" s="149" t="n">
        <f aca="false">MIN(Hipótesis!$C$26,Hipótesis!$C$27+Hipótesis!$C$28*(52-1))</f>
        <v>3</v>
      </c>
      <c r="BC7" s="149" t="n">
        <f aca="false">MIN(Hipótesis!$C$26,Hipótesis!$C$27+Hipótesis!$C$28*(53-1))</f>
        <v>3</v>
      </c>
      <c r="BD7" s="149" t="n">
        <f aca="false">MIN(Hipótesis!$C$26,Hipótesis!$C$27+Hipótesis!$C$28*(54-1))</f>
        <v>3</v>
      </c>
      <c r="BE7" s="149" t="n">
        <f aca="false">MIN(Hipótesis!$C$26,Hipótesis!$C$27+Hipótesis!$C$28*(55-1))</f>
        <v>3</v>
      </c>
      <c r="BF7" s="149" t="n">
        <f aca="false">MIN(Hipótesis!$C$26,Hipótesis!$C$27+Hipótesis!$C$28*(56-1))</f>
        <v>3</v>
      </c>
      <c r="BG7" s="149" t="n">
        <f aca="false">MIN(Hipótesis!$C$26,Hipótesis!$C$27+Hipótesis!$C$28*(57-1))</f>
        <v>3</v>
      </c>
      <c r="BH7" s="149" t="n">
        <f aca="false">MIN(Hipótesis!$C$26,Hipótesis!$C$27+Hipótesis!$C$28*(58-1))</f>
        <v>3</v>
      </c>
      <c r="BI7" s="149" t="n">
        <f aca="false">MIN(Hipótesis!$C$26,Hipótesis!$C$27+Hipótesis!$C$28*(59-1))</f>
        <v>3</v>
      </c>
      <c r="BJ7" s="149" t="n">
        <f aca="false">MIN(Hipótesis!$C$26,Hipótesis!$C$27+Hipótesis!$C$28*(60-1))</f>
        <v>3</v>
      </c>
      <c r="BK7" s="149" t="n">
        <f aca="false">MIN(Hipótesis!$C$26,Hipótesis!$C$27+Hipótesis!$C$28*(61-1))</f>
        <v>3</v>
      </c>
      <c r="BL7" s="149" t="n">
        <f aca="false">MIN(Hipótesis!$C$26,Hipótesis!$C$27+Hipótesis!$C$28*(62-1))</f>
        <v>3</v>
      </c>
      <c r="BM7" s="149" t="n">
        <f aca="false">MIN(Hipótesis!$C$26,Hipótesis!$C$27+Hipótesis!$C$28*(63-1))</f>
        <v>3</v>
      </c>
      <c r="BN7" s="149" t="n">
        <f aca="false">MIN(Hipótesis!$C$26,Hipótesis!$C$27+Hipótesis!$C$28*(64-1))</f>
        <v>3</v>
      </c>
      <c r="BO7" s="149" t="n">
        <f aca="false">MIN(Hipótesis!$C$26,Hipótesis!$C$27+Hipótesis!$C$28*(65-1))</f>
        <v>3</v>
      </c>
      <c r="BP7" s="149" t="n">
        <f aca="false">MIN(Hipótesis!$C$26,Hipótesis!$C$27+Hipótesis!$C$28*(66-1))</f>
        <v>3</v>
      </c>
      <c r="BQ7" s="149" t="n">
        <f aca="false">MIN(Hipótesis!$C$26,Hipótesis!$C$27+Hipótesis!$C$28*(67-1))</f>
        <v>3</v>
      </c>
      <c r="BR7" s="149" t="n">
        <f aca="false">MIN(Hipótesis!$C$26,Hipótesis!$C$27+Hipótesis!$C$28*(68-1))</f>
        <v>3</v>
      </c>
      <c r="BS7" s="149" t="n">
        <f aca="false">MIN(Hipótesis!$C$26,Hipótesis!$C$27+Hipótesis!$C$28*(69-1))</f>
        <v>3</v>
      </c>
      <c r="BT7" s="149" t="n">
        <f aca="false">MIN(Hipótesis!$C$26,Hipótesis!$C$27+Hipótesis!$C$28*(70-1))</f>
        <v>3</v>
      </c>
      <c r="BU7" s="149" t="n">
        <f aca="false">MIN(Hipótesis!$C$26,Hipótesis!$C$27+Hipótesis!$C$28*(71-1))</f>
        <v>3</v>
      </c>
      <c r="BV7" s="149" t="n">
        <f aca="false">MIN(Hipótesis!$C$26,Hipótesis!$C$27+Hipótesis!$C$28*(72-1))</f>
        <v>3</v>
      </c>
      <c r="BW7" s="149" t="n">
        <f aca="false">MIN(Hipótesis!$C$26,Hipótesis!$C$27+Hipótesis!$C$28*(73-1))</f>
        <v>3</v>
      </c>
      <c r="BX7" s="149" t="n">
        <f aca="false">MIN(Hipótesis!$C$26,Hipótesis!$C$27+Hipótesis!$C$28*(74-1))</f>
        <v>3</v>
      </c>
      <c r="BY7" s="149" t="n">
        <f aca="false">MIN(Hipótesis!$C$26,Hipótesis!$C$27+Hipótesis!$C$28*(75-1))</f>
        <v>3</v>
      </c>
      <c r="BZ7" s="149" t="n">
        <f aca="false">MIN(Hipótesis!$C$26,Hipótesis!$C$27+Hipótesis!$C$28*(76-1))</f>
        <v>3</v>
      </c>
      <c r="CA7" s="149" t="n">
        <f aca="false">MIN(Hipótesis!$C$26,Hipótesis!$C$27+Hipótesis!$C$28*(77-1))</f>
        <v>3</v>
      </c>
      <c r="CB7" s="149" t="n">
        <f aca="false">MIN(Hipótesis!$C$26,Hipótesis!$C$27+Hipótesis!$C$28*(78-1))</f>
        <v>3</v>
      </c>
      <c r="CC7" s="149" t="n">
        <f aca="false">MIN(Hipótesis!$C$26,Hipótesis!$C$27+Hipótesis!$C$28*(79-1))</f>
        <v>3</v>
      </c>
      <c r="CD7" s="149" t="n">
        <f aca="false">MIN(Hipótesis!$C$26,Hipótesis!$C$27+Hipótesis!$C$28*(80-1))</f>
        <v>3</v>
      </c>
      <c r="CE7" s="149" t="n">
        <f aca="false">MIN(Hipótesis!$C$26,Hipótesis!$C$27+Hipótesis!$C$28*(81-1))</f>
        <v>3</v>
      </c>
      <c r="CF7" s="149" t="n">
        <f aca="false">MIN(Hipótesis!$C$26,Hipótesis!$C$27+Hipótesis!$C$28*(82-1))</f>
        <v>3</v>
      </c>
      <c r="CG7" s="149" t="n">
        <f aca="false">MIN(Hipótesis!$C$26,Hipótesis!$C$27+Hipótesis!$C$28*(83-1))</f>
        <v>3</v>
      </c>
      <c r="CH7" s="149" t="n">
        <f aca="false">MIN(Hipótesis!$C$26,Hipótesis!$C$27+Hipótesis!$C$28*(84-1))</f>
        <v>3</v>
      </c>
    </row>
    <row r="8" customFormat="false" ht="13.5" hidden="false" customHeight="true" outlineLevel="0" collapsed="false">
      <c r="A8" s="13" t="s">
        <v>691</v>
      </c>
      <c r="C8" s="139" t="n">
        <f aca="false">C7*Hipótesis!$D$13</f>
        <v>960</v>
      </c>
      <c r="D8" s="139" t="n">
        <f aca="false">D7*Hipótesis!$D$13</f>
        <v>1440</v>
      </c>
      <c r="E8" s="139" t="n">
        <f aca="false">E7*Hipótesis!$D$13</f>
        <v>1920</v>
      </c>
      <c r="F8" s="139" t="n">
        <f aca="false">F7*Hipótesis!$D$13</f>
        <v>2400</v>
      </c>
      <c r="G8" s="139" t="n">
        <f aca="false">G7*Hipótesis!$D$13</f>
        <v>2880</v>
      </c>
      <c r="H8" s="139" t="n">
        <f aca="false">H7*Hipótesis!$D$13</f>
        <v>2880</v>
      </c>
      <c r="I8" s="139" t="n">
        <f aca="false">I7*Hipótesis!$D$13</f>
        <v>2880</v>
      </c>
      <c r="J8" s="139" t="n">
        <f aca="false">J7*Hipótesis!$D$13</f>
        <v>2880</v>
      </c>
      <c r="K8" s="139" t="n">
        <f aca="false">K7*Hipótesis!$D$13</f>
        <v>2880</v>
      </c>
      <c r="L8" s="139" t="n">
        <f aca="false">L7*Hipótesis!$D$13</f>
        <v>2880</v>
      </c>
      <c r="M8" s="139" t="n">
        <f aca="false">M7*Hipótesis!$D$13</f>
        <v>2880</v>
      </c>
      <c r="N8" s="139" t="n">
        <f aca="false">N7*Hipótesis!$D$13</f>
        <v>2880</v>
      </c>
      <c r="O8" s="139" t="n">
        <f aca="false">O7*Hipótesis!$D$13</f>
        <v>2880</v>
      </c>
      <c r="P8" s="139" t="n">
        <f aca="false">P7*Hipótesis!$D$13</f>
        <v>2880</v>
      </c>
      <c r="Q8" s="139" t="n">
        <f aca="false">Q7*Hipótesis!$D$13</f>
        <v>2880</v>
      </c>
      <c r="R8" s="139" t="n">
        <f aca="false">R7*Hipótesis!$D$13</f>
        <v>2880</v>
      </c>
      <c r="S8" s="139" t="n">
        <f aca="false">S7*Hipótesis!$D$13</f>
        <v>2880</v>
      </c>
      <c r="T8" s="139" t="n">
        <f aca="false">T7*Hipótesis!$D$13</f>
        <v>2880</v>
      </c>
      <c r="U8" s="139" t="n">
        <f aca="false">U7*Hipótesis!$D$13</f>
        <v>2880</v>
      </c>
      <c r="V8" s="139" t="n">
        <f aca="false">V7*Hipótesis!$D$13</f>
        <v>2880</v>
      </c>
      <c r="W8" s="139" t="n">
        <f aca="false">W7*Hipótesis!$D$13</f>
        <v>2880</v>
      </c>
      <c r="X8" s="139" t="n">
        <f aca="false">X7*Hipótesis!$D$13</f>
        <v>2880</v>
      </c>
      <c r="Y8" s="139" t="n">
        <f aca="false">Y7*Hipótesis!$D$13</f>
        <v>2880</v>
      </c>
      <c r="Z8" s="139" t="n">
        <f aca="false">Z7*Hipótesis!$D$13</f>
        <v>2880</v>
      </c>
      <c r="AA8" s="139" t="n">
        <f aca="false">AA7*Hipótesis!$D$13</f>
        <v>2880</v>
      </c>
      <c r="AB8" s="139" t="n">
        <f aca="false">AB7*Hipótesis!$D$13</f>
        <v>2880</v>
      </c>
      <c r="AC8" s="139" t="n">
        <f aca="false">AC7*Hipótesis!$D$13</f>
        <v>2880</v>
      </c>
      <c r="AD8" s="139" t="n">
        <f aca="false">AD7*Hipótesis!$D$13</f>
        <v>2880</v>
      </c>
      <c r="AE8" s="139" t="n">
        <f aca="false">AE7*Hipótesis!$D$13</f>
        <v>2880</v>
      </c>
      <c r="AF8" s="139" t="n">
        <f aca="false">AF7*Hipótesis!$D$13</f>
        <v>2880</v>
      </c>
      <c r="AG8" s="139" t="n">
        <f aca="false">AG7*Hipótesis!$D$13</f>
        <v>2880</v>
      </c>
      <c r="AH8" s="139" t="n">
        <f aca="false">AH7*Hipótesis!$D$13</f>
        <v>2880</v>
      </c>
      <c r="AI8" s="139" t="n">
        <f aca="false">AI7*Hipótesis!$D$13</f>
        <v>2880</v>
      </c>
      <c r="AJ8" s="139" t="n">
        <f aca="false">AJ7*Hipótesis!$D$13</f>
        <v>2880</v>
      </c>
      <c r="AK8" s="139" t="n">
        <f aca="false">AK7*Hipótesis!$D$13</f>
        <v>2880</v>
      </c>
      <c r="AL8" s="139" t="n">
        <f aca="false">AL7*Hipótesis!$D$13</f>
        <v>2880</v>
      </c>
      <c r="AM8" s="139" t="n">
        <f aca="false">AM7*Hipótesis!$D$13</f>
        <v>2880</v>
      </c>
      <c r="AN8" s="139" t="n">
        <f aca="false">AN7*Hipótesis!$D$13</f>
        <v>2880</v>
      </c>
      <c r="AO8" s="139" t="n">
        <f aca="false">AO7*Hipótesis!$D$13</f>
        <v>2880</v>
      </c>
      <c r="AP8" s="139" t="n">
        <f aca="false">AP7*Hipótesis!$D$13</f>
        <v>2880</v>
      </c>
      <c r="AQ8" s="139" t="n">
        <f aca="false">AQ7*Hipótesis!$D$13</f>
        <v>2880</v>
      </c>
      <c r="AR8" s="139" t="n">
        <f aca="false">AR7*Hipótesis!$D$13</f>
        <v>2880</v>
      </c>
      <c r="AS8" s="139" t="n">
        <f aca="false">AS7*Hipótesis!$D$13</f>
        <v>2880</v>
      </c>
      <c r="AT8" s="139" t="n">
        <f aca="false">AT7*Hipótesis!$D$13</f>
        <v>2880</v>
      </c>
      <c r="AU8" s="139" t="n">
        <f aca="false">AU7*Hipótesis!$D$13</f>
        <v>2880</v>
      </c>
      <c r="AV8" s="139" t="n">
        <f aca="false">AV7*Hipótesis!$D$13</f>
        <v>2880</v>
      </c>
      <c r="AW8" s="139" t="n">
        <f aca="false">AW7*Hipótesis!$D$13</f>
        <v>2880</v>
      </c>
      <c r="AX8" s="139" t="n">
        <f aca="false">AX7*Hipótesis!$D$13</f>
        <v>2880</v>
      </c>
      <c r="AY8" s="139" t="n">
        <f aca="false">AY7*Hipótesis!$D$13</f>
        <v>2880</v>
      </c>
      <c r="AZ8" s="139" t="n">
        <f aca="false">AZ7*Hipótesis!$D$13</f>
        <v>2880</v>
      </c>
      <c r="BA8" s="139" t="n">
        <f aca="false">BA7*Hipótesis!$D$13</f>
        <v>2880</v>
      </c>
      <c r="BB8" s="139" t="n">
        <f aca="false">BB7*Hipótesis!$D$13</f>
        <v>2880</v>
      </c>
      <c r="BC8" s="139" t="n">
        <f aca="false">BC7*Hipótesis!$D$13</f>
        <v>2880</v>
      </c>
      <c r="BD8" s="139" t="n">
        <f aca="false">BD7*Hipótesis!$D$13</f>
        <v>2880</v>
      </c>
      <c r="BE8" s="139" t="n">
        <f aca="false">BE7*Hipótesis!$D$13</f>
        <v>2880</v>
      </c>
      <c r="BF8" s="139" t="n">
        <f aca="false">BF7*Hipótesis!$D$13</f>
        <v>2880</v>
      </c>
      <c r="BG8" s="139" t="n">
        <f aca="false">BG7*Hipótesis!$D$13</f>
        <v>2880</v>
      </c>
      <c r="BH8" s="139" t="n">
        <f aca="false">BH7*Hipótesis!$D$13</f>
        <v>2880</v>
      </c>
      <c r="BI8" s="139" t="n">
        <f aca="false">BI7*Hipótesis!$D$13</f>
        <v>2880</v>
      </c>
      <c r="BJ8" s="139" t="n">
        <f aca="false">BJ7*Hipótesis!$D$13</f>
        <v>2880</v>
      </c>
      <c r="BK8" s="139" t="n">
        <f aca="false">BK7*Hipótesis!$D$13</f>
        <v>2880</v>
      </c>
      <c r="BL8" s="139" t="n">
        <f aca="false">BL7*Hipótesis!$D$13</f>
        <v>2880</v>
      </c>
      <c r="BM8" s="139" t="n">
        <f aca="false">BM7*Hipótesis!$D$13</f>
        <v>2880</v>
      </c>
      <c r="BN8" s="139" t="n">
        <f aca="false">BN7*Hipótesis!$D$13</f>
        <v>2880</v>
      </c>
      <c r="BO8" s="139" t="n">
        <f aca="false">BO7*Hipótesis!$D$13</f>
        <v>2880</v>
      </c>
      <c r="BP8" s="139" t="n">
        <f aca="false">BP7*Hipótesis!$D$13</f>
        <v>2880</v>
      </c>
      <c r="BQ8" s="139" t="n">
        <f aca="false">BQ7*Hipótesis!$D$13</f>
        <v>2880</v>
      </c>
      <c r="BR8" s="139" t="n">
        <f aca="false">BR7*Hipótesis!$D$13</f>
        <v>2880</v>
      </c>
      <c r="BS8" s="139" t="n">
        <f aca="false">BS7*Hipótesis!$D$13</f>
        <v>2880</v>
      </c>
      <c r="BT8" s="139" t="n">
        <f aca="false">BT7*Hipótesis!$D$13</f>
        <v>2880</v>
      </c>
      <c r="BU8" s="139" t="n">
        <f aca="false">BU7*Hipótesis!$D$13</f>
        <v>2880</v>
      </c>
      <c r="BV8" s="139" t="n">
        <f aca="false">BV7*Hipótesis!$D$13</f>
        <v>2880</v>
      </c>
      <c r="BW8" s="139" t="n">
        <f aca="false">BW7*Hipótesis!$D$13</f>
        <v>2880</v>
      </c>
      <c r="BX8" s="139" t="n">
        <f aca="false">BX7*Hipótesis!$D$13</f>
        <v>2880</v>
      </c>
      <c r="BY8" s="139" t="n">
        <f aca="false">BY7*Hipótesis!$D$13</f>
        <v>2880</v>
      </c>
      <c r="BZ8" s="139" t="n">
        <f aca="false">BZ7*Hipótesis!$D$13</f>
        <v>2880</v>
      </c>
      <c r="CA8" s="139" t="n">
        <f aca="false">CA7*Hipótesis!$D$13</f>
        <v>2880</v>
      </c>
      <c r="CB8" s="139" t="n">
        <f aca="false">CB7*Hipótesis!$D$13</f>
        <v>2880</v>
      </c>
      <c r="CC8" s="139" t="n">
        <f aca="false">CC7*Hipótesis!$D$13</f>
        <v>2880</v>
      </c>
      <c r="CD8" s="139" t="n">
        <f aca="false">CD7*Hipótesis!$D$13</f>
        <v>2880</v>
      </c>
      <c r="CE8" s="139" t="n">
        <f aca="false">CE7*Hipótesis!$D$13</f>
        <v>2880</v>
      </c>
      <c r="CF8" s="139" t="n">
        <f aca="false">CF7*Hipótesis!$D$13</f>
        <v>2880</v>
      </c>
      <c r="CG8" s="139" t="n">
        <f aca="false">CG7*Hipótesis!$D$13</f>
        <v>2880</v>
      </c>
      <c r="CH8" s="139" t="n">
        <f aca="false">CH7*Hipótesis!$D$13</f>
        <v>2880</v>
      </c>
    </row>
    <row r="9" customFormat="false" ht="13.5" hidden="false" customHeight="true" outlineLevel="0" collapsed="false">
      <c r="A9" s="13" t="s">
        <v>692</v>
      </c>
      <c r="C9" s="138" t="n">
        <f aca="false">Pipeline!$Q$16*Pipeline!$D$16*MIN(1,MAX(0,(1-Pipeline!$E$16+1)/MAX(Pipeline!$F$16,1)))</f>
        <v>1033.125</v>
      </c>
      <c r="D9" s="138" t="n">
        <f aca="false">Pipeline!$Q$16*Pipeline!$D$16*MIN(1,MAX(0,(2-Pipeline!$E$16+1)/MAX(Pipeline!$F$16,1)))</f>
        <v>2066.25</v>
      </c>
      <c r="E9" s="138" t="n">
        <f aca="false">Pipeline!$Q$16*Pipeline!$D$16*MIN(1,MAX(0,(3-Pipeline!$E$16+1)/MAX(Pipeline!$F$16,1)))</f>
        <v>3099.375</v>
      </c>
      <c r="F9" s="138" t="n">
        <f aca="false">Pipeline!$Q$16*Pipeline!$D$16*MIN(1,MAX(0,(4-Pipeline!$E$16+1)/MAX(Pipeline!$F$16,1)))</f>
        <v>3099.375</v>
      </c>
      <c r="G9" s="138" t="n">
        <f aca="false">Pipeline!$Q$16*Pipeline!$D$16*MIN(1,MAX(0,(5-Pipeline!$E$16+1)/MAX(Pipeline!$F$16,1)))</f>
        <v>3099.375</v>
      </c>
      <c r="H9" s="138" t="n">
        <f aca="false">Pipeline!$Q$16*Pipeline!$D$16*MIN(1,MAX(0,(6-Pipeline!$E$16+1)/MAX(Pipeline!$F$16,1)))</f>
        <v>3099.375</v>
      </c>
      <c r="I9" s="138" t="n">
        <f aca="false">Pipeline!$Q$16*Pipeline!$D$16*MIN(1,MAX(0,(7-Pipeline!$E$16+1)/MAX(Pipeline!$F$16,1)))</f>
        <v>3099.375</v>
      </c>
      <c r="J9" s="138" t="n">
        <f aca="false">Pipeline!$Q$16*Pipeline!$D$16*MIN(1,MAX(0,(8-Pipeline!$E$16+1)/MAX(Pipeline!$F$16,1)))</f>
        <v>3099.375</v>
      </c>
      <c r="K9" s="138" t="n">
        <f aca="false">Pipeline!$Q$16*Pipeline!$D$16*MIN(1,MAX(0,(9-Pipeline!$E$16+1)/MAX(Pipeline!$F$16,1)))</f>
        <v>3099.375</v>
      </c>
      <c r="L9" s="138" t="n">
        <f aca="false">Pipeline!$Q$16*Pipeline!$D$16*MIN(1,MAX(0,(10-Pipeline!$E$16+1)/MAX(Pipeline!$F$16,1)))</f>
        <v>3099.375</v>
      </c>
      <c r="M9" s="138" t="n">
        <f aca="false">Pipeline!$Q$16*Pipeline!$D$16*MIN(1,MAX(0,(11-Pipeline!$E$16+1)/MAX(Pipeline!$F$16,1)))</f>
        <v>3099.375</v>
      </c>
      <c r="N9" s="138" t="n">
        <f aca="false">Pipeline!$Q$16*Pipeline!$D$16*MIN(1,MAX(0,(12-Pipeline!$E$16+1)/MAX(Pipeline!$F$16,1)))</f>
        <v>3099.375</v>
      </c>
      <c r="O9" s="138" t="n">
        <f aca="false">Pipeline!$Q$16*Pipeline!$D$16*MIN(1,MAX(0,(13-Pipeline!$E$16+1)/MAX(Pipeline!$F$16,1)))</f>
        <v>3099.375</v>
      </c>
      <c r="P9" s="138" t="n">
        <f aca="false">Pipeline!$Q$16*Pipeline!$D$16*MIN(1,MAX(0,(14-Pipeline!$E$16+1)/MAX(Pipeline!$F$16,1)))</f>
        <v>3099.375</v>
      </c>
      <c r="Q9" s="138" t="n">
        <f aca="false">Pipeline!$Q$16*Pipeline!$D$16*MIN(1,MAX(0,(15-Pipeline!$E$16+1)/MAX(Pipeline!$F$16,1)))</f>
        <v>3099.375</v>
      </c>
      <c r="R9" s="138" t="n">
        <f aca="false">Pipeline!$Q$16*Pipeline!$D$16*MIN(1,MAX(0,(16-Pipeline!$E$16+1)/MAX(Pipeline!$F$16,1)))</f>
        <v>3099.375</v>
      </c>
      <c r="S9" s="138" t="n">
        <f aca="false">Pipeline!$Q$16*Pipeline!$D$16*MIN(1,MAX(0,(17-Pipeline!$E$16+1)/MAX(Pipeline!$F$16,1)))</f>
        <v>3099.375</v>
      </c>
      <c r="T9" s="138" t="n">
        <f aca="false">Pipeline!$Q$16*Pipeline!$D$16*MIN(1,MAX(0,(18-Pipeline!$E$16+1)/MAX(Pipeline!$F$16,1)))</f>
        <v>3099.375</v>
      </c>
      <c r="U9" s="138" t="n">
        <f aca="false">Pipeline!$Q$16*Pipeline!$D$16*MIN(1,MAX(0,(19-Pipeline!$E$16+1)/MAX(Pipeline!$F$16,1)))</f>
        <v>3099.375</v>
      </c>
      <c r="V9" s="138" t="n">
        <f aca="false">Pipeline!$Q$16*Pipeline!$D$16*MIN(1,MAX(0,(20-Pipeline!$E$16+1)/MAX(Pipeline!$F$16,1)))</f>
        <v>3099.375</v>
      </c>
      <c r="W9" s="138" t="n">
        <f aca="false">Pipeline!$Q$16*Pipeline!$D$16*MIN(1,MAX(0,(21-Pipeline!$E$16+1)/MAX(Pipeline!$F$16,1)))</f>
        <v>3099.375</v>
      </c>
      <c r="X9" s="138" t="n">
        <f aca="false">Pipeline!$Q$16*Pipeline!$D$16*MIN(1,MAX(0,(22-Pipeline!$E$16+1)/MAX(Pipeline!$F$16,1)))</f>
        <v>3099.375</v>
      </c>
      <c r="Y9" s="138" t="n">
        <f aca="false">Pipeline!$Q$16*Pipeline!$D$16*MIN(1,MAX(0,(23-Pipeline!$E$16+1)/MAX(Pipeline!$F$16,1)))</f>
        <v>3099.375</v>
      </c>
      <c r="Z9" s="138" t="n">
        <f aca="false">Pipeline!$Q$16*Pipeline!$D$16*MIN(1,MAX(0,(24-Pipeline!$E$16+1)/MAX(Pipeline!$F$16,1)))</f>
        <v>3099.375</v>
      </c>
      <c r="AA9" s="138" t="n">
        <f aca="false">Pipeline!$Q$16*Pipeline!$D$16*MIN(1,MAX(0,(25-Pipeline!$E$16+1)/MAX(Pipeline!$F$16,1)))</f>
        <v>3099.375</v>
      </c>
      <c r="AB9" s="138" t="n">
        <f aca="false">Pipeline!$Q$16*Pipeline!$D$16*MIN(1,MAX(0,(26-Pipeline!$E$16+1)/MAX(Pipeline!$F$16,1)))</f>
        <v>3099.375</v>
      </c>
      <c r="AC9" s="138" t="n">
        <f aca="false">Pipeline!$Q$16*Pipeline!$D$16*MIN(1,MAX(0,(27-Pipeline!$E$16+1)/MAX(Pipeline!$F$16,1)))</f>
        <v>3099.375</v>
      </c>
      <c r="AD9" s="138" t="n">
        <f aca="false">Pipeline!$Q$16*Pipeline!$D$16*MIN(1,MAX(0,(28-Pipeline!$E$16+1)/MAX(Pipeline!$F$16,1)))</f>
        <v>3099.375</v>
      </c>
      <c r="AE9" s="138" t="n">
        <f aca="false">Pipeline!$Q$16*Pipeline!$D$16*MIN(1,MAX(0,(29-Pipeline!$E$16+1)/MAX(Pipeline!$F$16,1)))</f>
        <v>3099.375</v>
      </c>
      <c r="AF9" s="138" t="n">
        <f aca="false">Pipeline!$Q$16*Pipeline!$D$16*MIN(1,MAX(0,(30-Pipeline!$E$16+1)/MAX(Pipeline!$F$16,1)))</f>
        <v>3099.375</v>
      </c>
      <c r="AG9" s="138" t="n">
        <f aca="false">Pipeline!$Q$16*Pipeline!$D$16*MIN(1,MAX(0,(31-Pipeline!$E$16+1)/MAX(Pipeline!$F$16,1)))</f>
        <v>3099.375</v>
      </c>
      <c r="AH9" s="138" t="n">
        <f aca="false">Pipeline!$Q$16*Pipeline!$D$16*MIN(1,MAX(0,(32-Pipeline!$E$16+1)/MAX(Pipeline!$F$16,1)))</f>
        <v>3099.375</v>
      </c>
      <c r="AI9" s="138" t="n">
        <f aca="false">Pipeline!$Q$16*Pipeline!$D$16*MIN(1,MAX(0,(33-Pipeline!$E$16+1)/MAX(Pipeline!$F$16,1)))</f>
        <v>3099.375</v>
      </c>
      <c r="AJ9" s="138" t="n">
        <f aca="false">Pipeline!$Q$16*Pipeline!$D$16*MIN(1,MAX(0,(34-Pipeline!$E$16+1)/MAX(Pipeline!$F$16,1)))</f>
        <v>3099.375</v>
      </c>
      <c r="AK9" s="138" t="n">
        <f aca="false">Pipeline!$Q$16*Pipeline!$D$16*MIN(1,MAX(0,(35-Pipeline!$E$16+1)/MAX(Pipeline!$F$16,1)))</f>
        <v>3099.375</v>
      </c>
      <c r="AL9" s="138" t="n">
        <f aca="false">Pipeline!$Q$16*Pipeline!$D$16*MIN(1,MAX(0,(36-Pipeline!$E$16+1)/MAX(Pipeline!$F$16,1)))</f>
        <v>3099.375</v>
      </c>
      <c r="AM9" s="138" t="n">
        <f aca="false">Pipeline!$Q$16*Pipeline!$D$16*MIN(1,MAX(0,(37-Pipeline!$E$16+1)/MAX(Pipeline!$F$16,1)))</f>
        <v>3099.375</v>
      </c>
      <c r="AN9" s="138" t="n">
        <f aca="false">Pipeline!$Q$16*Pipeline!$D$16*MIN(1,MAX(0,(38-Pipeline!$E$16+1)/MAX(Pipeline!$F$16,1)))</f>
        <v>3099.375</v>
      </c>
      <c r="AO9" s="138" t="n">
        <f aca="false">Pipeline!$Q$16*Pipeline!$D$16*MIN(1,MAX(0,(39-Pipeline!$E$16+1)/MAX(Pipeline!$F$16,1)))</f>
        <v>3099.375</v>
      </c>
      <c r="AP9" s="138" t="n">
        <f aca="false">Pipeline!$Q$16*Pipeline!$D$16*MIN(1,MAX(0,(40-Pipeline!$E$16+1)/MAX(Pipeline!$F$16,1)))</f>
        <v>3099.375</v>
      </c>
      <c r="AQ9" s="138" t="n">
        <f aca="false">Pipeline!$Q$16*Pipeline!$D$16*MIN(1,MAX(0,(41-Pipeline!$E$16+1)/MAX(Pipeline!$F$16,1)))</f>
        <v>3099.375</v>
      </c>
      <c r="AR9" s="138" t="n">
        <f aca="false">Pipeline!$Q$16*Pipeline!$D$16*MIN(1,MAX(0,(42-Pipeline!$E$16+1)/MAX(Pipeline!$F$16,1)))</f>
        <v>3099.375</v>
      </c>
      <c r="AS9" s="138" t="n">
        <f aca="false">Pipeline!$Q$16*Pipeline!$D$16*MIN(1,MAX(0,(43-Pipeline!$E$16+1)/MAX(Pipeline!$F$16,1)))</f>
        <v>3099.375</v>
      </c>
      <c r="AT9" s="138" t="n">
        <f aca="false">Pipeline!$Q$16*Pipeline!$D$16*MIN(1,MAX(0,(44-Pipeline!$E$16+1)/MAX(Pipeline!$F$16,1)))</f>
        <v>3099.375</v>
      </c>
      <c r="AU9" s="138" t="n">
        <f aca="false">Pipeline!$Q$16*Pipeline!$D$16*MIN(1,MAX(0,(45-Pipeline!$E$16+1)/MAX(Pipeline!$F$16,1)))</f>
        <v>3099.375</v>
      </c>
      <c r="AV9" s="138" t="n">
        <f aca="false">Pipeline!$Q$16*Pipeline!$D$16*MIN(1,MAX(0,(46-Pipeline!$E$16+1)/MAX(Pipeline!$F$16,1)))</f>
        <v>3099.375</v>
      </c>
      <c r="AW9" s="138" t="n">
        <f aca="false">Pipeline!$Q$16*Pipeline!$D$16*MIN(1,MAX(0,(47-Pipeline!$E$16+1)/MAX(Pipeline!$F$16,1)))</f>
        <v>3099.375</v>
      </c>
      <c r="AX9" s="138" t="n">
        <f aca="false">Pipeline!$Q$16*Pipeline!$D$16*MIN(1,MAX(0,(48-Pipeline!$E$16+1)/MAX(Pipeline!$F$16,1)))</f>
        <v>3099.375</v>
      </c>
      <c r="AY9" s="138" t="n">
        <f aca="false">Pipeline!$Q$16*Pipeline!$D$16*MIN(1,MAX(0,(49-Pipeline!$E$16+1)/MAX(Pipeline!$F$16,1)))</f>
        <v>3099.375</v>
      </c>
      <c r="AZ9" s="138" t="n">
        <f aca="false">Pipeline!$Q$16*Pipeline!$D$16*MIN(1,MAX(0,(50-Pipeline!$E$16+1)/MAX(Pipeline!$F$16,1)))</f>
        <v>3099.375</v>
      </c>
      <c r="BA9" s="138" t="n">
        <f aca="false">Pipeline!$Q$16*Pipeline!$D$16*MIN(1,MAX(0,(51-Pipeline!$E$16+1)/MAX(Pipeline!$F$16,1)))</f>
        <v>3099.375</v>
      </c>
      <c r="BB9" s="138" t="n">
        <f aca="false">Pipeline!$Q$16*Pipeline!$D$16*MIN(1,MAX(0,(52-Pipeline!$E$16+1)/MAX(Pipeline!$F$16,1)))</f>
        <v>3099.375</v>
      </c>
      <c r="BC9" s="138" t="n">
        <f aca="false">Pipeline!$Q$16*Pipeline!$D$16*MIN(1,MAX(0,(53-Pipeline!$E$16+1)/MAX(Pipeline!$F$16,1)))</f>
        <v>3099.375</v>
      </c>
      <c r="BD9" s="138" t="n">
        <f aca="false">Pipeline!$Q$16*Pipeline!$D$16*MIN(1,MAX(0,(54-Pipeline!$E$16+1)/MAX(Pipeline!$F$16,1)))</f>
        <v>3099.375</v>
      </c>
      <c r="BE9" s="138" t="n">
        <f aca="false">Pipeline!$Q$16*Pipeline!$D$16*MIN(1,MAX(0,(55-Pipeline!$E$16+1)/MAX(Pipeline!$F$16,1)))</f>
        <v>3099.375</v>
      </c>
      <c r="BF9" s="138" t="n">
        <f aca="false">Pipeline!$Q$16*Pipeline!$D$16*MIN(1,MAX(0,(56-Pipeline!$E$16+1)/MAX(Pipeline!$F$16,1)))</f>
        <v>3099.375</v>
      </c>
      <c r="BG9" s="138" t="n">
        <f aca="false">Pipeline!$Q$16*Pipeline!$D$16*MIN(1,MAX(0,(57-Pipeline!$E$16+1)/MAX(Pipeline!$F$16,1)))</f>
        <v>3099.375</v>
      </c>
      <c r="BH9" s="138" t="n">
        <f aca="false">Pipeline!$Q$16*Pipeline!$D$16*MIN(1,MAX(0,(58-Pipeline!$E$16+1)/MAX(Pipeline!$F$16,1)))</f>
        <v>3099.375</v>
      </c>
      <c r="BI9" s="138" t="n">
        <f aca="false">Pipeline!$Q$16*Pipeline!$D$16*MIN(1,MAX(0,(59-Pipeline!$E$16+1)/MAX(Pipeline!$F$16,1)))</f>
        <v>3099.375</v>
      </c>
      <c r="BJ9" s="138" t="n">
        <f aca="false">Pipeline!$Q$16*Pipeline!$D$16*MIN(1,MAX(0,(60-Pipeline!$E$16+1)/MAX(Pipeline!$F$16,1)))</f>
        <v>3099.375</v>
      </c>
      <c r="BK9" s="138" t="n">
        <f aca="false">Pipeline!$Q$16*Pipeline!$D$16*MIN(1,MAX(0,(61-Pipeline!$E$16+1)/MAX(Pipeline!$F$16,1)))</f>
        <v>3099.375</v>
      </c>
      <c r="BL9" s="138" t="n">
        <f aca="false">Pipeline!$Q$16*Pipeline!$D$16*MIN(1,MAX(0,(62-Pipeline!$E$16+1)/MAX(Pipeline!$F$16,1)))</f>
        <v>3099.375</v>
      </c>
      <c r="BM9" s="138" t="n">
        <f aca="false">Pipeline!$Q$16*Pipeline!$D$16*MIN(1,MAX(0,(63-Pipeline!$E$16+1)/MAX(Pipeline!$F$16,1)))</f>
        <v>3099.375</v>
      </c>
      <c r="BN9" s="138" t="n">
        <f aca="false">Pipeline!$Q$16*Pipeline!$D$16*MIN(1,MAX(0,(64-Pipeline!$E$16+1)/MAX(Pipeline!$F$16,1)))</f>
        <v>3099.375</v>
      </c>
      <c r="BO9" s="138" t="n">
        <f aca="false">Pipeline!$Q$16*Pipeline!$D$16*MIN(1,MAX(0,(65-Pipeline!$E$16+1)/MAX(Pipeline!$F$16,1)))</f>
        <v>3099.375</v>
      </c>
      <c r="BP9" s="138" t="n">
        <f aca="false">Pipeline!$Q$16*Pipeline!$D$16*MIN(1,MAX(0,(66-Pipeline!$E$16+1)/MAX(Pipeline!$F$16,1)))</f>
        <v>3099.375</v>
      </c>
      <c r="BQ9" s="138" t="n">
        <f aca="false">Pipeline!$Q$16*Pipeline!$D$16*MIN(1,MAX(0,(67-Pipeline!$E$16+1)/MAX(Pipeline!$F$16,1)))</f>
        <v>3099.375</v>
      </c>
      <c r="BR9" s="138" t="n">
        <f aca="false">Pipeline!$Q$16*Pipeline!$D$16*MIN(1,MAX(0,(68-Pipeline!$E$16+1)/MAX(Pipeline!$F$16,1)))</f>
        <v>3099.375</v>
      </c>
      <c r="BS9" s="138" t="n">
        <f aca="false">Pipeline!$Q$16*Pipeline!$D$16*MIN(1,MAX(0,(69-Pipeline!$E$16+1)/MAX(Pipeline!$F$16,1)))</f>
        <v>3099.375</v>
      </c>
      <c r="BT9" s="138" t="n">
        <f aca="false">Pipeline!$Q$16*Pipeline!$D$16*MIN(1,MAX(0,(70-Pipeline!$E$16+1)/MAX(Pipeline!$F$16,1)))</f>
        <v>3099.375</v>
      </c>
      <c r="BU9" s="138" t="n">
        <f aca="false">Pipeline!$Q$16*Pipeline!$D$16*MIN(1,MAX(0,(71-Pipeline!$E$16+1)/MAX(Pipeline!$F$16,1)))</f>
        <v>3099.375</v>
      </c>
      <c r="BV9" s="138" t="n">
        <f aca="false">Pipeline!$Q$16*Pipeline!$D$16*MIN(1,MAX(0,(72-Pipeline!$E$16+1)/MAX(Pipeline!$F$16,1)))</f>
        <v>3099.375</v>
      </c>
      <c r="BW9" s="138" t="n">
        <f aca="false">Pipeline!$Q$16*Pipeline!$D$16*MIN(1,MAX(0,(73-Pipeline!$E$16+1)/MAX(Pipeline!$F$16,1)))</f>
        <v>3099.375</v>
      </c>
      <c r="BX9" s="138" t="n">
        <f aca="false">Pipeline!$Q$16*Pipeline!$D$16*MIN(1,MAX(0,(74-Pipeline!$E$16+1)/MAX(Pipeline!$F$16,1)))</f>
        <v>3099.375</v>
      </c>
      <c r="BY9" s="138" t="n">
        <f aca="false">Pipeline!$Q$16*Pipeline!$D$16*MIN(1,MAX(0,(75-Pipeline!$E$16+1)/MAX(Pipeline!$F$16,1)))</f>
        <v>3099.375</v>
      </c>
      <c r="BZ9" s="138" t="n">
        <f aca="false">Pipeline!$Q$16*Pipeline!$D$16*MIN(1,MAX(0,(76-Pipeline!$E$16+1)/MAX(Pipeline!$F$16,1)))</f>
        <v>3099.375</v>
      </c>
      <c r="CA9" s="138" t="n">
        <f aca="false">Pipeline!$Q$16*Pipeline!$D$16*MIN(1,MAX(0,(77-Pipeline!$E$16+1)/MAX(Pipeline!$F$16,1)))</f>
        <v>3099.375</v>
      </c>
      <c r="CB9" s="138" t="n">
        <f aca="false">Pipeline!$Q$16*Pipeline!$D$16*MIN(1,MAX(0,(78-Pipeline!$E$16+1)/MAX(Pipeline!$F$16,1)))</f>
        <v>3099.375</v>
      </c>
      <c r="CC9" s="138" t="n">
        <f aca="false">Pipeline!$Q$16*Pipeline!$D$16*MIN(1,MAX(0,(79-Pipeline!$E$16+1)/MAX(Pipeline!$F$16,1)))</f>
        <v>3099.375</v>
      </c>
      <c r="CD9" s="138" t="n">
        <f aca="false">Pipeline!$Q$16*Pipeline!$D$16*MIN(1,MAX(0,(80-Pipeline!$E$16+1)/MAX(Pipeline!$F$16,1)))</f>
        <v>3099.375</v>
      </c>
      <c r="CE9" s="138" t="n">
        <f aca="false">Pipeline!$Q$16*Pipeline!$D$16*MIN(1,MAX(0,(81-Pipeline!$E$16+1)/MAX(Pipeline!$F$16,1)))</f>
        <v>3099.375</v>
      </c>
      <c r="CF9" s="138" t="n">
        <f aca="false">Pipeline!$Q$16*Pipeline!$D$16*MIN(1,MAX(0,(82-Pipeline!$E$16+1)/MAX(Pipeline!$F$16,1)))</f>
        <v>3099.375</v>
      </c>
      <c r="CG9" s="138" t="n">
        <f aca="false">Pipeline!$Q$16*Pipeline!$D$16*MIN(1,MAX(0,(83-Pipeline!$E$16+1)/MAX(Pipeline!$F$16,1)))</f>
        <v>3099.375</v>
      </c>
      <c r="CH9" s="138" t="n">
        <f aca="false">Pipeline!$Q$16*Pipeline!$D$16*MIN(1,MAX(0,(84-Pipeline!$E$16+1)/MAX(Pipeline!$F$16,1)))</f>
        <v>3099.375</v>
      </c>
    </row>
    <row r="10" customFormat="false" ht="13.5" hidden="false" customHeight="true" outlineLevel="0" collapsed="false">
      <c r="A10" s="13" t="s">
        <v>693</v>
      </c>
      <c r="C10" s="138" t="n">
        <f aca="false">Pipeline!$Q$17*Pipeline!$D$17*MIN(1,MAX(0,(1-Pipeline!$E$17+1)/MAX(Pipeline!$F$17,1)))</f>
        <v>0</v>
      </c>
      <c r="D10" s="138" t="n">
        <f aca="false">Pipeline!$Q$17*Pipeline!$D$17*MIN(1,MAX(0,(2-Pipeline!$E$17+1)/MAX(Pipeline!$F$17,1)))</f>
        <v>78.3</v>
      </c>
      <c r="E10" s="138" t="n">
        <f aca="false">Pipeline!$Q$17*Pipeline!$D$17*MIN(1,MAX(0,(3-Pipeline!$E$17+1)/MAX(Pipeline!$F$17,1)))</f>
        <v>156.6</v>
      </c>
      <c r="F10" s="138" t="n">
        <f aca="false">Pipeline!$Q$17*Pipeline!$D$17*MIN(1,MAX(0,(4-Pipeline!$E$17+1)/MAX(Pipeline!$F$17,1)))</f>
        <v>234.9</v>
      </c>
      <c r="G10" s="138" t="n">
        <f aca="false">Pipeline!$Q$17*Pipeline!$D$17*MIN(1,MAX(0,(5-Pipeline!$E$17+1)/MAX(Pipeline!$F$17,1)))</f>
        <v>234.9</v>
      </c>
      <c r="H10" s="138" t="n">
        <f aca="false">Pipeline!$Q$17*Pipeline!$D$17*MIN(1,MAX(0,(6-Pipeline!$E$17+1)/MAX(Pipeline!$F$17,1)))</f>
        <v>234.9</v>
      </c>
      <c r="I10" s="138" t="n">
        <f aca="false">Pipeline!$Q$17*Pipeline!$D$17*MIN(1,MAX(0,(7-Pipeline!$E$17+1)/MAX(Pipeline!$F$17,1)))</f>
        <v>234.9</v>
      </c>
      <c r="J10" s="138" t="n">
        <f aca="false">Pipeline!$Q$17*Pipeline!$D$17*MIN(1,MAX(0,(8-Pipeline!$E$17+1)/MAX(Pipeline!$F$17,1)))</f>
        <v>234.9</v>
      </c>
      <c r="K10" s="138" t="n">
        <f aca="false">Pipeline!$Q$17*Pipeline!$D$17*MIN(1,MAX(0,(9-Pipeline!$E$17+1)/MAX(Pipeline!$F$17,1)))</f>
        <v>234.9</v>
      </c>
      <c r="L10" s="138" t="n">
        <f aca="false">Pipeline!$Q$17*Pipeline!$D$17*MIN(1,MAX(0,(10-Pipeline!$E$17+1)/MAX(Pipeline!$F$17,1)))</f>
        <v>234.9</v>
      </c>
      <c r="M10" s="138" t="n">
        <f aca="false">Pipeline!$Q$17*Pipeline!$D$17*MIN(1,MAX(0,(11-Pipeline!$E$17+1)/MAX(Pipeline!$F$17,1)))</f>
        <v>234.9</v>
      </c>
      <c r="N10" s="138" t="n">
        <f aca="false">Pipeline!$Q$17*Pipeline!$D$17*MIN(1,MAX(0,(12-Pipeline!$E$17+1)/MAX(Pipeline!$F$17,1)))</f>
        <v>234.9</v>
      </c>
      <c r="O10" s="138" t="n">
        <f aca="false">Pipeline!$Q$17*Pipeline!$D$17*MIN(1,MAX(0,(13-Pipeline!$E$17+1)/MAX(Pipeline!$F$17,1)))</f>
        <v>234.9</v>
      </c>
      <c r="P10" s="138" t="n">
        <f aca="false">Pipeline!$Q$17*Pipeline!$D$17*MIN(1,MAX(0,(14-Pipeline!$E$17+1)/MAX(Pipeline!$F$17,1)))</f>
        <v>234.9</v>
      </c>
      <c r="Q10" s="138" t="n">
        <f aca="false">Pipeline!$Q$17*Pipeline!$D$17*MIN(1,MAX(0,(15-Pipeline!$E$17+1)/MAX(Pipeline!$F$17,1)))</f>
        <v>234.9</v>
      </c>
      <c r="R10" s="138" t="n">
        <f aca="false">Pipeline!$Q$17*Pipeline!$D$17*MIN(1,MAX(0,(16-Pipeline!$E$17+1)/MAX(Pipeline!$F$17,1)))</f>
        <v>234.9</v>
      </c>
      <c r="S10" s="138" t="n">
        <f aca="false">Pipeline!$Q$17*Pipeline!$D$17*MIN(1,MAX(0,(17-Pipeline!$E$17+1)/MAX(Pipeline!$F$17,1)))</f>
        <v>234.9</v>
      </c>
      <c r="T10" s="138" t="n">
        <f aca="false">Pipeline!$Q$17*Pipeline!$D$17*MIN(1,MAX(0,(18-Pipeline!$E$17+1)/MAX(Pipeline!$F$17,1)))</f>
        <v>234.9</v>
      </c>
      <c r="U10" s="138" t="n">
        <f aca="false">Pipeline!$Q$17*Pipeline!$D$17*MIN(1,MAX(0,(19-Pipeline!$E$17+1)/MAX(Pipeline!$F$17,1)))</f>
        <v>234.9</v>
      </c>
      <c r="V10" s="138" t="n">
        <f aca="false">Pipeline!$Q$17*Pipeline!$D$17*MIN(1,MAX(0,(20-Pipeline!$E$17+1)/MAX(Pipeline!$F$17,1)))</f>
        <v>234.9</v>
      </c>
      <c r="W10" s="138" t="n">
        <f aca="false">Pipeline!$Q$17*Pipeline!$D$17*MIN(1,MAX(0,(21-Pipeline!$E$17+1)/MAX(Pipeline!$F$17,1)))</f>
        <v>234.9</v>
      </c>
      <c r="X10" s="138" t="n">
        <f aca="false">Pipeline!$Q$17*Pipeline!$D$17*MIN(1,MAX(0,(22-Pipeline!$E$17+1)/MAX(Pipeline!$F$17,1)))</f>
        <v>234.9</v>
      </c>
      <c r="Y10" s="138" t="n">
        <f aca="false">Pipeline!$Q$17*Pipeline!$D$17*MIN(1,MAX(0,(23-Pipeline!$E$17+1)/MAX(Pipeline!$F$17,1)))</f>
        <v>234.9</v>
      </c>
      <c r="Z10" s="138" t="n">
        <f aca="false">Pipeline!$Q$17*Pipeline!$D$17*MIN(1,MAX(0,(24-Pipeline!$E$17+1)/MAX(Pipeline!$F$17,1)))</f>
        <v>234.9</v>
      </c>
      <c r="AA10" s="138" t="n">
        <f aca="false">Pipeline!$Q$17*Pipeline!$D$17*MIN(1,MAX(0,(25-Pipeline!$E$17+1)/MAX(Pipeline!$F$17,1)))</f>
        <v>234.9</v>
      </c>
      <c r="AB10" s="138" t="n">
        <f aca="false">Pipeline!$Q$17*Pipeline!$D$17*MIN(1,MAX(0,(26-Pipeline!$E$17+1)/MAX(Pipeline!$F$17,1)))</f>
        <v>234.9</v>
      </c>
      <c r="AC10" s="138" t="n">
        <f aca="false">Pipeline!$Q$17*Pipeline!$D$17*MIN(1,MAX(0,(27-Pipeline!$E$17+1)/MAX(Pipeline!$F$17,1)))</f>
        <v>234.9</v>
      </c>
      <c r="AD10" s="138" t="n">
        <f aca="false">Pipeline!$Q$17*Pipeline!$D$17*MIN(1,MAX(0,(28-Pipeline!$E$17+1)/MAX(Pipeline!$F$17,1)))</f>
        <v>234.9</v>
      </c>
      <c r="AE10" s="138" t="n">
        <f aca="false">Pipeline!$Q$17*Pipeline!$D$17*MIN(1,MAX(0,(29-Pipeline!$E$17+1)/MAX(Pipeline!$F$17,1)))</f>
        <v>234.9</v>
      </c>
      <c r="AF10" s="138" t="n">
        <f aca="false">Pipeline!$Q$17*Pipeline!$D$17*MIN(1,MAX(0,(30-Pipeline!$E$17+1)/MAX(Pipeline!$F$17,1)))</f>
        <v>234.9</v>
      </c>
      <c r="AG10" s="138" t="n">
        <f aca="false">Pipeline!$Q$17*Pipeline!$D$17*MIN(1,MAX(0,(31-Pipeline!$E$17+1)/MAX(Pipeline!$F$17,1)))</f>
        <v>234.9</v>
      </c>
      <c r="AH10" s="138" t="n">
        <f aca="false">Pipeline!$Q$17*Pipeline!$D$17*MIN(1,MAX(0,(32-Pipeline!$E$17+1)/MAX(Pipeline!$F$17,1)))</f>
        <v>234.9</v>
      </c>
      <c r="AI10" s="138" t="n">
        <f aca="false">Pipeline!$Q$17*Pipeline!$D$17*MIN(1,MAX(0,(33-Pipeline!$E$17+1)/MAX(Pipeline!$F$17,1)))</f>
        <v>234.9</v>
      </c>
      <c r="AJ10" s="138" t="n">
        <f aca="false">Pipeline!$Q$17*Pipeline!$D$17*MIN(1,MAX(0,(34-Pipeline!$E$17+1)/MAX(Pipeline!$F$17,1)))</f>
        <v>234.9</v>
      </c>
      <c r="AK10" s="138" t="n">
        <f aca="false">Pipeline!$Q$17*Pipeline!$D$17*MIN(1,MAX(0,(35-Pipeline!$E$17+1)/MAX(Pipeline!$F$17,1)))</f>
        <v>234.9</v>
      </c>
      <c r="AL10" s="138" t="n">
        <f aca="false">Pipeline!$Q$17*Pipeline!$D$17*MIN(1,MAX(0,(36-Pipeline!$E$17+1)/MAX(Pipeline!$F$17,1)))</f>
        <v>234.9</v>
      </c>
      <c r="AM10" s="138" t="n">
        <f aca="false">Pipeline!$Q$17*Pipeline!$D$17*MIN(1,MAX(0,(37-Pipeline!$E$17+1)/MAX(Pipeline!$F$17,1)))</f>
        <v>234.9</v>
      </c>
      <c r="AN10" s="138" t="n">
        <f aca="false">Pipeline!$Q$17*Pipeline!$D$17*MIN(1,MAX(0,(38-Pipeline!$E$17+1)/MAX(Pipeline!$F$17,1)))</f>
        <v>234.9</v>
      </c>
      <c r="AO10" s="138" t="n">
        <f aca="false">Pipeline!$Q$17*Pipeline!$D$17*MIN(1,MAX(0,(39-Pipeline!$E$17+1)/MAX(Pipeline!$F$17,1)))</f>
        <v>234.9</v>
      </c>
      <c r="AP10" s="138" t="n">
        <f aca="false">Pipeline!$Q$17*Pipeline!$D$17*MIN(1,MAX(0,(40-Pipeline!$E$17+1)/MAX(Pipeline!$F$17,1)))</f>
        <v>234.9</v>
      </c>
      <c r="AQ10" s="138" t="n">
        <f aca="false">Pipeline!$Q$17*Pipeline!$D$17*MIN(1,MAX(0,(41-Pipeline!$E$17+1)/MAX(Pipeline!$F$17,1)))</f>
        <v>234.9</v>
      </c>
      <c r="AR10" s="138" t="n">
        <f aca="false">Pipeline!$Q$17*Pipeline!$D$17*MIN(1,MAX(0,(42-Pipeline!$E$17+1)/MAX(Pipeline!$F$17,1)))</f>
        <v>234.9</v>
      </c>
      <c r="AS10" s="138" t="n">
        <f aca="false">Pipeline!$Q$17*Pipeline!$D$17*MIN(1,MAX(0,(43-Pipeline!$E$17+1)/MAX(Pipeline!$F$17,1)))</f>
        <v>234.9</v>
      </c>
      <c r="AT10" s="138" t="n">
        <f aca="false">Pipeline!$Q$17*Pipeline!$D$17*MIN(1,MAX(0,(44-Pipeline!$E$17+1)/MAX(Pipeline!$F$17,1)))</f>
        <v>234.9</v>
      </c>
      <c r="AU10" s="138" t="n">
        <f aca="false">Pipeline!$Q$17*Pipeline!$D$17*MIN(1,MAX(0,(45-Pipeline!$E$17+1)/MAX(Pipeline!$F$17,1)))</f>
        <v>234.9</v>
      </c>
      <c r="AV10" s="138" t="n">
        <f aca="false">Pipeline!$Q$17*Pipeline!$D$17*MIN(1,MAX(0,(46-Pipeline!$E$17+1)/MAX(Pipeline!$F$17,1)))</f>
        <v>234.9</v>
      </c>
      <c r="AW10" s="138" t="n">
        <f aca="false">Pipeline!$Q$17*Pipeline!$D$17*MIN(1,MAX(0,(47-Pipeline!$E$17+1)/MAX(Pipeline!$F$17,1)))</f>
        <v>234.9</v>
      </c>
      <c r="AX10" s="138" t="n">
        <f aca="false">Pipeline!$Q$17*Pipeline!$D$17*MIN(1,MAX(0,(48-Pipeline!$E$17+1)/MAX(Pipeline!$F$17,1)))</f>
        <v>234.9</v>
      </c>
      <c r="AY10" s="138" t="n">
        <f aca="false">Pipeline!$Q$17*Pipeline!$D$17*MIN(1,MAX(0,(49-Pipeline!$E$17+1)/MAX(Pipeline!$F$17,1)))</f>
        <v>234.9</v>
      </c>
      <c r="AZ10" s="138" t="n">
        <f aca="false">Pipeline!$Q$17*Pipeline!$D$17*MIN(1,MAX(0,(50-Pipeline!$E$17+1)/MAX(Pipeline!$F$17,1)))</f>
        <v>234.9</v>
      </c>
      <c r="BA10" s="138" t="n">
        <f aca="false">Pipeline!$Q$17*Pipeline!$D$17*MIN(1,MAX(0,(51-Pipeline!$E$17+1)/MAX(Pipeline!$F$17,1)))</f>
        <v>234.9</v>
      </c>
      <c r="BB10" s="138" t="n">
        <f aca="false">Pipeline!$Q$17*Pipeline!$D$17*MIN(1,MAX(0,(52-Pipeline!$E$17+1)/MAX(Pipeline!$F$17,1)))</f>
        <v>234.9</v>
      </c>
      <c r="BC10" s="138" t="n">
        <f aca="false">Pipeline!$Q$17*Pipeline!$D$17*MIN(1,MAX(0,(53-Pipeline!$E$17+1)/MAX(Pipeline!$F$17,1)))</f>
        <v>234.9</v>
      </c>
      <c r="BD10" s="138" t="n">
        <f aca="false">Pipeline!$Q$17*Pipeline!$D$17*MIN(1,MAX(0,(54-Pipeline!$E$17+1)/MAX(Pipeline!$F$17,1)))</f>
        <v>234.9</v>
      </c>
      <c r="BE10" s="138" t="n">
        <f aca="false">Pipeline!$Q$17*Pipeline!$D$17*MIN(1,MAX(0,(55-Pipeline!$E$17+1)/MAX(Pipeline!$F$17,1)))</f>
        <v>234.9</v>
      </c>
      <c r="BF10" s="138" t="n">
        <f aca="false">Pipeline!$Q$17*Pipeline!$D$17*MIN(1,MAX(0,(56-Pipeline!$E$17+1)/MAX(Pipeline!$F$17,1)))</f>
        <v>234.9</v>
      </c>
      <c r="BG10" s="138" t="n">
        <f aca="false">Pipeline!$Q$17*Pipeline!$D$17*MIN(1,MAX(0,(57-Pipeline!$E$17+1)/MAX(Pipeline!$F$17,1)))</f>
        <v>234.9</v>
      </c>
      <c r="BH10" s="138" t="n">
        <f aca="false">Pipeline!$Q$17*Pipeline!$D$17*MIN(1,MAX(0,(58-Pipeline!$E$17+1)/MAX(Pipeline!$F$17,1)))</f>
        <v>234.9</v>
      </c>
      <c r="BI10" s="138" t="n">
        <f aca="false">Pipeline!$Q$17*Pipeline!$D$17*MIN(1,MAX(0,(59-Pipeline!$E$17+1)/MAX(Pipeline!$F$17,1)))</f>
        <v>234.9</v>
      </c>
      <c r="BJ10" s="138" t="n">
        <f aca="false">Pipeline!$Q$17*Pipeline!$D$17*MIN(1,MAX(0,(60-Pipeline!$E$17+1)/MAX(Pipeline!$F$17,1)))</f>
        <v>234.9</v>
      </c>
      <c r="BK10" s="138" t="n">
        <f aca="false">Pipeline!$Q$17*Pipeline!$D$17*MIN(1,MAX(0,(61-Pipeline!$E$17+1)/MAX(Pipeline!$F$17,1)))</f>
        <v>234.9</v>
      </c>
      <c r="BL10" s="138" t="n">
        <f aca="false">Pipeline!$Q$17*Pipeline!$D$17*MIN(1,MAX(0,(62-Pipeline!$E$17+1)/MAX(Pipeline!$F$17,1)))</f>
        <v>234.9</v>
      </c>
      <c r="BM10" s="138" t="n">
        <f aca="false">Pipeline!$Q$17*Pipeline!$D$17*MIN(1,MAX(0,(63-Pipeline!$E$17+1)/MAX(Pipeline!$F$17,1)))</f>
        <v>234.9</v>
      </c>
      <c r="BN10" s="138" t="n">
        <f aca="false">Pipeline!$Q$17*Pipeline!$D$17*MIN(1,MAX(0,(64-Pipeline!$E$17+1)/MAX(Pipeline!$F$17,1)))</f>
        <v>234.9</v>
      </c>
      <c r="BO10" s="138" t="n">
        <f aca="false">Pipeline!$Q$17*Pipeline!$D$17*MIN(1,MAX(0,(65-Pipeline!$E$17+1)/MAX(Pipeline!$F$17,1)))</f>
        <v>234.9</v>
      </c>
      <c r="BP10" s="138" t="n">
        <f aca="false">Pipeline!$Q$17*Pipeline!$D$17*MIN(1,MAX(0,(66-Pipeline!$E$17+1)/MAX(Pipeline!$F$17,1)))</f>
        <v>234.9</v>
      </c>
      <c r="BQ10" s="138" t="n">
        <f aca="false">Pipeline!$Q$17*Pipeline!$D$17*MIN(1,MAX(0,(67-Pipeline!$E$17+1)/MAX(Pipeline!$F$17,1)))</f>
        <v>234.9</v>
      </c>
      <c r="BR10" s="138" t="n">
        <f aca="false">Pipeline!$Q$17*Pipeline!$D$17*MIN(1,MAX(0,(68-Pipeline!$E$17+1)/MAX(Pipeline!$F$17,1)))</f>
        <v>234.9</v>
      </c>
      <c r="BS10" s="138" t="n">
        <f aca="false">Pipeline!$Q$17*Pipeline!$D$17*MIN(1,MAX(0,(69-Pipeline!$E$17+1)/MAX(Pipeline!$F$17,1)))</f>
        <v>234.9</v>
      </c>
      <c r="BT10" s="138" t="n">
        <f aca="false">Pipeline!$Q$17*Pipeline!$D$17*MIN(1,MAX(0,(70-Pipeline!$E$17+1)/MAX(Pipeline!$F$17,1)))</f>
        <v>234.9</v>
      </c>
      <c r="BU10" s="138" t="n">
        <f aca="false">Pipeline!$Q$17*Pipeline!$D$17*MIN(1,MAX(0,(71-Pipeline!$E$17+1)/MAX(Pipeline!$F$17,1)))</f>
        <v>234.9</v>
      </c>
      <c r="BV10" s="138" t="n">
        <f aca="false">Pipeline!$Q$17*Pipeline!$D$17*MIN(1,MAX(0,(72-Pipeline!$E$17+1)/MAX(Pipeline!$F$17,1)))</f>
        <v>234.9</v>
      </c>
      <c r="BW10" s="138" t="n">
        <f aca="false">Pipeline!$Q$17*Pipeline!$D$17*MIN(1,MAX(0,(73-Pipeline!$E$17+1)/MAX(Pipeline!$F$17,1)))</f>
        <v>234.9</v>
      </c>
      <c r="BX10" s="138" t="n">
        <f aca="false">Pipeline!$Q$17*Pipeline!$D$17*MIN(1,MAX(0,(74-Pipeline!$E$17+1)/MAX(Pipeline!$F$17,1)))</f>
        <v>234.9</v>
      </c>
      <c r="BY10" s="138" t="n">
        <f aca="false">Pipeline!$Q$17*Pipeline!$D$17*MIN(1,MAX(0,(75-Pipeline!$E$17+1)/MAX(Pipeline!$F$17,1)))</f>
        <v>234.9</v>
      </c>
      <c r="BZ10" s="138" t="n">
        <f aca="false">Pipeline!$Q$17*Pipeline!$D$17*MIN(1,MAX(0,(76-Pipeline!$E$17+1)/MAX(Pipeline!$F$17,1)))</f>
        <v>234.9</v>
      </c>
      <c r="CA10" s="138" t="n">
        <f aca="false">Pipeline!$Q$17*Pipeline!$D$17*MIN(1,MAX(0,(77-Pipeline!$E$17+1)/MAX(Pipeline!$F$17,1)))</f>
        <v>234.9</v>
      </c>
      <c r="CB10" s="138" t="n">
        <f aca="false">Pipeline!$Q$17*Pipeline!$D$17*MIN(1,MAX(0,(78-Pipeline!$E$17+1)/MAX(Pipeline!$F$17,1)))</f>
        <v>234.9</v>
      </c>
      <c r="CC10" s="138" t="n">
        <f aca="false">Pipeline!$Q$17*Pipeline!$D$17*MIN(1,MAX(0,(79-Pipeline!$E$17+1)/MAX(Pipeline!$F$17,1)))</f>
        <v>234.9</v>
      </c>
      <c r="CD10" s="138" t="n">
        <f aca="false">Pipeline!$Q$17*Pipeline!$D$17*MIN(1,MAX(0,(80-Pipeline!$E$17+1)/MAX(Pipeline!$F$17,1)))</f>
        <v>234.9</v>
      </c>
      <c r="CE10" s="138" t="n">
        <f aca="false">Pipeline!$Q$17*Pipeline!$D$17*MIN(1,MAX(0,(81-Pipeline!$E$17+1)/MAX(Pipeline!$F$17,1)))</f>
        <v>234.9</v>
      </c>
      <c r="CF10" s="138" t="n">
        <f aca="false">Pipeline!$Q$17*Pipeline!$D$17*MIN(1,MAX(0,(82-Pipeline!$E$17+1)/MAX(Pipeline!$F$17,1)))</f>
        <v>234.9</v>
      </c>
      <c r="CG10" s="138" t="n">
        <f aca="false">Pipeline!$Q$17*Pipeline!$D$17*MIN(1,MAX(0,(83-Pipeline!$E$17+1)/MAX(Pipeline!$F$17,1)))</f>
        <v>234.9</v>
      </c>
      <c r="CH10" s="138" t="n">
        <f aca="false">Pipeline!$Q$17*Pipeline!$D$17*MIN(1,MAX(0,(84-Pipeline!$E$17+1)/MAX(Pipeline!$F$17,1)))</f>
        <v>234.9</v>
      </c>
    </row>
    <row r="11" customFormat="false" ht="13.5" hidden="false" customHeight="true" outlineLevel="0" collapsed="false">
      <c r="A11" s="13" t="s">
        <v>694</v>
      </c>
      <c r="C11" s="138" t="n">
        <f aca="false">Pipeline!$Q$18*Pipeline!$D$18*MIN(1,MAX(0,(1-Pipeline!$E$18+1)/MAX(Pipeline!$F$18,1)))</f>
        <v>0</v>
      </c>
      <c r="D11" s="138" t="n">
        <f aca="false">Pipeline!$Q$18*Pipeline!$D$18*MIN(1,MAX(0,(2-Pipeline!$E$18+1)/MAX(Pipeline!$F$18,1)))</f>
        <v>0</v>
      </c>
      <c r="E11" s="138" t="n">
        <f aca="false">Pipeline!$Q$18*Pipeline!$D$18*MIN(1,MAX(0,(3-Pipeline!$E$18+1)/MAX(Pipeline!$F$18,1)))</f>
        <v>1201.6875</v>
      </c>
      <c r="F11" s="138" t="n">
        <f aca="false">Pipeline!$Q$18*Pipeline!$D$18*MIN(1,MAX(0,(4-Pipeline!$E$18+1)/MAX(Pipeline!$F$18,1)))</f>
        <v>2403.375</v>
      </c>
      <c r="G11" s="138" t="n">
        <f aca="false">Pipeline!$Q$18*Pipeline!$D$18*MIN(1,MAX(0,(5-Pipeline!$E$18+1)/MAX(Pipeline!$F$18,1)))</f>
        <v>3605.0625</v>
      </c>
      <c r="H11" s="138" t="n">
        <f aca="false">Pipeline!$Q$18*Pipeline!$D$18*MIN(1,MAX(0,(6-Pipeline!$E$18+1)/MAX(Pipeline!$F$18,1)))</f>
        <v>4806.75</v>
      </c>
      <c r="I11" s="138" t="n">
        <f aca="false">Pipeline!$Q$18*Pipeline!$D$18*MIN(1,MAX(0,(7-Pipeline!$E$18+1)/MAX(Pipeline!$F$18,1)))</f>
        <v>6008.4375</v>
      </c>
      <c r="J11" s="138" t="n">
        <f aca="false">Pipeline!$Q$18*Pipeline!$D$18*MIN(1,MAX(0,(8-Pipeline!$E$18+1)/MAX(Pipeline!$F$18,1)))</f>
        <v>7210.125</v>
      </c>
      <c r="K11" s="138" t="n">
        <f aca="false">Pipeline!$Q$18*Pipeline!$D$18*MIN(1,MAX(0,(9-Pipeline!$E$18+1)/MAX(Pipeline!$F$18,1)))</f>
        <v>8411.8125</v>
      </c>
      <c r="L11" s="138" t="n">
        <f aca="false">Pipeline!$Q$18*Pipeline!$D$18*MIN(1,MAX(0,(10-Pipeline!$E$18+1)/MAX(Pipeline!$F$18,1)))</f>
        <v>9613.5</v>
      </c>
      <c r="M11" s="138" t="n">
        <f aca="false">Pipeline!$Q$18*Pipeline!$D$18*MIN(1,MAX(0,(11-Pipeline!$E$18+1)/MAX(Pipeline!$F$18,1)))</f>
        <v>9613.5</v>
      </c>
      <c r="N11" s="138" t="n">
        <f aca="false">Pipeline!$Q$18*Pipeline!$D$18*MIN(1,MAX(0,(12-Pipeline!$E$18+1)/MAX(Pipeline!$F$18,1)))</f>
        <v>9613.5</v>
      </c>
      <c r="O11" s="138" t="n">
        <f aca="false">Pipeline!$Q$18*Pipeline!$D$18*MIN(1,MAX(0,(13-Pipeline!$E$18+1)/MAX(Pipeline!$F$18,1)))</f>
        <v>9613.5</v>
      </c>
      <c r="P11" s="138" t="n">
        <f aca="false">Pipeline!$Q$18*Pipeline!$D$18*MIN(1,MAX(0,(14-Pipeline!$E$18+1)/MAX(Pipeline!$F$18,1)))</f>
        <v>9613.5</v>
      </c>
      <c r="Q11" s="138" t="n">
        <f aca="false">Pipeline!$Q$18*Pipeline!$D$18*MIN(1,MAX(0,(15-Pipeline!$E$18+1)/MAX(Pipeline!$F$18,1)))</f>
        <v>9613.5</v>
      </c>
      <c r="R11" s="138" t="n">
        <f aca="false">Pipeline!$Q$18*Pipeline!$D$18*MIN(1,MAX(0,(16-Pipeline!$E$18+1)/MAX(Pipeline!$F$18,1)))</f>
        <v>9613.5</v>
      </c>
      <c r="S11" s="138" t="n">
        <f aca="false">Pipeline!$Q$18*Pipeline!$D$18*MIN(1,MAX(0,(17-Pipeline!$E$18+1)/MAX(Pipeline!$F$18,1)))</f>
        <v>9613.5</v>
      </c>
      <c r="T11" s="138" t="n">
        <f aca="false">Pipeline!$Q$18*Pipeline!$D$18*MIN(1,MAX(0,(18-Pipeline!$E$18+1)/MAX(Pipeline!$F$18,1)))</f>
        <v>9613.5</v>
      </c>
      <c r="U11" s="138" t="n">
        <f aca="false">Pipeline!$Q$18*Pipeline!$D$18*MIN(1,MAX(0,(19-Pipeline!$E$18+1)/MAX(Pipeline!$F$18,1)))</f>
        <v>9613.5</v>
      </c>
      <c r="V11" s="138" t="n">
        <f aca="false">Pipeline!$Q$18*Pipeline!$D$18*MIN(1,MAX(0,(20-Pipeline!$E$18+1)/MAX(Pipeline!$F$18,1)))</f>
        <v>9613.5</v>
      </c>
      <c r="W11" s="138" t="n">
        <f aca="false">Pipeline!$Q$18*Pipeline!$D$18*MIN(1,MAX(0,(21-Pipeline!$E$18+1)/MAX(Pipeline!$F$18,1)))</f>
        <v>9613.5</v>
      </c>
      <c r="X11" s="138" t="n">
        <f aca="false">Pipeline!$Q$18*Pipeline!$D$18*MIN(1,MAX(0,(22-Pipeline!$E$18+1)/MAX(Pipeline!$F$18,1)))</f>
        <v>9613.5</v>
      </c>
      <c r="Y11" s="138" t="n">
        <f aca="false">Pipeline!$Q$18*Pipeline!$D$18*MIN(1,MAX(0,(23-Pipeline!$E$18+1)/MAX(Pipeline!$F$18,1)))</f>
        <v>9613.5</v>
      </c>
      <c r="Z11" s="138" t="n">
        <f aca="false">Pipeline!$Q$18*Pipeline!$D$18*MIN(1,MAX(0,(24-Pipeline!$E$18+1)/MAX(Pipeline!$F$18,1)))</f>
        <v>9613.5</v>
      </c>
      <c r="AA11" s="138" t="n">
        <f aca="false">Pipeline!$Q$18*Pipeline!$D$18*MIN(1,MAX(0,(25-Pipeline!$E$18+1)/MAX(Pipeline!$F$18,1)))</f>
        <v>9613.5</v>
      </c>
      <c r="AB11" s="138" t="n">
        <f aca="false">Pipeline!$Q$18*Pipeline!$D$18*MIN(1,MAX(0,(26-Pipeline!$E$18+1)/MAX(Pipeline!$F$18,1)))</f>
        <v>9613.5</v>
      </c>
      <c r="AC11" s="138" t="n">
        <f aca="false">Pipeline!$Q$18*Pipeline!$D$18*MIN(1,MAX(0,(27-Pipeline!$E$18+1)/MAX(Pipeline!$F$18,1)))</f>
        <v>9613.5</v>
      </c>
      <c r="AD11" s="138" t="n">
        <f aca="false">Pipeline!$Q$18*Pipeline!$D$18*MIN(1,MAX(0,(28-Pipeline!$E$18+1)/MAX(Pipeline!$F$18,1)))</f>
        <v>9613.5</v>
      </c>
      <c r="AE11" s="138" t="n">
        <f aca="false">Pipeline!$Q$18*Pipeline!$D$18*MIN(1,MAX(0,(29-Pipeline!$E$18+1)/MAX(Pipeline!$F$18,1)))</f>
        <v>9613.5</v>
      </c>
      <c r="AF11" s="138" t="n">
        <f aca="false">Pipeline!$Q$18*Pipeline!$D$18*MIN(1,MAX(0,(30-Pipeline!$E$18+1)/MAX(Pipeline!$F$18,1)))</f>
        <v>9613.5</v>
      </c>
      <c r="AG11" s="138" t="n">
        <f aca="false">Pipeline!$Q$18*Pipeline!$D$18*MIN(1,MAX(0,(31-Pipeline!$E$18+1)/MAX(Pipeline!$F$18,1)))</f>
        <v>9613.5</v>
      </c>
      <c r="AH11" s="138" t="n">
        <f aca="false">Pipeline!$Q$18*Pipeline!$D$18*MIN(1,MAX(0,(32-Pipeline!$E$18+1)/MAX(Pipeline!$F$18,1)))</f>
        <v>9613.5</v>
      </c>
      <c r="AI11" s="138" t="n">
        <f aca="false">Pipeline!$Q$18*Pipeline!$D$18*MIN(1,MAX(0,(33-Pipeline!$E$18+1)/MAX(Pipeline!$F$18,1)))</f>
        <v>9613.5</v>
      </c>
      <c r="AJ11" s="138" t="n">
        <f aca="false">Pipeline!$Q$18*Pipeline!$D$18*MIN(1,MAX(0,(34-Pipeline!$E$18+1)/MAX(Pipeline!$F$18,1)))</f>
        <v>9613.5</v>
      </c>
      <c r="AK11" s="138" t="n">
        <f aca="false">Pipeline!$Q$18*Pipeline!$D$18*MIN(1,MAX(0,(35-Pipeline!$E$18+1)/MAX(Pipeline!$F$18,1)))</f>
        <v>9613.5</v>
      </c>
      <c r="AL11" s="138" t="n">
        <f aca="false">Pipeline!$Q$18*Pipeline!$D$18*MIN(1,MAX(0,(36-Pipeline!$E$18+1)/MAX(Pipeline!$F$18,1)))</f>
        <v>9613.5</v>
      </c>
      <c r="AM11" s="138" t="n">
        <f aca="false">Pipeline!$Q$18*Pipeline!$D$18*MIN(1,MAX(0,(37-Pipeline!$E$18+1)/MAX(Pipeline!$F$18,1)))</f>
        <v>9613.5</v>
      </c>
      <c r="AN11" s="138" t="n">
        <f aca="false">Pipeline!$Q$18*Pipeline!$D$18*MIN(1,MAX(0,(38-Pipeline!$E$18+1)/MAX(Pipeline!$F$18,1)))</f>
        <v>9613.5</v>
      </c>
      <c r="AO11" s="138" t="n">
        <f aca="false">Pipeline!$Q$18*Pipeline!$D$18*MIN(1,MAX(0,(39-Pipeline!$E$18+1)/MAX(Pipeline!$F$18,1)))</f>
        <v>9613.5</v>
      </c>
      <c r="AP11" s="138" t="n">
        <f aca="false">Pipeline!$Q$18*Pipeline!$D$18*MIN(1,MAX(0,(40-Pipeline!$E$18+1)/MAX(Pipeline!$F$18,1)))</f>
        <v>9613.5</v>
      </c>
      <c r="AQ11" s="138" t="n">
        <f aca="false">Pipeline!$Q$18*Pipeline!$D$18*MIN(1,MAX(0,(41-Pipeline!$E$18+1)/MAX(Pipeline!$F$18,1)))</f>
        <v>9613.5</v>
      </c>
      <c r="AR11" s="138" t="n">
        <f aca="false">Pipeline!$Q$18*Pipeline!$D$18*MIN(1,MAX(0,(42-Pipeline!$E$18+1)/MAX(Pipeline!$F$18,1)))</f>
        <v>9613.5</v>
      </c>
      <c r="AS11" s="138" t="n">
        <f aca="false">Pipeline!$Q$18*Pipeline!$D$18*MIN(1,MAX(0,(43-Pipeline!$E$18+1)/MAX(Pipeline!$F$18,1)))</f>
        <v>9613.5</v>
      </c>
      <c r="AT11" s="138" t="n">
        <f aca="false">Pipeline!$Q$18*Pipeline!$D$18*MIN(1,MAX(0,(44-Pipeline!$E$18+1)/MAX(Pipeline!$F$18,1)))</f>
        <v>9613.5</v>
      </c>
      <c r="AU11" s="138" t="n">
        <f aca="false">Pipeline!$Q$18*Pipeline!$D$18*MIN(1,MAX(0,(45-Pipeline!$E$18+1)/MAX(Pipeline!$F$18,1)))</f>
        <v>9613.5</v>
      </c>
      <c r="AV11" s="138" t="n">
        <f aca="false">Pipeline!$Q$18*Pipeline!$D$18*MIN(1,MAX(0,(46-Pipeline!$E$18+1)/MAX(Pipeline!$F$18,1)))</f>
        <v>9613.5</v>
      </c>
      <c r="AW11" s="138" t="n">
        <f aca="false">Pipeline!$Q$18*Pipeline!$D$18*MIN(1,MAX(0,(47-Pipeline!$E$18+1)/MAX(Pipeline!$F$18,1)))</f>
        <v>9613.5</v>
      </c>
      <c r="AX11" s="138" t="n">
        <f aca="false">Pipeline!$Q$18*Pipeline!$D$18*MIN(1,MAX(0,(48-Pipeline!$E$18+1)/MAX(Pipeline!$F$18,1)))</f>
        <v>9613.5</v>
      </c>
      <c r="AY11" s="138" t="n">
        <f aca="false">Pipeline!$Q$18*Pipeline!$D$18*MIN(1,MAX(0,(49-Pipeline!$E$18+1)/MAX(Pipeline!$F$18,1)))</f>
        <v>9613.5</v>
      </c>
      <c r="AZ11" s="138" t="n">
        <f aca="false">Pipeline!$Q$18*Pipeline!$D$18*MIN(1,MAX(0,(50-Pipeline!$E$18+1)/MAX(Pipeline!$F$18,1)))</f>
        <v>9613.5</v>
      </c>
      <c r="BA11" s="138" t="n">
        <f aca="false">Pipeline!$Q$18*Pipeline!$D$18*MIN(1,MAX(0,(51-Pipeline!$E$18+1)/MAX(Pipeline!$F$18,1)))</f>
        <v>9613.5</v>
      </c>
      <c r="BB11" s="138" t="n">
        <f aca="false">Pipeline!$Q$18*Pipeline!$D$18*MIN(1,MAX(0,(52-Pipeline!$E$18+1)/MAX(Pipeline!$F$18,1)))</f>
        <v>9613.5</v>
      </c>
      <c r="BC11" s="138" t="n">
        <f aca="false">Pipeline!$Q$18*Pipeline!$D$18*MIN(1,MAX(0,(53-Pipeline!$E$18+1)/MAX(Pipeline!$F$18,1)))</f>
        <v>9613.5</v>
      </c>
      <c r="BD11" s="138" t="n">
        <f aca="false">Pipeline!$Q$18*Pipeline!$D$18*MIN(1,MAX(0,(54-Pipeline!$E$18+1)/MAX(Pipeline!$F$18,1)))</f>
        <v>9613.5</v>
      </c>
      <c r="BE11" s="138" t="n">
        <f aca="false">Pipeline!$Q$18*Pipeline!$D$18*MIN(1,MAX(0,(55-Pipeline!$E$18+1)/MAX(Pipeline!$F$18,1)))</f>
        <v>9613.5</v>
      </c>
      <c r="BF11" s="138" t="n">
        <f aca="false">Pipeline!$Q$18*Pipeline!$D$18*MIN(1,MAX(0,(56-Pipeline!$E$18+1)/MAX(Pipeline!$F$18,1)))</f>
        <v>9613.5</v>
      </c>
      <c r="BG11" s="138" t="n">
        <f aca="false">Pipeline!$Q$18*Pipeline!$D$18*MIN(1,MAX(0,(57-Pipeline!$E$18+1)/MAX(Pipeline!$F$18,1)))</f>
        <v>9613.5</v>
      </c>
      <c r="BH11" s="138" t="n">
        <f aca="false">Pipeline!$Q$18*Pipeline!$D$18*MIN(1,MAX(0,(58-Pipeline!$E$18+1)/MAX(Pipeline!$F$18,1)))</f>
        <v>9613.5</v>
      </c>
      <c r="BI11" s="138" t="n">
        <f aca="false">Pipeline!$Q$18*Pipeline!$D$18*MIN(1,MAX(0,(59-Pipeline!$E$18+1)/MAX(Pipeline!$F$18,1)))</f>
        <v>9613.5</v>
      </c>
      <c r="BJ11" s="138" t="n">
        <f aca="false">Pipeline!$Q$18*Pipeline!$D$18*MIN(1,MAX(0,(60-Pipeline!$E$18+1)/MAX(Pipeline!$F$18,1)))</f>
        <v>9613.5</v>
      </c>
      <c r="BK11" s="138" t="n">
        <f aca="false">Pipeline!$Q$18*Pipeline!$D$18*MIN(1,MAX(0,(61-Pipeline!$E$18+1)/MAX(Pipeline!$F$18,1)))</f>
        <v>9613.5</v>
      </c>
      <c r="BL11" s="138" t="n">
        <f aca="false">Pipeline!$Q$18*Pipeline!$D$18*MIN(1,MAX(0,(62-Pipeline!$E$18+1)/MAX(Pipeline!$F$18,1)))</f>
        <v>9613.5</v>
      </c>
      <c r="BM11" s="138" t="n">
        <f aca="false">Pipeline!$Q$18*Pipeline!$D$18*MIN(1,MAX(0,(63-Pipeline!$E$18+1)/MAX(Pipeline!$F$18,1)))</f>
        <v>9613.5</v>
      </c>
      <c r="BN11" s="138" t="n">
        <f aca="false">Pipeline!$Q$18*Pipeline!$D$18*MIN(1,MAX(0,(64-Pipeline!$E$18+1)/MAX(Pipeline!$F$18,1)))</f>
        <v>9613.5</v>
      </c>
      <c r="BO11" s="138" t="n">
        <f aca="false">Pipeline!$Q$18*Pipeline!$D$18*MIN(1,MAX(0,(65-Pipeline!$E$18+1)/MAX(Pipeline!$F$18,1)))</f>
        <v>9613.5</v>
      </c>
      <c r="BP11" s="138" t="n">
        <f aca="false">Pipeline!$Q$18*Pipeline!$D$18*MIN(1,MAX(0,(66-Pipeline!$E$18+1)/MAX(Pipeline!$F$18,1)))</f>
        <v>9613.5</v>
      </c>
      <c r="BQ11" s="138" t="n">
        <f aca="false">Pipeline!$Q$18*Pipeline!$D$18*MIN(1,MAX(0,(67-Pipeline!$E$18+1)/MAX(Pipeline!$F$18,1)))</f>
        <v>9613.5</v>
      </c>
      <c r="BR11" s="138" t="n">
        <f aca="false">Pipeline!$Q$18*Pipeline!$D$18*MIN(1,MAX(0,(68-Pipeline!$E$18+1)/MAX(Pipeline!$F$18,1)))</f>
        <v>9613.5</v>
      </c>
      <c r="BS11" s="138" t="n">
        <f aca="false">Pipeline!$Q$18*Pipeline!$D$18*MIN(1,MAX(0,(69-Pipeline!$E$18+1)/MAX(Pipeline!$F$18,1)))</f>
        <v>9613.5</v>
      </c>
      <c r="BT11" s="138" t="n">
        <f aca="false">Pipeline!$Q$18*Pipeline!$D$18*MIN(1,MAX(0,(70-Pipeline!$E$18+1)/MAX(Pipeline!$F$18,1)))</f>
        <v>9613.5</v>
      </c>
      <c r="BU11" s="138" t="n">
        <f aca="false">Pipeline!$Q$18*Pipeline!$D$18*MIN(1,MAX(0,(71-Pipeline!$E$18+1)/MAX(Pipeline!$F$18,1)))</f>
        <v>9613.5</v>
      </c>
      <c r="BV11" s="138" t="n">
        <f aca="false">Pipeline!$Q$18*Pipeline!$D$18*MIN(1,MAX(0,(72-Pipeline!$E$18+1)/MAX(Pipeline!$F$18,1)))</f>
        <v>9613.5</v>
      </c>
      <c r="BW11" s="138" t="n">
        <f aca="false">Pipeline!$Q$18*Pipeline!$D$18*MIN(1,MAX(0,(73-Pipeline!$E$18+1)/MAX(Pipeline!$F$18,1)))</f>
        <v>9613.5</v>
      </c>
      <c r="BX11" s="138" t="n">
        <f aca="false">Pipeline!$Q$18*Pipeline!$D$18*MIN(1,MAX(0,(74-Pipeline!$E$18+1)/MAX(Pipeline!$F$18,1)))</f>
        <v>9613.5</v>
      </c>
      <c r="BY11" s="138" t="n">
        <f aca="false">Pipeline!$Q$18*Pipeline!$D$18*MIN(1,MAX(0,(75-Pipeline!$E$18+1)/MAX(Pipeline!$F$18,1)))</f>
        <v>9613.5</v>
      </c>
      <c r="BZ11" s="138" t="n">
        <f aca="false">Pipeline!$Q$18*Pipeline!$D$18*MIN(1,MAX(0,(76-Pipeline!$E$18+1)/MAX(Pipeline!$F$18,1)))</f>
        <v>9613.5</v>
      </c>
      <c r="CA11" s="138" t="n">
        <f aca="false">Pipeline!$Q$18*Pipeline!$D$18*MIN(1,MAX(0,(77-Pipeline!$E$18+1)/MAX(Pipeline!$F$18,1)))</f>
        <v>9613.5</v>
      </c>
      <c r="CB11" s="138" t="n">
        <f aca="false">Pipeline!$Q$18*Pipeline!$D$18*MIN(1,MAX(0,(78-Pipeline!$E$18+1)/MAX(Pipeline!$F$18,1)))</f>
        <v>9613.5</v>
      </c>
      <c r="CC11" s="138" t="n">
        <f aca="false">Pipeline!$Q$18*Pipeline!$D$18*MIN(1,MAX(0,(79-Pipeline!$E$18+1)/MAX(Pipeline!$F$18,1)))</f>
        <v>9613.5</v>
      </c>
      <c r="CD11" s="138" t="n">
        <f aca="false">Pipeline!$Q$18*Pipeline!$D$18*MIN(1,MAX(0,(80-Pipeline!$E$18+1)/MAX(Pipeline!$F$18,1)))</f>
        <v>9613.5</v>
      </c>
      <c r="CE11" s="138" t="n">
        <f aca="false">Pipeline!$Q$18*Pipeline!$D$18*MIN(1,MAX(0,(81-Pipeline!$E$18+1)/MAX(Pipeline!$F$18,1)))</f>
        <v>9613.5</v>
      </c>
      <c r="CF11" s="138" t="n">
        <f aca="false">Pipeline!$Q$18*Pipeline!$D$18*MIN(1,MAX(0,(82-Pipeline!$E$18+1)/MAX(Pipeline!$F$18,1)))</f>
        <v>9613.5</v>
      </c>
      <c r="CG11" s="138" t="n">
        <f aca="false">Pipeline!$Q$18*Pipeline!$D$18*MIN(1,MAX(0,(83-Pipeline!$E$18+1)/MAX(Pipeline!$F$18,1)))</f>
        <v>9613.5</v>
      </c>
      <c r="CH11" s="138" t="n">
        <f aca="false">Pipeline!$Q$18*Pipeline!$D$18*MIN(1,MAX(0,(84-Pipeline!$E$18+1)/MAX(Pipeline!$F$18,1)))</f>
        <v>9613.5</v>
      </c>
    </row>
    <row r="12" customFormat="false" ht="13.5" hidden="false" customHeight="true" outlineLevel="0" collapsed="false">
      <c r="A12" s="13" t="s">
        <v>695</v>
      </c>
      <c r="C12" s="138" t="n">
        <f aca="false">Pipeline!$Q$19*Pipeline!$D$19*MIN(1,MAX(0,(1-Pipeline!$E$19+1)/MAX(Pipeline!$F$19,1)))</f>
        <v>0</v>
      </c>
      <c r="D12" s="138" t="n">
        <f aca="false">Pipeline!$Q$19*Pipeline!$D$19*MIN(1,MAX(0,(2-Pipeline!$E$19+1)/MAX(Pipeline!$F$19,1)))</f>
        <v>0</v>
      </c>
      <c r="E12" s="138" t="n">
        <f aca="false">Pipeline!$Q$19*Pipeline!$D$19*MIN(1,MAX(0,(3-Pipeline!$E$19+1)/MAX(Pipeline!$F$19,1)))</f>
        <v>0</v>
      </c>
      <c r="F12" s="138" t="n">
        <f aca="false">Pipeline!$Q$19*Pipeline!$D$19*MIN(1,MAX(0,(4-Pipeline!$E$19+1)/MAX(Pipeline!$F$19,1)))</f>
        <v>0</v>
      </c>
      <c r="G12" s="138" t="n">
        <f aca="false">Pipeline!$Q$19*Pipeline!$D$19*MIN(1,MAX(0,(5-Pipeline!$E$19+1)/MAX(Pipeline!$F$19,1)))</f>
        <v>0</v>
      </c>
      <c r="H12" s="138" t="n">
        <f aca="false">Pipeline!$Q$19*Pipeline!$D$19*MIN(1,MAX(0,(6-Pipeline!$E$19+1)/MAX(Pipeline!$F$19,1)))</f>
        <v>717.75</v>
      </c>
      <c r="I12" s="138" t="n">
        <f aca="false">Pipeline!$Q$19*Pipeline!$D$19*MIN(1,MAX(0,(7-Pipeline!$E$19+1)/MAX(Pipeline!$F$19,1)))</f>
        <v>1435.5</v>
      </c>
      <c r="J12" s="138" t="n">
        <f aca="false">Pipeline!$Q$19*Pipeline!$D$19*MIN(1,MAX(0,(8-Pipeline!$E$19+1)/MAX(Pipeline!$F$19,1)))</f>
        <v>2153.25</v>
      </c>
      <c r="K12" s="138" t="n">
        <f aca="false">Pipeline!$Q$19*Pipeline!$D$19*MIN(1,MAX(0,(9-Pipeline!$E$19+1)/MAX(Pipeline!$F$19,1)))</f>
        <v>2871</v>
      </c>
      <c r="L12" s="138" t="n">
        <f aca="false">Pipeline!$Q$19*Pipeline!$D$19*MIN(1,MAX(0,(10-Pipeline!$E$19+1)/MAX(Pipeline!$F$19,1)))</f>
        <v>3588.75</v>
      </c>
      <c r="M12" s="138" t="n">
        <f aca="false">Pipeline!$Q$19*Pipeline!$D$19*MIN(1,MAX(0,(11-Pipeline!$E$19+1)/MAX(Pipeline!$F$19,1)))</f>
        <v>4306.5</v>
      </c>
      <c r="N12" s="138" t="n">
        <f aca="false">Pipeline!$Q$19*Pipeline!$D$19*MIN(1,MAX(0,(12-Pipeline!$E$19+1)/MAX(Pipeline!$F$19,1)))</f>
        <v>5024.25</v>
      </c>
      <c r="O12" s="138" t="n">
        <f aca="false">Pipeline!$Q$19*Pipeline!$D$19*MIN(1,MAX(0,(13-Pipeline!$E$19+1)/MAX(Pipeline!$F$19,1)))</f>
        <v>5742</v>
      </c>
      <c r="P12" s="138" t="n">
        <f aca="false">Pipeline!$Q$19*Pipeline!$D$19*MIN(1,MAX(0,(14-Pipeline!$E$19+1)/MAX(Pipeline!$F$19,1)))</f>
        <v>5742</v>
      </c>
      <c r="Q12" s="138" t="n">
        <f aca="false">Pipeline!$Q$19*Pipeline!$D$19*MIN(1,MAX(0,(15-Pipeline!$E$19+1)/MAX(Pipeline!$F$19,1)))</f>
        <v>5742</v>
      </c>
      <c r="R12" s="138" t="n">
        <f aca="false">Pipeline!$Q$19*Pipeline!$D$19*MIN(1,MAX(0,(16-Pipeline!$E$19+1)/MAX(Pipeline!$F$19,1)))</f>
        <v>5742</v>
      </c>
      <c r="S12" s="138" t="n">
        <f aca="false">Pipeline!$Q$19*Pipeline!$D$19*MIN(1,MAX(0,(17-Pipeline!$E$19+1)/MAX(Pipeline!$F$19,1)))</f>
        <v>5742</v>
      </c>
      <c r="T12" s="138" t="n">
        <f aca="false">Pipeline!$Q$19*Pipeline!$D$19*MIN(1,MAX(0,(18-Pipeline!$E$19+1)/MAX(Pipeline!$F$19,1)))</f>
        <v>5742</v>
      </c>
      <c r="U12" s="138" t="n">
        <f aca="false">Pipeline!$Q$19*Pipeline!$D$19*MIN(1,MAX(0,(19-Pipeline!$E$19+1)/MAX(Pipeline!$F$19,1)))</f>
        <v>5742</v>
      </c>
      <c r="V12" s="138" t="n">
        <f aca="false">Pipeline!$Q$19*Pipeline!$D$19*MIN(1,MAX(0,(20-Pipeline!$E$19+1)/MAX(Pipeline!$F$19,1)))</f>
        <v>5742</v>
      </c>
      <c r="W12" s="138" t="n">
        <f aca="false">Pipeline!$Q$19*Pipeline!$D$19*MIN(1,MAX(0,(21-Pipeline!$E$19+1)/MAX(Pipeline!$F$19,1)))</f>
        <v>5742</v>
      </c>
      <c r="X12" s="138" t="n">
        <f aca="false">Pipeline!$Q$19*Pipeline!$D$19*MIN(1,MAX(0,(22-Pipeline!$E$19+1)/MAX(Pipeline!$F$19,1)))</f>
        <v>5742</v>
      </c>
      <c r="Y12" s="138" t="n">
        <f aca="false">Pipeline!$Q$19*Pipeline!$D$19*MIN(1,MAX(0,(23-Pipeline!$E$19+1)/MAX(Pipeline!$F$19,1)))</f>
        <v>5742</v>
      </c>
      <c r="Z12" s="138" t="n">
        <f aca="false">Pipeline!$Q$19*Pipeline!$D$19*MIN(1,MAX(0,(24-Pipeline!$E$19+1)/MAX(Pipeline!$F$19,1)))</f>
        <v>5742</v>
      </c>
      <c r="AA12" s="138" t="n">
        <f aca="false">Pipeline!$Q$19*Pipeline!$D$19*MIN(1,MAX(0,(25-Pipeline!$E$19+1)/MAX(Pipeline!$F$19,1)))</f>
        <v>5742</v>
      </c>
      <c r="AB12" s="138" t="n">
        <f aca="false">Pipeline!$Q$19*Pipeline!$D$19*MIN(1,MAX(0,(26-Pipeline!$E$19+1)/MAX(Pipeline!$F$19,1)))</f>
        <v>5742</v>
      </c>
      <c r="AC12" s="138" t="n">
        <f aca="false">Pipeline!$Q$19*Pipeline!$D$19*MIN(1,MAX(0,(27-Pipeline!$E$19+1)/MAX(Pipeline!$F$19,1)))</f>
        <v>5742</v>
      </c>
      <c r="AD12" s="138" t="n">
        <f aca="false">Pipeline!$Q$19*Pipeline!$D$19*MIN(1,MAX(0,(28-Pipeline!$E$19+1)/MAX(Pipeline!$F$19,1)))</f>
        <v>5742</v>
      </c>
      <c r="AE12" s="138" t="n">
        <f aca="false">Pipeline!$Q$19*Pipeline!$D$19*MIN(1,MAX(0,(29-Pipeline!$E$19+1)/MAX(Pipeline!$F$19,1)))</f>
        <v>5742</v>
      </c>
      <c r="AF12" s="138" t="n">
        <f aca="false">Pipeline!$Q$19*Pipeline!$D$19*MIN(1,MAX(0,(30-Pipeline!$E$19+1)/MAX(Pipeline!$F$19,1)))</f>
        <v>5742</v>
      </c>
      <c r="AG12" s="138" t="n">
        <f aca="false">Pipeline!$Q$19*Pipeline!$D$19*MIN(1,MAX(0,(31-Pipeline!$E$19+1)/MAX(Pipeline!$F$19,1)))</f>
        <v>5742</v>
      </c>
      <c r="AH12" s="138" t="n">
        <f aca="false">Pipeline!$Q$19*Pipeline!$D$19*MIN(1,MAX(0,(32-Pipeline!$E$19+1)/MAX(Pipeline!$F$19,1)))</f>
        <v>5742</v>
      </c>
      <c r="AI12" s="138" t="n">
        <f aca="false">Pipeline!$Q$19*Pipeline!$D$19*MIN(1,MAX(0,(33-Pipeline!$E$19+1)/MAX(Pipeline!$F$19,1)))</f>
        <v>5742</v>
      </c>
      <c r="AJ12" s="138" t="n">
        <f aca="false">Pipeline!$Q$19*Pipeline!$D$19*MIN(1,MAX(0,(34-Pipeline!$E$19+1)/MAX(Pipeline!$F$19,1)))</f>
        <v>5742</v>
      </c>
      <c r="AK12" s="138" t="n">
        <f aca="false">Pipeline!$Q$19*Pipeline!$D$19*MIN(1,MAX(0,(35-Pipeline!$E$19+1)/MAX(Pipeline!$F$19,1)))</f>
        <v>5742</v>
      </c>
      <c r="AL12" s="138" t="n">
        <f aca="false">Pipeline!$Q$19*Pipeline!$D$19*MIN(1,MAX(0,(36-Pipeline!$E$19+1)/MAX(Pipeline!$F$19,1)))</f>
        <v>5742</v>
      </c>
      <c r="AM12" s="138" t="n">
        <f aca="false">Pipeline!$Q$19*Pipeline!$D$19*MIN(1,MAX(0,(37-Pipeline!$E$19+1)/MAX(Pipeline!$F$19,1)))</f>
        <v>5742</v>
      </c>
      <c r="AN12" s="138" t="n">
        <f aca="false">Pipeline!$Q$19*Pipeline!$D$19*MIN(1,MAX(0,(38-Pipeline!$E$19+1)/MAX(Pipeline!$F$19,1)))</f>
        <v>5742</v>
      </c>
      <c r="AO12" s="138" t="n">
        <f aca="false">Pipeline!$Q$19*Pipeline!$D$19*MIN(1,MAX(0,(39-Pipeline!$E$19+1)/MAX(Pipeline!$F$19,1)))</f>
        <v>5742</v>
      </c>
      <c r="AP12" s="138" t="n">
        <f aca="false">Pipeline!$Q$19*Pipeline!$D$19*MIN(1,MAX(0,(40-Pipeline!$E$19+1)/MAX(Pipeline!$F$19,1)))</f>
        <v>5742</v>
      </c>
      <c r="AQ12" s="138" t="n">
        <f aca="false">Pipeline!$Q$19*Pipeline!$D$19*MIN(1,MAX(0,(41-Pipeline!$E$19+1)/MAX(Pipeline!$F$19,1)))</f>
        <v>5742</v>
      </c>
      <c r="AR12" s="138" t="n">
        <f aca="false">Pipeline!$Q$19*Pipeline!$D$19*MIN(1,MAX(0,(42-Pipeline!$E$19+1)/MAX(Pipeline!$F$19,1)))</f>
        <v>5742</v>
      </c>
      <c r="AS12" s="138" t="n">
        <f aca="false">Pipeline!$Q$19*Pipeline!$D$19*MIN(1,MAX(0,(43-Pipeline!$E$19+1)/MAX(Pipeline!$F$19,1)))</f>
        <v>5742</v>
      </c>
      <c r="AT12" s="138" t="n">
        <f aca="false">Pipeline!$Q$19*Pipeline!$D$19*MIN(1,MAX(0,(44-Pipeline!$E$19+1)/MAX(Pipeline!$F$19,1)))</f>
        <v>5742</v>
      </c>
      <c r="AU12" s="138" t="n">
        <f aca="false">Pipeline!$Q$19*Pipeline!$D$19*MIN(1,MAX(0,(45-Pipeline!$E$19+1)/MAX(Pipeline!$F$19,1)))</f>
        <v>5742</v>
      </c>
      <c r="AV12" s="138" t="n">
        <f aca="false">Pipeline!$Q$19*Pipeline!$D$19*MIN(1,MAX(0,(46-Pipeline!$E$19+1)/MAX(Pipeline!$F$19,1)))</f>
        <v>5742</v>
      </c>
      <c r="AW12" s="138" t="n">
        <f aca="false">Pipeline!$Q$19*Pipeline!$D$19*MIN(1,MAX(0,(47-Pipeline!$E$19+1)/MAX(Pipeline!$F$19,1)))</f>
        <v>5742</v>
      </c>
      <c r="AX12" s="138" t="n">
        <f aca="false">Pipeline!$Q$19*Pipeline!$D$19*MIN(1,MAX(0,(48-Pipeline!$E$19+1)/MAX(Pipeline!$F$19,1)))</f>
        <v>5742</v>
      </c>
      <c r="AY12" s="138" t="n">
        <f aca="false">Pipeline!$Q$19*Pipeline!$D$19*MIN(1,MAX(0,(49-Pipeline!$E$19+1)/MAX(Pipeline!$F$19,1)))</f>
        <v>5742</v>
      </c>
      <c r="AZ12" s="138" t="n">
        <f aca="false">Pipeline!$Q$19*Pipeline!$D$19*MIN(1,MAX(0,(50-Pipeline!$E$19+1)/MAX(Pipeline!$F$19,1)))</f>
        <v>5742</v>
      </c>
      <c r="BA12" s="138" t="n">
        <f aca="false">Pipeline!$Q$19*Pipeline!$D$19*MIN(1,MAX(0,(51-Pipeline!$E$19+1)/MAX(Pipeline!$F$19,1)))</f>
        <v>5742</v>
      </c>
      <c r="BB12" s="138" t="n">
        <f aca="false">Pipeline!$Q$19*Pipeline!$D$19*MIN(1,MAX(0,(52-Pipeline!$E$19+1)/MAX(Pipeline!$F$19,1)))</f>
        <v>5742</v>
      </c>
      <c r="BC12" s="138" t="n">
        <f aca="false">Pipeline!$Q$19*Pipeline!$D$19*MIN(1,MAX(0,(53-Pipeline!$E$19+1)/MAX(Pipeline!$F$19,1)))</f>
        <v>5742</v>
      </c>
      <c r="BD12" s="138" t="n">
        <f aca="false">Pipeline!$Q$19*Pipeline!$D$19*MIN(1,MAX(0,(54-Pipeline!$E$19+1)/MAX(Pipeline!$F$19,1)))</f>
        <v>5742</v>
      </c>
      <c r="BE12" s="138" t="n">
        <f aca="false">Pipeline!$Q$19*Pipeline!$D$19*MIN(1,MAX(0,(55-Pipeline!$E$19+1)/MAX(Pipeline!$F$19,1)))</f>
        <v>5742</v>
      </c>
      <c r="BF12" s="138" t="n">
        <f aca="false">Pipeline!$Q$19*Pipeline!$D$19*MIN(1,MAX(0,(56-Pipeline!$E$19+1)/MAX(Pipeline!$F$19,1)))</f>
        <v>5742</v>
      </c>
      <c r="BG12" s="138" t="n">
        <f aca="false">Pipeline!$Q$19*Pipeline!$D$19*MIN(1,MAX(0,(57-Pipeline!$E$19+1)/MAX(Pipeline!$F$19,1)))</f>
        <v>5742</v>
      </c>
      <c r="BH12" s="138" t="n">
        <f aca="false">Pipeline!$Q$19*Pipeline!$D$19*MIN(1,MAX(0,(58-Pipeline!$E$19+1)/MAX(Pipeline!$F$19,1)))</f>
        <v>5742</v>
      </c>
      <c r="BI12" s="138" t="n">
        <f aca="false">Pipeline!$Q$19*Pipeline!$D$19*MIN(1,MAX(0,(59-Pipeline!$E$19+1)/MAX(Pipeline!$F$19,1)))</f>
        <v>5742</v>
      </c>
      <c r="BJ12" s="138" t="n">
        <f aca="false">Pipeline!$Q$19*Pipeline!$D$19*MIN(1,MAX(0,(60-Pipeline!$E$19+1)/MAX(Pipeline!$F$19,1)))</f>
        <v>5742</v>
      </c>
      <c r="BK12" s="138" t="n">
        <f aca="false">Pipeline!$Q$19*Pipeline!$D$19*MIN(1,MAX(0,(61-Pipeline!$E$19+1)/MAX(Pipeline!$F$19,1)))</f>
        <v>5742</v>
      </c>
      <c r="BL12" s="138" t="n">
        <f aca="false">Pipeline!$Q$19*Pipeline!$D$19*MIN(1,MAX(0,(62-Pipeline!$E$19+1)/MAX(Pipeline!$F$19,1)))</f>
        <v>5742</v>
      </c>
      <c r="BM12" s="138" t="n">
        <f aca="false">Pipeline!$Q$19*Pipeline!$D$19*MIN(1,MAX(0,(63-Pipeline!$E$19+1)/MAX(Pipeline!$F$19,1)))</f>
        <v>5742</v>
      </c>
      <c r="BN12" s="138" t="n">
        <f aca="false">Pipeline!$Q$19*Pipeline!$D$19*MIN(1,MAX(0,(64-Pipeline!$E$19+1)/MAX(Pipeline!$F$19,1)))</f>
        <v>5742</v>
      </c>
      <c r="BO12" s="138" t="n">
        <f aca="false">Pipeline!$Q$19*Pipeline!$D$19*MIN(1,MAX(0,(65-Pipeline!$E$19+1)/MAX(Pipeline!$F$19,1)))</f>
        <v>5742</v>
      </c>
      <c r="BP12" s="138" t="n">
        <f aca="false">Pipeline!$Q$19*Pipeline!$D$19*MIN(1,MAX(0,(66-Pipeline!$E$19+1)/MAX(Pipeline!$F$19,1)))</f>
        <v>5742</v>
      </c>
      <c r="BQ12" s="138" t="n">
        <f aca="false">Pipeline!$Q$19*Pipeline!$D$19*MIN(1,MAX(0,(67-Pipeline!$E$19+1)/MAX(Pipeline!$F$19,1)))</f>
        <v>5742</v>
      </c>
      <c r="BR12" s="138" t="n">
        <f aca="false">Pipeline!$Q$19*Pipeline!$D$19*MIN(1,MAX(0,(68-Pipeline!$E$19+1)/MAX(Pipeline!$F$19,1)))</f>
        <v>5742</v>
      </c>
      <c r="BS12" s="138" t="n">
        <f aca="false">Pipeline!$Q$19*Pipeline!$D$19*MIN(1,MAX(0,(69-Pipeline!$E$19+1)/MAX(Pipeline!$F$19,1)))</f>
        <v>5742</v>
      </c>
      <c r="BT12" s="138" t="n">
        <f aca="false">Pipeline!$Q$19*Pipeline!$D$19*MIN(1,MAX(0,(70-Pipeline!$E$19+1)/MAX(Pipeline!$F$19,1)))</f>
        <v>5742</v>
      </c>
      <c r="BU12" s="138" t="n">
        <f aca="false">Pipeline!$Q$19*Pipeline!$D$19*MIN(1,MAX(0,(71-Pipeline!$E$19+1)/MAX(Pipeline!$F$19,1)))</f>
        <v>5742</v>
      </c>
      <c r="BV12" s="138" t="n">
        <f aca="false">Pipeline!$Q$19*Pipeline!$D$19*MIN(1,MAX(0,(72-Pipeline!$E$19+1)/MAX(Pipeline!$F$19,1)))</f>
        <v>5742</v>
      </c>
      <c r="BW12" s="138" t="n">
        <f aca="false">Pipeline!$Q$19*Pipeline!$D$19*MIN(1,MAX(0,(73-Pipeline!$E$19+1)/MAX(Pipeline!$F$19,1)))</f>
        <v>5742</v>
      </c>
      <c r="BX12" s="138" t="n">
        <f aca="false">Pipeline!$Q$19*Pipeline!$D$19*MIN(1,MAX(0,(74-Pipeline!$E$19+1)/MAX(Pipeline!$F$19,1)))</f>
        <v>5742</v>
      </c>
      <c r="BY12" s="138" t="n">
        <f aca="false">Pipeline!$Q$19*Pipeline!$D$19*MIN(1,MAX(0,(75-Pipeline!$E$19+1)/MAX(Pipeline!$F$19,1)))</f>
        <v>5742</v>
      </c>
      <c r="BZ12" s="138" t="n">
        <f aca="false">Pipeline!$Q$19*Pipeline!$D$19*MIN(1,MAX(0,(76-Pipeline!$E$19+1)/MAX(Pipeline!$F$19,1)))</f>
        <v>5742</v>
      </c>
      <c r="CA12" s="138" t="n">
        <f aca="false">Pipeline!$Q$19*Pipeline!$D$19*MIN(1,MAX(0,(77-Pipeline!$E$19+1)/MAX(Pipeline!$F$19,1)))</f>
        <v>5742</v>
      </c>
      <c r="CB12" s="138" t="n">
        <f aca="false">Pipeline!$Q$19*Pipeline!$D$19*MIN(1,MAX(0,(78-Pipeline!$E$19+1)/MAX(Pipeline!$F$19,1)))</f>
        <v>5742</v>
      </c>
      <c r="CC12" s="138" t="n">
        <f aca="false">Pipeline!$Q$19*Pipeline!$D$19*MIN(1,MAX(0,(79-Pipeline!$E$19+1)/MAX(Pipeline!$F$19,1)))</f>
        <v>5742</v>
      </c>
      <c r="CD12" s="138" t="n">
        <f aca="false">Pipeline!$Q$19*Pipeline!$D$19*MIN(1,MAX(0,(80-Pipeline!$E$19+1)/MAX(Pipeline!$F$19,1)))</f>
        <v>5742</v>
      </c>
      <c r="CE12" s="138" t="n">
        <f aca="false">Pipeline!$Q$19*Pipeline!$D$19*MIN(1,MAX(0,(81-Pipeline!$E$19+1)/MAX(Pipeline!$F$19,1)))</f>
        <v>5742</v>
      </c>
      <c r="CF12" s="138" t="n">
        <f aca="false">Pipeline!$Q$19*Pipeline!$D$19*MIN(1,MAX(0,(82-Pipeline!$E$19+1)/MAX(Pipeline!$F$19,1)))</f>
        <v>5742</v>
      </c>
      <c r="CG12" s="138" t="n">
        <f aca="false">Pipeline!$Q$19*Pipeline!$D$19*MIN(1,MAX(0,(83-Pipeline!$E$19+1)/MAX(Pipeline!$F$19,1)))</f>
        <v>5742</v>
      </c>
      <c r="CH12" s="138" t="n">
        <f aca="false">Pipeline!$Q$19*Pipeline!$D$19*MIN(1,MAX(0,(84-Pipeline!$E$19+1)/MAX(Pipeline!$F$19,1)))</f>
        <v>5742</v>
      </c>
    </row>
    <row r="13" customFormat="false" ht="13.5" hidden="false" customHeight="true" outlineLevel="0" collapsed="false">
      <c r="A13" s="13" t="s">
        <v>696</v>
      </c>
      <c r="C13" s="138" t="n">
        <f aca="false">Pipeline!$Q$20*Pipeline!$D$20*MIN(1,MAX(0,(1-Pipeline!$E$20+1)/MAX(Pipeline!$F$20,1)))</f>
        <v>0</v>
      </c>
      <c r="D13" s="138" t="n">
        <f aca="false">Pipeline!$Q$20*Pipeline!$D$20*MIN(1,MAX(0,(2-Pipeline!$E$20+1)/MAX(Pipeline!$F$20,1)))</f>
        <v>0</v>
      </c>
      <c r="E13" s="138" t="n">
        <f aca="false">Pipeline!$Q$20*Pipeline!$D$20*MIN(1,MAX(0,(3-Pipeline!$E$20+1)/MAX(Pipeline!$F$20,1)))</f>
        <v>0</v>
      </c>
      <c r="F13" s="138" t="n">
        <f aca="false">Pipeline!$Q$20*Pipeline!$D$20*MIN(1,MAX(0,(4-Pipeline!$E$20+1)/MAX(Pipeline!$F$20,1)))</f>
        <v>0</v>
      </c>
      <c r="G13" s="138" t="n">
        <f aca="false">Pipeline!$Q$20*Pipeline!$D$20*MIN(1,MAX(0,(5-Pipeline!$E$20+1)/MAX(Pipeline!$F$20,1)))</f>
        <v>0</v>
      </c>
      <c r="H13" s="138" t="n">
        <f aca="false">Pipeline!$Q$20*Pipeline!$D$20*MIN(1,MAX(0,(6-Pipeline!$E$20+1)/MAX(Pipeline!$F$20,1)))</f>
        <v>0</v>
      </c>
      <c r="I13" s="138" t="n">
        <f aca="false">Pipeline!$Q$20*Pipeline!$D$20*MIN(1,MAX(0,(7-Pipeline!$E$20+1)/MAX(Pipeline!$F$20,1)))</f>
        <v>0</v>
      </c>
      <c r="J13" s="138" t="n">
        <f aca="false">Pipeline!$Q$20*Pipeline!$D$20*MIN(1,MAX(0,(8-Pipeline!$E$20+1)/MAX(Pipeline!$F$20,1)))</f>
        <v>0</v>
      </c>
      <c r="K13" s="138" t="n">
        <f aca="false">Pipeline!$Q$20*Pipeline!$D$20*MIN(1,MAX(0,(9-Pipeline!$E$20+1)/MAX(Pipeline!$F$20,1)))</f>
        <v>0</v>
      </c>
      <c r="L13" s="138" t="n">
        <f aca="false">Pipeline!$Q$20*Pipeline!$D$20*MIN(1,MAX(0,(10-Pipeline!$E$20+1)/MAX(Pipeline!$F$20,1)))</f>
        <v>0</v>
      </c>
      <c r="M13" s="138" t="n">
        <f aca="false">Pipeline!$Q$20*Pipeline!$D$20*MIN(1,MAX(0,(11-Pipeline!$E$20+1)/MAX(Pipeline!$F$20,1)))</f>
        <v>0</v>
      </c>
      <c r="N13" s="138" t="n">
        <f aca="false">Pipeline!$Q$20*Pipeline!$D$20*MIN(1,MAX(0,(12-Pipeline!$E$20+1)/MAX(Pipeline!$F$20,1)))</f>
        <v>978.75</v>
      </c>
      <c r="O13" s="138" t="n">
        <f aca="false">Pipeline!$Q$20*Pipeline!$D$20*MIN(1,MAX(0,(13-Pipeline!$E$20+1)/MAX(Pipeline!$F$20,1)))</f>
        <v>1957.5</v>
      </c>
      <c r="P13" s="138" t="n">
        <f aca="false">Pipeline!$Q$20*Pipeline!$D$20*MIN(1,MAX(0,(14-Pipeline!$E$20+1)/MAX(Pipeline!$F$20,1)))</f>
        <v>2936.25</v>
      </c>
      <c r="Q13" s="138" t="n">
        <f aca="false">Pipeline!$Q$20*Pipeline!$D$20*MIN(1,MAX(0,(15-Pipeline!$E$20+1)/MAX(Pipeline!$F$20,1)))</f>
        <v>3915</v>
      </c>
      <c r="R13" s="138" t="n">
        <f aca="false">Pipeline!$Q$20*Pipeline!$D$20*MIN(1,MAX(0,(16-Pipeline!$E$20+1)/MAX(Pipeline!$F$20,1)))</f>
        <v>4893.75</v>
      </c>
      <c r="S13" s="138" t="n">
        <f aca="false">Pipeline!$Q$20*Pipeline!$D$20*MIN(1,MAX(0,(17-Pipeline!$E$20+1)/MAX(Pipeline!$F$20,1)))</f>
        <v>5872.5</v>
      </c>
      <c r="T13" s="138" t="n">
        <f aca="false">Pipeline!$Q$20*Pipeline!$D$20*MIN(1,MAX(0,(18-Pipeline!$E$20+1)/MAX(Pipeline!$F$20,1)))</f>
        <v>6851.25</v>
      </c>
      <c r="U13" s="138" t="n">
        <f aca="false">Pipeline!$Q$20*Pipeline!$D$20*MIN(1,MAX(0,(19-Pipeline!$E$20+1)/MAX(Pipeline!$F$20,1)))</f>
        <v>7830</v>
      </c>
      <c r="V13" s="138" t="n">
        <f aca="false">Pipeline!$Q$20*Pipeline!$D$20*MIN(1,MAX(0,(20-Pipeline!$E$20+1)/MAX(Pipeline!$F$20,1)))</f>
        <v>8808.75</v>
      </c>
      <c r="W13" s="138" t="n">
        <f aca="false">Pipeline!$Q$20*Pipeline!$D$20*MIN(1,MAX(0,(21-Pipeline!$E$20+1)/MAX(Pipeline!$F$20,1)))</f>
        <v>9787.5</v>
      </c>
      <c r="X13" s="138" t="n">
        <f aca="false">Pipeline!$Q$20*Pipeline!$D$20*MIN(1,MAX(0,(22-Pipeline!$E$20+1)/MAX(Pipeline!$F$20,1)))</f>
        <v>9787.5</v>
      </c>
      <c r="Y13" s="138" t="n">
        <f aca="false">Pipeline!$Q$20*Pipeline!$D$20*MIN(1,MAX(0,(23-Pipeline!$E$20+1)/MAX(Pipeline!$F$20,1)))</f>
        <v>9787.5</v>
      </c>
      <c r="Z13" s="138" t="n">
        <f aca="false">Pipeline!$Q$20*Pipeline!$D$20*MIN(1,MAX(0,(24-Pipeline!$E$20+1)/MAX(Pipeline!$F$20,1)))</f>
        <v>9787.5</v>
      </c>
      <c r="AA13" s="138" t="n">
        <f aca="false">Pipeline!$Q$20*Pipeline!$D$20*MIN(1,MAX(0,(25-Pipeline!$E$20+1)/MAX(Pipeline!$F$20,1)))</f>
        <v>9787.5</v>
      </c>
      <c r="AB13" s="138" t="n">
        <f aca="false">Pipeline!$Q$20*Pipeline!$D$20*MIN(1,MAX(0,(26-Pipeline!$E$20+1)/MAX(Pipeline!$F$20,1)))</f>
        <v>9787.5</v>
      </c>
      <c r="AC13" s="138" t="n">
        <f aca="false">Pipeline!$Q$20*Pipeline!$D$20*MIN(1,MAX(0,(27-Pipeline!$E$20+1)/MAX(Pipeline!$F$20,1)))</f>
        <v>9787.5</v>
      </c>
      <c r="AD13" s="138" t="n">
        <f aca="false">Pipeline!$Q$20*Pipeline!$D$20*MIN(1,MAX(0,(28-Pipeline!$E$20+1)/MAX(Pipeline!$F$20,1)))</f>
        <v>9787.5</v>
      </c>
      <c r="AE13" s="138" t="n">
        <f aca="false">Pipeline!$Q$20*Pipeline!$D$20*MIN(1,MAX(0,(29-Pipeline!$E$20+1)/MAX(Pipeline!$F$20,1)))</f>
        <v>9787.5</v>
      </c>
      <c r="AF13" s="138" t="n">
        <f aca="false">Pipeline!$Q$20*Pipeline!$D$20*MIN(1,MAX(0,(30-Pipeline!$E$20+1)/MAX(Pipeline!$F$20,1)))</f>
        <v>9787.5</v>
      </c>
      <c r="AG13" s="138" t="n">
        <f aca="false">Pipeline!$Q$20*Pipeline!$D$20*MIN(1,MAX(0,(31-Pipeline!$E$20+1)/MAX(Pipeline!$F$20,1)))</f>
        <v>9787.5</v>
      </c>
      <c r="AH13" s="138" t="n">
        <f aca="false">Pipeline!$Q$20*Pipeline!$D$20*MIN(1,MAX(0,(32-Pipeline!$E$20+1)/MAX(Pipeline!$F$20,1)))</f>
        <v>9787.5</v>
      </c>
      <c r="AI13" s="138" t="n">
        <f aca="false">Pipeline!$Q$20*Pipeline!$D$20*MIN(1,MAX(0,(33-Pipeline!$E$20+1)/MAX(Pipeline!$F$20,1)))</f>
        <v>9787.5</v>
      </c>
      <c r="AJ13" s="138" t="n">
        <f aca="false">Pipeline!$Q$20*Pipeline!$D$20*MIN(1,MAX(0,(34-Pipeline!$E$20+1)/MAX(Pipeline!$F$20,1)))</f>
        <v>9787.5</v>
      </c>
      <c r="AK13" s="138" t="n">
        <f aca="false">Pipeline!$Q$20*Pipeline!$D$20*MIN(1,MAX(0,(35-Pipeline!$E$20+1)/MAX(Pipeline!$F$20,1)))</f>
        <v>9787.5</v>
      </c>
      <c r="AL13" s="138" t="n">
        <f aca="false">Pipeline!$Q$20*Pipeline!$D$20*MIN(1,MAX(0,(36-Pipeline!$E$20+1)/MAX(Pipeline!$F$20,1)))</f>
        <v>9787.5</v>
      </c>
      <c r="AM13" s="138" t="n">
        <f aca="false">Pipeline!$Q$20*Pipeline!$D$20*MIN(1,MAX(0,(37-Pipeline!$E$20+1)/MAX(Pipeline!$F$20,1)))</f>
        <v>9787.5</v>
      </c>
      <c r="AN13" s="138" t="n">
        <f aca="false">Pipeline!$Q$20*Pipeline!$D$20*MIN(1,MAX(0,(38-Pipeline!$E$20+1)/MAX(Pipeline!$F$20,1)))</f>
        <v>9787.5</v>
      </c>
      <c r="AO13" s="138" t="n">
        <f aca="false">Pipeline!$Q$20*Pipeline!$D$20*MIN(1,MAX(0,(39-Pipeline!$E$20+1)/MAX(Pipeline!$F$20,1)))</f>
        <v>9787.5</v>
      </c>
      <c r="AP13" s="138" t="n">
        <f aca="false">Pipeline!$Q$20*Pipeline!$D$20*MIN(1,MAX(0,(40-Pipeline!$E$20+1)/MAX(Pipeline!$F$20,1)))</f>
        <v>9787.5</v>
      </c>
      <c r="AQ13" s="138" t="n">
        <f aca="false">Pipeline!$Q$20*Pipeline!$D$20*MIN(1,MAX(0,(41-Pipeline!$E$20+1)/MAX(Pipeline!$F$20,1)))</f>
        <v>9787.5</v>
      </c>
      <c r="AR13" s="138" t="n">
        <f aca="false">Pipeline!$Q$20*Pipeline!$D$20*MIN(1,MAX(0,(42-Pipeline!$E$20+1)/MAX(Pipeline!$F$20,1)))</f>
        <v>9787.5</v>
      </c>
      <c r="AS13" s="138" t="n">
        <f aca="false">Pipeline!$Q$20*Pipeline!$D$20*MIN(1,MAX(0,(43-Pipeline!$E$20+1)/MAX(Pipeline!$F$20,1)))</f>
        <v>9787.5</v>
      </c>
      <c r="AT13" s="138" t="n">
        <f aca="false">Pipeline!$Q$20*Pipeline!$D$20*MIN(1,MAX(0,(44-Pipeline!$E$20+1)/MAX(Pipeline!$F$20,1)))</f>
        <v>9787.5</v>
      </c>
      <c r="AU13" s="138" t="n">
        <f aca="false">Pipeline!$Q$20*Pipeline!$D$20*MIN(1,MAX(0,(45-Pipeline!$E$20+1)/MAX(Pipeline!$F$20,1)))</f>
        <v>9787.5</v>
      </c>
      <c r="AV13" s="138" t="n">
        <f aca="false">Pipeline!$Q$20*Pipeline!$D$20*MIN(1,MAX(0,(46-Pipeline!$E$20+1)/MAX(Pipeline!$F$20,1)))</f>
        <v>9787.5</v>
      </c>
      <c r="AW13" s="138" t="n">
        <f aca="false">Pipeline!$Q$20*Pipeline!$D$20*MIN(1,MAX(0,(47-Pipeline!$E$20+1)/MAX(Pipeline!$F$20,1)))</f>
        <v>9787.5</v>
      </c>
      <c r="AX13" s="138" t="n">
        <f aca="false">Pipeline!$Q$20*Pipeline!$D$20*MIN(1,MAX(0,(48-Pipeline!$E$20+1)/MAX(Pipeline!$F$20,1)))</f>
        <v>9787.5</v>
      </c>
      <c r="AY13" s="138" t="n">
        <f aca="false">Pipeline!$Q$20*Pipeline!$D$20*MIN(1,MAX(0,(49-Pipeline!$E$20+1)/MAX(Pipeline!$F$20,1)))</f>
        <v>9787.5</v>
      </c>
      <c r="AZ13" s="138" t="n">
        <f aca="false">Pipeline!$Q$20*Pipeline!$D$20*MIN(1,MAX(0,(50-Pipeline!$E$20+1)/MAX(Pipeline!$F$20,1)))</f>
        <v>9787.5</v>
      </c>
      <c r="BA13" s="138" t="n">
        <f aca="false">Pipeline!$Q$20*Pipeline!$D$20*MIN(1,MAX(0,(51-Pipeline!$E$20+1)/MAX(Pipeline!$F$20,1)))</f>
        <v>9787.5</v>
      </c>
      <c r="BB13" s="138" t="n">
        <f aca="false">Pipeline!$Q$20*Pipeline!$D$20*MIN(1,MAX(0,(52-Pipeline!$E$20+1)/MAX(Pipeline!$F$20,1)))</f>
        <v>9787.5</v>
      </c>
      <c r="BC13" s="138" t="n">
        <f aca="false">Pipeline!$Q$20*Pipeline!$D$20*MIN(1,MAX(0,(53-Pipeline!$E$20+1)/MAX(Pipeline!$F$20,1)))</f>
        <v>9787.5</v>
      </c>
      <c r="BD13" s="138" t="n">
        <f aca="false">Pipeline!$Q$20*Pipeline!$D$20*MIN(1,MAX(0,(54-Pipeline!$E$20+1)/MAX(Pipeline!$F$20,1)))</f>
        <v>9787.5</v>
      </c>
      <c r="BE13" s="138" t="n">
        <f aca="false">Pipeline!$Q$20*Pipeline!$D$20*MIN(1,MAX(0,(55-Pipeline!$E$20+1)/MAX(Pipeline!$F$20,1)))</f>
        <v>9787.5</v>
      </c>
      <c r="BF13" s="138" t="n">
        <f aca="false">Pipeline!$Q$20*Pipeline!$D$20*MIN(1,MAX(0,(56-Pipeline!$E$20+1)/MAX(Pipeline!$F$20,1)))</f>
        <v>9787.5</v>
      </c>
      <c r="BG13" s="138" t="n">
        <f aca="false">Pipeline!$Q$20*Pipeline!$D$20*MIN(1,MAX(0,(57-Pipeline!$E$20+1)/MAX(Pipeline!$F$20,1)))</f>
        <v>9787.5</v>
      </c>
      <c r="BH13" s="138" t="n">
        <f aca="false">Pipeline!$Q$20*Pipeline!$D$20*MIN(1,MAX(0,(58-Pipeline!$E$20+1)/MAX(Pipeline!$F$20,1)))</f>
        <v>9787.5</v>
      </c>
      <c r="BI13" s="138" t="n">
        <f aca="false">Pipeline!$Q$20*Pipeline!$D$20*MIN(1,MAX(0,(59-Pipeline!$E$20+1)/MAX(Pipeline!$F$20,1)))</f>
        <v>9787.5</v>
      </c>
      <c r="BJ13" s="138" t="n">
        <f aca="false">Pipeline!$Q$20*Pipeline!$D$20*MIN(1,MAX(0,(60-Pipeline!$E$20+1)/MAX(Pipeline!$F$20,1)))</f>
        <v>9787.5</v>
      </c>
      <c r="BK13" s="138" t="n">
        <f aca="false">Pipeline!$Q$20*Pipeline!$D$20*MIN(1,MAX(0,(61-Pipeline!$E$20+1)/MAX(Pipeline!$F$20,1)))</f>
        <v>9787.5</v>
      </c>
      <c r="BL13" s="138" t="n">
        <f aca="false">Pipeline!$Q$20*Pipeline!$D$20*MIN(1,MAX(0,(62-Pipeline!$E$20+1)/MAX(Pipeline!$F$20,1)))</f>
        <v>9787.5</v>
      </c>
      <c r="BM13" s="138" t="n">
        <f aca="false">Pipeline!$Q$20*Pipeline!$D$20*MIN(1,MAX(0,(63-Pipeline!$E$20+1)/MAX(Pipeline!$F$20,1)))</f>
        <v>9787.5</v>
      </c>
      <c r="BN13" s="138" t="n">
        <f aca="false">Pipeline!$Q$20*Pipeline!$D$20*MIN(1,MAX(0,(64-Pipeline!$E$20+1)/MAX(Pipeline!$F$20,1)))</f>
        <v>9787.5</v>
      </c>
      <c r="BO13" s="138" t="n">
        <f aca="false">Pipeline!$Q$20*Pipeline!$D$20*MIN(1,MAX(0,(65-Pipeline!$E$20+1)/MAX(Pipeline!$F$20,1)))</f>
        <v>9787.5</v>
      </c>
      <c r="BP13" s="138" t="n">
        <f aca="false">Pipeline!$Q$20*Pipeline!$D$20*MIN(1,MAX(0,(66-Pipeline!$E$20+1)/MAX(Pipeline!$F$20,1)))</f>
        <v>9787.5</v>
      </c>
      <c r="BQ13" s="138" t="n">
        <f aca="false">Pipeline!$Q$20*Pipeline!$D$20*MIN(1,MAX(0,(67-Pipeline!$E$20+1)/MAX(Pipeline!$F$20,1)))</f>
        <v>9787.5</v>
      </c>
      <c r="BR13" s="138" t="n">
        <f aca="false">Pipeline!$Q$20*Pipeline!$D$20*MIN(1,MAX(0,(68-Pipeline!$E$20+1)/MAX(Pipeline!$F$20,1)))</f>
        <v>9787.5</v>
      </c>
      <c r="BS13" s="138" t="n">
        <f aca="false">Pipeline!$Q$20*Pipeline!$D$20*MIN(1,MAX(0,(69-Pipeline!$E$20+1)/MAX(Pipeline!$F$20,1)))</f>
        <v>9787.5</v>
      </c>
      <c r="BT13" s="138" t="n">
        <f aca="false">Pipeline!$Q$20*Pipeline!$D$20*MIN(1,MAX(0,(70-Pipeline!$E$20+1)/MAX(Pipeline!$F$20,1)))</f>
        <v>9787.5</v>
      </c>
      <c r="BU13" s="138" t="n">
        <f aca="false">Pipeline!$Q$20*Pipeline!$D$20*MIN(1,MAX(0,(71-Pipeline!$E$20+1)/MAX(Pipeline!$F$20,1)))</f>
        <v>9787.5</v>
      </c>
      <c r="BV13" s="138" t="n">
        <f aca="false">Pipeline!$Q$20*Pipeline!$D$20*MIN(1,MAX(0,(72-Pipeline!$E$20+1)/MAX(Pipeline!$F$20,1)))</f>
        <v>9787.5</v>
      </c>
      <c r="BW13" s="138" t="n">
        <f aca="false">Pipeline!$Q$20*Pipeline!$D$20*MIN(1,MAX(0,(73-Pipeline!$E$20+1)/MAX(Pipeline!$F$20,1)))</f>
        <v>9787.5</v>
      </c>
      <c r="BX13" s="138" t="n">
        <f aca="false">Pipeline!$Q$20*Pipeline!$D$20*MIN(1,MAX(0,(74-Pipeline!$E$20+1)/MAX(Pipeline!$F$20,1)))</f>
        <v>9787.5</v>
      </c>
      <c r="BY13" s="138" t="n">
        <f aca="false">Pipeline!$Q$20*Pipeline!$D$20*MIN(1,MAX(0,(75-Pipeline!$E$20+1)/MAX(Pipeline!$F$20,1)))</f>
        <v>9787.5</v>
      </c>
      <c r="BZ13" s="138" t="n">
        <f aca="false">Pipeline!$Q$20*Pipeline!$D$20*MIN(1,MAX(0,(76-Pipeline!$E$20+1)/MAX(Pipeline!$F$20,1)))</f>
        <v>9787.5</v>
      </c>
      <c r="CA13" s="138" t="n">
        <f aca="false">Pipeline!$Q$20*Pipeline!$D$20*MIN(1,MAX(0,(77-Pipeline!$E$20+1)/MAX(Pipeline!$F$20,1)))</f>
        <v>9787.5</v>
      </c>
      <c r="CB13" s="138" t="n">
        <f aca="false">Pipeline!$Q$20*Pipeline!$D$20*MIN(1,MAX(0,(78-Pipeline!$E$20+1)/MAX(Pipeline!$F$20,1)))</f>
        <v>9787.5</v>
      </c>
      <c r="CC13" s="138" t="n">
        <f aca="false">Pipeline!$Q$20*Pipeline!$D$20*MIN(1,MAX(0,(79-Pipeline!$E$20+1)/MAX(Pipeline!$F$20,1)))</f>
        <v>9787.5</v>
      </c>
      <c r="CD13" s="138" t="n">
        <f aca="false">Pipeline!$Q$20*Pipeline!$D$20*MIN(1,MAX(0,(80-Pipeline!$E$20+1)/MAX(Pipeline!$F$20,1)))</f>
        <v>9787.5</v>
      </c>
      <c r="CE13" s="138" t="n">
        <f aca="false">Pipeline!$Q$20*Pipeline!$D$20*MIN(1,MAX(0,(81-Pipeline!$E$20+1)/MAX(Pipeline!$F$20,1)))</f>
        <v>9787.5</v>
      </c>
      <c r="CF13" s="138" t="n">
        <f aca="false">Pipeline!$Q$20*Pipeline!$D$20*MIN(1,MAX(0,(82-Pipeline!$E$20+1)/MAX(Pipeline!$F$20,1)))</f>
        <v>9787.5</v>
      </c>
      <c r="CG13" s="138" t="n">
        <f aca="false">Pipeline!$Q$20*Pipeline!$D$20*MIN(1,MAX(0,(83-Pipeline!$E$20+1)/MAX(Pipeline!$F$20,1)))</f>
        <v>9787.5</v>
      </c>
      <c r="CH13" s="138" t="n">
        <f aca="false">Pipeline!$Q$20*Pipeline!$D$20*MIN(1,MAX(0,(84-Pipeline!$E$20+1)/MAX(Pipeline!$F$20,1)))</f>
        <v>9787.5</v>
      </c>
    </row>
    <row r="14" customFormat="false" ht="13.5" hidden="false" customHeight="true" outlineLevel="0" collapsed="false">
      <c r="A14" s="13" t="s">
        <v>697</v>
      </c>
      <c r="C14" s="138" t="n">
        <f aca="false">Pipeline!$Q$21*Pipeline!$D$21*MIN(1,MAX(0,(1-Pipeline!$E$21+1)/MAX(Pipeline!$F$21,1)))</f>
        <v>0</v>
      </c>
      <c r="D14" s="138" t="n">
        <f aca="false">Pipeline!$Q$21*Pipeline!$D$21*MIN(1,MAX(0,(2-Pipeline!$E$21+1)/MAX(Pipeline!$F$21,1)))</f>
        <v>0</v>
      </c>
      <c r="E14" s="138" t="n">
        <f aca="false">Pipeline!$Q$21*Pipeline!$D$21*MIN(1,MAX(0,(3-Pipeline!$E$21+1)/MAX(Pipeline!$F$21,1)))</f>
        <v>0</v>
      </c>
      <c r="F14" s="138" t="n">
        <f aca="false">Pipeline!$Q$21*Pipeline!$D$21*MIN(1,MAX(0,(4-Pipeline!$E$21+1)/MAX(Pipeline!$F$21,1)))</f>
        <v>0</v>
      </c>
      <c r="G14" s="138" t="n">
        <f aca="false">Pipeline!$Q$21*Pipeline!$D$21*MIN(1,MAX(0,(5-Pipeline!$E$21+1)/MAX(Pipeline!$F$21,1)))</f>
        <v>0</v>
      </c>
      <c r="H14" s="138" t="n">
        <f aca="false">Pipeline!$Q$21*Pipeline!$D$21*MIN(1,MAX(0,(6-Pipeline!$E$21+1)/MAX(Pipeline!$F$21,1)))</f>
        <v>0</v>
      </c>
      <c r="I14" s="138" t="n">
        <f aca="false">Pipeline!$Q$21*Pipeline!$D$21*MIN(1,MAX(0,(7-Pipeline!$E$21+1)/MAX(Pipeline!$F$21,1)))</f>
        <v>0</v>
      </c>
      <c r="J14" s="138" t="n">
        <f aca="false">Pipeline!$Q$21*Pipeline!$D$21*MIN(1,MAX(0,(8-Pipeline!$E$21+1)/MAX(Pipeline!$F$21,1)))</f>
        <v>0</v>
      </c>
      <c r="K14" s="138" t="n">
        <f aca="false">Pipeline!$Q$21*Pipeline!$D$21*MIN(1,MAX(0,(9-Pipeline!$E$21+1)/MAX(Pipeline!$F$21,1)))</f>
        <v>0</v>
      </c>
      <c r="L14" s="138" t="n">
        <f aca="false">Pipeline!$Q$21*Pipeline!$D$21*MIN(1,MAX(0,(10-Pipeline!$E$21+1)/MAX(Pipeline!$F$21,1)))</f>
        <v>0</v>
      </c>
      <c r="M14" s="138" t="n">
        <f aca="false">Pipeline!$Q$21*Pipeline!$D$21*MIN(1,MAX(0,(11-Pipeline!$E$21+1)/MAX(Pipeline!$F$21,1)))</f>
        <v>0</v>
      </c>
      <c r="N14" s="138" t="n">
        <f aca="false">Pipeline!$Q$21*Pipeline!$D$21*MIN(1,MAX(0,(12-Pipeline!$E$21+1)/MAX(Pipeline!$F$21,1)))</f>
        <v>0</v>
      </c>
      <c r="O14" s="138" t="n">
        <f aca="false">Pipeline!$Q$21*Pipeline!$D$21*MIN(1,MAX(0,(13-Pipeline!$E$21+1)/MAX(Pipeline!$F$21,1)))</f>
        <v>0</v>
      </c>
      <c r="P14" s="138" t="n">
        <f aca="false">Pipeline!$Q$21*Pipeline!$D$21*MIN(1,MAX(0,(14-Pipeline!$E$21+1)/MAX(Pipeline!$F$21,1)))</f>
        <v>365.4</v>
      </c>
      <c r="Q14" s="138" t="n">
        <f aca="false">Pipeline!$Q$21*Pipeline!$D$21*MIN(1,MAX(0,(15-Pipeline!$E$21+1)/MAX(Pipeline!$F$21,1)))</f>
        <v>730.8</v>
      </c>
      <c r="R14" s="138" t="n">
        <f aca="false">Pipeline!$Q$21*Pipeline!$D$21*MIN(1,MAX(0,(16-Pipeline!$E$21+1)/MAX(Pipeline!$F$21,1)))</f>
        <v>1096.2</v>
      </c>
      <c r="S14" s="138" t="n">
        <f aca="false">Pipeline!$Q$21*Pipeline!$D$21*MIN(1,MAX(0,(17-Pipeline!$E$21+1)/MAX(Pipeline!$F$21,1)))</f>
        <v>1461.6</v>
      </c>
      <c r="T14" s="138" t="n">
        <f aca="false">Pipeline!$Q$21*Pipeline!$D$21*MIN(1,MAX(0,(18-Pipeline!$E$21+1)/MAX(Pipeline!$F$21,1)))</f>
        <v>1827</v>
      </c>
      <c r="U14" s="138" t="n">
        <f aca="false">Pipeline!$Q$21*Pipeline!$D$21*MIN(1,MAX(0,(19-Pipeline!$E$21+1)/MAX(Pipeline!$F$21,1)))</f>
        <v>2192.4</v>
      </c>
      <c r="V14" s="138" t="n">
        <f aca="false">Pipeline!$Q$21*Pipeline!$D$21*MIN(1,MAX(0,(20-Pipeline!$E$21+1)/MAX(Pipeline!$F$21,1)))</f>
        <v>2557.8</v>
      </c>
      <c r="W14" s="138" t="n">
        <f aca="false">Pipeline!$Q$21*Pipeline!$D$21*MIN(1,MAX(0,(21-Pipeline!$E$21+1)/MAX(Pipeline!$F$21,1)))</f>
        <v>2923.2</v>
      </c>
      <c r="X14" s="138" t="n">
        <f aca="false">Pipeline!$Q$21*Pipeline!$D$21*MIN(1,MAX(0,(22-Pipeline!$E$21+1)/MAX(Pipeline!$F$21,1)))</f>
        <v>3288.6</v>
      </c>
      <c r="Y14" s="138" t="n">
        <f aca="false">Pipeline!$Q$21*Pipeline!$D$21*MIN(1,MAX(0,(23-Pipeline!$E$21+1)/MAX(Pipeline!$F$21,1)))</f>
        <v>3654</v>
      </c>
      <c r="Z14" s="138" t="n">
        <f aca="false">Pipeline!$Q$21*Pipeline!$D$21*MIN(1,MAX(0,(24-Pipeline!$E$21+1)/MAX(Pipeline!$F$21,1)))</f>
        <v>3654</v>
      </c>
      <c r="AA14" s="138" t="n">
        <f aca="false">Pipeline!$Q$21*Pipeline!$D$21*MIN(1,MAX(0,(25-Pipeline!$E$21+1)/MAX(Pipeline!$F$21,1)))</f>
        <v>3654</v>
      </c>
      <c r="AB14" s="138" t="n">
        <f aca="false">Pipeline!$Q$21*Pipeline!$D$21*MIN(1,MAX(0,(26-Pipeline!$E$21+1)/MAX(Pipeline!$F$21,1)))</f>
        <v>3654</v>
      </c>
      <c r="AC14" s="138" t="n">
        <f aca="false">Pipeline!$Q$21*Pipeline!$D$21*MIN(1,MAX(0,(27-Pipeline!$E$21+1)/MAX(Pipeline!$F$21,1)))</f>
        <v>3654</v>
      </c>
      <c r="AD14" s="138" t="n">
        <f aca="false">Pipeline!$Q$21*Pipeline!$D$21*MIN(1,MAX(0,(28-Pipeline!$E$21+1)/MAX(Pipeline!$F$21,1)))</f>
        <v>3654</v>
      </c>
      <c r="AE14" s="138" t="n">
        <f aca="false">Pipeline!$Q$21*Pipeline!$D$21*MIN(1,MAX(0,(29-Pipeline!$E$21+1)/MAX(Pipeline!$F$21,1)))</f>
        <v>3654</v>
      </c>
      <c r="AF14" s="138" t="n">
        <f aca="false">Pipeline!$Q$21*Pipeline!$D$21*MIN(1,MAX(0,(30-Pipeline!$E$21+1)/MAX(Pipeline!$F$21,1)))</f>
        <v>3654</v>
      </c>
      <c r="AG14" s="138" t="n">
        <f aca="false">Pipeline!$Q$21*Pipeline!$D$21*MIN(1,MAX(0,(31-Pipeline!$E$21+1)/MAX(Pipeline!$F$21,1)))</f>
        <v>3654</v>
      </c>
      <c r="AH14" s="138" t="n">
        <f aca="false">Pipeline!$Q$21*Pipeline!$D$21*MIN(1,MAX(0,(32-Pipeline!$E$21+1)/MAX(Pipeline!$F$21,1)))</f>
        <v>3654</v>
      </c>
      <c r="AI14" s="138" t="n">
        <f aca="false">Pipeline!$Q$21*Pipeline!$D$21*MIN(1,MAX(0,(33-Pipeline!$E$21+1)/MAX(Pipeline!$F$21,1)))</f>
        <v>3654</v>
      </c>
      <c r="AJ14" s="138" t="n">
        <f aca="false">Pipeline!$Q$21*Pipeline!$D$21*MIN(1,MAX(0,(34-Pipeline!$E$21+1)/MAX(Pipeline!$F$21,1)))</f>
        <v>3654</v>
      </c>
      <c r="AK14" s="138" t="n">
        <f aca="false">Pipeline!$Q$21*Pipeline!$D$21*MIN(1,MAX(0,(35-Pipeline!$E$21+1)/MAX(Pipeline!$F$21,1)))</f>
        <v>3654</v>
      </c>
      <c r="AL14" s="138" t="n">
        <f aca="false">Pipeline!$Q$21*Pipeline!$D$21*MIN(1,MAX(0,(36-Pipeline!$E$21+1)/MAX(Pipeline!$F$21,1)))</f>
        <v>3654</v>
      </c>
      <c r="AM14" s="138" t="n">
        <f aca="false">Pipeline!$Q$21*Pipeline!$D$21*MIN(1,MAX(0,(37-Pipeline!$E$21+1)/MAX(Pipeline!$F$21,1)))</f>
        <v>3654</v>
      </c>
      <c r="AN14" s="138" t="n">
        <f aca="false">Pipeline!$Q$21*Pipeline!$D$21*MIN(1,MAX(0,(38-Pipeline!$E$21+1)/MAX(Pipeline!$F$21,1)))</f>
        <v>3654</v>
      </c>
      <c r="AO14" s="138" t="n">
        <f aca="false">Pipeline!$Q$21*Pipeline!$D$21*MIN(1,MAX(0,(39-Pipeline!$E$21+1)/MAX(Pipeline!$F$21,1)))</f>
        <v>3654</v>
      </c>
      <c r="AP14" s="138" t="n">
        <f aca="false">Pipeline!$Q$21*Pipeline!$D$21*MIN(1,MAX(0,(40-Pipeline!$E$21+1)/MAX(Pipeline!$F$21,1)))</f>
        <v>3654</v>
      </c>
      <c r="AQ14" s="138" t="n">
        <f aca="false">Pipeline!$Q$21*Pipeline!$D$21*MIN(1,MAX(0,(41-Pipeline!$E$21+1)/MAX(Pipeline!$F$21,1)))</f>
        <v>3654</v>
      </c>
      <c r="AR14" s="138" t="n">
        <f aca="false">Pipeline!$Q$21*Pipeline!$D$21*MIN(1,MAX(0,(42-Pipeline!$E$21+1)/MAX(Pipeline!$F$21,1)))</f>
        <v>3654</v>
      </c>
      <c r="AS14" s="138" t="n">
        <f aca="false">Pipeline!$Q$21*Pipeline!$D$21*MIN(1,MAX(0,(43-Pipeline!$E$21+1)/MAX(Pipeline!$F$21,1)))</f>
        <v>3654</v>
      </c>
      <c r="AT14" s="138" t="n">
        <f aca="false">Pipeline!$Q$21*Pipeline!$D$21*MIN(1,MAX(0,(44-Pipeline!$E$21+1)/MAX(Pipeline!$F$21,1)))</f>
        <v>3654</v>
      </c>
      <c r="AU14" s="138" t="n">
        <f aca="false">Pipeline!$Q$21*Pipeline!$D$21*MIN(1,MAX(0,(45-Pipeline!$E$21+1)/MAX(Pipeline!$F$21,1)))</f>
        <v>3654</v>
      </c>
      <c r="AV14" s="138" t="n">
        <f aca="false">Pipeline!$Q$21*Pipeline!$D$21*MIN(1,MAX(0,(46-Pipeline!$E$21+1)/MAX(Pipeline!$F$21,1)))</f>
        <v>3654</v>
      </c>
      <c r="AW14" s="138" t="n">
        <f aca="false">Pipeline!$Q$21*Pipeline!$D$21*MIN(1,MAX(0,(47-Pipeline!$E$21+1)/MAX(Pipeline!$F$21,1)))</f>
        <v>3654</v>
      </c>
      <c r="AX14" s="138" t="n">
        <f aca="false">Pipeline!$Q$21*Pipeline!$D$21*MIN(1,MAX(0,(48-Pipeline!$E$21+1)/MAX(Pipeline!$F$21,1)))</f>
        <v>3654</v>
      </c>
      <c r="AY14" s="138" t="n">
        <f aca="false">Pipeline!$Q$21*Pipeline!$D$21*MIN(1,MAX(0,(49-Pipeline!$E$21+1)/MAX(Pipeline!$F$21,1)))</f>
        <v>3654</v>
      </c>
      <c r="AZ14" s="138" t="n">
        <f aca="false">Pipeline!$Q$21*Pipeline!$D$21*MIN(1,MAX(0,(50-Pipeline!$E$21+1)/MAX(Pipeline!$F$21,1)))</f>
        <v>3654</v>
      </c>
      <c r="BA14" s="138" t="n">
        <f aca="false">Pipeline!$Q$21*Pipeline!$D$21*MIN(1,MAX(0,(51-Pipeline!$E$21+1)/MAX(Pipeline!$F$21,1)))</f>
        <v>3654</v>
      </c>
      <c r="BB14" s="138" t="n">
        <f aca="false">Pipeline!$Q$21*Pipeline!$D$21*MIN(1,MAX(0,(52-Pipeline!$E$21+1)/MAX(Pipeline!$F$21,1)))</f>
        <v>3654</v>
      </c>
      <c r="BC14" s="138" t="n">
        <f aca="false">Pipeline!$Q$21*Pipeline!$D$21*MIN(1,MAX(0,(53-Pipeline!$E$21+1)/MAX(Pipeline!$F$21,1)))</f>
        <v>3654</v>
      </c>
      <c r="BD14" s="138" t="n">
        <f aca="false">Pipeline!$Q$21*Pipeline!$D$21*MIN(1,MAX(0,(54-Pipeline!$E$21+1)/MAX(Pipeline!$F$21,1)))</f>
        <v>3654</v>
      </c>
      <c r="BE14" s="138" t="n">
        <f aca="false">Pipeline!$Q$21*Pipeline!$D$21*MIN(1,MAX(0,(55-Pipeline!$E$21+1)/MAX(Pipeline!$F$21,1)))</f>
        <v>3654</v>
      </c>
      <c r="BF14" s="138" t="n">
        <f aca="false">Pipeline!$Q$21*Pipeline!$D$21*MIN(1,MAX(0,(56-Pipeline!$E$21+1)/MAX(Pipeline!$F$21,1)))</f>
        <v>3654</v>
      </c>
      <c r="BG14" s="138" t="n">
        <f aca="false">Pipeline!$Q$21*Pipeline!$D$21*MIN(1,MAX(0,(57-Pipeline!$E$21+1)/MAX(Pipeline!$F$21,1)))</f>
        <v>3654</v>
      </c>
      <c r="BH14" s="138" t="n">
        <f aca="false">Pipeline!$Q$21*Pipeline!$D$21*MIN(1,MAX(0,(58-Pipeline!$E$21+1)/MAX(Pipeline!$F$21,1)))</f>
        <v>3654</v>
      </c>
      <c r="BI14" s="138" t="n">
        <f aca="false">Pipeline!$Q$21*Pipeline!$D$21*MIN(1,MAX(0,(59-Pipeline!$E$21+1)/MAX(Pipeline!$F$21,1)))</f>
        <v>3654</v>
      </c>
      <c r="BJ14" s="138" t="n">
        <f aca="false">Pipeline!$Q$21*Pipeline!$D$21*MIN(1,MAX(0,(60-Pipeline!$E$21+1)/MAX(Pipeline!$F$21,1)))</f>
        <v>3654</v>
      </c>
      <c r="BK14" s="138" t="n">
        <f aca="false">Pipeline!$Q$21*Pipeline!$D$21*MIN(1,MAX(0,(61-Pipeline!$E$21+1)/MAX(Pipeline!$F$21,1)))</f>
        <v>3654</v>
      </c>
      <c r="BL14" s="138" t="n">
        <f aca="false">Pipeline!$Q$21*Pipeline!$D$21*MIN(1,MAX(0,(62-Pipeline!$E$21+1)/MAX(Pipeline!$F$21,1)))</f>
        <v>3654</v>
      </c>
      <c r="BM14" s="138" t="n">
        <f aca="false">Pipeline!$Q$21*Pipeline!$D$21*MIN(1,MAX(0,(63-Pipeline!$E$21+1)/MAX(Pipeline!$F$21,1)))</f>
        <v>3654</v>
      </c>
      <c r="BN14" s="138" t="n">
        <f aca="false">Pipeline!$Q$21*Pipeline!$D$21*MIN(1,MAX(0,(64-Pipeline!$E$21+1)/MAX(Pipeline!$F$21,1)))</f>
        <v>3654</v>
      </c>
      <c r="BO14" s="138" t="n">
        <f aca="false">Pipeline!$Q$21*Pipeline!$D$21*MIN(1,MAX(0,(65-Pipeline!$E$21+1)/MAX(Pipeline!$F$21,1)))</f>
        <v>3654</v>
      </c>
      <c r="BP14" s="138" t="n">
        <f aca="false">Pipeline!$Q$21*Pipeline!$D$21*MIN(1,MAX(0,(66-Pipeline!$E$21+1)/MAX(Pipeline!$F$21,1)))</f>
        <v>3654</v>
      </c>
      <c r="BQ14" s="138" t="n">
        <f aca="false">Pipeline!$Q$21*Pipeline!$D$21*MIN(1,MAX(0,(67-Pipeline!$E$21+1)/MAX(Pipeline!$F$21,1)))</f>
        <v>3654</v>
      </c>
      <c r="BR14" s="138" t="n">
        <f aca="false">Pipeline!$Q$21*Pipeline!$D$21*MIN(1,MAX(0,(68-Pipeline!$E$21+1)/MAX(Pipeline!$F$21,1)))</f>
        <v>3654</v>
      </c>
      <c r="BS14" s="138" t="n">
        <f aca="false">Pipeline!$Q$21*Pipeline!$D$21*MIN(1,MAX(0,(69-Pipeline!$E$21+1)/MAX(Pipeline!$F$21,1)))</f>
        <v>3654</v>
      </c>
      <c r="BT14" s="138" t="n">
        <f aca="false">Pipeline!$Q$21*Pipeline!$D$21*MIN(1,MAX(0,(70-Pipeline!$E$21+1)/MAX(Pipeline!$F$21,1)))</f>
        <v>3654</v>
      </c>
      <c r="BU14" s="138" t="n">
        <f aca="false">Pipeline!$Q$21*Pipeline!$D$21*MIN(1,MAX(0,(71-Pipeline!$E$21+1)/MAX(Pipeline!$F$21,1)))</f>
        <v>3654</v>
      </c>
      <c r="BV14" s="138" t="n">
        <f aca="false">Pipeline!$Q$21*Pipeline!$D$21*MIN(1,MAX(0,(72-Pipeline!$E$21+1)/MAX(Pipeline!$F$21,1)))</f>
        <v>3654</v>
      </c>
      <c r="BW14" s="138" t="n">
        <f aca="false">Pipeline!$Q$21*Pipeline!$D$21*MIN(1,MAX(0,(73-Pipeline!$E$21+1)/MAX(Pipeline!$F$21,1)))</f>
        <v>3654</v>
      </c>
      <c r="BX14" s="138" t="n">
        <f aca="false">Pipeline!$Q$21*Pipeline!$D$21*MIN(1,MAX(0,(74-Pipeline!$E$21+1)/MAX(Pipeline!$F$21,1)))</f>
        <v>3654</v>
      </c>
      <c r="BY14" s="138" t="n">
        <f aca="false">Pipeline!$Q$21*Pipeline!$D$21*MIN(1,MAX(0,(75-Pipeline!$E$21+1)/MAX(Pipeline!$F$21,1)))</f>
        <v>3654</v>
      </c>
      <c r="BZ14" s="138" t="n">
        <f aca="false">Pipeline!$Q$21*Pipeline!$D$21*MIN(1,MAX(0,(76-Pipeline!$E$21+1)/MAX(Pipeline!$F$21,1)))</f>
        <v>3654</v>
      </c>
      <c r="CA14" s="138" t="n">
        <f aca="false">Pipeline!$Q$21*Pipeline!$D$21*MIN(1,MAX(0,(77-Pipeline!$E$21+1)/MAX(Pipeline!$F$21,1)))</f>
        <v>3654</v>
      </c>
      <c r="CB14" s="138" t="n">
        <f aca="false">Pipeline!$Q$21*Pipeline!$D$21*MIN(1,MAX(0,(78-Pipeline!$E$21+1)/MAX(Pipeline!$F$21,1)))</f>
        <v>3654</v>
      </c>
      <c r="CC14" s="138" t="n">
        <f aca="false">Pipeline!$Q$21*Pipeline!$D$21*MIN(1,MAX(0,(79-Pipeline!$E$21+1)/MAX(Pipeline!$F$21,1)))</f>
        <v>3654</v>
      </c>
      <c r="CD14" s="138" t="n">
        <f aca="false">Pipeline!$Q$21*Pipeline!$D$21*MIN(1,MAX(0,(80-Pipeline!$E$21+1)/MAX(Pipeline!$F$21,1)))</f>
        <v>3654</v>
      </c>
      <c r="CE14" s="138" t="n">
        <f aca="false">Pipeline!$Q$21*Pipeline!$D$21*MIN(1,MAX(0,(81-Pipeline!$E$21+1)/MAX(Pipeline!$F$21,1)))</f>
        <v>3654</v>
      </c>
      <c r="CF14" s="138" t="n">
        <f aca="false">Pipeline!$Q$21*Pipeline!$D$21*MIN(1,MAX(0,(82-Pipeline!$E$21+1)/MAX(Pipeline!$F$21,1)))</f>
        <v>3654</v>
      </c>
      <c r="CG14" s="138" t="n">
        <f aca="false">Pipeline!$Q$21*Pipeline!$D$21*MIN(1,MAX(0,(83-Pipeline!$E$21+1)/MAX(Pipeline!$F$21,1)))</f>
        <v>3654</v>
      </c>
      <c r="CH14" s="138" t="n">
        <f aca="false">Pipeline!$Q$21*Pipeline!$D$21*MIN(1,MAX(0,(84-Pipeline!$E$21+1)/MAX(Pipeline!$F$21,1)))</f>
        <v>3654</v>
      </c>
    </row>
    <row r="15" customFormat="false" ht="13.5" hidden="false" customHeight="true" outlineLevel="0" collapsed="false">
      <c r="A15" s="13" t="s">
        <v>698</v>
      </c>
      <c r="C15" s="138" t="n">
        <f aca="false">Pipeline!$Q$22*Pipeline!$D$22*MIN(1,MAX(0,(1-Pipeline!$E$22+1)/MAX(Pipeline!$F$22,1)))</f>
        <v>0</v>
      </c>
      <c r="D15" s="138" t="n">
        <f aca="false">Pipeline!$Q$22*Pipeline!$D$22*MIN(1,MAX(0,(2-Pipeline!$E$22+1)/MAX(Pipeline!$F$22,1)))</f>
        <v>0</v>
      </c>
      <c r="E15" s="138" t="n">
        <f aca="false">Pipeline!$Q$22*Pipeline!$D$22*MIN(1,MAX(0,(3-Pipeline!$E$22+1)/MAX(Pipeline!$F$22,1)))</f>
        <v>0</v>
      </c>
      <c r="F15" s="138" t="n">
        <f aca="false">Pipeline!$Q$22*Pipeline!$D$22*MIN(1,MAX(0,(4-Pipeline!$E$22+1)/MAX(Pipeline!$F$22,1)))</f>
        <v>0</v>
      </c>
      <c r="G15" s="138" t="n">
        <f aca="false">Pipeline!$Q$22*Pipeline!$D$22*MIN(1,MAX(0,(5-Pipeline!$E$22+1)/MAX(Pipeline!$F$22,1)))</f>
        <v>0</v>
      </c>
      <c r="H15" s="138" t="n">
        <f aca="false">Pipeline!$Q$22*Pipeline!$D$22*MIN(1,MAX(0,(6-Pipeline!$E$22+1)/MAX(Pipeline!$F$22,1)))</f>
        <v>0</v>
      </c>
      <c r="I15" s="138" t="n">
        <f aca="false">Pipeline!$Q$22*Pipeline!$D$22*MIN(1,MAX(0,(7-Pipeline!$E$22+1)/MAX(Pipeline!$F$22,1)))</f>
        <v>0</v>
      </c>
      <c r="J15" s="138" t="n">
        <f aca="false">Pipeline!$Q$22*Pipeline!$D$22*MIN(1,MAX(0,(8-Pipeline!$E$22+1)/MAX(Pipeline!$F$22,1)))</f>
        <v>0</v>
      </c>
      <c r="K15" s="138" t="n">
        <f aca="false">Pipeline!$Q$22*Pipeline!$D$22*MIN(1,MAX(0,(9-Pipeline!$E$22+1)/MAX(Pipeline!$F$22,1)))</f>
        <v>0</v>
      </c>
      <c r="L15" s="138" t="n">
        <f aca="false">Pipeline!$Q$22*Pipeline!$D$22*MIN(1,MAX(0,(10-Pipeline!$E$22+1)/MAX(Pipeline!$F$22,1)))</f>
        <v>0</v>
      </c>
      <c r="M15" s="138" t="n">
        <f aca="false">Pipeline!$Q$22*Pipeline!$D$22*MIN(1,MAX(0,(11-Pipeline!$E$22+1)/MAX(Pipeline!$F$22,1)))</f>
        <v>0</v>
      </c>
      <c r="N15" s="138" t="n">
        <f aca="false">Pipeline!$Q$22*Pipeline!$D$22*MIN(1,MAX(0,(12-Pipeline!$E$22+1)/MAX(Pipeline!$F$22,1)))</f>
        <v>0</v>
      </c>
      <c r="O15" s="138" t="n">
        <f aca="false">Pipeline!$Q$22*Pipeline!$D$22*MIN(1,MAX(0,(13-Pipeline!$E$22+1)/MAX(Pipeline!$F$22,1)))</f>
        <v>0</v>
      </c>
      <c r="P15" s="138" t="n">
        <f aca="false">Pipeline!$Q$22*Pipeline!$D$22*MIN(1,MAX(0,(14-Pipeline!$E$22+1)/MAX(Pipeline!$F$22,1)))</f>
        <v>0</v>
      </c>
      <c r="Q15" s="138" t="n">
        <f aca="false">Pipeline!$Q$22*Pipeline!$D$22*MIN(1,MAX(0,(15-Pipeline!$E$22+1)/MAX(Pipeline!$F$22,1)))</f>
        <v>0</v>
      </c>
      <c r="R15" s="138" t="n">
        <f aca="false">Pipeline!$Q$22*Pipeline!$D$22*MIN(1,MAX(0,(16-Pipeline!$E$22+1)/MAX(Pipeline!$F$22,1)))</f>
        <v>0</v>
      </c>
      <c r="S15" s="138" t="n">
        <f aca="false">Pipeline!$Q$22*Pipeline!$D$22*MIN(1,MAX(0,(17-Pipeline!$E$22+1)/MAX(Pipeline!$F$22,1)))</f>
        <v>0</v>
      </c>
      <c r="T15" s="138" t="n">
        <f aca="false">Pipeline!$Q$22*Pipeline!$D$22*MIN(1,MAX(0,(18-Pipeline!$E$22+1)/MAX(Pipeline!$F$22,1)))</f>
        <v>0</v>
      </c>
      <c r="U15" s="138" t="n">
        <f aca="false">Pipeline!$Q$22*Pipeline!$D$22*MIN(1,MAX(0,(19-Pipeline!$E$22+1)/MAX(Pipeline!$F$22,1)))</f>
        <v>0</v>
      </c>
      <c r="V15" s="138" t="n">
        <f aca="false">Pipeline!$Q$22*Pipeline!$D$22*MIN(1,MAX(0,(20-Pipeline!$E$22+1)/MAX(Pipeline!$F$22,1)))</f>
        <v>0</v>
      </c>
      <c r="W15" s="138" t="n">
        <f aca="false">Pipeline!$Q$22*Pipeline!$D$22*MIN(1,MAX(0,(21-Pipeline!$E$22+1)/MAX(Pipeline!$F$22,1)))</f>
        <v>0</v>
      </c>
      <c r="X15" s="138" t="n">
        <f aca="false">Pipeline!$Q$22*Pipeline!$D$22*MIN(1,MAX(0,(22-Pipeline!$E$22+1)/MAX(Pipeline!$F$22,1)))</f>
        <v>0</v>
      </c>
      <c r="Y15" s="138" t="n">
        <f aca="false">Pipeline!$Q$22*Pipeline!$D$22*MIN(1,MAX(0,(23-Pipeline!$E$22+1)/MAX(Pipeline!$F$22,1)))</f>
        <v>0</v>
      </c>
      <c r="Z15" s="138" t="n">
        <f aca="false">Pipeline!$Q$22*Pipeline!$D$22*MIN(1,MAX(0,(24-Pipeline!$E$22+1)/MAX(Pipeline!$F$22,1)))</f>
        <v>0</v>
      </c>
      <c r="AA15" s="138" t="n">
        <f aca="false">Pipeline!$Q$22*Pipeline!$D$22*MIN(1,MAX(0,(25-Pipeline!$E$22+1)/MAX(Pipeline!$F$22,1)))</f>
        <v>0</v>
      </c>
      <c r="AB15" s="138" t="n">
        <f aca="false">Pipeline!$Q$22*Pipeline!$D$22*MIN(1,MAX(0,(26-Pipeline!$E$22+1)/MAX(Pipeline!$F$22,1)))</f>
        <v>0</v>
      </c>
      <c r="AC15" s="138" t="n">
        <f aca="false">Pipeline!$Q$22*Pipeline!$D$22*MIN(1,MAX(0,(27-Pipeline!$E$22+1)/MAX(Pipeline!$F$22,1)))</f>
        <v>0</v>
      </c>
      <c r="AD15" s="138" t="n">
        <f aca="false">Pipeline!$Q$22*Pipeline!$D$22*MIN(1,MAX(0,(28-Pipeline!$E$22+1)/MAX(Pipeline!$F$22,1)))</f>
        <v>0</v>
      </c>
      <c r="AE15" s="138" t="n">
        <f aca="false">Pipeline!$Q$22*Pipeline!$D$22*MIN(1,MAX(0,(29-Pipeline!$E$22+1)/MAX(Pipeline!$F$22,1)))</f>
        <v>0</v>
      </c>
      <c r="AF15" s="138" t="n">
        <f aca="false">Pipeline!$Q$22*Pipeline!$D$22*MIN(1,MAX(0,(30-Pipeline!$E$22+1)/MAX(Pipeline!$F$22,1)))</f>
        <v>0</v>
      </c>
      <c r="AG15" s="138" t="n">
        <f aca="false">Pipeline!$Q$22*Pipeline!$D$22*MIN(1,MAX(0,(31-Pipeline!$E$22+1)/MAX(Pipeline!$F$22,1)))</f>
        <v>0</v>
      </c>
      <c r="AH15" s="138" t="n">
        <f aca="false">Pipeline!$Q$22*Pipeline!$D$22*MIN(1,MAX(0,(32-Pipeline!$E$22+1)/MAX(Pipeline!$F$22,1)))</f>
        <v>0</v>
      </c>
      <c r="AI15" s="138" t="n">
        <f aca="false">Pipeline!$Q$22*Pipeline!$D$22*MIN(1,MAX(0,(33-Pipeline!$E$22+1)/MAX(Pipeline!$F$22,1)))</f>
        <v>0</v>
      </c>
      <c r="AJ15" s="138" t="n">
        <f aca="false">Pipeline!$Q$22*Pipeline!$D$22*MIN(1,MAX(0,(34-Pipeline!$E$22+1)/MAX(Pipeline!$F$22,1)))</f>
        <v>0</v>
      </c>
      <c r="AK15" s="138" t="n">
        <f aca="false">Pipeline!$Q$22*Pipeline!$D$22*MIN(1,MAX(0,(35-Pipeline!$E$22+1)/MAX(Pipeline!$F$22,1)))</f>
        <v>0</v>
      </c>
      <c r="AL15" s="138" t="n">
        <f aca="false">Pipeline!$Q$22*Pipeline!$D$22*MIN(1,MAX(0,(36-Pipeline!$E$22+1)/MAX(Pipeline!$F$22,1)))</f>
        <v>0</v>
      </c>
      <c r="AM15" s="138" t="n">
        <f aca="false">Pipeline!$Q$22*Pipeline!$D$22*MIN(1,MAX(0,(37-Pipeline!$E$22+1)/MAX(Pipeline!$F$22,1)))</f>
        <v>0</v>
      </c>
      <c r="AN15" s="138" t="n">
        <f aca="false">Pipeline!$Q$22*Pipeline!$D$22*MIN(1,MAX(0,(38-Pipeline!$E$22+1)/MAX(Pipeline!$F$22,1)))</f>
        <v>0</v>
      </c>
      <c r="AO15" s="138" t="n">
        <f aca="false">Pipeline!$Q$22*Pipeline!$D$22*MIN(1,MAX(0,(39-Pipeline!$E$22+1)/MAX(Pipeline!$F$22,1)))</f>
        <v>0</v>
      </c>
      <c r="AP15" s="138" t="n">
        <f aca="false">Pipeline!$Q$22*Pipeline!$D$22*MIN(1,MAX(0,(40-Pipeline!$E$22+1)/MAX(Pipeline!$F$22,1)))</f>
        <v>0</v>
      </c>
      <c r="AQ15" s="138" t="n">
        <f aca="false">Pipeline!$Q$22*Pipeline!$D$22*MIN(1,MAX(0,(41-Pipeline!$E$22+1)/MAX(Pipeline!$F$22,1)))</f>
        <v>0</v>
      </c>
      <c r="AR15" s="138" t="n">
        <f aca="false">Pipeline!$Q$22*Pipeline!$D$22*MIN(1,MAX(0,(42-Pipeline!$E$22+1)/MAX(Pipeline!$F$22,1)))</f>
        <v>0</v>
      </c>
      <c r="AS15" s="138" t="n">
        <f aca="false">Pipeline!$Q$22*Pipeline!$D$22*MIN(1,MAX(0,(43-Pipeline!$E$22+1)/MAX(Pipeline!$F$22,1)))</f>
        <v>0</v>
      </c>
      <c r="AT15" s="138" t="n">
        <f aca="false">Pipeline!$Q$22*Pipeline!$D$22*MIN(1,MAX(0,(44-Pipeline!$E$22+1)/MAX(Pipeline!$F$22,1)))</f>
        <v>0</v>
      </c>
      <c r="AU15" s="138" t="n">
        <f aca="false">Pipeline!$Q$22*Pipeline!$D$22*MIN(1,MAX(0,(45-Pipeline!$E$22+1)/MAX(Pipeline!$F$22,1)))</f>
        <v>0</v>
      </c>
      <c r="AV15" s="138" t="n">
        <f aca="false">Pipeline!$Q$22*Pipeline!$D$22*MIN(1,MAX(0,(46-Pipeline!$E$22+1)/MAX(Pipeline!$F$22,1)))</f>
        <v>0</v>
      </c>
      <c r="AW15" s="138" t="n">
        <f aca="false">Pipeline!$Q$22*Pipeline!$D$22*MIN(1,MAX(0,(47-Pipeline!$E$22+1)/MAX(Pipeline!$F$22,1)))</f>
        <v>0</v>
      </c>
      <c r="AX15" s="138" t="n">
        <f aca="false">Pipeline!$Q$22*Pipeline!$D$22*MIN(1,MAX(0,(48-Pipeline!$E$22+1)/MAX(Pipeline!$F$22,1)))</f>
        <v>0</v>
      </c>
      <c r="AY15" s="138" t="n">
        <f aca="false">Pipeline!$Q$22*Pipeline!$D$22*MIN(1,MAX(0,(49-Pipeline!$E$22+1)/MAX(Pipeline!$F$22,1)))</f>
        <v>0</v>
      </c>
      <c r="AZ15" s="138" t="n">
        <f aca="false">Pipeline!$Q$22*Pipeline!$D$22*MIN(1,MAX(0,(50-Pipeline!$E$22+1)/MAX(Pipeline!$F$22,1)))</f>
        <v>0</v>
      </c>
      <c r="BA15" s="138" t="n">
        <f aca="false">Pipeline!$Q$22*Pipeline!$D$22*MIN(1,MAX(0,(51-Pipeline!$E$22+1)/MAX(Pipeline!$F$22,1)))</f>
        <v>0</v>
      </c>
      <c r="BB15" s="138" t="n">
        <f aca="false">Pipeline!$Q$22*Pipeline!$D$22*MIN(1,MAX(0,(52-Pipeline!$E$22+1)/MAX(Pipeline!$F$22,1)))</f>
        <v>0</v>
      </c>
      <c r="BC15" s="138" t="n">
        <f aca="false">Pipeline!$Q$22*Pipeline!$D$22*MIN(1,MAX(0,(53-Pipeline!$E$22+1)/MAX(Pipeline!$F$22,1)))</f>
        <v>0</v>
      </c>
      <c r="BD15" s="138" t="n">
        <f aca="false">Pipeline!$Q$22*Pipeline!$D$22*MIN(1,MAX(0,(54-Pipeline!$E$22+1)/MAX(Pipeline!$F$22,1)))</f>
        <v>0</v>
      </c>
      <c r="BE15" s="138" t="n">
        <f aca="false">Pipeline!$Q$22*Pipeline!$D$22*MIN(1,MAX(0,(55-Pipeline!$E$22+1)/MAX(Pipeline!$F$22,1)))</f>
        <v>0</v>
      </c>
      <c r="BF15" s="138" t="n">
        <f aca="false">Pipeline!$Q$22*Pipeline!$D$22*MIN(1,MAX(0,(56-Pipeline!$E$22+1)/MAX(Pipeline!$F$22,1)))</f>
        <v>0</v>
      </c>
      <c r="BG15" s="138" t="n">
        <f aca="false">Pipeline!$Q$22*Pipeline!$D$22*MIN(1,MAX(0,(57-Pipeline!$E$22+1)/MAX(Pipeline!$F$22,1)))</f>
        <v>0</v>
      </c>
      <c r="BH15" s="138" t="n">
        <f aca="false">Pipeline!$Q$22*Pipeline!$D$22*MIN(1,MAX(0,(58-Pipeline!$E$22+1)/MAX(Pipeline!$F$22,1)))</f>
        <v>0</v>
      </c>
      <c r="BI15" s="138" t="n">
        <f aca="false">Pipeline!$Q$22*Pipeline!$D$22*MIN(1,MAX(0,(59-Pipeline!$E$22+1)/MAX(Pipeline!$F$22,1)))</f>
        <v>0</v>
      </c>
      <c r="BJ15" s="138" t="n">
        <f aca="false">Pipeline!$Q$22*Pipeline!$D$22*MIN(1,MAX(0,(60-Pipeline!$E$22+1)/MAX(Pipeline!$F$22,1)))</f>
        <v>0</v>
      </c>
      <c r="BK15" s="138" t="n">
        <f aca="false">Pipeline!$Q$22*Pipeline!$D$22*MIN(1,MAX(0,(61-Pipeline!$E$22+1)/MAX(Pipeline!$F$22,1)))</f>
        <v>0</v>
      </c>
      <c r="BL15" s="138" t="n">
        <f aca="false">Pipeline!$Q$22*Pipeline!$D$22*MIN(1,MAX(0,(62-Pipeline!$E$22+1)/MAX(Pipeline!$F$22,1)))</f>
        <v>0</v>
      </c>
      <c r="BM15" s="138" t="n">
        <f aca="false">Pipeline!$Q$22*Pipeline!$D$22*MIN(1,MAX(0,(63-Pipeline!$E$22+1)/MAX(Pipeline!$F$22,1)))</f>
        <v>0</v>
      </c>
      <c r="BN15" s="138" t="n">
        <f aca="false">Pipeline!$Q$22*Pipeline!$D$22*MIN(1,MAX(0,(64-Pipeline!$E$22+1)/MAX(Pipeline!$F$22,1)))</f>
        <v>0</v>
      </c>
      <c r="BO15" s="138" t="n">
        <f aca="false">Pipeline!$Q$22*Pipeline!$D$22*MIN(1,MAX(0,(65-Pipeline!$E$22+1)/MAX(Pipeline!$F$22,1)))</f>
        <v>0</v>
      </c>
      <c r="BP15" s="138" t="n">
        <f aca="false">Pipeline!$Q$22*Pipeline!$D$22*MIN(1,MAX(0,(66-Pipeline!$E$22+1)/MAX(Pipeline!$F$22,1)))</f>
        <v>0</v>
      </c>
      <c r="BQ15" s="138" t="n">
        <f aca="false">Pipeline!$Q$22*Pipeline!$D$22*MIN(1,MAX(0,(67-Pipeline!$E$22+1)/MAX(Pipeline!$F$22,1)))</f>
        <v>0</v>
      </c>
      <c r="BR15" s="138" t="n">
        <f aca="false">Pipeline!$Q$22*Pipeline!$D$22*MIN(1,MAX(0,(68-Pipeline!$E$22+1)/MAX(Pipeline!$F$22,1)))</f>
        <v>0</v>
      </c>
      <c r="BS15" s="138" t="n">
        <f aca="false">Pipeline!$Q$22*Pipeline!$D$22*MIN(1,MAX(0,(69-Pipeline!$E$22+1)/MAX(Pipeline!$F$22,1)))</f>
        <v>0</v>
      </c>
      <c r="BT15" s="138" t="n">
        <f aca="false">Pipeline!$Q$22*Pipeline!$D$22*MIN(1,MAX(0,(70-Pipeline!$E$22+1)/MAX(Pipeline!$F$22,1)))</f>
        <v>0</v>
      </c>
      <c r="BU15" s="138" t="n">
        <f aca="false">Pipeline!$Q$22*Pipeline!$D$22*MIN(1,MAX(0,(71-Pipeline!$E$22+1)/MAX(Pipeline!$F$22,1)))</f>
        <v>0</v>
      </c>
      <c r="BV15" s="138" t="n">
        <f aca="false">Pipeline!$Q$22*Pipeline!$D$22*MIN(1,MAX(0,(72-Pipeline!$E$22+1)/MAX(Pipeline!$F$22,1)))</f>
        <v>0</v>
      </c>
      <c r="BW15" s="138" t="n">
        <f aca="false">Pipeline!$Q$22*Pipeline!$D$22*MIN(1,MAX(0,(73-Pipeline!$E$22+1)/MAX(Pipeline!$F$22,1)))</f>
        <v>0</v>
      </c>
      <c r="BX15" s="138" t="n">
        <f aca="false">Pipeline!$Q$22*Pipeline!$D$22*MIN(1,MAX(0,(74-Pipeline!$E$22+1)/MAX(Pipeline!$F$22,1)))</f>
        <v>0</v>
      </c>
      <c r="BY15" s="138" t="n">
        <f aca="false">Pipeline!$Q$22*Pipeline!$D$22*MIN(1,MAX(0,(75-Pipeline!$E$22+1)/MAX(Pipeline!$F$22,1)))</f>
        <v>0</v>
      </c>
      <c r="BZ15" s="138" t="n">
        <f aca="false">Pipeline!$Q$22*Pipeline!$D$22*MIN(1,MAX(0,(76-Pipeline!$E$22+1)/MAX(Pipeline!$F$22,1)))</f>
        <v>0</v>
      </c>
      <c r="CA15" s="138" t="n">
        <f aca="false">Pipeline!$Q$22*Pipeline!$D$22*MIN(1,MAX(0,(77-Pipeline!$E$22+1)/MAX(Pipeline!$F$22,1)))</f>
        <v>0</v>
      </c>
      <c r="CB15" s="138" t="n">
        <f aca="false">Pipeline!$Q$22*Pipeline!$D$22*MIN(1,MAX(0,(78-Pipeline!$E$22+1)/MAX(Pipeline!$F$22,1)))</f>
        <v>0</v>
      </c>
      <c r="CC15" s="138" t="n">
        <f aca="false">Pipeline!$Q$22*Pipeline!$D$22*MIN(1,MAX(0,(79-Pipeline!$E$22+1)/MAX(Pipeline!$F$22,1)))</f>
        <v>0</v>
      </c>
      <c r="CD15" s="138" t="n">
        <f aca="false">Pipeline!$Q$22*Pipeline!$D$22*MIN(1,MAX(0,(80-Pipeline!$E$22+1)/MAX(Pipeline!$F$22,1)))</f>
        <v>0</v>
      </c>
      <c r="CE15" s="138" t="n">
        <f aca="false">Pipeline!$Q$22*Pipeline!$D$22*MIN(1,MAX(0,(81-Pipeline!$E$22+1)/MAX(Pipeline!$F$22,1)))</f>
        <v>0</v>
      </c>
      <c r="CF15" s="138" t="n">
        <f aca="false">Pipeline!$Q$22*Pipeline!$D$22*MIN(1,MAX(0,(82-Pipeline!$E$22+1)/MAX(Pipeline!$F$22,1)))</f>
        <v>0</v>
      </c>
      <c r="CG15" s="138" t="n">
        <f aca="false">Pipeline!$Q$22*Pipeline!$D$22*MIN(1,MAX(0,(83-Pipeline!$E$22+1)/MAX(Pipeline!$F$22,1)))</f>
        <v>0</v>
      </c>
      <c r="CH15" s="138" t="n">
        <f aca="false">Pipeline!$Q$22*Pipeline!$D$22*MIN(1,MAX(0,(84-Pipeline!$E$22+1)/MAX(Pipeline!$F$22,1)))</f>
        <v>0</v>
      </c>
    </row>
    <row r="16" customFormat="false" ht="13.5" hidden="false" customHeight="true" outlineLevel="0" collapsed="false">
      <c r="A16" s="30" t="s">
        <v>699</v>
      </c>
      <c r="C16" s="138" t="n">
        <f aca="false">SUM(C9:C15)</f>
        <v>1033.125</v>
      </c>
      <c r="D16" s="138" t="n">
        <f aca="false">SUM(D9:D15)</f>
        <v>2144.55</v>
      </c>
      <c r="E16" s="138" t="n">
        <f aca="false">SUM(E9:E15)</f>
        <v>4457.6625</v>
      </c>
      <c r="F16" s="138" t="n">
        <f aca="false">SUM(F9:F15)</f>
        <v>5737.65</v>
      </c>
      <c r="G16" s="138" t="n">
        <f aca="false">SUM(G9:G15)</f>
        <v>6939.3375</v>
      </c>
      <c r="H16" s="138" t="n">
        <f aca="false">SUM(H9:H15)</f>
        <v>8858.775</v>
      </c>
      <c r="I16" s="138" t="n">
        <f aca="false">SUM(I9:I15)</f>
        <v>10778.2125</v>
      </c>
      <c r="J16" s="138" t="n">
        <f aca="false">SUM(J9:J15)</f>
        <v>12697.65</v>
      </c>
      <c r="K16" s="138" t="n">
        <f aca="false">SUM(K9:K15)</f>
        <v>14617.0875</v>
      </c>
      <c r="L16" s="138" t="n">
        <f aca="false">SUM(L9:L15)</f>
        <v>16536.525</v>
      </c>
      <c r="M16" s="138" t="n">
        <f aca="false">SUM(M9:M15)</f>
        <v>17254.275</v>
      </c>
      <c r="N16" s="138" t="n">
        <f aca="false">SUM(N9:N15)</f>
        <v>18950.775</v>
      </c>
      <c r="O16" s="138" t="n">
        <f aca="false">SUM(O9:O15)</f>
        <v>20647.275</v>
      </c>
      <c r="P16" s="138" t="n">
        <f aca="false">SUM(P9:P15)</f>
        <v>21991.425</v>
      </c>
      <c r="Q16" s="138" t="n">
        <f aca="false">SUM(Q9:Q15)</f>
        <v>23335.575</v>
      </c>
      <c r="R16" s="138" t="n">
        <f aca="false">SUM(R9:R15)</f>
        <v>24679.725</v>
      </c>
      <c r="S16" s="138" t="n">
        <f aca="false">SUM(S9:S15)</f>
        <v>26023.875</v>
      </c>
      <c r="T16" s="138" t="n">
        <f aca="false">SUM(T9:T15)</f>
        <v>27368.025</v>
      </c>
      <c r="U16" s="138" t="n">
        <f aca="false">SUM(U9:U15)</f>
        <v>28712.175</v>
      </c>
      <c r="V16" s="138" t="n">
        <f aca="false">SUM(V9:V15)</f>
        <v>30056.325</v>
      </c>
      <c r="W16" s="138" t="n">
        <f aca="false">SUM(W9:W15)</f>
        <v>31400.475</v>
      </c>
      <c r="X16" s="138" t="n">
        <f aca="false">SUM(X9:X15)</f>
        <v>31765.875</v>
      </c>
      <c r="Y16" s="138" t="n">
        <f aca="false">SUM(Y9:Y15)</f>
        <v>32131.275</v>
      </c>
      <c r="Z16" s="138" t="n">
        <f aca="false">SUM(Z9:Z15)</f>
        <v>32131.275</v>
      </c>
      <c r="AA16" s="138" t="n">
        <f aca="false">SUM(AA9:AA15)</f>
        <v>32131.275</v>
      </c>
      <c r="AB16" s="138" t="n">
        <f aca="false">SUM(AB9:AB15)</f>
        <v>32131.275</v>
      </c>
      <c r="AC16" s="138" t="n">
        <f aca="false">SUM(AC9:AC15)</f>
        <v>32131.275</v>
      </c>
      <c r="AD16" s="138" t="n">
        <f aca="false">SUM(AD9:AD15)</f>
        <v>32131.275</v>
      </c>
      <c r="AE16" s="138" t="n">
        <f aca="false">SUM(AE9:AE15)</f>
        <v>32131.275</v>
      </c>
      <c r="AF16" s="138" t="n">
        <f aca="false">SUM(AF9:AF15)</f>
        <v>32131.275</v>
      </c>
      <c r="AG16" s="138" t="n">
        <f aca="false">SUM(AG9:AG15)</f>
        <v>32131.275</v>
      </c>
      <c r="AH16" s="138" t="n">
        <f aca="false">SUM(AH9:AH15)</f>
        <v>32131.275</v>
      </c>
      <c r="AI16" s="138" t="n">
        <f aca="false">SUM(AI9:AI15)</f>
        <v>32131.275</v>
      </c>
      <c r="AJ16" s="138" t="n">
        <f aca="false">SUM(AJ9:AJ15)</f>
        <v>32131.275</v>
      </c>
      <c r="AK16" s="138" t="n">
        <f aca="false">SUM(AK9:AK15)</f>
        <v>32131.275</v>
      </c>
      <c r="AL16" s="138" t="n">
        <f aca="false">SUM(AL9:AL15)</f>
        <v>32131.275</v>
      </c>
      <c r="AM16" s="138" t="n">
        <f aca="false">SUM(AM9:AM15)</f>
        <v>32131.275</v>
      </c>
      <c r="AN16" s="138" t="n">
        <f aca="false">SUM(AN9:AN15)</f>
        <v>32131.275</v>
      </c>
      <c r="AO16" s="138" t="n">
        <f aca="false">SUM(AO9:AO15)</f>
        <v>32131.275</v>
      </c>
      <c r="AP16" s="138" t="n">
        <f aca="false">SUM(AP9:AP15)</f>
        <v>32131.275</v>
      </c>
      <c r="AQ16" s="138" t="n">
        <f aca="false">SUM(AQ9:AQ15)</f>
        <v>32131.275</v>
      </c>
      <c r="AR16" s="138" t="n">
        <f aca="false">SUM(AR9:AR15)</f>
        <v>32131.275</v>
      </c>
      <c r="AS16" s="138" t="n">
        <f aca="false">SUM(AS9:AS15)</f>
        <v>32131.275</v>
      </c>
      <c r="AT16" s="138" t="n">
        <f aca="false">SUM(AT9:AT15)</f>
        <v>32131.275</v>
      </c>
      <c r="AU16" s="138" t="n">
        <f aca="false">SUM(AU9:AU15)</f>
        <v>32131.275</v>
      </c>
      <c r="AV16" s="138" t="n">
        <f aca="false">SUM(AV9:AV15)</f>
        <v>32131.275</v>
      </c>
      <c r="AW16" s="138" t="n">
        <f aca="false">SUM(AW9:AW15)</f>
        <v>32131.275</v>
      </c>
      <c r="AX16" s="138" t="n">
        <f aca="false">SUM(AX9:AX15)</f>
        <v>32131.275</v>
      </c>
      <c r="AY16" s="138" t="n">
        <f aca="false">SUM(AY9:AY15)</f>
        <v>32131.275</v>
      </c>
      <c r="AZ16" s="138" t="n">
        <f aca="false">SUM(AZ9:AZ15)</f>
        <v>32131.275</v>
      </c>
      <c r="BA16" s="138" t="n">
        <f aca="false">SUM(BA9:BA15)</f>
        <v>32131.275</v>
      </c>
      <c r="BB16" s="138" t="n">
        <f aca="false">SUM(BB9:BB15)</f>
        <v>32131.275</v>
      </c>
      <c r="BC16" s="138" t="n">
        <f aca="false">SUM(BC9:BC15)</f>
        <v>32131.275</v>
      </c>
      <c r="BD16" s="138" t="n">
        <f aca="false">SUM(BD9:BD15)</f>
        <v>32131.275</v>
      </c>
      <c r="BE16" s="138" t="n">
        <f aca="false">SUM(BE9:BE15)</f>
        <v>32131.275</v>
      </c>
      <c r="BF16" s="138" t="n">
        <f aca="false">SUM(BF9:BF15)</f>
        <v>32131.275</v>
      </c>
      <c r="BG16" s="138" t="n">
        <f aca="false">SUM(BG9:BG15)</f>
        <v>32131.275</v>
      </c>
      <c r="BH16" s="138" t="n">
        <f aca="false">SUM(BH9:BH15)</f>
        <v>32131.275</v>
      </c>
      <c r="BI16" s="138" t="n">
        <f aca="false">SUM(BI9:BI15)</f>
        <v>32131.275</v>
      </c>
      <c r="BJ16" s="138" t="n">
        <f aca="false">SUM(BJ9:BJ15)</f>
        <v>32131.275</v>
      </c>
      <c r="BK16" s="138" t="n">
        <f aca="false">SUM(BK9:BK15)</f>
        <v>32131.275</v>
      </c>
      <c r="BL16" s="138" t="n">
        <f aca="false">SUM(BL9:BL15)</f>
        <v>32131.275</v>
      </c>
      <c r="BM16" s="138" t="n">
        <f aca="false">SUM(BM9:BM15)</f>
        <v>32131.275</v>
      </c>
      <c r="BN16" s="138" t="n">
        <f aca="false">SUM(BN9:BN15)</f>
        <v>32131.275</v>
      </c>
      <c r="BO16" s="138" t="n">
        <f aca="false">SUM(BO9:BO15)</f>
        <v>32131.275</v>
      </c>
      <c r="BP16" s="138" t="n">
        <f aca="false">SUM(BP9:BP15)</f>
        <v>32131.275</v>
      </c>
      <c r="BQ16" s="138" t="n">
        <f aca="false">SUM(BQ9:BQ15)</f>
        <v>32131.275</v>
      </c>
      <c r="BR16" s="138" t="n">
        <f aca="false">SUM(BR9:BR15)</f>
        <v>32131.275</v>
      </c>
      <c r="BS16" s="138" t="n">
        <f aca="false">SUM(BS9:BS15)</f>
        <v>32131.275</v>
      </c>
      <c r="BT16" s="138" t="n">
        <f aca="false">SUM(BT9:BT15)</f>
        <v>32131.275</v>
      </c>
      <c r="BU16" s="138" t="n">
        <f aca="false">SUM(BU9:BU15)</f>
        <v>32131.275</v>
      </c>
      <c r="BV16" s="138" t="n">
        <f aca="false">SUM(BV9:BV15)</f>
        <v>32131.275</v>
      </c>
      <c r="BW16" s="138" t="n">
        <f aca="false">SUM(BW9:BW15)</f>
        <v>32131.275</v>
      </c>
      <c r="BX16" s="138" t="n">
        <f aca="false">SUM(BX9:BX15)</f>
        <v>32131.275</v>
      </c>
      <c r="BY16" s="138" t="n">
        <f aca="false">SUM(BY9:BY15)</f>
        <v>32131.275</v>
      </c>
      <c r="BZ16" s="138" t="n">
        <f aca="false">SUM(BZ9:BZ15)</f>
        <v>32131.275</v>
      </c>
      <c r="CA16" s="138" t="n">
        <f aca="false">SUM(CA9:CA15)</f>
        <v>32131.275</v>
      </c>
      <c r="CB16" s="138" t="n">
        <f aca="false">SUM(CB9:CB15)</f>
        <v>32131.275</v>
      </c>
      <c r="CC16" s="138" t="n">
        <f aca="false">SUM(CC9:CC15)</f>
        <v>32131.275</v>
      </c>
      <c r="CD16" s="138" t="n">
        <f aca="false">SUM(CD9:CD15)</f>
        <v>32131.275</v>
      </c>
      <c r="CE16" s="138" t="n">
        <f aca="false">SUM(CE9:CE15)</f>
        <v>32131.275</v>
      </c>
      <c r="CF16" s="138" t="n">
        <f aca="false">SUM(CF9:CF15)</f>
        <v>32131.275</v>
      </c>
      <c r="CG16" s="138" t="n">
        <f aca="false">SUM(CG9:CG15)</f>
        <v>32131.275</v>
      </c>
      <c r="CH16" s="138" t="n">
        <f aca="false">SUM(CH9:CH15)</f>
        <v>32131.275</v>
      </c>
    </row>
    <row r="17" customFormat="false" ht="13.5" hidden="false" customHeight="true" outlineLevel="0" collapsed="false">
      <c r="A17" s="13" t="s">
        <v>700</v>
      </c>
      <c r="C17" s="139" t="n">
        <f aca="false">(Pipeline!$T$16*Pipeline!$D$16*MIN(1,MAX(0,(1-Pipeline!$E$16+1)/MAX(Pipeline!$F$16,1)))+Pipeline!$T$17*Pipeline!$D$17*MIN(1,MAX(0,(1-Pipeline!$E$17+1)/MAX(Pipeline!$F$17,1)))+Pipeline!$T$18*Pipeline!$D$18*MIN(1,MAX(0,(1-Pipeline!$E$18+1)/MAX(Pipeline!$F$18,1)))+Pipeline!$T$19*Pipeline!$D$19*MIN(1,MAX(0,(1-Pipeline!$E$19+1)/MAX(Pipeline!$F$19,1)))+Pipeline!$T$20*Pipeline!$D$20*MIN(1,MAX(0,(1-Pipeline!$E$20+1)/MAX(Pipeline!$F$20,1)))+Pipeline!$T$21*Pipeline!$D$21*MIN(1,MAX(0,(1-Pipeline!$E$21+1)/MAX(Pipeline!$F$21,1)))+Pipeline!$T$22*Pipeline!$D$22*MIN(1,MAX(0,(1-Pipeline!$E$22+1)/MAX(Pipeline!$F$22,1))))/Hipótesis!$C$17</f>
        <v>111.865942028985</v>
      </c>
      <c r="D17" s="139" t="n">
        <f aca="false">(Pipeline!$T$16*Pipeline!$D$16*MIN(1,MAX(0,(2-Pipeline!$E$16+1)/MAX(Pipeline!$F$16,1)))+Pipeline!$T$17*Pipeline!$D$17*MIN(1,MAX(0,(2-Pipeline!$E$17+1)/MAX(Pipeline!$F$17,1)))+Pipeline!$T$18*Pipeline!$D$18*MIN(1,MAX(0,(2-Pipeline!$E$18+1)/MAX(Pipeline!$F$18,1)))+Pipeline!$T$19*Pipeline!$D$19*MIN(1,MAX(0,(2-Pipeline!$E$19+1)/MAX(Pipeline!$F$19,1)))+Pipeline!$T$20*Pipeline!$D$20*MIN(1,MAX(0,(2-Pipeline!$E$20+1)/MAX(Pipeline!$F$20,1)))+Pipeline!$T$21*Pipeline!$D$21*MIN(1,MAX(0,(2-Pipeline!$E$21+1)/MAX(Pipeline!$F$21,1)))+Pipeline!$T$22*Pipeline!$D$22*MIN(1,MAX(0,(2-Pipeline!$E$22+1)/MAX(Pipeline!$F$22,1))))/Hipótesis!$C$17</f>
        <v>240.419863597613</v>
      </c>
      <c r="E17" s="139" t="n">
        <f aca="false">(Pipeline!$T$16*Pipeline!$D$16*MIN(1,MAX(0,(3-Pipeline!$E$16+1)/MAX(Pipeline!$F$16,1)))+Pipeline!$T$17*Pipeline!$D$17*MIN(1,MAX(0,(3-Pipeline!$E$17+1)/MAX(Pipeline!$F$17,1)))+Pipeline!$T$18*Pipeline!$D$18*MIN(1,MAX(0,(3-Pipeline!$E$18+1)/MAX(Pipeline!$F$18,1)))+Pipeline!$T$19*Pipeline!$D$19*MIN(1,MAX(0,(3-Pipeline!$E$19+1)/MAX(Pipeline!$F$19,1)))+Pipeline!$T$20*Pipeline!$D$20*MIN(1,MAX(0,(3-Pipeline!$E$20+1)/MAX(Pipeline!$F$20,1)))+Pipeline!$T$21*Pipeline!$D$21*MIN(1,MAX(0,(3-Pipeline!$E$21+1)/MAX(Pipeline!$F$21,1)))+Pipeline!$T$22*Pipeline!$D$22*MIN(1,MAX(0,(3-Pipeline!$E$22+1)/MAX(Pipeline!$F$22,1))))/Hipótesis!$C$17</f>
        <v>585.726641199958</v>
      </c>
      <c r="F17" s="139" t="n">
        <f aca="false">(Pipeline!$T$16*Pipeline!$D$16*MIN(1,MAX(0,(4-Pipeline!$E$16+1)/MAX(Pipeline!$F$16,1)))+Pipeline!$T$17*Pipeline!$D$17*MIN(1,MAX(0,(4-Pipeline!$E$17+1)/MAX(Pipeline!$F$17,1)))+Pipeline!$T$18*Pipeline!$D$18*MIN(1,MAX(0,(4-Pipeline!$E$18+1)/MAX(Pipeline!$F$18,1)))+Pipeline!$T$19*Pipeline!$D$19*MIN(1,MAX(0,(4-Pipeline!$E$19+1)/MAX(Pipeline!$F$19,1)))+Pipeline!$T$20*Pipeline!$D$20*MIN(1,MAX(0,(4-Pipeline!$E$20+1)/MAX(Pipeline!$F$20,1)))+Pipeline!$T$21*Pipeline!$D$21*MIN(1,MAX(0,(4-Pipeline!$E$21+1)/MAX(Pipeline!$F$21,1)))+Pipeline!$T$22*Pipeline!$D$22*MIN(1,MAX(0,(4-Pipeline!$E$22+1)/MAX(Pipeline!$F$22,1))))/Hipótesis!$C$17</f>
        <v>819.167476773318</v>
      </c>
      <c r="G17" s="139" t="n">
        <f aca="false">(Pipeline!$T$16*Pipeline!$D$16*MIN(1,MAX(0,(5-Pipeline!$E$16+1)/MAX(Pipeline!$F$16,1)))+Pipeline!$T$17*Pipeline!$D$17*MIN(1,MAX(0,(5-Pipeline!$E$17+1)/MAX(Pipeline!$F$17,1)))+Pipeline!$T$18*Pipeline!$D$18*MIN(1,MAX(0,(5-Pipeline!$E$18+1)/MAX(Pipeline!$F$18,1)))+Pipeline!$T$19*Pipeline!$D$19*MIN(1,MAX(0,(5-Pipeline!$E$19+1)/MAX(Pipeline!$F$19,1)))+Pipeline!$T$20*Pipeline!$D$20*MIN(1,MAX(0,(5-Pipeline!$E$20+1)/MAX(Pipeline!$F$20,1)))+Pipeline!$T$21*Pipeline!$D$21*MIN(1,MAX(0,(5-Pipeline!$E$21+1)/MAX(Pipeline!$F$21,1)))+Pipeline!$T$22*Pipeline!$D$22*MIN(1,MAX(0,(5-Pipeline!$E$22+1)/MAX(Pipeline!$F$22,1))))/Hipótesis!$C$17</f>
        <v>1035.92033280704</v>
      </c>
      <c r="H17" s="139" t="n">
        <f aca="false">(Pipeline!$T$16*Pipeline!$D$16*MIN(1,MAX(0,(6-Pipeline!$E$16+1)/MAX(Pipeline!$F$16,1)))+Pipeline!$T$17*Pipeline!$D$17*MIN(1,MAX(0,(6-Pipeline!$E$17+1)/MAX(Pipeline!$F$17,1)))+Pipeline!$T$18*Pipeline!$D$18*MIN(1,MAX(0,(6-Pipeline!$E$18+1)/MAX(Pipeline!$F$18,1)))+Pipeline!$T$19*Pipeline!$D$19*MIN(1,MAX(0,(6-Pipeline!$E$19+1)/MAX(Pipeline!$F$19,1)))+Pipeline!$T$20*Pipeline!$D$20*MIN(1,MAX(0,(6-Pipeline!$E$20+1)/MAX(Pipeline!$F$20,1)))+Pipeline!$T$21*Pipeline!$D$21*MIN(1,MAX(0,(6-Pipeline!$E$21+1)/MAX(Pipeline!$F$21,1)))+Pipeline!$T$22*Pipeline!$D$22*MIN(1,MAX(0,(6-Pipeline!$E$22+1)/MAX(Pipeline!$F$22,1))))/Hipótesis!$C$17</f>
        <v>1443.88962106582</v>
      </c>
      <c r="I17" s="139" t="n">
        <f aca="false">(Pipeline!$T$16*Pipeline!$D$16*MIN(1,MAX(0,(7-Pipeline!$E$16+1)/MAX(Pipeline!$F$16,1)))+Pipeline!$T$17*Pipeline!$D$17*MIN(1,MAX(0,(7-Pipeline!$E$17+1)/MAX(Pipeline!$F$17,1)))+Pipeline!$T$18*Pipeline!$D$18*MIN(1,MAX(0,(7-Pipeline!$E$18+1)/MAX(Pipeline!$F$18,1)))+Pipeline!$T$19*Pipeline!$D$19*MIN(1,MAX(0,(7-Pipeline!$E$19+1)/MAX(Pipeline!$F$19,1)))+Pipeline!$T$20*Pipeline!$D$20*MIN(1,MAX(0,(7-Pipeline!$E$20+1)/MAX(Pipeline!$F$20,1)))+Pipeline!$T$21*Pipeline!$D$21*MIN(1,MAX(0,(7-Pipeline!$E$21+1)/MAX(Pipeline!$F$21,1)))+Pipeline!$T$22*Pipeline!$D$22*MIN(1,MAX(0,(7-Pipeline!$E$22+1)/MAX(Pipeline!$F$22,1))))/Hipótesis!$C$17</f>
        <v>1851.8589093246</v>
      </c>
      <c r="J17" s="139" t="n">
        <f aca="false">(Pipeline!$T$16*Pipeline!$D$16*MIN(1,MAX(0,(8-Pipeline!$E$16+1)/MAX(Pipeline!$F$16,1)))+Pipeline!$T$17*Pipeline!$D$17*MIN(1,MAX(0,(8-Pipeline!$E$17+1)/MAX(Pipeline!$F$17,1)))+Pipeline!$T$18*Pipeline!$D$18*MIN(1,MAX(0,(8-Pipeline!$E$18+1)/MAX(Pipeline!$F$18,1)))+Pipeline!$T$19*Pipeline!$D$19*MIN(1,MAX(0,(8-Pipeline!$E$19+1)/MAX(Pipeline!$F$19,1)))+Pipeline!$T$20*Pipeline!$D$20*MIN(1,MAX(0,(8-Pipeline!$E$20+1)/MAX(Pipeline!$F$20,1)))+Pipeline!$T$21*Pipeline!$D$21*MIN(1,MAX(0,(8-Pipeline!$E$21+1)/MAX(Pipeline!$F$21,1)))+Pipeline!$T$22*Pipeline!$D$22*MIN(1,MAX(0,(8-Pipeline!$E$22+1)/MAX(Pipeline!$F$22,1))))/Hipótesis!$C$17</f>
        <v>2259.82819758338</v>
      </c>
      <c r="K17" s="139" t="n">
        <f aca="false">(Pipeline!$T$16*Pipeline!$D$16*MIN(1,MAX(0,(9-Pipeline!$E$16+1)/MAX(Pipeline!$F$16,1)))+Pipeline!$T$17*Pipeline!$D$17*MIN(1,MAX(0,(9-Pipeline!$E$17+1)/MAX(Pipeline!$F$17,1)))+Pipeline!$T$18*Pipeline!$D$18*MIN(1,MAX(0,(9-Pipeline!$E$18+1)/MAX(Pipeline!$F$18,1)))+Pipeline!$T$19*Pipeline!$D$19*MIN(1,MAX(0,(9-Pipeline!$E$19+1)/MAX(Pipeline!$F$19,1)))+Pipeline!$T$20*Pipeline!$D$20*MIN(1,MAX(0,(9-Pipeline!$E$20+1)/MAX(Pipeline!$F$20,1)))+Pipeline!$T$21*Pipeline!$D$21*MIN(1,MAX(0,(9-Pipeline!$E$21+1)/MAX(Pipeline!$F$21,1)))+Pipeline!$T$22*Pipeline!$D$22*MIN(1,MAX(0,(9-Pipeline!$E$22+1)/MAX(Pipeline!$F$22,1))))/Hipótesis!$C$17</f>
        <v>2667.79748584216</v>
      </c>
      <c r="L17" s="139" t="n">
        <f aca="false">(Pipeline!$T$16*Pipeline!$D$16*MIN(1,MAX(0,(10-Pipeline!$E$16+1)/MAX(Pipeline!$F$16,1)))+Pipeline!$T$17*Pipeline!$D$17*MIN(1,MAX(0,(10-Pipeline!$E$17+1)/MAX(Pipeline!$F$17,1)))+Pipeline!$T$18*Pipeline!$D$18*MIN(1,MAX(0,(10-Pipeline!$E$18+1)/MAX(Pipeline!$F$18,1)))+Pipeline!$T$19*Pipeline!$D$19*MIN(1,MAX(0,(10-Pipeline!$E$19+1)/MAX(Pipeline!$F$19,1)))+Pipeline!$T$20*Pipeline!$D$20*MIN(1,MAX(0,(10-Pipeline!$E$20+1)/MAX(Pipeline!$F$20,1)))+Pipeline!$T$21*Pipeline!$D$21*MIN(1,MAX(0,(10-Pipeline!$E$21+1)/MAX(Pipeline!$F$21,1)))+Pipeline!$T$22*Pipeline!$D$22*MIN(1,MAX(0,(10-Pipeline!$E$22+1)/MAX(Pipeline!$F$22,1))))/Hipótesis!$C$17</f>
        <v>3075.76677410094</v>
      </c>
      <c r="M17" s="139" t="n">
        <f aca="false">(Pipeline!$T$16*Pipeline!$D$16*MIN(1,MAX(0,(11-Pipeline!$E$16+1)/MAX(Pipeline!$F$16,1)))+Pipeline!$T$17*Pipeline!$D$17*MIN(1,MAX(0,(11-Pipeline!$E$17+1)/MAX(Pipeline!$F$17,1)))+Pipeline!$T$18*Pipeline!$D$18*MIN(1,MAX(0,(11-Pipeline!$E$18+1)/MAX(Pipeline!$F$18,1)))+Pipeline!$T$19*Pipeline!$D$19*MIN(1,MAX(0,(11-Pipeline!$E$19+1)/MAX(Pipeline!$F$19,1)))+Pipeline!$T$20*Pipeline!$D$20*MIN(1,MAX(0,(11-Pipeline!$E$20+1)/MAX(Pipeline!$F$20,1)))+Pipeline!$T$21*Pipeline!$D$21*MIN(1,MAX(0,(11-Pipeline!$E$21+1)/MAX(Pipeline!$F$21,1)))+Pipeline!$T$22*Pipeline!$D$22*MIN(1,MAX(0,(11-Pipeline!$E$22+1)/MAX(Pipeline!$F$22,1))))/Hipótesis!$C$17</f>
        <v>3266.98320632601</v>
      </c>
      <c r="N17" s="139" t="n">
        <f aca="false">(Pipeline!$T$16*Pipeline!$D$16*MIN(1,MAX(0,(12-Pipeline!$E$16+1)/MAX(Pipeline!$F$16,1)))+Pipeline!$T$17*Pipeline!$D$17*MIN(1,MAX(0,(12-Pipeline!$E$17+1)/MAX(Pipeline!$F$17,1)))+Pipeline!$T$18*Pipeline!$D$18*MIN(1,MAX(0,(12-Pipeline!$E$18+1)/MAX(Pipeline!$F$18,1)))+Pipeline!$T$19*Pipeline!$D$19*MIN(1,MAX(0,(12-Pipeline!$E$19+1)/MAX(Pipeline!$F$19,1)))+Pipeline!$T$20*Pipeline!$D$20*MIN(1,MAX(0,(12-Pipeline!$E$20+1)/MAX(Pipeline!$F$20,1)))+Pipeline!$T$21*Pipeline!$D$21*MIN(1,MAX(0,(12-Pipeline!$E$21+1)/MAX(Pipeline!$F$21,1)))+Pipeline!$T$22*Pipeline!$D$22*MIN(1,MAX(0,(12-Pipeline!$E$22+1)/MAX(Pipeline!$F$22,1))))/Hipótesis!$C$17</f>
        <v>3736.33263087844</v>
      </c>
      <c r="O17" s="139" t="n">
        <f aca="false">(Pipeline!$T$16*Pipeline!$D$16*MIN(1,MAX(0,(13-Pipeline!$E$16+1)/MAX(Pipeline!$F$16,1)))+Pipeline!$T$17*Pipeline!$D$17*MIN(1,MAX(0,(13-Pipeline!$E$17+1)/MAX(Pipeline!$F$17,1)))+Pipeline!$T$18*Pipeline!$D$18*MIN(1,MAX(0,(13-Pipeline!$E$18+1)/MAX(Pipeline!$F$18,1)))+Pipeline!$T$19*Pipeline!$D$19*MIN(1,MAX(0,(13-Pipeline!$E$19+1)/MAX(Pipeline!$F$19,1)))+Pipeline!$T$20*Pipeline!$D$20*MIN(1,MAX(0,(13-Pipeline!$E$20+1)/MAX(Pipeline!$F$20,1)))+Pipeline!$T$21*Pipeline!$D$21*MIN(1,MAX(0,(13-Pipeline!$E$21+1)/MAX(Pipeline!$F$21,1)))+Pipeline!$T$22*Pipeline!$D$22*MIN(1,MAX(0,(13-Pipeline!$E$22+1)/MAX(Pipeline!$F$22,1))))/Hipótesis!$C$17</f>
        <v>4205.68205543087</v>
      </c>
      <c r="P17" s="139" t="n">
        <f aca="false">(Pipeline!$T$16*Pipeline!$D$16*MIN(1,MAX(0,(14-Pipeline!$E$16+1)/MAX(Pipeline!$F$16,1)))+Pipeline!$T$17*Pipeline!$D$17*MIN(1,MAX(0,(14-Pipeline!$E$17+1)/MAX(Pipeline!$F$17,1)))+Pipeline!$T$18*Pipeline!$D$18*MIN(1,MAX(0,(14-Pipeline!$E$18+1)/MAX(Pipeline!$F$18,1)))+Pipeline!$T$19*Pipeline!$D$19*MIN(1,MAX(0,(14-Pipeline!$E$19+1)/MAX(Pipeline!$F$19,1)))+Pipeline!$T$20*Pipeline!$D$20*MIN(1,MAX(0,(14-Pipeline!$E$20+1)/MAX(Pipeline!$F$20,1)))+Pipeline!$T$21*Pipeline!$D$21*MIN(1,MAX(0,(14-Pipeline!$E$21+1)/MAX(Pipeline!$F$21,1)))+Pipeline!$T$22*Pipeline!$D$22*MIN(1,MAX(0,(14-Pipeline!$E$22+1)/MAX(Pipeline!$F$22,1))))/Hipótesis!$C$17</f>
        <v>4595.06824468918</v>
      </c>
      <c r="Q17" s="139" t="n">
        <f aca="false">(Pipeline!$T$16*Pipeline!$D$16*MIN(1,MAX(0,(15-Pipeline!$E$16+1)/MAX(Pipeline!$F$16,1)))+Pipeline!$T$17*Pipeline!$D$17*MIN(1,MAX(0,(15-Pipeline!$E$17+1)/MAX(Pipeline!$F$17,1)))+Pipeline!$T$18*Pipeline!$D$18*MIN(1,MAX(0,(15-Pipeline!$E$18+1)/MAX(Pipeline!$F$18,1)))+Pipeline!$T$19*Pipeline!$D$19*MIN(1,MAX(0,(15-Pipeline!$E$19+1)/MAX(Pipeline!$F$19,1)))+Pipeline!$T$20*Pipeline!$D$20*MIN(1,MAX(0,(15-Pipeline!$E$20+1)/MAX(Pipeline!$F$20,1)))+Pipeline!$T$21*Pipeline!$D$21*MIN(1,MAX(0,(15-Pipeline!$E$21+1)/MAX(Pipeline!$F$21,1)))+Pipeline!$T$22*Pipeline!$D$22*MIN(1,MAX(0,(15-Pipeline!$E$22+1)/MAX(Pipeline!$F$22,1))))/Hipótesis!$C$17</f>
        <v>4984.45443394749</v>
      </c>
      <c r="R17" s="139" t="n">
        <f aca="false">(Pipeline!$T$16*Pipeline!$D$16*MIN(1,MAX(0,(16-Pipeline!$E$16+1)/MAX(Pipeline!$F$16,1)))+Pipeline!$T$17*Pipeline!$D$17*MIN(1,MAX(0,(16-Pipeline!$E$17+1)/MAX(Pipeline!$F$17,1)))+Pipeline!$T$18*Pipeline!$D$18*MIN(1,MAX(0,(16-Pipeline!$E$18+1)/MAX(Pipeline!$F$18,1)))+Pipeline!$T$19*Pipeline!$D$19*MIN(1,MAX(0,(16-Pipeline!$E$19+1)/MAX(Pipeline!$F$19,1)))+Pipeline!$T$20*Pipeline!$D$20*MIN(1,MAX(0,(16-Pipeline!$E$20+1)/MAX(Pipeline!$F$20,1)))+Pipeline!$T$21*Pipeline!$D$21*MIN(1,MAX(0,(16-Pipeline!$E$21+1)/MAX(Pipeline!$F$21,1)))+Pipeline!$T$22*Pipeline!$D$22*MIN(1,MAX(0,(16-Pipeline!$E$22+1)/MAX(Pipeline!$F$22,1))))/Hipótesis!$C$17</f>
        <v>5373.8406232058</v>
      </c>
      <c r="S17" s="139" t="n">
        <f aca="false">(Pipeline!$T$16*Pipeline!$D$16*MIN(1,MAX(0,(17-Pipeline!$E$16+1)/MAX(Pipeline!$F$16,1)))+Pipeline!$T$17*Pipeline!$D$17*MIN(1,MAX(0,(17-Pipeline!$E$17+1)/MAX(Pipeline!$F$17,1)))+Pipeline!$T$18*Pipeline!$D$18*MIN(1,MAX(0,(17-Pipeline!$E$18+1)/MAX(Pipeline!$F$18,1)))+Pipeline!$T$19*Pipeline!$D$19*MIN(1,MAX(0,(17-Pipeline!$E$19+1)/MAX(Pipeline!$F$19,1)))+Pipeline!$T$20*Pipeline!$D$20*MIN(1,MAX(0,(17-Pipeline!$E$20+1)/MAX(Pipeline!$F$20,1)))+Pipeline!$T$21*Pipeline!$D$21*MIN(1,MAX(0,(17-Pipeline!$E$21+1)/MAX(Pipeline!$F$21,1)))+Pipeline!$T$22*Pipeline!$D$22*MIN(1,MAX(0,(17-Pipeline!$E$22+1)/MAX(Pipeline!$F$22,1))))/Hipótesis!$C$17</f>
        <v>5763.22681246412</v>
      </c>
      <c r="T17" s="139" t="n">
        <f aca="false">(Pipeline!$T$16*Pipeline!$D$16*MIN(1,MAX(0,(18-Pipeline!$E$16+1)/MAX(Pipeline!$F$16,1)))+Pipeline!$T$17*Pipeline!$D$17*MIN(1,MAX(0,(18-Pipeline!$E$17+1)/MAX(Pipeline!$F$17,1)))+Pipeline!$T$18*Pipeline!$D$18*MIN(1,MAX(0,(18-Pipeline!$E$18+1)/MAX(Pipeline!$F$18,1)))+Pipeline!$T$19*Pipeline!$D$19*MIN(1,MAX(0,(18-Pipeline!$E$19+1)/MAX(Pipeline!$F$19,1)))+Pipeline!$T$20*Pipeline!$D$20*MIN(1,MAX(0,(18-Pipeline!$E$20+1)/MAX(Pipeline!$F$20,1)))+Pipeline!$T$21*Pipeline!$D$21*MIN(1,MAX(0,(18-Pipeline!$E$21+1)/MAX(Pipeline!$F$21,1)))+Pipeline!$T$22*Pipeline!$D$22*MIN(1,MAX(0,(18-Pipeline!$E$22+1)/MAX(Pipeline!$F$22,1))))/Hipótesis!$C$17</f>
        <v>6152.61300172243</v>
      </c>
      <c r="U17" s="139" t="n">
        <f aca="false">(Pipeline!$T$16*Pipeline!$D$16*MIN(1,MAX(0,(19-Pipeline!$E$16+1)/MAX(Pipeline!$F$16,1)))+Pipeline!$T$17*Pipeline!$D$17*MIN(1,MAX(0,(19-Pipeline!$E$17+1)/MAX(Pipeline!$F$17,1)))+Pipeline!$T$18*Pipeline!$D$18*MIN(1,MAX(0,(19-Pipeline!$E$18+1)/MAX(Pipeline!$F$18,1)))+Pipeline!$T$19*Pipeline!$D$19*MIN(1,MAX(0,(19-Pipeline!$E$19+1)/MAX(Pipeline!$F$19,1)))+Pipeline!$T$20*Pipeline!$D$20*MIN(1,MAX(0,(19-Pipeline!$E$20+1)/MAX(Pipeline!$F$20,1)))+Pipeline!$T$21*Pipeline!$D$21*MIN(1,MAX(0,(19-Pipeline!$E$21+1)/MAX(Pipeline!$F$21,1)))+Pipeline!$T$22*Pipeline!$D$22*MIN(1,MAX(0,(19-Pipeline!$E$22+1)/MAX(Pipeline!$F$22,1))))/Hipótesis!$C$17</f>
        <v>6541.99919098074</v>
      </c>
      <c r="V17" s="139" t="n">
        <f aca="false">(Pipeline!$T$16*Pipeline!$D$16*MIN(1,MAX(0,(20-Pipeline!$E$16+1)/MAX(Pipeline!$F$16,1)))+Pipeline!$T$17*Pipeline!$D$17*MIN(1,MAX(0,(20-Pipeline!$E$17+1)/MAX(Pipeline!$F$17,1)))+Pipeline!$T$18*Pipeline!$D$18*MIN(1,MAX(0,(20-Pipeline!$E$18+1)/MAX(Pipeline!$F$18,1)))+Pipeline!$T$19*Pipeline!$D$19*MIN(1,MAX(0,(20-Pipeline!$E$19+1)/MAX(Pipeline!$F$19,1)))+Pipeline!$T$20*Pipeline!$D$20*MIN(1,MAX(0,(20-Pipeline!$E$20+1)/MAX(Pipeline!$F$20,1)))+Pipeline!$T$21*Pipeline!$D$21*MIN(1,MAX(0,(20-Pipeline!$E$21+1)/MAX(Pipeline!$F$21,1)))+Pipeline!$T$22*Pipeline!$D$22*MIN(1,MAX(0,(20-Pipeline!$E$22+1)/MAX(Pipeline!$F$22,1))))/Hipótesis!$C$17</f>
        <v>6931.38538023905</v>
      </c>
      <c r="W17" s="139" t="n">
        <f aca="false">(Pipeline!$T$16*Pipeline!$D$16*MIN(1,MAX(0,(21-Pipeline!$E$16+1)/MAX(Pipeline!$F$16,1)))+Pipeline!$T$17*Pipeline!$D$17*MIN(1,MAX(0,(21-Pipeline!$E$17+1)/MAX(Pipeline!$F$17,1)))+Pipeline!$T$18*Pipeline!$D$18*MIN(1,MAX(0,(21-Pipeline!$E$18+1)/MAX(Pipeline!$F$18,1)))+Pipeline!$T$19*Pipeline!$D$19*MIN(1,MAX(0,(21-Pipeline!$E$19+1)/MAX(Pipeline!$F$19,1)))+Pipeline!$T$20*Pipeline!$D$20*MIN(1,MAX(0,(21-Pipeline!$E$20+1)/MAX(Pipeline!$F$20,1)))+Pipeline!$T$21*Pipeline!$D$21*MIN(1,MAX(0,(21-Pipeline!$E$21+1)/MAX(Pipeline!$F$21,1)))+Pipeline!$T$22*Pipeline!$D$22*MIN(1,MAX(0,(21-Pipeline!$E$22+1)/MAX(Pipeline!$F$22,1))))/Hipótesis!$C$17</f>
        <v>7320.77156949736</v>
      </c>
      <c r="X17" s="139" t="n">
        <f aca="false">(Pipeline!$T$16*Pipeline!$D$16*MIN(1,MAX(0,(22-Pipeline!$E$16+1)/MAX(Pipeline!$F$16,1)))+Pipeline!$T$17*Pipeline!$D$17*MIN(1,MAX(0,(22-Pipeline!$E$17+1)/MAX(Pipeline!$F$17,1)))+Pipeline!$T$18*Pipeline!$D$18*MIN(1,MAX(0,(22-Pipeline!$E$18+1)/MAX(Pipeline!$F$18,1)))+Pipeline!$T$19*Pipeline!$D$19*MIN(1,MAX(0,(22-Pipeline!$E$19+1)/MAX(Pipeline!$F$19,1)))+Pipeline!$T$20*Pipeline!$D$20*MIN(1,MAX(0,(22-Pipeline!$E$20+1)/MAX(Pipeline!$F$20,1)))+Pipeline!$T$21*Pipeline!$D$21*MIN(1,MAX(0,(22-Pipeline!$E$21+1)/MAX(Pipeline!$F$21,1)))+Pipeline!$T$22*Pipeline!$D$22*MIN(1,MAX(0,(22-Pipeline!$E$22+1)/MAX(Pipeline!$F$22,1))))/Hipótesis!$C$17</f>
        <v>7432.02476642831</v>
      </c>
      <c r="Y17" s="139" t="n">
        <f aca="false">(Pipeline!$T$16*Pipeline!$D$16*MIN(1,MAX(0,(23-Pipeline!$E$16+1)/MAX(Pipeline!$F$16,1)))+Pipeline!$T$17*Pipeline!$D$17*MIN(1,MAX(0,(23-Pipeline!$E$17+1)/MAX(Pipeline!$F$17,1)))+Pipeline!$T$18*Pipeline!$D$18*MIN(1,MAX(0,(23-Pipeline!$E$18+1)/MAX(Pipeline!$F$18,1)))+Pipeline!$T$19*Pipeline!$D$19*MIN(1,MAX(0,(23-Pipeline!$E$19+1)/MAX(Pipeline!$F$19,1)))+Pipeline!$T$20*Pipeline!$D$20*MIN(1,MAX(0,(23-Pipeline!$E$20+1)/MAX(Pipeline!$F$20,1)))+Pipeline!$T$21*Pipeline!$D$21*MIN(1,MAX(0,(23-Pipeline!$E$21+1)/MAX(Pipeline!$F$21,1)))+Pipeline!$T$22*Pipeline!$D$22*MIN(1,MAX(0,(23-Pipeline!$E$22+1)/MAX(Pipeline!$F$22,1))))/Hipótesis!$C$17</f>
        <v>7543.27796335926</v>
      </c>
      <c r="Z17" s="139" t="n">
        <f aca="false">(Pipeline!$T$16*Pipeline!$D$16*MIN(1,MAX(0,(24-Pipeline!$E$16+1)/MAX(Pipeline!$F$16,1)))+Pipeline!$T$17*Pipeline!$D$17*MIN(1,MAX(0,(24-Pipeline!$E$17+1)/MAX(Pipeline!$F$17,1)))+Pipeline!$T$18*Pipeline!$D$18*MIN(1,MAX(0,(24-Pipeline!$E$18+1)/MAX(Pipeline!$F$18,1)))+Pipeline!$T$19*Pipeline!$D$19*MIN(1,MAX(0,(24-Pipeline!$E$19+1)/MAX(Pipeline!$F$19,1)))+Pipeline!$T$20*Pipeline!$D$20*MIN(1,MAX(0,(24-Pipeline!$E$20+1)/MAX(Pipeline!$F$20,1)))+Pipeline!$T$21*Pipeline!$D$21*MIN(1,MAX(0,(24-Pipeline!$E$21+1)/MAX(Pipeline!$F$21,1)))+Pipeline!$T$22*Pipeline!$D$22*MIN(1,MAX(0,(24-Pipeline!$E$22+1)/MAX(Pipeline!$F$22,1))))/Hipótesis!$C$17</f>
        <v>7543.27796335926</v>
      </c>
      <c r="AA17" s="139" t="n">
        <f aca="false">(Pipeline!$T$16*Pipeline!$D$16*MIN(1,MAX(0,(25-Pipeline!$E$16+1)/MAX(Pipeline!$F$16,1)))+Pipeline!$T$17*Pipeline!$D$17*MIN(1,MAX(0,(25-Pipeline!$E$17+1)/MAX(Pipeline!$F$17,1)))+Pipeline!$T$18*Pipeline!$D$18*MIN(1,MAX(0,(25-Pipeline!$E$18+1)/MAX(Pipeline!$F$18,1)))+Pipeline!$T$19*Pipeline!$D$19*MIN(1,MAX(0,(25-Pipeline!$E$19+1)/MAX(Pipeline!$F$19,1)))+Pipeline!$T$20*Pipeline!$D$20*MIN(1,MAX(0,(25-Pipeline!$E$20+1)/MAX(Pipeline!$F$20,1)))+Pipeline!$T$21*Pipeline!$D$21*MIN(1,MAX(0,(25-Pipeline!$E$21+1)/MAX(Pipeline!$F$21,1)))+Pipeline!$T$22*Pipeline!$D$22*MIN(1,MAX(0,(25-Pipeline!$E$22+1)/MAX(Pipeline!$F$22,1))))/Hipótesis!$C$17</f>
        <v>7543.27796335926</v>
      </c>
      <c r="AB17" s="139" t="n">
        <f aca="false">(Pipeline!$T$16*Pipeline!$D$16*MIN(1,MAX(0,(26-Pipeline!$E$16+1)/MAX(Pipeline!$F$16,1)))+Pipeline!$T$17*Pipeline!$D$17*MIN(1,MAX(0,(26-Pipeline!$E$17+1)/MAX(Pipeline!$F$17,1)))+Pipeline!$T$18*Pipeline!$D$18*MIN(1,MAX(0,(26-Pipeline!$E$18+1)/MAX(Pipeline!$F$18,1)))+Pipeline!$T$19*Pipeline!$D$19*MIN(1,MAX(0,(26-Pipeline!$E$19+1)/MAX(Pipeline!$F$19,1)))+Pipeline!$T$20*Pipeline!$D$20*MIN(1,MAX(0,(26-Pipeline!$E$20+1)/MAX(Pipeline!$F$20,1)))+Pipeline!$T$21*Pipeline!$D$21*MIN(1,MAX(0,(26-Pipeline!$E$21+1)/MAX(Pipeline!$F$21,1)))+Pipeline!$T$22*Pipeline!$D$22*MIN(1,MAX(0,(26-Pipeline!$E$22+1)/MAX(Pipeline!$F$22,1))))/Hipótesis!$C$17</f>
        <v>7543.27796335926</v>
      </c>
      <c r="AC17" s="139" t="n">
        <f aca="false">(Pipeline!$T$16*Pipeline!$D$16*MIN(1,MAX(0,(27-Pipeline!$E$16+1)/MAX(Pipeline!$F$16,1)))+Pipeline!$T$17*Pipeline!$D$17*MIN(1,MAX(0,(27-Pipeline!$E$17+1)/MAX(Pipeline!$F$17,1)))+Pipeline!$T$18*Pipeline!$D$18*MIN(1,MAX(0,(27-Pipeline!$E$18+1)/MAX(Pipeline!$F$18,1)))+Pipeline!$T$19*Pipeline!$D$19*MIN(1,MAX(0,(27-Pipeline!$E$19+1)/MAX(Pipeline!$F$19,1)))+Pipeline!$T$20*Pipeline!$D$20*MIN(1,MAX(0,(27-Pipeline!$E$20+1)/MAX(Pipeline!$F$20,1)))+Pipeline!$T$21*Pipeline!$D$21*MIN(1,MAX(0,(27-Pipeline!$E$21+1)/MAX(Pipeline!$F$21,1)))+Pipeline!$T$22*Pipeline!$D$22*MIN(1,MAX(0,(27-Pipeline!$E$22+1)/MAX(Pipeline!$F$22,1))))/Hipótesis!$C$17</f>
        <v>7543.27796335926</v>
      </c>
      <c r="AD17" s="139" t="n">
        <f aca="false">(Pipeline!$T$16*Pipeline!$D$16*MIN(1,MAX(0,(28-Pipeline!$E$16+1)/MAX(Pipeline!$F$16,1)))+Pipeline!$T$17*Pipeline!$D$17*MIN(1,MAX(0,(28-Pipeline!$E$17+1)/MAX(Pipeline!$F$17,1)))+Pipeline!$T$18*Pipeline!$D$18*MIN(1,MAX(0,(28-Pipeline!$E$18+1)/MAX(Pipeline!$F$18,1)))+Pipeline!$T$19*Pipeline!$D$19*MIN(1,MAX(0,(28-Pipeline!$E$19+1)/MAX(Pipeline!$F$19,1)))+Pipeline!$T$20*Pipeline!$D$20*MIN(1,MAX(0,(28-Pipeline!$E$20+1)/MAX(Pipeline!$F$20,1)))+Pipeline!$T$21*Pipeline!$D$21*MIN(1,MAX(0,(28-Pipeline!$E$21+1)/MAX(Pipeline!$F$21,1)))+Pipeline!$T$22*Pipeline!$D$22*MIN(1,MAX(0,(28-Pipeline!$E$22+1)/MAX(Pipeline!$F$22,1))))/Hipótesis!$C$17</f>
        <v>7543.27796335926</v>
      </c>
      <c r="AE17" s="139" t="n">
        <f aca="false">(Pipeline!$T$16*Pipeline!$D$16*MIN(1,MAX(0,(29-Pipeline!$E$16+1)/MAX(Pipeline!$F$16,1)))+Pipeline!$T$17*Pipeline!$D$17*MIN(1,MAX(0,(29-Pipeline!$E$17+1)/MAX(Pipeline!$F$17,1)))+Pipeline!$T$18*Pipeline!$D$18*MIN(1,MAX(0,(29-Pipeline!$E$18+1)/MAX(Pipeline!$F$18,1)))+Pipeline!$T$19*Pipeline!$D$19*MIN(1,MAX(0,(29-Pipeline!$E$19+1)/MAX(Pipeline!$F$19,1)))+Pipeline!$T$20*Pipeline!$D$20*MIN(1,MAX(0,(29-Pipeline!$E$20+1)/MAX(Pipeline!$F$20,1)))+Pipeline!$T$21*Pipeline!$D$21*MIN(1,MAX(0,(29-Pipeline!$E$21+1)/MAX(Pipeline!$F$21,1)))+Pipeline!$T$22*Pipeline!$D$22*MIN(1,MAX(0,(29-Pipeline!$E$22+1)/MAX(Pipeline!$F$22,1))))/Hipótesis!$C$17</f>
        <v>7543.27796335926</v>
      </c>
      <c r="AF17" s="139" t="n">
        <f aca="false">(Pipeline!$T$16*Pipeline!$D$16*MIN(1,MAX(0,(30-Pipeline!$E$16+1)/MAX(Pipeline!$F$16,1)))+Pipeline!$T$17*Pipeline!$D$17*MIN(1,MAX(0,(30-Pipeline!$E$17+1)/MAX(Pipeline!$F$17,1)))+Pipeline!$T$18*Pipeline!$D$18*MIN(1,MAX(0,(30-Pipeline!$E$18+1)/MAX(Pipeline!$F$18,1)))+Pipeline!$T$19*Pipeline!$D$19*MIN(1,MAX(0,(30-Pipeline!$E$19+1)/MAX(Pipeline!$F$19,1)))+Pipeline!$T$20*Pipeline!$D$20*MIN(1,MAX(0,(30-Pipeline!$E$20+1)/MAX(Pipeline!$F$20,1)))+Pipeline!$T$21*Pipeline!$D$21*MIN(1,MAX(0,(30-Pipeline!$E$21+1)/MAX(Pipeline!$F$21,1)))+Pipeline!$T$22*Pipeline!$D$22*MIN(1,MAX(0,(30-Pipeline!$E$22+1)/MAX(Pipeline!$F$22,1))))/Hipótesis!$C$17</f>
        <v>7543.27796335926</v>
      </c>
      <c r="AG17" s="139" t="n">
        <f aca="false">(Pipeline!$T$16*Pipeline!$D$16*MIN(1,MAX(0,(31-Pipeline!$E$16+1)/MAX(Pipeline!$F$16,1)))+Pipeline!$T$17*Pipeline!$D$17*MIN(1,MAX(0,(31-Pipeline!$E$17+1)/MAX(Pipeline!$F$17,1)))+Pipeline!$T$18*Pipeline!$D$18*MIN(1,MAX(0,(31-Pipeline!$E$18+1)/MAX(Pipeline!$F$18,1)))+Pipeline!$T$19*Pipeline!$D$19*MIN(1,MAX(0,(31-Pipeline!$E$19+1)/MAX(Pipeline!$F$19,1)))+Pipeline!$T$20*Pipeline!$D$20*MIN(1,MAX(0,(31-Pipeline!$E$20+1)/MAX(Pipeline!$F$20,1)))+Pipeline!$T$21*Pipeline!$D$21*MIN(1,MAX(0,(31-Pipeline!$E$21+1)/MAX(Pipeline!$F$21,1)))+Pipeline!$T$22*Pipeline!$D$22*MIN(1,MAX(0,(31-Pipeline!$E$22+1)/MAX(Pipeline!$F$22,1))))/Hipótesis!$C$17</f>
        <v>7543.27796335926</v>
      </c>
      <c r="AH17" s="139" t="n">
        <f aca="false">(Pipeline!$T$16*Pipeline!$D$16*MIN(1,MAX(0,(32-Pipeline!$E$16+1)/MAX(Pipeline!$F$16,1)))+Pipeline!$T$17*Pipeline!$D$17*MIN(1,MAX(0,(32-Pipeline!$E$17+1)/MAX(Pipeline!$F$17,1)))+Pipeline!$T$18*Pipeline!$D$18*MIN(1,MAX(0,(32-Pipeline!$E$18+1)/MAX(Pipeline!$F$18,1)))+Pipeline!$T$19*Pipeline!$D$19*MIN(1,MAX(0,(32-Pipeline!$E$19+1)/MAX(Pipeline!$F$19,1)))+Pipeline!$T$20*Pipeline!$D$20*MIN(1,MAX(0,(32-Pipeline!$E$20+1)/MAX(Pipeline!$F$20,1)))+Pipeline!$T$21*Pipeline!$D$21*MIN(1,MAX(0,(32-Pipeline!$E$21+1)/MAX(Pipeline!$F$21,1)))+Pipeline!$T$22*Pipeline!$D$22*MIN(1,MAX(0,(32-Pipeline!$E$22+1)/MAX(Pipeline!$F$22,1))))/Hipótesis!$C$17</f>
        <v>7543.27796335926</v>
      </c>
      <c r="AI17" s="139" t="n">
        <f aca="false">(Pipeline!$T$16*Pipeline!$D$16*MIN(1,MAX(0,(33-Pipeline!$E$16+1)/MAX(Pipeline!$F$16,1)))+Pipeline!$T$17*Pipeline!$D$17*MIN(1,MAX(0,(33-Pipeline!$E$17+1)/MAX(Pipeline!$F$17,1)))+Pipeline!$T$18*Pipeline!$D$18*MIN(1,MAX(0,(33-Pipeline!$E$18+1)/MAX(Pipeline!$F$18,1)))+Pipeline!$T$19*Pipeline!$D$19*MIN(1,MAX(0,(33-Pipeline!$E$19+1)/MAX(Pipeline!$F$19,1)))+Pipeline!$T$20*Pipeline!$D$20*MIN(1,MAX(0,(33-Pipeline!$E$20+1)/MAX(Pipeline!$F$20,1)))+Pipeline!$T$21*Pipeline!$D$21*MIN(1,MAX(0,(33-Pipeline!$E$21+1)/MAX(Pipeline!$F$21,1)))+Pipeline!$T$22*Pipeline!$D$22*MIN(1,MAX(0,(33-Pipeline!$E$22+1)/MAX(Pipeline!$F$22,1))))/Hipótesis!$C$17</f>
        <v>7543.27796335926</v>
      </c>
      <c r="AJ17" s="139" t="n">
        <f aca="false">(Pipeline!$T$16*Pipeline!$D$16*MIN(1,MAX(0,(34-Pipeline!$E$16+1)/MAX(Pipeline!$F$16,1)))+Pipeline!$T$17*Pipeline!$D$17*MIN(1,MAX(0,(34-Pipeline!$E$17+1)/MAX(Pipeline!$F$17,1)))+Pipeline!$T$18*Pipeline!$D$18*MIN(1,MAX(0,(34-Pipeline!$E$18+1)/MAX(Pipeline!$F$18,1)))+Pipeline!$T$19*Pipeline!$D$19*MIN(1,MAX(0,(34-Pipeline!$E$19+1)/MAX(Pipeline!$F$19,1)))+Pipeline!$T$20*Pipeline!$D$20*MIN(1,MAX(0,(34-Pipeline!$E$20+1)/MAX(Pipeline!$F$20,1)))+Pipeline!$T$21*Pipeline!$D$21*MIN(1,MAX(0,(34-Pipeline!$E$21+1)/MAX(Pipeline!$F$21,1)))+Pipeline!$T$22*Pipeline!$D$22*MIN(1,MAX(0,(34-Pipeline!$E$22+1)/MAX(Pipeline!$F$22,1))))/Hipótesis!$C$17</f>
        <v>7543.27796335926</v>
      </c>
      <c r="AK17" s="139" t="n">
        <f aca="false">(Pipeline!$T$16*Pipeline!$D$16*MIN(1,MAX(0,(35-Pipeline!$E$16+1)/MAX(Pipeline!$F$16,1)))+Pipeline!$T$17*Pipeline!$D$17*MIN(1,MAX(0,(35-Pipeline!$E$17+1)/MAX(Pipeline!$F$17,1)))+Pipeline!$T$18*Pipeline!$D$18*MIN(1,MAX(0,(35-Pipeline!$E$18+1)/MAX(Pipeline!$F$18,1)))+Pipeline!$T$19*Pipeline!$D$19*MIN(1,MAX(0,(35-Pipeline!$E$19+1)/MAX(Pipeline!$F$19,1)))+Pipeline!$T$20*Pipeline!$D$20*MIN(1,MAX(0,(35-Pipeline!$E$20+1)/MAX(Pipeline!$F$20,1)))+Pipeline!$T$21*Pipeline!$D$21*MIN(1,MAX(0,(35-Pipeline!$E$21+1)/MAX(Pipeline!$F$21,1)))+Pipeline!$T$22*Pipeline!$D$22*MIN(1,MAX(0,(35-Pipeline!$E$22+1)/MAX(Pipeline!$F$22,1))))/Hipótesis!$C$17</f>
        <v>7543.27796335926</v>
      </c>
      <c r="AL17" s="139" t="n">
        <f aca="false">(Pipeline!$T$16*Pipeline!$D$16*MIN(1,MAX(0,(36-Pipeline!$E$16+1)/MAX(Pipeline!$F$16,1)))+Pipeline!$T$17*Pipeline!$D$17*MIN(1,MAX(0,(36-Pipeline!$E$17+1)/MAX(Pipeline!$F$17,1)))+Pipeline!$T$18*Pipeline!$D$18*MIN(1,MAX(0,(36-Pipeline!$E$18+1)/MAX(Pipeline!$F$18,1)))+Pipeline!$T$19*Pipeline!$D$19*MIN(1,MAX(0,(36-Pipeline!$E$19+1)/MAX(Pipeline!$F$19,1)))+Pipeline!$T$20*Pipeline!$D$20*MIN(1,MAX(0,(36-Pipeline!$E$20+1)/MAX(Pipeline!$F$20,1)))+Pipeline!$T$21*Pipeline!$D$21*MIN(1,MAX(0,(36-Pipeline!$E$21+1)/MAX(Pipeline!$F$21,1)))+Pipeline!$T$22*Pipeline!$D$22*MIN(1,MAX(0,(36-Pipeline!$E$22+1)/MAX(Pipeline!$F$22,1))))/Hipótesis!$C$17</f>
        <v>7543.27796335926</v>
      </c>
      <c r="AM17" s="139" t="n">
        <f aca="false">(Pipeline!$T$16*Pipeline!$D$16*MIN(1,MAX(0,(37-Pipeline!$E$16+1)/MAX(Pipeline!$F$16,1)))+Pipeline!$T$17*Pipeline!$D$17*MIN(1,MAX(0,(37-Pipeline!$E$17+1)/MAX(Pipeline!$F$17,1)))+Pipeline!$T$18*Pipeline!$D$18*MIN(1,MAX(0,(37-Pipeline!$E$18+1)/MAX(Pipeline!$F$18,1)))+Pipeline!$T$19*Pipeline!$D$19*MIN(1,MAX(0,(37-Pipeline!$E$19+1)/MAX(Pipeline!$F$19,1)))+Pipeline!$T$20*Pipeline!$D$20*MIN(1,MAX(0,(37-Pipeline!$E$20+1)/MAX(Pipeline!$F$20,1)))+Pipeline!$T$21*Pipeline!$D$21*MIN(1,MAX(0,(37-Pipeline!$E$21+1)/MAX(Pipeline!$F$21,1)))+Pipeline!$T$22*Pipeline!$D$22*MIN(1,MAX(0,(37-Pipeline!$E$22+1)/MAX(Pipeline!$F$22,1))))/Hipótesis!$C$17</f>
        <v>7543.27796335926</v>
      </c>
      <c r="AN17" s="139" t="n">
        <f aca="false">(Pipeline!$T$16*Pipeline!$D$16*MIN(1,MAX(0,(38-Pipeline!$E$16+1)/MAX(Pipeline!$F$16,1)))+Pipeline!$T$17*Pipeline!$D$17*MIN(1,MAX(0,(38-Pipeline!$E$17+1)/MAX(Pipeline!$F$17,1)))+Pipeline!$T$18*Pipeline!$D$18*MIN(1,MAX(0,(38-Pipeline!$E$18+1)/MAX(Pipeline!$F$18,1)))+Pipeline!$T$19*Pipeline!$D$19*MIN(1,MAX(0,(38-Pipeline!$E$19+1)/MAX(Pipeline!$F$19,1)))+Pipeline!$T$20*Pipeline!$D$20*MIN(1,MAX(0,(38-Pipeline!$E$20+1)/MAX(Pipeline!$F$20,1)))+Pipeline!$T$21*Pipeline!$D$21*MIN(1,MAX(0,(38-Pipeline!$E$21+1)/MAX(Pipeline!$F$21,1)))+Pipeline!$T$22*Pipeline!$D$22*MIN(1,MAX(0,(38-Pipeline!$E$22+1)/MAX(Pipeline!$F$22,1))))/Hipótesis!$C$17</f>
        <v>7543.27796335926</v>
      </c>
      <c r="AO17" s="139" t="n">
        <f aca="false">(Pipeline!$T$16*Pipeline!$D$16*MIN(1,MAX(0,(39-Pipeline!$E$16+1)/MAX(Pipeline!$F$16,1)))+Pipeline!$T$17*Pipeline!$D$17*MIN(1,MAX(0,(39-Pipeline!$E$17+1)/MAX(Pipeline!$F$17,1)))+Pipeline!$T$18*Pipeline!$D$18*MIN(1,MAX(0,(39-Pipeline!$E$18+1)/MAX(Pipeline!$F$18,1)))+Pipeline!$T$19*Pipeline!$D$19*MIN(1,MAX(0,(39-Pipeline!$E$19+1)/MAX(Pipeline!$F$19,1)))+Pipeline!$T$20*Pipeline!$D$20*MIN(1,MAX(0,(39-Pipeline!$E$20+1)/MAX(Pipeline!$F$20,1)))+Pipeline!$T$21*Pipeline!$D$21*MIN(1,MAX(0,(39-Pipeline!$E$21+1)/MAX(Pipeline!$F$21,1)))+Pipeline!$T$22*Pipeline!$D$22*MIN(1,MAX(0,(39-Pipeline!$E$22+1)/MAX(Pipeline!$F$22,1))))/Hipótesis!$C$17</f>
        <v>7543.27796335926</v>
      </c>
      <c r="AP17" s="139" t="n">
        <f aca="false">(Pipeline!$T$16*Pipeline!$D$16*MIN(1,MAX(0,(40-Pipeline!$E$16+1)/MAX(Pipeline!$F$16,1)))+Pipeline!$T$17*Pipeline!$D$17*MIN(1,MAX(0,(40-Pipeline!$E$17+1)/MAX(Pipeline!$F$17,1)))+Pipeline!$T$18*Pipeline!$D$18*MIN(1,MAX(0,(40-Pipeline!$E$18+1)/MAX(Pipeline!$F$18,1)))+Pipeline!$T$19*Pipeline!$D$19*MIN(1,MAX(0,(40-Pipeline!$E$19+1)/MAX(Pipeline!$F$19,1)))+Pipeline!$T$20*Pipeline!$D$20*MIN(1,MAX(0,(40-Pipeline!$E$20+1)/MAX(Pipeline!$F$20,1)))+Pipeline!$T$21*Pipeline!$D$21*MIN(1,MAX(0,(40-Pipeline!$E$21+1)/MAX(Pipeline!$F$21,1)))+Pipeline!$T$22*Pipeline!$D$22*MIN(1,MAX(0,(40-Pipeline!$E$22+1)/MAX(Pipeline!$F$22,1))))/Hipótesis!$C$17</f>
        <v>7543.27796335926</v>
      </c>
      <c r="AQ17" s="139" t="n">
        <f aca="false">(Pipeline!$T$16*Pipeline!$D$16*MIN(1,MAX(0,(41-Pipeline!$E$16+1)/MAX(Pipeline!$F$16,1)))+Pipeline!$T$17*Pipeline!$D$17*MIN(1,MAX(0,(41-Pipeline!$E$17+1)/MAX(Pipeline!$F$17,1)))+Pipeline!$T$18*Pipeline!$D$18*MIN(1,MAX(0,(41-Pipeline!$E$18+1)/MAX(Pipeline!$F$18,1)))+Pipeline!$T$19*Pipeline!$D$19*MIN(1,MAX(0,(41-Pipeline!$E$19+1)/MAX(Pipeline!$F$19,1)))+Pipeline!$T$20*Pipeline!$D$20*MIN(1,MAX(0,(41-Pipeline!$E$20+1)/MAX(Pipeline!$F$20,1)))+Pipeline!$T$21*Pipeline!$D$21*MIN(1,MAX(0,(41-Pipeline!$E$21+1)/MAX(Pipeline!$F$21,1)))+Pipeline!$T$22*Pipeline!$D$22*MIN(1,MAX(0,(41-Pipeline!$E$22+1)/MAX(Pipeline!$F$22,1))))/Hipótesis!$C$17</f>
        <v>7543.27796335926</v>
      </c>
      <c r="AR17" s="139" t="n">
        <f aca="false">(Pipeline!$T$16*Pipeline!$D$16*MIN(1,MAX(0,(42-Pipeline!$E$16+1)/MAX(Pipeline!$F$16,1)))+Pipeline!$T$17*Pipeline!$D$17*MIN(1,MAX(0,(42-Pipeline!$E$17+1)/MAX(Pipeline!$F$17,1)))+Pipeline!$T$18*Pipeline!$D$18*MIN(1,MAX(0,(42-Pipeline!$E$18+1)/MAX(Pipeline!$F$18,1)))+Pipeline!$T$19*Pipeline!$D$19*MIN(1,MAX(0,(42-Pipeline!$E$19+1)/MAX(Pipeline!$F$19,1)))+Pipeline!$T$20*Pipeline!$D$20*MIN(1,MAX(0,(42-Pipeline!$E$20+1)/MAX(Pipeline!$F$20,1)))+Pipeline!$T$21*Pipeline!$D$21*MIN(1,MAX(0,(42-Pipeline!$E$21+1)/MAX(Pipeline!$F$21,1)))+Pipeline!$T$22*Pipeline!$D$22*MIN(1,MAX(0,(42-Pipeline!$E$22+1)/MAX(Pipeline!$F$22,1))))/Hipótesis!$C$17</f>
        <v>7543.27796335926</v>
      </c>
      <c r="AS17" s="139" t="n">
        <f aca="false">(Pipeline!$T$16*Pipeline!$D$16*MIN(1,MAX(0,(43-Pipeline!$E$16+1)/MAX(Pipeline!$F$16,1)))+Pipeline!$T$17*Pipeline!$D$17*MIN(1,MAX(0,(43-Pipeline!$E$17+1)/MAX(Pipeline!$F$17,1)))+Pipeline!$T$18*Pipeline!$D$18*MIN(1,MAX(0,(43-Pipeline!$E$18+1)/MAX(Pipeline!$F$18,1)))+Pipeline!$T$19*Pipeline!$D$19*MIN(1,MAX(0,(43-Pipeline!$E$19+1)/MAX(Pipeline!$F$19,1)))+Pipeline!$T$20*Pipeline!$D$20*MIN(1,MAX(0,(43-Pipeline!$E$20+1)/MAX(Pipeline!$F$20,1)))+Pipeline!$T$21*Pipeline!$D$21*MIN(1,MAX(0,(43-Pipeline!$E$21+1)/MAX(Pipeline!$F$21,1)))+Pipeline!$T$22*Pipeline!$D$22*MIN(1,MAX(0,(43-Pipeline!$E$22+1)/MAX(Pipeline!$F$22,1))))/Hipótesis!$C$17</f>
        <v>7543.27796335926</v>
      </c>
      <c r="AT17" s="139" t="n">
        <f aca="false">(Pipeline!$T$16*Pipeline!$D$16*MIN(1,MAX(0,(44-Pipeline!$E$16+1)/MAX(Pipeline!$F$16,1)))+Pipeline!$T$17*Pipeline!$D$17*MIN(1,MAX(0,(44-Pipeline!$E$17+1)/MAX(Pipeline!$F$17,1)))+Pipeline!$T$18*Pipeline!$D$18*MIN(1,MAX(0,(44-Pipeline!$E$18+1)/MAX(Pipeline!$F$18,1)))+Pipeline!$T$19*Pipeline!$D$19*MIN(1,MAX(0,(44-Pipeline!$E$19+1)/MAX(Pipeline!$F$19,1)))+Pipeline!$T$20*Pipeline!$D$20*MIN(1,MAX(0,(44-Pipeline!$E$20+1)/MAX(Pipeline!$F$20,1)))+Pipeline!$T$21*Pipeline!$D$21*MIN(1,MAX(0,(44-Pipeline!$E$21+1)/MAX(Pipeline!$F$21,1)))+Pipeline!$T$22*Pipeline!$D$22*MIN(1,MAX(0,(44-Pipeline!$E$22+1)/MAX(Pipeline!$F$22,1))))/Hipótesis!$C$17</f>
        <v>7543.27796335926</v>
      </c>
      <c r="AU17" s="139" t="n">
        <f aca="false">(Pipeline!$T$16*Pipeline!$D$16*MIN(1,MAX(0,(45-Pipeline!$E$16+1)/MAX(Pipeline!$F$16,1)))+Pipeline!$T$17*Pipeline!$D$17*MIN(1,MAX(0,(45-Pipeline!$E$17+1)/MAX(Pipeline!$F$17,1)))+Pipeline!$T$18*Pipeline!$D$18*MIN(1,MAX(0,(45-Pipeline!$E$18+1)/MAX(Pipeline!$F$18,1)))+Pipeline!$T$19*Pipeline!$D$19*MIN(1,MAX(0,(45-Pipeline!$E$19+1)/MAX(Pipeline!$F$19,1)))+Pipeline!$T$20*Pipeline!$D$20*MIN(1,MAX(0,(45-Pipeline!$E$20+1)/MAX(Pipeline!$F$20,1)))+Pipeline!$T$21*Pipeline!$D$21*MIN(1,MAX(0,(45-Pipeline!$E$21+1)/MAX(Pipeline!$F$21,1)))+Pipeline!$T$22*Pipeline!$D$22*MIN(1,MAX(0,(45-Pipeline!$E$22+1)/MAX(Pipeline!$F$22,1))))/Hipótesis!$C$17</f>
        <v>7543.27796335926</v>
      </c>
      <c r="AV17" s="139" t="n">
        <f aca="false">(Pipeline!$T$16*Pipeline!$D$16*MIN(1,MAX(0,(46-Pipeline!$E$16+1)/MAX(Pipeline!$F$16,1)))+Pipeline!$T$17*Pipeline!$D$17*MIN(1,MAX(0,(46-Pipeline!$E$17+1)/MAX(Pipeline!$F$17,1)))+Pipeline!$T$18*Pipeline!$D$18*MIN(1,MAX(0,(46-Pipeline!$E$18+1)/MAX(Pipeline!$F$18,1)))+Pipeline!$T$19*Pipeline!$D$19*MIN(1,MAX(0,(46-Pipeline!$E$19+1)/MAX(Pipeline!$F$19,1)))+Pipeline!$T$20*Pipeline!$D$20*MIN(1,MAX(0,(46-Pipeline!$E$20+1)/MAX(Pipeline!$F$20,1)))+Pipeline!$T$21*Pipeline!$D$21*MIN(1,MAX(0,(46-Pipeline!$E$21+1)/MAX(Pipeline!$F$21,1)))+Pipeline!$T$22*Pipeline!$D$22*MIN(1,MAX(0,(46-Pipeline!$E$22+1)/MAX(Pipeline!$F$22,1))))/Hipótesis!$C$17</f>
        <v>7543.27796335926</v>
      </c>
      <c r="AW17" s="139" t="n">
        <f aca="false">(Pipeline!$T$16*Pipeline!$D$16*MIN(1,MAX(0,(47-Pipeline!$E$16+1)/MAX(Pipeline!$F$16,1)))+Pipeline!$T$17*Pipeline!$D$17*MIN(1,MAX(0,(47-Pipeline!$E$17+1)/MAX(Pipeline!$F$17,1)))+Pipeline!$T$18*Pipeline!$D$18*MIN(1,MAX(0,(47-Pipeline!$E$18+1)/MAX(Pipeline!$F$18,1)))+Pipeline!$T$19*Pipeline!$D$19*MIN(1,MAX(0,(47-Pipeline!$E$19+1)/MAX(Pipeline!$F$19,1)))+Pipeline!$T$20*Pipeline!$D$20*MIN(1,MAX(0,(47-Pipeline!$E$20+1)/MAX(Pipeline!$F$20,1)))+Pipeline!$T$21*Pipeline!$D$21*MIN(1,MAX(0,(47-Pipeline!$E$21+1)/MAX(Pipeline!$F$21,1)))+Pipeline!$T$22*Pipeline!$D$22*MIN(1,MAX(0,(47-Pipeline!$E$22+1)/MAX(Pipeline!$F$22,1))))/Hipótesis!$C$17</f>
        <v>7543.27796335926</v>
      </c>
      <c r="AX17" s="139" t="n">
        <f aca="false">(Pipeline!$T$16*Pipeline!$D$16*MIN(1,MAX(0,(48-Pipeline!$E$16+1)/MAX(Pipeline!$F$16,1)))+Pipeline!$T$17*Pipeline!$D$17*MIN(1,MAX(0,(48-Pipeline!$E$17+1)/MAX(Pipeline!$F$17,1)))+Pipeline!$T$18*Pipeline!$D$18*MIN(1,MAX(0,(48-Pipeline!$E$18+1)/MAX(Pipeline!$F$18,1)))+Pipeline!$T$19*Pipeline!$D$19*MIN(1,MAX(0,(48-Pipeline!$E$19+1)/MAX(Pipeline!$F$19,1)))+Pipeline!$T$20*Pipeline!$D$20*MIN(1,MAX(0,(48-Pipeline!$E$20+1)/MAX(Pipeline!$F$20,1)))+Pipeline!$T$21*Pipeline!$D$21*MIN(1,MAX(0,(48-Pipeline!$E$21+1)/MAX(Pipeline!$F$21,1)))+Pipeline!$T$22*Pipeline!$D$22*MIN(1,MAX(0,(48-Pipeline!$E$22+1)/MAX(Pipeline!$F$22,1))))/Hipótesis!$C$17</f>
        <v>7543.27796335926</v>
      </c>
      <c r="AY17" s="139" t="n">
        <f aca="false">(Pipeline!$T$16*Pipeline!$D$16*MIN(1,MAX(0,(49-Pipeline!$E$16+1)/MAX(Pipeline!$F$16,1)))+Pipeline!$T$17*Pipeline!$D$17*MIN(1,MAX(0,(49-Pipeline!$E$17+1)/MAX(Pipeline!$F$17,1)))+Pipeline!$T$18*Pipeline!$D$18*MIN(1,MAX(0,(49-Pipeline!$E$18+1)/MAX(Pipeline!$F$18,1)))+Pipeline!$T$19*Pipeline!$D$19*MIN(1,MAX(0,(49-Pipeline!$E$19+1)/MAX(Pipeline!$F$19,1)))+Pipeline!$T$20*Pipeline!$D$20*MIN(1,MAX(0,(49-Pipeline!$E$20+1)/MAX(Pipeline!$F$20,1)))+Pipeline!$T$21*Pipeline!$D$21*MIN(1,MAX(0,(49-Pipeline!$E$21+1)/MAX(Pipeline!$F$21,1)))+Pipeline!$T$22*Pipeline!$D$22*MIN(1,MAX(0,(49-Pipeline!$E$22+1)/MAX(Pipeline!$F$22,1))))/Hipótesis!$C$17</f>
        <v>7543.27796335926</v>
      </c>
      <c r="AZ17" s="139" t="n">
        <f aca="false">(Pipeline!$T$16*Pipeline!$D$16*MIN(1,MAX(0,(50-Pipeline!$E$16+1)/MAX(Pipeline!$F$16,1)))+Pipeline!$T$17*Pipeline!$D$17*MIN(1,MAX(0,(50-Pipeline!$E$17+1)/MAX(Pipeline!$F$17,1)))+Pipeline!$T$18*Pipeline!$D$18*MIN(1,MAX(0,(50-Pipeline!$E$18+1)/MAX(Pipeline!$F$18,1)))+Pipeline!$T$19*Pipeline!$D$19*MIN(1,MAX(0,(50-Pipeline!$E$19+1)/MAX(Pipeline!$F$19,1)))+Pipeline!$T$20*Pipeline!$D$20*MIN(1,MAX(0,(50-Pipeline!$E$20+1)/MAX(Pipeline!$F$20,1)))+Pipeline!$T$21*Pipeline!$D$21*MIN(1,MAX(0,(50-Pipeline!$E$21+1)/MAX(Pipeline!$F$21,1)))+Pipeline!$T$22*Pipeline!$D$22*MIN(1,MAX(0,(50-Pipeline!$E$22+1)/MAX(Pipeline!$F$22,1))))/Hipótesis!$C$17</f>
        <v>7543.27796335926</v>
      </c>
      <c r="BA17" s="139" t="n">
        <f aca="false">(Pipeline!$T$16*Pipeline!$D$16*MIN(1,MAX(0,(51-Pipeline!$E$16+1)/MAX(Pipeline!$F$16,1)))+Pipeline!$T$17*Pipeline!$D$17*MIN(1,MAX(0,(51-Pipeline!$E$17+1)/MAX(Pipeline!$F$17,1)))+Pipeline!$T$18*Pipeline!$D$18*MIN(1,MAX(0,(51-Pipeline!$E$18+1)/MAX(Pipeline!$F$18,1)))+Pipeline!$T$19*Pipeline!$D$19*MIN(1,MAX(0,(51-Pipeline!$E$19+1)/MAX(Pipeline!$F$19,1)))+Pipeline!$T$20*Pipeline!$D$20*MIN(1,MAX(0,(51-Pipeline!$E$20+1)/MAX(Pipeline!$F$20,1)))+Pipeline!$T$21*Pipeline!$D$21*MIN(1,MAX(0,(51-Pipeline!$E$21+1)/MAX(Pipeline!$F$21,1)))+Pipeline!$T$22*Pipeline!$D$22*MIN(1,MAX(0,(51-Pipeline!$E$22+1)/MAX(Pipeline!$F$22,1))))/Hipótesis!$C$17</f>
        <v>7543.27796335926</v>
      </c>
      <c r="BB17" s="139" t="n">
        <f aca="false">(Pipeline!$T$16*Pipeline!$D$16*MIN(1,MAX(0,(52-Pipeline!$E$16+1)/MAX(Pipeline!$F$16,1)))+Pipeline!$T$17*Pipeline!$D$17*MIN(1,MAX(0,(52-Pipeline!$E$17+1)/MAX(Pipeline!$F$17,1)))+Pipeline!$T$18*Pipeline!$D$18*MIN(1,MAX(0,(52-Pipeline!$E$18+1)/MAX(Pipeline!$F$18,1)))+Pipeline!$T$19*Pipeline!$D$19*MIN(1,MAX(0,(52-Pipeline!$E$19+1)/MAX(Pipeline!$F$19,1)))+Pipeline!$T$20*Pipeline!$D$20*MIN(1,MAX(0,(52-Pipeline!$E$20+1)/MAX(Pipeline!$F$20,1)))+Pipeline!$T$21*Pipeline!$D$21*MIN(1,MAX(0,(52-Pipeline!$E$21+1)/MAX(Pipeline!$F$21,1)))+Pipeline!$T$22*Pipeline!$D$22*MIN(1,MAX(0,(52-Pipeline!$E$22+1)/MAX(Pipeline!$F$22,1))))/Hipótesis!$C$17</f>
        <v>7543.27796335926</v>
      </c>
      <c r="BC17" s="139" t="n">
        <f aca="false">(Pipeline!$T$16*Pipeline!$D$16*MIN(1,MAX(0,(53-Pipeline!$E$16+1)/MAX(Pipeline!$F$16,1)))+Pipeline!$T$17*Pipeline!$D$17*MIN(1,MAX(0,(53-Pipeline!$E$17+1)/MAX(Pipeline!$F$17,1)))+Pipeline!$T$18*Pipeline!$D$18*MIN(1,MAX(0,(53-Pipeline!$E$18+1)/MAX(Pipeline!$F$18,1)))+Pipeline!$T$19*Pipeline!$D$19*MIN(1,MAX(0,(53-Pipeline!$E$19+1)/MAX(Pipeline!$F$19,1)))+Pipeline!$T$20*Pipeline!$D$20*MIN(1,MAX(0,(53-Pipeline!$E$20+1)/MAX(Pipeline!$F$20,1)))+Pipeline!$T$21*Pipeline!$D$21*MIN(1,MAX(0,(53-Pipeline!$E$21+1)/MAX(Pipeline!$F$21,1)))+Pipeline!$T$22*Pipeline!$D$22*MIN(1,MAX(0,(53-Pipeline!$E$22+1)/MAX(Pipeline!$F$22,1))))/Hipótesis!$C$17</f>
        <v>7543.27796335926</v>
      </c>
      <c r="BD17" s="139" t="n">
        <f aca="false">(Pipeline!$T$16*Pipeline!$D$16*MIN(1,MAX(0,(54-Pipeline!$E$16+1)/MAX(Pipeline!$F$16,1)))+Pipeline!$T$17*Pipeline!$D$17*MIN(1,MAX(0,(54-Pipeline!$E$17+1)/MAX(Pipeline!$F$17,1)))+Pipeline!$T$18*Pipeline!$D$18*MIN(1,MAX(0,(54-Pipeline!$E$18+1)/MAX(Pipeline!$F$18,1)))+Pipeline!$T$19*Pipeline!$D$19*MIN(1,MAX(0,(54-Pipeline!$E$19+1)/MAX(Pipeline!$F$19,1)))+Pipeline!$T$20*Pipeline!$D$20*MIN(1,MAX(0,(54-Pipeline!$E$20+1)/MAX(Pipeline!$F$20,1)))+Pipeline!$T$21*Pipeline!$D$21*MIN(1,MAX(0,(54-Pipeline!$E$21+1)/MAX(Pipeline!$F$21,1)))+Pipeline!$T$22*Pipeline!$D$22*MIN(1,MAX(0,(54-Pipeline!$E$22+1)/MAX(Pipeline!$F$22,1))))/Hipótesis!$C$17</f>
        <v>7543.27796335926</v>
      </c>
      <c r="BE17" s="139" t="n">
        <f aca="false">(Pipeline!$T$16*Pipeline!$D$16*MIN(1,MAX(0,(55-Pipeline!$E$16+1)/MAX(Pipeline!$F$16,1)))+Pipeline!$T$17*Pipeline!$D$17*MIN(1,MAX(0,(55-Pipeline!$E$17+1)/MAX(Pipeline!$F$17,1)))+Pipeline!$T$18*Pipeline!$D$18*MIN(1,MAX(0,(55-Pipeline!$E$18+1)/MAX(Pipeline!$F$18,1)))+Pipeline!$T$19*Pipeline!$D$19*MIN(1,MAX(0,(55-Pipeline!$E$19+1)/MAX(Pipeline!$F$19,1)))+Pipeline!$T$20*Pipeline!$D$20*MIN(1,MAX(0,(55-Pipeline!$E$20+1)/MAX(Pipeline!$F$20,1)))+Pipeline!$T$21*Pipeline!$D$21*MIN(1,MAX(0,(55-Pipeline!$E$21+1)/MAX(Pipeline!$F$21,1)))+Pipeline!$T$22*Pipeline!$D$22*MIN(1,MAX(0,(55-Pipeline!$E$22+1)/MAX(Pipeline!$F$22,1))))/Hipótesis!$C$17</f>
        <v>7543.27796335926</v>
      </c>
      <c r="BF17" s="139" t="n">
        <f aca="false">(Pipeline!$T$16*Pipeline!$D$16*MIN(1,MAX(0,(56-Pipeline!$E$16+1)/MAX(Pipeline!$F$16,1)))+Pipeline!$T$17*Pipeline!$D$17*MIN(1,MAX(0,(56-Pipeline!$E$17+1)/MAX(Pipeline!$F$17,1)))+Pipeline!$T$18*Pipeline!$D$18*MIN(1,MAX(0,(56-Pipeline!$E$18+1)/MAX(Pipeline!$F$18,1)))+Pipeline!$T$19*Pipeline!$D$19*MIN(1,MAX(0,(56-Pipeline!$E$19+1)/MAX(Pipeline!$F$19,1)))+Pipeline!$T$20*Pipeline!$D$20*MIN(1,MAX(0,(56-Pipeline!$E$20+1)/MAX(Pipeline!$F$20,1)))+Pipeline!$T$21*Pipeline!$D$21*MIN(1,MAX(0,(56-Pipeline!$E$21+1)/MAX(Pipeline!$F$21,1)))+Pipeline!$T$22*Pipeline!$D$22*MIN(1,MAX(0,(56-Pipeline!$E$22+1)/MAX(Pipeline!$F$22,1))))/Hipótesis!$C$17</f>
        <v>7543.27796335926</v>
      </c>
      <c r="BG17" s="139" t="n">
        <f aca="false">(Pipeline!$T$16*Pipeline!$D$16*MIN(1,MAX(0,(57-Pipeline!$E$16+1)/MAX(Pipeline!$F$16,1)))+Pipeline!$T$17*Pipeline!$D$17*MIN(1,MAX(0,(57-Pipeline!$E$17+1)/MAX(Pipeline!$F$17,1)))+Pipeline!$T$18*Pipeline!$D$18*MIN(1,MAX(0,(57-Pipeline!$E$18+1)/MAX(Pipeline!$F$18,1)))+Pipeline!$T$19*Pipeline!$D$19*MIN(1,MAX(0,(57-Pipeline!$E$19+1)/MAX(Pipeline!$F$19,1)))+Pipeline!$T$20*Pipeline!$D$20*MIN(1,MAX(0,(57-Pipeline!$E$20+1)/MAX(Pipeline!$F$20,1)))+Pipeline!$T$21*Pipeline!$D$21*MIN(1,MAX(0,(57-Pipeline!$E$21+1)/MAX(Pipeline!$F$21,1)))+Pipeline!$T$22*Pipeline!$D$22*MIN(1,MAX(0,(57-Pipeline!$E$22+1)/MAX(Pipeline!$F$22,1))))/Hipótesis!$C$17</f>
        <v>7543.27796335926</v>
      </c>
      <c r="BH17" s="139" t="n">
        <f aca="false">(Pipeline!$T$16*Pipeline!$D$16*MIN(1,MAX(0,(58-Pipeline!$E$16+1)/MAX(Pipeline!$F$16,1)))+Pipeline!$T$17*Pipeline!$D$17*MIN(1,MAX(0,(58-Pipeline!$E$17+1)/MAX(Pipeline!$F$17,1)))+Pipeline!$T$18*Pipeline!$D$18*MIN(1,MAX(0,(58-Pipeline!$E$18+1)/MAX(Pipeline!$F$18,1)))+Pipeline!$T$19*Pipeline!$D$19*MIN(1,MAX(0,(58-Pipeline!$E$19+1)/MAX(Pipeline!$F$19,1)))+Pipeline!$T$20*Pipeline!$D$20*MIN(1,MAX(0,(58-Pipeline!$E$20+1)/MAX(Pipeline!$F$20,1)))+Pipeline!$T$21*Pipeline!$D$21*MIN(1,MAX(0,(58-Pipeline!$E$21+1)/MAX(Pipeline!$F$21,1)))+Pipeline!$T$22*Pipeline!$D$22*MIN(1,MAX(0,(58-Pipeline!$E$22+1)/MAX(Pipeline!$F$22,1))))/Hipótesis!$C$17</f>
        <v>7543.27796335926</v>
      </c>
      <c r="BI17" s="139" t="n">
        <f aca="false">(Pipeline!$T$16*Pipeline!$D$16*MIN(1,MAX(0,(59-Pipeline!$E$16+1)/MAX(Pipeline!$F$16,1)))+Pipeline!$T$17*Pipeline!$D$17*MIN(1,MAX(0,(59-Pipeline!$E$17+1)/MAX(Pipeline!$F$17,1)))+Pipeline!$T$18*Pipeline!$D$18*MIN(1,MAX(0,(59-Pipeline!$E$18+1)/MAX(Pipeline!$F$18,1)))+Pipeline!$T$19*Pipeline!$D$19*MIN(1,MAX(0,(59-Pipeline!$E$19+1)/MAX(Pipeline!$F$19,1)))+Pipeline!$T$20*Pipeline!$D$20*MIN(1,MAX(0,(59-Pipeline!$E$20+1)/MAX(Pipeline!$F$20,1)))+Pipeline!$T$21*Pipeline!$D$21*MIN(1,MAX(0,(59-Pipeline!$E$21+1)/MAX(Pipeline!$F$21,1)))+Pipeline!$T$22*Pipeline!$D$22*MIN(1,MAX(0,(59-Pipeline!$E$22+1)/MAX(Pipeline!$F$22,1))))/Hipótesis!$C$17</f>
        <v>7543.27796335926</v>
      </c>
      <c r="BJ17" s="139" t="n">
        <f aca="false">(Pipeline!$T$16*Pipeline!$D$16*MIN(1,MAX(0,(60-Pipeline!$E$16+1)/MAX(Pipeline!$F$16,1)))+Pipeline!$T$17*Pipeline!$D$17*MIN(1,MAX(0,(60-Pipeline!$E$17+1)/MAX(Pipeline!$F$17,1)))+Pipeline!$T$18*Pipeline!$D$18*MIN(1,MAX(0,(60-Pipeline!$E$18+1)/MAX(Pipeline!$F$18,1)))+Pipeline!$T$19*Pipeline!$D$19*MIN(1,MAX(0,(60-Pipeline!$E$19+1)/MAX(Pipeline!$F$19,1)))+Pipeline!$T$20*Pipeline!$D$20*MIN(1,MAX(0,(60-Pipeline!$E$20+1)/MAX(Pipeline!$F$20,1)))+Pipeline!$T$21*Pipeline!$D$21*MIN(1,MAX(0,(60-Pipeline!$E$21+1)/MAX(Pipeline!$F$21,1)))+Pipeline!$T$22*Pipeline!$D$22*MIN(1,MAX(0,(60-Pipeline!$E$22+1)/MAX(Pipeline!$F$22,1))))/Hipótesis!$C$17</f>
        <v>7543.27796335926</v>
      </c>
      <c r="BK17" s="139" t="n">
        <f aca="false">(Pipeline!$T$16*Pipeline!$D$16*MIN(1,MAX(0,(61-Pipeline!$E$16+1)/MAX(Pipeline!$F$16,1)))+Pipeline!$T$17*Pipeline!$D$17*MIN(1,MAX(0,(61-Pipeline!$E$17+1)/MAX(Pipeline!$F$17,1)))+Pipeline!$T$18*Pipeline!$D$18*MIN(1,MAX(0,(61-Pipeline!$E$18+1)/MAX(Pipeline!$F$18,1)))+Pipeline!$T$19*Pipeline!$D$19*MIN(1,MAX(0,(61-Pipeline!$E$19+1)/MAX(Pipeline!$F$19,1)))+Pipeline!$T$20*Pipeline!$D$20*MIN(1,MAX(0,(61-Pipeline!$E$20+1)/MAX(Pipeline!$F$20,1)))+Pipeline!$T$21*Pipeline!$D$21*MIN(1,MAX(0,(61-Pipeline!$E$21+1)/MAX(Pipeline!$F$21,1)))+Pipeline!$T$22*Pipeline!$D$22*MIN(1,MAX(0,(61-Pipeline!$E$22+1)/MAX(Pipeline!$F$22,1))))/Hipótesis!$C$17</f>
        <v>7543.27796335926</v>
      </c>
      <c r="BL17" s="139" t="n">
        <f aca="false">(Pipeline!$T$16*Pipeline!$D$16*MIN(1,MAX(0,(62-Pipeline!$E$16+1)/MAX(Pipeline!$F$16,1)))+Pipeline!$T$17*Pipeline!$D$17*MIN(1,MAX(0,(62-Pipeline!$E$17+1)/MAX(Pipeline!$F$17,1)))+Pipeline!$T$18*Pipeline!$D$18*MIN(1,MAX(0,(62-Pipeline!$E$18+1)/MAX(Pipeline!$F$18,1)))+Pipeline!$T$19*Pipeline!$D$19*MIN(1,MAX(0,(62-Pipeline!$E$19+1)/MAX(Pipeline!$F$19,1)))+Pipeline!$T$20*Pipeline!$D$20*MIN(1,MAX(0,(62-Pipeline!$E$20+1)/MAX(Pipeline!$F$20,1)))+Pipeline!$T$21*Pipeline!$D$21*MIN(1,MAX(0,(62-Pipeline!$E$21+1)/MAX(Pipeline!$F$21,1)))+Pipeline!$T$22*Pipeline!$D$22*MIN(1,MAX(0,(62-Pipeline!$E$22+1)/MAX(Pipeline!$F$22,1))))/Hipótesis!$C$17</f>
        <v>7543.27796335926</v>
      </c>
      <c r="BM17" s="139" t="n">
        <f aca="false">(Pipeline!$T$16*Pipeline!$D$16*MIN(1,MAX(0,(63-Pipeline!$E$16+1)/MAX(Pipeline!$F$16,1)))+Pipeline!$T$17*Pipeline!$D$17*MIN(1,MAX(0,(63-Pipeline!$E$17+1)/MAX(Pipeline!$F$17,1)))+Pipeline!$T$18*Pipeline!$D$18*MIN(1,MAX(0,(63-Pipeline!$E$18+1)/MAX(Pipeline!$F$18,1)))+Pipeline!$T$19*Pipeline!$D$19*MIN(1,MAX(0,(63-Pipeline!$E$19+1)/MAX(Pipeline!$F$19,1)))+Pipeline!$T$20*Pipeline!$D$20*MIN(1,MAX(0,(63-Pipeline!$E$20+1)/MAX(Pipeline!$F$20,1)))+Pipeline!$T$21*Pipeline!$D$21*MIN(1,MAX(0,(63-Pipeline!$E$21+1)/MAX(Pipeline!$F$21,1)))+Pipeline!$T$22*Pipeline!$D$22*MIN(1,MAX(0,(63-Pipeline!$E$22+1)/MAX(Pipeline!$F$22,1))))/Hipótesis!$C$17</f>
        <v>7543.27796335926</v>
      </c>
      <c r="BN17" s="139" t="n">
        <f aca="false">(Pipeline!$T$16*Pipeline!$D$16*MIN(1,MAX(0,(64-Pipeline!$E$16+1)/MAX(Pipeline!$F$16,1)))+Pipeline!$T$17*Pipeline!$D$17*MIN(1,MAX(0,(64-Pipeline!$E$17+1)/MAX(Pipeline!$F$17,1)))+Pipeline!$T$18*Pipeline!$D$18*MIN(1,MAX(0,(64-Pipeline!$E$18+1)/MAX(Pipeline!$F$18,1)))+Pipeline!$T$19*Pipeline!$D$19*MIN(1,MAX(0,(64-Pipeline!$E$19+1)/MAX(Pipeline!$F$19,1)))+Pipeline!$T$20*Pipeline!$D$20*MIN(1,MAX(0,(64-Pipeline!$E$20+1)/MAX(Pipeline!$F$20,1)))+Pipeline!$T$21*Pipeline!$D$21*MIN(1,MAX(0,(64-Pipeline!$E$21+1)/MAX(Pipeline!$F$21,1)))+Pipeline!$T$22*Pipeline!$D$22*MIN(1,MAX(0,(64-Pipeline!$E$22+1)/MAX(Pipeline!$F$22,1))))/Hipótesis!$C$17</f>
        <v>7543.27796335926</v>
      </c>
      <c r="BO17" s="139" t="n">
        <f aca="false">(Pipeline!$T$16*Pipeline!$D$16*MIN(1,MAX(0,(65-Pipeline!$E$16+1)/MAX(Pipeline!$F$16,1)))+Pipeline!$T$17*Pipeline!$D$17*MIN(1,MAX(0,(65-Pipeline!$E$17+1)/MAX(Pipeline!$F$17,1)))+Pipeline!$T$18*Pipeline!$D$18*MIN(1,MAX(0,(65-Pipeline!$E$18+1)/MAX(Pipeline!$F$18,1)))+Pipeline!$T$19*Pipeline!$D$19*MIN(1,MAX(0,(65-Pipeline!$E$19+1)/MAX(Pipeline!$F$19,1)))+Pipeline!$T$20*Pipeline!$D$20*MIN(1,MAX(0,(65-Pipeline!$E$20+1)/MAX(Pipeline!$F$20,1)))+Pipeline!$T$21*Pipeline!$D$21*MIN(1,MAX(0,(65-Pipeline!$E$21+1)/MAX(Pipeline!$F$21,1)))+Pipeline!$T$22*Pipeline!$D$22*MIN(1,MAX(0,(65-Pipeline!$E$22+1)/MAX(Pipeline!$F$22,1))))/Hipótesis!$C$17</f>
        <v>7543.27796335926</v>
      </c>
      <c r="BP17" s="139" t="n">
        <f aca="false">(Pipeline!$T$16*Pipeline!$D$16*MIN(1,MAX(0,(66-Pipeline!$E$16+1)/MAX(Pipeline!$F$16,1)))+Pipeline!$T$17*Pipeline!$D$17*MIN(1,MAX(0,(66-Pipeline!$E$17+1)/MAX(Pipeline!$F$17,1)))+Pipeline!$T$18*Pipeline!$D$18*MIN(1,MAX(0,(66-Pipeline!$E$18+1)/MAX(Pipeline!$F$18,1)))+Pipeline!$T$19*Pipeline!$D$19*MIN(1,MAX(0,(66-Pipeline!$E$19+1)/MAX(Pipeline!$F$19,1)))+Pipeline!$T$20*Pipeline!$D$20*MIN(1,MAX(0,(66-Pipeline!$E$20+1)/MAX(Pipeline!$F$20,1)))+Pipeline!$T$21*Pipeline!$D$21*MIN(1,MAX(0,(66-Pipeline!$E$21+1)/MAX(Pipeline!$F$21,1)))+Pipeline!$T$22*Pipeline!$D$22*MIN(1,MAX(0,(66-Pipeline!$E$22+1)/MAX(Pipeline!$F$22,1))))/Hipótesis!$C$17</f>
        <v>7543.27796335926</v>
      </c>
      <c r="BQ17" s="139" t="n">
        <f aca="false">(Pipeline!$T$16*Pipeline!$D$16*MIN(1,MAX(0,(67-Pipeline!$E$16+1)/MAX(Pipeline!$F$16,1)))+Pipeline!$T$17*Pipeline!$D$17*MIN(1,MAX(0,(67-Pipeline!$E$17+1)/MAX(Pipeline!$F$17,1)))+Pipeline!$T$18*Pipeline!$D$18*MIN(1,MAX(0,(67-Pipeline!$E$18+1)/MAX(Pipeline!$F$18,1)))+Pipeline!$T$19*Pipeline!$D$19*MIN(1,MAX(0,(67-Pipeline!$E$19+1)/MAX(Pipeline!$F$19,1)))+Pipeline!$T$20*Pipeline!$D$20*MIN(1,MAX(0,(67-Pipeline!$E$20+1)/MAX(Pipeline!$F$20,1)))+Pipeline!$T$21*Pipeline!$D$21*MIN(1,MAX(0,(67-Pipeline!$E$21+1)/MAX(Pipeline!$F$21,1)))+Pipeline!$T$22*Pipeline!$D$22*MIN(1,MAX(0,(67-Pipeline!$E$22+1)/MAX(Pipeline!$F$22,1))))/Hipótesis!$C$17</f>
        <v>7543.27796335926</v>
      </c>
      <c r="BR17" s="139" t="n">
        <f aca="false">(Pipeline!$T$16*Pipeline!$D$16*MIN(1,MAX(0,(68-Pipeline!$E$16+1)/MAX(Pipeline!$F$16,1)))+Pipeline!$T$17*Pipeline!$D$17*MIN(1,MAX(0,(68-Pipeline!$E$17+1)/MAX(Pipeline!$F$17,1)))+Pipeline!$T$18*Pipeline!$D$18*MIN(1,MAX(0,(68-Pipeline!$E$18+1)/MAX(Pipeline!$F$18,1)))+Pipeline!$T$19*Pipeline!$D$19*MIN(1,MAX(0,(68-Pipeline!$E$19+1)/MAX(Pipeline!$F$19,1)))+Pipeline!$T$20*Pipeline!$D$20*MIN(1,MAX(0,(68-Pipeline!$E$20+1)/MAX(Pipeline!$F$20,1)))+Pipeline!$T$21*Pipeline!$D$21*MIN(1,MAX(0,(68-Pipeline!$E$21+1)/MAX(Pipeline!$F$21,1)))+Pipeline!$T$22*Pipeline!$D$22*MIN(1,MAX(0,(68-Pipeline!$E$22+1)/MAX(Pipeline!$F$22,1))))/Hipótesis!$C$17</f>
        <v>7543.27796335926</v>
      </c>
      <c r="BS17" s="139" t="n">
        <f aca="false">(Pipeline!$T$16*Pipeline!$D$16*MIN(1,MAX(0,(69-Pipeline!$E$16+1)/MAX(Pipeline!$F$16,1)))+Pipeline!$T$17*Pipeline!$D$17*MIN(1,MAX(0,(69-Pipeline!$E$17+1)/MAX(Pipeline!$F$17,1)))+Pipeline!$T$18*Pipeline!$D$18*MIN(1,MAX(0,(69-Pipeline!$E$18+1)/MAX(Pipeline!$F$18,1)))+Pipeline!$T$19*Pipeline!$D$19*MIN(1,MAX(0,(69-Pipeline!$E$19+1)/MAX(Pipeline!$F$19,1)))+Pipeline!$T$20*Pipeline!$D$20*MIN(1,MAX(0,(69-Pipeline!$E$20+1)/MAX(Pipeline!$F$20,1)))+Pipeline!$T$21*Pipeline!$D$21*MIN(1,MAX(0,(69-Pipeline!$E$21+1)/MAX(Pipeline!$F$21,1)))+Pipeline!$T$22*Pipeline!$D$22*MIN(1,MAX(0,(69-Pipeline!$E$22+1)/MAX(Pipeline!$F$22,1))))/Hipótesis!$C$17</f>
        <v>7543.27796335926</v>
      </c>
      <c r="BT17" s="139" t="n">
        <f aca="false">(Pipeline!$T$16*Pipeline!$D$16*MIN(1,MAX(0,(70-Pipeline!$E$16+1)/MAX(Pipeline!$F$16,1)))+Pipeline!$T$17*Pipeline!$D$17*MIN(1,MAX(0,(70-Pipeline!$E$17+1)/MAX(Pipeline!$F$17,1)))+Pipeline!$T$18*Pipeline!$D$18*MIN(1,MAX(0,(70-Pipeline!$E$18+1)/MAX(Pipeline!$F$18,1)))+Pipeline!$T$19*Pipeline!$D$19*MIN(1,MAX(0,(70-Pipeline!$E$19+1)/MAX(Pipeline!$F$19,1)))+Pipeline!$T$20*Pipeline!$D$20*MIN(1,MAX(0,(70-Pipeline!$E$20+1)/MAX(Pipeline!$F$20,1)))+Pipeline!$T$21*Pipeline!$D$21*MIN(1,MAX(0,(70-Pipeline!$E$21+1)/MAX(Pipeline!$F$21,1)))+Pipeline!$T$22*Pipeline!$D$22*MIN(1,MAX(0,(70-Pipeline!$E$22+1)/MAX(Pipeline!$F$22,1))))/Hipótesis!$C$17</f>
        <v>7543.27796335926</v>
      </c>
      <c r="BU17" s="139" t="n">
        <f aca="false">(Pipeline!$T$16*Pipeline!$D$16*MIN(1,MAX(0,(71-Pipeline!$E$16+1)/MAX(Pipeline!$F$16,1)))+Pipeline!$T$17*Pipeline!$D$17*MIN(1,MAX(0,(71-Pipeline!$E$17+1)/MAX(Pipeline!$F$17,1)))+Pipeline!$T$18*Pipeline!$D$18*MIN(1,MAX(0,(71-Pipeline!$E$18+1)/MAX(Pipeline!$F$18,1)))+Pipeline!$T$19*Pipeline!$D$19*MIN(1,MAX(0,(71-Pipeline!$E$19+1)/MAX(Pipeline!$F$19,1)))+Pipeline!$T$20*Pipeline!$D$20*MIN(1,MAX(0,(71-Pipeline!$E$20+1)/MAX(Pipeline!$F$20,1)))+Pipeline!$T$21*Pipeline!$D$21*MIN(1,MAX(0,(71-Pipeline!$E$21+1)/MAX(Pipeline!$F$21,1)))+Pipeline!$T$22*Pipeline!$D$22*MIN(1,MAX(0,(71-Pipeline!$E$22+1)/MAX(Pipeline!$F$22,1))))/Hipótesis!$C$17</f>
        <v>7543.27796335926</v>
      </c>
      <c r="BV17" s="139" t="n">
        <f aca="false">(Pipeline!$T$16*Pipeline!$D$16*MIN(1,MAX(0,(72-Pipeline!$E$16+1)/MAX(Pipeline!$F$16,1)))+Pipeline!$T$17*Pipeline!$D$17*MIN(1,MAX(0,(72-Pipeline!$E$17+1)/MAX(Pipeline!$F$17,1)))+Pipeline!$T$18*Pipeline!$D$18*MIN(1,MAX(0,(72-Pipeline!$E$18+1)/MAX(Pipeline!$F$18,1)))+Pipeline!$T$19*Pipeline!$D$19*MIN(1,MAX(0,(72-Pipeline!$E$19+1)/MAX(Pipeline!$F$19,1)))+Pipeline!$T$20*Pipeline!$D$20*MIN(1,MAX(0,(72-Pipeline!$E$20+1)/MAX(Pipeline!$F$20,1)))+Pipeline!$T$21*Pipeline!$D$21*MIN(1,MAX(0,(72-Pipeline!$E$21+1)/MAX(Pipeline!$F$21,1)))+Pipeline!$T$22*Pipeline!$D$22*MIN(1,MAX(0,(72-Pipeline!$E$22+1)/MAX(Pipeline!$F$22,1))))/Hipótesis!$C$17</f>
        <v>7543.27796335926</v>
      </c>
      <c r="BW17" s="139" t="n">
        <f aca="false">(Pipeline!$T$16*Pipeline!$D$16*MIN(1,MAX(0,(73-Pipeline!$E$16+1)/MAX(Pipeline!$F$16,1)))+Pipeline!$T$17*Pipeline!$D$17*MIN(1,MAX(0,(73-Pipeline!$E$17+1)/MAX(Pipeline!$F$17,1)))+Pipeline!$T$18*Pipeline!$D$18*MIN(1,MAX(0,(73-Pipeline!$E$18+1)/MAX(Pipeline!$F$18,1)))+Pipeline!$T$19*Pipeline!$D$19*MIN(1,MAX(0,(73-Pipeline!$E$19+1)/MAX(Pipeline!$F$19,1)))+Pipeline!$T$20*Pipeline!$D$20*MIN(1,MAX(0,(73-Pipeline!$E$20+1)/MAX(Pipeline!$F$20,1)))+Pipeline!$T$21*Pipeline!$D$21*MIN(1,MAX(0,(73-Pipeline!$E$21+1)/MAX(Pipeline!$F$21,1)))+Pipeline!$T$22*Pipeline!$D$22*MIN(1,MAX(0,(73-Pipeline!$E$22+1)/MAX(Pipeline!$F$22,1))))/Hipótesis!$C$17</f>
        <v>7543.27796335926</v>
      </c>
      <c r="BX17" s="139" t="n">
        <f aca="false">(Pipeline!$T$16*Pipeline!$D$16*MIN(1,MAX(0,(74-Pipeline!$E$16+1)/MAX(Pipeline!$F$16,1)))+Pipeline!$T$17*Pipeline!$D$17*MIN(1,MAX(0,(74-Pipeline!$E$17+1)/MAX(Pipeline!$F$17,1)))+Pipeline!$T$18*Pipeline!$D$18*MIN(1,MAX(0,(74-Pipeline!$E$18+1)/MAX(Pipeline!$F$18,1)))+Pipeline!$T$19*Pipeline!$D$19*MIN(1,MAX(0,(74-Pipeline!$E$19+1)/MAX(Pipeline!$F$19,1)))+Pipeline!$T$20*Pipeline!$D$20*MIN(1,MAX(0,(74-Pipeline!$E$20+1)/MAX(Pipeline!$F$20,1)))+Pipeline!$T$21*Pipeline!$D$21*MIN(1,MAX(0,(74-Pipeline!$E$21+1)/MAX(Pipeline!$F$21,1)))+Pipeline!$T$22*Pipeline!$D$22*MIN(1,MAX(0,(74-Pipeline!$E$22+1)/MAX(Pipeline!$F$22,1))))/Hipótesis!$C$17</f>
        <v>7543.27796335926</v>
      </c>
      <c r="BY17" s="139" t="n">
        <f aca="false">(Pipeline!$T$16*Pipeline!$D$16*MIN(1,MAX(0,(75-Pipeline!$E$16+1)/MAX(Pipeline!$F$16,1)))+Pipeline!$T$17*Pipeline!$D$17*MIN(1,MAX(0,(75-Pipeline!$E$17+1)/MAX(Pipeline!$F$17,1)))+Pipeline!$T$18*Pipeline!$D$18*MIN(1,MAX(0,(75-Pipeline!$E$18+1)/MAX(Pipeline!$F$18,1)))+Pipeline!$T$19*Pipeline!$D$19*MIN(1,MAX(0,(75-Pipeline!$E$19+1)/MAX(Pipeline!$F$19,1)))+Pipeline!$T$20*Pipeline!$D$20*MIN(1,MAX(0,(75-Pipeline!$E$20+1)/MAX(Pipeline!$F$20,1)))+Pipeline!$T$21*Pipeline!$D$21*MIN(1,MAX(0,(75-Pipeline!$E$21+1)/MAX(Pipeline!$F$21,1)))+Pipeline!$T$22*Pipeline!$D$22*MIN(1,MAX(0,(75-Pipeline!$E$22+1)/MAX(Pipeline!$F$22,1))))/Hipótesis!$C$17</f>
        <v>7543.27796335926</v>
      </c>
      <c r="BZ17" s="139" t="n">
        <f aca="false">(Pipeline!$T$16*Pipeline!$D$16*MIN(1,MAX(0,(76-Pipeline!$E$16+1)/MAX(Pipeline!$F$16,1)))+Pipeline!$T$17*Pipeline!$D$17*MIN(1,MAX(0,(76-Pipeline!$E$17+1)/MAX(Pipeline!$F$17,1)))+Pipeline!$T$18*Pipeline!$D$18*MIN(1,MAX(0,(76-Pipeline!$E$18+1)/MAX(Pipeline!$F$18,1)))+Pipeline!$T$19*Pipeline!$D$19*MIN(1,MAX(0,(76-Pipeline!$E$19+1)/MAX(Pipeline!$F$19,1)))+Pipeline!$T$20*Pipeline!$D$20*MIN(1,MAX(0,(76-Pipeline!$E$20+1)/MAX(Pipeline!$F$20,1)))+Pipeline!$T$21*Pipeline!$D$21*MIN(1,MAX(0,(76-Pipeline!$E$21+1)/MAX(Pipeline!$F$21,1)))+Pipeline!$T$22*Pipeline!$D$22*MIN(1,MAX(0,(76-Pipeline!$E$22+1)/MAX(Pipeline!$F$22,1))))/Hipótesis!$C$17</f>
        <v>7543.27796335926</v>
      </c>
      <c r="CA17" s="139" t="n">
        <f aca="false">(Pipeline!$T$16*Pipeline!$D$16*MIN(1,MAX(0,(77-Pipeline!$E$16+1)/MAX(Pipeline!$F$16,1)))+Pipeline!$T$17*Pipeline!$D$17*MIN(1,MAX(0,(77-Pipeline!$E$17+1)/MAX(Pipeline!$F$17,1)))+Pipeline!$T$18*Pipeline!$D$18*MIN(1,MAX(0,(77-Pipeline!$E$18+1)/MAX(Pipeline!$F$18,1)))+Pipeline!$T$19*Pipeline!$D$19*MIN(1,MAX(0,(77-Pipeline!$E$19+1)/MAX(Pipeline!$F$19,1)))+Pipeline!$T$20*Pipeline!$D$20*MIN(1,MAX(0,(77-Pipeline!$E$20+1)/MAX(Pipeline!$F$20,1)))+Pipeline!$T$21*Pipeline!$D$21*MIN(1,MAX(0,(77-Pipeline!$E$21+1)/MAX(Pipeline!$F$21,1)))+Pipeline!$T$22*Pipeline!$D$22*MIN(1,MAX(0,(77-Pipeline!$E$22+1)/MAX(Pipeline!$F$22,1))))/Hipótesis!$C$17</f>
        <v>7543.27796335926</v>
      </c>
      <c r="CB17" s="139" t="n">
        <f aca="false">(Pipeline!$T$16*Pipeline!$D$16*MIN(1,MAX(0,(78-Pipeline!$E$16+1)/MAX(Pipeline!$F$16,1)))+Pipeline!$T$17*Pipeline!$D$17*MIN(1,MAX(0,(78-Pipeline!$E$17+1)/MAX(Pipeline!$F$17,1)))+Pipeline!$T$18*Pipeline!$D$18*MIN(1,MAX(0,(78-Pipeline!$E$18+1)/MAX(Pipeline!$F$18,1)))+Pipeline!$T$19*Pipeline!$D$19*MIN(1,MAX(0,(78-Pipeline!$E$19+1)/MAX(Pipeline!$F$19,1)))+Pipeline!$T$20*Pipeline!$D$20*MIN(1,MAX(0,(78-Pipeline!$E$20+1)/MAX(Pipeline!$F$20,1)))+Pipeline!$T$21*Pipeline!$D$21*MIN(1,MAX(0,(78-Pipeline!$E$21+1)/MAX(Pipeline!$F$21,1)))+Pipeline!$T$22*Pipeline!$D$22*MIN(1,MAX(0,(78-Pipeline!$E$22+1)/MAX(Pipeline!$F$22,1))))/Hipótesis!$C$17</f>
        <v>7543.27796335926</v>
      </c>
      <c r="CC17" s="139" t="n">
        <f aca="false">(Pipeline!$T$16*Pipeline!$D$16*MIN(1,MAX(0,(79-Pipeline!$E$16+1)/MAX(Pipeline!$F$16,1)))+Pipeline!$T$17*Pipeline!$D$17*MIN(1,MAX(0,(79-Pipeline!$E$17+1)/MAX(Pipeline!$F$17,1)))+Pipeline!$T$18*Pipeline!$D$18*MIN(1,MAX(0,(79-Pipeline!$E$18+1)/MAX(Pipeline!$F$18,1)))+Pipeline!$T$19*Pipeline!$D$19*MIN(1,MAX(0,(79-Pipeline!$E$19+1)/MAX(Pipeline!$F$19,1)))+Pipeline!$T$20*Pipeline!$D$20*MIN(1,MAX(0,(79-Pipeline!$E$20+1)/MAX(Pipeline!$F$20,1)))+Pipeline!$T$21*Pipeline!$D$21*MIN(1,MAX(0,(79-Pipeline!$E$21+1)/MAX(Pipeline!$F$21,1)))+Pipeline!$T$22*Pipeline!$D$22*MIN(1,MAX(0,(79-Pipeline!$E$22+1)/MAX(Pipeline!$F$22,1))))/Hipótesis!$C$17</f>
        <v>7543.27796335926</v>
      </c>
      <c r="CD17" s="139" t="n">
        <f aca="false">(Pipeline!$T$16*Pipeline!$D$16*MIN(1,MAX(0,(80-Pipeline!$E$16+1)/MAX(Pipeline!$F$16,1)))+Pipeline!$T$17*Pipeline!$D$17*MIN(1,MAX(0,(80-Pipeline!$E$17+1)/MAX(Pipeline!$F$17,1)))+Pipeline!$T$18*Pipeline!$D$18*MIN(1,MAX(0,(80-Pipeline!$E$18+1)/MAX(Pipeline!$F$18,1)))+Pipeline!$T$19*Pipeline!$D$19*MIN(1,MAX(0,(80-Pipeline!$E$19+1)/MAX(Pipeline!$F$19,1)))+Pipeline!$T$20*Pipeline!$D$20*MIN(1,MAX(0,(80-Pipeline!$E$20+1)/MAX(Pipeline!$F$20,1)))+Pipeline!$T$21*Pipeline!$D$21*MIN(1,MAX(0,(80-Pipeline!$E$21+1)/MAX(Pipeline!$F$21,1)))+Pipeline!$T$22*Pipeline!$D$22*MIN(1,MAX(0,(80-Pipeline!$E$22+1)/MAX(Pipeline!$F$22,1))))/Hipótesis!$C$17</f>
        <v>7543.27796335926</v>
      </c>
      <c r="CE17" s="139" t="n">
        <f aca="false">(Pipeline!$T$16*Pipeline!$D$16*MIN(1,MAX(0,(81-Pipeline!$E$16+1)/MAX(Pipeline!$F$16,1)))+Pipeline!$T$17*Pipeline!$D$17*MIN(1,MAX(0,(81-Pipeline!$E$17+1)/MAX(Pipeline!$F$17,1)))+Pipeline!$T$18*Pipeline!$D$18*MIN(1,MAX(0,(81-Pipeline!$E$18+1)/MAX(Pipeline!$F$18,1)))+Pipeline!$T$19*Pipeline!$D$19*MIN(1,MAX(0,(81-Pipeline!$E$19+1)/MAX(Pipeline!$F$19,1)))+Pipeline!$T$20*Pipeline!$D$20*MIN(1,MAX(0,(81-Pipeline!$E$20+1)/MAX(Pipeline!$F$20,1)))+Pipeline!$T$21*Pipeline!$D$21*MIN(1,MAX(0,(81-Pipeline!$E$21+1)/MAX(Pipeline!$F$21,1)))+Pipeline!$T$22*Pipeline!$D$22*MIN(1,MAX(0,(81-Pipeline!$E$22+1)/MAX(Pipeline!$F$22,1))))/Hipótesis!$C$17</f>
        <v>7543.27796335926</v>
      </c>
      <c r="CF17" s="139" t="n">
        <f aca="false">(Pipeline!$T$16*Pipeline!$D$16*MIN(1,MAX(0,(82-Pipeline!$E$16+1)/MAX(Pipeline!$F$16,1)))+Pipeline!$T$17*Pipeline!$D$17*MIN(1,MAX(0,(82-Pipeline!$E$17+1)/MAX(Pipeline!$F$17,1)))+Pipeline!$T$18*Pipeline!$D$18*MIN(1,MAX(0,(82-Pipeline!$E$18+1)/MAX(Pipeline!$F$18,1)))+Pipeline!$T$19*Pipeline!$D$19*MIN(1,MAX(0,(82-Pipeline!$E$19+1)/MAX(Pipeline!$F$19,1)))+Pipeline!$T$20*Pipeline!$D$20*MIN(1,MAX(0,(82-Pipeline!$E$20+1)/MAX(Pipeline!$F$20,1)))+Pipeline!$T$21*Pipeline!$D$21*MIN(1,MAX(0,(82-Pipeline!$E$21+1)/MAX(Pipeline!$F$21,1)))+Pipeline!$T$22*Pipeline!$D$22*MIN(1,MAX(0,(82-Pipeline!$E$22+1)/MAX(Pipeline!$F$22,1))))/Hipótesis!$C$17</f>
        <v>7543.27796335926</v>
      </c>
      <c r="CG17" s="139" t="n">
        <f aca="false">(Pipeline!$T$16*Pipeline!$D$16*MIN(1,MAX(0,(83-Pipeline!$E$16+1)/MAX(Pipeline!$F$16,1)))+Pipeline!$T$17*Pipeline!$D$17*MIN(1,MAX(0,(83-Pipeline!$E$17+1)/MAX(Pipeline!$F$17,1)))+Pipeline!$T$18*Pipeline!$D$18*MIN(1,MAX(0,(83-Pipeline!$E$18+1)/MAX(Pipeline!$F$18,1)))+Pipeline!$T$19*Pipeline!$D$19*MIN(1,MAX(0,(83-Pipeline!$E$19+1)/MAX(Pipeline!$F$19,1)))+Pipeline!$T$20*Pipeline!$D$20*MIN(1,MAX(0,(83-Pipeline!$E$20+1)/MAX(Pipeline!$F$20,1)))+Pipeline!$T$21*Pipeline!$D$21*MIN(1,MAX(0,(83-Pipeline!$E$21+1)/MAX(Pipeline!$F$21,1)))+Pipeline!$T$22*Pipeline!$D$22*MIN(1,MAX(0,(83-Pipeline!$E$22+1)/MAX(Pipeline!$F$22,1))))/Hipótesis!$C$17</f>
        <v>7543.27796335926</v>
      </c>
      <c r="CH17" s="139" t="n">
        <f aca="false">(Pipeline!$T$16*Pipeline!$D$16*MIN(1,MAX(0,(84-Pipeline!$E$16+1)/MAX(Pipeline!$F$16,1)))+Pipeline!$T$17*Pipeline!$D$17*MIN(1,MAX(0,(84-Pipeline!$E$17+1)/MAX(Pipeline!$F$17,1)))+Pipeline!$T$18*Pipeline!$D$18*MIN(1,MAX(0,(84-Pipeline!$E$18+1)/MAX(Pipeline!$F$18,1)))+Pipeline!$T$19*Pipeline!$D$19*MIN(1,MAX(0,(84-Pipeline!$E$19+1)/MAX(Pipeline!$F$19,1)))+Pipeline!$T$20*Pipeline!$D$20*MIN(1,MAX(0,(84-Pipeline!$E$20+1)/MAX(Pipeline!$F$20,1)))+Pipeline!$T$21*Pipeline!$D$21*MIN(1,MAX(0,(84-Pipeline!$E$21+1)/MAX(Pipeline!$F$21,1)))+Pipeline!$T$22*Pipeline!$D$22*MIN(1,MAX(0,(84-Pipeline!$E$22+1)/MAX(Pipeline!$F$22,1))))/Hipótesis!$C$17</f>
        <v>7543.27796335926</v>
      </c>
    </row>
    <row r="18" customFormat="false" ht="13.5" hidden="false" customHeight="true" outlineLevel="0" collapsed="false">
      <c r="A18" s="13" t="s">
        <v>701</v>
      </c>
      <c r="C18" s="150" t="n">
        <f aca="false">(Pipeline!$U$16*Pipeline!$D$16*MIN(1,MAX(0,(1-Pipeline!$E$16+1)/MAX(Pipeline!$F$16,1)))+Pipeline!$U$17*Pipeline!$D$17*MIN(1,MAX(0,(1-Pipeline!$E$17+1)/MAX(Pipeline!$F$17,1)))+Pipeline!$U$18*Pipeline!$D$18*MIN(1,MAX(0,(1-Pipeline!$E$18+1)/MAX(Pipeline!$F$18,1)))+Pipeline!$U$19*Pipeline!$D$19*MIN(1,MAX(0,(1-Pipeline!$E$19+1)/MAX(Pipeline!$F$19,1)))+Pipeline!$U$20*Pipeline!$D$20*MIN(1,MAX(0,(1-Pipeline!$E$20+1)/MAX(Pipeline!$F$20,1)))+Pipeline!$U$21*Pipeline!$D$21*MIN(1,MAX(0,(1-Pipeline!$E$21+1)/MAX(Pipeline!$F$21,1)))+Pipeline!$U$22*Pipeline!$D$22*MIN(1,MAX(0,(1-Pipeline!$E$22+1)/MAX(Pipeline!$F$22,1))))/Hipótesis!$C$17</f>
        <v>41.6958475068843</v>
      </c>
      <c r="D18" s="150" t="n">
        <f aca="false">(Pipeline!$U$16*Pipeline!$D$16*MIN(1,MAX(0,(2-Pipeline!$E$16+1)/MAX(Pipeline!$F$16,1)))+Pipeline!$U$17*Pipeline!$D$17*MIN(1,MAX(0,(2-Pipeline!$E$17+1)/MAX(Pipeline!$F$17,1)))+Pipeline!$U$18*Pipeline!$D$18*MIN(1,MAX(0,(2-Pipeline!$E$18+1)/MAX(Pipeline!$F$18,1)))+Pipeline!$U$19*Pipeline!$D$19*MIN(1,MAX(0,(2-Pipeline!$E$19+1)/MAX(Pipeline!$F$19,1)))+Pipeline!$U$20*Pipeline!$D$20*MIN(1,MAX(0,(2-Pipeline!$E$20+1)/MAX(Pipeline!$F$20,1)))+Pipeline!$U$21*Pipeline!$D$21*MIN(1,MAX(0,(2-Pipeline!$E$21+1)/MAX(Pipeline!$F$21,1)))+Pipeline!$U$22*Pipeline!$D$22*MIN(1,MAX(0,(2-Pipeline!$E$22+1)/MAX(Pipeline!$F$22,1))))/Hipótesis!$C$17</f>
        <v>85.4214624133963</v>
      </c>
      <c r="E18" s="150" t="n">
        <f aca="false">(Pipeline!$U$16*Pipeline!$D$16*MIN(1,MAX(0,(3-Pipeline!$E$16+1)/MAX(Pipeline!$F$16,1)))+Pipeline!$U$17*Pipeline!$D$17*MIN(1,MAX(0,(3-Pipeline!$E$17+1)/MAX(Pipeline!$F$17,1)))+Pipeline!$U$18*Pipeline!$D$18*MIN(1,MAX(0,(3-Pipeline!$E$18+1)/MAX(Pipeline!$F$18,1)))+Pipeline!$U$19*Pipeline!$D$19*MIN(1,MAX(0,(3-Pipeline!$E$19+1)/MAX(Pipeline!$F$19,1)))+Pipeline!$U$20*Pipeline!$D$20*MIN(1,MAX(0,(3-Pipeline!$E$20+1)/MAX(Pipeline!$F$20,1)))+Pipeline!$U$21*Pipeline!$D$21*MIN(1,MAX(0,(3-Pipeline!$E$21+1)/MAX(Pipeline!$F$21,1)))+Pipeline!$U$22*Pipeline!$D$22*MIN(1,MAX(0,(3-Pipeline!$E$22+1)/MAX(Pipeline!$F$22,1))))/Hipótesis!$C$17</f>
        <v>162.499898070454</v>
      </c>
      <c r="F18" s="150" t="n">
        <f aca="false">(Pipeline!$U$16*Pipeline!$D$16*MIN(1,MAX(0,(4-Pipeline!$E$16+1)/MAX(Pipeline!$F$16,1)))+Pipeline!$U$17*Pipeline!$D$17*MIN(1,MAX(0,(4-Pipeline!$E$17+1)/MAX(Pipeline!$F$17,1)))+Pipeline!$U$18*Pipeline!$D$18*MIN(1,MAX(0,(4-Pipeline!$E$18+1)/MAX(Pipeline!$F$18,1)))+Pipeline!$U$19*Pipeline!$D$19*MIN(1,MAX(0,(4-Pipeline!$E$19+1)/MAX(Pipeline!$F$19,1)))+Pipeline!$U$20*Pipeline!$D$20*MIN(1,MAX(0,(4-Pipeline!$E$20+1)/MAX(Pipeline!$F$20,1)))+Pipeline!$U$21*Pipeline!$D$21*MIN(1,MAX(0,(4-Pipeline!$E$21+1)/MAX(Pipeline!$F$21,1)))+Pipeline!$U$22*Pipeline!$D$22*MIN(1,MAX(0,(4-Pipeline!$E$22+1)/MAX(Pipeline!$F$22,1))))/Hipótesis!$C$17</f>
        <v>197.882486220627</v>
      </c>
      <c r="G18" s="150" t="n">
        <f aca="false">(Pipeline!$U$16*Pipeline!$D$16*MIN(1,MAX(0,(5-Pipeline!$E$16+1)/MAX(Pipeline!$F$16,1)))+Pipeline!$U$17*Pipeline!$D$17*MIN(1,MAX(0,(5-Pipeline!$E$17+1)/MAX(Pipeline!$F$17,1)))+Pipeline!$U$18*Pipeline!$D$18*MIN(1,MAX(0,(5-Pipeline!$E$18+1)/MAX(Pipeline!$F$18,1)))+Pipeline!$U$19*Pipeline!$D$19*MIN(1,MAX(0,(5-Pipeline!$E$19+1)/MAX(Pipeline!$F$19,1)))+Pipeline!$U$20*Pipeline!$D$20*MIN(1,MAX(0,(5-Pipeline!$E$20+1)/MAX(Pipeline!$F$20,1)))+Pipeline!$U$21*Pipeline!$D$21*MIN(1,MAX(0,(5-Pipeline!$E$21+1)/MAX(Pipeline!$F$21,1)))+Pipeline!$U$22*Pipeline!$D$22*MIN(1,MAX(0,(5-Pipeline!$E$22+1)/MAX(Pipeline!$F$22,1))))/Hipótesis!$C$17</f>
        <v>231.235306971172</v>
      </c>
      <c r="H18" s="150" t="n">
        <f aca="false">(Pipeline!$U$16*Pipeline!$D$16*MIN(1,MAX(0,(6-Pipeline!$E$16+1)/MAX(Pipeline!$F$16,1)))+Pipeline!$U$17*Pipeline!$D$17*MIN(1,MAX(0,(6-Pipeline!$E$17+1)/MAX(Pipeline!$F$17,1)))+Pipeline!$U$18*Pipeline!$D$18*MIN(1,MAX(0,(6-Pipeline!$E$18+1)/MAX(Pipeline!$F$18,1)))+Pipeline!$U$19*Pipeline!$D$19*MIN(1,MAX(0,(6-Pipeline!$E$19+1)/MAX(Pipeline!$F$19,1)))+Pipeline!$U$20*Pipeline!$D$20*MIN(1,MAX(0,(6-Pipeline!$E$20+1)/MAX(Pipeline!$F$20,1)))+Pipeline!$U$21*Pipeline!$D$21*MIN(1,MAX(0,(6-Pipeline!$E$21+1)/MAX(Pipeline!$F$21,1)))+Pipeline!$U$22*Pipeline!$D$22*MIN(1,MAX(0,(6-Pipeline!$E$22+1)/MAX(Pipeline!$F$22,1))))/Hipótesis!$C$17</f>
        <v>287.845879175785</v>
      </c>
      <c r="I18" s="150" t="n">
        <f aca="false">(Pipeline!$U$16*Pipeline!$D$16*MIN(1,MAX(0,(7-Pipeline!$E$16+1)/MAX(Pipeline!$F$16,1)))+Pipeline!$U$17*Pipeline!$D$17*MIN(1,MAX(0,(7-Pipeline!$E$17+1)/MAX(Pipeline!$F$17,1)))+Pipeline!$U$18*Pipeline!$D$18*MIN(1,MAX(0,(7-Pipeline!$E$18+1)/MAX(Pipeline!$F$18,1)))+Pipeline!$U$19*Pipeline!$D$19*MIN(1,MAX(0,(7-Pipeline!$E$19+1)/MAX(Pipeline!$F$19,1)))+Pipeline!$U$20*Pipeline!$D$20*MIN(1,MAX(0,(7-Pipeline!$E$20+1)/MAX(Pipeline!$F$20,1)))+Pipeline!$U$21*Pipeline!$D$21*MIN(1,MAX(0,(7-Pipeline!$E$21+1)/MAX(Pipeline!$F$21,1)))+Pipeline!$U$22*Pipeline!$D$22*MIN(1,MAX(0,(7-Pipeline!$E$22+1)/MAX(Pipeline!$F$22,1))))/Hipótesis!$C$17</f>
        <v>344.456451380398</v>
      </c>
      <c r="J18" s="150" t="n">
        <f aca="false">(Pipeline!$U$16*Pipeline!$D$16*MIN(1,MAX(0,(8-Pipeline!$E$16+1)/MAX(Pipeline!$F$16,1)))+Pipeline!$U$17*Pipeline!$D$17*MIN(1,MAX(0,(8-Pipeline!$E$17+1)/MAX(Pipeline!$F$17,1)))+Pipeline!$U$18*Pipeline!$D$18*MIN(1,MAX(0,(8-Pipeline!$E$18+1)/MAX(Pipeline!$F$18,1)))+Pipeline!$U$19*Pipeline!$D$19*MIN(1,MAX(0,(8-Pipeline!$E$19+1)/MAX(Pipeline!$F$19,1)))+Pipeline!$U$20*Pipeline!$D$20*MIN(1,MAX(0,(8-Pipeline!$E$20+1)/MAX(Pipeline!$F$20,1)))+Pipeline!$U$21*Pipeline!$D$21*MIN(1,MAX(0,(8-Pipeline!$E$21+1)/MAX(Pipeline!$F$21,1)))+Pipeline!$U$22*Pipeline!$D$22*MIN(1,MAX(0,(8-Pipeline!$E$22+1)/MAX(Pipeline!$F$22,1))))/Hipótesis!$C$17</f>
        <v>401.067023585011</v>
      </c>
      <c r="K18" s="150" t="n">
        <f aca="false">(Pipeline!$U$16*Pipeline!$D$16*MIN(1,MAX(0,(9-Pipeline!$E$16+1)/MAX(Pipeline!$F$16,1)))+Pipeline!$U$17*Pipeline!$D$17*MIN(1,MAX(0,(9-Pipeline!$E$17+1)/MAX(Pipeline!$F$17,1)))+Pipeline!$U$18*Pipeline!$D$18*MIN(1,MAX(0,(9-Pipeline!$E$18+1)/MAX(Pipeline!$F$18,1)))+Pipeline!$U$19*Pipeline!$D$19*MIN(1,MAX(0,(9-Pipeline!$E$19+1)/MAX(Pipeline!$F$19,1)))+Pipeline!$U$20*Pipeline!$D$20*MIN(1,MAX(0,(9-Pipeline!$E$20+1)/MAX(Pipeline!$F$20,1)))+Pipeline!$U$21*Pipeline!$D$21*MIN(1,MAX(0,(9-Pipeline!$E$21+1)/MAX(Pipeline!$F$21,1)))+Pipeline!$U$22*Pipeline!$D$22*MIN(1,MAX(0,(9-Pipeline!$E$22+1)/MAX(Pipeline!$F$22,1))))/Hipótesis!$C$17</f>
        <v>457.677595789624</v>
      </c>
      <c r="L18" s="150" t="n">
        <f aca="false">(Pipeline!$U$16*Pipeline!$D$16*MIN(1,MAX(0,(10-Pipeline!$E$16+1)/MAX(Pipeline!$F$16,1)))+Pipeline!$U$17*Pipeline!$D$17*MIN(1,MAX(0,(10-Pipeline!$E$17+1)/MAX(Pipeline!$F$17,1)))+Pipeline!$U$18*Pipeline!$D$18*MIN(1,MAX(0,(10-Pipeline!$E$18+1)/MAX(Pipeline!$F$18,1)))+Pipeline!$U$19*Pipeline!$D$19*MIN(1,MAX(0,(10-Pipeline!$E$19+1)/MAX(Pipeline!$F$19,1)))+Pipeline!$U$20*Pipeline!$D$20*MIN(1,MAX(0,(10-Pipeline!$E$20+1)/MAX(Pipeline!$F$20,1)))+Pipeline!$U$21*Pipeline!$D$21*MIN(1,MAX(0,(10-Pipeline!$E$21+1)/MAX(Pipeline!$F$21,1)))+Pipeline!$U$22*Pipeline!$D$22*MIN(1,MAX(0,(10-Pipeline!$E$22+1)/MAX(Pipeline!$F$22,1))))/Hipótesis!$C$17</f>
        <v>514.288167994237</v>
      </c>
      <c r="M18" s="150" t="n">
        <f aca="false">(Pipeline!$U$16*Pipeline!$D$16*MIN(1,MAX(0,(11-Pipeline!$E$16+1)/MAX(Pipeline!$F$16,1)))+Pipeline!$U$17*Pipeline!$D$17*MIN(1,MAX(0,(11-Pipeline!$E$17+1)/MAX(Pipeline!$F$17,1)))+Pipeline!$U$18*Pipeline!$D$18*MIN(1,MAX(0,(11-Pipeline!$E$18+1)/MAX(Pipeline!$F$18,1)))+Pipeline!$U$19*Pipeline!$D$19*MIN(1,MAX(0,(11-Pipeline!$E$19+1)/MAX(Pipeline!$F$19,1)))+Pipeline!$U$20*Pipeline!$D$20*MIN(1,MAX(0,(11-Pipeline!$E$20+1)/MAX(Pipeline!$F$20,1)))+Pipeline!$U$21*Pipeline!$D$21*MIN(1,MAX(0,(11-Pipeline!$E$21+1)/MAX(Pipeline!$F$21,1)))+Pipeline!$U$22*Pipeline!$D$22*MIN(1,MAX(0,(11-Pipeline!$E$22+1)/MAX(Pipeline!$F$22,1))))/Hipótesis!$C$17</f>
        <v>537.545919448304</v>
      </c>
      <c r="N18" s="150" t="n">
        <f aca="false">(Pipeline!$U$16*Pipeline!$D$16*MIN(1,MAX(0,(12-Pipeline!$E$16+1)/MAX(Pipeline!$F$16,1)))+Pipeline!$U$17*Pipeline!$D$17*MIN(1,MAX(0,(12-Pipeline!$E$17+1)/MAX(Pipeline!$F$17,1)))+Pipeline!$U$18*Pipeline!$D$18*MIN(1,MAX(0,(12-Pipeline!$E$18+1)/MAX(Pipeline!$F$18,1)))+Pipeline!$U$19*Pipeline!$D$19*MIN(1,MAX(0,(12-Pipeline!$E$19+1)/MAX(Pipeline!$F$19,1)))+Pipeline!$U$20*Pipeline!$D$20*MIN(1,MAX(0,(12-Pipeline!$E$20+1)/MAX(Pipeline!$F$20,1)))+Pipeline!$U$21*Pipeline!$D$21*MIN(1,MAX(0,(12-Pipeline!$E$21+1)/MAX(Pipeline!$F$21,1)))+Pipeline!$U$22*Pipeline!$D$22*MIN(1,MAX(0,(12-Pipeline!$E$22+1)/MAX(Pipeline!$F$22,1))))/Hipótesis!$C$17</f>
        <v>594.633127562834</v>
      </c>
      <c r="O18" s="150" t="n">
        <f aca="false">(Pipeline!$U$16*Pipeline!$D$16*MIN(1,MAX(0,(13-Pipeline!$E$16+1)/MAX(Pipeline!$F$16,1)))+Pipeline!$U$17*Pipeline!$D$17*MIN(1,MAX(0,(13-Pipeline!$E$17+1)/MAX(Pipeline!$F$17,1)))+Pipeline!$U$18*Pipeline!$D$18*MIN(1,MAX(0,(13-Pipeline!$E$18+1)/MAX(Pipeline!$F$18,1)))+Pipeline!$U$19*Pipeline!$D$19*MIN(1,MAX(0,(13-Pipeline!$E$19+1)/MAX(Pipeline!$F$19,1)))+Pipeline!$U$20*Pipeline!$D$20*MIN(1,MAX(0,(13-Pipeline!$E$20+1)/MAX(Pipeline!$F$20,1)))+Pipeline!$U$21*Pipeline!$D$21*MIN(1,MAX(0,(13-Pipeline!$E$21+1)/MAX(Pipeline!$F$21,1)))+Pipeline!$U$22*Pipeline!$D$22*MIN(1,MAX(0,(13-Pipeline!$E$22+1)/MAX(Pipeline!$F$22,1))))/Hipótesis!$C$17</f>
        <v>651.720335677363</v>
      </c>
      <c r="P18" s="150" t="n">
        <f aca="false">(Pipeline!$U$16*Pipeline!$D$16*MIN(1,MAX(0,(14-Pipeline!$E$16+1)/MAX(Pipeline!$F$16,1)))+Pipeline!$U$17*Pipeline!$D$17*MIN(1,MAX(0,(14-Pipeline!$E$17+1)/MAX(Pipeline!$F$17,1)))+Pipeline!$U$18*Pipeline!$D$18*MIN(1,MAX(0,(14-Pipeline!$E$18+1)/MAX(Pipeline!$F$18,1)))+Pipeline!$U$19*Pipeline!$D$19*MIN(1,MAX(0,(14-Pipeline!$E$19+1)/MAX(Pipeline!$F$19,1)))+Pipeline!$U$20*Pipeline!$D$20*MIN(1,MAX(0,(14-Pipeline!$E$20+1)/MAX(Pipeline!$F$20,1)))+Pipeline!$U$21*Pipeline!$D$21*MIN(1,MAX(0,(14-Pipeline!$E$21+1)/MAX(Pipeline!$F$21,1)))+Pipeline!$U$22*Pipeline!$D$22*MIN(1,MAX(0,(14-Pipeline!$E$22+1)/MAX(Pipeline!$F$22,1))))/Hipótesis!$C$17</f>
        <v>699.08157500201</v>
      </c>
      <c r="Q18" s="150" t="n">
        <f aca="false">(Pipeline!$U$16*Pipeline!$D$16*MIN(1,MAX(0,(15-Pipeline!$E$16+1)/MAX(Pipeline!$F$16,1)))+Pipeline!$U$17*Pipeline!$D$17*MIN(1,MAX(0,(15-Pipeline!$E$17+1)/MAX(Pipeline!$F$17,1)))+Pipeline!$U$18*Pipeline!$D$18*MIN(1,MAX(0,(15-Pipeline!$E$18+1)/MAX(Pipeline!$F$18,1)))+Pipeline!$U$19*Pipeline!$D$19*MIN(1,MAX(0,(15-Pipeline!$E$19+1)/MAX(Pipeline!$F$19,1)))+Pipeline!$U$20*Pipeline!$D$20*MIN(1,MAX(0,(15-Pipeline!$E$20+1)/MAX(Pipeline!$F$20,1)))+Pipeline!$U$21*Pipeline!$D$21*MIN(1,MAX(0,(15-Pipeline!$E$21+1)/MAX(Pipeline!$F$21,1)))+Pipeline!$U$22*Pipeline!$D$22*MIN(1,MAX(0,(15-Pipeline!$E$22+1)/MAX(Pipeline!$F$22,1))))/Hipótesis!$C$17</f>
        <v>746.442814326657</v>
      </c>
      <c r="R18" s="150" t="n">
        <f aca="false">(Pipeline!$U$16*Pipeline!$D$16*MIN(1,MAX(0,(16-Pipeline!$E$16+1)/MAX(Pipeline!$F$16,1)))+Pipeline!$U$17*Pipeline!$D$17*MIN(1,MAX(0,(16-Pipeline!$E$17+1)/MAX(Pipeline!$F$17,1)))+Pipeline!$U$18*Pipeline!$D$18*MIN(1,MAX(0,(16-Pipeline!$E$18+1)/MAX(Pipeline!$F$18,1)))+Pipeline!$U$19*Pipeline!$D$19*MIN(1,MAX(0,(16-Pipeline!$E$19+1)/MAX(Pipeline!$F$19,1)))+Pipeline!$U$20*Pipeline!$D$20*MIN(1,MAX(0,(16-Pipeline!$E$20+1)/MAX(Pipeline!$F$20,1)))+Pipeline!$U$21*Pipeline!$D$21*MIN(1,MAX(0,(16-Pipeline!$E$21+1)/MAX(Pipeline!$F$21,1)))+Pipeline!$U$22*Pipeline!$D$22*MIN(1,MAX(0,(16-Pipeline!$E$22+1)/MAX(Pipeline!$F$22,1))))/Hipótesis!$C$17</f>
        <v>793.804053651303</v>
      </c>
      <c r="S18" s="150" t="n">
        <f aca="false">(Pipeline!$U$16*Pipeline!$D$16*MIN(1,MAX(0,(17-Pipeline!$E$16+1)/MAX(Pipeline!$F$16,1)))+Pipeline!$U$17*Pipeline!$D$17*MIN(1,MAX(0,(17-Pipeline!$E$17+1)/MAX(Pipeline!$F$17,1)))+Pipeline!$U$18*Pipeline!$D$18*MIN(1,MAX(0,(17-Pipeline!$E$18+1)/MAX(Pipeline!$F$18,1)))+Pipeline!$U$19*Pipeline!$D$19*MIN(1,MAX(0,(17-Pipeline!$E$19+1)/MAX(Pipeline!$F$19,1)))+Pipeline!$U$20*Pipeline!$D$20*MIN(1,MAX(0,(17-Pipeline!$E$20+1)/MAX(Pipeline!$F$20,1)))+Pipeline!$U$21*Pipeline!$D$21*MIN(1,MAX(0,(17-Pipeline!$E$21+1)/MAX(Pipeline!$F$21,1)))+Pipeline!$U$22*Pipeline!$D$22*MIN(1,MAX(0,(17-Pipeline!$E$22+1)/MAX(Pipeline!$F$22,1))))/Hipótesis!$C$17</f>
        <v>841.16529297595</v>
      </c>
      <c r="T18" s="150" t="n">
        <f aca="false">(Pipeline!$U$16*Pipeline!$D$16*MIN(1,MAX(0,(18-Pipeline!$E$16+1)/MAX(Pipeline!$F$16,1)))+Pipeline!$U$17*Pipeline!$D$17*MIN(1,MAX(0,(18-Pipeline!$E$17+1)/MAX(Pipeline!$F$17,1)))+Pipeline!$U$18*Pipeline!$D$18*MIN(1,MAX(0,(18-Pipeline!$E$18+1)/MAX(Pipeline!$F$18,1)))+Pipeline!$U$19*Pipeline!$D$19*MIN(1,MAX(0,(18-Pipeline!$E$19+1)/MAX(Pipeline!$F$19,1)))+Pipeline!$U$20*Pipeline!$D$20*MIN(1,MAX(0,(18-Pipeline!$E$20+1)/MAX(Pipeline!$F$20,1)))+Pipeline!$U$21*Pipeline!$D$21*MIN(1,MAX(0,(18-Pipeline!$E$21+1)/MAX(Pipeline!$F$21,1)))+Pipeline!$U$22*Pipeline!$D$22*MIN(1,MAX(0,(18-Pipeline!$E$22+1)/MAX(Pipeline!$F$22,1))))/Hipótesis!$C$17</f>
        <v>888.526532300597</v>
      </c>
      <c r="U18" s="150" t="n">
        <f aca="false">(Pipeline!$U$16*Pipeline!$D$16*MIN(1,MAX(0,(19-Pipeline!$E$16+1)/MAX(Pipeline!$F$16,1)))+Pipeline!$U$17*Pipeline!$D$17*MIN(1,MAX(0,(19-Pipeline!$E$17+1)/MAX(Pipeline!$F$17,1)))+Pipeline!$U$18*Pipeline!$D$18*MIN(1,MAX(0,(19-Pipeline!$E$18+1)/MAX(Pipeline!$F$18,1)))+Pipeline!$U$19*Pipeline!$D$19*MIN(1,MAX(0,(19-Pipeline!$E$19+1)/MAX(Pipeline!$F$19,1)))+Pipeline!$U$20*Pipeline!$D$20*MIN(1,MAX(0,(19-Pipeline!$E$20+1)/MAX(Pipeline!$F$20,1)))+Pipeline!$U$21*Pipeline!$D$21*MIN(1,MAX(0,(19-Pipeline!$E$21+1)/MAX(Pipeline!$F$21,1)))+Pipeline!$U$22*Pipeline!$D$22*MIN(1,MAX(0,(19-Pipeline!$E$22+1)/MAX(Pipeline!$F$22,1))))/Hipótesis!$C$17</f>
        <v>935.887771625244</v>
      </c>
      <c r="V18" s="150" t="n">
        <f aca="false">(Pipeline!$U$16*Pipeline!$D$16*MIN(1,MAX(0,(20-Pipeline!$E$16+1)/MAX(Pipeline!$F$16,1)))+Pipeline!$U$17*Pipeline!$D$17*MIN(1,MAX(0,(20-Pipeline!$E$17+1)/MAX(Pipeline!$F$17,1)))+Pipeline!$U$18*Pipeline!$D$18*MIN(1,MAX(0,(20-Pipeline!$E$18+1)/MAX(Pipeline!$F$18,1)))+Pipeline!$U$19*Pipeline!$D$19*MIN(1,MAX(0,(20-Pipeline!$E$19+1)/MAX(Pipeline!$F$19,1)))+Pipeline!$U$20*Pipeline!$D$20*MIN(1,MAX(0,(20-Pipeline!$E$20+1)/MAX(Pipeline!$F$20,1)))+Pipeline!$U$21*Pipeline!$D$21*MIN(1,MAX(0,(20-Pipeline!$E$21+1)/MAX(Pipeline!$F$21,1)))+Pipeline!$U$22*Pipeline!$D$22*MIN(1,MAX(0,(20-Pipeline!$E$22+1)/MAX(Pipeline!$F$22,1))))/Hipótesis!$C$17</f>
        <v>983.249010949891</v>
      </c>
      <c r="W18" s="150" t="n">
        <f aca="false">(Pipeline!$U$16*Pipeline!$D$16*MIN(1,MAX(0,(21-Pipeline!$E$16+1)/MAX(Pipeline!$F$16,1)))+Pipeline!$U$17*Pipeline!$D$17*MIN(1,MAX(0,(21-Pipeline!$E$17+1)/MAX(Pipeline!$F$17,1)))+Pipeline!$U$18*Pipeline!$D$18*MIN(1,MAX(0,(21-Pipeline!$E$18+1)/MAX(Pipeline!$F$18,1)))+Pipeline!$U$19*Pipeline!$D$19*MIN(1,MAX(0,(21-Pipeline!$E$19+1)/MAX(Pipeline!$F$19,1)))+Pipeline!$U$20*Pipeline!$D$20*MIN(1,MAX(0,(21-Pipeline!$E$20+1)/MAX(Pipeline!$F$20,1)))+Pipeline!$U$21*Pipeline!$D$21*MIN(1,MAX(0,(21-Pipeline!$E$21+1)/MAX(Pipeline!$F$21,1)))+Pipeline!$U$22*Pipeline!$D$22*MIN(1,MAX(0,(21-Pipeline!$E$22+1)/MAX(Pipeline!$F$22,1))))/Hipótesis!$C$17</f>
        <v>1030.61025027454</v>
      </c>
      <c r="X18" s="150" t="n">
        <f aca="false">(Pipeline!$U$16*Pipeline!$D$16*MIN(1,MAX(0,(22-Pipeline!$E$16+1)/MAX(Pipeline!$F$16,1)))+Pipeline!$U$17*Pipeline!$D$17*MIN(1,MAX(0,(22-Pipeline!$E$17+1)/MAX(Pipeline!$F$17,1)))+Pipeline!$U$18*Pipeline!$D$18*MIN(1,MAX(0,(22-Pipeline!$E$18+1)/MAX(Pipeline!$F$18,1)))+Pipeline!$U$19*Pipeline!$D$19*MIN(1,MAX(0,(22-Pipeline!$E$19+1)/MAX(Pipeline!$F$19,1)))+Pipeline!$U$20*Pipeline!$D$20*MIN(1,MAX(0,(22-Pipeline!$E$20+1)/MAX(Pipeline!$F$20,1)))+Pipeline!$U$21*Pipeline!$D$21*MIN(1,MAX(0,(22-Pipeline!$E$21+1)/MAX(Pipeline!$F$21,1)))+Pipeline!$U$22*Pipeline!$D$22*MIN(1,MAX(0,(22-Pipeline!$E$22+1)/MAX(Pipeline!$F$22,1))))/Hipótesis!$C$17</f>
        <v>1044.14203293872</v>
      </c>
      <c r="Y18" s="150" t="n">
        <f aca="false">(Pipeline!$U$16*Pipeline!$D$16*MIN(1,MAX(0,(23-Pipeline!$E$16+1)/MAX(Pipeline!$F$16,1)))+Pipeline!$U$17*Pipeline!$D$17*MIN(1,MAX(0,(23-Pipeline!$E$17+1)/MAX(Pipeline!$F$17,1)))+Pipeline!$U$18*Pipeline!$D$18*MIN(1,MAX(0,(23-Pipeline!$E$18+1)/MAX(Pipeline!$F$18,1)))+Pipeline!$U$19*Pipeline!$D$19*MIN(1,MAX(0,(23-Pipeline!$E$19+1)/MAX(Pipeline!$F$19,1)))+Pipeline!$U$20*Pipeline!$D$20*MIN(1,MAX(0,(23-Pipeline!$E$20+1)/MAX(Pipeline!$F$20,1)))+Pipeline!$U$21*Pipeline!$D$21*MIN(1,MAX(0,(23-Pipeline!$E$21+1)/MAX(Pipeline!$F$21,1)))+Pipeline!$U$22*Pipeline!$D$22*MIN(1,MAX(0,(23-Pipeline!$E$22+1)/MAX(Pipeline!$F$22,1))))/Hipótesis!$C$17</f>
        <v>1057.67381560291</v>
      </c>
      <c r="Z18" s="150" t="n">
        <f aca="false">(Pipeline!$U$16*Pipeline!$D$16*MIN(1,MAX(0,(24-Pipeline!$E$16+1)/MAX(Pipeline!$F$16,1)))+Pipeline!$U$17*Pipeline!$D$17*MIN(1,MAX(0,(24-Pipeline!$E$17+1)/MAX(Pipeline!$F$17,1)))+Pipeline!$U$18*Pipeline!$D$18*MIN(1,MAX(0,(24-Pipeline!$E$18+1)/MAX(Pipeline!$F$18,1)))+Pipeline!$U$19*Pipeline!$D$19*MIN(1,MAX(0,(24-Pipeline!$E$19+1)/MAX(Pipeline!$F$19,1)))+Pipeline!$U$20*Pipeline!$D$20*MIN(1,MAX(0,(24-Pipeline!$E$20+1)/MAX(Pipeline!$F$20,1)))+Pipeline!$U$21*Pipeline!$D$21*MIN(1,MAX(0,(24-Pipeline!$E$21+1)/MAX(Pipeline!$F$21,1)))+Pipeline!$U$22*Pipeline!$D$22*MIN(1,MAX(0,(24-Pipeline!$E$22+1)/MAX(Pipeline!$F$22,1))))/Hipótesis!$C$17</f>
        <v>1057.67381560291</v>
      </c>
      <c r="AA18" s="150" t="n">
        <f aca="false">(Pipeline!$U$16*Pipeline!$D$16*MIN(1,MAX(0,(25-Pipeline!$E$16+1)/MAX(Pipeline!$F$16,1)))+Pipeline!$U$17*Pipeline!$D$17*MIN(1,MAX(0,(25-Pipeline!$E$17+1)/MAX(Pipeline!$F$17,1)))+Pipeline!$U$18*Pipeline!$D$18*MIN(1,MAX(0,(25-Pipeline!$E$18+1)/MAX(Pipeline!$F$18,1)))+Pipeline!$U$19*Pipeline!$D$19*MIN(1,MAX(0,(25-Pipeline!$E$19+1)/MAX(Pipeline!$F$19,1)))+Pipeline!$U$20*Pipeline!$D$20*MIN(1,MAX(0,(25-Pipeline!$E$20+1)/MAX(Pipeline!$F$20,1)))+Pipeline!$U$21*Pipeline!$D$21*MIN(1,MAX(0,(25-Pipeline!$E$21+1)/MAX(Pipeline!$F$21,1)))+Pipeline!$U$22*Pipeline!$D$22*MIN(1,MAX(0,(25-Pipeline!$E$22+1)/MAX(Pipeline!$F$22,1))))/Hipótesis!$C$17</f>
        <v>1057.67381560291</v>
      </c>
      <c r="AB18" s="150" t="n">
        <f aca="false">(Pipeline!$U$16*Pipeline!$D$16*MIN(1,MAX(0,(26-Pipeline!$E$16+1)/MAX(Pipeline!$F$16,1)))+Pipeline!$U$17*Pipeline!$D$17*MIN(1,MAX(0,(26-Pipeline!$E$17+1)/MAX(Pipeline!$F$17,1)))+Pipeline!$U$18*Pipeline!$D$18*MIN(1,MAX(0,(26-Pipeline!$E$18+1)/MAX(Pipeline!$F$18,1)))+Pipeline!$U$19*Pipeline!$D$19*MIN(1,MAX(0,(26-Pipeline!$E$19+1)/MAX(Pipeline!$F$19,1)))+Pipeline!$U$20*Pipeline!$D$20*MIN(1,MAX(0,(26-Pipeline!$E$20+1)/MAX(Pipeline!$F$20,1)))+Pipeline!$U$21*Pipeline!$D$21*MIN(1,MAX(0,(26-Pipeline!$E$21+1)/MAX(Pipeline!$F$21,1)))+Pipeline!$U$22*Pipeline!$D$22*MIN(1,MAX(0,(26-Pipeline!$E$22+1)/MAX(Pipeline!$F$22,1))))/Hipótesis!$C$17</f>
        <v>1057.67381560291</v>
      </c>
      <c r="AC18" s="150" t="n">
        <f aca="false">(Pipeline!$U$16*Pipeline!$D$16*MIN(1,MAX(0,(27-Pipeline!$E$16+1)/MAX(Pipeline!$F$16,1)))+Pipeline!$U$17*Pipeline!$D$17*MIN(1,MAX(0,(27-Pipeline!$E$17+1)/MAX(Pipeline!$F$17,1)))+Pipeline!$U$18*Pipeline!$D$18*MIN(1,MAX(0,(27-Pipeline!$E$18+1)/MAX(Pipeline!$F$18,1)))+Pipeline!$U$19*Pipeline!$D$19*MIN(1,MAX(0,(27-Pipeline!$E$19+1)/MAX(Pipeline!$F$19,1)))+Pipeline!$U$20*Pipeline!$D$20*MIN(1,MAX(0,(27-Pipeline!$E$20+1)/MAX(Pipeline!$F$20,1)))+Pipeline!$U$21*Pipeline!$D$21*MIN(1,MAX(0,(27-Pipeline!$E$21+1)/MAX(Pipeline!$F$21,1)))+Pipeline!$U$22*Pipeline!$D$22*MIN(1,MAX(0,(27-Pipeline!$E$22+1)/MAX(Pipeline!$F$22,1))))/Hipótesis!$C$17</f>
        <v>1057.67381560291</v>
      </c>
      <c r="AD18" s="150" t="n">
        <f aca="false">(Pipeline!$U$16*Pipeline!$D$16*MIN(1,MAX(0,(28-Pipeline!$E$16+1)/MAX(Pipeline!$F$16,1)))+Pipeline!$U$17*Pipeline!$D$17*MIN(1,MAX(0,(28-Pipeline!$E$17+1)/MAX(Pipeline!$F$17,1)))+Pipeline!$U$18*Pipeline!$D$18*MIN(1,MAX(0,(28-Pipeline!$E$18+1)/MAX(Pipeline!$F$18,1)))+Pipeline!$U$19*Pipeline!$D$19*MIN(1,MAX(0,(28-Pipeline!$E$19+1)/MAX(Pipeline!$F$19,1)))+Pipeline!$U$20*Pipeline!$D$20*MIN(1,MAX(0,(28-Pipeline!$E$20+1)/MAX(Pipeline!$F$20,1)))+Pipeline!$U$21*Pipeline!$D$21*MIN(1,MAX(0,(28-Pipeline!$E$21+1)/MAX(Pipeline!$F$21,1)))+Pipeline!$U$22*Pipeline!$D$22*MIN(1,MAX(0,(28-Pipeline!$E$22+1)/MAX(Pipeline!$F$22,1))))/Hipótesis!$C$17</f>
        <v>1057.67381560291</v>
      </c>
      <c r="AE18" s="150" t="n">
        <f aca="false">(Pipeline!$U$16*Pipeline!$D$16*MIN(1,MAX(0,(29-Pipeline!$E$16+1)/MAX(Pipeline!$F$16,1)))+Pipeline!$U$17*Pipeline!$D$17*MIN(1,MAX(0,(29-Pipeline!$E$17+1)/MAX(Pipeline!$F$17,1)))+Pipeline!$U$18*Pipeline!$D$18*MIN(1,MAX(0,(29-Pipeline!$E$18+1)/MAX(Pipeline!$F$18,1)))+Pipeline!$U$19*Pipeline!$D$19*MIN(1,MAX(0,(29-Pipeline!$E$19+1)/MAX(Pipeline!$F$19,1)))+Pipeline!$U$20*Pipeline!$D$20*MIN(1,MAX(0,(29-Pipeline!$E$20+1)/MAX(Pipeline!$F$20,1)))+Pipeline!$U$21*Pipeline!$D$21*MIN(1,MAX(0,(29-Pipeline!$E$21+1)/MAX(Pipeline!$F$21,1)))+Pipeline!$U$22*Pipeline!$D$22*MIN(1,MAX(0,(29-Pipeline!$E$22+1)/MAX(Pipeline!$F$22,1))))/Hipótesis!$C$17</f>
        <v>1057.67381560291</v>
      </c>
      <c r="AF18" s="150" t="n">
        <f aca="false">(Pipeline!$U$16*Pipeline!$D$16*MIN(1,MAX(0,(30-Pipeline!$E$16+1)/MAX(Pipeline!$F$16,1)))+Pipeline!$U$17*Pipeline!$D$17*MIN(1,MAX(0,(30-Pipeline!$E$17+1)/MAX(Pipeline!$F$17,1)))+Pipeline!$U$18*Pipeline!$D$18*MIN(1,MAX(0,(30-Pipeline!$E$18+1)/MAX(Pipeline!$F$18,1)))+Pipeline!$U$19*Pipeline!$D$19*MIN(1,MAX(0,(30-Pipeline!$E$19+1)/MAX(Pipeline!$F$19,1)))+Pipeline!$U$20*Pipeline!$D$20*MIN(1,MAX(0,(30-Pipeline!$E$20+1)/MAX(Pipeline!$F$20,1)))+Pipeline!$U$21*Pipeline!$D$21*MIN(1,MAX(0,(30-Pipeline!$E$21+1)/MAX(Pipeline!$F$21,1)))+Pipeline!$U$22*Pipeline!$D$22*MIN(1,MAX(0,(30-Pipeline!$E$22+1)/MAX(Pipeline!$F$22,1))))/Hipótesis!$C$17</f>
        <v>1057.67381560291</v>
      </c>
      <c r="AG18" s="150" t="n">
        <f aca="false">(Pipeline!$U$16*Pipeline!$D$16*MIN(1,MAX(0,(31-Pipeline!$E$16+1)/MAX(Pipeline!$F$16,1)))+Pipeline!$U$17*Pipeline!$D$17*MIN(1,MAX(0,(31-Pipeline!$E$17+1)/MAX(Pipeline!$F$17,1)))+Pipeline!$U$18*Pipeline!$D$18*MIN(1,MAX(0,(31-Pipeline!$E$18+1)/MAX(Pipeline!$F$18,1)))+Pipeline!$U$19*Pipeline!$D$19*MIN(1,MAX(0,(31-Pipeline!$E$19+1)/MAX(Pipeline!$F$19,1)))+Pipeline!$U$20*Pipeline!$D$20*MIN(1,MAX(0,(31-Pipeline!$E$20+1)/MAX(Pipeline!$F$20,1)))+Pipeline!$U$21*Pipeline!$D$21*MIN(1,MAX(0,(31-Pipeline!$E$21+1)/MAX(Pipeline!$F$21,1)))+Pipeline!$U$22*Pipeline!$D$22*MIN(1,MAX(0,(31-Pipeline!$E$22+1)/MAX(Pipeline!$F$22,1))))/Hipótesis!$C$17</f>
        <v>1057.67381560291</v>
      </c>
      <c r="AH18" s="150" t="n">
        <f aca="false">(Pipeline!$U$16*Pipeline!$D$16*MIN(1,MAX(0,(32-Pipeline!$E$16+1)/MAX(Pipeline!$F$16,1)))+Pipeline!$U$17*Pipeline!$D$17*MIN(1,MAX(0,(32-Pipeline!$E$17+1)/MAX(Pipeline!$F$17,1)))+Pipeline!$U$18*Pipeline!$D$18*MIN(1,MAX(0,(32-Pipeline!$E$18+1)/MAX(Pipeline!$F$18,1)))+Pipeline!$U$19*Pipeline!$D$19*MIN(1,MAX(0,(32-Pipeline!$E$19+1)/MAX(Pipeline!$F$19,1)))+Pipeline!$U$20*Pipeline!$D$20*MIN(1,MAX(0,(32-Pipeline!$E$20+1)/MAX(Pipeline!$F$20,1)))+Pipeline!$U$21*Pipeline!$D$21*MIN(1,MAX(0,(32-Pipeline!$E$21+1)/MAX(Pipeline!$F$21,1)))+Pipeline!$U$22*Pipeline!$D$22*MIN(1,MAX(0,(32-Pipeline!$E$22+1)/MAX(Pipeline!$F$22,1))))/Hipótesis!$C$17</f>
        <v>1057.67381560291</v>
      </c>
      <c r="AI18" s="150" t="n">
        <f aca="false">(Pipeline!$U$16*Pipeline!$D$16*MIN(1,MAX(0,(33-Pipeline!$E$16+1)/MAX(Pipeline!$F$16,1)))+Pipeline!$U$17*Pipeline!$D$17*MIN(1,MAX(0,(33-Pipeline!$E$17+1)/MAX(Pipeline!$F$17,1)))+Pipeline!$U$18*Pipeline!$D$18*MIN(1,MAX(0,(33-Pipeline!$E$18+1)/MAX(Pipeline!$F$18,1)))+Pipeline!$U$19*Pipeline!$D$19*MIN(1,MAX(0,(33-Pipeline!$E$19+1)/MAX(Pipeline!$F$19,1)))+Pipeline!$U$20*Pipeline!$D$20*MIN(1,MAX(0,(33-Pipeline!$E$20+1)/MAX(Pipeline!$F$20,1)))+Pipeline!$U$21*Pipeline!$D$21*MIN(1,MAX(0,(33-Pipeline!$E$21+1)/MAX(Pipeline!$F$21,1)))+Pipeline!$U$22*Pipeline!$D$22*MIN(1,MAX(0,(33-Pipeline!$E$22+1)/MAX(Pipeline!$F$22,1))))/Hipótesis!$C$17</f>
        <v>1057.67381560291</v>
      </c>
      <c r="AJ18" s="150" t="n">
        <f aca="false">(Pipeline!$U$16*Pipeline!$D$16*MIN(1,MAX(0,(34-Pipeline!$E$16+1)/MAX(Pipeline!$F$16,1)))+Pipeline!$U$17*Pipeline!$D$17*MIN(1,MAX(0,(34-Pipeline!$E$17+1)/MAX(Pipeline!$F$17,1)))+Pipeline!$U$18*Pipeline!$D$18*MIN(1,MAX(0,(34-Pipeline!$E$18+1)/MAX(Pipeline!$F$18,1)))+Pipeline!$U$19*Pipeline!$D$19*MIN(1,MAX(0,(34-Pipeline!$E$19+1)/MAX(Pipeline!$F$19,1)))+Pipeline!$U$20*Pipeline!$D$20*MIN(1,MAX(0,(34-Pipeline!$E$20+1)/MAX(Pipeline!$F$20,1)))+Pipeline!$U$21*Pipeline!$D$21*MIN(1,MAX(0,(34-Pipeline!$E$21+1)/MAX(Pipeline!$F$21,1)))+Pipeline!$U$22*Pipeline!$D$22*MIN(1,MAX(0,(34-Pipeline!$E$22+1)/MAX(Pipeline!$F$22,1))))/Hipótesis!$C$17</f>
        <v>1057.67381560291</v>
      </c>
      <c r="AK18" s="150" t="n">
        <f aca="false">(Pipeline!$U$16*Pipeline!$D$16*MIN(1,MAX(0,(35-Pipeline!$E$16+1)/MAX(Pipeline!$F$16,1)))+Pipeline!$U$17*Pipeline!$D$17*MIN(1,MAX(0,(35-Pipeline!$E$17+1)/MAX(Pipeline!$F$17,1)))+Pipeline!$U$18*Pipeline!$D$18*MIN(1,MAX(0,(35-Pipeline!$E$18+1)/MAX(Pipeline!$F$18,1)))+Pipeline!$U$19*Pipeline!$D$19*MIN(1,MAX(0,(35-Pipeline!$E$19+1)/MAX(Pipeline!$F$19,1)))+Pipeline!$U$20*Pipeline!$D$20*MIN(1,MAX(0,(35-Pipeline!$E$20+1)/MAX(Pipeline!$F$20,1)))+Pipeline!$U$21*Pipeline!$D$21*MIN(1,MAX(0,(35-Pipeline!$E$21+1)/MAX(Pipeline!$F$21,1)))+Pipeline!$U$22*Pipeline!$D$22*MIN(1,MAX(0,(35-Pipeline!$E$22+1)/MAX(Pipeline!$F$22,1))))/Hipótesis!$C$17</f>
        <v>1057.67381560291</v>
      </c>
      <c r="AL18" s="150" t="n">
        <f aca="false">(Pipeline!$U$16*Pipeline!$D$16*MIN(1,MAX(0,(36-Pipeline!$E$16+1)/MAX(Pipeline!$F$16,1)))+Pipeline!$U$17*Pipeline!$D$17*MIN(1,MAX(0,(36-Pipeline!$E$17+1)/MAX(Pipeline!$F$17,1)))+Pipeline!$U$18*Pipeline!$D$18*MIN(1,MAX(0,(36-Pipeline!$E$18+1)/MAX(Pipeline!$F$18,1)))+Pipeline!$U$19*Pipeline!$D$19*MIN(1,MAX(0,(36-Pipeline!$E$19+1)/MAX(Pipeline!$F$19,1)))+Pipeline!$U$20*Pipeline!$D$20*MIN(1,MAX(0,(36-Pipeline!$E$20+1)/MAX(Pipeline!$F$20,1)))+Pipeline!$U$21*Pipeline!$D$21*MIN(1,MAX(0,(36-Pipeline!$E$21+1)/MAX(Pipeline!$F$21,1)))+Pipeline!$U$22*Pipeline!$D$22*MIN(1,MAX(0,(36-Pipeline!$E$22+1)/MAX(Pipeline!$F$22,1))))/Hipótesis!$C$17</f>
        <v>1057.67381560291</v>
      </c>
      <c r="AM18" s="150" t="n">
        <f aca="false">(Pipeline!$U$16*Pipeline!$D$16*MIN(1,MAX(0,(37-Pipeline!$E$16+1)/MAX(Pipeline!$F$16,1)))+Pipeline!$U$17*Pipeline!$D$17*MIN(1,MAX(0,(37-Pipeline!$E$17+1)/MAX(Pipeline!$F$17,1)))+Pipeline!$U$18*Pipeline!$D$18*MIN(1,MAX(0,(37-Pipeline!$E$18+1)/MAX(Pipeline!$F$18,1)))+Pipeline!$U$19*Pipeline!$D$19*MIN(1,MAX(0,(37-Pipeline!$E$19+1)/MAX(Pipeline!$F$19,1)))+Pipeline!$U$20*Pipeline!$D$20*MIN(1,MAX(0,(37-Pipeline!$E$20+1)/MAX(Pipeline!$F$20,1)))+Pipeline!$U$21*Pipeline!$D$21*MIN(1,MAX(0,(37-Pipeline!$E$21+1)/MAX(Pipeline!$F$21,1)))+Pipeline!$U$22*Pipeline!$D$22*MIN(1,MAX(0,(37-Pipeline!$E$22+1)/MAX(Pipeline!$F$22,1))))/Hipótesis!$C$17</f>
        <v>1057.67381560291</v>
      </c>
      <c r="AN18" s="150" t="n">
        <f aca="false">(Pipeline!$U$16*Pipeline!$D$16*MIN(1,MAX(0,(38-Pipeline!$E$16+1)/MAX(Pipeline!$F$16,1)))+Pipeline!$U$17*Pipeline!$D$17*MIN(1,MAX(0,(38-Pipeline!$E$17+1)/MAX(Pipeline!$F$17,1)))+Pipeline!$U$18*Pipeline!$D$18*MIN(1,MAX(0,(38-Pipeline!$E$18+1)/MAX(Pipeline!$F$18,1)))+Pipeline!$U$19*Pipeline!$D$19*MIN(1,MAX(0,(38-Pipeline!$E$19+1)/MAX(Pipeline!$F$19,1)))+Pipeline!$U$20*Pipeline!$D$20*MIN(1,MAX(0,(38-Pipeline!$E$20+1)/MAX(Pipeline!$F$20,1)))+Pipeline!$U$21*Pipeline!$D$21*MIN(1,MAX(0,(38-Pipeline!$E$21+1)/MAX(Pipeline!$F$21,1)))+Pipeline!$U$22*Pipeline!$D$22*MIN(1,MAX(0,(38-Pipeline!$E$22+1)/MAX(Pipeline!$F$22,1))))/Hipótesis!$C$17</f>
        <v>1057.67381560291</v>
      </c>
      <c r="AO18" s="150" t="n">
        <f aca="false">(Pipeline!$U$16*Pipeline!$D$16*MIN(1,MAX(0,(39-Pipeline!$E$16+1)/MAX(Pipeline!$F$16,1)))+Pipeline!$U$17*Pipeline!$D$17*MIN(1,MAX(0,(39-Pipeline!$E$17+1)/MAX(Pipeline!$F$17,1)))+Pipeline!$U$18*Pipeline!$D$18*MIN(1,MAX(0,(39-Pipeline!$E$18+1)/MAX(Pipeline!$F$18,1)))+Pipeline!$U$19*Pipeline!$D$19*MIN(1,MAX(0,(39-Pipeline!$E$19+1)/MAX(Pipeline!$F$19,1)))+Pipeline!$U$20*Pipeline!$D$20*MIN(1,MAX(0,(39-Pipeline!$E$20+1)/MAX(Pipeline!$F$20,1)))+Pipeline!$U$21*Pipeline!$D$21*MIN(1,MAX(0,(39-Pipeline!$E$21+1)/MAX(Pipeline!$F$21,1)))+Pipeline!$U$22*Pipeline!$D$22*MIN(1,MAX(0,(39-Pipeline!$E$22+1)/MAX(Pipeline!$F$22,1))))/Hipótesis!$C$17</f>
        <v>1057.67381560291</v>
      </c>
      <c r="AP18" s="150" t="n">
        <f aca="false">(Pipeline!$U$16*Pipeline!$D$16*MIN(1,MAX(0,(40-Pipeline!$E$16+1)/MAX(Pipeline!$F$16,1)))+Pipeline!$U$17*Pipeline!$D$17*MIN(1,MAX(0,(40-Pipeline!$E$17+1)/MAX(Pipeline!$F$17,1)))+Pipeline!$U$18*Pipeline!$D$18*MIN(1,MAX(0,(40-Pipeline!$E$18+1)/MAX(Pipeline!$F$18,1)))+Pipeline!$U$19*Pipeline!$D$19*MIN(1,MAX(0,(40-Pipeline!$E$19+1)/MAX(Pipeline!$F$19,1)))+Pipeline!$U$20*Pipeline!$D$20*MIN(1,MAX(0,(40-Pipeline!$E$20+1)/MAX(Pipeline!$F$20,1)))+Pipeline!$U$21*Pipeline!$D$21*MIN(1,MAX(0,(40-Pipeline!$E$21+1)/MAX(Pipeline!$F$21,1)))+Pipeline!$U$22*Pipeline!$D$22*MIN(1,MAX(0,(40-Pipeline!$E$22+1)/MAX(Pipeline!$F$22,1))))/Hipótesis!$C$17</f>
        <v>1057.67381560291</v>
      </c>
      <c r="AQ18" s="150" t="n">
        <f aca="false">(Pipeline!$U$16*Pipeline!$D$16*MIN(1,MAX(0,(41-Pipeline!$E$16+1)/MAX(Pipeline!$F$16,1)))+Pipeline!$U$17*Pipeline!$D$17*MIN(1,MAX(0,(41-Pipeline!$E$17+1)/MAX(Pipeline!$F$17,1)))+Pipeline!$U$18*Pipeline!$D$18*MIN(1,MAX(0,(41-Pipeline!$E$18+1)/MAX(Pipeline!$F$18,1)))+Pipeline!$U$19*Pipeline!$D$19*MIN(1,MAX(0,(41-Pipeline!$E$19+1)/MAX(Pipeline!$F$19,1)))+Pipeline!$U$20*Pipeline!$D$20*MIN(1,MAX(0,(41-Pipeline!$E$20+1)/MAX(Pipeline!$F$20,1)))+Pipeline!$U$21*Pipeline!$D$21*MIN(1,MAX(0,(41-Pipeline!$E$21+1)/MAX(Pipeline!$F$21,1)))+Pipeline!$U$22*Pipeline!$D$22*MIN(1,MAX(0,(41-Pipeline!$E$22+1)/MAX(Pipeline!$F$22,1))))/Hipótesis!$C$17</f>
        <v>1057.67381560291</v>
      </c>
      <c r="AR18" s="150" t="n">
        <f aca="false">(Pipeline!$U$16*Pipeline!$D$16*MIN(1,MAX(0,(42-Pipeline!$E$16+1)/MAX(Pipeline!$F$16,1)))+Pipeline!$U$17*Pipeline!$D$17*MIN(1,MAX(0,(42-Pipeline!$E$17+1)/MAX(Pipeline!$F$17,1)))+Pipeline!$U$18*Pipeline!$D$18*MIN(1,MAX(0,(42-Pipeline!$E$18+1)/MAX(Pipeline!$F$18,1)))+Pipeline!$U$19*Pipeline!$D$19*MIN(1,MAX(0,(42-Pipeline!$E$19+1)/MAX(Pipeline!$F$19,1)))+Pipeline!$U$20*Pipeline!$D$20*MIN(1,MAX(0,(42-Pipeline!$E$20+1)/MAX(Pipeline!$F$20,1)))+Pipeline!$U$21*Pipeline!$D$21*MIN(1,MAX(0,(42-Pipeline!$E$21+1)/MAX(Pipeline!$F$21,1)))+Pipeline!$U$22*Pipeline!$D$22*MIN(1,MAX(0,(42-Pipeline!$E$22+1)/MAX(Pipeline!$F$22,1))))/Hipótesis!$C$17</f>
        <v>1057.67381560291</v>
      </c>
      <c r="AS18" s="150" t="n">
        <f aca="false">(Pipeline!$U$16*Pipeline!$D$16*MIN(1,MAX(0,(43-Pipeline!$E$16+1)/MAX(Pipeline!$F$16,1)))+Pipeline!$U$17*Pipeline!$D$17*MIN(1,MAX(0,(43-Pipeline!$E$17+1)/MAX(Pipeline!$F$17,1)))+Pipeline!$U$18*Pipeline!$D$18*MIN(1,MAX(0,(43-Pipeline!$E$18+1)/MAX(Pipeline!$F$18,1)))+Pipeline!$U$19*Pipeline!$D$19*MIN(1,MAX(0,(43-Pipeline!$E$19+1)/MAX(Pipeline!$F$19,1)))+Pipeline!$U$20*Pipeline!$D$20*MIN(1,MAX(0,(43-Pipeline!$E$20+1)/MAX(Pipeline!$F$20,1)))+Pipeline!$U$21*Pipeline!$D$21*MIN(1,MAX(0,(43-Pipeline!$E$21+1)/MAX(Pipeline!$F$21,1)))+Pipeline!$U$22*Pipeline!$D$22*MIN(1,MAX(0,(43-Pipeline!$E$22+1)/MAX(Pipeline!$F$22,1))))/Hipótesis!$C$17</f>
        <v>1057.67381560291</v>
      </c>
      <c r="AT18" s="150" t="n">
        <f aca="false">(Pipeline!$U$16*Pipeline!$D$16*MIN(1,MAX(0,(44-Pipeline!$E$16+1)/MAX(Pipeline!$F$16,1)))+Pipeline!$U$17*Pipeline!$D$17*MIN(1,MAX(0,(44-Pipeline!$E$17+1)/MAX(Pipeline!$F$17,1)))+Pipeline!$U$18*Pipeline!$D$18*MIN(1,MAX(0,(44-Pipeline!$E$18+1)/MAX(Pipeline!$F$18,1)))+Pipeline!$U$19*Pipeline!$D$19*MIN(1,MAX(0,(44-Pipeline!$E$19+1)/MAX(Pipeline!$F$19,1)))+Pipeline!$U$20*Pipeline!$D$20*MIN(1,MAX(0,(44-Pipeline!$E$20+1)/MAX(Pipeline!$F$20,1)))+Pipeline!$U$21*Pipeline!$D$21*MIN(1,MAX(0,(44-Pipeline!$E$21+1)/MAX(Pipeline!$F$21,1)))+Pipeline!$U$22*Pipeline!$D$22*MIN(1,MAX(0,(44-Pipeline!$E$22+1)/MAX(Pipeline!$F$22,1))))/Hipótesis!$C$17</f>
        <v>1057.67381560291</v>
      </c>
      <c r="AU18" s="150" t="n">
        <f aca="false">(Pipeline!$U$16*Pipeline!$D$16*MIN(1,MAX(0,(45-Pipeline!$E$16+1)/MAX(Pipeline!$F$16,1)))+Pipeline!$U$17*Pipeline!$D$17*MIN(1,MAX(0,(45-Pipeline!$E$17+1)/MAX(Pipeline!$F$17,1)))+Pipeline!$U$18*Pipeline!$D$18*MIN(1,MAX(0,(45-Pipeline!$E$18+1)/MAX(Pipeline!$F$18,1)))+Pipeline!$U$19*Pipeline!$D$19*MIN(1,MAX(0,(45-Pipeline!$E$19+1)/MAX(Pipeline!$F$19,1)))+Pipeline!$U$20*Pipeline!$D$20*MIN(1,MAX(0,(45-Pipeline!$E$20+1)/MAX(Pipeline!$F$20,1)))+Pipeline!$U$21*Pipeline!$D$21*MIN(1,MAX(0,(45-Pipeline!$E$21+1)/MAX(Pipeline!$F$21,1)))+Pipeline!$U$22*Pipeline!$D$22*MIN(1,MAX(0,(45-Pipeline!$E$22+1)/MAX(Pipeline!$F$22,1))))/Hipótesis!$C$17</f>
        <v>1057.67381560291</v>
      </c>
      <c r="AV18" s="150" t="n">
        <f aca="false">(Pipeline!$U$16*Pipeline!$D$16*MIN(1,MAX(0,(46-Pipeline!$E$16+1)/MAX(Pipeline!$F$16,1)))+Pipeline!$U$17*Pipeline!$D$17*MIN(1,MAX(0,(46-Pipeline!$E$17+1)/MAX(Pipeline!$F$17,1)))+Pipeline!$U$18*Pipeline!$D$18*MIN(1,MAX(0,(46-Pipeline!$E$18+1)/MAX(Pipeline!$F$18,1)))+Pipeline!$U$19*Pipeline!$D$19*MIN(1,MAX(0,(46-Pipeline!$E$19+1)/MAX(Pipeline!$F$19,1)))+Pipeline!$U$20*Pipeline!$D$20*MIN(1,MAX(0,(46-Pipeline!$E$20+1)/MAX(Pipeline!$F$20,1)))+Pipeline!$U$21*Pipeline!$D$21*MIN(1,MAX(0,(46-Pipeline!$E$21+1)/MAX(Pipeline!$F$21,1)))+Pipeline!$U$22*Pipeline!$D$22*MIN(1,MAX(0,(46-Pipeline!$E$22+1)/MAX(Pipeline!$F$22,1))))/Hipótesis!$C$17</f>
        <v>1057.67381560291</v>
      </c>
      <c r="AW18" s="150" t="n">
        <f aca="false">(Pipeline!$U$16*Pipeline!$D$16*MIN(1,MAX(0,(47-Pipeline!$E$16+1)/MAX(Pipeline!$F$16,1)))+Pipeline!$U$17*Pipeline!$D$17*MIN(1,MAX(0,(47-Pipeline!$E$17+1)/MAX(Pipeline!$F$17,1)))+Pipeline!$U$18*Pipeline!$D$18*MIN(1,MAX(0,(47-Pipeline!$E$18+1)/MAX(Pipeline!$F$18,1)))+Pipeline!$U$19*Pipeline!$D$19*MIN(1,MAX(0,(47-Pipeline!$E$19+1)/MAX(Pipeline!$F$19,1)))+Pipeline!$U$20*Pipeline!$D$20*MIN(1,MAX(0,(47-Pipeline!$E$20+1)/MAX(Pipeline!$F$20,1)))+Pipeline!$U$21*Pipeline!$D$21*MIN(1,MAX(0,(47-Pipeline!$E$21+1)/MAX(Pipeline!$F$21,1)))+Pipeline!$U$22*Pipeline!$D$22*MIN(1,MAX(0,(47-Pipeline!$E$22+1)/MAX(Pipeline!$F$22,1))))/Hipótesis!$C$17</f>
        <v>1057.67381560291</v>
      </c>
      <c r="AX18" s="150" t="n">
        <f aca="false">(Pipeline!$U$16*Pipeline!$D$16*MIN(1,MAX(0,(48-Pipeline!$E$16+1)/MAX(Pipeline!$F$16,1)))+Pipeline!$U$17*Pipeline!$D$17*MIN(1,MAX(0,(48-Pipeline!$E$17+1)/MAX(Pipeline!$F$17,1)))+Pipeline!$U$18*Pipeline!$D$18*MIN(1,MAX(0,(48-Pipeline!$E$18+1)/MAX(Pipeline!$F$18,1)))+Pipeline!$U$19*Pipeline!$D$19*MIN(1,MAX(0,(48-Pipeline!$E$19+1)/MAX(Pipeline!$F$19,1)))+Pipeline!$U$20*Pipeline!$D$20*MIN(1,MAX(0,(48-Pipeline!$E$20+1)/MAX(Pipeline!$F$20,1)))+Pipeline!$U$21*Pipeline!$D$21*MIN(1,MAX(0,(48-Pipeline!$E$21+1)/MAX(Pipeline!$F$21,1)))+Pipeline!$U$22*Pipeline!$D$22*MIN(1,MAX(0,(48-Pipeline!$E$22+1)/MAX(Pipeline!$F$22,1))))/Hipótesis!$C$17</f>
        <v>1057.67381560291</v>
      </c>
      <c r="AY18" s="150" t="n">
        <f aca="false">(Pipeline!$U$16*Pipeline!$D$16*MIN(1,MAX(0,(49-Pipeline!$E$16+1)/MAX(Pipeline!$F$16,1)))+Pipeline!$U$17*Pipeline!$D$17*MIN(1,MAX(0,(49-Pipeline!$E$17+1)/MAX(Pipeline!$F$17,1)))+Pipeline!$U$18*Pipeline!$D$18*MIN(1,MAX(0,(49-Pipeline!$E$18+1)/MAX(Pipeline!$F$18,1)))+Pipeline!$U$19*Pipeline!$D$19*MIN(1,MAX(0,(49-Pipeline!$E$19+1)/MAX(Pipeline!$F$19,1)))+Pipeline!$U$20*Pipeline!$D$20*MIN(1,MAX(0,(49-Pipeline!$E$20+1)/MAX(Pipeline!$F$20,1)))+Pipeline!$U$21*Pipeline!$D$21*MIN(1,MAX(0,(49-Pipeline!$E$21+1)/MAX(Pipeline!$F$21,1)))+Pipeline!$U$22*Pipeline!$D$22*MIN(1,MAX(0,(49-Pipeline!$E$22+1)/MAX(Pipeline!$F$22,1))))/Hipótesis!$C$17</f>
        <v>1057.67381560291</v>
      </c>
      <c r="AZ18" s="150" t="n">
        <f aca="false">(Pipeline!$U$16*Pipeline!$D$16*MIN(1,MAX(0,(50-Pipeline!$E$16+1)/MAX(Pipeline!$F$16,1)))+Pipeline!$U$17*Pipeline!$D$17*MIN(1,MAX(0,(50-Pipeline!$E$17+1)/MAX(Pipeline!$F$17,1)))+Pipeline!$U$18*Pipeline!$D$18*MIN(1,MAX(0,(50-Pipeline!$E$18+1)/MAX(Pipeline!$F$18,1)))+Pipeline!$U$19*Pipeline!$D$19*MIN(1,MAX(0,(50-Pipeline!$E$19+1)/MAX(Pipeline!$F$19,1)))+Pipeline!$U$20*Pipeline!$D$20*MIN(1,MAX(0,(50-Pipeline!$E$20+1)/MAX(Pipeline!$F$20,1)))+Pipeline!$U$21*Pipeline!$D$21*MIN(1,MAX(0,(50-Pipeline!$E$21+1)/MAX(Pipeline!$F$21,1)))+Pipeline!$U$22*Pipeline!$D$22*MIN(1,MAX(0,(50-Pipeline!$E$22+1)/MAX(Pipeline!$F$22,1))))/Hipótesis!$C$17</f>
        <v>1057.67381560291</v>
      </c>
      <c r="BA18" s="150" t="n">
        <f aca="false">(Pipeline!$U$16*Pipeline!$D$16*MIN(1,MAX(0,(51-Pipeline!$E$16+1)/MAX(Pipeline!$F$16,1)))+Pipeline!$U$17*Pipeline!$D$17*MIN(1,MAX(0,(51-Pipeline!$E$17+1)/MAX(Pipeline!$F$17,1)))+Pipeline!$U$18*Pipeline!$D$18*MIN(1,MAX(0,(51-Pipeline!$E$18+1)/MAX(Pipeline!$F$18,1)))+Pipeline!$U$19*Pipeline!$D$19*MIN(1,MAX(0,(51-Pipeline!$E$19+1)/MAX(Pipeline!$F$19,1)))+Pipeline!$U$20*Pipeline!$D$20*MIN(1,MAX(0,(51-Pipeline!$E$20+1)/MAX(Pipeline!$F$20,1)))+Pipeline!$U$21*Pipeline!$D$21*MIN(1,MAX(0,(51-Pipeline!$E$21+1)/MAX(Pipeline!$F$21,1)))+Pipeline!$U$22*Pipeline!$D$22*MIN(1,MAX(0,(51-Pipeline!$E$22+1)/MAX(Pipeline!$F$22,1))))/Hipótesis!$C$17</f>
        <v>1057.67381560291</v>
      </c>
      <c r="BB18" s="150" t="n">
        <f aca="false">(Pipeline!$U$16*Pipeline!$D$16*MIN(1,MAX(0,(52-Pipeline!$E$16+1)/MAX(Pipeline!$F$16,1)))+Pipeline!$U$17*Pipeline!$D$17*MIN(1,MAX(0,(52-Pipeline!$E$17+1)/MAX(Pipeline!$F$17,1)))+Pipeline!$U$18*Pipeline!$D$18*MIN(1,MAX(0,(52-Pipeline!$E$18+1)/MAX(Pipeline!$F$18,1)))+Pipeline!$U$19*Pipeline!$D$19*MIN(1,MAX(0,(52-Pipeline!$E$19+1)/MAX(Pipeline!$F$19,1)))+Pipeline!$U$20*Pipeline!$D$20*MIN(1,MAX(0,(52-Pipeline!$E$20+1)/MAX(Pipeline!$F$20,1)))+Pipeline!$U$21*Pipeline!$D$21*MIN(1,MAX(0,(52-Pipeline!$E$21+1)/MAX(Pipeline!$F$21,1)))+Pipeline!$U$22*Pipeline!$D$22*MIN(1,MAX(0,(52-Pipeline!$E$22+1)/MAX(Pipeline!$F$22,1))))/Hipótesis!$C$17</f>
        <v>1057.67381560291</v>
      </c>
      <c r="BC18" s="150" t="n">
        <f aca="false">(Pipeline!$U$16*Pipeline!$D$16*MIN(1,MAX(0,(53-Pipeline!$E$16+1)/MAX(Pipeline!$F$16,1)))+Pipeline!$U$17*Pipeline!$D$17*MIN(1,MAX(0,(53-Pipeline!$E$17+1)/MAX(Pipeline!$F$17,1)))+Pipeline!$U$18*Pipeline!$D$18*MIN(1,MAX(0,(53-Pipeline!$E$18+1)/MAX(Pipeline!$F$18,1)))+Pipeline!$U$19*Pipeline!$D$19*MIN(1,MAX(0,(53-Pipeline!$E$19+1)/MAX(Pipeline!$F$19,1)))+Pipeline!$U$20*Pipeline!$D$20*MIN(1,MAX(0,(53-Pipeline!$E$20+1)/MAX(Pipeline!$F$20,1)))+Pipeline!$U$21*Pipeline!$D$21*MIN(1,MAX(0,(53-Pipeline!$E$21+1)/MAX(Pipeline!$F$21,1)))+Pipeline!$U$22*Pipeline!$D$22*MIN(1,MAX(0,(53-Pipeline!$E$22+1)/MAX(Pipeline!$F$22,1))))/Hipótesis!$C$17</f>
        <v>1057.67381560291</v>
      </c>
      <c r="BD18" s="150" t="n">
        <f aca="false">(Pipeline!$U$16*Pipeline!$D$16*MIN(1,MAX(0,(54-Pipeline!$E$16+1)/MAX(Pipeline!$F$16,1)))+Pipeline!$U$17*Pipeline!$D$17*MIN(1,MAX(0,(54-Pipeline!$E$17+1)/MAX(Pipeline!$F$17,1)))+Pipeline!$U$18*Pipeline!$D$18*MIN(1,MAX(0,(54-Pipeline!$E$18+1)/MAX(Pipeline!$F$18,1)))+Pipeline!$U$19*Pipeline!$D$19*MIN(1,MAX(0,(54-Pipeline!$E$19+1)/MAX(Pipeline!$F$19,1)))+Pipeline!$U$20*Pipeline!$D$20*MIN(1,MAX(0,(54-Pipeline!$E$20+1)/MAX(Pipeline!$F$20,1)))+Pipeline!$U$21*Pipeline!$D$21*MIN(1,MAX(0,(54-Pipeline!$E$21+1)/MAX(Pipeline!$F$21,1)))+Pipeline!$U$22*Pipeline!$D$22*MIN(1,MAX(0,(54-Pipeline!$E$22+1)/MAX(Pipeline!$F$22,1))))/Hipótesis!$C$17</f>
        <v>1057.67381560291</v>
      </c>
      <c r="BE18" s="150" t="n">
        <f aca="false">(Pipeline!$U$16*Pipeline!$D$16*MIN(1,MAX(0,(55-Pipeline!$E$16+1)/MAX(Pipeline!$F$16,1)))+Pipeline!$U$17*Pipeline!$D$17*MIN(1,MAX(0,(55-Pipeline!$E$17+1)/MAX(Pipeline!$F$17,1)))+Pipeline!$U$18*Pipeline!$D$18*MIN(1,MAX(0,(55-Pipeline!$E$18+1)/MAX(Pipeline!$F$18,1)))+Pipeline!$U$19*Pipeline!$D$19*MIN(1,MAX(0,(55-Pipeline!$E$19+1)/MAX(Pipeline!$F$19,1)))+Pipeline!$U$20*Pipeline!$D$20*MIN(1,MAX(0,(55-Pipeline!$E$20+1)/MAX(Pipeline!$F$20,1)))+Pipeline!$U$21*Pipeline!$D$21*MIN(1,MAX(0,(55-Pipeline!$E$21+1)/MAX(Pipeline!$F$21,1)))+Pipeline!$U$22*Pipeline!$D$22*MIN(1,MAX(0,(55-Pipeline!$E$22+1)/MAX(Pipeline!$F$22,1))))/Hipótesis!$C$17</f>
        <v>1057.67381560291</v>
      </c>
      <c r="BF18" s="150" t="n">
        <f aca="false">(Pipeline!$U$16*Pipeline!$D$16*MIN(1,MAX(0,(56-Pipeline!$E$16+1)/MAX(Pipeline!$F$16,1)))+Pipeline!$U$17*Pipeline!$D$17*MIN(1,MAX(0,(56-Pipeline!$E$17+1)/MAX(Pipeline!$F$17,1)))+Pipeline!$U$18*Pipeline!$D$18*MIN(1,MAX(0,(56-Pipeline!$E$18+1)/MAX(Pipeline!$F$18,1)))+Pipeline!$U$19*Pipeline!$D$19*MIN(1,MAX(0,(56-Pipeline!$E$19+1)/MAX(Pipeline!$F$19,1)))+Pipeline!$U$20*Pipeline!$D$20*MIN(1,MAX(0,(56-Pipeline!$E$20+1)/MAX(Pipeline!$F$20,1)))+Pipeline!$U$21*Pipeline!$D$21*MIN(1,MAX(0,(56-Pipeline!$E$21+1)/MAX(Pipeline!$F$21,1)))+Pipeline!$U$22*Pipeline!$D$22*MIN(1,MAX(0,(56-Pipeline!$E$22+1)/MAX(Pipeline!$F$22,1))))/Hipótesis!$C$17</f>
        <v>1057.67381560291</v>
      </c>
      <c r="BG18" s="150" t="n">
        <f aca="false">(Pipeline!$U$16*Pipeline!$D$16*MIN(1,MAX(0,(57-Pipeline!$E$16+1)/MAX(Pipeline!$F$16,1)))+Pipeline!$U$17*Pipeline!$D$17*MIN(1,MAX(0,(57-Pipeline!$E$17+1)/MAX(Pipeline!$F$17,1)))+Pipeline!$U$18*Pipeline!$D$18*MIN(1,MAX(0,(57-Pipeline!$E$18+1)/MAX(Pipeline!$F$18,1)))+Pipeline!$U$19*Pipeline!$D$19*MIN(1,MAX(0,(57-Pipeline!$E$19+1)/MAX(Pipeline!$F$19,1)))+Pipeline!$U$20*Pipeline!$D$20*MIN(1,MAX(0,(57-Pipeline!$E$20+1)/MAX(Pipeline!$F$20,1)))+Pipeline!$U$21*Pipeline!$D$21*MIN(1,MAX(0,(57-Pipeline!$E$21+1)/MAX(Pipeline!$F$21,1)))+Pipeline!$U$22*Pipeline!$D$22*MIN(1,MAX(0,(57-Pipeline!$E$22+1)/MAX(Pipeline!$F$22,1))))/Hipótesis!$C$17</f>
        <v>1057.67381560291</v>
      </c>
      <c r="BH18" s="150" t="n">
        <f aca="false">(Pipeline!$U$16*Pipeline!$D$16*MIN(1,MAX(0,(58-Pipeline!$E$16+1)/MAX(Pipeline!$F$16,1)))+Pipeline!$U$17*Pipeline!$D$17*MIN(1,MAX(0,(58-Pipeline!$E$17+1)/MAX(Pipeline!$F$17,1)))+Pipeline!$U$18*Pipeline!$D$18*MIN(1,MAX(0,(58-Pipeline!$E$18+1)/MAX(Pipeline!$F$18,1)))+Pipeline!$U$19*Pipeline!$D$19*MIN(1,MAX(0,(58-Pipeline!$E$19+1)/MAX(Pipeline!$F$19,1)))+Pipeline!$U$20*Pipeline!$D$20*MIN(1,MAX(0,(58-Pipeline!$E$20+1)/MAX(Pipeline!$F$20,1)))+Pipeline!$U$21*Pipeline!$D$21*MIN(1,MAX(0,(58-Pipeline!$E$21+1)/MAX(Pipeline!$F$21,1)))+Pipeline!$U$22*Pipeline!$D$22*MIN(1,MAX(0,(58-Pipeline!$E$22+1)/MAX(Pipeline!$F$22,1))))/Hipótesis!$C$17</f>
        <v>1057.67381560291</v>
      </c>
      <c r="BI18" s="150" t="n">
        <f aca="false">(Pipeline!$U$16*Pipeline!$D$16*MIN(1,MAX(0,(59-Pipeline!$E$16+1)/MAX(Pipeline!$F$16,1)))+Pipeline!$U$17*Pipeline!$D$17*MIN(1,MAX(0,(59-Pipeline!$E$17+1)/MAX(Pipeline!$F$17,1)))+Pipeline!$U$18*Pipeline!$D$18*MIN(1,MAX(0,(59-Pipeline!$E$18+1)/MAX(Pipeline!$F$18,1)))+Pipeline!$U$19*Pipeline!$D$19*MIN(1,MAX(0,(59-Pipeline!$E$19+1)/MAX(Pipeline!$F$19,1)))+Pipeline!$U$20*Pipeline!$D$20*MIN(1,MAX(0,(59-Pipeline!$E$20+1)/MAX(Pipeline!$F$20,1)))+Pipeline!$U$21*Pipeline!$D$21*MIN(1,MAX(0,(59-Pipeline!$E$21+1)/MAX(Pipeline!$F$21,1)))+Pipeline!$U$22*Pipeline!$D$22*MIN(1,MAX(0,(59-Pipeline!$E$22+1)/MAX(Pipeline!$F$22,1))))/Hipótesis!$C$17</f>
        <v>1057.67381560291</v>
      </c>
      <c r="BJ18" s="150" t="n">
        <f aca="false">(Pipeline!$U$16*Pipeline!$D$16*MIN(1,MAX(0,(60-Pipeline!$E$16+1)/MAX(Pipeline!$F$16,1)))+Pipeline!$U$17*Pipeline!$D$17*MIN(1,MAX(0,(60-Pipeline!$E$17+1)/MAX(Pipeline!$F$17,1)))+Pipeline!$U$18*Pipeline!$D$18*MIN(1,MAX(0,(60-Pipeline!$E$18+1)/MAX(Pipeline!$F$18,1)))+Pipeline!$U$19*Pipeline!$D$19*MIN(1,MAX(0,(60-Pipeline!$E$19+1)/MAX(Pipeline!$F$19,1)))+Pipeline!$U$20*Pipeline!$D$20*MIN(1,MAX(0,(60-Pipeline!$E$20+1)/MAX(Pipeline!$F$20,1)))+Pipeline!$U$21*Pipeline!$D$21*MIN(1,MAX(0,(60-Pipeline!$E$21+1)/MAX(Pipeline!$F$21,1)))+Pipeline!$U$22*Pipeline!$D$22*MIN(1,MAX(0,(60-Pipeline!$E$22+1)/MAX(Pipeline!$F$22,1))))/Hipótesis!$C$17</f>
        <v>1057.67381560291</v>
      </c>
      <c r="BK18" s="150" t="n">
        <f aca="false">(Pipeline!$U$16*Pipeline!$D$16*MIN(1,MAX(0,(61-Pipeline!$E$16+1)/MAX(Pipeline!$F$16,1)))+Pipeline!$U$17*Pipeline!$D$17*MIN(1,MAX(0,(61-Pipeline!$E$17+1)/MAX(Pipeline!$F$17,1)))+Pipeline!$U$18*Pipeline!$D$18*MIN(1,MAX(0,(61-Pipeline!$E$18+1)/MAX(Pipeline!$F$18,1)))+Pipeline!$U$19*Pipeline!$D$19*MIN(1,MAX(0,(61-Pipeline!$E$19+1)/MAX(Pipeline!$F$19,1)))+Pipeline!$U$20*Pipeline!$D$20*MIN(1,MAX(0,(61-Pipeline!$E$20+1)/MAX(Pipeline!$F$20,1)))+Pipeline!$U$21*Pipeline!$D$21*MIN(1,MAX(0,(61-Pipeline!$E$21+1)/MAX(Pipeline!$F$21,1)))+Pipeline!$U$22*Pipeline!$D$22*MIN(1,MAX(0,(61-Pipeline!$E$22+1)/MAX(Pipeline!$F$22,1))))/Hipótesis!$C$17</f>
        <v>1057.67381560291</v>
      </c>
      <c r="BL18" s="150" t="n">
        <f aca="false">(Pipeline!$U$16*Pipeline!$D$16*MIN(1,MAX(0,(62-Pipeline!$E$16+1)/MAX(Pipeline!$F$16,1)))+Pipeline!$U$17*Pipeline!$D$17*MIN(1,MAX(0,(62-Pipeline!$E$17+1)/MAX(Pipeline!$F$17,1)))+Pipeline!$U$18*Pipeline!$D$18*MIN(1,MAX(0,(62-Pipeline!$E$18+1)/MAX(Pipeline!$F$18,1)))+Pipeline!$U$19*Pipeline!$D$19*MIN(1,MAX(0,(62-Pipeline!$E$19+1)/MAX(Pipeline!$F$19,1)))+Pipeline!$U$20*Pipeline!$D$20*MIN(1,MAX(0,(62-Pipeline!$E$20+1)/MAX(Pipeline!$F$20,1)))+Pipeline!$U$21*Pipeline!$D$21*MIN(1,MAX(0,(62-Pipeline!$E$21+1)/MAX(Pipeline!$F$21,1)))+Pipeline!$U$22*Pipeline!$D$22*MIN(1,MAX(0,(62-Pipeline!$E$22+1)/MAX(Pipeline!$F$22,1))))/Hipótesis!$C$17</f>
        <v>1057.67381560291</v>
      </c>
      <c r="BM18" s="150" t="n">
        <f aca="false">(Pipeline!$U$16*Pipeline!$D$16*MIN(1,MAX(0,(63-Pipeline!$E$16+1)/MAX(Pipeline!$F$16,1)))+Pipeline!$U$17*Pipeline!$D$17*MIN(1,MAX(0,(63-Pipeline!$E$17+1)/MAX(Pipeline!$F$17,1)))+Pipeline!$U$18*Pipeline!$D$18*MIN(1,MAX(0,(63-Pipeline!$E$18+1)/MAX(Pipeline!$F$18,1)))+Pipeline!$U$19*Pipeline!$D$19*MIN(1,MAX(0,(63-Pipeline!$E$19+1)/MAX(Pipeline!$F$19,1)))+Pipeline!$U$20*Pipeline!$D$20*MIN(1,MAX(0,(63-Pipeline!$E$20+1)/MAX(Pipeline!$F$20,1)))+Pipeline!$U$21*Pipeline!$D$21*MIN(1,MAX(0,(63-Pipeline!$E$21+1)/MAX(Pipeline!$F$21,1)))+Pipeline!$U$22*Pipeline!$D$22*MIN(1,MAX(0,(63-Pipeline!$E$22+1)/MAX(Pipeline!$F$22,1))))/Hipótesis!$C$17</f>
        <v>1057.67381560291</v>
      </c>
      <c r="BN18" s="150" t="n">
        <f aca="false">(Pipeline!$U$16*Pipeline!$D$16*MIN(1,MAX(0,(64-Pipeline!$E$16+1)/MAX(Pipeline!$F$16,1)))+Pipeline!$U$17*Pipeline!$D$17*MIN(1,MAX(0,(64-Pipeline!$E$17+1)/MAX(Pipeline!$F$17,1)))+Pipeline!$U$18*Pipeline!$D$18*MIN(1,MAX(0,(64-Pipeline!$E$18+1)/MAX(Pipeline!$F$18,1)))+Pipeline!$U$19*Pipeline!$D$19*MIN(1,MAX(0,(64-Pipeline!$E$19+1)/MAX(Pipeline!$F$19,1)))+Pipeline!$U$20*Pipeline!$D$20*MIN(1,MAX(0,(64-Pipeline!$E$20+1)/MAX(Pipeline!$F$20,1)))+Pipeline!$U$21*Pipeline!$D$21*MIN(1,MAX(0,(64-Pipeline!$E$21+1)/MAX(Pipeline!$F$21,1)))+Pipeline!$U$22*Pipeline!$D$22*MIN(1,MAX(0,(64-Pipeline!$E$22+1)/MAX(Pipeline!$F$22,1))))/Hipótesis!$C$17</f>
        <v>1057.67381560291</v>
      </c>
      <c r="BO18" s="150" t="n">
        <f aca="false">(Pipeline!$U$16*Pipeline!$D$16*MIN(1,MAX(0,(65-Pipeline!$E$16+1)/MAX(Pipeline!$F$16,1)))+Pipeline!$U$17*Pipeline!$D$17*MIN(1,MAX(0,(65-Pipeline!$E$17+1)/MAX(Pipeline!$F$17,1)))+Pipeline!$U$18*Pipeline!$D$18*MIN(1,MAX(0,(65-Pipeline!$E$18+1)/MAX(Pipeline!$F$18,1)))+Pipeline!$U$19*Pipeline!$D$19*MIN(1,MAX(0,(65-Pipeline!$E$19+1)/MAX(Pipeline!$F$19,1)))+Pipeline!$U$20*Pipeline!$D$20*MIN(1,MAX(0,(65-Pipeline!$E$20+1)/MAX(Pipeline!$F$20,1)))+Pipeline!$U$21*Pipeline!$D$21*MIN(1,MAX(0,(65-Pipeline!$E$21+1)/MAX(Pipeline!$F$21,1)))+Pipeline!$U$22*Pipeline!$D$22*MIN(1,MAX(0,(65-Pipeline!$E$22+1)/MAX(Pipeline!$F$22,1))))/Hipótesis!$C$17</f>
        <v>1057.67381560291</v>
      </c>
      <c r="BP18" s="150" t="n">
        <f aca="false">(Pipeline!$U$16*Pipeline!$D$16*MIN(1,MAX(0,(66-Pipeline!$E$16+1)/MAX(Pipeline!$F$16,1)))+Pipeline!$U$17*Pipeline!$D$17*MIN(1,MAX(0,(66-Pipeline!$E$17+1)/MAX(Pipeline!$F$17,1)))+Pipeline!$U$18*Pipeline!$D$18*MIN(1,MAX(0,(66-Pipeline!$E$18+1)/MAX(Pipeline!$F$18,1)))+Pipeline!$U$19*Pipeline!$D$19*MIN(1,MAX(0,(66-Pipeline!$E$19+1)/MAX(Pipeline!$F$19,1)))+Pipeline!$U$20*Pipeline!$D$20*MIN(1,MAX(0,(66-Pipeline!$E$20+1)/MAX(Pipeline!$F$20,1)))+Pipeline!$U$21*Pipeline!$D$21*MIN(1,MAX(0,(66-Pipeline!$E$21+1)/MAX(Pipeline!$F$21,1)))+Pipeline!$U$22*Pipeline!$D$22*MIN(1,MAX(0,(66-Pipeline!$E$22+1)/MAX(Pipeline!$F$22,1))))/Hipótesis!$C$17</f>
        <v>1057.67381560291</v>
      </c>
      <c r="BQ18" s="150" t="n">
        <f aca="false">(Pipeline!$U$16*Pipeline!$D$16*MIN(1,MAX(0,(67-Pipeline!$E$16+1)/MAX(Pipeline!$F$16,1)))+Pipeline!$U$17*Pipeline!$D$17*MIN(1,MAX(0,(67-Pipeline!$E$17+1)/MAX(Pipeline!$F$17,1)))+Pipeline!$U$18*Pipeline!$D$18*MIN(1,MAX(0,(67-Pipeline!$E$18+1)/MAX(Pipeline!$F$18,1)))+Pipeline!$U$19*Pipeline!$D$19*MIN(1,MAX(0,(67-Pipeline!$E$19+1)/MAX(Pipeline!$F$19,1)))+Pipeline!$U$20*Pipeline!$D$20*MIN(1,MAX(0,(67-Pipeline!$E$20+1)/MAX(Pipeline!$F$20,1)))+Pipeline!$U$21*Pipeline!$D$21*MIN(1,MAX(0,(67-Pipeline!$E$21+1)/MAX(Pipeline!$F$21,1)))+Pipeline!$U$22*Pipeline!$D$22*MIN(1,MAX(0,(67-Pipeline!$E$22+1)/MAX(Pipeline!$F$22,1))))/Hipótesis!$C$17</f>
        <v>1057.67381560291</v>
      </c>
      <c r="BR18" s="150" t="n">
        <f aca="false">(Pipeline!$U$16*Pipeline!$D$16*MIN(1,MAX(0,(68-Pipeline!$E$16+1)/MAX(Pipeline!$F$16,1)))+Pipeline!$U$17*Pipeline!$D$17*MIN(1,MAX(0,(68-Pipeline!$E$17+1)/MAX(Pipeline!$F$17,1)))+Pipeline!$U$18*Pipeline!$D$18*MIN(1,MAX(0,(68-Pipeline!$E$18+1)/MAX(Pipeline!$F$18,1)))+Pipeline!$U$19*Pipeline!$D$19*MIN(1,MAX(0,(68-Pipeline!$E$19+1)/MAX(Pipeline!$F$19,1)))+Pipeline!$U$20*Pipeline!$D$20*MIN(1,MAX(0,(68-Pipeline!$E$20+1)/MAX(Pipeline!$F$20,1)))+Pipeline!$U$21*Pipeline!$D$21*MIN(1,MAX(0,(68-Pipeline!$E$21+1)/MAX(Pipeline!$F$21,1)))+Pipeline!$U$22*Pipeline!$D$22*MIN(1,MAX(0,(68-Pipeline!$E$22+1)/MAX(Pipeline!$F$22,1))))/Hipótesis!$C$17</f>
        <v>1057.67381560291</v>
      </c>
      <c r="BS18" s="150" t="n">
        <f aca="false">(Pipeline!$U$16*Pipeline!$D$16*MIN(1,MAX(0,(69-Pipeline!$E$16+1)/MAX(Pipeline!$F$16,1)))+Pipeline!$U$17*Pipeline!$D$17*MIN(1,MAX(0,(69-Pipeline!$E$17+1)/MAX(Pipeline!$F$17,1)))+Pipeline!$U$18*Pipeline!$D$18*MIN(1,MAX(0,(69-Pipeline!$E$18+1)/MAX(Pipeline!$F$18,1)))+Pipeline!$U$19*Pipeline!$D$19*MIN(1,MAX(0,(69-Pipeline!$E$19+1)/MAX(Pipeline!$F$19,1)))+Pipeline!$U$20*Pipeline!$D$20*MIN(1,MAX(0,(69-Pipeline!$E$20+1)/MAX(Pipeline!$F$20,1)))+Pipeline!$U$21*Pipeline!$D$21*MIN(1,MAX(0,(69-Pipeline!$E$21+1)/MAX(Pipeline!$F$21,1)))+Pipeline!$U$22*Pipeline!$D$22*MIN(1,MAX(0,(69-Pipeline!$E$22+1)/MAX(Pipeline!$F$22,1))))/Hipótesis!$C$17</f>
        <v>1057.67381560291</v>
      </c>
      <c r="BT18" s="150" t="n">
        <f aca="false">(Pipeline!$U$16*Pipeline!$D$16*MIN(1,MAX(0,(70-Pipeline!$E$16+1)/MAX(Pipeline!$F$16,1)))+Pipeline!$U$17*Pipeline!$D$17*MIN(1,MAX(0,(70-Pipeline!$E$17+1)/MAX(Pipeline!$F$17,1)))+Pipeline!$U$18*Pipeline!$D$18*MIN(1,MAX(0,(70-Pipeline!$E$18+1)/MAX(Pipeline!$F$18,1)))+Pipeline!$U$19*Pipeline!$D$19*MIN(1,MAX(0,(70-Pipeline!$E$19+1)/MAX(Pipeline!$F$19,1)))+Pipeline!$U$20*Pipeline!$D$20*MIN(1,MAX(0,(70-Pipeline!$E$20+1)/MAX(Pipeline!$F$20,1)))+Pipeline!$U$21*Pipeline!$D$21*MIN(1,MAX(0,(70-Pipeline!$E$21+1)/MAX(Pipeline!$F$21,1)))+Pipeline!$U$22*Pipeline!$D$22*MIN(1,MAX(0,(70-Pipeline!$E$22+1)/MAX(Pipeline!$F$22,1))))/Hipótesis!$C$17</f>
        <v>1057.67381560291</v>
      </c>
      <c r="BU18" s="150" t="n">
        <f aca="false">(Pipeline!$U$16*Pipeline!$D$16*MIN(1,MAX(0,(71-Pipeline!$E$16+1)/MAX(Pipeline!$F$16,1)))+Pipeline!$U$17*Pipeline!$D$17*MIN(1,MAX(0,(71-Pipeline!$E$17+1)/MAX(Pipeline!$F$17,1)))+Pipeline!$U$18*Pipeline!$D$18*MIN(1,MAX(0,(71-Pipeline!$E$18+1)/MAX(Pipeline!$F$18,1)))+Pipeline!$U$19*Pipeline!$D$19*MIN(1,MAX(0,(71-Pipeline!$E$19+1)/MAX(Pipeline!$F$19,1)))+Pipeline!$U$20*Pipeline!$D$20*MIN(1,MAX(0,(71-Pipeline!$E$20+1)/MAX(Pipeline!$F$20,1)))+Pipeline!$U$21*Pipeline!$D$21*MIN(1,MAX(0,(71-Pipeline!$E$21+1)/MAX(Pipeline!$F$21,1)))+Pipeline!$U$22*Pipeline!$D$22*MIN(1,MAX(0,(71-Pipeline!$E$22+1)/MAX(Pipeline!$F$22,1))))/Hipótesis!$C$17</f>
        <v>1057.67381560291</v>
      </c>
      <c r="BV18" s="150" t="n">
        <f aca="false">(Pipeline!$U$16*Pipeline!$D$16*MIN(1,MAX(0,(72-Pipeline!$E$16+1)/MAX(Pipeline!$F$16,1)))+Pipeline!$U$17*Pipeline!$D$17*MIN(1,MAX(0,(72-Pipeline!$E$17+1)/MAX(Pipeline!$F$17,1)))+Pipeline!$U$18*Pipeline!$D$18*MIN(1,MAX(0,(72-Pipeline!$E$18+1)/MAX(Pipeline!$F$18,1)))+Pipeline!$U$19*Pipeline!$D$19*MIN(1,MAX(0,(72-Pipeline!$E$19+1)/MAX(Pipeline!$F$19,1)))+Pipeline!$U$20*Pipeline!$D$20*MIN(1,MAX(0,(72-Pipeline!$E$20+1)/MAX(Pipeline!$F$20,1)))+Pipeline!$U$21*Pipeline!$D$21*MIN(1,MAX(0,(72-Pipeline!$E$21+1)/MAX(Pipeline!$F$21,1)))+Pipeline!$U$22*Pipeline!$D$22*MIN(1,MAX(0,(72-Pipeline!$E$22+1)/MAX(Pipeline!$F$22,1))))/Hipótesis!$C$17</f>
        <v>1057.67381560291</v>
      </c>
      <c r="BW18" s="150" t="n">
        <f aca="false">(Pipeline!$U$16*Pipeline!$D$16*MIN(1,MAX(0,(73-Pipeline!$E$16+1)/MAX(Pipeline!$F$16,1)))+Pipeline!$U$17*Pipeline!$D$17*MIN(1,MAX(0,(73-Pipeline!$E$17+1)/MAX(Pipeline!$F$17,1)))+Pipeline!$U$18*Pipeline!$D$18*MIN(1,MAX(0,(73-Pipeline!$E$18+1)/MAX(Pipeline!$F$18,1)))+Pipeline!$U$19*Pipeline!$D$19*MIN(1,MAX(0,(73-Pipeline!$E$19+1)/MAX(Pipeline!$F$19,1)))+Pipeline!$U$20*Pipeline!$D$20*MIN(1,MAX(0,(73-Pipeline!$E$20+1)/MAX(Pipeline!$F$20,1)))+Pipeline!$U$21*Pipeline!$D$21*MIN(1,MAX(0,(73-Pipeline!$E$21+1)/MAX(Pipeline!$F$21,1)))+Pipeline!$U$22*Pipeline!$D$22*MIN(1,MAX(0,(73-Pipeline!$E$22+1)/MAX(Pipeline!$F$22,1))))/Hipótesis!$C$17</f>
        <v>1057.67381560291</v>
      </c>
      <c r="BX18" s="150" t="n">
        <f aca="false">(Pipeline!$U$16*Pipeline!$D$16*MIN(1,MAX(0,(74-Pipeline!$E$16+1)/MAX(Pipeline!$F$16,1)))+Pipeline!$U$17*Pipeline!$D$17*MIN(1,MAX(0,(74-Pipeline!$E$17+1)/MAX(Pipeline!$F$17,1)))+Pipeline!$U$18*Pipeline!$D$18*MIN(1,MAX(0,(74-Pipeline!$E$18+1)/MAX(Pipeline!$F$18,1)))+Pipeline!$U$19*Pipeline!$D$19*MIN(1,MAX(0,(74-Pipeline!$E$19+1)/MAX(Pipeline!$F$19,1)))+Pipeline!$U$20*Pipeline!$D$20*MIN(1,MAX(0,(74-Pipeline!$E$20+1)/MAX(Pipeline!$F$20,1)))+Pipeline!$U$21*Pipeline!$D$21*MIN(1,MAX(0,(74-Pipeline!$E$21+1)/MAX(Pipeline!$F$21,1)))+Pipeline!$U$22*Pipeline!$D$22*MIN(1,MAX(0,(74-Pipeline!$E$22+1)/MAX(Pipeline!$F$22,1))))/Hipótesis!$C$17</f>
        <v>1057.67381560291</v>
      </c>
      <c r="BY18" s="150" t="n">
        <f aca="false">(Pipeline!$U$16*Pipeline!$D$16*MIN(1,MAX(0,(75-Pipeline!$E$16+1)/MAX(Pipeline!$F$16,1)))+Pipeline!$U$17*Pipeline!$D$17*MIN(1,MAX(0,(75-Pipeline!$E$17+1)/MAX(Pipeline!$F$17,1)))+Pipeline!$U$18*Pipeline!$D$18*MIN(1,MAX(0,(75-Pipeline!$E$18+1)/MAX(Pipeline!$F$18,1)))+Pipeline!$U$19*Pipeline!$D$19*MIN(1,MAX(0,(75-Pipeline!$E$19+1)/MAX(Pipeline!$F$19,1)))+Pipeline!$U$20*Pipeline!$D$20*MIN(1,MAX(0,(75-Pipeline!$E$20+1)/MAX(Pipeline!$F$20,1)))+Pipeline!$U$21*Pipeline!$D$21*MIN(1,MAX(0,(75-Pipeline!$E$21+1)/MAX(Pipeline!$F$21,1)))+Pipeline!$U$22*Pipeline!$D$22*MIN(1,MAX(0,(75-Pipeline!$E$22+1)/MAX(Pipeline!$F$22,1))))/Hipótesis!$C$17</f>
        <v>1057.67381560291</v>
      </c>
      <c r="BZ18" s="150" t="n">
        <f aca="false">(Pipeline!$U$16*Pipeline!$D$16*MIN(1,MAX(0,(76-Pipeline!$E$16+1)/MAX(Pipeline!$F$16,1)))+Pipeline!$U$17*Pipeline!$D$17*MIN(1,MAX(0,(76-Pipeline!$E$17+1)/MAX(Pipeline!$F$17,1)))+Pipeline!$U$18*Pipeline!$D$18*MIN(1,MAX(0,(76-Pipeline!$E$18+1)/MAX(Pipeline!$F$18,1)))+Pipeline!$U$19*Pipeline!$D$19*MIN(1,MAX(0,(76-Pipeline!$E$19+1)/MAX(Pipeline!$F$19,1)))+Pipeline!$U$20*Pipeline!$D$20*MIN(1,MAX(0,(76-Pipeline!$E$20+1)/MAX(Pipeline!$F$20,1)))+Pipeline!$U$21*Pipeline!$D$21*MIN(1,MAX(0,(76-Pipeline!$E$21+1)/MAX(Pipeline!$F$21,1)))+Pipeline!$U$22*Pipeline!$D$22*MIN(1,MAX(0,(76-Pipeline!$E$22+1)/MAX(Pipeline!$F$22,1))))/Hipótesis!$C$17</f>
        <v>1057.67381560291</v>
      </c>
      <c r="CA18" s="150" t="n">
        <f aca="false">(Pipeline!$U$16*Pipeline!$D$16*MIN(1,MAX(0,(77-Pipeline!$E$16+1)/MAX(Pipeline!$F$16,1)))+Pipeline!$U$17*Pipeline!$D$17*MIN(1,MAX(0,(77-Pipeline!$E$17+1)/MAX(Pipeline!$F$17,1)))+Pipeline!$U$18*Pipeline!$D$18*MIN(1,MAX(0,(77-Pipeline!$E$18+1)/MAX(Pipeline!$F$18,1)))+Pipeline!$U$19*Pipeline!$D$19*MIN(1,MAX(0,(77-Pipeline!$E$19+1)/MAX(Pipeline!$F$19,1)))+Pipeline!$U$20*Pipeline!$D$20*MIN(1,MAX(0,(77-Pipeline!$E$20+1)/MAX(Pipeline!$F$20,1)))+Pipeline!$U$21*Pipeline!$D$21*MIN(1,MAX(0,(77-Pipeline!$E$21+1)/MAX(Pipeline!$F$21,1)))+Pipeline!$U$22*Pipeline!$D$22*MIN(1,MAX(0,(77-Pipeline!$E$22+1)/MAX(Pipeline!$F$22,1))))/Hipótesis!$C$17</f>
        <v>1057.67381560291</v>
      </c>
      <c r="CB18" s="150" t="n">
        <f aca="false">(Pipeline!$U$16*Pipeline!$D$16*MIN(1,MAX(0,(78-Pipeline!$E$16+1)/MAX(Pipeline!$F$16,1)))+Pipeline!$U$17*Pipeline!$D$17*MIN(1,MAX(0,(78-Pipeline!$E$17+1)/MAX(Pipeline!$F$17,1)))+Pipeline!$U$18*Pipeline!$D$18*MIN(1,MAX(0,(78-Pipeline!$E$18+1)/MAX(Pipeline!$F$18,1)))+Pipeline!$U$19*Pipeline!$D$19*MIN(1,MAX(0,(78-Pipeline!$E$19+1)/MAX(Pipeline!$F$19,1)))+Pipeline!$U$20*Pipeline!$D$20*MIN(1,MAX(0,(78-Pipeline!$E$20+1)/MAX(Pipeline!$F$20,1)))+Pipeline!$U$21*Pipeline!$D$21*MIN(1,MAX(0,(78-Pipeline!$E$21+1)/MAX(Pipeline!$F$21,1)))+Pipeline!$U$22*Pipeline!$D$22*MIN(1,MAX(0,(78-Pipeline!$E$22+1)/MAX(Pipeline!$F$22,1))))/Hipótesis!$C$17</f>
        <v>1057.67381560291</v>
      </c>
      <c r="CC18" s="150" t="n">
        <f aca="false">(Pipeline!$U$16*Pipeline!$D$16*MIN(1,MAX(0,(79-Pipeline!$E$16+1)/MAX(Pipeline!$F$16,1)))+Pipeline!$U$17*Pipeline!$D$17*MIN(1,MAX(0,(79-Pipeline!$E$17+1)/MAX(Pipeline!$F$17,1)))+Pipeline!$U$18*Pipeline!$D$18*MIN(1,MAX(0,(79-Pipeline!$E$18+1)/MAX(Pipeline!$F$18,1)))+Pipeline!$U$19*Pipeline!$D$19*MIN(1,MAX(0,(79-Pipeline!$E$19+1)/MAX(Pipeline!$F$19,1)))+Pipeline!$U$20*Pipeline!$D$20*MIN(1,MAX(0,(79-Pipeline!$E$20+1)/MAX(Pipeline!$F$20,1)))+Pipeline!$U$21*Pipeline!$D$21*MIN(1,MAX(0,(79-Pipeline!$E$21+1)/MAX(Pipeline!$F$21,1)))+Pipeline!$U$22*Pipeline!$D$22*MIN(1,MAX(0,(79-Pipeline!$E$22+1)/MAX(Pipeline!$F$22,1))))/Hipótesis!$C$17</f>
        <v>1057.67381560291</v>
      </c>
      <c r="CD18" s="150" t="n">
        <f aca="false">(Pipeline!$U$16*Pipeline!$D$16*MIN(1,MAX(0,(80-Pipeline!$E$16+1)/MAX(Pipeline!$F$16,1)))+Pipeline!$U$17*Pipeline!$D$17*MIN(1,MAX(0,(80-Pipeline!$E$17+1)/MAX(Pipeline!$F$17,1)))+Pipeline!$U$18*Pipeline!$D$18*MIN(1,MAX(0,(80-Pipeline!$E$18+1)/MAX(Pipeline!$F$18,1)))+Pipeline!$U$19*Pipeline!$D$19*MIN(1,MAX(0,(80-Pipeline!$E$19+1)/MAX(Pipeline!$F$19,1)))+Pipeline!$U$20*Pipeline!$D$20*MIN(1,MAX(0,(80-Pipeline!$E$20+1)/MAX(Pipeline!$F$20,1)))+Pipeline!$U$21*Pipeline!$D$21*MIN(1,MAX(0,(80-Pipeline!$E$21+1)/MAX(Pipeline!$F$21,1)))+Pipeline!$U$22*Pipeline!$D$22*MIN(1,MAX(0,(80-Pipeline!$E$22+1)/MAX(Pipeline!$F$22,1))))/Hipótesis!$C$17</f>
        <v>1057.67381560291</v>
      </c>
      <c r="CE18" s="150" t="n">
        <f aca="false">(Pipeline!$U$16*Pipeline!$D$16*MIN(1,MAX(0,(81-Pipeline!$E$16+1)/MAX(Pipeline!$F$16,1)))+Pipeline!$U$17*Pipeline!$D$17*MIN(1,MAX(0,(81-Pipeline!$E$17+1)/MAX(Pipeline!$F$17,1)))+Pipeline!$U$18*Pipeline!$D$18*MIN(1,MAX(0,(81-Pipeline!$E$18+1)/MAX(Pipeline!$F$18,1)))+Pipeline!$U$19*Pipeline!$D$19*MIN(1,MAX(0,(81-Pipeline!$E$19+1)/MAX(Pipeline!$F$19,1)))+Pipeline!$U$20*Pipeline!$D$20*MIN(1,MAX(0,(81-Pipeline!$E$20+1)/MAX(Pipeline!$F$20,1)))+Pipeline!$U$21*Pipeline!$D$21*MIN(1,MAX(0,(81-Pipeline!$E$21+1)/MAX(Pipeline!$F$21,1)))+Pipeline!$U$22*Pipeline!$D$22*MIN(1,MAX(0,(81-Pipeline!$E$22+1)/MAX(Pipeline!$F$22,1))))/Hipótesis!$C$17</f>
        <v>1057.67381560291</v>
      </c>
      <c r="CF18" s="150" t="n">
        <f aca="false">(Pipeline!$U$16*Pipeline!$D$16*MIN(1,MAX(0,(82-Pipeline!$E$16+1)/MAX(Pipeline!$F$16,1)))+Pipeline!$U$17*Pipeline!$D$17*MIN(1,MAX(0,(82-Pipeline!$E$17+1)/MAX(Pipeline!$F$17,1)))+Pipeline!$U$18*Pipeline!$D$18*MIN(1,MAX(0,(82-Pipeline!$E$18+1)/MAX(Pipeline!$F$18,1)))+Pipeline!$U$19*Pipeline!$D$19*MIN(1,MAX(0,(82-Pipeline!$E$19+1)/MAX(Pipeline!$F$19,1)))+Pipeline!$U$20*Pipeline!$D$20*MIN(1,MAX(0,(82-Pipeline!$E$20+1)/MAX(Pipeline!$F$20,1)))+Pipeline!$U$21*Pipeline!$D$21*MIN(1,MAX(0,(82-Pipeline!$E$21+1)/MAX(Pipeline!$F$21,1)))+Pipeline!$U$22*Pipeline!$D$22*MIN(1,MAX(0,(82-Pipeline!$E$22+1)/MAX(Pipeline!$F$22,1))))/Hipótesis!$C$17</f>
        <v>1057.67381560291</v>
      </c>
      <c r="CG18" s="150" t="n">
        <f aca="false">(Pipeline!$U$16*Pipeline!$D$16*MIN(1,MAX(0,(83-Pipeline!$E$16+1)/MAX(Pipeline!$F$16,1)))+Pipeline!$U$17*Pipeline!$D$17*MIN(1,MAX(0,(83-Pipeline!$E$17+1)/MAX(Pipeline!$F$17,1)))+Pipeline!$U$18*Pipeline!$D$18*MIN(1,MAX(0,(83-Pipeline!$E$18+1)/MAX(Pipeline!$F$18,1)))+Pipeline!$U$19*Pipeline!$D$19*MIN(1,MAX(0,(83-Pipeline!$E$19+1)/MAX(Pipeline!$F$19,1)))+Pipeline!$U$20*Pipeline!$D$20*MIN(1,MAX(0,(83-Pipeline!$E$20+1)/MAX(Pipeline!$F$20,1)))+Pipeline!$U$21*Pipeline!$D$21*MIN(1,MAX(0,(83-Pipeline!$E$21+1)/MAX(Pipeline!$F$21,1)))+Pipeline!$U$22*Pipeline!$D$22*MIN(1,MAX(0,(83-Pipeline!$E$22+1)/MAX(Pipeline!$F$22,1))))/Hipótesis!$C$17</f>
        <v>1057.67381560291</v>
      </c>
      <c r="CH18" s="150" t="n">
        <f aca="false">(Pipeline!$U$16*Pipeline!$D$16*MIN(1,MAX(0,(84-Pipeline!$E$16+1)/MAX(Pipeline!$F$16,1)))+Pipeline!$U$17*Pipeline!$D$17*MIN(1,MAX(0,(84-Pipeline!$E$17+1)/MAX(Pipeline!$F$17,1)))+Pipeline!$U$18*Pipeline!$D$18*MIN(1,MAX(0,(84-Pipeline!$E$18+1)/MAX(Pipeline!$F$18,1)))+Pipeline!$U$19*Pipeline!$D$19*MIN(1,MAX(0,(84-Pipeline!$E$19+1)/MAX(Pipeline!$F$19,1)))+Pipeline!$U$20*Pipeline!$D$20*MIN(1,MAX(0,(84-Pipeline!$E$20+1)/MAX(Pipeline!$F$20,1)))+Pipeline!$U$21*Pipeline!$D$21*MIN(1,MAX(0,(84-Pipeline!$E$21+1)/MAX(Pipeline!$F$21,1)))+Pipeline!$U$22*Pipeline!$D$22*MIN(1,MAX(0,(84-Pipeline!$E$22+1)/MAX(Pipeline!$F$22,1))))/Hipótesis!$C$17</f>
        <v>1057.67381560291</v>
      </c>
    </row>
    <row r="19" customFormat="false" ht="13.5" hidden="false" customHeight="true" outlineLevel="0" collapsed="false">
      <c r="A19" s="13" t="s">
        <v>702</v>
      </c>
      <c r="C19" s="138" t="n">
        <f aca="false">Pipeline!$W$16*Pipeline!$D$16*MIN(1,MAX(0,(1-Pipeline!$E$16+1)/MAX(Pipeline!$F$16,1)))+Pipeline!$W$17*Pipeline!$D$17*MIN(1,MAX(0,(1-Pipeline!$E$17+1)/MAX(Pipeline!$F$17,1)))+Pipeline!$W$18*Pipeline!$D$18*MIN(1,MAX(0,(1-Pipeline!$E$18+1)/MAX(Pipeline!$F$18,1)))+Pipeline!$W$19*Pipeline!$D$19*MIN(1,MAX(0,(1-Pipeline!$E$19+1)/MAX(Pipeline!$F$19,1)))+Pipeline!$W$20*Pipeline!$D$20*MIN(1,MAX(0,(1-Pipeline!$E$20+1)/MAX(Pipeline!$F$20,1)))+Pipeline!$W$21*Pipeline!$D$21*MIN(1,MAX(0,(1-Pipeline!$E$21+1)/MAX(Pipeline!$F$21,1)))+Pipeline!$W$22*Pipeline!$D$22*MIN(1,MAX(0,(1-Pipeline!$E$22+1)/MAX(Pipeline!$F$22,1)))</f>
        <v>136.64254338843</v>
      </c>
      <c r="D19" s="138" t="n">
        <f aca="false">Pipeline!$W$16*Pipeline!$D$16*MIN(1,MAX(0,(2-Pipeline!$E$16+1)/MAX(Pipeline!$F$16,1)))+Pipeline!$W$17*Pipeline!$D$17*MIN(1,MAX(0,(2-Pipeline!$E$17+1)/MAX(Pipeline!$F$17,1)))+Pipeline!$W$18*Pipeline!$D$18*MIN(1,MAX(0,(2-Pipeline!$E$18+1)/MAX(Pipeline!$F$18,1)))+Pipeline!$W$19*Pipeline!$D$19*MIN(1,MAX(0,(2-Pipeline!$E$19+1)/MAX(Pipeline!$F$19,1)))+Pipeline!$W$20*Pipeline!$D$20*MIN(1,MAX(0,(2-Pipeline!$E$20+1)/MAX(Pipeline!$F$20,1)))+Pipeline!$W$21*Pipeline!$D$21*MIN(1,MAX(0,(2-Pipeline!$E$21+1)/MAX(Pipeline!$F$21,1)))+Pipeline!$W$22*Pipeline!$D$22*MIN(1,MAX(0,(2-Pipeline!$E$22+1)/MAX(Pipeline!$F$22,1)))</f>
        <v>288.258822994652</v>
      </c>
      <c r="E19" s="138" t="n">
        <f aca="false">Pipeline!$W$16*Pipeline!$D$16*MIN(1,MAX(0,(3-Pipeline!$E$16+1)/MAX(Pipeline!$F$16,1)))+Pipeline!$W$17*Pipeline!$D$17*MIN(1,MAX(0,(3-Pipeline!$E$17+1)/MAX(Pipeline!$F$17,1)))+Pipeline!$W$18*Pipeline!$D$18*MIN(1,MAX(0,(3-Pipeline!$E$18+1)/MAX(Pipeline!$F$18,1)))+Pipeline!$W$19*Pipeline!$D$19*MIN(1,MAX(0,(3-Pipeline!$E$19+1)/MAX(Pipeline!$F$19,1)))+Pipeline!$W$20*Pipeline!$D$20*MIN(1,MAX(0,(3-Pipeline!$E$20+1)/MAX(Pipeline!$F$20,1)))+Pipeline!$W$21*Pipeline!$D$21*MIN(1,MAX(0,(3-Pipeline!$E$21+1)/MAX(Pipeline!$F$21,1)))+Pipeline!$W$22*Pipeline!$D$22*MIN(1,MAX(0,(3-Pipeline!$E$22+1)/MAX(Pipeline!$F$22,1)))</f>
        <v>655.025460708271</v>
      </c>
      <c r="F19" s="138" t="n">
        <f aca="false">Pipeline!$W$16*Pipeline!$D$16*MIN(1,MAX(0,(4-Pipeline!$E$16+1)/MAX(Pipeline!$F$16,1)))+Pipeline!$W$17*Pipeline!$D$17*MIN(1,MAX(0,(4-Pipeline!$E$17+1)/MAX(Pipeline!$F$17,1)))+Pipeline!$W$18*Pipeline!$D$18*MIN(1,MAX(0,(4-Pipeline!$E$18+1)/MAX(Pipeline!$F$18,1)))+Pipeline!$W$19*Pipeline!$D$19*MIN(1,MAX(0,(4-Pipeline!$E$19+1)/MAX(Pipeline!$F$19,1)))+Pipeline!$W$20*Pipeline!$D$20*MIN(1,MAX(0,(4-Pipeline!$E$20+1)/MAX(Pipeline!$F$20,1)))+Pipeline!$W$21*Pipeline!$D$21*MIN(1,MAX(0,(4-Pipeline!$E$21+1)/MAX(Pipeline!$F$21,1)))+Pipeline!$W$22*Pipeline!$D$22*MIN(1,MAX(0,(4-Pipeline!$E$22+1)/MAX(Pipeline!$F$22,1)))</f>
        <v>885.14955503346</v>
      </c>
      <c r="G19" s="138" t="n">
        <f aca="false">Pipeline!$W$16*Pipeline!$D$16*MIN(1,MAX(0,(5-Pipeline!$E$16+1)/MAX(Pipeline!$F$16,1)))+Pipeline!$W$17*Pipeline!$D$17*MIN(1,MAX(0,(5-Pipeline!$E$17+1)/MAX(Pipeline!$F$17,1)))+Pipeline!$W$18*Pipeline!$D$18*MIN(1,MAX(0,(5-Pipeline!$E$18+1)/MAX(Pipeline!$F$18,1)))+Pipeline!$W$19*Pipeline!$D$19*MIN(1,MAX(0,(5-Pipeline!$E$19+1)/MAX(Pipeline!$F$19,1)))+Pipeline!$W$20*Pipeline!$D$20*MIN(1,MAX(0,(5-Pipeline!$E$20+1)/MAX(Pipeline!$F$20,1)))+Pipeline!$W$21*Pipeline!$D$21*MIN(1,MAX(0,(5-Pipeline!$E$21+1)/MAX(Pipeline!$F$21,1)))+Pipeline!$W$22*Pipeline!$D$22*MIN(1,MAX(0,(5-Pipeline!$E$22+1)/MAX(Pipeline!$F$22,1)))</f>
        <v>1100.29991314086</v>
      </c>
      <c r="H19" s="138" t="n">
        <f aca="false">Pipeline!$W$16*Pipeline!$D$16*MIN(1,MAX(0,(6-Pipeline!$E$16+1)/MAX(Pipeline!$F$16,1)))+Pipeline!$W$17*Pipeline!$D$17*MIN(1,MAX(0,(6-Pipeline!$E$17+1)/MAX(Pipeline!$F$17,1)))+Pipeline!$W$18*Pipeline!$D$18*MIN(1,MAX(0,(6-Pipeline!$E$18+1)/MAX(Pipeline!$F$18,1)))+Pipeline!$W$19*Pipeline!$D$19*MIN(1,MAX(0,(6-Pipeline!$E$19+1)/MAX(Pipeline!$F$19,1)))+Pipeline!$W$20*Pipeline!$D$20*MIN(1,MAX(0,(6-Pipeline!$E$20+1)/MAX(Pipeline!$F$20,1)))+Pipeline!$W$21*Pipeline!$D$21*MIN(1,MAX(0,(6-Pipeline!$E$21+1)/MAX(Pipeline!$F$21,1)))+Pipeline!$W$22*Pipeline!$D$22*MIN(1,MAX(0,(6-Pipeline!$E$22+1)/MAX(Pipeline!$F$22,1)))</f>
        <v>1487.02433207713</v>
      </c>
      <c r="I19" s="138" t="n">
        <f aca="false">Pipeline!$W$16*Pipeline!$D$16*MIN(1,MAX(0,(7-Pipeline!$E$16+1)/MAX(Pipeline!$F$16,1)))+Pipeline!$W$17*Pipeline!$D$17*MIN(1,MAX(0,(7-Pipeline!$E$17+1)/MAX(Pipeline!$F$17,1)))+Pipeline!$W$18*Pipeline!$D$18*MIN(1,MAX(0,(7-Pipeline!$E$18+1)/MAX(Pipeline!$F$18,1)))+Pipeline!$W$19*Pipeline!$D$19*MIN(1,MAX(0,(7-Pipeline!$E$19+1)/MAX(Pipeline!$F$19,1)))+Pipeline!$W$20*Pipeline!$D$20*MIN(1,MAX(0,(7-Pipeline!$E$20+1)/MAX(Pipeline!$F$20,1)))+Pipeline!$W$21*Pipeline!$D$21*MIN(1,MAX(0,(7-Pipeline!$E$21+1)/MAX(Pipeline!$F$21,1)))+Pipeline!$W$22*Pipeline!$D$22*MIN(1,MAX(0,(7-Pipeline!$E$22+1)/MAX(Pipeline!$F$22,1)))</f>
        <v>1873.7487510134</v>
      </c>
      <c r="J19" s="138" t="n">
        <f aca="false">Pipeline!$W$16*Pipeline!$D$16*MIN(1,MAX(0,(8-Pipeline!$E$16+1)/MAX(Pipeline!$F$16,1)))+Pipeline!$W$17*Pipeline!$D$17*MIN(1,MAX(0,(8-Pipeline!$E$17+1)/MAX(Pipeline!$F$17,1)))+Pipeline!$W$18*Pipeline!$D$18*MIN(1,MAX(0,(8-Pipeline!$E$18+1)/MAX(Pipeline!$F$18,1)))+Pipeline!$W$19*Pipeline!$D$19*MIN(1,MAX(0,(8-Pipeline!$E$19+1)/MAX(Pipeline!$F$19,1)))+Pipeline!$W$20*Pipeline!$D$20*MIN(1,MAX(0,(8-Pipeline!$E$20+1)/MAX(Pipeline!$F$20,1)))+Pipeline!$W$21*Pipeline!$D$21*MIN(1,MAX(0,(8-Pipeline!$E$21+1)/MAX(Pipeline!$F$21,1)))+Pipeline!$W$22*Pipeline!$D$22*MIN(1,MAX(0,(8-Pipeline!$E$22+1)/MAX(Pipeline!$F$22,1)))</f>
        <v>2260.47316994967</v>
      </c>
      <c r="K19" s="138" t="n">
        <f aca="false">Pipeline!$W$16*Pipeline!$D$16*MIN(1,MAX(0,(9-Pipeline!$E$16+1)/MAX(Pipeline!$F$16,1)))+Pipeline!$W$17*Pipeline!$D$17*MIN(1,MAX(0,(9-Pipeline!$E$17+1)/MAX(Pipeline!$F$17,1)))+Pipeline!$W$18*Pipeline!$D$18*MIN(1,MAX(0,(9-Pipeline!$E$18+1)/MAX(Pipeline!$F$18,1)))+Pipeline!$W$19*Pipeline!$D$19*MIN(1,MAX(0,(9-Pipeline!$E$19+1)/MAX(Pipeline!$F$19,1)))+Pipeline!$W$20*Pipeline!$D$20*MIN(1,MAX(0,(9-Pipeline!$E$20+1)/MAX(Pipeline!$F$20,1)))+Pipeline!$W$21*Pipeline!$D$21*MIN(1,MAX(0,(9-Pipeline!$E$21+1)/MAX(Pipeline!$F$21,1)))+Pipeline!$W$22*Pipeline!$D$22*MIN(1,MAX(0,(9-Pipeline!$E$22+1)/MAX(Pipeline!$F$22,1)))</f>
        <v>2647.19758888595</v>
      </c>
      <c r="L19" s="138" t="n">
        <f aca="false">Pipeline!$W$16*Pipeline!$D$16*MIN(1,MAX(0,(10-Pipeline!$E$16+1)/MAX(Pipeline!$F$16,1)))+Pipeline!$W$17*Pipeline!$D$17*MIN(1,MAX(0,(10-Pipeline!$E$17+1)/MAX(Pipeline!$F$17,1)))+Pipeline!$W$18*Pipeline!$D$18*MIN(1,MAX(0,(10-Pipeline!$E$18+1)/MAX(Pipeline!$F$18,1)))+Pipeline!$W$19*Pipeline!$D$19*MIN(1,MAX(0,(10-Pipeline!$E$19+1)/MAX(Pipeline!$F$19,1)))+Pipeline!$W$20*Pipeline!$D$20*MIN(1,MAX(0,(10-Pipeline!$E$20+1)/MAX(Pipeline!$F$20,1)))+Pipeline!$W$21*Pipeline!$D$21*MIN(1,MAX(0,(10-Pipeline!$E$21+1)/MAX(Pipeline!$F$21,1)))+Pipeline!$W$22*Pipeline!$D$22*MIN(1,MAX(0,(10-Pipeline!$E$22+1)/MAX(Pipeline!$F$22,1)))</f>
        <v>3033.92200782222</v>
      </c>
      <c r="M19" s="138" t="n">
        <f aca="false">Pipeline!$W$16*Pipeline!$D$16*MIN(1,MAX(0,(11-Pipeline!$E$16+1)/MAX(Pipeline!$F$16,1)))+Pipeline!$W$17*Pipeline!$D$17*MIN(1,MAX(0,(11-Pipeline!$E$17+1)/MAX(Pipeline!$F$17,1)))+Pipeline!$W$18*Pipeline!$D$18*MIN(1,MAX(0,(11-Pipeline!$E$18+1)/MAX(Pipeline!$F$18,1)))+Pipeline!$W$19*Pipeline!$D$19*MIN(1,MAX(0,(11-Pipeline!$E$19+1)/MAX(Pipeline!$F$19,1)))+Pipeline!$W$20*Pipeline!$D$20*MIN(1,MAX(0,(11-Pipeline!$E$20+1)/MAX(Pipeline!$F$20,1)))+Pipeline!$W$21*Pipeline!$D$21*MIN(1,MAX(0,(11-Pipeline!$E$21+1)/MAX(Pipeline!$F$21,1)))+Pipeline!$W$22*Pipeline!$D$22*MIN(1,MAX(0,(11-Pipeline!$E$22+1)/MAX(Pipeline!$F$22,1)))</f>
        <v>3205.4960686511</v>
      </c>
      <c r="N19" s="138" t="n">
        <f aca="false">Pipeline!$W$16*Pipeline!$D$16*MIN(1,MAX(0,(12-Pipeline!$E$16+1)/MAX(Pipeline!$F$16,1)))+Pipeline!$W$17*Pipeline!$D$17*MIN(1,MAX(0,(12-Pipeline!$E$17+1)/MAX(Pipeline!$F$17,1)))+Pipeline!$W$18*Pipeline!$D$18*MIN(1,MAX(0,(12-Pipeline!$E$18+1)/MAX(Pipeline!$F$18,1)))+Pipeline!$W$19*Pipeline!$D$19*MIN(1,MAX(0,(12-Pipeline!$E$19+1)/MAX(Pipeline!$F$19,1)))+Pipeline!$W$20*Pipeline!$D$20*MIN(1,MAX(0,(12-Pipeline!$E$20+1)/MAX(Pipeline!$F$20,1)))+Pipeline!$W$21*Pipeline!$D$21*MIN(1,MAX(0,(12-Pipeline!$E$21+1)/MAX(Pipeline!$F$21,1)))+Pipeline!$W$22*Pipeline!$D$22*MIN(1,MAX(0,(12-Pipeline!$E$22+1)/MAX(Pipeline!$F$22,1)))</f>
        <v>3626.63239977652</v>
      </c>
      <c r="O19" s="138" t="n">
        <f aca="false">Pipeline!$W$16*Pipeline!$D$16*MIN(1,MAX(0,(13-Pipeline!$E$16+1)/MAX(Pipeline!$F$16,1)))+Pipeline!$W$17*Pipeline!$D$17*MIN(1,MAX(0,(13-Pipeline!$E$17+1)/MAX(Pipeline!$F$17,1)))+Pipeline!$W$18*Pipeline!$D$18*MIN(1,MAX(0,(13-Pipeline!$E$18+1)/MAX(Pipeline!$F$18,1)))+Pipeline!$W$19*Pipeline!$D$19*MIN(1,MAX(0,(13-Pipeline!$E$19+1)/MAX(Pipeline!$F$19,1)))+Pipeline!$W$20*Pipeline!$D$20*MIN(1,MAX(0,(13-Pipeline!$E$20+1)/MAX(Pipeline!$F$20,1)))+Pipeline!$W$21*Pipeline!$D$21*MIN(1,MAX(0,(13-Pipeline!$E$21+1)/MAX(Pipeline!$F$21,1)))+Pipeline!$W$22*Pipeline!$D$22*MIN(1,MAX(0,(13-Pipeline!$E$22+1)/MAX(Pipeline!$F$22,1)))</f>
        <v>4047.76873090195</v>
      </c>
      <c r="P19" s="138" t="n">
        <f aca="false">Pipeline!$W$16*Pipeline!$D$16*MIN(1,MAX(0,(14-Pipeline!$E$16+1)/MAX(Pipeline!$F$16,1)))+Pipeline!$W$17*Pipeline!$D$17*MIN(1,MAX(0,(14-Pipeline!$E$17+1)/MAX(Pipeline!$F$17,1)))+Pipeline!$W$18*Pipeline!$D$18*MIN(1,MAX(0,(14-Pipeline!$E$18+1)/MAX(Pipeline!$F$18,1)))+Pipeline!$W$19*Pipeline!$D$19*MIN(1,MAX(0,(14-Pipeline!$E$19+1)/MAX(Pipeline!$F$19,1)))+Pipeline!$W$20*Pipeline!$D$20*MIN(1,MAX(0,(14-Pipeline!$E$20+1)/MAX(Pipeline!$F$20,1)))+Pipeline!$W$21*Pipeline!$D$21*MIN(1,MAX(0,(14-Pipeline!$E$21+1)/MAX(Pipeline!$F$21,1)))+Pipeline!$W$22*Pipeline!$D$22*MIN(1,MAX(0,(14-Pipeline!$E$22+1)/MAX(Pipeline!$F$22,1)))</f>
        <v>4397.15590931712</v>
      </c>
      <c r="Q19" s="138" t="n">
        <f aca="false">Pipeline!$W$16*Pipeline!$D$16*MIN(1,MAX(0,(15-Pipeline!$E$16+1)/MAX(Pipeline!$F$16,1)))+Pipeline!$W$17*Pipeline!$D$17*MIN(1,MAX(0,(15-Pipeline!$E$17+1)/MAX(Pipeline!$F$17,1)))+Pipeline!$W$18*Pipeline!$D$18*MIN(1,MAX(0,(15-Pipeline!$E$18+1)/MAX(Pipeline!$F$18,1)))+Pipeline!$W$19*Pipeline!$D$19*MIN(1,MAX(0,(15-Pipeline!$E$19+1)/MAX(Pipeline!$F$19,1)))+Pipeline!$W$20*Pipeline!$D$20*MIN(1,MAX(0,(15-Pipeline!$E$20+1)/MAX(Pipeline!$F$20,1)))+Pipeline!$W$21*Pipeline!$D$21*MIN(1,MAX(0,(15-Pipeline!$E$21+1)/MAX(Pipeline!$F$21,1)))+Pipeline!$W$22*Pipeline!$D$22*MIN(1,MAX(0,(15-Pipeline!$E$22+1)/MAX(Pipeline!$F$22,1)))</f>
        <v>4746.54308773228</v>
      </c>
      <c r="R19" s="138" t="n">
        <f aca="false">Pipeline!$W$16*Pipeline!$D$16*MIN(1,MAX(0,(16-Pipeline!$E$16+1)/MAX(Pipeline!$F$16,1)))+Pipeline!$W$17*Pipeline!$D$17*MIN(1,MAX(0,(16-Pipeline!$E$17+1)/MAX(Pipeline!$F$17,1)))+Pipeline!$W$18*Pipeline!$D$18*MIN(1,MAX(0,(16-Pipeline!$E$18+1)/MAX(Pipeline!$F$18,1)))+Pipeline!$W$19*Pipeline!$D$19*MIN(1,MAX(0,(16-Pipeline!$E$19+1)/MAX(Pipeline!$F$19,1)))+Pipeline!$W$20*Pipeline!$D$20*MIN(1,MAX(0,(16-Pipeline!$E$20+1)/MAX(Pipeline!$F$20,1)))+Pipeline!$W$21*Pipeline!$D$21*MIN(1,MAX(0,(16-Pipeline!$E$21+1)/MAX(Pipeline!$F$21,1)))+Pipeline!$W$22*Pipeline!$D$22*MIN(1,MAX(0,(16-Pipeline!$E$22+1)/MAX(Pipeline!$F$22,1)))</f>
        <v>5095.93026614745</v>
      </c>
      <c r="S19" s="138" t="n">
        <f aca="false">Pipeline!$W$16*Pipeline!$D$16*MIN(1,MAX(0,(17-Pipeline!$E$16+1)/MAX(Pipeline!$F$16,1)))+Pipeline!$W$17*Pipeline!$D$17*MIN(1,MAX(0,(17-Pipeline!$E$17+1)/MAX(Pipeline!$F$17,1)))+Pipeline!$W$18*Pipeline!$D$18*MIN(1,MAX(0,(17-Pipeline!$E$18+1)/MAX(Pipeline!$F$18,1)))+Pipeline!$W$19*Pipeline!$D$19*MIN(1,MAX(0,(17-Pipeline!$E$19+1)/MAX(Pipeline!$F$19,1)))+Pipeline!$W$20*Pipeline!$D$20*MIN(1,MAX(0,(17-Pipeline!$E$20+1)/MAX(Pipeline!$F$20,1)))+Pipeline!$W$21*Pipeline!$D$21*MIN(1,MAX(0,(17-Pipeline!$E$21+1)/MAX(Pipeline!$F$21,1)))+Pipeline!$W$22*Pipeline!$D$22*MIN(1,MAX(0,(17-Pipeline!$E$22+1)/MAX(Pipeline!$F$22,1)))</f>
        <v>5445.31744456262</v>
      </c>
      <c r="T19" s="138" t="n">
        <f aca="false">Pipeline!$W$16*Pipeline!$D$16*MIN(1,MAX(0,(18-Pipeline!$E$16+1)/MAX(Pipeline!$F$16,1)))+Pipeline!$W$17*Pipeline!$D$17*MIN(1,MAX(0,(18-Pipeline!$E$17+1)/MAX(Pipeline!$F$17,1)))+Pipeline!$W$18*Pipeline!$D$18*MIN(1,MAX(0,(18-Pipeline!$E$18+1)/MAX(Pipeline!$F$18,1)))+Pipeline!$W$19*Pipeline!$D$19*MIN(1,MAX(0,(18-Pipeline!$E$19+1)/MAX(Pipeline!$F$19,1)))+Pipeline!$W$20*Pipeline!$D$20*MIN(1,MAX(0,(18-Pipeline!$E$20+1)/MAX(Pipeline!$F$20,1)))+Pipeline!$W$21*Pipeline!$D$21*MIN(1,MAX(0,(18-Pipeline!$E$21+1)/MAX(Pipeline!$F$21,1)))+Pipeline!$W$22*Pipeline!$D$22*MIN(1,MAX(0,(18-Pipeline!$E$22+1)/MAX(Pipeline!$F$22,1)))</f>
        <v>5794.70462297779</v>
      </c>
      <c r="U19" s="138" t="n">
        <f aca="false">Pipeline!$W$16*Pipeline!$D$16*MIN(1,MAX(0,(19-Pipeline!$E$16+1)/MAX(Pipeline!$F$16,1)))+Pipeline!$W$17*Pipeline!$D$17*MIN(1,MAX(0,(19-Pipeline!$E$17+1)/MAX(Pipeline!$F$17,1)))+Pipeline!$W$18*Pipeline!$D$18*MIN(1,MAX(0,(19-Pipeline!$E$18+1)/MAX(Pipeline!$F$18,1)))+Pipeline!$W$19*Pipeline!$D$19*MIN(1,MAX(0,(19-Pipeline!$E$19+1)/MAX(Pipeline!$F$19,1)))+Pipeline!$W$20*Pipeline!$D$20*MIN(1,MAX(0,(19-Pipeline!$E$20+1)/MAX(Pipeline!$F$20,1)))+Pipeline!$W$21*Pipeline!$D$21*MIN(1,MAX(0,(19-Pipeline!$E$21+1)/MAX(Pipeline!$F$21,1)))+Pipeline!$W$22*Pipeline!$D$22*MIN(1,MAX(0,(19-Pipeline!$E$22+1)/MAX(Pipeline!$F$22,1)))</f>
        <v>6144.09180139295</v>
      </c>
      <c r="V19" s="138" t="n">
        <f aca="false">Pipeline!$W$16*Pipeline!$D$16*MIN(1,MAX(0,(20-Pipeline!$E$16+1)/MAX(Pipeline!$F$16,1)))+Pipeline!$W$17*Pipeline!$D$17*MIN(1,MAX(0,(20-Pipeline!$E$17+1)/MAX(Pipeline!$F$17,1)))+Pipeline!$W$18*Pipeline!$D$18*MIN(1,MAX(0,(20-Pipeline!$E$18+1)/MAX(Pipeline!$F$18,1)))+Pipeline!$W$19*Pipeline!$D$19*MIN(1,MAX(0,(20-Pipeline!$E$19+1)/MAX(Pipeline!$F$19,1)))+Pipeline!$W$20*Pipeline!$D$20*MIN(1,MAX(0,(20-Pipeline!$E$20+1)/MAX(Pipeline!$F$20,1)))+Pipeline!$W$21*Pipeline!$D$21*MIN(1,MAX(0,(20-Pipeline!$E$21+1)/MAX(Pipeline!$F$21,1)))+Pipeline!$W$22*Pipeline!$D$22*MIN(1,MAX(0,(20-Pipeline!$E$22+1)/MAX(Pipeline!$F$22,1)))</f>
        <v>6493.47897980812</v>
      </c>
      <c r="W19" s="138" t="n">
        <f aca="false">Pipeline!$W$16*Pipeline!$D$16*MIN(1,MAX(0,(21-Pipeline!$E$16+1)/MAX(Pipeline!$F$16,1)))+Pipeline!$W$17*Pipeline!$D$17*MIN(1,MAX(0,(21-Pipeline!$E$17+1)/MAX(Pipeline!$F$17,1)))+Pipeline!$W$18*Pipeline!$D$18*MIN(1,MAX(0,(21-Pipeline!$E$18+1)/MAX(Pipeline!$F$18,1)))+Pipeline!$W$19*Pipeline!$D$19*MIN(1,MAX(0,(21-Pipeline!$E$19+1)/MAX(Pipeline!$F$19,1)))+Pipeline!$W$20*Pipeline!$D$20*MIN(1,MAX(0,(21-Pipeline!$E$20+1)/MAX(Pipeline!$F$20,1)))+Pipeline!$W$21*Pipeline!$D$21*MIN(1,MAX(0,(21-Pipeline!$E$21+1)/MAX(Pipeline!$F$21,1)))+Pipeline!$W$22*Pipeline!$D$22*MIN(1,MAX(0,(21-Pipeline!$E$22+1)/MAX(Pipeline!$F$22,1)))</f>
        <v>6842.86615822329</v>
      </c>
      <c r="X19" s="138" t="n">
        <f aca="false">Pipeline!$W$16*Pipeline!$D$16*MIN(1,MAX(0,(22-Pipeline!$E$16+1)/MAX(Pipeline!$F$16,1)))+Pipeline!$W$17*Pipeline!$D$17*MIN(1,MAX(0,(22-Pipeline!$E$17+1)/MAX(Pipeline!$F$17,1)))+Pipeline!$W$18*Pipeline!$D$18*MIN(1,MAX(0,(22-Pipeline!$E$18+1)/MAX(Pipeline!$F$18,1)))+Pipeline!$W$19*Pipeline!$D$19*MIN(1,MAX(0,(22-Pipeline!$E$19+1)/MAX(Pipeline!$F$19,1)))+Pipeline!$W$20*Pipeline!$D$20*MIN(1,MAX(0,(22-Pipeline!$E$20+1)/MAX(Pipeline!$F$20,1)))+Pipeline!$W$21*Pipeline!$D$21*MIN(1,MAX(0,(22-Pipeline!$E$21+1)/MAX(Pipeline!$F$21,1)))+Pipeline!$W$22*Pipeline!$D$22*MIN(1,MAX(0,(22-Pipeline!$E$22+1)/MAX(Pipeline!$F$22,1)))</f>
        <v>6942.69106634191</v>
      </c>
      <c r="Y19" s="138" t="n">
        <f aca="false">Pipeline!$W$16*Pipeline!$D$16*MIN(1,MAX(0,(23-Pipeline!$E$16+1)/MAX(Pipeline!$F$16,1)))+Pipeline!$W$17*Pipeline!$D$17*MIN(1,MAX(0,(23-Pipeline!$E$17+1)/MAX(Pipeline!$F$17,1)))+Pipeline!$W$18*Pipeline!$D$18*MIN(1,MAX(0,(23-Pipeline!$E$18+1)/MAX(Pipeline!$F$18,1)))+Pipeline!$W$19*Pipeline!$D$19*MIN(1,MAX(0,(23-Pipeline!$E$19+1)/MAX(Pipeline!$F$19,1)))+Pipeline!$W$20*Pipeline!$D$20*MIN(1,MAX(0,(23-Pipeline!$E$20+1)/MAX(Pipeline!$F$20,1)))+Pipeline!$W$21*Pipeline!$D$21*MIN(1,MAX(0,(23-Pipeline!$E$21+1)/MAX(Pipeline!$F$21,1)))+Pipeline!$W$22*Pipeline!$D$22*MIN(1,MAX(0,(23-Pipeline!$E$22+1)/MAX(Pipeline!$F$22,1)))</f>
        <v>7042.51597446053</v>
      </c>
      <c r="Z19" s="138" t="n">
        <f aca="false">Pipeline!$W$16*Pipeline!$D$16*MIN(1,MAX(0,(24-Pipeline!$E$16+1)/MAX(Pipeline!$F$16,1)))+Pipeline!$W$17*Pipeline!$D$17*MIN(1,MAX(0,(24-Pipeline!$E$17+1)/MAX(Pipeline!$F$17,1)))+Pipeline!$W$18*Pipeline!$D$18*MIN(1,MAX(0,(24-Pipeline!$E$18+1)/MAX(Pipeline!$F$18,1)))+Pipeline!$W$19*Pipeline!$D$19*MIN(1,MAX(0,(24-Pipeline!$E$19+1)/MAX(Pipeline!$F$19,1)))+Pipeline!$W$20*Pipeline!$D$20*MIN(1,MAX(0,(24-Pipeline!$E$20+1)/MAX(Pipeline!$F$20,1)))+Pipeline!$W$21*Pipeline!$D$21*MIN(1,MAX(0,(24-Pipeline!$E$21+1)/MAX(Pipeline!$F$21,1)))+Pipeline!$W$22*Pipeline!$D$22*MIN(1,MAX(0,(24-Pipeline!$E$22+1)/MAX(Pipeline!$F$22,1)))</f>
        <v>7042.51597446053</v>
      </c>
      <c r="AA19" s="138" t="n">
        <f aca="false">Pipeline!$W$16*Pipeline!$D$16*MIN(1,MAX(0,(25-Pipeline!$E$16+1)/MAX(Pipeline!$F$16,1)))+Pipeline!$W$17*Pipeline!$D$17*MIN(1,MAX(0,(25-Pipeline!$E$17+1)/MAX(Pipeline!$F$17,1)))+Pipeline!$W$18*Pipeline!$D$18*MIN(1,MAX(0,(25-Pipeline!$E$18+1)/MAX(Pipeline!$F$18,1)))+Pipeline!$W$19*Pipeline!$D$19*MIN(1,MAX(0,(25-Pipeline!$E$19+1)/MAX(Pipeline!$F$19,1)))+Pipeline!$W$20*Pipeline!$D$20*MIN(1,MAX(0,(25-Pipeline!$E$20+1)/MAX(Pipeline!$F$20,1)))+Pipeline!$W$21*Pipeline!$D$21*MIN(1,MAX(0,(25-Pipeline!$E$21+1)/MAX(Pipeline!$F$21,1)))+Pipeline!$W$22*Pipeline!$D$22*MIN(1,MAX(0,(25-Pipeline!$E$22+1)/MAX(Pipeline!$F$22,1)))</f>
        <v>7042.51597446053</v>
      </c>
      <c r="AB19" s="138" t="n">
        <f aca="false">Pipeline!$W$16*Pipeline!$D$16*MIN(1,MAX(0,(26-Pipeline!$E$16+1)/MAX(Pipeline!$F$16,1)))+Pipeline!$W$17*Pipeline!$D$17*MIN(1,MAX(0,(26-Pipeline!$E$17+1)/MAX(Pipeline!$F$17,1)))+Pipeline!$W$18*Pipeline!$D$18*MIN(1,MAX(0,(26-Pipeline!$E$18+1)/MAX(Pipeline!$F$18,1)))+Pipeline!$W$19*Pipeline!$D$19*MIN(1,MAX(0,(26-Pipeline!$E$19+1)/MAX(Pipeline!$F$19,1)))+Pipeline!$W$20*Pipeline!$D$20*MIN(1,MAX(0,(26-Pipeline!$E$20+1)/MAX(Pipeline!$F$20,1)))+Pipeline!$W$21*Pipeline!$D$21*MIN(1,MAX(0,(26-Pipeline!$E$21+1)/MAX(Pipeline!$F$21,1)))+Pipeline!$W$22*Pipeline!$D$22*MIN(1,MAX(0,(26-Pipeline!$E$22+1)/MAX(Pipeline!$F$22,1)))</f>
        <v>7042.51597446053</v>
      </c>
      <c r="AC19" s="138" t="n">
        <f aca="false">Pipeline!$W$16*Pipeline!$D$16*MIN(1,MAX(0,(27-Pipeline!$E$16+1)/MAX(Pipeline!$F$16,1)))+Pipeline!$W$17*Pipeline!$D$17*MIN(1,MAX(0,(27-Pipeline!$E$17+1)/MAX(Pipeline!$F$17,1)))+Pipeline!$W$18*Pipeline!$D$18*MIN(1,MAX(0,(27-Pipeline!$E$18+1)/MAX(Pipeline!$F$18,1)))+Pipeline!$W$19*Pipeline!$D$19*MIN(1,MAX(0,(27-Pipeline!$E$19+1)/MAX(Pipeline!$F$19,1)))+Pipeline!$W$20*Pipeline!$D$20*MIN(1,MAX(0,(27-Pipeline!$E$20+1)/MAX(Pipeline!$F$20,1)))+Pipeline!$W$21*Pipeline!$D$21*MIN(1,MAX(0,(27-Pipeline!$E$21+1)/MAX(Pipeline!$F$21,1)))+Pipeline!$W$22*Pipeline!$D$22*MIN(1,MAX(0,(27-Pipeline!$E$22+1)/MAX(Pipeline!$F$22,1)))</f>
        <v>7042.51597446053</v>
      </c>
      <c r="AD19" s="138" t="n">
        <f aca="false">Pipeline!$W$16*Pipeline!$D$16*MIN(1,MAX(0,(28-Pipeline!$E$16+1)/MAX(Pipeline!$F$16,1)))+Pipeline!$W$17*Pipeline!$D$17*MIN(1,MAX(0,(28-Pipeline!$E$17+1)/MAX(Pipeline!$F$17,1)))+Pipeline!$W$18*Pipeline!$D$18*MIN(1,MAX(0,(28-Pipeline!$E$18+1)/MAX(Pipeline!$F$18,1)))+Pipeline!$W$19*Pipeline!$D$19*MIN(1,MAX(0,(28-Pipeline!$E$19+1)/MAX(Pipeline!$F$19,1)))+Pipeline!$W$20*Pipeline!$D$20*MIN(1,MAX(0,(28-Pipeline!$E$20+1)/MAX(Pipeline!$F$20,1)))+Pipeline!$W$21*Pipeline!$D$21*MIN(1,MAX(0,(28-Pipeline!$E$21+1)/MAX(Pipeline!$F$21,1)))+Pipeline!$W$22*Pipeline!$D$22*MIN(1,MAX(0,(28-Pipeline!$E$22+1)/MAX(Pipeline!$F$22,1)))</f>
        <v>7042.51597446053</v>
      </c>
      <c r="AE19" s="138" t="n">
        <f aca="false">Pipeline!$W$16*Pipeline!$D$16*MIN(1,MAX(0,(29-Pipeline!$E$16+1)/MAX(Pipeline!$F$16,1)))+Pipeline!$W$17*Pipeline!$D$17*MIN(1,MAX(0,(29-Pipeline!$E$17+1)/MAX(Pipeline!$F$17,1)))+Pipeline!$W$18*Pipeline!$D$18*MIN(1,MAX(0,(29-Pipeline!$E$18+1)/MAX(Pipeline!$F$18,1)))+Pipeline!$W$19*Pipeline!$D$19*MIN(1,MAX(0,(29-Pipeline!$E$19+1)/MAX(Pipeline!$F$19,1)))+Pipeline!$W$20*Pipeline!$D$20*MIN(1,MAX(0,(29-Pipeline!$E$20+1)/MAX(Pipeline!$F$20,1)))+Pipeline!$W$21*Pipeline!$D$21*MIN(1,MAX(0,(29-Pipeline!$E$21+1)/MAX(Pipeline!$F$21,1)))+Pipeline!$W$22*Pipeline!$D$22*MIN(1,MAX(0,(29-Pipeline!$E$22+1)/MAX(Pipeline!$F$22,1)))</f>
        <v>7042.51597446053</v>
      </c>
      <c r="AF19" s="138" t="n">
        <f aca="false">Pipeline!$W$16*Pipeline!$D$16*MIN(1,MAX(0,(30-Pipeline!$E$16+1)/MAX(Pipeline!$F$16,1)))+Pipeline!$W$17*Pipeline!$D$17*MIN(1,MAX(0,(30-Pipeline!$E$17+1)/MAX(Pipeline!$F$17,1)))+Pipeline!$W$18*Pipeline!$D$18*MIN(1,MAX(0,(30-Pipeline!$E$18+1)/MAX(Pipeline!$F$18,1)))+Pipeline!$W$19*Pipeline!$D$19*MIN(1,MAX(0,(30-Pipeline!$E$19+1)/MAX(Pipeline!$F$19,1)))+Pipeline!$W$20*Pipeline!$D$20*MIN(1,MAX(0,(30-Pipeline!$E$20+1)/MAX(Pipeline!$F$20,1)))+Pipeline!$W$21*Pipeline!$D$21*MIN(1,MAX(0,(30-Pipeline!$E$21+1)/MAX(Pipeline!$F$21,1)))+Pipeline!$W$22*Pipeline!$D$22*MIN(1,MAX(0,(30-Pipeline!$E$22+1)/MAX(Pipeline!$F$22,1)))</f>
        <v>7042.51597446053</v>
      </c>
      <c r="AG19" s="138" t="n">
        <f aca="false">Pipeline!$W$16*Pipeline!$D$16*MIN(1,MAX(0,(31-Pipeline!$E$16+1)/MAX(Pipeline!$F$16,1)))+Pipeline!$W$17*Pipeline!$D$17*MIN(1,MAX(0,(31-Pipeline!$E$17+1)/MAX(Pipeline!$F$17,1)))+Pipeline!$W$18*Pipeline!$D$18*MIN(1,MAX(0,(31-Pipeline!$E$18+1)/MAX(Pipeline!$F$18,1)))+Pipeline!$W$19*Pipeline!$D$19*MIN(1,MAX(0,(31-Pipeline!$E$19+1)/MAX(Pipeline!$F$19,1)))+Pipeline!$W$20*Pipeline!$D$20*MIN(1,MAX(0,(31-Pipeline!$E$20+1)/MAX(Pipeline!$F$20,1)))+Pipeline!$W$21*Pipeline!$D$21*MIN(1,MAX(0,(31-Pipeline!$E$21+1)/MAX(Pipeline!$F$21,1)))+Pipeline!$W$22*Pipeline!$D$22*MIN(1,MAX(0,(31-Pipeline!$E$22+1)/MAX(Pipeline!$F$22,1)))</f>
        <v>7042.51597446053</v>
      </c>
      <c r="AH19" s="138" t="n">
        <f aca="false">Pipeline!$W$16*Pipeline!$D$16*MIN(1,MAX(0,(32-Pipeline!$E$16+1)/MAX(Pipeline!$F$16,1)))+Pipeline!$W$17*Pipeline!$D$17*MIN(1,MAX(0,(32-Pipeline!$E$17+1)/MAX(Pipeline!$F$17,1)))+Pipeline!$W$18*Pipeline!$D$18*MIN(1,MAX(0,(32-Pipeline!$E$18+1)/MAX(Pipeline!$F$18,1)))+Pipeline!$W$19*Pipeline!$D$19*MIN(1,MAX(0,(32-Pipeline!$E$19+1)/MAX(Pipeline!$F$19,1)))+Pipeline!$W$20*Pipeline!$D$20*MIN(1,MAX(0,(32-Pipeline!$E$20+1)/MAX(Pipeline!$F$20,1)))+Pipeline!$W$21*Pipeline!$D$21*MIN(1,MAX(0,(32-Pipeline!$E$21+1)/MAX(Pipeline!$F$21,1)))+Pipeline!$W$22*Pipeline!$D$22*MIN(1,MAX(0,(32-Pipeline!$E$22+1)/MAX(Pipeline!$F$22,1)))</f>
        <v>7042.51597446053</v>
      </c>
      <c r="AI19" s="138" t="n">
        <f aca="false">Pipeline!$W$16*Pipeline!$D$16*MIN(1,MAX(0,(33-Pipeline!$E$16+1)/MAX(Pipeline!$F$16,1)))+Pipeline!$W$17*Pipeline!$D$17*MIN(1,MAX(0,(33-Pipeline!$E$17+1)/MAX(Pipeline!$F$17,1)))+Pipeline!$W$18*Pipeline!$D$18*MIN(1,MAX(0,(33-Pipeline!$E$18+1)/MAX(Pipeline!$F$18,1)))+Pipeline!$W$19*Pipeline!$D$19*MIN(1,MAX(0,(33-Pipeline!$E$19+1)/MAX(Pipeline!$F$19,1)))+Pipeline!$W$20*Pipeline!$D$20*MIN(1,MAX(0,(33-Pipeline!$E$20+1)/MAX(Pipeline!$F$20,1)))+Pipeline!$W$21*Pipeline!$D$21*MIN(1,MAX(0,(33-Pipeline!$E$21+1)/MAX(Pipeline!$F$21,1)))+Pipeline!$W$22*Pipeline!$D$22*MIN(1,MAX(0,(33-Pipeline!$E$22+1)/MAX(Pipeline!$F$22,1)))</f>
        <v>7042.51597446053</v>
      </c>
      <c r="AJ19" s="138" t="n">
        <f aca="false">Pipeline!$W$16*Pipeline!$D$16*MIN(1,MAX(0,(34-Pipeline!$E$16+1)/MAX(Pipeline!$F$16,1)))+Pipeline!$W$17*Pipeline!$D$17*MIN(1,MAX(0,(34-Pipeline!$E$17+1)/MAX(Pipeline!$F$17,1)))+Pipeline!$W$18*Pipeline!$D$18*MIN(1,MAX(0,(34-Pipeline!$E$18+1)/MAX(Pipeline!$F$18,1)))+Pipeline!$W$19*Pipeline!$D$19*MIN(1,MAX(0,(34-Pipeline!$E$19+1)/MAX(Pipeline!$F$19,1)))+Pipeline!$W$20*Pipeline!$D$20*MIN(1,MAX(0,(34-Pipeline!$E$20+1)/MAX(Pipeline!$F$20,1)))+Pipeline!$W$21*Pipeline!$D$21*MIN(1,MAX(0,(34-Pipeline!$E$21+1)/MAX(Pipeline!$F$21,1)))+Pipeline!$W$22*Pipeline!$D$22*MIN(1,MAX(0,(34-Pipeline!$E$22+1)/MAX(Pipeline!$F$22,1)))</f>
        <v>7042.51597446053</v>
      </c>
      <c r="AK19" s="138" t="n">
        <f aca="false">Pipeline!$W$16*Pipeline!$D$16*MIN(1,MAX(0,(35-Pipeline!$E$16+1)/MAX(Pipeline!$F$16,1)))+Pipeline!$W$17*Pipeline!$D$17*MIN(1,MAX(0,(35-Pipeline!$E$17+1)/MAX(Pipeline!$F$17,1)))+Pipeline!$W$18*Pipeline!$D$18*MIN(1,MAX(0,(35-Pipeline!$E$18+1)/MAX(Pipeline!$F$18,1)))+Pipeline!$W$19*Pipeline!$D$19*MIN(1,MAX(0,(35-Pipeline!$E$19+1)/MAX(Pipeline!$F$19,1)))+Pipeline!$W$20*Pipeline!$D$20*MIN(1,MAX(0,(35-Pipeline!$E$20+1)/MAX(Pipeline!$F$20,1)))+Pipeline!$W$21*Pipeline!$D$21*MIN(1,MAX(0,(35-Pipeline!$E$21+1)/MAX(Pipeline!$F$21,1)))+Pipeline!$W$22*Pipeline!$D$22*MIN(1,MAX(0,(35-Pipeline!$E$22+1)/MAX(Pipeline!$F$22,1)))</f>
        <v>7042.51597446053</v>
      </c>
      <c r="AL19" s="138" t="n">
        <f aca="false">Pipeline!$W$16*Pipeline!$D$16*MIN(1,MAX(0,(36-Pipeline!$E$16+1)/MAX(Pipeline!$F$16,1)))+Pipeline!$W$17*Pipeline!$D$17*MIN(1,MAX(0,(36-Pipeline!$E$17+1)/MAX(Pipeline!$F$17,1)))+Pipeline!$W$18*Pipeline!$D$18*MIN(1,MAX(0,(36-Pipeline!$E$18+1)/MAX(Pipeline!$F$18,1)))+Pipeline!$W$19*Pipeline!$D$19*MIN(1,MAX(0,(36-Pipeline!$E$19+1)/MAX(Pipeline!$F$19,1)))+Pipeline!$W$20*Pipeline!$D$20*MIN(1,MAX(0,(36-Pipeline!$E$20+1)/MAX(Pipeline!$F$20,1)))+Pipeline!$W$21*Pipeline!$D$21*MIN(1,MAX(0,(36-Pipeline!$E$21+1)/MAX(Pipeline!$F$21,1)))+Pipeline!$W$22*Pipeline!$D$22*MIN(1,MAX(0,(36-Pipeline!$E$22+1)/MAX(Pipeline!$F$22,1)))</f>
        <v>7042.51597446053</v>
      </c>
      <c r="AM19" s="138" t="n">
        <f aca="false">Pipeline!$W$16*Pipeline!$D$16*MIN(1,MAX(0,(37-Pipeline!$E$16+1)/MAX(Pipeline!$F$16,1)))+Pipeline!$W$17*Pipeline!$D$17*MIN(1,MAX(0,(37-Pipeline!$E$17+1)/MAX(Pipeline!$F$17,1)))+Pipeline!$W$18*Pipeline!$D$18*MIN(1,MAX(0,(37-Pipeline!$E$18+1)/MAX(Pipeline!$F$18,1)))+Pipeline!$W$19*Pipeline!$D$19*MIN(1,MAX(0,(37-Pipeline!$E$19+1)/MAX(Pipeline!$F$19,1)))+Pipeline!$W$20*Pipeline!$D$20*MIN(1,MAX(0,(37-Pipeline!$E$20+1)/MAX(Pipeline!$F$20,1)))+Pipeline!$W$21*Pipeline!$D$21*MIN(1,MAX(0,(37-Pipeline!$E$21+1)/MAX(Pipeline!$F$21,1)))+Pipeline!$W$22*Pipeline!$D$22*MIN(1,MAX(0,(37-Pipeline!$E$22+1)/MAX(Pipeline!$F$22,1)))</f>
        <v>7042.51597446053</v>
      </c>
      <c r="AN19" s="138" t="n">
        <f aca="false">Pipeline!$W$16*Pipeline!$D$16*MIN(1,MAX(0,(38-Pipeline!$E$16+1)/MAX(Pipeline!$F$16,1)))+Pipeline!$W$17*Pipeline!$D$17*MIN(1,MAX(0,(38-Pipeline!$E$17+1)/MAX(Pipeline!$F$17,1)))+Pipeline!$W$18*Pipeline!$D$18*MIN(1,MAX(0,(38-Pipeline!$E$18+1)/MAX(Pipeline!$F$18,1)))+Pipeline!$W$19*Pipeline!$D$19*MIN(1,MAX(0,(38-Pipeline!$E$19+1)/MAX(Pipeline!$F$19,1)))+Pipeline!$W$20*Pipeline!$D$20*MIN(1,MAX(0,(38-Pipeline!$E$20+1)/MAX(Pipeline!$F$20,1)))+Pipeline!$W$21*Pipeline!$D$21*MIN(1,MAX(0,(38-Pipeline!$E$21+1)/MAX(Pipeline!$F$21,1)))+Pipeline!$W$22*Pipeline!$D$22*MIN(1,MAX(0,(38-Pipeline!$E$22+1)/MAX(Pipeline!$F$22,1)))</f>
        <v>7042.51597446053</v>
      </c>
      <c r="AO19" s="138" t="n">
        <f aca="false">Pipeline!$W$16*Pipeline!$D$16*MIN(1,MAX(0,(39-Pipeline!$E$16+1)/MAX(Pipeline!$F$16,1)))+Pipeline!$W$17*Pipeline!$D$17*MIN(1,MAX(0,(39-Pipeline!$E$17+1)/MAX(Pipeline!$F$17,1)))+Pipeline!$W$18*Pipeline!$D$18*MIN(1,MAX(0,(39-Pipeline!$E$18+1)/MAX(Pipeline!$F$18,1)))+Pipeline!$W$19*Pipeline!$D$19*MIN(1,MAX(0,(39-Pipeline!$E$19+1)/MAX(Pipeline!$F$19,1)))+Pipeline!$W$20*Pipeline!$D$20*MIN(1,MAX(0,(39-Pipeline!$E$20+1)/MAX(Pipeline!$F$20,1)))+Pipeline!$W$21*Pipeline!$D$21*MIN(1,MAX(0,(39-Pipeline!$E$21+1)/MAX(Pipeline!$F$21,1)))+Pipeline!$W$22*Pipeline!$D$22*MIN(1,MAX(0,(39-Pipeline!$E$22+1)/MAX(Pipeline!$F$22,1)))</f>
        <v>7042.51597446053</v>
      </c>
      <c r="AP19" s="138" t="n">
        <f aca="false">Pipeline!$W$16*Pipeline!$D$16*MIN(1,MAX(0,(40-Pipeline!$E$16+1)/MAX(Pipeline!$F$16,1)))+Pipeline!$W$17*Pipeline!$D$17*MIN(1,MAX(0,(40-Pipeline!$E$17+1)/MAX(Pipeline!$F$17,1)))+Pipeline!$W$18*Pipeline!$D$18*MIN(1,MAX(0,(40-Pipeline!$E$18+1)/MAX(Pipeline!$F$18,1)))+Pipeline!$W$19*Pipeline!$D$19*MIN(1,MAX(0,(40-Pipeline!$E$19+1)/MAX(Pipeline!$F$19,1)))+Pipeline!$W$20*Pipeline!$D$20*MIN(1,MAX(0,(40-Pipeline!$E$20+1)/MAX(Pipeline!$F$20,1)))+Pipeline!$W$21*Pipeline!$D$21*MIN(1,MAX(0,(40-Pipeline!$E$21+1)/MAX(Pipeline!$F$21,1)))+Pipeline!$W$22*Pipeline!$D$22*MIN(1,MAX(0,(40-Pipeline!$E$22+1)/MAX(Pipeline!$F$22,1)))</f>
        <v>7042.51597446053</v>
      </c>
      <c r="AQ19" s="138" t="n">
        <f aca="false">Pipeline!$W$16*Pipeline!$D$16*MIN(1,MAX(0,(41-Pipeline!$E$16+1)/MAX(Pipeline!$F$16,1)))+Pipeline!$W$17*Pipeline!$D$17*MIN(1,MAX(0,(41-Pipeline!$E$17+1)/MAX(Pipeline!$F$17,1)))+Pipeline!$W$18*Pipeline!$D$18*MIN(1,MAX(0,(41-Pipeline!$E$18+1)/MAX(Pipeline!$F$18,1)))+Pipeline!$W$19*Pipeline!$D$19*MIN(1,MAX(0,(41-Pipeline!$E$19+1)/MAX(Pipeline!$F$19,1)))+Pipeline!$W$20*Pipeline!$D$20*MIN(1,MAX(0,(41-Pipeline!$E$20+1)/MAX(Pipeline!$F$20,1)))+Pipeline!$W$21*Pipeline!$D$21*MIN(1,MAX(0,(41-Pipeline!$E$21+1)/MAX(Pipeline!$F$21,1)))+Pipeline!$W$22*Pipeline!$D$22*MIN(1,MAX(0,(41-Pipeline!$E$22+1)/MAX(Pipeline!$F$22,1)))</f>
        <v>7042.51597446053</v>
      </c>
      <c r="AR19" s="138" t="n">
        <f aca="false">Pipeline!$W$16*Pipeline!$D$16*MIN(1,MAX(0,(42-Pipeline!$E$16+1)/MAX(Pipeline!$F$16,1)))+Pipeline!$W$17*Pipeline!$D$17*MIN(1,MAX(0,(42-Pipeline!$E$17+1)/MAX(Pipeline!$F$17,1)))+Pipeline!$W$18*Pipeline!$D$18*MIN(1,MAX(0,(42-Pipeline!$E$18+1)/MAX(Pipeline!$F$18,1)))+Pipeline!$W$19*Pipeline!$D$19*MIN(1,MAX(0,(42-Pipeline!$E$19+1)/MAX(Pipeline!$F$19,1)))+Pipeline!$W$20*Pipeline!$D$20*MIN(1,MAX(0,(42-Pipeline!$E$20+1)/MAX(Pipeline!$F$20,1)))+Pipeline!$W$21*Pipeline!$D$21*MIN(1,MAX(0,(42-Pipeline!$E$21+1)/MAX(Pipeline!$F$21,1)))+Pipeline!$W$22*Pipeline!$D$22*MIN(1,MAX(0,(42-Pipeline!$E$22+1)/MAX(Pipeline!$F$22,1)))</f>
        <v>7042.51597446053</v>
      </c>
      <c r="AS19" s="138" t="n">
        <f aca="false">Pipeline!$W$16*Pipeline!$D$16*MIN(1,MAX(0,(43-Pipeline!$E$16+1)/MAX(Pipeline!$F$16,1)))+Pipeline!$W$17*Pipeline!$D$17*MIN(1,MAX(0,(43-Pipeline!$E$17+1)/MAX(Pipeline!$F$17,1)))+Pipeline!$W$18*Pipeline!$D$18*MIN(1,MAX(0,(43-Pipeline!$E$18+1)/MAX(Pipeline!$F$18,1)))+Pipeline!$W$19*Pipeline!$D$19*MIN(1,MAX(0,(43-Pipeline!$E$19+1)/MAX(Pipeline!$F$19,1)))+Pipeline!$W$20*Pipeline!$D$20*MIN(1,MAX(0,(43-Pipeline!$E$20+1)/MAX(Pipeline!$F$20,1)))+Pipeline!$W$21*Pipeline!$D$21*MIN(1,MAX(0,(43-Pipeline!$E$21+1)/MAX(Pipeline!$F$21,1)))+Pipeline!$W$22*Pipeline!$D$22*MIN(1,MAX(0,(43-Pipeline!$E$22+1)/MAX(Pipeline!$F$22,1)))</f>
        <v>7042.51597446053</v>
      </c>
      <c r="AT19" s="138" t="n">
        <f aca="false">Pipeline!$W$16*Pipeline!$D$16*MIN(1,MAX(0,(44-Pipeline!$E$16+1)/MAX(Pipeline!$F$16,1)))+Pipeline!$W$17*Pipeline!$D$17*MIN(1,MAX(0,(44-Pipeline!$E$17+1)/MAX(Pipeline!$F$17,1)))+Pipeline!$W$18*Pipeline!$D$18*MIN(1,MAX(0,(44-Pipeline!$E$18+1)/MAX(Pipeline!$F$18,1)))+Pipeline!$W$19*Pipeline!$D$19*MIN(1,MAX(0,(44-Pipeline!$E$19+1)/MAX(Pipeline!$F$19,1)))+Pipeline!$W$20*Pipeline!$D$20*MIN(1,MAX(0,(44-Pipeline!$E$20+1)/MAX(Pipeline!$F$20,1)))+Pipeline!$W$21*Pipeline!$D$21*MIN(1,MAX(0,(44-Pipeline!$E$21+1)/MAX(Pipeline!$F$21,1)))+Pipeline!$W$22*Pipeline!$D$22*MIN(1,MAX(0,(44-Pipeline!$E$22+1)/MAX(Pipeline!$F$22,1)))</f>
        <v>7042.51597446053</v>
      </c>
      <c r="AU19" s="138" t="n">
        <f aca="false">Pipeline!$W$16*Pipeline!$D$16*MIN(1,MAX(0,(45-Pipeline!$E$16+1)/MAX(Pipeline!$F$16,1)))+Pipeline!$W$17*Pipeline!$D$17*MIN(1,MAX(0,(45-Pipeline!$E$17+1)/MAX(Pipeline!$F$17,1)))+Pipeline!$W$18*Pipeline!$D$18*MIN(1,MAX(0,(45-Pipeline!$E$18+1)/MAX(Pipeline!$F$18,1)))+Pipeline!$W$19*Pipeline!$D$19*MIN(1,MAX(0,(45-Pipeline!$E$19+1)/MAX(Pipeline!$F$19,1)))+Pipeline!$W$20*Pipeline!$D$20*MIN(1,MAX(0,(45-Pipeline!$E$20+1)/MAX(Pipeline!$F$20,1)))+Pipeline!$W$21*Pipeline!$D$21*MIN(1,MAX(0,(45-Pipeline!$E$21+1)/MAX(Pipeline!$F$21,1)))+Pipeline!$W$22*Pipeline!$D$22*MIN(1,MAX(0,(45-Pipeline!$E$22+1)/MAX(Pipeline!$F$22,1)))</f>
        <v>7042.51597446053</v>
      </c>
      <c r="AV19" s="138" t="n">
        <f aca="false">Pipeline!$W$16*Pipeline!$D$16*MIN(1,MAX(0,(46-Pipeline!$E$16+1)/MAX(Pipeline!$F$16,1)))+Pipeline!$W$17*Pipeline!$D$17*MIN(1,MAX(0,(46-Pipeline!$E$17+1)/MAX(Pipeline!$F$17,1)))+Pipeline!$W$18*Pipeline!$D$18*MIN(1,MAX(0,(46-Pipeline!$E$18+1)/MAX(Pipeline!$F$18,1)))+Pipeline!$W$19*Pipeline!$D$19*MIN(1,MAX(0,(46-Pipeline!$E$19+1)/MAX(Pipeline!$F$19,1)))+Pipeline!$W$20*Pipeline!$D$20*MIN(1,MAX(0,(46-Pipeline!$E$20+1)/MAX(Pipeline!$F$20,1)))+Pipeline!$W$21*Pipeline!$D$21*MIN(1,MAX(0,(46-Pipeline!$E$21+1)/MAX(Pipeline!$F$21,1)))+Pipeline!$W$22*Pipeline!$D$22*MIN(1,MAX(0,(46-Pipeline!$E$22+1)/MAX(Pipeline!$F$22,1)))</f>
        <v>7042.51597446053</v>
      </c>
      <c r="AW19" s="138" t="n">
        <f aca="false">Pipeline!$W$16*Pipeline!$D$16*MIN(1,MAX(0,(47-Pipeline!$E$16+1)/MAX(Pipeline!$F$16,1)))+Pipeline!$W$17*Pipeline!$D$17*MIN(1,MAX(0,(47-Pipeline!$E$17+1)/MAX(Pipeline!$F$17,1)))+Pipeline!$W$18*Pipeline!$D$18*MIN(1,MAX(0,(47-Pipeline!$E$18+1)/MAX(Pipeline!$F$18,1)))+Pipeline!$W$19*Pipeline!$D$19*MIN(1,MAX(0,(47-Pipeline!$E$19+1)/MAX(Pipeline!$F$19,1)))+Pipeline!$W$20*Pipeline!$D$20*MIN(1,MAX(0,(47-Pipeline!$E$20+1)/MAX(Pipeline!$F$20,1)))+Pipeline!$W$21*Pipeline!$D$21*MIN(1,MAX(0,(47-Pipeline!$E$21+1)/MAX(Pipeline!$F$21,1)))+Pipeline!$W$22*Pipeline!$D$22*MIN(1,MAX(0,(47-Pipeline!$E$22+1)/MAX(Pipeline!$F$22,1)))</f>
        <v>7042.51597446053</v>
      </c>
      <c r="AX19" s="138" t="n">
        <f aca="false">Pipeline!$W$16*Pipeline!$D$16*MIN(1,MAX(0,(48-Pipeline!$E$16+1)/MAX(Pipeline!$F$16,1)))+Pipeline!$W$17*Pipeline!$D$17*MIN(1,MAX(0,(48-Pipeline!$E$17+1)/MAX(Pipeline!$F$17,1)))+Pipeline!$W$18*Pipeline!$D$18*MIN(1,MAX(0,(48-Pipeline!$E$18+1)/MAX(Pipeline!$F$18,1)))+Pipeline!$W$19*Pipeline!$D$19*MIN(1,MAX(0,(48-Pipeline!$E$19+1)/MAX(Pipeline!$F$19,1)))+Pipeline!$W$20*Pipeline!$D$20*MIN(1,MAX(0,(48-Pipeline!$E$20+1)/MAX(Pipeline!$F$20,1)))+Pipeline!$W$21*Pipeline!$D$21*MIN(1,MAX(0,(48-Pipeline!$E$21+1)/MAX(Pipeline!$F$21,1)))+Pipeline!$W$22*Pipeline!$D$22*MIN(1,MAX(0,(48-Pipeline!$E$22+1)/MAX(Pipeline!$F$22,1)))</f>
        <v>7042.51597446053</v>
      </c>
      <c r="AY19" s="138" t="n">
        <f aca="false">Pipeline!$W$16*Pipeline!$D$16*MIN(1,MAX(0,(49-Pipeline!$E$16+1)/MAX(Pipeline!$F$16,1)))+Pipeline!$W$17*Pipeline!$D$17*MIN(1,MAX(0,(49-Pipeline!$E$17+1)/MAX(Pipeline!$F$17,1)))+Pipeline!$W$18*Pipeline!$D$18*MIN(1,MAX(0,(49-Pipeline!$E$18+1)/MAX(Pipeline!$F$18,1)))+Pipeline!$W$19*Pipeline!$D$19*MIN(1,MAX(0,(49-Pipeline!$E$19+1)/MAX(Pipeline!$F$19,1)))+Pipeline!$W$20*Pipeline!$D$20*MIN(1,MAX(0,(49-Pipeline!$E$20+1)/MAX(Pipeline!$F$20,1)))+Pipeline!$W$21*Pipeline!$D$21*MIN(1,MAX(0,(49-Pipeline!$E$21+1)/MAX(Pipeline!$F$21,1)))+Pipeline!$W$22*Pipeline!$D$22*MIN(1,MAX(0,(49-Pipeline!$E$22+1)/MAX(Pipeline!$F$22,1)))</f>
        <v>7042.51597446053</v>
      </c>
      <c r="AZ19" s="138" t="n">
        <f aca="false">Pipeline!$W$16*Pipeline!$D$16*MIN(1,MAX(0,(50-Pipeline!$E$16+1)/MAX(Pipeline!$F$16,1)))+Pipeline!$W$17*Pipeline!$D$17*MIN(1,MAX(0,(50-Pipeline!$E$17+1)/MAX(Pipeline!$F$17,1)))+Pipeline!$W$18*Pipeline!$D$18*MIN(1,MAX(0,(50-Pipeline!$E$18+1)/MAX(Pipeline!$F$18,1)))+Pipeline!$W$19*Pipeline!$D$19*MIN(1,MAX(0,(50-Pipeline!$E$19+1)/MAX(Pipeline!$F$19,1)))+Pipeline!$W$20*Pipeline!$D$20*MIN(1,MAX(0,(50-Pipeline!$E$20+1)/MAX(Pipeline!$F$20,1)))+Pipeline!$W$21*Pipeline!$D$21*MIN(1,MAX(0,(50-Pipeline!$E$21+1)/MAX(Pipeline!$F$21,1)))+Pipeline!$W$22*Pipeline!$D$22*MIN(1,MAX(0,(50-Pipeline!$E$22+1)/MAX(Pipeline!$F$22,1)))</f>
        <v>7042.51597446053</v>
      </c>
      <c r="BA19" s="138" t="n">
        <f aca="false">Pipeline!$W$16*Pipeline!$D$16*MIN(1,MAX(0,(51-Pipeline!$E$16+1)/MAX(Pipeline!$F$16,1)))+Pipeline!$W$17*Pipeline!$D$17*MIN(1,MAX(0,(51-Pipeline!$E$17+1)/MAX(Pipeline!$F$17,1)))+Pipeline!$W$18*Pipeline!$D$18*MIN(1,MAX(0,(51-Pipeline!$E$18+1)/MAX(Pipeline!$F$18,1)))+Pipeline!$W$19*Pipeline!$D$19*MIN(1,MAX(0,(51-Pipeline!$E$19+1)/MAX(Pipeline!$F$19,1)))+Pipeline!$W$20*Pipeline!$D$20*MIN(1,MAX(0,(51-Pipeline!$E$20+1)/MAX(Pipeline!$F$20,1)))+Pipeline!$W$21*Pipeline!$D$21*MIN(1,MAX(0,(51-Pipeline!$E$21+1)/MAX(Pipeline!$F$21,1)))+Pipeline!$W$22*Pipeline!$D$22*MIN(1,MAX(0,(51-Pipeline!$E$22+1)/MAX(Pipeline!$F$22,1)))</f>
        <v>7042.51597446053</v>
      </c>
      <c r="BB19" s="138" t="n">
        <f aca="false">Pipeline!$W$16*Pipeline!$D$16*MIN(1,MAX(0,(52-Pipeline!$E$16+1)/MAX(Pipeline!$F$16,1)))+Pipeline!$W$17*Pipeline!$D$17*MIN(1,MAX(0,(52-Pipeline!$E$17+1)/MAX(Pipeline!$F$17,1)))+Pipeline!$W$18*Pipeline!$D$18*MIN(1,MAX(0,(52-Pipeline!$E$18+1)/MAX(Pipeline!$F$18,1)))+Pipeline!$W$19*Pipeline!$D$19*MIN(1,MAX(0,(52-Pipeline!$E$19+1)/MAX(Pipeline!$F$19,1)))+Pipeline!$W$20*Pipeline!$D$20*MIN(1,MAX(0,(52-Pipeline!$E$20+1)/MAX(Pipeline!$F$20,1)))+Pipeline!$W$21*Pipeline!$D$21*MIN(1,MAX(0,(52-Pipeline!$E$21+1)/MAX(Pipeline!$F$21,1)))+Pipeline!$W$22*Pipeline!$D$22*MIN(1,MAX(0,(52-Pipeline!$E$22+1)/MAX(Pipeline!$F$22,1)))</f>
        <v>7042.51597446053</v>
      </c>
      <c r="BC19" s="138" t="n">
        <f aca="false">Pipeline!$W$16*Pipeline!$D$16*MIN(1,MAX(0,(53-Pipeline!$E$16+1)/MAX(Pipeline!$F$16,1)))+Pipeline!$W$17*Pipeline!$D$17*MIN(1,MAX(0,(53-Pipeline!$E$17+1)/MAX(Pipeline!$F$17,1)))+Pipeline!$W$18*Pipeline!$D$18*MIN(1,MAX(0,(53-Pipeline!$E$18+1)/MAX(Pipeline!$F$18,1)))+Pipeline!$W$19*Pipeline!$D$19*MIN(1,MAX(0,(53-Pipeline!$E$19+1)/MAX(Pipeline!$F$19,1)))+Pipeline!$W$20*Pipeline!$D$20*MIN(1,MAX(0,(53-Pipeline!$E$20+1)/MAX(Pipeline!$F$20,1)))+Pipeline!$W$21*Pipeline!$D$21*MIN(1,MAX(0,(53-Pipeline!$E$21+1)/MAX(Pipeline!$F$21,1)))+Pipeline!$W$22*Pipeline!$D$22*MIN(1,MAX(0,(53-Pipeline!$E$22+1)/MAX(Pipeline!$F$22,1)))</f>
        <v>7042.51597446053</v>
      </c>
      <c r="BD19" s="138" t="n">
        <f aca="false">Pipeline!$W$16*Pipeline!$D$16*MIN(1,MAX(0,(54-Pipeline!$E$16+1)/MAX(Pipeline!$F$16,1)))+Pipeline!$W$17*Pipeline!$D$17*MIN(1,MAX(0,(54-Pipeline!$E$17+1)/MAX(Pipeline!$F$17,1)))+Pipeline!$W$18*Pipeline!$D$18*MIN(1,MAX(0,(54-Pipeline!$E$18+1)/MAX(Pipeline!$F$18,1)))+Pipeline!$W$19*Pipeline!$D$19*MIN(1,MAX(0,(54-Pipeline!$E$19+1)/MAX(Pipeline!$F$19,1)))+Pipeline!$W$20*Pipeline!$D$20*MIN(1,MAX(0,(54-Pipeline!$E$20+1)/MAX(Pipeline!$F$20,1)))+Pipeline!$W$21*Pipeline!$D$21*MIN(1,MAX(0,(54-Pipeline!$E$21+1)/MAX(Pipeline!$F$21,1)))+Pipeline!$W$22*Pipeline!$D$22*MIN(1,MAX(0,(54-Pipeline!$E$22+1)/MAX(Pipeline!$F$22,1)))</f>
        <v>7042.51597446053</v>
      </c>
      <c r="BE19" s="138" t="n">
        <f aca="false">Pipeline!$W$16*Pipeline!$D$16*MIN(1,MAX(0,(55-Pipeline!$E$16+1)/MAX(Pipeline!$F$16,1)))+Pipeline!$W$17*Pipeline!$D$17*MIN(1,MAX(0,(55-Pipeline!$E$17+1)/MAX(Pipeline!$F$17,1)))+Pipeline!$W$18*Pipeline!$D$18*MIN(1,MAX(0,(55-Pipeline!$E$18+1)/MAX(Pipeline!$F$18,1)))+Pipeline!$W$19*Pipeline!$D$19*MIN(1,MAX(0,(55-Pipeline!$E$19+1)/MAX(Pipeline!$F$19,1)))+Pipeline!$W$20*Pipeline!$D$20*MIN(1,MAX(0,(55-Pipeline!$E$20+1)/MAX(Pipeline!$F$20,1)))+Pipeline!$W$21*Pipeline!$D$21*MIN(1,MAX(0,(55-Pipeline!$E$21+1)/MAX(Pipeline!$F$21,1)))+Pipeline!$W$22*Pipeline!$D$22*MIN(1,MAX(0,(55-Pipeline!$E$22+1)/MAX(Pipeline!$F$22,1)))</f>
        <v>7042.51597446053</v>
      </c>
      <c r="BF19" s="138" t="n">
        <f aca="false">Pipeline!$W$16*Pipeline!$D$16*MIN(1,MAX(0,(56-Pipeline!$E$16+1)/MAX(Pipeline!$F$16,1)))+Pipeline!$W$17*Pipeline!$D$17*MIN(1,MAX(0,(56-Pipeline!$E$17+1)/MAX(Pipeline!$F$17,1)))+Pipeline!$W$18*Pipeline!$D$18*MIN(1,MAX(0,(56-Pipeline!$E$18+1)/MAX(Pipeline!$F$18,1)))+Pipeline!$W$19*Pipeline!$D$19*MIN(1,MAX(0,(56-Pipeline!$E$19+1)/MAX(Pipeline!$F$19,1)))+Pipeline!$W$20*Pipeline!$D$20*MIN(1,MAX(0,(56-Pipeline!$E$20+1)/MAX(Pipeline!$F$20,1)))+Pipeline!$W$21*Pipeline!$D$21*MIN(1,MAX(0,(56-Pipeline!$E$21+1)/MAX(Pipeline!$F$21,1)))+Pipeline!$W$22*Pipeline!$D$22*MIN(1,MAX(0,(56-Pipeline!$E$22+1)/MAX(Pipeline!$F$22,1)))</f>
        <v>7042.51597446053</v>
      </c>
      <c r="BG19" s="138" t="n">
        <f aca="false">Pipeline!$W$16*Pipeline!$D$16*MIN(1,MAX(0,(57-Pipeline!$E$16+1)/MAX(Pipeline!$F$16,1)))+Pipeline!$W$17*Pipeline!$D$17*MIN(1,MAX(0,(57-Pipeline!$E$17+1)/MAX(Pipeline!$F$17,1)))+Pipeline!$W$18*Pipeline!$D$18*MIN(1,MAX(0,(57-Pipeline!$E$18+1)/MAX(Pipeline!$F$18,1)))+Pipeline!$W$19*Pipeline!$D$19*MIN(1,MAX(0,(57-Pipeline!$E$19+1)/MAX(Pipeline!$F$19,1)))+Pipeline!$W$20*Pipeline!$D$20*MIN(1,MAX(0,(57-Pipeline!$E$20+1)/MAX(Pipeline!$F$20,1)))+Pipeline!$W$21*Pipeline!$D$21*MIN(1,MAX(0,(57-Pipeline!$E$21+1)/MAX(Pipeline!$F$21,1)))+Pipeline!$W$22*Pipeline!$D$22*MIN(1,MAX(0,(57-Pipeline!$E$22+1)/MAX(Pipeline!$F$22,1)))</f>
        <v>7042.51597446053</v>
      </c>
      <c r="BH19" s="138" t="n">
        <f aca="false">Pipeline!$W$16*Pipeline!$D$16*MIN(1,MAX(0,(58-Pipeline!$E$16+1)/MAX(Pipeline!$F$16,1)))+Pipeline!$W$17*Pipeline!$D$17*MIN(1,MAX(0,(58-Pipeline!$E$17+1)/MAX(Pipeline!$F$17,1)))+Pipeline!$W$18*Pipeline!$D$18*MIN(1,MAX(0,(58-Pipeline!$E$18+1)/MAX(Pipeline!$F$18,1)))+Pipeline!$W$19*Pipeline!$D$19*MIN(1,MAX(0,(58-Pipeline!$E$19+1)/MAX(Pipeline!$F$19,1)))+Pipeline!$W$20*Pipeline!$D$20*MIN(1,MAX(0,(58-Pipeline!$E$20+1)/MAX(Pipeline!$F$20,1)))+Pipeline!$W$21*Pipeline!$D$21*MIN(1,MAX(0,(58-Pipeline!$E$21+1)/MAX(Pipeline!$F$21,1)))+Pipeline!$W$22*Pipeline!$D$22*MIN(1,MAX(0,(58-Pipeline!$E$22+1)/MAX(Pipeline!$F$22,1)))</f>
        <v>7042.51597446053</v>
      </c>
      <c r="BI19" s="138" t="n">
        <f aca="false">Pipeline!$W$16*Pipeline!$D$16*MIN(1,MAX(0,(59-Pipeline!$E$16+1)/MAX(Pipeline!$F$16,1)))+Pipeline!$W$17*Pipeline!$D$17*MIN(1,MAX(0,(59-Pipeline!$E$17+1)/MAX(Pipeline!$F$17,1)))+Pipeline!$W$18*Pipeline!$D$18*MIN(1,MAX(0,(59-Pipeline!$E$18+1)/MAX(Pipeline!$F$18,1)))+Pipeline!$W$19*Pipeline!$D$19*MIN(1,MAX(0,(59-Pipeline!$E$19+1)/MAX(Pipeline!$F$19,1)))+Pipeline!$W$20*Pipeline!$D$20*MIN(1,MAX(0,(59-Pipeline!$E$20+1)/MAX(Pipeline!$F$20,1)))+Pipeline!$W$21*Pipeline!$D$21*MIN(1,MAX(0,(59-Pipeline!$E$21+1)/MAX(Pipeline!$F$21,1)))+Pipeline!$W$22*Pipeline!$D$22*MIN(1,MAX(0,(59-Pipeline!$E$22+1)/MAX(Pipeline!$F$22,1)))</f>
        <v>7042.51597446053</v>
      </c>
      <c r="BJ19" s="138" t="n">
        <f aca="false">Pipeline!$W$16*Pipeline!$D$16*MIN(1,MAX(0,(60-Pipeline!$E$16+1)/MAX(Pipeline!$F$16,1)))+Pipeline!$W$17*Pipeline!$D$17*MIN(1,MAX(0,(60-Pipeline!$E$17+1)/MAX(Pipeline!$F$17,1)))+Pipeline!$W$18*Pipeline!$D$18*MIN(1,MAX(0,(60-Pipeline!$E$18+1)/MAX(Pipeline!$F$18,1)))+Pipeline!$W$19*Pipeline!$D$19*MIN(1,MAX(0,(60-Pipeline!$E$19+1)/MAX(Pipeline!$F$19,1)))+Pipeline!$W$20*Pipeline!$D$20*MIN(1,MAX(0,(60-Pipeline!$E$20+1)/MAX(Pipeline!$F$20,1)))+Pipeline!$W$21*Pipeline!$D$21*MIN(1,MAX(0,(60-Pipeline!$E$21+1)/MAX(Pipeline!$F$21,1)))+Pipeline!$W$22*Pipeline!$D$22*MIN(1,MAX(0,(60-Pipeline!$E$22+1)/MAX(Pipeline!$F$22,1)))</f>
        <v>7042.51597446053</v>
      </c>
      <c r="BK19" s="138" t="n">
        <f aca="false">Pipeline!$W$16*Pipeline!$D$16*MIN(1,MAX(0,(61-Pipeline!$E$16+1)/MAX(Pipeline!$F$16,1)))+Pipeline!$W$17*Pipeline!$D$17*MIN(1,MAX(0,(61-Pipeline!$E$17+1)/MAX(Pipeline!$F$17,1)))+Pipeline!$W$18*Pipeline!$D$18*MIN(1,MAX(0,(61-Pipeline!$E$18+1)/MAX(Pipeline!$F$18,1)))+Pipeline!$W$19*Pipeline!$D$19*MIN(1,MAX(0,(61-Pipeline!$E$19+1)/MAX(Pipeline!$F$19,1)))+Pipeline!$W$20*Pipeline!$D$20*MIN(1,MAX(0,(61-Pipeline!$E$20+1)/MAX(Pipeline!$F$20,1)))+Pipeline!$W$21*Pipeline!$D$21*MIN(1,MAX(0,(61-Pipeline!$E$21+1)/MAX(Pipeline!$F$21,1)))+Pipeline!$W$22*Pipeline!$D$22*MIN(1,MAX(0,(61-Pipeline!$E$22+1)/MAX(Pipeline!$F$22,1)))</f>
        <v>7042.51597446053</v>
      </c>
      <c r="BL19" s="138" t="n">
        <f aca="false">Pipeline!$W$16*Pipeline!$D$16*MIN(1,MAX(0,(62-Pipeline!$E$16+1)/MAX(Pipeline!$F$16,1)))+Pipeline!$W$17*Pipeline!$D$17*MIN(1,MAX(0,(62-Pipeline!$E$17+1)/MAX(Pipeline!$F$17,1)))+Pipeline!$W$18*Pipeline!$D$18*MIN(1,MAX(0,(62-Pipeline!$E$18+1)/MAX(Pipeline!$F$18,1)))+Pipeline!$W$19*Pipeline!$D$19*MIN(1,MAX(0,(62-Pipeline!$E$19+1)/MAX(Pipeline!$F$19,1)))+Pipeline!$W$20*Pipeline!$D$20*MIN(1,MAX(0,(62-Pipeline!$E$20+1)/MAX(Pipeline!$F$20,1)))+Pipeline!$W$21*Pipeline!$D$21*MIN(1,MAX(0,(62-Pipeline!$E$21+1)/MAX(Pipeline!$F$21,1)))+Pipeline!$W$22*Pipeline!$D$22*MIN(1,MAX(0,(62-Pipeline!$E$22+1)/MAX(Pipeline!$F$22,1)))</f>
        <v>7042.51597446053</v>
      </c>
      <c r="BM19" s="138" t="n">
        <f aca="false">Pipeline!$W$16*Pipeline!$D$16*MIN(1,MAX(0,(63-Pipeline!$E$16+1)/MAX(Pipeline!$F$16,1)))+Pipeline!$W$17*Pipeline!$D$17*MIN(1,MAX(0,(63-Pipeline!$E$17+1)/MAX(Pipeline!$F$17,1)))+Pipeline!$W$18*Pipeline!$D$18*MIN(1,MAX(0,(63-Pipeline!$E$18+1)/MAX(Pipeline!$F$18,1)))+Pipeline!$W$19*Pipeline!$D$19*MIN(1,MAX(0,(63-Pipeline!$E$19+1)/MAX(Pipeline!$F$19,1)))+Pipeline!$W$20*Pipeline!$D$20*MIN(1,MAX(0,(63-Pipeline!$E$20+1)/MAX(Pipeline!$F$20,1)))+Pipeline!$W$21*Pipeline!$D$21*MIN(1,MAX(0,(63-Pipeline!$E$21+1)/MAX(Pipeline!$F$21,1)))+Pipeline!$W$22*Pipeline!$D$22*MIN(1,MAX(0,(63-Pipeline!$E$22+1)/MAX(Pipeline!$F$22,1)))</f>
        <v>7042.51597446053</v>
      </c>
      <c r="BN19" s="138" t="n">
        <f aca="false">Pipeline!$W$16*Pipeline!$D$16*MIN(1,MAX(0,(64-Pipeline!$E$16+1)/MAX(Pipeline!$F$16,1)))+Pipeline!$W$17*Pipeline!$D$17*MIN(1,MAX(0,(64-Pipeline!$E$17+1)/MAX(Pipeline!$F$17,1)))+Pipeline!$W$18*Pipeline!$D$18*MIN(1,MAX(0,(64-Pipeline!$E$18+1)/MAX(Pipeline!$F$18,1)))+Pipeline!$W$19*Pipeline!$D$19*MIN(1,MAX(0,(64-Pipeline!$E$19+1)/MAX(Pipeline!$F$19,1)))+Pipeline!$W$20*Pipeline!$D$20*MIN(1,MAX(0,(64-Pipeline!$E$20+1)/MAX(Pipeline!$F$20,1)))+Pipeline!$W$21*Pipeline!$D$21*MIN(1,MAX(0,(64-Pipeline!$E$21+1)/MAX(Pipeline!$F$21,1)))+Pipeline!$W$22*Pipeline!$D$22*MIN(1,MAX(0,(64-Pipeline!$E$22+1)/MAX(Pipeline!$F$22,1)))</f>
        <v>7042.51597446053</v>
      </c>
      <c r="BO19" s="138" t="n">
        <f aca="false">Pipeline!$W$16*Pipeline!$D$16*MIN(1,MAX(0,(65-Pipeline!$E$16+1)/MAX(Pipeline!$F$16,1)))+Pipeline!$W$17*Pipeline!$D$17*MIN(1,MAX(0,(65-Pipeline!$E$17+1)/MAX(Pipeline!$F$17,1)))+Pipeline!$W$18*Pipeline!$D$18*MIN(1,MAX(0,(65-Pipeline!$E$18+1)/MAX(Pipeline!$F$18,1)))+Pipeline!$W$19*Pipeline!$D$19*MIN(1,MAX(0,(65-Pipeline!$E$19+1)/MAX(Pipeline!$F$19,1)))+Pipeline!$W$20*Pipeline!$D$20*MIN(1,MAX(0,(65-Pipeline!$E$20+1)/MAX(Pipeline!$F$20,1)))+Pipeline!$W$21*Pipeline!$D$21*MIN(1,MAX(0,(65-Pipeline!$E$21+1)/MAX(Pipeline!$F$21,1)))+Pipeline!$W$22*Pipeline!$D$22*MIN(1,MAX(0,(65-Pipeline!$E$22+1)/MAX(Pipeline!$F$22,1)))</f>
        <v>7042.51597446053</v>
      </c>
      <c r="BP19" s="138" t="n">
        <f aca="false">Pipeline!$W$16*Pipeline!$D$16*MIN(1,MAX(0,(66-Pipeline!$E$16+1)/MAX(Pipeline!$F$16,1)))+Pipeline!$W$17*Pipeline!$D$17*MIN(1,MAX(0,(66-Pipeline!$E$17+1)/MAX(Pipeline!$F$17,1)))+Pipeline!$W$18*Pipeline!$D$18*MIN(1,MAX(0,(66-Pipeline!$E$18+1)/MAX(Pipeline!$F$18,1)))+Pipeline!$W$19*Pipeline!$D$19*MIN(1,MAX(0,(66-Pipeline!$E$19+1)/MAX(Pipeline!$F$19,1)))+Pipeline!$W$20*Pipeline!$D$20*MIN(1,MAX(0,(66-Pipeline!$E$20+1)/MAX(Pipeline!$F$20,1)))+Pipeline!$W$21*Pipeline!$D$21*MIN(1,MAX(0,(66-Pipeline!$E$21+1)/MAX(Pipeline!$F$21,1)))+Pipeline!$W$22*Pipeline!$D$22*MIN(1,MAX(0,(66-Pipeline!$E$22+1)/MAX(Pipeline!$F$22,1)))</f>
        <v>7042.51597446053</v>
      </c>
      <c r="BQ19" s="138" t="n">
        <f aca="false">Pipeline!$W$16*Pipeline!$D$16*MIN(1,MAX(0,(67-Pipeline!$E$16+1)/MAX(Pipeline!$F$16,1)))+Pipeline!$W$17*Pipeline!$D$17*MIN(1,MAX(0,(67-Pipeline!$E$17+1)/MAX(Pipeline!$F$17,1)))+Pipeline!$W$18*Pipeline!$D$18*MIN(1,MAX(0,(67-Pipeline!$E$18+1)/MAX(Pipeline!$F$18,1)))+Pipeline!$W$19*Pipeline!$D$19*MIN(1,MAX(0,(67-Pipeline!$E$19+1)/MAX(Pipeline!$F$19,1)))+Pipeline!$W$20*Pipeline!$D$20*MIN(1,MAX(0,(67-Pipeline!$E$20+1)/MAX(Pipeline!$F$20,1)))+Pipeline!$W$21*Pipeline!$D$21*MIN(1,MAX(0,(67-Pipeline!$E$21+1)/MAX(Pipeline!$F$21,1)))+Pipeline!$W$22*Pipeline!$D$22*MIN(1,MAX(0,(67-Pipeline!$E$22+1)/MAX(Pipeline!$F$22,1)))</f>
        <v>7042.51597446053</v>
      </c>
      <c r="BR19" s="138" t="n">
        <f aca="false">Pipeline!$W$16*Pipeline!$D$16*MIN(1,MAX(0,(68-Pipeline!$E$16+1)/MAX(Pipeline!$F$16,1)))+Pipeline!$W$17*Pipeline!$D$17*MIN(1,MAX(0,(68-Pipeline!$E$17+1)/MAX(Pipeline!$F$17,1)))+Pipeline!$W$18*Pipeline!$D$18*MIN(1,MAX(0,(68-Pipeline!$E$18+1)/MAX(Pipeline!$F$18,1)))+Pipeline!$W$19*Pipeline!$D$19*MIN(1,MAX(0,(68-Pipeline!$E$19+1)/MAX(Pipeline!$F$19,1)))+Pipeline!$W$20*Pipeline!$D$20*MIN(1,MAX(0,(68-Pipeline!$E$20+1)/MAX(Pipeline!$F$20,1)))+Pipeline!$W$21*Pipeline!$D$21*MIN(1,MAX(0,(68-Pipeline!$E$21+1)/MAX(Pipeline!$F$21,1)))+Pipeline!$W$22*Pipeline!$D$22*MIN(1,MAX(0,(68-Pipeline!$E$22+1)/MAX(Pipeline!$F$22,1)))</f>
        <v>7042.51597446053</v>
      </c>
      <c r="BS19" s="138" t="n">
        <f aca="false">Pipeline!$W$16*Pipeline!$D$16*MIN(1,MAX(0,(69-Pipeline!$E$16+1)/MAX(Pipeline!$F$16,1)))+Pipeline!$W$17*Pipeline!$D$17*MIN(1,MAX(0,(69-Pipeline!$E$17+1)/MAX(Pipeline!$F$17,1)))+Pipeline!$W$18*Pipeline!$D$18*MIN(1,MAX(0,(69-Pipeline!$E$18+1)/MAX(Pipeline!$F$18,1)))+Pipeline!$W$19*Pipeline!$D$19*MIN(1,MAX(0,(69-Pipeline!$E$19+1)/MAX(Pipeline!$F$19,1)))+Pipeline!$W$20*Pipeline!$D$20*MIN(1,MAX(0,(69-Pipeline!$E$20+1)/MAX(Pipeline!$F$20,1)))+Pipeline!$W$21*Pipeline!$D$21*MIN(1,MAX(0,(69-Pipeline!$E$21+1)/MAX(Pipeline!$F$21,1)))+Pipeline!$W$22*Pipeline!$D$22*MIN(1,MAX(0,(69-Pipeline!$E$22+1)/MAX(Pipeline!$F$22,1)))</f>
        <v>7042.51597446053</v>
      </c>
      <c r="BT19" s="138" t="n">
        <f aca="false">Pipeline!$W$16*Pipeline!$D$16*MIN(1,MAX(0,(70-Pipeline!$E$16+1)/MAX(Pipeline!$F$16,1)))+Pipeline!$W$17*Pipeline!$D$17*MIN(1,MAX(0,(70-Pipeline!$E$17+1)/MAX(Pipeline!$F$17,1)))+Pipeline!$W$18*Pipeline!$D$18*MIN(1,MAX(0,(70-Pipeline!$E$18+1)/MAX(Pipeline!$F$18,1)))+Pipeline!$W$19*Pipeline!$D$19*MIN(1,MAX(0,(70-Pipeline!$E$19+1)/MAX(Pipeline!$F$19,1)))+Pipeline!$W$20*Pipeline!$D$20*MIN(1,MAX(0,(70-Pipeline!$E$20+1)/MAX(Pipeline!$F$20,1)))+Pipeline!$W$21*Pipeline!$D$21*MIN(1,MAX(0,(70-Pipeline!$E$21+1)/MAX(Pipeline!$F$21,1)))+Pipeline!$W$22*Pipeline!$D$22*MIN(1,MAX(0,(70-Pipeline!$E$22+1)/MAX(Pipeline!$F$22,1)))</f>
        <v>7042.51597446053</v>
      </c>
      <c r="BU19" s="138" t="n">
        <f aca="false">Pipeline!$W$16*Pipeline!$D$16*MIN(1,MAX(0,(71-Pipeline!$E$16+1)/MAX(Pipeline!$F$16,1)))+Pipeline!$W$17*Pipeline!$D$17*MIN(1,MAX(0,(71-Pipeline!$E$17+1)/MAX(Pipeline!$F$17,1)))+Pipeline!$W$18*Pipeline!$D$18*MIN(1,MAX(0,(71-Pipeline!$E$18+1)/MAX(Pipeline!$F$18,1)))+Pipeline!$W$19*Pipeline!$D$19*MIN(1,MAX(0,(71-Pipeline!$E$19+1)/MAX(Pipeline!$F$19,1)))+Pipeline!$W$20*Pipeline!$D$20*MIN(1,MAX(0,(71-Pipeline!$E$20+1)/MAX(Pipeline!$F$20,1)))+Pipeline!$W$21*Pipeline!$D$21*MIN(1,MAX(0,(71-Pipeline!$E$21+1)/MAX(Pipeline!$F$21,1)))+Pipeline!$W$22*Pipeline!$D$22*MIN(1,MAX(0,(71-Pipeline!$E$22+1)/MAX(Pipeline!$F$22,1)))</f>
        <v>7042.51597446053</v>
      </c>
      <c r="BV19" s="138" t="n">
        <f aca="false">Pipeline!$W$16*Pipeline!$D$16*MIN(1,MAX(0,(72-Pipeline!$E$16+1)/MAX(Pipeline!$F$16,1)))+Pipeline!$W$17*Pipeline!$D$17*MIN(1,MAX(0,(72-Pipeline!$E$17+1)/MAX(Pipeline!$F$17,1)))+Pipeline!$W$18*Pipeline!$D$18*MIN(1,MAX(0,(72-Pipeline!$E$18+1)/MAX(Pipeline!$F$18,1)))+Pipeline!$W$19*Pipeline!$D$19*MIN(1,MAX(0,(72-Pipeline!$E$19+1)/MAX(Pipeline!$F$19,1)))+Pipeline!$W$20*Pipeline!$D$20*MIN(1,MAX(0,(72-Pipeline!$E$20+1)/MAX(Pipeline!$F$20,1)))+Pipeline!$W$21*Pipeline!$D$21*MIN(1,MAX(0,(72-Pipeline!$E$21+1)/MAX(Pipeline!$F$21,1)))+Pipeline!$W$22*Pipeline!$D$22*MIN(1,MAX(0,(72-Pipeline!$E$22+1)/MAX(Pipeline!$F$22,1)))</f>
        <v>7042.51597446053</v>
      </c>
      <c r="BW19" s="138" t="n">
        <f aca="false">Pipeline!$W$16*Pipeline!$D$16*MIN(1,MAX(0,(73-Pipeline!$E$16+1)/MAX(Pipeline!$F$16,1)))+Pipeline!$W$17*Pipeline!$D$17*MIN(1,MAX(0,(73-Pipeline!$E$17+1)/MAX(Pipeline!$F$17,1)))+Pipeline!$W$18*Pipeline!$D$18*MIN(1,MAX(0,(73-Pipeline!$E$18+1)/MAX(Pipeline!$F$18,1)))+Pipeline!$W$19*Pipeline!$D$19*MIN(1,MAX(0,(73-Pipeline!$E$19+1)/MAX(Pipeline!$F$19,1)))+Pipeline!$W$20*Pipeline!$D$20*MIN(1,MAX(0,(73-Pipeline!$E$20+1)/MAX(Pipeline!$F$20,1)))+Pipeline!$W$21*Pipeline!$D$21*MIN(1,MAX(0,(73-Pipeline!$E$21+1)/MAX(Pipeline!$F$21,1)))+Pipeline!$W$22*Pipeline!$D$22*MIN(1,MAX(0,(73-Pipeline!$E$22+1)/MAX(Pipeline!$F$22,1)))</f>
        <v>7042.51597446053</v>
      </c>
      <c r="BX19" s="138" t="n">
        <f aca="false">Pipeline!$W$16*Pipeline!$D$16*MIN(1,MAX(0,(74-Pipeline!$E$16+1)/MAX(Pipeline!$F$16,1)))+Pipeline!$W$17*Pipeline!$D$17*MIN(1,MAX(0,(74-Pipeline!$E$17+1)/MAX(Pipeline!$F$17,1)))+Pipeline!$W$18*Pipeline!$D$18*MIN(1,MAX(0,(74-Pipeline!$E$18+1)/MAX(Pipeline!$F$18,1)))+Pipeline!$W$19*Pipeline!$D$19*MIN(1,MAX(0,(74-Pipeline!$E$19+1)/MAX(Pipeline!$F$19,1)))+Pipeline!$W$20*Pipeline!$D$20*MIN(1,MAX(0,(74-Pipeline!$E$20+1)/MAX(Pipeline!$F$20,1)))+Pipeline!$W$21*Pipeline!$D$21*MIN(1,MAX(0,(74-Pipeline!$E$21+1)/MAX(Pipeline!$F$21,1)))+Pipeline!$W$22*Pipeline!$D$22*MIN(1,MAX(0,(74-Pipeline!$E$22+1)/MAX(Pipeline!$F$22,1)))</f>
        <v>7042.51597446053</v>
      </c>
      <c r="BY19" s="138" t="n">
        <f aca="false">Pipeline!$W$16*Pipeline!$D$16*MIN(1,MAX(0,(75-Pipeline!$E$16+1)/MAX(Pipeline!$F$16,1)))+Pipeline!$W$17*Pipeline!$D$17*MIN(1,MAX(0,(75-Pipeline!$E$17+1)/MAX(Pipeline!$F$17,1)))+Pipeline!$W$18*Pipeline!$D$18*MIN(1,MAX(0,(75-Pipeline!$E$18+1)/MAX(Pipeline!$F$18,1)))+Pipeline!$W$19*Pipeline!$D$19*MIN(1,MAX(0,(75-Pipeline!$E$19+1)/MAX(Pipeline!$F$19,1)))+Pipeline!$W$20*Pipeline!$D$20*MIN(1,MAX(0,(75-Pipeline!$E$20+1)/MAX(Pipeline!$F$20,1)))+Pipeline!$W$21*Pipeline!$D$21*MIN(1,MAX(0,(75-Pipeline!$E$21+1)/MAX(Pipeline!$F$21,1)))+Pipeline!$W$22*Pipeline!$D$22*MIN(1,MAX(0,(75-Pipeline!$E$22+1)/MAX(Pipeline!$F$22,1)))</f>
        <v>7042.51597446053</v>
      </c>
      <c r="BZ19" s="138" t="n">
        <f aca="false">Pipeline!$W$16*Pipeline!$D$16*MIN(1,MAX(0,(76-Pipeline!$E$16+1)/MAX(Pipeline!$F$16,1)))+Pipeline!$W$17*Pipeline!$D$17*MIN(1,MAX(0,(76-Pipeline!$E$17+1)/MAX(Pipeline!$F$17,1)))+Pipeline!$W$18*Pipeline!$D$18*MIN(1,MAX(0,(76-Pipeline!$E$18+1)/MAX(Pipeline!$F$18,1)))+Pipeline!$W$19*Pipeline!$D$19*MIN(1,MAX(0,(76-Pipeline!$E$19+1)/MAX(Pipeline!$F$19,1)))+Pipeline!$W$20*Pipeline!$D$20*MIN(1,MAX(0,(76-Pipeline!$E$20+1)/MAX(Pipeline!$F$20,1)))+Pipeline!$W$21*Pipeline!$D$21*MIN(1,MAX(0,(76-Pipeline!$E$21+1)/MAX(Pipeline!$F$21,1)))+Pipeline!$W$22*Pipeline!$D$22*MIN(1,MAX(0,(76-Pipeline!$E$22+1)/MAX(Pipeline!$F$22,1)))</f>
        <v>7042.51597446053</v>
      </c>
      <c r="CA19" s="138" t="n">
        <f aca="false">Pipeline!$W$16*Pipeline!$D$16*MIN(1,MAX(0,(77-Pipeline!$E$16+1)/MAX(Pipeline!$F$16,1)))+Pipeline!$W$17*Pipeline!$D$17*MIN(1,MAX(0,(77-Pipeline!$E$17+1)/MAX(Pipeline!$F$17,1)))+Pipeline!$W$18*Pipeline!$D$18*MIN(1,MAX(0,(77-Pipeline!$E$18+1)/MAX(Pipeline!$F$18,1)))+Pipeline!$W$19*Pipeline!$D$19*MIN(1,MAX(0,(77-Pipeline!$E$19+1)/MAX(Pipeline!$F$19,1)))+Pipeline!$W$20*Pipeline!$D$20*MIN(1,MAX(0,(77-Pipeline!$E$20+1)/MAX(Pipeline!$F$20,1)))+Pipeline!$W$21*Pipeline!$D$21*MIN(1,MAX(0,(77-Pipeline!$E$21+1)/MAX(Pipeline!$F$21,1)))+Pipeline!$W$22*Pipeline!$D$22*MIN(1,MAX(0,(77-Pipeline!$E$22+1)/MAX(Pipeline!$F$22,1)))</f>
        <v>7042.51597446053</v>
      </c>
      <c r="CB19" s="138" t="n">
        <f aca="false">Pipeline!$W$16*Pipeline!$D$16*MIN(1,MAX(0,(78-Pipeline!$E$16+1)/MAX(Pipeline!$F$16,1)))+Pipeline!$W$17*Pipeline!$D$17*MIN(1,MAX(0,(78-Pipeline!$E$17+1)/MAX(Pipeline!$F$17,1)))+Pipeline!$W$18*Pipeline!$D$18*MIN(1,MAX(0,(78-Pipeline!$E$18+1)/MAX(Pipeline!$F$18,1)))+Pipeline!$W$19*Pipeline!$D$19*MIN(1,MAX(0,(78-Pipeline!$E$19+1)/MAX(Pipeline!$F$19,1)))+Pipeline!$W$20*Pipeline!$D$20*MIN(1,MAX(0,(78-Pipeline!$E$20+1)/MAX(Pipeline!$F$20,1)))+Pipeline!$W$21*Pipeline!$D$21*MIN(1,MAX(0,(78-Pipeline!$E$21+1)/MAX(Pipeline!$F$21,1)))+Pipeline!$W$22*Pipeline!$D$22*MIN(1,MAX(0,(78-Pipeline!$E$22+1)/MAX(Pipeline!$F$22,1)))</f>
        <v>7042.51597446053</v>
      </c>
      <c r="CC19" s="138" t="n">
        <f aca="false">Pipeline!$W$16*Pipeline!$D$16*MIN(1,MAX(0,(79-Pipeline!$E$16+1)/MAX(Pipeline!$F$16,1)))+Pipeline!$W$17*Pipeline!$D$17*MIN(1,MAX(0,(79-Pipeline!$E$17+1)/MAX(Pipeline!$F$17,1)))+Pipeline!$W$18*Pipeline!$D$18*MIN(1,MAX(0,(79-Pipeline!$E$18+1)/MAX(Pipeline!$F$18,1)))+Pipeline!$W$19*Pipeline!$D$19*MIN(1,MAX(0,(79-Pipeline!$E$19+1)/MAX(Pipeline!$F$19,1)))+Pipeline!$W$20*Pipeline!$D$20*MIN(1,MAX(0,(79-Pipeline!$E$20+1)/MAX(Pipeline!$F$20,1)))+Pipeline!$W$21*Pipeline!$D$21*MIN(1,MAX(0,(79-Pipeline!$E$21+1)/MAX(Pipeline!$F$21,1)))+Pipeline!$W$22*Pipeline!$D$22*MIN(1,MAX(0,(79-Pipeline!$E$22+1)/MAX(Pipeline!$F$22,1)))</f>
        <v>7042.51597446053</v>
      </c>
      <c r="CD19" s="138" t="n">
        <f aca="false">Pipeline!$W$16*Pipeline!$D$16*MIN(1,MAX(0,(80-Pipeline!$E$16+1)/MAX(Pipeline!$F$16,1)))+Pipeline!$W$17*Pipeline!$D$17*MIN(1,MAX(0,(80-Pipeline!$E$17+1)/MAX(Pipeline!$F$17,1)))+Pipeline!$W$18*Pipeline!$D$18*MIN(1,MAX(0,(80-Pipeline!$E$18+1)/MAX(Pipeline!$F$18,1)))+Pipeline!$W$19*Pipeline!$D$19*MIN(1,MAX(0,(80-Pipeline!$E$19+1)/MAX(Pipeline!$F$19,1)))+Pipeline!$W$20*Pipeline!$D$20*MIN(1,MAX(0,(80-Pipeline!$E$20+1)/MAX(Pipeline!$F$20,1)))+Pipeline!$W$21*Pipeline!$D$21*MIN(1,MAX(0,(80-Pipeline!$E$21+1)/MAX(Pipeline!$F$21,1)))+Pipeline!$W$22*Pipeline!$D$22*MIN(1,MAX(0,(80-Pipeline!$E$22+1)/MAX(Pipeline!$F$22,1)))</f>
        <v>7042.51597446053</v>
      </c>
      <c r="CE19" s="138" t="n">
        <f aca="false">Pipeline!$W$16*Pipeline!$D$16*MIN(1,MAX(0,(81-Pipeline!$E$16+1)/MAX(Pipeline!$F$16,1)))+Pipeline!$W$17*Pipeline!$D$17*MIN(1,MAX(0,(81-Pipeline!$E$17+1)/MAX(Pipeline!$F$17,1)))+Pipeline!$W$18*Pipeline!$D$18*MIN(1,MAX(0,(81-Pipeline!$E$18+1)/MAX(Pipeline!$F$18,1)))+Pipeline!$W$19*Pipeline!$D$19*MIN(1,MAX(0,(81-Pipeline!$E$19+1)/MAX(Pipeline!$F$19,1)))+Pipeline!$W$20*Pipeline!$D$20*MIN(1,MAX(0,(81-Pipeline!$E$20+1)/MAX(Pipeline!$F$20,1)))+Pipeline!$W$21*Pipeline!$D$21*MIN(1,MAX(0,(81-Pipeline!$E$21+1)/MAX(Pipeline!$F$21,1)))+Pipeline!$W$22*Pipeline!$D$22*MIN(1,MAX(0,(81-Pipeline!$E$22+1)/MAX(Pipeline!$F$22,1)))</f>
        <v>7042.51597446053</v>
      </c>
      <c r="CF19" s="138" t="n">
        <f aca="false">Pipeline!$W$16*Pipeline!$D$16*MIN(1,MAX(0,(82-Pipeline!$E$16+1)/MAX(Pipeline!$F$16,1)))+Pipeline!$W$17*Pipeline!$D$17*MIN(1,MAX(0,(82-Pipeline!$E$17+1)/MAX(Pipeline!$F$17,1)))+Pipeline!$W$18*Pipeline!$D$18*MIN(1,MAX(0,(82-Pipeline!$E$18+1)/MAX(Pipeline!$F$18,1)))+Pipeline!$W$19*Pipeline!$D$19*MIN(1,MAX(0,(82-Pipeline!$E$19+1)/MAX(Pipeline!$F$19,1)))+Pipeline!$W$20*Pipeline!$D$20*MIN(1,MAX(0,(82-Pipeline!$E$20+1)/MAX(Pipeline!$F$20,1)))+Pipeline!$W$21*Pipeline!$D$21*MIN(1,MAX(0,(82-Pipeline!$E$21+1)/MAX(Pipeline!$F$21,1)))+Pipeline!$W$22*Pipeline!$D$22*MIN(1,MAX(0,(82-Pipeline!$E$22+1)/MAX(Pipeline!$F$22,1)))</f>
        <v>7042.51597446053</v>
      </c>
      <c r="CG19" s="138" t="n">
        <f aca="false">Pipeline!$W$16*Pipeline!$D$16*MIN(1,MAX(0,(83-Pipeline!$E$16+1)/MAX(Pipeline!$F$16,1)))+Pipeline!$W$17*Pipeline!$D$17*MIN(1,MAX(0,(83-Pipeline!$E$17+1)/MAX(Pipeline!$F$17,1)))+Pipeline!$W$18*Pipeline!$D$18*MIN(1,MAX(0,(83-Pipeline!$E$18+1)/MAX(Pipeline!$F$18,1)))+Pipeline!$W$19*Pipeline!$D$19*MIN(1,MAX(0,(83-Pipeline!$E$19+1)/MAX(Pipeline!$F$19,1)))+Pipeline!$W$20*Pipeline!$D$20*MIN(1,MAX(0,(83-Pipeline!$E$20+1)/MAX(Pipeline!$F$20,1)))+Pipeline!$W$21*Pipeline!$D$21*MIN(1,MAX(0,(83-Pipeline!$E$21+1)/MAX(Pipeline!$F$21,1)))+Pipeline!$W$22*Pipeline!$D$22*MIN(1,MAX(0,(83-Pipeline!$E$22+1)/MAX(Pipeline!$F$22,1)))</f>
        <v>7042.51597446053</v>
      </c>
      <c r="CH19" s="138" t="n">
        <f aca="false">Pipeline!$W$16*Pipeline!$D$16*MIN(1,MAX(0,(84-Pipeline!$E$16+1)/MAX(Pipeline!$F$16,1)))+Pipeline!$W$17*Pipeline!$D$17*MIN(1,MAX(0,(84-Pipeline!$E$17+1)/MAX(Pipeline!$F$17,1)))+Pipeline!$W$18*Pipeline!$D$18*MIN(1,MAX(0,(84-Pipeline!$E$18+1)/MAX(Pipeline!$F$18,1)))+Pipeline!$W$19*Pipeline!$D$19*MIN(1,MAX(0,(84-Pipeline!$E$19+1)/MAX(Pipeline!$F$19,1)))+Pipeline!$W$20*Pipeline!$D$20*MIN(1,MAX(0,(84-Pipeline!$E$20+1)/MAX(Pipeline!$F$20,1)))+Pipeline!$W$21*Pipeline!$D$21*MIN(1,MAX(0,(84-Pipeline!$E$21+1)/MAX(Pipeline!$F$21,1)))+Pipeline!$W$22*Pipeline!$D$22*MIN(1,MAX(0,(84-Pipeline!$E$22+1)/MAX(Pipeline!$F$22,1)))</f>
        <v>7042.51597446053</v>
      </c>
    </row>
    <row r="20" customFormat="false" ht="13.5" hidden="false" customHeight="true" outlineLevel="0" collapsed="false">
      <c r="A20" s="13" t="s">
        <v>703</v>
      </c>
      <c r="C20" s="150" t="n">
        <f aca="false">Pipeline!$S$16*Pipeline!$D$16*MIN(1,MAX(0,(1-Pipeline!$E$16+1)/MAX(Pipeline!$F$16,1)))+Pipeline!$S$17*Pipeline!$D$17*MIN(1,MAX(0,(1-Pipeline!$E$17+1)/MAX(Pipeline!$F$17,1)))+Pipeline!$S$18*Pipeline!$D$18*MIN(1,MAX(0,(1-Pipeline!$E$18+1)/MAX(Pipeline!$F$18,1)))+Pipeline!$S$19*Pipeline!$D$19*MIN(1,MAX(0,(1-Pipeline!$E$19+1)/MAX(Pipeline!$F$19,1)))+Pipeline!$S$20*Pipeline!$D$20*MIN(1,MAX(0,(1-Pipeline!$E$20+1)/MAX(Pipeline!$F$20,1)))+Pipeline!$S$21*Pipeline!$D$21*MIN(1,MAX(0,(1-Pipeline!$E$21+1)/MAX(Pipeline!$F$21,1)))+Pipeline!$S$22*Pipeline!$D$22*MIN(1,MAX(0,(1-Pipeline!$E$22+1)/MAX(Pipeline!$F$22,1)))</f>
        <v>12.3975</v>
      </c>
      <c r="D20" s="150" t="n">
        <f aca="false">Pipeline!$S$16*Pipeline!$D$16*MIN(1,MAX(0,(2-Pipeline!$E$16+1)/MAX(Pipeline!$F$16,1)))+Pipeline!$S$17*Pipeline!$D$17*MIN(1,MAX(0,(2-Pipeline!$E$17+1)/MAX(Pipeline!$F$17,1)))+Pipeline!$S$18*Pipeline!$D$18*MIN(1,MAX(0,(2-Pipeline!$E$18+1)/MAX(Pipeline!$F$18,1)))+Pipeline!$S$19*Pipeline!$D$19*MIN(1,MAX(0,(2-Pipeline!$E$19+1)/MAX(Pipeline!$F$19,1)))+Pipeline!$S$20*Pipeline!$D$20*MIN(1,MAX(0,(2-Pipeline!$E$20+1)/MAX(Pipeline!$F$20,1)))+Pipeline!$S$21*Pipeline!$D$21*MIN(1,MAX(0,(2-Pipeline!$E$21+1)/MAX(Pipeline!$F$21,1)))+Pipeline!$S$22*Pipeline!$D$22*MIN(1,MAX(0,(2-Pipeline!$E$22+1)/MAX(Pipeline!$F$22,1)))</f>
        <v>27.405</v>
      </c>
      <c r="E20" s="150" t="n">
        <f aca="false">Pipeline!$S$16*Pipeline!$D$16*MIN(1,MAX(0,(3-Pipeline!$E$16+1)/MAX(Pipeline!$F$16,1)))+Pipeline!$S$17*Pipeline!$D$17*MIN(1,MAX(0,(3-Pipeline!$E$17+1)/MAX(Pipeline!$F$17,1)))+Pipeline!$S$18*Pipeline!$D$18*MIN(1,MAX(0,(3-Pipeline!$E$18+1)/MAX(Pipeline!$F$18,1)))+Pipeline!$S$19*Pipeline!$D$19*MIN(1,MAX(0,(3-Pipeline!$E$19+1)/MAX(Pipeline!$F$19,1)))+Pipeline!$S$20*Pipeline!$D$20*MIN(1,MAX(0,(3-Pipeline!$E$20+1)/MAX(Pipeline!$F$20,1)))+Pipeline!$S$21*Pipeline!$D$21*MIN(1,MAX(0,(3-Pipeline!$E$21+1)/MAX(Pipeline!$F$21,1)))+Pipeline!$S$22*Pipeline!$D$22*MIN(1,MAX(0,(3-Pipeline!$E$22+1)/MAX(Pipeline!$F$22,1)))</f>
        <v>75.69</v>
      </c>
      <c r="F20" s="150" t="n">
        <f aca="false">Pipeline!$S$16*Pipeline!$D$16*MIN(1,MAX(0,(4-Pipeline!$E$16+1)/MAX(Pipeline!$F$16,1)))+Pipeline!$S$17*Pipeline!$D$17*MIN(1,MAX(0,(4-Pipeline!$E$17+1)/MAX(Pipeline!$F$17,1)))+Pipeline!$S$18*Pipeline!$D$18*MIN(1,MAX(0,(4-Pipeline!$E$18+1)/MAX(Pipeline!$F$18,1)))+Pipeline!$S$19*Pipeline!$D$19*MIN(1,MAX(0,(4-Pipeline!$E$19+1)/MAX(Pipeline!$F$19,1)))+Pipeline!$S$20*Pipeline!$D$20*MIN(1,MAX(0,(4-Pipeline!$E$20+1)/MAX(Pipeline!$F$20,1)))+Pipeline!$S$21*Pipeline!$D$21*MIN(1,MAX(0,(4-Pipeline!$E$21+1)/MAX(Pipeline!$F$21,1)))+Pipeline!$S$22*Pipeline!$D$22*MIN(1,MAX(0,(4-Pipeline!$E$22+1)/MAX(Pipeline!$F$22,1)))</f>
        <v>111.5775</v>
      </c>
      <c r="G20" s="150" t="n">
        <f aca="false">Pipeline!$S$16*Pipeline!$D$16*MIN(1,MAX(0,(5-Pipeline!$E$16+1)/MAX(Pipeline!$F$16,1)))+Pipeline!$S$17*Pipeline!$D$17*MIN(1,MAX(0,(5-Pipeline!$E$17+1)/MAX(Pipeline!$F$17,1)))+Pipeline!$S$18*Pipeline!$D$18*MIN(1,MAX(0,(5-Pipeline!$E$18+1)/MAX(Pipeline!$F$18,1)))+Pipeline!$S$19*Pipeline!$D$19*MIN(1,MAX(0,(5-Pipeline!$E$19+1)/MAX(Pipeline!$F$19,1)))+Pipeline!$S$20*Pipeline!$D$20*MIN(1,MAX(0,(5-Pipeline!$E$20+1)/MAX(Pipeline!$F$20,1)))+Pipeline!$S$21*Pipeline!$D$21*MIN(1,MAX(0,(5-Pipeline!$E$21+1)/MAX(Pipeline!$F$21,1)))+Pipeline!$S$22*Pipeline!$D$22*MIN(1,MAX(0,(5-Pipeline!$E$22+1)/MAX(Pipeline!$F$22,1)))</f>
        <v>144.855</v>
      </c>
      <c r="H20" s="150" t="n">
        <f aca="false">Pipeline!$S$16*Pipeline!$D$16*MIN(1,MAX(0,(6-Pipeline!$E$16+1)/MAX(Pipeline!$F$16,1)))+Pipeline!$S$17*Pipeline!$D$17*MIN(1,MAX(0,(6-Pipeline!$E$17+1)/MAX(Pipeline!$F$17,1)))+Pipeline!$S$18*Pipeline!$D$18*MIN(1,MAX(0,(6-Pipeline!$E$18+1)/MAX(Pipeline!$F$18,1)))+Pipeline!$S$19*Pipeline!$D$19*MIN(1,MAX(0,(6-Pipeline!$E$19+1)/MAX(Pipeline!$F$19,1)))+Pipeline!$S$20*Pipeline!$D$20*MIN(1,MAX(0,(6-Pipeline!$E$20+1)/MAX(Pipeline!$F$20,1)))+Pipeline!$S$21*Pipeline!$D$21*MIN(1,MAX(0,(6-Pipeline!$E$21+1)/MAX(Pipeline!$F$21,1)))+Pipeline!$S$22*Pipeline!$D$22*MIN(1,MAX(0,(6-Pipeline!$E$22+1)/MAX(Pipeline!$F$22,1)))</f>
        <v>208.03875</v>
      </c>
      <c r="I20" s="150" t="n">
        <f aca="false">Pipeline!$S$16*Pipeline!$D$16*MIN(1,MAX(0,(7-Pipeline!$E$16+1)/MAX(Pipeline!$F$16,1)))+Pipeline!$S$17*Pipeline!$D$17*MIN(1,MAX(0,(7-Pipeline!$E$17+1)/MAX(Pipeline!$F$17,1)))+Pipeline!$S$18*Pipeline!$D$18*MIN(1,MAX(0,(7-Pipeline!$E$18+1)/MAX(Pipeline!$F$18,1)))+Pipeline!$S$19*Pipeline!$D$19*MIN(1,MAX(0,(7-Pipeline!$E$19+1)/MAX(Pipeline!$F$19,1)))+Pipeline!$S$20*Pipeline!$D$20*MIN(1,MAX(0,(7-Pipeline!$E$20+1)/MAX(Pipeline!$F$20,1)))+Pipeline!$S$21*Pipeline!$D$21*MIN(1,MAX(0,(7-Pipeline!$E$21+1)/MAX(Pipeline!$F$21,1)))+Pipeline!$S$22*Pipeline!$D$22*MIN(1,MAX(0,(7-Pipeline!$E$22+1)/MAX(Pipeline!$F$22,1)))</f>
        <v>271.2225</v>
      </c>
      <c r="J20" s="150" t="n">
        <f aca="false">Pipeline!$S$16*Pipeline!$D$16*MIN(1,MAX(0,(8-Pipeline!$E$16+1)/MAX(Pipeline!$F$16,1)))+Pipeline!$S$17*Pipeline!$D$17*MIN(1,MAX(0,(8-Pipeline!$E$17+1)/MAX(Pipeline!$F$17,1)))+Pipeline!$S$18*Pipeline!$D$18*MIN(1,MAX(0,(8-Pipeline!$E$18+1)/MAX(Pipeline!$F$18,1)))+Pipeline!$S$19*Pipeline!$D$19*MIN(1,MAX(0,(8-Pipeline!$E$19+1)/MAX(Pipeline!$F$19,1)))+Pipeline!$S$20*Pipeline!$D$20*MIN(1,MAX(0,(8-Pipeline!$E$20+1)/MAX(Pipeline!$F$20,1)))+Pipeline!$S$21*Pipeline!$D$21*MIN(1,MAX(0,(8-Pipeline!$E$21+1)/MAX(Pipeline!$F$21,1)))+Pipeline!$S$22*Pipeline!$D$22*MIN(1,MAX(0,(8-Pipeline!$E$22+1)/MAX(Pipeline!$F$22,1)))</f>
        <v>334.40625</v>
      </c>
      <c r="K20" s="150" t="n">
        <f aca="false">Pipeline!$S$16*Pipeline!$D$16*MIN(1,MAX(0,(9-Pipeline!$E$16+1)/MAX(Pipeline!$F$16,1)))+Pipeline!$S$17*Pipeline!$D$17*MIN(1,MAX(0,(9-Pipeline!$E$17+1)/MAX(Pipeline!$F$17,1)))+Pipeline!$S$18*Pipeline!$D$18*MIN(1,MAX(0,(9-Pipeline!$E$18+1)/MAX(Pipeline!$F$18,1)))+Pipeline!$S$19*Pipeline!$D$19*MIN(1,MAX(0,(9-Pipeline!$E$19+1)/MAX(Pipeline!$F$19,1)))+Pipeline!$S$20*Pipeline!$D$20*MIN(1,MAX(0,(9-Pipeline!$E$20+1)/MAX(Pipeline!$F$20,1)))+Pipeline!$S$21*Pipeline!$D$21*MIN(1,MAX(0,(9-Pipeline!$E$21+1)/MAX(Pipeline!$F$21,1)))+Pipeline!$S$22*Pipeline!$D$22*MIN(1,MAX(0,(9-Pipeline!$E$22+1)/MAX(Pipeline!$F$22,1)))</f>
        <v>397.59</v>
      </c>
      <c r="L20" s="150" t="n">
        <f aca="false">Pipeline!$S$16*Pipeline!$D$16*MIN(1,MAX(0,(10-Pipeline!$E$16+1)/MAX(Pipeline!$F$16,1)))+Pipeline!$S$17*Pipeline!$D$17*MIN(1,MAX(0,(10-Pipeline!$E$17+1)/MAX(Pipeline!$F$17,1)))+Pipeline!$S$18*Pipeline!$D$18*MIN(1,MAX(0,(10-Pipeline!$E$18+1)/MAX(Pipeline!$F$18,1)))+Pipeline!$S$19*Pipeline!$D$19*MIN(1,MAX(0,(10-Pipeline!$E$19+1)/MAX(Pipeline!$F$19,1)))+Pipeline!$S$20*Pipeline!$D$20*MIN(1,MAX(0,(10-Pipeline!$E$20+1)/MAX(Pipeline!$F$20,1)))+Pipeline!$S$21*Pipeline!$D$21*MIN(1,MAX(0,(10-Pipeline!$E$21+1)/MAX(Pipeline!$F$21,1)))+Pipeline!$S$22*Pipeline!$D$22*MIN(1,MAX(0,(10-Pipeline!$E$22+1)/MAX(Pipeline!$F$22,1)))</f>
        <v>460.77375</v>
      </c>
      <c r="M20" s="150" t="n">
        <f aca="false">Pipeline!$S$16*Pipeline!$D$16*MIN(1,MAX(0,(11-Pipeline!$E$16+1)/MAX(Pipeline!$F$16,1)))+Pipeline!$S$17*Pipeline!$D$17*MIN(1,MAX(0,(11-Pipeline!$E$17+1)/MAX(Pipeline!$F$17,1)))+Pipeline!$S$18*Pipeline!$D$18*MIN(1,MAX(0,(11-Pipeline!$E$18+1)/MAX(Pipeline!$F$18,1)))+Pipeline!$S$19*Pipeline!$D$19*MIN(1,MAX(0,(11-Pipeline!$E$19+1)/MAX(Pipeline!$F$19,1)))+Pipeline!$S$20*Pipeline!$D$20*MIN(1,MAX(0,(11-Pipeline!$E$20+1)/MAX(Pipeline!$F$20,1)))+Pipeline!$S$21*Pipeline!$D$21*MIN(1,MAX(0,(11-Pipeline!$E$21+1)/MAX(Pipeline!$F$21,1)))+Pipeline!$S$22*Pipeline!$D$22*MIN(1,MAX(0,(11-Pipeline!$E$22+1)/MAX(Pipeline!$F$22,1)))</f>
        <v>490.68</v>
      </c>
      <c r="N20" s="150" t="n">
        <f aca="false">Pipeline!$S$16*Pipeline!$D$16*MIN(1,MAX(0,(12-Pipeline!$E$16+1)/MAX(Pipeline!$F$16,1)))+Pipeline!$S$17*Pipeline!$D$17*MIN(1,MAX(0,(12-Pipeline!$E$17+1)/MAX(Pipeline!$F$17,1)))+Pipeline!$S$18*Pipeline!$D$18*MIN(1,MAX(0,(12-Pipeline!$E$18+1)/MAX(Pipeline!$F$18,1)))+Pipeline!$S$19*Pipeline!$D$19*MIN(1,MAX(0,(12-Pipeline!$E$19+1)/MAX(Pipeline!$F$19,1)))+Pipeline!$S$20*Pipeline!$D$20*MIN(1,MAX(0,(12-Pipeline!$E$20+1)/MAX(Pipeline!$F$20,1)))+Pipeline!$S$21*Pipeline!$D$21*MIN(1,MAX(0,(12-Pipeline!$E$21+1)/MAX(Pipeline!$F$21,1)))+Pipeline!$S$22*Pipeline!$D$22*MIN(1,MAX(0,(12-Pipeline!$E$22+1)/MAX(Pipeline!$F$22,1)))</f>
        <v>564.08625</v>
      </c>
      <c r="O20" s="150" t="n">
        <f aca="false">Pipeline!$S$16*Pipeline!$D$16*MIN(1,MAX(0,(13-Pipeline!$E$16+1)/MAX(Pipeline!$F$16,1)))+Pipeline!$S$17*Pipeline!$D$17*MIN(1,MAX(0,(13-Pipeline!$E$17+1)/MAX(Pipeline!$F$17,1)))+Pipeline!$S$18*Pipeline!$D$18*MIN(1,MAX(0,(13-Pipeline!$E$18+1)/MAX(Pipeline!$F$18,1)))+Pipeline!$S$19*Pipeline!$D$19*MIN(1,MAX(0,(13-Pipeline!$E$19+1)/MAX(Pipeline!$F$19,1)))+Pipeline!$S$20*Pipeline!$D$20*MIN(1,MAX(0,(13-Pipeline!$E$20+1)/MAX(Pipeline!$F$20,1)))+Pipeline!$S$21*Pipeline!$D$21*MIN(1,MAX(0,(13-Pipeline!$E$21+1)/MAX(Pipeline!$F$21,1)))+Pipeline!$S$22*Pipeline!$D$22*MIN(1,MAX(0,(13-Pipeline!$E$22+1)/MAX(Pipeline!$F$22,1)))</f>
        <v>637.4925</v>
      </c>
      <c r="P20" s="150" t="n">
        <f aca="false">Pipeline!$S$16*Pipeline!$D$16*MIN(1,MAX(0,(14-Pipeline!$E$16+1)/MAX(Pipeline!$F$16,1)))+Pipeline!$S$17*Pipeline!$D$17*MIN(1,MAX(0,(14-Pipeline!$E$17+1)/MAX(Pipeline!$F$17,1)))+Pipeline!$S$18*Pipeline!$D$18*MIN(1,MAX(0,(14-Pipeline!$E$18+1)/MAX(Pipeline!$F$18,1)))+Pipeline!$S$19*Pipeline!$D$19*MIN(1,MAX(0,(14-Pipeline!$E$19+1)/MAX(Pipeline!$F$19,1)))+Pipeline!$S$20*Pipeline!$D$20*MIN(1,MAX(0,(14-Pipeline!$E$20+1)/MAX(Pipeline!$F$20,1)))+Pipeline!$S$21*Pipeline!$D$21*MIN(1,MAX(0,(14-Pipeline!$E$21+1)/MAX(Pipeline!$F$21,1)))+Pipeline!$S$22*Pipeline!$D$22*MIN(1,MAX(0,(14-Pipeline!$E$22+1)/MAX(Pipeline!$F$22,1)))</f>
        <v>698.3925</v>
      </c>
      <c r="Q20" s="150" t="n">
        <f aca="false">Pipeline!$S$16*Pipeline!$D$16*MIN(1,MAX(0,(15-Pipeline!$E$16+1)/MAX(Pipeline!$F$16,1)))+Pipeline!$S$17*Pipeline!$D$17*MIN(1,MAX(0,(15-Pipeline!$E$17+1)/MAX(Pipeline!$F$17,1)))+Pipeline!$S$18*Pipeline!$D$18*MIN(1,MAX(0,(15-Pipeline!$E$18+1)/MAX(Pipeline!$F$18,1)))+Pipeline!$S$19*Pipeline!$D$19*MIN(1,MAX(0,(15-Pipeline!$E$19+1)/MAX(Pipeline!$F$19,1)))+Pipeline!$S$20*Pipeline!$D$20*MIN(1,MAX(0,(15-Pipeline!$E$20+1)/MAX(Pipeline!$F$20,1)))+Pipeline!$S$21*Pipeline!$D$21*MIN(1,MAX(0,(15-Pipeline!$E$21+1)/MAX(Pipeline!$F$21,1)))+Pipeline!$S$22*Pipeline!$D$22*MIN(1,MAX(0,(15-Pipeline!$E$22+1)/MAX(Pipeline!$F$22,1)))</f>
        <v>759.2925</v>
      </c>
      <c r="R20" s="150" t="n">
        <f aca="false">Pipeline!$S$16*Pipeline!$D$16*MIN(1,MAX(0,(16-Pipeline!$E$16+1)/MAX(Pipeline!$F$16,1)))+Pipeline!$S$17*Pipeline!$D$17*MIN(1,MAX(0,(16-Pipeline!$E$17+1)/MAX(Pipeline!$F$17,1)))+Pipeline!$S$18*Pipeline!$D$18*MIN(1,MAX(0,(16-Pipeline!$E$18+1)/MAX(Pipeline!$F$18,1)))+Pipeline!$S$19*Pipeline!$D$19*MIN(1,MAX(0,(16-Pipeline!$E$19+1)/MAX(Pipeline!$F$19,1)))+Pipeline!$S$20*Pipeline!$D$20*MIN(1,MAX(0,(16-Pipeline!$E$20+1)/MAX(Pipeline!$F$20,1)))+Pipeline!$S$21*Pipeline!$D$21*MIN(1,MAX(0,(16-Pipeline!$E$21+1)/MAX(Pipeline!$F$21,1)))+Pipeline!$S$22*Pipeline!$D$22*MIN(1,MAX(0,(16-Pipeline!$E$22+1)/MAX(Pipeline!$F$22,1)))</f>
        <v>820.1925</v>
      </c>
      <c r="S20" s="150" t="n">
        <f aca="false">Pipeline!$S$16*Pipeline!$D$16*MIN(1,MAX(0,(17-Pipeline!$E$16+1)/MAX(Pipeline!$F$16,1)))+Pipeline!$S$17*Pipeline!$D$17*MIN(1,MAX(0,(17-Pipeline!$E$17+1)/MAX(Pipeline!$F$17,1)))+Pipeline!$S$18*Pipeline!$D$18*MIN(1,MAX(0,(17-Pipeline!$E$18+1)/MAX(Pipeline!$F$18,1)))+Pipeline!$S$19*Pipeline!$D$19*MIN(1,MAX(0,(17-Pipeline!$E$19+1)/MAX(Pipeline!$F$19,1)))+Pipeline!$S$20*Pipeline!$D$20*MIN(1,MAX(0,(17-Pipeline!$E$20+1)/MAX(Pipeline!$F$20,1)))+Pipeline!$S$21*Pipeline!$D$21*MIN(1,MAX(0,(17-Pipeline!$E$21+1)/MAX(Pipeline!$F$21,1)))+Pipeline!$S$22*Pipeline!$D$22*MIN(1,MAX(0,(17-Pipeline!$E$22+1)/MAX(Pipeline!$F$22,1)))</f>
        <v>881.0925</v>
      </c>
      <c r="T20" s="150" t="n">
        <f aca="false">Pipeline!$S$16*Pipeline!$D$16*MIN(1,MAX(0,(18-Pipeline!$E$16+1)/MAX(Pipeline!$F$16,1)))+Pipeline!$S$17*Pipeline!$D$17*MIN(1,MAX(0,(18-Pipeline!$E$17+1)/MAX(Pipeline!$F$17,1)))+Pipeline!$S$18*Pipeline!$D$18*MIN(1,MAX(0,(18-Pipeline!$E$18+1)/MAX(Pipeline!$F$18,1)))+Pipeline!$S$19*Pipeline!$D$19*MIN(1,MAX(0,(18-Pipeline!$E$19+1)/MAX(Pipeline!$F$19,1)))+Pipeline!$S$20*Pipeline!$D$20*MIN(1,MAX(0,(18-Pipeline!$E$20+1)/MAX(Pipeline!$F$20,1)))+Pipeline!$S$21*Pipeline!$D$21*MIN(1,MAX(0,(18-Pipeline!$E$21+1)/MAX(Pipeline!$F$21,1)))+Pipeline!$S$22*Pipeline!$D$22*MIN(1,MAX(0,(18-Pipeline!$E$22+1)/MAX(Pipeline!$F$22,1)))</f>
        <v>941.9925</v>
      </c>
      <c r="U20" s="150" t="n">
        <f aca="false">Pipeline!$S$16*Pipeline!$D$16*MIN(1,MAX(0,(19-Pipeline!$E$16+1)/MAX(Pipeline!$F$16,1)))+Pipeline!$S$17*Pipeline!$D$17*MIN(1,MAX(0,(19-Pipeline!$E$17+1)/MAX(Pipeline!$F$17,1)))+Pipeline!$S$18*Pipeline!$D$18*MIN(1,MAX(0,(19-Pipeline!$E$18+1)/MAX(Pipeline!$F$18,1)))+Pipeline!$S$19*Pipeline!$D$19*MIN(1,MAX(0,(19-Pipeline!$E$19+1)/MAX(Pipeline!$F$19,1)))+Pipeline!$S$20*Pipeline!$D$20*MIN(1,MAX(0,(19-Pipeline!$E$20+1)/MAX(Pipeline!$F$20,1)))+Pipeline!$S$21*Pipeline!$D$21*MIN(1,MAX(0,(19-Pipeline!$E$21+1)/MAX(Pipeline!$F$21,1)))+Pipeline!$S$22*Pipeline!$D$22*MIN(1,MAX(0,(19-Pipeline!$E$22+1)/MAX(Pipeline!$F$22,1)))</f>
        <v>1002.8925</v>
      </c>
      <c r="V20" s="150" t="n">
        <f aca="false">Pipeline!$S$16*Pipeline!$D$16*MIN(1,MAX(0,(20-Pipeline!$E$16+1)/MAX(Pipeline!$F$16,1)))+Pipeline!$S$17*Pipeline!$D$17*MIN(1,MAX(0,(20-Pipeline!$E$17+1)/MAX(Pipeline!$F$17,1)))+Pipeline!$S$18*Pipeline!$D$18*MIN(1,MAX(0,(20-Pipeline!$E$18+1)/MAX(Pipeline!$F$18,1)))+Pipeline!$S$19*Pipeline!$D$19*MIN(1,MAX(0,(20-Pipeline!$E$19+1)/MAX(Pipeline!$F$19,1)))+Pipeline!$S$20*Pipeline!$D$20*MIN(1,MAX(0,(20-Pipeline!$E$20+1)/MAX(Pipeline!$F$20,1)))+Pipeline!$S$21*Pipeline!$D$21*MIN(1,MAX(0,(20-Pipeline!$E$21+1)/MAX(Pipeline!$F$21,1)))+Pipeline!$S$22*Pipeline!$D$22*MIN(1,MAX(0,(20-Pipeline!$E$22+1)/MAX(Pipeline!$F$22,1)))</f>
        <v>1063.7925</v>
      </c>
      <c r="W20" s="150" t="n">
        <f aca="false">Pipeline!$S$16*Pipeline!$D$16*MIN(1,MAX(0,(21-Pipeline!$E$16+1)/MAX(Pipeline!$F$16,1)))+Pipeline!$S$17*Pipeline!$D$17*MIN(1,MAX(0,(21-Pipeline!$E$17+1)/MAX(Pipeline!$F$17,1)))+Pipeline!$S$18*Pipeline!$D$18*MIN(1,MAX(0,(21-Pipeline!$E$18+1)/MAX(Pipeline!$F$18,1)))+Pipeline!$S$19*Pipeline!$D$19*MIN(1,MAX(0,(21-Pipeline!$E$19+1)/MAX(Pipeline!$F$19,1)))+Pipeline!$S$20*Pipeline!$D$20*MIN(1,MAX(0,(21-Pipeline!$E$20+1)/MAX(Pipeline!$F$20,1)))+Pipeline!$S$21*Pipeline!$D$21*MIN(1,MAX(0,(21-Pipeline!$E$21+1)/MAX(Pipeline!$F$21,1)))+Pipeline!$S$22*Pipeline!$D$22*MIN(1,MAX(0,(21-Pipeline!$E$22+1)/MAX(Pipeline!$F$22,1)))</f>
        <v>1124.6925</v>
      </c>
      <c r="X20" s="150" t="n">
        <f aca="false">Pipeline!$S$16*Pipeline!$D$16*MIN(1,MAX(0,(22-Pipeline!$E$16+1)/MAX(Pipeline!$F$16,1)))+Pipeline!$S$17*Pipeline!$D$17*MIN(1,MAX(0,(22-Pipeline!$E$17+1)/MAX(Pipeline!$F$17,1)))+Pipeline!$S$18*Pipeline!$D$18*MIN(1,MAX(0,(22-Pipeline!$E$18+1)/MAX(Pipeline!$F$18,1)))+Pipeline!$S$19*Pipeline!$D$19*MIN(1,MAX(0,(22-Pipeline!$E$19+1)/MAX(Pipeline!$F$19,1)))+Pipeline!$S$20*Pipeline!$D$20*MIN(1,MAX(0,(22-Pipeline!$E$20+1)/MAX(Pipeline!$F$20,1)))+Pipeline!$S$21*Pipeline!$D$21*MIN(1,MAX(0,(22-Pipeline!$E$21+1)/MAX(Pipeline!$F$21,1)))+Pipeline!$S$22*Pipeline!$D$22*MIN(1,MAX(0,(22-Pipeline!$E$22+1)/MAX(Pipeline!$F$22,1)))</f>
        <v>1142.0925</v>
      </c>
      <c r="Y20" s="150" t="n">
        <f aca="false">Pipeline!$S$16*Pipeline!$D$16*MIN(1,MAX(0,(23-Pipeline!$E$16+1)/MAX(Pipeline!$F$16,1)))+Pipeline!$S$17*Pipeline!$D$17*MIN(1,MAX(0,(23-Pipeline!$E$17+1)/MAX(Pipeline!$F$17,1)))+Pipeline!$S$18*Pipeline!$D$18*MIN(1,MAX(0,(23-Pipeline!$E$18+1)/MAX(Pipeline!$F$18,1)))+Pipeline!$S$19*Pipeline!$D$19*MIN(1,MAX(0,(23-Pipeline!$E$19+1)/MAX(Pipeline!$F$19,1)))+Pipeline!$S$20*Pipeline!$D$20*MIN(1,MAX(0,(23-Pipeline!$E$20+1)/MAX(Pipeline!$F$20,1)))+Pipeline!$S$21*Pipeline!$D$21*MIN(1,MAX(0,(23-Pipeline!$E$21+1)/MAX(Pipeline!$F$21,1)))+Pipeline!$S$22*Pipeline!$D$22*MIN(1,MAX(0,(23-Pipeline!$E$22+1)/MAX(Pipeline!$F$22,1)))</f>
        <v>1159.4925</v>
      </c>
      <c r="Z20" s="150" t="n">
        <f aca="false">Pipeline!$S$16*Pipeline!$D$16*MIN(1,MAX(0,(24-Pipeline!$E$16+1)/MAX(Pipeline!$F$16,1)))+Pipeline!$S$17*Pipeline!$D$17*MIN(1,MAX(0,(24-Pipeline!$E$17+1)/MAX(Pipeline!$F$17,1)))+Pipeline!$S$18*Pipeline!$D$18*MIN(1,MAX(0,(24-Pipeline!$E$18+1)/MAX(Pipeline!$F$18,1)))+Pipeline!$S$19*Pipeline!$D$19*MIN(1,MAX(0,(24-Pipeline!$E$19+1)/MAX(Pipeline!$F$19,1)))+Pipeline!$S$20*Pipeline!$D$20*MIN(1,MAX(0,(24-Pipeline!$E$20+1)/MAX(Pipeline!$F$20,1)))+Pipeline!$S$21*Pipeline!$D$21*MIN(1,MAX(0,(24-Pipeline!$E$21+1)/MAX(Pipeline!$F$21,1)))+Pipeline!$S$22*Pipeline!$D$22*MIN(1,MAX(0,(24-Pipeline!$E$22+1)/MAX(Pipeline!$F$22,1)))</f>
        <v>1159.4925</v>
      </c>
      <c r="AA20" s="150" t="n">
        <f aca="false">Pipeline!$S$16*Pipeline!$D$16*MIN(1,MAX(0,(25-Pipeline!$E$16+1)/MAX(Pipeline!$F$16,1)))+Pipeline!$S$17*Pipeline!$D$17*MIN(1,MAX(0,(25-Pipeline!$E$17+1)/MAX(Pipeline!$F$17,1)))+Pipeline!$S$18*Pipeline!$D$18*MIN(1,MAX(0,(25-Pipeline!$E$18+1)/MAX(Pipeline!$F$18,1)))+Pipeline!$S$19*Pipeline!$D$19*MIN(1,MAX(0,(25-Pipeline!$E$19+1)/MAX(Pipeline!$F$19,1)))+Pipeline!$S$20*Pipeline!$D$20*MIN(1,MAX(0,(25-Pipeline!$E$20+1)/MAX(Pipeline!$F$20,1)))+Pipeline!$S$21*Pipeline!$D$21*MIN(1,MAX(0,(25-Pipeline!$E$21+1)/MAX(Pipeline!$F$21,1)))+Pipeline!$S$22*Pipeline!$D$22*MIN(1,MAX(0,(25-Pipeline!$E$22+1)/MAX(Pipeline!$F$22,1)))</f>
        <v>1159.4925</v>
      </c>
      <c r="AB20" s="150" t="n">
        <f aca="false">Pipeline!$S$16*Pipeline!$D$16*MIN(1,MAX(0,(26-Pipeline!$E$16+1)/MAX(Pipeline!$F$16,1)))+Pipeline!$S$17*Pipeline!$D$17*MIN(1,MAX(0,(26-Pipeline!$E$17+1)/MAX(Pipeline!$F$17,1)))+Pipeline!$S$18*Pipeline!$D$18*MIN(1,MAX(0,(26-Pipeline!$E$18+1)/MAX(Pipeline!$F$18,1)))+Pipeline!$S$19*Pipeline!$D$19*MIN(1,MAX(0,(26-Pipeline!$E$19+1)/MAX(Pipeline!$F$19,1)))+Pipeline!$S$20*Pipeline!$D$20*MIN(1,MAX(0,(26-Pipeline!$E$20+1)/MAX(Pipeline!$F$20,1)))+Pipeline!$S$21*Pipeline!$D$21*MIN(1,MAX(0,(26-Pipeline!$E$21+1)/MAX(Pipeline!$F$21,1)))+Pipeline!$S$22*Pipeline!$D$22*MIN(1,MAX(0,(26-Pipeline!$E$22+1)/MAX(Pipeline!$F$22,1)))</f>
        <v>1159.4925</v>
      </c>
      <c r="AC20" s="150" t="n">
        <f aca="false">Pipeline!$S$16*Pipeline!$D$16*MIN(1,MAX(0,(27-Pipeline!$E$16+1)/MAX(Pipeline!$F$16,1)))+Pipeline!$S$17*Pipeline!$D$17*MIN(1,MAX(0,(27-Pipeline!$E$17+1)/MAX(Pipeline!$F$17,1)))+Pipeline!$S$18*Pipeline!$D$18*MIN(1,MAX(0,(27-Pipeline!$E$18+1)/MAX(Pipeline!$F$18,1)))+Pipeline!$S$19*Pipeline!$D$19*MIN(1,MAX(0,(27-Pipeline!$E$19+1)/MAX(Pipeline!$F$19,1)))+Pipeline!$S$20*Pipeline!$D$20*MIN(1,MAX(0,(27-Pipeline!$E$20+1)/MAX(Pipeline!$F$20,1)))+Pipeline!$S$21*Pipeline!$D$21*MIN(1,MAX(0,(27-Pipeline!$E$21+1)/MAX(Pipeline!$F$21,1)))+Pipeline!$S$22*Pipeline!$D$22*MIN(1,MAX(0,(27-Pipeline!$E$22+1)/MAX(Pipeline!$F$22,1)))</f>
        <v>1159.4925</v>
      </c>
      <c r="AD20" s="150" t="n">
        <f aca="false">Pipeline!$S$16*Pipeline!$D$16*MIN(1,MAX(0,(28-Pipeline!$E$16+1)/MAX(Pipeline!$F$16,1)))+Pipeline!$S$17*Pipeline!$D$17*MIN(1,MAX(0,(28-Pipeline!$E$17+1)/MAX(Pipeline!$F$17,1)))+Pipeline!$S$18*Pipeline!$D$18*MIN(1,MAX(0,(28-Pipeline!$E$18+1)/MAX(Pipeline!$F$18,1)))+Pipeline!$S$19*Pipeline!$D$19*MIN(1,MAX(0,(28-Pipeline!$E$19+1)/MAX(Pipeline!$F$19,1)))+Pipeline!$S$20*Pipeline!$D$20*MIN(1,MAX(0,(28-Pipeline!$E$20+1)/MAX(Pipeline!$F$20,1)))+Pipeline!$S$21*Pipeline!$D$21*MIN(1,MAX(0,(28-Pipeline!$E$21+1)/MAX(Pipeline!$F$21,1)))+Pipeline!$S$22*Pipeline!$D$22*MIN(1,MAX(0,(28-Pipeline!$E$22+1)/MAX(Pipeline!$F$22,1)))</f>
        <v>1159.4925</v>
      </c>
      <c r="AE20" s="150" t="n">
        <f aca="false">Pipeline!$S$16*Pipeline!$D$16*MIN(1,MAX(0,(29-Pipeline!$E$16+1)/MAX(Pipeline!$F$16,1)))+Pipeline!$S$17*Pipeline!$D$17*MIN(1,MAX(0,(29-Pipeline!$E$17+1)/MAX(Pipeline!$F$17,1)))+Pipeline!$S$18*Pipeline!$D$18*MIN(1,MAX(0,(29-Pipeline!$E$18+1)/MAX(Pipeline!$F$18,1)))+Pipeline!$S$19*Pipeline!$D$19*MIN(1,MAX(0,(29-Pipeline!$E$19+1)/MAX(Pipeline!$F$19,1)))+Pipeline!$S$20*Pipeline!$D$20*MIN(1,MAX(0,(29-Pipeline!$E$20+1)/MAX(Pipeline!$F$20,1)))+Pipeline!$S$21*Pipeline!$D$21*MIN(1,MAX(0,(29-Pipeline!$E$21+1)/MAX(Pipeline!$F$21,1)))+Pipeline!$S$22*Pipeline!$D$22*MIN(1,MAX(0,(29-Pipeline!$E$22+1)/MAX(Pipeline!$F$22,1)))</f>
        <v>1159.4925</v>
      </c>
      <c r="AF20" s="150" t="n">
        <f aca="false">Pipeline!$S$16*Pipeline!$D$16*MIN(1,MAX(0,(30-Pipeline!$E$16+1)/MAX(Pipeline!$F$16,1)))+Pipeline!$S$17*Pipeline!$D$17*MIN(1,MAX(0,(30-Pipeline!$E$17+1)/MAX(Pipeline!$F$17,1)))+Pipeline!$S$18*Pipeline!$D$18*MIN(1,MAX(0,(30-Pipeline!$E$18+1)/MAX(Pipeline!$F$18,1)))+Pipeline!$S$19*Pipeline!$D$19*MIN(1,MAX(0,(30-Pipeline!$E$19+1)/MAX(Pipeline!$F$19,1)))+Pipeline!$S$20*Pipeline!$D$20*MIN(1,MAX(0,(30-Pipeline!$E$20+1)/MAX(Pipeline!$F$20,1)))+Pipeline!$S$21*Pipeline!$D$21*MIN(1,MAX(0,(30-Pipeline!$E$21+1)/MAX(Pipeline!$F$21,1)))+Pipeline!$S$22*Pipeline!$D$22*MIN(1,MAX(0,(30-Pipeline!$E$22+1)/MAX(Pipeline!$F$22,1)))</f>
        <v>1159.4925</v>
      </c>
      <c r="AG20" s="150" t="n">
        <f aca="false">Pipeline!$S$16*Pipeline!$D$16*MIN(1,MAX(0,(31-Pipeline!$E$16+1)/MAX(Pipeline!$F$16,1)))+Pipeline!$S$17*Pipeline!$D$17*MIN(1,MAX(0,(31-Pipeline!$E$17+1)/MAX(Pipeline!$F$17,1)))+Pipeline!$S$18*Pipeline!$D$18*MIN(1,MAX(0,(31-Pipeline!$E$18+1)/MAX(Pipeline!$F$18,1)))+Pipeline!$S$19*Pipeline!$D$19*MIN(1,MAX(0,(31-Pipeline!$E$19+1)/MAX(Pipeline!$F$19,1)))+Pipeline!$S$20*Pipeline!$D$20*MIN(1,MAX(0,(31-Pipeline!$E$20+1)/MAX(Pipeline!$F$20,1)))+Pipeline!$S$21*Pipeline!$D$21*MIN(1,MAX(0,(31-Pipeline!$E$21+1)/MAX(Pipeline!$F$21,1)))+Pipeline!$S$22*Pipeline!$D$22*MIN(1,MAX(0,(31-Pipeline!$E$22+1)/MAX(Pipeline!$F$22,1)))</f>
        <v>1159.4925</v>
      </c>
      <c r="AH20" s="150" t="n">
        <f aca="false">Pipeline!$S$16*Pipeline!$D$16*MIN(1,MAX(0,(32-Pipeline!$E$16+1)/MAX(Pipeline!$F$16,1)))+Pipeline!$S$17*Pipeline!$D$17*MIN(1,MAX(0,(32-Pipeline!$E$17+1)/MAX(Pipeline!$F$17,1)))+Pipeline!$S$18*Pipeline!$D$18*MIN(1,MAX(0,(32-Pipeline!$E$18+1)/MAX(Pipeline!$F$18,1)))+Pipeline!$S$19*Pipeline!$D$19*MIN(1,MAX(0,(32-Pipeline!$E$19+1)/MAX(Pipeline!$F$19,1)))+Pipeline!$S$20*Pipeline!$D$20*MIN(1,MAX(0,(32-Pipeline!$E$20+1)/MAX(Pipeline!$F$20,1)))+Pipeline!$S$21*Pipeline!$D$21*MIN(1,MAX(0,(32-Pipeline!$E$21+1)/MAX(Pipeline!$F$21,1)))+Pipeline!$S$22*Pipeline!$D$22*MIN(1,MAX(0,(32-Pipeline!$E$22+1)/MAX(Pipeline!$F$22,1)))</f>
        <v>1159.4925</v>
      </c>
      <c r="AI20" s="150" t="n">
        <f aca="false">Pipeline!$S$16*Pipeline!$D$16*MIN(1,MAX(0,(33-Pipeline!$E$16+1)/MAX(Pipeline!$F$16,1)))+Pipeline!$S$17*Pipeline!$D$17*MIN(1,MAX(0,(33-Pipeline!$E$17+1)/MAX(Pipeline!$F$17,1)))+Pipeline!$S$18*Pipeline!$D$18*MIN(1,MAX(0,(33-Pipeline!$E$18+1)/MAX(Pipeline!$F$18,1)))+Pipeline!$S$19*Pipeline!$D$19*MIN(1,MAX(0,(33-Pipeline!$E$19+1)/MAX(Pipeline!$F$19,1)))+Pipeline!$S$20*Pipeline!$D$20*MIN(1,MAX(0,(33-Pipeline!$E$20+1)/MAX(Pipeline!$F$20,1)))+Pipeline!$S$21*Pipeline!$D$21*MIN(1,MAX(0,(33-Pipeline!$E$21+1)/MAX(Pipeline!$F$21,1)))+Pipeline!$S$22*Pipeline!$D$22*MIN(1,MAX(0,(33-Pipeline!$E$22+1)/MAX(Pipeline!$F$22,1)))</f>
        <v>1159.4925</v>
      </c>
      <c r="AJ20" s="150" t="n">
        <f aca="false">Pipeline!$S$16*Pipeline!$D$16*MIN(1,MAX(0,(34-Pipeline!$E$16+1)/MAX(Pipeline!$F$16,1)))+Pipeline!$S$17*Pipeline!$D$17*MIN(1,MAX(0,(34-Pipeline!$E$17+1)/MAX(Pipeline!$F$17,1)))+Pipeline!$S$18*Pipeline!$D$18*MIN(1,MAX(0,(34-Pipeline!$E$18+1)/MAX(Pipeline!$F$18,1)))+Pipeline!$S$19*Pipeline!$D$19*MIN(1,MAX(0,(34-Pipeline!$E$19+1)/MAX(Pipeline!$F$19,1)))+Pipeline!$S$20*Pipeline!$D$20*MIN(1,MAX(0,(34-Pipeline!$E$20+1)/MAX(Pipeline!$F$20,1)))+Pipeline!$S$21*Pipeline!$D$21*MIN(1,MAX(0,(34-Pipeline!$E$21+1)/MAX(Pipeline!$F$21,1)))+Pipeline!$S$22*Pipeline!$D$22*MIN(1,MAX(0,(34-Pipeline!$E$22+1)/MAX(Pipeline!$F$22,1)))</f>
        <v>1159.4925</v>
      </c>
      <c r="AK20" s="150" t="n">
        <f aca="false">Pipeline!$S$16*Pipeline!$D$16*MIN(1,MAX(0,(35-Pipeline!$E$16+1)/MAX(Pipeline!$F$16,1)))+Pipeline!$S$17*Pipeline!$D$17*MIN(1,MAX(0,(35-Pipeline!$E$17+1)/MAX(Pipeline!$F$17,1)))+Pipeline!$S$18*Pipeline!$D$18*MIN(1,MAX(0,(35-Pipeline!$E$18+1)/MAX(Pipeline!$F$18,1)))+Pipeline!$S$19*Pipeline!$D$19*MIN(1,MAX(0,(35-Pipeline!$E$19+1)/MAX(Pipeline!$F$19,1)))+Pipeline!$S$20*Pipeline!$D$20*MIN(1,MAX(0,(35-Pipeline!$E$20+1)/MAX(Pipeline!$F$20,1)))+Pipeline!$S$21*Pipeline!$D$21*MIN(1,MAX(0,(35-Pipeline!$E$21+1)/MAX(Pipeline!$F$21,1)))+Pipeline!$S$22*Pipeline!$D$22*MIN(1,MAX(0,(35-Pipeline!$E$22+1)/MAX(Pipeline!$F$22,1)))</f>
        <v>1159.4925</v>
      </c>
      <c r="AL20" s="150" t="n">
        <f aca="false">Pipeline!$S$16*Pipeline!$D$16*MIN(1,MAX(0,(36-Pipeline!$E$16+1)/MAX(Pipeline!$F$16,1)))+Pipeline!$S$17*Pipeline!$D$17*MIN(1,MAX(0,(36-Pipeline!$E$17+1)/MAX(Pipeline!$F$17,1)))+Pipeline!$S$18*Pipeline!$D$18*MIN(1,MAX(0,(36-Pipeline!$E$18+1)/MAX(Pipeline!$F$18,1)))+Pipeline!$S$19*Pipeline!$D$19*MIN(1,MAX(0,(36-Pipeline!$E$19+1)/MAX(Pipeline!$F$19,1)))+Pipeline!$S$20*Pipeline!$D$20*MIN(1,MAX(0,(36-Pipeline!$E$20+1)/MAX(Pipeline!$F$20,1)))+Pipeline!$S$21*Pipeline!$D$21*MIN(1,MAX(0,(36-Pipeline!$E$21+1)/MAX(Pipeline!$F$21,1)))+Pipeline!$S$22*Pipeline!$D$22*MIN(1,MAX(0,(36-Pipeline!$E$22+1)/MAX(Pipeline!$F$22,1)))</f>
        <v>1159.4925</v>
      </c>
      <c r="AM20" s="150" t="n">
        <f aca="false">Pipeline!$S$16*Pipeline!$D$16*MIN(1,MAX(0,(37-Pipeline!$E$16+1)/MAX(Pipeline!$F$16,1)))+Pipeline!$S$17*Pipeline!$D$17*MIN(1,MAX(0,(37-Pipeline!$E$17+1)/MAX(Pipeline!$F$17,1)))+Pipeline!$S$18*Pipeline!$D$18*MIN(1,MAX(0,(37-Pipeline!$E$18+1)/MAX(Pipeline!$F$18,1)))+Pipeline!$S$19*Pipeline!$D$19*MIN(1,MAX(0,(37-Pipeline!$E$19+1)/MAX(Pipeline!$F$19,1)))+Pipeline!$S$20*Pipeline!$D$20*MIN(1,MAX(0,(37-Pipeline!$E$20+1)/MAX(Pipeline!$F$20,1)))+Pipeline!$S$21*Pipeline!$D$21*MIN(1,MAX(0,(37-Pipeline!$E$21+1)/MAX(Pipeline!$F$21,1)))+Pipeline!$S$22*Pipeline!$D$22*MIN(1,MAX(0,(37-Pipeline!$E$22+1)/MAX(Pipeline!$F$22,1)))</f>
        <v>1159.4925</v>
      </c>
      <c r="AN20" s="150" t="n">
        <f aca="false">Pipeline!$S$16*Pipeline!$D$16*MIN(1,MAX(0,(38-Pipeline!$E$16+1)/MAX(Pipeline!$F$16,1)))+Pipeline!$S$17*Pipeline!$D$17*MIN(1,MAX(0,(38-Pipeline!$E$17+1)/MAX(Pipeline!$F$17,1)))+Pipeline!$S$18*Pipeline!$D$18*MIN(1,MAX(0,(38-Pipeline!$E$18+1)/MAX(Pipeline!$F$18,1)))+Pipeline!$S$19*Pipeline!$D$19*MIN(1,MAX(0,(38-Pipeline!$E$19+1)/MAX(Pipeline!$F$19,1)))+Pipeline!$S$20*Pipeline!$D$20*MIN(1,MAX(0,(38-Pipeline!$E$20+1)/MAX(Pipeline!$F$20,1)))+Pipeline!$S$21*Pipeline!$D$21*MIN(1,MAX(0,(38-Pipeline!$E$21+1)/MAX(Pipeline!$F$21,1)))+Pipeline!$S$22*Pipeline!$D$22*MIN(1,MAX(0,(38-Pipeline!$E$22+1)/MAX(Pipeline!$F$22,1)))</f>
        <v>1159.4925</v>
      </c>
      <c r="AO20" s="150" t="n">
        <f aca="false">Pipeline!$S$16*Pipeline!$D$16*MIN(1,MAX(0,(39-Pipeline!$E$16+1)/MAX(Pipeline!$F$16,1)))+Pipeline!$S$17*Pipeline!$D$17*MIN(1,MAX(0,(39-Pipeline!$E$17+1)/MAX(Pipeline!$F$17,1)))+Pipeline!$S$18*Pipeline!$D$18*MIN(1,MAX(0,(39-Pipeline!$E$18+1)/MAX(Pipeline!$F$18,1)))+Pipeline!$S$19*Pipeline!$D$19*MIN(1,MAX(0,(39-Pipeline!$E$19+1)/MAX(Pipeline!$F$19,1)))+Pipeline!$S$20*Pipeline!$D$20*MIN(1,MAX(0,(39-Pipeline!$E$20+1)/MAX(Pipeline!$F$20,1)))+Pipeline!$S$21*Pipeline!$D$21*MIN(1,MAX(0,(39-Pipeline!$E$21+1)/MAX(Pipeline!$F$21,1)))+Pipeline!$S$22*Pipeline!$D$22*MIN(1,MAX(0,(39-Pipeline!$E$22+1)/MAX(Pipeline!$F$22,1)))</f>
        <v>1159.4925</v>
      </c>
      <c r="AP20" s="150" t="n">
        <f aca="false">Pipeline!$S$16*Pipeline!$D$16*MIN(1,MAX(0,(40-Pipeline!$E$16+1)/MAX(Pipeline!$F$16,1)))+Pipeline!$S$17*Pipeline!$D$17*MIN(1,MAX(0,(40-Pipeline!$E$17+1)/MAX(Pipeline!$F$17,1)))+Pipeline!$S$18*Pipeline!$D$18*MIN(1,MAX(0,(40-Pipeline!$E$18+1)/MAX(Pipeline!$F$18,1)))+Pipeline!$S$19*Pipeline!$D$19*MIN(1,MAX(0,(40-Pipeline!$E$19+1)/MAX(Pipeline!$F$19,1)))+Pipeline!$S$20*Pipeline!$D$20*MIN(1,MAX(0,(40-Pipeline!$E$20+1)/MAX(Pipeline!$F$20,1)))+Pipeline!$S$21*Pipeline!$D$21*MIN(1,MAX(0,(40-Pipeline!$E$21+1)/MAX(Pipeline!$F$21,1)))+Pipeline!$S$22*Pipeline!$D$22*MIN(1,MAX(0,(40-Pipeline!$E$22+1)/MAX(Pipeline!$F$22,1)))</f>
        <v>1159.4925</v>
      </c>
      <c r="AQ20" s="150" t="n">
        <f aca="false">Pipeline!$S$16*Pipeline!$D$16*MIN(1,MAX(0,(41-Pipeline!$E$16+1)/MAX(Pipeline!$F$16,1)))+Pipeline!$S$17*Pipeline!$D$17*MIN(1,MAX(0,(41-Pipeline!$E$17+1)/MAX(Pipeline!$F$17,1)))+Pipeline!$S$18*Pipeline!$D$18*MIN(1,MAX(0,(41-Pipeline!$E$18+1)/MAX(Pipeline!$F$18,1)))+Pipeline!$S$19*Pipeline!$D$19*MIN(1,MAX(0,(41-Pipeline!$E$19+1)/MAX(Pipeline!$F$19,1)))+Pipeline!$S$20*Pipeline!$D$20*MIN(1,MAX(0,(41-Pipeline!$E$20+1)/MAX(Pipeline!$F$20,1)))+Pipeline!$S$21*Pipeline!$D$21*MIN(1,MAX(0,(41-Pipeline!$E$21+1)/MAX(Pipeline!$F$21,1)))+Pipeline!$S$22*Pipeline!$D$22*MIN(1,MAX(0,(41-Pipeline!$E$22+1)/MAX(Pipeline!$F$22,1)))</f>
        <v>1159.4925</v>
      </c>
      <c r="AR20" s="150" t="n">
        <f aca="false">Pipeline!$S$16*Pipeline!$D$16*MIN(1,MAX(0,(42-Pipeline!$E$16+1)/MAX(Pipeline!$F$16,1)))+Pipeline!$S$17*Pipeline!$D$17*MIN(1,MAX(0,(42-Pipeline!$E$17+1)/MAX(Pipeline!$F$17,1)))+Pipeline!$S$18*Pipeline!$D$18*MIN(1,MAX(0,(42-Pipeline!$E$18+1)/MAX(Pipeline!$F$18,1)))+Pipeline!$S$19*Pipeline!$D$19*MIN(1,MAX(0,(42-Pipeline!$E$19+1)/MAX(Pipeline!$F$19,1)))+Pipeline!$S$20*Pipeline!$D$20*MIN(1,MAX(0,(42-Pipeline!$E$20+1)/MAX(Pipeline!$F$20,1)))+Pipeline!$S$21*Pipeline!$D$21*MIN(1,MAX(0,(42-Pipeline!$E$21+1)/MAX(Pipeline!$F$21,1)))+Pipeline!$S$22*Pipeline!$D$22*MIN(1,MAX(0,(42-Pipeline!$E$22+1)/MAX(Pipeline!$F$22,1)))</f>
        <v>1159.4925</v>
      </c>
      <c r="AS20" s="150" t="n">
        <f aca="false">Pipeline!$S$16*Pipeline!$D$16*MIN(1,MAX(0,(43-Pipeline!$E$16+1)/MAX(Pipeline!$F$16,1)))+Pipeline!$S$17*Pipeline!$D$17*MIN(1,MAX(0,(43-Pipeline!$E$17+1)/MAX(Pipeline!$F$17,1)))+Pipeline!$S$18*Pipeline!$D$18*MIN(1,MAX(0,(43-Pipeline!$E$18+1)/MAX(Pipeline!$F$18,1)))+Pipeline!$S$19*Pipeline!$D$19*MIN(1,MAX(0,(43-Pipeline!$E$19+1)/MAX(Pipeline!$F$19,1)))+Pipeline!$S$20*Pipeline!$D$20*MIN(1,MAX(0,(43-Pipeline!$E$20+1)/MAX(Pipeline!$F$20,1)))+Pipeline!$S$21*Pipeline!$D$21*MIN(1,MAX(0,(43-Pipeline!$E$21+1)/MAX(Pipeline!$F$21,1)))+Pipeline!$S$22*Pipeline!$D$22*MIN(1,MAX(0,(43-Pipeline!$E$22+1)/MAX(Pipeline!$F$22,1)))</f>
        <v>1159.4925</v>
      </c>
      <c r="AT20" s="150" t="n">
        <f aca="false">Pipeline!$S$16*Pipeline!$D$16*MIN(1,MAX(0,(44-Pipeline!$E$16+1)/MAX(Pipeline!$F$16,1)))+Pipeline!$S$17*Pipeline!$D$17*MIN(1,MAX(0,(44-Pipeline!$E$17+1)/MAX(Pipeline!$F$17,1)))+Pipeline!$S$18*Pipeline!$D$18*MIN(1,MAX(0,(44-Pipeline!$E$18+1)/MAX(Pipeline!$F$18,1)))+Pipeline!$S$19*Pipeline!$D$19*MIN(1,MAX(0,(44-Pipeline!$E$19+1)/MAX(Pipeline!$F$19,1)))+Pipeline!$S$20*Pipeline!$D$20*MIN(1,MAX(0,(44-Pipeline!$E$20+1)/MAX(Pipeline!$F$20,1)))+Pipeline!$S$21*Pipeline!$D$21*MIN(1,MAX(0,(44-Pipeline!$E$21+1)/MAX(Pipeline!$F$21,1)))+Pipeline!$S$22*Pipeline!$D$22*MIN(1,MAX(0,(44-Pipeline!$E$22+1)/MAX(Pipeline!$F$22,1)))</f>
        <v>1159.4925</v>
      </c>
      <c r="AU20" s="150" t="n">
        <f aca="false">Pipeline!$S$16*Pipeline!$D$16*MIN(1,MAX(0,(45-Pipeline!$E$16+1)/MAX(Pipeline!$F$16,1)))+Pipeline!$S$17*Pipeline!$D$17*MIN(1,MAX(0,(45-Pipeline!$E$17+1)/MAX(Pipeline!$F$17,1)))+Pipeline!$S$18*Pipeline!$D$18*MIN(1,MAX(0,(45-Pipeline!$E$18+1)/MAX(Pipeline!$F$18,1)))+Pipeline!$S$19*Pipeline!$D$19*MIN(1,MAX(0,(45-Pipeline!$E$19+1)/MAX(Pipeline!$F$19,1)))+Pipeline!$S$20*Pipeline!$D$20*MIN(1,MAX(0,(45-Pipeline!$E$20+1)/MAX(Pipeline!$F$20,1)))+Pipeline!$S$21*Pipeline!$D$21*MIN(1,MAX(0,(45-Pipeline!$E$21+1)/MAX(Pipeline!$F$21,1)))+Pipeline!$S$22*Pipeline!$D$22*MIN(1,MAX(0,(45-Pipeline!$E$22+1)/MAX(Pipeline!$F$22,1)))</f>
        <v>1159.4925</v>
      </c>
      <c r="AV20" s="150" t="n">
        <f aca="false">Pipeline!$S$16*Pipeline!$D$16*MIN(1,MAX(0,(46-Pipeline!$E$16+1)/MAX(Pipeline!$F$16,1)))+Pipeline!$S$17*Pipeline!$D$17*MIN(1,MAX(0,(46-Pipeline!$E$17+1)/MAX(Pipeline!$F$17,1)))+Pipeline!$S$18*Pipeline!$D$18*MIN(1,MAX(0,(46-Pipeline!$E$18+1)/MAX(Pipeline!$F$18,1)))+Pipeline!$S$19*Pipeline!$D$19*MIN(1,MAX(0,(46-Pipeline!$E$19+1)/MAX(Pipeline!$F$19,1)))+Pipeline!$S$20*Pipeline!$D$20*MIN(1,MAX(0,(46-Pipeline!$E$20+1)/MAX(Pipeline!$F$20,1)))+Pipeline!$S$21*Pipeline!$D$21*MIN(1,MAX(0,(46-Pipeline!$E$21+1)/MAX(Pipeline!$F$21,1)))+Pipeline!$S$22*Pipeline!$D$22*MIN(1,MAX(0,(46-Pipeline!$E$22+1)/MAX(Pipeline!$F$22,1)))</f>
        <v>1159.4925</v>
      </c>
      <c r="AW20" s="150" t="n">
        <f aca="false">Pipeline!$S$16*Pipeline!$D$16*MIN(1,MAX(0,(47-Pipeline!$E$16+1)/MAX(Pipeline!$F$16,1)))+Pipeline!$S$17*Pipeline!$D$17*MIN(1,MAX(0,(47-Pipeline!$E$17+1)/MAX(Pipeline!$F$17,1)))+Pipeline!$S$18*Pipeline!$D$18*MIN(1,MAX(0,(47-Pipeline!$E$18+1)/MAX(Pipeline!$F$18,1)))+Pipeline!$S$19*Pipeline!$D$19*MIN(1,MAX(0,(47-Pipeline!$E$19+1)/MAX(Pipeline!$F$19,1)))+Pipeline!$S$20*Pipeline!$D$20*MIN(1,MAX(0,(47-Pipeline!$E$20+1)/MAX(Pipeline!$F$20,1)))+Pipeline!$S$21*Pipeline!$D$21*MIN(1,MAX(0,(47-Pipeline!$E$21+1)/MAX(Pipeline!$F$21,1)))+Pipeline!$S$22*Pipeline!$D$22*MIN(1,MAX(0,(47-Pipeline!$E$22+1)/MAX(Pipeline!$F$22,1)))</f>
        <v>1159.4925</v>
      </c>
      <c r="AX20" s="150" t="n">
        <f aca="false">Pipeline!$S$16*Pipeline!$D$16*MIN(1,MAX(0,(48-Pipeline!$E$16+1)/MAX(Pipeline!$F$16,1)))+Pipeline!$S$17*Pipeline!$D$17*MIN(1,MAX(0,(48-Pipeline!$E$17+1)/MAX(Pipeline!$F$17,1)))+Pipeline!$S$18*Pipeline!$D$18*MIN(1,MAX(0,(48-Pipeline!$E$18+1)/MAX(Pipeline!$F$18,1)))+Pipeline!$S$19*Pipeline!$D$19*MIN(1,MAX(0,(48-Pipeline!$E$19+1)/MAX(Pipeline!$F$19,1)))+Pipeline!$S$20*Pipeline!$D$20*MIN(1,MAX(0,(48-Pipeline!$E$20+1)/MAX(Pipeline!$F$20,1)))+Pipeline!$S$21*Pipeline!$D$21*MIN(1,MAX(0,(48-Pipeline!$E$21+1)/MAX(Pipeline!$F$21,1)))+Pipeline!$S$22*Pipeline!$D$22*MIN(1,MAX(0,(48-Pipeline!$E$22+1)/MAX(Pipeline!$F$22,1)))</f>
        <v>1159.4925</v>
      </c>
      <c r="AY20" s="150" t="n">
        <f aca="false">Pipeline!$S$16*Pipeline!$D$16*MIN(1,MAX(0,(49-Pipeline!$E$16+1)/MAX(Pipeline!$F$16,1)))+Pipeline!$S$17*Pipeline!$D$17*MIN(1,MAX(0,(49-Pipeline!$E$17+1)/MAX(Pipeline!$F$17,1)))+Pipeline!$S$18*Pipeline!$D$18*MIN(1,MAX(0,(49-Pipeline!$E$18+1)/MAX(Pipeline!$F$18,1)))+Pipeline!$S$19*Pipeline!$D$19*MIN(1,MAX(0,(49-Pipeline!$E$19+1)/MAX(Pipeline!$F$19,1)))+Pipeline!$S$20*Pipeline!$D$20*MIN(1,MAX(0,(49-Pipeline!$E$20+1)/MAX(Pipeline!$F$20,1)))+Pipeline!$S$21*Pipeline!$D$21*MIN(1,MAX(0,(49-Pipeline!$E$21+1)/MAX(Pipeline!$F$21,1)))+Pipeline!$S$22*Pipeline!$D$22*MIN(1,MAX(0,(49-Pipeline!$E$22+1)/MAX(Pipeline!$F$22,1)))</f>
        <v>1159.4925</v>
      </c>
      <c r="AZ20" s="150" t="n">
        <f aca="false">Pipeline!$S$16*Pipeline!$D$16*MIN(1,MAX(0,(50-Pipeline!$E$16+1)/MAX(Pipeline!$F$16,1)))+Pipeline!$S$17*Pipeline!$D$17*MIN(1,MAX(0,(50-Pipeline!$E$17+1)/MAX(Pipeline!$F$17,1)))+Pipeline!$S$18*Pipeline!$D$18*MIN(1,MAX(0,(50-Pipeline!$E$18+1)/MAX(Pipeline!$F$18,1)))+Pipeline!$S$19*Pipeline!$D$19*MIN(1,MAX(0,(50-Pipeline!$E$19+1)/MAX(Pipeline!$F$19,1)))+Pipeline!$S$20*Pipeline!$D$20*MIN(1,MAX(0,(50-Pipeline!$E$20+1)/MAX(Pipeline!$F$20,1)))+Pipeline!$S$21*Pipeline!$D$21*MIN(1,MAX(0,(50-Pipeline!$E$21+1)/MAX(Pipeline!$F$21,1)))+Pipeline!$S$22*Pipeline!$D$22*MIN(1,MAX(0,(50-Pipeline!$E$22+1)/MAX(Pipeline!$F$22,1)))</f>
        <v>1159.4925</v>
      </c>
      <c r="BA20" s="150" t="n">
        <f aca="false">Pipeline!$S$16*Pipeline!$D$16*MIN(1,MAX(0,(51-Pipeline!$E$16+1)/MAX(Pipeline!$F$16,1)))+Pipeline!$S$17*Pipeline!$D$17*MIN(1,MAX(0,(51-Pipeline!$E$17+1)/MAX(Pipeline!$F$17,1)))+Pipeline!$S$18*Pipeline!$D$18*MIN(1,MAX(0,(51-Pipeline!$E$18+1)/MAX(Pipeline!$F$18,1)))+Pipeline!$S$19*Pipeline!$D$19*MIN(1,MAX(0,(51-Pipeline!$E$19+1)/MAX(Pipeline!$F$19,1)))+Pipeline!$S$20*Pipeline!$D$20*MIN(1,MAX(0,(51-Pipeline!$E$20+1)/MAX(Pipeline!$F$20,1)))+Pipeline!$S$21*Pipeline!$D$21*MIN(1,MAX(0,(51-Pipeline!$E$21+1)/MAX(Pipeline!$F$21,1)))+Pipeline!$S$22*Pipeline!$D$22*MIN(1,MAX(0,(51-Pipeline!$E$22+1)/MAX(Pipeline!$F$22,1)))</f>
        <v>1159.4925</v>
      </c>
      <c r="BB20" s="150" t="n">
        <f aca="false">Pipeline!$S$16*Pipeline!$D$16*MIN(1,MAX(0,(52-Pipeline!$E$16+1)/MAX(Pipeline!$F$16,1)))+Pipeline!$S$17*Pipeline!$D$17*MIN(1,MAX(0,(52-Pipeline!$E$17+1)/MAX(Pipeline!$F$17,1)))+Pipeline!$S$18*Pipeline!$D$18*MIN(1,MAX(0,(52-Pipeline!$E$18+1)/MAX(Pipeline!$F$18,1)))+Pipeline!$S$19*Pipeline!$D$19*MIN(1,MAX(0,(52-Pipeline!$E$19+1)/MAX(Pipeline!$F$19,1)))+Pipeline!$S$20*Pipeline!$D$20*MIN(1,MAX(0,(52-Pipeline!$E$20+1)/MAX(Pipeline!$F$20,1)))+Pipeline!$S$21*Pipeline!$D$21*MIN(1,MAX(0,(52-Pipeline!$E$21+1)/MAX(Pipeline!$F$21,1)))+Pipeline!$S$22*Pipeline!$D$22*MIN(1,MAX(0,(52-Pipeline!$E$22+1)/MAX(Pipeline!$F$22,1)))</f>
        <v>1159.4925</v>
      </c>
      <c r="BC20" s="150" t="n">
        <f aca="false">Pipeline!$S$16*Pipeline!$D$16*MIN(1,MAX(0,(53-Pipeline!$E$16+1)/MAX(Pipeline!$F$16,1)))+Pipeline!$S$17*Pipeline!$D$17*MIN(1,MAX(0,(53-Pipeline!$E$17+1)/MAX(Pipeline!$F$17,1)))+Pipeline!$S$18*Pipeline!$D$18*MIN(1,MAX(0,(53-Pipeline!$E$18+1)/MAX(Pipeline!$F$18,1)))+Pipeline!$S$19*Pipeline!$D$19*MIN(1,MAX(0,(53-Pipeline!$E$19+1)/MAX(Pipeline!$F$19,1)))+Pipeline!$S$20*Pipeline!$D$20*MIN(1,MAX(0,(53-Pipeline!$E$20+1)/MAX(Pipeline!$F$20,1)))+Pipeline!$S$21*Pipeline!$D$21*MIN(1,MAX(0,(53-Pipeline!$E$21+1)/MAX(Pipeline!$F$21,1)))+Pipeline!$S$22*Pipeline!$D$22*MIN(1,MAX(0,(53-Pipeline!$E$22+1)/MAX(Pipeline!$F$22,1)))</f>
        <v>1159.4925</v>
      </c>
      <c r="BD20" s="150" t="n">
        <f aca="false">Pipeline!$S$16*Pipeline!$D$16*MIN(1,MAX(0,(54-Pipeline!$E$16+1)/MAX(Pipeline!$F$16,1)))+Pipeline!$S$17*Pipeline!$D$17*MIN(1,MAX(0,(54-Pipeline!$E$17+1)/MAX(Pipeline!$F$17,1)))+Pipeline!$S$18*Pipeline!$D$18*MIN(1,MAX(0,(54-Pipeline!$E$18+1)/MAX(Pipeline!$F$18,1)))+Pipeline!$S$19*Pipeline!$D$19*MIN(1,MAX(0,(54-Pipeline!$E$19+1)/MAX(Pipeline!$F$19,1)))+Pipeline!$S$20*Pipeline!$D$20*MIN(1,MAX(0,(54-Pipeline!$E$20+1)/MAX(Pipeline!$F$20,1)))+Pipeline!$S$21*Pipeline!$D$21*MIN(1,MAX(0,(54-Pipeline!$E$21+1)/MAX(Pipeline!$F$21,1)))+Pipeline!$S$22*Pipeline!$D$22*MIN(1,MAX(0,(54-Pipeline!$E$22+1)/MAX(Pipeline!$F$22,1)))</f>
        <v>1159.4925</v>
      </c>
      <c r="BE20" s="150" t="n">
        <f aca="false">Pipeline!$S$16*Pipeline!$D$16*MIN(1,MAX(0,(55-Pipeline!$E$16+1)/MAX(Pipeline!$F$16,1)))+Pipeline!$S$17*Pipeline!$D$17*MIN(1,MAX(0,(55-Pipeline!$E$17+1)/MAX(Pipeline!$F$17,1)))+Pipeline!$S$18*Pipeline!$D$18*MIN(1,MAX(0,(55-Pipeline!$E$18+1)/MAX(Pipeline!$F$18,1)))+Pipeline!$S$19*Pipeline!$D$19*MIN(1,MAX(0,(55-Pipeline!$E$19+1)/MAX(Pipeline!$F$19,1)))+Pipeline!$S$20*Pipeline!$D$20*MIN(1,MAX(0,(55-Pipeline!$E$20+1)/MAX(Pipeline!$F$20,1)))+Pipeline!$S$21*Pipeline!$D$21*MIN(1,MAX(0,(55-Pipeline!$E$21+1)/MAX(Pipeline!$F$21,1)))+Pipeline!$S$22*Pipeline!$D$22*MIN(1,MAX(0,(55-Pipeline!$E$22+1)/MAX(Pipeline!$F$22,1)))</f>
        <v>1159.4925</v>
      </c>
      <c r="BF20" s="150" t="n">
        <f aca="false">Pipeline!$S$16*Pipeline!$D$16*MIN(1,MAX(0,(56-Pipeline!$E$16+1)/MAX(Pipeline!$F$16,1)))+Pipeline!$S$17*Pipeline!$D$17*MIN(1,MAX(0,(56-Pipeline!$E$17+1)/MAX(Pipeline!$F$17,1)))+Pipeline!$S$18*Pipeline!$D$18*MIN(1,MAX(0,(56-Pipeline!$E$18+1)/MAX(Pipeline!$F$18,1)))+Pipeline!$S$19*Pipeline!$D$19*MIN(1,MAX(0,(56-Pipeline!$E$19+1)/MAX(Pipeline!$F$19,1)))+Pipeline!$S$20*Pipeline!$D$20*MIN(1,MAX(0,(56-Pipeline!$E$20+1)/MAX(Pipeline!$F$20,1)))+Pipeline!$S$21*Pipeline!$D$21*MIN(1,MAX(0,(56-Pipeline!$E$21+1)/MAX(Pipeline!$F$21,1)))+Pipeline!$S$22*Pipeline!$D$22*MIN(1,MAX(0,(56-Pipeline!$E$22+1)/MAX(Pipeline!$F$22,1)))</f>
        <v>1159.4925</v>
      </c>
      <c r="BG20" s="150" t="n">
        <f aca="false">Pipeline!$S$16*Pipeline!$D$16*MIN(1,MAX(0,(57-Pipeline!$E$16+1)/MAX(Pipeline!$F$16,1)))+Pipeline!$S$17*Pipeline!$D$17*MIN(1,MAX(0,(57-Pipeline!$E$17+1)/MAX(Pipeline!$F$17,1)))+Pipeline!$S$18*Pipeline!$D$18*MIN(1,MAX(0,(57-Pipeline!$E$18+1)/MAX(Pipeline!$F$18,1)))+Pipeline!$S$19*Pipeline!$D$19*MIN(1,MAX(0,(57-Pipeline!$E$19+1)/MAX(Pipeline!$F$19,1)))+Pipeline!$S$20*Pipeline!$D$20*MIN(1,MAX(0,(57-Pipeline!$E$20+1)/MAX(Pipeline!$F$20,1)))+Pipeline!$S$21*Pipeline!$D$21*MIN(1,MAX(0,(57-Pipeline!$E$21+1)/MAX(Pipeline!$F$21,1)))+Pipeline!$S$22*Pipeline!$D$22*MIN(1,MAX(0,(57-Pipeline!$E$22+1)/MAX(Pipeline!$F$22,1)))</f>
        <v>1159.4925</v>
      </c>
      <c r="BH20" s="150" t="n">
        <f aca="false">Pipeline!$S$16*Pipeline!$D$16*MIN(1,MAX(0,(58-Pipeline!$E$16+1)/MAX(Pipeline!$F$16,1)))+Pipeline!$S$17*Pipeline!$D$17*MIN(1,MAX(0,(58-Pipeline!$E$17+1)/MAX(Pipeline!$F$17,1)))+Pipeline!$S$18*Pipeline!$D$18*MIN(1,MAX(0,(58-Pipeline!$E$18+1)/MAX(Pipeline!$F$18,1)))+Pipeline!$S$19*Pipeline!$D$19*MIN(1,MAX(0,(58-Pipeline!$E$19+1)/MAX(Pipeline!$F$19,1)))+Pipeline!$S$20*Pipeline!$D$20*MIN(1,MAX(0,(58-Pipeline!$E$20+1)/MAX(Pipeline!$F$20,1)))+Pipeline!$S$21*Pipeline!$D$21*MIN(1,MAX(0,(58-Pipeline!$E$21+1)/MAX(Pipeline!$F$21,1)))+Pipeline!$S$22*Pipeline!$D$22*MIN(1,MAX(0,(58-Pipeline!$E$22+1)/MAX(Pipeline!$F$22,1)))</f>
        <v>1159.4925</v>
      </c>
      <c r="BI20" s="150" t="n">
        <f aca="false">Pipeline!$S$16*Pipeline!$D$16*MIN(1,MAX(0,(59-Pipeline!$E$16+1)/MAX(Pipeline!$F$16,1)))+Pipeline!$S$17*Pipeline!$D$17*MIN(1,MAX(0,(59-Pipeline!$E$17+1)/MAX(Pipeline!$F$17,1)))+Pipeline!$S$18*Pipeline!$D$18*MIN(1,MAX(0,(59-Pipeline!$E$18+1)/MAX(Pipeline!$F$18,1)))+Pipeline!$S$19*Pipeline!$D$19*MIN(1,MAX(0,(59-Pipeline!$E$19+1)/MAX(Pipeline!$F$19,1)))+Pipeline!$S$20*Pipeline!$D$20*MIN(1,MAX(0,(59-Pipeline!$E$20+1)/MAX(Pipeline!$F$20,1)))+Pipeline!$S$21*Pipeline!$D$21*MIN(1,MAX(0,(59-Pipeline!$E$21+1)/MAX(Pipeline!$F$21,1)))+Pipeline!$S$22*Pipeline!$D$22*MIN(1,MAX(0,(59-Pipeline!$E$22+1)/MAX(Pipeline!$F$22,1)))</f>
        <v>1159.4925</v>
      </c>
      <c r="BJ20" s="150" t="n">
        <f aca="false">Pipeline!$S$16*Pipeline!$D$16*MIN(1,MAX(0,(60-Pipeline!$E$16+1)/MAX(Pipeline!$F$16,1)))+Pipeline!$S$17*Pipeline!$D$17*MIN(1,MAX(0,(60-Pipeline!$E$17+1)/MAX(Pipeline!$F$17,1)))+Pipeline!$S$18*Pipeline!$D$18*MIN(1,MAX(0,(60-Pipeline!$E$18+1)/MAX(Pipeline!$F$18,1)))+Pipeline!$S$19*Pipeline!$D$19*MIN(1,MAX(0,(60-Pipeline!$E$19+1)/MAX(Pipeline!$F$19,1)))+Pipeline!$S$20*Pipeline!$D$20*MIN(1,MAX(0,(60-Pipeline!$E$20+1)/MAX(Pipeline!$F$20,1)))+Pipeline!$S$21*Pipeline!$D$21*MIN(1,MAX(0,(60-Pipeline!$E$21+1)/MAX(Pipeline!$F$21,1)))+Pipeline!$S$22*Pipeline!$D$22*MIN(1,MAX(0,(60-Pipeline!$E$22+1)/MAX(Pipeline!$F$22,1)))</f>
        <v>1159.4925</v>
      </c>
      <c r="BK20" s="150" t="n">
        <f aca="false">Pipeline!$S$16*Pipeline!$D$16*MIN(1,MAX(0,(61-Pipeline!$E$16+1)/MAX(Pipeline!$F$16,1)))+Pipeline!$S$17*Pipeline!$D$17*MIN(1,MAX(0,(61-Pipeline!$E$17+1)/MAX(Pipeline!$F$17,1)))+Pipeline!$S$18*Pipeline!$D$18*MIN(1,MAX(0,(61-Pipeline!$E$18+1)/MAX(Pipeline!$F$18,1)))+Pipeline!$S$19*Pipeline!$D$19*MIN(1,MAX(0,(61-Pipeline!$E$19+1)/MAX(Pipeline!$F$19,1)))+Pipeline!$S$20*Pipeline!$D$20*MIN(1,MAX(0,(61-Pipeline!$E$20+1)/MAX(Pipeline!$F$20,1)))+Pipeline!$S$21*Pipeline!$D$21*MIN(1,MAX(0,(61-Pipeline!$E$21+1)/MAX(Pipeline!$F$21,1)))+Pipeline!$S$22*Pipeline!$D$22*MIN(1,MAX(0,(61-Pipeline!$E$22+1)/MAX(Pipeline!$F$22,1)))</f>
        <v>1159.4925</v>
      </c>
      <c r="BL20" s="150" t="n">
        <f aca="false">Pipeline!$S$16*Pipeline!$D$16*MIN(1,MAX(0,(62-Pipeline!$E$16+1)/MAX(Pipeline!$F$16,1)))+Pipeline!$S$17*Pipeline!$D$17*MIN(1,MAX(0,(62-Pipeline!$E$17+1)/MAX(Pipeline!$F$17,1)))+Pipeline!$S$18*Pipeline!$D$18*MIN(1,MAX(0,(62-Pipeline!$E$18+1)/MAX(Pipeline!$F$18,1)))+Pipeline!$S$19*Pipeline!$D$19*MIN(1,MAX(0,(62-Pipeline!$E$19+1)/MAX(Pipeline!$F$19,1)))+Pipeline!$S$20*Pipeline!$D$20*MIN(1,MAX(0,(62-Pipeline!$E$20+1)/MAX(Pipeline!$F$20,1)))+Pipeline!$S$21*Pipeline!$D$21*MIN(1,MAX(0,(62-Pipeline!$E$21+1)/MAX(Pipeline!$F$21,1)))+Pipeline!$S$22*Pipeline!$D$22*MIN(1,MAX(0,(62-Pipeline!$E$22+1)/MAX(Pipeline!$F$22,1)))</f>
        <v>1159.4925</v>
      </c>
      <c r="BM20" s="150" t="n">
        <f aca="false">Pipeline!$S$16*Pipeline!$D$16*MIN(1,MAX(0,(63-Pipeline!$E$16+1)/MAX(Pipeline!$F$16,1)))+Pipeline!$S$17*Pipeline!$D$17*MIN(1,MAX(0,(63-Pipeline!$E$17+1)/MAX(Pipeline!$F$17,1)))+Pipeline!$S$18*Pipeline!$D$18*MIN(1,MAX(0,(63-Pipeline!$E$18+1)/MAX(Pipeline!$F$18,1)))+Pipeline!$S$19*Pipeline!$D$19*MIN(1,MAX(0,(63-Pipeline!$E$19+1)/MAX(Pipeline!$F$19,1)))+Pipeline!$S$20*Pipeline!$D$20*MIN(1,MAX(0,(63-Pipeline!$E$20+1)/MAX(Pipeline!$F$20,1)))+Pipeline!$S$21*Pipeline!$D$21*MIN(1,MAX(0,(63-Pipeline!$E$21+1)/MAX(Pipeline!$F$21,1)))+Pipeline!$S$22*Pipeline!$D$22*MIN(1,MAX(0,(63-Pipeline!$E$22+1)/MAX(Pipeline!$F$22,1)))</f>
        <v>1159.4925</v>
      </c>
      <c r="BN20" s="150" t="n">
        <f aca="false">Pipeline!$S$16*Pipeline!$D$16*MIN(1,MAX(0,(64-Pipeline!$E$16+1)/MAX(Pipeline!$F$16,1)))+Pipeline!$S$17*Pipeline!$D$17*MIN(1,MAX(0,(64-Pipeline!$E$17+1)/MAX(Pipeline!$F$17,1)))+Pipeline!$S$18*Pipeline!$D$18*MIN(1,MAX(0,(64-Pipeline!$E$18+1)/MAX(Pipeline!$F$18,1)))+Pipeline!$S$19*Pipeline!$D$19*MIN(1,MAX(0,(64-Pipeline!$E$19+1)/MAX(Pipeline!$F$19,1)))+Pipeline!$S$20*Pipeline!$D$20*MIN(1,MAX(0,(64-Pipeline!$E$20+1)/MAX(Pipeline!$F$20,1)))+Pipeline!$S$21*Pipeline!$D$21*MIN(1,MAX(0,(64-Pipeline!$E$21+1)/MAX(Pipeline!$F$21,1)))+Pipeline!$S$22*Pipeline!$D$22*MIN(1,MAX(0,(64-Pipeline!$E$22+1)/MAX(Pipeline!$F$22,1)))</f>
        <v>1159.4925</v>
      </c>
      <c r="BO20" s="150" t="n">
        <f aca="false">Pipeline!$S$16*Pipeline!$D$16*MIN(1,MAX(0,(65-Pipeline!$E$16+1)/MAX(Pipeline!$F$16,1)))+Pipeline!$S$17*Pipeline!$D$17*MIN(1,MAX(0,(65-Pipeline!$E$17+1)/MAX(Pipeline!$F$17,1)))+Pipeline!$S$18*Pipeline!$D$18*MIN(1,MAX(0,(65-Pipeline!$E$18+1)/MAX(Pipeline!$F$18,1)))+Pipeline!$S$19*Pipeline!$D$19*MIN(1,MAX(0,(65-Pipeline!$E$19+1)/MAX(Pipeline!$F$19,1)))+Pipeline!$S$20*Pipeline!$D$20*MIN(1,MAX(0,(65-Pipeline!$E$20+1)/MAX(Pipeline!$F$20,1)))+Pipeline!$S$21*Pipeline!$D$21*MIN(1,MAX(0,(65-Pipeline!$E$21+1)/MAX(Pipeline!$F$21,1)))+Pipeline!$S$22*Pipeline!$D$22*MIN(1,MAX(0,(65-Pipeline!$E$22+1)/MAX(Pipeline!$F$22,1)))</f>
        <v>1159.4925</v>
      </c>
      <c r="BP20" s="150" t="n">
        <f aca="false">Pipeline!$S$16*Pipeline!$D$16*MIN(1,MAX(0,(66-Pipeline!$E$16+1)/MAX(Pipeline!$F$16,1)))+Pipeline!$S$17*Pipeline!$D$17*MIN(1,MAX(0,(66-Pipeline!$E$17+1)/MAX(Pipeline!$F$17,1)))+Pipeline!$S$18*Pipeline!$D$18*MIN(1,MAX(0,(66-Pipeline!$E$18+1)/MAX(Pipeline!$F$18,1)))+Pipeline!$S$19*Pipeline!$D$19*MIN(1,MAX(0,(66-Pipeline!$E$19+1)/MAX(Pipeline!$F$19,1)))+Pipeline!$S$20*Pipeline!$D$20*MIN(1,MAX(0,(66-Pipeline!$E$20+1)/MAX(Pipeline!$F$20,1)))+Pipeline!$S$21*Pipeline!$D$21*MIN(1,MAX(0,(66-Pipeline!$E$21+1)/MAX(Pipeline!$F$21,1)))+Pipeline!$S$22*Pipeline!$D$22*MIN(1,MAX(0,(66-Pipeline!$E$22+1)/MAX(Pipeline!$F$22,1)))</f>
        <v>1159.4925</v>
      </c>
      <c r="BQ20" s="150" t="n">
        <f aca="false">Pipeline!$S$16*Pipeline!$D$16*MIN(1,MAX(0,(67-Pipeline!$E$16+1)/MAX(Pipeline!$F$16,1)))+Pipeline!$S$17*Pipeline!$D$17*MIN(1,MAX(0,(67-Pipeline!$E$17+1)/MAX(Pipeline!$F$17,1)))+Pipeline!$S$18*Pipeline!$D$18*MIN(1,MAX(0,(67-Pipeline!$E$18+1)/MAX(Pipeline!$F$18,1)))+Pipeline!$S$19*Pipeline!$D$19*MIN(1,MAX(0,(67-Pipeline!$E$19+1)/MAX(Pipeline!$F$19,1)))+Pipeline!$S$20*Pipeline!$D$20*MIN(1,MAX(0,(67-Pipeline!$E$20+1)/MAX(Pipeline!$F$20,1)))+Pipeline!$S$21*Pipeline!$D$21*MIN(1,MAX(0,(67-Pipeline!$E$21+1)/MAX(Pipeline!$F$21,1)))+Pipeline!$S$22*Pipeline!$D$22*MIN(1,MAX(0,(67-Pipeline!$E$22+1)/MAX(Pipeline!$F$22,1)))</f>
        <v>1159.4925</v>
      </c>
      <c r="BR20" s="150" t="n">
        <f aca="false">Pipeline!$S$16*Pipeline!$D$16*MIN(1,MAX(0,(68-Pipeline!$E$16+1)/MAX(Pipeline!$F$16,1)))+Pipeline!$S$17*Pipeline!$D$17*MIN(1,MAX(0,(68-Pipeline!$E$17+1)/MAX(Pipeline!$F$17,1)))+Pipeline!$S$18*Pipeline!$D$18*MIN(1,MAX(0,(68-Pipeline!$E$18+1)/MAX(Pipeline!$F$18,1)))+Pipeline!$S$19*Pipeline!$D$19*MIN(1,MAX(0,(68-Pipeline!$E$19+1)/MAX(Pipeline!$F$19,1)))+Pipeline!$S$20*Pipeline!$D$20*MIN(1,MAX(0,(68-Pipeline!$E$20+1)/MAX(Pipeline!$F$20,1)))+Pipeline!$S$21*Pipeline!$D$21*MIN(1,MAX(0,(68-Pipeline!$E$21+1)/MAX(Pipeline!$F$21,1)))+Pipeline!$S$22*Pipeline!$D$22*MIN(1,MAX(0,(68-Pipeline!$E$22+1)/MAX(Pipeline!$F$22,1)))</f>
        <v>1159.4925</v>
      </c>
      <c r="BS20" s="150" t="n">
        <f aca="false">Pipeline!$S$16*Pipeline!$D$16*MIN(1,MAX(0,(69-Pipeline!$E$16+1)/MAX(Pipeline!$F$16,1)))+Pipeline!$S$17*Pipeline!$D$17*MIN(1,MAX(0,(69-Pipeline!$E$17+1)/MAX(Pipeline!$F$17,1)))+Pipeline!$S$18*Pipeline!$D$18*MIN(1,MAX(0,(69-Pipeline!$E$18+1)/MAX(Pipeline!$F$18,1)))+Pipeline!$S$19*Pipeline!$D$19*MIN(1,MAX(0,(69-Pipeline!$E$19+1)/MAX(Pipeline!$F$19,1)))+Pipeline!$S$20*Pipeline!$D$20*MIN(1,MAX(0,(69-Pipeline!$E$20+1)/MAX(Pipeline!$F$20,1)))+Pipeline!$S$21*Pipeline!$D$21*MIN(1,MAX(0,(69-Pipeline!$E$21+1)/MAX(Pipeline!$F$21,1)))+Pipeline!$S$22*Pipeline!$D$22*MIN(1,MAX(0,(69-Pipeline!$E$22+1)/MAX(Pipeline!$F$22,1)))</f>
        <v>1159.4925</v>
      </c>
      <c r="BT20" s="150" t="n">
        <f aca="false">Pipeline!$S$16*Pipeline!$D$16*MIN(1,MAX(0,(70-Pipeline!$E$16+1)/MAX(Pipeline!$F$16,1)))+Pipeline!$S$17*Pipeline!$D$17*MIN(1,MAX(0,(70-Pipeline!$E$17+1)/MAX(Pipeline!$F$17,1)))+Pipeline!$S$18*Pipeline!$D$18*MIN(1,MAX(0,(70-Pipeline!$E$18+1)/MAX(Pipeline!$F$18,1)))+Pipeline!$S$19*Pipeline!$D$19*MIN(1,MAX(0,(70-Pipeline!$E$19+1)/MAX(Pipeline!$F$19,1)))+Pipeline!$S$20*Pipeline!$D$20*MIN(1,MAX(0,(70-Pipeline!$E$20+1)/MAX(Pipeline!$F$20,1)))+Pipeline!$S$21*Pipeline!$D$21*MIN(1,MAX(0,(70-Pipeline!$E$21+1)/MAX(Pipeline!$F$21,1)))+Pipeline!$S$22*Pipeline!$D$22*MIN(1,MAX(0,(70-Pipeline!$E$22+1)/MAX(Pipeline!$F$22,1)))</f>
        <v>1159.4925</v>
      </c>
      <c r="BU20" s="150" t="n">
        <f aca="false">Pipeline!$S$16*Pipeline!$D$16*MIN(1,MAX(0,(71-Pipeline!$E$16+1)/MAX(Pipeline!$F$16,1)))+Pipeline!$S$17*Pipeline!$D$17*MIN(1,MAX(0,(71-Pipeline!$E$17+1)/MAX(Pipeline!$F$17,1)))+Pipeline!$S$18*Pipeline!$D$18*MIN(1,MAX(0,(71-Pipeline!$E$18+1)/MAX(Pipeline!$F$18,1)))+Pipeline!$S$19*Pipeline!$D$19*MIN(1,MAX(0,(71-Pipeline!$E$19+1)/MAX(Pipeline!$F$19,1)))+Pipeline!$S$20*Pipeline!$D$20*MIN(1,MAX(0,(71-Pipeline!$E$20+1)/MAX(Pipeline!$F$20,1)))+Pipeline!$S$21*Pipeline!$D$21*MIN(1,MAX(0,(71-Pipeline!$E$21+1)/MAX(Pipeline!$F$21,1)))+Pipeline!$S$22*Pipeline!$D$22*MIN(1,MAX(0,(71-Pipeline!$E$22+1)/MAX(Pipeline!$F$22,1)))</f>
        <v>1159.4925</v>
      </c>
      <c r="BV20" s="150" t="n">
        <f aca="false">Pipeline!$S$16*Pipeline!$D$16*MIN(1,MAX(0,(72-Pipeline!$E$16+1)/MAX(Pipeline!$F$16,1)))+Pipeline!$S$17*Pipeline!$D$17*MIN(1,MAX(0,(72-Pipeline!$E$17+1)/MAX(Pipeline!$F$17,1)))+Pipeline!$S$18*Pipeline!$D$18*MIN(1,MAX(0,(72-Pipeline!$E$18+1)/MAX(Pipeline!$F$18,1)))+Pipeline!$S$19*Pipeline!$D$19*MIN(1,MAX(0,(72-Pipeline!$E$19+1)/MAX(Pipeline!$F$19,1)))+Pipeline!$S$20*Pipeline!$D$20*MIN(1,MAX(0,(72-Pipeline!$E$20+1)/MAX(Pipeline!$F$20,1)))+Pipeline!$S$21*Pipeline!$D$21*MIN(1,MAX(0,(72-Pipeline!$E$21+1)/MAX(Pipeline!$F$21,1)))+Pipeline!$S$22*Pipeline!$D$22*MIN(1,MAX(0,(72-Pipeline!$E$22+1)/MAX(Pipeline!$F$22,1)))</f>
        <v>1159.4925</v>
      </c>
      <c r="BW20" s="150" t="n">
        <f aca="false">Pipeline!$S$16*Pipeline!$D$16*MIN(1,MAX(0,(73-Pipeline!$E$16+1)/MAX(Pipeline!$F$16,1)))+Pipeline!$S$17*Pipeline!$D$17*MIN(1,MAX(0,(73-Pipeline!$E$17+1)/MAX(Pipeline!$F$17,1)))+Pipeline!$S$18*Pipeline!$D$18*MIN(1,MAX(0,(73-Pipeline!$E$18+1)/MAX(Pipeline!$F$18,1)))+Pipeline!$S$19*Pipeline!$D$19*MIN(1,MAX(0,(73-Pipeline!$E$19+1)/MAX(Pipeline!$F$19,1)))+Pipeline!$S$20*Pipeline!$D$20*MIN(1,MAX(0,(73-Pipeline!$E$20+1)/MAX(Pipeline!$F$20,1)))+Pipeline!$S$21*Pipeline!$D$21*MIN(1,MAX(0,(73-Pipeline!$E$21+1)/MAX(Pipeline!$F$21,1)))+Pipeline!$S$22*Pipeline!$D$22*MIN(1,MAX(0,(73-Pipeline!$E$22+1)/MAX(Pipeline!$F$22,1)))</f>
        <v>1159.4925</v>
      </c>
      <c r="BX20" s="150" t="n">
        <f aca="false">Pipeline!$S$16*Pipeline!$D$16*MIN(1,MAX(0,(74-Pipeline!$E$16+1)/MAX(Pipeline!$F$16,1)))+Pipeline!$S$17*Pipeline!$D$17*MIN(1,MAX(0,(74-Pipeline!$E$17+1)/MAX(Pipeline!$F$17,1)))+Pipeline!$S$18*Pipeline!$D$18*MIN(1,MAX(0,(74-Pipeline!$E$18+1)/MAX(Pipeline!$F$18,1)))+Pipeline!$S$19*Pipeline!$D$19*MIN(1,MAX(0,(74-Pipeline!$E$19+1)/MAX(Pipeline!$F$19,1)))+Pipeline!$S$20*Pipeline!$D$20*MIN(1,MAX(0,(74-Pipeline!$E$20+1)/MAX(Pipeline!$F$20,1)))+Pipeline!$S$21*Pipeline!$D$21*MIN(1,MAX(0,(74-Pipeline!$E$21+1)/MAX(Pipeline!$F$21,1)))+Pipeline!$S$22*Pipeline!$D$22*MIN(1,MAX(0,(74-Pipeline!$E$22+1)/MAX(Pipeline!$F$22,1)))</f>
        <v>1159.4925</v>
      </c>
      <c r="BY20" s="150" t="n">
        <f aca="false">Pipeline!$S$16*Pipeline!$D$16*MIN(1,MAX(0,(75-Pipeline!$E$16+1)/MAX(Pipeline!$F$16,1)))+Pipeline!$S$17*Pipeline!$D$17*MIN(1,MAX(0,(75-Pipeline!$E$17+1)/MAX(Pipeline!$F$17,1)))+Pipeline!$S$18*Pipeline!$D$18*MIN(1,MAX(0,(75-Pipeline!$E$18+1)/MAX(Pipeline!$F$18,1)))+Pipeline!$S$19*Pipeline!$D$19*MIN(1,MAX(0,(75-Pipeline!$E$19+1)/MAX(Pipeline!$F$19,1)))+Pipeline!$S$20*Pipeline!$D$20*MIN(1,MAX(0,(75-Pipeline!$E$20+1)/MAX(Pipeline!$F$20,1)))+Pipeline!$S$21*Pipeline!$D$21*MIN(1,MAX(0,(75-Pipeline!$E$21+1)/MAX(Pipeline!$F$21,1)))+Pipeline!$S$22*Pipeline!$D$22*MIN(1,MAX(0,(75-Pipeline!$E$22+1)/MAX(Pipeline!$F$22,1)))</f>
        <v>1159.4925</v>
      </c>
      <c r="BZ20" s="150" t="n">
        <f aca="false">Pipeline!$S$16*Pipeline!$D$16*MIN(1,MAX(0,(76-Pipeline!$E$16+1)/MAX(Pipeline!$F$16,1)))+Pipeline!$S$17*Pipeline!$D$17*MIN(1,MAX(0,(76-Pipeline!$E$17+1)/MAX(Pipeline!$F$17,1)))+Pipeline!$S$18*Pipeline!$D$18*MIN(1,MAX(0,(76-Pipeline!$E$18+1)/MAX(Pipeline!$F$18,1)))+Pipeline!$S$19*Pipeline!$D$19*MIN(1,MAX(0,(76-Pipeline!$E$19+1)/MAX(Pipeline!$F$19,1)))+Pipeline!$S$20*Pipeline!$D$20*MIN(1,MAX(0,(76-Pipeline!$E$20+1)/MAX(Pipeline!$F$20,1)))+Pipeline!$S$21*Pipeline!$D$21*MIN(1,MAX(0,(76-Pipeline!$E$21+1)/MAX(Pipeline!$F$21,1)))+Pipeline!$S$22*Pipeline!$D$22*MIN(1,MAX(0,(76-Pipeline!$E$22+1)/MAX(Pipeline!$F$22,1)))</f>
        <v>1159.4925</v>
      </c>
      <c r="CA20" s="150" t="n">
        <f aca="false">Pipeline!$S$16*Pipeline!$D$16*MIN(1,MAX(0,(77-Pipeline!$E$16+1)/MAX(Pipeline!$F$16,1)))+Pipeline!$S$17*Pipeline!$D$17*MIN(1,MAX(0,(77-Pipeline!$E$17+1)/MAX(Pipeline!$F$17,1)))+Pipeline!$S$18*Pipeline!$D$18*MIN(1,MAX(0,(77-Pipeline!$E$18+1)/MAX(Pipeline!$F$18,1)))+Pipeline!$S$19*Pipeline!$D$19*MIN(1,MAX(0,(77-Pipeline!$E$19+1)/MAX(Pipeline!$F$19,1)))+Pipeline!$S$20*Pipeline!$D$20*MIN(1,MAX(0,(77-Pipeline!$E$20+1)/MAX(Pipeline!$F$20,1)))+Pipeline!$S$21*Pipeline!$D$21*MIN(1,MAX(0,(77-Pipeline!$E$21+1)/MAX(Pipeline!$F$21,1)))+Pipeline!$S$22*Pipeline!$D$22*MIN(1,MAX(0,(77-Pipeline!$E$22+1)/MAX(Pipeline!$F$22,1)))</f>
        <v>1159.4925</v>
      </c>
      <c r="CB20" s="150" t="n">
        <f aca="false">Pipeline!$S$16*Pipeline!$D$16*MIN(1,MAX(0,(78-Pipeline!$E$16+1)/MAX(Pipeline!$F$16,1)))+Pipeline!$S$17*Pipeline!$D$17*MIN(1,MAX(0,(78-Pipeline!$E$17+1)/MAX(Pipeline!$F$17,1)))+Pipeline!$S$18*Pipeline!$D$18*MIN(1,MAX(0,(78-Pipeline!$E$18+1)/MAX(Pipeline!$F$18,1)))+Pipeline!$S$19*Pipeline!$D$19*MIN(1,MAX(0,(78-Pipeline!$E$19+1)/MAX(Pipeline!$F$19,1)))+Pipeline!$S$20*Pipeline!$D$20*MIN(1,MAX(0,(78-Pipeline!$E$20+1)/MAX(Pipeline!$F$20,1)))+Pipeline!$S$21*Pipeline!$D$21*MIN(1,MAX(0,(78-Pipeline!$E$21+1)/MAX(Pipeline!$F$21,1)))+Pipeline!$S$22*Pipeline!$D$22*MIN(1,MAX(0,(78-Pipeline!$E$22+1)/MAX(Pipeline!$F$22,1)))</f>
        <v>1159.4925</v>
      </c>
      <c r="CC20" s="150" t="n">
        <f aca="false">Pipeline!$S$16*Pipeline!$D$16*MIN(1,MAX(0,(79-Pipeline!$E$16+1)/MAX(Pipeline!$F$16,1)))+Pipeline!$S$17*Pipeline!$D$17*MIN(1,MAX(0,(79-Pipeline!$E$17+1)/MAX(Pipeline!$F$17,1)))+Pipeline!$S$18*Pipeline!$D$18*MIN(1,MAX(0,(79-Pipeline!$E$18+1)/MAX(Pipeline!$F$18,1)))+Pipeline!$S$19*Pipeline!$D$19*MIN(1,MAX(0,(79-Pipeline!$E$19+1)/MAX(Pipeline!$F$19,1)))+Pipeline!$S$20*Pipeline!$D$20*MIN(1,MAX(0,(79-Pipeline!$E$20+1)/MAX(Pipeline!$F$20,1)))+Pipeline!$S$21*Pipeline!$D$21*MIN(1,MAX(0,(79-Pipeline!$E$21+1)/MAX(Pipeline!$F$21,1)))+Pipeline!$S$22*Pipeline!$D$22*MIN(1,MAX(0,(79-Pipeline!$E$22+1)/MAX(Pipeline!$F$22,1)))</f>
        <v>1159.4925</v>
      </c>
      <c r="CD20" s="150" t="n">
        <f aca="false">Pipeline!$S$16*Pipeline!$D$16*MIN(1,MAX(0,(80-Pipeline!$E$16+1)/MAX(Pipeline!$F$16,1)))+Pipeline!$S$17*Pipeline!$D$17*MIN(1,MAX(0,(80-Pipeline!$E$17+1)/MAX(Pipeline!$F$17,1)))+Pipeline!$S$18*Pipeline!$D$18*MIN(1,MAX(0,(80-Pipeline!$E$18+1)/MAX(Pipeline!$F$18,1)))+Pipeline!$S$19*Pipeline!$D$19*MIN(1,MAX(0,(80-Pipeline!$E$19+1)/MAX(Pipeline!$F$19,1)))+Pipeline!$S$20*Pipeline!$D$20*MIN(1,MAX(0,(80-Pipeline!$E$20+1)/MAX(Pipeline!$F$20,1)))+Pipeline!$S$21*Pipeline!$D$21*MIN(1,MAX(0,(80-Pipeline!$E$21+1)/MAX(Pipeline!$F$21,1)))+Pipeline!$S$22*Pipeline!$D$22*MIN(1,MAX(0,(80-Pipeline!$E$22+1)/MAX(Pipeline!$F$22,1)))</f>
        <v>1159.4925</v>
      </c>
      <c r="CE20" s="150" t="n">
        <f aca="false">Pipeline!$S$16*Pipeline!$D$16*MIN(1,MAX(0,(81-Pipeline!$E$16+1)/MAX(Pipeline!$F$16,1)))+Pipeline!$S$17*Pipeline!$D$17*MIN(1,MAX(0,(81-Pipeline!$E$17+1)/MAX(Pipeline!$F$17,1)))+Pipeline!$S$18*Pipeline!$D$18*MIN(1,MAX(0,(81-Pipeline!$E$18+1)/MAX(Pipeline!$F$18,1)))+Pipeline!$S$19*Pipeline!$D$19*MIN(1,MAX(0,(81-Pipeline!$E$19+1)/MAX(Pipeline!$F$19,1)))+Pipeline!$S$20*Pipeline!$D$20*MIN(1,MAX(0,(81-Pipeline!$E$20+1)/MAX(Pipeline!$F$20,1)))+Pipeline!$S$21*Pipeline!$D$21*MIN(1,MAX(0,(81-Pipeline!$E$21+1)/MAX(Pipeline!$F$21,1)))+Pipeline!$S$22*Pipeline!$D$22*MIN(1,MAX(0,(81-Pipeline!$E$22+1)/MAX(Pipeline!$F$22,1)))</f>
        <v>1159.4925</v>
      </c>
      <c r="CF20" s="150" t="n">
        <f aca="false">Pipeline!$S$16*Pipeline!$D$16*MIN(1,MAX(0,(82-Pipeline!$E$16+1)/MAX(Pipeline!$F$16,1)))+Pipeline!$S$17*Pipeline!$D$17*MIN(1,MAX(0,(82-Pipeline!$E$17+1)/MAX(Pipeline!$F$17,1)))+Pipeline!$S$18*Pipeline!$D$18*MIN(1,MAX(0,(82-Pipeline!$E$18+1)/MAX(Pipeline!$F$18,1)))+Pipeline!$S$19*Pipeline!$D$19*MIN(1,MAX(0,(82-Pipeline!$E$19+1)/MAX(Pipeline!$F$19,1)))+Pipeline!$S$20*Pipeline!$D$20*MIN(1,MAX(0,(82-Pipeline!$E$20+1)/MAX(Pipeline!$F$20,1)))+Pipeline!$S$21*Pipeline!$D$21*MIN(1,MAX(0,(82-Pipeline!$E$21+1)/MAX(Pipeline!$F$21,1)))+Pipeline!$S$22*Pipeline!$D$22*MIN(1,MAX(0,(82-Pipeline!$E$22+1)/MAX(Pipeline!$F$22,1)))</f>
        <v>1159.4925</v>
      </c>
      <c r="CG20" s="150" t="n">
        <f aca="false">Pipeline!$S$16*Pipeline!$D$16*MIN(1,MAX(0,(83-Pipeline!$E$16+1)/MAX(Pipeline!$F$16,1)))+Pipeline!$S$17*Pipeline!$D$17*MIN(1,MAX(0,(83-Pipeline!$E$17+1)/MAX(Pipeline!$F$17,1)))+Pipeline!$S$18*Pipeline!$D$18*MIN(1,MAX(0,(83-Pipeline!$E$18+1)/MAX(Pipeline!$F$18,1)))+Pipeline!$S$19*Pipeline!$D$19*MIN(1,MAX(0,(83-Pipeline!$E$19+1)/MAX(Pipeline!$F$19,1)))+Pipeline!$S$20*Pipeline!$D$20*MIN(1,MAX(0,(83-Pipeline!$E$20+1)/MAX(Pipeline!$F$20,1)))+Pipeline!$S$21*Pipeline!$D$21*MIN(1,MAX(0,(83-Pipeline!$E$21+1)/MAX(Pipeline!$F$21,1)))+Pipeline!$S$22*Pipeline!$D$22*MIN(1,MAX(0,(83-Pipeline!$E$22+1)/MAX(Pipeline!$F$22,1)))</f>
        <v>1159.4925</v>
      </c>
      <c r="CH20" s="150" t="n">
        <f aca="false">Pipeline!$S$16*Pipeline!$D$16*MIN(1,MAX(0,(84-Pipeline!$E$16+1)/MAX(Pipeline!$F$16,1)))+Pipeline!$S$17*Pipeline!$D$17*MIN(1,MAX(0,(84-Pipeline!$E$17+1)/MAX(Pipeline!$F$17,1)))+Pipeline!$S$18*Pipeline!$D$18*MIN(1,MAX(0,(84-Pipeline!$E$18+1)/MAX(Pipeline!$F$18,1)))+Pipeline!$S$19*Pipeline!$D$19*MIN(1,MAX(0,(84-Pipeline!$E$19+1)/MAX(Pipeline!$F$19,1)))+Pipeline!$S$20*Pipeline!$D$20*MIN(1,MAX(0,(84-Pipeline!$E$20+1)/MAX(Pipeline!$F$20,1)))+Pipeline!$S$21*Pipeline!$D$21*MIN(1,MAX(0,(84-Pipeline!$E$21+1)/MAX(Pipeline!$F$21,1)))+Pipeline!$S$22*Pipeline!$D$22*MIN(1,MAX(0,(84-Pipeline!$E$22+1)/MAX(Pipeline!$F$22,1)))</f>
        <v>1159.4925</v>
      </c>
    </row>
    <row r="21" customFormat="false" ht="13.5" hidden="false" customHeight="true" outlineLevel="0" collapsed="false">
      <c r="A21" s="13" t="s">
        <v>704</v>
      </c>
      <c r="C21" s="151" t="n">
        <f aca="false">IF(C18=0,1,MIN(1,C8/C18))</f>
        <v>1</v>
      </c>
      <c r="D21" s="151" t="n">
        <f aca="false">IF(D18=0,1,MIN(1,D8/D18))</f>
        <v>1</v>
      </c>
      <c r="E21" s="151" t="n">
        <f aca="false">IF(E18=0,1,MIN(1,E8/E18))</f>
        <v>1</v>
      </c>
      <c r="F21" s="151" t="n">
        <f aca="false">IF(F18=0,1,MIN(1,F8/F18))</f>
        <v>1</v>
      </c>
      <c r="G21" s="151" t="n">
        <f aca="false">IF(G18=0,1,MIN(1,G8/G18))</f>
        <v>1</v>
      </c>
      <c r="H21" s="151" t="n">
        <f aca="false">IF(H18=0,1,MIN(1,H8/H18))</f>
        <v>1</v>
      </c>
      <c r="I21" s="151" t="n">
        <f aca="false">IF(I18=0,1,MIN(1,I8/I18))</f>
        <v>1</v>
      </c>
      <c r="J21" s="151" t="n">
        <f aca="false">IF(J18=0,1,MIN(1,J8/J18))</f>
        <v>1</v>
      </c>
      <c r="K21" s="151" t="n">
        <f aca="false">IF(K18=0,1,MIN(1,K8/K18))</f>
        <v>1</v>
      </c>
      <c r="L21" s="151" t="n">
        <f aca="false">IF(L18=0,1,MIN(1,L8/L18))</f>
        <v>1</v>
      </c>
      <c r="M21" s="151" t="n">
        <f aca="false">IF(M18=0,1,MIN(1,M8/M18))</f>
        <v>1</v>
      </c>
      <c r="N21" s="151" t="n">
        <f aca="false">IF(N18=0,1,MIN(1,N8/N18))</f>
        <v>1</v>
      </c>
      <c r="O21" s="151" t="n">
        <f aca="false">IF(O18=0,1,MIN(1,O8/O18))</f>
        <v>1</v>
      </c>
      <c r="P21" s="151" t="n">
        <f aca="false">IF(P18=0,1,MIN(1,P8/P18))</f>
        <v>1</v>
      </c>
      <c r="Q21" s="151" t="n">
        <f aca="false">IF(Q18=0,1,MIN(1,Q8/Q18))</f>
        <v>1</v>
      </c>
      <c r="R21" s="151" t="n">
        <f aca="false">IF(R18=0,1,MIN(1,R8/R18))</f>
        <v>1</v>
      </c>
      <c r="S21" s="151" t="n">
        <f aca="false">IF(S18=0,1,MIN(1,S8/S18))</f>
        <v>1</v>
      </c>
      <c r="T21" s="151" t="n">
        <f aca="false">IF(T18=0,1,MIN(1,T8/T18))</f>
        <v>1</v>
      </c>
      <c r="U21" s="151" t="n">
        <f aca="false">IF(U18=0,1,MIN(1,U8/U18))</f>
        <v>1</v>
      </c>
      <c r="V21" s="151" t="n">
        <f aca="false">IF(V18=0,1,MIN(1,V8/V18))</f>
        <v>1</v>
      </c>
      <c r="W21" s="151" t="n">
        <f aca="false">IF(W18=0,1,MIN(1,W8/W18))</f>
        <v>1</v>
      </c>
      <c r="X21" s="151" t="n">
        <f aca="false">IF(X18=0,1,MIN(1,X8/X18))</f>
        <v>1</v>
      </c>
      <c r="Y21" s="151" t="n">
        <f aca="false">IF(Y18=0,1,MIN(1,Y8/Y18))</f>
        <v>1</v>
      </c>
      <c r="Z21" s="151" t="n">
        <f aca="false">IF(Z18=0,1,MIN(1,Z8/Z18))</f>
        <v>1</v>
      </c>
      <c r="AA21" s="151" t="n">
        <f aca="false">IF(AA18=0,1,MIN(1,AA8/AA18))</f>
        <v>1</v>
      </c>
      <c r="AB21" s="151" t="n">
        <f aca="false">IF(AB18=0,1,MIN(1,AB8/AB18))</f>
        <v>1</v>
      </c>
      <c r="AC21" s="151" t="n">
        <f aca="false">IF(AC18=0,1,MIN(1,AC8/AC18))</f>
        <v>1</v>
      </c>
      <c r="AD21" s="151" t="n">
        <f aca="false">IF(AD18=0,1,MIN(1,AD8/AD18))</f>
        <v>1</v>
      </c>
      <c r="AE21" s="151" t="n">
        <f aca="false">IF(AE18=0,1,MIN(1,AE8/AE18))</f>
        <v>1</v>
      </c>
      <c r="AF21" s="151" t="n">
        <f aca="false">IF(AF18=0,1,MIN(1,AF8/AF18))</f>
        <v>1</v>
      </c>
      <c r="AG21" s="151" t="n">
        <f aca="false">IF(AG18=0,1,MIN(1,AG8/AG18))</f>
        <v>1</v>
      </c>
      <c r="AH21" s="151" t="n">
        <f aca="false">IF(AH18=0,1,MIN(1,AH8/AH18))</f>
        <v>1</v>
      </c>
      <c r="AI21" s="151" t="n">
        <f aca="false">IF(AI18=0,1,MIN(1,AI8/AI18))</f>
        <v>1</v>
      </c>
      <c r="AJ21" s="151" t="n">
        <f aca="false">IF(AJ18=0,1,MIN(1,AJ8/AJ18))</f>
        <v>1</v>
      </c>
      <c r="AK21" s="151" t="n">
        <f aca="false">IF(AK18=0,1,MIN(1,AK8/AK18))</f>
        <v>1</v>
      </c>
      <c r="AL21" s="151" t="n">
        <f aca="false">IF(AL18=0,1,MIN(1,AL8/AL18))</f>
        <v>1</v>
      </c>
      <c r="AM21" s="151" t="n">
        <f aca="false">IF(AM18=0,1,MIN(1,AM8/AM18))</f>
        <v>1</v>
      </c>
      <c r="AN21" s="151" t="n">
        <f aca="false">IF(AN18=0,1,MIN(1,AN8/AN18))</f>
        <v>1</v>
      </c>
      <c r="AO21" s="151" t="n">
        <f aca="false">IF(AO18=0,1,MIN(1,AO8/AO18))</f>
        <v>1</v>
      </c>
      <c r="AP21" s="151" t="n">
        <f aca="false">IF(AP18=0,1,MIN(1,AP8/AP18))</f>
        <v>1</v>
      </c>
      <c r="AQ21" s="151" t="n">
        <f aca="false">IF(AQ18=0,1,MIN(1,AQ8/AQ18))</f>
        <v>1</v>
      </c>
      <c r="AR21" s="151" t="n">
        <f aca="false">IF(AR18=0,1,MIN(1,AR8/AR18))</f>
        <v>1</v>
      </c>
      <c r="AS21" s="151" t="n">
        <f aca="false">IF(AS18=0,1,MIN(1,AS8/AS18))</f>
        <v>1</v>
      </c>
      <c r="AT21" s="151" t="n">
        <f aca="false">IF(AT18=0,1,MIN(1,AT8/AT18))</f>
        <v>1</v>
      </c>
      <c r="AU21" s="151" t="n">
        <f aca="false">IF(AU18=0,1,MIN(1,AU8/AU18))</f>
        <v>1</v>
      </c>
      <c r="AV21" s="151" t="n">
        <f aca="false">IF(AV18=0,1,MIN(1,AV8/AV18))</f>
        <v>1</v>
      </c>
      <c r="AW21" s="151" t="n">
        <f aca="false">IF(AW18=0,1,MIN(1,AW8/AW18))</f>
        <v>1</v>
      </c>
      <c r="AX21" s="151" t="n">
        <f aca="false">IF(AX18=0,1,MIN(1,AX8/AX18))</f>
        <v>1</v>
      </c>
      <c r="AY21" s="151" t="n">
        <f aca="false">IF(AY18=0,1,MIN(1,AY8/AY18))</f>
        <v>1</v>
      </c>
      <c r="AZ21" s="151" t="n">
        <f aca="false">IF(AZ18=0,1,MIN(1,AZ8/AZ18))</f>
        <v>1</v>
      </c>
      <c r="BA21" s="151" t="n">
        <f aca="false">IF(BA18=0,1,MIN(1,BA8/BA18))</f>
        <v>1</v>
      </c>
      <c r="BB21" s="151" t="n">
        <f aca="false">IF(BB18=0,1,MIN(1,BB8/BB18))</f>
        <v>1</v>
      </c>
      <c r="BC21" s="151" t="n">
        <f aca="false">IF(BC18=0,1,MIN(1,BC8/BC18))</f>
        <v>1</v>
      </c>
      <c r="BD21" s="151" t="n">
        <f aca="false">IF(BD18=0,1,MIN(1,BD8/BD18))</f>
        <v>1</v>
      </c>
      <c r="BE21" s="151" t="n">
        <f aca="false">IF(BE18=0,1,MIN(1,BE8/BE18))</f>
        <v>1</v>
      </c>
      <c r="BF21" s="151" t="n">
        <f aca="false">IF(BF18=0,1,MIN(1,BF8/BF18))</f>
        <v>1</v>
      </c>
      <c r="BG21" s="151" t="n">
        <f aca="false">IF(BG18=0,1,MIN(1,BG8/BG18))</f>
        <v>1</v>
      </c>
      <c r="BH21" s="151" t="n">
        <f aca="false">IF(BH18=0,1,MIN(1,BH8/BH18))</f>
        <v>1</v>
      </c>
      <c r="BI21" s="151" t="n">
        <f aca="false">IF(BI18=0,1,MIN(1,BI8/BI18))</f>
        <v>1</v>
      </c>
      <c r="BJ21" s="151" t="n">
        <f aca="false">IF(BJ18=0,1,MIN(1,BJ8/BJ18))</f>
        <v>1</v>
      </c>
      <c r="BK21" s="151" t="n">
        <f aca="false">IF(BK18=0,1,MIN(1,BK8/BK18))</f>
        <v>1</v>
      </c>
      <c r="BL21" s="151" t="n">
        <f aca="false">IF(BL18=0,1,MIN(1,BL8/BL18))</f>
        <v>1</v>
      </c>
      <c r="BM21" s="151" t="n">
        <f aca="false">IF(BM18=0,1,MIN(1,BM8/BM18))</f>
        <v>1</v>
      </c>
      <c r="BN21" s="151" t="n">
        <f aca="false">IF(BN18=0,1,MIN(1,BN8/BN18))</f>
        <v>1</v>
      </c>
      <c r="BO21" s="151" t="n">
        <f aca="false">IF(BO18=0,1,MIN(1,BO8/BO18))</f>
        <v>1</v>
      </c>
      <c r="BP21" s="151" t="n">
        <f aca="false">IF(BP18=0,1,MIN(1,BP8/BP18))</f>
        <v>1</v>
      </c>
      <c r="BQ21" s="151" t="n">
        <f aca="false">IF(BQ18=0,1,MIN(1,BQ8/BQ18))</f>
        <v>1</v>
      </c>
      <c r="BR21" s="151" t="n">
        <f aca="false">IF(BR18=0,1,MIN(1,BR8/BR18))</f>
        <v>1</v>
      </c>
      <c r="BS21" s="151" t="n">
        <f aca="false">IF(BS18=0,1,MIN(1,BS8/BS18))</f>
        <v>1</v>
      </c>
      <c r="BT21" s="151" t="n">
        <f aca="false">IF(BT18=0,1,MIN(1,BT8/BT18))</f>
        <v>1</v>
      </c>
      <c r="BU21" s="151" t="n">
        <f aca="false">IF(BU18=0,1,MIN(1,BU8/BU18))</f>
        <v>1</v>
      </c>
      <c r="BV21" s="151" t="n">
        <f aca="false">IF(BV18=0,1,MIN(1,BV8/BV18))</f>
        <v>1</v>
      </c>
      <c r="BW21" s="151" t="n">
        <f aca="false">IF(BW18=0,1,MIN(1,BW8/BW18))</f>
        <v>1</v>
      </c>
      <c r="BX21" s="151" t="n">
        <f aca="false">IF(BX18=0,1,MIN(1,BX8/BX18))</f>
        <v>1</v>
      </c>
      <c r="BY21" s="151" t="n">
        <f aca="false">IF(BY18=0,1,MIN(1,BY8/BY18))</f>
        <v>1</v>
      </c>
      <c r="BZ21" s="151" t="n">
        <f aca="false">IF(BZ18=0,1,MIN(1,BZ8/BZ18))</f>
        <v>1</v>
      </c>
      <c r="CA21" s="151" t="n">
        <f aca="false">IF(CA18=0,1,MIN(1,CA8/CA18))</f>
        <v>1</v>
      </c>
      <c r="CB21" s="151" t="n">
        <f aca="false">IF(CB18=0,1,MIN(1,CB8/CB18))</f>
        <v>1</v>
      </c>
      <c r="CC21" s="151" t="n">
        <f aca="false">IF(CC18=0,1,MIN(1,CC8/CC18))</f>
        <v>1</v>
      </c>
      <c r="CD21" s="151" t="n">
        <f aca="false">IF(CD18=0,1,MIN(1,CD8/CD18))</f>
        <v>1</v>
      </c>
      <c r="CE21" s="151" t="n">
        <f aca="false">IF(CE18=0,1,MIN(1,CE8/CE18))</f>
        <v>1</v>
      </c>
      <c r="CF21" s="151" t="n">
        <f aca="false">IF(CF18=0,1,MIN(1,CF8/CF18))</f>
        <v>1</v>
      </c>
      <c r="CG21" s="151" t="n">
        <f aca="false">IF(CG18=0,1,MIN(1,CG8/CG18))</f>
        <v>1</v>
      </c>
      <c r="CH21" s="151" t="n">
        <f aca="false">IF(CH18=0,1,MIN(1,CH8/CH18))</f>
        <v>1</v>
      </c>
    </row>
    <row r="22" customFormat="false" ht="13.5" hidden="false" customHeight="true" outlineLevel="0" collapsed="false">
      <c r="A22" s="13" t="s">
        <v>705</v>
      </c>
      <c r="C22" s="151" t="n">
        <f aca="false">MIN(Hipótesis!$C$32,Hipótesis!$C$31+(Hipótesis!$C$32-Hipótesis!$C$31)*MAX(0,1-Hipótesis!$C$29)/Hipótesis!$C$33)</f>
        <v>0</v>
      </c>
      <c r="D22" s="151" t="n">
        <f aca="false">MIN(Hipótesis!$C$32,Hipótesis!$C$31+(Hipótesis!$C$32-Hipótesis!$C$31)*MAX(0,2-Hipótesis!$C$29)/Hipótesis!$C$33)</f>
        <v>0</v>
      </c>
      <c r="E22" s="151" t="n">
        <f aca="false">MIN(Hipótesis!$C$32,Hipótesis!$C$31+(Hipótesis!$C$32-Hipótesis!$C$31)*MAX(0,3-Hipótesis!$C$29)/Hipótesis!$C$33)</f>
        <v>0</v>
      </c>
      <c r="F22" s="151" t="n">
        <f aca="false">MIN(Hipótesis!$C$32,Hipótesis!$C$31+(Hipótesis!$C$32-Hipótesis!$C$31)*MAX(0,4-Hipótesis!$C$29)/Hipótesis!$C$33)</f>
        <v>0</v>
      </c>
      <c r="G22" s="151" t="n">
        <f aca="false">MIN(Hipótesis!$C$32,Hipótesis!$C$31+(Hipótesis!$C$32-Hipótesis!$C$31)*MAX(0,5-Hipótesis!$C$29)/Hipótesis!$C$33)</f>
        <v>0</v>
      </c>
      <c r="H22" s="151" t="n">
        <f aca="false">MIN(Hipótesis!$C$32,Hipótesis!$C$31+(Hipótesis!$C$32-Hipótesis!$C$31)*MAX(0,6-Hipótesis!$C$29)/Hipótesis!$C$33)</f>
        <v>0</v>
      </c>
      <c r="I22" s="151" t="n">
        <f aca="false">MIN(Hipótesis!$C$32,Hipótesis!$C$31+(Hipótesis!$C$32-Hipótesis!$C$31)*MAX(0,7-Hipótesis!$C$29)/Hipótesis!$C$33)</f>
        <v>0.0152777777777778</v>
      </c>
      <c r="J22" s="151" t="n">
        <f aca="false">MIN(Hipótesis!$C$32,Hipótesis!$C$31+(Hipótesis!$C$32-Hipótesis!$C$31)*MAX(0,8-Hipótesis!$C$29)/Hipótesis!$C$33)</f>
        <v>0.0305555555555556</v>
      </c>
      <c r="K22" s="151" t="n">
        <f aca="false">MIN(Hipótesis!$C$32,Hipótesis!$C$31+(Hipótesis!$C$32-Hipótesis!$C$31)*MAX(0,9-Hipótesis!$C$29)/Hipótesis!$C$33)</f>
        <v>0.0458333333333333</v>
      </c>
      <c r="L22" s="151" t="n">
        <f aca="false">MIN(Hipótesis!$C$32,Hipótesis!$C$31+(Hipótesis!$C$32-Hipótesis!$C$31)*MAX(0,10-Hipótesis!$C$29)/Hipótesis!$C$33)</f>
        <v>0.0611111111111111</v>
      </c>
      <c r="M22" s="151" t="n">
        <f aca="false">MIN(Hipótesis!$C$32,Hipótesis!$C$31+(Hipótesis!$C$32-Hipótesis!$C$31)*MAX(0,11-Hipótesis!$C$29)/Hipótesis!$C$33)</f>
        <v>0.0763888888888889</v>
      </c>
      <c r="N22" s="151" t="n">
        <f aca="false">MIN(Hipótesis!$C$32,Hipótesis!$C$31+(Hipótesis!$C$32-Hipótesis!$C$31)*MAX(0,12-Hipótesis!$C$29)/Hipótesis!$C$33)</f>
        <v>0.0916666666666667</v>
      </c>
      <c r="O22" s="151" t="n">
        <f aca="false">MIN(Hipótesis!$C$32,Hipótesis!$C$31+(Hipótesis!$C$32-Hipótesis!$C$31)*MAX(0,13-Hipótesis!$C$29)/Hipótesis!$C$33)</f>
        <v>0.106944444444444</v>
      </c>
      <c r="P22" s="151" t="n">
        <f aca="false">MIN(Hipótesis!$C$32,Hipótesis!$C$31+(Hipótesis!$C$32-Hipótesis!$C$31)*MAX(0,14-Hipótesis!$C$29)/Hipótesis!$C$33)</f>
        <v>0.122222222222222</v>
      </c>
      <c r="Q22" s="151" t="n">
        <f aca="false">MIN(Hipótesis!$C$32,Hipótesis!$C$31+(Hipótesis!$C$32-Hipótesis!$C$31)*MAX(0,15-Hipótesis!$C$29)/Hipótesis!$C$33)</f>
        <v>0.1375</v>
      </c>
      <c r="R22" s="151" t="n">
        <f aca="false">MIN(Hipótesis!$C$32,Hipótesis!$C$31+(Hipótesis!$C$32-Hipótesis!$C$31)*MAX(0,16-Hipótesis!$C$29)/Hipótesis!$C$33)</f>
        <v>0.152777777777778</v>
      </c>
      <c r="S22" s="151" t="n">
        <f aca="false">MIN(Hipótesis!$C$32,Hipótesis!$C$31+(Hipótesis!$C$32-Hipótesis!$C$31)*MAX(0,17-Hipótesis!$C$29)/Hipótesis!$C$33)</f>
        <v>0.168055555555556</v>
      </c>
      <c r="T22" s="151" t="n">
        <f aca="false">MIN(Hipótesis!$C$32,Hipótesis!$C$31+(Hipótesis!$C$32-Hipótesis!$C$31)*MAX(0,18-Hipótesis!$C$29)/Hipótesis!$C$33)</f>
        <v>0.183333333333333</v>
      </c>
      <c r="U22" s="151" t="n">
        <f aca="false">MIN(Hipótesis!$C$32,Hipótesis!$C$31+(Hipótesis!$C$32-Hipótesis!$C$31)*MAX(0,19-Hipótesis!$C$29)/Hipótesis!$C$33)</f>
        <v>0.198611111111111</v>
      </c>
      <c r="V22" s="151" t="n">
        <f aca="false">MIN(Hipótesis!$C$32,Hipótesis!$C$31+(Hipótesis!$C$32-Hipótesis!$C$31)*MAX(0,20-Hipótesis!$C$29)/Hipótesis!$C$33)</f>
        <v>0.213888888888889</v>
      </c>
      <c r="W22" s="151" t="n">
        <f aca="false">MIN(Hipótesis!$C$32,Hipótesis!$C$31+(Hipótesis!$C$32-Hipótesis!$C$31)*MAX(0,21-Hipótesis!$C$29)/Hipótesis!$C$33)</f>
        <v>0.229166666666667</v>
      </c>
      <c r="X22" s="151" t="n">
        <f aca="false">MIN(Hipótesis!$C$32,Hipótesis!$C$31+(Hipótesis!$C$32-Hipótesis!$C$31)*MAX(0,22-Hipótesis!$C$29)/Hipótesis!$C$33)</f>
        <v>0.244444444444444</v>
      </c>
      <c r="Y22" s="151" t="n">
        <f aca="false">MIN(Hipótesis!$C$32,Hipótesis!$C$31+(Hipótesis!$C$32-Hipótesis!$C$31)*MAX(0,23-Hipótesis!$C$29)/Hipótesis!$C$33)</f>
        <v>0.259722222222222</v>
      </c>
      <c r="Z22" s="151" t="n">
        <f aca="false">MIN(Hipótesis!$C$32,Hipótesis!$C$31+(Hipótesis!$C$32-Hipótesis!$C$31)*MAX(0,24-Hipótesis!$C$29)/Hipótesis!$C$33)</f>
        <v>0.275</v>
      </c>
      <c r="AA22" s="151" t="n">
        <f aca="false">MIN(Hipótesis!$C$32,Hipótesis!$C$31+(Hipótesis!$C$32-Hipótesis!$C$31)*MAX(0,25-Hipótesis!$C$29)/Hipótesis!$C$33)</f>
        <v>0.290277777777778</v>
      </c>
      <c r="AB22" s="151" t="n">
        <f aca="false">MIN(Hipótesis!$C$32,Hipótesis!$C$31+(Hipótesis!$C$32-Hipótesis!$C$31)*MAX(0,26-Hipótesis!$C$29)/Hipótesis!$C$33)</f>
        <v>0.305555555555556</v>
      </c>
      <c r="AC22" s="151" t="n">
        <f aca="false">MIN(Hipótesis!$C$32,Hipótesis!$C$31+(Hipótesis!$C$32-Hipótesis!$C$31)*MAX(0,27-Hipótesis!$C$29)/Hipótesis!$C$33)</f>
        <v>0.320833333333333</v>
      </c>
      <c r="AD22" s="151" t="n">
        <f aca="false">MIN(Hipótesis!$C$32,Hipótesis!$C$31+(Hipótesis!$C$32-Hipótesis!$C$31)*MAX(0,28-Hipótesis!$C$29)/Hipótesis!$C$33)</f>
        <v>0.336111111111111</v>
      </c>
      <c r="AE22" s="151" t="n">
        <f aca="false">MIN(Hipótesis!$C$32,Hipótesis!$C$31+(Hipótesis!$C$32-Hipótesis!$C$31)*MAX(0,29-Hipótesis!$C$29)/Hipótesis!$C$33)</f>
        <v>0.351388888888889</v>
      </c>
      <c r="AF22" s="151" t="n">
        <f aca="false">MIN(Hipótesis!$C$32,Hipótesis!$C$31+(Hipótesis!$C$32-Hipótesis!$C$31)*MAX(0,30-Hipótesis!$C$29)/Hipótesis!$C$33)</f>
        <v>0.366666666666667</v>
      </c>
      <c r="AG22" s="151" t="n">
        <f aca="false">MIN(Hipótesis!$C$32,Hipótesis!$C$31+(Hipótesis!$C$32-Hipótesis!$C$31)*MAX(0,31-Hipótesis!$C$29)/Hipótesis!$C$33)</f>
        <v>0.381944444444445</v>
      </c>
      <c r="AH22" s="151" t="n">
        <f aca="false">MIN(Hipótesis!$C$32,Hipótesis!$C$31+(Hipótesis!$C$32-Hipótesis!$C$31)*MAX(0,32-Hipótesis!$C$29)/Hipótesis!$C$33)</f>
        <v>0.397222222222222</v>
      </c>
      <c r="AI22" s="151" t="n">
        <f aca="false">MIN(Hipótesis!$C$32,Hipótesis!$C$31+(Hipótesis!$C$32-Hipótesis!$C$31)*MAX(0,33-Hipótesis!$C$29)/Hipótesis!$C$33)</f>
        <v>0.4125</v>
      </c>
      <c r="AJ22" s="151" t="n">
        <f aca="false">MIN(Hipótesis!$C$32,Hipótesis!$C$31+(Hipótesis!$C$32-Hipótesis!$C$31)*MAX(0,34-Hipótesis!$C$29)/Hipótesis!$C$33)</f>
        <v>0.427777777777778</v>
      </c>
      <c r="AK22" s="151" t="n">
        <f aca="false">MIN(Hipótesis!$C$32,Hipótesis!$C$31+(Hipótesis!$C$32-Hipótesis!$C$31)*MAX(0,35-Hipótesis!$C$29)/Hipótesis!$C$33)</f>
        <v>0.443055555555556</v>
      </c>
      <c r="AL22" s="151" t="n">
        <f aca="false">MIN(Hipótesis!$C$32,Hipótesis!$C$31+(Hipótesis!$C$32-Hipótesis!$C$31)*MAX(0,36-Hipótesis!$C$29)/Hipótesis!$C$33)</f>
        <v>0.458333333333333</v>
      </c>
      <c r="AM22" s="151" t="n">
        <f aca="false">MIN(Hipótesis!$C$32,Hipótesis!$C$31+(Hipótesis!$C$32-Hipótesis!$C$31)*MAX(0,37-Hipótesis!$C$29)/Hipótesis!$C$33)</f>
        <v>0.473611111111111</v>
      </c>
      <c r="AN22" s="151" t="n">
        <f aca="false">MIN(Hipótesis!$C$32,Hipótesis!$C$31+(Hipótesis!$C$32-Hipótesis!$C$31)*MAX(0,38-Hipótesis!$C$29)/Hipótesis!$C$33)</f>
        <v>0.488888888888889</v>
      </c>
      <c r="AO22" s="151" t="n">
        <f aca="false">MIN(Hipótesis!$C$32,Hipótesis!$C$31+(Hipótesis!$C$32-Hipótesis!$C$31)*MAX(0,39-Hipótesis!$C$29)/Hipótesis!$C$33)</f>
        <v>0.504166666666667</v>
      </c>
      <c r="AP22" s="151" t="n">
        <f aca="false">MIN(Hipótesis!$C$32,Hipótesis!$C$31+(Hipótesis!$C$32-Hipótesis!$C$31)*MAX(0,40-Hipótesis!$C$29)/Hipótesis!$C$33)</f>
        <v>0.519444444444445</v>
      </c>
      <c r="AQ22" s="151" t="n">
        <f aca="false">MIN(Hipótesis!$C$32,Hipótesis!$C$31+(Hipótesis!$C$32-Hipótesis!$C$31)*MAX(0,41-Hipótesis!$C$29)/Hipótesis!$C$33)</f>
        <v>0.534722222222222</v>
      </c>
      <c r="AR22" s="151" t="n">
        <f aca="false">MIN(Hipótesis!$C$32,Hipótesis!$C$31+(Hipótesis!$C$32-Hipótesis!$C$31)*MAX(0,42-Hipótesis!$C$29)/Hipótesis!$C$33)</f>
        <v>0.55</v>
      </c>
      <c r="AS22" s="151" t="n">
        <f aca="false">MIN(Hipótesis!$C$32,Hipótesis!$C$31+(Hipótesis!$C$32-Hipótesis!$C$31)*MAX(0,43-Hipótesis!$C$29)/Hipótesis!$C$33)</f>
        <v>0.55</v>
      </c>
      <c r="AT22" s="151" t="n">
        <f aca="false">MIN(Hipótesis!$C$32,Hipótesis!$C$31+(Hipótesis!$C$32-Hipótesis!$C$31)*MAX(0,44-Hipótesis!$C$29)/Hipótesis!$C$33)</f>
        <v>0.55</v>
      </c>
      <c r="AU22" s="151" t="n">
        <f aca="false">MIN(Hipótesis!$C$32,Hipótesis!$C$31+(Hipótesis!$C$32-Hipótesis!$C$31)*MAX(0,45-Hipótesis!$C$29)/Hipótesis!$C$33)</f>
        <v>0.55</v>
      </c>
      <c r="AV22" s="151" t="n">
        <f aca="false">MIN(Hipótesis!$C$32,Hipótesis!$C$31+(Hipótesis!$C$32-Hipótesis!$C$31)*MAX(0,46-Hipótesis!$C$29)/Hipótesis!$C$33)</f>
        <v>0.55</v>
      </c>
      <c r="AW22" s="151" t="n">
        <f aca="false">MIN(Hipótesis!$C$32,Hipótesis!$C$31+(Hipótesis!$C$32-Hipótesis!$C$31)*MAX(0,47-Hipótesis!$C$29)/Hipótesis!$C$33)</f>
        <v>0.55</v>
      </c>
      <c r="AX22" s="151" t="n">
        <f aca="false">MIN(Hipótesis!$C$32,Hipótesis!$C$31+(Hipótesis!$C$32-Hipótesis!$C$31)*MAX(0,48-Hipótesis!$C$29)/Hipótesis!$C$33)</f>
        <v>0.55</v>
      </c>
      <c r="AY22" s="151" t="n">
        <f aca="false">MIN(Hipótesis!$C$32,Hipótesis!$C$31+(Hipótesis!$C$32-Hipótesis!$C$31)*MAX(0,49-Hipótesis!$C$29)/Hipótesis!$C$33)</f>
        <v>0.55</v>
      </c>
      <c r="AZ22" s="151" t="n">
        <f aca="false">MIN(Hipótesis!$C$32,Hipótesis!$C$31+(Hipótesis!$C$32-Hipótesis!$C$31)*MAX(0,50-Hipótesis!$C$29)/Hipótesis!$C$33)</f>
        <v>0.55</v>
      </c>
      <c r="BA22" s="151" t="n">
        <f aca="false">MIN(Hipótesis!$C$32,Hipótesis!$C$31+(Hipótesis!$C$32-Hipótesis!$C$31)*MAX(0,51-Hipótesis!$C$29)/Hipótesis!$C$33)</f>
        <v>0.55</v>
      </c>
      <c r="BB22" s="151" t="n">
        <f aca="false">MIN(Hipótesis!$C$32,Hipótesis!$C$31+(Hipótesis!$C$32-Hipótesis!$C$31)*MAX(0,52-Hipótesis!$C$29)/Hipótesis!$C$33)</f>
        <v>0.55</v>
      </c>
      <c r="BC22" s="151" t="n">
        <f aca="false">MIN(Hipótesis!$C$32,Hipótesis!$C$31+(Hipótesis!$C$32-Hipótesis!$C$31)*MAX(0,53-Hipótesis!$C$29)/Hipótesis!$C$33)</f>
        <v>0.55</v>
      </c>
      <c r="BD22" s="151" t="n">
        <f aca="false">MIN(Hipótesis!$C$32,Hipótesis!$C$31+(Hipótesis!$C$32-Hipótesis!$C$31)*MAX(0,54-Hipótesis!$C$29)/Hipótesis!$C$33)</f>
        <v>0.55</v>
      </c>
      <c r="BE22" s="151" t="n">
        <f aca="false">MIN(Hipótesis!$C$32,Hipótesis!$C$31+(Hipótesis!$C$32-Hipótesis!$C$31)*MAX(0,55-Hipótesis!$C$29)/Hipótesis!$C$33)</f>
        <v>0.55</v>
      </c>
      <c r="BF22" s="151" t="n">
        <f aca="false">MIN(Hipótesis!$C$32,Hipótesis!$C$31+(Hipótesis!$C$32-Hipótesis!$C$31)*MAX(0,56-Hipótesis!$C$29)/Hipótesis!$C$33)</f>
        <v>0.55</v>
      </c>
      <c r="BG22" s="151" t="n">
        <f aca="false">MIN(Hipótesis!$C$32,Hipótesis!$C$31+(Hipótesis!$C$32-Hipótesis!$C$31)*MAX(0,57-Hipótesis!$C$29)/Hipótesis!$C$33)</f>
        <v>0.55</v>
      </c>
      <c r="BH22" s="151" t="n">
        <f aca="false">MIN(Hipótesis!$C$32,Hipótesis!$C$31+(Hipótesis!$C$32-Hipótesis!$C$31)*MAX(0,58-Hipótesis!$C$29)/Hipótesis!$C$33)</f>
        <v>0.55</v>
      </c>
      <c r="BI22" s="151" t="n">
        <f aca="false">MIN(Hipótesis!$C$32,Hipótesis!$C$31+(Hipótesis!$C$32-Hipótesis!$C$31)*MAX(0,59-Hipótesis!$C$29)/Hipótesis!$C$33)</f>
        <v>0.55</v>
      </c>
      <c r="BJ22" s="151" t="n">
        <f aca="false">MIN(Hipótesis!$C$32,Hipótesis!$C$31+(Hipótesis!$C$32-Hipótesis!$C$31)*MAX(0,60-Hipótesis!$C$29)/Hipótesis!$C$33)</f>
        <v>0.55</v>
      </c>
      <c r="BK22" s="151" t="n">
        <f aca="false">MIN(Hipótesis!$C$32,Hipótesis!$C$31+(Hipótesis!$C$32-Hipótesis!$C$31)*MAX(0,61-Hipótesis!$C$29)/Hipótesis!$C$33)</f>
        <v>0.55</v>
      </c>
      <c r="BL22" s="151" t="n">
        <f aca="false">MIN(Hipótesis!$C$32,Hipótesis!$C$31+(Hipótesis!$C$32-Hipótesis!$C$31)*MAX(0,62-Hipótesis!$C$29)/Hipótesis!$C$33)</f>
        <v>0.55</v>
      </c>
      <c r="BM22" s="151" t="n">
        <f aca="false">MIN(Hipótesis!$C$32,Hipótesis!$C$31+(Hipótesis!$C$32-Hipótesis!$C$31)*MAX(0,63-Hipótesis!$C$29)/Hipótesis!$C$33)</f>
        <v>0.55</v>
      </c>
      <c r="BN22" s="151" t="n">
        <f aca="false">MIN(Hipótesis!$C$32,Hipótesis!$C$31+(Hipótesis!$C$32-Hipótesis!$C$31)*MAX(0,64-Hipótesis!$C$29)/Hipótesis!$C$33)</f>
        <v>0.55</v>
      </c>
      <c r="BO22" s="151" t="n">
        <f aca="false">MIN(Hipótesis!$C$32,Hipótesis!$C$31+(Hipótesis!$C$32-Hipótesis!$C$31)*MAX(0,65-Hipótesis!$C$29)/Hipótesis!$C$33)</f>
        <v>0.55</v>
      </c>
      <c r="BP22" s="151" t="n">
        <f aca="false">MIN(Hipótesis!$C$32,Hipótesis!$C$31+(Hipótesis!$C$32-Hipótesis!$C$31)*MAX(0,66-Hipótesis!$C$29)/Hipótesis!$C$33)</f>
        <v>0.55</v>
      </c>
      <c r="BQ22" s="151" t="n">
        <f aca="false">MIN(Hipótesis!$C$32,Hipótesis!$C$31+(Hipótesis!$C$32-Hipótesis!$C$31)*MAX(0,67-Hipótesis!$C$29)/Hipótesis!$C$33)</f>
        <v>0.55</v>
      </c>
      <c r="BR22" s="151" t="n">
        <f aca="false">MIN(Hipótesis!$C$32,Hipótesis!$C$31+(Hipótesis!$C$32-Hipótesis!$C$31)*MAX(0,68-Hipótesis!$C$29)/Hipótesis!$C$33)</f>
        <v>0.55</v>
      </c>
      <c r="BS22" s="151" t="n">
        <f aca="false">MIN(Hipótesis!$C$32,Hipótesis!$C$31+(Hipótesis!$C$32-Hipótesis!$C$31)*MAX(0,69-Hipótesis!$C$29)/Hipótesis!$C$33)</f>
        <v>0.55</v>
      </c>
      <c r="BT22" s="151" t="n">
        <f aca="false">MIN(Hipótesis!$C$32,Hipótesis!$C$31+(Hipótesis!$C$32-Hipótesis!$C$31)*MAX(0,70-Hipótesis!$C$29)/Hipótesis!$C$33)</f>
        <v>0.55</v>
      </c>
      <c r="BU22" s="151" t="n">
        <f aca="false">MIN(Hipótesis!$C$32,Hipótesis!$C$31+(Hipótesis!$C$32-Hipótesis!$C$31)*MAX(0,71-Hipótesis!$C$29)/Hipótesis!$C$33)</f>
        <v>0.55</v>
      </c>
      <c r="BV22" s="151" t="n">
        <f aca="false">MIN(Hipótesis!$C$32,Hipótesis!$C$31+(Hipótesis!$C$32-Hipótesis!$C$31)*MAX(0,72-Hipótesis!$C$29)/Hipótesis!$C$33)</f>
        <v>0.55</v>
      </c>
      <c r="BW22" s="151" t="n">
        <f aca="false">MIN(Hipótesis!$C$32,Hipótesis!$C$31+(Hipótesis!$C$32-Hipótesis!$C$31)*MAX(0,73-Hipótesis!$C$29)/Hipótesis!$C$33)</f>
        <v>0.55</v>
      </c>
      <c r="BX22" s="151" t="n">
        <f aca="false">MIN(Hipótesis!$C$32,Hipótesis!$C$31+(Hipótesis!$C$32-Hipótesis!$C$31)*MAX(0,74-Hipótesis!$C$29)/Hipótesis!$C$33)</f>
        <v>0.55</v>
      </c>
      <c r="BY22" s="151" t="n">
        <f aca="false">MIN(Hipótesis!$C$32,Hipótesis!$C$31+(Hipótesis!$C$32-Hipótesis!$C$31)*MAX(0,75-Hipótesis!$C$29)/Hipótesis!$C$33)</f>
        <v>0.55</v>
      </c>
      <c r="BZ22" s="151" t="n">
        <f aca="false">MIN(Hipótesis!$C$32,Hipótesis!$C$31+(Hipótesis!$C$32-Hipótesis!$C$31)*MAX(0,76-Hipótesis!$C$29)/Hipótesis!$C$33)</f>
        <v>0.55</v>
      </c>
      <c r="CA22" s="151" t="n">
        <f aca="false">MIN(Hipótesis!$C$32,Hipótesis!$C$31+(Hipótesis!$C$32-Hipótesis!$C$31)*MAX(0,77-Hipótesis!$C$29)/Hipótesis!$C$33)</f>
        <v>0.55</v>
      </c>
      <c r="CB22" s="151" t="n">
        <f aca="false">MIN(Hipótesis!$C$32,Hipótesis!$C$31+(Hipótesis!$C$32-Hipótesis!$C$31)*MAX(0,78-Hipótesis!$C$29)/Hipótesis!$C$33)</f>
        <v>0.55</v>
      </c>
      <c r="CC22" s="151" t="n">
        <f aca="false">MIN(Hipótesis!$C$32,Hipótesis!$C$31+(Hipótesis!$C$32-Hipótesis!$C$31)*MAX(0,79-Hipótesis!$C$29)/Hipótesis!$C$33)</f>
        <v>0.55</v>
      </c>
      <c r="CD22" s="151" t="n">
        <f aca="false">MIN(Hipótesis!$C$32,Hipótesis!$C$31+(Hipótesis!$C$32-Hipótesis!$C$31)*MAX(0,80-Hipótesis!$C$29)/Hipótesis!$C$33)</f>
        <v>0.55</v>
      </c>
      <c r="CE22" s="151" t="n">
        <f aca="false">MIN(Hipótesis!$C$32,Hipótesis!$C$31+(Hipótesis!$C$32-Hipótesis!$C$31)*MAX(0,81-Hipótesis!$C$29)/Hipótesis!$C$33)</f>
        <v>0.55</v>
      </c>
      <c r="CF22" s="151" t="n">
        <f aca="false">MIN(Hipótesis!$C$32,Hipótesis!$C$31+(Hipótesis!$C$32-Hipótesis!$C$31)*MAX(0,82-Hipótesis!$C$29)/Hipótesis!$C$33)</f>
        <v>0.55</v>
      </c>
      <c r="CG22" s="151" t="n">
        <f aca="false">MIN(Hipótesis!$C$32,Hipótesis!$C$31+(Hipótesis!$C$32-Hipótesis!$C$31)*MAX(0,83-Hipótesis!$C$29)/Hipótesis!$C$33)</f>
        <v>0.55</v>
      </c>
      <c r="CH22" s="151" t="n">
        <f aca="false">MIN(Hipótesis!$C$32,Hipótesis!$C$31+(Hipótesis!$C$32-Hipótesis!$C$31)*MAX(0,84-Hipótesis!$C$29)/Hipótesis!$C$33)</f>
        <v>0.55</v>
      </c>
    </row>
    <row r="23" customFormat="false" ht="13.5" hidden="false" customHeight="true" outlineLevel="0" collapsed="false">
      <c r="A23" s="13" t="s">
        <v>706</v>
      </c>
      <c r="C23" s="139" t="n">
        <f aca="false">MAX(0,MIN(C8*C22-C177,C8-C18*C21-C178))</f>
        <v>0</v>
      </c>
      <c r="D23" s="139" t="n">
        <f aca="false">MAX(0,MIN(D8*D22-D177,D8-D18*D21-D178))</f>
        <v>0</v>
      </c>
      <c r="E23" s="139" t="n">
        <f aca="false">MAX(0,MIN(E8*E22-E177,E8-E18*E21-E178))</f>
        <v>0</v>
      </c>
      <c r="F23" s="139" t="n">
        <f aca="false">MAX(0,MIN(F8*F22-F177,F8-F18*F21-F178))</f>
        <v>0</v>
      </c>
      <c r="G23" s="139" t="n">
        <f aca="false">MAX(0,MIN(G8*G22-G177,G8-G18*G21-G178))</f>
        <v>0</v>
      </c>
      <c r="H23" s="139" t="n">
        <f aca="false">MAX(0,MIN(H8*H22-H177,H8-H18*H21-H178))</f>
        <v>0</v>
      </c>
      <c r="I23" s="139" t="n">
        <f aca="false">MAX(0,MIN(I8*I22-I177,I8-I18*I21-I178))</f>
        <v>16</v>
      </c>
      <c r="J23" s="139" t="n">
        <f aca="false">MAX(0,MIN(J8*J22-J177,J8-J18*J21-J178))</f>
        <v>56</v>
      </c>
      <c r="K23" s="139" t="n">
        <f aca="false">MAX(0,MIN(K8*K22-K177,K8-K18*K21-K178))</f>
        <v>96</v>
      </c>
      <c r="L23" s="139" t="n">
        <f aca="false">MAX(0,MIN(L8*L22-L177,L8-L18*L21-L178))</f>
        <v>136</v>
      </c>
      <c r="M23" s="139" t="n">
        <f aca="false">MAX(0,MIN(M8*M22-M177,M8-M18*M21-M178))</f>
        <v>176</v>
      </c>
      <c r="N23" s="139" t="n">
        <f aca="false">MAX(0,MIN(N8*N22-N177,N8-N18*N21-N178))</f>
        <v>216</v>
      </c>
      <c r="O23" s="139" t="n">
        <f aca="false">MAX(0,MIN(O8*O22-O177,O8-O18*O21-O178))</f>
        <v>256</v>
      </c>
      <c r="P23" s="139" t="n">
        <f aca="false">MAX(0,MIN(P8*P22-P177,P8-P18*P21-P178))</f>
        <v>296</v>
      </c>
      <c r="Q23" s="139" t="n">
        <f aca="false">MAX(0,MIN(Q8*Q22-Q177,Q8-Q18*Q21-Q178))</f>
        <v>336</v>
      </c>
      <c r="R23" s="139" t="n">
        <f aca="false">MAX(0,MIN(R8*R22-R177,R8-R18*R21-R178))</f>
        <v>376</v>
      </c>
      <c r="S23" s="139" t="n">
        <f aca="false">MAX(0,MIN(S8*S22-S177,S8-S18*S21-S178))</f>
        <v>416</v>
      </c>
      <c r="T23" s="139" t="n">
        <f aca="false">MAX(0,MIN(T8*T22-T177,T8-T18*T21-T178))</f>
        <v>456</v>
      </c>
      <c r="U23" s="139" t="n">
        <f aca="false">MAX(0,MIN(U8*U22-U177,U8-U18*U21-U178))</f>
        <v>496</v>
      </c>
      <c r="V23" s="139" t="n">
        <f aca="false">MAX(0,MIN(V8*V22-V177,V8-V18*V21-V178))</f>
        <v>536</v>
      </c>
      <c r="W23" s="139" t="n">
        <f aca="false">MAX(0,MIN(W8*W22-W177,W8-W18*W21-W178))</f>
        <v>576</v>
      </c>
      <c r="X23" s="139" t="n">
        <f aca="false">MAX(0,MIN(X8*X22-X177,X8-X18*X21-X178))</f>
        <v>616</v>
      </c>
      <c r="Y23" s="139" t="n">
        <f aca="false">MAX(0,MIN(Y8*Y22-Y177,Y8-Y18*Y21-Y178))</f>
        <v>656</v>
      </c>
      <c r="Z23" s="139" t="n">
        <f aca="false">MAX(0,MIN(Z8*Z22-Z177,Z8-Z18*Z21-Z178))</f>
        <v>696</v>
      </c>
      <c r="AA23" s="139" t="n">
        <f aca="false">MAX(0,MIN(AA8*AA22-AA177,AA8-AA18*AA21-AA178))</f>
        <v>736</v>
      </c>
      <c r="AB23" s="139" t="n">
        <f aca="false">MAX(0,MIN(AB8*AB22-AB177,AB8-AB18*AB21-AB178))</f>
        <v>776</v>
      </c>
      <c r="AC23" s="139" t="n">
        <f aca="false">MAX(0,MIN(AC8*AC22-AC177,AC8-AC18*AC21-AC178))</f>
        <v>816</v>
      </c>
      <c r="AD23" s="139" t="n">
        <f aca="false">MAX(0,MIN(AD8*AD22-AD177,AD8-AD18*AD21-AD178))</f>
        <v>856</v>
      </c>
      <c r="AE23" s="139" t="n">
        <f aca="false">MAX(0,MIN(AE8*AE22-AE177,AE8-AE18*AE21-AE178))</f>
        <v>896</v>
      </c>
      <c r="AF23" s="139" t="n">
        <f aca="false">MAX(0,MIN(AF8*AF22-AF177,AF8-AF18*AF21-AF178))</f>
        <v>936</v>
      </c>
      <c r="AG23" s="139" t="n">
        <f aca="false">MAX(0,MIN(AG8*AG22-AG177,AG8-AG18*AG21-AG178))</f>
        <v>976</v>
      </c>
      <c r="AH23" s="139" t="n">
        <f aca="false">MAX(0,MIN(AH8*AH22-AH177,AH8-AH18*AH21-AH178))</f>
        <v>1016</v>
      </c>
      <c r="AI23" s="139" t="n">
        <f aca="false">MAX(0,MIN(AI8*AI22-AI177,AI8-AI18*AI21-AI178))</f>
        <v>1056</v>
      </c>
      <c r="AJ23" s="139" t="n">
        <f aca="false">MAX(0,MIN(AJ8*AJ22-AJ177,AJ8-AJ18*AJ21-AJ178))</f>
        <v>1096</v>
      </c>
      <c r="AK23" s="139" t="n">
        <f aca="false">MAX(0,MIN(AK8*AK22-AK177,AK8-AK18*AK21-AK178))</f>
        <v>1136</v>
      </c>
      <c r="AL23" s="139" t="n">
        <f aca="false">MAX(0,MIN(AL8*AL22-AL177,AL8-AL18*AL21-AL178))</f>
        <v>1176</v>
      </c>
      <c r="AM23" s="139" t="n">
        <f aca="false">MAX(0,MIN(AM8*AM22-AM177,AM8-AM18*AM21-AM178))</f>
        <v>1220</v>
      </c>
      <c r="AN23" s="139" t="n">
        <f aca="false">MAX(0,MIN(AN8*AN22-AN177,AN8-AN18*AN21-AN178))</f>
        <v>1264</v>
      </c>
      <c r="AO23" s="139" t="n">
        <f aca="false">MAX(0,MIN(AO8*AO22-AO177,AO8-AO18*AO21-AO178))</f>
        <v>1308</v>
      </c>
      <c r="AP23" s="139" t="n">
        <f aca="false">MAX(0,MIN(AP8*AP22-AP177,AP8-AP18*AP21-AP178))</f>
        <v>1352</v>
      </c>
      <c r="AQ23" s="139" t="n">
        <f aca="false">MAX(0,MIN(AQ8*AQ22-AQ177,AQ8-AQ18*AQ21-AQ178))</f>
        <v>1396</v>
      </c>
      <c r="AR23" s="139" t="n">
        <f aca="false">MAX(0,MIN(AR8*AR22-AR177,AR8-AR18*AR21-AR178))</f>
        <v>1440</v>
      </c>
      <c r="AS23" s="139" t="n">
        <f aca="false">MAX(0,MIN(AS8*AS22-AS177,AS8-AS18*AS21-AS178))</f>
        <v>1440</v>
      </c>
      <c r="AT23" s="139" t="n">
        <f aca="false">MAX(0,MIN(AT8*AT22-AT177,AT8-AT18*AT21-AT178))</f>
        <v>1440</v>
      </c>
      <c r="AU23" s="139" t="n">
        <f aca="false">MAX(0,MIN(AU8*AU22-AU177,AU8-AU18*AU21-AU178))</f>
        <v>1440</v>
      </c>
      <c r="AV23" s="139" t="n">
        <f aca="false">MAX(0,MIN(AV8*AV22-AV177,AV8-AV18*AV21-AV178))</f>
        <v>1440</v>
      </c>
      <c r="AW23" s="139" t="n">
        <f aca="false">MAX(0,MIN(AW8*AW22-AW177,AW8-AW18*AW21-AW178))</f>
        <v>1440</v>
      </c>
      <c r="AX23" s="139" t="n">
        <f aca="false">MAX(0,MIN(AX8*AX22-AX177,AX8-AX18*AX21-AX178))</f>
        <v>1440</v>
      </c>
      <c r="AY23" s="139" t="n">
        <f aca="false">MAX(0,MIN(AY8*AY22-AY177,AY8-AY18*AY21-AY178))</f>
        <v>1440</v>
      </c>
      <c r="AZ23" s="139" t="n">
        <f aca="false">MAX(0,MIN(AZ8*AZ22-AZ177,AZ8-AZ18*AZ21-AZ178))</f>
        <v>1440</v>
      </c>
      <c r="BA23" s="139" t="n">
        <f aca="false">MAX(0,MIN(BA8*BA22-BA177,BA8-BA18*BA21-BA178))</f>
        <v>1440</v>
      </c>
      <c r="BB23" s="139" t="n">
        <f aca="false">MAX(0,MIN(BB8*BB22-BB177,BB8-BB18*BB21-BB178))</f>
        <v>1440</v>
      </c>
      <c r="BC23" s="139" t="n">
        <f aca="false">MAX(0,MIN(BC8*BC22-BC177,BC8-BC18*BC21-BC178))</f>
        <v>1440</v>
      </c>
      <c r="BD23" s="139" t="n">
        <f aca="false">MAX(0,MIN(BD8*BD22-BD177,BD8-BD18*BD21-BD178))</f>
        <v>1440</v>
      </c>
      <c r="BE23" s="139" t="n">
        <f aca="false">MAX(0,MIN(BE8*BE22-BE177,BE8-BE18*BE21-BE178))</f>
        <v>1440</v>
      </c>
      <c r="BF23" s="139" t="n">
        <f aca="false">MAX(0,MIN(BF8*BF22-BF177,BF8-BF18*BF21-BF178))</f>
        <v>1440</v>
      </c>
      <c r="BG23" s="139" t="n">
        <f aca="false">MAX(0,MIN(BG8*BG22-BG177,BG8-BG18*BG21-BG178))</f>
        <v>1440</v>
      </c>
      <c r="BH23" s="139" t="n">
        <f aca="false">MAX(0,MIN(BH8*BH22-BH177,BH8-BH18*BH21-BH178))</f>
        <v>1440</v>
      </c>
      <c r="BI23" s="139" t="n">
        <f aca="false">MAX(0,MIN(BI8*BI22-BI177,BI8-BI18*BI21-BI178))</f>
        <v>1440</v>
      </c>
      <c r="BJ23" s="139" t="n">
        <f aca="false">MAX(0,MIN(BJ8*BJ22-BJ177,BJ8-BJ18*BJ21-BJ178))</f>
        <v>1440</v>
      </c>
      <c r="BK23" s="139" t="n">
        <f aca="false">MAX(0,MIN(BK8*BK22-BK177,BK8-BK18*BK21-BK178))</f>
        <v>1440</v>
      </c>
      <c r="BL23" s="139" t="n">
        <f aca="false">MAX(0,MIN(BL8*BL22-BL177,BL8-BL18*BL21-BL178))</f>
        <v>1440</v>
      </c>
      <c r="BM23" s="139" t="n">
        <f aca="false">MAX(0,MIN(BM8*BM22-BM177,BM8-BM18*BM21-BM178))</f>
        <v>1440</v>
      </c>
      <c r="BN23" s="139" t="n">
        <f aca="false">MAX(0,MIN(BN8*BN22-BN177,BN8-BN18*BN21-BN178))</f>
        <v>1440</v>
      </c>
      <c r="BO23" s="139" t="n">
        <f aca="false">MAX(0,MIN(BO8*BO22-BO177,BO8-BO18*BO21-BO178))</f>
        <v>1440</v>
      </c>
      <c r="BP23" s="139" t="n">
        <f aca="false">MAX(0,MIN(BP8*BP22-BP177,BP8-BP18*BP21-BP178))</f>
        <v>1440</v>
      </c>
      <c r="BQ23" s="139" t="n">
        <f aca="false">MAX(0,MIN(BQ8*BQ22-BQ177,BQ8-BQ18*BQ21-BQ178))</f>
        <v>1440</v>
      </c>
      <c r="BR23" s="139" t="n">
        <f aca="false">MAX(0,MIN(BR8*BR22-BR177,BR8-BR18*BR21-BR178))</f>
        <v>1440</v>
      </c>
      <c r="BS23" s="139" t="n">
        <f aca="false">MAX(0,MIN(BS8*BS22-BS177,BS8-BS18*BS21-BS178))</f>
        <v>1440</v>
      </c>
      <c r="BT23" s="139" t="n">
        <f aca="false">MAX(0,MIN(BT8*BT22-BT177,BT8-BT18*BT21-BT178))</f>
        <v>1440</v>
      </c>
      <c r="BU23" s="139" t="n">
        <f aca="false">MAX(0,MIN(BU8*BU22-BU177,BU8-BU18*BU21-BU178))</f>
        <v>1440</v>
      </c>
      <c r="BV23" s="139" t="n">
        <f aca="false">MAX(0,MIN(BV8*BV22-BV177,BV8-BV18*BV21-BV178))</f>
        <v>1440</v>
      </c>
      <c r="BW23" s="139" t="n">
        <f aca="false">MAX(0,MIN(BW8*BW22-BW177,BW8-BW18*BW21-BW178))</f>
        <v>1440</v>
      </c>
      <c r="BX23" s="139" t="n">
        <f aca="false">MAX(0,MIN(BX8*BX22-BX177,BX8-BX18*BX21-BX178))</f>
        <v>1440</v>
      </c>
      <c r="BY23" s="139" t="n">
        <f aca="false">MAX(0,MIN(BY8*BY22-BY177,BY8-BY18*BY21-BY178))</f>
        <v>1440</v>
      </c>
      <c r="BZ23" s="139" t="n">
        <f aca="false">MAX(0,MIN(BZ8*BZ22-BZ177,BZ8-BZ18*BZ21-BZ178))</f>
        <v>1440</v>
      </c>
      <c r="CA23" s="139" t="n">
        <f aca="false">MAX(0,MIN(CA8*CA22-CA177,CA8-CA18*CA21-CA178))</f>
        <v>1440</v>
      </c>
      <c r="CB23" s="139" t="n">
        <f aca="false">MAX(0,MIN(CB8*CB22-CB177,CB8-CB18*CB21-CB178))</f>
        <v>1440</v>
      </c>
      <c r="CC23" s="139" t="n">
        <f aca="false">MAX(0,MIN(CC8*CC22-CC177,CC8-CC18*CC21-CC178))</f>
        <v>1440</v>
      </c>
      <c r="CD23" s="139" t="n">
        <f aca="false">MAX(0,MIN(CD8*CD22-CD177,CD8-CD18*CD21-CD178))</f>
        <v>1440</v>
      </c>
      <c r="CE23" s="139" t="n">
        <f aca="false">MAX(0,MIN(CE8*CE22-CE177,CE8-CE18*CE21-CE178))</f>
        <v>1440</v>
      </c>
      <c r="CF23" s="139" t="n">
        <f aca="false">MAX(0,MIN(CF8*CF22-CF177,CF8-CF18*CF21-CF178))</f>
        <v>1440</v>
      </c>
      <c r="CG23" s="139" t="n">
        <f aca="false">MAX(0,MIN(CG8*CG22-CG177,CG8-CG18*CG21-CG178))</f>
        <v>1440</v>
      </c>
      <c r="CH23" s="139" t="n">
        <f aca="false">MAX(0,MIN(CH8*CH22-CH177,CH8-CH18*CH21-CH178))</f>
        <v>1440</v>
      </c>
    </row>
    <row r="24" customFormat="false" ht="13.5" hidden="false" customHeight="true" outlineLevel="0" collapsed="false">
      <c r="A24" s="30" t="s">
        <v>707</v>
      </c>
      <c r="C24" s="139" t="n">
        <f aca="false">C18*C21+C23+C178</f>
        <v>45.6958475068843</v>
      </c>
      <c r="D24" s="139" t="n">
        <f aca="false">D18*D21+D23+D178</f>
        <v>93.4214624133963</v>
      </c>
      <c r="E24" s="139" t="n">
        <f aca="false">E18*E21+E23+E178</f>
        <v>174.499898070454</v>
      </c>
      <c r="F24" s="139" t="n">
        <f aca="false">F18*F21+F23+F178</f>
        <v>213.882486220627</v>
      </c>
      <c r="G24" s="139" t="n">
        <f aca="false">G18*G21+G23+G178</f>
        <v>234.235306971172</v>
      </c>
      <c r="H24" s="139" t="n">
        <f aca="false">H18*H21+H23+H178</f>
        <v>311.845879175785</v>
      </c>
      <c r="I24" s="139" t="n">
        <f aca="false">I18*I21+I23+I178</f>
        <v>388.456451380398</v>
      </c>
      <c r="J24" s="139" t="n">
        <f aca="false">J18*J21+J23+J178</f>
        <v>489.067023585011</v>
      </c>
      <c r="K24" s="139" t="n">
        <f aca="false">K18*K21+K23+K178</f>
        <v>589.677595789624</v>
      </c>
      <c r="L24" s="139" t="n">
        <f aca="false">L18*L21+L23+L178</f>
        <v>690.288167994237</v>
      </c>
      <c r="M24" s="139" t="n">
        <f aca="false">M18*M21+M23+M178</f>
        <v>757.545919448304</v>
      </c>
      <c r="N24" s="139" t="n">
        <f aca="false">N18*N21+N23+N178</f>
        <v>858.633127562834</v>
      </c>
      <c r="O24" s="139" t="n">
        <f aca="false">O18*O21+O23+O178</f>
        <v>959.720335677363</v>
      </c>
      <c r="P24" s="139" t="n">
        <f aca="false">P18*P21+P23+P178</f>
        <v>1051.08157500201</v>
      </c>
      <c r="Q24" s="139" t="n">
        <f aca="false">Q18*Q21+Q23+Q178</f>
        <v>1142.44281432666</v>
      </c>
      <c r="R24" s="139" t="n">
        <f aca="false">R18*R21+R23+R178</f>
        <v>1233.8040536513</v>
      </c>
      <c r="S24" s="139" t="n">
        <f aca="false">S18*S21+S23+S178</f>
        <v>1267.36529297595</v>
      </c>
      <c r="T24" s="139" t="n">
        <f aca="false">T18*T21+T23+T178</f>
        <v>1416.5265323006</v>
      </c>
      <c r="U24" s="139" t="n">
        <f aca="false">U18*U21+U23+U178</f>
        <v>1507.88777162524</v>
      </c>
      <c r="V24" s="139" t="n">
        <f aca="false">V18*V21+V23+V178</f>
        <v>1599.24901094989</v>
      </c>
      <c r="W24" s="139" t="n">
        <f aca="false">W18*W21+W23+W178</f>
        <v>1690.61025027454</v>
      </c>
      <c r="X24" s="139" t="n">
        <f aca="false">X18*X21+X23+X178</f>
        <v>1748.14203293872</v>
      </c>
      <c r="Y24" s="139" t="n">
        <f aca="false">Y18*Y21+Y23+Y178</f>
        <v>1805.67381560291</v>
      </c>
      <c r="Z24" s="139" t="n">
        <f aca="false">Z18*Z21+Z23+Z178</f>
        <v>1849.67381560291</v>
      </c>
      <c r="AA24" s="139" t="n">
        <f aca="false">AA18*AA21+AA23+AA178</f>
        <v>1893.67381560291</v>
      </c>
      <c r="AB24" s="139" t="n">
        <f aca="false">AB18*AB21+AB23+AB178</f>
        <v>1937.67381560291</v>
      </c>
      <c r="AC24" s="139" t="n">
        <f aca="false">AC18*AC21+AC23+AC178</f>
        <v>1981.67381560291</v>
      </c>
      <c r="AD24" s="139" t="n">
        <f aca="false">AD18*AD21+AD23+AD178</f>
        <v>2025.67381560291</v>
      </c>
      <c r="AE24" s="139" t="n">
        <f aca="false">AE18*AE21+AE23+AE178</f>
        <v>1971.07381560291</v>
      </c>
      <c r="AF24" s="139" t="n">
        <f aca="false">AF18*AF21+AF23+AF178</f>
        <v>2113.67381560291</v>
      </c>
      <c r="AG24" s="139" t="n">
        <f aca="false">AG18*AG21+AG23+AG178</f>
        <v>2157.67381560291</v>
      </c>
      <c r="AH24" s="139" t="n">
        <f aca="false">AH18*AH21+AH23+AH178</f>
        <v>2201.67381560291</v>
      </c>
      <c r="AI24" s="139" t="n">
        <f aca="false">AI18*AI21+AI23+AI178</f>
        <v>2245.67381560291</v>
      </c>
      <c r="AJ24" s="139" t="n">
        <f aca="false">AJ18*AJ21+AJ23+AJ178</f>
        <v>2289.67381560291</v>
      </c>
      <c r="AK24" s="139" t="n">
        <f aca="false">AK18*AK21+AK23+AK178</f>
        <v>2333.67381560291</v>
      </c>
      <c r="AL24" s="139" t="n">
        <f aca="false">AL18*AL21+AL23+AL178</f>
        <v>2377.67381560291</v>
      </c>
      <c r="AM24" s="139" t="n">
        <f aca="false">AM18*AM21+AM23+AM178</f>
        <v>2421.67381560291</v>
      </c>
      <c r="AN24" s="139" t="n">
        <f aca="false">AN18*AN21+AN23+AN178</f>
        <v>2465.67381560291</v>
      </c>
      <c r="AO24" s="139" t="n">
        <f aca="false">AO18*AO21+AO23+AO178</f>
        <v>2509.67381560291</v>
      </c>
      <c r="AP24" s="139" t="n">
        <f aca="false">AP18*AP21+AP23+AP178</f>
        <v>2553.67381560291</v>
      </c>
      <c r="AQ24" s="139" t="n">
        <f aca="false">AQ18*AQ21+AQ23+AQ178</f>
        <v>2475.27381560291</v>
      </c>
      <c r="AR24" s="139" t="n">
        <f aca="false">AR18*AR21+AR23+AR178</f>
        <v>2641.67381560291</v>
      </c>
      <c r="AS24" s="139" t="n">
        <f aca="false">AS18*AS21+AS23+AS178</f>
        <v>2641.67381560291</v>
      </c>
      <c r="AT24" s="139" t="n">
        <f aca="false">AT18*AT21+AT23+AT178</f>
        <v>2641.67381560291</v>
      </c>
      <c r="AU24" s="139" t="n">
        <f aca="false">AU18*AU21+AU23+AU178</f>
        <v>2641.67381560291</v>
      </c>
      <c r="AV24" s="139" t="n">
        <f aca="false">AV18*AV21+AV23+AV178</f>
        <v>2641.67381560291</v>
      </c>
      <c r="AW24" s="139" t="n">
        <f aca="false">AW18*AW21+AW23+AW178</f>
        <v>2641.67381560291</v>
      </c>
      <c r="AX24" s="139" t="n">
        <f aca="false">AX18*AX21+AX23+AX178</f>
        <v>2641.67381560291</v>
      </c>
      <c r="AY24" s="139" t="n">
        <f aca="false">AY18*AY21+AY23+AY178</f>
        <v>2641.67381560291</v>
      </c>
      <c r="AZ24" s="139" t="n">
        <f aca="false">AZ18*AZ21+AZ23+AZ178</f>
        <v>2641.67381560291</v>
      </c>
      <c r="BA24" s="139" t="n">
        <f aca="false">BA18*BA21+BA23+BA178</f>
        <v>2641.67381560291</v>
      </c>
      <c r="BB24" s="139" t="n">
        <f aca="false">BB18*BB21+BB23+BB178</f>
        <v>2641.67381560291</v>
      </c>
      <c r="BC24" s="139" t="n">
        <f aca="false">BC18*BC21+BC23+BC178</f>
        <v>2519.27381560291</v>
      </c>
      <c r="BD24" s="139" t="n">
        <f aca="false">BD18*BD21+BD23+BD178</f>
        <v>2641.67381560291</v>
      </c>
      <c r="BE24" s="139" t="n">
        <f aca="false">BE18*BE21+BE23+BE178</f>
        <v>2641.67381560291</v>
      </c>
      <c r="BF24" s="139" t="n">
        <f aca="false">BF18*BF21+BF23+BF178</f>
        <v>2641.67381560291</v>
      </c>
      <c r="BG24" s="139" t="n">
        <f aca="false">BG18*BG21+BG23+BG178</f>
        <v>2641.67381560291</v>
      </c>
      <c r="BH24" s="139" t="n">
        <f aca="false">BH18*BH21+BH23+BH178</f>
        <v>2641.67381560291</v>
      </c>
      <c r="BI24" s="139" t="n">
        <f aca="false">BI18*BI21+BI23+BI178</f>
        <v>2641.67381560291</v>
      </c>
      <c r="BJ24" s="139" t="n">
        <f aca="false">BJ18*BJ21+BJ23+BJ178</f>
        <v>2641.67381560291</v>
      </c>
      <c r="BK24" s="139" t="n">
        <f aca="false">BK18*BK21+BK23+BK178</f>
        <v>2641.67381560291</v>
      </c>
      <c r="BL24" s="139" t="n">
        <f aca="false">BL18*BL21+BL23+BL178</f>
        <v>2641.67381560291</v>
      </c>
      <c r="BM24" s="139" t="n">
        <f aca="false">BM18*BM21+BM23+BM178</f>
        <v>2641.67381560291</v>
      </c>
      <c r="BN24" s="139" t="n">
        <f aca="false">BN18*BN21+BN23+BN178</f>
        <v>2641.67381560291</v>
      </c>
      <c r="BO24" s="139" t="n">
        <f aca="false">BO18*BO21+BO23+BO178</f>
        <v>2519.27381560291</v>
      </c>
      <c r="BP24" s="139" t="n">
        <f aca="false">BP18*BP21+BP23+BP178</f>
        <v>2641.67381560291</v>
      </c>
      <c r="BQ24" s="139" t="n">
        <f aca="false">BQ18*BQ21+BQ23+BQ178</f>
        <v>2641.67381560291</v>
      </c>
      <c r="BR24" s="139" t="n">
        <f aca="false">BR18*BR21+BR23+BR178</f>
        <v>2641.67381560291</v>
      </c>
      <c r="BS24" s="139" t="n">
        <f aca="false">BS18*BS21+BS23+BS178</f>
        <v>2641.67381560291</v>
      </c>
      <c r="BT24" s="139" t="n">
        <f aca="false">BT18*BT21+BT23+BT178</f>
        <v>2641.67381560291</v>
      </c>
      <c r="BU24" s="139" t="n">
        <f aca="false">BU18*BU21+BU23+BU178</f>
        <v>2641.67381560291</v>
      </c>
      <c r="BV24" s="139" t="n">
        <f aca="false">BV18*BV21+BV23+BV178</f>
        <v>2641.67381560291</v>
      </c>
      <c r="BW24" s="139" t="n">
        <f aca="false">BW18*BW21+BW23+BW178</f>
        <v>2641.67381560291</v>
      </c>
      <c r="BX24" s="139" t="n">
        <f aca="false">BX18*BX21+BX23+BX178</f>
        <v>2641.67381560291</v>
      </c>
      <c r="BY24" s="139" t="n">
        <f aca="false">BY18*BY21+BY23+BY178</f>
        <v>2641.67381560291</v>
      </c>
      <c r="BZ24" s="139" t="n">
        <f aca="false">BZ18*BZ21+BZ23+BZ178</f>
        <v>2641.67381560291</v>
      </c>
      <c r="CA24" s="139" t="n">
        <f aca="false">CA18*CA21+CA23+CA178</f>
        <v>2519.27381560291</v>
      </c>
      <c r="CB24" s="139" t="n">
        <f aca="false">CB18*CB21+CB23+CB178</f>
        <v>2641.67381560291</v>
      </c>
      <c r="CC24" s="139" t="n">
        <f aca="false">CC18*CC21+CC23+CC178</f>
        <v>2641.67381560291</v>
      </c>
      <c r="CD24" s="139" t="n">
        <f aca="false">CD18*CD21+CD23+CD178</f>
        <v>2641.67381560291</v>
      </c>
      <c r="CE24" s="139" t="n">
        <f aca="false">CE18*CE21+CE23+CE178</f>
        <v>2641.67381560291</v>
      </c>
      <c r="CF24" s="139" t="n">
        <f aca="false">CF18*CF21+CF23+CF178</f>
        <v>2641.67381560291</v>
      </c>
      <c r="CG24" s="139" t="n">
        <f aca="false">CG18*CG21+CG23+CG178</f>
        <v>2641.67381560291</v>
      </c>
      <c r="CH24" s="139" t="n">
        <f aca="false">CH18*CH21+CH23+CH178</f>
        <v>2641.67381560291</v>
      </c>
    </row>
    <row r="25" customFormat="false" ht="13.5" hidden="false" customHeight="true" outlineLevel="0" collapsed="false">
      <c r="A25" s="13" t="s">
        <v>708</v>
      </c>
      <c r="C25" s="151" t="n">
        <f aca="false">IFERROR(C24/C8,0)</f>
        <v>0.0475998411530045</v>
      </c>
      <c r="D25" s="151" t="n">
        <f aca="false">IFERROR(D24/D8,0)</f>
        <v>0.0648760155648585</v>
      </c>
      <c r="E25" s="151" t="n">
        <f aca="false">IFERROR(E24/E8,0)</f>
        <v>0.0908853635783613</v>
      </c>
      <c r="F25" s="151" t="n">
        <f aca="false">IFERROR(F24/F8,0)</f>
        <v>0.0891177025919278</v>
      </c>
      <c r="G25" s="151" t="n">
        <f aca="false">IFERROR(G24/G8,0)</f>
        <v>0.0813317038094347</v>
      </c>
      <c r="H25" s="151" t="n">
        <f aca="false">IFERROR(H24/H8,0)</f>
        <v>0.108279819158259</v>
      </c>
      <c r="I25" s="151" t="n">
        <f aca="false">IFERROR(I24/I8,0)</f>
        <v>0.13488071228486</v>
      </c>
      <c r="J25" s="151" t="n">
        <f aca="false">IFERROR(J24/J8,0)</f>
        <v>0.169814938744795</v>
      </c>
      <c r="K25" s="151" t="n">
        <f aca="false">IFERROR(K24/K8,0)</f>
        <v>0.20474916520473</v>
      </c>
      <c r="L25" s="151" t="n">
        <f aca="false">IFERROR(L24/L8,0)</f>
        <v>0.239683391664665</v>
      </c>
      <c r="M25" s="151" t="n">
        <f aca="false">IFERROR(M24/M8,0)</f>
        <v>0.263036777586217</v>
      </c>
      <c r="N25" s="151" t="n">
        <f aca="false">IFERROR(N24/N8,0)</f>
        <v>0.298136502625984</v>
      </c>
      <c r="O25" s="151" t="n">
        <f aca="false">IFERROR(O24/O8,0)</f>
        <v>0.333236227665751</v>
      </c>
      <c r="P25" s="151" t="n">
        <f aca="false">IFERROR(P24/P8,0)</f>
        <v>0.364958880209031</v>
      </c>
      <c r="Q25" s="151" t="n">
        <f aca="false">IFERROR(Q24/Q8,0)</f>
        <v>0.396681532752311</v>
      </c>
      <c r="R25" s="151" t="n">
        <f aca="false">IFERROR(R24/R8,0)</f>
        <v>0.428404185295592</v>
      </c>
      <c r="S25" s="151" t="n">
        <f aca="false">IFERROR(S24/S8,0)</f>
        <v>0.440057393394427</v>
      </c>
      <c r="T25" s="151" t="n">
        <f aca="false">IFERROR(T24/T8,0)</f>
        <v>0.491849490382152</v>
      </c>
      <c r="U25" s="151" t="n">
        <f aca="false">IFERROR(U24/U8,0)</f>
        <v>0.523572142925432</v>
      </c>
      <c r="V25" s="151" t="n">
        <f aca="false">IFERROR(V24/V8,0)</f>
        <v>0.555294795468712</v>
      </c>
      <c r="W25" s="151" t="n">
        <f aca="false">IFERROR(W24/W8,0)</f>
        <v>0.587017448011992</v>
      </c>
      <c r="X25" s="151" t="n">
        <f aca="false">IFERROR(X24/X8,0)</f>
        <v>0.606993761437056</v>
      </c>
      <c r="Y25" s="151" t="n">
        <f aca="false">IFERROR(Y24/Y8,0)</f>
        <v>0.62697007486212</v>
      </c>
      <c r="Z25" s="151" t="n">
        <f aca="false">IFERROR(Z24/Z8,0)</f>
        <v>0.642247852639898</v>
      </c>
      <c r="AA25" s="151" t="n">
        <f aca="false">IFERROR(AA24/AA8,0)</f>
        <v>0.657525630417676</v>
      </c>
      <c r="AB25" s="151" t="n">
        <f aca="false">IFERROR(AB24/AB8,0)</f>
        <v>0.672803408195454</v>
      </c>
      <c r="AC25" s="151" t="n">
        <f aca="false">IFERROR(AC24/AC8,0)</f>
        <v>0.688081185973232</v>
      </c>
      <c r="AD25" s="151" t="n">
        <f aca="false">IFERROR(AD24/AD8,0)</f>
        <v>0.703358963751009</v>
      </c>
      <c r="AE25" s="151" t="n">
        <f aca="false">IFERROR(AE24/AE8,0)</f>
        <v>0.684400630417676</v>
      </c>
      <c r="AF25" s="151" t="n">
        <f aca="false">IFERROR(AF24/AF8,0)</f>
        <v>0.733914519306565</v>
      </c>
      <c r="AG25" s="151" t="n">
        <f aca="false">IFERROR(AG24/AG8,0)</f>
        <v>0.749192297084343</v>
      </c>
      <c r="AH25" s="151" t="n">
        <f aca="false">IFERROR(AH24/AH8,0)</f>
        <v>0.764470074862121</v>
      </c>
      <c r="AI25" s="151" t="n">
        <f aca="false">IFERROR(AI24/AI8,0)</f>
        <v>0.779747852639898</v>
      </c>
      <c r="AJ25" s="151" t="n">
        <f aca="false">IFERROR(AJ24/AJ8,0)</f>
        <v>0.795025630417676</v>
      </c>
      <c r="AK25" s="151" t="n">
        <f aca="false">IFERROR(AK24/AK8,0)</f>
        <v>0.810303408195454</v>
      </c>
      <c r="AL25" s="151" t="n">
        <f aca="false">IFERROR(AL24/AL8,0)</f>
        <v>0.825581185973232</v>
      </c>
      <c r="AM25" s="151" t="n">
        <f aca="false">IFERROR(AM24/AM8,0)</f>
        <v>0.840858963751009</v>
      </c>
      <c r="AN25" s="151" t="n">
        <f aca="false">IFERROR(AN24/AN8,0)</f>
        <v>0.856136741528787</v>
      </c>
      <c r="AO25" s="151" t="n">
        <f aca="false">IFERROR(AO24/AO8,0)</f>
        <v>0.871414519306565</v>
      </c>
      <c r="AP25" s="151" t="n">
        <f aca="false">IFERROR(AP24/AP8,0)</f>
        <v>0.886692297084343</v>
      </c>
      <c r="AQ25" s="151" t="n">
        <f aca="false">IFERROR(AQ24/AQ8,0)</f>
        <v>0.859470074862121</v>
      </c>
      <c r="AR25" s="151" t="n">
        <f aca="false">IFERROR(AR24/AR8,0)</f>
        <v>0.917247852639898</v>
      </c>
      <c r="AS25" s="151" t="n">
        <f aca="false">IFERROR(AS24/AS8,0)</f>
        <v>0.917247852639898</v>
      </c>
      <c r="AT25" s="151" t="n">
        <f aca="false">IFERROR(AT24/AT8,0)</f>
        <v>0.917247852639898</v>
      </c>
      <c r="AU25" s="151" t="n">
        <f aca="false">IFERROR(AU24/AU8,0)</f>
        <v>0.917247852639898</v>
      </c>
      <c r="AV25" s="151" t="n">
        <f aca="false">IFERROR(AV24/AV8,0)</f>
        <v>0.917247852639898</v>
      </c>
      <c r="AW25" s="151" t="n">
        <f aca="false">IFERROR(AW24/AW8,0)</f>
        <v>0.917247852639898</v>
      </c>
      <c r="AX25" s="151" t="n">
        <f aca="false">IFERROR(AX24/AX8,0)</f>
        <v>0.917247852639898</v>
      </c>
      <c r="AY25" s="151" t="n">
        <f aca="false">IFERROR(AY24/AY8,0)</f>
        <v>0.917247852639898</v>
      </c>
      <c r="AZ25" s="151" t="n">
        <f aca="false">IFERROR(AZ24/AZ8,0)</f>
        <v>0.917247852639898</v>
      </c>
      <c r="BA25" s="151" t="n">
        <f aca="false">IFERROR(BA24/BA8,0)</f>
        <v>0.917247852639898</v>
      </c>
      <c r="BB25" s="151" t="n">
        <f aca="false">IFERROR(BB24/BB8,0)</f>
        <v>0.917247852639898</v>
      </c>
      <c r="BC25" s="151" t="n">
        <f aca="false">IFERROR(BC24/BC8,0)</f>
        <v>0.874747852639898</v>
      </c>
      <c r="BD25" s="151" t="n">
        <f aca="false">IFERROR(BD24/BD8,0)</f>
        <v>0.917247852639898</v>
      </c>
      <c r="BE25" s="151" t="n">
        <f aca="false">IFERROR(BE24/BE8,0)</f>
        <v>0.917247852639898</v>
      </c>
      <c r="BF25" s="151" t="n">
        <f aca="false">IFERROR(BF24/BF8,0)</f>
        <v>0.917247852639898</v>
      </c>
      <c r="BG25" s="151" t="n">
        <f aca="false">IFERROR(BG24/BG8,0)</f>
        <v>0.917247852639898</v>
      </c>
      <c r="BH25" s="151" t="n">
        <f aca="false">IFERROR(BH24/BH8,0)</f>
        <v>0.917247852639898</v>
      </c>
      <c r="BI25" s="151" t="n">
        <f aca="false">IFERROR(BI24/BI8,0)</f>
        <v>0.917247852639898</v>
      </c>
      <c r="BJ25" s="151" t="n">
        <f aca="false">IFERROR(BJ24/BJ8,0)</f>
        <v>0.917247852639898</v>
      </c>
      <c r="BK25" s="151" t="n">
        <f aca="false">IFERROR(BK24/BK8,0)</f>
        <v>0.917247852639898</v>
      </c>
      <c r="BL25" s="151" t="n">
        <f aca="false">IFERROR(BL24/BL8,0)</f>
        <v>0.917247852639898</v>
      </c>
      <c r="BM25" s="151" t="n">
        <f aca="false">IFERROR(BM24/BM8,0)</f>
        <v>0.917247852639898</v>
      </c>
      <c r="BN25" s="151" t="n">
        <f aca="false">IFERROR(BN24/BN8,0)</f>
        <v>0.917247852639898</v>
      </c>
      <c r="BO25" s="151" t="n">
        <f aca="false">IFERROR(BO24/BO8,0)</f>
        <v>0.874747852639898</v>
      </c>
      <c r="BP25" s="151" t="n">
        <f aca="false">IFERROR(BP24/BP8,0)</f>
        <v>0.917247852639898</v>
      </c>
      <c r="BQ25" s="151" t="n">
        <f aca="false">IFERROR(BQ24/BQ8,0)</f>
        <v>0.917247852639898</v>
      </c>
      <c r="BR25" s="151" t="n">
        <f aca="false">IFERROR(BR24/BR8,0)</f>
        <v>0.917247852639898</v>
      </c>
      <c r="BS25" s="151" t="n">
        <f aca="false">IFERROR(BS24/BS8,0)</f>
        <v>0.917247852639898</v>
      </c>
      <c r="BT25" s="151" t="n">
        <f aca="false">IFERROR(BT24/BT8,0)</f>
        <v>0.917247852639898</v>
      </c>
      <c r="BU25" s="151" t="n">
        <f aca="false">IFERROR(BU24/BU8,0)</f>
        <v>0.917247852639898</v>
      </c>
      <c r="BV25" s="151" t="n">
        <f aca="false">IFERROR(BV24/BV8,0)</f>
        <v>0.917247852639898</v>
      </c>
      <c r="BW25" s="151" t="n">
        <f aca="false">IFERROR(BW24/BW8,0)</f>
        <v>0.917247852639898</v>
      </c>
      <c r="BX25" s="151" t="n">
        <f aca="false">IFERROR(BX24/BX8,0)</f>
        <v>0.917247852639898</v>
      </c>
      <c r="BY25" s="151" t="n">
        <f aca="false">IFERROR(BY24/BY8,0)</f>
        <v>0.917247852639898</v>
      </c>
      <c r="BZ25" s="151" t="n">
        <f aca="false">IFERROR(BZ24/BZ8,0)</f>
        <v>0.917247852639898</v>
      </c>
      <c r="CA25" s="151" t="n">
        <f aca="false">IFERROR(CA24/CA8,0)</f>
        <v>0.874747852639898</v>
      </c>
      <c r="CB25" s="151" t="n">
        <f aca="false">IFERROR(CB24/CB8,0)</f>
        <v>0.917247852639898</v>
      </c>
      <c r="CC25" s="151" t="n">
        <f aca="false">IFERROR(CC24/CC8,0)</f>
        <v>0.917247852639898</v>
      </c>
      <c r="CD25" s="151" t="n">
        <f aca="false">IFERROR(CD24/CD8,0)</f>
        <v>0.917247852639898</v>
      </c>
      <c r="CE25" s="151" t="n">
        <f aca="false">IFERROR(CE24/CE8,0)</f>
        <v>0.917247852639898</v>
      </c>
      <c r="CF25" s="151" t="n">
        <f aca="false">IFERROR(CF24/CF8,0)</f>
        <v>0.917247852639898</v>
      </c>
      <c r="CG25" s="151" t="n">
        <f aca="false">IFERROR(CG24/CG8,0)</f>
        <v>0.917247852639898</v>
      </c>
      <c r="CH25" s="151" t="n">
        <f aca="false">IFERROR(CH24/CH8,0)</f>
        <v>0.917247852639898</v>
      </c>
    </row>
    <row r="26" customFormat="false" ht="13.5" hidden="false" customHeight="true" outlineLevel="0" collapsed="false">
      <c r="A26" s="13" t="s">
        <v>709</v>
      </c>
      <c r="C26" s="139" t="n">
        <f aca="false">C20*C21+C23*Hipótesis!$C$23+C181</f>
        <v>16.9718605945946</v>
      </c>
      <c r="D26" s="139" t="n">
        <f aca="false">D20*D21+D23*Hipótesis!$C$23+D181</f>
        <v>36.5537211891892</v>
      </c>
      <c r="E26" s="139" t="n">
        <f aca="false">E20*E21+E23*Hipótesis!$C$23+E181</f>
        <v>89.4130817837838</v>
      </c>
      <c r="F26" s="139" t="n">
        <f aca="false">F20*F21+F23*Hipótesis!$C$23+F181</f>
        <v>129.874942378378</v>
      </c>
      <c r="G26" s="139" t="n">
        <f aca="false">G20*G21+G23*Hipótesis!$C$23+G181</f>
        <v>148.285770445946</v>
      </c>
      <c r="H26" s="139" t="n">
        <f aca="false">H20*H21+H23*Hipótesis!$C$23+H181</f>
        <v>235.484913567568</v>
      </c>
      <c r="I26" s="139" t="n">
        <f aca="false">I20*I21+I23*Hipótesis!$C$23+I181</f>
        <v>321.540466540541</v>
      </c>
      <c r="J26" s="139" t="n">
        <f aca="false">J20*J21+J23*Hipótesis!$C$23+J181</f>
        <v>435.042183081081</v>
      </c>
      <c r="K26" s="139" t="n">
        <f aca="false">K20*K21+K23*Hipótesis!$C$23+K181</f>
        <v>548.543899621622</v>
      </c>
      <c r="L26" s="139" t="n">
        <f aca="false">L20*L21+L23*Hipótesis!$C$23+L181</f>
        <v>662.045616162162</v>
      </c>
      <c r="M26" s="139" t="n">
        <f aca="false">M20*M21+M23*Hipótesis!$C$23+M181</f>
        <v>742.269832702703</v>
      </c>
      <c r="N26" s="139" t="n">
        <f aca="false">N20*N21+N23*Hipótesis!$C$23+N181</f>
        <v>865.994049243243</v>
      </c>
      <c r="O26" s="139" t="n">
        <f aca="false">O20*O21+O23*Hipótesis!$C$23+O181</f>
        <v>989.718265783784</v>
      </c>
      <c r="P26" s="139" t="n">
        <f aca="false">P20*P21+P23*Hipótesis!$C$23+P181</f>
        <v>1100.93623232432</v>
      </c>
      <c r="Q26" s="139" t="n">
        <f aca="false">Q20*Q21+Q23*Hipótesis!$C$23+Q181</f>
        <v>1212.15419886487</v>
      </c>
      <c r="R26" s="139" t="n">
        <f aca="false">R20*R21+R23*Hipótesis!$C$23+R181</f>
        <v>1323.37216540541</v>
      </c>
      <c r="S26" s="139" t="n">
        <f aca="false">S20*S21+S23*Hipótesis!$C$23+S181</f>
        <v>1368.49062135405</v>
      </c>
      <c r="T26" s="139" t="n">
        <f aca="false">T20*T21+T23*Hipótesis!$C$23+T181</f>
        <v>1545.80809848649</v>
      </c>
      <c r="U26" s="139" t="n">
        <f aca="false">U20*U21+U23*Hipótesis!$C$23+U181</f>
        <v>1657.02606502703</v>
      </c>
      <c r="V26" s="139" t="n">
        <f aca="false">V20*V21+V23*Hipótesis!$C$23+V181</f>
        <v>1768.24403156757</v>
      </c>
      <c r="W26" s="139" t="n">
        <f aca="false">W20*W21+W23*Hipótesis!$C$23+W181</f>
        <v>1879.46199810811</v>
      </c>
      <c r="X26" s="139" t="n">
        <f aca="false">X20*X21+X23*Hipótesis!$C$23+X181</f>
        <v>1947.17996464865</v>
      </c>
      <c r="Y26" s="139" t="n">
        <f aca="false">Y20*Y21+Y23*Hipótesis!$C$23+Y181</f>
        <v>2014.89793118919</v>
      </c>
      <c r="Z26" s="139" t="n">
        <f aca="false">Z20*Z21+Z23*Hipótesis!$C$23+Z181</f>
        <v>2065.21589772973</v>
      </c>
      <c r="AA26" s="139" t="n">
        <f aca="false">AA20*AA21+AA23*Hipótesis!$C$23+AA181</f>
        <v>2115.53386427027</v>
      </c>
      <c r="AB26" s="139" t="n">
        <f aca="false">AB20*AB21+AB23*Hipótesis!$C$23+AB181</f>
        <v>2165.85183081081</v>
      </c>
      <c r="AC26" s="139" t="n">
        <f aca="false">AC20*AC21+AC23*Hipótesis!$C$23+AC181</f>
        <v>2216.16979735135</v>
      </c>
      <c r="AD26" s="139" t="n">
        <f aca="false">AD20*AD21+AD23*Hipótesis!$C$23+AD181</f>
        <v>2266.48776389189</v>
      </c>
      <c r="AE26" s="139" t="n">
        <f aca="false">AE20*AE21+AE23*Hipótesis!$C$23+AE181</f>
        <v>2204.04774177568</v>
      </c>
      <c r="AF26" s="139" t="n">
        <f aca="false">AF20*AF21+AF23*Hipótesis!$C$23+AF181</f>
        <v>2367.12369697297</v>
      </c>
      <c r="AG26" s="139" t="n">
        <f aca="false">AG20*AG21+AG23*Hipótesis!$C$23+AG181</f>
        <v>2417.44166351351</v>
      </c>
      <c r="AH26" s="139" t="n">
        <f aca="false">AH20*AH21+AH23*Hipótesis!$C$23+AH181</f>
        <v>2467.75963005405</v>
      </c>
      <c r="AI26" s="139" t="n">
        <f aca="false">AI20*AI21+AI23*Hipótesis!$C$23+AI181</f>
        <v>2518.07759659459</v>
      </c>
      <c r="AJ26" s="139" t="n">
        <f aca="false">AJ20*AJ21+AJ23*Hipótesis!$C$23+AJ181</f>
        <v>2568.39556313514</v>
      </c>
      <c r="AK26" s="139" t="n">
        <f aca="false">AK20*AK21+AK23*Hipótesis!$C$23+AK181</f>
        <v>2618.71352967568</v>
      </c>
      <c r="AL26" s="139" t="n">
        <f aca="false">AL20*AL21+AL23*Hipótesis!$C$23+AL181</f>
        <v>2669.03149621622</v>
      </c>
      <c r="AM26" s="139" t="n">
        <f aca="false">AM20*AM21+AM23*Hipótesis!$C$23+AM181</f>
        <v>2719.34946275676</v>
      </c>
      <c r="AN26" s="139" t="n">
        <f aca="false">AN20*AN21+AN23*Hipótesis!$C$23+AN181</f>
        <v>2769.6674292973</v>
      </c>
      <c r="AO26" s="139" t="n">
        <f aca="false">AO20*AO21+AO23*Hipótesis!$C$23+AO181</f>
        <v>2819.98539583784</v>
      </c>
      <c r="AP26" s="139" t="n">
        <f aca="false">AP20*AP21+AP23*Hipótesis!$C$23+AP181</f>
        <v>2870.30336237838</v>
      </c>
      <c r="AQ26" s="139" t="n">
        <f aca="false">AQ20*AQ21+AQ23*Hipótesis!$C$23+AQ181</f>
        <v>2780.64589472432</v>
      </c>
      <c r="AR26" s="139" t="n">
        <f aca="false">AR20*AR21+AR23*Hipótesis!$C$23+AR181</f>
        <v>2970.93929545946</v>
      </c>
      <c r="AS26" s="139" t="n">
        <f aca="false">AS20*AS21+AS23*Hipótesis!$C$23+AS181</f>
        <v>2970.93929545946</v>
      </c>
      <c r="AT26" s="139" t="n">
        <f aca="false">AT20*AT21+AT23*Hipótesis!$C$23+AT181</f>
        <v>2970.93929545946</v>
      </c>
      <c r="AU26" s="139" t="n">
        <f aca="false">AU20*AU21+AU23*Hipótesis!$C$23+AU181</f>
        <v>2970.93929545946</v>
      </c>
      <c r="AV26" s="139" t="n">
        <f aca="false">AV20*AV21+AV23*Hipótesis!$C$23+AV181</f>
        <v>2970.93929545946</v>
      </c>
      <c r="AW26" s="139" t="n">
        <f aca="false">AW20*AW21+AW23*Hipótesis!$C$23+AW181</f>
        <v>2970.93929545946</v>
      </c>
      <c r="AX26" s="139" t="n">
        <f aca="false">AX20*AX21+AX23*Hipótesis!$C$23+AX181</f>
        <v>2970.93929545946</v>
      </c>
      <c r="AY26" s="139" t="n">
        <f aca="false">AY20*AY21+AY23*Hipótesis!$C$23+AY181</f>
        <v>2970.93929545946</v>
      </c>
      <c r="AZ26" s="139" t="n">
        <f aca="false">AZ20*AZ21+AZ23*Hipótesis!$C$23+AZ181</f>
        <v>2970.93929545946</v>
      </c>
      <c r="BA26" s="139" t="n">
        <f aca="false">BA20*BA21+BA23*Hipótesis!$C$23+BA181</f>
        <v>2970.93929545946</v>
      </c>
      <c r="BB26" s="139" t="n">
        <f aca="false">BB20*BB21+BB23*Hipótesis!$C$23+BB181</f>
        <v>2970.93929545946</v>
      </c>
      <c r="BC26" s="139" t="n">
        <f aca="false">BC20*BC21+BC23*Hipótesis!$C$23+BC181</f>
        <v>2830.96386126487</v>
      </c>
      <c r="BD26" s="139" t="n">
        <f aca="false">BD20*BD21+BD23*Hipótesis!$C$23+BD181</f>
        <v>2970.93929545946</v>
      </c>
      <c r="BE26" s="139" t="n">
        <f aca="false">BE20*BE21+BE23*Hipótesis!$C$23+BE181</f>
        <v>2970.93929545946</v>
      </c>
      <c r="BF26" s="139" t="n">
        <f aca="false">BF20*BF21+BF23*Hipótesis!$C$23+BF181</f>
        <v>2970.93929545946</v>
      </c>
      <c r="BG26" s="139" t="n">
        <f aca="false">BG20*BG21+BG23*Hipótesis!$C$23+BG181</f>
        <v>2970.93929545946</v>
      </c>
      <c r="BH26" s="139" t="n">
        <f aca="false">BH20*BH21+BH23*Hipótesis!$C$23+BH181</f>
        <v>2970.93929545946</v>
      </c>
      <c r="BI26" s="139" t="n">
        <f aca="false">BI20*BI21+BI23*Hipótesis!$C$23+BI181</f>
        <v>2970.93929545946</v>
      </c>
      <c r="BJ26" s="139" t="n">
        <f aca="false">BJ20*BJ21+BJ23*Hipótesis!$C$23+BJ181</f>
        <v>2970.93929545946</v>
      </c>
      <c r="BK26" s="139" t="n">
        <f aca="false">BK20*BK21+BK23*Hipótesis!$C$23+BK181</f>
        <v>2970.93929545946</v>
      </c>
      <c r="BL26" s="139" t="n">
        <f aca="false">BL20*BL21+BL23*Hipótesis!$C$23+BL181</f>
        <v>2970.93929545946</v>
      </c>
      <c r="BM26" s="139" t="n">
        <f aca="false">BM20*BM21+BM23*Hipótesis!$C$23+BM181</f>
        <v>2970.93929545946</v>
      </c>
      <c r="BN26" s="139" t="n">
        <f aca="false">BN20*BN21+BN23*Hipótesis!$C$23+BN181</f>
        <v>2970.93929545946</v>
      </c>
      <c r="BO26" s="139" t="n">
        <f aca="false">BO20*BO21+BO23*Hipótesis!$C$23+BO181</f>
        <v>2830.96386126487</v>
      </c>
      <c r="BP26" s="139" t="n">
        <f aca="false">BP20*BP21+BP23*Hipótesis!$C$23+BP181</f>
        <v>2970.93929545946</v>
      </c>
      <c r="BQ26" s="139" t="n">
        <f aca="false">BQ20*BQ21+BQ23*Hipótesis!$C$23+BQ181</f>
        <v>2970.93929545946</v>
      </c>
      <c r="BR26" s="139" t="n">
        <f aca="false">BR20*BR21+BR23*Hipótesis!$C$23+BR181</f>
        <v>2970.93929545946</v>
      </c>
      <c r="BS26" s="139" t="n">
        <f aca="false">BS20*BS21+BS23*Hipótesis!$C$23+BS181</f>
        <v>2970.93929545946</v>
      </c>
      <c r="BT26" s="139" t="n">
        <f aca="false">BT20*BT21+BT23*Hipótesis!$C$23+BT181</f>
        <v>2970.93929545946</v>
      </c>
      <c r="BU26" s="139" t="n">
        <f aca="false">BU20*BU21+BU23*Hipótesis!$C$23+BU181</f>
        <v>2970.93929545946</v>
      </c>
      <c r="BV26" s="139" t="n">
        <f aca="false">BV20*BV21+BV23*Hipótesis!$C$23+BV181</f>
        <v>2970.93929545946</v>
      </c>
      <c r="BW26" s="139" t="n">
        <f aca="false">BW20*BW21+BW23*Hipótesis!$C$23+BW181</f>
        <v>2970.93929545946</v>
      </c>
      <c r="BX26" s="139" t="n">
        <f aca="false">BX20*BX21+BX23*Hipótesis!$C$23+BX181</f>
        <v>2970.93929545946</v>
      </c>
      <c r="BY26" s="139" t="n">
        <f aca="false">BY20*BY21+BY23*Hipótesis!$C$23+BY181</f>
        <v>2970.93929545946</v>
      </c>
      <c r="BZ26" s="139" t="n">
        <f aca="false">BZ20*BZ21+BZ23*Hipótesis!$C$23+BZ181</f>
        <v>2970.93929545946</v>
      </c>
      <c r="CA26" s="139" t="n">
        <f aca="false">CA20*CA21+CA23*Hipótesis!$C$23+CA181</f>
        <v>2830.96386126487</v>
      </c>
      <c r="CB26" s="139" t="n">
        <f aca="false">CB20*CB21+CB23*Hipótesis!$C$23+CB181</f>
        <v>2970.93929545946</v>
      </c>
      <c r="CC26" s="139" t="n">
        <f aca="false">CC20*CC21+CC23*Hipótesis!$C$23+CC181</f>
        <v>2970.93929545946</v>
      </c>
      <c r="CD26" s="139" t="n">
        <f aca="false">CD20*CD21+CD23*Hipótesis!$C$23+CD181</f>
        <v>2970.93929545946</v>
      </c>
      <c r="CE26" s="139" t="n">
        <f aca="false">CE20*CE21+CE23*Hipótesis!$C$23+CE181</f>
        <v>2970.93929545946</v>
      </c>
      <c r="CF26" s="139" t="n">
        <f aca="false">CF20*CF21+CF23*Hipótesis!$C$23+CF181</f>
        <v>2970.93929545946</v>
      </c>
      <c r="CG26" s="139" t="n">
        <f aca="false">CG20*CG21+CG23*Hipótesis!$C$23+CG181</f>
        <v>2970.93929545946</v>
      </c>
      <c r="CH26" s="139" t="n">
        <f aca="false">CH20*CH21+CH23*Hipótesis!$C$23+CH181</f>
        <v>2970.93929545946</v>
      </c>
    </row>
    <row r="27" customFormat="false" ht="13.5" hidden="false" customHeight="true" outlineLevel="0" collapsed="false">
      <c r="A27" s="13" t="s">
        <v>611</v>
      </c>
      <c r="C27" s="139" t="n">
        <f aca="false">C17*C21+C23*Hipótesis!$C$24+C178*Hipótesis!$C$24</f>
        <v>139.44273662358</v>
      </c>
      <c r="D27" s="139" t="n">
        <f aca="false">D17*D21+D23*Hipótesis!$C$24+D178*Hipótesis!$C$24</f>
        <v>295.573452786802</v>
      </c>
      <c r="E27" s="139" t="n">
        <f aca="false">E17*E21+E23*Hipótesis!$C$24+E178*Hipótesis!$C$24</f>
        <v>668.457024983742</v>
      </c>
      <c r="F27" s="139" t="n">
        <f aca="false">F17*F21+F23*Hipótesis!$C$24+F178*Hipótesis!$C$24</f>
        <v>929.474655151696</v>
      </c>
      <c r="G27" s="139" t="n">
        <f aca="false">G17*G21+G23*Hipótesis!$C$24+G178*Hipótesis!$C$24</f>
        <v>1056.60292875298</v>
      </c>
      <c r="H27" s="139" t="n">
        <f aca="false">H17*H21+H23*Hipótesis!$C$24+H178*Hipótesis!$C$24</f>
        <v>1609.35038863339</v>
      </c>
      <c r="I27" s="139" t="n">
        <f aca="false">I17*I21+I23*Hipótesis!$C$24+I178*Hipótesis!$C$24</f>
        <v>2155.20364986514</v>
      </c>
      <c r="J27" s="139" t="n">
        <f aca="false">J17*J21+J23*Hipótesis!$C$24+J178*Hipótesis!$C$24</f>
        <v>2866.51767866446</v>
      </c>
      <c r="K27" s="139" t="n">
        <f aca="false">K17*K21+K23*Hipótesis!$C$24+K178*Hipótesis!$C$24</f>
        <v>3577.83170746378</v>
      </c>
      <c r="L27" s="139" t="n">
        <f aca="false">L17*L21+L23*Hipótesis!$C$24+L178*Hipótesis!$C$24</f>
        <v>4289.14573626311</v>
      </c>
      <c r="M27" s="139" t="n">
        <f aca="false">M17*M21+M23*Hipótesis!$C$24+M178*Hipótesis!$C$24</f>
        <v>4783.70690902871</v>
      </c>
      <c r="N27" s="139" t="n">
        <f aca="false">N17*N21+N23*Hipótesis!$C$24+N178*Hipótesis!$C$24</f>
        <v>5556.40107412168</v>
      </c>
      <c r="O27" s="139" t="n">
        <f aca="false">O17*O21+O23*Hipótesis!$C$24+O178*Hipótesis!$C$24</f>
        <v>6329.09523921465</v>
      </c>
      <c r="P27" s="139" t="n">
        <f aca="false">P17*P21+P23*Hipótesis!$C$24+P178*Hipótesis!$C$24</f>
        <v>7021.8261690135</v>
      </c>
      <c r="Q27" s="139" t="n">
        <f aca="false">Q17*Q21+Q23*Hipótesis!$C$24+Q178*Hipótesis!$C$24</f>
        <v>7714.55709881236</v>
      </c>
      <c r="R27" s="139" t="n">
        <f aca="false">R17*R21+R23*Hipótesis!$C$24+R178*Hipótesis!$C$24</f>
        <v>8407.28802861121</v>
      </c>
      <c r="S27" s="139" t="n">
        <f aca="false">S17*S21+S23*Hipótesis!$C$24+S178*Hipótesis!$C$24</f>
        <v>8701.53427651817</v>
      </c>
      <c r="T27" s="139" t="n">
        <f aca="false">T17*T21+T23*Hipótesis!$C$24+T178*Hipótesis!$C$24</f>
        <v>9792.74988820891</v>
      </c>
      <c r="U27" s="139" t="n">
        <f aca="false">U17*U21+U23*Hipótesis!$C$24+U178*Hipótesis!$C$24</f>
        <v>10485.4808180078</v>
      </c>
      <c r="V27" s="139" t="n">
        <f aca="false">V17*V21+V23*Hipótesis!$C$24+V178*Hipótesis!$C$24</f>
        <v>11178.2117478066</v>
      </c>
      <c r="W27" s="139" t="n">
        <f aca="false">W17*W21+W23*Hipótesis!$C$24+W178*Hipótesis!$C$24</f>
        <v>11870.9426776055</v>
      </c>
      <c r="X27" s="139" t="n">
        <f aca="false">X17*X21+X23*Hipótesis!$C$24+X178*Hipótesis!$C$24</f>
        <v>12285.540615077</v>
      </c>
      <c r="Y27" s="139" t="n">
        <f aca="false">Y17*Y21+Y23*Hipótesis!$C$24+Y178*Hipótesis!$C$24</f>
        <v>12700.1385525484</v>
      </c>
      <c r="Z27" s="139" t="n">
        <f aca="false">Z17*Z21+Z23*Hipótesis!$C$24+Z178*Hipótesis!$C$24</f>
        <v>13003.483293089</v>
      </c>
      <c r="AA27" s="139" t="n">
        <f aca="false">AA17*AA21+AA23*Hipótesis!$C$24+AA178*Hipótesis!$C$24</f>
        <v>13306.8280336295</v>
      </c>
      <c r="AB27" s="139" t="n">
        <f aca="false">AB17*AB21+AB23*Hipótesis!$C$24+AB178*Hipótesis!$C$24</f>
        <v>13610.1727741701</v>
      </c>
      <c r="AC27" s="139" t="n">
        <f aca="false">AC17*AC21+AC23*Hipótesis!$C$24+AC178*Hipótesis!$C$24</f>
        <v>13913.5175147106</v>
      </c>
      <c r="AD27" s="139" t="n">
        <f aca="false">AD17*AD21+AD23*Hipótesis!$C$24+AD178*Hipótesis!$C$24</f>
        <v>14216.8622552511</v>
      </c>
      <c r="AE27" s="139" t="n">
        <f aca="false">AE17*AE21+AE23*Hipótesis!$C$24+AE178*Hipótesis!$C$24</f>
        <v>13840.4390090349</v>
      </c>
      <c r="AF27" s="139" t="n">
        <f aca="false">AF17*AF21+AF23*Hipótesis!$C$24+AF178*Hipótesis!$C$24</f>
        <v>14823.5517363322</v>
      </c>
      <c r="AG27" s="139" t="n">
        <f aca="false">AG17*AG21+AG23*Hipótesis!$C$24+AG178*Hipótesis!$C$24</f>
        <v>15126.8964768728</v>
      </c>
      <c r="AH27" s="139" t="n">
        <f aca="false">AH17*AH21+AH23*Hipótesis!$C$24+AH178*Hipótesis!$C$24</f>
        <v>15430.2412174133</v>
      </c>
      <c r="AI27" s="139" t="n">
        <f aca="false">AI17*AI21+AI23*Hipótesis!$C$24+AI178*Hipótesis!$C$24</f>
        <v>15733.5859579539</v>
      </c>
      <c r="AJ27" s="139" t="n">
        <f aca="false">AJ17*AJ21+AJ23*Hipótesis!$C$24+AJ178*Hipótesis!$C$24</f>
        <v>16036.9306984944</v>
      </c>
      <c r="AK27" s="139" t="n">
        <f aca="false">AK17*AK21+AK23*Hipótesis!$C$24+AK178*Hipótesis!$C$24</f>
        <v>16340.2754390349</v>
      </c>
      <c r="AL27" s="139" t="n">
        <f aca="false">AL17*AL21+AL23*Hipótesis!$C$24+AL178*Hipótesis!$C$24</f>
        <v>16643.6201795755</v>
      </c>
      <c r="AM27" s="139" t="n">
        <f aca="false">AM17*AM21+AM23*Hipótesis!$C$24+AM178*Hipótesis!$C$24</f>
        <v>16946.964920116</v>
      </c>
      <c r="AN27" s="139" t="n">
        <f aca="false">AN17*AN21+AN23*Hipótesis!$C$24+AN178*Hipótesis!$C$24</f>
        <v>17250.3096606566</v>
      </c>
      <c r="AO27" s="139" t="n">
        <f aca="false">AO17*AO21+AO23*Hipótesis!$C$24+AO178*Hipótesis!$C$24</f>
        <v>17553.6544011971</v>
      </c>
      <c r="AP27" s="139" t="n">
        <f aca="false">AP17*AP21+AP23*Hipótesis!$C$24+AP178*Hipótesis!$C$24</f>
        <v>17856.9991417376</v>
      </c>
      <c r="AQ27" s="139" t="n">
        <f aca="false">AQ17*AQ21+AQ23*Hipótesis!$C$24+AQ178*Hipótesis!$C$24</f>
        <v>17316.4939676836</v>
      </c>
      <c r="AR27" s="139" t="n">
        <f aca="false">AR17*AR21+AR23*Hipótesis!$C$24+AR178*Hipótesis!$C$24</f>
        <v>18463.6886228187</v>
      </c>
      <c r="AS27" s="139" t="n">
        <f aca="false">AS17*AS21+AS23*Hipótesis!$C$24+AS178*Hipótesis!$C$24</f>
        <v>18463.6886228187</v>
      </c>
      <c r="AT27" s="139" t="n">
        <f aca="false">AT17*AT21+AT23*Hipótesis!$C$24+AT178*Hipótesis!$C$24</f>
        <v>18463.6886228187</v>
      </c>
      <c r="AU27" s="139" t="n">
        <f aca="false">AU17*AU21+AU23*Hipótesis!$C$24+AU178*Hipótesis!$C$24</f>
        <v>18463.6886228187</v>
      </c>
      <c r="AV27" s="139" t="n">
        <f aca="false">AV17*AV21+AV23*Hipótesis!$C$24+AV178*Hipótesis!$C$24</f>
        <v>18463.6886228187</v>
      </c>
      <c r="AW27" s="139" t="n">
        <f aca="false">AW17*AW21+AW23*Hipótesis!$C$24+AW178*Hipótesis!$C$24</f>
        <v>18463.6886228187</v>
      </c>
      <c r="AX27" s="139" t="n">
        <f aca="false">AX17*AX21+AX23*Hipótesis!$C$24+AX178*Hipótesis!$C$24</f>
        <v>18463.6886228187</v>
      </c>
      <c r="AY27" s="139" t="n">
        <f aca="false">AY17*AY21+AY23*Hipótesis!$C$24+AY178*Hipótesis!$C$24</f>
        <v>18463.6886228187</v>
      </c>
      <c r="AZ27" s="139" t="n">
        <f aca="false">AZ17*AZ21+AZ23*Hipótesis!$C$24+AZ178*Hipótesis!$C$24</f>
        <v>18463.6886228187</v>
      </c>
      <c r="BA27" s="139" t="n">
        <f aca="false">BA17*BA21+BA23*Hipótesis!$C$24+BA178*Hipótesis!$C$24</f>
        <v>18463.6886228187</v>
      </c>
      <c r="BB27" s="139" t="n">
        <f aca="false">BB17*BB21+BB23*Hipótesis!$C$24+BB178*Hipótesis!$C$24</f>
        <v>18463.6886228187</v>
      </c>
      <c r="BC27" s="139" t="n">
        <f aca="false">BC17*BC21+BC23*Hipótesis!$C$24+BC178*Hipótesis!$C$24</f>
        <v>17619.8387082241</v>
      </c>
      <c r="BD27" s="139" t="n">
        <f aca="false">BD17*BD21+BD23*Hipótesis!$C$24+BD178*Hipótesis!$C$24</f>
        <v>18463.6886228187</v>
      </c>
      <c r="BE27" s="139" t="n">
        <f aca="false">BE17*BE21+BE23*Hipótesis!$C$24+BE178*Hipótesis!$C$24</f>
        <v>18463.6886228187</v>
      </c>
      <c r="BF27" s="139" t="n">
        <f aca="false">BF17*BF21+BF23*Hipótesis!$C$24+BF178*Hipótesis!$C$24</f>
        <v>18463.6886228187</v>
      </c>
      <c r="BG27" s="139" t="n">
        <f aca="false">BG17*BG21+BG23*Hipótesis!$C$24+BG178*Hipótesis!$C$24</f>
        <v>18463.6886228187</v>
      </c>
      <c r="BH27" s="139" t="n">
        <f aca="false">BH17*BH21+BH23*Hipótesis!$C$24+BH178*Hipótesis!$C$24</f>
        <v>18463.6886228187</v>
      </c>
      <c r="BI27" s="139" t="n">
        <f aca="false">BI17*BI21+BI23*Hipótesis!$C$24+BI178*Hipótesis!$C$24</f>
        <v>18463.6886228187</v>
      </c>
      <c r="BJ27" s="139" t="n">
        <f aca="false">BJ17*BJ21+BJ23*Hipótesis!$C$24+BJ178*Hipótesis!$C$24</f>
        <v>18463.6886228187</v>
      </c>
      <c r="BK27" s="139" t="n">
        <f aca="false">BK17*BK21+BK23*Hipótesis!$C$24+BK178*Hipótesis!$C$24</f>
        <v>18463.6886228187</v>
      </c>
      <c r="BL27" s="139" t="n">
        <f aca="false">BL17*BL21+BL23*Hipótesis!$C$24+BL178*Hipótesis!$C$24</f>
        <v>18463.6886228187</v>
      </c>
      <c r="BM27" s="139" t="n">
        <f aca="false">BM17*BM21+BM23*Hipótesis!$C$24+BM178*Hipótesis!$C$24</f>
        <v>18463.6886228187</v>
      </c>
      <c r="BN27" s="139" t="n">
        <f aca="false">BN17*BN21+BN23*Hipótesis!$C$24+BN178*Hipótesis!$C$24</f>
        <v>18463.6886228187</v>
      </c>
      <c r="BO27" s="139" t="n">
        <f aca="false">BO17*BO21+BO23*Hipótesis!$C$24+BO178*Hipótesis!$C$24</f>
        <v>17619.8387082241</v>
      </c>
      <c r="BP27" s="139" t="n">
        <f aca="false">BP17*BP21+BP23*Hipótesis!$C$24+BP178*Hipótesis!$C$24</f>
        <v>18463.6886228187</v>
      </c>
      <c r="BQ27" s="139" t="n">
        <f aca="false">BQ17*BQ21+BQ23*Hipótesis!$C$24+BQ178*Hipótesis!$C$24</f>
        <v>18463.6886228187</v>
      </c>
      <c r="BR27" s="139" t="n">
        <f aca="false">BR17*BR21+BR23*Hipótesis!$C$24+BR178*Hipótesis!$C$24</f>
        <v>18463.6886228187</v>
      </c>
      <c r="BS27" s="139" t="n">
        <f aca="false">BS17*BS21+BS23*Hipótesis!$C$24+BS178*Hipótesis!$C$24</f>
        <v>18463.6886228187</v>
      </c>
      <c r="BT27" s="139" t="n">
        <f aca="false">BT17*BT21+BT23*Hipótesis!$C$24+BT178*Hipótesis!$C$24</f>
        <v>18463.6886228187</v>
      </c>
      <c r="BU27" s="139" t="n">
        <f aca="false">BU17*BU21+BU23*Hipótesis!$C$24+BU178*Hipótesis!$C$24</f>
        <v>18463.6886228187</v>
      </c>
      <c r="BV27" s="139" t="n">
        <f aca="false">BV17*BV21+BV23*Hipótesis!$C$24+BV178*Hipótesis!$C$24</f>
        <v>18463.6886228187</v>
      </c>
      <c r="BW27" s="139" t="n">
        <f aca="false">BW17*BW21+BW23*Hipótesis!$C$24+BW178*Hipótesis!$C$24</f>
        <v>18463.6886228187</v>
      </c>
      <c r="BX27" s="139" t="n">
        <f aca="false">BX17*BX21+BX23*Hipótesis!$C$24+BX178*Hipótesis!$C$24</f>
        <v>18463.6886228187</v>
      </c>
      <c r="BY27" s="139" t="n">
        <f aca="false">BY17*BY21+BY23*Hipótesis!$C$24+BY178*Hipótesis!$C$24</f>
        <v>18463.6886228187</v>
      </c>
      <c r="BZ27" s="139" t="n">
        <f aca="false">BZ17*BZ21+BZ23*Hipótesis!$C$24+BZ178*Hipótesis!$C$24</f>
        <v>18463.6886228187</v>
      </c>
      <c r="CA27" s="139" t="n">
        <f aca="false">CA17*CA21+CA23*Hipótesis!$C$24+CA178*Hipótesis!$C$24</f>
        <v>17619.8387082241</v>
      </c>
      <c r="CB27" s="139" t="n">
        <f aca="false">CB17*CB21+CB23*Hipótesis!$C$24+CB178*Hipótesis!$C$24</f>
        <v>18463.6886228187</v>
      </c>
      <c r="CC27" s="139" t="n">
        <f aca="false">CC17*CC21+CC23*Hipótesis!$C$24+CC178*Hipótesis!$C$24</f>
        <v>18463.6886228187</v>
      </c>
      <c r="CD27" s="139" t="n">
        <f aca="false">CD17*CD21+CD23*Hipótesis!$C$24+CD178*Hipótesis!$C$24</f>
        <v>18463.6886228187</v>
      </c>
      <c r="CE27" s="139" t="n">
        <f aca="false">CE17*CE21+CE23*Hipótesis!$C$24+CE178*Hipótesis!$C$24</f>
        <v>18463.6886228187</v>
      </c>
      <c r="CF27" s="139" t="n">
        <f aca="false">CF17*CF21+CF23*Hipótesis!$C$24+CF178*Hipótesis!$C$24</f>
        <v>18463.6886228187</v>
      </c>
      <c r="CG27" s="139" t="n">
        <f aca="false">CG17*CG21+CG23*Hipótesis!$C$24+CG178*Hipótesis!$C$24</f>
        <v>18463.6886228187</v>
      </c>
      <c r="CH27" s="139" t="n">
        <f aca="false">CH17*CH21+CH23*Hipótesis!$C$24+CH178*Hipótesis!$C$24</f>
        <v>18463.6886228187</v>
      </c>
    </row>
    <row r="28" customFormat="false" ht="13.5" hidden="false" customHeight="true" outlineLevel="0" collapsed="false">
      <c r="A28" s="13" t="s">
        <v>710</v>
      </c>
      <c r="C28" s="139" t="n">
        <f aca="false">C27*Producto!$D$8/60</f>
        <v>9.29618244157201</v>
      </c>
      <c r="D28" s="139" t="n">
        <f aca="false">D27*Producto!$D$8/60</f>
        <v>19.7048968524535</v>
      </c>
      <c r="E28" s="139" t="n">
        <f aca="false">E27*Producto!$D$8/60</f>
        <v>44.5638016655828</v>
      </c>
      <c r="F28" s="139" t="n">
        <f aca="false">F27*Producto!$D$8/60</f>
        <v>61.9649770101131</v>
      </c>
      <c r="G28" s="139" t="n">
        <f aca="false">G27*Producto!$D$8/60</f>
        <v>70.4401952501988</v>
      </c>
      <c r="H28" s="139" t="n">
        <f aca="false">H27*Producto!$D$8/60</f>
        <v>107.290025908892</v>
      </c>
      <c r="I28" s="139" t="n">
        <f aca="false">I27*Producto!$D$8/60</f>
        <v>143.680243324343</v>
      </c>
      <c r="J28" s="139" t="n">
        <f aca="false">J27*Producto!$D$8/60</f>
        <v>191.101178577631</v>
      </c>
      <c r="K28" s="139" t="n">
        <f aca="false">K27*Producto!$D$8/60</f>
        <v>238.522113830919</v>
      </c>
      <c r="L28" s="139" t="n">
        <f aca="false">L27*Producto!$D$8/60</f>
        <v>285.943049084207</v>
      </c>
      <c r="M28" s="139" t="n">
        <f aca="false">M27*Producto!$D$8/60</f>
        <v>318.913793935247</v>
      </c>
      <c r="N28" s="139" t="n">
        <f aca="false">N27*Producto!$D$8/60</f>
        <v>370.426738274779</v>
      </c>
      <c r="O28" s="139" t="n">
        <f aca="false">O27*Producto!$D$8/60</f>
        <v>421.93968261431</v>
      </c>
      <c r="P28" s="139" t="n">
        <f aca="false">P27*Producto!$D$8/60</f>
        <v>468.1217446009</v>
      </c>
      <c r="Q28" s="139" t="n">
        <f aca="false">Q27*Producto!$D$8/60</f>
        <v>514.303806587491</v>
      </c>
      <c r="R28" s="139" t="n">
        <f aca="false">R27*Producto!$D$8/60</f>
        <v>560.485868574081</v>
      </c>
      <c r="S28" s="139" t="n">
        <f aca="false">S27*Producto!$D$8/60</f>
        <v>580.102285101211</v>
      </c>
      <c r="T28" s="139" t="n">
        <f aca="false">T27*Producto!$D$8/60</f>
        <v>652.849992547261</v>
      </c>
      <c r="U28" s="139" t="n">
        <f aca="false">U27*Producto!$D$8/60</f>
        <v>699.032054533851</v>
      </c>
      <c r="V28" s="139" t="n">
        <f aca="false">V27*Producto!$D$8/60</f>
        <v>745.214116520441</v>
      </c>
      <c r="W28" s="139" t="n">
        <f aca="false">W27*Producto!$D$8/60</f>
        <v>791.396178507032</v>
      </c>
      <c r="X28" s="139" t="n">
        <f aca="false">X27*Producto!$D$8/60</f>
        <v>819.036041005131</v>
      </c>
      <c r="Y28" s="139" t="n">
        <f aca="false">Y27*Producto!$D$8/60</f>
        <v>846.67590350323</v>
      </c>
      <c r="Z28" s="139" t="n">
        <f aca="false">Z27*Producto!$D$8/60</f>
        <v>866.898886205932</v>
      </c>
      <c r="AA28" s="139" t="n">
        <f aca="false">AA27*Producto!$D$8/60</f>
        <v>887.121868908635</v>
      </c>
      <c r="AB28" s="139" t="n">
        <f aca="false">AB27*Producto!$D$8/60</f>
        <v>907.344851611338</v>
      </c>
      <c r="AC28" s="139" t="n">
        <f aca="false">AC27*Producto!$D$8/60</f>
        <v>927.567834314041</v>
      </c>
      <c r="AD28" s="139" t="n">
        <f aca="false">AD27*Producto!$D$8/60</f>
        <v>947.790817016743</v>
      </c>
      <c r="AE28" s="139" t="n">
        <f aca="false">AE27*Producto!$D$8/60</f>
        <v>922.695933935662</v>
      </c>
      <c r="AF28" s="139" t="n">
        <f aca="false">AF27*Producto!$D$8/60</f>
        <v>988.236782422149</v>
      </c>
      <c r="AG28" s="139" t="n">
        <f aca="false">AG27*Producto!$D$8/60</f>
        <v>1008.45976512485</v>
      </c>
      <c r="AH28" s="139" t="n">
        <f aca="false">AH27*Producto!$D$8/60</f>
        <v>1028.68274782755</v>
      </c>
      <c r="AI28" s="139" t="n">
        <f aca="false">AI27*Producto!$D$8/60</f>
        <v>1048.90573053026</v>
      </c>
      <c r="AJ28" s="139" t="n">
        <f aca="false">AJ27*Producto!$D$8/60</f>
        <v>1069.12871323296</v>
      </c>
      <c r="AK28" s="139" t="n">
        <f aca="false">AK27*Producto!$D$8/60</f>
        <v>1089.35169593566</v>
      </c>
      <c r="AL28" s="139" t="n">
        <f aca="false">AL27*Producto!$D$8/60</f>
        <v>1109.57467863836</v>
      </c>
      <c r="AM28" s="139" t="n">
        <f aca="false">AM27*Producto!$D$8/60</f>
        <v>1129.79766134107</v>
      </c>
      <c r="AN28" s="139" t="n">
        <f aca="false">AN27*Producto!$D$8/60</f>
        <v>1150.02064404377</v>
      </c>
      <c r="AO28" s="139" t="n">
        <f aca="false">AO27*Producto!$D$8/60</f>
        <v>1170.24362674647</v>
      </c>
      <c r="AP28" s="139" t="n">
        <f aca="false">AP27*Producto!$D$8/60</f>
        <v>1190.46660944918</v>
      </c>
      <c r="AQ28" s="139" t="n">
        <f aca="false">AQ27*Producto!$D$8/60</f>
        <v>1154.43293117891</v>
      </c>
      <c r="AR28" s="139" t="n">
        <f aca="false">AR27*Producto!$D$8/60</f>
        <v>1230.91257485458</v>
      </c>
      <c r="AS28" s="139" t="n">
        <f aca="false">AS27*Producto!$D$8/60</f>
        <v>1230.91257485458</v>
      </c>
      <c r="AT28" s="139" t="n">
        <f aca="false">AT27*Producto!$D$8/60</f>
        <v>1230.91257485458</v>
      </c>
      <c r="AU28" s="139" t="n">
        <f aca="false">AU27*Producto!$D$8/60</f>
        <v>1230.91257485458</v>
      </c>
      <c r="AV28" s="139" t="n">
        <f aca="false">AV27*Producto!$D$8/60</f>
        <v>1230.91257485458</v>
      </c>
      <c r="AW28" s="139" t="n">
        <f aca="false">AW27*Producto!$D$8/60</f>
        <v>1230.91257485458</v>
      </c>
      <c r="AX28" s="139" t="n">
        <f aca="false">AX27*Producto!$D$8/60</f>
        <v>1230.91257485458</v>
      </c>
      <c r="AY28" s="139" t="n">
        <f aca="false">AY27*Producto!$D$8/60</f>
        <v>1230.91257485458</v>
      </c>
      <c r="AZ28" s="139" t="n">
        <f aca="false">AZ27*Producto!$D$8/60</f>
        <v>1230.91257485458</v>
      </c>
      <c r="BA28" s="139" t="n">
        <f aca="false">BA27*Producto!$D$8/60</f>
        <v>1230.91257485458</v>
      </c>
      <c r="BB28" s="139" t="n">
        <f aca="false">BB27*Producto!$D$8/60</f>
        <v>1230.91257485458</v>
      </c>
      <c r="BC28" s="139" t="n">
        <f aca="false">BC27*Producto!$D$8/60</f>
        <v>1174.65591388161</v>
      </c>
      <c r="BD28" s="139" t="n">
        <f aca="false">BD27*Producto!$D$8/60</f>
        <v>1230.91257485458</v>
      </c>
      <c r="BE28" s="139" t="n">
        <f aca="false">BE27*Producto!$D$8/60</f>
        <v>1230.91257485458</v>
      </c>
      <c r="BF28" s="139" t="n">
        <f aca="false">BF27*Producto!$D$8/60</f>
        <v>1230.91257485458</v>
      </c>
      <c r="BG28" s="139" t="n">
        <f aca="false">BG27*Producto!$D$8/60</f>
        <v>1230.91257485458</v>
      </c>
      <c r="BH28" s="139" t="n">
        <f aca="false">BH27*Producto!$D$8/60</f>
        <v>1230.91257485458</v>
      </c>
      <c r="BI28" s="139" t="n">
        <f aca="false">BI27*Producto!$D$8/60</f>
        <v>1230.91257485458</v>
      </c>
      <c r="BJ28" s="139" t="n">
        <f aca="false">BJ27*Producto!$D$8/60</f>
        <v>1230.91257485458</v>
      </c>
      <c r="BK28" s="139" t="n">
        <f aca="false">BK27*Producto!$D$8/60</f>
        <v>1230.91257485458</v>
      </c>
      <c r="BL28" s="139" t="n">
        <f aca="false">BL27*Producto!$D$8/60</f>
        <v>1230.91257485458</v>
      </c>
      <c r="BM28" s="139" t="n">
        <f aca="false">BM27*Producto!$D$8/60</f>
        <v>1230.91257485458</v>
      </c>
      <c r="BN28" s="139" t="n">
        <f aca="false">BN27*Producto!$D$8/60</f>
        <v>1230.91257485458</v>
      </c>
      <c r="BO28" s="139" t="n">
        <f aca="false">BO27*Producto!$D$8/60</f>
        <v>1174.65591388161</v>
      </c>
      <c r="BP28" s="139" t="n">
        <f aca="false">BP27*Producto!$D$8/60</f>
        <v>1230.91257485458</v>
      </c>
      <c r="BQ28" s="139" t="n">
        <f aca="false">BQ27*Producto!$D$8/60</f>
        <v>1230.91257485458</v>
      </c>
      <c r="BR28" s="139" t="n">
        <f aca="false">BR27*Producto!$D$8/60</f>
        <v>1230.91257485458</v>
      </c>
      <c r="BS28" s="139" t="n">
        <f aca="false">BS27*Producto!$D$8/60</f>
        <v>1230.91257485458</v>
      </c>
      <c r="BT28" s="139" t="n">
        <f aca="false">BT27*Producto!$D$8/60</f>
        <v>1230.91257485458</v>
      </c>
      <c r="BU28" s="139" t="n">
        <f aca="false">BU27*Producto!$D$8/60</f>
        <v>1230.91257485458</v>
      </c>
      <c r="BV28" s="139" t="n">
        <f aca="false">BV27*Producto!$D$8/60</f>
        <v>1230.91257485458</v>
      </c>
      <c r="BW28" s="139" t="n">
        <f aca="false">BW27*Producto!$D$8/60</f>
        <v>1230.91257485458</v>
      </c>
      <c r="BX28" s="139" t="n">
        <f aca="false">BX27*Producto!$D$8/60</f>
        <v>1230.91257485458</v>
      </c>
      <c r="BY28" s="139" t="n">
        <f aca="false">BY27*Producto!$D$8/60</f>
        <v>1230.91257485458</v>
      </c>
      <c r="BZ28" s="139" t="n">
        <f aca="false">BZ27*Producto!$D$8/60</f>
        <v>1230.91257485458</v>
      </c>
      <c r="CA28" s="139" t="n">
        <f aca="false">CA27*Producto!$D$8/60</f>
        <v>1174.65591388161</v>
      </c>
      <c r="CB28" s="139" t="n">
        <f aca="false">CB27*Producto!$D$8/60</f>
        <v>1230.91257485458</v>
      </c>
      <c r="CC28" s="139" t="n">
        <f aca="false">CC27*Producto!$D$8/60</f>
        <v>1230.91257485458</v>
      </c>
      <c r="CD28" s="139" t="n">
        <f aca="false">CD27*Producto!$D$8/60</f>
        <v>1230.91257485458</v>
      </c>
      <c r="CE28" s="139" t="n">
        <f aca="false">CE27*Producto!$D$8/60</f>
        <v>1230.91257485458</v>
      </c>
      <c r="CF28" s="139" t="n">
        <f aca="false">CF27*Producto!$D$8/60</f>
        <v>1230.91257485458</v>
      </c>
      <c r="CG28" s="139" t="n">
        <f aca="false">CG27*Producto!$D$8/60</f>
        <v>1230.91257485458</v>
      </c>
      <c r="CH28" s="139" t="n">
        <f aca="false">CH27*Producto!$D$8/60</f>
        <v>1230.91257485458</v>
      </c>
    </row>
    <row r="29" customFormat="false" ht="13.5" hidden="false" customHeight="true" outlineLevel="0" collapsed="false">
      <c r="A29" s="13" t="s">
        <v>711</v>
      </c>
      <c r="C29" s="139" t="n">
        <f aca="false">SUMPRODUCT((Hipótesis!$D$48:$D$53&lt;=1)*(Hipótesis!$B$48:$B$53)*(Hipótesis!$F$48:$F$53))</f>
        <v>320</v>
      </c>
      <c r="D29" s="139" t="n">
        <f aca="false">SUMPRODUCT((Hipótesis!$D$48:$D$53&lt;=2)*(Hipótesis!$B$48:$B$53)*(Hipótesis!$F$48:$F$53))</f>
        <v>320</v>
      </c>
      <c r="E29" s="139" t="n">
        <f aca="false">SUMPRODUCT((Hipótesis!$D$48:$D$53&lt;=3)*(Hipótesis!$B$48:$B$53)*(Hipótesis!$F$48:$F$53))</f>
        <v>320</v>
      </c>
      <c r="F29" s="139" t="n">
        <f aca="false">SUMPRODUCT((Hipótesis!$D$48:$D$53&lt;=4)*(Hipótesis!$B$48:$B$53)*(Hipótesis!$F$48:$F$53))</f>
        <v>320</v>
      </c>
      <c r="G29" s="139" t="n">
        <f aca="false">SUMPRODUCT((Hipótesis!$D$48:$D$53&lt;=5)*(Hipótesis!$B$48:$B$53)*(Hipótesis!$F$48:$F$53))</f>
        <v>320</v>
      </c>
      <c r="H29" s="139" t="n">
        <f aca="false">SUMPRODUCT((Hipótesis!$D$48:$D$53&lt;=6)*(Hipótesis!$B$48:$B$53)*(Hipótesis!$F$48:$F$53))</f>
        <v>320</v>
      </c>
      <c r="I29" s="139" t="n">
        <f aca="false">SUMPRODUCT((Hipótesis!$D$48:$D$53&lt;=7)*(Hipótesis!$B$48:$B$53)*(Hipótesis!$F$48:$F$53))</f>
        <v>320</v>
      </c>
      <c r="J29" s="139" t="n">
        <f aca="false">SUMPRODUCT((Hipótesis!$D$48:$D$53&lt;=8)*(Hipótesis!$B$48:$B$53)*(Hipótesis!$F$48:$F$53))</f>
        <v>320</v>
      </c>
      <c r="K29" s="139" t="n">
        <f aca="false">SUMPRODUCT((Hipótesis!$D$48:$D$53&lt;=9)*(Hipótesis!$B$48:$B$53)*(Hipótesis!$F$48:$F$53))</f>
        <v>320</v>
      </c>
      <c r="L29" s="139" t="n">
        <f aca="false">SUMPRODUCT((Hipótesis!$D$48:$D$53&lt;=10)*(Hipótesis!$B$48:$B$53)*(Hipótesis!$F$48:$F$53))</f>
        <v>320</v>
      </c>
      <c r="M29" s="139" t="n">
        <f aca="false">SUMPRODUCT((Hipótesis!$D$48:$D$53&lt;=11)*(Hipótesis!$B$48:$B$53)*(Hipótesis!$F$48:$F$53))</f>
        <v>320</v>
      </c>
      <c r="N29" s="139" t="n">
        <f aca="false">SUMPRODUCT((Hipótesis!$D$48:$D$53&lt;=12)*(Hipótesis!$B$48:$B$53)*(Hipótesis!$F$48:$F$53))</f>
        <v>320</v>
      </c>
      <c r="O29" s="139" t="n">
        <f aca="false">SUMPRODUCT((Hipótesis!$D$48:$D$53&lt;=13)*(Hipótesis!$B$48:$B$53)*(Hipótesis!$F$48:$F$53))</f>
        <v>320</v>
      </c>
      <c r="P29" s="139" t="n">
        <f aca="false">SUMPRODUCT((Hipótesis!$D$48:$D$53&lt;=14)*(Hipótesis!$B$48:$B$53)*(Hipótesis!$F$48:$F$53))</f>
        <v>320</v>
      </c>
      <c r="Q29" s="139" t="n">
        <f aca="false">SUMPRODUCT((Hipótesis!$D$48:$D$53&lt;=15)*(Hipótesis!$B$48:$B$53)*(Hipótesis!$F$48:$F$53))</f>
        <v>320</v>
      </c>
      <c r="R29" s="139" t="n">
        <f aca="false">SUMPRODUCT((Hipótesis!$D$48:$D$53&lt;=16)*(Hipótesis!$B$48:$B$53)*(Hipótesis!$F$48:$F$53))</f>
        <v>320</v>
      </c>
      <c r="S29" s="139" t="n">
        <f aca="false">SUMPRODUCT((Hipótesis!$D$48:$D$53&lt;=17)*(Hipótesis!$B$48:$B$53)*(Hipótesis!$F$48:$F$53))</f>
        <v>320</v>
      </c>
      <c r="T29" s="139" t="n">
        <f aca="false">SUMPRODUCT((Hipótesis!$D$48:$D$53&lt;=18)*(Hipótesis!$B$48:$B$53)*(Hipótesis!$F$48:$F$53))</f>
        <v>320</v>
      </c>
      <c r="U29" s="139" t="n">
        <f aca="false">SUMPRODUCT((Hipótesis!$D$48:$D$53&lt;=19)*(Hipótesis!$B$48:$B$53)*(Hipótesis!$F$48:$F$53))</f>
        <v>320</v>
      </c>
      <c r="V29" s="139" t="n">
        <f aca="false">SUMPRODUCT((Hipótesis!$D$48:$D$53&lt;=20)*(Hipótesis!$B$48:$B$53)*(Hipótesis!$F$48:$F$53))</f>
        <v>320</v>
      </c>
      <c r="W29" s="139" t="n">
        <f aca="false">SUMPRODUCT((Hipótesis!$D$48:$D$53&lt;=21)*(Hipótesis!$B$48:$B$53)*(Hipótesis!$F$48:$F$53))</f>
        <v>320</v>
      </c>
      <c r="X29" s="139" t="n">
        <f aca="false">SUMPRODUCT((Hipótesis!$D$48:$D$53&lt;=22)*(Hipótesis!$B$48:$B$53)*(Hipótesis!$F$48:$F$53))</f>
        <v>320</v>
      </c>
      <c r="Y29" s="139" t="n">
        <f aca="false">SUMPRODUCT((Hipótesis!$D$48:$D$53&lt;=23)*(Hipótesis!$B$48:$B$53)*(Hipótesis!$F$48:$F$53))</f>
        <v>320</v>
      </c>
      <c r="Z29" s="139" t="n">
        <f aca="false">SUMPRODUCT((Hipótesis!$D$48:$D$53&lt;=24)*(Hipótesis!$B$48:$B$53)*(Hipótesis!$F$48:$F$53))</f>
        <v>320</v>
      </c>
      <c r="AA29" s="139" t="n">
        <f aca="false">SUMPRODUCT((Hipótesis!$D$48:$D$53&lt;=25)*(Hipótesis!$B$48:$B$53)*(Hipótesis!$F$48:$F$53))</f>
        <v>320</v>
      </c>
      <c r="AB29" s="139" t="n">
        <f aca="false">SUMPRODUCT((Hipótesis!$D$48:$D$53&lt;=26)*(Hipótesis!$B$48:$B$53)*(Hipótesis!$F$48:$F$53))</f>
        <v>320</v>
      </c>
      <c r="AC29" s="139" t="n">
        <f aca="false">SUMPRODUCT((Hipótesis!$D$48:$D$53&lt;=27)*(Hipótesis!$B$48:$B$53)*(Hipótesis!$F$48:$F$53))</f>
        <v>320</v>
      </c>
      <c r="AD29" s="139" t="n">
        <f aca="false">SUMPRODUCT((Hipótesis!$D$48:$D$53&lt;=28)*(Hipótesis!$B$48:$B$53)*(Hipótesis!$F$48:$F$53))</f>
        <v>320</v>
      </c>
      <c r="AE29" s="139" t="n">
        <f aca="false">SUMPRODUCT((Hipótesis!$D$48:$D$53&lt;=29)*(Hipótesis!$B$48:$B$53)*(Hipótesis!$F$48:$F$53))</f>
        <v>320</v>
      </c>
      <c r="AF29" s="139" t="n">
        <f aca="false">SUMPRODUCT((Hipótesis!$D$48:$D$53&lt;=30)*(Hipótesis!$B$48:$B$53)*(Hipótesis!$F$48:$F$53))</f>
        <v>320</v>
      </c>
      <c r="AG29" s="139" t="n">
        <f aca="false">SUMPRODUCT((Hipótesis!$D$48:$D$53&lt;=31)*(Hipótesis!$B$48:$B$53)*(Hipótesis!$F$48:$F$53))</f>
        <v>320</v>
      </c>
      <c r="AH29" s="139" t="n">
        <f aca="false">SUMPRODUCT((Hipótesis!$D$48:$D$53&lt;=32)*(Hipótesis!$B$48:$B$53)*(Hipótesis!$F$48:$F$53))</f>
        <v>320</v>
      </c>
      <c r="AI29" s="139" t="n">
        <f aca="false">SUMPRODUCT((Hipótesis!$D$48:$D$53&lt;=33)*(Hipótesis!$B$48:$B$53)*(Hipótesis!$F$48:$F$53))</f>
        <v>320</v>
      </c>
      <c r="AJ29" s="139" t="n">
        <f aca="false">SUMPRODUCT((Hipótesis!$D$48:$D$53&lt;=34)*(Hipótesis!$B$48:$B$53)*(Hipótesis!$F$48:$F$53))</f>
        <v>320</v>
      </c>
      <c r="AK29" s="139" t="n">
        <f aca="false">SUMPRODUCT((Hipótesis!$D$48:$D$53&lt;=35)*(Hipótesis!$B$48:$B$53)*(Hipótesis!$F$48:$F$53))</f>
        <v>320</v>
      </c>
      <c r="AL29" s="139" t="n">
        <f aca="false">SUMPRODUCT((Hipótesis!$D$48:$D$53&lt;=36)*(Hipótesis!$B$48:$B$53)*(Hipótesis!$F$48:$F$53))</f>
        <v>320</v>
      </c>
      <c r="AM29" s="139" t="n">
        <f aca="false">SUMPRODUCT((Hipótesis!$D$48:$D$53&lt;=37)*(Hipótesis!$B$48:$B$53)*(Hipótesis!$F$48:$F$53))</f>
        <v>320</v>
      </c>
      <c r="AN29" s="139" t="n">
        <f aca="false">SUMPRODUCT((Hipótesis!$D$48:$D$53&lt;=38)*(Hipótesis!$B$48:$B$53)*(Hipótesis!$F$48:$F$53))</f>
        <v>320</v>
      </c>
      <c r="AO29" s="139" t="n">
        <f aca="false">SUMPRODUCT((Hipótesis!$D$48:$D$53&lt;=39)*(Hipótesis!$B$48:$B$53)*(Hipótesis!$F$48:$F$53))</f>
        <v>320</v>
      </c>
      <c r="AP29" s="139" t="n">
        <f aca="false">SUMPRODUCT((Hipótesis!$D$48:$D$53&lt;=40)*(Hipótesis!$B$48:$B$53)*(Hipótesis!$F$48:$F$53))</f>
        <v>320</v>
      </c>
      <c r="AQ29" s="139" t="n">
        <f aca="false">SUMPRODUCT((Hipótesis!$D$48:$D$53&lt;=41)*(Hipótesis!$B$48:$B$53)*(Hipótesis!$F$48:$F$53))</f>
        <v>320</v>
      </c>
      <c r="AR29" s="139" t="n">
        <f aca="false">SUMPRODUCT((Hipótesis!$D$48:$D$53&lt;=42)*(Hipótesis!$B$48:$B$53)*(Hipótesis!$F$48:$F$53))</f>
        <v>320</v>
      </c>
      <c r="AS29" s="139" t="n">
        <f aca="false">SUMPRODUCT((Hipótesis!$D$48:$D$53&lt;=43)*(Hipótesis!$B$48:$B$53)*(Hipótesis!$F$48:$F$53))</f>
        <v>320</v>
      </c>
      <c r="AT29" s="139" t="n">
        <f aca="false">SUMPRODUCT((Hipótesis!$D$48:$D$53&lt;=44)*(Hipótesis!$B$48:$B$53)*(Hipótesis!$F$48:$F$53))</f>
        <v>320</v>
      </c>
      <c r="AU29" s="139" t="n">
        <f aca="false">SUMPRODUCT((Hipótesis!$D$48:$D$53&lt;=45)*(Hipótesis!$B$48:$B$53)*(Hipótesis!$F$48:$F$53))</f>
        <v>320</v>
      </c>
      <c r="AV29" s="139" t="n">
        <f aca="false">SUMPRODUCT((Hipótesis!$D$48:$D$53&lt;=46)*(Hipótesis!$B$48:$B$53)*(Hipótesis!$F$48:$F$53))</f>
        <v>320</v>
      </c>
      <c r="AW29" s="139" t="n">
        <f aca="false">SUMPRODUCT((Hipótesis!$D$48:$D$53&lt;=47)*(Hipótesis!$B$48:$B$53)*(Hipótesis!$F$48:$F$53))</f>
        <v>320</v>
      </c>
      <c r="AX29" s="139" t="n">
        <f aca="false">SUMPRODUCT((Hipótesis!$D$48:$D$53&lt;=48)*(Hipótesis!$B$48:$B$53)*(Hipótesis!$F$48:$F$53))</f>
        <v>320</v>
      </c>
      <c r="AY29" s="139" t="n">
        <f aca="false">SUMPRODUCT((Hipótesis!$D$48:$D$53&lt;=49)*(Hipótesis!$B$48:$B$53)*(Hipótesis!$F$48:$F$53))</f>
        <v>320</v>
      </c>
      <c r="AZ29" s="139" t="n">
        <f aca="false">SUMPRODUCT((Hipótesis!$D$48:$D$53&lt;=50)*(Hipótesis!$B$48:$B$53)*(Hipótesis!$F$48:$F$53))</f>
        <v>320</v>
      </c>
      <c r="BA29" s="139" t="n">
        <f aca="false">SUMPRODUCT((Hipótesis!$D$48:$D$53&lt;=51)*(Hipótesis!$B$48:$B$53)*(Hipótesis!$F$48:$F$53))</f>
        <v>320</v>
      </c>
      <c r="BB29" s="139" t="n">
        <f aca="false">SUMPRODUCT((Hipótesis!$D$48:$D$53&lt;=52)*(Hipótesis!$B$48:$B$53)*(Hipótesis!$F$48:$F$53))</f>
        <v>320</v>
      </c>
      <c r="BC29" s="139" t="n">
        <f aca="false">SUMPRODUCT((Hipótesis!$D$48:$D$53&lt;=53)*(Hipótesis!$B$48:$B$53)*(Hipótesis!$F$48:$F$53))</f>
        <v>320</v>
      </c>
      <c r="BD29" s="139" t="n">
        <f aca="false">SUMPRODUCT((Hipótesis!$D$48:$D$53&lt;=54)*(Hipótesis!$B$48:$B$53)*(Hipótesis!$F$48:$F$53))</f>
        <v>320</v>
      </c>
      <c r="BE29" s="139" t="n">
        <f aca="false">SUMPRODUCT((Hipótesis!$D$48:$D$53&lt;=55)*(Hipótesis!$B$48:$B$53)*(Hipótesis!$F$48:$F$53))</f>
        <v>320</v>
      </c>
      <c r="BF29" s="139" t="n">
        <f aca="false">SUMPRODUCT((Hipótesis!$D$48:$D$53&lt;=56)*(Hipótesis!$B$48:$B$53)*(Hipótesis!$F$48:$F$53))</f>
        <v>320</v>
      </c>
      <c r="BG29" s="139" t="n">
        <f aca="false">SUMPRODUCT((Hipótesis!$D$48:$D$53&lt;=57)*(Hipótesis!$B$48:$B$53)*(Hipótesis!$F$48:$F$53))</f>
        <v>320</v>
      </c>
      <c r="BH29" s="139" t="n">
        <f aca="false">SUMPRODUCT((Hipótesis!$D$48:$D$53&lt;=58)*(Hipótesis!$B$48:$B$53)*(Hipótesis!$F$48:$F$53))</f>
        <v>320</v>
      </c>
      <c r="BI29" s="139" t="n">
        <f aca="false">SUMPRODUCT((Hipótesis!$D$48:$D$53&lt;=59)*(Hipótesis!$B$48:$B$53)*(Hipótesis!$F$48:$F$53))</f>
        <v>320</v>
      </c>
      <c r="BJ29" s="139" t="n">
        <f aca="false">SUMPRODUCT((Hipótesis!$D$48:$D$53&lt;=60)*(Hipótesis!$B$48:$B$53)*(Hipótesis!$F$48:$F$53))</f>
        <v>320</v>
      </c>
      <c r="BK29" s="139" t="n">
        <f aca="false">SUMPRODUCT((Hipótesis!$D$48:$D$53&lt;=61)*(Hipótesis!$B$48:$B$53)*(Hipótesis!$F$48:$F$53))</f>
        <v>320</v>
      </c>
      <c r="BL29" s="139" t="n">
        <f aca="false">SUMPRODUCT((Hipótesis!$D$48:$D$53&lt;=62)*(Hipótesis!$B$48:$B$53)*(Hipótesis!$F$48:$F$53))</f>
        <v>320</v>
      </c>
      <c r="BM29" s="139" t="n">
        <f aca="false">SUMPRODUCT((Hipótesis!$D$48:$D$53&lt;=63)*(Hipótesis!$B$48:$B$53)*(Hipótesis!$F$48:$F$53))</f>
        <v>320</v>
      </c>
      <c r="BN29" s="139" t="n">
        <f aca="false">SUMPRODUCT((Hipótesis!$D$48:$D$53&lt;=64)*(Hipótesis!$B$48:$B$53)*(Hipótesis!$F$48:$F$53))</f>
        <v>320</v>
      </c>
      <c r="BO29" s="139" t="n">
        <f aca="false">SUMPRODUCT((Hipótesis!$D$48:$D$53&lt;=65)*(Hipótesis!$B$48:$B$53)*(Hipótesis!$F$48:$F$53))</f>
        <v>320</v>
      </c>
      <c r="BP29" s="139" t="n">
        <f aca="false">SUMPRODUCT((Hipótesis!$D$48:$D$53&lt;=66)*(Hipótesis!$B$48:$B$53)*(Hipótesis!$F$48:$F$53))</f>
        <v>320</v>
      </c>
      <c r="BQ29" s="139" t="n">
        <f aca="false">SUMPRODUCT((Hipótesis!$D$48:$D$53&lt;=67)*(Hipótesis!$B$48:$B$53)*(Hipótesis!$F$48:$F$53))</f>
        <v>320</v>
      </c>
      <c r="BR29" s="139" t="n">
        <f aca="false">SUMPRODUCT((Hipótesis!$D$48:$D$53&lt;=68)*(Hipótesis!$B$48:$B$53)*(Hipótesis!$F$48:$F$53))</f>
        <v>320</v>
      </c>
      <c r="BS29" s="139" t="n">
        <f aca="false">SUMPRODUCT((Hipótesis!$D$48:$D$53&lt;=69)*(Hipótesis!$B$48:$B$53)*(Hipótesis!$F$48:$F$53))</f>
        <v>320</v>
      </c>
      <c r="BT29" s="139" t="n">
        <f aca="false">SUMPRODUCT((Hipótesis!$D$48:$D$53&lt;=70)*(Hipótesis!$B$48:$B$53)*(Hipótesis!$F$48:$F$53))</f>
        <v>320</v>
      </c>
      <c r="BU29" s="139" t="n">
        <f aca="false">SUMPRODUCT((Hipótesis!$D$48:$D$53&lt;=71)*(Hipótesis!$B$48:$B$53)*(Hipótesis!$F$48:$F$53))</f>
        <v>320</v>
      </c>
      <c r="BV29" s="139" t="n">
        <f aca="false">SUMPRODUCT((Hipótesis!$D$48:$D$53&lt;=72)*(Hipótesis!$B$48:$B$53)*(Hipótesis!$F$48:$F$53))</f>
        <v>320</v>
      </c>
      <c r="BW29" s="139" t="n">
        <f aca="false">SUMPRODUCT((Hipótesis!$D$48:$D$53&lt;=73)*(Hipótesis!$B$48:$B$53)*(Hipótesis!$F$48:$F$53))</f>
        <v>320</v>
      </c>
      <c r="BX29" s="139" t="n">
        <f aca="false">SUMPRODUCT((Hipótesis!$D$48:$D$53&lt;=74)*(Hipótesis!$B$48:$B$53)*(Hipótesis!$F$48:$F$53))</f>
        <v>320</v>
      </c>
      <c r="BY29" s="139" t="n">
        <f aca="false">SUMPRODUCT((Hipótesis!$D$48:$D$53&lt;=75)*(Hipótesis!$B$48:$B$53)*(Hipótesis!$F$48:$F$53))</f>
        <v>320</v>
      </c>
      <c r="BZ29" s="139" t="n">
        <f aca="false">SUMPRODUCT((Hipótesis!$D$48:$D$53&lt;=76)*(Hipótesis!$B$48:$B$53)*(Hipótesis!$F$48:$F$53))</f>
        <v>320</v>
      </c>
      <c r="CA29" s="139" t="n">
        <f aca="false">SUMPRODUCT((Hipótesis!$D$48:$D$53&lt;=77)*(Hipótesis!$B$48:$B$53)*(Hipótesis!$F$48:$F$53))</f>
        <v>320</v>
      </c>
      <c r="CB29" s="139" t="n">
        <f aca="false">SUMPRODUCT((Hipótesis!$D$48:$D$53&lt;=78)*(Hipótesis!$B$48:$B$53)*(Hipótesis!$F$48:$F$53))</f>
        <v>320</v>
      </c>
      <c r="CC29" s="139" t="n">
        <f aca="false">SUMPRODUCT((Hipótesis!$D$48:$D$53&lt;=79)*(Hipótesis!$B$48:$B$53)*(Hipótesis!$F$48:$F$53))</f>
        <v>320</v>
      </c>
      <c r="CD29" s="139" t="n">
        <f aca="false">SUMPRODUCT((Hipótesis!$D$48:$D$53&lt;=80)*(Hipótesis!$B$48:$B$53)*(Hipótesis!$F$48:$F$53))</f>
        <v>320</v>
      </c>
      <c r="CE29" s="139" t="n">
        <f aca="false">SUMPRODUCT((Hipótesis!$D$48:$D$53&lt;=81)*(Hipótesis!$B$48:$B$53)*(Hipótesis!$F$48:$F$53))</f>
        <v>320</v>
      </c>
      <c r="CF29" s="139" t="n">
        <f aca="false">SUMPRODUCT((Hipótesis!$D$48:$D$53&lt;=82)*(Hipótesis!$B$48:$B$53)*(Hipótesis!$F$48:$F$53))</f>
        <v>320</v>
      </c>
      <c r="CG29" s="139" t="n">
        <f aca="false">SUMPRODUCT((Hipótesis!$D$48:$D$53&lt;=83)*(Hipótesis!$B$48:$B$53)*(Hipótesis!$F$48:$F$53))</f>
        <v>320</v>
      </c>
      <c r="CH29" s="139" t="n">
        <f aca="false">SUMPRODUCT((Hipótesis!$D$48:$D$53&lt;=84)*(Hipótesis!$B$48:$B$53)*(Hipótesis!$F$48:$F$53))</f>
        <v>320</v>
      </c>
    </row>
    <row r="30" customFormat="false" ht="13.5" hidden="false" customHeight="true" outlineLevel="0" collapsed="false">
      <c r="A30" s="30" t="s">
        <v>712</v>
      </c>
      <c r="C30" s="139" t="n">
        <f aca="false">ROUNDUP(MAX(0,C28-C29)/Hipótesis!$D$63,0)</f>
        <v>0</v>
      </c>
      <c r="D30" s="139" t="n">
        <f aca="false">ROUNDUP(MAX(0,D28-D29)/Hipótesis!$D$63,0)</f>
        <v>0</v>
      </c>
      <c r="E30" s="139" t="n">
        <f aca="false">ROUNDUP(MAX(0,E28-E29)/Hipótesis!$D$63,0)</f>
        <v>0</v>
      </c>
      <c r="F30" s="139" t="n">
        <f aca="false">ROUNDUP(MAX(0,F28-F29)/Hipótesis!$D$63,0)</f>
        <v>0</v>
      </c>
      <c r="G30" s="139" t="n">
        <f aca="false">ROUNDUP(MAX(0,G28-G29)/Hipótesis!$D$63,0)</f>
        <v>0</v>
      </c>
      <c r="H30" s="139" t="n">
        <f aca="false">ROUNDUP(MAX(0,H28-H29)/Hipótesis!$D$63,0)</f>
        <v>0</v>
      </c>
      <c r="I30" s="139" t="n">
        <f aca="false">ROUNDUP(MAX(0,I28-I29)/Hipótesis!$D$63,0)</f>
        <v>0</v>
      </c>
      <c r="J30" s="139" t="n">
        <f aca="false">ROUNDUP(MAX(0,J28-J29)/Hipótesis!$D$63,0)</f>
        <v>0</v>
      </c>
      <c r="K30" s="139" t="n">
        <f aca="false">ROUNDUP(MAX(0,K28-K29)/Hipótesis!$D$63,0)</f>
        <v>0</v>
      </c>
      <c r="L30" s="139" t="n">
        <f aca="false">ROUNDUP(MAX(0,L28-L29)/Hipótesis!$D$63,0)</f>
        <v>0</v>
      </c>
      <c r="M30" s="139" t="n">
        <f aca="false">ROUNDUP(MAX(0,M28-M29)/Hipótesis!$D$63,0)</f>
        <v>0</v>
      </c>
      <c r="N30" s="139" t="n">
        <f aca="false">ROUNDUP(MAX(0,N28-N29)/Hipótesis!$D$63,0)</f>
        <v>1</v>
      </c>
      <c r="O30" s="139" t="n">
        <f aca="false">ROUNDUP(MAX(0,O28-O29)/Hipótesis!$D$63,0)</f>
        <v>1</v>
      </c>
      <c r="P30" s="139" t="n">
        <f aca="false">ROUNDUP(MAX(0,P28-P29)/Hipótesis!$D$63,0)</f>
        <v>1</v>
      </c>
      <c r="Q30" s="139" t="n">
        <f aca="false">ROUNDUP(MAX(0,Q28-Q29)/Hipótesis!$D$63,0)</f>
        <v>2</v>
      </c>
      <c r="R30" s="139" t="n">
        <f aca="false">ROUNDUP(MAX(0,R28-R29)/Hipótesis!$D$63,0)</f>
        <v>2</v>
      </c>
      <c r="S30" s="139" t="n">
        <f aca="false">ROUNDUP(MAX(0,S28-S29)/Hipótesis!$D$63,0)</f>
        <v>2</v>
      </c>
      <c r="T30" s="139" t="n">
        <f aca="false">ROUNDUP(MAX(0,T28-T29)/Hipótesis!$D$63,0)</f>
        <v>3</v>
      </c>
      <c r="U30" s="139" t="n">
        <f aca="false">ROUNDUP(MAX(0,U28-U29)/Hipótesis!$D$63,0)</f>
        <v>3</v>
      </c>
      <c r="V30" s="139" t="n">
        <f aca="false">ROUNDUP(MAX(0,V28-V29)/Hipótesis!$D$63,0)</f>
        <v>3</v>
      </c>
      <c r="W30" s="139" t="n">
        <f aca="false">ROUNDUP(MAX(0,W28-W29)/Hipótesis!$D$63,0)</f>
        <v>3</v>
      </c>
      <c r="X30" s="139" t="n">
        <f aca="false">ROUNDUP(MAX(0,X28-X29)/Hipótesis!$D$63,0)</f>
        <v>4</v>
      </c>
      <c r="Y30" s="139" t="n">
        <f aca="false">ROUNDUP(MAX(0,Y28-Y29)/Hipótesis!$D$63,0)</f>
        <v>4</v>
      </c>
      <c r="Z30" s="139" t="n">
        <f aca="false">ROUNDUP(MAX(0,Z28-Z29)/Hipótesis!$D$63,0)</f>
        <v>4</v>
      </c>
      <c r="AA30" s="139" t="n">
        <f aca="false">ROUNDUP(MAX(0,AA28-AA29)/Hipótesis!$D$63,0)</f>
        <v>4</v>
      </c>
      <c r="AB30" s="139" t="n">
        <f aca="false">ROUNDUP(MAX(0,AB28-AB29)/Hipótesis!$D$63,0)</f>
        <v>4</v>
      </c>
      <c r="AC30" s="139" t="n">
        <f aca="false">ROUNDUP(MAX(0,AC28-AC29)/Hipótesis!$D$63,0)</f>
        <v>4</v>
      </c>
      <c r="AD30" s="139" t="n">
        <f aca="false">ROUNDUP(MAX(0,AD28-AD29)/Hipótesis!$D$63,0)</f>
        <v>4</v>
      </c>
      <c r="AE30" s="139" t="n">
        <f aca="false">ROUNDUP(MAX(0,AE28-AE29)/Hipótesis!$D$63,0)</f>
        <v>4</v>
      </c>
      <c r="AF30" s="139" t="n">
        <f aca="false">ROUNDUP(MAX(0,AF28-AF29)/Hipótesis!$D$63,0)</f>
        <v>5</v>
      </c>
      <c r="AG30" s="139" t="n">
        <f aca="false">ROUNDUP(MAX(0,AG28-AG29)/Hipótesis!$D$63,0)</f>
        <v>5</v>
      </c>
      <c r="AH30" s="139" t="n">
        <f aca="false">ROUNDUP(MAX(0,AH28-AH29)/Hipótesis!$D$63,0)</f>
        <v>5</v>
      </c>
      <c r="AI30" s="139" t="n">
        <f aca="false">ROUNDUP(MAX(0,AI28-AI29)/Hipótesis!$D$63,0)</f>
        <v>5</v>
      </c>
      <c r="AJ30" s="139" t="n">
        <f aca="false">ROUNDUP(MAX(0,AJ28-AJ29)/Hipótesis!$D$63,0)</f>
        <v>5</v>
      </c>
      <c r="AK30" s="139" t="n">
        <f aca="false">ROUNDUP(MAX(0,AK28-AK29)/Hipótesis!$D$63,0)</f>
        <v>5</v>
      </c>
      <c r="AL30" s="139" t="n">
        <f aca="false">ROUNDUP(MAX(0,AL28-AL29)/Hipótesis!$D$63,0)</f>
        <v>5</v>
      </c>
      <c r="AM30" s="139" t="n">
        <f aca="false">ROUNDUP(MAX(0,AM28-AM29)/Hipótesis!$D$63,0)</f>
        <v>6</v>
      </c>
      <c r="AN30" s="139" t="n">
        <f aca="false">ROUNDUP(MAX(0,AN28-AN29)/Hipótesis!$D$63,0)</f>
        <v>6</v>
      </c>
      <c r="AO30" s="139" t="n">
        <f aca="false">ROUNDUP(MAX(0,AO28-AO29)/Hipótesis!$D$63,0)</f>
        <v>6</v>
      </c>
      <c r="AP30" s="139" t="n">
        <f aca="false">ROUNDUP(MAX(0,AP28-AP29)/Hipótesis!$D$63,0)</f>
        <v>6</v>
      </c>
      <c r="AQ30" s="139" t="n">
        <f aca="false">ROUNDUP(MAX(0,AQ28-AQ29)/Hipótesis!$D$63,0)</f>
        <v>6</v>
      </c>
      <c r="AR30" s="139" t="n">
        <f aca="false">ROUNDUP(MAX(0,AR28-AR29)/Hipótesis!$D$63,0)</f>
        <v>6</v>
      </c>
      <c r="AS30" s="139" t="n">
        <f aca="false">ROUNDUP(MAX(0,AS28-AS29)/Hipótesis!$D$63,0)</f>
        <v>6</v>
      </c>
      <c r="AT30" s="139" t="n">
        <f aca="false">ROUNDUP(MAX(0,AT28-AT29)/Hipótesis!$D$63,0)</f>
        <v>6</v>
      </c>
      <c r="AU30" s="139" t="n">
        <f aca="false">ROUNDUP(MAX(0,AU28-AU29)/Hipótesis!$D$63,0)</f>
        <v>6</v>
      </c>
      <c r="AV30" s="139" t="n">
        <f aca="false">ROUNDUP(MAX(0,AV28-AV29)/Hipótesis!$D$63,0)</f>
        <v>6</v>
      </c>
      <c r="AW30" s="139" t="n">
        <f aca="false">ROUNDUP(MAX(0,AW28-AW29)/Hipótesis!$D$63,0)</f>
        <v>6</v>
      </c>
      <c r="AX30" s="139" t="n">
        <f aca="false">ROUNDUP(MAX(0,AX28-AX29)/Hipótesis!$D$63,0)</f>
        <v>6</v>
      </c>
      <c r="AY30" s="139" t="n">
        <f aca="false">ROUNDUP(MAX(0,AY28-AY29)/Hipótesis!$D$63,0)</f>
        <v>6</v>
      </c>
      <c r="AZ30" s="139" t="n">
        <f aca="false">ROUNDUP(MAX(0,AZ28-AZ29)/Hipótesis!$D$63,0)</f>
        <v>6</v>
      </c>
      <c r="BA30" s="139" t="n">
        <f aca="false">ROUNDUP(MAX(0,BA28-BA29)/Hipótesis!$D$63,0)</f>
        <v>6</v>
      </c>
      <c r="BB30" s="139" t="n">
        <f aca="false">ROUNDUP(MAX(0,BB28-BB29)/Hipótesis!$D$63,0)</f>
        <v>6</v>
      </c>
      <c r="BC30" s="139" t="n">
        <f aca="false">ROUNDUP(MAX(0,BC28-BC29)/Hipótesis!$D$63,0)</f>
        <v>6</v>
      </c>
      <c r="BD30" s="139" t="n">
        <f aca="false">ROUNDUP(MAX(0,BD28-BD29)/Hipótesis!$D$63,0)</f>
        <v>6</v>
      </c>
      <c r="BE30" s="139" t="n">
        <f aca="false">ROUNDUP(MAX(0,BE28-BE29)/Hipótesis!$D$63,0)</f>
        <v>6</v>
      </c>
      <c r="BF30" s="139" t="n">
        <f aca="false">ROUNDUP(MAX(0,BF28-BF29)/Hipótesis!$D$63,0)</f>
        <v>6</v>
      </c>
      <c r="BG30" s="139" t="n">
        <f aca="false">ROUNDUP(MAX(0,BG28-BG29)/Hipótesis!$D$63,0)</f>
        <v>6</v>
      </c>
      <c r="BH30" s="139" t="n">
        <f aca="false">ROUNDUP(MAX(0,BH28-BH29)/Hipótesis!$D$63,0)</f>
        <v>6</v>
      </c>
      <c r="BI30" s="139" t="n">
        <f aca="false">ROUNDUP(MAX(0,BI28-BI29)/Hipótesis!$D$63,0)</f>
        <v>6</v>
      </c>
      <c r="BJ30" s="139" t="n">
        <f aca="false">ROUNDUP(MAX(0,BJ28-BJ29)/Hipótesis!$D$63,0)</f>
        <v>6</v>
      </c>
      <c r="BK30" s="139" t="n">
        <f aca="false">ROUNDUP(MAX(0,BK28-BK29)/Hipótesis!$D$63,0)</f>
        <v>6</v>
      </c>
      <c r="BL30" s="139" t="n">
        <f aca="false">ROUNDUP(MAX(0,BL28-BL29)/Hipótesis!$D$63,0)</f>
        <v>6</v>
      </c>
      <c r="BM30" s="139" t="n">
        <f aca="false">ROUNDUP(MAX(0,BM28-BM29)/Hipótesis!$D$63,0)</f>
        <v>6</v>
      </c>
      <c r="BN30" s="139" t="n">
        <f aca="false">ROUNDUP(MAX(0,BN28-BN29)/Hipótesis!$D$63,0)</f>
        <v>6</v>
      </c>
      <c r="BO30" s="139" t="n">
        <f aca="false">ROUNDUP(MAX(0,BO28-BO29)/Hipótesis!$D$63,0)</f>
        <v>6</v>
      </c>
      <c r="BP30" s="139" t="n">
        <f aca="false">ROUNDUP(MAX(0,BP28-BP29)/Hipótesis!$D$63,0)</f>
        <v>6</v>
      </c>
      <c r="BQ30" s="139" t="n">
        <f aca="false">ROUNDUP(MAX(0,BQ28-BQ29)/Hipótesis!$D$63,0)</f>
        <v>6</v>
      </c>
      <c r="BR30" s="139" t="n">
        <f aca="false">ROUNDUP(MAX(0,BR28-BR29)/Hipótesis!$D$63,0)</f>
        <v>6</v>
      </c>
      <c r="BS30" s="139" t="n">
        <f aca="false">ROUNDUP(MAX(0,BS28-BS29)/Hipótesis!$D$63,0)</f>
        <v>6</v>
      </c>
      <c r="BT30" s="139" t="n">
        <f aca="false">ROUNDUP(MAX(0,BT28-BT29)/Hipótesis!$D$63,0)</f>
        <v>6</v>
      </c>
      <c r="BU30" s="139" t="n">
        <f aca="false">ROUNDUP(MAX(0,BU28-BU29)/Hipótesis!$D$63,0)</f>
        <v>6</v>
      </c>
      <c r="BV30" s="139" t="n">
        <f aca="false">ROUNDUP(MAX(0,BV28-BV29)/Hipótesis!$D$63,0)</f>
        <v>6</v>
      </c>
      <c r="BW30" s="139" t="n">
        <f aca="false">ROUNDUP(MAX(0,BW28-BW29)/Hipótesis!$D$63,0)</f>
        <v>6</v>
      </c>
      <c r="BX30" s="139" t="n">
        <f aca="false">ROUNDUP(MAX(0,BX28-BX29)/Hipótesis!$D$63,0)</f>
        <v>6</v>
      </c>
      <c r="BY30" s="139" t="n">
        <f aca="false">ROUNDUP(MAX(0,BY28-BY29)/Hipótesis!$D$63,0)</f>
        <v>6</v>
      </c>
      <c r="BZ30" s="139" t="n">
        <f aca="false">ROUNDUP(MAX(0,BZ28-BZ29)/Hipótesis!$D$63,0)</f>
        <v>6</v>
      </c>
      <c r="CA30" s="139" t="n">
        <f aca="false">ROUNDUP(MAX(0,CA28-CA29)/Hipótesis!$D$63,0)</f>
        <v>6</v>
      </c>
      <c r="CB30" s="139" t="n">
        <f aca="false">ROUNDUP(MAX(0,CB28-CB29)/Hipótesis!$D$63,0)</f>
        <v>6</v>
      </c>
      <c r="CC30" s="139" t="n">
        <f aca="false">ROUNDUP(MAX(0,CC28-CC29)/Hipótesis!$D$63,0)</f>
        <v>6</v>
      </c>
      <c r="CD30" s="139" t="n">
        <f aca="false">ROUNDUP(MAX(0,CD28-CD29)/Hipótesis!$D$63,0)</f>
        <v>6</v>
      </c>
      <c r="CE30" s="139" t="n">
        <f aca="false">ROUNDUP(MAX(0,CE28-CE29)/Hipótesis!$D$63,0)</f>
        <v>6</v>
      </c>
      <c r="CF30" s="139" t="n">
        <f aca="false">ROUNDUP(MAX(0,CF28-CF29)/Hipótesis!$D$63,0)</f>
        <v>6</v>
      </c>
      <c r="CG30" s="139" t="n">
        <f aca="false">ROUNDUP(MAX(0,CG28-CG29)/Hipótesis!$D$63,0)</f>
        <v>6</v>
      </c>
      <c r="CH30" s="139" t="n">
        <f aca="false">ROUNDUP(MAX(0,CH28-CH29)/Hipótesis!$D$63,0)</f>
        <v>6</v>
      </c>
    </row>
    <row r="31" customFormat="false" ht="13.5" hidden="false" customHeight="true" outlineLevel="0" collapsed="false">
      <c r="A31" s="30" t="s">
        <v>713</v>
      </c>
      <c r="C31" s="139" t="n">
        <f aca="false">SUMPRODUCT((Hipótesis!$D$48:$D$53&lt;=1)*(Hipótesis!$B$48:$B$53))+C30</f>
        <v>4</v>
      </c>
      <c r="D31" s="139" t="n">
        <f aca="false">SUMPRODUCT((Hipótesis!$D$48:$D$53&lt;=2)*(Hipótesis!$B$48:$B$53))+D30</f>
        <v>4</v>
      </c>
      <c r="E31" s="139" t="n">
        <f aca="false">SUMPRODUCT((Hipótesis!$D$48:$D$53&lt;=3)*(Hipótesis!$B$48:$B$53))+E30</f>
        <v>4</v>
      </c>
      <c r="F31" s="139" t="n">
        <f aca="false">SUMPRODUCT((Hipótesis!$D$48:$D$53&lt;=4)*(Hipótesis!$B$48:$B$53))+F30</f>
        <v>4</v>
      </c>
      <c r="G31" s="139" t="n">
        <f aca="false">SUMPRODUCT((Hipótesis!$D$48:$D$53&lt;=5)*(Hipótesis!$B$48:$B$53))+G30</f>
        <v>4</v>
      </c>
      <c r="H31" s="139" t="n">
        <f aca="false">SUMPRODUCT((Hipótesis!$D$48:$D$53&lt;=6)*(Hipótesis!$B$48:$B$53))+H30</f>
        <v>4</v>
      </c>
      <c r="I31" s="139" t="n">
        <f aca="false">SUMPRODUCT((Hipótesis!$D$48:$D$53&lt;=7)*(Hipótesis!$B$48:$B$53))+I30</f>
        <v>4</v>
      </c>
      <c r="J31" s="139" t="n">
        <f aca="false">SUMPRODUCT((Hipótesis!$D$48:$D$53&lt;=8)*(Hipótesis!$B$48:$B$53))+J30</f>
        <v>4</v>
      </c>
      <c r="K31" s="139" t="n">
        <f aca="false">SUMPRODUCT((Hipótesis!$D$48:$D$53&lt;=9)*(Hipótesis!$B$48:$B$53))+K30</f>
        <v>4</v>
      </c>
      <c r="L31" s="139" t="n">
        <f aca="false">SUMPRODUCT((Hipótesis!$D$48:$D$53&lt;=10)*(Hipótesis!$B$48:$B$53))+L30</f>
        <v>4</v>
      </c>
      <c r="M31" s="139" t="n">
        <f aca="false">SUMPRODUCT((Hipótesis!$D$48:$D$53&lt;=11)*(Hipótesis!$B$48:$B$53))+M30</f>
        <v>4</v>
      </c>
      <c r="N31" s="139" t="n">
        <f aca="false">SUMPRODUCT((Hipótesis!$D$48:$D$53&lt;=12)*(Hipótesis!$B$48:$B$53))+N30</f>
        <v>5</v>
      </c>
      <c r="O31" s="139" t="n">
        <f aca="false">SUMPRODUCT((Hipótesis!$D$48:$D$53&lt;=13)*(Hipótesis!$B$48:$B$53))+O30</f>
        <v>5</v>
      </c>
      <c r="P31" s="139" t="n">
        <f aca="false">SUMPRODUCT((Hipótesis!$D$48:$D$53&lt;=14)*(Hipótesis!$B$48:$B$53))+P30</f>
        <v>5</v>
      </c>
      <c r="Q31" s="139" t="n">
        <f aca="false">SUMPRODUCT((Hipótesis!$D$48:$D$53&lt;=15)*(Hipótesis!$B$48:$B$53))+Q30</f>
        <v>6</v>
      </c>
      <c r="R31" s="139" t="n">
        <f aca="false">SUMPRODUCT((Hipótesis!$D$48:$D$53&lt;=16)*(Hipótesis!$B$48:$B$53))+R30</f>
        <v>6</v>
      </c>
      <c r="S31" s="139" t="n">
        <f aca="false">SUMPRODUCT((Hipótesis!$D$48:$D$53&lt;=17)*(Hipótesis!$B$48:$B$53))+S30</f>
        <v>6</v>
      </c>
      <c r="T31" s="139" t="n">
        <f aca="false">SUMPRODUCT((Hipótesis!$D$48:$D$53&lt;=18)*(Hipótesis!$B$48:$B$53))+T30</f>
        <v>7</v>
      </c>
      <c r="U31" s="139" t="n">
        <f aca="false">SUMPRODUCT((Hipótesis!$D$48:$D$53&lt;=19)*(Hipótesis!$B$48:$B$53))+U30</f>
        <v>7</v>
      </c>
      <c r="V31" s="139" t="n">
        <f aca="false">SUMPRODUCT((Hipótesis!$D$48:$D$53&lt;=20)*(Hipótesis!$B$48:$B$53))+V30</f>
        <v>8</v>
      </c>
      <c r="W31" s="139" t="n">
        <f aca="false">SUMPRODUCT((Hipótesis!$D$48:$D$53&lt;=21)*(Hipótesis!$B$48:$B$53))+W30</f>
        <v>8</v>
      </c>
      <c r="X31" s="139" t="n">
        <f aca="false">SUMPRODUCT((Hipótesis!$D$48:$D$53&lt;=22)*(Hipótesis!$B$48:$B$53))+X30</f>
        <v>9</v>
      </c>
      <c r="Y31" s="139" t="n">
        <f aca="false">SUMPRODUCT((Hipótesis!$D$48:$D$53&lt;=23)*(Hipótesis!$B$48:$B$53))+Y30</f>
        <v>9</v>
      </c>
      <c r="Z31" s="139" t="n">
        <f aca="false">SUMPRODUCT((Hipótesis!$D$48:$D$53&lt;=24)*(Hipótesis!$B$48:$B$53))+Z30</f>
        <v>9</v>
      </c>
      <c r="AA31" s="139" t="n">
        <f aca="false">SUMPRODUCT((Hipótesis!$D$48:$D$53&lt;=25)*(Hipótesis!$B$48:$B$53))+AA30</f>
        <v>9</v>
      </c>
      <c r="AB31" s="139" t="n">
        <f aca="false">SUMPRODUCT((Hipótesis!$D$48:$D$53&lt;=26)*(Hipótesis!$B$48:$B$53))+AB30</f>
        <v>9</v>
      </c>
      <c r="AC31" s="139" t="n">
        <f aca="false">SUMPRODUCT((Hipótesis!$D$48:$D$53&lt;=27)*(Hipótesis!$B$48:$B$53))+AC30</f>
        <v>9</v>
      </c>
      <c r="AD31" s="139" t="n">
        <f aca="false">SUMPRODUCT((Hipótesis!$D$48:$D$53&lt;=28)*(Hipótesis!$B$48:$B$53))+AD30</f>
        <v>9</v>
      </c>
      <c r="AE31" s="139" t="n">
        <f aca="false">SUMPRODUCT((Hipótesis!$D$48:$D$53&lt;=29)*(Hipótesis!$B$48:$B$53))+AE30</f>
        <v>9</v>
      </c>
      <c r="AF31" s="139" t="n">
        <f aca="false">SUMPRODUCT((Hipótesis!$D$48:$D$53&lt;=30)*(Hipótesis!$B$48:$B$53))+AF30</f>
        <v>10</v>
      </c>
      <c r="AG31" s="139" t="n">
        <f aca="false">SUMPRODUCT((Hipótesis!$D$48:$D$53&lt;=31)*(Hipótesis!$B$48:$B$53))+AG30</f>
        <v>10</v>
      </c>
      <c r="AH31" s="139" t="n">
        <f aca="false">SUMPRODUCT((Hipótesis!$D$48:$D$53&lt;=32)*(Hipótesis!$B$48:$B$53))+AH30</f>
        <v>10</v>
      </c>
      <c r="AI31" s="139" t="n">
        <f aca="false">SUMPRODUCT((Hipótesis!$D$48:$D$53&lt;=33)*(Hipótesis!$B$48:$B$53))+AI30</f>
        <v>10</v>
      </c>
      <c r="AJ31" s="139" t="n">
        <f aca="false">SUMPRODUCT((Hipótesis!$D$48:$D$53&lt;=34)*(Hipótesis!$B$48:$B$53))+AJ30</f>
        <v>10</v>
      </c>
      <c r="AK31" s="139" t="n">
        <f aca="false">SUMPRODUCT((Hipótesis!$D$48:$D$53&lt;=35)*(Hipótesis!$B$48:$B$53))+AK30</f>
        <v>10</v>
      </c>
      <c r="AL31" s="139" t="n">
        <f aca="false">SUMPRODUCT((Hipótesis!$D$48:$D$53&lt;=36)*(Hipótesis!$B$48:$B$53))+AL30</f>
        <v>10</v>
      </c>
      <c r="AM31" s="139" t="n">
        <f aca="false">SUMPRODUCT((Hipótesis!$D$48:$D$53&lt;=37)*(Hipótesis!$B$48:$B$53))+AM30</f>
        <v>11</v>
      </c>
      <c r="AN31" s="139" t="n">
        <f aca="false">SUMPRODUCT((Hipótesis!$D$48:$D$53&lt;=38)*(Hipótesis!$B$48:$B$53))+AN30</f>
        <v>11</v>
      </c>
      <c r="AO31" s="139" t="n">
        <f aca="false">SUMPRODUCT((Hipótesis!$D$48:$D$53&lt;=39)*(Hipótesis!$B$48:$B$53))+AO30</f>
        <v>11</v>
      </c>
      <c r="AP31" s="139" t="n">
        <f aca="false">SUMPRODUCT((Hipótesis!$D$48:$D$53&lt;=40)*(Hipótesis!$B$48:$B$53))+AP30</f>
        <v>11</v>
      </c>
      <c r="AQ31" s="139" t="n">
        <f aca="false">SUMPRODUCT((Hipótesis!$D$48:$D$53&lt;=41)*(Hipótesis!$B$48:$B$53))+AQ30</f>
        <v>11</v>
      </c>
      <c r="AR31" s="139" t="n">
        <f aca="false">SUMPRODUCT((Hipótesis!$D$48:$D$53&lt;=42)*(Hipótesis!$B$48:$B$53))+AR30</f>
        <v>11</v>
      </c>
      <c r="AS31" s="139" t="n">
        <f aca="false">SUMPRODUCT((Hipótesis!$D$48:$D$53&lt;=43)*(Hipótesis!$B$48:$B$53))+AS30</f>
        <v>11</v>
      </c>
      <c r="AT31" s="139" t="n">
        <f aca="false">SUMPRODUCT((Hipótesis!$D$48:$D$53&lt;=44)*(Hipótesis!$B$48:$B$53))+AT30</f>
        <v>11</v>
      </c>
      <c r="AU31" s="139" t="n">
        <f aca="false">SUMPRODUCT((Hipótesis!$D$48:$D$53&lt;=45)*(Hipótesis!$B$48:$B$53))+AU30</f>
        <v>11</v>
      </c>
      <c r="AV31" s="139" t="n">
        <f aca="false">SUMPRODUCT((Hipótesis!$D$48:$D$53&lt;=46)*(Hipótesis!$B$48:$B$53))+AV30</f>
        <v>11</v>
      </c>
      <c r="AW31" s="139" t="n">
        <f aca="false">SUMPRODUCT((Hipótesis!$D$48:$D$53&lt;=47)*(Hipótesis!$B$48:$B$53))+AW30</f>
        <v>11</v>
      </c>
      <c r="AX31" s="139" t="n">
        <f aca="false">SUMPRODUCT((Hipótesis!$D$48:$D$53&lt;=48)*(Hipótesis!$B$48:$B$53))+AX30</f>
        <v>11</v>
      </c>
      <c r="AY31" s="139" t="n">
        <f aca="false">SUMPRODUCT((Hipótesis!$D$48:$D$53&lt;=49)*(Hipótesis!$B$48:$B$53))+AY30</f>
        <v>11</v>
      </c>
      <c r="AZ31" s="139" t="n">
        <f aca="false">SUMPRODUCT((Hipótesis!$D$48:$D$53&lt;=50)*(Hipótesis!$B$48:$B$53))+AZ30</f>
        <v>11</v>
      </c>
      <c r="BA31" s="139" t="n">
        <f aca="false">SUMPRODUCT((Hipótesis!$D$48:$D$53&lt;=51)*(Hipótesis!$B$48:$B$53))+BA30</f>
        <v>11</v>
      </c>
      <c r="BB31" s="139" t="n">
        <f aca="false">SUMPRODUCT((Hipótesis!$D$48:$D$53&lt;=52)*(Hipótesis!$B$48:$B$53))+BB30</f>
        <v>11</v>
      </c>
      <c r="BC31" s="139" t="n">
        <f aca="false">SUMPRODUCT((Hipótesis!$D$48:$D$53&lt;=53)*(Hipótesis!$B$48:$B$53))+BC30</f>
        <v>11</v>
      </c>
      <c r="BD31" s="139" t="n">
        <f aca="false">SUMPRODUCT((Hipótesis!$D$48:$D$53&lt;=54)*(Hipótesis!$B$48:$B$53))+BD30</f>
        <v>11</v>
      </c>
      <c r="BE31" s="139" t="n">
        <f aca="false">SUMPRODUCT((Hipótesis!$D$48:$D$53&lt;=55)*(Hipótesis!$B$48:$B$53))+BE30</f>
        <v>11</v>
      </c>
      <c r="BF31" s="139" t="n">
        <f aca="false">SUMPRODUCT((Hipótesis!$D$48:$D$53&lt;=56)*(Hipótesis!$B$48:$B$53))+BF30</f>
        <v>11</v>
      </c>
      <c r="BG31" s="139" t="n">
        <f aca="false">SUMPRODUCT((Hipótesis!$D$48:$D$53&lt;=57)*(Hipótesis!$B$48:$B$53))+BG30</f>
        <v>11</v>
      </c>
      <c r="BH31" s="139" t="n">
        <f aca="false">SUMPRODUCT((Hipótesis!$D$48:$D$53&lt;=58)*(Hipótesis!$B$48:$B$53))+BH30</f>
        <v>11</v>
      </c>
      <c r="BI31" s="139" t="n">
        <f aca="false">SUMPRODUCT((Hipótesis!$D$48:$D$53&lt;=59)*(Hipótesis!$B$48:$B$53))+BI30</f>
        <v>11</v>
      </c>
      <c r="BJ31" s="139" t="n">
        <f aca="false">SUMPRODUCT((Hipótesis!$D$48:$D$53&lt;=60)*(Hipótesis!$B$48:$B$53))+BJ30</f>
        <v>11</v>
      </c>
      <c r="BK31" s="139" t="n">
        <f aca="false">SUMPRODUCT((Hipótesis!$D$48:$D$53&lt;=61)*(Hipótesis!$B$48:$B$53))+BK30</f>
        <v>11</v>
      </c>
      <c r="BL31" s="139" t="n">
        <f aca="false">SUMPRODUCT((Hipótesis!$D$48:$D$53&lt;=62)*(Hipótesis!$B$48:$B$53))+BL30</f>
        <v>11</v>
      </c>
      <c r="BM31" s="139" t="n">
        <f aca="false">SUMPRODUCT((Hipótesis!$D$48:$D$53&lt;=63)*(Hipótesis!$B$48:$B$53))+BM30</f>
        <v>11</v>
      </c>
      <c r="BN31" s="139" t="n">
        <f aca="false">SUMPRODUCT((Hipótesis!$D$48:$D$53&lt;=64)*(Hipótesis!$B$48:$B$53))+BN30</f>
        <v>11</v>
      </c>
      <c r="BO31" s="139" t="n">
        <f aca="false">SUMPRODUCT((Hipótesis!$D$48:$D$53&lt;=65)*(Hipótesis!$B$48:$B$53))+BO30</f>
        <v>11</v>
      </c>
      <c r="BP31" s="139" t="n">
        <f aca="false">SUMPRODUCT((Hipótesis!$D$48:$D$53&lt;=66)*(Hipótesis!$B$48:$B$53))+BP30</f>
        <v>11</v>
      </c>
      <c r="BQ31" s="139" t="n">
        <f aca="false">SUMPRODUCT((Hipótesis!$D$48:$D$53&lt;=67)*(Hipótesis!$B$48:$B$53))+BQ30</f>
        <v>11</v>
      </c>
      <c r="BR31" s="139" t="n">
        <f aca="false">SUMPRODUCT((Hipótesis!$D$48:$D$53&lt;=68)*(Hipótesis!$B$48:$B$53))+BR30</f>
        <v>11</v>
      </c>
      <c r="BS31" s="139" t="n">
        <f aca="false">SUMPRODUCT((Hipótesis!$D$48:$D$53&lt;=69)*(Hipótesis!$B$48:$B$53))+BS30</f>
        <v>11</v>
      </c>
      <c r="BT31" s="139" t="n">
        <f aca="false">SUMPRODUCT((Hipótesis!$D$48:$D$53&lt;=70)*(Hipótesis!$B$48:$B$53))+BT30</f>
        <v>11</v>
      </c>
      <c r="BU31" s="139" t="n">
        <f aca="false">SUMPRODUCT((Hipótesis!$D$48:$D$53&lt;=71)*(Hipótesis!$B$48:$B$53))+BU30</f>
        <v>11</v>
      </c>
      <c r="BV31" s="139" t="n">
        <f aca="false">SUMPRODUCT((Hipótesis!$D$48:$D$53&lt;=72)*(Hipótesis!$B$48:$B$53))+BV30</f>
        <v>11</v>
      </c>
      <c r="BW31" s="139" t="n">
        <f aca="false">SUMPRODUCT((Hipótesis!$D$48:$D$53&lt;=73)*(Hipótesis!$B$48:$B$53))+BW30</f>
        <v>11</v>
      </c>
      <c r="BX31" s="139" t="n">
        <f aca="false">SUMPRODUCT((Hipótesis!$D$48:$D$53&lt;=74)*(Hipótesis!$B$48:$B$53))+BX30</f>
        <v>11</v>
      </c>
      <c r="BY31" s="139" t="n">
        <f aca="false">SUMPRODUCT((Hipótesis!$D$48:$D$53&lt;=75)*(Hipótesis!$B$48:$B$53))+BY30</f>
        <v>11</v>
      </c>
      <c r="BZ31" s="139" t="n">
        <f aca="false">SUMPRODUCT((Hipótesis!$D$48:$D$53&lt;=76)*(Hipótesis!$B$48:$B$53))+BZ30</f>
        <v>11</v>
      </c>
      <c r="CA31" s="139" t="n">
        <f aca="false">SUMPRODUCT((Hipótesis!$D$48:$D$53&lt;=77)*(Hipótesis!$B$48:$B$53))+CA30</f>
        <v>11</v>
      </c>
      <c r="CB31" s="139" t="n">
        <f aca="false">SUMPRODUCT((Hipótesis!$D$48:$D$53&lt;=78)*(Hipótesis!$B$48:$B$53))+CB30</f>
        <v>11</v>
      </c>
      <c r="CC31" s="139" t="n">
        <f aca="false">SUMPRODUCT((Hipótesis!$D$48:$D$53&lt;=79)*(Hipótesis!$B$48:$B$53))+CC30</f>
        <v>11</v>
      </c>
      <c r="CD31" s="139" t="n">
        <f aca="false">SUMPRODUCT((Hipótesis!$D$48:$D$53&lt;=80)*(Hipótesis!$B$48:$B$53))+CD30</f>
        <v>11</v>
      </c>
      <c r="CE31" s="139" t="n">
        <f aca="false">SUMPRODUCT((Hipótesis!$D$48:$D$53&lt;=81)*(Hipótesis!$B$48:$B$53))+CE30</f>
        <v>11</v>
      </c>
      <c r="CF31" s="139" t="n">
        <f aca="false">SUMPRODUCT((Hipótesis!$D$48:$D$53&lt;=82)*(Hipótesis!$B$48:$B$53))+CF30</f>
        <v>11</v>
      </c>
      <c r="CG31" s="139" t="n">
        <f aca="false">SUMPRODUCT((Hipótesis!$D$48:$D$53&lt;=83)*(Hipótesis!$B$48:$B$53))+CG30</f>
        <v>11</v>
      </c>
      <c r="CH31" s="139" t="n">
        <f aca="false">SUMPRODUCT((Hipótesis!$D$48:$D$53&lt;=84)*(Hipótesis!$B$48:$B$53))+CH30</f>
        <v>11</v>
      </c>
    </row>
    <row r="32" customFormat="false" ht="13.5" hidden="false" customHeight="true" outlineLevel="0" collapsed="false"/>
    <row r="33" customFormat="false" ht="12.75" hidden="false" customHeight="true" outlineLevel="0" collapsed="false">
      <c r="A33" s="10" t="s">
        <v>714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</row>
    <row r="34" customFormat="false" ht="13.5" hidden="false" customHeight="true" outlineLevel="0" collapsed="false">
      <c r="A34" s="13" t="s">
        <v>715</v>
      </c>
      <c r="C34" s="138" t="n">
        <f aca="false">C186</f>
        <v>929.8125</v>
      </c>
      <c r="D34" s="138" t="n">
        <f aca="false">D186</f>
        <v>1930.095</v>
      </c>
      <c r="E34" s="138" t="n">
        <f aca="false">E186</f>
        <v>4011.89625</v>
      </c>
      <c r="F34" s="138" t="n">
        <f aca="false">F186</f>
        <v>5163.885</v>
      </c>
      <c r="G34" s="138" t="n">
        <f aca="false">G186</f>
        <v>6245.40375</v>
      </c>
      <c r="H34" s="138" t="n">
        <f aca="false">H186</f>
        <v>7972.8975</v>
      </c>
      <c r="I34" s="138" t="n">
        <f aca="false">I186</f>
        <v>10459.177948547</v>
      </c>
      <c r="J34" s="138" t="n">
        <f aca="false">J186</f>
        <v>14083.6384449146</v>
      </c>
      <c r="K34" s="138" t="n">
        <f aca="false">K186</f>
        <v>17708.0989412822</v>
      </c>
      <c r="L34" s="138" t="n">
        <f aca="false">L186</f>
        <v>21332.5594376497</v>
      </c>
      <c r="M34" s="138" t="n">
        <f aca="false">M186</f>
        <v>23875.5011840173</v>
      </c>
      <c r="N34" s="138" t="n">
        <f aca="false">N186</f>
        <v>27299.3179303849</v>
      </c>
      <c r="O34" s="138" t="n">
        <f aca="false">O186</f>
        <v>30723.1346767524</v>
      </c>
      <c r="P34" s="138" t="n">
        <f aca="false">P186</f>
        <v>33829.83642312</v>
      </c>
      <c r="Q34" s="138" t="n">
        <f aca="false">Q186</f>
        <v>36936.5381694876</v>
      </c>
      <c r="R34" s="138" t="n">
        <f aca="false">R186</f>
        <v>40043.2399158551</v>
      </c>
      <c r="S34" s="138" t="n">
        <f aca="false">S186</f>
        <v>43149.9416622227</v>
      </c>
      <c r="T34" s="138" t="n">
        <f aca="false">T186</f>
        <v>46256.6434085903</v>
      </c>
      <c r="U34" s="138" t="n">
        <f aca="false">U186</f>
        <v>49363.3451549578</v>
      </c>
      <c r="V34" s="138" t="n">
        <f aca="false">V186</f>
        <v>52470.0469013254</v>
      </c>
      <c r="W34" s="138" t="n">
        <f aca="false">W186</f>
        <v>55576.748647693</v>
      </c>
      <c r="X34" s="138" t="n">
        <f aca="false">X186</f>
        <v>57802.5753940605</v>
      </c>
      <c r="Y34" s="138" t="n">
        <f aca="false">Y186</f>
        <v>60028.4021404281</v>
      </c>
      <c r="Z34" s="138" t="n">
        <f aca="false">Z186</f>
        <v>61925.3688867957</v>
      </c>
      <c r="AA34" s="138" t="n">
        <f aca="false">AA186</f>
        <v>63822.3356331633</v>
      </c>
      <c r="AB34" s="138" t="n">
        <f aca="false">AB186</f>
        <v>65719.3023795308</v>
      </c>
      <c r="AC34" s="138" t="n">
        <f aca="false">AC186</f>
        <v>67616.2691258984</v>
      </c>
      <c r="AD34" s="138" t="n">
        <f aca="false">AD186</f>
        <v>69513.235872266</v>
      </c>
      <c r="AE34" s="138" t="n">
        <f aca="false">AE186</f>
        <v>71410.2026186335</v>
      </c>
      <c r="AF34" s="138" t="n">
        <f aca="false">AF186</f>
        <v>73307.1693650011</v>
      </c>
      <c r="AG34" s="138" t="n">
        <f aca="false">AG186</f>
        <v>75204.1361113687</v>
      </c>
      <c r="AH34" s="138" t="n">
        <f aca="false">AH186</f>
        <v>77101.1028577362</v>
      </c>
      <c r="AI34" s="138" t="n">
        <f aca="false">AI186</f>
        <v>78998.0696041038</v>
      </c>
      <c r="AJ34" s="138" t="n">
        <f aca="false">AJ186</f>
        <v>80895.0363504714</v>
      </c>
      <c r="AK34" s="138" t="n">
        <f aca="false">AK186</f>
        <v>82792.0030968389</v>
      </c>
      <c r="AL34" s="138" t="n">
        <f aca="false">AL186</f>
        <v>84688.9698432065</v>
      </c>
      <c r="AM34" s="138" t="n">
        <f aca="false">AM186</f>
        <v>86775.6332642108</v>
      </c>
      <c r="AN34" s="138" t="n">
        <f aca="false">AN186</f>
        <v>88862.2966852151</v>
      </c>
      <c r="AO34" s="138" t="n">
        <f aca="false">AO186</f>
        <v>90948.9601062195</v>
      </c>
      <c r="AP34" s="138" t="n">
        <f aca="false">AP186</f>
        <v>93035.6235272238</v>
      </c>
      <c r="AQ34" s="138" t="n">
        <f aca="false">AQ186</f>
        <v>95122.2869482281</v>
      </c>
      <c r="AR34" s="138" t="n">
        <f aca="false">AR186</f>
        <v>97208.9503692325</v>
      </c>
      <c r="AS34" s="138" t="n">
        <f aca="false">AS186</f>
        <v>97208.9503692325</v>
      </c>
      <c r="AT34" s="138" t="n">
        <f aca="false">AT186</f>
        <v>97208.9503692325</v>
      </c>
      <c r="AU34" s="138" t="n">
        <f aca="false">AU186</f>
        <v>97208.9503692325</v>
      </c>
      <c r="AV34" s="138" t="n">
        <f aca="false">AV186</f>
        <v>97208.9503692325</v>
      </c>
      <c r="AW34" s="138" t="n">
        <f aca="false">AW186</f>
        <v>97208.9503692325</v>
      </c>
      <c r="AX34" s="138" t="n">
        <f aca="false">AX186</f>
        <v>97208.9503692325</v>
      </c>
      <c r="AY34" s="138" t="n">
        <f aca="false">AY186</f>
        <v>97208.9503692325</v>
      </c>
      <c r="AZ34" s="138" t="n">
        <f aca="false">AZ186</f>
        <v>97208.9503692325</v>
      </c>
      <c r="BA34" s="138" t="n">
        <f aca="false">BA186</f>
        <v>97208.9503692325</v>
      </c>
      <c r="BB34" s="138" t="n">
        <f aca="false">BB186</f>
        <v>97208.9503692325</v>
      </c>
      <c r="BC34" s="138" t="n">
        <f aca="false">BC186</f>
        <v>97208.9503692325</v>
      </c>
      <c r="BD34" s="138" t="n">
        <f aca="false">BD186</f>
        <v>97208.9503692325</v>
      </c>
      <c r="BE34" s="138" t="n">
        <f aca="false">BE186</f>
        <v>97208.9503692325</v>
      </c>
      <c r="BF34" s="138" t="n">
        <f aca="false">BF186</f>
        <v>97208.9503692325</v>
      </c>
      <c r="BG34" s="138" t="n">
        <f aca="false">BG186</f>
        <v>97208.9503692325</v>
      </c>
      <c r="BH34" s="138" t="n">
        <f aca="false">BH186</f>
        <v>97208.9503692325</v>
      </c>
      <c r="BI34" s="138" t="n">
        <f aca="false">BI186</f>
        <v>97208.9503692325</v>
      </c>
      <c r="BJ34" s="138" t="n">
        <f aca="false">BJ186</f>
        <v>97208.9503692325</v>
      </c>
      <c r="BK34" s="138" t="n">
        <f aca="false">BK186</f>
        <v>97208.9503692325</v>
      </c>
      <c r="BL34" s="138" t="n">
        <f aca="false">BL186</f>
        <v>97208.9503692325</v>
      </c>
      <c r="BM34" s="138" t="n">
        <f aca="false">BM186</f>
        <v>97208.9503692325</v>
      </c>
      <c r="BN34" s="138" t="n">
        <f aca="false">BN186</f>
        <v>97208.9503692325</v>
      </c>
      <c r="BO34" s="138" t="n">
        <f aca="false">BO186</f>
        <v>97208.9503692325</v>
      </c>
      <c r="BP34" s="138" t="n">
        <f aca="false">BP186</f>
        <v>97208.9503692325</v>
      </c>
      <c r="BQ34" s="138" t="n">
        <f aca="false">BQ186</f>
        <v>97208.9503692325</v>
      </c>
      <c r="BR34" s="138" t="n">
        <f aca="false">BR186</f>
        <v>97208.9503692325</v>
      </c>
      <c r="BS34" s="138" t="n">
        <f aca="false">BS186</f>
        <v>97208.9503692325</v>
      </c>
      <c r="BT34" s="138" t="n">
        <f aca="false">BT186</f>
        <v>97208.9503692325</v>
      </c>
      <c r="BU34" s="138" t="n">
        <f aca="false">BU186</f>
        <v>97208.9503692325</v>
      </c>
      <c r="BV34" s="138" t="n">
        <f aca="false">BV186</f>
        <v>97208.9503692325</v>
      </c>
      <c r="BW34" s="138" t="n">
        <f aca="false">BW186</f>
        <v>97208.9503692325</v>
      </c>
      <c r="BX34" s="138" t="n">
        <f aca="false">BX186</f>
        <v>97208.9503692325</v>
      </c>
      <c r="BY34" s="138" t="n">
        <f aca="false">BY186</f>
        <v>97208.9503692325</v>
      </c>
      <c r="BZ34" s="138" t="n">
        <f aca="false">BZ186</f>
        <v>97208.9503692325</v>
      </c>
      <c r="CA34" s="138" t="n">
        <f aca="false">CA186</f>
        <v>97208.9503692325</v>
      </c>
      <c r="CB34" s="138" t="n">
        <f aca="false">CB186</f>
        <v>97208.9503692325</v>
      </c>
      <c r="CC34" s="138" t="n">
        <f aca="false">CC186</f>
        <v>97208.9503692325</v>
      </c>
      <c r="CD34" s="138" t="n">
        <f aca="false">CD186</f>
        <v>97208.9503692325</v>
      </c>
      <c r="CE34" s="138" t="n">
        <f aca="false">CE186</f>
        <v>97208.9503692325</v>
      </c>
      <c r="CF34" s="138" t="n">
        <f aca="false">CF186</f>
        <v>97208.9503692325</v>
      </c>
      <c r="CG34" s="138" t="n">
        <f aca="false">CG186</f>
        <v>97208.9503692325</v>
      </c>
      <c r="CH34" s="138" t="n">
        <f aca="false">CH186</f>
        <v>97208.9503692325</v>
      </c>
    </row>
    <row r="35" customFormat="false" ht="13.5" hidden="false" customHeight="true" outlineLevel="0" collapsed="false">
      <c r="A35" s="13" t="s">
        <v>716</v>
      </c>
      <c r="C35" s="138" t="n">
        <f aca="false">C190</f>
        <v>711.562706104865</v>
      </c>
      <c r="D35" s="138" t="n">
        <f aca="false">D190</f>
        <v>1423.12541220973</v>
      </c>
      <c r="E35" s="138" t="n">
        <f aca="false">E190</f>
        <v>2134.6881183146</v>
      </c>
      <c r="F35" s="138" t="n">
        <f aca="false">F190</f>
        <v>2846.25082441946</v>
      </c>
      <c r="G35" s="138" t="n">
        <f aca="false">G190</f>
        <v>533.672029578649</v>
      </c>
      <c r="H35" s="138" t="n">
        <f aca="false">H190</f>
        <v>4269.37623662919</v>
      </c>
      <c r="I35" s="138" t="n">
        <f aca="false">I190</f>
        <v>4980.93894273406</v>
      </c>
      <c r="J35" s="138" t="n">
        <f aca="false">J190</f>
        <v>5692.50164883892</v>
      </c>
      <c r="K35" s="138" t="n">
        <f aca="false">K190</f>
        <v>6404.06435494379</v>
      </c>
      <c r="L35" s="138" t="n">
        <f aca="false">L190</f>
        <v>7115.62706104865</v>
      </c>
      <c r="M35" s="138" t="n">
        <f aca="false">M190</f>
        <v>7827.18976715352</v>
      </c>
      <c r="N35" s="138" t="n">
        <f aca="false">N190</f>
        <v>8538.75247325838</v>
      </c>
      <c r="O35" s="138" t="n">
        <f aca="false">O190</f>
        <v>9250.31517936325</v>
      </c>
      <c r="P35" s="138" t="n">
        <f aca="false">P190</f>
        <v>9961.87788546811</v>
      </c>
      <c r="Q35" s="138" t="n">
        <f aca="false">Q190</f>
        <v>10673.440591573</v>
      </c>
      <c r="R35" s="138" t="n">
        <f aca="false">R190</f>
        <v>11385.0032976778</v>
      </c>
      <c r="S35" s="138" t="n">
        <f aca="false">S190</f>
        <v>1814.48490056741</v>
      </c>
      <c r="T35" s="138" t="n">
        <f aca="false">T190</f>
        <v>12808.1287098876</v>
      </c>
      <c r="U35" s="138" t="n">
        <f aca="false">U190</f>
        <v>13519.6914159924</v>
      </c>
      <c r="V35" s="138" t="n">
        <f aca="false">V190</f>
        <v>14231.2541220973</v>
      </c>
      <c r="W35" s="138" t="n">
        <f aca="false">W190</f>
        <v>14942.8168282022</v>
      </c>
      <c r="X35" s="138" t="n">
        <f aca="false">X190</f>
        <v>15654.379534307</v>
      </c>
      <c r="Y35" s="138" t="n">
        <f aca="false">Y190</f>
        <v>16365.9422404119</v>
      </c>
      <c r="Z35" s="138" t="n">
        <f aca="false">Z190</f>
        <v>17077.5049465168</v>
      </c>
      <c r="AA35" s="138" t="n">
        <f aca="false">AA190</f>
        <v>17789.0676526216</v>
      </c>
      <c r="AB35" s="138" t="n">
        <f aca="false">AB190</f>
        <v>18500.6303587265</v>
      </c>
      <c r="AC35" s="138" t="n">
        <f aca="false">AC190</f>
        <v>19212.1930648314</v>
      </c>
      <c r="AD35" s="138" t="n">
        <f aca="false">AD190</f>
        <v>19923.7557709362</v>
      </c>
      <c r="AE35" s="138" t="n">
        <f aca="false">AE190</f>
        <v>3095.29777155616</v>
      </c>
      <c r="AF35" s="138" t="n">
        <f aca="false">AF190</f>
        <v>21346.881183146</v>
      </c>
      <c r="AG35" s="138" t="n">
        <f aca="false">AG190</f>
        <v>22058.4438892508</v>
      </c>
      <c r="AH35" s="138" t="n">
        <f aca="false">AH190</f>
        <v>22770.0065953557</v>
      </c>
      <c r="AI35" s="138" t="n">
        <f aca="false">AI190</f>
        <v>23481.5693014605</v>
      </c>
      <c r="AJ35" s="138" t="n">
        <f aca="false">AJ190</f>
        <v>24193.1320075654</v>
      </c>
      <c r="AK35" s="138" t="n">
        <f aca="false">AK190</f>
        <v>24904.6947136703</v>
      </c>
      <c r="AL35" s="138" t="n">
        <f aca="false">AL190</f>
        <v>25616.2574197751</v>
      </c>
      <c r="AM35" s="138" t="n">
        <f aca="false">AM190</f>
        <v>25616.2574197751</v>
      </c>
      <c r="AN35" s="138" t="n">
        <f aca="false">AN190</f>
        <v>25616.2574197751</v>
      </c>
      <c r="AO35" s="138" t="n">
        <f aca="false">AO190</f>
        <v>25616.2574197751</v>
      </c>
      <c r="AP35" s="138" t="n">
        <f aca="false">AP190</f>
        <v>25616.2574197751</v>
      </c>
      <c r="AQ35" s="138" t="n">
        <f aca="false">AQ190</f>
        <v>3842.43861296627</v>
      </c>
      <c r="AR35" s="138" t="n">
        <f aca="false">AR190</f>
        <v>25616.2574197751</v>
      </c>
      <c r="AS35" s="138" t="n">
        <f aca="false">AS190</f>
        <v>25616.2574197751</v>
      </c>
      <c r="AT35" s="138" t="n">
        <f aca="false">AT190</f>
        <v>25616.2574197751</v>
      </c>
      <c r="AU35" s="138" t="n">
        <f aca="false">AU190</f>
        <v>25616.2574197751</v>
      </c>
      <c r="AV35" s="138" t="n">
        <f aca="false">AV190</f>
        <v>25616.2574197751</v>
      </c>
      <c r="AW35" s="138" t="n">
        <f aca="false">AW190</f>
        <v>25616.2574197751</v>
      </c>
      <c r="AX35" s="138" t="n">
        <f aca="false">AX190</f>
        <v>25616.2574197751</v>
      </c>
      <c r="AY35" s="138" t="n">
        <f aca="false">AY190</f>
        <v>25616.2574197751</v>
      </c>
      <c r="AZ35" s="138" t="n">
        <f aca="false">AZ190</f>
        <v>25616.2574197751</v>
      </c>
      <c r="BA35" s="138" t="n">
        <f aca="false">BA190</f>
        <v>25616.2574197751</v>
      </c>
      <c r="BB35" s="138" t="n">
        <f aca="false">BB190</f>
        <v>25616.2574197751</v>
      </c>
      <c r="BC35" s="138" t="n">
        <f aca="false">BC190</f>
        <v>3842.43861296627</v>
      </c>
      <c r="BD35" s="138" t="n">
        <f aca="false">BD190</f>
        <v>25616.2574197751</v>
      </c>
      <c r="BE35" s="138" t="n">
        <f aca="false">BE190</f>
        <v>25616.2574197751</v>
      </c>
      <c r="BF35" s="138" t="n">
        <f aca="false">BF190</f>
        <v>25616.2574197751</v>
      </c>
      <c r="BG35" s="138" t="n">
        <f aca="false">BG190</f>
        <v>25616.2574197751</v>
      </c>
      <c r="BH35" s="138" t="n">
        <f aca="false">BH190</f>
        <v>25616.2574197751</v>
      </c>
      <c r="BI35" s="138" t="n">
        <f aca="false">BI190</f>
        <v>25616.2574197751</v>
      </c>
      <c r="BJ35" s="138" t="n">
        <f aca="false">BJ190</f>
        <v>25616.2574197751</v>
      </c>
      <c r="BK35" s="138" t="n">
        <f aca="false">BK190</f>
        <v>25616.2574197751</v>
      </c>
      <c r="BL35" s="138" t="n">
        <f aca="false">BL190</f>
        <v>25616.2574197751</v>
      </c>
      <c r="BM35" s="138" t="n">
        <f aca="false">BM190</f>
        <v>25616.2574197751</v>
      </c>
      <c r="BN35" s="138" t="n">
        <f aca="false">BN190</f>
        <v>25616.2574197751</v>
      </c>
      <c r="BO35" s="138" t="n">
        <f aca="false">BO190</f>
        <v>3842.43861296627</v>
      </c>
      <c r="BP35" s="138" t="n">
        <f aca="false">BP190</f>
        <v>25616.2574197751</v>
      </c>
      <c r="BQ35" s="138" t="n">
        <f aca="false">BQ190</f>
        <v>25616.2574197751</v>
      </c>
      <c r="BR35" s="138" t="n">
        <f aca="false">BR190</f>
        <v>25616.2574197751</v>
      </c>
      <c r="BS35" s="138" t="n">
        <f aca="false">BS190</f>
        <v>25616.2574197751</v>
      </c>
      <c r="BT35" s="138" t="n">
        <f aca="false">BT190</f>
        <v>25616.2574197751</v>
      </c>
      <c r="BU35" s="138" t="n">
        <f aca="false">BU190</f>
        <v>25616.2574197751</v>
      </c>
      <c r="BV35" s="138" t="n">
        <f aca="false">BV190</f>
        <v>25616.2574197751</v>
      </c>
      <c r="BW35" s="138" t="n">
        <f aca="false">BW190</f>
        <v>25616.2574197751</v>
      </c>
      <c r="BX35" s="138" t="n">
        <f aca="false">BX190</f>
        <v>25616.2574197751</v>
      </c>
      <c r="BY35" s="138" t="n">
        <f aca="false">BY190</f>
        <v>25616.2574197751</v>
      </c>
      <c r="BZ35" s="138" t="n">
        <f aca="false">BZ190</f>
        <v>25616.2574197751</v>
      </c>
      <c r="CA35" s="138" t="n">
        <f aca="false">CA190</f>
        <v>3842.43861296627</v>
      </c>
      <c r="CB35" s="138" t="n">
        <f aca="false">CB190</f>
        <v>25616.2574197751</v>
      </c>
      <c r="CC35" s="138" t="n">
        <f aca="false">CC190</f>
        <v>25616.2574197751</v>
      </c>
      <c r="CD35" s="138" t="n">
        <f aca="false">CD190</f>
        <v>25616.2574197751</v>
      </c>
      <c r="CE35" s="138" t="n">
        <f aca="false">CE190</f>
        <v>25616.2574197751</v>
      </c>
      <c r="CF35" s="138" t="n">
        <f aca="false">CF190</f>
        <v>25616.2574197751</v>
      </c>
      <c r="CG35" s="138" t="n">
        <f aca="false">CG190</f>
        <v>25616.2574197751</v>
      </c>
      <c r="CH35" s="138" t="n">
        <f aca="false">CH190</f>
        <v>25616.2574197751</v>
      </c>
    </row>
    <row r="36" customFormat="false" ht="13.5" hidden="false" customHeight="true" outlineLevel="0" collapsed="false">
      <c r="A36" s="30" t="s">
        <v>717</v>
      </c>
      <c r="C36" s="138" t="n">
        <f aca="false">C34+C35</f>
        <v>1641.37520610487</v>
      </c>
      <c r="D36" s="138" t="n">
        <f aca="false">D34+D35</f>
        <v>3353.22041220973</v>
      </c>
      <c r="E36" s="138" t="n">
        <f aca="false">E34+E35</f>
        <v>6146.5843683146</v>
      </c>
      <c r="F36" s="138" t="n">
        <f aca="false">F34+F35</f>
        <v>8010.13582441946</v>
      </c>
      <c r="G36" s="138" t="n">
        <f aca="false">G34+G35</f>
        <v>6779.07577957865</v>
      </c>
      <c r="H36" s="138" t="n">
        <f aca="false">H34+H35</f>
        <v>12242.2737366292</v>
      </c>
      <c r="I36" s="138" t="n">
        <f aca="false">I34+I35</f>
        <v>15440.1168912811</v>
      </c>
      <c r="J36" s="138" t="n">
        <f aca="false">J34+J35</f>
        <v>19776.1400937535</v>
      </c>
      <c r="K36" s="138" t="n">
        <f aca="false">K34+K35</f>
        <v>24112.1632962259</v>
      </c>
      <c r="L36" s="138" t="n">
        <f aca="false">L34+L35</f>
        <v>28448.1864986984</v>
      </c>
      <c r="M36" s="138" t="n">
        <f aca="false">M34+M35</f>
        <v>31702.6909511708</v>
      </c>
      <c r="N36" s="138" t="n">
        <f aca="false">N34+N35</f>
        <v>35838.0704036432</v>
      </c>
      <c r="O36" s="138" t="n">
        <f aca="false">O34+O35</f>
        <v>39973.4498561157</v>
      </c>
      <c r="P36" s="138" t="n">
        <f aca="false">P34+P35</f>
        <v>43791.7143085881</v>
      </c>
      <c r="Q36" s="138" t="n">
        <f aca="false">Q34+Q35</f>
        <v>47609.9787610605</v>
      </c>
      <c r="R36" s="138" t="n">
        <f aca="false">R34+R35</f>
        <v>51428.243213533</v>
      </c>
      <c r="S36" s="138" t="n">
        <f aca="false">S34+S35</f>
        <v>44964.4265627901</v>
      </c>
      <c r="T36" s="138" t="n">
        <f aca="false">T34+T35</f>
        <v>59064.7721184778</v>
      </c>
      <c r="U36" s="138" t="n">
        <f aca="false">U34+U35</f>
        <v>62883.0365709503</v>
      </c>
      <c r="V36" s="138" t="n">
        <f aca="false">V34+V35</f>
        <v>66701.3010234227</v>
      </c>
      <c r="W36" s="138" t="n">
        <f aca="false">W34+W35</f>
        <v>70519.5654758951</v>
      </c>
      <c r="X36" s="138" t="n">
        <f aca="false">X34+X35</f>
        <v>73456.9549283676</v>
      </c>
      <c r="Y36" s="138" t="n">
        <f aca="false">Y34+Y35</f>
        <v>76394.34438084</v>
      </c>
      <c r="Z36" s="138" t="n">
        <f aca="false">Z34+Z35</f>
        <v>79002.8738333125</v>
      </c>
      <c r="AA36" s="138" t="n">
        <f aca="false">AA34+AA35</f>
        <v>81611.4032857849</v>
      </c>
      <c r="AB36" s="138" t="n">
        <f aca="false">AB34+AB35</f>
        <v>84219.9327382573</v>
      </c>
      <c r="AC36" s="138" t="n">
        <f aca="false">AC34+AC35</f>
        <v>86828.4621907297</v>
      </c>
      <c r="AD36" s="138" t="n">
        <f aca="false">AD34+AD35</f>
        <v>89436.9916432022</v>
      </c>
      <c r="AE36" s="138" t="n">
        <f aca="false">AE34+AE35</f>
        <v>74505.5003901897</v>
      </c>
      <c r="AF36" s="138" t="n">
        <f aca="false">AF34+AF35</f>
        <v>94654.050548147</v>
      </c>
      <c r="AG36" s="138" t="n">
        <f aca="false">AG34+AG35</f>
        <v>97262.5800006195</v>
      </c>
      <c r="AH36" s="138" t="n">
        <f aca="false">AH34+AH35</f>
        <v>99871.1094530919</v>
      </c>
      <c r="AI36" s="138" t="n">
        <f aca="false">AI34+AI35</f>
        <v>102479.638905564</v>
      </c>
      <c r="AJ36" s="138" t="n">
        <f aca="false">AJ34+AJ35</f>
        <v>105088.168358037</v>
      </c>
      <c r="AK36" s="138" t="n">
        <f aca="false">AK34+AK35</f>
        <v>107696.697810509</v>
      </c>
      <c r="AL36" s="138" t="n">
        <f aca="false">AL34+AL35</f>
        <v>110305.227262982</v>
      </c>
      <c r="AM36" s="138" t="n">
        <f aca="false">AM34+AM35</f>
        <v>112391.890683986</v>
      </c>
      <c r="AN36" s="138" t="n">
        <f aca="false">AN34+AN35</f>
        <v>114478.55410499</v>
      </c>
      <c r="AO36" s="138" t="n">
        <f aca="false">AO34+AO35</f>
        <v>116565.217525995</v>
      </c>
      <c r="AP36" s="138" t="n">
        <f aca="false">AP34+AP35</f>
        <v>118651.880946999</v>
      </c>
      <c r="AQ36" s="138" t="n">
        <f aca="false">AQ34+AQ35</f>
        <v>98964.7255611944</v>
      </c>
      <c r="AR36" s="138" t="n">
        <f aca="false">AR34+AR35</f>
        <v>122825.207789008</v>
      </c>
      <c r="AS36" s="138" t="n">
        <f aca="false">AS34+AS35</f>
        <v>122825.207789008</v>
      </c>
      <c r="AT36" s="138" t="n">
        <f aca="false">AT34+AT35</f>
        <v>122825.207789008</v>
      </c>
      <c r="AU36" s="138" t="n">
        <f aca="false">AU34+AU35</f>
        <v>122825.207789008</v>
      </c>
      <c r="AV36" s="138" t="n">
        <f aca="false">AV34+AV35</f>
        <v>122825.207789008</v>
      </c>
      <c r="AW36" s="138" t="n">
        <f aca="false">AW34+AW35</f>
        <v>122825.207789008</v>
      </c>
      <c r="AX36" s="138" t="n">
        <f aca="false">AX34+AX35</f>
        <v>122825.207789008</v>
      </c>
      <c r="AY36" s="138" t="n">
        <f aca="false">AY34+AY35</f>
        <v>122825.207789008</v>
      </c>
      <c r="AZ36" s="138" t="n">
        <f aca="false">AZ34+AZ35</f>
        <v>122825.207789008</v>
      </c>
      <c r="BA36" s="138" t="n">
        <f aca="false">BA34+BA35</f>
        <v>122825.207789008</v>
      </c>
      <c r="BB36" s="138" t="n">
        <f aca="false">BB34+BB35</f>
        <v>122825.207789008</v>
      </c>
      <c r="BC36" s="138" t="n">
        <f aca="false">BC34+BC35</f>
        <v>101051.388982199</v>
      </c>
      <c r="BD36" s="138" t="n">
        <f aca="false">BD34+BD35</f>
        <v>122825.207789008</v>
      </c>
      <c r="BE36" s="138" t="n">
        <f aca="false">BE34+BE35</f>
        <v>122825.207789008</v>
      </c>
      <c r="BF36" s="138" t="n">
        <f aca="false">BF34+BF35</f>
        <v>122825.207789008</v>
      </c>
      <c r="BG36" s="138" t="n">
        <f aca="false">BG34+BG35</f>
        <v>122825.207789008</v>
      </c>
      <c r="BH36" s="138" t="n">
        <f aca="false">BH34+BH35</f>
        <v>122825.207789008</v>
      </c>
      <c r="BI36" s="138" t="n">
        <f aca="false">BI34+BI35</f>
        <v>122825.207789008</v>
      </c>
      <c r="BJ36" s="138" t="n">
        <f aca="false">BJ34+BJ35</f>
        <v>122825.207789008</v>
      </c>
      <c r="BK36" s="138" t="n">
        <f aca="false">BK34+BK35</f>
        <v>122825.207789008</v>
      </c>
      <c r="BL36" s="138" t="n">
        <f aca="false">BL34+BL35</f>
        <v>122825.207789008</v>
      </c>
      <c r="BM36" s="138" t="n">
        <f aca="false">BM34+BM35</f>
        <v>122825.207789008</v>
      </c>
      <c r="BN36" s="138" t="n">
        <f aca="false">BN34+BN35</f>
        <v>122825.207789008</v>
      </c>
      <c r="BO36" s="138" t="n">
        <f aca="false">BO34+BO35</f>
        <v>101051.388982199</v>
      </c>
      <c r="BP36" s="138" t="n">
        <f aca="false">BP34+BP35</f>
        <v>122825.207789008</v>
      </c>
      <c r="BQ36" s="138" t="n">
        <f aca="false">BQ34+BQ35</f>
        <v>122825.207789008</v>
      </c>
      <c r="BR36" s="138" t="n">
        <f aca="false">BR34+BR35</f>
        <v>122825.207789008</v>
      </c>
      <c r="BS36" s="138" t="n">
        <f aca="false">BS34+BS35</f>
        <v>122825.207789008</v>
      </c>
      <c r="BT36" s="138" t="n">
        <f aca="false">BT34+BT35</f>
        <v>122825.207789008</v>
      </c>
      <c r="BU36" s="138" t="n">
        <f aca="false">BU34+BU35</f>
        <v>122825.207789008</v>
      </c>
      <c r="BV36" s="138" t="n">
        <f aca="false">BV34+BV35</f>
        <v>122825.207789008</v>
      </c>
      <c r="BW36" s="138" t="n">
        <f aca="false">BW34+BW35</f>
        <v>122825.207789008</v>
      </c>
      <c r="BX36" s="138" t="n">
        <f aca="false">BX34+BX35</f>
        <v>122825.207789008</v>
      </c>
      <c r="BY36" s="138" t="n">
        <f aca="false">BY34+BY35</f>
        <v>122825.207789008</v>
      </c>
      <c r="BZ36" s="138" t="n">
        <f aca="false">BZ34+BZ35</f>
        <v>122825.207789008</v>
      </c>
      <c r="CA36" s="138" t="n">
        <f aca="false">CA34+CA35</f>
        <v>101051.388982199</v>
      </c>
      <c r="CB36" s="138" t="n">
        <f aca="false">CB34+CB35</f>
        <v>122825.207789008</v>
      </c>
      <c r="CC36" s="138" t="n">
        <f aca="false">CC34+CC35</f>
        <v>122825.207789008</v>
      </c>
      <c r="CD36" s="138" t="n">
        <f aca="false">CD34+CD35</f>
        <v>122825.207789008</v>
      </c>
      <c r="CE36" s="138" t="n">
        <f aca="false">CE34+CE35</f>
        <v>122825.207789008</v>
      </c>
      <c r="CF36" s="138" t="n">
        <f aca="false">CF34+CF35</f>
        <v>122825.207789008</v>
      </c>
      <c r="CG36" s="138" t="n">
        <f aca="false">CG34+CG35</f>
        <v>122825.207789008</v>
      </c>
      <c r="CH36" s="138" t="n">
        <f aca="false">CH34+CH35</f>
        <v>122825.207789008</v>
      </c>
    </row>
    <row r="37" customFormat="false" ht="13.5" hidden="false" customHeight="true" outlineLevel="0" collapsed="false">
      <c r="A37" s="13" t="s">
        <v>718</v>
      </c>
      <c r="C37" s="138" t="n">
        <f aca="false">C192+C193</f>
        <v>-164.137520610487</v>
      </c>
      <c r="D37" s="138" t="n">
        <f aca="false">D192+D193</f>
        <v>-335.322041220973</v>
      </c>
      <c r="E37" s="138" t="n">
        <f aca="false">E192+E193</f>
        <v>-614.65843683146</v>
      </c>
      <c r="F37" s="138" t="n">
        <f aca="false">F192+F193</f>
        <v>-801.013582441946</v>
      </c>
      <c r="G37" s="138" t="n">
        <f aca="false">G192+G193</f>
        <v>-677.907577957865</v>
      </c>
      <c r="H37" s="138" t="n">
        <f aca="false">H192+H193</f>
        <v>-1224.22737366292</v>
      </c>
      <c r="I37" s="138" t="n">
        <f aca="false">I192+I193</f>
        <v>-1544.01168912811</v>
      </c>
      <c r="J37" s="138" t="n">
        <f aca="false">J192+J193</f>
        <v>-1977.61400937535</v>
      </c>
      <c r="K37" s="138" t="n">
        <f aca="false">K192+K193</f>
        <v>-2411.21632962259</v>
      </c>
      <c r="L37" s="138" t="n">
        <f aca="false">L192+L193</f>
        <v>-2844.81864986984</v>
      </c>
      <c r="M37" s="138" t="n">
        <f aca="false">M192+M193</f>
        <v>-3170.26909511708</v>
      </c>
      <c r="N37" s="138" t="n">
        <f aca="false">N192+N193</f>
        <v>-3583.80704036433</v>
      </c>
      <c r="O37" s="138" t="n">
        <f aca="false">O192+O193</f>
        <v>-3997.34498561157</v>
      </c>
      <c r="P37" s="138" t="n">
        <f aca="false">P192+P193</f>
        <v>-4379.17143085881</v>
      </c>
      <c r="Q37" s="138" t="n">
        <f aca="false">Q192+Q193</f>
        <v>-4760.99787610606</v>
      </c>
      <c r="R37" s="138" t="n">
        <f aca="false">R192+R193</f>
        <v>-5142.8243213533</v>
      </c>
      <c r="S37" s="138" t="n">
        <f aca="false">S192+S193</f>
        <v>-4496.44265627901</v>
      </c>
      <c r="T37" s="138" t="n">
        <f aca="false">T192+T193</f>
        <v>-5906.47721184778</v>
      </c>
      <c r="U37" s="138" t="n">
        <f aca="false">U192+U193</f>
        <v>-6288.30365709503</v>
      </c>
      <c r="V37" s="138" t="n">
        <f aca="false">V192+V193</f>
        <v>-6670.13010234227</v>
      </c>
      <c r="W37" s="138" t="n">
        <f aca="false">W192+W193</f>
        <v>-7051.95654758952</v>
      </c>
      <c r="X37" s="138" t="n">
        <f aca="false">X192+X193</f>
        <v>-7345.69549283676</v>
      </c>
      <c r="Y37" s="138" t="n">
        <f aca="false">Y192+Y193</f>
        <v>-7639.434438084</v>
      </c>
      <c r="Z37" s="138" t="n">
        <f aca="false">Z192+Z193</f>
        <v>-7900.28738333125</v>
      </c>
      <c r="AA37" s="138" t="n">
        <f aca="false">AA192+AA193</f>
        <v>-8161.14032857849</v>
      </c>
      <c r="AB37" s="138" t="n">
        <f aca="false">AB192+AB193</f>
        <v>-8421.99327382573</v>
      </c>
      <c r="AC37" s="138" t="n">
        <f aca="false">AC192+AC193</f>
        <v>-8682.84621907297</v>
      </c>
      <c r="AD37" s="138" t="n">
        <f aca="false">AD192+AD193</f>
        <v>-8943.69916432022</v>
      </c>
      <c r="AE37" s="138" t="n">
        <f aca="false">AE192+AE193</f>
        <v>-7450.55003901897</v>
      </c>
      <c r="AF37" s="138" t="n">
        <f aca="false">AF192+AF193</f>
        <v>-9465.4050548147</v>
      </c>
      <c r="AG37" s="138" t="n">
        <f aca="false">AG192+AG193</f>
        <v>-9726.25800006195</v>
      </c>
      <c r="AH37" s="138" t="n">
        <f aca="false">AH192+AH193</f>
        <v>-9987.11094530919</v>
      </c>
      <c r="AI37" s="138" t="n">
        <f aca="false">AI192+AI193</f>
        <v>-10247.9638905564</v>
      </c>
      <c r="AJ37" s="138" t="n">
        <f aca="false">AJ192+AJ193</f>
        <v>-10508.8168358037</v>
      </c>
      <c r="AK37" s="138" t="n">
        <f aca="false">AK192+AK193</f>
        <v>-10769.6697810509</v>
      </c>
      <c r="AL37" s="138" t="n">
        <f aca="false">AL192+AL193</f>
        <v>-11030.5227262982</v>
      </c>
      <c r="AM37" s="138" t="n">
        <f aca="false">AM192+AM193</f>
        <v>-11239.1890683986</v>
      </c>
      <c r="AN37" s="138" t="n">
        <f aca="false">AN192+AN193</f>
        <v>-11447.855410499</v>
      </c>
      <c r="AO37" s="138" t="n">
        <f aca="false">AO192+AO193</f>
        <v>-11656.5217525995</v>
      </c>
      <c r="AP37" s="138" t="n">
        <f aca="false">AP192+AP193</f>
        <v>-11865.1880946999</v>
      </c>
      <c r="AQ37" s="138" t="n">
        <f aca="false">AQ192+AQ193</f>
        <v>-9896.47255611944</v>
      </c>
      <c r="AR37" s="138" t="n">
        <f aca="false">AR192+AR193</f>
        <v>-12282.5207789008</v>
      </c>
      <c r="AS37" s="138" t="n">
        <f aca="false">AS192+AS193</f>
        <v>-12282.5207789008</v>
      </c>
      <c r="AT37" s="138" t="n">
        <f aca="false">AT192+AT193</f>
        <v>-12282.5207789008</v>
      </c>
      <c r="AU37" s="138" t="n">
        <f aca="false">AU192+AU193</f>
        <v>-12282.5207789008</v>
      </c>
      <c r="AV37" s="138" t="n">
        <f aca="false">AV192+AV193</f>
        <v>-12282.5207789008</v>
      </c>
      <c r="AW37" s="138" t="n">
        <f aca="false">AW192+AW193</f>
        <v>-12282.5207789008</v>
      </c>
      <c r="AX37" s="138" t="n">
        <f aca="false">AX192+AX193</f>
        <v>-12282.5207789008</v>
      </c>
      <c r="AY37" s="138" t="n">
        <f aca="false">AY192+AY193</f>
        <v>-12282.5207789008</v>
      </c>
      <c r="AZ37" s="138" t="n">
        <f aca="false">AZ192+AZ193</f>
        <v>-12282.5207789008</v>
      </c>
      <c r="BA37" s="138" t="n">
        <f aca="false">BA192+BA193</f>
        <v>-12282.5207789008</v>
      </c>
      <c r="BB37" s="138" t="n">
        <f aca="false">BB192+BB193</f>
        <v>-12282.5207789008</v>
      </c>
      <c r="BC37" s="138" t="n">
        <f aca="false">BC192+BC193</f>
        <v>-10105.1388982199</v>
      </c>
      <c r="BD37" s="138" t="n">
        <f aca="false">BD192+BD193</f>
        <v>-12282.5207789008</v>
      </c>
      <c r="BE37" s="138" t="n">
        <f aca="false">BE192+BE193</f>
        <v>-12282.5207789008</v>
      </c>
      <c r="BF37" s="138" t="n">
        <f aca="false">BF192+BF193</f>
        <v>-12282.5207789008</v>
      </c>
      <c r="BG37" s="138" t="n">
        <f aca="false">BG192+BG193</f>
        <v>-12282.5207789008</v>
      </c>
      <c r="BH37" s="138" t="n">
        <f aca="false">BH192+BH193</f>
        <v>-12282.5207789008</v>
      </c>
      <c r="BI37" s="138" t="n">
        <f aca="false">BI192+BI193</f>
        <v>-12282.5207789008</v>
      </c>
      <c r="BJ37" s="138" t="n">
        <f aca="false">BJ192+BJ193</f>
        <v>-12282.5207789008</v>
      </c>
      <c r="BK37" s="138" t="n">
        <f aca="false">BK192+BK193</f>
        <v>-12282.5207789008</v>
      </c>
      <c r="BL37" s="138" t="n">
        <f aca="false">BL192+BL193</f>
        <v>-12282.5207789008</v>
      </c>
      <c r="BM37" s="138" t="n">
        <f aca="false">BM192+BM193</f>
        <v>-12282.5207789008</v>
      </c>
      <c r="BN37" s="138" t="n">
        <f aca="false">BN192+BN193</f>
        <v>-12282.5207789008</v>
      </c>
      <c r="BO37" s="138" t="n">
        <f aca="false">BO192+BO193</f>
        <v>-10105.1388982199</v>
      </c>
      <c r="BP37" s="138" t="n">
        <f aca="false">BP192+BP193</f>
        <v>-12282.5207789008</v>
      </c>
      <c r="BQ37" s="138" t="n">
        <f aca="false">BQ192+BQ193</f>
        <v>-12282.5207789008</v>
      </c>
      <c r="BR37" s="138" t="n">
        <f aca="false">BR192+BR193</f>
        <v>-12282.5207789008</v>
      </c>
      <c r="BS37" s="138" t="n">
        <f aca="false">BS192+BS193</f>
        <v>-12282.5207789008</v>
      </c>
      <c r="BT37" s="138" t="n">
        <f aca="false">BT192+BT193</f>
        <v>-12282.5207789008</v>
      </c>
      <c r="BU37" s="138" t="n">
        <f aca="false">BU192+BU193</f>
        <v>-12282.5207789008</v>
      </c>
      <c r="BV37" s="138" t="n">
        <f aca="false">BV192+BV193</f>
        <v>-12282.5207789008</v>
      </c>
      <c r="BW37" s="138" t="n">
        <f aca="false">BW192+BW193</f>
        <v>-12282.5207789008</v>
      </c>
      <c r="BX37" s="138" t="n">
        <f aca="false">BX192+BX193</f>
        <v>-12282.5207789008</v>
      </c>
      <c r="BY37" s="138" t="n">
        <f aca="false">BY192+BY193</f>
        <v>-12282.5207789008</v>
      </c>
      <c r="BZ37" s="138" t="n">
        <f aca="false">BZ192+BZ193</f>
        <v>-12282.5207789008</v>
      </c>
      <c r="CA37" s="138" t="n">
        <f aca="false">CA192+CA193</f>
        <v>-10105.1388982199</v>
      </c>
      <c r="CB37" s="138" t="n">
        <f aca="false">CB192+CB193</f>
        <v>-12282.5207789008</v>
      </c>
      <c r="CC37" s="138" t="n">
        <f aca="false">CC192+CC193</f>
        <v>-12282.5207789008</v>
      </c>
      <c r="CD37" s="138" t="n">
        <f aca="false">CD192+CD193</f>
        <v>-12282.5207789008</v>
      </c>
      <c r="CE37" s="138" t="n">
        <f aca="false">CE192+CE193</f>
        <v>-12282.5207789008</v>
      </c>
      <c r="CF37" s="138" t="n">
        <f aca="false">CF192+CF193</f>
        <v>-12282.5207789008</v>
      </c>
      <c r="CG37" s="138" t="n">
        <f aca="false">CG192+CG193</f>
        <v>-12282.5207789008</v>
      </c>
      <c r="CH37" s="138" t="n">
        <f aca="false">CH192+CH193</f>
        <v>-12282.5207789008</v>
      </c>
    </row>
    <row r="38" customFormat="false" ht="13.5" hidden="false" customHeight="true" outlineLevel="0" collapsed="false">
      <c r="A38" s="30" t="s">
        <v>719</v>
      </c>
      <c r="C38" s="138" t="n">
        <f aca="false">C36+C37</f>
        <v>1477.23768549438</v>
      </c>
      <c r="D38" s="138" t="n">
        <f aca="false">D36+D37</f>
        <v>3017.89837098876</v>
      </c>
      <c r="E38" s="138" t="n">
        <f aca="false">E36+E37</f>
        <v>5531.92593148314</v>
      </c>
      <c r="F38" s="138" t="n">
        <f aca="false">F36+F37</f>
        <v>7209.12224197751</v>
      </c>
      <c r="G38" s="138" t="n">
        <f aca="false">G36+G37</f>
        <v>6101.16820162078</v>
      </c>
      <c r="H38" s="138" t="n">
        <f aca="false">H36+H37</f>
        <v>11018.0463629663</v>
      </c>
      <c r="I38" s="138" t="n">
        <f aca="false">I36+I37</f>
        <v>13896.105202153</v>
      </c>
      <c r="J38" s="138" t="n">
        <f aca="false">J36+J37</f>
        <v>17798.5260843782</v>
      </c>
      <c r="K38" s="138" t="n">
        <f aca="false">K36+K37</f>
        <v>21700.9469666033</v>
      </c>
      <c r="L38" s="138" t="n">
        <f aca="false">L36+L37</f>
        <v>25603.3678488285</v>
      </c>
      <c r="M38" s="138" t="n">
        <f aca="false">M36+M37</f>
        <v>28532.4218560537</v>
      </c>
      <c r="N38" s="138" t="n">
        <f aca="false">N36+N37</f>
        <v>32254.2633632789</v>
      </c>
      <c r="O38" s="138" t="n">
        <f aca="false">O36+O37</f>
        <v>35976.1048705041</v>
      </c>
      <c r="P38" s="138" t="n">
        <f aca="false">P36+P37</f>
        <v>39412.5428777293</v>
      </c>
      <c r="Q38" s="138" t="n">
        <f aca="false">Q36+Q37</f>
        <v>42848.9808849545</v>
      </c>
      <c r="R38" s="138" t="n">
        <f aca="false">R36+R37</f>
        <v>46285.4188921797</v>
      </c>
      <c r="S38" s="138" t="n">
        <f aca="false">S36+S37</f>
        <v>40467.9839065111</v>
      </c>
      <c r="T38" s="138" t="n">
        <f aca="false">T36+T37</f>
        <v>53158.2949066301</v>
      </c>
      <c r="U38" s="138" t="n">
        <f aca="false">U36+U37</f>
        <v>56594.7329138552</v>
      </c>
      <c r="V38" s="138" t="n">
        <f aca="false">V36+V37</f>
        <v>60031.1709210804</v>
      </c>
      <c r="W38" s="138" t="n">
        <f aca="false">W36+W37</f>
        <v>63467.6089283056</v>
      </c>
      <c r="X38" s="138" t="n">
        <f aca="false">X36+X37</f>
        <v>66111.2594355308</v>
      </c>
      <c r="Y38" s="138" t="n">
        <f aca="false">Y36+Y37</f>
        <v>68754.909942756</v>
      </c>
      <c r="Z38" s="138" t="n">
        <f aca="false">Z36+Z37</f>
        <v>71102.5864499812</v>
      </c>
      <c r="AA38" s="138" t="n">
        <f aca="false">AA36+AA37</f>
        <v>73450.2629572064</v>
      </c>
      <c r="AB38" s="138" t="n">
        <f aca="false">AB36+AB37</f>
        <v>75797.9394644316</v>
      </c>
      <c r="AC38" s="138" t="n">
        <f aca="false">AC36+AC37</f>
        <v>78145.6159716568</v>
      </c>
      <c r="AD38" s="138" t="n">
        <f aca="false">AD36+AD37</f>
        <v>80493.292478882</v>
      </c>
      <c r="AE38" s="138" t="n">
        <f aca="false">AE36+AE37</f>
        <v>67054.9503511707</v>
      </c>
      <c r="AF38" s="138" t="n">
        <f aca="false">AF36+AF37</f>
        <v>85188.6454933323</v>
      </c>
      <c r="AG38" s="138" t="n">
        <f aca="false">AG36+AG37</f>
        <v>87536.3220005575</v>
      </c>
      <c r="AH38" s="138" t="n">
        <f aca="false">AH36+AH37</f>
        <v>89883.9985077827</v>
      </c>
      <c r="AI38" s="138" t="n">
        <f aca="false">AI36+AI37</f>
        <v>92231.6750150079</v>
      </c>
      <c r="AJ38" s="138" t="n">
        <f aca="false">AJ36+AJ37</f>
        <v>94579.3515222331</v>
      </c>
      <c r="AK38" s="138" t="n">
        <f aca="false">AK36+AK37</f>
        <v>96927.0280294583</v>
      </c>
      <c r="AL38" s="138" t="n">
        <f aca="false">AL36+AL37</f>
        <v>99274.7045366835</v>
      </c>
      <c r="AM38" s="138" t="n">
        <f aca="false">AM36+AM37</f>
        <v>101152.701615587</v>
      </c>
      <c r="AN38" s="138" t="n">
        <f aca="false">AN36+AN37</f>
        <v>103030.698694491</v>
      </c>
      <c r="AO38" s="138" t="n">
        <f aca="false">AO36+AO37</f>
        <v>104908.695773395</v>
      </c>
      <c r="AP38" s="138" t="n">
        <f aca="false">AP36+AP37</f>
        <v>106786.692852299</v>
      </c>
      <c r="AQ38" s="138" t="n">
        <f aca="false">AQ36+AQ37</f>
        <v>89068.253005075</v>
      </c>
      <c r="AR38" s="138" t="n">
        <f aca="false">AR36+AR37</f>
        <v>110542.687010107</v>
      </c>
      <c r="AS38" s="138" t="n">
        <f aca="false">AS36+AS37</f>
        <v>110542.687010107</v>
      </c>
      <c r="AT38" s="138" t="n">
        <f aca="false">AT36+AT37</f>
        <v>110542.687010107</v>
      </c>
      <c r="AU38" s="138" t="n">
        <f aca="false">AU36+AU37</f>
        <v>110542.687010107</v>
      </c>
      <c r="AV38" s="138" t="n">
        <f aca="false">AV36+AV37</f>
        <v>110542.687010107</v>
      </c>
      <c r="AW38" s="138" t="n">
        <f aca="false">AW36+AW37</f>
        <v>110542.687010107</v>
      </c>
      <c r="AX38" s="138" t="n">
        <f aca="false">AX36+AX37</f>
        <v>110542.687010107</v>
      </c>
      <c r="AY38" s="138" t="n">
        <f aca="false">AY36+AY37</f>
        <v>110542.687010107</v>
      </c>
      <c r="AZ38" s="138" t="n">
        <f aca="false">AZ36+AZ37</f>
        <v>110542.687010107</v>
      </c>
      <c r="BA38" s="138" t="n">
        <f aca="false">BA36+BA37</f>
        <v>110542.687010107</v>
      </c>
      <c r="BB38" s="138" t="n">
        <f aca="false">BB36+BB37</f>
        <v>110542.687010107</v>
      </c>
      <c r="BC38" s="138" t="n">
        <f aca="false">BC36+BC37</f>
        <v>90946.2500839789</v>
      </c>
      <c r="BD38" s="138" t="n">
        <f aca="false">BD36+BD37</f>
        <v>110542.687010107</v>
      </c>
      <c r="BE38" s="138" t="n">
        <f aca="false">BE36+BE37</f>
        <v>110542.687010107</v>
      </c>
      <c r="BF38" s="138" t="n">
        <f aca="false">BF36+BF37</f>
        <v>110542.687010107</v>
      </c>
      <c r="BG38" s="138" t="n">
        <f aca="false">BG36+BG37</f>
        <v>110542.687010107</v>
      </c>
      <c r="BH38" s="138" t="n">
        <f aca="false">BH36+BH37</f>
        <v>110542.687010107</v>
      </c>
      <c r="BI38" s="138" t="n">
        <f aca="false">BI36+BI37</f>
        <v>110542.687010107</v>
      </c>
      <c r="BJ38" s="138" t="n">
        <f aca="false">BJ36+BJ37</f>
        <v>110542.687010107</v>
      </c>
      <c r="BK38" s="138" t="n">
        <f aca="false">BK36+BK37</f>
        <v>110542.687010107</v>
      </c>
      <c r="BL38" s="138" t="n">
        <f aca="false">BL36+BL37</f>
        <v>110542.687010107</v>
      </c>
      <c r="BM38" s="138" t="n">
        <f aca="false">BM36+BM37</f>
        <v>110542.687010107</v>
      </c>
      <c r="BN38" s="138" t="n">
        <f aca="false">BN36+BN37</f>
        <v>110542.687010107</v>
      </c>
      <c r="BO38" s="138" t="n">
        <f aca="false">BO36+BO37</f>
        <v>90946.2500839789</v>
      </c>
      <c r="BP38" s="138" t="n">
        <f aca="false">BP36+BP37</f>
        <v>110542.687010107</v>
      </c>
      <c r="BQ38" s="138" t="n">
        <f aca="false">BQ36+BQ37</f>
        <v>110542.687010107</v>
      </c>
      <c r="BR38" s="138" t="n">
        <f aca="false">BR36+BR37</f>
        <v>110542.687010107</v>
      </c>
      <c r="BS38" s="138" t="n">
        <f aca="false">BS36+BS37</f>
        <v>110542.687010107</v>
      </c>
      <c r="BT38" s="138" t="n">
        <f aca="false">BT36+BT37</f>
        <v>110542.687010107</v>
      </c>
      <c r="BU38" s="138" t="n">
        <f aca="false">BU36+BU37</f>
        <v>110542.687010107</v>
      </c>
      <c r="BV38" s="138" t="n">
        <f aca="false">BV36+BV37</f>
        <v>110542.687010107</v>
      </c>
      <c r="BW38" s="138" t="n">
        <f aca="false">BW36+BW37</f>
        <v>110542.687010107</v>
      </c>
      <c r="BX38" s="138" t="n">
        <f aca="false">BX36+BX37</f>
        <v>110542.687010107</v>
      </c>
      <c r="BY38" s="138" t="n">
        <f aca="false">BY36+BY37</f>
        <v>110542.687010107</v>
      </c>
      <c r="BZ38" s="138" t="n">
        <f aca="false">BZ36+BZ37</f>
        <v>110542.687010107</v>
      </c>
      <c r="CA38" s="138" t="n">
        <f aca="false">CA36+CA37</f>
        <v>90946.2500839789</v>
      </c>
      <c r="CB38" s="138" t="n">
        <f aca="false">CB36+CB37</f>
        <v>110542.687010107</v>
      </c>
      <c r="CC38" s="138" t="n">
        <f aca="false">CC36+CC37</f>
        <v>110542.687010107</v>
      </c>
      <c r="CD38" s="138" t="n">
        <f aca="false">CD36+CD37</f>
        <v>110542.687010107</v>
      </c>
      <c r="CE38" s="138" t="n">
        <f aca="false">CE36+CE37</f>
        <v>110542.687010107</v>
      </c>
      <c r="CF38" s="138" t="n">
        <f aca="false">CF36+CF37</f>
        <v>110542.687010107</v>
      </c>
      <c r="CG38" s="138" t="n">
        <f aca="false">CG36+CG37</f>
        <v>110542.687010107</v>
      </c>
      <c r="CH38" s="138" t="n">
        <f aca="false">CH36+CH37</f>
        <v>110542.687010107</v>
      </c>
    </row>
    <row r="39" customFormat="false" ht="13.5" hidden="false" customHeight="true" outlineLevel="0" collapsed="false">
      <c r="A39" s="13" t="s">
        <v>720</v>
      </c>
      <c r="C39" s="138" t="n">
        <f aca="false">C194+C195</f>
        <v>-187.919594336371</v>
      </c>
      <c r="D39" s="138" t="n">
        <f aca="false">D194+D195</f>
        <v>-391.561611701424</v>
      </c>
      <c r="E39" s="138" t="n">
        <f aca="false">E194+E195</f>
        <v>-821.111505079243</v>
      </c>
      <c r="F39" s="138" t="n">
        <f aca="false">F194+F195</f>
        <v>-1107.18672789921</v>
      </c>
      <c r="G39" s="138" t="n">
        <f aca="false">G194+G195</f>
        <v>-1188.64860163179</v>
      </c>
      <c r="H39" s="138" t="n">
        <f aca="false">H194+H195</f>
        <v>-1828.0450913521</v>
      </c>
      <c r="I39" s="138" t="n">
        <f aca="false">I194+I195</f>
        <v>-2440.86738885481</v>
      </c>
      <c r="J39" s="138" t="n">
        <f aca="false">J194+J195</f>
        <v>-3297.16478711918</v>
      </c>
      <c r="K39" s="138" t="n">
        <f aca="false">K194+K195</f>
        <v>-4153.46218538355</v>
      </c>
      <c r="L39" s="138" t="n">
        <f aca="false">L194+L195</f>
        <v>-5009.75958364792</v>
      </c>
      <c r="M39" s="138" t="n">
        <f aca="false">M194+M195</f>
        <v>-5640.14910589952</v>
      </c>
      <c r="N39" s="138" t="n">
        <f aca="false">N194+N195</f>
        <v>-6532.5790119625</v>
      </c>
      <c r="O39" s="138" t="n">
        <f aca="false">O194+O195</f>
        <v>-7425.00891802548</v>
      </c>
      <c r="P39" s="138" t="n">
        <f aca="false">P194+P195</f>
        <v>-8242.10221374269</v>
      </c>
      <c r="Q39" s="138" t="n">
        <f aca="false">Q194+Q195</f>
        <v>-9059.1955094599</v>
      </c>
      <c r="R39" s="138" t="n">
        <f aca="false">R194+R195</f>
        <v>-9876.28880517711</v>
      </c>
      <c r="S39" s="138" t="n">
        <f aca="false">S194+S195</f>
        <v>-10051.1529522947</v>
      </c>
      <c r="T39" s="138" t="n">
        <f aca="false">T194+T195</f>
        <v>-11510.4753966115</v>
      </c>
      <c r="U39" s="138" t="n">
        <f aca="false">U194+U195</f>
        <v>-12327.5686923287</v>
      </c>
      <c r="V39" s="138" t="n">
        <f aca="false">V194+V195</f>
        <v>-13144.6619880459</v>
      </c>
      <c r="W39" s="138" t="n">
        <f aca="false">W194+W195</f>
        <v>-13961.7552837632</v>
      </c>
      <c r="X39" s="138" t="n">
        <f aca="false">X194+X195</f>
        <v>-14516.808195669</v>
      </c>
      <c r="Y39" s="138" t="n">
        <f aca="false">Y194+Y195</f>
        <v>-15071.8611075748</v>
      </c>
      <c r="Z39" s="138" t="n">
        <f aca="false">Z194+Z195</f>
        <v>-15522.0978659561</v>
      </c>
      <c r="AA39" s="138" t="n">
        <f aca="false">AA194+AA195</f>
        <v>-15972.3346243374</v>
      </c>
      <c r="AB39" s="138" t="n">
        <f aca="false">AB194+AB195</f>
        <v>-16422.5713827187</v>
      </c>
      <c r="AC39" s="138" t="n">
        <f aca="false">AC194+AC195</f>
        <v>-16872.8081411</v>
      </c>
      <c r="AD39" s="138" t="n">
        <f aca="false">AD194+AD195</f>
        <v>-17323.0448994812</v>
      </c>
      <c r="AE39" s="138" t="n">
        <f aca="false">AE194+AE195</f>
        <v>-16677.714286722</v>
      </c>
      <c r="AF39" s="138" t="n">
        <f aca="false">AF194+AF195</f>
        <v>-18223.5184162438</v>
      </c>
      <c r="AG39" s="138" t="n">
        <f aca="false">AG194+AG195</f>
        <v>-18673.7551746251</v>
      </c>
      <c r="AH39" s="138" t="n">
        <f aca="false">AH194+AH195</f>
        <v>-19123.9919330064</v>
      </c>
      <c r="AI39" s="138" t="n">
        <f aca="false">AI194+AI195</f>
        <v>-19574.2286913876</v>
      </c>
      <c r="AJ39" s="138" t="n">
        <f aca="false">AJ194+AJ195</f>
        <v>-20024.4654497689</v>
      </c>
      <c r="AK39" s="138" t="n">
        <f aca="false">AK194+AK195</f>
        <v>-20474.7022081502</v>
      </c>
      <c r="AL39" s="138" t="n">
        <f aca="false">AL194+AL195</f>
        <v>-20924.9389665315</v>
      </c>
      <c r="AM39" s="138" t="n">
        <f aca="false">AM194+AM195</f>
        <v>-21371.3099845945</v>
      </c>
      <c r="AN39" s="138" t="n">
        <f aca="false">AN194+AN195</f>
        <v>-21817.6810026576</v>
      </c>
      <c r="AO39" s="138" t="n">
        <f aca="false">AO194+AO195</f>
        <v>-22264.0520207206</v>
      </c>
      <c r="AP39" s="138" t="n">
        <f aca="false">AP194+AP195</f>
        <v>-22710.4230387837</v>
      </c>
      <c r="AQ39" s="138" t="n">
        <f aca="false">AQ194+AQ195</f>
        <v>-21796.779389224</v>
      </c>
      <c r="AR39" s="138" t="n">
        <f aca="false">AR194+AR195</f>
        <v>-23603.1650749097</v>
      </c>
      <c r="AS39" s="138" t="n">
        <f aca="false">AS194+AS195</f>
        <v>-23603.1650749097</v>
      </c>
      <c r="AT39" s="138" t="n">
        <f aca="false">AT194+AT195</f>
        <v>-23603.1650749097</v>
      </c>
      <c r="AU39" s="138" t="n">
        <f aca="false">AU194+AU195</f>
        <v>-23603.1650749097</v>
      </c>
      <c r="AV39" s="138" t="n">
        <f aca="false">AV194+AV195</f>
        <v>-23603.1650749097</v>
      </c>
      <c r="AW39" s="138" t="n">
        <f aca="false">AW194+AW195</f>
        <v>-23603.1650749097</v>
      </c>
      <c r="AX39" s="138" t="n">
        <f aca="false">AX194+AX195</f>
        <v>-23603.1650749097</v>
      </c>
      <c r="AY39" s="138" t="n">
        <f aca="false">AY194+AY195</f>
        <v>-23603.1650749097</v>
      </c>
      <c r="AZ39" s="138" t="n">
        <f aca="false">AZ194+AZ195</f>
        <v>-23603.1650749097</v>
      </c>
      <c r="BA39" s="138" t="n">
        <f aca="false">BA194+BA195</f>
        <v>-23603.1650749097</v>
      </c>
      <c r="BB39" s="138" t="n">
        <f aca="false">BB194+BB195</f>
        <v>-23603.1650749097</v>
      </c>
      <c r="BC39" s="138" t="n">
        <f aca="false">BC194+BC195</f>
        <v>-22243.150407287</v>
      </c>
      <c r="BD39" s="138" t="n">
        <f aca="false">BD194+BD195</f>
        <v>-23603.1650749097</v>
      </c>
      <c r="BE39" s="138" t="n">
        <f aca="false">BE194+BE195</f>
        <v>-23603.1650749097</v>
      </c>
      <c r="BF39" s="138" t="n">
        <f aca="false">BF194+BF195</f>
        <v>-23603.1650749097</v>
      </c>
      <c r="BG39" s="138" t="n">
        <f aca="false">BG194+BG195</f>
        <v>-23603.1650749097</v>
      </c>
      <c r="BH39" s="138" t="n">
        <f aca="false">BH194+BH195</f>
        <v>-23603.1650749097</v>
      </c>
      <c r="BI39" s="138" t="n">
        <f aca="false">BI194+BI195</f>
        <v>-23603.1650749097</v>
      </c>
      <c r="BJ39" s="138" t="n">
        <f aca="false">BJ194+BJ195</f>
        <v>-23603.1650749097</v>
      </c>
      <c r="BK39" s="138" t="n">
        <f aca="false">BK194+BK195</f>
        <v>-23603.1650749097</v>
      </c>
      <c r="BL39" s="138" t="n">
        <f aca="false">BL194+BL195</f>
        <v>-23603.1650749097</v>
      </c>
      <c r="BM39" s="138" t="n">
        <f aca="false">BM194+BM195</f>
        <v>-23603.1650749097</v>
      </c>
      <c r="BN39" s="138" t="n">
        <f aca="false">BN194+BN195</f>
        <v>-23603.1650749097</v>
      </c>
      <c r="BO39" s="138" t="n">
        <f aca="false">BO194+BO195</f>
        <v>-22243.150407287</v>
      </c>
      <c r="BP39" s="138" t="n">
        <f aca="false">BP194+BP195</f>
        <v>-23603.1650749097</v>
      </c>
      <c r="BQ39" s="138" t="n">
        <f aca="false">BQ194+BQ195</f>
        <v>-23603.1650749097</v>
      </c>
      <c r="BR39" s="138" t="n">
        <f aca="false">BR194+BR195</f>
        <v>-23603.1650749097</v>
      </c>
      <c r="BS39" s="138" t="n">
        <f aca="false">BS194+BS195</f>
        <v>-23603.1650749097</v>
      </c>
      <c r="BT39" s="138" t="n">
        <f aca="false">BT194+BT195</f>
        <v>-23603.1650749097</v>
      </c>
      <c r="BU39" s="138" t="n">
        <f aca="false">BU194+BU195</f>
        <v>-23603.1650749097</v>
      </c>
      <c r="BV39" s="138" t="n">
        <f aca="false">BV194+BV195</f>
        <v>-23603.1650749097</v>
      </c>
      <c r="BW39" s="138" t="n">
        <f aca="false">BW194+BW195</f>
        <v>-23603.1650749097</v>
      </c>
      <c r="BX39" s="138" t="n">
        <f aca="false">BX194+BX195</f>
        <v>-23603.1650749097</v>
      </c>
      <c r="BY39" s="138" t="n">
        <f aca="false">BY194+BY195</f>
        <v>-23603.1650749097</v>
      </c>
      <c r="BZ39" s="138" t="n">
        <f aca="false">BZ194+BZ195</f>
        <v>-23603.1650749097</v>
      </c>
      <c r="CA39" s="138" t="n">
        <f aca="false">CA194+CA195</f>
        <v>-22243.150407287</v>
      </c>
      <c r="CB39" s="138" t="n">
        <f aca="false">CB194+CB195</f>
        <v>-23603.1650749097</v>
      </c>
      <c r="CC39" s="138" t="n">
        <f aca="false">CC194+CC195</f>
        <v>-23603.1650749097</v>
      </c>
      <c r="CD39" s="138" t="n">
        <f aca="false">CD194+CD195</f>
        <v>-23603.1650749097</v>
      </c>
      <c r="CE39" s="138" t="n">
        <f aca="false">CE194+CE195</f>
        <v>-23603.1650749097</v>
      </c>
      <c r="CF39" s="138" t="n">
        <f aca="false">CF194+CF195</f>
        <v>-23603.1650749097</v>
      </c>
      <c r="CG39" s="138" t="n">
        <f aca="false">CG194+CG195</f>
        <v>-23603.1650749097</v>
      </c>
      <c r="CH39" s="138" t="n">
        <f aca="false">CH194+CH195</f>
        <v>-23603.1650749097</v>
      </c>
    </row>
    <row r="40" customFormat="false" ht="13.5" hidden="false" customHeight="true" outlineLevel="0" collapsed="false">
      <c r="A40" s="64" t="s">
        <v>721</v>
      </c>
      <c r="C40" s="99" t="n">
        <f aca="false">C38+C39</f>
        <v>1289.31809115801</v>
      </c>
      <c r="D40" s="99" t="n">
        <f aca="false">D38+D39</f>
        <v>2626.33675928733</v>
      </c>
      <c r="E40" s="99" t="n">
        <f aca="false">E38+E39</f>
        <v>4710.81442640389</v>
      </c>
      <c r="F40" s="99" t="n">
        <f aca="false">F38+F39</f>
        <v>6101.9355140783</v>
      </c>
      <c r="G40" s="99" t="n">
        <f aca="false">G38+G39</f>
        <v>4912.519599989</v>
      </c>
      <c r="H40" s="99" t="n">
        <f aca="false">H38+H39</f>
        <v>9190.00127161417</v>
      </c>
      <c r="I40" s="99" t="n">
        <f aca="false">I38+I39</f>
        <v>11455.2378132982</v>
      </c>
      <c r="J40" s="99" t="n">
        <f aca="false">J38+J39</f>
        <v>14501.361297259</v>
      </c>
      <c r="K40" s="99" t="n">
        <f aca="false">K38+K39</f>
        <v>17547.4847812198</v>
      </c>
      <c r="L40" s="99" t="n">
        <f aca="false">L38+L39</f>
        <v>20593.6082651806</v>
      </c>
      <c r="M40" s="99" t="n">
        <f aca="false">M38+M39</f>
        <v>22892.2727501542</v>
      </c>
      <c r="N40" s="99" t="n">
        <f aca="false">N38+N39</f>
        <v>25721.6843513164</v>
      </c>
      <c r="O40" s="99" t="n">
        <f aca="false">O38+O39</f>
        <v>28551.0959524786</v>
      </c>
      <c r="P40" s="99" t="n">
        <f aca="false">P38+P39</f>
        <v>31170.4406639866</v>
      </c>
      <c r="Q40" s="99" t="n">
        <f aca="false">Q38+Q39</f>
        <v>33789.7853754946</v>
      </c>
      <c r="R40" s="99" t="n">
        <f aca="false">R38+R39</f>
        <v>36409.1300870026</v>
      </c>
      <c r="S40" s="99" t="n">
        <f aca="false">S38+S39</f>
        <v>30416.8309542164</v>
      </c>
      <c r="T40" s="99" t="n">
        <f aca="false">T38+T39</f>
        <v>41647.8195100185</v>
      </c>
      <c r="U40" s="99" t="n">
        <f aca="false">U38+U39</f>
        <v>44267.1642215265</v>
      </c>
      <c r="V40" s="99" t="n">
        <f aca="false">V38+V39</f>
        <v>46886.5089330345</v>
      </c>
      <c r="W40" s="99" t="n">
        <f aca="false">W38+W39</f>
        <v>49505.8536445425</v>
      </c>
      <c r="X40" s="99" t="n">
        <f aca="false">X38+X39</f>
        <v>51594.4512398618</v>
      </c>
      <c r="Y40" s="99" t="n">
        <f aca="false">Y38+Y39</f>
        <v>53683.0488351812</v>
      </c>
      <c r="Z40" s="99" t="n">
        <f aca="false">Z38+Z39</f>
        <v>55580.4885840251</v>
      </c>
      <c r="AA40" s="99" t="n">
        <f aca="false">AA38+AA39</f>
        <v>57477.928332869</v>
      </c>
      <c r="AB40" s="99" t="n">
        <f aca="false">AB38+AB39</f>
        <v>59375.3680817129</v>
      </c>
      <c r="AC40" s="99" t="n">
        <f aca="false">AC38+AC39</f>
        <v>61272.8078305568</v>
      </c>
      <c r="AD40" s="99" t="n">
        <f aca="false">AD38+AD39</f>
        <v>63170.2475794007</v>
      </c>
      <c r="AE40" s="99" t="n">
        <f aca="false">AE38+AE39</f>
        <v>50377.2360644487</v>
      </c>
      <c r="AF40" s="99" t="n">
        <f aca="false">AF38+AF39</f>
        <v>66965.1270770885</v>
      </c>
      <c r="AG40" s="99" t="n">
        <f aca="false">AG38+AG39</f>
        <v>68862.5668259324</v>
      </c>
      <c r="AH40" s="99" t="n">
        <f aca="false">AH38+AH39</f>
        <v>70760.0065747763</v>
      </c>
      <c r="AI40" s="99" t="n">
        <f aca="false">AI38+AI39</f>
        <v>72657.4463236203</v>
      </c>
      <c r="AJ40" s="99" t="n">
        <f aca="false">AJ38+AJ39</f>
        <v>74554.8860724641</v>
      </c>
      <c r="AK40" s="99" t="n">
        <f aca="false">AK38+AK39</f>
        <v>76452.3258213081</v>
      </c>
      <c r="AL40" s="99" t="n">
        <f aca="false">AL38+AL39</f>
        <v>78349.765570152</v>
      </c>
      <c r="AM40" s="99" t="n">
        <f aca="false">AM38+AM39</f>
        <v>79781.3916309928</v>
      </c>
      <c r="AN40" s="99" t="n">
        <f aca="false">AN38+AN39</f>
        <v>81213.0176918337</v>
      </c>
      <c r="AO40" s="99" t="n">
        <f aca="false">AO38+AO39</f>
        <v>82644.6437526745</v>
      </c>
      <c r="AP40" s="99" t="n">
        <f aca="false">AP38+AP39</f>
        <v>84076.2698135154</v>
      </c>
      <c r="AQ40" s="99" t="n">
        <f aca="false">AQ38+AQ39</f>
        <v>67271.473615851</v>
      </c>
      <c r="AR40" s="99" t="n">
        <f aca="false">AR38+AR39</f>
        <v>86939.5219351971</v>
      </c>
      <c r="AS40" s="99" t="n">
        <f aca="false">AS38+AS39</f>
        <v>86939.5219351971</v>
      </c>
      <c r="AT40" s="99" t="n">
        <f aca="false">AT38+AT39</f>
        <v>86939.5219351971</v>
      </c>
      <c r="AU40" s="99" t="n">
        <f aca="false">AU38+AU39</f>
        <v>86939.5219351971</v>
      </c>
      <c r="AV40" s="99" t="n">
        <f aca="false">AV38+AV39</f>
        <v>86939.5219351971</v>
      </c>
      <c r="AW40" s="99" t="n">
        <f aca="false">AW38+AW39</f>
        <v>86939.5219351971</v>
      </c>
      <c r="AX40" s="99" t="n">
        <f aca="false">AX38+AX39</f>
        <v>86939.5219351971</v>
      </c>
      <c r="AY40" s="99" t="n">
        <f aca="false">AY38+AY39</f>
        <v>86939.5219351971</v>
      </c>
      <c r="AZ40" s="99" t="n">
        <f aca="false">AZ38+AZ39</f>
        <v>86939.5219351971</v>
      </c>
      <c r="BA40" s="99" t="n">
        <f aca="false">BA38+BA39</f>
        <v>86939.5219351971</v>
      </c>
      <c r="BB40" s="99" t="n">
        <f aca="false">BB38+BB39</f>
        <v>86939.5219351971</v>
      </c>
      <c r="BC40" s="99" t="n">
        <f aca="false">BC38+BC39</f>
        <v>68703.0996766918</v>
      </c>
      <c r="BD40" s="99" t="n">
        <f aca="false">BD38+BD39</f>
        <v>86939.5219351971</v>
      </c>
      <c r="BE40" s="99" t="n">
        <f aca="false">BE38+BE39</f>
        <v>86939.5219351971</v>
      </c>
      <c r="BF40" s="99" t="n">
        <f aca="false">BF38+BF39</f>
        <v>86939.5219351971</v>
      </c>
      <c r="BG40" s="99" t="n">
        <f aca="false">BG38+BG39</f>
        <v>86939.5219351971</v>
      </c>
      <c r="BH40" s="99" t="n">
        <f aca="false">BH38+BH39</f>
        <v>86939.5219351971</v>
      </c>
      <c r="BI40" s="99" t="n">
        <f aca="false">BI38+BI39</f>
        <v>86939.5219351971</v>
      </c>
      <c r="BJ40" s="99" t="n">
        <f aca="false">BJ38+BJ39</f>
        <v>86939.5219351971</v>
      </c>
      <c r="BK40" s="99" t="n">
        <f aca="false">BK38+BK39</f>
        <v>86939.5219351971</v>
      </c>
      <c r="BL40" s="99" t="n">
        <f aca="false">BL38+BL39</f>
        <v>86939.5219351971</v>
      </c>
      <c r="BM40" s="99" t="n">
        <f aca="false">BM38+BM39</f>
        <v>86939.5219351971</v>
      </c>
      <c r="BN40" s="99" t="n">
        <f aca="false">BN38+BN39</f>
        <v>86939.5219351971</v>
      </c>
      <c r="BO40" s="99" t="n">
        <f aca="false">BO38+BO39</f>
        <v>68703.0996766918</v>
      </c>
      <c r="BP40" s="99" t="n">
        <f aca="false">BP38+BP39</f>
        <v>86939.5219351971</v>
      </c>
      <c r="BQ40" s="99" t="n">
        <f aca="false">BQ38+BQ39</f>
        <v>86939.5219351971</v>
      </c>
      <c r="BR40" s="99" t="n">
        <f aca="false">BR38+BR39</f>
        <v>86939.5219351971</v>
      </c>
      <c r="BS40" s="99" t="n">
        <f aca="false">BS38+BS39</f>
        <v>86939.5219351971</v>
      </c>
      <c r="BT40" s="99" t="n">
        <f aca="false">BT38+BT39</f>
        <v>86939.5219351971</v>
      </c>
      <c r="BU40" s="99" t="n">
        <f aca="false">BU38+BU39</f>
        <v>86939.5219351971</v>
      </c>
      <c r="BV40" s="99" t="n">
        <f aca="false">BV38+BV39</f>
        <v>86939.5219351971</v>
      </c>
      <c r="BW40" s="99" t="n">
        <f aca="false">BW38+BW39</f>
        <v>86939.5219351971</v>
      </c>
      <c r="BX40" s="99" t="n">
        <f aca="false">BX38+BX39</f>
        <v>86939.5219351971</v>
      </c>
      <c r="BY40" s="99" t="n">
        <f aca="false">BY38+BY39</f>
        <v>86939.5219351971</v>
      </c>
      <c r="BZ40" s="99" t="n">
        <f aca="false">BZ38+BZ39</f>
        <v>86939.5219351971</v>
      </c>
      <c r="CA40" s="99" t="n">
        <f aca="false">CA38+CA39</f>
        <v>68703.0996766918</v>
      </c>
      <c r="CB40" s="99" t="n">
        <f aca="false">CB38+CB39</f>
        <v>86939.5219351971</v>
      </c>
      <c r="CC40" s="99" t="n">
        <f aca="false">CC38+CC39</f>
        <v>86939.5219351971</v>
      </c>
      <c r="CD40" s="99" t="n">
        <f aca="false">CD38+CD39</f>
        <v>86939.5219351971</v>
      </c>
      <c r="CE40" s="99" t="n">
        <f aca="false">CE38+CE39</f>
        <v>86939.5219351971</v>
      </c>
      <c r="CF40" s="99" t="n">
        <f aca="false">CF38+CF39</f>
        <v>86939.5219351971</v>
      </c>
      <c r="CG40" s="99" t="n">
        <f aca="false">CG38+CG39</f>
        <v>86939.5219351971</v>
      </c>
      <c r="CH40" s="99" t="n">
        <f aca="false">CH38+CH39</f>
        <v>86939.5219351971</v>
      </c>
    </row>
    <row r="41" customFormat="false" ht="13.5" hidden="false" customHeight="true" outlineLevel="0" collapsed="false">
      <c r="A41" s="13" t="s">
        <v>722</v>
      </c>
      <c r="C41" s="151" t="n">
        <f aca="false">IFERROR(C40/C38,0)</f>
        <v>0.87278987248861</v>
      </c>
      <c r="D41" s="151" t="n">
        <f aca="false">IFERROR(D40/D38,0)</f>
        <v>0.870253546154658</v>
      </c>
      <c r="E41" s="151" t="n">
        <f aca="false">IFERROR(E40/E38,0)</f>
        <v>0.851568601017205</v>
      </c>
      <c r="F41" s="151" t="n">
        <f aca="false">IFERROR(F40/F38,0)</f>
        <v>0.846418649769559</v>
      </c>
      <c r="G41" s="151" t="n">
        <f aca="false">IFERROR(G40/G38,0)</f>
        <v>0.805176883778418</v>
      </c>
      <c r="H41" s="151" t="n">
        <f aca="false">IFERROR(H40/H38,0)</f>
        <v>0.834086277082977</v>
      </c>
      <c r="I41" s="151" t="n">
        <f aca="false">IFERROR(I40/I38,0)</f>
        <v>0.824348811890353</v>
      </c>
      <c r="J41" s="151" t="n">
        <f aca="false">IFERROR(J40/J38,0)</f>
        <v>0.814750683765151</v>
      </c>
      <c r="K41" s="151" t="n">
        <f aca="false">IFERROR(K40/K38,0)</f>
        <v>0.808604564963201</v>
      </c>
      <c r="L41" s="151" t="n">
        <f aca="false">IFERROR(L40/L38,0)</f>
        <v>0.804332007678547</v>
      </c>
      <c r="M41" s="151" t="n">
        <f aca="false">IFERROR(M40/M38,0)</f>
        <v>0.802324908332208</v>
      </c>
      <c r="N41" s="151" t="n">
        <f aca="false">IFERROR(N40/N38,0)</f>
        <v>0.797466184907519</v>
      </c>
      <c r="O41" s="151" t="n">
        <f aca="false">IFERROR(O40/O38,0)</f>
        <v>0.793612762005454</v>
      </c>
      <c r="P41" s="151" t="n">
        <f aca="false">IFERROR(P40/P38,0)</f>
        <v>0.790876162461468</v>
      </c>
      <c r="Q41" s="151" t="n">
        <f aca="false">IFERROR(Q40/Q38,0)</f>
        <v>0.788578507064544</v>
      </c>
      <c r="R41" s="151" t="n">
        <f aca="false">IFERROR(R40/R38,0)</f>
        <v>0.786622028242121</v>
      </c>
      <c r="S41" s="151" t="n">
        <f aca="false">IFERROR(S40/S38,0)</f>
        <v>0.75162703989616</v>
      </c>
      <c r="T41" s="151" t="n">
        <f aca="false">IFERROR(T40/T38,0)</f>
        <v>0.783467934461985</v>
      </c>
      <c r="U41" s="151" t="n">
        <f aca="false">IFERROR(U40/U38,0)</f>
        <v>0.782178162920339</v>
      </c>
      <c r="V41" s="151" t="n">
        <f aca="false">IFERROR(V40/V38,0)</f>
        <v>0.78103605532988</v>
      </c>
      <c r="W41" s="151" t="n">
        <f aca="false">IFERROR(W40/W38,0)</f>
        <v>0.780017626006131</v>
      </c>
      <c r="X41" s="151" t="n">
        <f aca="false">IFERROR(X40/X38,0)</f>
        <v>0.780418519937209</v>
      </c>
      <c r="Y41" s="151" t="n">
        <f aca="false">IFERROR(Y40/Y38,0)</f>
        <v>0.780788584842546</v>
      </c>
      <c r="Z41" s="151" t="n">
        <f aca="false">IFERROR(Z40/Z38,0)</f>
        <v>0.781694328702438</v>
      </c>
      <c r="AA41" s="151" t="n">
        <f aca="false">IFERROR(AA40/AA38,0)</f>
        <v>0.782542172331729</v>
      </c>
      <c r="AB41" s="151" t="n">
        <f aca="false">IFERROR(AB40/AB38,0)</f>
        <v>0.783337495731991</v>
      </c>
      <c r="AC41" s="151" t="n">
        <f aca="false">IFERROR(AC40/AC38,0)</f>
        <v>0.784085032393632</v>
      </c>
      <c r="AD41" s="151" t="n">
        <f aca="false">IFERROR(AD40/AD38,0)</f>
        <v>0.784788963576983</v>
      </c>
      <c r="AE41" s="151" t="n">
        <f aca="false">IFERROR(AE40/AE38,0)</f>
        <v>0.751282877708807</v>
      </c>
      <c r="AF41" s="151" t="n">
        <f aca="false">IFERROR(AF40/AF38,0)</f>
        <v>0.786080429959763</v>
      </c>
      <c r="AG41" s="151" t="n">
        <f aca="false">IFERROR(AG40/AG38,0)</f>
        <v>0.786674208513054</v>
      </c>
      <c r="AH41" s="151" t="n">
        <f aca="false">IFERROR(AH40/AH38,0)</f>
        <v>0.7872369693105</v>
      </c>
      <c r="AI41" s="151" t="n">
        <f aca="false">IFERROR(AI40/AI38,0)</f>
        <v>0.787771080941525</v>
      </c>
      <c r="AJ41" s="151" t="n">
        <f aca="false">IFERROR(AJ40/AJ38,0)</f>
        <v>0.78827867682026</v>
      </c>
      <c r="AK41" s="151" t="n">
        <f aca="false">IFERROR(AK40/AK38,0)</f>
        <v>0.788761683666526</v>
      </c>
      <c r="AL41" s="151" t="n">
        <f aca="false">IFERROR(AL40/AL38,0)</f>
        <v>0.789221845945667</v>
      </c>
      <c r="AM41" s="151" t="n">
        <f aca="false">IFERROR(AM40/AM38,0)</f>
        <v>0.788722301596923</v>
      </c>
      <c r="AN41" s="151" t="n">
        <f aca="false">IFERROR(AN40/AN38,0)</f>
        <v>0.788240968186076</v>
      </c>
      <c r="AO41" s="151" t="n">
        <f aca="false">IFERROR(AO40/AO38,0)</f>
        <v>0.787776867717321</v>
      </c>
      <c r="AP41" s="151" t="n">
        <f aca="false">IFERROR(AP40/AP38,0)</f>
        <v>0.787329090992682</v>
      </c>
      <c r="AQ41" s="151" t="n">
        <f aca="false">IFERROR(AQ40/AQ38,0)</f>
        <v>0.755280039140522</v>
      </c>
      <c r="AR41" s="151" t="n">
        <f aca="false">IFERROR(AR40/AR38,0)</f>
        <v>0.786479180909075</v>
      </c>
      <c r="AS41" s="151" t="n">
        <f aca="false">IFERROR(AS40/AS38,0)</f>
        <v>0.786479180909075</v>
      </c>
      <c r="AT41" s="151" t="n">
        <f aca="false">IFERROR(AT40/AT38,0)</f>
        <v>0.786479180909075</v>
      </c>
      <c r="AU41" s="151" t="n">
        <f aca="false">IFERROR(AU40/AU38,0)</f>
        <v>0.786479180909075</v>
      </c>
      <c r="AV41" s="151" t="n">
        <f aca="false">IFERROR(AV40/AV38,0)</f>
        <v>0.786479180909075</v>
      </c>
      <c r="AW41" s="151" t="n">
        <f aca="false">IFERROR(AW40/AW38,0)</f>
        <v>0.786479180909075</v>
      </c>
      <c r="AX41" s="151" t="n">
        <f aca="false">IFERROR(AX40/AX38,0)</f>
        <v>0.786479180909075</v>
      </c>
      <c r="AY41" s="151" t="n">
        <f aca="false">IFERROR(AY40/AY38,0)</f>
        <v>0.786479180909075</v>
      </c>
      <c r="AZ41" s="151" t="n">
        <f aca="false">IFERROR(AZ40/AZ38,0)</f>
        <v>0.786479180909075</v>
      </c>
      <c r="BA41" s="151" t="n">
        <f aca="false">IFERROR(BA40/BA38,0)</f>
        <v>0.786479180909075</v>
      </c>
      <c r="BB41" s="151" t="n">
        <f aca="false">IFERROR(BB40/BB38,0)</f>
        <v>0.786479180909075</v>
      </c>
      <c r="BC41" s="151" t="n">
        <f aca="false">IFERROR(BC40/BC38,0)</f>
        <v>0.755425315648002</v>
      </c>
      <c r="BD41" s="151" t="n">
        <f aca="false">IFERROR(BD40/BD38,0)</f>
        <v>0.786479180909075</v>
      </c>
      <c r="BE41" s="151" t="n">
        <f aca="false">IFERROR(BE40/BE38,0)</f>
        <v>0.786479180909075</v>
      </c>
      <c r="BF41" s="151" t="n">
        <f aca="false">IFERROR(BF40/BF38,0)</f>
        <v>0.786479180909075</v>
      </c>
      <c r="BG41" s="151" t="n">
        <f aca="false">IFERROR(BG40/BG38,0)</f>
        <v>0.786479180909075</v>
      </c>
      <c r="BH41" s="151" t="n">
        <f aca="false">IFERROR(BH40/BH38,0)</f>
        <v>0.786479180909075</v>
      </c>
      <c r="BI41" s="151" t="n">
        <f aca="false">IFERROR(BI40/BI38,0)</f>
        <v>0.786479180909075</v>
      </c>
      <c r="BJ41" s="151" t="n">
        <f aca="false">IFERROR(BJ40/BJ38,0)</f>
        <v>0.786479180909075</v>
      </c>
      <c r="BK41" s="151" t="n">
        <f aca="false">IFERROR(BK40/BK38,0)</f>
        <v>0.786479180909075</v>
      </c>
      <c r="BL41" s="151" t="n">
        <f aca="false">IFERROR(BL40/BL38,0)</f>
        <v>0.786479180909075</v>
      </c>
      <c r="BM41" s="151" t="n">
        <f aca="false">IFERROR(BM40/BM38,0)</f>
        <v>0.786479180909075</v>
      </c>
      <c r="BN41" s="151" t="n">
        <f aca="false">IFERROR(BN40/BN38,0)</f>
        <v>0.786479180909075</v>
      </c>
      <c r="BO41" s="151" t="n">
        <f aca="false">IFERROR(BO40/BO38,0)</f>
        <v>0.755425315648002</v>
      </c>
      <c r="BP41" s="151" t="n">
        <f aca="false">IFERROR(BP40/BP38,0)</f>
        <v>0.786479180909075</v>
      </c>
      <c r="BQ41" s="151" t="n">
        <f aca="false">IFERROR(BQ40/BQ38,0)</f>
        <v>0.786479180909075</v>
      </c>
      <c r="BR41" s="151" t="n">
        <f aca="false">IFERROR(BR40/BR38,0)</f>
        <v>0.786479180909075</v>
      </c>
      <c r="BS41" s="151" t="n">
        <f aca="false">IFERROR(BS40/BS38,0)</f>
        <v>0.786479180909075</v>
      </c>
      <c r="BT41" s="151" t="n">
        <f aca="false">IFERROR(BT40/BT38,0)</f>
        <v>0.786479180909075</v>
      </c>
      <c r="BU41" s="151" t="n">
        <f aca="false">IFERROR(BU40/BU38,0)</f>
        <v>0.786479180909075</v>
      </c>
      <c r="BV41" s="151" t="n">
        <f aca="false">IFERROR(BV40/BV38,0)</f>
        <v>0.786479180909075</v>
      </c>
      <c r="BW41" s="151" t="n">
        <f aca="false">IFERROR(BW40/BW38,0)</f>
        <v>0.786479180909075</v>
      </c>
      <c r="BX41" s="151" t="n">
        <f aca="false">IFERROR(BX40/BX38,0)</f>
        <v>0.786479180909075</v>
      </c>
      <c r="BY41" s="151" t="n">
        <f aca="false">IFERROR(BY40/BY38,0)</f>
        <v>0.786479180909075</v>
      </c>
      <c r="BZ41" s="151" t="n">
        <f aca="false">IFERROR(BZ40/BZ38,0)</f>
        <v>0.786479180909075</v>
      </c>
      <c r="CA41" s="151" t="n">
        <f aca="false">IFERROR(CA40/CA38,0)</f>
        <v>0.755425315648002</v>
      </c>
      <c r="CB41" s="151" t="n">
        <f aca="false">IFERROR(CB40/CB38,0)</f>
        <v>0.786479180909075</v>
      </c>
      <c r="CC41" s="151" t="n">
        <f aca="false">IFERROR(CC40/CC38,0)</f>
        <v>0.786479180909075</v>
      </c>
      <c r="CD41" s="151" t="n">
        <f aca="false">IFERROR(CD40/CD38,0)</f>
        <v>0.786479180909075</v>
      </c>
      <c r="CE41" s="151" t="n">
        <f aca="false">IFERROR(CE40/CE38,0)</f>
        <v>0.786479180909075</v>
      </c>
      <c r="CF41" s="151" t="n">
        <f aca="false">IFERROR(CF40/CF38,0)</f>
        <v>0.786479180909075</v>
      </c>
      <c r="CG41" s="151" t="n">
        <f aca="false">IFERROR(CG40/CG38,0)</f>
        <v>0.786479180909075</v>
      </c>
      <c r="CH41" s="151" t="n">
        <f aca="false">IFERROR(CH40/CH38,0)</f>
        <v>0.786479180909075</v>
      </c>
    </row>
    <row r="42" customFormat="false" ht="13.5" hidden="false" customHeight="true" outlineLevel="0" collapsed="false">
      <c r="A42" s="13" t="s">
        <v>723</v>
      </c>
      <c r="C42" s="138" t="n">
        <f aca="false">-Hipótesis!$C$36</f>
        <v>-2250</v>
      </c>
      <c r="D42" s="138" t="n">
        <f aca="false">-Hipótesis!$C$36</f>
        <v>-2250</v>
      </c>
      <c r="E42" s="138" t="n">
        <f aca="false">-Hipótesis!$C$36</f>
        <v>-2250</v>
      </c>
      <c r="F42" s="138" t="n">
        <f aca="false">-Hipótesis!$C$36</f>
        <v>-2250</v>
      </c>
      <c r="G42" s="138" t="n">
        <f aca="false">-Hipótesis!$C$36</f>
        <v>-2250</v>
      </c>
      <c r="H42" s="138" t="n">
        <f aca="false">-Hipótesis!$C$36</f>
        <v>-2250</v>
      </c>
      <c r="I42" s="138" t="n">
        <f aca="false">-Hipótesis!$C$36</f>
        <v>-2250</v>
      </c>
      <c r="J42" s="138" t="n">
        <f aca="false">-Hipótesis!$C$36</f>
        <v>-2250</v>
      </c>
      <c r="K42" s="138" t="n">
        <f aca="false">-Hipótesis!$C$36</f>
        <v>-2250</v>
      </c>
      <c r="L42" s="138" t="n">
        <f aca="false">-Hipótesis!$C$36</f>
        <v>-2250</v>
      </c>
      <c r="M42" s="138" t="n">
        <f aca="false">-Hipótesis!$C$36</f>
        <v>-2250</v>
      </c>
      <c r="N42" s="138" t="n">
        <f aca="false">-Hipótesis!$C$36</f>
        <v>-2250</v>
      </c>
      <c r="O42" s="138" t="n">
        <f aca="false">-Hipótesis!$C$36</f>
        <v>-2250</v>
      </c>
      <c r="P42" s="138" t="n">
        <f aca="false">-Hipótesis!$C$36</f>
        <v>-2250</v>
      </c>
      <c r="Q42" s="138" t="n">
        <f aca="false">-Hipótesis!$C$36</f>
        <v>-2250</v>
      </c>
      <c r="R42" s="138" t="n">
        <f aca="false">-Hipótesis!$C$36</f>
        <v>-2250</v>
      </c>
      <c r="S42" s="138" t="n">
        <f aca="false">-Hipótesis!$C$36</f>
        <v>-2250</v>
      </c>
      <c r="T42" s="138" t="n">
        <f aca="false">-Hipótesis!$C$36</f>
        <v>-2250</v>
      </c>
      <c r="U42" s="138" t="n">
        <f aca="false">-Hipótesis!$C$36</f>
        <v>-2250</v>
      </c>
      <c r="V42" s="138" t="n">
        <f aca="false">-Hipótesis!$C$36</f>
        <v>-2250</v>
      </c>
      <c r="W42" s="138" t="n">
        <f aca="false">-Hipótesis!$C$36</f>
        <v>-2250</v>
      </c>
      <c r="X42" s="138" t="n">
        <f aca="false">-Hipótesis!$C$36</f>
        <v>-2250</v>
      </c>
      <c r="Y42" s="138" t="n">
        <f aca="false">-Hipótesis!$C$36</f>
        <v>-2250</v>
      </c>
      <c r="Z42" s="138" t="n">
        <f aca="false">-Hipótesis!$C$36</f>
        <v>-2250</v>
      </c>
      <c r="AA42" s="138" t="n">
        <f aca="false">-Hipótesis!$C$36</f>
        <v>-2250</v>
      </c>
      <c r="AB42" s="138" t="n">
        <f aca="false">-Hipótesis!$C$36</f>
        <v>-2250</v>
      </c>
      <c r="AC42" s="138" t="n">
        <f aca="false">-Hipótesis!$C$36</f>
        <v>-2250</v>
      </c>
      <c r="AD42" s="138" t="n">
        <f aca="false">-Hipótesis!$C$36</f>
        <v>-2250</v>
      </c>
      <c r="AE42" s="138" t="n">
        <f aca="false">-Hipótesis!$C$36</f>
        <v>-2250</v>
      </c>
      <c r="AF42" s="138" t="n">
        <f aca="false">-Hipótesis!$C$36</f>
        <v>-2250</v>
      </c>
      <c r="AG42" s="138" t="n">
        <f aca="false">-Hipótesis!$C$36</f>
        <v>-2250</v>
      </c>
      <c r="AH42" s="138" t="n">
        <f aca="false">-Hipótesis!$C$36</f>
        <v>-2250</v>
      </c>
      <c r="AI42" s="138" t="n">
        <f aca="false">-Hipótesis!$C$36</f>
        <v>-2250</v>
      </c>
      <c r="AJ42" s="138" t="n">
        <f aca="false">-Hipótesis!$C$36</f>
        <v>-2250</v>
      </c>
      <c r="AK42" s="138" t="n">
        <f aca="false">-Hipótesis!$C$36</f>
        <v>-2250</v>
      </c>
      <c r="AL42" s="138" t="n">
        <f aca="false">-Hipótesis!$C$36</f>
        <v>-2250</v>
      </c>
      <c r="AM42" s="138" t="n">
        <f aca="false">-Hipótesis!$C$36</f>
        <v>-2250</v>
      </c>
      <c r="AN42" s="138" t="n">
        <f aca="false">-Hipótesis!$C$36</f>
        <v>-2250</v>
      </c>
      <c r="AO42" s="138" t="n">
        <f aca="false">-Hipótesis!$C$36</f>
        <v>-2250</v>
      </c>
      <c r="AP42" s="138" t="n">
        <f aca="false">-Hipótesis!$C$36</f>
        <v>-2250</v>
      </c>
      <c r="AQ42" s="138" t="n">
        <f aca="false">-Hipótesis!$C$36</f>
        <v>-2250</v>
      </c>
      <c r="AR42" s="138" t="n">
        <f aca="false">-Hipótesis!$C$36</f>
        <v>-2250</v>
      </c>
      <c r="AS42" s="138" t="n">
        <f aca="false">-Hipótesis!$C$36</f>
        <v>-2250</v>
      </c>
      <c r="AT42" s="138" t="n">
        <f aca="false">-Hipótesis!$C$36</f>
        <v>-2250</v>
      </c>
      <c r="AU42" s="138" t="n">
        <f aca="false">-Hipótesis!$C$36</f>
        <v>-2250</v>
      </c>
      <c r="AV42" s="138" t="n">
        <f aca="false">-Hipótesis!$C$36</f>
        <v>-2250</v>
      </c>
      <c r="AW42" s="138" t="n">
        <f aca="false">-Hipótesis!$C$36</f>
        <v>-2250</v>
      </c>
      <c r="AX42" s="138" t="n">
        <f aca="false">-Hipótesis!$C$36</f>
        <v>-2250</v>
      </c>
      <c r="AY42" s="138" t="n">
        <f aca="false">-Hipótesis!$C$36</f>
        <v>-2250</v>
      </c>
      <c r="AZ42" s="138" t="n">
        <f aca="false">-Hipótesis!$C$36</f>
        <v>-2250</v>
      </c>
      <c r="BA42" s="138" t="n">
        <f aca="false">-Hipótesis!$C$36</f>
        <v>-2250</v>
      </c>
      <c r="BB42" s="138" t="n">
        <f aca="false">-Hipótesis!$C$36</f>
        <v>-2250</v>
      </c>
      <c r="BC42" s="138" t="n">
        <f aca="false">-Hipótesis!$C$36</f>
        <v>-2250</v>
      </c>
      <c r="BD42" s="138" t="n">
        <f aca="false">-Hipótesis!$C$36</f>
        <v>-2250</v>
      </c>
      <c r="BE42" s="138" t="n">
        <f aca="false">-Hipótesis!$C$36</f>
        <v>-2250</v>
      </c>
      <c r="BF42" s="138" t="n">
        <f aca="false">-Hipótesis!$C$36</f>
        <v>-2250</v>
      </c>
      <c r="BG42" s="138" t="n">
        <f aca="false">-Hipótesis!$C$36</f>
        <v>-2250</v>
      </c>
      <c r="BH42" s="138" t="n">
        <f aca="false">-Hipótesis!$C$36</f>
        <v>-2250</v>
      </c>
      <c r="BI42" s="138" t="n">
        <f aca="false">-Hipótesis!$C$36</f>
        <v>-2250</v>
      </c>
      <c r="BJ42" s="138" t="n">
        <f aca="false">-Hipótesis!$C$36</f>
        <v>-2250</v>
      </c>
      <c r="BK42" s="138" t="n">
        <f aca="false">-Hipótesis!$C$36</f>
        <v>-2250</v>
      </c>
      <c r="BL42" s="138" t="n">
        <f aca="false">-Hipótesis!$C$36</f>
        <v>-2250</v>
      </c>
      <c r="BM42" s="138" t="n">
        <f aca="false">-Hipótesis!$C$36</f>
        <v>-2250</v>
      </c>
      <c r="BN42" s="138" t="n">
        <f aca="false">-Hipótesis!$C$36</f>
        <v>-2250</v>
      </c>
      <c r="BO42" s="138" t="n">
        <f aca="false">-Hipótesis!$C$36</f>
        <v>-2250</v>
      </c>
      <c r="BP42" s="138" t="n">
        <f aca="false">-Hipótesis!$C$36</f>
        <v>-2250</v>
      </c>
      <c r="BQ42" s="138" t="n">
        <f aca="false">-Hipótesis!$C$36</f>
        <v>-2250</v>
      </c>
      <c r="BR42" s="138" t="n">
        <f aca="false">-Hipótesis!$C$36</f>
        <v>-2250</v>
      </c>
      <c r="BS42" s="138" t="n">
        <f aca="false">-Hipótesis!$C$36</f>
        <v>-2250</v>
      </c>
      <c r="BT42" s="138" t="n">
        <f aca="false">-Hipótesis!$C$36</f>
        <v>-2250</v>
      </c>
      <c r="BU42" s="138" t="n">
        <f aca="false">-Hipótesis!$C$36</f>
        <v>-2250</v>
      </c>
      <c r="BV42" s="138" t="n">
        <f aca="false">-Hipótesis!$C$36</f>
        <v>-2250</v>
      </c>
      <c r="BW42" s="138" t="n">
        <f aca="false">-Hipótesis!$C$36</f>
        <v>-2250</v>
      </c>
      <c r="BX42" s="138" t="n">
        <f aca="false">-Hipótesis!$C$36</f>
        <v>-2250</v>
      </c>
      <c r="BY42" s="138" t="n">
        <f aca="false">-Hipótesis!$C$36</f>
        <v>-2250</v>
      </c>
      <c r="BZ42" s="138" t="n">
        <f aca="false">-Hipótesis!$C$36</f>
        <v>-2250</v>
      </c>
      <c r="CA42" s="138" t="n">
        <f aca="false">-Hipótesis!$C$36</f>
        <v>-2250</v>
      </c>
      <c r="CB42" s="138" t="n">
        <f aca="false">-Hipótesis!$C$36</f>
        <v>-2250</v>
      </c>
      <c r="CC42" s="138" t="n">
        <f aca="false">-Hipótesis!$C$36</f>
        <v>-2250</v>
      </c>
      <c r="CD42" s="138" t="n">
        <f aca="false">-Hipótesis!$C$36</f>
        <v>-2250</v>
      </c>
      <c r="CE42" s="138" t="n">
        <f aca="false">-Hipótesis!$C$36</f>
        <v>-2250</v>
      </c>
      <c r="CF42" s="138" t="n">
        <f aca="false">-Hipótesis!$C$36</f>
        <v>-2250</v>
      </c>
      <c r="CG42" s="138" t="n">
        <f aca="false">-Hipótesis!$C$36</f>
        <v>-2250</v>
      </c>
      <c r="CH42" s="138" t="n">
        <f aca="false">-Hipótesis!$C$36</f>
        <v>-2250</v>
      </c>
    </row>
    <row r="43" customFormat="false" ht="13.5" hidden="false" customHeight="true" outlineLevel="0" collapsed="false">
      <c r="A43" s="13" t="s">
        <v>724</v>
      </c>
      <c r="C43" s="138" t="n">
        <f aca="false">-(Hipótesis!$C$37+C24*Hipótesis!$C$38)</f>
        <v>-434.271885630163</v>
      </c>
      <c r="D43" s="138" t="n">
        <f aca="false">-(Hipótesis!$C$37+D24*Hipótesis!$C$38)</f>
        <v>-470.066096810047</v>
      </c>
      <c r="E43" s="138" t="n">
        <f aca="false">-(Hipótesis!$C$37+E24*Hipótesis!$C$38)</f>
        <v>-530.87492355284</v>
      </c>
      <c r="F43" s="138" t="n">
        <f aca="false">-(Hipótesis!$C$37+F24*Hipótesis!$C$38)</f>
        <v>-560.41186466547</v>
      </c>
      <c r="G43" s="138" t="n">
        <f aca="false">-(Hipótesis!$C$37+G24*Hipótesis!$C$38)</f>
        <v>-575.676480228379</v>
      </c>
      <c r="H43" s="138" t="n">
        <f aca="false">-(Hipótesis!$C$37+H24*Hipótesis!$C$38)</f>
        <v>-633.884409381839</v>
      </c>
      <c r="I43" s="138" t="n">
        <f aca="false">-(Hipótesis!$C$37+I24*Hipótesis!$C$38)</f>
        <v>-691.342338535298</v>
      </c>
      <c r="J43" s="138" t="n">
        <f aca="false">-(Hipótesis!$C$37+J24*Hipótesis!$C$38)</f>
        <v>-766.800267688758</v>
      </c>
      <c r="K43" s="138" t="n">
        <f aca="false">-(Hipótesis!$C$37+K24*Hipótesis!$C$38)</f>
        <v>-842.258196842218</v>
      </c>
      <c r="L43" s="138" t="n">
        <f aca="false">-(Hipótesis!$C$37+L24*Hipótesis!$C$38)</f>
        <v>-917.716125995677</v>
      </c>
      <c r="M43" s="138" t="n">
        <f aca="false">-(Hipótesis!$C$37+M24*Hipótesis!$C$38)</f>
        <v>-968.159439586228</v>
      </c>
      <c r="N43" s="138" t="n">
        <f aca="false">-(Hipótesis!$C$37+N24*Hipótesis!$C$38)</f>
        <v>-1043.97484567213</v>
      </c>
      <c r="O43" s="138" t="n">
        <f aca="false">-(Hipótesis!$C$37+O24*Hipótesis!$C$38)</f>
        <v>-1119.79025175802</v>
      </c>
      <c r="P43" s="138" t="n">
        <f aca="false">-(Hipótesis!$C$37+P24*Hipótesis!$C$38)</f>
        <v>-1188.31118125151</v>
      </c>
      <c r="Q43" s="138" t="n">
        <f aca="false">-(Hipótesis!$C$37+Q24*Hipótesis!$C$38)</f>
        <v>-1256.83211074499</v>
      </c>
      <c r="R43" s="138" t="n">
        <f aca="false">-(Hipótesis!$C$37+R24*Hipótesis!$C$38)</f>
        <v>-1325.35304023848</v>
      </c>
      <c r="S43" s="138" t="n">
        <f aca="false">-(Hipótesis!$C$37+S24*Hipótesis!$C$38)</f>
        <v>-1350.52396973196</v>
      </c>
      <c r="T43" s="138" t="n">
        <f aca="false">-(Hipótesis!$C$37+T24*Hipótesis!$C$38)</f>
        <v>-1462.39489922545</v>
      </c>
      <c r="U43" s="138" t="n">
        <f aca="false">-(Hipótesis!$C$37+U24*Hipótesis!$C$38)</f>
        <v>-1530.91582871893</v>
      </c>
      <c r="V43" s="138" t="n">
        <f aca="false">-(Hipótesis!$C$37+V24*Hipótesis!$C$38)</f>
        <v>-1599.43675821242</v>
      </c>
      <c r="W43" s="138" t="n">
        <f aca="false">-(Hipótesis!$C$37+W24*Hipótesis!$C$38)</f>
        <v>-1667.9576877059</v>
      </c>
      <c r="X43" s="138" t="n">
        <f aca="false">-(Hipótesis!$C$37+X24*Hipótesis!$C$38)</f>
        <v>-1711.10652470404</v>
      </c>
      <c r="Y43" s="138" t="n">
        <f aca="false">-(Hipótesis!$C$37+Y24*Hipótesis!$C$38)</f>
        <v>-1754.25536170218</v>
      </c>
      <c r="Z43" s="138" t="n">
        <f aca="false">-(Hipótesis!$C$37+Z24*Hipótesis!$C$38)</f>
        <v>-1787.25536170218</v>
      </c>
      <c r="AA43" s="138" t="n">
        <f aca="false">-(Hipótesis!$C$37+AA24*Hipótesis!$C$38)</f>
        <v>-1820.25536170218</v>
      </c>
      <c r="AB43" s="138" t="n">
        <f aca="false">-(Hipótesis!$C$37+AB24*Hipótesis!$C$38)</f>
        <v>-1853.25536170218</v>
      </c>
      <c r="AC43" s="138" t="n">
        <f aca="false">-(Hipótesis!$C$37+AC24*Hipótesis!$C$38)</f>
        <v>-1886.25536170218</v>
      </c>
      <c r="AD43" s="138" t="n">
        <f aca="false">-(Hipótesis!$C$37+AD24*Hipótesis!$C$38)</f>
        <v>-1919.25536170218</v>
      </c>
      <c r="AE43" s="138" t="n">
        <f aca="false">-(Hipótesis!$C$37+AE24*Hipótesis!$C$38)</f>
        <v>-1878.30536170218</v>
      </c>
      <c r="AF43" s="138" t="n">
        <f aca="false">-(Hipótesis!$C$37+AF24*Hipótesis!$C$38)</f>
        <v>-1985.25536170218</v>
      </c>
      <c r="AG43" s="138" t="n">
        <f aca="false">-(Hipótesis!$C$37+AG24*Hipótesis!$C$38)</f>
        <v>-2018.25536170218</v>
      </c>
      <c r="AH43" s="138" t="n">
        <f aca="false">-(Hipótesis!$C$37+AH24*Hipótesis!$C$38)</f>
        <v>-2051.25536170218</v>
      </c>
      <c r="AI43" s="138" t="n">
        <f aca="false">-(Hipótesis!$C$37+AI24*Hipótesis!$C$38)</f>
        <v>-2084.25536170218</v>
      </c>
      <c r="AJ43" s="138" t="n">
        <f aca="false">-(Hipótesis!$C$37+AJ24*Hipótesis!$C$38)</f>
        <v>-2117.25536170218</v>
      </c>
      <c r="AK43" s="138" t="n">
        <f aca="false">-(Hipótesis!$C$37+AK24*Hipótesis!$C$38)</f>
        <v>-2150.25536170218</v>
      </c>
      <c r="AL43" s="138" t="n">
        <f aca="false">-(Hipótesis!$C$37+AL24*Hipótesis!$C$38)</f>
        <v>-2183.25536170218</v>
      </c>
      <c r="AM43" s="138" t="n">
        <f aca="false">-(Hipótesis!$C$37+AM24*Hipótesis!$C$38)</f>
        <v>-2216.25536170218</v>
      </c>
      <c r="AN43" s="138" t="n">
        <f aca="false">-(Hipótesis!$C$37+AN24*Hipótesis!$C$38)</f>
        <v>-2249.25536170218</v>
      </c>
      <c r="AO43" s="138" t="n">
        <f aca="false">-(Hipótesis!$C$37+AO24*Hipótesis!$C$38)</f>
        <v>-2282.25536170218</v>
      </c>
      <c r="AP43" s="138" t="n">
        <f aca="false">-(Hipótesis!$C$37+AP24*Hipótesis!$C$38)</f>
        <v>-2315.25536170218</v>
      </c>
      <c r="AQ43" s="138" t="n">
        <f aca="false">-(Hipótesis!$C$37+AQ24*Hipótesis!$C$38)</f>
        <v>-2256.45536170218</v>
      </c>
      <c r="AR43" s="138" t="n">
        <f aca="false">-(Hipótesis!$C$37+AR24*Hipótesis!$C$38)</f>
        <v>-2381.25536170218</v>
      </c>
      <c r="AS43" s="138" t="n">
        <f aca="false">-(Hipótesis!$C$37+AS24*Hipótesis!$C$38)</f>
        <v>-2381.25536170218</v>
      </c>
      <c r="AT43" s="138" t="n">
        <f aca="false">-(Hipótesis!$C$37+AT24*Hipótesis!$C$38)</f>
        <v>-2381.25536170218</v>
      </c>
      <c r="AU43" s="138" t="n">
        <f aca="false">-(Hipótesis!$C$37+AU24*Hipótesis!$C$38)</f>
        <v>-2381.25536170218</v>
      </c>
      <c r="AV43" s="138" t="n">
        <f aca="false">-(Hipótesis!$C$37+AV24*Hipótesis!$C$38)</f>
        <v>-2381.25536170218</v>
      </c>
      <c r="AW43" s="138" t="n">
        <f aca="false">-(Hipótesis!$C$37+AW24*Hipótesis!$C$38)</f>
        <v>-2381.25536170218</v>
      </c>
      <c r="AX43" s="138" t="n">
        <f aca="false">-(Hipótesis!$C$37+AX24*Hipótesis!$C$38)</f>
        <v>-2381.25536170218</v>
      </c>
      <c r="AY43" s="138" t="n">
        <f aca="false">-(Hipótesis!$C$37+AY24*Hipótesis!$C$38)</f>
        <v>-2381.25536170218</v>
      </c>
      <c r="AZ43" s="138" t="n">
        <f aca="false">-(Hipótesis!$C$37+AZ24*Hipótesis!$C$38)</f>
        <v>-2381.25536170218</v>
      </c>
      <c r="BA43" s="138" t="n">
        <f aca="false">-(Hipótesis!$C$37+BA24*Hipótesis!$C$38)</f>
        <v>-2381.25536170218</v>
      </c>
      <c r="BB43" s="138" t="n">
        <f aca="false">-(Hipótesis!$C$37+BB24*Hipótesis!$C$38)</f>
        <v>-2381.25536170218</v>
      </c>
      <c r="BC43" s="138" t="n">
        <f aca="false">-(Hipótesis!$C$37+BC24*Hipótesis!$C$38)</f>
        <v>-2289.45536170218</v>
      </c>
      <c r="BD43" s="138" t="n">
        <f aca="false">-(Hipótesis!$C$37+BD24*Hipótesis!$C$38)</f>
        <v>-2381.25536170218</v>
      </c>
      <c r="BE43" s="138" t="n">
        <f aca="false">-(Hipótesis!$C$37+BE24*Hipótesis!$C$38)</f>
        <v>-2381.25536170218</v>
      </c>
      <c r="BF43" s="138" t="n">
        <f aca="false">-(Hipótesis!$C$37+BF24*Hipótesis!$C$38)</f>
        <v>-2381.25536170218</v>
      </c>
      <c r="BG43" s="138" t="n">
        <f aca="false">-(Hipótesis!$C$37+BG24*Hipótesis!$C$38)</f>
        <v>-2381.25536170218</v>
      </c>
      <c r="BH43" s="138" t="n">
        <f aca="false">-(Hipótesis!$C$37+BH24*Hipótesis!$C$38)</f>
        <v>-2381.25536170218</v>
      </c>
      <c r="BI43" s="138" t="n">
        <f aca="false">-(Hipótesis!$C$37+BI24*Hipótesis!$C$38)</f>
        <v>-2381.25536170218</v>
      </c>
      <c r="BJ43" s="138" t="n">
        <f aca="false">-(Hipótesis!$C$37+BJ24*Hipótesis!$C$38)</f>
        <v>-2381.25536170218</v>
      </c>
      <c r="BK43" s="138" t="n">
        <f aca="false">-(Hipótesis!$C$37+BK24*Hipótesis!$C$38)</f>
        <v>-2381.25536170218</v>
      </c>
      <c r="BL43" s="138" t="n">
        <f aca="false">-(Hipótesis!$C$37+BL24*Hipótesis!$C$38)</f>
        <v>-2381.25536170218</v>
      </c>
      <c r="BM43" s="138" t="n">
        <f aca="false">-(Hipótesis!$C$37+BM24*Hipótesis!$C$38)</f>
        <v>-2381.25536170218</v>
      </c>
      <c r="BN43" s="138" t="n">
        <f aca="false">-(Hipótesis!$C$37+BN24*Hipótesis!$C$38)</f>
        <v>-2381.25536170218</v>
      </c>
      <c r="BO43" s="138" t="n">
        <f aca="false">-(Hipótesis!$C$37+BO24*Hipótesis!$C$38)</f>
        <v>-2289.45536170218</v>
      </c>
      <c r="BP43" s="138" t="n">
        <f aca="false">-(Hipótesis!$C$37+BP24*Hipótesis!$C$38)</f>
        <v>-2381.25536170218</v>
      </c>
      <c r="BQ43" s="138" t="n">
        <f aca="false">-(Hipótesis!$C$37+BQ24*Hipótesis!$C$38)</f>
        <v>-2381.25536170218</v>
      </c>
      <c r="BR43" s="138" t="n">
        <f aca="false">-(Hipótesis!$C$37+BR24*Hipótesis!$C$38)</f>
        <v>-2381.25536170218</v>
      </c>
      <c r="BS43" s="138" t="n">
        <f aca="false">-(Hipótesis!$C$37+BS24*Hipótesis!$C$38)</f>
        <v>-2381.25536170218</v>
      </c>
      <c r="BT43" s="138" t="n">
        <f aca="false">-(Hipótesis!$C$37+BT24*Hipótesis!$C$38)</f>
        <v>-2381.25536170218</v>
      </c>
      <c r="BU43" s="138" t="n">
        <f aca="false">-(Hipótesis!$C$37+BU24*Hipótesis!$C$38)</f>
        <v>-2381.25536170218</v>
      </c>
      <c r="BV43" s="138" t="n">
        <f aca="false">-(Hipótesis!$C$37+BV24*Hipótesis!$C$38)</f>
        <v>-2381.25536170218</v>
      </c>
      <c r="BW43" s="138" t="n">
        <f aca="false">-(Hipótesis!$C$37+BW24*Hipótesis!$C$38)</f>
        <v>-2381.25536170218</v>
      </c>
      <c r="BX43" s="138" t="n">
        <f aca="false">-(Hipótesis!$C$37+BX24*Hipótesis!$C$38)</f>
        <v>-2381.25536170218</v>
      </c>
      <c r="BY43" s="138" t="n">
        <f aca="false">-(Hipótesis!$C$37+BY24*Hipótesis!$C$38)</f>
        <v>-2381.25536170218</v>
      </c>
      <c r="BZ43" s="138" t="n">
        <f aca="false">-(Hipótesis!$C$37+BZ24*Hipótesis!$C$38)</f>
        <v>-2381.25536170218</v>
      </c>
      <c r="CA43" s="138" t="n">
        <f aca="false">-(Hipótesis!$C$37+CA24*Hipótesis!$C$38)</f>
        <v>-2289.45536170218</v>
      </c>
      <c r="CB43" s="138" t="n">
        <f aca="false">-(Hipótesis!$C$37+CB24*Hipótesis!$C$38)</f>
        <v>-2381.25536170218</v>
      </c>
      <c r="CC43" s="138" t="n">
        <f aca="false">-(Hipótesis!$C$37+CC24*Hipótesis!$C$38)</f>
        <v>-2381.25536170218</v>
      </c>
      <c r="CD43" s="138" t="n">
        <f aca="false">-(Hipótesis!$C$37+CD24*Hipótesis!$C$38)</f>
        <v>-2381.25536170218</v>
      </c>
      <c r="CE43" s="138" t="n">
        <f aca="false">-(Hipótesis!$C$37+CE24*Hipótesis!$C$38)</f>
        <v>-2381.25536170218</v>
      </c>
      <c r="CF43" s="138" t="n">
        <f aca="false">-(Hipótesis!$C$37+CF24*Hipótesis!$C$38)</f>
        <v>-2381.25536170218</v>
      </c>
      <c r="CG43" s="138" t="n">
        <f aca="false">-(Hipótesis!$C$37+CG24*Hipótesis!$C$38)</f>
        <v>-2381.25536170218</v>
      </c>
      <c r="CH43" s="138" t="n">
        <f aca="false">-(Hipótesis!$C$37+CH24*Hipótesis!$C$38)</f>
        <v>-2381.25536170218</v>
      </c>
    </row>
    <row r="44" customFormat="false" ht="13.5" hidden="false" customHeight="true" outlineLevel="0" collapsed="false">
      <c r="A44" s="13" t="s">
        <v>725</v>
      </c>
      <c r="C44" s="138" t="n">
        <f aca="false">-IF(AND(1&gt;=Hipótesis!$D$48,Hipótesis!$B$48=1),IF(Hipótesis!$G$48=1,Hipótesis!$C$44,Hipótesis!$C$48*(1+Hipótesis!$D$45)^0)*(1+Hipótesis!$D$42),0)</f>
        <v>-2904</v>
      </c>
      <c r="D44" s="138" t="n">
        <f aca="false">-IF(AND(2&gt;=Hipótesis!$D$48,Hipótesis!$B$48=1),IF(Hipótesis!$G$48=1,Hipótesis!$C$44,Hipótesis!$C$48*(1+Hipótesis!$D$45)^0)*(1+Hipótesis!$D$42),0)</f>
        <v>-2904</v>
      </c>
      <c r="E44" s="138" t="n">
        <f aca="false">-IF(AND(3&gt;=Hipótesis!$D$48,Hipótesis!$B$48=1),IF(Hipótesis!$G$48=1,Hipótesis!$C$44,Hipótesis!$C$48*(1+Hipótesis!$D$45)^0)*(1+Hipótesis!$D$42),0)</f>
        <v>-2904</v>
      </c>
      <c r="F44" s="138" t="n">
        <f aca="false">-IF(AND(4&gt;=Hipótesis!$D$48,Hipótesis!$B$48=1),IF(Hipótesis!$G$48=1,Hipótesis!$C$44,Hipótesis!$C$48*(1+Hipótesis!$D$45)^0)*(1+Hipótesis!$D$42),0)</f>
        <v>-2904</v>
      </c>
      <c r="G44" s="138" t="n">
        <f aca="false">-IF(AND(5&gt;=Hipótesis!$D$48,Hipótesis!$B$48=1),IF(Hipótesis!$G$48=1,Hipótesis!$C$44,Hipótesis!$C$48*(1+Hipótesis!$D$45)^0)*(1+Hipótesis!$D$42),0)</f>
        <v>-2904</v>
      </c>
      <c r="H44" s="138" t="n">
        <f aca="false">-IF(AND(6&gt;=Hipótesis!$D$48,Hipótesis!$B$48=1),IF(Hipótesis!$G$48=1,Hipótesis!$C$44,Hipótesis!$C$48*(1+Hipótesis!$D$45)^0)*(1+Hipótesis!$D$42),0)</f>
        <v>-2904</v>
      </c>
      <c r="I44" s="138" t="n">
        <f aca="false">-IF(AND(7&gt;=Hipótesis!$D$48,Hipótesis!$B$48=1),IF(Hipótesis!$G$48=1,Hipótesis!$C$44,Hipótesis!$C$48*(1+Hipótesis!$D$45)^0)*(1+Hipótesis!$D$42),0)</f>
        <v>-2904</v>
      </c>
      <c r="J44" s="138" t="n">
        <f aca="false">-IF(AND(8&gt;=Hipótesis!$D$48,Hipótesis!$B$48=1),IF(Hipótesis!$G$48=1,Hipótesis!$C$44,Hipótesis!$C$48*(1+Hipótesis!$D$45)^0)*(1+Hipótesis!$D$42),0)</f>
        <v>-2904</v>
      </c>
      <c r="K44" s="138" t="n">
        <f aca="false">-IF(AND(9&gt;=Hipótesis!$D$48,Hipótesis!$B$48=1),IF(Hipótesis!$G$48=1,Hipótesis!$C$44,Hipótesis!$C$48*(1+Hipótesis!$D$45)^0)*(1+Hipótesis!$D$42),0)</f>
        <v>-2904</v>
      </c>
      <c r="L44" s="138" t="n">
        <f aca="false">-IF(AND(10&gt;=Hipótesis!$D$48,Hipótesis!$B$48=1),IF(Hipótesis!$G$48=1,Hipótesis!$C$44,Hipótesis!$C$48*(1+Hipótesis!$D$45)^0)*(1+Hipótesis!$D$42),0)</f>
        <v>-2904</v>
      </c>
      <c r="M44" s="138" t="n">
        <f aca="false">-IF(AND(11&gt;=Hipótesis!$D$48,Hipótesis!$B$48=1),IF(Hipótesis!$G$48=1,Hipótesis!$C$44,Hipótesis!$C$48*(1+Hipótesis!$D$45)^0)*(1+Hipótesis!$D$42),0)</f>
        <v>-2904</v>
      </c>
      <c r="N44" s="138" t="n">
        <f aca="false">-IF(AND(12&gt;=Hipótesis!$D$48,Hipótesis!$B$48=1),IF(Hipótesis!$G$48=1,Hipótesis!$C$44,Hipótesis!$C$48*(1+Hipótesis!$D$45)^0)*(1+Hipótesis!$D$42),0)</f>
        <v>-2904</v>
      </c>
      <c r="O44" s="138" t="n">
        <f aca="false">-IF(AND(13&gt;=Hipótesis!$D$48,Hipótesis!$B$48=1),IF(Hipótesis!$G$48=1,Hipótesis!$D$44,Hipótesis!$C$48*(1+Hipótesis!$D$45)^1)*(1+Hipótesis!$D$42),0)</f>
        <v>-4620</v>
      </c>
      <c r="P44" s="138" t="n">
        <f aca="false">-IF(AND(14&gt;=Hipótesis!$D$48,Hipótesis!$B$48=1),IF(Hipótesis!$G$48=1,Hipótesis!$D$44,Hipótesis!$C$48*(1+Hipótesis!$D$45)^1)*(1+Hipótesis!$D$42),0)</f>
        <v>-4620</v>
      </c>
      <c r="Q44" s="138" t="n">
        <f aca="false">-IF(AND(15&gt;=Hipótesis!$D$48,Hipótesis!$B$48=1),IF(Hipótesis!$G$48=1,Hipótesis!$D$44,Hipótesis!$C$48*(1+Hipótesis!$D$45)^1)*(1+Hipótesis!$D$42),0)</f>
        <v>-4620</v>
      </c>
      <c r="R44" s="138" t="n">
        <f aca="false">-IF(AND(16&gt;=Hipótesis!$D$48,Hipótesis!$B$48=1),IF(Hipótesis!$G$48=1,Hipótesis!$D$44,Hipótesis!$C$48*(1+Hipótesis!$D$45)^1)*(1+Hipótesis!$D$42),0)</f>
        <v>-4620</v>
      </c>
      <c r="S44" s="138" t="n">
        <f aca="false">-IF(AND(17&gt;=Hipótesis!$D$48,Hipótesis!$B$48=1),IF(Hipótesis!$G$48=1,Hipótesis!$D$44,Hipótesis!$C$48*(1+Hipótesis!$D$45)^1)*(1+Hipótesis!$D$42),0)</f>
        <v>-4620</v>
      </c>
      <c r="T44" s="138" t="n">
        <f aca="false">-IF(AND(18&gt;=Hipótesis!$D$48,Hipótesis!$B$48=1),IF(Hipótesis!$G$48=1,Hipótesis!$D$44,Hipótesis!$C$48*(1+Hipótesis!$D$45)^1)*(1+Hipótesis!$D$42),0)</f>
        <v>-4620</v>
      </c>
      <c r="U44" s="138" t="n">
        <f aca="false">-IF(AND(19&gt;=Hipótesis!$D$48,Hipótesis!$B$48=1),IF(Hipótesis!$G$48=1,Hipótesis!$D$44,Hipótesis!$C$48*(1+Hipótesis!$D$45)^1)*(1+Hipótesis!$D$42),0)</f>
        <v>-4620</v>
      </c>
      <c r="V44" s="138" t="n">
        <f aca="false">-IF(AND(20&gt;=Hipótesis!$D$48,Hipótesis!$B$48=1),IF(Hipótesis!$G$48=1,Hipótesis!$D$44,Hipótesis!$C$48*(1+Hipótesis!$D$45)^1)*(1+Hipótesis!$D$42),0)</f>
        <v>-4620</v>
      </c>
      <c r="W44" s="138" t="n">
        <f aca="false">-IF(AND(21&gt;=Hipótesis!$D$48,Hipótesis!$B$48=1),IF(Hipótesis!$G$48=1,Hipótesis!$D$44,Hipótesis!$C$48*(1+Hipótesis!$D$45)^1)*(1+Hipótesis!$D$42),0)</f>
        <v>-4620</v>
      </c>
      <c r="X44" s="138" t="n">
        <f aca="false">-IF(AND(22&gt;=Hipótesis!$D$48,Hipótesis!$B$48=1),IF(Hipótesis!$G$48=1,Hipótesis!$D$44,Hipótesis!$C$48*(1+Hipótesis!$D$45)^1)*(1+Hipótesis!$D$42),0)</f>
        <v>-4620</v>
      </c>
      <c r="Y44" s="138" t="n">
        <f aca="false">-IF(AND(23&gt;=Hipótesis!$D$48,Hipótesis!$B$48=1),IF(Hipótesis!$G$48=1,Hipótesis!$D$44,Hipótesis!$C$48*(1+Hipótesis!$D$45)^1)*(1+Hipótesis!$D$42),0)</f>
        <v>-4620</v>
      </c>
      <c r="Z44" s="138" t="n">
        <f aca="false">-IF(AND(24&gt;=Hipótesis!$D$48,Hipótesis!$B$48=1),IF(Hipótesis!$G$48=1,Hipótesis!$D$44,Hipótesis!$C$48*(1+Hipótesis!$D$45)^1)*(1+Hipótesis!$D$42),0)</f>
        <v>-4620</v>
      </c>
      <c r="AA44" s="138" t="n">
        <f aca="false">-IF(AND(25&gt;=Hipótesis!$D$48,Hipótesis!$B$48=1),IF(Hipótesis!$G$48=1,Hipótesis!$E$44,Hipótesis!$C$48*(1+Hipótesis!$D$45)^2)*(1+Hipótesis!$D$42),0)</f>
        <v>-5280</v>
      </c>
      <c r="AB44" s="138" t="n">
        <f aca="false">-IF(AND(26&gt;=Hipótesis!$D$48,Hipótesis!$B$48=1),IF(Hipótesis!$G$48=1,Hipótesis!$E$44,Hipótesis!$C$48*(1+Hipótesis!$D$45)^2)*(1+Hipótesis!$D$42),0)</f>
        <v>-5280</v>
      </c>
      <c r="AC44" s="138" t="n">
        <f aca="false">-IF(AND(27&gt;=Hipótesis!$D$48,Hipótesis!$B$48=1),IF(Hipótesis!$G$48=1,Hipótesis!$E$44,Hipótesis!$C$48*(1+Hipótesis!$D$45)^2)*(1+Hipótesis!$D$42),0)</f>
        <v>-5280</v>
      </c>
      <c r="AD44" s="138" t="n">
        <f aca="false">-IF(AND(28&gt;=Hipótesis!$D$48,Hipótesis!$B$48=1),IF(Hipótesis!$G$48=1,Hipótesis!$E$44,Hipótesis!$C$48*(1+Hipótesis!$D$45)^2)*(1+Hipótesis!$D$42),0)</f>
        <v>-5280</v>
      </c>
      <c r="AE44" s="138" t="n">
        <f aca="false">-IF(AND(29&gt;=Hipótesis!$D$48,Hipótesis!$B$48=1),IF(Hipótesis!$G$48=1,Hipótesis!$E$44,Hipótesis!$C$48*(1+Hipótesis!$D$45)^2)*(1+Hipótesis!$D$42),0)</f>
        <v>-5280</v>
      </c>
      <c r="AF44" s="138" t="n">
        <f aca="false">-IF(AND(30&gt;=Hipótesis!$D$48,Hipótesis!$B$48=1),IF(Hipótesis!$G$48=1,Hipótesis!$E$44,Hipótesis!$C$48*(1+Hipótesis!$D$45)^2)*(1+Hipótesis!$D$42),0)</f>
        <v>-5280</v>
      </c>
      <c r="AG44" s="138" t="n">
        <f aca="false">-IF(AND(31&gt;=Hipótesis!$D$48,Hipótesis!$B$48=1),IF(Hipótesis!$G$48=1,Hipótesis!$E$44,Hipótesis!$C$48*(1+Hipótesis!$D$45)^2)*(1+Hipótesis!$D$42),0)</f>
        <v>-5280</v>
      </c>
      <c r="AH44" s="138" t="n">
        <f aca="false">-IF(AND(32&gt;=Hipótesis!$D$48,Hipótesis!$B$48=1),IF(Hipótesis!$G$48=1,Hipótesis!$E$44,Hipótesis!$C$48*(1+Hipótesis!$D$45)^2)*(1+Hipótesis!$D$42),0)</f>
        <v>-5280</v>
      </c>
      <c r="AI44" s="138" t="n">
        <f aca="false">-IF(AND(33&gt;=Hipótesis!$D$48,Hipótesis!$B$48=1),IF(Hipótesis!$G$48=1,Hipótesis!$E$44,Hipótesis!$C$48*(1+Hipótesis!$D$45)^2)*(1+Hipótesis!$D$42),0)</f>
        <v>-5280</v>
      </c>
      <c r="AJ44" s="138" t="n">
        <f aca="false">-IF(AND(34&gt;=Hipótesis!$D$48,Hipótesis!$B$48=1),IF(Hipótesis!$G$48=1,Hipótesis!$E$44,Hipótesis!$C$48*(1+Hipótesis!$D$45)^2)*(1+Hipótesis!$D$42),0)</f>
        <v>-5280</v>
      </c>
      <c r="AK44" s="138" t="n">
        <f aca="false">-IF(AND(35&gt;=Hipótesis!$D$48,Hipótesis!$B$48=1),IF(Hipótesis!$G$48=1,Hipótesis!$E$44,Hipótesis!$C$48*(1+Hipótesis!$D$45)^2)*(1+Hipótesis!$D$42),0)</f>
        <v>-5280</v>
      </c>
      <c r="AL44" s="138" t="n">
        <f aca="false">-IF(AND(36&gt;=Hipótesis!$D$48,Hipótesis!$B$48=1),IF(Hipótesis!$G$48=1,Hipótesis!$E$44,Hipótesis!$C$48*(1+Hipótesis!$D$45)^2)*(1+Hipótesis!$D$42),0)</f>
        <v>-5280</v>
      </c>
      <c r="AM44" s="138" t="n">
        <f aca="false">-IF(AND(37&gt;=Hipótesis!$D$48,Hipótesis!$B$48=1),IF(Hipótesis!$G$48=1,Hipótesis!$F$44,Hipótesis!$C$48*(1+Hipótesis!$D$45)^3)*(1+Hipótesis!$D$42),0)</f>
        <v>-5940</v>
      </c>
      <c r="AN44" s="138" t="n">
        <f aca="false">-IF(AND(38&gt;=Hipótesis!$D$48,Hipótesis!$B$48=1),IF(Hipótesis!$G$48=1,Hipótesis!$F$44,Hipótesis!$C$48*(1+Hipótesis!$D$45)^3)*(1+Hipótesis!$D$42),0)</f>
        <v>-5940</v>
      </c>
      <c r="AO44" s="138" t="n">
        <f aca="false">-IF(AND(39&gt;=Hipótesis!$D$48,Hipótesis!$B$48=1),IF(Hipótesis!$G$48=1,Hipótesis!$F$44,Hipótesis!$C$48*(1+Hipótesis!$D$45)^3)*(1+Hipótesis!$D$42),0)</f>
        <v>-5940</v>
      </c>
      <c r="AP44" s="138" t="n">
        <f aca="false">-IF(AND(40&gt;=Hipótesis!$D$48,Hipótesis!$B$48=1),IF(Hipótesis!$G$48=1,Hipótesis!$F$44,Hipótesis!$C$48*(1+Hipótesis!$D$45)^3)*(1+Hipótesis!$D$42),0)</f>
        <v>-5940</v>
      </c>
      <c r="AQ44" s="138" t="n">
        <f aca="false">-IF(AND(41&gt;=Hipótesis!$D$48,Hipótesis!$B$48=1),IF(Hipótesis!$G$48=1,Hipótesis!$F$44,Hipótesis!$C$48*(1+Hipótesis!$D$45)^3)*(1+Hipótesis!$D$42),0)</f>
        <v>-5940</v>
      </c>
      <c r="AR44" s="138" t="n">
        <f aca="false">-IF(AND(42&gt;=Hipótesis!$D$48,Hipótesis!$B$48=1),IF(Hipótesis!$G$48=1,Hipótesis!$F$44,Hipótesis!$C$48*(1+Hipótesis!$D$45)^3)*(1+Hipótesis!$D$42),0)</f>
        <v>-5940</v>
      </c>
      <c r="AS44" s="138" t="n">
        <f aca="false">-IF(AND(43&gt;=Hipótesis!$D$48,Hipótesis!$B$48=1),IF(Hipótesis!$G$48=1,Hipótesis!$F$44,Hipótesis!$C$48*(1+Hipótesis!$D$45)^3)*(1+Hipótesis!$D$42),0)</f>
        <v>-5940</v>
      </c>
      <c r="AT44" s="138" t="n">
        <f aca="false">-IF(AND(44&gt;=Hipótesis!$D$48,Hipótesis!$B$48=1),IF(Hipótesis!$G$48=1,Hipótesis!$F$44,Hipótesis!$C$48*(1+Hipótesis!$D$45)^3)*(1+Hipótesis!$D$42),0)</f>
        <v>-5940</v>
      </c>
      <c r="AU44" s="138" t="n">
        <f aca="false">-IF(AND(45&gt;=Hipótesis!$D$48,Hipótesis!$B$48=1),IF(Hipótesis!$G$48=1,Hipótesis!$F$44,Hipótesis!$C$48*(1+Hipótesis!$D$45)^3)*(1+Hipótesis!$D$42),0)</f>
        <v>-5940</v>
      </c>
      <c r="AV44" s="138" t="n">
        <f aca="false">-IF(AND(46&gt;=Hipótesis!$D$48,Hipótesis!$B$48=1),IF(Hipótesis!$G$48=1,Hipótesis!$F$44,Hipótesis!$C$48*(1+Hipótesis!$D$45)^3)*(1+Hipótesis!$D$42),0)</f>
        <v>-5940</v>
      </c>
      <c r="AW44" s="138" t="n">
        <f aca="false">-IF(AND(47&gt;=Hipótesis!$D$48,Hipótesis!$B$48=1),IF(Hipótesis!$G$48=1,Hipótesis!$F$44,Hipótesis!$C$48*(1+Hipótesis!$D$45)^3)*(1+Hipótesis!$D$42),0)</f>
        <v>-5940</v>
      </c>
      <c r="AX44" s="138" t="n">
        <f aca="false">-IF(AND(48&gt;=Hipótesis!$D$48,Hipótesis!$B$48=1),IF(Hipótesis!$G$48=1,Hipótesis!$F$44,Hipótesis!$C$48*(1+Hipótesis!$D$45)^3)*(1+Hipótesis!$D$42),0)</f>
        <v>-5940</v>
      </c>
      <c r="AY44" s="138" t="n">
        <f aca="false">-IF(AND(49&gt;=Hipótesis!$D$48,Hipótesis!$B$48=1),IF(Hipótesis!$G$48=1,Hipótesis!$G$44,Hipótesis!$C$48*(1+Hipótesis!$D$45)^4)*(1+Hipótesis!$D$42),0)</f>
        <v>-6600</v>
      </c>
      <c r="AZ44" s="138" t="n">
        <f aca="false">-IF(AND(50&gt;=Hipótesis!$D$48,Hipótesis!$B$48=1),IF(Hipótesis!$G$48=1,Hipótesis!$G$44,Hipótesis!$C$48*(1+Hipótesis!$D$45)^4)*(1+Hipótesis!$D$42),0)</f>
        <v>-6600</v>
      </c>
      <c r="BA44" s="138" t="n">
        <f aca="false">-IF(AND(51&gt;=Hipótesis!$D$48,Hipótesis!$B$48=1),IF(Hipótesis!$G$48=1,Hipótesis!$G$44,Hipótesis!$C$48*(1+Hipótesis!$D$45)^4)*(1+Hipótesis!$D$42),0)</f>
        <v>-6600</v>
      </c>
      <c r="BB44" s="138" t="n">
        <f aca="false">-IF(AND(52&gt;=Hipótesis!$D$48,Hipótesis!$B$48=1),IF(Hipótesis!$G$48=1,Hipótesis!$G$44,Hipótesis!$C$48*(1+Hipótesis!$D$45)^4)*(1+Hipótesis!$D$42),0)</f>
        <v>-6600</v>
      </c>
      <c r="BC44" s="138" t="n">
        <f aca="false">-IF(AND(53&gt;=Hipótesis!$D$48,Hipótesis!$B$48=1),IF(Hipótesis!$G$48=1,Hipótesis!$G$44,Hipótesis!$C$48*(1+Hipótesis!$D$45)^4)*(1+Hipótesis!$D$42),0)</f>
        <v>-6600</v>
      </c>
      <c r="BD44" s="138" t="n">
        <f aca="false">-IF(AND(54&gt;=Hipótesis!$D$48,Hipótesis!$B$48=1),IF(Hipótesis!$G$48=1,Hipótesis!$G$44,Hipótesis!$C$48*(1+Hipótesis!$D$45)^4)*(1+Hipótesis!$D$42),0)</f>
        <v>-6600</v>
      </c>
      <c r="BE44" s="138" t="n">
        <f aca="false">-IF(AND(55&gt;=Hipótesis!$D$48,Hipótesis!$B$48=1),IF(Hipótesis!$G$48=1,Hipótesis!$G$44,Hipótesis!$C$48*(1+Hipótesis!$D$45)^4)*(1+Hipótesis!$D$42),0)</f>
        <v>-6600</v>
      </c>
      <c r="BF44" s="138" t="n">
        <f aca="false">-IF(AND(56&gt;=Hipótesis!$D$48,Hipótesis!$B$48=1),IF(Hipótesis!$G$48=1,Hipótesis!$G$44,Hipótesis!$C$48*(1+Hipótesis!$D$45)^4)*(1+Hipótesis!$D$42),0)</f>
        <v>-6600</v>
      </c>
      <c r="BG44" s="138" t="n">
        <f aca="false">-IF(AND(57&gt;=Hipótesis!$D$48,Hipótesis!$B$48=1),IF(Hipótesis!$G$48=1,Hipótesis!$G$44,Hipótesis!$C$48*(1+Hipótesis!$D$45)^4)*(1+Hipótesis!$D$42),0)</f>
        <v>-6600</v>
      </c>
      <c r="BH44" s="138" t="n">
        <f aca="false">-IF(AND(58&gt;=Hipótesis!$D$48,Hipótesis!$B$48=1),IF(Hipótesis!$G$48=1,Hipótesis!$G$44,Hipótesis!$C$48*(1+Hipótesis!$D$45)^4)*(1+Hipótesis!$D$42),0)</f>
        <v>-6600</v>
      </c>
      <c r="BI44" s="138" t="n">
        <f aca="false">-IF(AND(59&gt;=Hipótesis!$D$48,Hipótesis!$B$48=1),IF(Hipótesis!$G$48=1,Hipótesis!$G$44,Hipótesis!$C$48*(1+Hipótesis!$D$45)^4)*(1+Hipótesis!$D$42),0)</f>
        <v>-6600</v>
      </c>
      <c r="BJ44" s="138" t="n">
        <f aca="false">-IF(AND(60&gt;=Hipótesis!$D$48,Hipótesis!$B$48=1),IF(Hipótesis!$G$48=1,Hipótesis!$G$44,Hipótesis!$C$48*(1+Hipótesis!$D$45)^4)*(1+Hipótesis!$D$42),0)</f>
        <v>-6600</v>
      </c>
      <c r="BK44" s="138" t="n">
        <f aca="false">-IF(AND(61&gt;=Hipótesis!$D$48,Hipótesis!$B$48=1),IF(Hipótesis!$G$48=1,Hipótesis!$H$44,Hipótesis!$C$48*(1+Hipótesis!$D$45)^5)*(1+Hipótesis!$D$42),0)</f>
        <v>-7260</v>
      </c>
      <c r="BL44" s="138" t="n">
        <f aca="false">-IF(AND(62&gt;=Hipótesis!$D$48,Hipótesis!$B$48=1),IF(Hipótesis!$G$48=1,Hipótesis!$H$44,Hipótesis!$C$48*(1+Hipótesis!$D$45)^5)*(1+Hipótesis!$D$42),0)</f>
        <v>-7260</v>
      </c>
      <c r="BM44" s="138" t="n">
        <f aca="false">-IF(AND(63&gt;=Hipótesis!$D$48,Hipótesis!$B$48=1),IF(Hipótesis!$G$48=1,Hipótesis!$H$44,Hipótesis!$C$48*(1+Hipótesis!$D$45)^5)*(1+Hipótesis!$D$42),0)</f>
        <v>-7260</v>
      </c>
      <c r="BN44" s="138" t="n">
        <f aca="false">-IF(AND(64&gt;=Hipótesis!$D$48,Hipótesis!$B$48=1),IF(Hipótesis!$G$48=1,Hipótesis!$H$44,Hipótesis!$C$48*(1+Hipótesis!$D$45)^5)*(1+Hipótesis!$D$42),0)</f>
        <v>-7260</v>
      </c>
      <c r="BO44" s="138" t="n">
        <f aca="false">-IF(AND(65&gt;=Hipótesis!$D$48,Hipótesis!$B$48=1),IF(Hipótesis!$G$48=1,Hipótesis!$H$44,Hipótesis!$C$48*(1+Hipótesis!$D$45)^5)*(1+Hipótesis!$D$42),0)</f>
        <v>-7260</v>
      </c>
      <c r="BP44" s="138" t="n">
        <f aca="false">-IF(AND(66&gt;=Hipótesis!$D$48,Hipótesis!$B$48=1),IF(Hipótesis!$G$48=1,Hipótesis!$H$44,Hipótesis!$C$48*(1+Hipótesis!$D$45)^5)*(1+Hipótesis!$D$42),0)</f>
        <v>-7260</v>
      </c>
      <c r="BQ44" s="138" t="n">
        <f aca="false">-IF(AND(67&gt;=Hipótesis!$D$48,Hipótesis!$B$48=1),IF(Hipótesis!$G$48=1,Hipótesis!$H$44,Hipótesis!$C$48*(1+Hipótesis!$D$45)^5)*(1+Hipótesis!$D$42),0)</f>
        <v>-7260</v>
      </c>
      <c r="BR44" s="138" t="n">
        <f aca="false">-IF(AND(68&gt;=Hipótesis!$D$48,Hipótesis!$B$48=1),IF(Hipótesis!$G$48=1,Hipótesis!$H$44,Hipótesis!$C$48*(1+Hipótesis!$D$45)^5)*(1+Hipótesis!$D$42),0)</f>
        <v>-7260</v>
      </c>
      <c r="BS44" s="138" t="n">
        <f aca="false">-IF(AND(69&gt;=Hipótesis!$D$48,Hipótesis!$B$48=1),IF(Hipótesis!$G$48=1,Hipótesis!$H$44,Hipótesis!$C$48*(1+Hipótesis!$D$45)^5)*(1+Hipótesis!$D$42),0)</f>
        <v>-7260</v>
      </c>
      <c r="BT44" s="138" t="n">
        <f aca="false">-IF(AND(70&gt;=Hipótesis!$D$48,Hipótesis!$B$48=1),IF(Hipótesis!$G$48=1,Hipótesis!$H$44,Hipótesis!$C$48*(1+Hipótesis!$D$45)^5)*(1+Hipótesis!$D$42),0)</f>
        <v>-7260</v>
      </c>
      <c r="BU44" s="138" t="n">
        <f aca="false">-IF(AND(71&gt;=Hipótesis!$D$48,Hipótesis!$B$48=1),IF(Hipótesis!$G$48=1,Hipótesis!$H$44,Hipótesis!$C$48*(1+Hipótesis!$D$45)^5)*(1+Hipótesis!$D$42),0)</f>
        <v>-7260</v>
      </c>
      <c r="BV44" s="138" t="n">
        <f aca="false">-IF(AND(72&gt;=Hipótesis!$D$48,Hipótesis!$B$48=1),IF(Hipótesis!$G$48=1,Hipótesis!$H$44,Hipótesis!$C$48*(1+Hipótesis!$D$45)^5)*(1+Hipótesis!$D$42),0)</f>
        <v>-7260</v>
      </c>
      <c r="BW44" s="138" t="n">
        <f aca="false">-IF(AND(73&gt;=Hipótesis!$D$48,Hipótesis!$B$48=1),IF(Hipótesis!$G$48=1,Hipótesis!$I$44,Hipótesis!$C$48*(1+Hipótesis!$D$45)^6)*(1+Hipótesis!$D$42),0)</f>
        <v>-7920</v>
      </c>
      <c r="BX44" s="138" t="n">
        <f aca="false">-IF(AND(74&gt;=Hipótesis!$D$48,Hipótesis!$B$48=1),IF(Hipótesis!$G$48=1,Hipótesis!$I$44,Hipótesis!$C$48*(1+Hipótesis!$D$45)^6)*(1+Hipótesis!$D$42),0)</f>
        <v>-7920</v>
      </c>
      <c r="BY44" s="138" t="n">
        <f aca="false">-IF(AND(75&gt;=Hipótesis!$D$48,Hipótesis!$B$48=1),IF(Hipótesis!$G$48=1,Hipótesis!$I$44,Hipótesis!$C$48*(1+Hipótesis!$D$45)^6)*(1+Hipótesis!$D$42),0)</f>
        <v>-7920</v>
      </c>
      <c r="BZ44" s="138" t="n">
        <f aca="false">-IF(AND(76&gt;=Hipótesis!$D$48,Hipótesis!$B$48=1),IF(Hipótesis!$G$48=1,Hipótesis!$I$44,Hipótesis!$C$48*(1+Hipótesis!$D$45)^6)*(1+Hipótesis!$D$42),0)</f>
        <v>-7920</v>
      </c>
      <c r="CA44" s="138" t="n">
        <f aca="false">-IF(AND(77&gt;=Hipótesis!$D$48,Hipótesis!$B$48=1),IF(Hipótesis!$G$48=1,Hipótesis!$I$44,Hipótesis!$C$48*(1+Hipótesis!$D$45)^6)*(1+Hipótesis!$D$42),0)</f>
        <v>-7920</v>
      </c>
      <c r="CB44" s="138" t="n">
        <f aca="false">-IF(AND(78&gt;=Hipótesis!$D$48,Hipótesis!$B$48=1),IF(Hipótesis!$G$48=1,Hipótesis!$I$44,Hipótesis!$C$48*(1+Hipótesis!$D$45)^6)*(1+Hipótesis!$D$42),0)</f>
        <v>-7920</v>
      </c>
      <c r="CC44" s="138" t="n">
        <f aca="false">-IF(AND(79&gt;=Hipótesis!$D$48,Hipótesis!$B$48=1),IF(Hipótesis!$G$48=1,Hipótesis!$I$44,Hipótesis!$C$48*(1+Hipótesis!$D$45)^6)*(1+Hipótesis!$D$42),0)</f>
        <v>-7920</v>
      </c>
      <c r="CD44" s="138" t="n">
        <f aca="false">-IF(AND(80&gt;=Hipótesis!$D$48,Hipótesis!$B$48=1),IF(Hipótesis!$G$48=1,Hipótesis!$I$44,Hipótesis!$C$48*(1+Hipótesis!$D$45)^6)*(1+Hipótesis!$D$42),0)</f>
        <v>-7920</v>
      </c>
      <c r="CE44" s="138" t="n">
        <f aca="false">-IF(AND(81&gt;=Hipótesis!$D$48,Hipótesis!$B$48=1),IF(Hipótesis!$G$48=1,Hipótesis!$I$44,Hipótesis!$C$48*(1+Hipótesis!$D$45)^6)*(1+Hipótesis!$D$42),0)</f>
        <v>-7920</v>
      </c>
      <c r="CF44" s="138" t="n">
        <f aca="false">-IF(AND(82&gt;=Hipótesis!$D$48,Hipótesis!$B$48=1),IF(Hipótesis!$G$48=1,Hipótesis!$I$44,Hipótesis!$C$48*(1+Hipótesis!$D$45)^6)*(1+Hipótesis!$D$42),0)</f>
        <v>-7920</v>
      </c>
      <c r="CG44" s="138" t="n">
        <f aca="false">-IF(AND(83&gt;=Hipótesis!$D$48,Hipótesis!$B$48=1),IF(Hipótesis!$G$48=1,Hipótesis!$I$44,Hipótesis!$C$48*(1+Hipótesis!$D$45)^6)*(1+Hipótesis!$D$42),0)</f>
        <v>-7920</v>
      </c>
      <c r="CH44" s="138" t="n">
        <f aca="false">-IF(AND(84&gt;=Hipótesis!$D$48,Hipótesis!$B$48=1),IF(Hipótesis!$G$48=1,Hipótesis!$I$44,Hipótesis!$C$48*(1+Hipótesis!$D$45)^6)*(1+Hipótesis!$D$42),0)</f>
        <v>-7920</v>
      </c>
    </row>
    <row r="45" customFormat="false" ht="13.5" hidden="false" customHeight="true" outlineLevel="0" collapsed="false">
      <c r="A45" s="13" t="s">
        <v>726</v>
      </c>
      <c r="C45" s="138" t="n">
        <f aca="false">-IF(AND(1&gt;=Hipótesis!$D$49,Hipótesis!$B$49=1),IF(Hipótesis!$G$49=1,Hipótesis!$C$44,Hipótesis!$C$49*(1+Hipótesis!$D$45)^0)*(1+Hipótesis!$D$42),0)</f>
        <v>-2904</v>
      </c>
      <c r="D45" s="138" t="n">
        <f aca="false">-IF(AND(2&gt;=Hipótesis!$D$49,Hipótesis!$B$49=1),IF(Hipótesis!$G$49=1,Hipótesis!$C$44,Hipótesis!$C$49*(1+Hipótesis!$D$45)^0)*(1+Hipótesis!$D$42),0)</f>
        <v>-2904</v>
      </c>
      <c r="E45" s="138" t="n">
        <f aca="false">-IF(AND(3&gt;=Hipótesis!$D$49,Hipótesis!$B$49=1),IF(Hipótesis!$G$49=1,Hipótesis!$C$44,Hipótesis!$C$49*(1+Hipótesis!$D$45)^0)*(1+Hipótesis!$D$42),0)</f>
        <v>-2904</v>
      </c>
      <c r="F45" s="138" t="n">
        <f aca="false">-IF(AND(4&gt;=Hipótesis!$D$49,Hipótesis!$B$49=1),IF(Hipótesis!$G$49=1,Hipótesis!$C$44,Hipótesis!$C$49*(1+Hipótesis!$D$45)^0)*(1+Hipótesis!$D$42),0)</f>
        <v>-2904</v>
      </c>
      <c r="G45" s="138" t="n">
        <f aca="false">-IF(AND(5&gt;=Hipótesis!$D$49,Hipótesis!$B$49=1),IF(Hipótesis!$G$49=1,Hipótesis!$C$44,Hipótesis!$C$49*(1+Hipótesis!$D$45)^0)*(1+Hipótesis!$D$42),0)</f>
        <v>-2904</v>
      </c>
      <c r="H45" s="138" t="n">
        <f aca="false">-IF(AND(6&gt;=Hipótesis!$D$49,Hipótesis!$B$49=1),IF(Hipótesis!$G$49=1,Hipótesis!$C$44,Hipótesis!$C$49*(1+Hipótesis!$D$45)^0)*(1+Hipótesis!$D$42),0)</f>
        <v>-2904</v>
      </c>
      <c r="I45" s="138" t="n">
        <f aca="false">-IF(AND(7&gt;=Hipótesis!$D$49,Hipótesis!$B$49=1),IF(Hipótesis!$G$49=1,Hipótesis!$C$44,Hipótesis!$C$49*(1+Hipótesis!$D$45)^0)*(1+Hipótesis!$D$42),0)</f>
        <v>-2904</v>
      </c>
      <c r="J45" s="138" t="n">
        <f aca="false">-IF(AND(8&gt;=Hipótesis!$D$49,Hipótesis!$B$49=1),IF(Hipótesis!$G$49=1,Hipótesis!$C$44,Hipótesis!$C$49*(1+Hipótesis!$D$45)^0)*(1+Hipótesis!$D$42),0)</f>
        <v>-2904</v>
      </c>
      <c r="K45" s="138" t="n">
        <f aca="false">-IF(AND(9&gt;=Hipótesis!$D$49,Hipótesis!$B$49=1),IF(Hipótesis!$G$49=1,Hipótesis!$C$44,Hipótesis!$C$49*(1+Hipótesis!$D$45)^0)*(1+Hipótesis!$D$42),0)</f>
        <v>-2904</v>
      </c>
      <c r="L45" s="138" t="n">
        <f aca="false">-IF(AND(10&gt;=Hipótesis!$D$49,Hipótesis!$B$49=1),IF(Hipótesis!$G$49=1,Hipótesis!$C$44,Hipótesis!$C$49*(1+Hipótesis!$D$45)^0)*(1+Hipótesis!$D$42),0)</f>
        <v>-2904</v>
      </c>
      <c r="M45" s="138" t="n">
        <f aca="false">-IF(AND(11&gt;=Hipótesis!$D$49,Hipótesis!$B$49=1),IF(Hipótesis!$G$49=1,Hipótesis!$C$44,Hipótesis!$C$49*(1+Hipótesis!$D$45)^0)*(1+Hipótesis!$D$42),0)</f>
        <v>-2904</v>
      </c>
      <c r="N45" s="138" t="n">
        <f aca="false">-IF(AND(12&gt;=Hipótesis!$D$49,Hipótesis!$B$49=1),IF(Hipótesis!$G$49=1,Hipótesis!$C$44,Hipótesis!$C$49*(1+Hipótesis!$D$45)^0)*(1+Hipótesis!$D$42),0)</f>
        <v>-2904</v>
      </c>
      <c r="O45" s="138" t="n">
        <f aca="false">-IF(AND(13&gt;=Hipótesis!$D$49,Hipótesis!$B$49=1),IF(Hipótesis!$G$49=1,Hipótesis!$D$44,Hipótesis!$C$49*(1+Hipótesis!$D$45)^1)*(1+Hipótesis!$D$42),0)</f>
        <v>-4620</v>
      </c>
      <c r="P45" s="138" t="n">
        <f aca="false">-IF(AND(14&gt;=Hipótesis!$D$49,Hipótesis!$B$49=1),IF(Hipótesis!$G$49=1,Hipótesis!$D$44,Hipótesis!$C$49*(1+Hipótesis!$D$45)^1)*(1+Hipótesis!$D$42),0)</f>
        <v>-4620</v>
      </c>
      <c r="Q45" s="138" t="n">
        <f aca="false">-IF(AND(15&gt;=Hipótesis!$D$49,Hipótesis!$B$49=1),IF(Hipótesis!$G$49=1,Hipótesis!$D$44,Hipótesis!$C$49*(1+Hipótesis!$D$45)^1)*(1+Hipótesis!$D$42),0)</f>
        <v>-4620</v>
      </c>
      <c r="R45" s="138" t="n">
        <f aca="false">-IF(AND(16&gt;=Hipótesis!$D$49,Hipótesis!$B$49=1),IF(Hipótesis!$G$49=1,Hipótesis!$D$44,Hipótesis!$C$49*(1+Hipótesis!$D$45)^1)*(1+Hipótesis!$D$42),0)</f>
        <v>-4620</v>
      </c>
      <c r="S45" s="138" t="n">
        <f aca="false">-IF(AND(17&gt;=Hipótesis!$D$49,Hipótesis!$B$49=1),IF(Hipótesis!$G$49=1,Hipótesis!$D$44,Hipótesis!$C$49*(1+Hipótesis!$D$45)^1)*(1+Hipótesis!$D$42),0)</f>
        <v>-4620</v>
      </c>
      <c r="T45" s="138" t="n">
        <f aca="false">-IF(AND(18&gt;=Hipótesis!$D$49,Hipótesis!$B$49=1),IF(Hipótesis!$G$49=1,Hipótesis!$D$44,Hipótesis!$C$49*(1+Hipótesis!$D$45)^1)*(1+Hipótesis!$D$42),0)</f>
        <v>-4620</v>
      </c>
      <c r="U45" s="138" t="n">
        <f aca="false">-IF(AND(19&gt;=Hipótesis!$D$49,Hipótesis!$B$49=1),IF(Hipótesis!$G$49=1,Hipótesis!$D$44,Hipótesis!$C$49*(1+Hipótesis!$D$45)^1)*(1+Hipótesis!$D$42),0)</f>
        <v>-4620</v>
      </c>
      <c r="V45" s="138" t="n">
        <f aca="false">-IF(AND(20&gt;=Hipótesis!$D$49,Hipótesis!$B$49=1),IF(Hipótesis!$G$49=1,Hipótesis!$D$44,Hipótesis!$C$49*(1+Hipótesis!$D$45)^1)*(1+Hipótesis!$D$42),0)</f>
        <v>-4620</v>
      </c>
      <c r="W45" s="138" t="n">
        <f aca="false">-IF(AND(21&gt;=Hipótesis!$D$49,Hipótesis!$B$49=1),IF(Hipótesis!$G$49=1,Hipótesis!$D$44,Hipótesis!$C$49*(1+Hipótesis!$D$45)^1)*(1+Hipótesis!$D$42),0)</f>
        <v>-4620</v>
      </c>
      <c r="X45" s="138" t="n">
        <f aca="false">-IF(AND(22&gt;=Hipótesis!$D$49,Hipótesis!$B$49=1),IF(Hipótesis!$G$49=1,Hipótesis!$D$44,Hipótesis!$C$49*(1+Hipótesis!$D$45)^1)*(1+Hipótesis!$D$42),0)</f>
        <v>-4620</v>
      </c>
      <c r="Y45" s="138" t="n">
        <f aca="false">-IF(AND(23&gt;=Hipótesis!$D$49,Hipótesis!$B$49=1),IF(Hipótesis!$G$49=1,Hipótesis!$D$44,Hipótesis!$C$49*(1+Hipótesis!$D$45)^1)*(1+Hipótesis!$D$42),0)</f>
        <v>-4620</v>
      </c>
      <c r="Z45" s="138" t="n">
        <f aca="false">-IF(AND(24&gt;=Hipótesis!$D$49,Hipótesis!$B$49=1),IF(Hipótesis!$G$49=1,Hipótesis!$D$44,Hipótesis!$C$49*(1+Hipótesis!$D$45)^1)*(1+Hipótesis!$D$42),0)</f>
        <v>-4620</v>
      </c>
      <c r="AA45" s="138" t="n">
        <f aca="false">-IF(AND(25&gt;=Hipótesis!$D$49,Hipótesis!$B$49=1),IF(Hipótesis!$G$49=1,Hipótesis!$E$44,Hipótesis!$C$49*(1+Hipótesis!$D$45)^2)*(1+Hipótesis!$D$42),0)</f>
        <v>-5280</v>
      </c>
      <c r="AB45" s="138" t="n">
        <f aca="false">-IF(AND(26&gt;=Hipótesis!$D$49,Hipótesis!$B$49=1),IF(Hipótesis!$G$49=1,Hipótesis!$E$44,Hipótesis!$C$49*(1+Hipótesis!$D$45)^2)*(1+Hipótesis!$D$42),0)</f>
        <v>-5280</v>
      </c>
      <c r="AC45" s="138" t="n">
        <f aca="false">-IF(AND(27&gt;=Hipótesis!$D$49,Hipótesis!$B$49=1),IF(Hipótesis!$G$49=1,Hipótesis!$E$44,Hipótesis!$C$49*(1+Hipótesis!$D$45)^2)*(1+Hipótesis!$D$42),0)</f>
        <v>-5280</v>
      </c>
      <c r="AD45" s="138" t="n">
        <f aca="false">-IF(AND(28&gt;=Hipótesis!$D$49,Hipótesis!$B$49=1),IF(Hipótesis!$G$49=1,Hipótesis!$E$44,Hipótesis!$C$49*(1+Hipótesis!$D$45)^2)*(1+Hipótesis!$D$42),0)</f>
        <v>-5280</v>
      </c>
      <c r="AE45" s="138" t="n">
        <f aca="false">-IF(AND(29&gt;=Hipótesis!$D$49,Hipótesis!$B$49=1),IF(Hipótesis!$G$49=1,Hipótesis!$E$44,Hipótesis!$C$49*(1+Hipótesis!$D$45)^2)*(1+Hipótesis!$D$42),0)</f>
        <v>-5280</v>
      </c>
      <c r="AF45" s="138" t="n">
        <f aca="false">-IF(AND(30&gt;=Hipótesis!$D$49,Hipótesis!$B$49=1),IF(Hipótesis!$G$49=1,Hipótesis!$E$44,Hipótesis!$C$49*(1+Hipótesis!$D$45)^2)*(1+Hipótesis!$D$42),0)</f>
        <v>-5280</v>
      </c>
      <c r="AG45" s="138" t="n">
        <f aca="false">-IF(AND(31&gt;=Hipótesis!$D$49,Hipótesis!$B$49=1),IF(Hipótesis!$G$49=1,Hipótesis!$E$44,Hipótesis!$C$49*(1+Hipótesis!$D$45)^2)*(1+Hipótesis!$D$42),0)</f>
        <v>-5280</v>
      </c>
      <c r="AH45" s="138" t="n">
        <f aca="false">-IF(AND(32&gt;=Hipótesis!$D$49,Hipótesis!$B$49=1),IF(Hipótesis!$G$49=1,Hipótesis!$E$44,Hipótesis!$C$49*(1+Hipótesis!$D$45)^2)*(1+Hipótesis!$D$42),0)</f>
        <v>-5280</v>
      </c>
      <c r="AI45" s="138" t="n">
        <f aca="false">-IF(AND(33&gt;=Hipótesis!$D$49,Hipótesis!$B$49=1),IF(Hipótesis!$G$49=1,Hipótesis!$E$44,Hipótesis!$C$49*(1+Hipótesis!$D$45)^2)*(1+Hipótesis!$D$42),0)</f>
        <v>-5280</v>
      </c>
      <c r="AJ45" s="138" t="n">
        <f aca="false">-IF(AND(34&gt;=Hipótesis!$D$49,Hipótesis!$B$49=1),IF(Hipótesis!$G$49=1,Hipótesis!$E$44,Hipótesis!$C$49*(1+Hipótesis!$D$45)^2)*(1+Hipótesis!$D$42),0)</f>
        <v>-5280</v>
      </c>
      <c r="AK45" s="138" t="n">
        <f aca="false">-IF(AND(35&gt;=Hipótesis!$D$49,Hipótesis!$B$49=1),IF(Hipótesis!$G$49=1,Hipótesis!$E$44,Hipótesis!$C$49*(1+Hipótesis!$D$45)^2)*(1+Hipótesis!$D$42),0)</f>
        <v>-5280</v>
      </c>
      <c r="AL45" s="138" t="n">
        <f aca="false">-IF(AND(36&gt;=Hipótesis!$D$49,Hipótesis!$B$49=1),IF(Hipótesis!$G$49=1,Hipótesis!$E$44,Hipótesis!$C$49*(1+Hipótesis!$D$45)^2)*(1+Hipótesis!$D$42),0)</f>
        <v>-5280</v>
      </c>
      <c r="AM45" s="138" t="n">
        <f aca="false">-IF(AND(37&gt;=Hipótesis!$D$49,Hipótesis!$B$49=1),IF(Hipótesis!$G$49=1,Hipótesis!$F$44,Hipótesis!$C$49*(1+Hipótesis!$D$45)^3)*(1+Hipótesis!$D$42),0)</f>
        <v>-5940</v>
      </c>
      <c r="AN45" s="138" t="n">
        <f aca="false">-IF(AND(38&gt;=Hipótesis!$D$49,Hipótesis!$B$49=1),IF(Hipótesis!$G$49=1,Hipótesis!$F$44,Hipótesis!$C$49*(1+Hipótesis!$D$45)^3)*(1+Hipótesis!$D$42),0)</f>
        <v>-5940</v>
      </c>
      <c r="AO45" s="138" t="n">
        <f aca="false">-IF(AND(39&gt;=Hipótesis!$D$49,Hipótesis!$B$49=1),IF(Hipótesis!$G$49=1,Hipótesis!$F$44,Hipótesis!$C$49*(1+Hipótesis!$D$45)^3)*(1+Hipótesis!$D$42),0)</f>
        <v>-5940</v>
      </c>
      <c r="AP45" s="138" t="n">
        <f aca="false">-IF(AND(40&gt;=Hipótesis!$D$49,Hipótesis!$B$49=1),IF(Hipótesis!$G$49=1,Hipótesis!$F$44,Hipótesis!$C$49*(1+Hipótesis!$D$45)^3)*(1+Hipótesis!$D$42),0)</f>
        <v>-5940</v>
      </c>
      <c r="AQ45" s="138" t="n">
        <f aca="false">-IF(AND(41&gt;=Hipótesis!$D$49,Hipótesis!$B$49=1),IF(Hipótesis!$G$49=1,Hipótesis!$F$44,Hipótesis!$C$49*(1+Hipótesis!$D$45)^3)*(1+Hipótesis!$D$42),0)</f>
        <v>-5940</v>
      </c>
      <c r="AR45" s="138" t="n">
        <f aca="false">-IF(AND(42&gt;=Hipótesis!$D$49,Hipótesis!$B$49=1),IF(Hipótesis!$G$49=1,Hipótesis!$F$44,Hipótesis!$C$49*(1+Hipótesis!$D$45)^3)*(1+Hipótesis!$D$42),0)</f>
        <v>-5940</v>
      </c>
      <c r="AS45" s="138" t="n">
        <f aca="false">-IF(AND(43&gt;=Hipótesis!$D$49,Hipótesis!$B$49=1),IF(Hipótesis!$G$49=1,Hipótesis!$F$44,Hipótesis!$C$49*(1+Hipótesis!$D$45)^3)*(1+Hipótesis!$D$42),0)</f>
        <v>-5940</v>
      </c>
      <c r="AT45" s="138" t="n">
        <f aca="false">-IF(AND(44&gt;=Hipótesis!$D$49,Hipótesis!$B$49=1),IF(Hipótesis!$G$49=1,Hipótesis!$F$44,Hipótesis!$C$49*(1+Hipótesis!$D$45)^3)*(1+Hipótesis!$D$42),0)</f>
        <v>-5940</v>
      </c>
      <c r="AU45" s="138" t="n">
        <f aca="false">-IF(AND(45&gt;=Hipótesis!$D$49,Hipótesis!$B$49=1),IF(Hipótesis!$G$49=1,Hipótesis!$F$44,Hipótesis!$C$49*(1+Hipótesis!$D$45)^3)*(1+Hipótesis!$D$42),0)</f>
        <v>-5940</v>
      </c>
      <c r="AV45" s="138" t="n">
        <f aca="false">-IF(AND(46&gt;=Hipótesis!$D$49,Hipótesis!$B$49=1),IF(Hipótesis!$G$49=1,Hipótesis!$F$44,Hipótesis!$C$49*(1+Hipótesis!$D$45)^3)*(1+Hipótesis!$D$42),0)</f>
        <v>-5940</v>
      </c>
      <c r="AW45" s="138" t="n">
        <f aca="false">-IF(AND(47&gt;=Hipótesis!$D$49,Hipótesis!$B$49=1),IF(Hipótesis!$G$49=1,Hipótesis!$F$44,Hipótesis!$C$49*(1+Hipótesis!$D$45)^3)*(1+Hipótesis!$D$42),0)</f>
        <v>-5940</v>
      </c>
      <c r="AX45" s="138" t="n">
        <f aca="false">-IF(AND(48&gt;=Hipótesis!$D$49,Hipótesis!$B$49=1),IF(Hipótesis!$G$49=1,Hipótesis!$F$44,Hipótesis!$C$49*(1+Hipótesis!$D$45)^3)*(1+Hipótesis!$D$42),0)</f>
        <v>-5940</v>
      </c>
      <c r="AY45" s="138" t="n">
        <f aca="false">-IF(AND(49&gt;=Hipótesis!$D$49,Hipótesis!$B$49=1),IF(Hipótesis!$G$49=1,Hipótesis!$G$44,Hipótesis!$C$49*(1+Hipótesis!$D$45)^4)*(1+Hipótesis!$D$42),0)</f>
        <v>-6600</v>
      </c>
      <c r="AZ45" s="138" t="n">
        <f aca="false">-IF(AND(50&gt;=Hipótesis!$D$49,Hipótesis!$B$49=1),IF(Hipótesis!$G$49=1,Hipótesis!$G$44,Hipótesis!$C$49*(1+Hipótesis!$D$45)^4)*(1+Hipótesis!$D$42),0)</f>
        <v>-6600</v>
      </c>
      <c r="BA45" s="138" t="n">
        <f aca="false">-IF(AND(51&gt;=Hipótesis!$D$49,Hipótesis!$B$49=1),IF(Hipótesis!$G$49=1,Hipótesis!$G$44,Hipótesis!$C$49*(1+Hipótesis!$D$45)^4)*(1+Hipótesis!$D$42),0)</f>
        <v>-6600</v>
      </c>
      <c r="BB45" s="138" t="n">
        <f aca="false">-IF(AND(52&gt;=Hipótesis!$D$49,Hipótesis!$B$49=1),IF(Hipótesis!$G$49=1,Hipótesis!$G$44,Hipótesis!$C$49*(1+Hipótesis!$D$45)^4)*(1+Hipótesis!$D$42),0)</f>
        <v>-6600</v>
      </c>
      <c r="BC45" s="138" t="n">
        <f aca="false">-IF(AND(53&gt;=Hipótesis!$D$49,Hipótesis!$B$49=1),IF(Hipótesis!$G$49=1,Hipótesis!$G$44,Hipótesis!$C$49*(1+Hipótesis!$D$45)^4)*(1+Hipótesis!$D$42),0)</f>
        <v>-6600</v>
      </c>
      <c r="BD45" s="138" t="n">
        <f aca="false">-IF(AND(54&gt;=Hipótesis!$D$49,Hipótesis!$B$49=1),IF(Hipótesis!$G$49=1,Hipótesis!$G$44,Hipótesis!$C$49*(1+Hipótesis!$D$45)^4)*(1+Hipótesis!$D$42),0)</f>
        <v>-6600</v>
      </c>
      <c r="BE45" s="138" t="n">
        <f aca="false">-IF(AND(55&gt;=Hipótesis!$D$49,Hipótesis!$B$49=1),IF(Hipótesis!$G$49=1,Hipótesis!$G$44,Hipótesis!$C$49*(1+Hipótesis!$D$45)^4)*(1+Hipótesis!$D$42),0)</f>
        <v>-6600</v>
      </c>
      <c r="BF45" s="138" t="n">
        <f aca="false">-IF(AND(56&gt;=Hipótesis!$D$49,Hipótesis!$B$49=1),IF(Hipótesis!$G$49=1,Hipótesis!$G$44,Hipótesis!$C$49*(1+Hipótesis!$D$45)^4)*(1+Hipótesis!$D$42),0)</f>
        <v>-6600</v>
      </c>
      <c r="BG45" s="138" t="n">
        <f aca="false">-IF(AND(57&gt;=Hipótesis!$D$49,Hipótesis!$B$49=1),IF(Hipótesis!$G$49=1,Hipótesis!$G$44,Hipótesis!$C$49*(1+Hipótesis!$D$45)^4)*(1+Hipótesis!$D$42),0)</f>
        <v>-6600</v>
      </c>
      <c r="BH45" s="138" t="n">
        <f aca="false">-IF(AND(58&gt;=Hipótesis!$D$49,Hipótesis!$B$49=1),IF(Hipótesis!$G$49=1,Hipótesis!$G$44,Hipótesis!$C$49*(1+Hipótesis!$D$45)^4)*(1+Hipótesis!$D$42),0)</f>
        <v>-6600</v>
      </c>
      <c r="BI45" s="138" t="n">
        <f aca="false">-IF(AND(59&gt;=Hipótesis!$D$49,Hipótesis!$B$49=1),IF(Hipótesis!$G$49=1,Hipótesis!$G$44,Hipótesis!$C$49*(1+Hipótesis!$D$45)^4)*(1+Hipótesis!$D$42),0)</f>
        <v>-6600</v>
      </c>
      <c r="BJ45" s="138" t="n">
        <f aca="false">-IF(AND(60&gt;=Hipótesis!$D$49,Hipótesis!$B$49=1),IF(Hipótesis!$G$49=1,Hipótesis!$G$44,Hipótesis!$C$49*(1+Hipótesis!$D$45)^4)*(1+Hipótesis!$D$42),0)</f>
        <v>-6600</v>
      </c>
      <c r="BK45" s="138" t="n">
        <f aca="false">-IF(AND(61&gt;=Hipótesis!$D$49,Hipótesis!$B$49=1),IF(Hipótesis!$G$49=1,Hipótesis!$H$44,Hipótesis!$C$49*(1+Hipótesis!$D$45)^5)*(1+Hipótesis!$D$42),0)</f>
        <v>-7260</v>
      </c>
      <c r="BL45" s="138" t="n">
        <f aca="false">-IF(AND(62&gt;=Hipótesis!$D$49,Hipótesis!$B$49=1),IF(Hipótesis!$G$49=1,Hipótesis!$H$44,Hipótesis!$C$49*(1+Hipótesis!$D$45)^5)*(1+Hipótesis!$D$42),0)</f>
        <v>-7260</v>
      </c>
      <c r="BM45" s="138" t="n">
        <f aca="false">-IF(AND(63&gt;=Hipótesis!$D$49,Hipótesis!$B$49=1),IF(Hipótesis!$G$49=1,Hipótesis!$H$44,Hipótesis!$C$49*(1+Hipótesis!$D$45)^5)*(1+Hipótesis!$D$42),0)</f>
        <v>-7260</v>
      </c>
      <c r="BN45" s="138" t="n">
        <f aca="false">-IF(AND(64&gt;=Hipótesis!$D$49,Hipótesis!$B$49=1),IF(Hipótesis!$G$49=1,Hipótesis!$H$44,Hipótesis!$C$49*(1+Hipótesis!$D$45)^5)*(1+Hipótesis!$D$42),0)</f>
        <v>-7260</v>
      </c>
      <c r="BO45" s="138" t="n">
        <f aca="false">-IF(AND(65&gt;=Hipótesis!$D$49,Hipótesis!$B$49=1),IF(Hipótesis!$G$49=1,Hipótesis!$H$44,Hipótesis!$C$49*(1+Hipótesis!$D$45)^5)*(1+Hipótesis!$D$42),0)</f>
        <v>-7260</v>
      </c>
      <c r="BP45" s="138" t="n">
        <f aca="false">-IF(AND(66&gt;=Hipótesis!$D$49,Hipótesis!$B$49=1),IF(Hipótesis!$G$49=1,Hipótesis!$H$44,Hipótesis!$C$49*(1+Hipótesis!$D$45)^5)*(1+Hipótesis!$D$42),0)</f>
        <v>-7260</v>
      </c>
      <c r="BQ45" s="138" t="n">
        <f aca="false">-IF(AND(67&gt;=Hipótesis!$D$49,Hipótesis!$B$49=1),IF(Hipótesis!$G$49=1,Hipótesis!$H$44,Hipótesis!$C$49*(1+Hipótesis!$D$45)^5)*(1+Hipótesis!$D$42),0)</f>
        <v>-7260</v>
      </c>
      <c r="BR45" s="138" t="n">
        <f aca="false">-IF(AND(68&gt;=Hipótesis!$D$49,Hipótesis!$B$49=1),IF(Hipótesis!$G$49=1,Hipótesis!$H$44,Hipótesis!$C$49*(1+Hipótesis!$D$45)^5)*(1+Hipótesis!$D$42),0)</f>
        <v>-7260</v>
      </c>
      <c r="BS45" s="138" t="n">
        <f aca="false">-IF(AND(69&gt;=Hipótesis!$D$49,Hipótesis!$B$49=1),IF(Hipótesis!$G$49=1,Hipótesis!$H$44,Hipótesis!$C$49*(1+Hipótesis!$D$45)^5)*(1+Hipótesis!$D$42),0)</f>
        <v>-7260</v>
      </c>
      <c r="BT45" s="138" t="n">
        <f aca="false">-IF(AND(70&gt;=Hipótesis!$D$49,Hipótesis!$B$49=1),IF(Hipótesis!$G$49=1,Hipótesis!$H$44,Hipótesis!$C$49*(1+Hipótesis!$D$45)^5)*(1+Hipótesis!$D$42),0)</f>
        <v>-7260</v>
      </c>
      <c r="BU45" s="138" t="n">
        <f aca="false">-IF(AND(71&gt;=Hipótesis!$D$49,Hipótesis!$B$49=1),IF(Hipótesis!$G$49=1,Hipótesis!$H$44,Hipótesis!$C$49*(1+Hipótesis!$D$45)^5)*(1+Hipótesis!$D$42),0)</f>
        <v>-7260</v>
      </c>
      <c r="BV45" s="138" t="n">
        <f aca="false">-IF(AND(72&gt;=Hipótesis!$D$49,Hipótesis!$B$49=1),IF(Hipótesis!$G$49=1,Hipótesis!$H$44,Hipótesis!$C$49*(1+Hipótesis!$D$45)^5)*(1+Hipótesis!$D$42),0)</f>
        <v>-7260</v>
      </c>
      <c r="BW45" s="138" t="n">
        <f aca="false">-IF(AND(73&gt;=Hipótesis!$D$49,Hipótesis!$B$49=1),IF(Hipótesis!$G$49=1,Hipótesis!$I$44,Hipótesis!$C$49*(1+Hipótesis!$D$45)^6)*(1+Hipótesis!$D$42),0)</f>
        <v>-7920</v>
      </c>
      <c r="BX45" s="138" t="n">
        <f aca="false">-IF(AND(74&gt;=Hipótesis!$D$49,Hipótesis!$B$49=1),IF(Hipótesis!$G$49=1,Hipótesis!$I$44,Hipótesis!$C$49*(1+Hipótesis!$D$45)^6)*(1+Hipótesis!$D$42),0)</f>
        <v>-7920</v>
      </c>
      <c r="BY45" s="138" t="n">
        <f aca="false">-IF(AND(75&gt;=Hipótesis!$D$49,Hipótesis!$B$49=1),IF(Hipótesis!$G$49=1,Hipótesis!$I$44,Hipótesis!$C$49*(1+Hipótesis!$D$45)^6)*(1+Hipótesis!$D$42),0)</f>
        <v>-7920</v>
      </c>
      <c r="BZ45" s="138" t="n">
        <f aca="false">-IF(AND(76&gt;=Hipótesis!$D$49,Hipótesis!$B$49=1),IF(Hipótesis!$G$49=1,Hipótesis!$I$44,Hipótesis!$C$49*(1+Hipótesis!$D$45)^6)*(1+Hipótesis!$D$42),0)</f>
        <v>-7920</v>
      </c>
      <c r="CA45" s="138" t="n">
        <f aca="false">-IF(AND(77&gt;=Hipótesis!$D$49,Hipótesis!$B$49=1),IF(Hipótesis!$G$49=1,Hipótesis!$I$44,Hipótesis!$C$49*(1+Hipótesis!$D$45)^6)*(1+Hipótesis!$D$42),0)</f>
        <v>-7920</v>
      </c>
      <c r="CB45" s="138" t="n">
        <f aca="false">-IF(AND(78&gt;=Hipótesis!$D$49,Hipótesis!$B$49=1),IF(Hipótesis!$G$49=1,Hipótesis!$I$44,Hipótesis!$C$49*(1+Hipótesis!$D$45)^6)*(1+Hipótesis!$D$42),0)</f>
        <v>-7920</v>
      </c>
      <c r="CC45" s="138" t="n">
        <f aca="false">-IF(AND(79&gt;=Hipótesis!$D$49,Hipótesis!$B$49=1),IF(Hipótesis!$G$49=1,Hipótesis!$I$44,Hipótesis!$C$49*(1+Hipótesis!$D$45)^6)*(1+Hipótesis!$D$42),0)</f>
        <v>-7920</v>
      </c>
      <c r="CD45" s="138" t="n">
        <f aca="false">-IF(AND(80&gt;=Hipótesis!$D$49,Hipótesis!$B$49=1),IF(Hipótesis!$G$49=1,Hipótesis!$I$44,Hipótesis!$C$49*(1+Hipótesis!$D$45)^6)*(1+Hipótesis!$D$42),0)</f>
        <v>-7920</v>
      </c>
      <c r="CE45" s="138" t="n">
        <f aca="false">-IF(AND(81&gt;=Hipótesis!$D$49,Hipótesis!$B$49=1),IF(Hipótesis!$G$49=1,Hipótesis!$I$44,Hipótesis!$C$49*(1+Hipótesis!$D$45)^6)*(1+Hipótesis!$D$42),0)</f>
        <v>-7920</v>
      </c>
      <c r="CF45" s="138" t="n">
        <f aca="false">-IF(AND(82&gt;=Hipótesis!$D$49,Hipótesis!$B$49=1),IF(Hipótesis!$G$49=1,Hipótesis!$I$44,Hipótesis!$C$49*(1+Hipótesis!$D$45)^6)*(1+Hipótesis!$D$42),0)</f>
        <v>-7920</v>
      </c>
      <c r="CG45" s="138" t="n">
        <f aca="false">-IF(AND(83&gt;=Hipótesis!$D$49,Hipótesis!$B$49=1),IF(Hipótesis!$G$49=1,Hipótesis!$I$44,Hipótesis!$C$49*(1+Hipótesis!$D$45)^6)*(1+Hipótesis!$D$42),0)</f>
        <v>-7920</v>
      </c>
      <c r="CH45" s="138" t="n">
        <f aca="false">-IF(AND(84&gt;=Hipótesis!$D$49,Hipótesis!$B$49=1),IF(Hipótesis!$G$49=1,Hipótesis!$I$44,Hipótesis!$C$49*(1+Hipótesis!$D$45)^6)*(1+Hipótesis!$D$42),0)</f>
        <v>-7920</v>
      </c>
    </row>
    <row r="46" customFormat="false" ht="13.5" hidden="false" customHeight="true" outlineLevel="0" collapsed="false">
      <c r="A46" s="13" t="s">
        <v>727</v>
      </c>
      <c r="C46" s="138" t="n">
        <f aca="false">-IF(AND(1&gt;=Hipótesis!$D$50,Hipótesis!$B$50=1),IF(Hipótesis!$G$50=1,Hipótesis!$C$44,Hipótesis!$C$50*(1+Hipótesis!$D$45)^0)*(1+Hipótesis!$D$42),0)</f>
        <v>-2904</v>
      </c>
      <c r="D46" s="138" t="n">
        <f aca="false">-IF(AND(2&gt;=Hipótesis!$D$50,Hipótesis!$B$50=1),IF(Hipótesis!$G$50=1,Hipótesis!$C$44,Hipótesis!$C$50*(1+Hipótesis!$D$45)^0)*(1+Hipótesis!$D$42),0)</f>
        <v>-2904</v>
      </c>
      <c r="E46" s="138" t="n">
        <f aca="false">-IF(AND(3&gt;=Hipótesis!$D$50,Hipótesis!$B$50=1),IF(Hipótesis!$G$50=1,Hipótesis!$C$44,Hipótesis!$C$50*(1+Hipótesis!$D$45)^0)*(1+Hipótesis!$D$42),0)</f>
        <v>-2904</v>
      </c>
      <c r="F46" s="138" t="n">
        <f aca="false">-IF(AND(4&gt;=Hipótesis!$D$50,Hipótesis!$B$50=1),IF(Hipótesis!$G$50=1,Hipótesis!$C$44,Hipótesis!$C$50*(1+Hipótesis!$D$45)^0)*(1+Hipótesis!$D$42),0)</f>
        <v>-2904</v>
      </c>
      <c r="G46" s="138" t="n">
        <f aca="false">-IF(AND(5&gt;=Hipótesis!$D$50,Hipótesis!$B$50=1),IF(Hipótesis!$G$50=1,Hipótesis!$C$44,Hipótesis!$C$50*(1+Hipótesis!$D$45)^0)*(1+Hipótesis!$D$42),0)</f>
        <v>-2904</v>
      </c>
      <c r="H46" s="138" t="n">
        <f aca="false">-IF(AND(6&gt;=Hipótesis!$D$50,Hipótesis!$B$50=1),IF(Hipótesis!$G$50=1,Hipótesis!$C$44,Hipótesis!$C$50*(1+Hipótesis!$D$45)^0)*(1+Hipótesis!$D$42),0)</f>
        <v>-2904</v>
      </c>
      <c r="I46" s="138" t="n">
        <f aca="false">-IF(AND(7&gt;=Hipótesis!$D$50,Hipótesis!$B$50=1),IF(Hipótesis!$G$50=1,Hipótesis!$C$44,Hipótesis!$C$50*(1+Hipótesis!$D$45)^0)*(1+Hipótesis!$D$42),0)</f>
        <v>-2904</v>
      </c>
      <c r="J46" s="138" t="n">
        <f aca="false">-IF(AND(8&gt;=Hipótesis!$D$50,Hipótesis!$B$50=1),IF(Hipótesis!$G$50=1,Hipótesis!$C$44,Hipótesis!$C$50*(1+Hipótesis!$D$45)^0)*(1+Hipótesis!$D$42),0)</f>
        <v>-2904</v>
      </c>
      <c r="K46" s="138" t="n">
        <f aca="false">-IF(AND(9&gt;=Hipótesis!$D$50,Hipótesis!$B$50=1),IF(Hipótesis!$G$50=1,Hipótesis!$C$44,Hipótesis!$C$50*(1+Hipótesis!$D$45)^0)*(1+Hipótesis!$D$42),0)</f>
        <v>-2904</v>
      </c>
      <c r="L46" s="138" t="n">
        <f aca="false">-IF(AND(10&gt;=Hipótesis!$D$50,Hipótesis!$B$50=1),IF(Hipótesis!$G$50=1,Hipótesis!$C$44,Hipótesis!$C$50*(1+Hipótesis!$D$45)^0)*(1+Hipótesis!$D$42),0)</f>
        <v>-2904</v>
      </c>
      <c r="M46" s="138" t="n">
        <f aca="false">-IF(AND(11&gt;=Hipótesis!$D$50,Hipótesis!$B$50=1),IF(Hipótesis!$G$50=1,Hipótesis!$C$44,Hipótesis!$C$50*(1+Hipótesis!$D$45)^0)*(1+Hipótesis!$D$42),0)</f>
        <v>-2904</v>
      </c>
      <c r="N46" s="138" t="n">
        <f aca="false">-IF(AND(12&gt;=Hipótesis!$D$50,Hipótesis!$B$50=1),IF(Hipótesis!$G$50=1,Hipótesis!$C$44,Hipótesis!$C$50*(1+Hipótesis!$D$45)^0)*(1+Hipótesis!$D$42),0)</f>
        <v>-2904</v>
      </c>
      <c r="O46" s="138" t="n">
        <f aca="false">-IF(AND(13&gt;=Hipótesis!$D$50,Hipótesis!$B$50=1),IF(Hipótesis!$G$50=1,Hipótesis!$D$44,Hipótesis!$C$50*(1+Hipótesis!$D$45)^1)*(1+Hipótesis!$D$42),0)</f>
        <v>-4620</v>
      </c>
      <c r="P46" s="138" t="n">
        <f aca="false">-IF(AND(14&gt;=Hipótesis!$D$50,Hipótesis!$B$50=1),IF(Hipótesis!$G$50=1,Hipótesis!$D$44,Hipótesis!$C$50*(1+Hipótesis!$D$45)^1)*(1+Hipótesis!$D$42),0)</f>
        <v>-4620</v>
      </c>
      <c r="Q46" s="138" t="n">
        <f aca="false">-IF(AND(15&gt;=Hipótesis!$D$50,Hipótesis!$B$50=1),IF(Hipótesis!$G$50=1,Hipótesis!$D$44,Hipótesis!$C$50*(1+Hipótesis!$D$45)^1)*(1+Hipótesis!$D$42),0)</f>
        <v>-4620</v>
      </c>
      <c r="R46" s="138" t="n">
        <f aca="false">-IF(AND(16&gt;=Hipótesis!$D$50,Hipótesis!$B$50=1),IF(Hipótesis!$G$50=1,Hipótesis!$D$44,Hipótesis!$C$50*(1+Hipótesis!$D$45)^1)*(1+Hipótesis!$D$42),0)</f>
        <v>-4620</v>
      </c>
      <c r="S46" s="138" t="n">
        <f aca="false">-IF(AND(17&gt;=Hipótesis!$D$50,Hipótesis!$B$50=1),IF(Hipótesis!$G$50=1,Hipótesis!$D$44,Hipótesis!$C$50*(1+Hipótesis!$D$45)^1)*(1+Hipótesis!$D$42),0)</f>
        <v>-4620</v>
      </c>
      <c r="T46" s="138" t="n">
        <f aca="false">-IF(AND(18&gt;=Hipótesis!$D$50,Hipótesis!$B$50=1),IF(Hipótesis!$G$50=1,Hipótesis!$D$44,Hipótesis!$C$50*(1+Hipótesis!$D$45)^1)*(1+Hipótesis!$D$42),0)</f>
        <v>-4620</v>
      </c>
      <c r="U46" s="138" t="n">
        <f aca="false">-IF(AND(19&gt;=Hipótesis!$D$50,Hipótesis!$B$50=1),IF(Hipótesis!$G$50=1,Hipótesis!$D$44,Hipótesis!$C$50*(1+Hipótesis!$D$45)^1)*(1+Hipótesis!$D$42),0)</f>
        <v>-4620</v>
      </c>
      <c r="V46" s="138" t="n">
        <f aca="false">-IF(AND(20&gt;=Hipótesis!$D$50,Hipótesis!$B$50=1),IF(Hipótesis!$G$50=1,Hipótesis!$D$44,Hipótesis!$C$50*(1+Hipótesis!$D$45)^1)*(1+Hipótesis!$D$42),0)</f>
        <v>-4620</v>
      </c>
      <c r="W46" s="138" t="n">
        <f aca="false">-IF(AND(21&gt;=Hipótesis!$D$50,Hipótesis!$B$50=1),IF(Hipótesis!$G$50=1,Hipótesis!$D$44,Hipótesis!$C$50*(1+Hipótesis!$D$45)^1)*(1+Hipótesis!$D$42),0)</f>
        <v>-4620</v>
      </c>
      <c r="X46" s="138" t="n">
        <f aca="false">-IF(AND(22&gt;=Hipótesis!$D$50,Hipótesis!$B$50=1),IF(Hipótesis!$G$50=1,Hipótesis!$D$44,Hipótesis!$C$50*(1+Hipótesis!$D$45)^1)*(1+Hipótesis!$D$42),0)</f>
        <v>-4620</v>
      </c>
      <c r="Y46" s="138" t="n">
        <f aca="false">-IF(AND(23&gt;=Hipótesis!$D$50,Hipótesis!$B$50=1),IF(Hipótesis!$G$50=1,Hipótesis!$D$44,Hipótesis!$C$50*(1+Hipótesis!$D$45)^1)*(1+Hipótesis!$D$42),0)</f>
        <v>-4620</v>
      </c>
      <c r="Z46" s="138" t="n">
        <f aca="false">-IF(AND(24&gt;=Hipótesis!$D$50,Hipótesis!$B$50=1),IF(Hipótesis!$G$50=1,Hipótesis!$D$44,Hipótesis!$C$50*(1+Hipótesis!$D$45)^1)*(1+Hipótesis!$D$42),0)</f>
        <v>-4620</v>
      </c>
      <c r="AA46" s="138" t="n">
        <f aca="false">-IF(AND(25&gt;=Hipótesis!$D$50,Hipótesis!$B$50=1),IF(Hipótesis!$G$50=1,Hipótesis!$E$44,Hipótesis!$C$50*(1+Hipótesis!$D$45)^2)*(1+Hipótesis!$D$42),0)</f>
        <v>-5280</v>
      </c>
      <c r="AB46" s="138" t="n">
        <f aca="false">-IF(AND(26&gt;=Hipótesis!$D$50,Hipótesis!$B$50=1),IF(Hipótesis!$G$50=1,Hipótesis!$E$44,Hipótesis!$C$50*(1+Hipótesis!$D$45)^2)*(1+Hipótesis!$D$42),0)</f>
        <v>-5280</v>
      </c>
      <c r="AC46" s="138" t="n">
        <f aca="false">-IF(AND(27&gt;=Hipótesis!$D$50,Hipótesis!$B$50=1),IF(Hipótesis!$G$50=1,Hipótesis!$E$44,Hipótesis!$C$50*(1+Hipótesis!$D$45)^2)*(1+Hipótesis!$D$42),0)</f>
        <v>-5280</v>
      </c>
      <c r="AD46" s="138" t="n">
        <f aca="false">-IF(AND(28&gt;=Hipótesis!$D$50,Hipótesis!$B$50=1),IF(Hipótesis!$G$50=1,Hipótesis!$E$44,Hipótesis!$C$50*(1+Hipótesis!$D$45)^2)*(1+Hipótesis!$D$42),0)</f>
        <v>-5280</v>
      </c>
      <c r="AE46" s="138" t="n">
        <f aca="false">-IF(AND(29&gt;=Hipótesis!$D$50,Hipótesis!$B$50=1),IF(Hipótesis!$G$50=1,Hipótesis!$E$44,Hipótesis!$C$50*(1+Hipótesis!$D$45)^2)*(1+Hipótesis!$D$42),0)</f>
        <v>-5280</v>
      </c>
      <c r="AF46" s="138" t="n">
        <f aca="false">-IF(AND(30&gt;=Hipótesis!$D$50,Hipótesis!$B$50=1),IF(Hipótesis!$G$50=1,Hipótesis!$E$44,Hipótesis!$C$50*(1+Hipótesis!$D$45)^2)*(1+Hipótesis!$D$42),0)</f>
        <v>-5280</v>
      </c>
      <c r="AG46" s="138" t="n">
        <f aca="false">-IF(AND(31&gt;=Hipótesis!$D$50,Hipótesis!$B$50=1),IF(Hipótesis!$G$50=1,Hipótesis!$E$44,Hipótesis!$C$50*(1+Hipótesis!$D$45)^2)*(1+Hipótesis!$D$42),0)</f>
        <v>-5280</v>
      </c>
      <c r="AH46" s="138" t="n">
        <f aca="false">-IF(AND(32&gt;=Hipótesis!$D$50,Hipótesis!$B$50=1),IF(Hipótesis!$G$50=1,Hipótesis!$E$44,Hipótesis!$C$50*(1+Hipótesis!$D$45)^2)*(1+Hipótesis!$D$42),0)</f>
        <v>-5280</v>
      </c>
      <c r="AI46" s="138" t="n">
        <f aca="false">-IF(AND(33&gt;=Hipótesis!$D$50,Hipótesis!$B$50=1),IF(Hipótesis!$G$50=1,Hipótesis!$E$44,Hipótesis!$C$50*(1+Hipótesis!$D$45)^2)*(1+Hipótesis!$D$42),0)</f>
        <v>-5280</v>
      </c>
      <c r="AJ46" s="138" t="n">
        <f aca="false">-IF(AND(34&gt;=Hipótesis!$D$50,Hipótesis!$B$50=1),IF(Hipótesis!$G$50=1,Hipótesis!$E$44,Hipótesis!$C$50*(1+Hipótesis!$D$45)^2)*(1+Hipótesis!$D$42),0)</f>
        <v>-5280</v>
      </c>
      <c r="AK46" s="138" t="n">
        <f aca="false">-IF(AND(35&gt;=Hipótesis!$D$50,Hipótesis!$B$50=1),IF(Hipótesis!$G$50=1,Hipótesis!$E$44,Hipótesis!$C$50*(1+Hipótesis!$D$45)^2)*(1+Hipótesis!$D$42),0)</f>
        <v>-5280</v>
      </c>
      <c r="AL46" s="138" t="n">
        <f aca="false">-IF(AND(36&gt;=Hipótesis!$D$50,Hipótesis!$B$50=1),IF(Hipótesis!$G$50=1,Hipótesis!$E$44,Hipótesis!$C$50*(1+Hipótesis!$D$45)^2)*(1+Hipótesis!$D$42),0)</f>
        <v>-5280</v>
      </c>
      <c r="AM46" s="138" t="n">
        <f aca="false">-IF(AND(37&gt;=Hipótesis!$D$50,Hipótesis!$B$50=1),IF(Hipótesis!$G$50=1,Hipótesis!$F$44,Hipótesis!$C$50*(1+Hipótesis!$D$45)^3)*(1+Hipótesis!$D$42),0)</f>
        <v>-5940</v>
      </c>
      <c r="AN46" s="138" t="n">
        <f aca="false">-IF(AND(38&gt;=Hipótesis!$D$50,Hipótesis!$B$50=1),IF(Hipótesis!$G$50=1,Hipótesis!$F$44,Hipótesis!$C$50*(1+Hipótesis!$D$45)^3)*(1+Hipótesis!$D$42),0)</f>
        <v>-5940</v>
      </c>
      <c r="AO46" s="138" t="n">
        <f aca="false">-IF(AND(39&gt;=Hipótesis!$D$50,Hipótesis!$B$50=1),IF(Hipótesis!$G$50=1,Hipótesis!$F$44,Hipótesis!$C$50*(1+Hipótesis!$D$45)^3)*(1+Hipótesis!$D$42),0)</f>
        <v>-5940</v>
      </c>
      <c r="AP46" s="138" t="n">
        <f aca="false">-IF(AND(40&gt;=Hipótesis!$D$50,Hipótesis!$B$50=1),IF(Hipótesis!$G$50=1,Hipótesis!$F$44,Hipótesis!$C$50*(1+Hipótesis!$D$45)^3)*(1+Hipótesis!$D$42),0)</f>
        <v>-5940</v>
      </c>
      <c r="AQ46" s="138" t="n">
        <f aca="false">-IF(AND(41&gt;=Hipótesis!$D$50,Hipótesis!$B$50=1),IF(Hipótesis!$G$50=1,Hipótesis!$F$44,Hipótesis!$C$50*(1+Hipótesis!$D$45)^3)*(1+Hipótesis!$D$42),0)</f>
        <v>-5940</v>
      </c>
      <c r="AR46" s="138" t="n">
        <f aca="false">-IF(AND(42&gt;=Hipótesis!$D$50,Hipótesis!$B$50=1),IF(Hipótesis!$G$50=1,Hipótesis!$F$44,Hipótesis!$C$50*(1+Hipótesis!$D$45)^3)*(1+Hipótesis!$D$42),0)</f>
        <v>-5940</v>
      </c>
      <c r="AS46" s="138" t="n">
        <f aca="false">-IF(AND(43&gt;=Hipótesis!$D$50,Hipótesis!$B$50=1),IF(Hipótesis!$G$50=1,Hipótesis!$F$44,Hipótesis!$C$50*(1+Hipótesis!$D$45)^3)*(1+Hipótesis!$D$42),0)</f>
        <v>-5940</v>
      </c>
      <c r="AT46" s="138" t="n">
        <f aca="false">-IF(AND(44&gt;=Hipótesis!$D$50,Hipótesis!$B$50=1),IF(Hipótesis!$G$50=1,Hipótesis!$F$44,Hipótesis!$C$50*(1+Hipótesis!$D$45)^3)*(1+Hipótesis!$D$42),0)</f>
        <v>-5940</v>
      </c>
      <c r="AU46" s="138" t="n">
        <f aca="false">-IF(AND(45&gt;=Hipótesis!$D$50,Hipótesis!$B$50=1),IF(Hipótesis!$G$50=1,Hipótesis!$F$44,Hipótesis!$C$50*(1+Hipótesis!$D$45)^3)*(1+Hipótesis!$D$42),0)</f>
        <v>-5940</v>
      </c>
      <c r="AV46" s="138" t="n">
        <f aca="false">-IF(AND(46&gt;=Hipótesis!$D$50,Hipótesis!$B$50=1),IF(Hipótesis!$G$50=1,Hipótesis!$F$44,Hipótesis!$C$50*(1+Hipótesis!$D$45)^3)*(1+Hipótesis!$D$42),0)</f>
        <v>-5940</v>
      </c>
      <c r="AW46" s="138" t="n">
        <f aca="false">-IF(AND(47&gt;=Hipótesis!$D$50,Hipótesis!$B$50=1),IF(Hipótesis!$G$50=1,Hipótesis!$F$44,Hipótesis!$C$50*(1+Hipótesis!$D$45)^3)*(1+Hipótesis!$D$42),0)</f>
        <v>-5940</v>
      </c>
      <c r="AX46" s="138" t="n">
        <f aca="false">-IF(AND(48&gt;=Hipótesis!$D$50,Hipótesis!$B$50=1),IF(Hipótesis!$G$50=1,Hipótesis!$F$44,Hipótesis!$C$50*(1+Hipótesis!$D$45)^3)*(1+Hipótesis!$D$42),0)</f>
        <v>-5940</v>
      </c>
      <c r="AY46" s="138" t="n">
        <f aca="false">-IF(AND(49&gt;=Hipótesis!$D$50,Hipótesis!$B$50=1),IF(Hipótesis!$G$50=1,Hipótesis!$G$44,Hipótesis!$C$50*(1+Hipótesis!$D$45)^4)*(1+Hipótesis!$D$42),0)</f>
        <v>-6600</v>
      </c>
      <c r="AZ46" s="138" t="n">
        <f aca="false">-IF(AND(50&gt;=Hipótesis!$D$50,Hipótesis!$B$50=1),IF(Hipótesis!$G$50=1,Hipótesis!$G$44,Hipótesis!$C$50*(1+Hipótesis!$D$45)^4)*(1+Hipótesis!$D$42),0)</f>
        <v>-6600</v>
      </c>
      <c r="BA46" s="138" t="n">
        <f aca="false">-IF(AND(51&gt;=Hipótesis!$D$50,Hipótesis!$B$50=1),IF(Hipótesis!$G$50=1,Hipótesis!$G$44,Hipótesis!$C$50*(1+Hipótesis!$D$45)^4)*(1+Hipótesis!$D$42),0)</f>
        <v>-6600</v>
      </c>
      <c r="BB46" s="138" t="n">
        <f aca="false">-IF(AND(52&gt;=Hipótesis!$D$50,Hipótesis!$B$50=1),IF(Hipótesis!$G$50=1,Hipótesis!$G$44,Hipótesis!$C$50*(1+Hipótesis!$D$45)^4)*(1+Hipótesis!$D$42),0)</f>
        <v>-6600</v>
      </c>
      <c r="BC46" s="138" t="n">
        <f aca="false">-IF(AND(53&gt;=Hipótesis!$D$50,Hipótesis!$B$50=1),IF(Hipótesis!$G$50=1,Hipótesis!$G$44,Hipótesis!$C$50*(1+Hipótesis!$D$45)^4)*(1+Hipótesis!$D$42),0)</f>
        <v>-6600</v>
      </c>
      <c r="BD46" s="138" t="n">
        <f aca="false">-IF(AND(54&gt;=Hipótesis!$D$50,Hipótesis!$B$50=1),IF(Hipótesis!$G$50=1,Hipótesis!$G$44,Hipótesis!$C$50*(1+Hipótesis!$D$45)^4)*(1+Hipótesis!$D$42),0)</f>
        <v>-6600</v>
      </c>
      <c r="BE46" s="138" t="n">
        <f aca="false">-IF(AND(55&gt;=Hipótesis!$D$50,Hipótesis!$B$50=1),IF(Hipótesis!$G$50=1,Hipótesis!$G$44,Hipótesis!$C$50*(1+Hipótesis!$D$45)^4)*(1+Hipótesis!$D$42),0)</f>
        <v>-6600</v>
      </c>
      <c r="BF46" s="138" t="n">
        <f aca="false">-IF(AND(56&gt;=Hipótesis!$D$50,Hipótesis!$B$50=1),IF(Hipótesis!$G$50=1,Hipótesis!$G$44,Hipótesis!$C$50*(1+Hipótesis!$D$45)^4)*(1+Hipótesis!$D$42),0)</f>
        <v>-6600</v>
      </c>
      <c r="BG46" s="138" t="n">
        <f aca="false">-IF(AND(57&gt;=Hipótesis!$D$50,Hipótesis!$B$50=1),IF(Hipótesis!$G$50=1,Hipótesis!$G$44,Hipótesis!$C$50*(1+Hipótesis!$D$45)^4)*(1+Hipótesis!$D$42),0)</f>
        <v>-6600</v>
      </c>
      <c r="BH46" s="138" t="n">
        <f aca="false">-IF(AND(58&gt;=Hipótesis!$D$50,Hipótesis!$B$50=1),IF(Hipótesis!$G$50=1,Hipótesis!$G$44,Hipótesis!$C$50*(1+Hipótesis!$D$45)^4)*(1+Hipótesis!$D$42),0)</f>
        <v>-6600</v>
      </c>
      <c r="BI46" s="138" t="n">
        <f aca="false">-IF(AND(59&gt;=Hipótesis!$D$50,Hipótesis!$B$50=1),IF(Hipótesis!$G$50=1,Hipótesis!$G$44,Hipótesis!$C$50*(1+Hipótesis!$D$45)^4)*(1+Hipótesis!$D$42),0)</f>
        <v>-6600</v>
      </c>
      <c r="BJ46" s="138" t="n">
        <f aca="false">-IF(AND(60&gt;=Hipótesis!$D$50,Hipótesis!$B$50=1),IF(Hipótesis!$G$50=1,Hipótesis!$G$44,Hipótesis!$C$50*(1+Hipótesis!$D$45)^4)*(1+Hipótesis!$D$42),0)</f>
        <v>-6600</v>
      </c>
      <c r="BK46" s="138" t="n">
        <f aca="false">-IF(AND(61&gt;=Hipótesis!$D$50,Hipótesis!$B$50=1),IF(Hipótesis!$G$50=1,Hipótesis!$H$44,Hipótesis!$C$50*(1+Hipótesis!$D$45)^5)*(1+Hipótesis!$D$42),0)</f>
        <v>-7260</v>
      </c>
      <c r="BL46" s="138" t="n">
        <f aca="false">-IF(AND(62&gt;=Hipótesis!$D$50,Hipótesis!$B$50=1),IF(Hipótesis!$G$50=1,Hipótesis!$H$44,Hipótesis!$C$50*(1+Hipótesis!$D$45)^5)*(1+Hipótesis!$D$42),0)</f>
        <v>-7260</v>
      </c>
      <c r="BM46" s="138" t="n">
        <f aca="false">-IF(AND(63&gt;=Hipótesis!$D$50,Hipótesis!$B$50=1),IF(Hipótesis!$G$50=1,Hipótesis!$H$44,Hipótesis!$C$50*(1+Hipótesis!$D$45)^5)*(1+Hipótesis!$D$42),0)</f>
        <v>-7260</v>
      </c>
      <c r="BN46" s="138" t="n">
        <f aca="false">-IF(AND(64&gt;=Hipótesis!$D$50,Hipótesis!$B$50=1),IF(Hipótesis!$G$50=1,Hipótesis!$H$44,Hipótesis!$C$50*(1+Hipótesis!$D$45)^5)*(1+Hipótesis!$D$42),0)</f>
        <v>-7260</v>
      </c>
      <c r="BO46" s="138" t="n">
        <f aca="false">-IF(AND(65&gt;=Hipótesis!$D$50,Hipótesis!$B$50=1),IF(Hipótesis!$G$50=1,Hipótesis!$H$44,Hipótesis!$C$50*(1+Hipótesis!$D$45)^5)*(1+Hipótesis!$D$42),0)</f>
        <v>-7260</v>
      </c>
      <c r="BP46" s="138" t="n">
        <f aca="false">-IF(AND(66&gt;=Hipótesis!$D$50,Hipótesis!$B$50=1),IF(Hipótesis!$G$50=1,Hipótesis!$H$44,Hipótesis!$C$50*(1+Hipótesis!$D$45)^5)*(1+Hipótesis!$D$42),0)</f>
        <v>-7260</v>
      </c>
      <c r="BQ46" s="138" t="n">
        <f aca="false">-IF(AND(67&gt;=Hipótesis!$D$50,Hipótesis!$B$50=1),IF(Hipótesis!$G$50=1,Hipótesis!$H$44,Hipótesis!$C$50*(1+Hipótesis!$D$45)^5)*(1+Hipótesis!$D$42),0)</f>
        <v>-7260</v>
      </c>
      <c r="BR46" s="138" t="n">
        <f aca="false">-IF(AND(68&gt;=Hipótesis!$D$50,Hipótesis!$B$50=1),IF(Hipótesis!$G$50=1,Hipótesis!$H$44,Hipótesis!$C$50*(1+Hipótesis!$D$45)^5)*(1+Hipótesis!$D$42),0)</f>
        <v>-7260</v>
      </c>
      <c r="BS46" s="138" t="n">
        <f aca="false">-IF(AND(69&gt;=Hipótesis!$D$50,Hipótesis!$B$50=1),IF(Hipótesis!$G$50=1,Hipótesis!$H$44,Hipótesis!$C$50*(1+Hipótesis!$D$45)^5)*(1+Hipótesis!$D$42),0)</f>
        <v>-7260</v>
      </c>
      <c r="BT46" s="138" t="n">
        <f aca="false">-IF(AND(70&gt;=Hipótesis!$D$50,Hipótesis!$B$50=1),IF(Hipótesis!$G$50=1,Hipótesis!$H$44,Hipótesis!$C$50*(1+Hipótesis!$D$45)^5)*(1+Hipótesis!$D$42),0)</f>
        <v>-7260</v>
      </c>
      <c r="BU46" s="138" t="n">
        <f aca="false">-IF(AND(71&gt;=Hipótesis!$D$50,Hipótesis!$B$50=1),IF(Hipótesis!$G$50=1,Hipótesis!$H$44,Hipótesis!$C$50*(1+Hipótesis!$D$45)^5)*(1+Hipótesis!$D$42),0)</f>
        <v>-7260</v>
      </c>
      <c r="BV46" s="138" t="n">
        <f aca="false">-IF(AND(72&gt;=Hipótesis!$D$50,Hipótesis!$B$50=1),IF(Hipótesis!$G$50=1,Hipótesis!$H$44,Hipótesis!$C$50*(1+Hipótesis!$D$45)^5)*(1+Hipótesis!$D$42),0)</f>
        <v>-7260</v>
      </c>
      <c r="BW46" s="138" t="n">
        <f aca="false">-IF(AND(73&gt;=Hipótesis!$D$50,Hipótesis!$B$50=1),IF(Hipótesis!$G$50=1,Hipótesis!$I$44,Hipótesis!$C$50*(1+Hipótesis!$D$45)^6)*(1+Hipótesis!$D$42),0)</f>
        <v>-7920</v>
      </c>
      <c r="BX46" s="138" t="n">
        <f aca="false">-IF(AND(74&gt;=Hipótesis!$D$50,Hipótesis!$B$50=1),IF(Hipótesis!$G$50=1,Hipótesis!$I$44,Hipótesis!$C$50*(1+Hipótesis!$D$45)^6)*(1+Hipótesis!$D$42),0)</f>
        <v>-7920</v>
      </c>
      <c r="BY46" s="138" t="n">
        <f aca="false">-IF(AND(75&gt;=Hipótesis!$D$50,Hipótesis!$B$50=1),IF(Hipótesis!$G$50=1,Hipótesis!$I$44,Hipótesis!$C$50*(1+Hipótesis!$D$45)^6)*(1+Hipótesis!$D$42),0)</f>
        <v>-7920</v>
      </c>
      <c r="BZ46" s="138" t="n">
        <f aca="false">-IF(AND(76&gt;=Hipótesis!$D$50,Hipótesis!$B$50=1),IF(Hipótesis!$G$50=1,Hipótesis!$I$44,Hipótesis!$C$50*(1+Hipótesis!$D$45)^6)*(1+Hipótesis!$D$42),0)</f>
        <v>-7920</v>
      </c>
      <c r="CA46" s="138" t="n">
        <f aca="false">-IF(AND(77&gt;=Hipótesis!$D$50,Hipótesis!$B$50=1),IF(Hipótesis!$G$50=1,Hipótesis!$I$44,Hipótesis!$C$50*(1+Hipótesis!$D$45)^6)*(1+Hipótesis!$D$42),0)</f>
        <v>-7920</v>
      </c>
      <c r="CB46" s="138" t="n">
        <f aca="false">-IF(AND(78&gt;=Hipótesis!$D$50,Hipótesis!$B$50=1),IF(Hipótesis!$G$50=1,Hipótesis!$I$44,Hipótesis!$C$50*(1+Hipótesis!$D$45)^6)*(1+Hipótesis!$D$42),0)</f>
        <v>-7920</v>
      </c>
      <c r="CC46" s="138" t="n">
        <f aca="false">-IF(AND(79&gt;=Hipótesis!$D$50,Hipótesis!$B$50=1),IF(Hipótesis!$G$50=1,Hipótesis!$I$44,Hipótesis!$C$50*(1+Hipótesis!$D$45)^6)*(1+Hipótesis!$D$42),0)</f>
        <v>-7920</v>
      </c>
      <c r="CD46" s="138" t="n">
        <f aca="false">-IF(AND(80&gt;=Hipótesis!$D$50,Hipótesis!$B$50=1),IF(Hipótesis!$G$50=1,Hipótesis!$I$44,Hipótesis!$C$50*(1+Hipótesis!$D$45)^6)*(1+Hipótesis!$D$42),0)</f>
        <v>-7920</v>
      </c>
      <c r="CE46" s="138" t="n">
        <f aca="false">-IF(AND(81&gt;=Hipótesis!$D$50,Hipótesis!$B$50=1),IF(Hipótesis!$G$50=1,Hipótesis!$I$44,Hipótesis!$C$50*(1+Hipótesis!$D$45)^6)*(1+Hipótesis!$D$42),0)</f>
        <v>-7920</v>
      </c>
      <c r="CF46" s="138" t="n">
        <f aca="false">-IF(AND(82&gt;=Hipótesis!$D$50,Hipótesis!$B$50=1),IF(Hipótesis!$G$50=1,Hipótesis!$I$44,Hipótesis!$C$50*(1+Hipótesis!$D$45)^6)*(1+Hipótesis!$D$42),0)</f>
        <v>-7920</v>
      </c>
      <c r="CG46" s="138" t="n">
        <f aca="false">-IF(AND(83&gt;=Hipótesis!$D$50,Hipótesis!$B$50=1),IF(Hipótesis!$G$50=1,Hipótesis!$I$44,Hipótesis!$C$50*(1+Hipótesis!$D$45)^6)*(1+Hipótesis!$D$42),0)</f>
        <v>-7920</v>
      </c>
      <c r="CH46" s="138" t="n">
        <f aca="false">-IF(AND(84&gt;=Hipótesis!$D$50,Hipótesis!$B$50=1),IF(Hipótesis!$G$50=1,Hipótesis!$I$44,Hipótesis!$C$50*(1+Hipótesis!$D$45)^6)*(1+Hipótesis!$D$42),0)</f>
        <v>-7920</v>
      </c>
    </row>
    <row r="47" customFormat="false" ht="13.5" hidden="false" customHeight="true" outlineLevel="0" collapsed="false">
      <c r="A47" s="13" t="s">
        <v>728</v>
      </c>
      <c r="C47" s="138" t="n">
        <f aca="false">-IF(AND(1&gt;=Hipótesis!$D$51,Hipótesis!$B$51=1),IF(Hipótesis!$G$51=1,Hipótesis!$C$44,Hipótesis!$C$51*(1+Hipótesis!$D$45)^0)*(1+Hipótesis!$D$42),0)</f>
        <v>-2640</v>
      </c>
      <c r="D47" s="138" t="n">
        <f aca="false">-IF(AND(2&gt;=Hipótesis!$D$51,Hipótesis!$B$51=1),IF(Hipótesis!$G$51=1,Hipótesis!$C$44,Hipótesis!$C$51*(1+Hipótesis!$D$45)^0)*(1+Hipótesis!$D$42),0)</f>
        <v>-2640</v>
      </c>
      <c r="E47" s="138" t="n">
        <f aca="false">-IF(AND(3&gt;=Hipótesis!$D$51,Hipótesis!$B$51=1),IF(Hipótesis!$G$51=1,Hipótesis!$C$44,Hipótesis!$C$51*(1+Hipótesis!$D$45)^0)*(1+Hipótesis!$D$42),0)</f>
        <v>-2640</v>
      </c>
      <c r="F47" s="138" t="n">
        <f aca="false">-IF(AND(4&gt;=Hipótesis!$D$51,Hipótesis!$B$51=1),IF(Hipótesis!$G$51=1,Hipótesis!$C$44,Hipótesis!$C$51*(1+Hipótesis!$D$45)^0)*(1+Hipótesis!$D$42),0)</f>
        <v>-2640</v>
      </c>
      <c r="G47" s="138" t="n">
        <f aca="false">-IF(AND(5&gt;=Hipótesis!$D$51,Hipótesis!$B$51=1),IF(Hipótesis!$G$51=1,Hipótesis!$C$44,Hipótesis!$C$51*(1+Hipótesis!$D$45)^0)*(1+Hipótesis!$D$42),0)</f>
        <v>-2640</v>
      </c>
      <c r="H47" s="138" t="n">
        <f aca="false">-IF(AND(6&gt;=Hipótesis!$D$51,Hipótesis!$B$51=1),IF(Hipótesis!$G$51=1,Hipótesis!$C$44,Hipótesis!$C$51*(1+Hipótesis!$D$45)^0)*(1+Hipótesis!$D$42),0)</f>
        <v>-2640</v>
      </c>
      <c r="I47" s="138" t="n">
        <f aca="false">-IF(AND(7&gt;=Hipótesis!$D$51,Hipótesis!$B$51=1),IF(Hipótesis!$G$51=1,Hipótesis!$C$44,Hipótesis!$C$51*(1+Hipótesis!$D$45)^0)*(1+Hipótesis!$D$42),0)</f>
        <v>-2640</v>
      </c>
      <c r="J47" s="138" t="n">
        <f aca="false">-IF(AND(8&gt;=Hipótesis!$D$51,Hipótesis!$B$51=1),IF(Hipótesis!$G$51=1,Hipótesis!$C$44,Hipótesis!$C$51*(1+Hipótesis!$D$45)^0)*(1+Hipótesis!$D$42),0)</f>
        <v>-2640</v>
      </c>
      <c r="K47" s="138" t="n">
        <f aca="false">-IF(AND(9&gt;=Hipótesis!$D$51,Hipótesis!$B$51=1),IF(Hipótesis!$G$51=1,Hipótesis!$C$44,Hipótesis!$C$51*(1+Hipótesis!$D$45)^0)*(1+Hipótesis!$D$42),0)</f>
        <v>-2640</v>
      </c>
      <c r="L47" s="138" t="n">
        <f aca="false">-IF(AND(10&gt;=Hipótesis!$D$51,Hipótesis!$B$51=1),IF(Hipótesis!$G$51=1,Hipótesis!$C$44,Hipótesis!$C$51*(1+Hipótesis!$D$45)^0)*(1+Hipótesis!$D$42),0)</f>
        <v>-2640</v>
      </c>
      <c r="M47" s="138" t="n">
        <f aca="false">-IF(AND(11&gt;=Hipótesis!$D$51,Hipótesis!$B$51=1),IF(Hipótesis!$G$51=1,Hipótesis!$C$44,Hipótesis!$C$51*(1+Hipótesis!$D$45)^0)*(1+Hipótesis!$D$42),0)</f>
        <v>-2640</v>
      </c>
      <c r="N47" s="138" t="n">
        <f aca="false">-IF(AND(12&gt;=Hipótesis!$D$51,Hipótesis!$B$51=1),IF(Hipótesis!$G$51=1,Hipótesis!$C$44,Hipótesis!$C$51*(1+Hipótesis!$D$45)^0)*(1+Hipótesis!$D$42),0)</f>
        <v>-2640</v>
      </c>
      <c r="O47" s="138" t="n">
        <f aca="false">-IF(AND(13&gt;=Hipótesis!$D$51,Hipótesis!$B$51=1),IF(Hipótesis!$G$51=1,Hipótesis!$D$44,Hipótesis!$C$51*(1+Hipótesis!$D$45)^1)*(1+Hipótesis!$D$42),0)</f>
        <v>-2719.2</v>
      </c>
      <c r="P47" s="138" t="n">
        <f aca="false">-IF(AND(14&gt;=Hipótesis!$D$51,Hipótesis!$B$51=1),IF(Hipótesis!$G$51=1,Hipótesis!$D$44,Hipótesis!$C$51*(1+Hipótesis!$D$45)^1)*(1+Hipótesis!$D$42),0)</f>
        <v>-2719.2</v>
      </c>
      <c r="Q47" s="138" t="n">
        <f aca="false">-IF(AND(15&gt;=Hipótesis!$D$51,Hipótesis!$B$51=1),IF(Hipótesis!$G$51=1,Hipótesis!$D$44,Hipótesis!$C$51*(1+Hipótesis!$D$45)^1)*(1+Hipótesis!$D$42),0)</f>
        <v>-2719.2</v>
      </c>
      <c r="R47" s="138" t="n">
        <f aca="false">-IF(AND(16&gt;=Hipótesis!$D$51,Hipótesis!$B$51=1),IF(Hipótesis!$G$51=1,Hipótesis!$D$44,Hipótesis!$C$51*(1+Hipótesis!$D$45)^1)*(1+Hipótesis!$D$42),0)</f>
        <v>-2719.2</v>
      </c>
      <c r="S47" s="138" t="n">
        <f aca="false">-IF(AND(17&gt;=Hipótesis!$D$51,Hipótesis!$B$51=1),IF(Hipótesis!$G$51=1,Hipótesis!$D$44,Hipótesis!$C$51*(1+Hipótesis!$D$45)^1)*(1+Hipótesis!$D$42),0)</f>
        <v>-2719.2</v>
      </c>
      <c r="T47" s="138" t="n">
        <f aca="false">-IF(AND(18&gt;=Hipótesis!$D$51,Hipótesis!$B$51=1),IF(Hipótesis!$G$51=1,Hipótesis!$D$44,Hipótesis!$C$51*(1+Hipótesis!$D$45)^1)*(1+Hipótesis!$D$42),0)</f>
        <v>-2719.2</v>
      </c>
      <c r="U47" s="138" t="n">
        <f aca="false">-IF(AND(19&gt;=Hipótesis!$D$51,Hipótesis!$B$51=1),IF(Hipótesis!$G$51=1,Hipótesis!$D$44,Hipótesis!$C$51*(1+Hipótesis!$D$45)^1)*(1+Hipótesis!$D$42),0)</f>
        <v>-2719.2</v>
      </c>
      <c r="V47" s="138" t="n">
        <f aca="false">-IF(AND(20&gt;=Hipótesis!$D$51,Hipótesis!$B$51=1),IF(Hipótesis!$G$51=1,Hipótesis!$D$44,Hipótesis!$C$51*(1+Hipótesis!$D$45)^1)*(1+Hipótesis!$D$42),0)</f>
        <v>-2719.2</v>
      </c>
      <c r="W47" s="138" t="n">
        <f aca="false">-IF(AND(21&gt;=Hipótesis!$D$51,Hipótesis!$B$51=1),IF(Hipótesis!$G$51=1,Hipótesis!$D$44,Hipótesis!$C$51*(1+Hipótesis!$D$45)^1)*(1+Hipótesis!$D$42),0)</f>
        <v>-2719.2</v>
      </c>
      <c r="X47" s="138" t="n">
        <f aca="false">-IF(AND(22&gt;=Hipótesis!$D$51,Hipótesis!$B$51=1),IF(Hipótesis!$G$51=1,Hipótesis!$D$44,Hipótesis!$C$51*(1+Hipótesis!$D$45)^1)*(1+Hipótesis!$D$42),0)</f>
        <v>-2719.2</v>
      </c>
      <c r="Y47" s="138" t="n">
        <f aca="false">-IF(AND(23&gt;=Hipótesis!$D$51,Hipótesis!$B$51=1),IF(Hipótesis!$G$51=1,Hipótesis!$D$44,Hipótesis!$C$51*(1+Hipótesis!$D$45)^1)*(1+Hipótesis!$D$42),0)</f>
        <v>-2719.2</v>
      </c>
      <c r="Z47" s="138" t="n">
        <f aca="false">-IF(AND(24&gt;=Hipótesis!$D$51,Hipótesis!$B$51=1),IF(Hipótesis!$G$51=1,Hipótesis!$D$44,Hipótesis!$C$51*(1+Hipótesis!$D$45)^1)*(1+Hipótesis!$D$42),0)</f>
        <v>-2719.2</v>
      </c>
      <c r="AA47" s="138" t="n">
        <f aca="false">-IF(AND(25&gt;=Hipótesis!$D$51,Hipótesis!$B$51=1),IF(Hipótesis!$G$51=1,Hipótesis!$E$44,Hipótesis!$C$51*(1+Hipótesis!$D$45)^2)*(1+Hipótesis!$D$42),0)</f>
        <v>-2800.776</v>
      </c>
      <c r="AB47" s="138" t="n">
        <f aca="false">-IF(AND(26&gt;=Hipótesis!$D$51,Hipótesis!$B$51=1),IF(Hipótesis!$G$51=1,Hipótesis!$E$44,Hipótesis!$C$51*(1+Hipótesis!$D$45)^2)*(1+Hipótesis!$D$42),0)</f>
        <v>-2800.776</v>
      </c>
      <c r="AC47" s="138" t="n">
        <f aca="false">-IF(AND(27&gt;=Hipótesis!$D$51,Hipótesis!$B$51=1),IF(Hipótesis!$G$51=1,Hipótesis!$E$44,Hipótesis!$C$51*(1+Hipótesis!$D$45)^2)*(1+Hipótesis!$D$42),0)</f>
        <v>-2800.776</v>
      </c>
      <c r="AD47" s="138" t="n">
        <f aca="false">-IF(AND(28&gt;=Hipótesis!$D$51,Hipótesis!$B$51=1),IF(Hipótesis!$G$51=1,Hipótesis!$E$44,Hipótesis!$C$51*(1+Hipótesis!$D$45)^2)*(1+Hipótesis!$D$42),0)</f>
        <v>-2800.776</v>
      </c>
      <c r="AE47" s="138" t="n">
        <f aca="false">-IF(AND(29&gt;=Hipótesis!$D$51,Hipótesis!$B$51=1),IF(Hipótesis!$G$51=1,Hipótesis!$E$44,Hipótesis!$C$51*(1+Hipótesis!$D$45)^2)*(1+Hipótesis!$D$42),0)</f>
        <v>-2800.776</v>
      </c>
      <c r="AF47" s="138" t="n">
        <f aca="false">-IF(AND(30&gt;=Hipótesis!$D$51,Hipótesis!$B$51=1),IF(Hipótesis!$G$51=1,Hipótesis!$E$44,Hipótesis!$C$51*(1+Hipótesis!$D$45)^2)*(1+Hipótesis!$D$42),0)</f>
        <v>-2800.776</v>
      </c>
      <c r="AG47" s="138" t="n">
        <f aca="false">-IF(AND(31&gt;=Hipótesis!$D$51,Hipótesis!$B$51=1),IF(Hipótesis!$G$51=1,Hipótesis!$E$44,Hipótesis!$C$51*(1+Hipótesis!$D$45)^2)*(1+Hipótesis!$D$42),0)</f>
        <v>-2800.776</v>
      </c>
      <c r="AH47" s="138" t="n">
        <f aca="false">-IF(AND(32&gt;=Hipótesis!$D$51,Hipótesis!$B$51=1),IF(Hipótesis!$G$51=1,Hipótesis!$E$44,Hipótesis!$C$51*(1+Hipótesis!$D$45)^2)*(1+Hipótesis!$D$42),0)</f>
        <v>-2800.776</v>
      </c>
      <c r="AI47" s="138" t="n">
        <f aca="false">-IF(AND(33&gt;=Hipótesis!$D$51,Hipótesis!$B$51=1),IF(Hipótesis!$G$51=1,Hipótesis!$E$44,Hipótesis!$C$51*(1+Hipótesis!$D$45)^2)*(1+Hipótesis!$D$42),0)</f>
        <v>-2800.776</v>
      </c>
      <c r="AJ47" s="138" t="n">
        <f aca="false">-IF(AND(34&gt;=Hipótesis!$D$51,Hipótesis!$B$51=1),IF(Hipótesis!$G$51=1,Hipótesis!$E$44,Hipótesis!$C$51*(1+Hipótesis!$D$45)^2)*(1+Hipótesis!$D$42),0)</f>
        <v>-2800.776</v>
      </c>
      <c r="AK47" s="138" t="n">
        <f aca="false">-IF(AND(35&gt;=Hipótesis!$D$51,Hipótesis!$B$51=1),IF(Hipótesis!$G$51=1,Hipótesis!$E$44,Hipótesis!$C$51*(1+Hipótesis!$D$45)^2)*(1+Hipótesis!$D$42),0)</f>
        <v>-2800.776</v>
      </c>
      <c r="AL47" s="138" t="n">
        <f aca="false">-IF(AND(36&gt;=Hipótesis!$D$51,Hipótesis!$B$51=1),IF(Hipótesis!$G$51=1,Hipótesis!$E$44,Hipótesis!$C$51*(1+Hipótesis!$D$45)^2)*(1+Hipótesis!$D$42),0)</f>
        <v>-2800.776</v>
      </c>
      <c r="AM47" s="138" t="n">
        <f aca="false">-IF(AND(37&gt;=Hipótesis!$D$51,Hipótesis!$B$51=1),IF(Hipótesis!$G$51=1,Hipótesis!$F$44,Hipótesis!$C$51*(1+Hipótesis!$D$45)^3)*(1+Hipótesis!$D$42),0)</f>
        <v>-2884.79928</v>
      </c>
      <c r="AN47" s="138" t="n">
        <f aca="false">-IF(AND(38&gt;=Hipótesis!$D$51,Hipótesis!$B$51=1),IF(Hipótesis!$G$51=1,Hipótesis!$F$44,Hipótesis!$C$51*(1+Hipótesis!$D$45)^3)*(1+Hipótesis!$D$42),0)</f>
        <v>-2884.79928</v>
      </c>
      <c r="AO47" s="138" t="n">
        <f aca="false">-IF(AND(39&gt;=Hipótesis!$D$51,Hipótesis!$B$51=1),IF(Hipótesis!$G$51=1,Hipótesis!$F$44,Hipótesis!$C$51*(1+Hipótesis!$D$45)^3)*(1+Hipótesis!$D$42),0)</f>
        <v>-2884.79928</v>
      </c>
      <c r="AP47" s="138" t="n">
        <f aca="false">-IF(AND(40&gt;=Hipótesis!$D$51,Hipótesis!$B$51=1),IF(Hipótesis!$G$51=1,Hipótesis!$F$44,Hipótesis!$C$51*(1+Hipótesis!$D$45)^3)*(1+Hipótesis!$D$42),0)</f>
        <v>-2884.79928</v>
      </c>
      <c r="AQ47" s="138" t="n">
        <f aca="false">-IF(AND(41&gt;=Hipótesis!$D$51,Hipótesis!$B$51=1),IF(Hipótesis!$G$51=1,Hipótesis!$F$44,Hipótesis!$C$51*(1+Hipótesis!$D$45)^3)*(1+Hipótesis!$D$42),0)</f>
        <v>-2884.79928</v>
      </c>
      <c r="AR47" s="138" t="n">
        <f aca="false">-IF(AND(42&gt;=Hipótesis!$D$51,Hipótesis!$B$51=1),IF(Hipótesis!$G$51=1,Hipótesis!$F$44,Hipótesis!$C$51*(1+Hipótesis!$D$45)^3)*(1+Hipótesis!$D$42),0)</f>
        <v>-2884.79928</v>
      </c>
      <c r="AS47" s="138" t="n">
        <f aca="false">-IF(AND(43&gt;=Hipótesis!$D$51,Hipótesis!$B$51=1),IF(Hipótesis!$G$51=1,Hipótesis!$F$44,Hipótesis!$C$51*(1+Hipótesis!$D$45)^3)*(1+Hipótesis!$D$42),0)</f>
        <v>-2884.79928</v>
      </c>
      <c r="AT47" s="138" t="n">
        <f aca="false">-IF(AND(44&gt;=Hipótesis!$D$51,Hipótesis!$B$51=1),IF(Hipótesis!$G$51=1,Hipótesis!$F$44,Hipótesis!$C$51*(1+Hipótesis!$D$45)^3)*(1+Hipótesis!$D$42),0)</f>
        <v>-2884.79928</v>
      </c>
      <c r="AU47" s="138" t="n">
        <f aca="false">-IF(AND(45&gt;=Hipótesis!$D$51,Hipótesis!$B$51=1),IF(Hipótesis!$G$51=1,Hipótesis!$F$44,Hipótesis!$C$51*(1+Hipótesis!$D$45)^3)*(1+Hipótesis!$D$42),0)</f>
        <v>-2884.79928</v>
      </c>
      <c r="AV47" s="138" t="n">
        <f aca="false">-IF(AND(46&gt;=Hipótesis!$D$51,Hipótesis!$B$51=1),IF(Hipótesis!$G$51=1,Hipótesis!$F$44,Hipótesis!$C$51*(1+Hipótesis!$D$45)^3)*(1+Hipótesis!$D$42),0)</f>
        <v>-2884.79928</v>
      </c>
      <c r="AW47" s="138" t="n">
        <f aca="false">-IF(AND(47&gt;=Hipótesis!$D$51,Hipótesis!$B$51=1),IF(Hipótesis!$G$51=1,Hipótesis!$F$44,Hipótesis!$C$51*(1+Hipótesis!$D$45)^3)*(1+Hipótesis!$D$42),0)</f>
        <v>-2884.79928</v>
      </c>
      <c r="AX47" s="138" t="n">
        <f aca="false">-IF(AND(48&gt;=Hipótesis!$D$51,Hipótesis!$B$51=1),IF(Hipótesis!$G$51=1,Hipótesis!$F$44,Hipótesis!$C$51*(1+Hipótesis!$D$45)^3)*(1+Hipótesis!$D$42),0)</f>
        <v>-2884.79928</v>
      </c>
      <c r="AY47" s="138" t="n">
        <f aca="false">-IF(AND(49&gt;=Hipótesis!$D$51,Hipótesis!$B$51=1),IF(Hipótesis!$G$51=1,Hipótesis!$G$44,Hipótesis!$C$51*(1+Hipótesis!$D$45)^4)*(1+Hipótesis!$D$42),0)</f>
        <v>-2971.3432584</v>
      </c>
      <c r="AZ47" s="138" t="n">
        <f aca="false">-IF(AND(50&gt;=Hipótesis!$D$51,Hipótesis!$B$51=1),IF(Hipótesis!$G$51=1,Hipótesis!$G$44,Hipótesis!$C$51*(1+Hipótesis!$D$45)^4)*(1+Hipótesis!$D$42),0)</f>
        <v>-2971.3432584</v>
      </c>
      <c r="BA47" s="138" t="n">
        <f aca="false">-IF(AND(51&gt;=Hipótesis!$D$51,Hipótesis!$B$51=1),IF(Hipótesis!$G$51=1,Hipótesis!$G$44,Hipótesis!$C$51*(1+Hipótesis!$D$45)^4)*(1+Hipótesis!$D$42),0)</f>
        <v>-2971.3432584</v>
      </c>
      <c r="BB47" s="138" t="n">
        <f aca="false">-IF(AND(52&gt;=Hipótesis!$D$51,Hipótesis!$B$51=1),IF(Hipótesis!$G$51=1,Hipótesis!$G$44,Hipótesis!$C$51*(1+Hipótesis!$D$45)^4)*(1+Hipótesis!$D$42),0)</f>
        <v>-2971.3432584</v>
      </c>
      <c r="BC47" s="138" t="n">
        <f aca="false">-IF(AND(53&gt;=Hipótesis!$D$51,Hipótesis!$B$51=1),IF(Hipótesis!$G$51=1,Hipótesis!$G$44,Hipótesis!$C$51*(1+Hipótesis!$D$45)^4)*(1+Hipótesis!$D$42),0)</f>
        <v>-2971.3432584</v>
      </c>
      <c r="BD47" s="138" t="n">
        <f aca="false">-IF(AND(54&gt;=Hipótesis!$D$51,Hipótesis!$B$51=1),IF(Hipótesis!$G$51=1,Hipótesis!$G$44,Hipótesis!$C$51*(1+Hipótesis!$D$45)^4)*(1+Hipótesis!$D$42),0)</f>
        <v>-2971.3432584</v>
      </c>
      <c r="BE47" s="138" t="n">
        <f aca="false">-IF(AND(55&gt;=Hipótesis!$D$51,Hipótesis!$B$51=1),IF(Hipótesis!$G$51=1,Hipótesis!$G$44,Hipótesis!$C$51*(1+Hipótesis!$D$45)^4)*(1+Hipótesis!$D$42),0)</f>
        <v>-2971.3432584</v>
      </c>
      <c r="BF47" s="138" t="n">
        <f aca="false">-IF(AND(56&gt;=Hipótesis!$D$51,Hipótesis!$B$51=1),IF(Hipótesis!$G$51=1,Hipótesis!$G$44,Hipótesis!$C$51*(1+Hipótesis!$D$45)^4)*(1+Hipótesis!$D$42),0)</f>
        <v>-2971.3432584</v>
      </c>
      <c r="BG47" s="138" t="n">
        <f aca="false">-IF(AND(57&gt;=Hipótesis!$D$51,Hipótesis!$B$51=1),IF(Hipótesis!$G$51=1,Hipótesis!$G$44,Hipótesis!$C$51*(1+Hipótesis!$D$45)^4)*(1+Hipótesis!$D$42),0)</f>
        <v>-2971.3432584</v>
      </c>
      <c r="BH47" s="138" t="n">
        <f aca="false">-IF(AND(58&gt;=Hipótesis!$D$51,Hipótesis!$B$51=1),IF(Hipótesis!$G$51=1,Hipótesis!$G$44,Hipótesis!$C$51*(1+Hipótesis!$D$45)^4)*(1+Hipótesis!$D$42),0)</f>
        <v>-2971.3432584</v>
      </c>
      <c r="BI47" s="138" t="n">
        <f aca="false">-IF(AND(59&gt;=Hipótesis!$D$51,Hipótesis!$B$51=1),IF(Hipótesis!$G$51=1,Hipótesis!$G$44,Hipótesis!$C$51*(1+Hipótesis!$D$45)^4)*(1+Hipótesis!$D$42),0)</f>
        <v>-2971.3432584</v>
      </c>
      <c r="BJ47" s="138" t="n">
        <f aca="false">-IF(AND(60&gt;=Hipótesis!$D$51,Hipótesis!$B$51=1),IF(Hipótesis!$G$51=1,Hipótesis!$G$44,Hipótesis!$C$51*(1+Hipótesis!$D$45)^4)*(1+Hipótesis!$D$42),0)</f>
        <v>-2971.3432584</v>
      </c>
      <c r="BK47" s="138" t="n">
        <f aca="false">-IF(AND(61&gt;=Hipótesis!$D$51,Hipótesis!$B$51=1),IF(Hipótesis!$G$51=1,Hipótesis!$H$44,Hipótesis!$C$51*(1+Hipótesis!$D$45)^5)*(1+Hipótesis!$D$42),0)</f>
        <v>-3060.483556152</v>
      </c>
      <c r="BL47" s="138" t="n">
        <f aca="false">-IF(AND(62&gt;=Hipótesis!$D$51,Hipótesis!$B$51=1),IF(Hipótesis!$G$51=1,Hipótesis!$H$44,Hipótesis!$C$51*(1+Hipótesis!$D$45)^5)*(1+Hipótesis!$D$42),0)</f>
        <v>-3060.483556152</v>
      </c>
      <c r="BM47" s="138" t="n">
        <f aca="false">-IF(AND(63&gt;=Hipótesis!$D$51,Hipótesis!$B$51=1),IF(Hipótesis!$G$51=1,Hipótesis!$H$44,Hipótesis!$C$51*(1+Hipótesis!$D$45)^5)*(1+Hipótesis!$D$42),0)</f>
        <v>-3060.483556152</v>
      </c>
      <c r="BN47" s="138" t="n">
        <f aca="false">-IF(AND(64&gt;=Hipótesis!$D$51,Hipótesis!$B$51=1),IF(Hipótesis!$G$51=1,Hipótesis!$H$44,Hipótesis!$C$51*(1+Hipótesis!$D$45)^5)*(1+Hipótesis!$D$42),0)</f>
        <v>-3060.483556152</v>
      </c>
      <c r="BO47" s="138" t="n">
        <f aca="false">-IF(AND(65&gt;=Hipótesis!$D$51,Hipótesis!$B$51=1),IF(Hipótesis!$G$51=1,Hipótesis!$H$44,Hipótesis!$C$51*(1+Hipótesis!$D$45)^5)*(1+Hipótesis!$D$42),0)</f>
        <v>-3060.483556152</v>
      </c>
      <c r="BP47" s="138" t="n">
        <f aca="false">-IF(AND(66&gt;=Hipótesis!$D$51,Hipótesis!$B$51=1),IF(Hipótesis!$G$51=1,Hipótesis!$H$44,Hipótesis!$C$51*(1+Hipótesis!$D$45)^5)*(1+Hipótesis!$D$42),0)</f>
        <v>-3060.483556152</v>
      </c>
      <c r="BQ47" s="138" t="n">
        <f aca="false">-IF(AND(67&gt;=Hipótesis!$D$51,Hipótesis!$B$51=1),IF(Hipótesis!$G$51=1,Hipótesis!$H$44,Hipótesis!$C$51*(1+Hipótesis!$D$45)^5)*(1+Hipótesis!$D$42),0)</f>
        <v>-3060.483556152</v>
      </c>
      <c r="BR47" s="138" t="n">
        <f aca="false">-IF(AND(68&gt;=Hipótesis!$D$51,Hipótesis!$B$51=1),IF(Hipótesis!$G$51=1,Hipótesis!$H$44,Hipótesis!$C$51*(1+Hipótesis!$D$45)^5)*(1+Hipótesis!$D$42),0)</f>
        <v>-3060.483556152</v>
      </c>
      <c r="BS47" s="138" t="n">
        <f aca="false">-IF(AND(69&gt;=Hipótesis!$D$51,Hipótesis!$B$51=1),IF(Hipótesis!$G$51=1,Hipótesis!$H$44,Hipótesis!$C$51*(1+Hipótesis!$D$45)^5)*(1+Hipótesis!$D$42),0)</f>
        <v>-3060.483556152</v>
      </c>
      <c r="BT47" s="138" t="n">
        <f aca="false">-IF(AND(70&gt;=Hipótesis!$D$51,Hipótesis!$B$51=1),IF(Hipótesis!$G$51=1,Hipótesis!$H$44,Hipótesis!$C$51*(1+Hipótesis!$D$45)^5)*(1+Hipótesis!$D$42),0)</f>
        <v>-3060.483556152</v>
      </c>
      <c r="BU47" s="138" t="n">
        <f aca="false">-IF(AND(71&gt;=Hipótesis!$D$51,Hipótesis!$B$51=1),IF(Hipótesis!$G$51=1,Hipótesis!$H$44,Hipótesis!$C$51*(1+Hipótesis!$D$45)^5)*(1+Hipótesis!$D$42),0)</f>
        <v>-3060.483556152</v>
      </c>
      <c r="BV47" s="138" t="n">
        <f aca="false">-IF(AND(72&gt;=Hipótesis!$D$51,Hipótesis!$B$51=1),IF(Hipótesis!$G$51=1,Hipótesis!$H$44,Hipótesis!$C$51*(1+Hipótesis!$D$45)^5)*(1+Hipótesis!$D$42),0)</f>
        <v>-3060.483556152</v>
      </c>
      <c r="BW47" s="138" t="n">
        <f aca="false">-IF(AND(73&gt;=Hipótesis!$D$51,Hipótesis!$B$51=1),IF(Hipótesis!$G$51=1,Hipótesis!$I$44,Hipótesis!$C$51*(1+Hipótesis!$D$45)^6)*(1+Hipótesis!$D$42),0)</f>
        <v>-3152.29806283656</v>
      </c>
      <c r="BX47" s="138" t="n">
        <f aca="false">-IF(AND(74&gt;=Hipótesis!$D$51,Hipótesis!$B$51=1),IF(Hipótesis!$G$51=1,Hipótesis!$I$44,Hipótesis!$C$51*(1+Hipótesis!$D$45)^6)*(1+Hipótesis!$D$42),0)</f>
        <v>-3152.29806283656</v>
      </c>
      <c r="BY47" s="138" t="n">
        <f aca="false">-IF(AND(75&gt;=Hipótesis!$D$51,Hipótesis!$B$51=1),IF(Hipótesis!$G$51=1,Hipótesis!$I$44,Hipótesis!$C$51*(1+Hipótesis!$D$45)^6)*(1+Hipótesis!$D$42),0)</f>
        <v>-3152.29806283656</v>
      </c>
      <c r="BZ47" s="138" t="n">
        <f aca="false">-IF(AND(76&gt;=Hipótesis!$D$51,Hipótesis!$B$51=1),IF(Hipótesis!$G$51=1,Hipótesis!$I$44,Hipótesis!$C$51*(1+Hipótesis!$D$45)^6)*(1+Hipótesis!$D$42),0)</f>
        <v>-3152.29806283656</v>
      </c>
      <c r="CA47" s="138" t="n">
        <f aca="false">-IF(AND(77&gt;=Hipótesis!$D$51,Hipótesis!$B$51=1),IF(Hipótesis!$G$51=1,Hipótesis!$I$44,Hipótesis!$C$51*(1+Hipótesis!$D$45)^6)*(1+Hipótesis!$D$42),0)</f>
        <v>-3152.29806283656</v>
      </c>
      <c r="CB47" s="138" t="n">
        <f aca="false">-IF(AND(78&gt;=Hipótesis!$D$51,Hipótesis!$B$51=1),IF(Hipótesis!$G$51=1,Hipótesis!$I$44,Hipótesis!$C$51*(1+Hipótesis!$D$45)^6)*(1+Hipótesis!$D$42),0)</f>
        <v>-3152.29806283656</v>
      </c>
      <c r="CC47" s="138" t="n">
        <f aca="false">-IF(AND(79&gt;=Hipótesis!$D$51,Hipótesis!$B$51=1),IF(Hipótesis!$G$51=1,Hipótesis!$I$44,Hipótesis!$C$51*(1+Hipótesis!$D$45)^6)*(1+Hipótesis!$D$42),0)</f>
        <v>-3152.29806283656</v>
      </c>
      <c r="CD47" s="138" t="n">
        <f aca="false">-IF(AND(80&gt;=Hipótesis!$D$51,Hipótesis!$B$51=1),IF(Hipótesis!$G$51=1,Hipótesis!$I$44,Hipótesis!$C$51*(1+Hipótesis!$D$45)^6)*(1+Hipótesis!$D$42),0)</f>
        <v>-3152.29806283656</v>
      </c>
      <c r="CE47" s="138" t="n">
        <f aca="false">-IF(AND(81&gt;=Hipótesis!$D$51,Hipótesis!$B$51=1),IF(Hipótesis!$G$51=1,Hipótesis!$I$44,Hipótesis!$C$51*(1+Hipótesis!$D$45)^6)*(1+Hipótesis!$D$42),0)</f>
        <v>-3152.29806283656</v>
      </c>
      <c r="CF47" s="138" t="n">
        <f aca="false">-IF(AND(82&gt;=Hipótesis!$D$51,Hipótesis!$B$51=1),IF(Hipótesis!$G$51=1,Hipótesis!$I$44,Hipótesis!$C$51*(1+Hipótesis!$D$45)^6)*(1+Hipótesis!$D$42),0)</f>
        <v>-3152.29806283656</v>
      </c>
      <c r="CG47" s="138" t="n">
        <f aca="false">-IF(AND(83&gt;=Hipótesis!$D$51,Hipótesis!$B$51=1),IF(Hipótesis!$G$51=1,Hipótesis!$I$44,Hipótesis!$C$51*(1+Hipótesis!$D$45)^6)*(1+Hipótesis!$D$42),0)</f>
        <v>-3152.29806283656</v>
      </c>
      <c r="CH47" s="138" t="n">
        <f aca="false">-IF(AND(84&gt;=Hipótesis!$D$51,Hipótesis!$B$51=1),IF(Hipótesis!$G$51=1,Hipótesis!$I$44,Hipótesis!$C$51*(1+Hipótesis!$D$45)^6)*(1+Hipótesis!$D$42),0)</f>
        <v>-3152.29806283656</v>
      </c>
    </row>
    <row r="48" customFormat="false" ht="13.5" hidden="false" customHeight="true" outlineLevel="0" collapsed="false">
      <c r="A48" s="13" t="s">
        <v>729</v>
      </c>
      <c r="C48" s="138" t="n">
        <f aca="false">-IF(AND(1&gt;=Hipótesis!$D$52,Hipótesis!$B$52=1),IF(Hipótesis!$G$52=1,Hipótesis!$C$44,Hipótesis!$C$52*(1+Hipótesis!$D$45)^0)*(1+Hipótesis!$D$42),0)</f>
        <v>-0</v>
      </c>
      <c r="D48" s="138" t="n">
        <f aca="false">-IF(AND(2&gt;=Hipótesis!$D$52,Hipótesis!$B$52=1),IF(Hipótesis!$G$52=1,Hipótesis!$C$44,Hipótesis!$C$52*(1+Hipótesis!$D$45)^0)*(1+Hipótesis!$D$42),0)</f>
        <v>-0</v>
      </c>
      <c r="E48" s="138" t="n">
        <f aca="false">-IF(AND(3&gt;=Hipótesis!$D$52,Hipótesis!$B$52=1),IF(Hipótesis!$G$52=1,Hipótesis!$C$44,Hipótesis!$C$52*(1+Hipótesis!$D$45)^0)*(1+Hipótesis!$D$42),0)</f>
        <v>-0</v>
      </c>
      <c r="F48" s="138" t="n">
        <f aca="false">-IF(AND(4&gt;=Hipótesis!$D$52,Hipótesis!$B$52=1),IF(Hipótesis!$G$52=1,Hipótesis!$C$44,Hipótesis!$C$52*(1+Hipótesis!$D$45)^0)*(1+Hipótesis!$D$42),0)</f>
        <v>-0</v>
      </c>
      <c r="G48" s="138" t="n">
        <f aca="false">-IF(AND(5&gt;=Hipótesis!$D$52,Hipótesis!$B$52=1),IF(Hipótesis!$G$52=1,Hipótesis!$C$44,Hipótesis!$C$52*(1+Hipótesis!$D$45)^0)*(1+Hipótesis!$D$42),0)</f>
        <v>-0</v>
      </c>
      <c r="H48" s="138" t="n">
        <f aca="false">-IF(AND(6&gt;=Hipótesis!$D$52,Hipótesis!$B$52=1),IF(Hipótesis!$G$52=1,Hipótesis!$C$44,Hipótesis!$C$52*(1+Hipótesis!$D$45)^0)*(1+Hipótesis!$D$42),0)</f>
        <v>-0</v>
      </c>
      <c r="I48" s="138" t="n">
        <f aca="false">-IF(AND(7&gt;=Hipótesis!$D$52,Hipótesis!$B$52=1),IF(Hipótesis!$G$52=1,Hipótesis!$C$44,Hipótesis!$C$52*(1+Hipótesis!$D$45)^0)*(1+Hipótesis!$D$42),0)</f>
        <v>-0</v>
      </c>
      <c r="J48" s="138" t="n">
        <f aca="false">-IF(AND(8&gt;=Hipótesis!$D$52,Hipótesis!$B$52=1),IF(Hipótesis!$G$52=1,Hipótesis!$C$44,Hipótesis!$C$52*(1+Hipótesis!$D$45)^0)*(1+Hipótesis!$D$42),0)</f>
        <v>-0</v>
      </c>
      <c r="K48" s="138" t="n">
        <f aca="false">-IF(AND(9&gt;=Hipótesis!$D$52,Hipótesis!$B$52=1),IF(Hipótesis!$G$52=1,Hipótesis!$C$44,Hipótesis!$C$52*(1+Hipótesis!$D$45)^0)*(1+Hipótesis!$D$42),0)</f>
        <v>-0</v>
      </c>
      <c r="L48" s="138" t="n">
        <f aca="false">-IF(AND(10&gt;=Hipótesis!$D$52,Hipótesis!$B$52=1),IF(Hipótesis!$G$52=1,Hipótesis!$C$44,Hipótesis!$C$52*(1+Hipótesis!$D$45)^0)*(1+Hipótesis!$D$42),0)</f>
        <v>-0</v>
      </c>
      <c r="M48" s="138" t="n">
        <f aca="false">-IF(AND(11&gt;=Hipótesis!$D$52,Hipótesis!$B$52=1),IF(Hipótesis!$G$52=1,Hipótesis!$C$44,Hipótesis!$C$52*(1+Hipótesis!$D$45)^0)*(1+Hipótesis!$D$42),0)</f>
        <v>-0</v>
      </c>
      <c r="N48" s="138" t="n">
        <f aca="false">-IF(AND(12&gt;=Hipótesis!$D$52,Hipótesis!$B$52=1),IF(Hipótesis!$G$52=1,Hipótesis!$C$44,Hipótesis!$C$52*(1+Hipótesis!$D$45)^0)*(1+Hipótesis!$D$42),0)</f>
        <v>-0</v>
      </c>
      <c r="O48" s="138" t="n">
        <f aca="false">-IF(AND(13&gt;=Hipótesis!$D$52,Hipótesis!$B$52=1),IF(Hipótesis!$G$52=1,Hipótesis!$D$44,Hipótesis!$C$52*(1+Hipótesis!$D$45)^1)*(1+Hipótesis!$D$42),0)</f>
        <v>-0</v>
      </c>
      <c r="P48" s="138" t="n">
        <f aca="false">-IF(AND(14&gt;=Hipótesis!$D$52,Hipótesis!$B$52=1),IF(Hipótesis!$G$52=1,Hipótesis!$D$44,Hipótesis!$C$52*(1+Hipótesis!$D$45)^1)*(1+Hipótesis!$D$42),0)</f>
        <v>-0</v>
      </c>
      <c r="Q48" s="138" t="n">
        <f aca="false">-IF(AND(15&gt;=Hipótesis!$D$52,Hipótesis!$B$52=1),IF(Hipótesis!$G$52=1,Hipótesis!$D$44,Hipótesis!$C$52*(1+Hipótesis!$D$45)^1)*(1+Hipótesis!$D$42),0)</f>
        <v>-0</v>
      </c>
      <c r="R48" s="138" t="n">
        <f aca="false">-IF(AND(16&gt;=Hipótesis!$D$52,Hipótesis!$B$52=1),IF(Hipótesis!$G$52=1,Hipótesis!$D$44,Hipótesis!$C$52*(1+Hipótesis!$D$45)^1)*(1+Hipótesis!$D$42),0)</f>
        <v>-0</v>
      </c>
      <c r="S48" s="138" t="n">
        <f aca="false">-IF(AND(17&gt;=Hipótesis!$D$52,Hipótesis!$B$52=1),IF(Hipótesis!$G$52=1,Hipótesis!$D$44,Hipótesis!$C$52*(1+Hipótesis!$D$45)^1)*(1+Hipótesis!$D$42),0)</f>
        <v>-0</v>
      </c>
      <c r="T48" s="138" t="n">
        <f aca="false">-IF(AND(18&gt;=Hipótesis!$D$52,Hipótesis!$B$52=1),IF(Hipótesis!$G$52=1,Hipótesis!$D$44,Hipótesis!$C$52*(1+Hipótesis!$D$45)^1)*(1+Hipótesis!$D$42),0)</f>
        <v>-0</v>
      </c>
      <c r="U48" s="138" t="n">
        <f aca="false">-IF(AND(19&gt;=Hipótesis!$D$52,Hipótesis!$B$52=1),IF(Hipótesis!$G$52=1,Hipótesis!$D$44,Hipótesis!$C$52*(1+Hipótesis!$D$45)^1)*(1+Hipótesis!$D$42),0)</f>
        <v>-0</v>
      </c>
      <c r="V48" s="138" t="n">
        <f aca="false">-IF(AND(20&gt;=Hipótesis!$D$52,Hipótesis!$B$52=1),IF(Hipótesis!$G$52=1,Hipótesis!$D$44,Hipótesis!$C$52*(1+Hipótesis!$D$45)^1)*(1+Hipótesis!$D$42),0)</f>
        <v>-2719.2</v>
      </c>
      <c r="W48" s="138" t="n">
        <f aca="false">-IF(AND(21&gt;=Hipótesis!$D$52,Hipótesis!$B$52=1),IF(Hipótesis!$G$52=1,Hipótesis!$D$44,Hipótesis!$C$52*(1+Hipótesis!$D$45)^1)*(1+Hipótesis!$D$42),0)</f>
        <v>-2719.2</v>
      </c>
      <c r="X48" s="138" t="n">
        <f aca="false">-IF(AND(22&gt;=Hipótesis!$D$52,Hipótesis!$B$52=1),IF(Hipótesis!$G$52=1,Hipótesis!$D$44,Hipótesis!$C$52*(1+Hipótesis!$D$45)^1)*(1+Hipótesis!$D$42),0)</f>
        <v>-2719.2</v>
      </c>
      <c r="Y48" s="138" t="n">
        <f aca="false">-IF(AND(23&gt;=Hipótesis!$D$52,Hipótesis!$B$52=1),IF(Hipótesis!$G$52=1,Hipótesis!$D$44,Hipótesis!$C$52*(1+Hipótesis!$D$45)^1)*(1+Hipótesis!$D$42),0)</f>
        <v>-2719.2</v>
      </c>
      <c r="Z48" s="138" t="n">
        <f aca="false">-IF(AND(24&gt;=Hipótesis!$D$52,Hipótesis!$B$52=1),IF(Hipótesis!$G$52=1,Hipótesis!$D$44,Hipótesis!$C$52*(1+Hipótesis!$D$45)^1)*(1+Hipótesis!$D$42),0)</f>
        <v>-2719.2</v>
      </c>
      <c r="AA48" s="138" t="n">
        <f aca="false">-IF(AND(25&gt;=Hipótesis!$D$52,Hipótesis!$B$52=1),IF(Hipótesis!$G$52=1,Hipótesis!$E$44,Hipótesis!$C$52*(1+Hipótesis!$D$45)^2)*(1+Hipótesis!$D$42),0)</f>
        <v>-2800.776</v>
      </c>
      <c r="AB48" s="138" t="n">
        <f aca="false">-IF(AND(26&gt;=Hipótesis!$D$52,Hipótesis!$B$52=1),IF(Hipótesis!$G$52=1,Hipótesis!$E$44,Hipótesis!$C$52*(1+Hipótesis!$D$45)^2)*(1+Hipótesis!$D$42),0)</f>
        <v>-2800.776</v>
      </c>
      <c r="AC48" s="138" t="n">
        <f aca="false">-IF(AND(27&gt;=Hipótesis!$D$52,Hipótesis!$B$52=1),IF(Hipótesis!$G$52=1,Hipótesis!$E$44,Hipótesis!$C$52*(1+Hipótesis!$D$45)^2)*(1+Hipótesis!$D$42),0)</f>
        <v>-2800.776</v>
      </c>
      <c r="AD48" s="138" t="n">
        <f aca="false">-IF(AND(28&gt;=Hipótesis!$D$52,Hipótesis!$B$52=1),IF(Hipótesis!$G$52=1,Hipótesis!$E$44,Hipótesis!$C$52*(1+Hipótesis!$D$45)^2)*(1+Hipótesis!$D$42),0)</f>
        <v>-2800.776</v>
      </c>
      <c r="AE48" s="138" t="n">
        <f aca="false">-IF(AND(29&gt;=Hipótesis!$D$52,Hipótesis!$B$52=1),IF(Hipótesis!$G$52=1,Hipótesis!$E$44,Hipótesis!$C$52*(1+Hipótesis!$D$45)^2)*(1+Hipótesis!$D$42),0)</f>
        <v>-2800.776</v>
      </c>
      <c r="AF48" s="138" t="n">
        <f aca="false">-IF(AND(30&gt;=Hipótesis!$D$52,Hipótesis!$B$52=1),IF(Hipótesis!$G$52=1,Hipótesis!$E$44,Hipótesis!$C$52*(1+Hipótesis!$D$45)^2)*(1+Hipótesis!$D$42),0)</f>
        <v>-2800.776</v>
      </c>
      <c r="AG48" s="138" t="n">
        <f aca="false">-IF(AND(31&gt;=Hipótesis!$D$52,Hipótesis!$B$52=1),IF(Hipótesis!$G$52=1,Hipótesis!$E$44,Hipótesis!$C$52*(1+Hipótesis!$D$45)^2)*(1+Hipótesis!$D$42),0)</f>
        <v>-2800.776</v>
      </c>
      <c r="AH48" s="138" t="n">
        <f aca="false">-IF(AND(32&gt;=Hipótesis!$D$52,Hipótesis!$B$52=1),IF(Hipótesis!$G$52=1,Hipótesis!$E$44,Hipótesis!$C$52*(1+Hipótesis!$D$45)^2)*(1+Hipótesis!$D$42),0)</f>
        <v>-2800.776</v>
      </c>
      <c r="AI48" s="138" t="n">
        <f aca="false">-IF(AND(33&gt;=Hipótesis!$D$52,Hipótesis!$B$52=1),IF(Hipótesis!$G$52=1,Hipótesis!$E$44,Hipótesis!$C$52*(1+Hipótesis!$D$45)^2)*(1+Hipótesis!$D$42),0)</f>
        <v>-2800.776</v>
      </c>
      <c r="AJ48" s="138" t="n">
        <f aca="false">-IF(AND(34&gt;=Hipótesis!$D$52,Hipótesis!$B$52=1),IF(Hipótesis!$G$52=1,Hipótesis!$E$44,Hipótesis!$C$52*(1+Hipótesis!$D$45)^2)*(1+Hipótesis!$D$42),0)</f>
        <v>-2800.776</v>
      </c>
      <c r="AK48" s="138" t="n">
        <f aca="false">-IF(AND(35&gt;=Hipótesis!$D$52,Hipótesis!$B$52=1),IF(Hipótesis!$G$52=1,Hipótesis!$E$44,Hipótesis!$C$52*(1+Hipótesis!$D$45)^2)*(1+Hipótesis!$D$42),0)</f>
        <v>-2800.776</v>
      </c>
      <c r="AL48" s="138" t="n">
        <f aca="false">-IF(AND(36&gt;=Hipótesis!$D$52,Hipótesis!$B$52=1),IF(Hipótesis!$G$52=1,Hipótesis!$E$44,Hipótesis!$C$52*(1+Hipótesis!$D$45)^2)*(1+Hipótesis!$D$42),0)</f>
        <v>-2800.776</v>
      </c>
      <c r="AM48" s="138" t="n">
        <f aca="false">-IF(AND(37&gt;=Hipótesis!$D$52,Hipótesis!$B$52=1),IF(Hipótesis!$G$52=1,Hipótesis!$F$44,Hipótesis!$C$52*(1+Hipótesis!$D$45)^3)*(1+Hipótesis!$D$42),0)</f>
        <v>-2884.79928</v>
      </c>
      <c r="AN48" s="138" t="n">
        <f aca="false">-IF(AND(38&gt;=Hipótesis!$D$52,Hipótesis!$B$52=1),IF(Hipótesis!$G$52=1,Hipótesis!$F$44,Hipótesis!$C$52*(1+Hipótesis!$D$45)^3)*(1+Hipótesis!$D$42),0)</f>
        <v>-2884.79928</v>
      </c>
      <c r="AO48" s="138" t="n">
        <f aca="false">-IF(AND(39&gt;=Hipótesis!$D$52,Hipótesis!$B$52=1),IF(Hipótesis!$G$52=1,Hipótesis!$F$44,Hipótesis!$C$52*(1+Hipótesis!$D$45)^3)*(1+Hipótesis!$D$42),0)</f>
        <v>-2884.79928</v>
      </c>
      <c r="AP48" s="138" t="n">
        <f aca="false">-IF(AND(40&gt;=Hipótesis!$D$52,Hipótesis!$B$52=1),IF(Hipótesis!$G$52=1,Hipótesis!$F$44,Hipótesis!$C$52*(1+Hipótesis!$D$45)^3)*(1+Hipótesis!$D$42),0)</f>
        <v>-2884.79928</v>
      </c>
      <c r="AQ48" s="138" t="n">
        <f aca="false">-IF(AND(41&gt;=Hipótesis!$D$52,Hipótesis!$B$52=1),IF(Hipótesis!$G$52=1,Hipótesis!$F$44,Hipótesis!$C$52*(1+Hipótesis!$D$45)^3)*(1+Hipótesis!$D$42),0)</f>
        <v>-2884.79928</v>
      </c>
      <c r="AR48" s="138" t="n">
        <f aca="false">-IF(AND(42&gt;=Hipótesis!$D$52,Hipótesis!$B$52=1),IF(Hipótesis!$G$52=1,Hipótesis!$F$44,Hipótesis!$C$52*(1+Hipótesis!$D$45)^3)*(1+Hipótesis!$D$42),0)</f>
        <v>-2884.79928</v>
      </c>
      <c r="AS48" s="138" t="n">
        <f aca="false">-IF(AND(43&gt;=Hipótesis!$D$52,Hipótesis!$B$52=1),IF(Hipótesis!$G$52=1,Hipótesis!$F$44,Hipótesis!$C$52*(1+Hipótesis!$D$45)^3)*(1+Hipótesis!$D$42),0)</f>
        <v>-2884.79928</v>
      </c>
      <c r="AT48" s="138" t="n">
        <f aca="false">-IF(AND(44&gt;=Hipótesis!$D$52,Hipótesis!$B$52=1),IF(Hipótesis!$G$52=1,Hipótesis!$F$44,Hipótesis!$C$52*(1+Hipótesis!$D$45)^3)*(1+Hipótesis!$D$42),0)</f>
        <v>-2884.79928</v>
      </c>
      <c r="AU48" s="138" t="n">
        <f aca="false">-IF(AND(45&gt;=Hipótesis!$D$52,Hipótesis!$B$52=1),IF(Hipótesis!$G$52=1,Hipótesis!$F$44,Hipótesis!$C$52*(1+Hipótesis!$D$45)^3)*(1+Hipótesis!$D$42),0)</f>
        <v>-2884.79928</v>
      </c>
      <c r="AV48" s="138" t="n">
        <f aca="false">-IF(AND(46&gt;=Hipótesis!$D$52,Hipótesis!$B$52=1),IF(Hipótesis!$G$52=1,Hipótesis!$F$44,Hipótesis!$C$52*(1+Hipótesis!$D$45)^3)*(1+Hipótesis!$D$42),0)</f>
        <v>-2884.79928</v>
      </c>
      <c r="AW48" s="138" t="n">
        <f aca="false">-IF(AND(47&gt;=Hipótesis!$D$52,Hipótesis!$B$52=1),IF(Hipótesis!$G$52=1,Hipótesis!$F$44,Hipótesis!$C$52*(1+Hipótesis!$D$45)^3)*(1+Hipótesis!$D$42),0)</f>
        <v>-2884.79928</v>
      </c>
      <c r="AX48" s="138" t="n">
        <f aca="false">-IF(AND(48&gt;=Hipótesis!$D$52,Hipótesis!$B$52=1),IF(Hipótesis!$G$52=1,Hipótesis!$F$44,Hipótesis!$C$52*(1+Hipótesis!$D$45)^3)*(1+Hipótesis!$D$42),0)</f>
        <v>-2884.79928</v>
      </c>
      <c r="AY48" s="138" t="n">
        <f aca="false">-IF(AND(49&gt;=Hipótesis!$D$52,Hipótesis!$B$52=1),IF(Hipótesis!$G$52=1,Hipótesis!$G$44,Hipótesis!$C$52*(1+Hipótesis!$D$45)^4)*(1+Hipótesis!$D$42),0)</f>
        <v>-2971.3432584</v>
      </c>
      <c r="AZ48" s="138" t="n">
        <f aca="false">-IF(AND(50&gt;=Hipótesis!$D$52,Hipótesis!$B$52=1),IF(Hipótesis!$G$52=1,Hipótesis!$G$44,Hipótesis!$C$52*(1+Hipótesis!$D$45)^4)*(1+Hipótesis!$D$42),0)</f>
        <v>-2971.3432584</v>
      </c>
      <c r="BA48" s="138" t="n">
        <f aca="false">-IF(AND(51&gt;=Hipótesis!$D$52,Hipótesis!$B$52=1),IF(Hipótesis!$G$52=1,Hipótesis!$G$44,Hipótesis!$C$52*(1+Hipótesis!$D$45)^4)*(1+Hipótesis!$D$42),0)</f>
        <v>-2971.3432584</v>
      </c>
      <c r="BB48" s="138" t="n">
        <f aca="false">-IF(AND(52&gt;=Hipótesis!$D$52,Hipótesis!$B$52=1),IF(Hipótesis!$G$52=1,Hipótesis!$G$44,Hipótesis!$C$52*(1+Hipótesis!$D$45)^4)*(1+Hipótesis!$D$42),0)</f>
        <v>-2971.3432584</v>
      </c>
      <c r="BC48" s="138" t="n">
        <f aca="false">-IF(AND(53&gt;=Hipótesis!$D$52,Hipótesis!$B$52=1),IF(Hipótesis!$G$52=1,Hipótesis!$G$44,Hipótesis!$C$52*(1+Hipótesis!$D$45)^4)*(1+Hipótesis!$D$42),0)</f>
        <v>-2971.3432584</v>
      </c>
      <c r="BD48" s="138" t="n">
        <f aca="false">-IF(AND(54&gt;=Hipótesis!$D$52,Hipótesis!$B$52=1),IF(Hipótesis!$G$52=1,Hipótesis!$G$44,Hipótesis!$C$52*(1+Hipótesis!$D$45)^4)*(1+Hipótesis!$D$42),0)</f>
        <v>-2971.3432584</v>
      </c>
      <c r="BE48" s="138" t="n">
        <f aca="false">-IF(AND(55&gt;=Hipótesis!$D$52,Hipótesis!$B$52=1),IF(Hipótesis!$G$52=1,Hipótesis!$G$44,Hipótesis!$C$52*(1+Hipótesis!$D$45)^4)*(1+Hipótesis!$D$42),0)</f>
        <v>-2971.3432584</v>
      </c>
      <c r="BF48" s="138" t="n">
        <f aca="false">-IF(AND(56&gt;=Hipótesis!$D$52,Hipótesis!$B$52=1),IF(Hipótesis!$G$52=1,Hipótesis!$G$44,Hipótesis!$C$52*(1+Hipótesis!$D$45)^4)*(1+Hipótesis!$D$42),0)</f>
        <v>-2971.3432584</v>
      </c>
      <c r="BG48" s="138" t="n">
        <f aca="false">-IF(AND(57&gt;=Hipótesis!$D$52,Hipótesis!$B$52=1),IF(Hipótesis!$G$52=1,Hipótesis!$G$44,Hipótesis!$C$52*(1+Hipótesis!$D$45)^4)*(1+Hipótesis!$D$42),0)</f>
        <v>-2971.3432584</v>
      </c>
      <c r="BH48" s="138" t="n">
        <f aca="false">-IF(AND(58&gt;=Hipótesis!$D$52,Hipótesis!$B$52=1),IF(Hipótesis!$G$52=1,Hipótesis!$G$44,Hipótesis!$C$52*(1+Hipótesis!$D$45)^4)*(1+Hipótesis!$D$42),0)</f>
        <v>-2971.3432584</v>
      </c>
      <c r="BI48" s="138" t="n">
        <f aca="false">-IF(AND(59&gt;=Hipótesis!$D$52,Hipótesis!$B$52=1),IF(Hipótesis!$G$52=1,Hipótesis!$G$44,Hipótesis!$C$52*(1+Hipótesis!$D$45)^4)*(1+Hipótesis!$D$42),0)</f>
        <v>-2971.3432584</v>
      </c>
      <c r="BJ48" s="138" t="n">
        <f aca="false">-IF(AND(60&gt;=Hipótesis!$D$52,Hipótesis!$B$52=1),IF(Hipótesis!$G$52=1,Hipótesis!$G$44,Hipótesis!$C$52*(1+Hipótesis!$D$45)^4)*(1+Hipótesis!$D$42),0)</f>
        <v>-2971.3432584</v>
      </c>
      <c r="BK48" s="138" t="n">
        <f aca="false">-IF(AND(61&gt;=Hipótesis!$D$52,Hipótesis!$B$52=1),IF(Hipótesis!$G$52=1,Hipótesis!$H$44,Hipótesis!$C$52*(1+Hipótesis!$D$45)^5)*(1+Hipótesis!$D$42),0)</f>
        <v>-3060.483556152</v>
      </c>
      <c r="BL48" s="138" t="n">
        <f aca="false">-IF(AND(62&gt;=Hipótesis!$D$52,Hipótesis!$B$52=1),IF(Hipótesis!$G$52=1,Hipótesis!$H$44,Hipótesis!$C$52*(1+Hipótesis!$D$45)^5)*(1+Hipótesis!$D$42),0)</f>
        <v>-3060.483556152</v>
      </c>
      <c r="BM48" s="138" t="n">
        <f aca="false">-IF(AND(63&gt;=Hipótesis!$D$52,Hipótesis!$B$52=1),IF(Hipótesis!$G$52=1,Hipótesis!$H$44,Hipótesis!$C$52*(1+Hipótesis!$D$45)^5)*(1+Hipótesis!$D$42),0)</f>
        <v>-3060.483556152</v>
      </c>
      <c r="BN48" s="138" t="n">
        <f aca="false">-IF(AND(64&gt;=Hipótesis!$D$52,Hipótesis!$B$52=1),IF(Hipótesis!$G$52=1,Hipótesis!$H$44,Hipótesis!$C$52*(1+Hipótesis!$D$45)^5)*(1+Hipótesis!$D$42),0)</f>
        <v>-3060.483556152</v>
      </c>
      <c r="BO48" s="138" t="n">
        <f aca="false">-IF(AND(65&gt;=Hipótesis!$D$52,Hipótesis!$B$52=1),IF(Hipótesis!$G$52=1,Hipótesis!$H$44,Hipótesis!$C$52*(1+Hipótesis!$D$45)^5)*(1+Hipótesis!$D$42),0)</f>
        <v>-3060.483556152</v>
      </c>
      <c r="BP48" s="138" t="n">
        <f aca="false">-IF(AND(66&gt;=Hipótesis!$D$52,Hipótesis!$B$52=1),IF(Hipótesis!$G$52=1,Hipótesis!$H$44,Hipótesis!$C$52*(1+Hipótesis!$D$45)^5)*(1+Hipótesis!$D$42),0)</f>
        <v>-3060.483556152</v>
      </c>
      <c r="BQ48" s="138" t="n">
        <f aca="false">-IF(AND(67&gt;=Hipótesis!$D$52,Hipótesis!$B$52=1),IF(Hipótesis!$G$52=1,Hipótesis!$H$44,Hipótesis!$C$52*(1+Hipótesis!$D$45)^5)*(1+Hipótesis!$D$42),0)</f>
        <v>-3060.483556152</v>
      </c>
      <c r="BR48" s="138" t="n">
        <f aca="false">-IF(AND(68&gt;=Hipótesis!$D$52,Hipótesis!$B$52=1),IF(Hipótesis!$G$52=1,Hipótesis!$H$44,Hipótesis!$C$52*(1+Hipótesis!$D$45)^5)*(1+Hipótesis!$D$42),0)</f>
        <v>-3060.483556152</v>
      </c>
      <c r="BS48" s="138" t="n">
        <f aca="false">-IF(AND(69&gt;=Hipótesis!$D$52,Hipótesis!$B$52=1),IF(Hipótesis!$G$52=1,Hipótesis!$H$44,Hipótesis!$C$52*(1+Hipótesis!$D$45)^5)*(1+Hipótesis!$D$42),0)</f>
        <v>-3060.483556152</v>
      </c>
      <c r="BT48" s="138" t="n">
        <f aca="false">-IF(AND(70&gt;=Hipótesis!$D$52,Hipótesis!$B$52=1),IF(Hipótesis!$G$52=1,Hipótesis!$H$44,Hipótesis!$C$52*(1+Hipótesis!$D$45)^5)*(1+Hipótesis!$D$42),0)</f>
        <v>-3060.483556152</v>
      </c>
      <c r="BU48" s="138" t="n">
        <f aca="false">-IF(AND(71&gt;=Hipótesis!$D$52,Hipótesis!$B$52=1),IF(Hipótesis!$G$52=1,Hipótesis!$H$44,Hipótesis!$C$52*(1+Hipótesis!$D$45)^5)*(1+Hipótesis!$D$42),0)</f>
        <v>-3060.483556152</v>
      </c>
      <c r="BV48" s="138" t="n">
        <f aca="false">-IF(AND(72&gt;=Hipótesis!$D$52,Hipótesis!$B$52=1),IF(Hipótesis!$G$52=1,Hipótesis!$H$44,Hipótesis!$C$52*(1+Hipótesis!$D$45)^5)*(1+Hipótesis!$D$42),0)</f>
        <v>-3060.483556152</v>
      </c>
      <c r="BW48" s="138" t="n">
        <f aca="false">-IF(AND(73&gt;=Hipótesis!$D$52,Hipótesis!$B$52=1),IF(Hipótesis!$G$52=1,Hipótesis!$I$44,Hipótesis!$C$52*(1+Hipótesis!$D$45)^6)*(1+Hipótesis!$D$42),0)</f>
        <v>-3152.29806283656</v>
      </c>
      <c r="BX48" s="138" t="n">
        <f aca="false">-IF(AND(74&gt;=Hipótesis!$D$52,Hipótesis!$B$52=1),IF(Hipótesis!$G$52=1,Hipótesis!$I$44,Hipótesis!$C$52*(1+Hipótesis!$D$45)^6)*(1+Hipótesis!$D$42),0)</f>
        <v>-3152.29806283656</v>
      </c>
      <c r="BY48" s="138" t="n">
        <f aca="false">-IF(AND(75&gt;=Hipótesis!$D$52,Hipótesis!$B$52=1),IF(Hipótesis!$G$52=1,Hipótesis!$I$44,Hipótesis!$C$52*(1+Hipótesis!$D$45)^6)*(1+Hipótesis!$D$42),0)</f>
        <v>-3152.29806283656</v>
      </c>
      <c r="BZ48" s="138" t="n">
        <f aca="false">-IF(AND(76&gt;=Hipótesis!$D$52,Hipótesis!$B$52=1),IF(Hipótesis!$G$52=1,Hipótesis!$I$44,Hipótesis!$C$52*(1+Hipótesis!$D$45)^6)*(1+Hipótesis!$D$42),0)</f>
        <v>-3152.29806283656</v>
      </c>
      <c r="CA48" s="138" t="n">
        <f aca="false">-IF(AND(77&gt;=Hipótesis!$D$52,Hipótesis!$B$52=1),IF(Hipótesis!$G$52=1,Hipótesis!$I$44,Hipótesis!$C$52*(1+Hipótesis!$D$45)^6)*(1+Hipótesis!$D$42),0)</f>
        <v>-3152.29806283656</v>
      </c>
      <c r="CB48" s="138" t="n">
        <f aca="false">-IF(AND(78&gt;=Hipótesis!$D$52,Hipótesis!$B$52=1),IF(Hipótesis!$G$52=1,Hipótesis!$I$44,Hipótesis!$C$52*(1+Hipótesis!$D$45)^6)*(1+Hipótesis!$D$42),0)</f>
        <v>-3152.29806283656</v>
      </c>
      <c r="CC48" s="138" t="n">
        <f aca="false">-IF(AND(79&gt;=Hipótesis!$D$52,Hipótesis!$B$52=1),IF(Hipótesis!$G$52=1,Hipótesis!$I$44,Hipótesis!$C$52*(1+Hipótesis!$D$45)^6)*(1+Hipótesis!$D$42),0)</f>
        <v>-3152.29806283656</v>
      </c>
      <c r="CD48" s="138" t="n">
        <f aca="false">-IF(AND(80&gt;=Hipótesis!$D$52,Hipótesis!$B$52=1),IF(Hipótesis!$G$52=1,Hipótesis!$I$44,Hipótesis!$C$52*(1+Hipótesis!$D$45)^6)*(1+Hipótesis!$D$42),0)</f>
        <v>-3152.29806283656</v>
      </c>
      <c r="CE48" s="138" t="n">
        <f aca="false">-IF(AND(81&gt;=Hipótesis!$D$52,Hipótesis!$B$52=1),IF(Hipótesis!$G$52=1,Hipótesis!$I$44,Hipótesis!$C$52*(1+Hipótesis!$D$45)^6)*(1+Hipótesis!$D$42),0)</f>
        <v>-3152.29806283656</v>
      </c>
      <c r="CF48" s="138" t="n">
        <f aca="false">-IF(AND(82&gt;=Hipótesis!$D$52,Hipótesis!$B$52=1),IF(Hipótesis!$G$52=1,Hipótesis!$I$44,Hipótesis!$C$52*(1+Hipótesis!$D$45)^6)*(1+Hipótesis!$D$42),0)</f>
        <v>-3152.29806283656</v>
      </c>
      <c r="CG48" s="138" t="n">
        <f aca="false">-IF(AND(83&gt;=Hipótesis!$D$52,Hipótesis!$B$52=1),IF(Hipótesis!$G$52=1,Hipótesis!$I$44,Hipótesis!$C$52*(1+Hipótesis!$D$45)^6)*(1+Hipótesis!$D$42),0)</f>
        <v>-3152.29806283656</v>
      </c>
      <c r="CH48" s="138" t="n">
        <f aca="false">-IF(AND(84&gt;=Hipótesis!$D$52,Hipótesis!$B$52=1),IF(Hipótesis!$G$52=1,Hipótesis!$I$44,Hipótesis!$C$52*(1+Hipótesis!$D$45)^6)*(1+Hipótesis!$D$42),0)</f>
        <v>-3152.29806283656</v>
      </c>
    </row>
    <row r="49" customFormat="false" ht="13.5" hidden="false" customHeight="true" outlineLevel="0" collapsed="false">
      <c r="A49" s="13" t="s">
        <v>730</v>
      </c>
      <c r="C49" s="138" t="n">
        <f aca="false">-IF(AND(1&gt;=Hipótesis!$D$53,Hipótesis!$B$53=1),IF(Hipótesis!$G$53=1,Hipótesis!$C$44,Hipótesis!$C$53*(1+Hipótesis!$D$45)^0)*(1+Hipótesis!$D$42),0)</f>
        <v>-0</v>
      </c>
      <c r="D49" s="138" t="n">
        <f aca="false">-IF(AND(2&gt;=Hipótesis!$D$53,Hipótesis!$B$53=1),IF(Hipótesis!$G$53=1,Hipótesis!$C$44,Hipótesis!$C$53*(1+Hipótesis!$D$45)^0)*(1+Hipótesis!$D$42),0)</f>
        <v>-0</v>
      </c>
      <c r="E49" s="138" t="n">
        <f aca="false">-IF(AND(3&gt;=Hipótesis!$D$53,Hipótesis!$B$53=1),IF(Hipótesis!$G$53=1,Hipótesis!$C$44,Hipótesis!$C$53*(1+Hipótesis!$D$45)^0)*(1+Hipótesis!$D$42),0)</f>
        <v>-0</v>
      </c>
      <c r="F49" s="138" t="n">
        <f aca="false">-IF(AND(4&gt;=Hipótesis!$D$53,Hipótesis!$B$53=1),IF(Hipótesis!$G$53=1,Hipótesis!$C$44,Hipótesis!$C$53*(1+Hipótesis!$D$45)^0)*(1+Hipótesis!$D$42),0)</f>
        <v>-0</v>
      </c>
      <c r="G49" s="138" t="n">
        <f aca="false">-IF(AND(5&gt;=Hipótesis!$D$53,Hipótesis!$B$53=1),IF(Hipótesis!$G$53=1,Hipótesis!$C$44,Hipótesis!$C$53*(1+Hipótesis!$D$45)^0)*(1+Hipótesis!$D$42),0)</f>
        <v>-0</v>
      </c>
      <c r="H49" s="138" t="n">
        <f aca="false">-IF(AND(6&gt;=Hipótesis!$D$53,Hipótesis!$B$53=1),IF(Hipótesis!$G$53=1,Hipótesis!$C$44,Hipótesis!$C$53*(1+Hipótesis!$D$45)^0)*(1+Hipótesis!$D$42),0)</f>
        <v>-0</v>
      </c>
      <c r="I49" s="138" t="n">
        <f aca="false">-IF(AND(7&gt;=Hipótesis!$D$53,Hipótesis!$B$53=1),IF(Hipótesis!$G$53=1,Hipótesis!$C$44,Hipótesis!$C$53*(1+Hipótesis!$D$45)^0)*(1+Hipótesis!$D$42),0)</f>
        <v>-0</v>
      </c>
      <c r="J49" s="138" t="n">
        <f aca="false">-IF(AND(8&gt;=Hipótesis!$D$53,Hipótesis!$B$53=1),IF(Hipótesis!$G$53=1,Hipótesis!$C$44,Hipótesis!$C$53*(1+Hipótesis!$D$45)^0)*(1+Hipótesis!$D$42),0)</f>
        <v>-0</v>
      </c>
      <c r="K49" s="138" t="n">
        <f aca="false">-IF(AND(9&gt;=Hipótesis!$D$53,Hipótesis!$B$53=1),IF(Hipótesis!$G$53=1,Hipótesis!$C$44,Hipótesis!$C$53*(1+Hipótesis!$D$45)^0)*(1+Hipótesis!$D$42),0)</f>
        <v>-0</v>
      </c>
      <c r="L49" s="138" t="n">
        <f aca="false">-IF(AND(10&gt;=Hipótesis!$D$53,Hipótesis!$B$53=1),IF(Hipótesis!$G$53=1,Hipótesis!$C$44,Hipótesis!$C$53*(1+Hipótesis!$D$45)^0)*(1+Hipótesis!$D$42),0)</f>
        <v>-0</v>
      </c>
      <c r="M49" s="138" t="n">
        <f aca="false">-IF(AND(11&gt;=Hipótesis!$D$53,Hipótesis!$B$53=1),IF(Hipótesis!$G$53=1,Hipótesis!$C$44,Hipótesis!$C$53*(1+Hipótesis!$D$45)^0)*(1+Hipótesis!$D$42),0)</f>
        <v>-0</v>
      </c>
      <c r="N49" s="138" t="n">
        <f aca="false">-IF(AND(12&gt;=Hipótesis!$D$53,Hipótesis!$B$53=1),IF(Hipótesis!$G$53=1,Hipótesis!$C$44,Hipótesis!$C$53*(1+Hipótesis!$D$45)^0)*(1+Hipótesis!$D$42),0)</f>
        <v>-0</v>
      </c>
      <c r="O49" s="138" t="n">
        <f aca="false">-IF(AND(13&gt;=Hipótesis!$D$53,Hipótesis!$B$53=1),IF(Hipótesis!$G$53=1,Hipótesis!$D$44,Hipótesis!$C$53*(1+Hipótesis!$D$45)^1)*(1+Hipótesis!$D$42),0)</f>
        <v>-0</v>
      </c>
      <c r="P49" s="138" t="n">
        <f aca="false">-IF(AND(14&gt;=Hipótesis!$D$53,Hipótesis!$B$53=1),IF(Hipótesis!$G$53=1,Hipótesis!$D$44,Hipótesis!$C$53*(1+Hipótesis!$D$45)^1)*(1+Hipótesis!$D$42),0)</f>
        <v>-0</v>
      </c>
      <c r="Q49" s="138" t="n">
        <f aca="false">-IF(AND(15&gt;=Hipótesis!$D$53,Hipótesis!$B$53=1),IF(Hipótesis!$G$53=1,Hipótesis!$D$44,Hipótesis!$C$53*(1+Hipótesis!$D$45)^1)*(1+Hipótesis!$D$42),0)</f>
        <v>-0</v>
      </c>
      <c r="R49" s="138" t="n">
        <f aca="false">-IF(AND(16&gt;=Hipótesis!$D$53,Hipótesis!$B$53=1),IF(Hipótesis!$G$53=1,Hipótesis!$D$44,Hipótesis!$C$53*(1+Hipótesis!$D$45)^1)*(1+Hipótesis!$D$42),0)</f>
        <v>-0</v>
      </c>
      <c r="S49" s="138" t="n">
        <f aca="false">-IF(AND(17&gt;=Hipótesis!$D$53,Hipótesis!$B$53=1),IF(Hipótesis!$G$53=1,Hipótesis!$D$44,Hipótesis!$C$53*(1+Hipótesis!$D$45)^1)*(1+Hipótesis!$D$42),0)</f>
        <v>-0</v>
      </c>
      <c r="T49" s="138" t="n">
        <f aca="false">-IF(AND(18&gt;=Hipótesis!$D$53,Hipótesis!$B$53=1),IF(Hipótesis!$G$53=1,Hipótesis!$D$44,Hipótesis!$C$53*(1+Hipótesis!$D$45)^1)*(1+Hipótesis!$D$42),0)</f>
        <v>-0</v>
      </c>
      <c r="U49" s="138" t="n">
        <f aca="false">-IF(AND(19&gt;=Hipótesis!$D$53,Hipótesis!$B$53=1),IF(Hipótesis!$G$53=1,Hipótesis!$D$44,Hipótesis!$C$53*(1+Hipótesis!$D$45)^1)*(1+Hipótesis!$D$42),0)</f>
        <v>-0</v>
      </c>
      <c r="V49" s="138" t="n">
        <f aca="false">-IF(AND(20&gt;=Hipótesis!$D$53,Hipótesis!$B$53=1),IF(Hipótesis!$G$53=1,Hipótesis!$D$44,Hipótesis!$C$53*(1+Hipótesis!$D$45)^1)*(1+Hipótesis!$D$42),0)</f>
        <v>-0</v>
      </c>
      <c r="W49" s="138" t="n">
        <f aca="false">-IF(AND(21&gt;=Hipótesis!$D$53,Hipótesis!$B$53=1),IF(Hipótesis!$G$53=1,Hipótesis!$D$44,Hipótesis!$C$53*(1+Hipótesis!$D$45)^1)*(1+Hipótesis!$D$42),0)</f>
        <v>-0</v>
      </c>
      <c r="X49" s="138" t="n">
        <f aca="false">-IF(AND(22&gt;=Hipótesis!$D$53,Hipótesis!$B$53=1),IF(Hipótesis!$G$53=1,Hipótesis!$D$44,Hipótesis!$C$53*(1+Hipótesis!$D$45)^1)*(1+Hipótesis!$D$42),0)</f>
        <v>-0</v>
      </c>
      <c r="Y49" s="138" t="n">
        <f aca="false">-IF(AND(23&gt;=Hipótesis!$D$53,Hipótesis!$B$53=1),IF(Hipótesis!$G$53=1,Hipótesis!$D$44,Hipótesis!$C$53*(1+Hipótesis!$D$45)^1)*(1+Hipótesis!$D$42),0)</f>
        <v>-0</v>
      </c>
      <c r="Z49" s="138" t="n">
        <f aca="false">-IF(AND(24&gt;=Hipótesis!$D$53,Hipótesis!$B$53=1),IF(Hipótesis!$G$53=1,Hipótesis!$D$44,Hipótesis!$C$53*(1+Hipótesis!$D$45)^1)*(1+Hipótesis!$D$42),0)</f>
        <v>-0</v>
      </c>
      <c r="AA49" s="138" t="n">
        <f aca="false">-IF(AND(25&gt;=Hipótesis!$D$53,Hipótesis!$B$53=1),IF(Hipótesis!$G$53=1,Hipótesis!$E$44,Hipótesis!$C$53*(1+Hipótesis!$D$45)^2)*(1+Hipótesis!$D$42),0)</f>
        <v>-0</v>
      </c>
      <c r="AB49" s="138" t="n">
        <f aca="false">-IF(AND(26&gt;=Hipótesis!$D$53,Hipótesis!$B$53=1),IF(Hipótesis!$G$53=1,Hipótesis!$E$44,Hipótesis!$C$53*(1+Hipótesis!$D$45)^2)*(1+Hipótesis!$D$42),0)</f>
        <v>-0</v>
      </c>
      <c r="AC49" s="138" t="n">
        <f aca="false">-IF(AND(27&gt;=Hipótesis!$D$53,Hipótesis!$B$53=1),IF(Hipótesis!$G$53=1,Hipótesis!$E$44,Hipótesis!$C$53*(1+Hipótesis!$D$45)^2)*(1+Hipótesis!$D$42),0)</f>
        <v>-0</v>
      </c>
      <c r="AD49" s="138" t="n">
        <f aca="false">-IF(AND(28&gt;=Hipótesis!$D$53,Hipótesis!$B$53=1),IF(Hipótesis!$G$53=1,Hipótesis!$E$44,Hipótesis!$C$53*(1+Hipótesis!$D$45)^2)*(1+Hipótesis!$D$42),0)</f>
        <v>-0</v>
      </c>
      <c r="AE49" s="138" t="n">
        <f aca="false">-IF(AND(29&gt;=Hipótesis!$D$53,Hipótesis!$B$53=1),IF(Hipótesis!$G$53=1,Hipótesis!$E$44,Hipótesis!$C$53*(1+Hipótesis!$D$45)^2)*(1+Hipótesis!$D$42),0)</f>
        <v>-0</v>
      </c>
      <c r="AF49" s="138" t="n">
        <f aca="false">-IF(AND(30&gt;=Hipótesis!$D$53,Hipótesis!$B$53=1),IF(Hipótesis!$G$53=1,Hipótesis!$E$44,Hipótesis!$C$53*(1+Hipótesis!$D$45)^2)*(1+Hipótesis!$D$42),0)</f>
        <v>-0</v>
      </c>
      <c r="AG49" s="138" t="n">
        <f aca="false">-IF(AND(31&gt;=Hipótesis!$D$53,Hipótesis!$B$53=1),IF(Hipótesis!$G$53=1,Hipótesis!$E$44,Hipótesis!$C$53*(1+Hipótesis!$D$45)^2)*(1+Hipótesis!$D$42),0)</f>
        <v>-0</v>
      </c>
      <c r="AH49" s="138" t="n">
        <f aca="false">-IF(AND(32&gt;=Hipótesis!$D$53,Hipótesis!$B$53=1),IF(Hipótesis!$G$53=1,Hipótesis!$E$44,Hipótesis!$C$53*(1+Hipótesis!$D$45)^2)*(1+Hipótesis!$D$42),0)</f>
        <v>-0</v>
      </c>
      <c r="AI49" s="138" t="n">
        <f aca="false">-IF(AND(33&gt;=Hipótesis!$D$53,Hipótesis!$B$53=1),IF(Hipótesis!$G$53=1,Hipótesis!$E$44,Hipótesis!$C$53*(1+Hipótesis!$D$45)^2)*(1+Hipótesis!$D$42),0)</f>
        <v>-0</v>
      </c>
      <c r="AJ49" s="138" t="n">
        <f aca="false">-IF(AND(34&gt;=Hipótesis!$D$53,Hipótesis!$B$53=1),IF(Hipótesis!$G$53=1,Hipótesis!$E$44,Hipótesis!$C$53*(1+Hipótesis!$D$45)^2)*(1+Hipótesis!$D$42),0)</f>
        <v>-0</v>
      </c>
      <c r="AK49" s="138" t="n">
        <f aca="false">-IF(AND(35&gt;=Hipótesis!$D$53,Hipótesis!$B$53=1),IF(Hipótesis!$G$53=1,Hipótesis!$E$44,Hipótesis!$C$53*(1+Hipótesis!$D$45)^2)*(1+Hipótesis!$D$42),0)</f>
        <v>-0</v>
      </c>
      <c r="AL49" s="138" t="n">
        <f aca="false">-IF(AND(36&gt;=Hipótesis!$D$53,Hipótesis!$B$53=1),IF(Hipótesis!$G$53=1,Hipótesis!$E$44,Hipótesis!$C$53*(1+Hipótesis!$D$45)^2)*(1+Hipótesis!$D$42),0)</f>
        <v>-0</v>
      </c>
      <c r="AM49" s="138" t="n">
        <f aca="false">-IF(AND(37&gt;=Hipótesis!$D$53,Hipótesis!$B$53=1),IF(Hipótesis!$G$53=1,Hipótesis!$F$44,Hipótesis!$C$53*(1+Hipótesis!$D$45)^3)*(1+Hipótesis!$D$42),0)</f>
        <v>-0</v>
      </c>
      <c r="AN49" s="138" t="n">
        <f aca="false">-IF(AND(38&gt;=Hipótesis!$D$53,Hipótesis!$B$53=1),IF(Hipótesis!$G$53=1,Hipótesis!$F$44,Hipótesis!$C$53*(1+Hipótesis!$D$45)^3)*(1+Hipótesis!$D$42),0)</f>
        <v>-0</v>
      </c>
      <c r="AO49" s="138" t="n">
        <f aca="false">-IF(AND(39&gt;=Hipótesis!$D$53,Hipótesis!$B$53=1),IF(Hipótesis!$G$53=1,Hipótesis!$F$44,Hipótesis!$C$53*(1+Hipótesis!$D$45)^3)*(1+Hipótesis!$D$42),0)</f>
        <v>-0</v>
      </c>
      <c r="AP49" s="138" t="n">
        <f aca="false">-IF(AND(40&gt;=Hipótesis!$D$53,Hipótesis!$B$53=1),IF(Hipótesis!$G$53=1,Hipótesis!$F$44,Hipótesis!$C$53*(1+Hipótesis!$D$45)^3)*(1+Hipótesis!$D$42),0)</f>
        <v>-0</v>
      </c>
      <c r="AQ49" s="138" t="n">
        <f aca="false">-IF(AND(41&gt;=Hipótesis!$D$53,Hipótesis!$B$53=1),IF(Hipótesis!$G$53=1,Hipótesis!$F$44,Hipótesis!$C$53*(1+Hipótesis!$D$45)^3)*(1+Hipótesis!$D$42),0)</f>
        <v>-0</v>
      </c>
      <c r="AR49" s="138" t="n">
        <f aca="false">-IF(AND(42&gt;=Hipótesis!$D$53,Hipótesis!$B$53=1),IF(Hipótesis!$G$53=1,Hipótesis!$F$44,Hipótesis!$C$53*(1+Hipótesis!$D$45)^3)*(1+Hipótesis!$D$42),0)</f>
        <v>-0</v>
      </c>
      <c r="AS49" s="138" t="n">
        <f aca="false">-IF(AND(43&gt;=Hipótesis!$D$53,Hipótesis!$B$53=1),IF(Hipótesis!$G$53=1,Hipótesis!$F$44,Hipótesis!$C$53*(1+Hipótesis!$D$45)^3)*(1+Hipótesis!$D$42),0)</f>
        <v>-0</v>
      </c>
      <c r="AT49" s="138" t="n">
        <f aca="false">-IF(AND(44&gt;=Hipótesis!$D$53,Hipótesis!$B$53=1),IF(Hipótesis!$G$53=1,Hipótesis!$F$44,Hipótesis!$C$53*(1+Hipótesis!$D$45)^3)*(1+Hipótesis!$D$42),0)</f>
        <v>-0</v>
      </c>
      <c r="AU49" s="138" t="n">
        <f aca="false">-IF(AND(45&gt;=Hipótesis!$D$53,Hipótesis!$B$53=1),IF(Hipótesis!$G$53=1,Hipótesis!$F$44,Hipótesis!$C$53*(1+Hipótesis!$D$45)^3)*(1+Hipótesis!$D$42),0)</f>
        <v>-0</v>
      </c>
      <c r="AV49" s="138" t="n">
        <f aca="false">-IF(AND(46&gt;=Hipótesis!$D$53,Hipótesis!$B$53=1),IF(Hipótesis!$G$53=1,Hipótesis!$F$44,Hipótesis!$C$53*(1+Hipótesis!$D$45)^3)*(1+Hipótesis!$D$42),0)</f>
        <v>-0</v>
      </c>
      <c r="AW49" s="138" t="n">
        <f aca="false">-IF(AND(47&gt;=Hipótesis!$D$53,Hipótesis!$B$53=1),IF(Hipótesis!$G$53=1,Hipótesis!$F$44,Hipótesis!$C$53*(1+Hipótesis!$D$45)^3)*(1+Hipótesis!$D$42),0)</f>
        <v>-0</v>
      </c>
      <c r="AX49" s="138" t="n">
        <f aca="false">-IF(AND(48&gt;=Hipótesis!$D$53,Hipótesis!$B$53=1),IF(Hipótesis!$G$53=1,Hipótesis!$F$44,Hipótesis!$C$53*(1+Hipótesis!$D$45)^3)*(1+Hipótesis!$D$42),0)</f>
        <v>-0</v>
      </c>
      <c r="AY49" s="138" t="n">
        <f aca="false">-IF(AND(49&gt;=Hipótesis!$D$53,Hipótesis!$B$53=1),IF(Hipótesis!$G$53=1,Hipótesis!$G$44,Hipótesis!$C$53*(1+Hipótesis!$D$45)^4)*(1+Hipótesis!$D$42),0)</f>
        <v>-0</v>
      </c>
      <c r="AZ49" s="138" t="n">
        <f aca="false">-IF(AND(50&gt;=Hipótesis!$D$53,Hipótesis!$B$53=1),IF(Hipótesis!$G$53=1,Hipótesis!$G$44,Hipótesis!$C$53*(1+Hipótesis!$D$45)^4)*(1+Hipótesis!$D$42),0)</f>
        <v>-0</v>
      </c>
      <c r="BA49" s="138" t="n">
        <f aca="false">-IF(AND(51&gt;=Hipótesis!$D$53,Hipótesis!$B$53=1),IF(Hipótesis!$G$53=1,Hipótesis!$G$44,Hipótesis!$C$53*(1+Hipótesis!$D$45)^4)*(1+Hipótesis!$D$42),0)</f>
        <v>-0</v>
      </c>
      <c r="BB49" s="138" t="n">
        <f aca="false">-IF(AND(52&gt;=Hipótesis!$D$53,Hipótesis!$B$53=1),IF(Hipótesis!$G$53=1,Hipótesis!$G$44,Hipótesis!$C$53*(1+Hipótesis!$D$45)^4)*(1+Hipótesis!$D$42),0)</f>
        <v>-0</v>
      </c>
      <c r="BC49" s="138" t="n">
        <f aca="false">-IF(AND(53&gt;=Hipótesis!$D$53,Hipótesis!$B$53=1),IF(Hipótesis!$G$53=1,Hipótesis!$G$44,Hipótesis!$C$53*(1+Hipótesis!$D$45)^4)*(1+Hipótesis!$D$42),0)</f>
        <v>-0</v>
      </c>
      <c r="BD49" s="138" t="n">
        <f aca="false">-IF(AND(54&gt;=Hipótesis!$D$53,Hipótesis!$B$53=1),IF(Hipótesis!$G$53=1,Hipótesis!$G$44,Hipótesis!$C$53*(1+Hipótesis!$D$45)^4)*(1+Hipótesis!$D$42),0)</f>
        <v>-0</v>
      </c>
      <c r="BE49" s="138" t="n">
        <f aca="false">-IF(AND(55&gt;=Hipótesis!$D$53,Hipótesis!$B$53=1),IF(Hipótesis!$G$53=1,Hipótesis!$G$44,Hipótesis!$C$53*(1+Hipótesis!$D$45)^4)*(1+Hipótesis!$D$42),0)</f>
        <v>-0</v>
      </c>
      <c r="BF49" s="138" t="n">
        <f aca="false">-IF(AND(56&gt;=Hipótesis!$D$53,Hipótesis!$B$53=1),IF(Hipótesis!$G$53=1,Hipótesis!$G$44,Hipótesis!$C$53*(1+Hipótesis!$D$45)^4)*(1+Hipótesis!$D$42),0)</f>
        <v>-0</v>
      </c>
      <c r="BG49" s="138" t="n">
        <f aca="false">-IF(AND(57&gt;=Hipótesis!$D$53,Hipótesis!$B$53=1),IF(Hipótesis!$G$53=1,Hipótesis!$G$44,Hipótesis!$C$53*(1+Hipótesis!$D$45)^4)*(1+Hipótesis!$D$42),0)</f>
        <v>-0</v>
      </c>
      <c r="BH49" s="138" t="n">
        <f aca="false">-IF(AND(58&gt;=Hipótesis!$D$53,Hipótesis!$B$53=1),IF(Hipótesis!$G$53=1,Hipótesis!$G$44,Hipótesis!$C$53*(1+Hipótesis!$D$45)^4)*(1+Hipótesis!$D$42),0)</f>
        <v>-0</v>
      </c>
      <c r="BI49" s="138" t="n">
        <f aca="false">-IF(AND(59&gt;=Hipótesis!$D$53,Hipótesis!$B$53=1),IF(Hipótesis!$G$53=1,Hipótesis!$G$44,Hipótesis!$C$53*(1+Hipótesis!$D$45)^4)*(1+Hipótesis!$D$42),0)</f>
        <v>-0</v>
      </c>
      <c r="BJ49" s="138" t="n">
        <f aca="false">-IF(AND(60&gt;=Hipótesis!$D$53,Hipótesis!$B$53=1),IF(Hipótesis!$G$53=1,Hipótesis!$G$44,Hipótesis!$C$53*(1+Hipótesis!$D$45)^4)*(1+Hipótesis!$D$42),0)</f>
        <v>-0</v>
      </c>
      <c r="BK49" s="138" t="n">
        <f aca="false">-IF(AND(61&gt;=Hipótesis!$D$53,Hipótesis!$B$53=1),IF(Hipótesis!$G$53=1,Hipótesis!$H$44,Hipótesis!$C$53*(1+Hipótesis!$D$45)^5)*(1+Hipótesis!$D$42),0)</f>
        <v>-0</v>
      </c>
      <c r="BL49" s="138" t="n">
        <f aca="false">-IF(AND(62&gt;=Hipótesis!$D$53,Hipótesis!$B$53=1),IF(Hipótesis!$G$53=1,Hipótesis!$H$44,Hipótesis!$C$53*(1+Hipótesis!$D$45)^5)*(1+Hipótesis!$D$42),0)</f>
        <v>-0</v>
      </c>
      <c r="BM49" s="138" t="n">
        <f aca="false">-IF(AND(63&gt;=Hipótesis!$D$53,Hipótesis!$B$53=1),IF(Hipótesis!$G$53=1,Hipótesis!$H$44,Hipótesis!$C$53*(1+Hipótesis!$D$45)^5)*(1+Hipótesis!$D$42),0)</f>
        <v>-0</v>
      </c>
      <c r="BN49" s="138" t="n">
        <f aca="false">-IF(AND(64&gt;=Hipótesis!$D$53,Hipótesis!$B$53=1),IF(Hipótesis!$G$53=1,Hipótesis!$H$44,Hipótesis!$C$53*(1+Hipótesis!$D$45)^5)*(1+Hipótesis!$D$42),0)</f>
        <v>-0</v>
      </c>
      <c r="BO49" s="138" t="n">
        <f aca="false">-IF(AND(65&gt;=Hipótesis!$D$53,Hipótesis!$B$53=1),IF(Hipótesis!$G$53=1,Hipótesis!$H$44,Hipótesis!$C$53*(1+Hipótesis!$D$45)^5)*(1+Hipótesis!$D$42),0)</f>
        <v>-0</v>
      </c>
      <c r="BP49" s="138" t="n">
        <f aca="false">-IF(AND(66&gt;=Hipótesis!$D$53,Hipótesis!$B$53=1),IF(Hipótesis!$G$53=1,Hipótesis!$H$44,Hipótesis!$C$53*(1+Hipótesis!$D$45)^5)*(1+Hipótesis!$D$42),0)</f>
        <v>-0</v>
      </c>
      <c r="BQ49" s="138" t="n">
        <f aca="false">-IF(AND(67&gt;=Hipótesis!$D$53,Hipótesis!$B$53=1),IF(Hipótesis!$G$53=1,Hipótesis!$H$44,Hipótesis!$C$53*(1+Hipótesis!$D$45)^5)*(1+Hipótesis!$D$42),0)</f>
        <v>-0</v>
      </c>
      <c r="BR49" s="138" t="n">
        <f aca="false">-IF(AND(68&gt;=Hipótesis!$D$53,Hipótesis!$B$53=1),IF(Hipótesis!$G$53=1,Hipótesis!$H$44,Hipótesis!$C$53*(1+Hipótesis!$D$45)^5)*(1+Hipótesis!$D$42),0)</f>
        <v>-0</v>
      </c>
      <c r="BS49" s="138" t="n">
        <f aca="false">-IF(AND(69&gt;=Hipótesis!$D$53,Hipótesis!$B$53=1),IF(Hipótesis!$G$53=1,Hipótesis!$H$44,Hipótesis!$C$53*(1+Hipótesis!$D$45)^5)*(1+Hipótesis!$D$42),0)</f>
        <v>-0</v>
      </c>
      <c r="BT49" s="138" t="n">
        <f aca="false">-IF(AND(70&gt;=Hipótesis!$D$53,Hipótesis!$B$53=1),IF(Hipótesis!$G$53=1,Hipótesis!$H$44,Hipótesis!$C$53*(1+Hipótesis!$D$45)^5)*(1+Hipótesis!$D$42),0)</f>
        <v>-0</v>
      </c>
      <c r="BU49" s="138" t="n">
        <f aca="false">-IF(AND(71&gt;=Hipótesis!$D$53,Hipótesis!$B$53=1),IF(Hipótesis!$G$53=1,Hipótesis!$H$44,Hipótesis!$C$53*(1+Hipótesis!$D$45)^5)*(1+Hipótesis!$D$42),0)</f>
        <v>-0</v>
      </c>
      <c r="BV49" s="138" t="n">
        <f aca="false">-IF(AND(72&gt;=Hipótesis!$D$53,Hipótesis!$B$53=1),IF(Hipótesis!$G$53=1,Hipótesis!$H$44,Hipótesis!$C$53*(1+Hipótesis!$D$45)^5)*(1+Hipótesis!$D$42),0)</f>
        <v>-0</v>
      </c>
      <c r="BW49" s="138" t="n">
        <f aca="false">-IF(AND(73&gt;=Hipótesis!$D$53,Hipótesis!$B$53=1),IF(Hipótesis!$G$53=1,Hipótesis!$I$44,Hipótesis!$C$53*(1+Hipótesis!$D$45)^6)*(1+Hipótesis!$D$42),0)</f>
        <v>-0</v>
      </c>
      <c r="BX49" s="138" t="n">
        <f aca="false">-IF(AND(74&gt;=Hipótesis!$D$53,Hipótesis!$B$53=1),IF(Hipótesis!$G$53=1,Hipótesis!$I$44,Hipótesis!$C$53*(1+Hipótesis!$D$45)^6)*(1+Hipótesis!$D$42),0)</f>
        <v>-0</v>
      </c>
      <c r="BY49" s="138" t="n">
        <f aca="false">-IF(AND(75&gt;=Hipótesis!$D$53,Hipótesis!$B$53=1),IF(Hipótesis!$G$53=1,Hipótesis!$I$44,Hipótesis!$C$53*(1+Hipótesis!$D$45)^6)*(1+Hipótesis!$D$42),0)</f>
        <v>-0</v>
      </c>
      <c r="BZ49" s="138" t="n">
        <f aca="false">-IF(AND(76&gt;=Hipótesis!$D$53,Hipótesis!$B$53=1),IF(Hipótesis!$G$53=1,Hipótesis!$I$44,Hipótesis!$C$53*(1+Hipótesis!$D$45)^6)*(1+Hipótesis!$D$42),0)</f>
        <v>-0</v>
      </c>
      <c r="CA49" s="138" t="n">
        <f aca="false">-IF(AND(77&gt;=Hipótesis!$D$53,Hipótesis!$B$53=1),IF(Hipótesis!$G$53=1,Hipótesis!$I$44,Hipótesis!$C$53*(1+Hipótesis!$D$45)^6)*(1+Hipótesis!$D$42),0)</f>
        <v>-0</v>
      </c>
      <c r="CB49" s="138" t="n">
        <f aca="false">-IF(AND(78&gt;=Hipótesis!$D$53,Hipótesis!$B$53=1),IF(Hipótesis!$G$53=1,Hipótesis!$I$44,Hipótesis!$C$53*(1+Hipótesis!$D$45)^6)*(1+Hipótesis!$D$42),0)</f>
        <v>-0</v>
      </c>
      <c r="CC49" s="138" t="n">
        <f aca="false">-IF(AND(79&gt;=Hipótesis!$D$53,Hipótesis!$B$53=1),IF(Hipótesis!$G$53=1,Hipótesis!$I$44,Hipótesis!$C$53*(1+Hipótesis!$D$45)^6)*(1+Hipótesis!$D$42),0)</f>
        <v>-0</v>
      </c>
      <c r="CD49" s="138" t="n">
        <f aca="false">-IF(AND(80&gt;=Hipótesis!$D$53,Hipótesis!$B$53=1),IF(Hipótesis!$G$53=1,Hipótesis!$I$44,Hipótesis!$C$53*(1+Hipótesis!$D$45)^6)*(1+Hipótesis!$D$42),0)</f>
        <v>-0</v>
      </c>
      <c r="CE49" s="138" t="n">
        <f aca="false">-IF(AND(81&gt;=Hipótesis!$D$53,Hipótesis!$B$53=1),IF(Hipótesis!$G$53=1,Hipótesis!$I$44,Hipótesis!$C$53*(1+Hipótesis!$D$45)^6)*(1+Hipótesis!$D$42),0)</f>
        <v>-0</v>
      </c>
      <c r="CF49" s="138" t="n">
        <f aca="false">-IF(AND(82&gt;=Hipótesis!$D$53,Hipótesis!$B$53=1),IF(Hipótesis!$G$53=1,Hipótesis!$I$44,Hipótesis!$C$53*(1+Hipótesis!$D$45)^6)*(1+Hipótesis!$D$42),0)</f>
        <v>-0</v>
      </c>
      <c r="CG49" s="138" t="n">
        <f aca="false">-IF(AND(83&gt;=Hipótesis!$D$53,Hipótesis!$B$53=1),IF(Hipótesis!$G$53=1,Hipótesis!$I$44,Hipótesis!$C$53*(1+Hipótesis!$D$45)^6)*(1+Hipótesis!$D$42),0)</f>
        <v>-0</v>
      </c>
      <c r="CH49" s="138" t="n">
        <f aca="false">-IF(AND(84&gt;=Hipótesis!$D$53,Hipótesis!$B$53=1),IF(Hipótesis!$G$53=1,Hipótesis!$I$44,Hipótesis!$C$53*(1+Hipótesis!$D$45)^6)*(1+Hipótesis!$D$42),0)</f>
        <v>-0</v>
      </c>
    </row>
    <row r="50" customFormat="false" ht="13.5" hidden="false" customHeight="true" outlineLevel="0" collapsed="false">
      <c r="A50" s="30" t="s">
        <v>731</v>
      </c>
      <c r="C50" s="138" t="n">
        <f aca="false">-C30*Hipótesis!$D$61*(1+Hipótesis!$D$45)^0*(1+Hipótesis!$D$42)</f>
        <v>-0</v>
      </c>
      <c r="D50" s="138" t="n">
        <f aca="false">-D30*Hipótesis!$D$61*(1+Hipótesis!$D$45)^0*(1+Hipótesis!$D$42)</f>
        <v>-0</v>
      </c>
      <c r="E50" s="138" t="n">
        <f aca="false">-E30*Hipótesis!$D$61*(1+Hipótesis!$D$45)^0*(1+Hipótesis!$D$42)</f>
        <v>-0</v>
      </c>
      <c r="F50" s="138" t="n">
        <f aca="false">-F30*Hipótesis!$D$61*(1+Hipótesis!$D$45)^0*(1+Hipótesis!$D$42)</f>
        <v>-0</v>
      </c>
      <c r="G50" s="138" t="n">
        <f aca="false">-G30*Hipótesis!$D$61*(1+Hipótesis!$D$45)^0*(1+Hipótesis!$D$42)</f>
        <v>-0</v>
      </c>
      <c r="H50" s="138" t="n">
        <f aca="false">-H30*Hipótesis!$D$61*(1+Hipótesis!$D$45)^0*(1+Hipótesis!$D$42)</f>
        <v>-0</v>
      </c>
      <c r="I50" s="138" t="n">
        <f aca="false">-I30*Hipótesis!$D$61*(1+Hipótesis!$D$45)^0*(1+Hipótesis!$D$42)</f>
        <v>-0</v>
      </c>
      <c r="J50" s="138" t="n">
        <f aca="false">-J30*Hipótesis!$D$61*(1+Hipótesis!$D$45)^0*(1+Hipótesis!$D$42)</f>
        <v>-0</v>
      </c>
      <c r="K50" s="138" t="n">
        <f aca="false">-K30*Hipótesis!$D$61*(1+Hipótesis!$D$45)^0*(1+Hipótesis!$D$42)</f>
        <v>-0</v>
      </c>
      <c r="L50" s="138" t="n">
        <f aca="false">-L30*Hipótesis!$D$61*(1+Hipótesis!$D$45)^0*(1+Hipótesis!$D$42)</f>
        <v>-0</v>
      </c>
      <c r="M50" s="138" t="n">
        <f aca="false">-M30*Hipótesis!$D$61*(1+Hipótesis!$D$45)^0*(1+Hipótesis!$D$42)</f>
        <v>-0</v>
      </c>
      <c r="N50" s="138" t="n">
        <f aca="false">-N30*Hipótesis!$D$61*(1+Hipótesis!$D$45)^0*(1+Hipótesis!$D$42)</f>
        <v>-2244</v>
      </c>
      <c r="O50" s="138" t="n">
        <f aca="false">-O30*Hipótesis!$D$61*(1+Hipótesis!$D$45)^1*(1+Hipótesis!$D$42)</f>
        <v>-2311.32</v>
      </c>
      <c r="P50" s="138" t="n">
        <f aca="false">-P30*Hipótesis!$D$61*(1+Hipótesis!$D$45)^1*(1+Hipótesis!$D$42)</f>
        <v>-2311.32</v>
      </c>
      <c r="Q50" s="138" t="n">
        <f aca="false">-Q30*Hipótesis!$D$61*(1+Hipótesis!$D$45)^1*(1+Hipótesis!$D$42)</f>
        <v>-4622.64</v>
      </c>
      <c r="R50" s="138" t="n">
        <f aca="false">-R30*Hipótesis!$D$61*(1+Hipótesis!$D$45)^1*(1+Hipótesis!$D$42)</f>
        <v>-4622.64</v>
      </c>
      <c r="S50" s="138" t="n">
        <f aca="false">-S30*Hipótesis!$D$61*(1+Hipótesis!$D$45)^1*(1+Hipótesis!$D$42)</f>
        <v>-4622.64</v>
      </c>
      <c r="T50" s="138" t="n">
        <f aca="false">-T30*Hipótesis!$D$61*(1+Hipótesis!$D$45)^1*(1+Hipótesis!$D$42)</f>
        <v>-6933.96</v>
      </c>
      <c r="U50" s="138" t="n">
        <f aca="false">-U30*Hipótesis!$D$61*(1+Hipótesis!$D$45)^1*(1+Hipótesis!$D$42)</f>
        <v>-6933.96</v>
      </c>
      <c r="V50" s="138" t="n">
        <f aca="false">-V30*Hipótesis!$D$61*(1+Hipótesis!$D$45)^1*(1+Hipótesis!$D$42)</f>
        <v>-6933.96</v>
      </c>
      <c r="W50" s="138" t="n">
        <f aca="false">-W30*Hipótesis!$D$61*(1+Hipótesis!$D$45)^1*(1+Hipótesis!$D$42)</f>
        <v>-6933.96</v>
      </c>
      <c r="X50" s="138" t="n">
        <f aca="false">-X30*Hipótesis!$D$61*(1+Hipótesis!$D$45)^1*(1+Hipótesis!$D$42)</f>
        <v>-9245.28</v>
      </c>
      <c r="Y50" s="138" t="n">
        <f aca="false">-Y30*Hipótesis!$D$61*(1+Hipótesis!$D$45)^1*(1+Hipótesis!$D$42)</f>
        <v>-9245.28</v>
      </c>
      <c r="Z50" s="138" t="n">
        <f aca="false">-Z30*Hipótesis!$D$61*(1+Hipótesis!$D$45)^1*(1+Hipótesis!$D$42)</f>
        <v>-9245.28</v>
      </c>
      <c r="AA50" s="138" t="n">
        <f aca="false">-AA30*Hipótesis!$D$61*(1+Hipótesis!$D$45)^2*(1+Hipótesis!$D$42)</f>
        <v>-9522.6384</v>
      </c>
      <c r="AB50" s="138" t="n">
        <f aca="false">-AB30*Hipótesis!$D$61*(1+Hipótesis!$D$45)^2*(1+Hipótesis!$D$42)</f>
        <v>-9522.6384</v>
      </c>
      <c r="AC50" s="138" t="n">
        <f aca="false">-AC30*Hipótesis!$D$61*(1+Hipótesis!$D$45)^2*(1+Hipótesis!$D$42)</f>
        <v>-9522.6384</v>
      </c>
      <c r="AD50" s="138" t="n">
        <f aca="false">-AD30*Hipótesis!$D$61*(1+Hipótesis!$D$45)^2*(1+Hipótesis!$D$42)</f>
        <v>-9522.6384</v>
      </c>
      <c r="AE50" s="138" t="n">
        <f aca="false">-AE30*Hipótesis!$D$61*(1+Hipótesis!$D$45)^2*(1+Hipótesis!$D$42)</f>
        <v>-9522.6384</v>
      </c>
      <c r="AF50" s="138" t="n">
        <f aca="false">-AF30*Hipótesis!$D$61*(1+Hipótesis!$D$45)^2*(1+Hipótesis!$D$42)</f>
        <v>-11903.298</v>
      </c>
      <c r="AG50" s="138" t="n">
        <f aca="false">-AG30*Hipótesis!$D$61*(1+Hipótesis!$D$45)^2*(1+Hipótesis!$D$42)</f>
        <v>-11903.298</v>
      </c>
      <c r="AH50" s="138" t="n">
        <f aca="false">-AH30*Hipótesis!$D$61*(1+Hipótesis!$D$45)^2*(1+Hipótesis!$D$42)</f>
        <v>-11903.298</v>
      </c>
      <c r="AI50" s="138" t="n">
        <f aca="false">-AI30*Hipótesis!$D$61*(1+Hipótesis!$D$45)^2*(1+Hipótesis!$D$42)</f>
        <v>-11903.298</v>
      </c>
      <c r="AJ50" s="138" t="n">
        <f aca="false">-AJ30*Hipótesis!$D$61*(1+Hipótesis!$D$45)^2*(1+Hipótesis!$D$42)</f>
        <v>-11903.298</v>
      </c>
      <c r="AK50" s="138" t="n">
        <f aca="false">-AK30*Hipótesis!$D$61*(1+Hipótesis!$D$45)^2*(1+Hipótesis!$D$42)</f>
        <v>-11903.298</v>
      </c>
      <c r="AL50" s="138" t="n">
        <f aca="false">-AL30*Hipótesis!$D$61*(1+Hipótesis!$D$45)^2*(1+Hipótesis!$D$42)</f>
        <v>-11903.298</v>
      </c>
      <c r="AM50" s="138" t="n">
        <f aca="false">-AM30*Hipótesis!$D$61*(1+Hipótesis!$D$45)^3*(1+Hipótesis!$D$42)</f>
        <v>-14712.476328</v>
      </c>
      <c r="AN50" s="138" t="n">
        <f aca="false">-AN30*Hipótesis!$D$61*(1+Hipótesis!$D$45)^3*(1+Hipótesis!$D$42)</f>
        <v>-14712.476328</v>
      </c>
      <c r="AO50" s="138" t="n">
        <f aca="false">-AO30*Hipótesis!$D$61*(1+Hipótesis!$D$45)^3*(1+Hipótesis!$D$42)</f>
        <v>-14712.476328</v>
      </c>
      <c r="AP50" s="138" t="n">
        <f aca="false">-AP30*Hipótesis!$D$61*(1+Hipótesis!$D$45)^3*(1+Hipótesis!$D$42)</f>
        <v>-14712.476328</v>
      </c>
      <c r="AQ50" s="138" t="n">
        <f aca="false">-AQ30*Hipótesis!$D$61*(1+Hipótesis!$D$45)^3*(1+Hipótesis!$D$42)</f>
        <v>-14712.476328</v>
      </c>
      <c r="AR50" s="138" t="n">
        <f aca="false">-AR30*Hipótesis!$D$61*(1+Hipótesis!$D$45)^3*(1+Hipótesis!$D$42)</f>
        <v>-14712.476328</v>
      </c>
      <c r="AS50" s="138" t="n">
        <f aca="false">-AS30*Hipótesis!$D$61*(1+Hipótesis!$D$45)^3*(1+Hipótesis!$D$42)</f>
        <v>-14712.476328</v>
      </c>
      <c r="AT50" s="138" t="n">
        <f aca="false">-AT30*Hipótesis!$D$61*(1+Hipótesis!$D$45)^3*(1+Hipótesis!$D$42)</f>
        <v>-14712.476328</v>
      </c>
      <c r="AU50" s="138" t="n">
        <f aca="false">-AU30*Hipótesis!$D$61*(1+Hipótesis!$D$45)^3*(1+Hipótesis!$D$42)</f>
        <v>-14712.476328</v>
      </c>
      <c r="AV50" s="138" t="n">
        <f aca="false">-AV30*Hipótesis!$D$61*(1+Hipótesis!$D$45)^3*(1+Hipótesis!$D$42)</f>
        <v>-14712.476328</v>
      </c>
      <c r="AW50" s="138" t="n">
        <f aca="false">-AW30*Hipótesis!$D$61*(1+Hipótesis!$D$45)^3*(1+Hipótesis!$D$42)</f>
        <v>-14712.476328</v>
      </c>
      <c r="AX50" s="138" t="n">
        <f aca="false">-AX30*Hipótesis!$D$61*(1+Hipótesis!$D$45)^3*(1+Hipótesis!$D$42)</f>
        <v>-14712.476328</v>
      </c>
      <c r="AY50" s="138" t="n">
        <f aca="false">-AY30*Hipótesis!$D$61*(1+Hipótesis!$D$45)^4*(1+Hipótesis!$D$42)</f>
        <v>-15153.85061784</v>
      </c>
      <c r="AZ50" s="138" t="n">
        <f aca="false">-AZ30*Hipótesis!$D$61*(1+Hipótesis!$D$45)^4*(1+Hipótesis!$D$42)</f>
        <v>-15153.85061784</v>
      </c>
      <c r="BA50" s="138" t="n">
        <f aca="false">-BA30*Hipótesis!$D$61*(1+Hipótesis!$D$45)^4*(1+Hipótesis!$D$42)</f>
        <v>-15153.85061784</v>
      </c>
      <c r="BB50" s="138" t="n">
        <f aca="false">-BB30*Hipótesis!$D$61*(1+Hipótesis!$D$45)^4*(1+Hipótesis!$D$42)</f>
        <v>-15153.85061784</v>
      </c>
      <c r="BC50" s="138" t="n">
        <f aca="false">-BC30*Hipótesis!$D$61*(1+Hipótesis!$D$45)^4*(1+Hipótesis!$D$42)</f>
        <v>-15153.85061784</v>
      </c>
      <c r="BD50" s="138" t="n">
        <f aca="false">-BD30*Hipótesis!$D$61*(1+Hipótesis!$D$45)^4*(1+Hipótesis!$D$42)</f>
        <v>-15153.85061784</v>
      </c>
      <c r="BE50" s="138" t="n">
        <f aca="false">-BE30*Hipótesis!$D$61*(1+Hipótesis!$D$45)^4*(1+Hipótesis!$D$42)</f>
        <v>-15153.85061784</v>
      </c>
      <c r="BF50" s="138" t="n">
        <f aca="false">-BF30*Hipótesis!$D$61*(1+Hipótesis!$D$45)^4*(1+Hipótesis!$D$42)</f>
        <v>-15153.85061784</v>
      </c>
      <c r="BG50" s="138" t="n">
        <f aca="false">-BG30*Hipótesis!$D$61*(1+Hipótesis!$D$45)^4*(1+Hipótesis!$D$42)</f>
        <v>-15153.85061784</v>
      </c>
      <c r="BH50" s="138" t="n">
        <f aca="false">-BH30*Hipótesis!$D$61*(1+Hipótesis!$D$45)^4*(1+Hipótesis!$D$42)</f>
        <v>-15153.85061784</v>
      </c>
      <c r="BI50" s="138" t="n">
        <f aca="false">-BI30*Hipótesis!$D$61*(1+Hipótesis!$D$45)^4*(1+Hipótesis!$D$42)</f>
        <v>-15153.85061784</v>
      </c>
      <c r="BJ50" s="138" t="n">
        <f aca="false">-BJ30*Hipótesis!$D$61*(1+Hipótesis!$D$45)^4*(1+Hipótesis!$D$42)</f>
        <v>-15153.85061784</v>
      </c>
      <c r="BK50" s="138" t="n">
        <f aca="false">-BK30*Hipótesis!$D$61*(1+Hipótesis!$D$45)^5*(1+Hipótesis!$D$42)</f>
        <v>-15608.4661363752</v>
      </c>
      <c r="BL50" s="138" t="n">
        <f aca="false">-BL30*Hipótesis!$D$61*(1+Hipótesis!$D$45)^5*(1+Hipótesis!$D$42)</f>
        <v>-15608.4661363752</v>
      </c>
      <c r="BM50" s="138" t="n">
        <f aca="false">-BM30*Hipótesis!$D$61*(1+Hipótesis!$D$45)^5*(1+Hipótesis!$D$42)</f>
        <v>-15608.4661363752</v>
      </c>
      <c r="BN50" s="138" t="n">
        <f aca="false">-BN30*Hipótesis!$D$61*(1+Hipótesis!$D$45)^5*(1+Hipótesis!$D$42)</f>
        <v>-15608.4661363752</v>
      </c>
      <c r="BO50" s="138" t="n">
        <f aca="false">-BO30*Hipótesis!$D$61*(1+Hipótesis!$D$45)^5*(1+Hipótesis!$D$42)</f>
        <v>-15608.4661363752</v>
      </c>
      <c r="BP50" s="138" t="n">
        <f aca="false">-BP30*Hipótesis!$D$61*(1+Hipótesis!$D$45)^5*(1+Hipótesis!$D$42)</f>
        <v>-15608.4661363752</v>
      </c>
      <c r="BQ50" s="138" t="n">
        <f aca="false">-BQ30*Hipótesis!$D$61*(1+Hipótesis!$D$45)^5*(1+Hipótesis!$D$42)</f>
        <v>-15608.4661363752</v>
      </c>
      <c r="BR50" s="138" t="n">
        <f aca="false">-BR30*Hipótesis!$D$61*(1+Hipótesis!$D$45)^5*(1+Hipótesis!$D$42)</f>
        <v>-15608.4661363752</v>
      </c>
      <c r="BS50" s="138" t="n">
        <f aca="false">-BS30*Hipótesis!$D$61*(1+Hipótesis!$D$45)^5*(1+Hipótesis!$D$42)</f>
        <v>-15608.4661363752</v>
      </c>
      <c r="BT50" s="138" t="n">
        <f aca="false">-BT30*Hipótesis!$D$61*(1+Hipótesis!$D$45)^5*(1+Hipótesis!$D$42)</f>
        <v>-15608.4661363752</v>
      </c>
      <c r="BU50" s="138" t="n">
        <f aca="false">-BU30*Hipótesis!$D$61*(1+Hipótesis!$D$45)^5*(1+Hipótesis!$D$42)</f>
        <v>-15608.4661363752</v>
      </c>
      <c r="BV50" s="138" t="n">
        <f aca="false">-BV30*Hipótesis!$D$61*(1+Hipótesis!$D$45)^5*(1+Hipótesis!$D$42)</f>
        <v>-15608.4661363752</v>
      </c>
      <c r="BW50" s="138" t="n">
        <f aca="false">-BW30*Hipótesis!$D$61*(1+Hipótesis!$D$45)^6*(1+Hipótesis!$D$42)</f>
        <v>-16076.7201204665</v>
      </c>
      <c r="BX50" s="138" t="n">
        <f aca="false">-BX30*Hipótesis!$D$61*(1+Hipótesis!$D$45)^6*(1+Hipótesis!$D$42)</f>
        <v>-16076.7201204665</v>
      </c>
      <c r="BY50" s="138" t="n">
        <f aca="false">-BY30*Hipótesis!$D$61*(1+Hipótesis!$D$45)^6*(1+Hipótesis!$D$42)</f>
        <v>-16076.7201204665</v>
      </c>
      <c r="BZ50" s="138" t="n">
        <f aca="false">-BZ30*Hipótesis!$D$61*(1+Hipótesis!$D$45)^6*(1+Hipótesis!$D$42)</f>
        <v>-16076.7201204665</v>
      </c>
      <c r="CA50" s="138" t="n">
        <f aca="false">-CA30*Hipótesis!$D$61*(1+Hipótesis!$D$45)^6*(1+Hipótesis!$D$42)</f>
        <v>-16076.7201204665</v>
      </c>
      <c r="CB50" s="138" t="n">
        <f aca="false">-CB30*Hipótesis!$D$61*(1+Hipótesis!$D$45)^6*(1+Hipótesis!$D$42)</f>
        <v>-16076.7201204665</v>
      </c>
      <c r="CC50" s="138" t="n">
        <f aca="false">-CC30*Hipótesis!$D$61*(1+Hipótesis!$D$45)^6*(1+Hipótesis!$D$42)</f>
        <v>-16076.7201204665</v>
      </c>
      <c r="CD50" s="138" t="n">
        <f aca="false">-CD30*Hipótesis!$D$61*(1+Hipótesis!$D$45)^6*(1+Hipótesis!$D$42)</f>
        <v>-16076.7201204665</v>
      </c>
      <c r="CE50" s="138" t="n">
        <f aca="false">-CE30*Hipótesis!$D$61*(1+Hipótesis!$D$45)^6*(1+Hipótesis!$D$42)</f>
        <v>-16076.7201204665</v>
      </c>
      <c r="CF50" s="138" t="n">
        <f aca="false">-CF30*Hipótesis!$D$61*(1+Hipótesis!$D$45)^6*(1+Hipótesis!$D$42)</f>
        <v>-16076.7201204665</v>
      </c>
      <c r="CG50" s="138" t="n">
        <f aca="false">-CG30*Hipótesis!$D$61*(1+Hipótesis!$D$45)^6*(1+Hipótesis!$D$42)</f>
        <v>-16076.7201204665</v>
      </c>
      <c r="CH50" s="138" t="n">
        <f aca="false">-CH30*Hipótesis!$D$61*(1+Hipótesis!$D$45)^6*(1+Hipótesis!$D$42)</f>
        <v>-16076.7201204665</v>
      </c>
    </row>
    <row r="51" customFormat="false" ht="13.5" hidden="false" customHeight="true" outlineLevel="0" collapsed="false">
      <c r="A51" s="30" t="s">
        <v>732</v>
      </c>
      <c r="C51" s="138" t="n">
        <f aca="false">SUM(C44:C49)+C50</f>
        <v>-11352</v>
      </c>
      <c r="D51" s="138" t="n">
        <f aca="false">SUM(D44:D49)+D50</f>
        <v>-11352</v>
      </c>
      <c r="E51" s="138" t="n">
        <f aca="false">SUM(E44:E49)+E50</f>
        <v>-11352</v>
      </c>
      <c r="F51" s="138" t="n">
        <f aca="false">SUM(F44:F49)+F50</f>
        <v>-11352</v>
      </c>
      <c r="G51" s="138" t="n">
        <f aca="false">SUM(G44:G49)+G50</f>
        <v>-11352</v>
      </c>
      <c r="H51" s="138" t="n">
        <f aca="false">SUM(H44:H49)+H50</f>
        <v>-11352</v>
      </c>
      <c r="I51" s="138" t="n">
        <f aca="false">SUM(I44:I49)+I50</f>
        <v>-11352</v>
      </c>
      <c r="J51" s="138" t="n">
        <f aca="false">SUM(J44:J49)+J50</f>
        <v>-11352</v>
      </c>
      <c r="K51" s="138" t="n">
        <f aca="false">SUM(K44:K49)+K50</f>
        <v>-11352</v>
      </c>
      <c r="L51" s="138" t="n">
        <f aca="false">SUM(L44:L49)+L50</f>
        <v>-11352</v>
      </c>
      <c r="M51" s="138" t="n">
        <f aca="false">SUM(M44:M49)+M50</f>
        <v>-11352</v>
      </c>
      <c r="N51" s="138" t="n">
        <f aca="false">SUM(N44:N49)+N50</f>
        <v>-13596</v>
      </c>
      <c r="O51" s="138" t="n">
        <f aca="false">SUM(O44:O49)+O50</f>
        <v>-18890.52</v>
      </c>
      <c r="P51" s="138" t="n">
        <f aca="false">SUM(P44:P49)+P50</f>
        <v>-18890.52</v>
      </c>
      <c r="Q51" s="138" t="n">
        <f aca="false">SUM(Q44:Q49)+Q50</f>
        <v>-21201.84</v>
      </c>
      <c r="R51" s="138" t="n">
        <f aca="false">SUM(R44:R49)+R50</f>
        <v>-21201.84</v>
      </c>
      <c r="S51" s="138" t="n">
        <f aca="false">SUM(S44:S49)+S50</f>
        <v>-21201.84</v>
      </c>
      <c r="T51" s="138" t="n">
        <f aca="false">SUM(T44:T49)+T50</f>
        <v>-23513.16</v>
      </c>
      <c r="U51" s="138" t="n">
        <f aca="false">SUM(U44:U49)+U50</f>
        <v>-23513.16</v>
      </c>
      <c r="V51" s="138" t="n">
        <f aca="false">SUM(V44:V49)+V50</f>
        <v>-26232.36</v>
      </c>
      <c r="W51" s="138" t="n">
        <f aca="false">SUM(W44:W49)+W50</f>
        <v>-26232.36</v>
      </c>
      <c r="X51" s="138" t="n">
        <f aca="false">SUM(X44:X49)+X50</f>
        <v>-28543.68</v>
      </c>
      <c r="Y51" s="138" t="n">
        <f aca="false">SUM(Y44:Y49)+Y50</f>
        <v>-28543.68</v>
      </c>
      <c r="Z51" s="138" t="n">
        <f aca="false">SUM(Z44:Z49)+Z50</f>
        <v>-28543.68</v>
      </c>
      <c r="AA51" s="138" t="n">
        <f aca="false">SUM(AA44:AA49)+AA50</f>
        <v>-30964.1904</v>
      </c>
      <c r="AB51" s="138" t="n">
        <f aca="false">SUM(AB44:AB49)+AB50</f>
        <v>-30964.1904</v>
      </c>
      <c r="AC51" s="138" t="n">
        <f aca="false">SUM(AC44:AC49)+AC50</f>
        <v>-30964.1904</v>
      </c>
      <c r="AD51" s="138" t="n">
        <f aca="false">SUM(AD44:AD49)+AD50</f>
        <v>-30964.1904</v>
      </c>
      <c r="AE51" s="138" t="n">
        <f aca="false">SUM(AE44:AE49)+AE50</f>
        <v>-30964.1904</v>
      </c>
      <c r="AF51" s="138" t="n">
        <f aca="false">SUM(AF44:AF49)+AF50</f>
        <v>-33344.85</v>
      </c>
      <c r="AG51" s="138" t="n">
        <f aca="false">SUM(AG44:AG49)+AG50</f>
        <v>-33344.85</v>
      </c>
      <c r="AH51" s="138" t="n">
        <f aca="false">SUM(AH44:AH49)+AH50</f>
        <v>-33344.85</v>
      </c>
      <c r="AI51" s="138" t="n">
        <f aca="false">SUM(AI44:AI49)+AI50</f>
        <v>-33344.85</v>
      </c>
      <c r="AJ51" s="138" t="n">
        <f aca="false">SUM(AJ44:AJ49)+AJ50</f>
        <v>-33344.85</v>
      </c>
      <c r="AK51" s="138" t="n">
        <f aca="false">SUM(AK44:AK49)+AK50</f>
        <v>-33344.85</v>
      </c>
      <c r="AL51" s="138" t="n">
        <f aca="false">SUM(AL44:AL49)+AL50</f>
        <v>-33344.85</v>
      </c>
      <c r="AM51" s="138" t="n">
        <f aca="false">SUM(AM44:AM49)+AM50</f>
        <v>-38302.074888</v>
      </c>
      <c r="AN51" s="138" t="n">
        <f aca="false">SUM(AN44:AN49)+AN50</f>
        <v>-38302.074888</v>
      </c>
      <c r="AO51" s="138" t="n">
        <f aca="false">SUM(AO44:AO49)+AO50</f>
        <v>-38302.074888</v>
      </c>
      <c r="AP51" s="138" t="n">
        <f aca="false">SUM(AP44:AP49)+AP50</f>
        <v>-38302.074888</v>
      </c>
      <c r="AQ51" s="138" t="n">
        <f aca="false">SUM(AQ44:AQ49)+AQ50</f>
        <v>-38302.074888</v>
      </c>
      <c r="AR51" s="138" t="n">
        <f aca="false">SUM(AR44:AR49)+AR50</f>
        <v>-38302.074888</v>
      </c>
      <c r="AS51" s="138" t="n">
        <f aca="false">SUM(AS44:AS49)+AS50</f>
        <v>-38302.074888</v>
      </c>
      <c r="AT51" s="138" t="n">
        <f aca="false">SUM(AT44:AT49)+AT50</f>
        <v>-38302.074888</v>
      </c>
      <c r="AU51" s="138" t="n">
        <f aca="false">SUM(AU44:AU49)+AU50</f>
        <v>-38302.074888</v>
      </c>
      <c r="AV51" s="138" t="n">
        <f aca="false">SUM(AV44:AV49)+AV50</f>
        <v>-38302.074888</v>
      </c>
      <c r="AW51" s="138" t="n">
        <f aca="false">SUM(AW44:AW49)+AW50</f>
        <v>-38302.074888</v>
      </c>
      <c r="AX51" s="138" t="n">
        <f aca="false">SUM(AX44:AX49)+AX50</f>
        <v>-38302.074888</v>
      </c>
      <c r="AY51" s="138" t="n">
        <f aca="false">SUM(AY44:AY49)+AY50</f>
        <v>-40896.53713464</v>
      </c>
      <c r="AZ51" s="138" t="n">
        <f aca="false">SUM(AZ44:AZ49)+AZ50</f>
        <v>-40896.53713464</v>
      </c>
      <c r="BA51" s="138" t="n">
        <f aca="false">SUM(BA44:BA49)+BA50</f>
        <v>-40896.53713464</v>
      </c>
      <c r="BB51" s="138" t="n">
        <f aca="false">SUM(BB44:BB49)+BB50</f>
        <v>-40896.53713464</v>
      </c>
      <c r="BC51" s="138" t="n">
        <f aca="false">SUM(BC44:BC49)+BC50</f>
        <v>-40896.53713464</v>
      </c>
      <c r="BD51" s="138" t="n">
        <f aca="false">SUM(BD44:BD49)+BD50</f>
        <v>-40896.53713464</v>
      </c>
      <c r="BE51" s="138" t="n">
        <f aca="false">SUM(BE44:BE49)+BE50</f>
        <v>-40896.53713464</v>
      </c>
      <c r="BF51" s="138" t="n">
        <f aca="false">SUM(BF44:BF49)+BF50</f>
        <v>-40896.53713464</v>
      </c>
      <c r="BG51" s="138" t="n">
        <f aca="false">SUM(BG44:BG49)+BG50</f>
        <v>-40896.53713464</v>
      </c>
      <c r="BH51" s="138" t="n">
        <f aca="false">SUM(BH44:BH49)+BH50</f>
        <v>-40896.53713464</v>
      </c>
      <c r="BI51" s="138" t="n">
        <f aca="false">SUM(BI44:BI49)+BI50</f>
        <v>-40896.53713464</v>
      </c>
      <c r="BJ51" s="138" t="n">
        <f aca="false">SUM(BJ44:BJ49)+BJ50</f>
        <v>-40896.53713464</v>
      </c>
      <c r="BK51" s="138" t="n">
        <f aca="false">SUM(BK44:BK49)+BK50</f>
        <v>-43509.4332486792</v>
      </c>
      <c r="BL51" s="138" t="n">
        <f aca="false">SUM(BL44:BL49)+BL50</f>
        <v>-43509.4332486792</v>
      </c>
      <c r="BM51" s="138" t="n">
        <f aca="false">SUM(BM44:BM49)+BM50</f>
        <v>-43509.4332486792</v>
      </c>
      <c r="BN51" s="138" t="n">
        <f aca="false">SUM(BN44:BN49)+BN50</f>
        <v>-43509.4332486792</v>
      </c>
      <c r="BO51" s="138" t="n">
        <f aca="false">SUM(BO44:BO49)+BO50</f>
        <v>-43509.4332486792</v>
      </c>
      <c r="BP51" s="138" t="n">
        <f aca="false">SUM(BP44:BP49)+BP50</f>
        <v>-43509.4332486792</v>
      </c>
      <c r="BQ51" s="138" t="n">
        <f aca="false">SUM(BQ44:BQ49)+BQ50</f>
        <v>-43509.4332486792</v>
      </c>
      <c r="BR51" s="138" t="n">
        <f aca="false">SUM(BR44:BR49)+BR50</f>
        <v>-43509.4332486792</v>
      </c>
      <c r="BS51" s="138" t="n">
        <f aca="false">SUM(BS44:BS49)+BS50</f>
        <v>-43509.4332486792</v>
      </c>
      <c r="BT51" s="138" t="n">
        <f aca="false">SUM(BT44:BT49)+BT50</f>
        <v>-43509.4332486792</v>
      </c>
      <c r="BU51" s="138" t="n">
        <f aca="false">SUM(BU44:BU49)+BU50</f>
        <v>-43509.4332486792</v>
      </c>
      <c r="BV51" s="138" t="n">
        <f aca="false">SUM(BV44:BV49)+BV50</f>
        <v>-43509.4332486792</v>
      </c>
      <c r="BW51" s="138" t="n">
        <f aca="false">SUM(BW44:BW49)+BW50</f>
        <v>-46141.3162461396</v>
      </c>
      <c r="BX51" s="138" t="n">
        <f aca="false">SUM(BX44:BX49)+BX50</f>
        <v>-46141.3162461396</v>
      </c>
      <c r="BY51" s="138" t="n">
        <f aca="false">SUM(BY44:BY49)+BY50</f>
        <v>-46141.3162461396</v>
      </c>
      <c r="BZ51" s="138" t="n">
        <f aca="false">SUM(BZ44:BZ49)+BZ50</f>
        <v>-46141.3162461396</v>
      </c>
      <c r="CA51" s="138" t="n">
        <f aca="false">SUM(CA44:CA49)+CA50</f>
        <v>-46141.3162461396</v>
      </c>
      <c r="CB51" s="138" t="n">
        <f aca="false">SUM(CB44:CB49)+CB50</f>
        <v>-46141.3162461396</v>
      </c>
      <c r="CC51" s="138" t="n">
        <f aca="false">SUM(CC44:CC49)+CC50</f>
        <v>-46141.3162461396</v>
      </c>
      <c r="CD51" s="138" t="n">
        <f aca="false">SUM(CD44:CD49)+CD50</f>
        <v>-46141.3162461396</v>
      </c>
      <c r="CE51" s="138" t="n">
        <f aca="false">SUM(CE44:CE49)+CE50</f>
        <v>-46141.3162461396</v>
      </c>
      <c r="CF51" s="138" t="n">
        <f aca="false">SUM(CF44:CF49)+CF50</f>
        <v>-46141.3162461396</v>
      </c>
      <c r="CG51" s="138" t="n">
        <f aca="false">SUM(CG44:CG49)+CG50</f>
        <v>-46141.3162461396</v>
      </c>
      <c r="CH51" s="138" t="n">
        <f aca="false">SUM(CH44:CH49)+CH50</f>
        <v>-46141.3162461396</v>
      </c>
    </row>
    <row r="52" customFormat="false" ht="13.5" hidden="false" customHeight="true" outlineLevel="0" collapsed="false">
      <c r="A52" s="13" t="s">
        <v>733</v>
      </c>
      <c r="C52" s="138" t="n">
        <f aca="false">C211+C207</f>
        <v>-1971.82242113367</v>
      </c>
      <c r="D52" s="138" t="n">
        <f aca="false">D211+D207</f>
        <v>-2003.57625768824</v>
      </c>
      <c r="E52" s="138" t="n">
        <f aca="false">E211+E207</f>
        <v>-2048.16189085936</v>
      </c>
      <c r="F52" s="138" t="n">
        <f aca="false">F211+F207</f>
        <v>-2087.96705078119</v>
      </c>
      <c r="G52" s="138" t="n">
        <f aca="false">G211+G207</f>
        <v>-2016.40626677357</v>
      </c>
      <c r="H52" s="138" t="n">
        <f aca="false">H211+H207</f>
        <v>-2177.09638314757</v>
      </c>
      <c r="I52" s="138" t="n">
        <f aca="false">I211+I207</f>
        <v>-2234.48246073439</v>
      </c>
      <c r="J52" s="138" t="n">
        <f aca="false">J211+J207</f>
        <v>-2302.45177290325</v>
      </c>
      <c r="K52" s="138" t="n">
        <f aca="false">K211+K207</f>
        <v>-2370.42108507211</v>
      </c>
      <c r="L52" s="138" t="n">
        <f aca="false">L211+L207</f>
        <v>-2513.06653650365</v>
      </c>
      <c r="M52" s="138" t="n">
        <f aca="false">M211+M207</f>
        <v>-2655.67166598222</v>
      </c>
      <c r="N52" s="138" t="n">
        <f aca="false">N211+N207</f>
        <v>-2815.05038580924</v>
      </c>
      <c r="O52" s="138" t="n">
        <f aca="false">O211+O207</f>
        <v>-2974.42910563625</v>
      </c>
      <c r="P52" s="138" t="n">
        <f aca="false">P211+P207</f>
        <v>-3128.98541823808</v>
      </c>
      <c r="Q52" s="138" t="n">
        <f aca="false">Q211+Q207</f>
        <v>-3283.54173083992</v>
      </c>
      <c r="R52" s="138" t="n">
        <f aca="false">R211+R207</f>
        <v>-3438.09804344175</v>
      </c>
      <c r="S52" s="138" t="n">
        <f aca="false">S211+S207</f>
        <v>-2530.48252236802</v>
      </c>
      <c r="T52" s="138" t="n">
        <f aca="false">T211+T207</f>
        <v>-3747.21066864542</v>
      </c>
      <c r="U52" s="138" t="n">
        <f aca="false">U211+U207</f>
        <v>-3901.76698124726</v>
      </c>
      <c r="V52" s="138" t="n">
        <f aca="false">V211+V207</f>
        <v>-4056.32329384909</v>
      </c>
      <c r="W52" s="138" t="n">
        <f aca="false">W211+W207</f>
        <v>-4210.87960645093</v>
      </c>
      <c r="X52" s="138" t="n">
        <f aca="false">X211+X207</f>
        <v>-4348.66232870433</v>
      </c>
      <c r="Y52" s="138" t="n">
        <f aca="false">Y211+Y207</f>
        <v>-4486.44505095773</v>
      </c>
      <c r="Z52" s="138" t="n">
        <f aca="false">Z211+Z207</f>
        <v>-4617.51833707175</v>
      </c>
      <c r="AA52" s="138" t="n">
        <f aca="false">AA211+AA207</f>
        <v>-4748.59162318577</v>
      </c>
      <c r="AB52" s="138" t="n">
        <f aca="false">AB211+AB207</f>
        <v>-4879.66490929979</v>
      </c>
      <c r="AC52" s="138" t="n">
        <f aca="false">AC211+AC207</f>
        <v>-5010.73819541382</v>
      </c>
      <c r="AD52" s="138" t="n">
        <f aca="false">AD211+AD207</f>
        <v>-5141.81148152784</v>
      </c>
      <c r="AE52" s="138" t="n">
        <f aca="false">AE211+AE207</f>
        <v>-2896.2386984306</v>
      </c>
      <c r="AF52" s="138" t="n">
        <f aca="false">AF211+AF207</f>
        <v>-5403.95805375589</v>
      </c>
      <c r="AG52" s="138" t="n">
        <f aca="false">AG211+AG207</f>
        <v>-5535.03133986991</v>
      </c>
      <c r="AH52" s="138" t="n">
        <f aca="false">AH211+AH207</f>
        <v>-5666.10462598393</v>
      </c>
      <c r="AI52" s="138" t="n">
        <f aca="false">AI211+AI207</f>
        <v>-5797.17791209795</v>
      </c>
      <c r="AJ52" s="138" t="n">
        <f aca="false">AJ211+AJ207</f>
        <v>-5928.25119821198</v>
      </c>
      <c r="AK52" s="138" t="n">
        <f aca="false">AK211+AK207</f>
        <v>-6059.324484326</v>
      </c>
      <c r="AL52" s="138" t="n">
        <f aca="false">AL211+AL207</f>
        <v>-6190.39777044002</v>
      </c>
      <c r="AM52" s="138" t="n">
        <f aca="false">AM211+AM207</f>
        <v>-6209.80036717376</v>
      </c>
      <c r="AN52" s="138" t="n">
        <f aca="false">AN211+AN207</f>
        <v>-6229.20296390749</v>
      </c>
      <c r="AO52" s="138" t="n">
        <f aca="false">AO211+AO207</f>
        <v>-6248.60556064122</v>
      </c>
      <c r="AP52" s="138" t="n">
        <f aca="false">AP211+AP207</f>
        <v>-6268.00815737496</v>
      </c>
      <c r="AQ52" s="138" t="n">
        <f aca="false">AQ211+AQ207</f>
        <v>-3143.98804750161</v>
      </c>
      <c r="AR52" s="138" t="n">
        <f aca="false">AR211+AR207</f>
        <v>-6306.81335084242</v>
      </c>
      <c r="AS52" s="138" t="n">
        <f aca="false">AS211+AS207</f>
        <v>-6306.81335084242</v>
      </c>
      <c r="AT52" s="138" t="n">
        <f aca="false">AT211+AT207</f>
        <v>-6306.81335084242</v>
      </c>
      <c r="AU52" s="138" t="n">
        <f aca="false">AU211+AU207</f>
        <v>-6306.81335084242</v>
      </c>
      <c r="AV52" s="138" t="n">
        <f aca="false">AV211+AV207</f>
        <v>-6306.81335084242</v>
      </c>
      <c r="AW52" s="138" t="n">
        <f aca="false">AW211+AW207</f>
        <v>-6306.81335084242</v>
      </c>
      <c r="AX52" s="138" t="n">
        <f aca="false">AX211+AX207</f>
        <v>-6306.81335084242</v>
      </c>
      <c r="AY52" s="138" t="n">
        <f aca="false">AY211+AY207</f>
        <v>-6306.81335084242</v>
      </c>
      <c r="AZ52" s="138" t="n">
        <f aca="false">AZ211+AZ207</f>
        <v>-6306.81335084242</v>
      </c>
      <c r="BA52" s="138" t="n">
        <f aca="false">BA211+BA207</f>
        <v>-6306.81335084242</v>
      </c>
      <c r="BB52" s="138" t="n">
        <f aca="false">BB211+BB207</f>
        <v>-6306.81335084242</v>
      </c>
      <c r="BC52" s="138" t="n">
        <f aca="false">BC211+BC207</f>
        <v>-3163.39064423534</v>
      </c>
      <c r="BD52" s="138" t="n">
        <f aca="false">BD211+BD207</f>
        <v>-6306.81335084242</v>
      </c>
      <c r="BE52" s="138" t="n">
        <f aca="false">BE211+BE207</f>
        <v>-6306.81335084242</v>
      </c>
      <c r="BF52" s="138" t="n">
        <f aca="false">BF211+BF207</f>
        <v>-6306.81335084242</v>
      </c>
      <c r="BG52" s="138" t="n">
        <f aca="false">BG211+BG207</f>
        <v>-6306.81335084242</v>
      </c>
      <c r="BH52" s="138" t="n">
        <f aca="false">BH211+BH207</f>
        <v>-6306.81335084242</v>
      </c>
      <c r="BI52" s="138" t="n">
        <f aca="false">BI211+BI207</f>
        <v>-6306.81335084242</v>
      </c>
      <c r="BJ52" s="138" t="n">
        <f aca="false">BJ211+BJ207</f>
        <v>-6306.81335084242</v>
      </c>
      <c r="BK52" s="138" t="n">
        <f aca="false">BK211+BK207</f>
        <v>-6306.81335084242</v>
      </c>
      <c r="BL52" s="138" t="n">
        <f aca="false">BL211+BL207</f>
        <v>-6306.81335084242</v>
      </c>
      <c r="BM52" s="138" t="n">
        <f aca="false">BM211+BM207</f>
        <v>-6306.81335084242</v>
      </c>
      <c r="BN52" s="138" t="n">
        <f aca="false">BN211+BN207</f>
        <v>-6306.81335084242</v>
      </c>
      <c r="BO52" s="138" t="n">
        <f aca="false">BO211+BO207</f>
        <v>-3163.39064423534</v>
      </c>
      <c r="BP52" s="138" t="n">
        <f aca="false">BP211+BP207</f>
        <v>-6306.81335084242</v>
      </c>
      <c r="BQ52" s="138" t="n">
        <f aca="false">BQ211+BQ207</f>
        <v>-6306.81335084242</v>
      </c>
      <c r="BR52" s="138" t="n">
        <f aca="false">BR211+BR207</f>
        <v>-6306.81335084242</v>
      </c>
      <c r="BS52" s="138" t="n">
        <f aca="false">BS211+BS207</f>
        <v>-6306.81335084242</v>
      </c>
      <c r="BT52" s="138" t="n">
        <f aca="false">BT211+BT207</f>
        <v>-6306.81335084242</v>
      </c>
      <c r="BU52" s="138" t="n">
        <f aca="false">BU211+BU207</f>
        <v>-6306.81335084242</v>
      </c>
      <c r="BV52" s="138" t="n">
        <f aca="false">BV211+BV207</f>
        <v>-6306.81335084242</v>
      </c>
      <c r="BW52" s="138" t="n">
        <f aca="false">BW211+BW207</f>
        <v>-6306.81335084242</v>
      </c>
      <c r="BX52" s="138" t="n">
        <f aca="false">BX211+BX207</f>
        <v>-6306.81335084242</v>
      </c>
      <c r="BY52" s="138" t="n">
        <f aca="false">BY211+BY207</f>
        <v>-6306.81335084242</v>
      </c>
      <c r="BZ52" s="138" t="n">
        <f aca="false">BZ211+BZ207</f>
        <v>-6306.81335084242</v>
      </c>
      <c r="CA52" s="138" t="n">
        <f aca="false">CA211+CA207</f>
        <v>-3163.39064423534</v>
      </c>
      <c r="CB52" s="138" t="n">
        <f aca="false">CB211+CB207</f>
        <v>-6306.81335084242</v>
      </c>
      <c r="CC52" s="138" t="n">
        <f aca="false">CC211+CC207</f>
        <v>-6306.81335084242</v>
      </c>
      <c r="CD52" s="138" t="n">
        <f aca="false">CD211+CD207</f>
        <v>-6306.81335084242</v>
      </c>
      <c r="CE52" s="138" t="n">
        <f aca="false">CE211+CE207</f>
        <v>-6306.81335084242</v>
      </c>
      <c r="CF52" s="138" t="n">
        <f aca="false">CF211+CF207</f>
        <v>-6306.81335084242</v>
      </c>
      <c r="CG52" s="138" t="n">
        <f aca="false">CG211+CG207</f>
        <v>-6306.81335084242</v>
      </c>
      <c r="CH52" s="138" t="n">
        <f aca="false">CH211+CH207</f>
        <v>-6306.81335084242</v>
      </c>
    </row>
    <row r="53" customFormat="false" ht="13.5" hidden="false" customHeight="true" outlineLevel="0" collapsed="false">
      <c r="A53" s="13" t="s">
        <v>734</v>
      </c>
      <c r="C53" s="138" t="n">
        <f aca="false">-Hipótesis!$C$39</f>
        <v>-700</v>
      </c>
      <c r="D53" s="138" t="n">
        <f aca="false">-Hipótesis!$C$39</f>
        <v>-700</v>
      </c>
      <c r="E53" s="138" t="n">
        <f aca="false">-Hipótesis!$C$39</f>
        <v>-700</v>
      </c>
      <c r="F53" s="138" t="n">
        <f aca="false">-Hipótesis!$C$39</f>
        <v>-700</v>
      </c>
      <c r="G53" s="138" t="n">
        <f aca="false">-Hipótesis!$C$39</f>
        <v>-700</v>
      </c>
      <c r="H53" s="138" t="n">
        <f aca="false">-Hipótesis!$C$39</f>
        <v>-700</v>
      </c>
      <c r="I53" s="138" t="n">
        <f aca="false">-Hipótesis!$C$39</f>
        <v>-700</v>
      </c>
      <c r="J53" s="138" t="n">
        <f aca="false">-Hipótesis!$C$39</f>
        <v>-700</v>
      </c>
      <c r="K53" s="138" t="n">
        <f aca="false">-Hipótesis!$C$39</f>
        <v>-700</v>
      </c>
      <c r="L53" s="138" t="n">
        <f aca="false">-Hipótesis!$C$39</f>
        <v>-700</v>
      </c>
      <c r="M53" s="138" t="n">
        <f aca="false">-Hipótesis!$C$39</f>
        <v>-700</v>
      </c>
      <c r="N53" s="138" t="n">
        <f aca="false">-Hipótesis!$C$39</f>
        <v>-700</v>
      </c>
      <c r="O53" s="138" t="n">
        <f aca="false">-Hipótesis!$C$39</f>
        <v>-700</v>
      </c>
      <c r="P53" s="138" t="n">
        <f aca="false">-Hipótesis!$C$39</f>
        <v>-700</v>
      </c>
      <c r="Q53" s="138" t="n">
        <f aca="false">-Hipótesis!$C$39</f>
        <v>-700</v>
      </c>
      <c r="R53" s="138" t="n">
        <f aca="false">-Hipótesis!$C$39</f>
        <v>-700</v>
      </c>
      <c r="S53" s="138" t="n">
        <f aca="false">-Hipótesis!$C$39</f>
        <v>-700</v>
      </c>
      <c r="T53" s="138" t="n">
        <f aca="false">-Hipótesis!$C$39</f>
        <v>-700</v>
      </c>
      <c r="U53" s="138" t="n">
        <f aca="false">-Hipótesis!$C$39</f>
        <v>-700</v>
      </c>
      <c r="V53" s="138" t="n">
        <f aca="false">-Hipótesis!$C$39</f>
        <v>-700</v>
      </c>
      <c r="W53" s="138" t="n">
        <f aca="false">-Hipótesis!$C$39</f>
        <v>-700</v>
      </c>
      <c r="X53" s="138" t="n">
        <f aca="false">-Hipótesis!$C$39</f>
        <v>-700</v>
      </c>
      <c r="Y53" s="138" t="n">
        <f aca="false">-Hipótesis!$C$39</f>
        <v>-700</v>
      </c>
      <c r="Z53" s="138" t="n">
        <f aca="false">-Hipótesis!$C$39</f>
        <v>-700</v>
      </c>
      <c r="AA53" s="138" t="n">
        <f aca="false">-Hipótesis!$C$39</f>
        <v>-700</v>
      </c>
      <c r="AB53" s="138" t="n">
        <f aca="false">-Hipótesis!$C$39</f>
        <v>-700</v>
      </c>
      <c r="AC53" s="138" t="n">
        <f aca="false">-Hipótesis!$C$39</f>
        <v>-700</v>
      </c>
      <c r="AD53" s="138" t="n">
        <f aca="false">-Hipótesis!$C$39</f>
        <v>-700</v>
      </c>
      <c r="AE53" s="138" t="n">
        <f aca="false">-Hipótesis!$C$39</f>
        <v>-700</v>
      </c>
      <c r="AF53" s="138" t="n">
        <f aca="false">-Hipótesis!$C$39</f>
        <v>-700</v>
      </c>
      <c r="AG53" s="138" t="n">
        <f aca="false">-Hipótesis!$C$39</f>
        <v>-700</v>
      </c>
      <c r="AH53" s="138" t="n">
        <f aca="false">-Hipótesis!$C$39</f>
        <v>-700</v>
      </c>
      <c r="AI53" s="138" t="n">
        <f aca="false">-Hipótesis!$C$39</f>
        <v>-700</v>
      </c>
      <c r="AJ53" s="138" t="n">
        <f aca="false">-Hipótesis!$C$39</f>
        <v>-700</v>
      </c>
      <c r="AK53" s="138" t="n">
        <f aca="false">-Hipótesis!$C$39</f>
        <v>-700</v>
      </c>
      <c r="AL53" s="138" t="n">
        <f aca="false">-Hipótesis!$C$39</f>
        <v>-700</v>
      </c>
      <c r="AM53" s="138" t="n">
        <f aca="false">-Hipótesis!$C$39</f>
        <v>-700</v>
      </c>
      <c r="AN53" s="138" t="n">
        <f aca="false">-Hipótesis!$C$39</f>
        <v>-700</v>
      </c>
      <c r="AO53" s="138" t="n">
        <f aca="false">-Hipótesis!$C$39</f>
        <v>-700</v>
      </c>
      <c r="AP53" s="138" t="n">
        <f aca="false">-Hipótesis!$C$39</f>
        <v>-700</v>
      </c>
      <c r="AQ53" s="138" t="n">
        <f aca="false">-Hipótesis!$C$39</f>
        <v>-700</v>
      </c>
      <c r="AR53" s="138" t="n">
        <f aca="false">-Hipótesis!$C$39</f>
        <v>-700</v>
      </c>
      <c r="AS53" s="138" t="n">
        <f aca="false">-Hipótesis!$C$39</f>
        <v>-700</v>
      </c>
      <c r="AT53" s="138" t="n">
        <f aca="false">-Hipótesis!$C$39</f>
        <v>-700</v>
      </c>
      <c r="AU53" s="138" t="n">
        <f aca="false">-Hipótesis!$C$39</f>
        <v>-700</v>
      </c>
      <c r="AV53" s="138" t="n">
        <f aca="false">-Hipótesis!$C$39</f>
        <v>-700</v>
      </c>
      <c r="AW53" s="138" t="n">
        <f aca="false">-Hipótesis!$C$39</f>
        <v>-700</v>
      </c>
      <c r="AX53" s="138" t="n">
        <f aca="false">-Hipótesis!$C$39</f>
        <v>-700</v>
      </c>
      <c r="AY53" s="138" t="n">
        <f aca="false">-Hipótesis!$C$39</f>
        <v>-700</v>
      </c>
      <c r="AZ53" s="138" t="n">
        <f aca="false">-Hipótesis!$C$39</f>
        <v>-700</v>
      </c>
      <c r="BA53" s="138" t="n">
        <f aca="false">-Hipótesis!$C$39</f>
        <v>-700</v>
      </c>
      <c r="BB53" s="138" t="n">
        <f aca="false">-Hipótesis!$C$39</f>
        <v>-700</v>
      </c>
      <c r="BC53" s="138" t="n">
        <f aca="false">-Hipótesis!$C$39</f>
        <v>-700</v>
      </c>
      <c r="BD53" s="138" t="n">
        <f aca="false">-Hipótesis!$C$39</f>
        <v>-700</v>
      </c>
      <c r="BE53" s="138" t="n">
        <f aca="false">-Hipótesis!$C$39</f>
        <v>-700</v>
      </c>
      <c r="BF53" s="138" t="n">
        <f aca="false">-Hipótesis!$C$39</f>
        <v>-700</v>
      </c>
      <c r="BG53" s="138" t="n">
        <f aca="false">-Hipótesis!$C$39</f>
        <v>-700</v>
      </c>
      <c r="BH53" s="138" t="n">
        <f aca="false">-Hipótesis!$C$39</f>
        <v>-700</v>
      </c>
      <c r="BI53" s="138" t="n">
        <f aca="false">-Hipótesis!$C$39</f>
        <v>-700</v>
      </c>
      <c r="BJ53" s="138" t="n">
        <f aca="false">-Hipótesis!$C$39</f>
        <v>-700</v>
      </c>
      <c r="BK53" s="138" t="n">
        <f aca="false">-Hipótesis!$C$39</f>
        <v>-700</v>
      </c>
      <c r="BL53" s="138" t="n">
        <f aca="false">-Hipótesis!$C$39</f>
        <v>-700</v>
      </c>
      <c r="BM53" s="138" t="n">
        <f aca="false">-Hipótesis!$C$39</f>
        <v>-700</v>
      </c>
      <c r="BN53" s="138" t="n">
        <f aca="false">-Hipótesis!$C$39</f>
        <v>-700</v>
      </c>
      <c r="BO53" s="138" t="n">
        <f aca="false">-Hipótesis!$C$39</f>
        <v>-700</v>
      </c>
      <c r="BP53" s="138" t="n">
        <f aca="false">-Hipótesis!$C$39</f>
        <v>-700</v>
      </c>
      <c r="BQ53" s="138" t="n">
        <f aca="false">-Hipótesis!$C$39</f>
        <v>-700</v>
      </c>
      <c r="BR53" s="138" t="n">
        <f aca="false">-Hipótesis!$C$39</f>
        <v>-700</v>
      </c>
      <c r="BS53" s="138" t="n">
        <f aca="false">-Hipótesis!$C$39</f>
        <v>-700</v>
      </c>
      <c r="BT53" s="138" t="n">
        <f aca="false">-Hipótesis!$C$39</f>
        <v>-700</v>
      </c>
      <c r="BU53" s="138" t="n">
        <f aca="false">-Hipótesis!$C$39</f>
        <v>-700</v>
      </c>
      <c r="BV53" s="138" t="n">
        <f aca="false">-Hipótesis!$C$39</f>
        <v>-700</v>
      </c>
      <c r="BW53" s="138" t="n">
        <f aca="false">-Hipótesis!$C$39</f>
        <v>-700</v>
      </c>
      <c r="BX53" s="138" t="n">
        <f aca="false">-Hipótesis!$C$39</f>
        <v>-700</v>
      </c>
      <c r="BY53" s="138" t="n">
        <f aca="false">-Hipótesis!$C$39</f>
        <v>-700</v>
      </c>
      <c r="BZ53" s="138" t="n">
        <f aca="false">-Hipótesis!$C$39</f>
        <v>-700</v>
      </c>
      <c r="CA53" s="138" t="n">
        <f aca="false">-Hipótesis!$C$39</f>
        <v>-700</v>
      </c>
      <c r="CB53" s="138" t="n">
        <f aca="false">-Hipótesis!$C$39</f>
        <v>-700</v>
      </c>
      <c r="CC53" s="138" t="n">
        <f aca="false">-Hipótesis!$C$39</f>
        <v>-700</v>
      </c>
      <c r="CD53" s="138" t="n">
        <f aca="false">-Hipótesis!$C$39</f>
        <v>-700</v>
      </c>
      <c r="CE53" s="138" t="n">
        <f aca="false">-Hipótesis!$C$39</f>
        <v>-700</v>
      </c>
      <c r="CF53" s="138" t="n">
        <f aca="false">-Hipótesis!$C$39</f>
        <v>-700</v>
      </c>
      <c r="CG53" s="138" t="n">
        <f aca="false">-Hipótesis!$C$39</f>
        <v>-700</v>
      </c>
      <c r="CH53" s="138" t="n">
        <f aca="false">-Hipótesis!$C$39</f>
        <v>-700</v>
      </c>
    </row>
    <row r="54" customFormat="false" ht="13.5" hidden="false" customHeight="true" outlineLevel="0" collapsed="false">
      <c r="A54" s="13" t="s">
        <v>735</v>
      </c>
      <c r="C54" s="138" t="n">
        <f aca="false">-Hipótesis!$C$40+C209</f>
        <v>-825.795795834129</v>
      </c>
      <c r="D54" s="138" t="n">
        <f aca="false">-Hipótesis!$C$40+D209</f>
        <v>-827.682732771641</v>
      </c>
      <c r="E54" s="138" t="n">
        <f aca="false">-Hipótesis!$C$40+E209</f>
        <v>-829.569669709153</v>
      </c>
      <c r="F54" s="138" t="n">
        <f aca="false">-Hipótesis!$C$40+F209</f>
        <v>-831.456606646665</v>
      </c>
      <c r="G54" s="138" t="n">
        <f aca="false">-Hipótesis!$C$40+G209</f>
        <v>-833.343543584177</v>
      </c>
      <c r="H54" s="138" t="n">
        <f aca="false">-Hipótesis!$C$40+H209</f>
        <v>-835.230480521689</v>
      </c>
      <c r="I54" s="138" t="n">
        <f aca="false">-Hipótesis!$C$40+I209</f>
        <v>-837.117417459201</v>
      </c>
      <c r="J54" s="138" t="n">
        <f aca="false">-Hipótesis!$C$40+J209</f>
        <v>-839.004354396713</v>
      </c>
      <c r="K54" s="138" t="n">
        <f aca="false">-Hipótesis!$C$40+K209</f>
        <v>-840.891291334225</v>
      </c>
      <c r="L54" s="138" t="n">
        <f aca="false">-Hipótesis!$C$40+L209</f>
        <v>-842.778228271737</v>
      </c>
      <c r="M54" s="138" t="n">
        <f aca="false">-Hipótesis!$C$40+M209</f>
        <v>-844.665165209249</v>
      </c>
      <c r="N54" s="138" t="n">
        <f aca="false">-Hipótesis!$C$40+N209</f>
        <v>-846.552102146761</v>
      </c>
      <c r="O54" s="138" t="n">
        <f aca="false">-Hipótesis!$C$40+O209</f>
        <v>-848.439039084273</v>
      </c>
      <c r="P54" s="138" t="n">
        <f aca="false">-Hipótesis!$C$40+P209</f>
        <v>-850.325976021785</v>
      </c>
      <c r="Q54" s="138" t="n">
        <f aca="false">-Hipótesis!$C$40+Q209</f>
        <v>-852.212912959297</v>
      </c>
      <c r="R54" s="138" t="n">
        <f aca="false">-Hipótesis!$C$40+R209</f>
        <v>-854.099849896809</v>
      </c>
      <c r="S54" s="138" t="n">
        <f aca="false">-Hipótesis!$C$40+S209</f>
        <v>-855.986786834321</v>
      </c>
      <c r="T54" s="138" t="n">
        <f aca="false">-Hipótesis!$C$40+T209</f>
        <v>-857.873723771833</v>
      </c>
      <c r="U54" s="138" t="n">
        <f aca="false">-Hipótesis!$C$40+U209</f>
        <v>-859.760660709344</v>
      </c>
      <c r="V54" s="138" t="n">
        <f aca="false">-Hipótesis!$C$40+V209</f>
        <v>-861.647597646856</v>
      </c>
      <c r="W54" s="138" t="n">
        <f aca="false">-Hipótesis!$C$40+W209</f>
        <v>-863.534534584369</v>
      </c>
      <c r="X54" s="138" t="n">
        <f aca="false">-Hipótesis!$C$40+X209</f>
        <v>-865.42147152188</v>
      </c>
      <c r="Y54" s="138" t="n">
        <f aca="false">-Hipótesis!$C$40+Y209</f>
        <v>-867.308408459392</v>
      </c>
      <c r="Z54" s="138" t="n">
        <f aca="false">-Hipótesis!$C$40+Z209</f>
        <v>-869.195345396904</v>
      </c>
      <c r="AA54" s="138" t="n">
        <f aca="false">-Hipótesis!$C$40+AA209</f>
        <v>-871.082282334416</v>
      </c>
      <c r="AB54" s="138" t="n">
        <f aca="false">-Hipótesis!$C$40+AB209</f>
        <v>-872.969219271928</v>
      </c>
      <c r="AC54" s="138" t="n">
        <f aca="false">-Hipótesis!$C$40+AC209</f>
        <v>-874.85615620944</v>
      </c>
      <c r="AD54" s="138" t="n">
        <f aca="false">-Hipótesis!$C$40+AD209</f>
        <v>-876.743093146952</v>
      </c>
      <c r="AE54" s="138" t="n">
        <f aca="false">-Hipótesis!$C$40+AE209</f>
        <v>-878.630030084463</v>
      </c>
      <c r="AF54" s="138" t="n">
        <f aca="false">-Hipótesis!$C$40+AF209</f>
        <v>-880.516967021976</v>
      </c>
      <c r="AG54" s="138" t="n">
        <f aca="false">-Hipótesis!$C$40+AG209</f>
        <v>-882.403903959488</v>
      </c>
      <c r="AH54" s="138" t="n">
        <f aca="false">-Hipótesis!$C$40+AH209</f>
        <v>-884.290840897</v>
      </c>
      <c r="AI54" s="138" t="n">
        <f aca="false">-Hipótesis!$C$40+AI209</f>
        <v>-886.177777834512</v>
      </c>
      <c r="AJ54" s="138" t="n">
        <f aca="false">-Hipótesis!$C$40+AJ209</f>
        <v>-888.064714772023</v>
      </c>
      <c r="AK54" s="138" t="n">
        <f aca="false">-Hipótesis!$C$40+AK209</f>
        <v>-889.951651709536</v>
      </c>
      <c r="AL54" s="138" t="n">
        <f aca="false">-Hipótesis!$C$40+AL209</f>
        <v>-891.838588647048</v>
      </c>
      <c r="AM54" s="138" t="n">
        <f aca="false">-Hipótesis!$C$40+AM209</f>
        <v>-767.92972975043</v>
      </c>
      <c r="AN54" s="138" t="n">
        <f aca="false">-Hipótesis!$C$40+AN209</f>
        <v>-767.92972975043</v>
      </c>
      <c r="AO54" s="138" t="n">
        <f aca="false">-Hipótesis!$C$40+AO209</f>
        <v>-767.92972975043</v>
      </c>
      <c r="AP54" s="138" t="n">
        <f aca="false">-Hipótesis!$C$40+AP209</f>
        <v>-767.92972975043</v>
      </c>
      <c r="AQ54" s="138" t="n">
        <f aca="false">-Hipótesis!$C$40+AQ209</f>
        <v>-767.92972975043</v>
      </c>
      <c r="AR54" s="138" t="n">
        <f aca="false">-Hipótesis!$C$40+AR209</f>
        <v>-767.92972975043</v>
      </c>
      <c r="AS54" s="138" t="n">
        <f aca="false">-Hipótesis!$C$40+AS209</f>
        <v>-767.92972975043</v>
      </c>
      <c r="AT54" s="138" t="n">
        <f aca="false">-Hipótesis!$C$40+AT209</f>
        <v>-767.92972975043</v>
      </c>
      <c r="AU54" s="138" t="n">
        <f aca="false">-Hipótesis!$C$40+AU209</f>
        <v>-767.92972975043</v>
      </c>
      <c r="AV54" s="138" t="n">
        <f aca="false">-Hipótesis!$C$40+AV209</f>
        <v>-767.92972975043</v>
      </c>
      <c r="AW54" s="138" t="n">
        <f aca="false">-Hipótesis!$C$40+AW209</f>
        <v>-767.92972975043</v>
      </c>
      <c r="AX54" s="138" t="n">
        <f aca="false">-Hipótesis!$C$40+AX209</f>
        <v>-767.92972975043</v>
      </c>
      <c r="AY54" s="138" t="n">
        <f aca="false">-Hipótesis!$C$40+AY209</f>
        <v>-767.92972975043</v>
      </c>
      <c r="AZ54" s="138" t="n">
        <f aca="false">-Hipótesis!$C$40+AZ209</f>
        <v>-767.92972975043</v>
      </c>
      <c r="BA54" s="138" t="n">
        <f aca="false">-Hipótesis!$C$40+BA209</f>
        <v>-767.92972975043</v>
      </c>
      <c r="BB54" s="138" t="n">
        <f aca="false">-Hipótesis!$C$40+BB209</f>
        <v>-767.92972975043</v>
      </c>
      <c r="BC54" s="138" t="n">
        <f aca="false">-Hipótesis!$C$40+BC209</f>
        <v>-767.92972975043</v>
      </c>
      <c r="BD54" s="138" t="n">
        <f aca="false">-Hipótesis!$C$40+BD209</f>
        <v>-767.92972975043</v>
      </c>
      <c r="BE54" s="138" t="n">
        <f aca="false">-Hipótesis!$C$40+BE209</f>
        <v>-767.92972975043</v>
      </c>
      <c r="BF54" s="138" t="n">
        <f aca="false">-Hipótesis!$C$40+BF209</f>
        <v>-767.92972975043</v>
      </c>
      <c r="BG54" s="138" t="n">
        <f aca="false">-Hipótesis!$C$40+BG209</f>
        <v>-767.92972975043</v>
      </c>
      <c r="BH54" s="138" t="n">
        <f aca="false">-Hipótesis!$C$40+BH209</f>
        <v>-767.92972975043</v>
      </c>
      <c r="BI54" s="138" t="n">
        <f aca="false">-Hipótesis!$C$40+BI209</f>
        <v>-767.92972975043</v>
      </c>
      <c r="BJ54" s="138" t="n">
        <f aca="false">-Hipótesis!$C$40+BJ209</f>
        <v>-767.92972975043</v>
      </c>
      <c r="BK54" s="138" t="n">
        <f aca="false">-Hipótesis!$C$40+BK209</f>
        <v>-767.92972975043</v>
      </c>
      <c r="BL54" s="138" t="n">
        <f aca="false">-Hipótesis!$C$40+BL209</f>
        <v>-767.92972975043</v>
      </c>
      <c r="BM54" s="138" t="n">
        <f aca="false">-Hipótesis!$C$40+BM209</f>
        <v>-767.92972975043</v>
      </c>
      <c r="BN54" s="138" t="n">
        <f aca="false">-Hipótesis!$C$40+BN209</f>
        <v>-767.92972975043</v>
      </c>
      <c r="BO54" s="138" t="n">
        <f aca="false">-Hipótesis!$C$40+BO209</f>
        <v>-767.92972975043</v>
      </c>
      <c r="BP54" s="138" t="n">
        <f aca="false">-Hipótesis!$C$40+BP209</f>
        <v>-767.92972975043</v>
      </c>
      <c r="BQ54" s="138" t="n">
        <f aca="false">-Hipótesis!$C$40+BQ209</f>
        <v>-767.92972975043</v>
      </c>
      <c r="BR54" s="138" t="n">
        <f aca="false">-Hipótesis!$C$40+BR209</f>
        <v>-767.92972975043</v>
      </c>
      <c r="BS54" s="138" t="n">
        <f aca="false">-Hipótesis!$C$40+BS209</f>
        <v>-767.92972975043</v>
      </c>
      <c r="BT54" s="138" t="n">
        <f aca="false">-Hipótesis!$C$40+BT209</f>
        <v>-767.92972975043</v>
      </c>
      <c r="BU54" s="138" t="n">
        <f aca="false">-Hipótesis!$C$40+BU209</f>
        <v>-767.92972975043</v>
      </c>
      <c r="BV54" s="138" t="n">
        <f aca="false">-Hipótesis!$C$40+BV209</f>
        <v>-767.92972975043</v>
      </c>
      <c r="BW54" s="138" t="n">
        <f aca="false">-Hipótesis!$C$40+BW209</f>
        <v>-767.92972975043</v>
      </c>
      <c r="BX54" s="138" t="n">
        <f aca="false">-Hipótesis!$C$40+BX209</f>
        <v>-767.92972975043</v>
      </c>
      <c r="BY54" s="138" t="n">
        <f aca="false">-Hipótesis!$C$40+BY209</f>
        <v>-767.92972975043</v>
      </c>
      <c r="BZ54" s="138" t="n">
        <f aca="false">-Hipótesis!$C$40+BZ209</f>
        <v>-767.92972975043</v>
      </c>
      <c r="CA54" s="138" t="n">
        <f aca="false">-Hipótesis!$C$40+CA209</f>
        <v>-767.92972975043</v>
      </c>
      <c r="CB54" s="138" t="n">
        <f aca="false">-Hipótesis!$C$40+CB209</f>
        <v>-767.92972975043</v>
      </c>
      <c r="CC54" s="138" t="n">
        <f aca="false">-Hipótesis!$C$40+CC209</f>
        <v>-767.92972975043</v>
      </c>
      <c r="CD54" s="138" t="n">
        <f aca="false">-Hipótesis!$C$40+CD209</f>
        <v>-767.92972975043</v>
      </c>
      <c r="CE54" s="138" t="n">
        <f aca="false">-Hipótesis!$C$40+CE209</f>
        <v>-767.92972975043</v>
      </c>
      <c r="CF54" s="138" t="n">
        <f aca="false">-Hipótesis!$C$40+CF209</f>
        <v>-767.92972975043</v>
      </c>
      <c r="CG54" s="138" t="n">
        <f aca="false">-Hipótesis!$C$40+CG209</f>
        <v>-767.92972975043</v>
      </c>
      <c r="CH54" s="138" t="n">
        <f aca="false">-Hipótesis!$C$40+CH209</f>
        <v>-767.92972975043</v>
      </c>
    </row>
    <row r="55" customFormat="false" ht="13.5" hidden="false" customHeight="true" outlineLevel="0" collapsed="false">
      <c r="A55" s="30" t="s">
        <v>736</v>
      </c>
      <c r="C55" s="138" t="n">
        <f aca="false">C42+C43+C51+C52+C53+C54</f>
        <v>-17533.890102598</v>
      </c>
      <c r="D55" s="138" t="n">
        <f aca="false">D42+D43+D51+D52+D53+D54</f>
        <v>-17603.3250872699</v>
      </c>
      <c r="E55" s="138" t="n">
        <f aca="false">E42+E43+E51+E52+E53+E54</f>
        <v>-17710.6064841214</v>
      </c>
      <c r="F55" s="138" t="n">
        <f aca="false">F42+F43+F51+F52+F53+F54</f>
        <v>-17781.8355220933</v>
      </c>
      <c r="G55" s="138" t="n">
        <f aca="false">G42+G43+G51+G52+G53+G54</f>
        <v>-17727.4262905861</v>
      </c>
      <c r="H55" s="138" t="n">
        <f aca="false">H42+H43+H51+H52+H53+H54</f>
        <v>-17948.2112730511</v>
      </c>
      <c r="I55" s="138" t="n">
        <f aca="false">I42+I43+I51+I52+I53+I54</f>
        <v>-18064.9422167289</v>
      </c>
      <c r="J55" s="138" t="n">
        <f aca="false">J42+J43+J51+J52+J53+J54</f>
        <v>-18210.2563949887</v>
      </c>
      <c r="K55" s="138" t="n">
        <f aca="false">K42+K43+K51+K52+K53+K54</f>
        <v>-18355.5705732486</v>
      </c>
      <c r="L55" s="138" t="n">
        <f aca="false">L42+L43+L51+L52+L53+L54</f>
        <v>-18575.5608907711</v>
      </c>
      <c r="M55" s="138" t="n">
        <f aca="false">M42+M43+M51+M52+M53+M54</f>
        <v>-18770.4962707777</v>
      </c>
      <c r="N55" s="138" t="n">
        <f aca="false">N42+N43+N51+N52+N53+N54</f>
        <v>-21251.5773336281</v>
      </c>
      <c r="O55" s="138" t="n">
        <f aca="false">O42+O43+O51+O52+O53+O54</f>
        <v>-26783.1783964785</v>
      </c>
      <c r="P55" s="138" t="n">
        <f aca="false">P42+P43+P51+P52+P53+P54</f>
        <v>-27008.1425755114</v>
      </c>
      <c r="Q55" s="138" t="n">
        <f aca="false">Q42+Q43+Q51+Q52+Q53+Q54</f>
        <v>-29544.4267545442</v>
      </c>
      <c r="R55" s="138" t="n">
        <f aca="false">R42+R43+R51+R52+R53+R54</f>
        <v>-29769.390933577</v>
      </c>
      <c r="S55" s="138" t="n">
        <f aca="false">S42+S43+S51+S52+S53+S54</f>
        <v>-28888.8332789343</v>
      </c>
      <c r="T55" s="138" t="n">
        <f aca="false">T42+T43+T51+T52+T53+T54</f>
        <v>-32530.6392916427</v>
      </c>
      <c r="U55" s="138" t="n">
        <f aca="false">U42+U43+U51+U52+U53+U54</f>
        <v>-32755.6034706755</v>
      </c>
      <c r="V55" s="138" t="n">
        <f aca="false">V42+V43+V51+V52+V53+V54</f>
        <v>-35699.7676497084</v>
      </c>
      <c r="W55" s="138" t="n">
        <f aca="false">W42+W43+W51+W52+W53+W54</f>
        <v>-35924.7318287412</v>
      </c>
      <c r="X55" s="138" t="n">
        <f aca="false">X42+X43+X51+X52+X53+X54</f>
        <v>-38418.8703249303</v>
      </c>
      <c r="Y55" s="138" t="n">
        <f aca="false">Y42+Y43+Y51+Y52+Y53+Y54</f>
        <v>-38601.6888211193</v>
      </c>
      <c r="Z55" s="138" t="n">
        <f aca="false">Z42+Z43+Z51+Z52+Z53+Z54</f>
        <v>-38767.6490441708</v>
      </c>
      <c r="AA55" s="138" t="n">
        <f aca="false">AA42+AA43+AA51+AA52+AA53+AA54</f>
        <v>-41354.1196672224</v>
      </c>
      <c r="AB55" s="138" t="n">
        <f aca="false">AB42+AB43+AB51+AB52+AB53+AB54</f>
        <v>-41520.0798902739</v>
      </c>
      <c r="AC55" s="138" t="n">
        <f aca="false">AC42+AC43+AC51+AC52+AC53+AC54</f>
        <v>-41686.0401133254</v>
      </c>
      <c r="AD55" s="138" t="n">
        <f aca="false">AD42+AD43+AD51+AD52+AD53+AD54</f>
        <v>-41852.000336377</v>
      </c>
      <c r="AE55" s="138" t="n">
        <f aca="false">AE42+AE43+AE51+AE52+AE53+AE54</f>
        <v>-39567.3644902172</v>
      </c>
      <c r="AF55" s="138" t="n">
        <f aca="false">AF42+AF43+AF51+AF52+AF53+AF54</f>
        <v>-44564.58038248</v>
      </c>
      <c r="AG55" s="138" t="n">
        <f aca="false">AG42+AG43+AG51+AG52+AG53+AG54</f>
        <v>-44730.5406055316</v>
      </c>
      <c r="AH55" s="138" t="n">
        <f aca="false">AH42+AH43+AH51+AH52+AH53+AH54</f>
        <v>-44896.5008285831</v>
      </c>
      <c r="AI55" s="138" t="n">
        <f aca="false">AI42+AI43+AI51+AI52+AI53+AI54</f>
        <v>-45062.4610516347</v>
      </c>
      <c r="AJ55" s="138" t="n">
        <f aca="false">AJ42+AJ43+AJ51+AJ52+AJ53+AJ54</f>
        <v>-45228.4212746862</v>
      </c>
      <c r="AK55" s="138" t="n">
        <f aca="false">AK42+AK43+AK51+AK52+AK53+AK54</f>
        <v>-45394.3814977377</v>
      </c>
      <c r="AL55" s="138" t="n">
        <f aca="false">AL42+AL43+AL51+AL52+AL53+AL54</f>
        <v>-45560.3417207893</v>
      </c>
      <c r="AM55" s="138" t="n">
        <f aca="false">AM42+AM43+AM51+AM52+AM53+AM54</f>
        <v>-50446.0603466264</v>
      </c>
      <c r="AN55" s="138" t="n">
        <f aca="false">AN42+AN43+AN51+AN52+AN53+AN54</f>
        <v>-50498.4629433601</v>
      </c>
      <c r="AO55" s="138" t="n">
        <f aca="false">AO42+AO43+AO51+AO52+AO53+AO54</f>
        <v>-50550.8655400938</v>
      </c>
      <c r="AP55" s="138" t="n">
        <f aca="false">AP42+AP43+AP51+AP52+AP53+AP54</f>
        <v>-50603.2681368276</v>
      </c>
      <c r="AQ55" s="138" t="n">
        <f aca="false">AQ42+AQ43+AQ51+AQ52+AQ53+AQ54</f>
        <v>-47420.4480269542</v>
      </c>
      <c r="AR55" s="138" t="n">
        <f aca="false">AR42+AR43+AR51+AR52+AR53+AR54</f>
        <v>-50708.073330295</v>
      </c>
      <c r="AS55" s="138" t="n">
        <f aca="false">AS42+AS43+AS51+AS52+AS53+AS54</f>
        <v>-50708.073330295</v>
      </c>
      <c r="AT55" s="138" t="n">
        <f aca="false">AT42+AT43+AT51+AT52+AT53+AT54</f>
        <v>-50708.073330295</v>
      </c>
      <c r="AU55" s="138" t="n">
        <f aca="false">AU42+AU43+AU51+AU52+AU53+AU54</f>
        <v>-50708.073330295</v>
      </c>
      <c r="AV55" s="138" t="n">
        <f aca="false">AV42+AV43+AV51+AV52+AV53+AV54</f>
        <v>-50708.073330295</v>
      </c>
      <c r="AW55" s="138" t="n">
        <f aca="false">AW42+AW43+AW51+AW52+AW53+AW54</f>
        <v>-50708.073330295</v>
      </c>
      <c r="AX55" s="138" t="n">
        <f aca="false">AX42+AX43+AX51+AX52+AX53+AX54</f>
        <v>-50708.073330295</v>
      </c>
      <c r="AY55" s="138" t="n">
        <f aca="false">AY42+AY43+AY51+AY52+AY53+AY54</f>
        <v>-53302.535576935</v>
      </c>
      <c r="AZ55" s="138" t="n">
        <f aca="false">AZ42+AZ43+AZ51+AZ52+AZ53+AZ54</f>
        <v>-53302.535576935</v>
      </c>
      <c r="BA55" s="138" t="n">
        <f aca="false">BA42+BA43+BA51+BA52+BA53+BA54</f>
        <v>-53302.535576935</v>
      </c>
      <c r="BB55" s="138" t="n">
        <f aca="false">BB42+BB43+BB51+BB52+BB53+BB54</f>
        <v>-53302.535576935</v>
      </c>
      <c r="BC55" s="138" t="n">
        <f aca="false">BC42+BC43+BC51+BC52+BC53+BC54</f>
        <v>-50067.312870328</v>
      </c>
      <c r="BD55" s="138" t="n">
        <f aca="false">BD42+BD43+BD51+BD52+BD53+BD54</f>
        <v>-53302.535576935</v>
      </c>
      <c r="BE55" s="138" t="n">
        <f aca="false">BE42+BE43+BE51+BE52+BE53+BE54</f>
        <v>-53302.535576935</v>
      </c>
      <c r="BF55" s="138" t="n">
        <f aca="false">BF42+BF43+BF51+BF52+BF53+BF54</f>
        <v>-53302.535576935</v>
      </c>
      <c r="BG55" s="138" t="n">
        <f aca="false">BG42+BG43+BG51+BG52+BG53+BG54</f>
        <v>-53302.535576935</v>
      </c>
      <c r="BH55" s="138" t="n">
        <f aca="false">BH42+BH43+BH51+BH52+BH53+BH54</f>
        <v>-53302.535576935</v>
      </c>
      <c r="BI55" s="138" t="n">
        <f aca="false">BI42+BI43+BI51+BI52+BI53+BI54</f>
        <v>-53302.535576935</v>
      </c>
      <c r="BJ55" s="138" t="n">
        <f aca="false">BJ42+BJ43+BJ51+BJ52+BJ53+BJ54</f>
        <v>-53302.535576935</v>
      </c>
      <c r="BK55" s="138" t="n">
        <f aca="false">BK42+BK43+BK51+BK52+BK53+BK54</f>
        <v>-55915.4316909742</v>
      </c>
      <c r="BL55" s="138" t="n">
        <f aca="false">BL42+BL43+BL51+BL52+BL53+BL54</f>
        <v>-55915.4316909742</v>
      </c>
      <c r="BM55" s="138" t="n">
        <f aca="false">BM42+BM43+BM51+BM52+BM53+BM54</f>
        <v>-55915.4316909742</v>
      </c>
      <c r="BN55" s="138" t="n">
        <f aca="false">BN42+BN43+BN51+BN52+BN53+BN54</f>
        <v>-55915.4316909742</v>
      </c>
      <c r="BO55" s="138" t="n">
        <f aca="false">BO42+BO43+BO51+BO52+BO53+BO54</f>
        <v>-52680.2089843672</v>
      </c>
      <c r="BP55" s="138" t="n">
        <f aca="false">BP42+BP43+BP51+BP52+BP53+BP54</f>
        <v>-55915.4316909742</v>
      </c>
      <c r="BQ55" s="138" t="n">
        <f aca="false">BQ42+BQ43+BQ51+BQ52+BQ53+BQ54</f>
        <v>-55915.4316909742</v>
      </c>
      <c r="BR55" s="138" t="n">
        <f aca="false">BR42+BR43+BR51+BR52+BR53+BR54</f>
        <v>-55915.4316909742</v>
      </c>
      <c r="BS55" s="138" t="n">
        <f aca="false">BS42+BS43+BS51+BS52+BS53+BS54</f>
        <v>-55915.4316909742</v>
      </c>
      <c r="BT55" s="138" t="n">
        <f aca="false">BT42+BT43+BT51+BT52+BT53+BT54</f>
        <v>-55915.4316909742</v>
      </c>
      <c r="BU55" s="138" t="n">
        <f aca="false">BU42+BU43+BU51+BU52+BU53+BU54</f>
        <v>-55915.4316909742</v>
      </c>
      <c r="BV55" s="138" t="n">
        <f aca="false">BV42+BV43+BV51+BV52+BV53+BV54</f>
        <v>-55915.4316909742</v>
      </c>
      <c r="BW55" s="138" t="n">
        <f aca="false">BW42+BW43+BW51+BW52+BW53+BW54</f>
        <v>-58547.3146884346</v>
      </c>
      <c r="BX55" s="138" t="n">
        <f aca="false">BX42+BX43+BX51+BX52+BX53+BX54</f>
        <v>-58547.3146884346</v>
      </c>
      <c r="BY55" s="138" t="n">
        <f aca="false">BY42+BY43+BY51+BY52+BY53+BY54</f>
        <v>-58547.3146884346</v>
      </c>
      <c r="BZ55" s="138" t="n">
        <f aca="false">BZ42+BZ43+BZ51+BZ52+BZ53+BZ54</f>
        <v>-58547.3146884346</v>
      </c>
      <c r="CA55" s="138" t="n">
        <f aca="false">CA42+CA43+CA51+CA52+CA53+CA54</f>
        <v>-55312.0919818275</v>
      </c>
      <c r="CB55" s="138" t="n">
        <f aca="false">CB42+CB43+CB51+CB52+CB53+CB54</f>
        <v>-58547.3146884346</v>
      </c>
      <c r="CC55" s="138" t="n">
        <f aca="false">CC42+CC43+CC51+CC52+CC53+CC54</f>
        <v>-58547.3146884346</v>
      </c>
      <c r="CD55" s="138" t="n">
        <f aca="false">CD42+CD43+CD51+CD52+CD53+CD54</f>
        <v>-58547.3146884346</v>
      </c>
      <c r="CE55" s="138" t="n">
        <f aca="false">CE42+CE43+CE51+CE52+CE53+CE54</f>
        <v>-58547.3146884346</v>
      </c>
      <c r="CF55" s="138" t="n">
        <f aca="false">CF42+CF43+CF51+CF52+CF53+CF54</f>
        <v>-58547.3146884346</v>
      </c>
      <c r="CG55" s="138" t="n">
        <f aca="false">CG42+CG43+CG51+CG52+CG53+CG54</f>
        <v>-58547.3146884346</v>
      </c>
      <c r="CH55" s="138" t="n">
        <f aca="false">CH42+CH43+CH51+CH52+CH53+CH54</f>
        <v>-58547.3146884346</v>
      </c>
    </row>
    <row r="56" customFormat="false" ht="13.5" hidden="false" customHeight="true" outlineLevel="0" collapsed="false">
      <c r="A56" s="64" t="s">
        <v>737</v>
      </c>
      <c r="C56" s="99" t="n">
        <f aca="false">C40+C55</f>
        <v>-16244.57201144</v>
      </c>
      <c r="D56" s="99" t="n">
        <f aca="false">D40+D55</f>
        <v>-14976.9883279826</v>
      </c>
      <c r="E56" s="99" t="n">
        <f aca="false">E40+E55</f>
        <v>-12999.7920577175</v>
      </c>
      <c r="F56" s="99" t="n">
        <f aca="false">F40+F55</f>
        <v>-11679.900008015</v>
      </c>
      <c r="G56" s="99" t="n">
        <f aca="false">G40+G55</f>
        <v>-12814.9066905971</v>
      </c>
      <c r="H56" s="99" t="n">
        <f aca="false">H40+H55</f>
        <v>-8758.21000143692</v>
      </c>
      <c r="I56" s="99" t="n">
        <f aca="false">I40+I55</f>
        <v>-6609.70440343073</v>
      </c>
      <c r="J56" s="99" t="n">
        <f aca="false">J40+J55</f>
        <v>-3708.89509772975</v>
      </c>
      <c r="K56" s="99" t="n">
        <f aca="false">K40+K55</f>
        <v>-808.08579202876</v>
      </c>
      <c r="L56" s="99" t="n">
        <f aca="false">L40+L55</f>
        <v>2018.04737440955</v>
      </c>
      <c r="M56" s="99" t="n">
        <f aca="false">M40+M55</f>
        <v>4121.77647937651</v>
      </c>
      <c r="N56" s="99" t="n">
        <f aca="false">N40+N55</f>
        <v>4470.10701768829</v>
      </c>
      <c r="O56" s="99" t="n">
        <f aca="false">O40+O55</f>
        <v>1767.91755600008</v>
      </c>
      <c r="P56" s="99" t="n">
        <f aca="false">P40+P55</f>
        <v>4162.29808847523</v>
      </c>
      <c r="Q56" s="99" t="n">
        <f aca="false">Q40+Q55</f>
        <v>4245.35862095037</v>
      </c>
      <c r="R56" s="99" t="n">
        <f aca="false">R40+R55</f>
        <v>6639.73915342553</v>
      </c>
      <c r="S56" s="99" t="n">
        <f aca="false">S40+S55</f>
        <v>1527.99767528208</v>
      </c>
      <c r="T56" s="99" t="n">
        <f aca="false">T40+T55</f>
        <v>9117.18021837582</v>
      </c>
      <c r="U56" s="99" t="n">
        <f aca="false">U40+U55</f>
        <v>11511.560750851</v>
      </c>
      <c r="V56" s="99" t="n">
        <f aca="false">V40+V55</f>
        <v>11186.7412833261</v>
      </c>
      <c r="W56" s="99" t="n">
        <f aca="false">W40+W55</f>
        <v>13581.1218158013</v>
      </c>
      <c r="X56" s="99" t="n">
        <f aca="false">X40+X55</f>
        <v>13175.5809149316</v>
      </c>
      <c r="Y56" s="99" t="n">
        <f aca="false">Y40+Y55</f>
        <v>15081.3600140619</v>
      </c>
      <c r="Z56" s="99" t="n">
        <f aca="false">Z40+Z55</f>
        <v>16812.8395398543</v>
      </c>
      <c r="AA56" s="99" t="n">
        <f aca="false">AA40+AA55</f>
        <v>16123.8086656466</v>
      </c>
      <c r="AB56" s="99" t="n">
        <f aca="false">AB40+AB55</f>
        <v>17855.288191439</v>
      </c>
      <c r="AC56" s="99" t="n">
        <f aca="false">AC40+AC55</f>
        <v>19586.7677172314</v>
      </c>
      <c r="AD56" s="99" t="n">
        <f aca="false">AD40+AD55</f>
        <v>21318.2472430238</v>
      </c>
      <c r="AE56" s="99" t="n">
        <f aca="false">AE40+AE55</f>
        <v>10809.8715742315</v>
      </c>
      <c r="AF56" s="99" t="n">
        <f aca="false">AF40+AF55</f>
        <v>22400.5466946085</v>
      </c>
      <c r="AG56" s="99" t="n">
        <f aca="false">AG40+AG55</f>
        <v>24132.0262204009</v>
      </c>
      <c r="AH56" s="99" t="n">
        <f aca="false">AH40+AH55</f>
        <v>25863.5057461932</v>
      </c>
      <c r="AI56" s="99" t="n">
        <f aca="false">AI40+AI55</f>
        <v>27594.9852719856</v>
      </c>
      <c r="AJ56" s="99" t="n">
        <f aca="false">AJ40+AJ55</f>
        <v>29326.464797778</v>
      </c>
      <c r="AK56" s="99" t="n">
        <f aca="false">AK40+AK55</f>
        <v>31057.9443235704</v>
      </c>
      <c r="AL56" s="99" t="n">
        <f aca="false">AL40+AL55</f>
        <v>32789.4238493627</v>
      </c>
      <c r="AM56" s="99" t="n">
        <f aca="false">AM40+AM55</f>
        <v>29335.3312843664</v>
      </c>
      <c r="AN56" s="99" t="n">
        <f aca="false">AN40+AN55</f>
        <v>30714.5547484736</v>
      </c>
      <c r="AO56" s="99" t="n">
        <f aca="false">AO40+AO55</f>
        <v>32093.7782125807</v>
      </c>
      <c r="AP56" s="99" t="n">
        <f aca="false">AP40+AP55</f>
        <v>33473.0016766878</v>
      </c>
      <c r="AQ56" s="99" t="n">
        <f aca="false">AQ40+AQ55</f>
        <v>19851.0255888967</v>
      </c>
      <c r="AR56" s="99" t="n">
        <f aca="false">AR40+AR55</f>
        <v>36231.4486049021</v>
      </c>
      <c r="AS56" s="99" t="n">
        <f aca="false">AS40+AS55</f>
        <v>36231.4486049021</v>
      </c>
      <c r="AT56" s="99" t="n">
        <f aca="false">AT40+AT55</f>
        <v>36231.4486049021</v>
      </c>
      <c r="AU56" s="99" t="n">
        <f aca="false">AU40+AU55</f>
        <v>36231.4486049021</v>
      </c>
      <c r="AV56" s="99" t="n">
        <f aca="false">AV40+AV55</f>
        <v>36231.4486049021</v>
      </c>
      <c r="AW56" s="99" t="n">
        <f aca="false">AW40+AW55</f>
        <v>36231.4486049021</v>
      </c>
      <c r="AX56" s="99" t="n">
        <f aca="false">AX40+AX55</f>
        <v>36231.4486049021</v>
      </c>
      <c r="AY56" s="99" t="n">
        <f aca="false">AY40+AY55</f>
        <v>33636.9863582621</v>
      </c>
      <c r="AZ56" s="99" t="n">
        <f aca="false">AZ40+AZ55</f>
        <v>33636.9863582621</v>
      </c>
      <c r="BA56" s="99" t="n">
        <f aca="false">BA40+BA55</f>
        <v>33636.9863582621</v>
      </c>
      <c r="BB56" s="99" t="n">
        <f aca="false">BB40+BB55</f>
        <v>33636.9863582621</v>
      </c>
      <c r="BC56" s="99" t="n">
        <f aca="false">BC40+BC55</f>
        <v>18635.7868063639</v>
      </c>
      <c r="BD56" s="99" t="n">
        <f aca="false">BD40+BD55</f>
        <v>33636.9863582621</v>
      </c>
      <c r="BE56" s="99" t="n">
        <f aca="false">BE40+BE55</f>
        <v>33636.9863582621</v>
      </c>
      <c r="BF56" s="99" t="n">
        <f aca="false">BF40+BF55</f>
        <v>33636.9863582621</v>
      </c>
      <c r="BG56" s="99" t="n">
        <f aca="false">BG40+BG55</f>
        <v>33636.9863582621</v>
      </c>
      <c r="BH56" s="99" t="n">
        <f aca="false">BH40+BH55</f>
        <v>33636.9863582621</v>
      </c>
      <c r="BI56" s="99" t="n">
        <f aca="false">BI40+BI55</f>
        <v>33636.9863582621</v>
      </c>
      <c r="BJ56" s="99" t="n">
        <f aca="false">BJ40+BJ55</f>
        <v>33636.9863582621</v>
      </c>
      <c r="BK56" s="99" t="n">
        <f aca="false">BK40+BK55</f>
        <v>31024.0902442229</v>
      </c>
      <c r="BL56" s="99" t="n">
        <f aca="false">BL40+BL55</f>
        <v>31024.0902442229</v>
      </c>
      <c r="BM56" s="99" t="n">
        <f aca="false">BM40+BM55</f>
        <v>31024.0902442229</v>
      </c>
      <c r="BN56" s="99" t="n">
        <f aca="false">BN40+BN55</f>
        <v>31024.0902442229</v>
      </c>
      <c r="BO56" s="99" t="n">
        <f aca="false">BO40+BO55</f>
        <v>16022.8906923247</v>
      </c>
      <c r="BP56" s="99" t="n">
        <f aca="false">BP40+BP55</f>
        <v>31024.0902442229</v>
      </c>
      <c r="BQ56" s="99" t="n">
        <f aca="false">BQ40+BQ55</f>
        <v>31024.0902442229</v>
      </c>
      <c r="BR56" s="99" t="n">
        <f aca="false">BR40+BR55</f>
        <v>31024.0902442229</v>
      </c>
      <c r="BS56" s="99" t="n">
        <f aca="false">BS40+BS55</f>
        <v>31024.0902442229</v>
      </c>
      <c r="BT56" s="99" t="n">
        <f aca="false">BT40+BT55</f>
        <v>31024.0902442229</v>
      </c>
      <c r="BU56" s="99" t="n">
        <f aca="false">BU40+BU55</f>
        <v>31024.0902442229</v>
      </c>
      <c r="BV56" s="99" t="n">
        <f aca="false">BV40+BV55</f>
        <v>31024.0902442229</v>
      </c>
      <c r="BW56" s="99" t="n">
        <f aca="false">BW40+BW55</f>
        <v>28392.2072467625</v>
      </c>
      <c r="BX56" s="99" t="n">
        <f aca="false">BX40+BX55</f>
        <v>28392.2072467625</v>
      </c>
      <c r="BY56" s="99" t="n">
        <f aca="false">BY40+BY55</f>
        <v>28392.2072467625</v>
      </c>
      <c r="BZ56" s="99" t="n">
        <f aca="false">BZ40+BZ55</f>
        <v>28392.2072467625</v>
      </c>
      <c r="CA56" s="99" t="n">
        <f aca="false">CA40+CA55</f>
        <v>13391.0076948643</v>
      </c>
      <c r="CB56" s="99" t="n">
        <f aca="false">CB40+CB55</f>
        <v>28392.2072467625</v>
      </c>
      <c r="CC56" s="99" t="n">
        <f aca="false">CC40+CC55</f>
        <v>28392.2072467625</v>
      </c>
      <c r="CD56" s="99" t="n">
        <f aca="false">CD40+CD55</f>
        <v>28392.2072467625</v>
      </c>
      <c r="CE56" s="99" t="n">
        <f aca="false">CE40+CE55</f>
        <v>28392.2072467625</v>
      </c>
      <c r="CF56" s="99" t="n">
        <f aca="false">CF40+CF55</f>
        <v>28392.2072467625</v>
      </c>
      <c r="CG56" s="99" t="n">
        <f aca="false">CG40+CG55</f>
        <v>28392.2072467625</v>
      </c>
      <c r="CH56" s="99" t="n">
        <f aca="false">CH40+CH55</f>
        <v>28392.2072467625</v>
      </c>
    </row>
    <row r="57" customFormat="false" ht="13.5" hidden="false" customHeight="true" outlineLevel="0" collapsed="false">
      <c r="A57" s="13" t="s">
        <v>50</v>
      </c>
      <c r="C57" s="151" t="n">
        <f aca="false">IFERROR(C56/C38,0)</f>
        <v>-10.9965865147852</v>
      </c>
      <c r="D57" s="151" t="n">
        <f aca="false">IFERROR(D56/D38,0)</f>
        <v>-4.96272123407379</v>
      </c>
      <c r="E57" s="151" t="n">
        <f aca="false">IFERROR(E56/E38,0)</f>
        <v>-2.34995772154747</v>
      </c>
      <c r="F57" s="151" t="n">
        <f aca="false">IFERROR(F56/F38,0)</f>
        <v>-1.62015563281822</v>
      </c>
      <c r="G57" s="151" t="n">
        <f aca="false">IFERROR(G56/G38,0)</f>
        <v>-2.1004021307252</v>
      </c>
      <c r="H57" s="151" t="n">
        <f aca="false">IFERROR(H56/H38,0)</f>
        <v>-0.794896818629745</v>
      </c>
      <c r="I57" s="151" t="n">
        <f aca="false">IFERROR(I56/I38,0)</f>
        <v>-0.475651580588687</v>
      </c>
      <c r="J57" s="151" t="n">
        <f aca="false">IFERROR(J56/J38,0)</f>
        <v>-0.208382148058038</v>
      </c>
      <c r="K57" s="151" t="n">
        <f aca="false">IFERROR(K56/K38,0)</f>
        <v>-0.0372373515898805</v>
      </c>
      <c r="L57" s="151" t="n">
        <f aca="false">IFERROR(L56/L38,0)</f>
        <v>0.0788196063238567</v>
      </c>
      <c r="M57" s="151" t="n">
        <f aca="false">IFERROR(M56/M38,0)</f>
        <v>0.144459397809653</v>
      </c>
      <c r="N57" s="151" t="n">
        <f aca="false">IFERROR(N56/N38,0)</f>
        <v>0.13858964836188</v>
      </c>
      <c r="O57" s="151" t="n">
        <f aca="false">IFERROR(O56/O38,0)</f>
        <v>0.0491414388067774</v>
      </c>
      <c r="P57" s="151" t="n">
        <f aca="false">IFERROR(P56/P38,0)</f>
        <v>0.105608463310476</v>
      </c>
      <c r="Q57" s="151" t="n">
        <f aca="false">IFERROR(Q56/Q38,0)</f>
        <v>0.0990772366873501</v>
      </c>
      <c r="R57" s="151" t="n">
        <f aca="false">IFERROR(R56/R38,0)</f>
        <v>0.143452070054558</v>
      </c>
      <c r="S57" s="151" t="n">
        <f aca="false">IFERROR(S56/S38,0)</f>
        <v>0.0377581862939368</v>
      </c>
      <c r="T57" s="151" t="n">
        <f aca="false">IFERROR(T56/T38,0)</f>
        <v>0.171510019920498</v>
      </c>
      <c r="U57" s="151" t="n">
        <f aca="false">IFERROR(U56/U38,0)</f>
        <v>0.203403393887786</v>
      </c>
      <c r="V57" s="151" t="n">
        <f aca="false">IFERROR(V56/V38,0)</f>
        <v>0.186348876953153</v>
      </c>
      <c r="W57" s="151" t="n">
        <f aca="false">IFERROR(W56/W38,0)</f>
        <v>0.21398508696212</v>
      </c>
      <c r="X57" s="151" t="n">
        <f aca="false">IFERROR(X56/X38,0)</f>
        <v>0.199294054105563</v>
      </c>
      <c r="Y57" s="151" t="n">
        <f aca="false">IFERROR(Y56/Y38,0)</f>
        <v>0.219349571203254</v>
      </c>
      <c r="Z57" s="151" t="n">
        <f aca="false">IFERROR(Z56/Z38,0)</f>
        <v>0.236458902260632</v>
      </c>
      <c r="AA57" s="151" t="n">
        <f aca="false">IFERROR(AA56/AA38,0)</f>
        <v>0.219520094503143</v>
      </c>
      <c r="AB57" s="151" t="n">
        <f aca="false">IFERROR(AB56/AB38,0)</f>
        <v>0.235564295251293</v>
      </c>
      <c r="AC57" s="151" t="n">
        <f aca="false">IFERROR(AC56/AC38,0)</f>
        <v>0.25064448560154</v>
      </c>
      <c r="AD57" s="151" t="n">
        <f aca="false">IFERROR(AD56/AD38,0)</f>
        <v>0.264845014864024</v>
      </c>
      <c r="AE57" s="151" t="n">
        <f aca="false">IFERROR(AE56/AE38,0)</f>
        <v>0.161209150370249</v>
      </c>
      <c r="AF57" s="151" t="n">
        <f aca="false">IFERROR(AF56/AF38,0)</f>
        <v>0.262952258072489</v>
      </c>
      <c r="AG57" s="151" t="n">
        <f aca="false">IFERROR(AG56/AG38,0)</f>
        <v>0.27568014818177</v>
      </c>
      <c r="AH57" s="151" t="n">
        <f aca="false">IFERROR(AH56/AH38,0)</f>
        <v>0.287743159801172</v>
      </c>
      <c r="AI57" s="151" t="n">
        <f aca="false">IFERROR(AI56/AI38,0)</f>
        <v>0.29919206462959</v>
      </c>
      <c r="AJ57" s="151" t="n">
        <f aca="false">IFERROR(AJ56/AJ38,0)</f>
        <v>0.310072593285693</v>
      </c>
      <c r="AK57" s="151" t="n">
        <f aca="false">IFERROR(AK56/AK38,0)</f>
        <v>0.320426045809753</v>
      </c>
      <c r="AL57" s="151" t="n">
        <f aca="false">IFERROR(AL56/AL38,0)</f>
        <v>0.330289815541547</v>
      </c>
      <c r="AM57" s="151" t="n">
        <f aca="false">IFERROR(AM56/AM38,0)</f>
        <v>0.290010358752949</v>
      </c>
      <c r="AN57" s="151" t="n">
        <f aca="false">IFERROR(AN56/AN38,0)</f>
        <v>0.29811071008602</v>
      </c>
      <c r="AO57" s="151" t="n">
        <f aca="false">IFERROR(AO56/AO38,0)</f>
        <v>0.305921048545908</v>
      </c>
      <c r="AP57" s="151" t="n">
        <f aca="false">IFERROR(AP56/AP38,0)</f>
        <v>0.313456675008989</v>
      </c>
      <c r="AQ57" s="151" t="n">
        <f aca="false">IFERROR(AQ56/AQ38,0)</f>
        <v>0.222874311768141</v>
      </c>
      <c r="AR57" s="151" t="n">
        <f aca="false">IFERROR(AR56/AR38,0)</f>
        <v>0.32775979655343</v>
      </c>
      <c r="AS57" s="151" t="n">
        <f aca="false">IFERROR(AS56/AS38,0)</f>
        <v>0.32775979655343</v>
      </c>
      <c r="AT57" s="151" t="n">
        <f aca="false">IFERROR(AT56/AT38,0)</f>
        <v>0.32775979655343</v>
      </c>
      <c r="AU57" s="151" t="n">
        <f aca="false">IFERROR(AU56/AU38,0)</f>
        <v>0.32775979655343</v>
      </c>
      <c r="AV57" s="151" t="n">
        <f aca="false">IFERROR(AV56/AV38,0)</f>
        <v>0.32775979655343</v>
      </c>
      <c r="AW57" s="151" t="n">
        <f aca="false">IFERROR(AW56/AW38,0)</f>
        <v>0.32775979655343</v>
      </c>
      <c r="AX57" s="151" t="n">
        <f aca="false">IFERROR(AX56/AX38,0)</f>
        <v>0.32775979655343</v>
      </c>
      <c r="AY57" s="151" t="n">
        <f aca="false">IFERROR(AY56/AY38,0)</f>
        <v>0.304289566936134</v>
      </c>
      <c r="AZ57" s="151" t="n">
        <f aca="false">IFERROR(AZ56/AZ38,0)</f>
        <v>0.304289566936134</v>
      </c>
      <c r="BA57" s="151" t="n">
        <f aca="false">IFERROR(BA56/BA38,0)</f>
        <v>0.304289566936134</v>
      </c>
      <c r="BB57" s="151" t="n">
        <f aca="false">IFERROR(BB56/BB38,0)</f>
        <v>0.304289566936134</v>
      </c>
      <c r="BC57" s="151" t="n">
        <f aca="false">IFERROR(BC56/BC38,0)</f>
        <v>0.204909897760004</v>
      </c>
      <c r="BD57" s="151" t="n">
        <f aca="false">IFERROR(BD56/BD38,0)</f>
        <v>0.304289566936134</v>
      </c>
      <c r="BE57" s="151" t="n">
        <f aca="false">IFERROR(BE56/BE38,0)</f>
        <v>0.304289566936134</v>
      </c>
      <c r="BF57" s="151" t="n">
        <f aca="false">IFERROR(BF56/BF38,0)</f>
        <v>0.304289566936134</v>
      </c>
      <c r="BG57" s="151" t="n">
        <f aca="false">IFERROR(BG56/BG38,0)</f>
        <v>0.304289566936134</v>
      </c>
      <c r="BH57" s="151" t="n">
        <f aca="false">IFERROR(BH56/BH38,0)</f>
        <v>0.304289566936134</v>
      </c>
      <c r="BI57" s="151" t="n">
        <f aca="false">IFERROR(BI56/BI38,0)</f>
        <v>0.304289566936134</v>
      </c>
      <c r="BJ57" s="151" t="n">
        <f aca="false">IFERROR(BJ56/BJ38,0)</f>
        <v>0.304289566936134</v>
      </c>
      <c r="BK57" s="151" t="n">
        <f aca="false">IFERROR(BK56/BK38,0)</f>
        <v>0.280652579409313</v>
      </c>
      <c r="BL57" s="151" t="n">
        <f aca="false">IFERROR(BL56/BL38,0)</f>
        <v>0.280652579409313</v>
      </c>
      <c r="BM57" s="151" t="n">
        <f aca="false">IFERROR(BM56/BM38,0)</f>
        <v>0.280652579409313</v>
      </c>
      <c r="BN57" s="151" t="n">
        <f aca="false">IFERROR(BN56/BN38,0)</f>
        <v>0.280652579409313</v>
      </c>
      <c r="BO57" s="151" t="n">
        <f aca="false">IFERROR(BO56/BO38,0)</f>
        <v>0.176179783966126</v>
      </c>
      <c r="BP57" s="151" t="n">
        <f aca="false">IFERROR(BP56/BP38,0)</f>
        <v>0.280652579409313</v>
      </c>
      <c r="BQ57" s="151" t="n">
        <f aca="false">IFERROR(BQ56/BQ38,0)</f>
        <v>0.280652579409313</v>
      </c>
      <c r="BR57" s="151" t="n">
        <f aca="false">IFERROR(BR56/BR38,0)</f>
        <v>0.280652579409313</v>
      </c>
      <c r="BS57" s="151" t="n">
        <f aca="false">IFERROR(BS56/BS38,0)</f>
        <v>0.280652579409313</v>
      </c>
      <c r="BT57" s="151" t="n">
        <f aca="false">IFERROR(BT56/BT38,0)</f>
        <v>0.280652579409313</v>
      </c>
      <c r="BU57" s="151" t="n">
        <f aca="false">IFERROR(BU56/BU38,0)</f>
        <v>0.280652579409313</v>
      </c>
      <c r="BV57" s="151" t="n">
        <f aca="false">IFERROR(BV56/BV38,0)</f>
        <v>0.280652579409313</v>
      </c>
      <c r="BW57" s="151" t="n">
        <f aca="false">IFERROR(BW56/BW38,0)</f>
        <v>0.25684383123568</v>
      </c>
      <c r="BX57" s="151" t="n">
        <f aca="false">IFERROR(BX56/BX38,0)</f>
        <v>0.25684383123568</v>
      </c>
      <c r="BY57" s="151" t="n">
        <f aca="false">IFERROR(BY56/BY38,0)</f>
        <v>0.25684383123568</v>
      </c>
      <c r="BZ57" s="151" t="n">
        <f aca="false">IFERROR(BZ56/BZ38,0)</f>
        <v>0.25684383123568</v>
      </c>
      <c r="CA57" s="151" t="n">
        <f aca="false">IFERROR(CA56/CA38,0)</f>
        <v>0.147240899789702</v>
      </c>
      <c r="CB57" s="151" t="n">
        <f aca="false">IFERROR(CB56/CB38,0)</f>
        <v>0.25684383123568</v>
      </c>
      <c r="CC57" s="151" t="n">
        <f aca="false">IFERROR(CC56/CC38,0)</f>
        <v>0.25684383123568</v>
      </c>
      <c r="CD57" s="151" t="n">
        <f aca="false">IFERROR(CD56/CD38,0)</f>
        <v>0.25684383123568</v>
      </c>
      <c r="CE57" s="151" t="n">
        <f aca="false">IFERROR(CE56/CE38,0)</f>
        <v>0.25684383123568</v>
      </c>
      <c r="CF57" s="151" t="n">
        <f aca="false">IFERROR(CF56/CF38,0)</f>
        <v>0.25684383123568</v>
      </c>
      <c r="CG57" s="151" t="n">
        <f aca="false">IFERROR(CG56/CG38,0)</f>
        <v>0.25684383123568</v>
      </c>
      <c r="CH57" s="151" t="n">
        <f aca="false">IFERROR(CH56/CH38,0)</f>
        <v>0.25684383123568</v>
      </c>
    </row>
    <row r="58" customFormat="false" ht="13.5" hidden="false" customHeight="true" outlineLevel="0" collapsed="false">
      <c r="A58" s="13" t="s">
        <v>738</v>
      </c>
      <c r="C58" s="138" t="n">
        <f aca="false">-(CAPEX!$E$22)/(Hipótesis!$C$86*12)</f>
        <v>-1089.7619047619</v>
      </c>
      <c r="D58" s="138" t="n">
        <f aca="false">-(CAPEX!$E$22)/(Hipótesis!$C$86*12)</f>
        <v>-1089.7619047619</v>
      </c>
      <c r="E58" s="138" t="n">
        <f aca="false">-(CAPEX!$E$22)/(Hipótesis!$C$86*12)</f>
        <v>-1089.7619047619</v>
      </c>
      <c r="F58" s="138" t="n">
        <f aca="false">-(CAPEX!$E$22)/(Hipótesis!$C$86*12)</f>
        <v>-1089.7619047619</v>
      </c>
      <c r="G58" s="138" t="n">
        <f aca="false">-(CAPEX!$E$22)/(Hipótesis!$C$86*12)</f>
        <v>-1089.7619047619</v>
      </c>
      <c r="H58" s="138" t="n">
        <f aca="false">-(CAPEX!$E$22)/(Hipótesis!$C$86*12)</f>
        <v>-1089.7619047619</v>
      </c>
      <c r="I58" s="138" t="n">
        <f aca="false">-(CAPEX!$E$22)/(Hipótesis!$C$86*12)</f>
        <v>-1089.7619047619</v>
      </c>
      <c r="J58" s="138" t="n">
        <f aca="false">-(CAPEX!$E$22)/(Hipótesis!$C$86*12)</f>
        <v>-1089.7619047619</v>
      </c>
      <c r="K58" s="138" t="n">
        <f aca="false">-(CAPEX!$E$22)/(Hipótesis!$C$86*12)</f>
        <v>-1089.7619047619</v>
      </c>
      <c r="L58" s="138" t="n">
        <f aca="false">-(CAPEX!$E$22)/(Hipótesis!$C$86*12)</f>
        <v>-1089.7619047619</v>
      </c>
      <c r="M58" s="138" t="n">
        <f aca="false">-(CAPEX!$E$22)/(Hipótesis!$C$86*12)</f>
        <v>-1089.7619047619</v>
      </c>
      <c r="N58" s="138" t="n">
        <f aca="false">-(CAPEX!$E$22)/(Hipótesis!$C$86*12)</f>
        <v>-1089.7619047619</v>
      </c>
      <c r="O58" s="138" t="n">
        <f aca="false">-(CAPEX!$E$22)/(Hipótesis!$C$86*12)</f>
        <v>-1089.7619047619</v>
      </c>
      <c r="P58" s="138" t="n">
        <f aca="false">-(CAPEX!$E$22)/(Hipótesis!$C$86*12)</f>
        <v>-1089.7619047619</v>
      </c>
      <c r="Q58" s="138" t="n">
        <f aca="false">-(CAPEX!$E$22)/(Hipótesis!$C$86*12)</f>
        <v>-1089.7619047619</v>
      </c>
      <c r="R58" s="138" t="n">
        <f aca="false">-(CAPEX!$E$22)/(Hipótesis!$C$86*12)</f>
        <v>-1089.7619047619</v>
      </c>
      <c r="S58" s="138" t="n">
        <f aca="false">-(CAPEX!$E$22)/(Hipótesis!$C$86*12)</f>
        <v>-1089.7619047619</v>
      </c>
      <c r="T58" s="138" t="n">
        <f aca="false">-(CAPEX!$E$22)/(Hipótesis!$C$86*12)</f>
        <v>-1089.7619047619</v>
      </c>
      <c r="U58" s="138" t="n">
        <f aca="false">-(CAPEX!$E$22)/(Hipótesis!$C$86*12)</f>
        <v>-1089.7619047619</v>
      </c>
      <c r="V58" s="138" t="n">
        <f aca="false">-(CAPEX!$E$22)/(Hipótesis!$C$86*12)</f>
        <v>-1089.7619047619</v>
      </c>
      <c r="W58" s="138" t="n">
        <f aca="false">-(CAPEX!$E$22)/(Hipótesis!$C$86*12)</f>
        <v>-1089.7619047619</v>
      </c>
      <c r="X58" s="138" t="n">
        <f aca="false">-(CAPEX!$E$22)/(Hipótesis!$C$86*12)</f>
        <v>-1089.7619047619</v>
      </c>
      <c r="Y58" s="138" t="n">
        <f aca="false">-(CAPEX!$E$22)/(Hipótesis!$C$86*12)</f>
        <v>-1089.7619047619</v>
      </c>
      <c r="Z58" s="138" t="n">
        <f aca="false">-(CAPEX!$E$22)/(Hipótesis!$C$86*12)</f>
        <v>-1089.7619047619</v>
      </c>
      <c r="AA58" s="138" t="n">
        <f aca="false">-(CAPEX!$E$22)/(Hipótesis!$C$86*12)</f>
        <v>-1089.7619047619</v>
      </c>
      <c r="AB58" s="138" t="n">
        <f aca="false">-(CAPEX!$E$22)/(Hipótesis!$C$86*12)</f>
        <v>-1089.7619047619</v>
      </c>
      <c r="AC58" s="138" t="n">
        <f aca="false">-(CAPEX!$E$22)/(Hipótesis!$C$86*12)</f>
        <v>-1089.7619047619</v>
      </c>
      <c r="AD58" s="138" t="n">
        <f aca="false">-(CAPEX!$E$22)/(Hipótesis!$C$86*12)</f>
        <v>-1089.7619047619</v>
      </c>
      <c r="AE58" s="138" t="n">
        <f aca="false">-(CAPEX!$E$22)/(Hipótesis!$C$86*12)</f>
        <v>-1089.7619047619</v>
      </c>
      <c r="AF58" s="138" t="n">
        <f aca="false">-(CAPEX!$E$22)/(Hipótesis!$C$86*12)</f>
        <v>-1089.7619047619</v>
      </c>
      <c r="AG58" s="138" t="n">
        <f aca="false">-(CAPEX!$E$22)/(Hipótesis!$C$86*12)</f>
        <v>-1089.7619047619</v>
      </c>
      <c r="AH58" s="138" t="n">
        <f aca="false">-(CAPEX!$E$22)/(Hipótesis!$C$86*12)</f>
        <v>-1089.7619047619</v>
      </c>
      <c r="AI58" s="138" t="n">
        <f aca="false">-(CAPEX!$E$22)/(Hipótesis!$C$86*12)</f>
        <v>-1089.7619047619</v>
      </c>
      <c r="AJ58" s="138" t="n">
        <f aca="false">-(CAPEX!$E$22)/(Hipótesis!$C$86*12)</f>
        <v>-1089.7619047619</v>
      </c>
      <c r="AK58" s="138" t="n">
        <f aca="false">-(CAPEX!$E$22)/(Hipótesis!$C$86*12)</f>
        <v>-1089.7619047619</v>
      </c>
      <c r="AL58" s="138" t="n">
        <f aca="false">-(CAPEX!$E$22)/(Hipótesis!$C$86*12)</f>
        <v>-1089.7619047619</v>
      </c>
      <c r="AM58" s="138" t="n">
        <f aca="false">-(CAPEX!$E$22)/(Hipótesis!$C$86*12)</f>
        <v>-1089.7619047619</v>
      </c>
      <c r="AN58" s="138" t="n">
        <f aca="false">-(CAPEX!$E$22)/(Hipótesis!$C$86*12)</f>
        <v>-1089.7619047619</v>
      </c>
      <c r="AO58" s="138" t="n">
        <f aca="false">-(CAPEX!$E$22)/(Hipótesis!$C$86*12)</f>
        <v>-1089.7619047619</v>
      </c>
      <c r="AP58" s="138" t="n">
        <f aca="false">-(CAPEX!$E$22)/(Hipótesis!$C$86*12)</f>
        <v>-1089.7619047619</v>
      </c>
      <c r="AQ58" s="138" t="n">
        <f aca="false">-(CAPEX!$E$22)/(Hipótesis!$C$86*12)</f>
        <v>-1089.7619047619</v>
      </c>
      <c r="AR58" s="138" t="n">
        <f aca="false">-(CAPEX!$E$22)/(Hipótesis!$C$86*12)</f>
        <v>-1089.7619047619</v>
      </c>
      <c r="AS58" s="138" t="n">
        <f aca="false">-(CAPEX!$E$22)/(Hipótesis!$C$86*12)</f>
        <v>-1089.7619047619</v>
      </c>
      <c r="AT58" s="138" t="n">
        <f aca="false">-(CAPEX!$E$22)/(Hipótesis!$C$86*12)</f>
        <v>-1089.7619047619</v>
      </c>
      <c r="AU58" s="138" t="n">
        <f aca="false">-(CAPEX!$E$22)/(Hipótesis!$C$86*12)</f>
        <v>-1089.7619047619</v>
      </c>
      <c r="AV58" s="138" t="n">
        <f aca="false">-(CAPEX!$E$22)/(Hipótesis!$C$86*12)</f>
        <v>-1089.7619047619</v>
      </c>
      <c r="AW58" s="138" t="n">
        <f aca="false">-(CAPEX!$E$22)/(Hipótesis!$C$86*12)</f>
        <v>-1089.7619047619</v>
      </c>
      <c r="AX58" s="138" t="n">
        <f aca="false">-(CAPEX!$E$22)/(Hipótesis!$C$86*12)</f>
        <v>-1089.7619047619</v>
      </c>
      <c r="AY58" s="138" t="n">
        <f aca="false">-(CAPEX!$E$22)/(Hipótesis!$C$86*12)</f>
        <v>-1089.7619047619</v>
      </c>
      <c r="AZ58" s="138" t="n">
        <f aca="false">-(CAPEX!$E$22)/(Hipótesis!$C$86*12)</f>
        <v>-1089.7619047619</v>
      </c>
      <c r="BA58" s="138" t="n">
        <f aca="false">-(CAPEX!$E$22)/(Hipótesis!$C$86*12)</f>
        <v>-1089.7619047619</v>
      </c>
      <c r="BB58" s="138" t="n">
        <f aca="false">-(CAPEX!$E$22)/(Hipótesis!$C$86*12)</f>
        <v>-1089.7619047619</v>
      </c>
      <c r="BC58" s="138" t="n">
        <f aca="false">-(CAPEX!$E$22)/(Hipótesis!$C$86*12)</f>
        <v>-1089.7619047619</v>
      </c>
      <c r="BD58" s="138" t="n">
        <f aca="false">-(CAPEX!$E$22)/(Hipótesis!$C$86*12)</f>
        <v>-1089.7619047619</v>
      </c>
      <c r="BE58" s="138" t="n">
        <f aca="false">-(CAPEX!$E$22)/(Hipótesis!$C$86*12)</f>
        <v>-1089.7619047619</v>
      </c>
      <c r="BF58" s="138" t="n">
        <f aca="false">-(CAPEX!$E$22)/(Hipótesis!$C$86*12)</f>
        <v>-1089.7619047619</v>
      </c>
      <c r="BG58" s="138" t="n">
        <f aca="false">-(CAPEX!$E$22)/(Hipótesis!$C$86*12)</f>
        <v>-1089.7619047619</v>
      </c>
      <c r="BH58" s="138" t="n">
        <f aca="false">-(CAPEX!$E$22)/(Hipótesis!$C$86*12)</f>
        <v>-1089.7619047619</v>
      </c>
      <c r="BI58" s="138" t="n">
        <f aca="false">-(CAPEX!$E$22)/(Hipótesis!$C$86*12)</f>
        <v>-1089.7619047619</v>
      </c>
      <c r="BJ58" s="138" t="n">
        <f aca="false">-(CAPEX!$E$22)/(Hipótesis!$C$86*12)</f>
        <v>-1089.7619047619</v>
      </c>
      <c r="BK58" s="138" t="n">
        <f aca="false">-(CAPEX!$E$22)/(Hipótesis!$C$86*12)</f>
        <v>-1089.7619047619</v>
      </c>
      <c r="BL58" s="138" t="n">
        <f aca="false">-(CAPEX!$E$22)/(Hipótesis!$C$86*12)</f>
        <v>-1089.7619047619</v>
      </c>
      <c r="BM58" s="138" t="n">
        <f aca="false">-(CAPEX!$E$22)/(Hipótesis!$C$86*12)</f>
        <v>-1089.7619047619</v>
      </c>
      <c r="BN58" s="138" t="n">
        <f aca="false">-(CAPEX!$E$22)/(Hipótesis!$C$86*12)</f>
        <v>-1089.7619047619</v>
      </c>
      <c r="BO58" s="138" t="n">
        <f aca="false">-(CAPEX!$E$22)/(Hipótesis!$C$86*12)</f>
        <v>-1089.7619047619</v>
      </c>
      <c r="BP58" s="138" t="n">
        <f aca="false">-(CAPEX!$E$22)/(Hipótesis!$C$86*12)</f>
        <v>-1089.7619047619</v>
      </c>
      <c r="BQ58" s="138" t="n">
        <f aca="false">-(CAPEX!$E$22)/(Hipótesis!$C$86*12)</f>
        <v>-1089.7619047619</v>
      </c>
      <c r="BR58" s="138" t="n">
        <f aca="false">-(CAPEX!$E$22)/(Hipótesis!$C$86*12)</f>
        <v>-1089.7619047619</v>
      </c>
      <c r="BS58" s="138" t="n">
        <f aca="false">-(CAPEX!$E$22)/(Hipótesis!$C$86*12)</f>
        <v>-1089.7619047619</v>
      </c>
      <c r="BT58" s="138" t="n">
        <f aca="false">-(CAPEX!$E$22)/(Hipótesis!$C$86*12)</f>
        <v>-1089.7619047619</v>
      </c>
      <c r="BU58" s="138" t="n">
        <f aca="false">-(CAPEX!$E$22)/(Hipótesis!$C$86*12)</f>
        <v>-1089.7619047619</v>
      </c>
      <c r="BV58" s="138" t="n">
        <f aca="false">-(CAPEX!$E$22)/(Hipótesis!$C$86*12)</f>
        <v>-1089.7619047619</v>
      </c>
      <c r="BW58" s="138" t="n">
        <f aca="false">-(CAPEX!$E$22)/(Hipótesis!$C$86*12)</f>
        <v>-1089.7619047619</v>
      </c>
      <c r="BX58" s="138" t="n">
        <f aca="false">-(CAPEX!$E$22)/(Hipótesis!$C$86*12)</f>
        <v>-1089.7619047619</v>
      </c>
      <c r="BY58" s="138" t="n">
        <f aca="false">-(CAPEX!$E$22)/(Hipótesis!$C$86*12)</f>
        <v>-1089.7619047619</v>
      </c>
      <c r="BZ58" s="138" t="n">
        <f aca="false">-(CAPEX!$E$22)/(Hipótesis!$C$86*12)</f>
        <v>-1089.7619047619</v>
      </c>
      <c r="CA58" s="138" t="n">
        <f aca="false">-(CAPEX!$E$22)/(Hipótesis!$C$86*12)</f>
        <v>-1089.7619047619</v>
      </c>
      <c r="CB58" s="138" t="n">
        <f aca="false">-(CAPEX!$E$22)/(Hipótesis!$C$86*12)</f>
        <v>-1089.7619047619</v>
      </c>
      <c r="CC58" s="138" t="n">
        <f aca="false">-(CAPEX!$E$22)/(Hipótesis!$C$86*12)</f>
        <v>-1089.7619047619</v>
      </c>
      <c r="CD58" s="138" t="n">
        <f aca="false">-(CAPEX!$E$22)/(Hipótesis!$C$86*12)</f>
        <v>-1089.7619047619</v>
      </c>
      <c r="CE58" s="138" t="n">
        <f aca="false">-(CAPEX!$E$22)/(Hipótesis!$C$86*12)</f>
        <v>-1089.7619047619</v>
      </c>
      <c r="CF58" s="138" t="n">
        <f aca="false">-(CAPEX!$E$22)/(Hipótesis!$C$86*12)</f>
        <v>-1089.7619047619</v>
      </c>
      <c r="CG58" s="138" t="n">
        <f aca="false">-(CAPEX!$E$22)/(Hipótesis!$C$86*12)</f>
        <v>-1089.7619047619</v>
      </c>
      <c r="CH58" s="138" t="n">
        <f aca="false">-(CAPEX!$E$22)/(Hipótesis!$C$86*12)</f>
        <v>-1089.7619047619</v>
      </c>
    </row>
    <row r="59" customFormat="false" ht="13.5" hidden="false" customHeight="true" outlineLevel="0" collapsed="false">
      <c r="A59" s="30" t="s">
        <v>739</v>
      </c>
      <c r="C59" s="138" t="n">
        <f aca="false">C56+C58</f>
        <v>-17334.3339162019</v>
      </c>
      <c r="D59" s="138" t="n">
        <f aca="false">D56+D58</f>
        <v>-16066.7502327445</v>
      </c>
      <c r="E59" s="138" t="n">
        <f aca="false">E56+E58</f>
        <v>-14089.5539624794</v>
      </c>
      <c r="F59" s="138" t="n">
        <f aca="false">F56+F58</f>
        <v>-12769.6619127769</v>
      </c>
      <c r="G59" s="138" t="n">
        <f aca="false">G56+G58</f>
        <v>-13904.668595359</v>
      </c>
      <c r="H59" s="138" t="n">
        <f aca="false">H56+H58</f>
        <v>-9847.97190619883</v>
      </c>
      <c r="I59" s="138" t="n">
        <f aca="false">I56+I58</f>
        <v>-7699.46630819264</v>
      </c>
      <c r="J59" s="138" t="n">
        <f aca="false">J56+J58</f>
        <v>-4798.65700249165</v>
      </c>
      <c r="K59" s="138" t="n">
        <f aca="false">K56+K58</f>
        <v>-1897.84769679066</v>
      </c>
      <c r="L59" s="138" t="n">
        <f aca="false">L56+L58</f>
        <v>928.28546964765</v>
      </c>
      <c r="M59" s="138" t="n">
        <f aca="false">M56+M58</f>
        <v>3032.0145746146</v>
      </c>
      <c r="N59" s="138" t="n">
        <f aca="false">N56+N58</f>
        <v>3380.34511292639</v>
      </c>
      <c r="O59" s="138" t="n">
        <f aca="false">O56+O58</f>
        <v>678.155651238179</v>
      </c>
      <c r="P59" s="138" t="n">
        <f aca="false">P56+P58</f>
        <v>3072.53618371333</v>
      </c>
      <c r="Q59" s="138" t="n">
        <f aca="false">Q56+Q58</f>
        <v>3155.59671618847</v>
      </c>
      <c r="R59" s="138" t="n">
        <f aca="false">R56+R58</f>
        <v>5549.97724866363</v>
      </c>
      <c r="S59" s="138" t="n">
        <f aca="false">S56+S58</f>
        <v>438.235770520176</v>
      </c>
      <c r="T59" s="138" t="n">
        <f aca="false">T56+T58</f>
        <v>8027.41831361391</v>
      </c>
      <c r="U59" s="138" t="n">
        <f aca="false">U56+U58</f>
        <v>10421.7988460891</v>
      </c>
      <c r="V59" s="138" t="n">
        <f aca="false">V56+V58</f>
        <v>10096.9793785642</v>
      </c>
      <c r="W59" s="138" t="n">
        <f aca="false">W56+W58</f>
        <v>12491.3599110394</v>
      </c>
      <c r="X59" s="138" t="n">
        <f aca="false">X56+X58</f>
        <v>12085.8190101697</v>
      </c>
      <c r="Y59" s="138" t="n">
        <f aca="false">Y56+Y58</f>
        <v>13991.5981093</v>
      </c>
      <c r="Z59" s="138" t="n">
        <f aca="false">Z56+Z58</f>
        <v>15723.0776350924</v>
      </c>
      <c r="AA59" s="138" t="n">
        <f aca="false">AA56+AA58</f>
        <v>15034.0467608847</v>
      </c>
      <c r="AB59" s="138" t="n">
        <f aca="false">AB56+AB58</f>
        <v>16765.5262866771</v>
      </c>
      <c r="AC59" s="138" t="n">
        <f aca="false">AC56+AC58</f>
        <v>18497.0058124695</v>
      </c>
      <c r="AD59" s="138" t="n">
        <f aca="false">AD56+AD58</f>
        <v>20228.4853382619</v>
      </c>
      <c r="AE59" s="138" t="n">
        <f aca="false">AE56+AE58</f>
        <v>9720.10966946955</v>
      </c>
      <c r="AF59" s="138" t="n">
        <f aca="false">AF56+AF58</f>
        <v>21310.7847898466</v>
      </c>
      <c r="AG59" s="138" t="n">
        <f aca="false">AG56+AG58</f>
        <v>23042.264315639</v>
      </c>
      <c r="AH59" s="138" t="n">
        <f aca="false">AH56+AH58</f>
        <v>24773.7438414313</v>
      </c>
      <c r="AI59" s="138" t="n">
        <f aca="false">AI56+AI58</f>
        <v>26505.2233672237</v>
      </c>
      <c r="AJ59" s="138" t="n">
        <f aca="false">AJ56+AJ58</f>
        <v>28236.7028930161</v>
      </c>
      <c r="AK59" s="138" t="n">
        <f aca="false">AK56+AK58</f>
        <v>29968.1824188085</v>
      </c>
      <c r="AL59" s="138" t="n">
        <f aca="false">AL56+AL58</f>
        <v>31699.6619446008</v>
      </c>
      <c r="AM59" s="138" t="n">
        <f aca="false">AM56+AM58</f>
        <v>28245.5693796045</v>
      </c>
      <c r="AN59" s="138" t="n">
        <f aca="false">AN56+AN58</f>
        <v>29624.7928437117</v>
      </c>
      <c r="AO59" s="138" t="n">
        <f aca="false">AO56+AO58</f>
        <v>31004.0163078188</v>
      </c>
      <c r="AP59" s="138" t="n">
        <f aca="false">AP56+AP58</f>
        <v>32383.2397719259</v>
      </c>
      <c r="AQ59" s="138" t="n">
        <f aca="false">AQ56+AQ58</f>
        <v>18761.2636841348</v>
      </c>
      <c r="AR59" s="138" t="n">
        <f aca="false">AR56+AR58</f>
        <v>35141.6867001402</v>
      </c>
      <c r="AS59" s="138" t="n">
        <f aca="false">AS56+AS58</f>
        <v>35141.6867001402</v>
      </c>
      <c r="AT59" s="138" t="n">
        <f aca="false">AT56+AT58</f>
        <v>35141.6867001402</v>
      </c>
      <c r="AU59" s="138" t="n">
        <f aca="false">AU56+AU58</f>
        <v>35141.6867001402</v>
      </c>
      <c r="AV59" s="138" t="n">
        <f aca="false">AV56+AV58</f>
        <v>35141.6867001402</v>
      </c>
      <c r="AW59" s="138" t="n">
        <f aca="false">AW56+AW58</f>
        <v>35141.6867001402</v>
      </c>
      <c r="AX59" s="138" t="n">
        <f aca="false">AX56+AX58</f>
        <v>35141.6867001402</v>
      </c>
      <c r="AY59" s="138" t="n">
        <f aca="false">AY56+AY58</f>
        <v>32547.2244535002</v>
      </c>
      <c r="AZ59" s="138" t="n">
        <f aca="false">AZ56+AZ58</f>
        <v>32547.2244535002</v>
      </c>
      <c r="BA59" s="138" t="n">
        <f aca="false">BA56+BA58</f>
        <v>32547.2244535002</v>
      </c>
      <c r="BB59" s="138" t="n">
        <f aca="false">BB56+BB58</f>
        <v>32547.2244535002</v>
      </c>
      <c r="BC59" s="138" t="n">
        <f aca="false">BC56+BC58</f>
        <v>17546.024901602</v>
      </c>
      <c r="BD59" s="138" t="n">
        <f aca="false">BD56+BD58</f>
        <v>32547.2244535002</v>
      </c>
      <c r="BE59" s="138" t="n">
        <f aca="false">BE56+BE58</f>
        <v>32547.2244535002</v>
      </c>
      <c r="BF59" s="138" t="n">
        <f aca="false">BF56+BF58</f>
        <v>32547.2244535002</v>
      </c>
      <c r="BG59" s="138" t="n">
        <f aca="false">BG56+BG58</f>
        <v>32547.2244535002</v>
      </c>
      <c r="BH59" s="138" t="n">
        <f aca="false">BH56+BH58</f>
        <v>32547.2244535002</v>
      </c>
      <c r="BI59" s="138" t="n">
        <f aca="false">BI56+BI58</f>
        <v>32547.2244535002</v>
      </c>
      <c r="BJ59" s="138" t="n">
        <f aca="false">BJ56+BJ58</f>
        <v>32547.2244535002</v>
      </c>
      <c r="BK59" s="138" t="n">
        <f aca="false">BK56+BK58</f>
        <v>29934.328339461</v>
      </c>
      <c r="BL59" s="138" t="n">
        <f aca="false">BL56+BL58</f>
        <v>29934.328339461</v>
      </c>
      <c r="BM59" s="138" t="n">
        <f aca="false">BM56+BM58</f>
        <v>29934.328339461</v>
      </c>
      <c r="BN59" s="138" t="n">
        <f aca="false">BN56+BN58</f>
        <v>29934.328339461</v>
      </c>
      <c r="BO59" s="138" t="n">
        <f aca="false">BO56+BO58</f>
        <v>14933.1287875628</v>
      </c>
      <c r="BP59" s="138" t="n">
        <f aca="false">BP56+BP58</f>
        <v>29934.328339461</v>
      </c>
      <c r="BQ59" s="138" t="n">
        <f aca="false">BQ56+BQ58</f>
        <v>29934.328339461</v>
      </c>
      <c r="BR59" s="138" t="n">
        <f aca="false">BR56+BR58</f>
        <v>29934.328339461</v>
      </c>
      <c r="BS59" s="138" t="n">
        <f aca="false">BS56+BS58</f>
        <v>29934.328339461</v>
      </c>
      <c r="BT59" s="138" t="n">
        <f aca="false">BT56+BT58</f>
        <v>29934.328339461</v>
      </c>
      <c r="BU59" s="138" t="n">
        <f aca="false">BU56+BU58</f>
        <v>29934.328339461</v>
      </c>
      <c r="BV59" s="138" t="n">
        <f aca="false">BV56+BV58</f>
        <v>29934.328339461</v>
      </c>
      <c r="BW59" s="138" t="n">
        <f aca="false">BW56+BW58</f>
        <v>27302.4453420006</v>
      </c>
      <c r="BX59" s="138" t="n">
        <f aca="false">BX56+BX58</f>
        <v>27302.4453420006</v>
      </c>
      <c r="BY59" s="138" t="n">
        <f aca="false">BY56+BY58</f>
        <v>27302.4453420006</v>
      </c>
      <c r="BZ59" s="138" t="n">
        <f aca="false">BZ56+BZ58</f>
        <v>27302.4453420006</v>
      </c>
      <c r="CA59" s="138" t="n">
        <f aca="false">CA56+CA58</f>
        <v>12301.2457901024</v>
      </c>
      <c r="CB59" s="138" t="n">
        <f aca="false">CB56+CB58</f>
        <v>27302.4453420006</v>
      </c>
      <c r="CC59" s="138" t="n">
        <f aca="false">CC56+CC58</f>
        <v>27302.4453420006</v>
      </c>
      <c r="CD59" s="138" t="n">
        <f aca="false">CD56+CD58</f>
        <v>27302.4453420006</v>
      </c>
      <c r="CE59" s="138" t="n">
        <f aca="false">CE56+CE58</f>
        <v>27302.4453420006</v>
      </c>
      <c r="CF59" s="138" t="n">
        <f aca="false">CF56+CF58</f>
        <v>27302.4453420006</v>
      </c>
      <c r="CG59" s="138" t="n">
        <f aca="false">CG56+CG58</f>
        <v>27302.4453420006</v>
      </c>
      <c r="CH59" s="138" t="n">
        <f aca="false">CH56+CH58</f>
        <v>27302.4453420006</v>
      </c>
    </row>
    <row r="60" customFormat="false" ht="13.5" hidden="false" customHeight="true" outlineLevel="0" collapsed="false">
      <c r="A60" s="13" t="s">
        <v>740</v>
      </c>
      <c r="C60" s="138" t="n">
        <f aca="false">-(C91+C98+C103+C77+C212*Hipótesis!$D$73*Hipótesis!$D$74/12)</f>
        <v>-337.517489583333</v>
      </c>
      <c r="D60" s="138" t="n">
        <f aca="false">-(D91+D98+D103+D77+D212*Hipótesis!$D$73*Hipótesis!$D$74/12)</f>
        <v>-342.018760833333</v>
      </c>
      <c r="E60" s="138" t="n">
        <f aca="false">-(E91+E98+E103+E77+E212*Hipótesis!$D$73*Hipótesis!$D$74/12)</f>
        <v>-351.386866458333</v>
      </c>
      <c r="F60" s="138" t="n">
        <f aca="false">-(F91+F98+F103+F77+F212*Hipótesis!$D$73*Hipótesis!$D$74/12)</f>
        <v>-356.570815833333</v>
      </c>
      <c r="G60" s="138" t="n">
        <f aca="false">-(G91+G98+G103+G77+G212*Hipótesis!$D$73*Hipótesis!$D$74/12)</f>
        <v>-361.437650208333</v>
      </c>
      <c r="H60" s="138" t="n">
        <f aca="false">-(H91+H98+H103+H77+H212*Hipótesis!$D$73*Hipótesis!$D$74/12)</f>
        <v>-369.211372083333</v>
      </c>
      <c r="I60" s="138" t="n">
        <f aca="false">-(I91+I98+I103+I77+I212*Hipótesis!$D$73*Hipótesis!$D$74/12)</f>
        <v>-380.399634101795</v>
      </c>
      <c r="J60" s="138" t="n">
        <f aca="false">-(J91+J98+J103+J77+J212*Hipótesis!$D$73*Hipótesis!$D$74/12)</f>
        <v>-428.543915121097</v>
      </c>
      <c r="K60" s="138" t="n">
        <f aca="false">-(K91+K98+K103+K77+K212*Hipótesis!$D$73*Hipótesis!$D$74/12)</f>
        <v>-493.301816808631</v>
      </c>
      <c r="L60" s="138" t="n">
        <f aca="false">-(L91+L98+L103+L77+L212*Hipótesis!$D$73*Hipótesis!$D$74/12)</f>
        <v>-581.549228011784</v>
      </c>
      <c r="M60" s="138" t="n">
        <f aca="false">-(M91+M98+M103+M77+M212*Hipótesis!$D$73*Hipótesis!$D$74/12)</f>
        <v>-650.460308534871</v>
      </c>
      <c r="N60" s="138" t="n">
        <f aca="false">-(N91+N98+N103+N77+N212*Hipótesis!$D$73*Hipótesis!$D$74/12)</f>
        <v>-675.006411254308</v>
      </c>
      <c r="O60" s="138" t="n">
        <f aca="false">-(O91+O98+O103+O77+O212*Hipótesis!$D$73*Hipótesis!$D$74/12)</f>
        <v>-638.326070580364</v>
      </c>
      <c r="P60" s="138" t="n">
        <f aca="false">-(P91+P98+P103+P77+P212*Hipótesis!$D$73*Hipótesis!$D$74/12)</f>
        <v>-704.451785136388</v>
      </c>
      <c r="Q60" s="138" t="n">
        <f aca="false">-(Q91+Q98+Q103+Q77+Q212*Hipótesis!$D$73*Hipótesis!$D$74/12)</f>
        <v>-715.214178612978</v>
      </c>
      <c r="R60" s="138" t="n">
        <f aca="false">-(R91+R98+R103+R77+R212*Hipótesis!$D$73*Hipótesis!$D$74/12)</f>
        <v>-772.207242441011</v>
      </c>
      <c r="S60" s="138" t="n">
        <f aca="false">-(S91+S98+S103+S77+S212*Hipótesis!$D$73*Hipótesis!$D$74/12)</f>
        <v>-670.257725894692</v>
      </c>
      <c r="T60" s="138" t="n">
        <f aca="false">-(T91+T98+T103+T77+T212*Hipótesis!$D$73*Hipótesis!$D$74/12)</f>
        <v>-801.876892848306</v>
      </c>
      <c r="U60" s="138" t="n">
        <f aca="false">-(U91+U98+U103+U77+U212*Hipótesis!$D$73*Hipótesis!$D$74/12)</f>
        <v>-880.555605034132</v>
      </c>
      <c r="V60" s="138" t="n">
        <f aca="false">-(V91+V98+V103+V77+V212*Hipótesis!$D$73*Hipótesis!$D$74/12)</f>
        <v>-856.644626443358</v>
      </c>
      <c r="W60" s="138" t="n">
        <f aca="false">-(W91+W98+W103+W77+W212*Hipótesis!$D$73*Hipótesis!$D$74/12)</f>
        <v>-888.575869025346</v>
      </c>
      <c r="X60" s="138" t="n">
        <f aca="false">-(X91+X98+X103+X77+X212*Hipótesis!$D$73*Hipótesis!$D$74/12)</f>
        <v>-856.956540905237</v>
      </c>
      <c r="Y60" s="138" t="n">
        <f aca="false">-(Y91+Y98+Y103+Y77+Y212*Hipótesis!$D$73*Hipótesis!$D$74/12)</f>
        <v>-905.088343246498</v>
      </c>
      <c r="Z60" s="138" t="n">
        <f aca="false">-(Z91+Z98+Z103+Z77+Z212*Hipótesis!$D$73*Hipótesis!$D$74/12)</f>
        <v>-948.254284120999</v>
      </c>
      <c r="AA60" s="138" t="n">
        <f aca="false">-(AA91+AA98+AA103+AA77+AA212*Hipótesis!$D$73*Hipótesis!$D$74/12)</f>
        <v>-943.010016995501</v>
      </c>
      <c r="AB60" s="138" t="n">
        <f aca="false">-(AB91+AB98+AB103+AB77+AB212*Hipótesis!$D$73*Hipótesis!$D$74/12)</f>
        <v>-980.620402314447</v>
      </c>
      <c r="AC60" s="138" t="n">
        <f aca="false">-(AC91+AC98+AC103+AC77+AC212*Hipótesis!$D$73*Hipótesis!$D$74/12)</f>
        <v>-1018.23078763339</v>
      </c>
      <c r="AD60" s="138" t="n">
        <f aca="false">-(AD91+AD98+AD103+AD77+AD212*Hipótesis!$D$73*Hipótesis!$D$74/12)</f>
        <v>-1055.84117295234</v>
      </c>
      <c r="AE60" s="138" t="n">
        <f aca="false">-(AE91+AE98+AE103+AE77+AE212*Hipótesis!$D$73*Hipótesis!$D$74/12)</f>
        <v>-848.654454379591</v>
      </c>
      <c r="AF60" s="138" t="n">
        <f aca="false">-(AF91+AF98+AF103+AF77+AF212*Hipótesis!$D$73*Hipótesis!$D$74/12)</f>
        <v>-1083.44875159023</v>
      </c>
      <c r="AG60" s="138" t="n">
        <f aca="false">-(AG91+AG98+AG103+AG77+AG212*Hipótesis!$D$73*Hipótesis!$D$74/12)</f>
        <v>-1121.05913690918</v>
      </c>
      <c r="AH60" s="138" t="n">
        <f aca="false">-(AH91+AH98+AH103+AH77+AH212*Hipótesis!$D$73*Hipótesis!$D$74/12)</f>
        <v>-1158.66952222812</v>
      </c>
      <c r="AI60" s="138" t="n">
        <f aca="false">-(AI91+AI98+AI103+AI77+AI212*Hipótesis!$D$73*Hipótesis!$D$74/12)</f>
        <v>-1196.27990754707</v>
      </c>
      <c r="AJ60" s="138" t="n">
        <f aca="false">-(AJ91+AJ98+AJ103+AJ77+AJ212*Hipótesis!$D$73*Hipótesis!$D$74/12)</f>
        <v>-1233.89029286601</v>
      </c>
      <c r="AK60" s="138" t="n">
        <f aca="false">-(AK91+AK98+AK103+AK77+AK212*Hipótesis!$D$73*Hipótesis!$D$74/12)</f>
        <v>-1271.50067818496</v>
      </c>
      <c r="AL60" s="138" t="n">
        <f aca="false">-(AL91+AL98+AL103+AL77+AL212*Hipótesis!$D$73*Hipótesis!$D$74/12)</f>
        <v>-1309.11106350391</v>
      </c>
      <c r="AM60" s="138" t="n">
        <f aca="false">-(AM91+AM98+AM103+AM77+AM212*Hipótesis!$D$73*Hipótesis!$D$74/12)</f>
        <v>-1243.86364204294</v>
      </c>
      <c r="AN60" s="138" t="n">
        <f aca="false">-(AN91+AN98+AN103+AN77+AN212*Hipótesis!$D$73*Hipótesis!$D$74/12)</f>
        <v>-1275.28254116405</v>
      </c>
      <c r="AO60" s="138" t="n">
        <f aca="false">-(AO91+AO98+AO103+AO77+AO212*Hipótesis!$D$73*Hipótesis!$D$74/12)</f>
        <v>-1306.70144028516</v>
      </c>
      <c r="AP60" s="138" t="n">
        <f aca="false">-(AP91+AP98+AP103+AP77+AP212*Hipótesis!$D$73*Hipótesis!$D$74/12)</f>
        <v>-1338.12033940626</v>
      </c>
      <c r="AQ60" s="138" t="n">
        <f aca="false">-(AQ91+AQ98+AQ103+AQ77+AQ212*Hipótesis!$D$73*Hipótesis!$D$74/12)</f>
        <v>-1069.51524748941</v>
      </c>
      <c r="AR60" s="138" t="n">
        <f aca="false">-(AR91+AR98+AR103+AR77+AR212*Hipótesis!$D$73*Hipótesis!$D$74/12)</f>
        <v>-1400.95813764848</v>
      </c>
      <c r="AS60" s="138" t="n">
        <f aca="false">-(AS91+AS98+AS103+AS77+AS212*Hipótesis!$D$73*Hipótesis!$D$74/12)</f>
        <v>-1395.40258209292</v>
      </c>
      <c r="AT60" s="138" t="n">
        <f aca="false">-(AT91+AT98+AT103+AT77+AT212*Hipótesis!$D$73*Hipótesis!$D$74/12)</f>
        <v>-1389.84702653736</v>
      </c>
      <c r="AU60" s="138" t="n">
        <f aca="false">-(AU91+AU98+AU103+AU77+AU212*Hipótesis!$D$73*Hipótesis!$D$74/12)</f>
        <v>-1384.29147098181</v>
      </c>
      <c r="AV60" s="138" t="n">
        <f aca="false">-(AV91+AV98+AV103+AV77+AV212*Hipótesis!$D$73*Hipótesis!$D$74/12)</f>
        <v>-1378.73591542625</v>
      </c>
      <c r="AW60" s="138" t="n">
        <f aca="false">-(AW91+AW98+AW103+AW77+AW212*Hipótesis!$D$73*Hipótesis!$D$74/12)</f>
        <v>-1373.1803598707</v>
      </c>
      <c r="AX60" s="138" t="n">
        <f aca="false">-(AX91+AX98+AX103+AX77+AX212*Hipótesis!$D$73*Hipótesis!$D$74/12)</f>
        <v>-1367.62480431514</v>
      </c>
      <c r="AY60" s="138" t="n">
        <f aca="false">-(AY91+AY98+AY103+AY77+AY212*Hipótesis!$D$73*Hipótesis!$D$74/12)</f>
        <v>-1310.18000382679</v>
      </c>
      <c r="AZ60" s="138" t="n">
        <f aca="false">-(AZ91+AZ98+AZ103+AZ77+AZ212*Hipótesis!$D$73*Hipótesis!$D$74/12)</f>
        <v>-1304.62444827123</v>
      </c>
      <c r="BA60" s="138" t="n">
        <f aca="false">-(BA91+BA98+BA103+BA77+BA212*Hipótesis!$D$73*Hipótesis!$D$74/12)</f>
        <v>-1299.06889271568</v>
      </c>
      <c r="BB60" s="138" t="n">
        <f aca="false">-(BB91+BB98+BB103+BB77+BB212*Hipótesis!$D$73*Hipótesis!$D$74/12)</f>
        <v>-1293.51333716012</v>
      </c>
      <c r="BC60" s="138" t="n">
        <f aca="false">-(BC91+BC98+BC103+BC77+BC212*Hipótesis!$D$73*Hipótesis!$D$74/12)</f>
        <v>-987.933790566601</v>
      </c>
      <c r="BD60" s="138" t="n">
        <f aca="false">-(BD91+BD98+BD103+BD77+BD212*Hipótesis!$D$73*Hipótesis!$D$74/12)</f>
        <v>-1282.40222604901</v>
      </c>
      <c r="BE60" s="138" t="n">
        <f aca="false">-(BE91+BE98+BE103+BE77+BE212*Hipótesis!$D$73*Hipótesis!$D$74/12)</f>
        <v>-1276.84667049345</v>
      </c>
      <c r="BF60" s="138" t="n">
        <f aca="false">-(BF91+BF98+BF103+BF77+BF212*Hipótesis!$D$73*Hipótesis!$D$74/12)</f>
        <v>-1271.2911149379</v>
      </c>
      <c r="BG60" s="138" t="n">
        <f aca="false">-(BG91+BG98+BG103+BG77+BG212*Hipótesis!$D$73*Hipótesis!$D$74/12)</f>
        <v>-1265.73555938234</v>
      </c>
      <c r="BH60" s="138" t="n">
        <f aca="false">-(BH91+BH98+BH103+BH77+BH212*Hipótesis!$D$73*Hipótesis!$D$74/12)</f>
        <v>-1260.18000382679</v>
      </c>
      <c r="BI60" s="138" t="n">
        <f aca="false">-(BI91+BI98+BI103+BI77+BI212*Hipótesis!$D$73*Hipótesis!$D$74/12)</f>
        <v>-1254.62444827123</v>
      </c>
      <c r="BJ60" s="138" t="n">
        <f aca="false">-(BJ91+BJ98+BJ103+BJ77+BJ212*Hipótesis!$D$73*Hipótesis!$D$74/12)</f>
        <v>-1249.06889271568</v>
      </c>
      <c r="BK60" s="138" t="n">
        <f aca="false">-(BK91+BK98+BK103+BK77+BK212*Hipótesis!$D$73*Hipótesis!$D$74/12)</f>
        <v>-1191.25541487934</v>
      </c>
      <c r="BL60" s="138" t="n">
        <f aca="false">-(BL91+BL98+BL103+BL77+BL212*Hipótesis!$D$73*Hipótesis!$D$74/12)</f>
        <v>-1185.69985932378</v>
      </c>
      <c r="BM60" s="138" t="n">
        <f aca="false">-(BM91+BM98+BM103+BM77+BM212*Hipótesis!$D$73*Hipótesis!$D$74/12)</f>
        <v>-1180.14430376823</v>
      </c>
      <c r="BN60" s="138" t="n">
        <f aca="false">-(BN91+BN98+BN103+BN77+BN212*Hipótesis!$D$73*Hipótesis!$D$74/12)</f>
        <v>-1174.58874821267</v>
      </c>
      <c r="BO60" s="138" t="n">
        <f aca="false">-(BO91+BO98+BO103+BO77+BO212*Hipótesis!$D$73*Hipótesis!$D$74/12)</f>
        <v>-869.00920161915</v>
      </c>
      <c r="BP60" s="138" t="n">
        <f aca="false">-(BP91+BP98+BP103+BP77+BP212*Hipótesis!$D$73*Hipótesis!$D$74/12)</f>
        <v>-1163.47763710156</v>
      </c>
      <c r="BQ60" s="138" t="n">
        <f aca="false">-(BQ91+BQ98+BQ103+BQ77+BQ212*Hipótesis!$D$73*Hipótesis!$D$74/12)</f>
        <v>-1157.922081546</v>
      </c>
      <c r="BR60" s="138" t="n">
        <f aca="false">-(BR91+BR98+BR103+BR77+BR212*Hipótesis!$D$73*Hipótesis!$D$74/12)</f>
        <v>-1152.36652599045</v>
      </c>
      <c r="BS60" s="138" t="n">
        <f aca="false">-(BS91+BS98+BS103+BS77+BS212*Hipótesis!$D$73*Hipótesis!$D$74/12)</f>
        <v>-1146.81097043489</v>
      </c>
      <c r="BT60" s="138" t="n">
        <f aca="false">-(BT91+BT98+BT103+BT77+BT212*Hipótesis!$D$73*Hipótesis!$D$74/12)</f>
        <v>-1141.25541487934</v>
      </c>
      <c r="BU60" s="138" t="n">
        <f aca="false">-(BU91+BU98+BU103+BU77+BU212*Hipótesis!$D$73*Hipótesis!$D$74/12)</f>
        <v>-1135.69985932378</v>
      </c>
      <c r="BV60" s="138" t="n">
        <f aca="false">-(BV91+BV98+BV103+BV77+BV212*Hipótesis!$D$73*Hipótesis!$D$74/12)</f>
        <v>-1130.14430376823</v>
      </c>
      <c r="BW60" s="138" t="n">
        <f aca="false">-(BW91+BW98+BW103+BW77+BW212*Hipótesis!$D$73*Hipótesis!$D$74/12)</f>
        <v>-1071.95108826346</v>
      </c>
      <c r="BX60" s="138" t="n">
        <f aca="false">-(BX91+BX98+BX103+BX77+BX212*Hipótesis!$D$73*Hipótesis!$D$74/12)</f>
        <v>-1066.39553270791</v>
      </c>
      <c r="BY60" s="138" t="n">
        <f aca="false">-(BY91+BY98+BY103+BY77+BY212*Hipótesis!$D$73*Hipótesis!$D$74/12)</f>
        <v>-1060.83997715235</v>
      </c>
      <c r="BZ60" s="138" t="n">
        <f aca="false">-(BZ91+BZ98+BZ103+BZ77+BZ212*Hipótesis!$D$73*Hipótesis!$D$74/12)</f>
        <v>-1055.2844215968</v>
      </c>
      <c r="CA60" s="138" t="n">
        <f aca="false">-(CA91+CA98+CA103+CA77+CA212*Hipótesis!$D$73*Hipótesis!$D$74/12)</f>
        <v>-749.704875003276</v>
      </c>
      <c r="CB60" s="138" t="n">
        <f aca="false">-(CB91+CB98+CB103+CB77+CB212*Hipótesis!$D$73*Hipótesis!$D$74/12)</f>
        <v>-1044.17331048568</v>
      </c>
      <c r="CC60" s="138" t="n">
        <f aca="false">-(CC91+CC98+CC103+CC77+CC212*Hipótesis!$D$73*Hipótesis!$D$74/12)</f>
        <v>-1038.61775493013</v>
      </c>
      <c r="CD60" s="138" t="n">
        <f aca="false">-(CD91+CD98+CD103+CD77+CD212*Hipótesis!$D$73*Hipótesis!$D$74/12)</f>
        <v>-1033.06219937457</v>
      </c>
      <c r="CE60" s="138" t="n">
        <f aca="false">-(CE91+CE98+CE103+CE77+CE212*Hipótesis!$D$73*Hipótesis!$D$74/12)</f>
        <v>-1027.50664381902</v>
      </c>
      <c r="CF60" s="138" t="n">
        <f aca="false">-(CF91+CF98+CF103+CF77+CF212*Hipótesis!$D$73*Hipótesis!$D$74/12)</f>
        <v>-1021.95108826346</v>
      </c>
      <c r="CG60" s="138" t="n">
        <f aca="false">-(CG91+CG98+CG103+CG77+CG212*Hipótesis!$D$73*Hipótesis!$D$74/12)</f>
        <v>-1016.39553270791</v>
      </c>
      <c r="CH60" s="138" t="n">
        <f aca="false">-(CH91+CH98+CH103+CH77+CH212*Hipótesis!$D$73*Hipótesis!$D$74/12)</f>
        <v>-1010.83997715235</v>
      </c>
    </row>
    <row r="61" customFormat="false" ht="13.5" hidden="false" customHeight="true" outlineLevel="0" collapsed="false">
      <c r="A61" s="30" t="s">
        <v>741</v>
      </c>
      <c r="C61" s="138" t="n">
        <f aca="false">C59+C60</f>
        <v>-17671.8514057852</v>
      </c>
      <c r="D61" s="138" t="n">
        <f aca="false">D59+D60</f>
        <v>-16408.7689935778</v>
      </c>
      <c r="E61" s="138" t="n">
        <f aca="false">E59+E60</f>
        <v>-14440.9408289377</v>
      </c>
      <c r="F61" s="138" t="n">
        <f aca="false">F59+F60</f>
        <v>-13126.2327286103</v>
      </c>
      <c r="G61" s="138" t="n">
        <f aca="false">G59+G60</f>
        <v>-14266.1062455674</v>
      </c>
      <c r="H61" s="138" t="n">
        <f aca="false">H59+H60</f>
        <v>-10217.1832782822</v>
      </c>
      <c r="I61" s="138" t="n">
        <f aca="false">I59+I60</f>
        <v>-8079.86594229443</v>
      </c>
      <c r="J61" s="138" t="n">
        <f aca="false">J59+J60</f>
        <v>-5227.20091761275</v>
      </c>
      <c r="K61" s="138" t="n">
        <f aca="false">K59+K60</f>
        <v>-2391.1495135993</v>
      </c>
      <c r="L61" s="138" t="n">
        <f aca="false">L59+L60</f>
        <v>346.736241635865</v>
      </c>
      <c r="M61" s="138" t="n">
        <f aca="false">M59+M60</f>
        <v>2381.55426607973</v>
      </c>
      <c r="N61" s="138" t="n">
        <f aca="false">N59+N60</f>
        <v>2705.33870167208</v>
      </c>
      <c r="O61" s="138" t="n">
        <f aca="false">O59+O60</f>
        <v>39.8295806578151</v>
      </c>
      <c r="P61" s="138" t="n">
        <f aca="false">P59+P60</f>
        <v>2368.08439857694</v>
      </c>
      <c r="Q61" s="138" t="n">
        <f aca="false">Q59+Q60</f>
        <v>2440.38253757549</v>
      </c>
      <c r="R61" s="138" t="n">
        <f aca="false">R59+R60</f>
        <v>4777.77000622262</v>
      </c>
      <c r="S61" s="138" t="n">
        <f aca="false">S59+S60</f>
        <v>-232.021955374516</v>
      </c>
      <c r="T61" s="138" t="n">
        <f aca="false">T59+T60</f>
        <v>7225.54142076561</v>
      </c>
      <c r="U61" s="138" t="n">
        <f aca="false">U59+U60</f>
        <v>9541.24324105493</v>
      </c>
      <c r="V61" s="138" t="n">
        <f aca="false">V59+V60</f>
        <v>9240.33475212086</v>
      </c>
      <c r="W61" s="138" t="n">
        <f aca="false">W59+W60</f>
        <v>11602.784042014</v>
      </c>
      <c r="X61" s="138" t="n">
        <f aca="false">X59+X60</f>
        <v>11228.8624692644</v>
      </c>
      <c r="Y61" s="138" t="n">
        <f aca="false">Y59+Y60</f>
        <v>13086.5097660535</v>
      </c>
      <c r="Z61" s="138" t="n">
        <f aca="false">Z59+Z60</f>
        <v>14774.8233509714</v>
      </c>
      <c r="AA61" s="138" t="n">
        <f aca="false">AA59+AA60</f>
        <v>14091.0367438892</v>
      </c>
      <c r="AB61" s="138" t="n">
        <f aca="false">AB59+AB60</f>
        <v>15784.9058843627</v>
      </c>
      <c r="AC61" s="138" t="n">
        <f aca="false">AC59+AC60</f>
        <v>17478.7750248361</v>
      </c>
      <c r="AD61" s="138" t="n">
        <f aca="false">AD59+AD60</f>
        <v>19172.6441653095</v>
      </c>
      <c r="AE61" s="138" t="n">
        <f aca="false">AE59+AE60</f>
        <v>8871.45521508996</v>
      </c>
      <c r="AF61" s="138" t="n">
        <f aca="false">AF59+AF60</f>
        <v>20227.3360382564</v>
      </c>
      <c r="AG61" s="138" t="n">
        <f aca="false">AG59+AG60</f>
        <v>21921.2051787298</v>
      </c>
      <c r="AH61" s="138" t="n">
        <f aca="false">AH59+AH60</f>
        <v>23615.0743192032</v>
      </c>
      <c r="AI61" s="138" t="n">
        <f aca="false">AI59+AI60</f>
        <v>25308.9434596766</v>
      </c>
      <c r="AJ61" s="138" t="n">
        <f aca="false">AJ59+AJ60</f>
        <v>27002.81260015</v>
      </c>
      <c r="AK61" s="138" t="n">
        <f aca="false">AK59+AK60</f>
        <v>28696.6817406235</v>
      </c>
      <c r="AL61" s="138" t="n">
        <f aca="false">AL59+AL60</f>
        <v>30390.5508810969</v>
      </c>
      <c r="AM61" s="138" t="n">
        <f aca="false">AM59+AM60</f>
        <v>27001.7057375616</v>
      </c>
      <c r="AN61" s="138" t="n">
        <f aca="false">AN59+AN60</f>
        <v>28349.5103025476</v>
      </c>
      <c r="AO61" s="138" t="n">
        <f aca="false">AO59+AO60</f>
        <v>29697.3148675336</v>
      </c>
      <c r="AP61" s="138" t="n">
        <f aca="false">AP59+AP60</f>
        <v>31045.1194325197</v>
      </c>
      <c r="AQ61" s="138" t="n">
        <f aca="false">AQ59+AQ60</f>
        <v>17691.7484366454</v>
      </c>
      <c r="AR61" s="138" t="n">
        <f aca="false">AR59+AR60</f>
        <v>33740.7285624917</v>
      </c>
      <c r="AS61" s="138" t="n">
        <f aca="false">AS59+AS60</f>
        <v>33746.2841180472</v>
      </c>
      <c r="AT61" s="138" t="n">
        <f aca="false">AT59+AT60</f>
        <v>33751.8396736028</v>
      </c>
      <c r="AU61" s="138" t="n">
        <f aca="false">AU59+AU60</f>
        <v>33757.3952291584</v>
      </c>
      <c r="AV61" s="138" t="n">
        <f aca="false">AV59+AV60</f>
        <v>33762.9507847139</v>
      </c>
      <c r="AW61" s="138" t="n">
        <f aca="false">AW59+AW60</f>
        <v>33768.5063402695</v>
      </c>
      <c r="AX61" s="138" t="n">
        <f aca="false">AX59+AX60</f>
        <v>33774.061895825</v>
      </c>
      <c r="AY61" s="138" t="n">
        <f aca="false">AY59+AY60</f>
        <v>31237.0444496734</v>
      </c>
      <c r="AZ61" s="138" t="n">
        <f aca="false">AZ59+AZ60</f>
        <v>31242.6000052289</v>
      </c>
      <c r="BA61" s="138" t="n">
        <f aca="false">BA59+BA60</f>
        <v>31248.1555607845</v>
      </c>
      <c r="BB61" s="138" t="n">
        <f aca="false">BB59+BB60</f>
        <v>31253.71111634</v>
      </c>
      <c r="BC61" s="138" t="n">
        <f aca="false">BC59+BC60</f>
        <v>16558.0911110354</v>
      </c>
      <c r="BD61" s="138" t="n">
        <f aca="false">BD59+BD60</f>
        <v>31264.8222274512</v>
      </c>
      <c r="BE61" s="138" t="n">
        <f aca="false">BE59+BE60</f>
        <v>31270.3777830067</v>
      </c>
      <c r="BF61" s="138" t="n">
        <f aca="false">BF59+BF60</f>
        <v>31275.9333385623</v>
      </c>
      <c r="BG61" s="138" t="n">
        <f aca="false">BG59+BG60</f>
        <v>31281.4888941178</v>
      </c>
      <c r="BH61" s="138" t="n">
        <f aca="false">BH59+BH60</f>
        <v>31287.0444496734</v>
      </c>
      <c r="BI61" s="138" t="n">
        <f aca="false">BI59+BI60</f>
        <v>31292.6000052289</v>
      </c>
      <c r="BJ61" s="138" t="n">
        <f aca="false">BJ59+BJ60</f>
        <v>31298.1555607845</v>
      </c>
      <c r="BK61" s="138" t="n">
        <f aca="false">BK59+BK60</f>
        <v>28743.0729245816</v>
      </c>
      <c r="BL61" s="138" t="n">
        <f aca="false">BL59+BL60</f>
        <v>28748.6284801372</v>
      </c>
      <c r="BM61" s="138" t="n">
        <f aca="false">BM59+BM60</f>
        <v>28754.1840356927</v>
      </c>
      <c r="BN61" s="138" t="n">
        <f aca="false">BN59+BN60</f>
        <v>28759.7395912483</v>
      </c>
      <c r="BO61" s="138" t="n">
        <f aca="false">BO59+BO60</f>
        <v>14064.1195859436</v>
      </c>
      <c r="BP61" s="138" t="n">
        <f aca="false">BP59+BP60</f>
        <v>28770.8507023594</v>
      </c>
      <c r="BQ61" s="138" t="n">
        <f aca="false">BQ59+BQ60</f>
        <v>28776.406257915</v>
      </c>
      <c r="BR61" s="138" t="n">
        <f aca="false">BR59+BR60</f>
        <v>28781.9618134705</v>
      </c>
      <c r="BS61" s="138" t="n">
        <f aca="false">BS59+BS60</f>
        <v>28787.5173690261</v>
      </c>
      <c r="BT61" s="138" t="n">
        <f aca="false">BT59+BT60</f>
        <v>28793.0729245816</v>
      </c>
      <c r="BU61" s="138" t="n">
        <f aca="false">BU59+BU60</f>
        <v>28798.6284801372</v>
      </c>
      <c r="BV61" s="138" t="n">
        <f aca="false">BV59+BV60</f>
        <v>28804.1840356927</v>
      </c>
      <c r="BW61" s="138" t="n">
        <f aca="false">BW59+BW60</f>
        <v>26230.4942537371</v>
      </c>
      <c r="BX61" s="138" t="n">
        <f aca="false">BX59+BX60</f>
        <v>26236.0498092927</v>
      </c>
      <c r="BY61" s="138" t="n">
        <f aca="false">BY59+BY60</f>
        <v>26241.6053648482</v>
      </c>
      <c r="BZ61" s="138" t="n">
        <f aca="false">BZ59+BZ60</f>
        <v>26247.1609204038</v>
      </c>
      <c r="CA61" s="138" t="n">
        <f aca="false">CA59+CA60</f>
        <v>11551.5409150991</v>
      </c>
      <c r="CB61" s="138" t="n">
        <f aca="false">CB59+CB60</f>
        <v>26258.2720315149</v>
      </c>
      <c r="CC61" s="138" t="n">
        <f aca="false">CC59+CC60</f>
        <v>26263.8275870705</v>
      </c>
      <c r="CD61" s="138" t="n">
        <f aca="false">CD59+CD60</f>
        <v>26269.383142626</v>
      </c>
      <c r="CE61" s="138" t="n">
        <f aca="false">CE59+CE60</f>
        <v>26274.9386981816</v>
      </c>
      <c r="CF61" s="138" t="n">
        <f aca="false">CF59+CF60</f>
        <v>26280.4942537371</v>
      </c>
      <c r="CG61" s="138" t="n">
        <f aca="false">CG59+CG60</f>
        <v>26286.0498092927</v>
      </c>
      <c r="CH61" s="138" t="n">
        <f aca="false">CH59+CH60</f>
        <v>26291.6053648482</v>
      </c>
    </row>
    <row r="62" customFormat="false" ht="13.5" hidden="false" customHeight="true" outlineLevel="0" collapsed="false">
      <c r="A62" s="13" t="s">
        <v>742</v>
      </c>
      <c r="C62" s="138" t="n">
        <f aca="false">-IF(1&lt;Hipótesis!$D$89,Hipótesis!$C$87,Hipótesis!$C$88)*MAX(0,C61)</f>
        <v>-0</v>
      </c>
      <c r="D62" s="138" t="n">
        <f aca="false">-IF(1&lt;Hipótesis!$D$89,Hipótesis!$C$87,Hipótesis!$C$88)*MAX(0,D61)</f>
        <v>-0</v>
      </c>
      <c r="E62" s="138" t="n">
        <f aca="false">-IF(1&lt;Hipótesis!$D$89,Hipótesis!$C$87,Hipótesis!$C$88)*MAX(0,E61)</f>
        <v>-0</v>
      </c>
      <c r="F62" s="138" t="n">
        <f aca="false">-IF(1&lt;Hipótesis!$D$89,Hipótesis!$C$87,Hipótesis!$C$88)*MAX(0,F61)</f>
        <v>-0</v>
      </c>
      <c r="G62" s="138" t="n">
        <f aca="false">-IF(1&lt;Hipótesis!$D$89,Hipótesis!$C$87,Hipótesis!$C$88)*MAX(0,G61)</f>
        <v>-0</v>
      </c>
      <c r="H62" s="138" t="n">
        <f aca="false">-IF(1&lt;Hipótesis!$D$89,Hipótesis!$C$87,Hipótesis!$C$88)*MAX(0,H61)</f>
        <v>-0</v>
      </c>
      <c r="I62" s="138" t="n">
        <f aca="false">-IF(1&lt;Hipótesis!$D$89,Hipótesis!$C$87,Hipótesis!$C$88)*MAX(0,I61)</f>
        <v>-0</v>
      </c>
      <c r="J62" s="138" t="n">
        <f aca="false">-IF(1&lt;Hipótesis!$D$89,Hipótesis!$C$87,Hipótesis!$C$88)*MAX(0,J61)</f>
        <v>-0</v>
      </c>
      <c r="K62" s="138" t="n">
        <f aca="false">-IF(1&lt;Hipótesis!$D$89,Hipótesis!$C$87,Hipótesis!$C$88)*MAX(0,K61)</f>
        <v>-0</v>
      </c>
      <c r="L62" s="138" t="n">
        <f aca="false">-IF(1&lt;Hipótesis!$D$89,Hipótesis!$C$87,Hipótesis!$C$88)*MAX(0,L61)</f>
        <v>-52.0104362453798</v>
      </c>
      <c r="M62" s="138" t="n">
        <f aca="false">-IF(1&lt;Hipótesis!$D$89,Hipótesis!$C$87,Hipótesis!$C$88)*MAX(0,M61)</f>
        <v>-357.23313991196</v>
      </c>
      <c r="N62" s="138" t="n">
        <f aca="false">-IF(1&lt;Hipótesis!$D$89,Hipótesis!$C$87,Hipótesis!$C$88)*MAX(0,N61)</f>
        <v>-405.800805250812</v>
      </c>
      <c r="O62" s="138" t="n">
        <f aca="false">-IF(2&lt;Hipótesis!$D$89,Hipótesis!$C$87,Hipótesis!$C$88)*MAX(0,O61)</f>
        <v>-5.97443709867226</v>
      </c>
      <c r="P62" s="138" t="n">
        <f aca="false">-IF(2&lt;Hipótesis!$D$89,Hipótesis!$C$87,Hipótesis!$C$88)*MAX(0,P61)</f>
        <v>-355.212659786541</v>
      </c>
      <c r="Q62" s="138" t="n">
        <f aca="false">-IF(2&lt;Hipótesis!$D$89,Hipótesis!$C$87,Hipótesis!$C$88)*MAX(0,Q61)</f>
        <v>-366.057380636324</v>
      </c>
      <c r="R62" s="138" t="n">
        <f aca="false">-IF(2&lt;Hipótesis!$D$89,Hipótesis!$C$87,Hipótesis!$C$88)*MAX(0,R61)</f>
        <v>-716.665500933393</v>
      </c>
      <c r="S62" s="138" t="n">
        <f aca="false">-IF(2&lt;Hipótesis!$D$89,Hipótesis!$C$87,Hipótesis!$C$88)*MAX(0,S61)</f>
        <v>-0</v>
      </c>
      <c r="T62" s="138" t="n">
        <f aca="false">-IF(2&lt;Hipótesis!$D$89,Hipótesis!$C$87,Hipótesis!$C$88)*MAX(0,T61)</f>
        <v>-1083.83121311484</v>
      </c>
      <c r="U62" s="138" t="n">
        <f aca="false">-IF(2&lt;Hipótesis!$D$89,Hipótesis!$C$87,Hipótesis!$C$88)*MAX(0,U61)</f>
        <v>-1431.18648615824</v>
      </c>
      <c r="V62" s="138" t="n">
        <f aca="false">-IF(2&lt;Hipótesis!$D$89,Hipótesis!$C$87,Hipótesis!$C$88)*MAX(0,V61)</f>
        <v>-1386.05021281813</v>
      </c>
      <c r="W62" s="138" t="n">
        <f aca="false">-IF(2&lt;Hipótesis!$D$89,Hipótesis!$C$87,Hipótesis!$C$88)*MAX(0,W61)</f>
        <v>-1740.4176063021</v>
      </c>
      <c r="X62" s="138" t="n">
        <f aca="false">-IF(2&lt;Hipótesis!$D$89,Hipótesis!$C$87,Hipótesis!$C$88)*MAX(0,X61)</f>
        <v>-1684.32937038967</v>
      </c>
      <c r="Y62" s="138" t="n">
        <f aca="false">-IF(2&lt;Hipótesis!$D$89,Hipótesis!$C$87,Hipótesis!$C$88)*MAX(0,Y61)</f>
        <v>-1962.97646490802</v>
      </c>
      <c r="Z62" s="138" t="n">
        <f aca="false">-IF(2&lt;Hipótesis!$D$89,Hipótesis!$C$87,Hipótesis!$C$88)*MAX(0,Z61)</f>
        <v>-2216.2235026457</v>
      </c>
      <c r="AA62" s="138" t="n">
        <f aca="false">-IF(3&lt;Hipótesis!$D$89,Hipótesis!$C$87,Hipótesis!$C$88)*MAX(0,AA61)</f>
        <v>-2113.65551158339</v>
      </c>
      <c r="AB62" s="138" t="n">
        <f aca="false">-IF(3&lt;Hipótesis!$D$89,Hipótesis!$C$87,Hipótesis!$C$88)*MAX(0,AB61)</f>
        <v>-2367.7358826544</v>
      </c>
      <c r="AC62" s="138" t="n">
        <f aca="false">-IF(3&lt;Hipótesis!$D$89,Hipótesis!$C$87,Hipótesis!$C$88)*MAX(0,AC61)</f>
        <v>-2621.81625372541</v>
      </c>
      <c r="AD62" s="138" t="n">
        <f aca="false">-IF(3&lt;Hipótesis!$D$89,Hipótesis!$C$87,Hipótesis!$C$88)*MAX(0,AD61)</f>
        <v>-2875.89662479643</v>
      </c>
      <c r="AE62" s="138" t="n">
        <f aca="false">-IF(3&lt;Hipótesis!$D$89,Hipótesis!$C$87,Hipótesis!$C$88)*MAX(0,AE61)</f>
        <v>-1330.71828226349</v>
      </c>
      <c r="AF62" s="138" t="n">
        <f aca="false">-IF(3&lt;Hipótesis!$D$89,Hipótesis!$C$87,Hipótesis!$C$88)*MAX(0,AF61)</f>
        <v>-3034.10040573845</v>
      </c>
      <c r="AG62" s="138" t="n">
        <f aca="false">-IF(3&lt;Hipótesis!$D$89,Hipótesis!$C$87,Hipótesis!$C$88)*MAX(0,AG61)</f>
        <v>-3288.18077680947</v>
      </c>
      <c r="AH62" s="138" t="n">
        <f aca="false">-IF(3&lt;Hipótesis!$D$89,Hipótesis!$C$87,Hipótesis!$C$88)*MAX(0,AH61)</f>
        <v>-3542.26114788048</v>
      </c>
      <c r="AI62" s="138" t="n">
        <f aca="false">-IF(3&lt;Hipótesis!$D$89,Hipótesis!$C$87,Hipótesis!$C$88)*MAX(0,AI61)</f>
        <v>-3796.3415189515</v>
      </c>
      <c r="AJ62" s="138" t="n">
        <f aca="false">-IF(3&lt;Hipótesis!$D$89,Hipótesis!$C$87,Hipótesis!$C$88)*MAX(0,AJ61)</f>
        <v>-4050.42189002251</v>
      </c>
      <c r="AK62" s="138" t="n">
        <f aca="false">-IF(3&lt;Hipótesis!$D$89,Hipótesis!$C$87,Hipótesis!$C$88)*MAX(0,AK61)</f>
        <v>-4304.50226109352</v>
      </c>
      <c r="AL62" s="138" t="n">
        <f aca="false">-IF(3&lt;Hipótesis!$D$89,Hipótesis!$C$87,Hipótesis!$C$88)*MAX(0,AL61)</f>
        <v>-4558.58263216454</v>
      </c>
      <c r="AM62" s="138" t="n">
        <f aca="false">-IF(4&lt;Hipótesis!$D$89,Hipótesis!$C$87,Hipótesis!$C$88)*MAX(0,AM61)</f>
        <v>-6750.4264343904</v>
      </c>
      <c r="AN62" s="138" t="n">
        <f aca="false">-IF(4&lt;Hipótesis!$D$89,Hipótesis!$C$87,Hipótesis!$C$88)*MAX(0,AN61)</f>
        <v>-7087.37757563691</v>
      </c>
      <c r="AO62" s="138" t="n">
        <f aca="false">-IF(4&lt;Hipótesis!$D$89,Hipótesis!$C$87,Hipótesis!$C$88)*MAX(0,AO61)</f>
        <v>-7424.32871688341</v>
      </c>
      <c r="AP62" s="138" t="n">
        <f aca="false">-IF(4&lt;Hipótesis!$D$89,Hipótesis!$C$87,Hipótesis!$C$88)*MAX(0,AP61)</f>
        <v>-7761.27985812991</v>
      </c>
      <c r="AQ62" s="138" t="n">
        <f aca="false">-IF(4&lt;Hipótesis!$D$89,Hipótesis!$C$87,Hipótesis!$C$88)*MAX(0,AQ61)</f>
        <v>-4422.93710916136</v>
      </c>
      <c r="AR62" s="138" t="n">
        <f aca="false">-IF(4&lt;Hipótesis!$D$89,Hipótesis!$C$87,Hipótesis!$C$88)*MAX(0,AR61)</f>
        <v>-8435.18214062292</v>
      </c>
      <c r="AS62" s="138" t="n">
        <f aca="false">-IF(4&lt;Hipótesis!$D$89,Hipótesis!$C$87,Hipótesis!$C$88)*MAX(0,AS61)</f>
        <v>-8436.57102951181</v>
      </c>
      <c r="AT62" s="138" t="n">
        <f aca="false">-IF(4&lt;Hipótesis!$D$89,Hipótesis!$C$87,Hipótesis!$C$88)*MAX(0,AT61)</f>
        <v>-8437.9599184007</v>
      </c>
      <c r="AU62" s="138" t="n">
        <f aca="false">-IF(4&lt;Hipótesis!$D$89,Hipótesis!$C$87,Hipótesis!$C$88)*MAX(0,AU61)</f>
        <v>-8439.34880728959</v>
      </c>
      <c r="AV62" s="138" t="n">
        <f aca="false">-IF(4&lt;Hipótesis!$D$89,Hipótesis!$C$87,Hipótesis!$C$88)*MAX(0,AV61)</f>
        <v>-8440.73769617848</v>
      </c>
      <c r="AW62" s="138" t="n">
        <f aca="false">-IF(4&lt;Hipótesis!$D$89,Hipótesis!$C$87,Hipótesis!$C$88)*MAX(0,AW61)</f>
        <v>-8442.12658506737</v>
      </c>
      <c r="AX62" s="138" t="n">
        <f aca="false">-IF(4&lt;Hipótesis!$D$89,Hipótesis!$C$87,Hipótesis!$C$88)*MAX(0,AX61)</f>
        <v>-8443.51547395626</v>
      </c>
      <c r="AY62" s="138" t="n">
        <f aca="false">-IF(5&lt;Hipótesis!$D$89,Hipótesis!$C$87,Hipótesis!$C$88)*MAX(0,AY61)</f>
        <v>-7809.26111241834</v>
      </c>
      <c r="AZ62" s="138" t="n">
        <f aca="false">-IF(5&lt;Hipótesis!$D$89,Hipótesis!$C$87,Hipótesis!$C$88)*MAX(0,AZ61)</f>
        <v>-7810.65000130723</v>
      </c>
      <c r="BA62" s="138" t="n">
        <f aca="false">-IF(5&lt;Hipótesis!$D$89,Hipótesis!$C$87,Hipótesis!$C$88)*MAX(0,BA61)</f>
        <v>-7812.03889019612</v>
      </c>
      <c r="BB62" s="138" t="n">
        <f aca="false">-IF(5&lt;Hipótesis!$D$89,Hipótesis!$C$87,Hipótesis!$C$88)*MAX(0,BB61)</f>
        <v>-7813.42777908501</v>
      </c>
      <c r="BC62" s="138" t="n">
        <f aca="false">-IF(5&lt;Hipótesis!$D$89,Hipótesis!$C$87,Hipótesis!$C$88)*MAX(0,BC61)</f>
        <v>-4139.52277775884</v>
      </c>
      <c r="BD62" s="138" t="n">
        <f aca="false">-IF(5&lt;Hipótesis!$D$89,Hipótesis!$C$87,Hipótesis!$C$88)*MAX(0,BD61)</f>
        <v>-7816.20555686279</v>
      </c>
      <c r="BE62" s="138" t="n">
        <f aca="false">-IF(5&lt;Hipótesis!$D$89,Hipótesis!$C$87,Hipótesis!$C$88)*MAX(0,BE61)</f>
        <v>-7817.59444575168</v>
      </c>
      <c r="BF62" s="138" t="n">
        <f aca="false">-IF(5&lt;Hipótesis!$D$89,Hipótesis!$C$87,Hipótesis!$C$88)*MAX(0,BF61)</f>
        <v>-7818.98333464057</v>
      </c>
      <c r="BG62" s="138" t="n">
        <f aca="false">-IF(5&lt;Hipótesis!$D$89,Hipótesis!$C$87,Hipótesis!$C$88)*MAX(0,BG61)</f>
        <v>-7820.37222352946</v>
      </c>
      <c r="BH62" s="138" t="n">
        <f aca="false">-IF(5&lt;Hipótesis!$D$89,Hipótesis!$C$87,Hipótesis!$C$88)*MAX(0,BH61)</f>
        <v>-7821.76111241834</v>
      </c>
      <c r="BI62" s="138" t="n">
        <f aca="false">-IF(5&lt;Hipótesis!$D$89,Hipótesis!$C$87,Hipótesis!$C$88)*MAX(0,BI61)</f>
        <v>-7823.15000130723</v>
      </c>
      <c r="BJ62" s="138" t="n">
        <f aca="false">-IF(5&lt;Hipótesis!$D$89,Hipótesis!$C$87,Hipótesis!$C$88)*MAX(0,BJ61)</f>
        <v>-7824.53889019612</v>
      </c>
      <c r="BK62" s="138" t="n">
        <f aca="false">-IF(6&lt;Hipótesis!$D$89,Hipótesis!$C$87,Hipótesis!$C$88)*MAX(0,BK61)</f>
        <v>-7185.76823114541</v>
      </c>
      <c r="BL62" s="138" t="n">
        <f aca="false">-IF(6&lt;Hipótesis!$D$89,Hipótesis!$C$87,Hipótesis!$C$88)*MAX(0,BL61)</f>
        <v>-7187.15712003429</v>
      </c>
      <c r="BM62" s="138" t="n">
        <f aca="false">-IF(6&lt;Hipótesis!$D$89,Hipótesis!$C$87,Hipótesis!$C$88)*MAX(0,BM61)</f>
        <v>-7188.54600892318</v>
      </c>
      <c r="BN62" s="138" t="n">
        <f aca="false">-IF(6&lt;Hipótesis!$D$89,Hipótesis!$C$87,Hipótesis!$C$88)*MAX(0,BN61)</f>
        <v>-7189.93489781207</v>
      </c>
      <c r="BO62" s="138" t="n">
        <f aca="false">-IF(6&lt;Hipótesis!$D$89,Hipótesis!$C$87,Hipótesis!$C$88)*MAX(0,BO61)</f>
        <v>-3516.0298964859</v>
      </c>
      <c r="BP62" s="138" t="n">
        <f aca="false">-IF(6&lt;Hipótesis!$D$89,Hipótesis!$C$87,Hipótesis!$C$88)*MAX(0,BP61)</f>
        <v>-7192.71267558985</v>
      </c>
      <c r="BQ62" s="138" t="n">
        <f aca="false">-IF(6&lt;Hipótesis!$D$89,Hipótesis!$C$87,Hipótesis!$C$88)*MAX(0,BQ61)</f>
        <v>-7194.10156447874</v>
      </c>
      <c r="BR62" s="138" t="n">
        <f aca="false">-IF(6&lt;Hipótesis!$D$89,Hipótesis!$C$87,Hipótesis!$C$88)*MAX(0,BR61)</f>
        <v>-7195.49045336763</v>
      </c>
      <c r="BS62" s="138" t="n">
        <f aca="false">-IF(6&lt;Hipótesis!$D$89,Hipótesis!$C$87,Hipótesis!$C$88)*MAX(0,BS61)</f>
        <v>-7196.87934225652</v>
      </c>
      <c r="BT62" s="138" t="n">
        <f aca="false">-IF(6&lt;Hipótesis!$D$89,Hipótesis!$C$87,Hipótesis!$C$88)*MAX(0,BT61)</f>
        <v>-7198.26823114541</v>
      </c>
      <c r="BU62" s="138" t="n">
        <f aca="false">-IF(6&lt;Hipótesis!$D$89,Hipótesis!$C$87,Hipótesis!$C$88)*MAX(0,BU61)</f>
        <v>-7199.65712003429</v>
      </c>
      <c r="BV62" s="138" t="n">
        <f aca="false">-IF(6&lt;Hipótesis!$D$89,Hipótesis!$C$87,Hipótesis!$C$88)*MAX(0,BV61)</f>
        <v>-7201.04600892318</v>
      </c>
      <c r="BW62" s="138" t="n">
        <f aca="false">-IF(7&lt;Hipótesis!$D$89,Hipótesis!$C$87,Hipótesis!$C$88)*MAX(0,BW61)</f>
        <v>-6557.62356343428</v>
      </c>
      <c r="BX62" s="138" t="n">
        <f aca="false">-IF(7&lt;Hipótesis!$D$89,Hipótesis!$C$87,Hipótesis!$C$88)*MAX(0,BX61)</f>
        <v>-6559.01245232317</v>
      </c>
      <c r="BY62" s="138" t="n">
        <f aca="false">-IF(7&lt;Hipótesis!$D$89,Hipótesis!$C$87,Hipótesis!$C$88)*MAX(0,BY61)</f>
        <v>-6560.40134121206</v>
      </c>
      <c r="BZ62" s="138" t="n">
        <f aca="false">-IF(7&lt;Hipótesis!$D$89,Hipótesis!$C$87,Hipótesis!$C$88)*MAX(0,BZ61)</f>
        <v>-6561.79023010095</v>
      </c>
      <c r="CA62" s="138" t="n">
        <f aca="false">-IF(7&lt;Hipótesis!$D$89,Hipótesis!$C$87,Hipótesis!$C$88)*MAX(0,CA61)</f>
        <v>-2887.88522877478</v>
      </c>
      <c r="CB62" s="138" t="n">
        <f aca="false">-IF(7&lt;Hipótesis!$D$89,Hipótesis!$C$87,Hipótesis!$C$88)*MAX(0,CB61)</f>
        <v>-6564.56800787873</v>
      </c>
      <c r="CC62" s="138" t="n">
        <f aca="false">-IF(7&lt;Hipótesis!$D$89,Hipótesis!$C$87,Hipótesis!$C$88)*MAX(0,CC61)</f>
        <v>-6565.95689676761</v>
      </c>
      <c r="CD62" s="138" t="n">
        <f aca="false">-IF(7&lt;Hipótesis!$D$89,Hipótesis!$C$87,Hipótesis!$C$88)*MAX(0,CD61)</f>
        <v>-6567.3457856565</v>
      </c>
      <c r="CE62" s="138" t="n">
        <f aca="false">-IF(7&lt;Hipótesis!$D$89,Hipótesis!$C$87,Hipótesis!$C$88)*MAX(0,CE61)</f>
        <v>-6568.73467454539</v>
      </c>
      <c r="CF62" s="138" t="n">
        <f aca="false">-IF(7&lt;Hipótesis!$D$89,Hipótesis!$C$87,Hipótesis!$C$88)*MAX(0,CF61)</f>
        <v>-6570.12356343428</v>
      </c>
      <c r="CG62" s="138" t="n">
        <f aca="false">-IF(7&lt;Hipótesis!$D$89,Hipótesis!$C$87,Hipótesis!$C$88)*MAX(0,CG61)</f>
        <v>-6571.51245232317</v>
      </c>
      <c r="CH62" s="138" t="n">
        <f aca="false">-IF(7&lt;Hipótesis!$D$89,Hipótesis!$C$87,Hipótesis!$C$88)*MAX(0,CH61)</f>
        <v>-6572.90134121206</v>
      </c>
    </row>
    <row r="63" customFormat="false" ht="13.5" hidden="false" customHeight="true" outlineLevel="0" collapsed="false">
      <c r="A63" s="30" t="s">
        <v>743</v>
      </c>
      <c r="C63" s="138" t="n">
        <f aca="false">C61+C62</f>
        <v>-17671.8514057852</v>
      </c>
      <c r="D63" s="138" t="n">
        <f aca="false">D61+D62</f>
        <v>-16408.7689935778</v>
      </c>
      <c r="E63" s="138" t="n">
        <f aca="false">E61+E62</f>
        <v>-14440.9408289377</v>
      </c>
      <c r="F63" s="138" t="n">
        <f aca="false">F61+F62</f>
        <v>-13126.2327286103</v>
      </c>
      <c r="G63" s="138" t="n">
        <f aca="false">G61+G62</f>
        <v>-14266.1062455674</v>
      </c>
      <c r="H63" s="138" t="n">
        <f aca="false">H61+H62</f>
        <v>-10217.1832782822</v>
      </c>
      <c r="I63" s="138" t="n">
        <f aca="false">I61+I62</f>
        <v>-8079.86594229443</v>
      </c>
      <c r="J63" s="138" t="n">
        <f aca="false">J61+J62</f>
        <v>-5227.20091761275</v>
      </c>
      <c r="K63" s="138" t="n">
        <f aca="false">K61+K62</f>
        <v>-2391.1495135993</v>
      </c>
      <c r="L63" s="138" t="n">
        <f aca="false">L61+L62</f>
        <v>294.725805390485</v>
      </c>
      <c r="M63" s="138" t="n">
        <f aca="false">M61+M62</f>
        <v>2024.32112616777</v>
      </c>
      <c r="N63" s="138" t="n">
        <f aca="false">N61+N62</f>
        <v>2299.53789642127</v>
      </c>
      <c r="O63" s="138" t="n">
        <f aca="false">O61+O62</f>
        <v>33.8551435591428</v>
      </c>
      <c r="P63" s="138" t="n">
        <f aca="false">P61+P62</f>
        <v>2012.8717387904</v>
      </c>
      <c r="Q63" s="138" t="n">
        <f aca="false">Q61+Q62</f>
        <v>2074.32515693917</v>
      </c>
      <c r="R63" s="138" t="n">
        <f aca="false">R61+R62</f>
        <v>4061.10450528923</v>
      </c>
      <c r="S63" s="138" t="n">
        <f aca="false">S61+S62</f>
        <v>-232.021955374516</v>
      </c>
      <c r="T63" s="138" t="n">
        <f aca="false">T61+T62</f>
        <v>6141.71020765077</v>
      </c>
      <c r="U63" s="138" t="n">
        <f aca="false">U61+U62</f>
        <v>8110.05675489669</v>
      </c>
      <c r="V63" s="138" t="n">
        <f aca="false">V61+V62</f>
        <v>7854.28453930273</v>
      </c>
      <c r="W63" s="138" t="n">
        <f aca="false">W61+W62</f>
        <v>9862.36643571192</v>
      </c>
      <c r="X63" s="138" t="n">
        <f aca="false">X61+X62</f>
        <v>9544.53309887477</v>
      </c>
      <c r="Y63" s="138" t="n">
        <f aca="false">Y61+Y62</f>
        <v>11123.5333011455</v>
      </c>
      <c r="Z63" s="138" t="n">
        <f aca="false">Z61+Z62</f>
        <v>12558.5998483257</v>
      </c>
      <c r="AA63" s="138" t="n">
        <f aca="false">AA61+AA62</f>
        <v>11977.3812323059</v>
      </c>
      <c r="AB63" s="138" t="n">
        <f aca="false">AB61+AB62</f>
        <v>13417.1700017083</v>
      </c>
      <c r="AC63" s="138" t="n">
        <f aca="false">AC61+AC62</f>
        <v>14856.9587711107</v>
      </c>
      <c r="AD63" s="138" t="n">
        <f aca="false">AD61+AD62</f>
        <v>16296.7475405131</v>
      </c>
      <c r="AE63" s="138" t="n">
        <f aca="false">AE61+AE62</f>
        <v>7540.73693282647</v>
      </c>
      <c r="AF63" s="138" t="n">
        <f aca="false">AF61+AF62</f>
        <v>17193.2356325179</v>
      </c>
      <c r="AG63" s="138" t="n">
        <f aca="false">AG61+AG62</f>
        <v>18633.0244019203</v>
      </c>
      <c r="AH63" s="138" t="n">
        <f aca="false">AH61+AH62</f>
        <v>20072.8131713227</v>
      </c>
      <c r="AI63" s="138" t="n">
        <f aca="false">AI61+AI62</f>
        <v>21512.6019407251</v>
      </c>
      <c r="AJ63" s="138" t="n">
        <f aca="false">AJ61+AJ62</f>
        <v>22952.3907101275</v>
      </c>
      <c r="AK63" s="138" t="n">
        <f aca="false">AK61+AK62</f>
        <v>24392.17947953</v>
      </c>
      <c r="AL63" s="138" t="n">
        <f aca="false">AL61+AL62</f>
        <v>25831.9682489324</v>
      </c>
      <c r="AM63" s="138" t="n">
        <f aca="false">AM61+AM62</f>
        <v>20251.2793031712</v>
      </c>
      <c r="AN63" s="138" t="n">
        <f aca="false">AN61+AN62</f>
        <v>21262.1327269107</v>
      </c>
      <c r="AO63" s="138" t="n">
        <f aca="false">AO61+AO62</f>
        <v>22272.9861506502</v>
      </c>
      <c r="AP63" s="138" t="n">
        <f aca="false">AP61+AP62</f>
        <v>23283.8395743897</v>
      </c>
      <c r="AQ63" s="138" t="n">
        <f aca="false">AQ61+AQ62</f>
        <v>13268.8113274841</v>
      </c>
      <c r="AR63" s="138" t="n">
        <f aca="false">AR61+AR62</f>
        <v>25305.5464218688</v>
      </c>
      <c r="AS63" s="138" t="n">
        <f aca="false">AS61+AS62</f>
        <v>25309.7130885354</v>
      </c>
      <c r="AT63" s="138" t="n">
        <f aca="false">AT61+AT62</f>
        <v>25313.8797552021</v>
      </c>
      <c r="AU63" s="138" t="n">
        <f aca="false">AU61+AU62</f>
        <v>25318.0464218688</v>
      </c>
      <c r="AV63" s="138" t="n">
        <f aca="false">AV61+AV62</f>
        <v>25322.2130885354</v>
      </c>
      <c r="AW63" s="138" t="n">
        <f aca="false">AW61+AW62</f>
        <v>25326.3797552021</v>
      </c>
      <c r="AX63" s="138" t="n">
        <f aca="false">AX61+AX62</f>
        <v>25330.5464218688</v>
      </c>
      <c r="AY63" s="138" t="n">
        <f aca="false">AY61+AY62</f>
        <v>23427.783337255</v>
      </c>
      <c r="AZ63" s="138" t="n">
        <f aca="false">AZ61+AZ62</f>
        <v>23431.9500039217</v>
      </c>
      <c r="BA63" s="138" t="n">
        <f aca="false">BA61+BA62</f>
        <v>23436.1166705884</v>
      </c>
      <c r="BB63" s="138" t="n">
        <f aca="false">BB61+BB62</f>
        <v>23440.283337255</v>
      </c>
      <c r="BC63" s="138" t="n">
        <f aca="false">BC61+BC62</f>
        <v>12418.5683332765</v>
      </c>
      <c r="BD63" s="138" t="n">
        <f aca="false">BD61+BD62</f>
        <v>23448.6166705884</v>
      </c>
      <c r="BE63" s="138" t="n">
        <f aca="false">BE61+BE62</f>
        <v>23452.783337255</v>
      </c>
      <c r="BF63" s="138" t="n">
        <f aca="false">BF61+BF62</f>
        <v>23456.9500039217</v>
      </c>
      <c r="BG63" s="138" t="n">
        <f aca="false">BG61+BG62</f>
        <v>23461.1166705884</v>
      </c>
      <c r="BH63" s="138" t="n">
        <f aca="false">BH61+BH62</f>
        <v>23465.283337255</v>
      </c>
      <c r="BI63" s="138" t="n">
        <f aca="false">BI61+BI62</f>
        <v>23469.4500039217</v>
      </c>
      <c r="BJ63" s="138" t="n">
        <f aca="false">BJ61+BJ62</f>
        <v>23473.6166705884</v>
      </c>
      <c r="BK63" s="138" t="n">
        <f aca="false">BK61+BK62</f>
        <v>21557.3046934362</v>
      </c>
      <c r="BL63" s="138" t="n">
        <f aca="false">BL61+BL62</f>
        <v>21561.4713601029</v>
      </c>
      <c r="BM63" s="138" t="n">
        <f aca="false">BM61+BM62</f>
        <v>21565.6380267696</v>
      </c>
      <c r="BN63" s="138" t="n">
        <f aca="false">BN61+BN62</f>
        <v>21569.8046934362</v>
      </c>
      <c r="BO63" s="138" t="n">
        <f aca="false">BO61+BO62</f>
        <v>10548.0896894577</v>
      </c>
      <c r="BP63" s="138" t="n">
        <f aca="false">BP61+BP62</f>
        <v>21578.1380267696</v>
      </c>
      <c r="BQ63" s="138" t="n">
        <f aca="false">BQ61+BQ62</f>
        <v>21582.3046934362</v>
      </c>
      <c r="BR63" s="138" t="n">
        <f aca="false">BR61+BR62</f>
        <v>21586.4713601029</v>
      </c>
      <c r="BS63" s="138" t="n">
        <f aca="false">BS61+BS62</f>
        <v>21590.6380267696</v>
      </c>
      <c r="BT63" s="138" t="n">
        <f aca="false">BT61+BT62</f>
        <v>21594.8046934362</v>
      </c>
      <c r="BU63" s="138" t="n">
        <f aca="false">BU61+BU62</f>
        <v>21598.9713601029</v>
      </c>
      <c r="BV63" s="138" t="n">
        <f aca="false">BV61+BV62</f>
        <v>21603.1380267696</v>
      </c>
      <c r="BW63" s="138" t="n">
        <f aca="false">BW61+BW62</f>
        <v>19672.8706903028</v>
      </c>
      <c r="BX63" s="138" t="n">
        <f aca="false">BX61+BX62</f>
        <v>19677.0373569695</v>
      </c>
      <c r="BY63" s="138" t="n">
        <f aca="false">BY61+BY62</f>
        <v>19681.2040236362</v>
      </c>
      <c r="BZ63" s="138" t="n">
        <f aca="false">BZ61+BZ62</f>
        <v>19685.3706903028</v>
      </c>
      <c r="CA63" s="138" t="n">
        <f aca="false">CA61+CA62</f>
        <v>8663.65568632433</v>
      </c>
      <c r="CB63" s="138" t="n">
        <f aca="false">CB61+CB62</f>
        <v>19693.7040236362</v>
      </c>
      <c r="CC63" s="138" t="n">
        <f aca="false">CC61+CC62</f>
        <v>19697.8706903028</v>
      </c>
      <c r="CD63" s="138" t="n">
        <f aca="false">CD61+CD62</f>
        <v>19702.0373569695</v>
      </c>
      <c r="CE63" s="138" t="n">
        <f aca="false">CE61+CE62</f>
        <v>19706.2040236362</v>
      </c>
      <c r="CF63" s="138" t="n">
        <f aca="false">CF61+CF62</f>
        <v>19710.3706903028</v>
      </c>
      <c r="CG63" s="138" t="n">
        <f aca="false">CG61+CG62</f>
        <v>19714.5373569695</v>
      </c>
      <c r="CH63" s="138" t="n">
        <f aca="false">CH61+CH62</f>
        <v>19718.7040236362</v>
      </c>
    </row>
    <row r="64" customFormat="false" ht="13.5" hidden="false" customHeight="true" outlineLevel="0" collapsed="false"/>
    <row r="65" customFormat="false" ht="12.75" hidden="false" customHeight="true" outlineLevel="0" collapsed="false">
      <c r="A65" s="10" t="s">
        <v>744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</row>
    <row r="66" customFormat="false" ht="13.5" hidden="false" customHeight="true" outlineLevel="0" collapsed="false">
      <c r="A66" s="13" t="s">
        <v>737</v>
      </c>
      <c r="C66" s="138" t="n">
        <f aca="false">C56</f>
        <v>-16244.57201144</v>
      </c>
      <c r="D66" s="138" t="n">
        <f aca="false">D56</f>
        <v>-14976.9883279826</v>
      </c>
      <c r="E66" s="138" t="n">
        <f aca="false">E56</f>
        <v>-12999.7920577175</v>
      </c>
      <c r="F66" s="138" t="n">
        <f aca="false">F56</f>
        <v>-11679.900008015</v>
      </c>
      <c r="G66" s="138" t="n">
        <f aca="false">G56</f>
        <v>-12814.9066905971</v>
      </c>
      <c r="H66" s="138" t="n">
        <f aca="false">H56</f>
        <v>-8758.21000143692</v>
      </c>
      <c r="I66" s="138" t="n">
        <f aca="false">I56</f>
        <v>-6609.70440343073</v>
      </c>
      <c r="J66" s="138" t="n">
        <f aca="false">J56</f>
        <v>-3708.89509772975</v>
      </c>
      <c r="K66" s="138" t="n">
        <f aca="false">K56</f>
        <v>-808.08579202876</v>
      </c>
      <c r="L66" s="138" t="n">
        <f aca="false">L56</f>
        <v>2018.04737440955</v>
      </c>
      <c r="M66" s="138" t="n">
        <f aca="false">M56</f>
        <v>4121.77647937651</v>
      </c>
      <c r="N66" s="138" t="n">
        <f aca="false">N56</f>
        <v>4470.10701768829</v>
      </c>
      <c r="O66" s="138" t="n">
        <f aca="false">O56</f>
        <v>1767.91755600008</v>
      </c>
      <c r="P66" s="138" t="n">
        <f aca="false">P56</f>
        <v>4162.29808847523</v>
      </c>
      <c r="Q66" s="138" t="n">
        <f aca="false">Q56</f>
        <v>4245.35862095037</v>
      </c>
      <c r="R66" s="138" t="n">
        <f aca="false">R56</f>
        <v>6639.73915342553</v>
      </c>
      <c r="S66" s="138" t="n">
        <f aca="false">S56</f>
        <v>1527.99767528208</v>
      </c>
      <c r="T66" s="138" t="n">
        <f aca="false">T56</f>
        <v>9117.18021837582</v>
      </c>
      <c r="U66" s="138" t="n">
        <f aca="false">U56</f>
        <v>11511.560750851</v>
      </c>
      <c r="V66" s="138" t="n">
        <f aca="false">V56</f>
        <v>11186.7412833261</v>
      </c>
      <c r="W66" s="138" t="n">
        <f aca="false">W56</f>
        <v>13581.1218158013</v>
      </c>
      <c r="X66" s="138" t="n">
        <f aca="false">X56</f>
        <v>13175.5809149316</v>
      </c>
      <c r="Y66" s="138" t="n">
        <f aca="false">Y56</f>
        <v>15081.3600140619</v>
      </c>
      <c r="Z66" s="138" t="n">
        <f aca="false">Z56</f>
        <v>16812.8395398543</v>
      </c>
      <c r="AA66" s="138" t="n">
        <f aca="false">AA56</f>
        <v>16123.8086656466</v>
      </c>
      <c r="AB66" s="138" t="n">
        <f aca="false">AB56</f>
        <v>17855.288191439</v>
      </c>
      <c r="AC66" s="138" t="n">
        <f aca="false">AC56</f>
        <v>19586.7677172314</v>
      </c>
      <c r="AD66" s="138" t="n">
        <f aca="false">AD56</f>
        <v>21318.2472430238</v>
      </c>
      <c r="AE66" s="138" t="n">
        <f aca="false">AE56</f>
        <v>10809.8715742315</v>
      </c>
      <c r="AF66" s="138" t="n">
        <f aca="false">AF56</f>
        <v>22400.5466946085</v>
      </c>
      <c r="AG66" s="138" t="n">
        <f aca="false">AG56</f>
        <v>24132.0262204009</v>
      </c>
      <c r="AH66" s="138" t="n">
        <f aca="false">AH56</f>
        <v>25863.5057461932</v>
      </c>
      <c r="AI66" s="138" t="n">
        <f aca="false">AI56</f>
        <v>27594.9852719856</v>
      </c>
      <c r="AJ66" s="138" t="n">
        <f aca="false">AJ56</f>
        <v>29326.464797778</v>
      </c>
      <c r="AK66" s="138" t="n">
        <f aca="false">AK56</f>
        <v>31057.9443235704</v>
      </c>
      <c r="AL66" s="138" t="n">
        <f aca="false">AL56</f>
        <v>32789.4238493627</v>
      </c>
      <c r="AM66" s="138" t="n">
        <f aca="false">AM56</f>
        <v>29335.3312843664</v>
      </c>
      <c r="AN66" s="138" t="n">
        <f aca="false">AN56</f>
        <v>30714.5547484736</v>
      </c>
      <c r="AO66" s="138" t="n">
        <f aca="false">AO56</f>
        <v>32093.7782125807</v>
      </c>
      <c r="AP66" s="138" t="n">
        <f aca="false">AP56</f>
        <v>33473.0016766878</v>
      </c>
      <c r="AQ66" s="138" t="n">
        <f aca="false">AQ56</f>
        <v>19851.0255888967</v>
      </c>
      <c r="AR66" s="138" t="n">
        <f aca="false">AR56</f>
        <v>36231.4486049021</v>
      </c>
      <c r="AS66" s="138" t="n">
        <f aca="false">AS56</f>
        <v>36231.4486049021</v>
      </c>
      <c r="AT66" s="138" t="n">
        <f aca="false">AT56</f>
        <v>36231.4486049021</v>
      </c>
      <c r="AU66" s="138" t="n">
        <f aca="false">AU56</f>
        <v>36231.4486049021</v>
      </c>
      <c r="AV66" s="138" t="n">
        <f aca="false">AV56</f>
        <v>36231.4486049021</v>
      </c>
      <c r="AW66" s="138" t="n">
        <f aca="false">AW56</f>
        <v>36231.4486049021</v>
      </c>
      <c r="AX66" s="138" t="n">
        <f aca="false">AX56</f>
        <v>36231.4486049021</v>
      </c>
      <c r="AY66" s="138" t="n">
        <f aca="false">AY56</f>
        <v>33636.9863582621</v>
      </c>
      <c r="AZ66" s="138" t="n">
        <f aca="false">AZ56</f>
        <v>33636.9863582621</v>
      </c>
      <c r="BA66" s="138" t="n">
        <f aca="false">BA56</f>
        <v>33636.9863582621</v>
      </c>
      <c r="BB66" s="138" t="n">
        <f aca="false">BB56</f>
        <v>33636.9863582621</v>
      </c>
      <c r="BC66" s="138" t="n">
        <f aca="false">BC56</f>
        <v>18635.7868063639</v>
      </c>
      <c r="BD66" s="138" t="n">
        <f aca="false">BD56</f>
        <v>33636.9863582621</v>
      </c>
      <c r="BE66" s="138" t="n">
        <f aca="false">BE56</f>
        <v>33636.9863582621</v>
      </c>
      <c r="BF66" s="138" t="n">
        <f aca="false">BF56</f>
        <v>33636.9863582621</v>
      </c>
      <c r="BG66" s="138" t="n">
        <f aca="false">BG56</f>
        <v>33636.9863582621</v>
      </c>
      <c r="BH66" s="138" t="n">
        <f aca="false">BH56</f>
        <v>33636.9863582621</v>
      </c>
      <c r="BI66" s="138" t="n">
        <f aca="false">BI56</f>
        <v>33636.9863582621</v>
      </c>
      <c r="BJ66" s="138" t="n">
        <f aca="false">BJ56</f>
        <v>33636.9863582621</v>
      </c>
      <c r="BK66" s="138" t="n">
        <f aca="false">BK56</f>
        <v>31024.0902442229</v>
      </c>
      <c r="BL66" s="138" t="n">
        <f aca="false">BL56</f>
        <v>31024.0902442229</v>
      </c>
      <c r="BM66" s="138" t="n">
        <f aca="false">BM56</f>
        <v>31024.0902442229</v>
      </c>
      <c r="BN66" s="138" t="n">
        <f aca="false">BN56</f>
        <v>31024.0902442229</v>
      </c>
      <c r="BO66" s="138" t="n">
        <f aca="false">BO56</f>
        <v>16022.8906923247</v>
      </c>
      <c r="BP66" s="138" t="n">
        <f aca="false">BP56</f>
        <v>31024.0902442229</v>
      </c>
      <c r="BQ66" s="138" t="n">
        <f aca="false">BQ56</f>
        <v>31024.0902442229</v>
      </c>
      <c r="BR66" s="138" t="n">
        <f aca="false">BR56</f>
        <v>31024.0902442229</v>
      </c>
      <c r="BS66" s="138" t="n">
        <f aca="false">BS56</f>
        <v>31024.0902442229</v>
      </c>
      <c r="BT66" s="138" t="n">
        <f aca="false">BT56</f>
        <v>31024.0902442229</v>
      </c>
      <c r="BU66" s="138" t="n">
        <f aca="false">BU56</f>
        <v>31024.0902442229</v>
      </c>
      <c r="BV66" s="138" t="n">
        <f aca="false">BV56</f>
        <v>31024.0902442229</v>
      </c>
      <c r="BW66" s="138" t="n">
        <f aca="false">BW56</f>
        <v>28392.2072467625</v>
      </c>
      <c r="BX66" s="138" t="n">
        <f aca="false">BX56</f>
        <v>28392.2072467625</v>
      </c>
      <c r="BY66" s="138" t="n">
        <f aca="false">BY56</f>
        <v>28392.2072467625</v>
      </c>
      <c r="BZ66" s="138" t="n">
        <f aca="false">BZ56</f>
        <v>28392.2072467625</v>
      </c>
      <c r="CA66" s="138" t="n">
        <f aca="false">CA56</f>
        <v>13391.0076948643</v>
      </c>
      <c r="CB66" s="138" t="n">
        <f aca="false">CB56</f>
        <v>28392.2072467625</v>
      </c>
      <c r="CC66" s="138" t="n">
        <f aca="false">CC56</f>
        <v>28392.2072467625</v>
      </c>
      <c r="CD66" s="138" t="n">
        <f aca="false">CD56</f>
        <v>28392.2072467625</v>
      </c>
      <c r="CE66" s="138" t="n">
        <f aca="false">CE56</f>
        <v>28392.2072467625</v>
      </c>
      <c r="CF66" s="138" t="n">
        <f aca="false">CF56</f>
        <v>28392.2072467625</v>
      </c>
      <c r="CG66" s="138" t="n">
        <f aca="false">CG56</f>
        <v>28392.2072467625</v>
      </c>
      <c r="CH66" s="138" t="n">
        <f aca="false">CH56</f>
        <v>28392.2072467625</v>
      </c>
    </row>
    <row r="67" customFormat="false" ht="13.5" hidden="false" customHeight="true" outlineLevel="0" collapsed="false">
      <c r="A67" s="13" t="s">
        <v>745</v>
      </c>
      <c r="C67" s="138" t="n">
        <f aca="false">C62</f>
        <v>-0</v>
      </c>
      <c r="D67" s="138" t="n">
        <f aca="false">D62</f>
        <v>-0</v>
      </c>
      <c r="E67" s="138" t="n">
        <f aca="false">E62</f>
        <v>-0</v>
      </c>
      <c r="F67" s="138" t="n">
        <f aca="false">F62</f>
        <v>-0</v>
      </c>
      <c r="G67" s="138" t="n">
        <f aca="false">G62</f>
        <v>-0</v>
      </c>
      <c r="H67" s="138" t="n">
        <f aca="false">H62</f>
        <v>-0</v>
      </c>
      <c r="I67" s="138" t="n">
        <f aca="false">I62</f>
        <v>-0</v>
      </c>
      <c r="J67" s="138" t="n">
        <f aca="false">J62</f>
        <v>-0</v>
      </c>
      <c r="K67" s="138" t="n">
        <f aca="false">K62</f>
        <v>-0</v>
      </c>
      <c r="L67" s="138" t="n">
        <f aca="false">L62</f>
        <v>-52.0104362453798</v>
      </c>
      <c r="M67" s="138" t="n">
        <f aca="false">M62</f>
        <v>-357.23313991196</v>
      </c>
      <c r="N67" s="138" t="n">
        <f aca="false">N62</f>
        <v>-405.800805250812</v>
      </c>
      <c r="O67" s="138" t="n">
        <f aca="false">O62</f>
        <v>-5.97443709867226</v>
      </c>
      <c r="P67" s="138" t="n">
        <f aca="false">P62</f>
        <v>-355.212659786541</v>
      </c>
      <c r="Q67" s="138" t="n">
        <f aca="false">Q62</f>
        <v>-366.057380636324</v>
      </c>
      <c r="R67" s="138" t="n">
        <f aca="false">R62</f>
        <v>-716.665500933393</v>
      </c>
      <c r="S67" s="138" t="n">
        <f aca="false">S62</f>
        <v>-0</v>
      </c>
      <c r="T67" s="138" t="n">
        <f aca="false">T62</f>
        <v>-1083.83121311484</v>
      </c>
      <c r="U67" s="138" t="n">
        <f aca="false">U62</f>
        <v>-1431.18648615824</v>
      </c>
      <c r="V67" s="138" t="n">
        <f aca="false">V62</f>
        <v>-1386.05021281813</v>
      </c>
      <c r="W67" s="138" t="n">
        <f aca="false">W62</f>
        <v>-1740.4176063021</v>
      </c>
      <c r="X67" s="138" t="n">
        <f aca="false">X62</f>
        <v>-1684.32937038967</v>
      </c>
      <c r="Y67" s="138" t="n">
        <f aca="false">Y62</f>
        <v>-1962.97646490802</v>
      </c>
      <c r="Z67" s="138" t="n">
        <f aca="false">Z62</f>
        <v>-2216.2235026457</v>
      </c>
      <c r="AA67" s="138" t="n">
        <f aca="false">AA62</f>
        <v>-2113.65551158339</v>
      </c>
      <c r="AB67" s="138" t="n">
        <f aca="false">AB62</f>
        <v>-2367.7358826544</v>
      </c>
      <c r="AC67" s="138" t="n">
        <f aca="false">AC62</f>
        <v>-2621.81625372541</v>
      </c>
      <c r="AD67" s="138" t="n">
        <f aca="false">AD62</f>
        <v>-2875.89662479643</v>
      </c>
      <c r="AE67" s="138" t="n">
        <f aca="false">AE62</f>
        <v>-1330.71828226349</v>
      </c>
      <c r="AF67" s="138" t="n">
        <f aca="false">AF62</f>
        <v>-3034.10040573845</v>
      </c>
      <c r="AG67" s="138" t="n">
        <f aca="false">AG62</f>
        <v>-3288.18077680947</v>
      </c>
      <c r="AH67" s="138" t="n">
        <f aca="false">AH62</f>
        <v>-3542.26114788048</v>
      </c>
      <c r="AI67" s="138" t="n">
        <f aca="false">AI62</f>
        <v>-3796.3415189515</v>
      </c>
      <c r="AJ67" s="138" t="n">
        <f aca="false">AJ62</f>
        <v>-4050.42189002251</v>
      </c>
      <c r="AK67" s="138" t="n">
        <f aca="false">AK62</f>
        <v>-4304.50226109352</v>
      </c>
      <c r="AL67" s="138" t="n">
        <f aca="false">AL62</f>
        <v>-4558.58263216454</v>
      </c>
      <c r="AM67" s="138" t="n">
        <f aca="false">AM62</f>
        <v>-6750.4264343904</v>
      </c>
      <c r="AN67" s="138" t="n">
        <f aca="false">AN62</f>
        <v>-7087.37757563691</v>
      </c>
      <c r="AO67" s="138" t="n">
        <f aca="false">AO62</f>
        <v>-7424.32871688341</v>
      </c>
      <c r="AP67" s="138" t="n">
        <f aca="false">AP62</f>
        <v>-7761.27985812991</v>
      </c>
      <c r="AQ67" s="138" t="n">
        <f aca="false">AQ62</f>
        <v>-4422.93710916136</v>
      </c>
      <c r="AR67" s="138" t="n">
        <f aca="false">AR62</f>
        <v>-8435.18214062292</v>
      </c>
      <c r="AS67" s="138" t="n">
        <f aca="false">AS62</f>
        <v>-8436.57102951181</v>
      </c>
      <c r="AT67" s="138" t="n">
        <f aca="false">AT62</f>
        <v>-8437.9599184007</v>
      </c>
      <c r="AU67" s="138" t="n">
        <f aca="false">AU62</f>
        <v>-8439.34880728959</v>
      </c>
      <c r="AV67" s="138" t="n">
        <f aca="false">AV62</f>
        <v>-8440.73769617848</v>
      </c>
      <c r="AW67" s="138" t="n">
        <f aca="false">AW62</f>
        <v>-8442.12658506737</v>
      </c>
      <c r="AX67" s="138" t="n">
        <f aca="false">AX62</f>
        <v>-8443.51547395626</v>
      </c>
      <c r="AY67" s="138" t="n">
        <f aca="false">AY62</f>
        <v>-7809.26111241834</v>
      </c>
      <c r="AZ67" s="138" t="n">
        <f aca="false">AZ62</f>
        <v>-7810.65000130723</v>
      </c>
      <c r="BA67" s="138" t="n">
        <f aca="false">BA62</f>
        <v>-7812.03889019612</v>
      </c>
      <c r="BB67" s="138" t="n">
        <f aca="false">BB62</f>
        <v>-7813.42777908501</v>
      </c>
      <c r="BC67" s="138" t="n">
        <f aca="false">BC62</f>
        <v>-4139.52277775884</v>
      </c>
      <c r="BD67" s="138" t="n">
        <f aca="false">BD62</f>
        <v>-7816.20555686279</v>
      </c>
      <c r="BE67" s="138" t="n">
        <f aca="false">BE62</f>
        <v>-7817.59444575168</v>
      </c>
      <c r="BF67" s="138" t="n">
        <f aca="false">BF62</f>
        <v>-7818.98333464057</v>
      </c>
      <c r="BG67" s="138" t="n">
        <f aca="false">BG62</f>
        <v>-7820.37222352946</v>
      </c>
      <c r="BH67" s="138" t="n">
        <f aca="false">BH62</f>
        <v>-7821.76111241834</v>
      </c>
      <c r="BI67" s="138" t="n">
        <f aca="false">BI62</f>
        <v>-7823.15000130723</v>
      </c>
      <c r="BJ67" s="138" t="n">
        <f aca="false">BJ62</f>
        <v>-7824.53889019612</v>
      </c>
      <c r="BK67" s="138" t="n">
        <f aca="false">BK62</f>
        <v>-7185.76823114541</v>
      </c>
      <c r="BL67" s="138" t="n">
        <f aca="false">BL62</f>
        <v>-7187.15712003429</v>
      </c>
      <c r="BM67" s="138" t="n">
        <f aca="false">BM62</f>
        <v>-7188.54600892318</v>
      </c>
      <c r="BN67" s="138" t="n">
        <f aca="false">BN62</f>
        <v>-7189.93489781207</v>
      </c>
      <c r="BO67" s="138" t="n">
        <f aca="false">BO62</f>
        <v>-3516.0298964859</v>
      </c>
      <c r="BP67" s="138" t="n">
        <f aca="false">BP62</f>
        <v>-7192.71267558985</v>
      </c>
      <c r="BQ67" s="138" t="n">
        <f aca="false">BQ62</f>
        <v>-7194.10156447874</v>
      </c>
      <c r="BR67" s="138" t="n">
        <f aca="false">BR62</f>
        <v>-7195.49045336763</v>
      </c>
      <c r="BS67" s="138" t="n">
        <f aca="false">BS62</f>
        <v>-7196.87934225652</v>
      </c>
      <c r="BT67" s="138" t="n">
        <f aca="false">BT62</f>
        <v>-7198.26823114541</v>
      </c>
      <c r="BU67" s="138" t="n">
        <f aca="false">BU62</f>
        <v>-7199.65712003429</v>
      </c>
      <c r="BV67" s="138" t="n">
        <f aca="false">BV62</f>
        <v>-7201.04600892318</v>
      </c>
      <c r="BW67" s="138" t="n">
        <f aca="false">BW62</f>
        <v>-6557.62356343428</v>
      </c>
      <c r="BX67" s="138" t="n">
        <f aca="false">BX62</f>
        <v>-6559.01245232317</v>
      </c>
      <c r="BY67" s="138" t="n">
        <f aca="false">BY62</f>
        <v>-6560.40134121206</v>
      </c>
      <c r="BZ67" s="138" t="n">
        <f aca="false">BZ62</f>
        <v>-6561.79023010095</v>
      </c>
      <c r="CA67" s="138" t="n">
        <f aca="false">CA62</f>
        <v>-2887.88522877478</v>
      </c>
      <c r="CB67" s="138" t="n">
        <f aca="false">CB62</f>
        <v>-6564.56800787873</v>
      </c>
      <c r="CC67" s="138" t="n">
        <f aca="false">CC62</f>
        <v>-6565.95689676761</v>
      </c>
      <c r="CD67" s="138" t="n">
        <f aca="false">CD62</f>
        <v>-6567.3457856565</v>
      </c>
      <c r="CE67" s="138" t="n">
        <f aca="false">CE62</f>
        <v>-6568.73467454539</v>
      </c>
      <c r="CF67" s="138" t="n">
        <f aca="false">CF62</f>
        <v>-6570.12356343428</v>
      </c>
      <c r="CG67" s="138" t="n">
        <f aca="false">CG62</f>
        <v>-6571.51245232317</v>
      </c>
      <c r="CH67" s="138" t="n">
        <f aca="false">CH62</f>
        <v>-6572.90134121206</v>
      </c>
    </row>
    <row r="68" customFormat="false" ht="13.5" hidden="false" customHeight="true" outlineLevel="0" collapsed="false">
      <c r="A68" s="13" t="s">
        <v>746</v>
      </c>
      <c r="C68" s="139" t="n">
        <f aca="false">C212+C213</f>
        <v>1756.18143549438</v>
      </c>
      <c r="D68" s="139" t="n">
        <f aca="false">D212+D213</f>
        <v>3596.92687098876</v>
      </c>
      <c r="E68" s="139" t="n">
        <f aca="false">E212+E213</f>
        <v>6735.49480648314</v>
      </c>
      <c r="F68" s="139" t="n">
        <f aca="false">F212+F213</f>
        <v>8758.28774197751</v>
      </c>
      <c r="G68" s="139" t="n">
        <f aca="false">G212+G213</f>
        <v>7974.78932662078</v>
      </c>
      <c r="H68" s="139" t="n">
        <f aca="false">H212+H213</f>
        <v>13409.9156129663</v>
      </c>
      <c r="I68" s="139" t="n">
        <f aca="false">I212+I213</f>
        <v>17033.8585867171</v>
      </c>
      <c r="J68" s="139" t="n">
        <f aca="false">J212+J213</f>
        <v>22023.6176178525</v>
      </c>
      <c r="K68" s="139" t="n">
        <f aca="false">K212+K213</f>
        <v>27013.376648988</v>
      </c>
      <c r="L68" s="139" t="n">
        <f aca="false">L212+L213</f>
        <v>32003.1356801235</v>
      </c>
      <c r="M68" s="139" t="n">
        <f aca="false">M212+M213</f>
        <v>35695.0722112589</v>
      </c>
      <c r="N68" s="139" t="n">
        <f aca="false">N212+N213</f>
        <v>40444.0587423944</v>
      </c>
      <c r="O68" s="139" t="n">
        <f aca="false">O212+O213</f>
        <v>45193.0452735298</v>
      </c>
      <c r="P68" s="139" t="n">
        <f aca="false">P212+P213</f>
        <v>49561.4938046653</v>
      </c>
      <c r="Q68" s="139" t="n">
        <f aca="false">Q212+Q213</f>
        <v>53929.9423358008</v>
      </c>
      <c r="R68" s="139" t="n">
        <f aca="false">R212+R213</f>
        <v>58298.3908669362</v>
      </c>
      <c r="S68" s="139" t="n">
        <f aca="false">S212+S213</f>
        <v>53412.9664051779</v>
      </c>
      <c r="T68" s="139" t="n">
        <f aca="false">T212+T213</f>
        <v>67035.2879292071</v>
      </c>
      <c r="U68" s="139" t="n">
        <f aca="false">U212+U213</f>
        <v>71403.7364603426</v>
      </c>
      <c r="V68" s="139" t="n">
        <f aca="false">V212+V213</f>
        <v>75772.1849914781</v>
      </c>
      <c r="W68" s="139" t="n">
        <f aca="false">W212+W213</f>
        <v>80140.6335226135</v>
      </c>
      <c r="X68" s="139" t="n">
        <f aca="false">X212+X213</f>
        <v>83452.032053749</v>
      </c>
      <c r="Y68" s="139" t="n">
        <f aca="false">Y212+Y213</f>
        <v>86763.4305848844</v>
      </c>
      <c r="Z68" s="139" t="n">
        <f aca="false">Z212+Z213</f>
        <v>89680.1971160199</v>
      </c>
      <c r="AA68" s="139" t="n">
        <f aca="false">AA212+AA213</f>
        <v>92596.9636471554</v>
      </c>
      <c r="AB68" s="139" t="n">
        <f aca="false">AB212+AB213</f>
        <v>95513.7301782908</v>
      </c>
      <c r="AC68" s="139" t="n">
        <f aca="false">AC212+AC213</f>
        <v>98430.4967094263</v>
      </c>
      <c r="AD68" s="139" t="n">
        <f aca="false">AD212+AD213</f>
        <v>101347.263240562</v>
      </c>
      <c r="AE68" s="139" t="n">
        <f aca="false">AE212+AE213</f>
        <v>88478.0111367608</v>
      </c>
      <c r="AF68" s="139" t="n">
        <f aca="false">AF212+AF213</f>
        <v>107180.796302833</v>
      </c>
      <c r="AG68" s="139" t="n">
        <f aca="false">AG212+AG213</f>
        <v>110097.562833968</v>
      </c>
      <c r="AH68" s="139" t="n">
        <f aca="false">AH212+AH213</f>
        <v>113014.329365104</v>
      </c>
      <c r="AI68" s="139" t="n">
        <f aca="false">AI212+AI213</f>
        <v>115931.095896239</v>
      </c>
      <c r="AJ68" s="139" t="n">
        <f aca="false">AJ212+AJ213</f>
        <v>118847.862427375</v>
      </c>
      <c r="AK68" s="139" t="n">
        <f aca="false">AK212+AK213</f>
        <v>121764.62895851</v>
      </c>
      <c r="AL68" s="139" t="n">
        <f aca="false">AL212+AL213</f>
        <v>124681.395489645</v>
      </c>
      <c r="AM68" s="139" t="n">
        <f aca="false">AM212+AM213</f>
        <v>127185.391594851</v>
      </c>
      <c r="AN68" s="139" t="n">
        <f aca="false">AN212+AN213</f>
        <v>129689.387700056</v>
      </c>
      <c r="AO68" s="139" t="n">
        <f aca="false">AO212+AO213</f>
        <v>132193.383805261</v>
      </c>
      <c r="AP68" s="139" t="n">
        <f aca="false">AP212+AP213</f>
        <v>134697.379910466</v>
      </c>
      <c r="AQ68" s="139" t="n">
        <f aca="false">AQ212+AQ213</f>
        <v>117604.939089543</v>
      </c>
      <c r="AR68" s="139" t="n">
        <f aca="false">AR212+AR213</f>
        <v>139705.372120877</v>
      </c>
      <c r="AS68" s="139" t="n">
        <f aca="false">AS212+AS213</f>
        <v>139705.372120877</v>
      </c>
      <c r="AT68" s="139" t="n">
        <f aca="false">AT212+AT213</f>
        <v>139705.372120877</v>
      </c>
      <c r="AU68" s="139" t="n">
        <f aca="false">AU212+AU213</f>
        <v>139705.372120877</v>
      </c>
      <c r="AV68" s="139" t="n">
        <f aca="false">AV212+AV213</f>
        <v>139705.372120877</v>
      </c>
      <c r="AW68" s="139" t="n">
        <f aca="false">AW212+AW213</f>
        <v>139705.372120877</v>
      </c>
      <c r="AX68" s="139" t="n">
        <f aca="false">AX212+AX213</f>
        <v>139705.372120877</v>
      </c>
      <c r="AY68" s="139" t="n">
        <f aca="false">AY212+AY213</f>
        <v>139705.372120877</v>
      </c>
      <c r="AZ68" s="139" t="n">
        <f aca="false">AZ212+AZ213</f>
        <v>139705.372120877</v>
      </c>
      <c r="BA68" s="139" t="n">
        <f aca="false">BA212+BA213</f>
        <v>139705.372120877</v>
      </c>
      <c r="BB68" s="139" t="n">
        <f aca="false">BB212+BB213</f>
        <v>139705.372120877</v>
      </c>
      <c r="BC68" s="139" t="n">
        <f aca="false">BC212+BC213</f>
        <v>120108.935194749</v>
      </c>
      <c r="BD68" s="139" t="n">
        <f aca="false">BD212+BD213</f>
        <v>139705.372120877</v>
      </c>
      <c r="BE68" s="139" t="n">
        <f aca="false">BE212+BE213</f>
        <v>139705.372120877</v>
      </c>
      <c r="BF68" s="139" t="n">
        <f aca="false">BF212+BF213</f>
        <v>139705.372120877</v>
      </c>
      <c r="BG68" s="139" t="n">
        <f aca="false">BG212+BG213</f>
        <v>139705.372120877</v>
      </c>
      <c r="BH68" s="139" t="n">
        <f aca="false">BH212+BH213</f>
        <v>139705.372120877</v>
      </c>
      <c r="BI68" s="139" t="n">
        <f aca="false">BI212+BI213</f>
        <v>139705.372120877</v>
      </c>
      <c r="BJ68" s="139" t="n">
        <f aca="false">BJ212+BJ213</f>
        <v>139705.372120877</v>
      </c>
      <c r="BK68" s="139" t="n">
        <f aca="false">BK212+BK213</f>
        <v>139705.372120877</v>
      </c>
      <c r="BL68" s="139" t="n">
        <f aca="false">BL212+BL213</f>
        <v>139705.372120877</v>
      </c>
      <c r="BM68" s="139" t="n">
        <f aca="false">BM212+BM213</f>
        <v>139705.372120877</v>
      </c>
      <c r="BN68" s="139" t="n">
        <f aca="false">BN212+BN213</f>
        <v>139705.372120877</v>
      </c>
      <c r="BO68" s="139" t="n">
        <f aca="false">BO212+BO213</f>
        <v>120108.935194749</v>
      </c>
      <c r="BP68" s="139" t="n">
        <f aca="false">BP212+BP213</f>
        <v>139705.372120877</v>
      </c>
      <c r="BQ68" s="139" t="n">
        <f aca="false">BQ212+BQ213</f>
        <v>139705.372120877</v>
      </c>
      <c r="BR68" s="139" t="n">
        <f aca="false">BR212+BR213</f>
        <v>139705.372120877</v>
      </c>
      <c r="BS68" s="139" t="n">
        <f aca="false">BS212+BS213</f>
        <v>139705.372120877</v>
      </c>
      <c r="BT68" s="139" t="n">
        <f aca="false">BT212+BT213</f>
        <v>139705.372120877</v>
      </c>
      <c r="BU68" s="139" t="n">
        <f aca="false">BU212+BU213</f>
        <v>139705.372120877</v>
      </c>
      <c r="BV68" s="139" t="n">
        <f aca="false">BV212+BV213</f>
        <v>139705.372120877</v>
      </c>
      <c r="BW68" s="139" t="n">
        <f aca="false">BW212+BW213</f>
        <v>139705.372120877</v>
      </c>
      <c r="BX68" s="139" t="n">
        <f aca="false">BX212+BX213</f>
        <v>139705.372120877</v>
      </c>
      <c r="BY68" s="139" t="n">
        <f aca="false">BY212+BY213</f>
        <v>139705.372120877</v>
      </c>
      <c r="BZ68" s="139" t="n">
        <f aca="false">BZ212+BZ213</f>
        <v>139705.372120877</v>
      </c>
      <c r="CA68" s="139" t="n">
        <f aca="false">CA212+CA213</f>
        <v>120108.935194749</v>
      </c>
      <c r="CB68" s="139" t="n">
        <f aca="false">CB212+CB213</f>
        <v>139705.372120877</v>
      </c>
      <c r="CC68" s="139" t="n">
        <f aca="false">CC212+CC213</f>
        <v>139705.372120877</v>
      </c>
      <c r="CD68" s="139" t="n">
        <f aca="false">CD212+CD213</f>
        <v>139705.372120877</v>
      </c>
      <c r="CE68" s="139" t="n">
        <f aca="false">CE212+CE213</f>
        <v>139705.372120877</v>
      </c>
      <c r="CF68" s="139" t="n">
        <f aca="false">CF212+CF213</f>
        <v>139705.372120877</v>
      </c>
      <c r="CG68" s="139" t="n">
        <f aca="false">CG212+CG213</f>
        <v>139705.372120877</v>
      </c>
      <c r="CH68" s="139" t="n">
        <f aca="false">CH212+CH213</f>
        <v>139705.372120877</v>
      </c>
    </row>
    <row r="69" customFormat="false" ht="13.5" hidden="false" customHeight="true" outlineLevel="0" collapsed="false">
      <c r="A69" s="13" t="s">
        <v>747</v>
      </c>
      <c r="C69" s="139" t="n">
        <f aca="false">-C39*Hipótesis!$C$67/30</f>
        <v>187.919594336371</v>
      </c>
      <c r="D69" s="139" t="n">
        <f aca="false">-D39*Hipótesis!$C$67/30</f>
        <v>391.561611701424</v>
      </c>
      <c r="E69" s="139" t="n">
        <f aca="false">-E39*Hipótesis!$C$67/30</f>
        <v>821.111505079243</v>
      </c>
      <c r="F69" s="139" t="n">
        <f aca="false">-F39*Hipótesis!$C$67/30</f>
        <v>1107.18672789921</v>
      </c>
      <c r="G69" s="139" t="n">
        <f aca="false">-G39*Hipótesis!$C$67/30</f>
        <v>1188.64860163179</v>
      </c>
      <c r="H69" s="139" t="n">
        <f aca="false">-H39*Hipótesis!$C$67/30</f>
        <v>1828.0450913521</v>
      </c>
      <c r="I69" s="139" t="n">
        <f aca="false">-I39*Hipótesis!$C$67/30</f>
        <v>2440.86738885481</v>
      </c>
      <c r="J69" s="139" t="n">
        <f aca="false">-J39*Hipótesis!$C$67/30</f>
        <v>3297.16478711918</v>
      </c>
      <c r="K69" s="139" t="n">
        <f aca="false">-K39*Hipótesis!$C$67/30</f>
        <v>4153.46218538355</v>
      </c>
      <c r="L69" s="139" t="n">
        <f aca="false">-L39*Hipótesis!$C$67/30</f>
        <v>5009.75958364792</v>
      </c>
      <c r="M69" s="139" t="n">
        <f aca="false">-M39*Hipótesis!$C$67/30</f>
        <v>5640.14910589952</v>
      </c>
      <c r="N69" s="139" t="n">
        <f aca="false">-N39*Hipótesis!$C$67/30</f>
        <v>6532.5790119625</v>
      </c>
      <c r="O69" s="139" t="n">
        <f aca="false">-O39*Hipótesis!$C$67/30</f>
        <v>7425.00891802548</v>
      </c>
      <c r="P69" s="139" t="n">
        <f aca="false">-P39*Hipótesis!$C$67/30</f>
        <v>8242.10221374269</v>
      </c>
      <c r="Q69" s="139" t="n">
        <f aca="false">-Q39*Hipótesis!$C$67/30</f>
        <v>9059.1955094599</v>
      </c>
      <c r="R69" s="139" t="n">
        <f aca="false">-R39*Hipótesis!$C$67/30</f>
        <v>9876.28880517711</v>
      </c>
      <c r="S69" s="139" t="n">
        <f aca="false">-S39*Hipótesis!$C$67/30</f>
        <v>10051.1529522947</v>
      </c>
      <c r="T69" s="139" t="n">
        <f aca="false">-T39*Hipótesis!$C$67/30</f>
        <v>11510.4753966115</v>
      </c>
      <c r="U69" s="139" t="n">
        <f aca="false">-U39*Hipótesis!$C$67/30</f>
        <v>12327.5686923287</v>
      </c>
      <c r="V69" s="139" t="n">
        <f aca="false">-V39*Hipótesis!$C$67/30</f>
        <v>13144.6619880459</v>
      </c>
      <c r="W69" s="139" t="n">
        <f aca="false">-W39*Hipótesis!$C$67/30</f>
        <v>13961.7552837632</v>
      </c>
      <c r="X69" s="139" t="n">
        <f aca="false">-X39*Hipótesis!$C$67/30</f>
        <v>14516.808195669</v>
      </c>
      <c r="Y69" s="139" t="n">
        <f aca="false">-Y39*Hipótesis!$C$67/30</f>
        <v>15071.8611075748</v>
      </c>
      <c r="Z69" s="139" t="n">
        <f aca="false">-Z39*Hipótesis!$C$67/30</f>
        <v>15522.0978659561</v>
      </c>
      <c r="AA69" s="139" t="n">
        <f aca="false">-AA39*Hipótesis!$C$67/30</f>
        <v>15972.3346243374</v>
      </c>
      <c r="AB69" s="139" t="n">
        <f aca="false">-AB39*Hipótesis!$C$67/30</f>
        <v>16422.5713827187</v>
      </c>
      <c r="AC69" s="139" t="n">
        <f aca="false">-AC39*Hipótesis!$C$67/30</f>
        <v>16872.8081411</v>
      </c>
      <c r="AD69" s="139" t="n">
        <f aca="false">-AD39*Hipótesis!$C$67/30</f>
        <v>17323.0448994812</v>
      </c>
      <c r="AE69" s="139" t="n">
        <f aca="false">-AE39*Hipótesis!$C$67/30</f>
        <v>16677.714286722</v>
      </c>
      <c r="AF69" s="139" t="n">
        <f aca="false">-AF39*Hipótesis!$C$67/30</f>
        <v>18223.5184162438</v>
      </c>
      <c r="AG69" s="139" t="n">
        <f aca="false">-AG39*Hipótesis!$C$67/30</f>
        <v>18673.7551746251</v>
      </c>
      <c r="AH69" s="139" t="n">
        <f aca="false">-AH39*Hipótesis!$C$67/30</f>
        <v>19123.9919330064</v>
      </c>
      <c r="AI69" s="139" t="n">
        <f aca="false">-AI39*Hipótesis!$C$67/30</f>
        <v>19574.2286913876</v>
      </c>
      <c r="AJ69" s="139" t="n">
        <f aca="false">-AJ39*Hipótesis!$C$67/30</f>
        <v>20024.4654497689</v>
      </c>
      <c r="AK69" s="139" t="n">
        <f aca="false">-AK39*Hipótesis!$C$67/30</f>
        <v>20474.7022081502</v>
      </c>
      <c r="AL69" s="139" t="n">
        <f aca="false">-AL39*Hipótesis!$C$67/30</f>
        <v>20924.9389665315</v>
      </c>
      <c r="AM69" s="139" t="n">
        <f aca="false">-AM39*Hipótesis!$C$67/30</f>
        <v>21371.3099845945</v>
      </c>
      <c r="AN69" s="139" t="n">
        <f aca="false">-AN39*Hipótesis!$C$67/30</f>
        <v>21817.6810026576</v>
      </c>
      <c r="AO69" s="139" t="n">
        <f aca="false">-AO39*Hipótesis!$C$67/30</f>
        <v>22264.0520207206</v>
      </c>
      <c r="AP69" s="139" t="n">
        <f aca="false">-AP39*Hipótesis!$C$67/30</f>
        <v>22710.4230387837</v>
      </c>
      <c r="AQ69" s="139" t="n">
        <f aca="false">-AQ39*Hipótesis!$C$67/30</f>
        <v>21796.779389224</v>
      </c>
      <c r="AR69" s="139" t="n">
        <f aca="false">-AR39*Hipótesis!$C$67/30</f>
        <v>23603.1650749097</v>
      </c>
      <c r="AS69" s="139" t="n">
        <f aca="false">-AS39*Hipótesis!$C$67/30</f>
        <v>23603.1650749097</v>
      </c>
      <c r="AT69" s="139" t="n">
        <f aca="false">-AT39*Hipótesis!$C$67/30</f>
        <v>23603.1650749097</v>
      </c>
      <c r="AU69" s="139" t="n">
        <f aca="false">-AU39*Hipótesis!$C$67/30</f>
        <v>23603.1650749097</v>
      </c>
      <c r="AV69" s="139" t="n">
        <f aca="false">-AV39*Hipótesis!$C$67/30</f>
        <v>23603.1650749097</v>
      </c>
      <c r="AW69" s="139" t="n">
        <f aca="false">-AW39*Hipótesis!$C$67/30</f>
        <v>23603.1650749097</v>
      </c>
      <c r="AX69" s="139" t="n">
        <f aca="false">-AX39*Hipótesis!$C$67/30</f>
        <v>23603.1650749097</v>
      </c>
      <c r="AY69" s="139" t="n">
        <f aca="false">-AY39*Hipótesis!$C$67/30</f>
        <v>23603.1650749097</v>
      </c>
      <c r="AZ69" s="139" t="n">
        <f aca="false">-AZ39*Hipótesis!$C$67/30</f>
        <v>23603.1650749097</v>
      </c>
      <c r="BA69" s="139" t="n">
        <f aca="false">-BA39*Hipótesis!$C$67/30</f>
        <v>23603.1650749097</v>
      </c>
      <c r="BB69" s="139" t="n">
        <f aca="false">-BB39*Hipótesis!$C$67/30</f>
        <v>23603.1650749097</v>
      </c>
      <c r="BC69" s="139" t="n">
        <f aca="false">-BC39*Hipótesis!$C$67/30</f>
        <v>22243.150407287</v>
      </c>
      <c r="BD69" s="139" t="n">
        <f aca="false">-BD39*Hipótesis!$C$67/30</f>
        <v>23603.1650749097</v>
      </c>
      <c r="BE69" s="139" t="n">
        <f aca="false">-BE39*Hipótesis!$C$67/30</f>
        <v>23603.1650749097</v>
      </c>
      <c r="BF69" s="139" t="n">
        <f aca="false">-BF39*Hipótesis!$C$67/30</f>
        <v>23603.1650749097</v>
      </c>
      <c r="BG69" s="139" t="n">
        <f aca="false">-BG39*Hipótesis!$C$67/30</f>
        <v>23603.1650749097</v>
      </c>
      <c r="BH69" s="139" t="n">
        <f aca="false">-BH39*Hipótesis!$C$67/30</f>
        <v>23603.1650749097</v>
      </c>
      <c r="BI69" s="139" t="n">
        <f aca="false">-BI39*Hipótesis!$C$67/30</f>
        <v>23603.1650749097</v>
      </c>
      <c r="BJ69" s="139" t="n">
        <f aca="false">-BJ39*Hipótesis!$C$67/30</f>
        <v>23603.1650749097</v>
      </c>
      <c r="BK69" s="139" t="n">
        <f aca="false">-BK39*Hipótesis!$C$67/30</f>
        <v>23603.1650749097</v>
      </c>
      <c r="BL69" s="139" t="n">
        <f aca="false">-BL39*Hipótesis!$C$67/30</f>
        <v>23603.1650749097</v>
      </c>
      <c r="BM69" s="139" t="n">
        <f aca="false">-BM39*Hipótesis!$C$67/30</f>
        <v>23603.1650749097</v>
      </c>
      <c r="BN69" s="139" t="n">
        <f aca="false">-BN39*Hipótesis!$C$67/30</f>
        <v>23603.1650749097</v>
      </c>
      <c r="BO69" s="139" t="n">
        <f aca="false">-BO39*Hipótesis!$C$67/30</f>
        <v>22243.150407287</v>
      </c>
      <c r="BP69" s="139" t="n">
        <f aca="false">-BP39*Hipótesis!$C$67/30</f>
        <v>23603.1650749097</v>
      </c>
      <c r="BQ69" s="139" t="n">
        <f aca="false">-BQ39*Hipótesis!$C$67/30</f>
        <v>23603.1650749097</v>
      </c>
      <c r="BR69" s="139" t="n">
        <f aca="false">-BR39*Hipótesis!$C$67/30</f>
        <v>23603.1650749097</v>
      </c>
      <c r="BS69" s="139" t="n">
        <f aca="false">-BS39*Hipótesis!$C$67/30</f>
        <v>23603.1650749097</v>
      </c>
      <c r="BT69" s="139" t="n">
        <f aca="false">-BT39*Hipótesis!$C$67/30</f>
        <v>23603.1650749097</v>
      </c>
      <c r="BU69" s="139" t="n">
        <f aca="false">-BU39*Hipótesis!$C$67/30</f>
        <v>23603.1650749097</v>
      </c>
      <c r="BV69" s="139" t="n">
        <f aca="false">-BV39*Hipótesis!$C$67/30</f>
        <v>23603.1650749097</v>
      </c>
      <c r="BW69" s="139" t="n">
        <f aca="false">-BW39*Hipótesis!$C$67/30</f>
        <v>23603.1650749097</v>
      </c>
      <c r="BX69" s="139" t="n">
        <f aca="false">-BX39*Hipótesis!$C$67/30</f>
        <v>23603.1650749097</v>
      </c>
      <c r="BY69" s="139" t="n">
        <f aca="false">-BY39*Hipótesis!$C$67/30</f>
        <v>23603.1650749097</v>
      </c>
      <c r="BZ69" s="139" t="n">
        <f aca="false">-BZ39*Hipótesis!$C$67/30</f>
        <v>23603.1650749097</v>
      </c>
      <c r="CA69" s="139" t="n">
        <f aca="false">-CA39*Hipótesis!$C$67/30</f>
        <v>22243.150407287</v>
      </c>
      <c r="CB69" s="139" t="n">
        <f aca="false">-CB39*Hipótesis!$C$67/30</f>
        <v>23603.1650749097</v>
      </c>
      <c r="CC69" s="139" t="n">
        <f aca="false">-CC39*Hipótesis!$C$67/30</f>
        <v>23603.1650749097</v>
      </c>
      <c r="CD69" s="139" t="n">
        <f aca="false">-CD39*Hipótesis!$C$67/30</f>
        <v>23603.1650749097</v>
      </c>
      <c r="CE69" s="139" t="n">
        <f aca="false">-CE39*Hipótesis!$C$67/30</f>
        <v>23603.1650749097</v>
      </c>
      <c r="CF69" s="139" t="n">
        <f aca="false">-CF39*Hipótesis!$C$67/30</f>
        <v>23603.1650749097</v>
      </c>
      <c r="CG69" s="139" t="n">
        <f aca="false">-CG39*Hipótesis!$C$67/30</f>
        <v>23603.1650749097</v>
      </c>
      <c r="CH69" s="139" t="n">
        <f aca="false">-CH39*Hipótesis!$C$67/30</f>
        <v>23603.1650749097</v>
      </c>
    </row>
    <row r="70" customFormat="false" ht="13.5" hidden="false" customHeight="true" outlineLevel="0" collapsed="false">
      <c r="A70" s="30" t="s">
        <v>748</v>
      </c>
      <c r="C70" s="139" t="n">
        <f aca="false">C212*(1-Hipótesis!$D$73)+C213-C69</f>
        <v>898.796841158007</v>
      </c>
      <c r="D70" s="139" t="n">
        <f aca="false">D212*(1-Hipótesis!$D$73)+D213-D69</f>
        <v>1815.69685928733</v>
      </c>
      <c r="E70" s="139" t="n">
        <f aca="false">E212*(1-Hipótesis!$D$73)+E213-E69</f>
        <v>3025.81800140389</v>
      </c>
      <c r="F70" s="139" t="n">
        <f aca="false">F212*(1-Hipótesis!$D$73)+F213-F69</f>
        <v>3933.1038140783</v>
      </c>
      <c r="G70" s="139" t="n">
        <f aca="false">G212*(1-Hipótesis!$D$73)+G213-G69</f>
        <v>2289.450024989</v>
      </c>
      <c r="H70" s="139" t="n">
        <f aca="false">H212*(1-Hipótesis!$D$73)+H213-H69</f>
        <v>5841.38432161417</v>
      </c>
      <c r="I70" s="139" t="n">
        <f aca="false">I212*(1-Hipótesis!$D$73)+I213-I69</f>
        <v>7062.38307490841</v>
      </c>
      <c r="J70" s="139" t="n">
        <f aca="false">J212*(1-Hipótesis!$D$73)+J213-J69</f>
        <v>8586.23315039485</v>
      </c>
      <c r="K70" s="139" t="n">
        <f aca="false">K212*(1-Hipótesis!$D$73)+K213-K69</f>
        <v>10110.0832258813</v>
      </c>
      <c r="L70" s="139" t="n">
        <f aca="false">L212*(1-Hipótesis!$D$73)+L213-L69</f>
        <v>11633.9333013677</v>
      </c>
      <c r="M70" s="139" t="n">
        <f aca="false">M212*(1-Hipótesis!$D$73)+M213-M69</f>
        <v>12864.5622528669</v>
      </c>
      <c r="N70" s="139" t="n">
        <f aca="false">N212*(1-Hipótesis!$D$73)+N213-N69</f>
        <v>14255.9708205548</v>
      </c>
      <c r="O70" s="139" t="n">
        <f aca="false">O212*(1-Hipótesis!$D$73)+O213-O69</f>
        <v>15647.3793882426</v>
      </c>
      <c r="P70" s="139" t="n">
        <f aca="false">P212*(1-Hipótesis!$D$73)+P213-P69</f>
        <v>16961.9093662762</v>
      </c>
      <c r="Q70" s="139" t="n">
        <f aca="false">Q212*(1-Hipótesis!$D$73)+Q213-Q69</f>
        <v>18276.4393443098</v>
      </c>
      <c r="R70" s="139" t="n">
        <f aca="false">R212*(1-Hipótesis!$D$73)+R213-R69</f>
        <v>19590.9693223434</v>
      </c>
      <c r="S70" s="139" t="n">
        <f aca="false">S212*(1-Hipótesis!$D$73)+S213-S69</f>
        <v>12293.8554560829</v>
      </c>
      <c r="T70" s="139" t="n">
        <f aca="false">T212*(1-Hipótesis!$D$73)+T213-T69</f>
        <v>22220.0292784106</v>
      </c>
      <c r="U70" s="139" t="n">
        <f aca="false">U212*(1-Hipótesis!$D$73)+U213-U69</f>
        <v>23534.5592564442</v>
      </c>
      <c r="V70" s="139" t="n">
        <f aca="false">V212*(1-Hipótesis!$D$73)+V213-V69</f>
        <v>24849.0892344778</v>
      </c>
      <c r="W70" s="139" t="n">
        <f aca="false">W212*(1-Hipótesis!$D$73)+W213-W69</f>
        <v>26163.6192125114</v>
      </c>
      <c r="X70" s="139" t="n">
        <f aca="false">X212*(1-Hipótesis!$D$73)+X213-X69</f>
        <v>27317.3695743564</v>
      </c>
      <c r="Y70" s="139" t="n">
        <f aca="false">Y212*(1-Hipótesis!$D$73)+Y213-Y69</f>
        <v>28471.1199362014</v>
      </c>
      <c r="Z70" s="139" t="n">
        <f aca="false">Z212*(1-Hipótesis!$D$73)+Z213-Z69</f>
        <v>29571.8336515709</v>
      </c>
      <c r="AA70" s="139" t="n">
        <f aca="false">AA212*(1-Hipótesis!$D$73)+AA213-AA69</f>
        <v>30672.5473669404</v>
      </c>
      <c r="AB70" s="139" t="n">
        <f aca="false">AB212*(1-Hipótesis!$D$73)+AB213-AB69</f>
        <v>31773.26108231</v>
      </c>
      <c r="AC70" s="139" t="n">
        <f aca="false">AC212*(1-Hipótesis!$D$73)+AC213-AC69</f>
        <v>32873.9747976795</v>
      </c>
      <c r="AD70" s="139" t="n">
        <f aca="false">AD212*(1-Hipótesis!$D$73)+AD213-AD69</f>
        <v>33974.688513049</v>
      </c>
      <c r="AE70" s="139" t="n">
        <f aca="false">AE212*(1-Hipótesis!$D$73)+AE213-AE69</f>
        <v>20384.9509646226</v>
      </c>
      <c r="AF70" s="139" t="n">
        <f aca="false">AF212*(1-Hipótesis!$D$73)+AF213-AF69</f>
        <v>36176.1159437881</v>
      </c>
      <c r="AG70" s="139" t="n">
        <f aca="false">AG212*(1-Hipótesis!$D$73)+AG213-AG69</f>
        <v>37276.8296591576</v>
      </c>
      <c r="AH70" s="139" t="n">
        <f aca="false">AH212*(1-Hipótesis!$D$73)+AH213-AH69</f>
        <v>38377.5433745271</v>
      </c>
      <c r="AI70" s="139" t="n">
        <f aca="false">AI212*(1-Hipótesis!$D$73)+AI213-AI69</f>
        <v>39478.2570898967</v>
      </c>
      <c r="AJ70" s="139" t="n">
        <f aca="false">AJ212*(1-Hipótesis!$D$73)+AJ213-AJ69</f>
        <v>40578.9708052662</v>
      </c>
      <c r="AK70" s="139" t="n">
        <f aca="false">AK212*(1-Hipótesis!$D$73)+AK213-AK69</f>
        <v>41679.6845206357</v>
      </c>
      <c r="AL70" s="139" t="n">
        <f aca="false">AL212*(1-Hipótesis!$D$73)+AL213-AL69</f>
        <v>42780.3982360053</v>
      </c>
      <c r="AM70" s="139" t="n">
        <f aca="false">AM212*(1-Hipótesis!$D$73)+AM213-AM69</f>
        <v>43335.6256600243</v>
      </c>
      <c r="AN70" s="139" t="n">
        <f aca="false">AN212*(1-Hipótesis!$D$73)+AN213-AN69</f>
        <v>43890.8530840433</v>
      </c>
      <c r="AO70" s="139" t="n">
        <f aca="false">AO212*(1-Hipótesis!$D$73)+AO213-AO69</f>
        <v>44446.0805080624</v>
      </c>
      <c r="AP70" s="139" t="n">
        <f aca="false">AP212*(1-Hipótesis!$D$73)+AP213-AP69</f>
        <v>45001.3079320814</v>
      </c>
      <c r="AQ70" s="139" t="n">
        <f aca="false">AQ212*(1-Hipótesis!$D$73)+AQ213-AQ69</f>
        <v>27320.1130975952</v>
      </c>
      <c r="AR70" s="139" t="n">
        <f aca="false">AR212*(1-Hipótesis!$D$73)+AR213-AR69</f>
        <v>46111.7627801195</v>
      </c>
      <c r="AS70" s="139" t="n">
        <f aca="false">AS212*(1-Hipótesis!$D$73)+AS213-AS69</f>
        <v>46111.7627801195</v>
      </c>
      <c r="AT70" s="139" t="n">
        <f aca="false">AT212*(1-Hipótesis!$D$73)+AT213-AT69</f>
        <v>46111.7627801195</v>
      </c>
      <c r="AU70" s="139" t="n">
        <f aca="false">AU212*(1-Hipótesis!$D$73)+AU213-AU69</f>
        <v>46111.7627801195</v>
      </c>
      <c r="AV70" s="139" t="n">
        <f aca="false">AV212*(1-Hipótesis!$D$73)+AV213-AV69</f>
        <v>46111.7627801195</v>
      </c>
      <c r="AW70" s="139" t="n">
        <f aca="false">AW212*(1-Hipótesis!$D$73)+AW213-AW69</f>
        <v>46111.7627801195</v>
      </c>
      <c r="AX70" s="139" t="n">
        <f aca="false">AX212*(1-Hipótesis!$D$73)+AX213-AX69</f>
        <v>46111.7627801195</v>
      </c>
      <c r="AY70" s="139" t="n">
        <f aca="false">AY212*(1-Hipótesis!$D$73)+AY213-AY69</f>
        <v>46111.7627801195</v>
      </c>
      <c r="AZ70" s="139" t="n">
        <f aca="false">AZ212*(1-Hipótesis!$D$73)+AZ213-AZ69</f>
        <v>46111.7627801195</v>
      </c>
      <c r="BA70" s="139" t="n">
        <f aca="false">BA212*(1-Hipótesis!$D$73)+BA213-BA69</f>
        <v>46111.7627801195</v>
      </c>
      <c r="BB70" s="139" t="n">
        <f aca="false">BB212*(1-Hipótesis!$D$73)+BB213-BB69</f>
        <v>46111.7627801195</v>
      </c>
      <c r="BC70" s="139" t="n">
        <f aca="false">BC212*(1-Hipótesis!$D$73)+BC213-BC69</f>
        <v>27875.3405216142</v>
      </c>
      <c r="BD70" s="139" t="n">
        <f aca="false">BD212*(1-Hipótesis!$D$73)+BD213-BD69</f>
        <v>46111.7627801195</v>
      </c>
      <c r="BE70" s="139" t="n">
        <f aca="false">BE212*(1-Hipótesis!$D$73)+BE213-BE69</f>
        <v>46111.7627801195</v>
      </c>
      <c r="BF70" s="139" t="n">
        <f aca="false">BF212*(1-Hipótesis!$D$73)+BF213-BF69</f>
        <v>46111.7627801195</v>
      </c>
      <c r="BG70" s="139" t="n">
        <f aca="false">BG212*(1-Hipótesis!$D$73)+BG213-BG69</f>
        <v>46111.7627801195</v>
      </c>
      <c r="BH70" s="139" t="n">
        <f aca="false">BH212*(1-Hipótesis!$D$73)+BH213-BH69</f>
        <v>46111.7627801195</v>
      </c>
      <c r="BI70" s="139" t="n">
        <f aca="false">BI212*(1-Hipótesis!$D$73)+BI213-BI69</f>
        <v>46111.7627801195</v>
      </c>
      <c r="BJ70" s="139" t="n">
        <f aca="false">BJ212*(1-Hipótesis!$D$73)+BJ213-BJ69</f>
        <v>46111.7627801195</v>
      </c>
      <c r="BK70" s="139" t="n">
        <f aca="false">BK212*(1-Hipótesis!$D$73)+BK213-BK69</f>
        <v>46111.7627801195</v>
      </c>
      <c r="BL70" s="139" t="n">
        <f aca="false">BL212*(1-Hipótesis!$D$73)+BL213-BL69</f>
        <v>46111.7627801195</v>
      </c>
      <c r="BM70" s="139" t="n">
        <f aca="false">BM212*(1-Hipótesis!$D$73)+BM213-BM69</f>
        <v>46111.7627801195</v>
      </c>
      <c r="BN70" s="139" t="n">
        <f aca="false">BN212*(1-Hipótesis!$D$73)+BN213-BN69</f>
        <v>46111.7627801195</v>
      </c>
      <c r="BO70" s="139" t="n">
        <f aca="false">BO212*(1-Hipótesis!$D$73)+BO213-BO69</f>
        <v>27875.3405216142</v>
      </c>
      <c r="BP70" s="139" t="n">
        <f aca="false">BP212*(1-Hipótesis!$D$73)+BP213-BP69</f>
        <v>46111.7627801195</v>
      </c>
      <c r="BQ70" s="139" t="n">
        <f aca="false">BQ212*(1-Hipótesis!$D$73)+BQ213-BQ69</f>
        <v>46111.7627801195</v>
      </c>
      <c r="BR70" s="139" t="n">
        <f aca="false">BR212*(1-Hipótesis!$D$73)+BR213-BR69</f>
        <v>46111.7627801195</v>
      </c>
      <c r="BS70" s="139" t="n">
        <f aca="false">BS212*(1-Hipótesis!$D$73)+BS213-BS69</f>
        <v>46111.7627801195</v>
      </c>
      <c r="BT70" s="139" t="n">
        <f aca="false">BT212*(1-Hipótesis!$D$73)+BT213-BT69</f>
        <v>46111.7627801195</v>
      </c>
      <c r="BU70" s="139" t="n">
        <f aca="false">BU212*(1-Hipótesis!$D$73)+BU213-BU69</f>
        <v>46111.7627801195</v>
      </c>
      <c r="BV70" s="139" t="n">
        <f aca="false">BV212*(1-Hipótesis!$D$73)+BV213-BV69</f>
        <v>46111.7627801195</v>
      </c>
      <c r="BW70" s="139" t="n">
        <f aca="false">BW212*(1-Hipótesis!$D$73)+BW213-BW69</f>
        <v>46111.7627801195</v>
      </c>
      <c r="BX70" s="139" t="n">
        <f aca="false">BX212*(1-Hipótesis!$D$73)+BX213-BX69</f>
        <v>46111.7627801195</v>
      </c>
      <c r="BY70" s="139" t="n">
        <f aca="false">BY212*(1-Hipótesis!$D$73)+BY213-BY69</f>
        <v>46111.7627801195</v>
      </c>
      <c r="BZ70" s="139" t="n">
        <f aca="false">BZ212*(1-Hipótesis!$D$73)+BZ213-BZ69</f>
        <v>46111.7627801195</v>
      </c>
      <c r="CA70" s="139" t="n">
        <f aca="false">CA212*(1-Hipótesis!$D$73)+CA213-CA69</f>
        <v>27875.3405216142</v>
      </c>
      <c r="CB70" s="139" t="n">
        <f aca="false">CB212*(1-Hipótesis!$D$73)+CB213-CB69</f>
        <v>46111.7627801195</v>
      </c>
      <c r="CC70" s="139" t="n">
        <f aca="false">CC212*(1-Hipótesis!$D$73)+CC213-CC69</f>
        <v>46111.7627801195</v>
      </c>
      <c r="CD70" s="139" t="n">
        <f aca="false">CD212*(1-Hipótesis!$D$73)+CD213-CD69</f>
        <v>46111.7627801195</v>
      </c>
      <c r="CE70" s="139" t="n">
        <f aca="false">CE212*(1-Hipótesis!$D$73)+CE213-CE69</f>
        <v>46111.7627801195</v>
      </c>
      <c r="CF70" s="139" t="n">
        <f aca="false">CF212*(1-Hipótesis!$D$73)+CF213-CF69</f>
        <v>46111.7627801195</v>
      </c>
      <c r="CG70" s="139" t="n">
        <f aca="false">CG212*(1-Hipótesis!$D$73)+CG213-CG69</f>
        <v>46111.7627801195</v>
      </c>
      <c r="CH70" s="139" t="n">
        <f aca="false">CH212*(1-Hipótesis!$D$73)+CH213-CH69</f>
        <v>46111.7627801195</v>
      </c>
    </row>
    <row r="71" customFormat="false" ht="13.5" hidden="false" customHeight="true" outlineLevel="0" collapsed="false">
      <c r="A71" s="13" t="s">
        <v>749</v>
      </c>
      <c r="C71" s="138" t="n">
        <f aca="false">-C70</f>
        <v>-898.796841158007</v>
      </c>
      <c r="D71" s="138" t="n">
        <f aca="false">-(D70-C70)</f>
        <v>-916.900018129325</v>
      </c>
      <c r="E71" s="138" t="n">
        <f aca="false">-(E70-D70)</f>
        <v>-1210.12114211656</v>
      </c>
      <c r="F71" s="138" t="n">
        <f aca="false">-(F70-E70)</f>
        <v>-907.285812674411</v>
      </c>
      <c r="G71" s="138" t="n">
        <f aca="false">-(G70-F70)</f>
        <v>1643.65378908931</v>
      </c>
      <c r="H71" s="138" t="n">
        <f aca="false">-(H70-G70)</f>
        <v>-3551.93429662517</v>
      </c>
      <c r="I71" s="138" t="n">
        <f aca="false">-(I70-H70)</f>
        <v>-1220.99875329424</v>
      </c>
      <c r="J71" s="138" t="n">
        <f aca="false">-(J70-I70)</f>
        <v>-1523.85007548644</v>
      </c>
      <c r="K71" s="138" t="n">
        <f aca="false">-(K70-J70)</f>
        <v>-1523.85007548644</v>
      </c>
      <c r="L71" s="138" t="n">
        <f aca="false">-(L70-K70)</f>
        <v>-1523.85007548644</v>
      </c>
      <c r="M71" s="138" t="n">
        <f aca="false">-(M70-L70)</f>
        <v>-1230.62895149921</v>
      </c>
      <c r="N71" s="138" t="n">
        <f aca="false">-(N70-M70)</f>
        <v>-1391.40856768784</v>
      </c>
      <c r="O71" s="138" t="n">
        <f aca="false">-(O70-N70)</f>
        <v>-1391.40856768783</v>
      </c>
      <c r="P71" s="138" t="n">
        <f aca="false">-(P70-O70)</f>
        <v>-1314.5299780336</v>
      </c>
      <c r="Q71" s="138" t="n">
        <f aca="false">-(Q70-P70)</f>
        <v>-1314.5299780336</v>
      </c>
      <c r="R71" s="138" t="n">
        <f aca="false">-(R70-Q70)</f>
        <v>-1314.52997803361</v>
      </c>
      <c r="S71" s="138" t="n">
        <f aca="false">-(S70-R70)</f>
        <v>7297.11386626056</v>
      </c>
      <c r="T71" s="138" t="n">
        <f aca="false">-(T70-S70)</f>
        <v>-9926.17382232776</v>
      </c>
      <c r="U71" s="138" t="n">
        <f aca="false">-(U70-T70)</f>
        <v>-1314.5299780336</v>
      </c>
      <c r="V71" s="138" t="n">
        <f aca="false">-(V70-U70)</f>
        <v>-1314.52997803361</v>
      </c>
      <c r="W71" s="138" t="n">
        <f aca="false">-(W70-V70)</f>
        <v>-1314.52997803361</v>
      </c>
      <c r="X71" s="138" t="n">
        <f aca="false">-(X70-W70)</f>
        <v>-1153.75036184498</v>
      </c>
      <c r="Y71" s="138" t="n">
        <f aca="false">-(Y70-X70)</f>
        <v>-1153.75036184498</v>
      </c>
      <c r="Z71" s="138" t="n">
        <f aca="false">-(Z70-Y70)</f>
        <v>-1100.71371536953</v>
      </c>
      <c r="AA71" s="138" t="n">
        <f aca="false">-(AA70-Z70)</f>
        <v>-1100.71371536953</v>
      </c>
      <c r="AB71" s="138" t="n">
        <f aca="false">-(AB70-AA70)</f>
        <v>-1100.71371536954</v>
      </c>
      <c r="AC71" s="138" t="n">
        <f aca="false">-(AC70-AB70)</f>
        <v>-1100.71371536952</v>
      </c>
      <c r="AD71" s="138" t="n">
        <f aca="false">-(AD70-AC70)</f>
        <v>-1100.71371536953</v>
      </c>
      <c r="AE71" s="138" t="n">
        <f aca="false">-(AE70-AD70)</f>
        <v>13589.7375484264</v>
      </c>
      <c r="AF71" s="138" t="n">
        <f aca="false">-(AF70-AE70)</f>
        <v>-15791.1649791655</v>
      </c>
      <c r="AG71" s="138" t="n">
        <f aca="false">-(AG70-AF70)</f>
        <v>-1100.71371536952</v>
      </c>
      <c r="AH71" s="138" t="n">
        <f aca="false">-(AH70-AG70)</f>
        <v>-1100.71371536952</v>
      </c>
      <c r="AI71" s="138" t="n">
        <f aca="false">-(AI70-AH70)</f>
        <v>-1100.71371536954</v>
      </c>
      <c r="AJ71" s="138" t="n">
        <f aca="false">-(AJ70-AI70)</f>
        <v>-1100.71371536953</v>
      </c>
      <c r="AK71" s="138" t="n">
        <f aca="false">-(AK70-AJ70)</f>
        <v>-1100.71371536952</v>
      </c>
      <c r="AL71" s="138" t="n">
        <f aca="false">-(AL70-AK70)</f>
        <v>-1100.71371536954</v>
      </c>
      <c r="AM71" s="138" t="n">
        <f aca="false">-(AM70-AL70)</f>
        <v>-555.227424019016</v>
      </c>
      <c r="AN71" s="138" t="n">
        <f aca="false">-(AN70-AM70)</f>
        <v>-555.22742401906</v>
      </c>
      <c r="AO71" s="138" t="n">
        <f aca="false">-(AO70-AN70)</f>
        <v>-555.227424019031</v>
      </c>
      <c r="AP71" s="138" t="n">
        <f aca="false">-(AP70-AO70)</f>
        <v>-555.227424019031</v>
      </c>
      <c r="AQ71" s="138" t="n">
        <f aca="false">-(AQ70-AP70)</f>
        <v>17681.1948344863</v>
      </c>
      <c r="AR71" s="138" t="n">
        <f aca="false">-(AR70-AQ70)</f>
        <v>-18791.6496825243</v>
      </c>
      <c r="AS71" s="138" t="n">
        <f aca="false">-(AS70-AR70)</f>
        <v>-0</v>
      </c>
      <c r="AT71" s="138" t="n">
        <f aca="false">-(AT70-AS70)</f>
        <v>-0</v>
      </c>
      <c r="AU71" s="138" t="n">
        <f aca="false">-(AU70-AT70)</f>
        <v>-0</v>
      </c>
      <c r="AV71" s="138" t="n">
        <f aca="false">-(AV70-AU70)</f>
        <v>-0</v>
      </c>
      <c r="AW71" s="138" t="n">
        <f aca="false">-(AW70-AV70)</f>
        <v>-0</v>
      </c>
      <c r="AX71" s="138" t="n">
        <f aca="false">-(AX70-AW70)</f>
        <v>-0</v>
      </c>
      <c r="AY71" s="138" t="n">
        <f aca="false">-(AY70-AX70)</f>
        <v>-0</v>
      </c>
      <c r="AZ71" s="138" t="n">
        <f aca="false">-(AZ70-AY70)</f>
        <v>-0</v>
      </c>
      <c r="BA71" s="138" t="n">
        <f aca="false">-(BA70-AZ70)</f>
        <v>-0</v>
      </c>
      <c r="BB71" s="138" t="n">
        <f aca="false">-(BB70-BA70)</f>
        <v>-0</v>
      </c>
      <c r="BC71" s="138" t="n">
        <f aca="false">-(BC70-BB70)</f>
        <v>18236.4222585053</v>
      </c>
      <c r="BD71" s="138" t="n">
        <f aca="false">-(BD70-BC70)</f>
        <v>-18236.4222585053</v>
      </c>
      <c r="BE71" s="138" t="n">
        <f aca="false">-(BE70-BD70)</f>
        <v>-0</v>
      </c>
      <c r="BF71" s="138" t="n">
        <f aca="false">-(BF70-BE70)</f>
        <v>-0</v>
      </c>
      <c r="BG71" s="138" t="n">
        <f aca="false">-(BG70-BF70)</f>
        <v>-0</v>
      </c>
      <c r="BH71" s="138" t="n">
        <f aca="false">-(BH70-BG70)</f>
        <v>-0</v>
      </c>
      <c r="BI71" s="138" t="n">
        <f aca="false">-(BI70-BH70)</f>
        <v>-0</v>
      </c>
      <c r="BJ71" s="138" t="n">
        <f aca="false">-(BJ70-BI70)</f>
        <v>-0</v>
      </c>
      <c r="BK71" s="138" t="n">
        <f aca="false">-(BK70-BJ70)</f>
        <v>-0</v>
      </c>
      <c r="BL71" s="138" t="n">
        <f aca="false">-(BL70-BK70)</f>
        <v>-0</v>
      </c>
      <c r="BM71" s="138" t="n">
        <f aca="false">-(BM70-BL70)</f>
        <v>-0</v>
      </c>
      <c r="BN71" s="138" t="n">
        <f aca="false">-(BN70-BM70)</f>
        <v>-0</v>
      </c>
      <c r="BO71" s="138" t="n">
        <f aca="false">-(BO70-BN70)</f>
        <v>18236.4222585053</v>
      </c>
      <c r="BP71" s="138" t="n">
        <f aca="false">-(BP70-BO70)</f>
        <v>-18236.4222585053</v>
      </c>
      <c r="BQ71" s="138" t="n">
        <f aca="false">-(BQ70-BP70)</f>
        <v>-0</v>
      </c>
      <c r="BR71" s="138" t="n">
        <f aca="false">-(BR70-BQ70)</f>
        <v>-0</v>
      </c>
      <c r="BS71" s="138" t="n">
        <f aca="false">-(BS70-BR70)</f>
        <v>-0</v>
      </c>
      <c r="BT71" s="138" t="n">
        <f aca="false">-(BT70-BS70)</f>
        <v>-0</v>
      </c>
      <c r="BU71" s="138" t="n">
        <f aca="false">-(BU70-BT70)</f>
        <v>-0</v>
      </c>
      <c r="BV71" s="138" t="n">
        <f aca="false">-(BV70-BU70)</f>
        <v>-0</v>
      </c>
      <c r="BW71" s="138" t="n">
        <f aca="false">-(BW70-BV70)</f>
        <v>-0</v>
      </c>
      <c r="BX71" s="138" t="n">
        <f aca="false">-(BX70-BW70)</f>
        <v>-0</v>
      </c>
      <c r="BY71" s="138" t="n">
        <f aca="false">-(BY70-BX70)</f>
        <v>-0</v>
      </c>
      <c r="BZ71" s="138" t="n">
        <f aca="false">-(BZ70-BY70)</f>
        <v>-0</v>
      </c>
      <c r="CA71" s="138" t="n">
        <f aca="false">-(CA70-BZ70)</f>
        <v>18236.4222585053</v>
      </c>
      <c r="CB71" s="138" t="n">
        <f aca="false">-(CB70-CA70)</f>
        <v>-18236.4222585053</v>
      </c>
      <c r="CC71" s="138" t="n">
        <f aca="false">-(CC70-CB70)</f>
        <v>-0</v>
      </c>
      <c r="CD71" s="138" t="n">
        <f aca="false">-(CD70-CC70)</f>
        <v>-0</v>
      </c>
      <c r="CE71" s="138" t="n">
        <f aca="false">-(CE70-CD70)</f>
        <v>-0</v>
      </c>
      <c r="CF71" s="138" t="n">
        <f aca="false">-(CF70-CE70)</f>
        <v>-0</v>
      </c>
      <c r="CG71" s="138" t="n">
        <f aca="false">-(CG70-CF70)</f>
        <v>-0</v>
      </c>
      <c r="CH71" s="138" t="n">
        <f aca="false">-(CH70-CG70)</f>
        <v>-0</v>
      </c>
    </row>
    <row r="72" customFormat="false" ht="13.5" hidden="false" customHeight="true" outlineLevel="0" collapsed="false">
      <c r="A72" s="13" t="s">
        <v>750</v>
      </c>
      <c r="C72" s="138" t="n">
        <f aca="false">-CAPEX!$E$22*CAPEX!$C$29-CAPEX!$E$50</f>
        <v>-32962</v>
      </c>
      <c r="D72" s="138" t="n">
        <f aca="false">-CAPEX!$E$22*CAPEX!$D$29</f>
        <v>-12815.6</v>
      </c>
      <c r="E72" s="138" t="n">
        <f aca="false">-CAPEX!$E$22*CAPEX!$E$29</f>
        <v>-9154</v>
      </c>
      <c r="F72" s="138" t="n">
        <f aca="false">-CAPEX!$E$22*CAPEX!$F$29</f>
        <v>-8238.6</v>
      </c>
      <c r="G72" s="138" t="n">
        <f aca="false">-CAPEX!$E$22*CAPEX!$G$29</f>
        <v>-7323.2</v>
      </c>
      <c r="H72" s="138" t="n">
        <f aca="false">-CAPEX!$E$22*CAPEX!$H$29</f>
        <v>-6407.8</v>
      </c>
      <c r="I72" s="138" t="n">
        <f aca="false">-CAPEX!$E$22*CAPEX!$I$29</f>
        <v>-5492.4</v>
      </c>
      <c r="J72" s="138" t="n">
        <f aca="false">-CAPEX!$E$22*CAPEX!$J$29</f>
        <v>-4577</v>
      </c>
      <c r="K72" s="138" t="n">
        <f aca="false">-CAPEX!$E$22*CAPEX!$K$29</f>
        <v>-3661.6</v>
      </c>
      <c r="L72" s="138" t="n">
        <f aca="false">-CAPEX!$E$22*CAPEX!$L$29</f>
        <v>-2746.2</v>
      </c>
      <c r="M72" s="138" t="n">
        <f aca="false">-CAPEX!$E$22*CAPEX!$M$29</f>
        <v>-1830.8</v>
      </c>
      <c r="N72" s="138" t="n">
        <f aca="false">-CAPEX!$E$22*CAPEX!$N$29</f>
        <v>-1830.8</v>
      </c>
      <c r="O72" s="138" t="n">
        <f aca="false">0</f>
        <v>0</v>
      </c>
      <c r="P72" s="138" t="n">
        <f aca="false">0</f>
        <v>0</v>
      </c>
      <c r="Q72" s="138" t="n">
        <f aca="false">0</f>
        <v>0</v>
      </c>
      <c r="R72" s="138" t="n">
        <f aca="false">0</f>
        <v>0</v>
      </c>
      <c r="S72" s="138" t="n">
        <f aca="false">0</f>
        <v>0</v>
      </c>
      <c r="T72" s="138" t="n">
        <f aca="false">0</f>
        <v>0</v>
      </c>
      <c r="U72" s="138" t="n">
        <f aca="false">0</f>
        <v>0</v>
      </c>
      <c r="V72" s="138" t="n">
        <f aca="false">0</f>
        <v>0</v>
      </c>
      <c r="W72" s="138" t="n">
        <f aca="false">0</f>
        <v>0</v>
      </c>
      <c r="X72" s="138" t="n">
        <f aca="false">0</f>
        <v>0</v>
      </c>
      <c r="Y72" s="138" t="n">
        <f aca="false">0</f>
        <v>0</v>
      </c>
      <c r="Z72" s="138" t="n">
        <f aca="false">0</f>
        <v>0</v>
      </c>
      <c r="AA72" s="138" t="n">
        <f aca="false">0</f>
        <v>0</v>
      </c>
      <c r="AB72" s="138" t="n">
        <f aca="false">0</f>
        <v>0</v>
      </c>
      <c r="AC72" s="138" t="n">
        <f aca="false">0</f>
        <v>0</v>
      </c>
      <c r="AD72" s="138" t="n">
        <f aca="false">0</f>
        <v>0</v>
      </c>
      <c r="AE72" s="138" t="n">
        <f aca="false">0</f>
        <v>0</v>
      </c>
      <c r="AF72" s="138" t="n">
        <f aca="false">0</f>
        <v>0</v>
      </c>
      <c r="AG72" s="138" t="n">
        <f aca="false">0</f>
        <v>0</v>
      </c>
      <c r="AH72" s="138" t="n">
        <f aca="false">0</f>
        <v>0</v>
      </c>
      <c r="AI72" s="138" t="n">
        <f aca="false">0</f>
        <v>0</v>
      </c>
      <c r="AJ72" s="138" t="n">
        <f aca="false">0</f>
        <v>0</v>
      </c>
      <c r="AK72" s="138" t="n">
        <f aca="false">0</f>
        <v>0</v>
      </c>
      <c r="AL72" s="138" t="n">
        <f aca="false">0</f>
        <v>0</v>
      </c>
      <c r="AM72" s="138" t="n">
        <f aca="false">0</f>
        <v>0</v>
      </c>
      <c r="AN72" s="138" t="n">
        <f aca="false">0</f>
        <v>0</v>
      </c>
      <c r="AO72" s="138" t="n">
        <f aca="false">0</f>
        <v>0</v>
      </c>
      <c r="AP72" s="138" t="n">
        <f aca="false">0</f>
        <v>0</v>
      </c>
      <c r="AQ72" s="138" t="n">
        <f aca="false">0</f>
        <v>0</v>
      </c>
      <c r="AR72" s="138" t="n">
        <f aca="false">0</f>
        <v>0</v>
      </c>
      <c r="AS72" s="138" t="n">
        <f aca="false">0</f>
        <v>0</v>
      </c>
      <c r="AT72" s="138" t="n">
        <f aca="false">0</f>
        <v>0</v>
      </c>
      <c r="AU72" s="138" t="n">
        <f aca="false">0</f>
        <v>0</v>
      </c>
      <c r="AV72" s="138" t="n">
        <f aca="false">0</f>
        <v>0</v>
      </c>
      <c r="AW72" s="138" t="n">
        <f aca="false">0</f>
        <v>0</v>
      </c>
      <c r="AX72" s="138" t="n">
        <f aca="false">0</f>
        <v>0</v>
      </c>
      <c r="AY72" s="138" t="n">
        <f aca="false">0</f>
        <v>0</v>
      </c>
      <c r="AZ72" s="138" t="n">
        <f aca="false">0</f>
        <v>0</v>
      </c>
      <c r="BA72" s="138" t="n">
        <f aca="false">0</f>
        <v>0</v>
      </c>
      <c r="BB72" s="138" t="n">
        <f aca="false">0</f>
        <v>0</v>
      </c>
      <c r="BC72" s="138" t="n">
        <f aca="false">0</f>
        <v>0</v>
      </c>
      <c r="BD72" s="138" t="n">
        <f aca="false">0</f>
        <v>0</v>
      </c>
      <c r="BE72" s="138" t="n">
        <f aca="false">0</f>
        <v>0</v>
      </c>
      <c r="BF72" s="138" t="n">
        <f aca="false">0</f>
        <v>0</v>
      </c>
      <c r="BG72" s="138" t="n">
        <f aca="false">0</f>
        <v>0</v>
      </c>
      <c r="BH72" s="138" t="n">
        <f aca="false">0</f>
        <v>0</v>
      </c>
      <c r="BI72" s="138" t="n">
        <f aca="false">0</f>
        <v>0</v>
      </c>
      <c r="BJ72" s="138" t="n">
        <f aca="false">0</f>
        <v>0</v>
      </c>
      <c r="BK72" s="138" t="n">
        <f aca="false">0</f>
        <v>0</v>
      </c>
      <c r="BL72" s="138" t="n">
        <f aca="false">0</f>
        <v>0</v>
      </c>
      <c r="BM72" s="138" t="n">
        <f aca="false">0</f>
        <v>0</v>
      </c>
      <c r="BN72" s="138" t="n">
        <f aca="false">0</f>
        <v>0</v>
      </c>
      <c r="BO72" s="138" t="n">
        <f aca="false">0</f>
        <v>0</v>
      </c>
      <c r="BP72" s="138" t="n">
        <f aca="false">0</f>
        <v>0</v>
      </c>
      <c r="BQ72" s="138" t="n">
        <f aca="false">0</f>
        <v>0</v>
      </c>
      <c r="BR72" s="138" t="n">
        <f aca="false">0</f>
        <v>0</v>
      </c>
      <c r="BS72" s="138" t="n">
        <f aca="false">0</f>
        <v>0</v>
      </c>
      <c r="BT72" s="138" t="n">
        <f aca="false">0</f>
        <v>0</v>
      </c>
      <c r="BU72" s="138" t="n">
        <f aca="false">0</f>
        <v>0</v>
      </c>
      <c r="BV72" s="138" t="n">
        <f aca="false">0</f>
        <v>0</v>
      </c>
      <c r="BW72" s="138" t="n">
        <f aca="false">0</f>
        <v>0</v>
      </c>
      <c r="BX72" s="138" t="n">
        <f aca="false">0</f>
        <v>0</v>
      </c>
      <c r="BY72" s="138" t="n">
        <f aca="false">0</f>
        <v>0</v>
      </c>
      <c r="BZ72" s="138" t="n">
        <f aca="false">0</f>
        <v>0</v>
      </c>
      <c r="CA72" s="138" t="n">
        <f aca="false">0</f>
        <v>0</v>
      </c>
      <c r="CB72" s="138" t="n">
        <f aca="false">0</f>
        <v>0</v>
      </c>
      <c r="CC72" s="138" t="n">
        <f aca="false">0</f>
        <v>0</v>
      </c>
      <c r="CD72" s="138" t="n">
        <f aca="false">0</f>
        <v>0</v>
      </c>
      <c r="CE72" s="138" t="n">
        <f aca="false">0</f>
        <v>0</v>
      </c>
      <c r="CF72" s="138" t="n">
        <f aca="false">0</f>
        <v>0</v>
      </c>
      <c r="CG72" s="138" t="n">
        <f aca="false">0</f>
        <v>0</v>
      </c>
      <c r="CH72" s="138" t="n">
        <f aca="false">0</f>
        <v>0</v>
      </c>
    </row>
    <row r="73" customFormat="false" ht="13.5" hidden="false" customHeight="true" outlineLevel="0" collapsed="false">
      <c r="A73" s="13" t="s">
        <v>751</v>
      </c>
      <c r="C73" s="138" t="n">
        <f aca="false">-C36*Hipótesis!$D$68</f>
        <v>-32.8275041220973</v>
      </c>
      <c r="D73" s="138" t="n">
        <f aca="false">-D36*Hipótesis!$D$68</f>
        <v>-67.0644082441946</v>
      </c>
      <c r="E73" s="138" t="n">
        <f aca="false">-E36*Hipótesis!$D$68</f>
        <v>-122.931687366292</v>
      </c>
      <c r="F73" s="138" t="n">
        <f aca="false">-F36*Hipótesis!$D$68</f>
        <v>-160.202716488389</v>
      </c>
      <c r="G73" s="138" t="n">
        <f aca="false">-G36*Hipótesis!$D$68</f>
        <v>-135.581515591573</v>
      </c>
      <c r="H73" s="138" t="n">
        <f aca="false">-H36*Hipótesis!$D$68</f>
        <v>-244.845474732584</v>
      </c>
      <c r="I73" s="138" t="n">
        <f aca="false">-I36*Hipótesis!$D$68</f>
        <v>-308.802337825622</v>
      </c>
      <c r="J73" s="138" t="n">
        <f aca="false">-J36*Hipótesis!$D$68</f>
        <v>-395.52280187507</v>
      </c>
      <c r="K73" s="138" t="n">
        <f aca="false">-K36*Hipótesis!$D$68</f>
        <v>-482.243265924519</v>
      </c>
      <c r="L73" s="138" t="n">
        <f aca="false">-L36*Hipótesis!$D$68</f>
        <v>-568.963729973968</v>
      </c>
      <c r="M73" s="138" t="n">
        <f aca="false">-M36*Hipótesis!$D$68</f>
        <v>-634.053819023416</v>
      </c>
      <c r="N73" s="138" t="n">
        <f aca="false">-N36*Hipótesis!$D$68</f>
        <v>-716.761408072865</v>
      </c>
      <c r="O73" s="138" t="n">
        <f aca="false">-O36*Hipótesis!$D$68</f>
        <v>-799.468997122314</v>
      </c>
      <c r="P73" s="138" t="n">
        <f aca="false">-P36*Hipótesis!$D$68</f>
        <v>-875.834286171762</v>
      </c>
      <c r="Q73" s="138" t="n">
        <f aca="false">-Q36*Hipótesis!$D$68</f>
        <v>-952.199575221211</v>
      </c>
      <c r="R73" s="138" t="n">
        <f aca="false">-R36*Hipótesis!$D$68</f>
        <v>-1028.56486427066</v>
      </c>
      <c r="S73" s="138" t="n">
        <f aca="false">-S36*Hipótesis!$D$68</f>
        <v>-899.288531255802</v>
      </c>
      <c r="T73" s="138" t="n">
        <f aca="false">-T36*Hipótesis!$D$68</f>
        <v>-1181.29544236956</v>
      </c>
      <c r="U73" s="138" t="n">
        <f aca="false">-U36*Hipótesis!$D$68</f>
        <v>-1257.66073141901</v>
      </c>
      <c r="V73" s="138" t="n">
        <f aca="false">-V36*Hipótesis!$D$68</f>
        <v>-1334.02602046845</v>
      </c>
      <c r="W73" s="138" t="n">
        <f aca="false">-W36*Hipótesis!$D$68</f>
        <v>-1410.3913095179</v>
      </c>
      <c r="X73" s="138" t="n">
        <f aca="false">-X36*Hipótesis!$D$68</f>
        <v>-1469.13909856735</v>
      </c>
      <c r="Y73" s="138" t="n">
        <f aca="false">-Y36*Hipótesis!$D$68</f>
        <v>-1527.8868876168</v>
      </c>
      <c r="Z73" s="138" t="n">
        <f aca="false">-Z36*Hipótesis!$D$68</f>
        <v>-1580.05747666625</v>
      </c>
      <c r="AA73" s="138" t="n">
        <f aca="false">-AA36*Hipótesis!$D$68</f>
        <v>-1632.2280657157</v>
      </c>
      <c r="AB73" s="138" t="n">
        <f aca="false">-AB36*Hipótesis!$D$68</f>
        <v>-1684.39865476515</v>
      </c>
      <c r="AC73" s="138" t="n">
        <f aca="false">-AC36*Hipótesis!$D$68</f>
        <v>-1736.56924381459</v>
      </c>
      <c r="AD73" s="138" t="n">
        <f aca="false">-AD36*Hipótesis!$D$68</f>
        <v>-1788.73983286404</v>
      </c>
      <c r="AE73" s="138" t="n">
        <f aca="false">-AE36*Hipótesis!$D$68</f>
        <v>-1490.11000780379</v>
      </c>
      <c r="AF73" s="138" t="n">
        <f aca="false">-AF36*Hipótesis!$D$68</f>
        <v>-1893.08101096294</v>
      </c>
      <c r="AG73" s="138" t="n">
        <f aca="false">-AG36*Hipótesis!$D$68</f>
        <v>-1945.25160001239</v>
      </c>
      <c r="AH73" s="138" t="n">
        <f aca="false">-AH36*Hipótesis!$D$68</f>
        <v>-1997.42218906184</v>
      </c>
      <c r="AI73" s="138" t="n">
        <f aca="false">-AI36*Hipótesis!$D$68</f>
        <v>-2049.59277811129</v>
      </c>
      <c r="AJ73" s="138" t="n">
        <f aca="false">-AJ36*Hipótesis!$D$68</f>
        <v>-2101.76336716074</v>
      </c>
      <c r="AK73" s="138" t="n">
        <f aca="false">-AK36*Hipótesis!$D$68</f>
        <v>-2153.93395621018</v>
      </c>
      <c r="AL73" s="138" t="n">
        <f aca="false">-AL36*Hipótesis!$D$68</f>
        <v>-2206.10454525963</v>
      </c>
      <c r="AM73" s="138" t="n">
        <f aca="false">-AM36*Hipótesis!$D$68</f>
        <v>-2247.83781367972</v>
      </c>
      <c r="AN73" s="138" t="n">
        <f aca="false">-AN36*Hipótesis!$D$68</f>
        <v>-2289.57108209981</v>
      </c>
      <c r="AO73" s="138" t="n">
        <f aca="false">-AO36*Hipótesis!$D$68</f>
        <v>-2331.30435051989</v>
      </c>
      <c r="AP73" s="138" t="n">
        <f aca="false">-AP36*Hipótesis!$D$68</f>
        <v>-2373.03761893998</v>
      </c>
      <c r="AQ73" s="138" t="n">
        <f aca="false">-AQ36*Hipótesis!$D$68</f>
        <v>-1979.29451122389</v>
      </c>
      <c r="AR73" s="138" t="n">
        <f aca="false">-AR36*Hipótesis!$D$68</f>
        <v>-2456.50415578015</v>
      </c>
      <c r="AS73" s="138" t="n">
        <f aca="false">-AS36*Hipótesis!$D$68</f>
        <v>-2456.50415578015</v>
      </c>
      <c r="AT73" s="138" t="n">
        <f aca="false">-AT36*Hipótesis!$D$68</f>
        <v>-2456.50415578015</v>
      </c>
      <c r="AU73" s="138" t="n">
        <f aca="false">-AU36*Hipótesis!$D$68</f>
        <v>-2456.50415578015</v>
      </c>
      <c r="AV73" s="138" t="n">
        <f aca="false">-AV36*Hipótesis!$D$68</f>
        <v>-2456.50415578015</v>
      </c>
      <c r="AW73" s="138" t="n">
        <f aca="false">-AW36*Hipótesis!$D$68</f>
        <v>-2456.50415578015</v>
      </c>
      <c r="AX73" s="138" t="n">
        <f aca="false">-AX36*Hipótesis!$D$68</f>
        <v>-2456.50415578015</v>
      </c>
      <c r="AY73" s="138" t="n">
        <f aca="false">-AY36*Hipótesis!$D$68</f>
        <v>-2456.50415578015</v>
      </c>
      <c r="AZ73" s="138" t="n">
        <f aca="false">-AZ36*Hipótesis!$D$68</f>
        <v>-2456.50415578015</v>
      </c>
      <c r="BA73" s="138" t="n">
        <f aca="false">-BA36*Hipótesis!$D$68</f>
        <v>-2456.50415578015</v>
      </c>
      <c r="BB73" s="138" t="n">
        <f aca="false">-BB36*Hipótesis!$D$68</f>
        <v>-2456.50415578015</v>
      </c>
      <c r="BC73" s="138" t="n">
        <f aca="false">-BC36*Hipótesis!$D$68</f>
        <v>-2021.02777964397</v>
      </c>
      <c r="BD73" s="138" t="n">
        <f aca="false">-BD36*Hipótesis!$D$68</f>
        <v>-2456.50415578015</v>
      </c>
      <c r="BE73" s="138" t="n">
        <f aca="false">-BE36*Hipótesis!$D$68</f>
        <v>-2456.50415578015</v>
      </c>
      <c r="BF73" s="138" t="n">
        <f aca="false">-BF36*Hipótesis!$D$68</f>
        <v>-2456.50415578015</v>
      </c>
      <c r="BG73" s="138" t="n">
        <f aca="false">-BG36*Hipótesis!$D$68</f>
        <v>-2456.50415578015</v>
      </c>
      <c r="BH73" s="138" t="n">
        <f aca="false">-BH36*Hipótesis!$D$68</f>
        <v>-2456.50415578015</v>
      </c>
      <c r="BI73" s="138" t="n">
        <f aca="false">-BI36*Hipótesis!$D$68</f>
        <v>-2456.50415578015</v>
      </c>
      <c r="BJ73" s="138" t="n">
        <f aca="false">-BJ36*Hipótesis!$D$68</f>
        <v>-2456.50415578015</v>
      </c>
      <c r="BK73" s="138" t="n">
        <f aca="false">-BK36*Hipótesis!$D$68</f>
        <v>-2456.50415578015</v>
      </c>
      <c r="BL73" s="138" t="n">
        <f aca="false">-BL36*Hipótesis!$D$68</f>
        <v>-2456.50415578015</v>
      </c>
      <c r="BM73" s="138" t="n">
        <f aca="false">-BM36*Hipótesis!$D$68</f>
        <v>-2456.50415578015</v>
      </c>
      <c r="BN73" s="138" t="n">
        <f aca="false">-BN36*Hipótesis!$D$68</f>
        <v>-2456.50415578015</v>
      </c>
      <c r="BO73" s="138" t="n">
        <f aca="false">-BO36*Hipótesis!$D$68</f>
        <v>-2021.02777964397</v>
      </c>
      <c r="BP73" s="138" t="n">
        <f aca="false">-BP36*Hipótesis!$D$68</f>
        <v>-2456.50415578015</v>
      </c>
      <c r="BQ73" s="138" t="n">
        <f aca="false">-BQ36*Hipótesis!$D$68</f>
        <v>-2456.50415578015</v>
      </c>
      <c r="BR73" s="138" t="n">
        <f aca="false">-BR36*Hipótesis!$D$68</f>
        <v>-2456.50415578015</v>
      </c>
      <c r="BS73" s="138" t="n">
        <f aca="false">-BS36*Hipótesis!$D$68</f>
        <v>-2456.50415578015</v>
      </c>
      <c r="BT73" s="138" t="n">
        <f aca="false">-BT36*Hipótesis!$D$68</f>
        <v>-2456.50415578015</v>
      </c>
      <c r="BU73" s="138" t="n">
        <f aca="false">-BU36*Hipótesis!$D$68</f>
        <v>-2456.50415578015</v>
      </c>
      <c r="BV73" s="138" t="n">
        <f aca="false">-BV36*Hipótesis!$D$68</f>
        <v>-2456.50415578015</v>
      </c>
      <c r="BW73" s="138" t="n">
        <f aca="false">-BW36*Hipótesis!$D$68</f>
        <v>-2456.50415578015</v>
      </c>
      <c r="BX73" s="138" t="n">
        <f aca="false">-BX36*Hipótesis!$D$68</f>
        <v>-2456.50415578015</v>
      </c>
      <c r="BY73" s="138" t="n">
        <f aca="false">-BY36*Hipótesis!$D$68</f>
        <v>-2456.50415578015</v>
      </c>
      <c r="BZ73" s="138" t="n">
        <f aca="false">-BZ36*Hipótesis!$D$68</f>
        <v>-2456.50415578015</v>
      </c>
      <c r="CA73" s="138" t="n">
        <f aca="false">-CA36*Hipótesis!$D$68</f>
        <v>-2021.02777964397</v>
      </c>
      <c r="CB73" s="138" t="n">
        <f aca="false">-CB36*Hipótesis!$D$68</f>
        <v>-2456.50415578015</v>
      </c>
      <c r="CC73" s="138" t="n">
        <f aca="false">-CC36*Hipótesis!$D$68</f>
        <v>-2456.50415578015</v>
      </c>
      <c r="CD73" s="138" t="n">
        <f aca="false">-CD36*Hipótesis!$D$68</f>
        <v>-2456.50415578015</v>
      </c>
      <c r="CE73" s="138" t="n">
        <f aca="false">-CE36*Hipótesis!$D$68</f>
        <v>-2456.50415578015</v>
      </c>
      <c r="CF73" s="138" t="n">
        <f aca="false">-CF36*Hipótesis!$D$68</f>
        <v>-2456.50415578015</v>
      </c>
      <c r="CG73" s="138" t="n">
        <f aca="false">-CG36*Hipótesis!$D$68</f>
        <v>-2456.50415578015</v>
      </c>
      <c r="CH73" s="138" t="n">
        <f aca="false">-CH36*Hipótesis!$D$68</f>
        <v>-2456.50415578015</v>
      </c>
    </row>
    <row r="74" customFormat="false" ht="13.5" hidden="false" customHeight="true" outlineLevel="0" collapsed="false">
      <c r="A74" s="30" t="s">
        <v>752</v>
      </c>
      <c r="C74" s="138" t="n">
        <f aca="false">C66+C67+C71+C72+C73</f>
        <v>-50138.1963567201</v>
      </c>
      <c r="D74" s="138" t="n">
        <f aca="false">D66+D67+D71+D72+D73</f>
        <v>-28776.5527543561</v>
      </c>
      <c r="E74" s="138" t="n">
        <f aca="false">E66+E67+E71+E72+E73</f>
        <v>-23486.8448872003</v>
      </c>
      <c r="F74" s="138" t="n">
        <f aca="false">F66+F67+F71+F72+F73</f>
        <v>-20985.9885371778</v>
      </c>
      <c r="G74" s="138" t="n">
        <f aca="false">G66+G67+G71+G72+G73</f>
        <v>-18630.0344170994</v>
      </c>
      <c r="H74" s="138" t="n">
        <f aca="false">H66+H67+H71+H72+H73</f>
        <v>-18962.7897727947</v>
      </c>
      <c r="I74" s="138" t="n">
        <f aca="false">I66+I67+I71+I72+I73</f>
        <v>-13631.9054945506</v>
      </c>
      <c r="J74" s="138" t="n">
        <f aca="false">J66+J67+J71+J72+J73</f>
        <v>-10205.2679750913</v>
      </c>
      <c r="K74" s="138" t="n">
        <f aca="false">K66+K67+K71+K72+K73</f>
        <v>-6475.77913343972</v>
      </c>
      <c r="L74" s="138" t="n">
        <f aca="false">L66+L67+L71+L72+L73</f>
        <v>-2872.97686729623</v>
      </c>
      <c r="M74" s="138" t="n">
        <f aca="false">M66+M67+M71+M72+M73</f>
        <v>69.0605689419222</v>
      </c>
      <c r="N74" s="138" t="n">
        <f aca="false">N66+N67+N71+N72+N73</f>
        <v>125.336236676776</v>
      </c>
      <c r="O74" s="138" t="n">
        <f aca="false">O66+O67+O71+O72+O73</f>
        <v>-428.934445908731</v>
      </c>
      <c r="P74" s="138" t="n">
        <f aca="false">P66+P67+P71+P72+P73</f>
        <v>1616.72116448333</v>
      </c>
      <c r="Q74" s="138" t="n">
        <f aca="false">Q66+Q67+Q71+Q72+Q73</f>
        <v>1612.57168705924</v>
      </c>
      <c r="R74" s="138" t="n">
        <f aca="false">R66+R67+R71+R72+R73</f>
        <v>3579.97881018787</v>
      </c>
      <c r="S74" s="138" t="n">
        <f aca="false">S66+S67+S71+S72+S73</f>
        <v>7925.82301028684</v>
      </c>
      <c r="T74" s="138" t="n">
        <f aca="false">T66+T67+T71+T72+T73</f>
        <v>-3074.12025943634</v>
      </c>
      <c r="U74" s="138" t="n">
        <f aca="false">U66+U67+U71+U72+U73</f>
        <v>7508.18355524013</v>
      </c>
      <c r="V74" s="138" t="n">
        <f aca="false">V66+V67+V71+V72+V73</f>
        <v>7152.13507200594</v>
      </c>
      <c r="W74" s="138" t="n">
        <f aca="false">W66+W67+W71+W72+W73</f>
        <v>9115.78292194766</v>
      </c>
      <c r="X74" s="138" t="n">
        <f aca="false">X66+X67+X71+X72+X73</f>
        <v>8868.36208412958</v>
      </c>
      <c r="Y74" s="138" t="n">
        <f aca="false">Y66+Y67+Y71+Y72+Y73</f>
        <v>10436.7462996921</v>
      </c>
      <c r="Z74" s="138" t="n">
        <f aca="false">Z66+Z67+Z71+Z72+Z73</f>
        <v>11915.8448451728</v>
      </c>
      <c r="AA74" s="138" t="n">
        <f aca="false">AA66+AA67+AA71+AA72+AA73</f>
        <v>11277.211372978</v>
      </c>
      <c r="AB74" s="138" t="n">
        <f aca="false">AB66+AB67+AB71+AB72+AB73</f>
        <v>12702.4399386499</v>
      </c>
      <c r="AC74" s="138" t="n">
        <f aca="false">AC66+AC67+AC71+AC72+AC73</f>
        <v>14127.6685043218</v>
      </c>
      <c r="AD74" s="138" t="n">
        <f aca="false">AD66+AD67+AD71+AD72+AD73</f>
        <v>15552.8970699938</v>
      </c>
      <c r="AE74" s="138" t="n">
        <f aca="false">AE66+AE67+AE71+AE72+AE73</f>
        <v>21578.7808325906</v>
      </c>
      <c r="AF74" s="138" t="n">
        <f aca="false">AF66+AF67+AF71+AF72+AF73</f>
        <v>1682.20029874163</v>
      </c>
      <c r="AG74" s="138" t="n">
        <f aca="false">AG66+AG67+AG71+AG72+AG73</f>
        <v>17797.8801282095</v>
      </c>
      <c r="AH74" s="138" t="n">
        <f aca="false">AH66+AH67+AH71+AH72+AH73</f>
        <v>19223.1086938814</v>
      </c>
      <c r="AI74" s="138" t="n">
        <f aca="false">AI66+AI67+AI71+AI72+AI73</f>
        <v>20648.3372595533</v>
      </c>
      <c r="AJ74" s="138" t="n">
        <f aca="false">AJ66+AJ67+AJ71+AJ72+AJ73</f>
        <v>22073.5658252252</v>
      </c>
      <c r="AK74" s="138" t="n">
        <f aca="false">AK66+AK67+AK71+AK72+AK73</f>
        <v>23498.7943908971</v>
      </c>
      <c r="AL74" s="138" t="n">
        <f aca="false">AL66+AL67+AL71+AL72+AL73</f>
        <v>24924.022956569</v>
      </c>
      <c r="AM74" s="138" t="n">
        <f aca="false">AM66+AM67+AM71+AM72+AM73</f>
        <v>19781.8396122773</v>
      </c>
      <c r="AN74" s="138" t="n">
        <f aca="false">AN66+AN67+AN71+AN72+AN73</f>
        <v>20782.3786667178</v>
      </c>
      <c r="AO74" s="138" t="n">
        <f aca="false">AO66+AO67+AO71+AO72+AO73</f>
        <v>21782.9177211584</v>
      </c>
      <c r="AP74" s="138" t="n">
        <f aca="false">AP66+AP67+AP71+AP72+AP73</f>
        <v>22783.4567755989</v>
      </c>
      <c r="AQ74" s="138" t="n">
        <f aca="false">AQ66+AQ67+AQ71+AQ72+AQ73</f>
        <v>31129.9888029978</v>
      </c>
      <c r="AR74" s="138" t="n">
        <f aca="false">AR66+AR67+AR71+AR72+AR73</f>
        <v>6548.11262597467</v>
      </c>
      <c r="AS74" s="138" t="n">
        <f aca="false">AS66+AS67+AS71+AS72+AS73</f>
        <v>25338.3734196101</v>
      </c>
      <c r="AT74" s="138" t="n">
        <f aca="false">AT66+AT67+AT71+AT72+AT73</f>
        <v>25336.9845307212</v>
      </c>
      <c r="AU74" s="138" t="n">
        <f aca="false">AU66+AU67+AU71+AU72+AU73</f>
        <v>25335.5956418323</v>
      </c>
      <c r="AV74" s="138" t="n">
        <f aca="false">AV66+AV67+AV71+AV72+AV73</f>
        <v>25334.2067529434</v>
      </c>
      <c r="AW74" s="138" t="n">
        <f aca="false">AW66+AW67+AW71+AW72+AW73</f>
        <v>25332.8178640546</v>
      </c>
      <c r="AX74" s="138" t="n">
        <f aca="false">AX66+AX67+AX71+AX72+AX73</f>
        <v>25331.4289751657</v>
      </c>
      <c r="AY74" s="138" t="n">
        <f aca="false">AY66+AY67+AY71+AY72+AY73</f>
        <v>23371.2210900636</v>
      </c>
      <c r="AZ74" s="138" t="n">
        <f aca="false">AZ66+AZ67+AZ71+AZ72+AZ73</f>
        <v>23369.8322011747</v>
      </c>
      <c r="BA74" s="138" t="n">
        <f aca="false">BA66+BA67+BA71+BA72+BA73</f>
        <v>23368.4433122858</v>
      </c>
      <c r="BB74" s="138" t="n">
        <f aca="false">BB66+BB67+BB71+BB72+BB73</f>
        <v>23367.0544233969</v>
      </c>
      <c r="BC74" s="138" t="n">
        <f aca="false">BC66+BC67+BC71+BC72+BC73</f>
        <v>30711.6585074663</v>
      </c>
      <c r="BD74" s="138" t="n">
        <f aca="false">BD66+BD67+BD71+BD72+BD73</f>
        <v>5127.85438711385</v>
      </c>
      <c r="BE74" s="138" t="n">
        <f aca="false">BE66+BE67+BE71+BE72+BE73</f>
        <v>23362.8877567302</v>
      </c>
      <c r="BF74" s="138" t="n">
        <f aca="false">BF66+BF67+BF71+BF72+BF73</f>
        <v>23361.4988678414</v>
      </c>
      <c r="BG74" s="138" t="n">
        <f aca="false">BG66+BG67+BG71+BG72+BG73</f>
        <v>23360.1099789525</v>
      </c>
      <c r="BH74" s="138" t="n">
        <f aca="false">BH66+BH67+BH71+BH72+BH73</f>
        <v>23358.7210900636</v>
      </c>
      <c r="BI74" s="138" t="n">
        <f aca="false">BI66+BI67+BI71+BI72+BI73</f>
        <v>23357.3322011747</v>
      </c>
      <c r="BJ74" s="138" t="n">
        <f aca="false">BJ66+BJ67+BJ71+BJ72+BJ73</f>
        <v>23355.9433122858</v>
      </c>
      <c r="BK74" s="138" t="n">
        <f aca="false">BK66+BK67+BK71+BK72+BK73</f>
        <v>21381.8178572973</v>
      </c>
      <c r="BL74" s="138" t="n">
        <f aca="false">BL66+BL67+BL71+BL72+BL73</f>
        <v>21380.4289684084</v>
      </c>
      <c r="BM74" s="138" t="n">
        <f aca="false">BM66+BM67+BM71+BM72+BM73</f>
        <v>21379.0400795195</v>
      </c>
      <c r="BN74" s="138" t="n">
        <f aca="false">BN66+BN67+BN71+BN72+BN73</f>
        <v>21377.6511906306</v>
      </c>
      <c r="BO74" s="138" t="n">
        <f aca="false">BO66+BO67+BO71+BO72+BO73</f>
        <v>28722.2552747001</v>
      </c>
      <c r="BP74" s="138" t="n">
        <f aca="false">BP66+BP67+BP71+BP72+BP73</f>
        <v>3138.45115434758</v>
      </c>
      <c r="BQ74" s="138" t="n">
        <f aca="false">BQ66+BQ67+BQ71+BQ72+BQ73</f>
        <v>21373.484523964</v>
      </c>
      <c r="BR74" s="138" t="n">
        <f aca="false">BR66+BR67+BR71+BR72+BR73</f>
        <v>21372.0956350751</v>
      </c>
      <c r="BS74" s="138" t="n">
        <f aca="false">BS66+BS67+BS71+BS72+BS73</f>
        <v>21370.7067461862</v>
      </c>
      <c r="BT74" s="138" t="n">
        <f aca="false">BT66+BT67+BT71+BT72+BT73</f>
        <v>21369.3178572973</v>
      </c>
      <c r="BU74" s="138" t="n">
        <f aca="false">BU66+BU67+BU71+BU72+BU73</f>
        <v>21367.9289684084</v>
      </c>
      <c r="BV74" s="138" t="n">
        <f aca="false">BV66+BV67+BV71+BV72+BV73</f>
        <v>21366.5400795195</v>
      </c>
      <c r="BW74" s="138" t="n">
        <f aca="false">BW66+BW67+BW71+BW72+BW73</f>
        <v>19378.0795275481</v>
      </c>
      <c r="BX74" s="138" t="n">
        <f aca="false">BX66+BX67+BX71+BX72+BX73</f>
        <v>19376.6906386592</v>
      </c>
      <c r="BY74" s="138" t="n">
        <f aca="false">BY66+BY67+BY71+BY72+BY73</f>
        <v>19375.3017497703</v>
      </c>
      <c r="BZ74" s="138" t="n">
        <f aca="false">BZ66+BZ67+BZ71+BZ72+BZ73</f>
        <v>19373.9128608814</v>
      </c>
      <c r="CA74" s="138" t="n">
        <f aca="false">CA66+CA67+CA71+CA72+CA73</f>
        <v>26718.5169449508</v>
      </c>
      <c r="CB74" s="138" t="n">
        <f aca="false">CB66+CB67+CB71+CB72+CB73</f>
        <v>1134.71282459833</v>
      </c>
      <c r="CC74" s="138" t="n">
        <f aca="false">CC66+CC67+CC71+CC72+CC73</f>
        <v>19369.7461942147</v>
      </c>
      <c r="CD74" s="138" t="n">
        <f aca="false">CD66+CD67+CD71+CD72+CD73</f>
        <v>19368.3573053258</v>
      </c>
      <c r="CE74" s="138" t="n">
        <f aca="false">CE66+CE67+CE71+CE72+CE73</f>
        <v>19366.9684164369</v>
      </c>
      <c r="CF74" s="138" t="n">
        <f aca="false">CF66+CF67+CF71+CF72+CF73</f>
        <v>19365.5795275481</v>
      </c>
      <c r="CG74" s="138" t="n">
        <f aca="false">CG66+CG67+CG71+CG72+CG73</f>
        <v>19364.1906386592</v>
      </c>
      <c r="CH74" s="138" t="n">
        <f aca="false">CH66+CH67+CH71+CH72+CH73</f>
        <v>19362.8017497703</v>
      </c>
    </row>
    <row r="75" customFormat="false" ht="13.5" hidden="false" customHeight="true" outlineLevel="0" collapsed="false">
      <c r="A75" s="13" t="s">
        <v>753</v>
      </c>
      <c r="C75" s="138" t="n">
        <f aca="false">Hipótesis!$D$122</f>
        <v>200000</v>
      </c>
      <c r="D75" s="138" t="n">
        <f aca="false">0</f>
        <v>0</v>
      </c>
      <c r="E75" s="138" t="n">
        <f aca="false">0</f>
        <v>0</v>
      </c>
      <c r="F75" s="138" t="n">
        <f aca="false">0</f>
        <v>0</v>
      </c>
      <c r="G75" s="138" t="n">
        <f aca="false">0</f>
        <v>0</v>
      </c>
      <c r="H75" s="138" t="n">
        <f aca="false">0</f>
        <v>0</v>
      </c>
      <c r="I75" s="138" t="n">
        <f aca="false">0</f>
        <v>0</v>
      </c>
      <c r="J75" s="138" t="n">
        <f aca="false">0</f>
        <v>0</v>
      </c>
      <c r="K75" s="138" t="n">
        <f aca="false">0</f>
        <v>0</v>
      </c>
      <c r="L75" s="138" t="n">
        <f aca="false">0</f>
        <v>0</v>
      </c>
      <c r="M75" s="138" t="n">
        <f aca="false">0</f>
        <v>0</v>
      </c>
      <c r="N75" s="138" t="n">
        <f aca="false">0</f>
        <v>0</v>
      </c>
      <c r="O75" s="138" t="n">
        <f aca="false">0</f>
        <v>0</v>
      </c>
      <c r="P75" s="138" t="n">
        <f aca="false">0</f>
        <v>0</v>
      </c>
      <c r="Q75" s="138" t="n">
        <f aca="false">0</f>
        <v>0</v>
      </c>
      <c r="R75" s="138" t="n">
        <f aca="false">0</f>
        <v>0</v>
      </c>
      <c r="S75" s="138" t="n">
        <f aca="false">0</f>
        <v>0</v>
      </c>
      <c r="T75" s="138" t="n">
        <f aca="false">0</f>
        <v>0</v>
      </c>
      <c r="U75" s="138" t="n">
        <f aca="false">0</f>
        <v>0</v>
      </c>
      <c r="V75" s="138" t="n">
        <f aca="false">0</f>
        <v>0</v>
      </c>
      <c r="W75" s="138" t="n">
        <f aca="false">0</f>
        <v>0</v>
      </c>
      <c r="X75" s="138" t="n">
        <f aca="false">0</f>
        <v>0</v>
      </c>
      <c r="Y75" s="138" t="n">
        <f aca="false">0</f>
        <v>0</v>
      </c>
      <c r="Z75" s="138" t="n">
        <f aca="false">0</f>
        <v>0</v>
      </c>
      <c r="AA75" s="138" t="n">
        <f aca="false">0</f>
        <v>0</v>
      </c>
      <c r="AB75" s="138" t="n">
        <f aca="false">0</f>
        <v>0</v>
      </c>
      <c r="AC75" s="138" t="n">
        <f aca="false">0</f>
        <v>0</v>
      </c>
      <c r="AD75" s="138" t="n">
        <f aca="false">0</f>
        <v>0</v>
      </c>
      <c r="AE75" s="138" t="n">
        <f aca="false">0</f>
        <v>0</v>
      </c>
      <c r="AF75" s="138" t="n">
        <f aca="false">0</f>
        <v>0</v>
      </c>
      <c r="AG75" s="138" t="n">
        <f aca="false">0</f>
        <v>0</v>
      </c>
      <c r="AH75" s="138" t="n">
        <f aca="false">0</f>
        <v>0</v>
      </c>
      <c r="AI75" s="138" t="n">
        <f aca="false">0</f>
        <v>0</v>
      </c>
      <c r="AJ75" s="138" t="n">
        <f aca="false">0</f>
        <v>0</v>
      </c>
      <c r="AK75" s="138" t="n">
        <f aca="false">0</f>
        <v>0</v>
      </c>
      <c r="AL75" s="138" t="n">
        <f aca="false">0</f>
        <v>0</v>
      </c>
      <c r="AM75" s="138" t="n">
        <f aca="false">0</f>
        <v>0</v>
      </c>
      <c r="AN75" s="138" t="n">
        <f aca="false">0</f>
        <v>0</v>
      </c>
      <c r="AO75" s="138" t="n">
        <f aca="false">0</f>
        <v>0</v>
      </c>
      <c r="AP75" s="138" t="n">
        <f aca="false">0</f>
        <v>0</v>
      </c>
      <c r="AQ75" s="138" t="n">
        <f aca="false">0</f>
        <v>0</v>
      </c>
      <c r="AR75" s="138" t="n">
        <f aca="false">0</f>
        <v>0</v>
      </c>
      <c r="AS75" s="138" t="n">
        <f aca="false">0</f>
        <v>0</v>
      </c>
      <c r="AT75" s="138" t="n">
        <f aca="false">0</f>
        <v>0</v>
      </c>
      <c r="AU75" s="138" t="n">
        <f aca="false">0</f>
        <v>0</v>
      </c>
      <c r="AV75" s="138" t="n">
        <f aca="false">0</f>
        <v>0</v>
      </c>
      <c r="AW75" s="138" t="n">
        <f aca="false">0</f>
        <v>0</v>
      </c>
      <c r="AX75" s="138" t="n">
        <f aca="false">0</f>
        <v>0</v>
      </c>
      <c r="AY75" s="138" t="n">
        <f aca="false">0</f>
        <v>0</v>
      </c>
      <c r="AZ75" s="138" t="n">
        <f aca="false">0</f>
        <v>0</v>
      </c>
      <c r="BA75" s="138" t="n">
        <f aca="false">0</f>
        <v>0</v>
      </c>
      <c r="BB75" s="138" t="n">
        <f aca="false">0</f>
        <v>0</v>
      </c>
      <c r="BC75" s="138" t="n">
        <f aca="false">0</f>
        <v>0</v>
      </c>
      <c r="BD75" s="138" t="n">
        <f aca="false">0</f>
        <v>0</v>
      </c>
      <c r="BE75" s="138" t="n">
        <f aca="false">0</f>
        <v>0</v>
      </c>
      <c r="BF75" s="138" t="n">
        <f aca="false">0</f>
        <v>0</v>
      </c>
      <c r="BG75" s="138" t="n">
        <f aca="false">0</f>
        <v>0</v>
      </c>
      <c r="BH75" s="138" t="n">
        <f aca="false">0</f>
        <v>0</v>
      </c>
      <c r="BI75" s="138" t="n">
        <f aca="false">0</f>
        <v>0</v>
      </c>
      <c r="BJ75" s="138" t="n">
        <f aca="false">0</f>
        <v>0</v>
      </c>
      <c r="BK75" s="138" t="n">
        <f aca="false">0</f>
        <v>0</v>
      </c>
      <c r="BL75" s="138" t="n">
        <f aca="false">0</f>
        <v>0</v>
      </c>
      <c r="BM75" s="138" t="n">
        <f aca="false">0</f>
        <v>0</v>
      </c>
      <c r="BN75" s="138" t="n">
        <f aca="false">0</f>
        <v>0</v>
      </c>
      <c r="BO75" s="138" t="n">
        <f aca="false">0</f>
        <v>0</v>
      </c>
      <c r="BP75" s="138" t="n">
        <f aca="false">0</f>
        <v>0</v>
      </c>
      <c r="BQ75" s="138" t="n">
        <f aca="false">0</f>
        <v>0</v>
      </c>
      <c r="BR75" s="138" t="n">
        <f aca="false">0</f>
        <v>0</v>
      </c>
      <c r="BS75" s="138" t="n">
        <f aca="false">0</f>
        <v>0</v>
      </c>
      <c r="BT75" s="138" t="n">
        <f aca="false">0</f>
        <v>0</v>
      </c>
      <c r="BU75" s="138" t="n">
        <f aca="false">0</f>
        <v>0</v>
      </c>
      <c r="BV75" s="138" t="n">
        <f aca="false">0</f>
        <v>0</v>
      </c>
      <c r="BW75" s="138" t="n">
        <f aca="false">0</f>
        <v>0</v>
      </c>
      <c r="BX75" s="138" t="n">
        <f aca="false">0</f>
        <v>0</v>
      </c>
      <c r="BY75" s="138" t="n">
        <f aca="false">0</f>
        <v>0</v>
      </c>
      <c r="BZ75" s="138" t="n">
        <f aca="false">0</f>
        <v>0</v>
      </c>
      <c r="CA75" s="138" t="n">
        <f aca="false">0</f>
        <v>0</v>
      </c>
      <c r="CB75" s="138" t="n">
        <f aca="false">0</f>
        <v>0</v>
      </c>
      <c r="CC75" s="138" t="n">
        <f aca="false">0</f>
        <v>0</v>
      </c>
      <c r="CD75" s="138" t="n">
        <f aca="false">0</f>
        <v>0</v>
      </c>
      <c r="CE75" s="138" t="n">
        <f aca="false">0</f>
        <v>0</v>
      </c>
      <c r="CF75" s="138" t="n">
        <f aca="false">0</f>
        <v>0</v>
      </c>
      <c r="CG75" s="138" t="n">
        <f aca="false">0</f>
        <v>0</v>
      </c>
      <c r="CH75" s="138" t="n">
        <f aca="false">0</f>
        <v>0</v>
      </c>
    </row>
    <row r="76" customFormat="false" ht="13.5" hidden="false" customHeight="true" outlineLevel="0" collapsed="false">
      <c r="A76" s="13" t="s">
        <v>754</v>
      </c>
      <c r="C76" s="138" t="n">
        <f aca="false">-C106</f>
        <v>-333.333333333333</v>
      </c>
      <c r="D76" s="138" t="n">
        <f aca="false">-D106</f>
        <v>-333.333333333333</v>
      </c>
      <c r="E76" s="138" t="n">
        <f aca="false">-E106</f>
        <v>-333.333333333333</v>
      </c>
      <c r="F76" s="138" t="n">
        <f aca="false">-F106</f>
        <v>-333.333333333333</v>
      </c>
      <c r="G76" s="138" t="n">
        <f aca="false">-G106</f>
        <v>-333.333333333333</v>
      </c>
      <c r="H76" s="138" t="n">
        <f aca="false">-H106</f>
        <v>-333.333333333333</v>
      </c>
      <c r="I76" s="138" t="n">
        <f aca="false">-I106</f>
        <v>-333.333333333333</v>
      </c>
      <c r="J76" s="138" t="n">
        <f aca="false">-J106</f>
        <v>-333.333333333333</v>
      </c>
      <c r="K76" s="138" t="n">
        <f aca="false">-K106</f>
        <v>-333.333333333333</v>
      </c>
      <c r="L76" s="138" t="n">
        <f aca="false">-L106</f>
        <v>-373.694280821524</v>
      </c>
      <c r="M76" s="138" t="n">
        <f aca="false">-M106</f>
        <v>-415.768862920863</v>
      </c>
      <c r="N76" s="138" t="n">
        <f aca="false">-N106</f>
        <v>-422.735473687099</v>
      </c>
      <c r="O76" s="138" t="n">
        <f aca="false">-O106</f>
        <v>-368.691684453335</v>
      </c>
      <c r="P76" s="138" t="n">
        <f aca="false">-P106</f>
        <v>-416.579295102838</v>
      </c>
      <c r="Q76" s="138" t="n">
        <f aca="false">-Q106</f>
        <v>-418.240505752341</v>
      </c>
      <c r="R76" s="138" t="n">
        <f aca="false">-R106</f>
        <v>-466.128116401844</v>
      </c>
      <c r="S76" s="138" t="n">
        <f aca="false">-S106</f>
        <v>-363.893286838975</v>
      </c>
      <c r="T76" s="138" t="n">
        <f aca="false">-T106</f>
        <v>-515.67693770085</v>
      </c>
      <c r="U76" s="138" t="n">
        <f aca="false">-U106</f>
        <v>-563.564548350353</v>
      </c>
      <c r="V76" s="138" t="n">
        <f aca="false">-V106</f>
        <v>-557.068158999856</v>
      </c>
      <c r="W76" s="138" t="n">
        <f aca="false">-W106</f>
        <v>-604.955769649359</v>
      </c>
      <c r="X76" s="138" t="n">
        <f aca="false">-X106</f>
        <v>-596.844951631965</v>
      </c>
      <c r="Y76" s="138" t="n">
        <f aca="false">-Y106</f>
        <v>-634.960533614571</v>
      </c>
      <c r="Z76" s="138" t="n">
        <f aca="false">-Z106</f>
        <v>-669.590124130419</v>
      </c>
      <c r="AA76" s="138" t="n">
        <f aca="false">-AA106</f>
        <v>-2322.47617331293</v>
      </c>
      <c r="AB76" s="138" t="n">
        <f aca="false">-AB106</f>
        <v>-2351.55020827322</v>
      </c>
      <c r="AC76" s="138" t="n">
        <f aca="false">-AC106</f>
        <v>-2380.62424323352</v>
      </c>
      <c r="AD76" s="138" t="n">
        <f aca="false">-AD106</f>
        <v>-2409.69827819381</v>
      </c>
      <c r="AE76" s="138" t="n">
        <f aca="false">-AE106</f>
        <v>-2193.97520926241</v>
      </c>
      <c r="AF76" s="138" t="n">
        <f aca="false">-AF106</f>
        <v>-2420.23315611439</v>
      </c>
      <c r="AG76" s="138" t="n">
        <f aca="false">-AG106</f>
        <v>-2449.30719107468</v>
      </c>
      <c r="AH76" s="138" t="n">
        <f aca="false">-AH106</f>
        <v>-2478.38122603498</v>
      </c>
      <c r="AI76" s="138" t="n">
        <f aca="false">-AI106</f>
        <v>-2507.45526099527</v>
      </c>
      <c r="AJ76" s="138" t="n">
        <f aca="false">-AJ106</f>
        <v>-2536.52929595556</v>
      </c>
      <c r="AK76" s="138" t="n">
        <f aca="false">-AK106</f>
        <v>-2565.60333091585</v>
      </c>
      <c r="AL76" s="138" t="n">
        <f aca="false">-AL106</f>
        <v>-2594.67736587614</v>
      </c>
      <c r="AM76" s="138" t="n">
        <f aca="false">-AM106</f>
        <v>-2520.03995902066</v>
      </c>
      <c r="AN76" s="138" t="n">
        <f aca="false">-AN106</f>
        <v>-2542.06887274725</v>
      </c>
      <c r="AO76" s="138" t="n">
        <f aca="false">-AO106</f>
        <v>-2564.09778647384</v>
      </c>
      <c r="AP76" s="138" t="n">
        <f aca="false">-AP106</f>
        <v>-2586.12670020042</v>
      </c>
      <c r="AQ76" s="138" t="n">
        <f aca="false">-AQ106</f>
        <v>-2308.13162288905</v>
      </c>
      <c r="AR76" s="138" t="n">
        <f aca="false">-AR106</f>
        <v>-2630.1845276536</v>
      </c>
      <c r="AS76" s="138" t="n">
        <f aca="false">-AS106</f>
        <v>-2624.62897209804</v>
      </c>
      <c r="AT76" s="138" t="n">
        <f aca="false">-AT106</f>
        <v>-2619.07341654249</v>
      </c>
      <c r="AU76" s="138" t="n">
        <f aca="false">-AU106</f>
        <v>-2613.51786098693</v>
      </c>
      <c r="AV76" s="138" t="n">
        <f aca="false">-AV106</f>
        <v>-2607.96230543137</v>
      </c>
      <c r="AW76" s="138" t="n">
        <f aca="false">-AW106</f>
        <v>-2602.40674987582</v>
      </c>
      <c r="AX76" s="138" t="n">
        <f aca="false">-AX106</f>
        <v>-2596.85119432026</v>
      </c>
      <c r="AY76" s="138" t="n">
        <f aca="false">-AY106</f>
        <v>-2539.40639383191</v>
      </c>
      <c r="AZ76" s="138" t="n">
        <f aca="false">-AZ106</f>
        <v>-2533.85083827635</v>
      </c>
      <c r="BA76" s="138" t="n">
        <f aca="false">-BA106</f>
        <v>-2528.2952827208</v>
      </c>
      <c r="BB76" s="138" t="n">
        <f aca="false">-BB106</f>
        <v>-2522.73972716524</v>
      </c>
      <c r="BC76" s="138" t="n">
        <f aca="false">-BC106</f>
        <v>-2217.16018057172</v>
      </c>
      <c r="BD76" s="138" t="n">
        <f aca="false">-BD106</f>
        <v>-2511.62861605413</v>
      </c>
      <c r="BE76" s="138" t="n">
        <f aca="false">-BE106</f>
        <v>-2506.07306049857</v>
      </c>
      <c r="BF76" s="138" t="n">
        <f aca="false">-BF106</f>
        <v>-2500.51750494302</v>
      </c>
      <c r="BG76" s="138" t="n">
        <f aca="false">-BG106</f>
        <v>-2494.96194938746</v>
      </c>
      <c r="BH76" s="138" t="n">
        <f aca="false">-BH106</f>
        <v>-2489.40639383191</v>
      </c>
      <c r="BI76" s="138" t="n">
        <f aca="false">-BI106</f>
        <v>-2483.85083827635</v>
      </c>
      <c r="BJ76" s="138" t="n">
        <f aca="false">-BJ106</f>
        <v>-2478.2952827208</v>
      </c>
      <c r="BK76" s="138" t="n">
        <f aca="false">-BK106</f>
        <v>-2420.48180488446</v>
      </c>
      <c r="BL76" s="138" t="n">
        <f aca="false">-BL106</f>
        <v>-2414.9262493289</v>
      </c>
      <c r="BM76" s="138" t="n">
        <f aca="false">-BM106</f>
        <v>-2409.37069377335</v>
      </c>
      <c r="BN76" s="138" t="n">
        <f aca="false">-BN106</f>
        <v>-2403.81513821779</v>
      </c>
      <c r="BO76" s="138" t="n">
        <f aca="false">-BO106</f>
        <v>-2098.23559162427</v>
      </c>
      <c r="BP76" s="138" t="n">
        <f aca="false">-BP106</f>
        <v>-2392.70402710668</v>
      </c>
      <c r="BQ76" s="138" t="n">
        <f aca="false">-BQ106</f>
        <v>-2387.14847155112</v>
      </c>
      <c r="BR76" s="138" t="n">
        <f aca="false">-BR106</f>
        <v>-2381.59291599557</v>
      </c>
      <c r="BS76" s="138" t="n">
        <f aca="false">-BS106</f>
        <v>-2376.03736044001</v>
      </c>
      <c r="BT76" s="138" t="n">
        <f aca="false">-BT106</f>
        <v>-2370.48180488446</v>
      </c>
      <c r="BU76" s="138" t="n">
        <f aca="false">-BU106</f>
        <v>-2364.9262493289</v>
      </c>
      <c r="BV76" s="138" t="n">
        <f aca="false">-BV106</f>
        <v>-2359.37069377335</v>
      </c>
      <c r="BW76" s="138" t="n">
        <f aca="false">-BW106</f>
        <v>-2301.17747826858</v>
      </c>
      <c r="BX76" s="138" t="n">
        <f aca="false">-BX106</f>
        <v>-2295.62192271303</v>
      </c>
      <c r="BY76" s="138" t="n">
        <f aca="false">-BY106</f>
        <v>-2290.06636715747</v>
      </c>
      <c r="BZ76" s="138" t="n">
        <f aca="false">-BZ106</f>
        <v>-2284.51081160192</v>
      </c>
      <c r="CA76" s="138" t="n">
        <f aca="false">-CA106</f>
        <v>-1978.9312650084</v>
      </c>
      <c r="CB76" s="138" t="n">
        <f aca="false">-CB106</f>
        <v>-2273.39970049081</v>
      </c>
      <c r="CC76" s="138" t="n">
        <f aca="false">-CC106</f>
        <v>-2267.84414493525</v>
      </c>
      <c r="CD76" s="138" t="n">
        <f aca="false">-CD106</f>
        <v>-2262.28858937969</v>
      </c>
      <c r="CE76" s="138" t="n">
        <f aca="false">-CE106</f>
        <v>-2256.73303382414</v>
      </c>
      <c r="CF76" s="138" t="n">
        <f aca="false">-CF106</f>
        <v>-2251.17747826858</v>
      </c>
      <c r="CG76" s="138" t="n">
        <f aca="false">-CG106</f>
        <v>-2245.62192271303</v>
      </c>
      <c r="CH76" s="138" t="n">
        <f aca="false">-CH106</f>
        <v>-2240.06636715741</v>
      </c>
    </row>
    <row r="77" customFormat="false" ht="13.5" hidden="false" customHeight="true" outlineLevel="0" collapsed="false">
      <c r="A77" s="13" t="s">
        <v>755</v>
      </c>
      <c r="C77" s="138" t="n">
        <f aca="false">0</f>
        <v>0</v>
      </c>
      <c r="D77" s="138" t="n">
        <f aca="false">C81*Hipótesis!$D$71/12</f>
        <v>-0</v>
      </c>
      <c r="E77" s="138" t="n">
        <f aca="false">D81*Hipótesis!$D$71/12</f>
        <v>0</v>
      </c>
      <c r="F77" s="138" t="n">
        <f aca="false">E81*Hipótesis!$D$71/12</f>
        <v>0</v>
      </c>
      <c r="G77" s="138" t="n">
        <f aca="false">F81*Hipótesis!$D$71/12</f>
        <v>0</v>
      </c>
      <c r="H77" s="138" t="n">
        <f aca="false">G81*Hipótesis!$D$71/12</f>
        <v>0</v>
      </c>
      <c r="I77" s="138" t="n">
        <f aca="false">H81*Hipótesis!$D$71/12</f>
        <v>0</v>
      </c>
      <c r="J77" s="138" t="n">
        <f aca="false">I81*Hipótesis!$D$71/12</f>
        <v>31.8342087856481</v>
      </c>
      <c r="K77" s="138" t="n">
        <f aca="false">J81*Hipótesis!$D$71/12</f>
        <v>80.2820382395284</v>
      </c>
      <c r="L77" s="138" t="n">
        <f aca="false">K81*Hipótesis!$D$71/12</f>
        <v>111.858429720836</v>
      </c>
      <c r="M77" s="138" t="n">
        <f aca="false">L81*Hipótesis!$D$71/12</f>
        <v>127.25169028593</v>
      </c>
      <c r="N77" s="138" t="n">
        <f aca="false">M81*Hipótesis!$D$71/12</f>
        <v>129.424006880477</v>
      </c>
      <c r="O77" s="138" t="n">
        <f aca="false">N81*Hipótesis!$D$71/12</f>
        <v>131.380280081643</v>
      </c>
      <c r="P77" s="138" t="n">
        <f aca="false">O81*Hipótesis!$D$71/12</f>
        <v>135.63822612951</v>
      </c>
      <c r="Q77" s="138" t="n">
        <f aca="false">P81*Hipótesis!$D$71/12</f>
        <v>130.759251097943</v>
      </c>
      <c r="R77" s="138" t="n">
        <f aca="false">Q81*Hipótesis!$D$71/12</f>
        <v>125.884546417819</v>
      </c>
      <c r="S77" s="138" t="n">
        <f aca="false">R81*Hipótesis!$D$71/12</f>
        <v>112.189701575714</v>
      </c>
      <c r="T77" s="138" t="n">
        <f aca="false">S81*Hipótesis!$D$71/12</f>
        <v>78.0450598088004</v>
      </c>
      <c r="U77" s="138" t="n">
        <f aca="false">T81*Hipótesis!$D$71/12</f>
        <v>94.8560034864696</v>
      </c>
      <c r="V77" s="138" t="n">
        <f aca="false">U81*Hipótesis!$D$71/12</f>
        <v>63.4612563875377</v>
      </c>
      <c r="W77" s="138" t="n">
        <f aca="false">V81*Hipótesis!$D$71/12</f>
        <v>33.5247304613694</v>
      </c>
      <c r="X77" s="138" t="n">
        <f aca="false">W81*Hipótesis!$D$71/12</f>
        <v>0</v>
      </c>
      <c r="Y77" s="138" t="n">
        <f aca="false">X81*Hipótesis!$D$71/12</f>
        <v>0</v>
      </c>
      <c r="Z77" s="138" t="n">
        <f aca="false">Y81*Hipótesis!$D$71/12</f>
        <v>0</v>
      </c>
      <c r="AA77" s="138" t="n">
        <f aca="false">Z81*Hipótesis!$D$71/12</f>
        <v>0</v>
      </c>
      <c r="AB77" s="138" t="n">
        <f aca="false">AA81*Hipótesis!$D$71/12</f>
        <v>0</v>
      </c>
      <c r="AC77" s="138" t="n">
        <f aca="false">AB81*Hipótesis!$D$71/12</f>
        <v>0</v>
      </c>
      <c r="AD77" s="138" t="n">
        <f aca="false">AC81*Hipótesis!$D$71/12</f>
        <v>0</v>
      </c>
      <c r="AE77" s="138" t="n">
        <f aca="false">AD81*Hipótesis!$D$71/12</f>
        <v>0</v>
      </c>
      <c r="AF77" s="138" t="n">
        <f aca="false">AE81*Hipótesis!$D$71/12</f>
        <v>0</v>
      </c>
      <c r="AG77" s="138" t="n">
        <f aca="false">AF81*Hipótesis!$D$71/12</f>
        <v>0</v>
      </c>
      <c r="AH77" s="138" t="n">
        <f aca="false">AG81*Hipótesis!$D$71/12</f>
        <v>0</v>
      </c>
      <c r="AI77" s="138" t="n">
        <f aca="false">AH81*Hipótesis!$D$71/12</f>
        <v>0</v>
      </c>
      <c r="AJ77" s="138" t="n">
        <f aca="false">AI81*Hipótesis!$D$71/12</f>
        <v>0</v>
      </c>
      <c r="AK77" s="138" t="n">
        <f aca="false">AJ81*Hipótesis!$D$71/12</f>
        <v>0</v>
      </c>
      <c r="AL77" s="138" t="n">
        <f aca="false">AK81*Hipótesis!$D$71/12</f>
        <v>0</v>
      </c>
      <c r="AM77" s="138" t="n">
        <f aca="false">AL81*Hipótesis!$D$71/12</f>
        <v>0</v>
      </c>
      <c r="AN77" s="138" t="n">
        <f aca="false">AM81*Hipótesis!$D$71/12</f>
        <v>0</v>
      </c>
      <c r="AO77" s="138" t="n">
        <f aca="false">AN81*Hipótesis!$D$71/12</f>
        <v>0</v>
      </c>
      <c r="AP77" s="138" t="n">
        <f aca="false">AO81*Hipótesis!$D$71/12</f>
        <v>0</v>
      </c>
      <c r="AQ77" s="138" t="n">
        <f aca="false">AP81*Hipótesis!$D$71/12</f>
        <v>0</v>
      </c>
      <c r="AR77" s="138" t="n">
        <f aca="false">AQ81*Hipótesis!$D$71/12</f>
        <v>0</v>
      </c>
      <c r="AS77" s="138" t="n">
        <f aca="false">AR81*Hipótesis!$D$71/12</f>
        <v>0</v>
      </c>
      <c r="AT77" s="138" t="n">
        <f aca="false">AS81*Hipótesis!$D$71/12</f>
        <v>0</v>
      </c>
      <c r="AU77" s="138" t="n">
        <f aca="false">AT81*Hipótesis!$D$71/12</f>
        <v>0</v>
      </c>
      <c r="AV77" s="138" t="n">
        <f aca="false">AU81*Hipótesis!$D$71/12</f>
        <v>0</v>
      </c>
      <c r="AW77" s="138" t="n">
        <f aca="false">AV81*Hipótesis!$D$71/12</f>
        <v>0</v>
      </c>
      <c r="AX77" s="138" t="n">
        <f aca="false">AW81*Hipótesis!$D$71/12</f>
        <v>0</v>
      </c>
      <c r="AY77" s="138" t="n">
        <f aca="false">AX81*Hipótesis!$D$71/12</f>
        <v>0</v>
      </c>
      <c r="AZ77" s="138" t="n">
        <f aca="false">AY81*Hipótesis!$D$71/12</f>
        <v>0</v>
      </c>
      <c r="BA77" s="138" t="n">
        <f aca="false">AZ81*Hipótesis!$D$71/12</f>
        <v>0</v>
      </c>
      <c r="BB77" s="138" t="n">
        <f aca="false">BA81*Hipótesis!$D$71/12</f>
        <v>0</v>
      </c>
      <c r="BC77" s="138" t="n">
        <f aca="false">BB81*Hipótesis!$D$71/12</f>
        <v>0</v>
      </c>
      <c r="BD77" s="138" t="n">
        <f aca="false">BC81*Hipótesis!$D$71/12</f>
        <v>0</v>
      </c>
      <c r="BE77" s="138" t="n">
        <f aca="false">BD81*Hipótesis!$D$71/12</f>
        <v>0</v>
      </c>
      <c r="BF77" s="138" t="n">
        <f aca="false">BE81*Hipótesis!$D$71/12</f>
        <v>0</v>
      </c>
      <c r="BG77" s="138" t="n">
        <f aca="false">BF81*Hipótesis!$D$71/12</f>
        <v>0</v>
      </c>
      <c r="BH77" s="138" t="n">
        <f aca="false">BG81*Hipótesis!$D$71/12</f>
        <v>0</v>
      </c>
      <c r="BI77" s="138" t="n">
        <f aca="false">BH81*Hipótesis!$D$71/12</f>
        <v>0</v>
      </c>
      <c r="BJ77" s="138" t="n">
        <f aca="false">BI81*Hipótesis!$D$71/12</f>
        <v>0</v>
      </c>
      <c r="BK77" s="138" t="n">
        <f aca="false">BJ81*Hipótesis!$D$71/12</f>
        <v>0</v>
      </c>
      <c r="BL77" s="138" t="n">
        <f aca="false">BK81*Hipótesis!$D$71/12</f>
        <v>0</v>
      </c>
      <c r="BM77" s="138" t="n">
        <f aca="false">BL81*Hipótesis!$D$71/12</f>
        <v>0</v>
      </c>
      <c r="BN77" s="138" t="n">
        <f aca="false">BM81*Hipótesis!$D$71/12</f>
        <v>0</v>
      </c>
      <c r="BO77" s="138" t="n">
        <f aca="false">BN81*Hipótesis!$D$71/12</f>
        <v>0</v>
      </c>
      <c r="BP77" s="138" t="n">
        <f aca="false">BO81*Hipótesis!$D$71/12</f>
        <v>0</v>
      </c>
      <c r="BQ77" s="138" t="n">
        <f aca="false">BP81*Hipótesis!$D$71/12</f>
        <v>0</v>
      </c>
      <c r="BR77" s="138" t="n">
        <f aca="false">BQ81*Hipótesis!$D$71/12</f>
        <v>0</v>
      </c>
      <c r="BS77" s="138" t="n">
        <f aca="false">BR81*Hipótesis!$D$71/12</f>
        <v>0</v>
      </c>
      <c r="BT77" s="138" t="n">
        <f aca="false">BS81*Hipótesis!$D$71/12</f>
        <v>0</v>
      </c>
      <c r="BU77" s="138" t="n">
        <f aca="false">BT81*Hipótesis!$D$71/12</f>
        <v>0</v>
      </c>
      <c r="BV77" s="138" t="n">
        <f aca="false">BU81*Hipótesis!$D$71/12</f>
        <v>0</v>
      </c>
      <c r="BW77" s="138" t="n">
        <f aca="false">BV81*Hipótesis!$D$71/12</f>
        <v>0</v>
      </c>
      <c r="BX77" s="138" t="n">
        <f aca="false">BW81*Hipótesis!$D$71/12</f>
        <v>0</v>
      </c>
      <c r="BY77" s="138" t="n">
        <f aca="false">BX81*Hipótesis!$D$71/12</f>
        <v>0</v>
      </c>
      <c r="BZ77" s="138" t="n">
        <f aca="false">BY81*Hipótesis!$D$71/12</f>
        <v>0</v>
      </c>
      <c r="CA77" s="138" t="n">
        <f aca="false">BZ81*Hipótesis!$D$71/12</f>
        <v>0</v>
      </c>
      <c r="CB77" s="138" t="n">
        <f aca="false">CA81*Hipótesis!$D$71/12</f>
        <v>0</v>
      </c>
      <c r="CC77" s="138" t="n">
        <f aca="false">CB81*Hipótesis!$D$71/12</f>
        <v>0</v>
      </c>
      <c r="CD77" s="138" t="n">
        <f aca="false">CC81*Hipótesis!$D$71/12</f>
        <v>0</v>
      </c>
      <c r="CE77" s="138" t="n">
        <f aca="false">CD81*Hipótesis!$D$71/12</f>
        <v>0</v>
      </c>
      <c r="CF77" s="138" t="n">
        <f aca="false">CE81*Hipótesis!$D$71/12</f>
        <v>0</v>
      </c>
      <c r="CG77" s="138" t="n">
        <f aca="false">CF81*Hipótesis!$D$71/12</f>
        <v>0</v>
      </c>
      <c r="CH77" s="138" t="n">
        <f aca="false">CG81*Hipótesis!$D$71/12</f>
        <v>0</v>
      </c>
    </row>
    <row r="78" customFormat="false" ht="13.5" hidden="false" customHeight="true" outlineLevel="0" collapsed="false">
      <c r="A78" s="30" t="s">
        <v>756</v>
      </c>
      <c r="C78" s="138" t="n">
        <f aca="false">C74+C75+C76-C77</f>
        <v>149528.470309947</v>
      </c>
      <c r="D78" s="138" t="n">
        <f aca="false">D74+D75+D76-D77</f>
        <v>-29109.8860876894</v>
      </c>
      <c r="E78" s="138" t="n">
        <f aca="false">E74+E75+E76-E77</f>
        <v>-23820.1782205336</v>
      </c>
      <c r="F78" s="138" t="n">
        <f aca="false">F74+F75+F76-F77</f>
        <v>-21319.3218705111</v>
      </c>
      <c r="G78" s="138" t="n">
        <f aca="false">G74+G75+G76-G77</f>
        <v>-18963.3677504327</v>
      </c>
      <c r="H78" s="138" t="n">
        <f aca="false">H74+H75+H76-H77</f>
        <v>-19296.123106128</v>
      </c>
      <c r="I78" s="138" t="n">
        <f aca="false">I74+I75+I76-I77</f>
        <v>-13965.2388278839</v>
      </c>
      <c r="J78" s="138" t="n">
        <f aca="false">J74+J75+J76-J77</f>
        <v>-10570.4355172102</v>
      </c>
      <c r="K78" s="138" t="n">
        <f aca="false">K74+K75+K76-K77</f>
        <v>-6889.39450501258</v>
      </c>
      <c r="L78" s="138" t="n">
        <f aca="false">L74+L75+L76-L77</f>
        <v>-3358.5295778386</v>
      </c>
      <c r="M78" s="138" t="n">
        <f aca="false">M74+M75+M76-M77</f>
        <v>-473.959984264871</v>
      </c>
      <c r="N78" s="138" t="n">
        <f aca="false">N74+N75+N76-N77</f>
        <v>-426.8232438908</v>
      </c>
      <c r="O78" s="138" t="n">
        <f aca="false">O74+O75+O76-O77</f>
        <v>-929.00641044371</v>
      </c>
      <c r="P78" s="138" t="n">
        <f aca="false">P74+P75+P76-P77</f>
        <v>1064.50364325098</v>
      </c>
      <c r="Q78" s="138" t="n">
        <f aca="false">Q74+Q75+Q76-Q77</f>
        <v>1063.57193020896</v>
      </c>
      <c r="R78" s="138" t="n">
        <f aca="false">R74+R75+R76-R77</f>
        <v>2987.96614736821</v>
      </c>
      <c r="S78" s="138" t="n">
        <f aca="false">S74+S75+S76-S77</f>
        <v>7449.74002187215</v>
      </c>
      <c r="T78" s="138" t="n">
        <f aca="false">T74+T75+T76-T77</f>
        <v>-3667.84225694599</v>
      </c>
      <c r="U78" s="138" t="n">
        <f aca="false">U74+U75+U76-U77</f>
        <v>6849.7630034033</v>
      </c>
      <c r="V78" s="138" t="n">
        <f aca="false">V74+V75+V76-V77</f>
        <v>6531.60565661854</v>
      </c>
      <c r="W78" s="138" t="n">
        <f aca="false">W74+W75+W76-W77</f>
        <v>8477.30242183693</v>
      </c>
      <c r="X78" s="138" t="n">
        <f aca="false">X74+X75+X76-X77</f>
        <v>8271.51713249762</v>
      </c>
      <c r="Y78" s="138" t="n">
        <f aca="false">Y74+Y75+Y76-Y77</f>
        <v>9801.78576607752</v>
      </c>
      <c r="Z78" s="138" t="n">
        <f aca="false">Z74+Z75+Z76-Z77</f>
        <v>11246.2547210424</v>
      </c>
      <c r="AA78" s="138" t="n">
        <f aca="false">AA74+AA75+AA76-AA77</f>
        <v>8954.7351996651</v>
      </c>
      <c r="AB78" s="138" t="n">
        <f aca="false">AB74+AB75+AB76-AB77</f>
        <v>10350.8897303767</v>
      </c>
      <c r="AC78" s="138" t="n">
        <f aca="false">AC74+AC75+AC76-AC77</f>
        <v>11747.0442610883</v>
      </c>
      <c r="AD78" s="138" t="n">
        <f aca="false">AD74+AD75+AD76-AD77</f>
        <v>13143.1987917999</v>
      </c>
      <c r="AE78" s="138" t="n">
        <f aca="false">AE74+AE75+AE76-AE77</f>
        <v>19384.8056233282</v>
      </c>
      <c r="AF78" s="138" t="n">
        <f aca="false">AF74+AF75+AF76-AF77</f>
        <v>-738.032857372763</v>
      </c>
      <c r="AG78" s="138" t="n">
        <f aca="false">AG74+AG75+AG76-AG77</f>
        <v>15348.5729371348</v>
      </c>
      <c r="AH78" s="138" t="n">
        <f aca="false">AH74+AH75+AH76-AH77</f>
        <v>16744.7274678464</v>
      </c>
      <c r="AI78" s="138" t="n">
        <f aca="false">AI74+AI75+AI76-AI77</f>
        <v>18140.881998558</v>
      </c>
      <c r="AJ78" s="138" t="n">
        <f aca="false">AJ74+AJ75+AJ76-AJ77</f>
        <v>19537.0365292696</v>
      </c>
      <c r="AK78" s="138" t="n">
        <f aca="false">AK74+AK75+AK76-AK77</f>
        <v>20933.1910599813</v>
      </c>
      <c r="AL78" s="138" t="n">
        <f aca="false">AL74+AL75+AL76-AL77</f>
        <v>22329.3455906929</v>
      </c>
      <c r="AM78" s="138" t="n">
        <f aca="false">AM74+AM75+AM76-AM77</f>
        <v>17261.7996532566</v>
      </c>
      <c r="AN78" s="138" t="n">
        <f aca="false">AN74+AN75+AN76-AN77</f>
        <v>18240.3097939706</v>
      </c>
      <c r="AO78" s="138" t="n">
        <f aca="false">AO74+AO75+AO76-AO77</f>
        <v>19218.8199346845</v>
      </c>
      <c r="AP78" s="138" t="n">
        <f aca="false">AP74+AP75+AP76-AP77</f>
        <v>20197.3300753985</v>
      </c>
      <c r="AQ78" s="138" t="n">
        <f aca="false">AQ74+AQ75+AQ76-AQ77</f>
        <v>28821.8571801087</v>
      </c>
      <c r="AR78" s="138" t="n">
        <f aca="false">AR74+AR75+AR76-AR77</f>
        <v>3917.92809832107</v>
      </c>
      <c r="AS78" s="138" t="n">
        <f aca="false">AS74+AS75+AS76-AS77</f>
        <v>22713.7444475121</v>
      </c>
      <c r="AT78" s="138" t="n">
        <f aca="false">AT74+AT75+AT76-AT77</f>
        <v>22717.9111141787</v>
      </c>
      <c r="AU78" s="138" t="n">
        <f aca="false">AU74+AU75+AU76-AU77</f>
        <v>22722.0777808454</v>
      </c>
      <c r="AV78" s="138" t="n">
        <f aca="false">AV74+AV75+AV76-AV77</f>
        <v>22726.2444475121</v>
      </c>
      <c r="AW78" s="138" t="n">
        <f aca="false">AW74+AW75+AW76-AW77</f>
        <v>22730.4111141787</v>
      </c>
      <c r="AX78" s="138" t="n">
        <f aca="false">AX74+AX75+AX76-AX77</f>
        <v>22734.5777808454</v>
      </c>
      <c r="AY78" s="138" t="n">
        <f aca="false">AY74+AY75+AY76-AY77</f>
        <v>20831.8146962317</v>
      </c>
      <c r="AZ78" s="138" t="n">
        <f aca="false">AZ74+AZ75+AZ76-AZ77</f>
        <v>20835.9813628983</v>
      </c>
      <c r="BA78" s="138" t="n">
        <f aca="false">BA74+BA75+BA76-BA77</f>
        <v>20840.148029565</v>
      </c>
      <c r="BB78" s="138" t="n">
        <f aca="false">BB74+BB75+BB76-BB77</f>
        <v>20844.3146962317</v>
      </c>
      <c r="BC78" s="138" t="n">
        <f aca="false">BC74+BC75+BC76-BC77</f>
        <v>28494.4983268946</v>
      </c>
      <c r="BD78" s="138" t="n">
        <f aca="false">BD74+BD75+BD76-BD77</f>
        <v>2616.22577105972</v>
      </c>
      <c r="BE78" s="138" t="n">
        <f aca="false">BE74+BE75+BE76-BE77</f>
        <v>20856.8146962317</v>
      </c>
      <c r="BF78" s="138" t="n">
        <f aca="false">BF74+BF75+BF76-BF77</f>
        <v>20860.9813628983</v>
      </c>
      <c r="BG78" s="138" t="n">
        <f aca="false">BG74+BG75+BG76-BG77</f>
        <v>20865.148029565</v>
      </c>
      <c r="BH78" s="138" t="n">
        <f aca="false">BH74+BH75+BH76-BH77</f>
        <v>20869.3146962317</v>
      </c>
      <c r="BI78" s="138" t="n">
        <f aca="false">BI74+BI75+BI76-BI77</f>
        <v>20873.4813628983</v>
      </c>
      <c r="BJ78" s="138" t="n">
        <f aca="false">BJ74+BJ75+BJ76-BJ77</f>
        <v>20877.648029565</v>
      </c>
      <c r="BK78" s="138" t="n">
        <f aca="false">BK74+BK75+BK76-BK77</f>
        <v>18961.3360524128</v>
      </c>
      <c r="BL78" s="138" t="n">
        <f aca="false">BL74+BL75+BL76-BL77</f>
        <v>18965.5027190795</v>
      </c>
      <c r="BM78" s="138" t="n">
        <f aca="false">BM74+BM75+BM76-BM77</f>
        <v>18969.6693857462</v>
      </c>
      <c r="BN78" s="138" t="n">
        <f aca="false">BN74+BN75+BN76-BN77</f>
        <v>18973.8360524128</v>
      </c>
      <c r="BO78" s="138" t="n">
        <f aca="false">BO74+BO75+BO76-BO77</f>
        <v>26624.0196830758</v>
      </c>
      <c r="BP78" s="138" t="n">
        <f aca="false">BP74+BP75+BP76-BP77</f>
        <v>745.747127240899</v>
      </c>
      <c r="BQ78" s="138" t="n">
        <f aca="false">BQ74+BQ75+BQ76-BQ77</f>
        <v>18986.3360524128</v>
      </c>
      <c r="BR78" s="138" t="n">
        <f aca="false">BR74+BR75+BR76-BR77</f>
        <v>18990.5027190795</v>
      </c>
      <c r="BS78" s="138" t="n">
        <f aca="false">BS74+BS75+BS76-BS77</f>
        <v>18994.6693857462</v>
      </c>
      <c r="BT78" s="138" t="n">
        <f aca="false">BT74+BT75+BT76-BT77</f>
        <v>18998.8360524128</v>
      </c>
      <c r="BU78" s="138" t="n">
        <f aca="false">BU74+BU75+BU76-BU77</f>
        <v>19003.0027190795</v>
      </c>
      <c r="BV78" s="138" t="n">
        <f aca="false">BV74+BV75+BV76-BV77</f>
        <v>19007.1693857462</v>
      </c>
      <c r="BW78" s="138" t="n">
        <f aca="false">BW74+BW75+BW76-BW77</f>
        <v>17076.9020492795</v>
      </c>
      <c r="BX78" s="138" t="n">
        <f aca="false">BX74+BX75+BX76-BX77</f>
        <v>17081.0687159461</v>
      </c>
      <c r="BY78" s="138" t="n">
        <f aca="false">BY74+BY75+BY76-BY77</f>
        <v>17085.2353826128</v>
      </c>
      <c r="BZ78" s="138" t="n">
        <f aca="false">BZ74+BZ75+BZ76-BZ77</f>
        <v>17089.4020492795</v>
      </c>
      <c r="CA78" s="138" t="n">
        <f aca="false">CA74+CA75+CA76-CA77</f>
        <v>24739.5856799424</v>
      </c>
      <c r="CB78" s="138" t="n">
        <f aca="false">CB74+CB75+CB76-CB77</f>
        <v>-1138.68687589248</v>
      </c>
      <c r="CC78" s="138" t="n">
        <f aca="false">CC74+CC75+CC76-CC77</f>
        <v>17101.9020492795</v>
      </c>
      <c r="CD78" s="138" t="n">
        <f aca="false">CD74+CD75+CD76-CD77</f>
        <v>17106.0687159461</v>
      </c>
      <c r="CE78" s="138" t="n">
        <f aca="false">CE74+CE75+CE76-CE77</f>
        <v>17110.2353826128</v>
      </c>
      <c r="CF78" s="138" t="n">
        <f aca="false">CF74+CF75+CF76-CF77</f>
        <v>17114.4020492795</v>
      </c>
      <c r="CG78" s="138" t="n">
        <f aca="false">CG74+CG75+CG76-CG77</f>
        <v>17118.5687159461</v>
      </c>
      <c r="CH78" s="138" t="n">
        <f aca="false">CH74+CH75+CH76-CH77</f>
        <v>17122.7353826129</v>
      </c>
    </row>
    <row r="79" customFormat="false" ht="13.5" hidden="false" customHeight="true" outlineLevel="0" collapsed="false">
      <c r="A79" s="13" t="s">
        <v>757</v>
      </c>
      <c r="C79" s="138" t="n">
        <f aca="false">C78</f>
        <v>149528.470309947</v>
      </c>
      <c r="D79" s="138" t="n">
        <f aca="false">C86+D78</f>
        <v>120418.584222257</v>
      </c>
      <c r="E79" s="138" t="n">
        <f aca="false">D86+E78</f>
        <v>96598.4060017235</v>
      </c>
      <c r="F79" s="138" t="n">
        <f aca="false">E86+F78</f>
        <v>75279.0841312124</v>
      </c>
      <c r="G79" s="138" t="n">
        <f aca="false">F86+G78</f>
        <v>56315.7163807796</v>
      </c>
      <c r="H79" s="138" t="n">
        <f aca="false">G86+H78</f>
        <v>37019.5932746516</v>
      </c>
      <c r="I79" s="138" t="n">
        <f aca="false">H86+I78</f>
        <v>23054.3544467677</v>
      </c>
      <c r="J79" s="138" t="n">
        <f aca="false">I86+J78</f>
        <v>19429.5644827898</v>
      </c>
      <c r="K79" s="138" t="n">
        <f aca="false">J86+K78</f>
        <v>23110.6054949874</v>
      </c>
      <c r="L79" s="138" t="n">
        <f aca="false">K86+L78</f>
        <v>26641.4704221614</v>
      </c>
      <c r="M79" s="138" t="n">
        <f aca="false">L86+M78</f>
        <v>29526.0400157351</v>
      </c>
      <c r="N79" s="138" t="n">
        <f aca="false">M86+N78</f>
        <v>29573.1767561092</v>
      </c>
      <c r="O79" s="138" t="n">
        <f aca="false">N86+O78</f>
        <v>29070.9935895563</v>
      </c>
      <c r="P79" s="138" t="n">
        <f aca="false">O86+P78</f>
        <v>31064.503643251</v>
      </c>
      <c r="Q79" s="138" t="n">
        <f aca="false">P86+Q78</f>
        <v>31063.571930209</v>
      </c>
      <c r="R79" s="138" t="n">
        <f aca="false">Q86+R78</f>
        <v>32987.9661473682</v>
      </c>
      <c r="S79" s="138" t="n">
        <f aca="false">R86+S78</f>
        <v>37449.7400218722</v>
      </c>
      <c r="T79" s="138" t="n">
        <f aca="false">S86+T78</f>
        <v>26332.157743054</v>
      </c>
      <c r="U79" s="138" t="n">
        <f aca="false">T86+U78</f>
        <v>36849.7630034033</v>
      </c>
      <c r="V79" s="138" t="n">
        <f aca="false">U86+V78</f>
        <v>36531.6056566185</v>
      </c>
      <c r="W79" s="138" t="n">
        <f aca="false">V86+W78</f>
        <v>38477.3024218369</v>
      </c>
      <c r="X79" s="138" t="n">
        <f aca="false">W86+X78</f>
        <v>39434.3329082176</v>
      </c>
      <c r="Y79" s="138" t="n">
        <f aca="false">X86+Y78</f>
        <v>49236.1186742951</v>
      </c>
      <c r="Z79" s="138" t="n">
        <f aca="false">Y86+Z78</f>
        <v>60482.3733953375</v>
      </c>
      <c r="AA79" s="138" t="n">
        <f aca="false">Z86+AA78</f>
        <v>69437.1085950026</v>
      </c>
      <c r="AB79" s="138" t="n">
        <f aca="false">AA86+AB78</f>
        <v>79787.9983253793</v>
      </c>
      <c r="AC79" s="138" t="n">
        <f aca="false">AB86+AC78</f>
        <v>91535.0425864676</v>
      </c>
      <c r="AD79" s="138" t="n">
        <f aca="false">AC86+AD78</f>
        <v>104678.241378268</v>
      </c>
      <c r="AE79" s="138" t="n">
        <f aca="false">AD86+AE78</f>
        <v>124063.047001596</v>
      </c>
      <c r="AF79" s="138" t="n">
        <f aca="false">AE86+AF78</f>
        <v>123325.014144223</v>
      </c>
      <c r="AG79" s="138" t="n">
        <f aca="false">AF86+AG78</f>
        <v>138673.587081358</v>
      </c>
      <c r="AH79" s="138" t="n">
        <f aca="false">AG86+AH78</f>
        <v>155418.314549204</v>
      </c>
      <c r="AI79" s="138" t="n">
        <f aca="false">AH86+AI78</f>
        <v>173559.196547762</v>
      </c>
      <c r="AJ79" s="138" t="n">
        <f aca="false">AI86+AJ78</f>
        <v>193096.233077032</v>
      </c>
      <c r="AK79" s="138" t="n">
        <f aca="false">AJ86+AK78</f>
        <v>214029.424137013</v>
      </c>
      <c r="AL79" s="138" t="n">
        <f aca="false">AK86+AL78</f>
        <v>236358.769727706</v>
      </c>
      <c r="AM79" s="138" t="n">
        <f aca="false">AL86+AM78</f>
        <v>253620.569380963</v>
      </c>
      <c r="AN79" s="138" t="n">
        <f aca="false">AM86+AN78</f>
        <v>271860.879174933</v>
      </c>
      <c r="AO79" s="138" t="n">
        <f aca="false">AN86+AO78</f>
        <v>291079.699109618</v>
      </c>
      <c r="AP79" s="138" t="n">
        <f aca="false">AO86+AP78</f>
        <v>311277.029185016</v>
      </c>
      <c r="AQ79" s="138" t="n">
        <f aca="false">AP86+AQ78</f>
        <v>340098.886365125</v>
      </c>
      <c r="AR79" s="138" t="n">
        <f aca="false">AQ86+AR78</f>
        <v>344016.814463446</v>
      </c>
      <c r="AS79" s="138" t="n">
        <f aca="false">AR86+AS78</f>
        <v>366730.558910958</v>
      </c>
      <c r="AT79" s="138" t="n">
        <f aca="false">AS86+AT78</f>
        <v>389448.470025137</v>
      </c>
      <c r="AU79" s="138" t="n">
        <f aca="false">AT86+AU78</f>
        <v>412170.547805982</v>
      </c>
      <c r="AV79" s="138" t="n">
        <f aca="false">AU86+AV78</f>
        <v>434896.792253494</v>
      </c>
      <c r="AW79" s="138" t="n">
        <f aca="false">AV86+AW78</f>
        <v>457627.203367673</v>
      </c>
      <c r="AX79" s="138" t="n">
        <f aca="false">AW86+AX78</f>
        <v>480361.781148518</v>
      </c>
      <c r="AY79" s="138" t="n">
        <f aca="false">AX86+AY78</f>
        <v>390167.446230475</v>
      </c>
      <c r="AZ79" s="138" t="n">
        <f aca="false">AY86+AZ78</f>
        <v>411003.427593373</v>
      </c>
      <c r="BA79" s="138" t="n">
        <f aca="false">AZ86+BA78</f>
        <v>431843.575622938</v>
      </c>
      <c r="BB79" s="138" t="n">
        <f aca="false">BA86+BB78</f>
        <v>452687.89031917</v>
      </c>
      <c r="BC79" s="138" t="n">
        <f aca="false">BB86+BC78</f>
        <v>481182.388646065</v>
      </c>
      <c r="BD79" s="138" t="n">
        <f aca="false">BC86+BD78</f>
        <v>483798.614417124</v>
      </c>
      <c r="BE79" s="138" t="n">
        <f aca="false">BD86+BE78</f>
        <v>504655.429113356</v>
      </c>
      <c r="BF79" s="138" t="n">
        <f aca="false">BE86+BF78</f>
        <v>525516.410476254</v>
      </c>
      <c r="BG79" s="138" t="n">
        <f aca="false">BF86+BG78</f>
        <v>546381.558505819</v>
      </c>
      <c r="BH79" s="138" t="n">
        <f aca="false">BG86+BH78</f>
        <v>567250.873202051</v>
      </c>
      <c r="BI79" s="138" t="n">
        <f aca="false">BH86+BI78</f>
        <v>588124.354564949</v>
      </c>
      <c r="BJ79" s="138" t="n">
        <f aca="false">BI86+BJ78</f>
        <v>609002.002594514</v>
      </c>
      <c r="BK79" s="138" t="n">
        <f aca="false">BJ86+BK78</f>
        <v>519810.331296361</v>
      </c>
      <c r="BL79" s="138" t="n">
        <f aca="false">BK86+BL78</f>
        <v>538775.834015441</v>
      </c>
      <c r="BM79" s="138" t="n">
        <f aca="false">BL86+BM78</f>
        <v>557745.503401187</v>
      </c>
      <c r="BN79" s="138" t="n">
        <f aca="false">BM86+BN78</f>
        <v>576719.3394536</v>
      </c>
      <c r="BO79" s="138" t="n">
        <f aca="false">BN86+BO78</f>
        <v>603343.359136676</v>
      </c>
      <c r="BP79" s="138" t="n">
        <f aca="false">BO86+BP78</f>
        <v>604089.106263916</v>
      </c>
      <c r="BQ79" s="138" t="n">
        <f aca="false">BP86+BQ78</f>
        <v>623075.442316329</v>
      </c>
      <c r="BR79" s="138" t="n">
        <f aca="false">BQ86+BR78</f>
        <v>642065.945035409</v>
      </c>
      <c r="BS79" s="138" t="n">
        <f aca="false">BR86+BS78</f>
        <v>661060.614421155</v>
      </c>
      <c r="BT79" s="138" t="n">
        <f aca="false">BS86+BT78</f>
        <v>680059.450473568</v>
      </c>
      <c r="BU79" s="138" t="n">
        <f aca="false">BT86+BU78</f>
        <v>699062.453192647</v>
      </c>
      <c r="BV79" s="138" t="n">
        <f aca="false">BU86+BV78</f>
        <v>718069.622578393</v>
      </c>
      <c r="BW79" s="138" t="n">
        <f aca="false">BV86+BW78</f>
        <v>635971.814767437</v>
      </c>
      <c r="BX79" s="138" t="n">
        <f aca="false">BW86+BX78</f>
        <v>653052.883483383</v>
      </c>
      <c r="BY79" s="138" t="n">
        <f aca="false">BX86+BY78</f>
        <v>670138.118865996</v>
      </c>
      <c r="BZ79" s="138" t="n">
        <f aca="false">BY86+BZ78</f>
        <v>687227.520915276</v>
      </c>
      <c r="CA79" s="138" t="n">
        <f aca="false">BZ86+CA78</f>
        <v>711967.106595218</v>
      </c>
      <c r="CB79" s="138" t="n">
        <f aca="false">CA86+CB78</f>
        <v>710828.419719326</v>
      </c>
      <c r="CC79" s="138" t="n">
        <f aca="false">CB86+CC78</f>
        <v>727930.321768605</v>
      </c>
      <c r="CD79" s="138" t="n">
        <f aca="false">CC86+CD78</f>
        <v>745036.390484551</v>
      </c>
      <c r="CE79" s="138" t="n">
        <f aca="false">CD86+CE78</f>
        <v>762146.625867164</v>
      </c>
      <c r="CF79" s="138" t="n">
        <f aca="false">CE86+CF78</f>
        <v>779261.027916443</v>
      </c>
      <c r="CG79" s="138" t="n">
        <f aca="false">CF86+CG78</f>
        <v>796379.59663239</v>
      </c>
      <c r="CH79" s="138" t="n">
        <f aca="false">CG86+CH78</f>
        <v>813502.332015002</v>
      </c>
    </row>
    <row r="80" customFormat="false" ht="13.5" hidden="false" customHeight="true" outlineLevel="0" collapsed="false">
      <c r="A80" s="30" t="s">
        <v>758</v>
      </c>
      <c r="C80" s="138" t="n">
        <f aca="false">IF(C79&lt;Hipótesis!$D$72,MIN(Hipótesis!$D$70-0,Hipótesis!$D$72-C79),-MIN(0,MAX(0,C79-Hipótesis!$D$72)))</f>
        <v>-0</v>
      </c>
      <c r="D80" s="138" t="n">
        <f aca="false">IF(D79&lt;Hipótesis!$D$72,MIN(Hipótesis!$D$70-C81,Hipótesis!$D$72-D79),-MIN(C81,MAX(0,D79-Hipótesis!$D$72)))</f>
        <v>0</v>
      </c>
      <c r="E80" s="138" t="n">
        <f aca="false">IF(E79&lt;Hipótesis!$D$72,MIN(Hipótesis!$D$70-D81,Hipótesis!$D$72-E79),-MIN(D81,MAX(0,E79-Hipótesis!$D$72)))</f>
        <v>-0</v>
      </c>
      <c r="F80" s="138" t="n">
        <f aca="false">IF(F79&lt;Hipótesis!$D$72,MIN(Hipótesis!$D$70-E81,Hipótesis!$D$72-F79),-MIN(E81,MAX(0,F79-Hipótesis!$D$72)))</f>
        <v>-0</v>
      </c>
      <c r="G80" s="138" t="n">
        <f aca="false">IF(G79&lt;Hipótesis!$D$72,MIN(Hipótesis!$D$70-F81,Hipótesis!$D$72-G79),-MIN(F81,MAX(0,G79-Hipótesis!$D$72)))</f>
        <v>-0</v>
      </c>
      <c r="H80" s="138" t="n">
        <f aca="false">IF(H79&lt;Hipótesis!$D$72,MIN(Hipótesis!$D$70-G81,Hipótesis!$D$72-H79),-MIN(G81,MAX(0,H79-Hipótesis!$D$72)))</f>
        <v>-0</v>
      </c>
      <c r="I80" s="138" t="n">
        <f aca="false">IF(I79&lt;Hipótesis!$D$72,MIN(Hipótesis!$D$70-H81,Hipótesis!$D$72-I79),-MIN(H81,MAX(0,I79-Hipótesis!$D$72)))</f>
        <v>6945.64555323232</v>
      </c>
      <c r="J80" s="138" t="n">
        <f aca="false">IF(J79&lt;Hipótesis!$D$72,MIN(Hipótesis!$D$70-I81,Hipótesis!$D$72-J79),-MIN(I81,MAX(0,J79-Hipótesis!$D$72)))</f>
        <v>10570.4355172102</v>
      </c>
      <c r="K80" s="138" t="n">
        <f aca="false">IF(K79&lt;Hipótesis!$D$72,MIN(Hipótesis!$D$70-J81,Hipótesis!$D$72-K79),-MIN(J81,MAX(0,K79-Hipótesis!$D$72)))</f>
        <v>6889.39450501258</v>
      </c>
      <c r="L80" s="138" t="n">
        <f aca="false">IF(L79&lt;Hipótesis!$D$72,MIN(Hipótesis!$D$70-K81,Hipótesis!$D$72-L79),-MIN(K81,MAX(0,L79-Hipótesis!$D$72)))</f>
        <v>3358.5295778386</v>
      </c>
      <c r="M80" s="138" t="n">
        <f aca="false">IF(M79&lt;Hipótesis!$D$72,MIN(Hipótesis!$D$70-L81,Hipótesis!$D$72-M79),-MIN(L81,MAX(0,M79-Hipótesis!$D$72)))</f>
        <v>473.959984264871</v>
      </c>
      <c r="N80" s="138" t="n">
        <f aca="false">IF(N79&lt;Hipótesis!$D$72,MIN(Hipótesis!$D$70-M81,Hipótesis!$D$72-N79),-MIN(M81,MAX(0,N79-Hipótesis!$D$72)))</f>
        <v>426.823243890802</v>
      </c>
      <c r="O80" s="138" t="n">
        <f aca="false">IF(O79&lt;Hipótesis!$D$72,MIN(Hipótesis!$D$70-N81,Hipótesis!$D$72-O79),-MIN(N81,MAX(0,O79-Hipótesis!$D$72)))</f>
        <v>929.006410443708</v>
      </c>
      <c r="P80" s="138" t="n">
        <f aca="false">IF(P79&lt;Hipótesis!$D$72,MIN(Hipótesis!$D$70-O81,Hipótesis!$D$72-P79),-MIN(O81,MAX(0,P79-Hipótesis!$D$72)))</f>
        <v>-1064.50364325098</v>
      </c>
      <c r="Q80" s="138" t="n">
        <f aca="false">IF(Q79&lt;Hipótesis!$D$72,MIN(Hipótesis!$D$70-P81,Hipótesis!$D$72-Q79),-MIN(P81,MAX(0,Q79-Hipótesis!$D$72)))</f>
        <v>-1063.57193020896</v>
      </c>
      <c r="R80" s="138" t="n">
        <f aca="false">IF(R79&lt;Hipótesis!$D$72,MIN(Hipótesis!$D$70-Q81,Hipótesis!$D$72-R79),-MIN(Q81,MAX(0,R79-Hipótesis!$D$72)))</f>
        <v>-2987.96614736821</v>
      </c>
      <c r="S80" s="138" t="n">
        <f aca="false">IF(S79&lt;Hipótesis!$D$72,MIN(Hipótesis!$D$70-R81,Hipótesis!$D$72-S79),-MIN(R81,MAX(0,S79-Hipótesis!$D$72)))</f>
        <v>-7449.74002187215</v>
      </c>
      <c r="T80" s="138" t="n">
        <f aca="false">IF(T79&lt;Hipótesis!$D$72,MIN(Hipótesis!$D$70-S81,Hipótesis!$D$72-T79),-MIN(S81,MAX(0,T79-Hipótesis!$D$72)))</f>
        <v>3667.84225694599</v>
      </c>
      <c r="U80" s="138" t="n">
        <f aca="false">IF(U79&lt;Hipótesis!$D$72,MIN(Hipótesis!$D$70-T81,Hipótesis!$D$72-U79),-MIN(T81,MAX(0,U79-Hipótesis!$D$72)))</f>
        <v>-6849.76300340331</v>
      </c>
      <c r="V80" s="138" t="n">
        <f aca="false">IF(V79&lt;Hipótesis!$D$72,MIN(Hipótesis!$D$70-U81,Hipótesis!$D$72-V79),-MIN(U81,MAX(0,V79-Hipótesis!$D$72)))</f>
        <v>-6531.60565661854</v>
      </c>
      <c r="W80" s="138" t="n">
        <f aca="false">IF(W79&lt;Hipótesis!$D$72,MIN(Hipótesis!$D$70-V81,Hipótesis!$D$72-W79),-MIN(V81,MAX(0,W79-Hipótesis!$D$72)))</f>
        <v>-7314.48664611696</v>
      </c>
      <c r="X80" s="138" t="n">
        <f aca="false">IF(X79&lt;Hipótesis!$D$72,MIN(Hipótesis!$D$70-W81,Hipótesis!$D$72-X79),-MIN(W81,MAX(0,X79-Hipótesis!$D$72)))</f>
        <v>-0</v>
      </c>
      <c r="Y80" s="138" t="n">
        <f aca="false">IF(Y79&lt;Hipótesis!$D$72,MIN(Hipótesis!$D$70-X81,Hipótesis!$D$72-Y79),-MIN(X81,MAX(0,Y79-Hipótesis!$D$72)))</f>
        <v>-0</v>
      </c>
      <c r="Z80" s="138" t="n">
        <f aca="false">IF(Z79&lt;Hipótesis!$D$72,MIN(Hipótesis!$D$70-Y81,Hipótesis!$D$72-Z79),-MIN(Y81,MAX(0,Z79-Hipótesis!$D$72)))</f>
        <v>-0</v>
      </c>
      <c r="AA80" s="138" t="n">
        <f aca="false">IF(AA79&lt;Hipótesis!$D$72,MIN(Hipótesis!$D$70-Z81,Hipótesis!$D$72-AA79),-MIN(Z81,MAX(0,AA79-Hipótesis!$D$72)))</f>
        <v>-0</v>
      </c>
      <c r="AB80" s="138" t="n">
        <f aca="false">IF(AB79&lt;Hipótesis!$D$72,MIN(Hipótesis!$D$70-AA81,Hipótesis!$D$72-AB79),-MIN(AA81,MAX(0,AB79-Hipótesis!$D$72)))</f>
        <v>-0</v>
      </c>
      <c r="AC80" s="138" t="n">
        <f aca="false">IF(AC79&lt;Hipótesis!$D$72,MIN(Hipótesis!$D$70-AB81,Hipótesis!$D$72-AC79),-MIN(AB81,MAX(0,AC79-Hipótesis!$D$72)))</f>
        <v>-0</v>
      </c>
      <c r="AD80" s="138" t="n">
        <f aca="false">IF(AD79&lt;Hipótesis!$D$72,MIN(Hipótesis!$D$70-AC81,Hipótesis!$D$72-AD79),-MIN(AC81,MAX(0,AD79-Hipótesis!$D$72)))</f>
        <v>-0</v>
      </c>
      <c r="AE80" s="138" t="n">
        <f aca="false">IF(AE79&lt;Hipótesis!$D$72,MIN(Hipótesis!$D$70-AD81,Hipótesis!$D$72-AE79),-MIN(AD81,MAX(0,AE79-Hipótesis!$D$72)))</f>
        <v>-0</v>
      </c>
      <c r="AF80" s="138" t="n">
        <f aca="false">IF(AF79&lt;Hipótesis!$D$72,MIN(Hipótesis!$D$70-AE81,Hipótesis!$D$72-AF79),-MIN(AE81,MAX(0,AF79-Hipótesis!$D$72)))</f>
        <v>-0</v>
      </c>
      <c r="AG80" s="138" t="n">
        <f aca="false">IF(AG79&lt;Hipótesis!$D$72,MIN(Hipótesis!$D$70-AF81,Hipótesis!$D$72-AG79),-MIN(AF81,MAX(0,AG79-Hipótesis!$D$72)))</f>
        <v>-0</v>
      </c>
      <c r="AH80" s="138" t="n">
        <f aca="false">IF(AH79&lt;Hipótesis!$D$72,MIN(Hipótesis!$D$70-AG81,Hipótesis!$D$72-AH79),-MIN(AG81,MAX(0,AH79-Hipótesis!$D$72)))</f>
        <v>-0</v>
      </c>
      <c r="AI80" s="138" t="n">
        <f aca="false">IF(AI79&lt;Hipótesis!$D$72,MIN(Hipótesis!$D$70-AH81,Hipótesis!$D$72-AI79),-MIN(AH81,MAX(0,AI79-Hipótesis!$D$72)))</f>
        <v>-0</v>
      </c>
      <c r="AJ80" s="138" t="n">
        <f aca="false">IF(AJ79&lt;Hipótesis!$D$72,MIN(Hipótesis!$D$70-AI81,Hipótesis!$D$72-AJ79),-MIN(AI81,MAX(0,AJ79-Hipótesis!$D$72)))</f>
        <v>-0</v>
      </c>
      <c r="AK80" s="138" t="n">
        <f aca="false">IF(AK79&lt;Hipótesis!$D$72,MIN(Hipótesis!$D$70-AJ81,Hipótesis!$D$72-AK79),-MIN(AJ81,MAX(0,AK79-Hipótesis!$D$72)))</f>
        <v>-0</v>
      </c>
      <c r="AL80" s="138" t="n">
        <f aca="false">IF(AL79&lt;Hipótesis!$D$72,MIN(Hipótesis!$D$70-AK81,Hipótesis!$D$72-AL79),-MIN(AK81,MAX(0,AL79-Hipótesis!$D$72)))</f>
        <v>-0</v>
      </c>
      <c r="AM80" s="138" t="n">
        <f aca="false">IF(AM79&lt;Hipótesis!$D$72,MIN(Hipótesis!$D$70-AL81,Hipótesis!$D$72-AM79),-MIN(AL81,MAX(0,AM79-Hipótesis!$D$72)))</f>
        <v>-0</v>
      </c>
      <c r="AN80" s="138" t="n">
        <f aca="false">IF(AN79&lt;Hipótesis!$D$72,MIN(Hipótesis!$D$70-AM81,Hipótesis!$D$72-AN79),-MIN(AM81,MAX(0,AN79-Hipótesis!$D$72)))</f>
        <v>-0</v>
      </c>
      <c r="AO80" s="138" t="n">
        <f aca="false">IF(AO79&lt;Hipótesis!$D$72,MIN(Hipótesis!$D$70-AN81,Hipótesis!$D$72-AO79),-MIN(AN81,MAX(0,AO79-Hipótesis!$D$72)))</f>
        <v>-0</v>
      </c>
      <c r="AP80" s="138" t="n">
        <f aca="false">IF(AP79&lt;Hipótesis!$D$72,MIN(Hipótesis!$D$70-AO81,Hipótesis!$D$72-AP79),-MIN(AO81,MAX(0,AP79-Hipótesis!$D$72)))</f>
        <v>-0</v>
      </c>
      <c r="AQ80" s="138" t="n">
        <f aca="false">IF(AQ79&lt;Hipótesis!$D$72,MIN(Hipótesis!$D$70-AP81,Hipótesis!$D$72-AQ79),-MIN(AP81,MAX(0,AQ79-Hipótesis!$D$72)))</f>
        <v>-0</v>
      </c>
      <c r="AR80" s="138" t="n">
        <f aca="false">IF(AR79&lt;Hipótesis!$D$72,MIN(Hipótesis!$D$70-AQ81,Hipótesis!$D$72-AR79),-MIN(AQ81,MAX(0,AR79-Hipótesis!$D$72)))</f>
        <v>-0</v>
      </c>
      <c r="AS80" s="138" t="n">
        <f aca="false">IF(AS79&lt;Hipótesis!$D$72,MIN(Hipótesis!$D$70-AR81,Hipótesis!$D$72-AS79),-MIN(AR81,MAX(0,AS79-Hipótesis!$D$72)))</f>
        <v>-0</v>
      </c>
      <c r="AT80" s="138" t="n">
        <f aca="false">IF(AT79&lt;Hipótesis!$D$72,MIN(Hipótesis!$D$70-AS81,Hipótesis!$D$72-AT79),-MIN(AS81,MAX(0,AT79-Hipótesis!$D$72)))</f>
        <v>-0</v>
      </c>
      <c r="AU80" s="138" t="n">
        <f aca="false">IF(AU79&lt;Hipótesis!$D$72,MIN(Hipótesis!$D$70-AT81,Hipótesis!$D$72-AU79),-MIN(AT81,MAX(0,AU79-Hipótesis!$D$72)))</f>
        <v>-0</v>
      </c>
      <c r="AV80" s="138" t="n">
        <f aca="false">IF(AV79&lt;Hipótesis!$D$72,MIN(Hipótesis!$D$70-AU81,Hipótesis!$D$72-AV79),-MIN(AU81,MAX(0,AV79-Hipótesis!$D$72)))</f>
        <v>-0</v>
      </c>
      <c r="AW80" s="138" t="n">
        <f aca="false">IF(AW79&lt;Hipótesis!$D$72,MIN(Hipótesis!$D$70-AV81,Hipótesis!$D$72-AW79),-MIN(AV81,MAX(0,AW79-Hipótesis!$D$72)))</f>
        <v>-0</v>
      </c>
      <c r="AX80" s="138" t="n">
        <f aca="false">IF(AX79&lt;Hipótesis!$D$72,MIN(Hipótesis!$D$70-AW81,Hipótesis!$D$72-AX79),-MIN(AW81,MAX(0,AX79-Hipótesis!$D$72)))</f>
        <v>-0</v>
      </c>
      <c r="AY80" s="138" t="n">
        <f aca="false">IF(AY79&lt;Hipótesis!$D$72,MIN(Hipótesis!$D$70-AX81,Hipótesis!$D$72-AY79),-MIN(AX81,MAX(0,AY79-Hipótesis!$D$72)))</f>
        <v>-0</v>
      </c>
      <c r="AZ80" s="138" t="n">
        <f aca="false">IF(AZ79&lt;Hipótesis!$D$72,MIN(Hipótesis!$D$70-AY81,Hipótesis!$D$72-AZ79),-MIN(AY81,MAX(0,AZ79-Hipótesis!$D$72)))</f>
        <v>-0</v>
      </c>
      <c r="BA80" s="138" t="n">
        <f aca="false">IF(BA79&lt;Hipótesis!$D$72,MIN(Hipótesis!$D$70-AZ81,Hipótesis!$D$72-BA79),-MIN(AZ81,MAX(0,BA79-Hipótesis!$D$72)))</f>
        <v>-0</v>
      </c>
      <c r="BB80" s="138" t="n">
        <f aca="false">IF(BB79&lt;Hipótesis!$D$72,MIN(Hipótesis!$D$70-BA81,Hipótesis!$D$72-BB79),-MIN(BA81,MAX(0,BB79-Hipótesis!$D$72)))</f>
        <v>-0</v>
      </c>
      <c r="BC80" s="138" t="n">
        <f aca="false">IF(BC79&lt;Hipótesis!$D$72,MIN(Hipótesis!$D$70-BB81,Hipótesis!$D$72-BC79),-MIN(BB81,MAX(0,BC79-Hipótesis!$D$72)))</f>
        <v>-0</v>
      </c>
      <c r="BD80" s="138" t="n">
        <f aca="false">IF(BD79&lt;Hipótesis!$D$72,MIN(Hipótesis!$D$70-BC81,Hipótesis!$D$72-BD79),-MIN(BC81,MAX(0,BD79-Hipótesis!$D$72)))</f>
        <v>-0</v>
      </c>
      <c r="BE80" s="138" t="n">
        <f aca="false">IF(BE79&lt;Hipótesis!$D$72,MIN(Hipótesis!$D$70-BD81,Hipótesis!$D$72-BE79),-MIN(BD81,MAX(0,BE79-Hipótesis!$D$72)))</f>
        <v>-0</v>
      </c>
      <c r="BF80" s="138" t="n">
        <f aca="false">IF(BF79&lt;Hipótesis!$D$72,MIN(Hipótesis!$D$70-BE81,Hipótesis!$D$72-BF79),-MIN(BE81,MAX(0,BF79-Hipótesis!$D$72)))</f>
        <v>-0</v>
      </c>
      <c r="BG80" s="138" t="n">
        <f aca="false">IF(BG79&lt;Hipótesis!$D$72,MIN(Hipótesis!$D$70-BF81,Hipótesis!$D$72-BG79),-MIN(BF81,MAX(0,BG79-Hipótesis!$D$72)))</f>
        <v>-0</v>
      </c>
      <c r="BH80" s="138" t="n">
        <f aca="false">IF(BH79&lt;Hipótesis!$D$72,MIN(Hipótesis!$D$70-BG81,Hipótesis!$D$72-BH79),-MIN(BG81,MAX(0,BH79-Hipótesis!$D$72)))</f>
        <v>-0</v>
      </c>
      <c r="BI80" s="138" t="n">
        <f aca="false">IF(BI79&lt;Hipótesis!$D$72,MIN(Hipótesis!$D$70-BH81,Hipótesis!$D$72-BI79),-MIN(BH81,MAX(0,BI79-Hipótesis!$D$72)))</f>
        <v>-0</v>
      </c>
      <c r="BJ80" s="138" t="n">
        <f aca="false">IF(BJ79&lt;Hipótesis!$D$72,MIN(Hipótesis!$D$70-BI81,Hipótesis!$D$72-BJ79),-MIN(BI81,MAX(0,BJ79-Hipótesis!$D$72)))</f>
        <v>-0</v>
      </c>
      <c r="BK80" s="138" t="n">
        <f aca="false">IF(BK79&lt;Hipótesis!$D$72,MIN(Hipótesis!$D$70-BJ81,Hipótesis!$D$72-BK79),-MIN(BJ81,MAX(0,BK79-Hipótesis!$D$72)))</f>
        <v>-0</v>
      </c>
      <c r="BL80" s="138" t="n">
        <f aca="false">IF(BL79&lt;Hipótesis!$D$72,MIN(Hipótesis!$D$70-BK81,Hipótesis!$D$72-BL79),-MIN(BK81,MAX(0,BL79-Hipótesis!$D$72)))</f>
        <v>-0</v>
      </c>
      <c r="BM80" s="138" t="n">
        <f aca="false">IF(BM79&lt;Hipótesis!$D$72,MIN(Hipótesis!$D$70-BL81,Hipótesis!$D$72-BM79),-MIN(BL81,MAX(0,BM79-Hipótesis!$D$72)))</f>
        <v>-0</v>
      </c>
      <c r="BN80" s="138" t="n">
        <f aca="false">IF(BN79&lt;Hipótesis!$D$72,MIN(Hipótesis!$D$70-BM81,Hipótesis!$D$72-BN79),-MIN(BM81,MAX(0,BN79-Hipótesis!$D$72)))</f>
        <v>-0</v>
      </c>
      <c r="BO80" s="138" t="n">
        <f aca="false">IF(BO79&lt;Hipótesis!$D$72,MIN(Hipótesis!$D$70-BN81,Hipótesis!$D$72-BO79),-MIN(BN81,MAX(0,BO79-Hipótesis!$D$72)))</f>
        <v>-0</v>
      </c>
      <c r="BP80" s="138" t="n">
        <f aca="false">IF(BP79&lt;Hipótesis!$D$72,MIN(Hipótesis!$D$70-BO81,Hipótesis!$D$72-BP79),-MIN(BO81,MAX(0,BP79-Hipótesis!$D$72)))</f>
        <v>-0</v>
      </c>
      <c r="BQ80" s="138" t="n">
        <f aca="false">IF(BQ79&lt;Hipótesis!$D$72,MIN(Hipótesis!$D$70-BP81,Hipótesis!$D$72-BQ79),-MIN(BP81,MAX(0,BQ79-Hipótesis!$D$72)))</f>
        <v>-0</v>
      </c>
      <c r="BR80" s="138" t="n">
        <f aca="false">IF(BR79&lt;Hipótesis!$D$72,MIN(Hipótesis!$D$70-BQ81,Hipótesis!$D$72-BR79),-MIN(BQ81,MAX(0,BR79-Hipótesis!$D$72)))</f>
        <v>-0</v>
      </c>
      <c r="BS80" s="138" t="n">
        <f aca="false">IF(BS79&lt;Hipótesis!$D$72,MIN(Hipótesis!$D$70-BR81,Hipótesis!$D$72-BS79),-MIN(BR81,MAX(0,BS79-Hipótesis!$D$72)))</f>
        <v>-0</v>
      </c>
      <c r="BT80" s="138" t="n">
        <f aca="false">IF(BT79&lt;Hipótesis!$D$72,MIN(Hipótesis!$D$70-BS81,Hipótesis!$D$72-BT79),-MIN(BS81,MAX(0,BT79-Hipótesis!$D$72)))</f>
        <v>-0</v>
      </c>
      <c r="BU80" s="138" t="n">
        <f aca="false">IF(BU79&lt;Hipótesis!$D$72,MIN(Hipótesis!$D$70-BT81,Hipótesis!$D$72-BU79),-MIN(BT81,MAX(0,BU79-Hipótesis!$D$72)))</f>
        <v>-0</v>
      </c>
      <c r="BV80" s="138" t="n">
        <f aca="false">IF(BV79&lt;Hipótesis!$D$72,MIN(Hipótesis!$D$70-BU81,Hipótesis!$D$72-BV79),-MIN(BU81,MAX(0,BV79-Hipótesis!$D$72)))</f>
        <v>-0</v>
      </c>
      <c r="BW80" s="138" t="n">
        <f aca="false">IF(BW79&lt;Hipótesis!$D$72,MIN(Hipótesis!$D$70-BV81,Hipótesis!$D$72-BW79),-MIN(BV81,MAX(0,BW79-Hipótesis!$D$72)))</f>
        <v>-0</v>
      </c>
      <c r="BX80" s="138" t="n">
        <f aca="false">IF(BX79&lt;Hipótesis!$D$72,MIN(Hipótesis!$D$70-BW81,Hipótesis!$D$72-BX79),-MIN(BW81,MAX(0,BX79-Hipótesis!$D$72)))</f>
        <v>-0</v>
      </c>
      <c r="BY80" s="138" t="n">
        <f aca="false">IF(BY79&lt;Hipótesis!$D$72,MIN(Hipótesis!$D$70-BX81,Hipótesis!$D$72-BY79),-MIN(BX81,MAX(0,BY79-Hipótesis!$D$72)))</f>
        <v>-0</v>
      </c>
      <c r="BZ80" s="138" t="n">
        <f aca="false">IF(BZ79&lt;Hipótesis!$D$72,MIN(Hipótesis!$D$70-BY81,Hipótesis!$D$72-BZ79),-MIN(BY81,MAX(0,BZ79-Hipótesis!$D$72)))</f>
        <v>-0</v>
      </c>
      <c r="CA80" s="138" t="n">
        <f aca="false">IF(CA79&lt;Hipótesis!$D$72,MIN(Hipótesis!$D$70-BZ81,Hipótesis!$D$72-CA79),-MIN(BZ81,MAX(0,CA79-Hipótesis!$D$72)))</f>
        <v>-0</v>
      </c>
      <c r="CB80" s="138" t="n">
        <f aca="false">IF(CB79&lt;Hipótesis!$D$72,MIN(Hipótesis!$D$70-CA81,Hipótesis!$D$72-CB79),-MIN(CA81,MAX(0,CB79-Hipótesis!$D$72)))</f>
        <v>-0</v>
      </c>
      <c r="CC80" s="138" t="n">
        <f aca="false">IF(CC79&lt;Hipótesis!$D$72,MIN(Hipótesis!$D$70-CB81,Hipótesis!$D$72-CC79),-MIN(CB81,MAX(0,CC79-Hipótesis!$D$72)))</f>
        <v>-0</v>
      </c>
      <c r="CD80" s="138" t="n">
        <f aca="false">IF(CD79&lt;Hipótesis!$D$72,MIN(Hipótesis!$D$70-CC81,Hipótesis!$D$72-CD79),-MIN(CC81,MAX(0,CD79-Hipótesis!$D$72)))</f>
        <v>-0</v>
      </c>
      <c r="CE80" s="138" t="n">
        <f aca="false">IF(CE79&lt;Hipótesis!$D$72,MIN(Hipótesis!$D$70-CD81,Hipótesis!$D$72-CE79),-MIN(CD81,MAX(0,CE79-Hipótesis!$D$72)))</f>
        <v>-0</v>
      </c>
      <c r="CF80" s="138" t="n">
        <f aca="false">IF(CF79&lt;Hipótesis!$D$72,MIN(Hipótesis!$D$70-CE81,Hipótesis!$D$72-CF79),-MIN(CE81,MAX(0,CF79-Hipótesis!$D$72)))</f>
        <v>-0</v>
      </c>
      <c r="CG80" s="138" t="n">
        <f aca="false">IF(CG79&lt;Hipótesis!$D$72,MIN(Hipótesis!$D$70-CF81,Hipótesis!$D$72-CG79),-MIN(CF81,MAX(0,CG79-Hipótesis!$D$72)))</f>
        <v>-0</v>
      </c>
      <c r="CH80" s="138" t="n">
        <f aca="false">IF(CH79&lt;Hipótesis!$D$72,MIN(Hipótesis!$D$70-CG81,Hipótesis!$D$72-CH79),-MIN(CG81,MAX(0,CH79-Hipótesis!$D$72)))</f>
        <v>-0</v>
      </c>
    </row>
    <row r="81" customFormat="false" ht="13.5" hidden="false" customHeight="true" outlineLevel="0" collapsed="false">
      <c r="A81" s="64" t="s">
        <v>759</v>
      </c>
      <c r="C81" s="99" t="n">
        <f aca="false">C80</f>
        <v>-0</v>
      </c>
      <c r="D81" s="99" t="n">
        <f aca="false">C81+D80</f>
        <v>0</v>
      </c>
      <c r="E81" s="99" t="n">
        <f aca="false">D81+E80</f>
        <v>0</v>
      </c>
      <c r="F81" s="99" t="n">
        <f aca="false">E81+F80</f>
        <v>0</v>
      </c>
      <c r="G81" s="99" t="n">
        <f aca="false">F81+G80</f>
        <v>0</v>
      </c>
      <c r="H81" s="99" t="n">
        <f aca="false">G81+H80</f>
        <v>0</v>
      </c>
      <c r="I81" s="99" t="n">
        <f aca="false">H81+I80</f>
        <v>6945.64555323232</v>
      </c>
      <c r="J81" s="99" t="n">
        <f aca="false">I81+J80</f>
        <v>17516.0810704426</v>
      </c>
      <c r="K81" s="99" t="n">
        <f aca="false">J81+K80</f>
        <v>24405.4755754551</v>
      </c>
      <c r="L81" s="99" t="n">
        <f aca="false">K81+L80</f>
        <v>27764.0051532937</v>
      </c>
      <c r="M81" s="99" t="n">
        <f aca="false">L81+M80</f>
        <v>28237.9651375586</v>
      </c>
      <c r="N81" s="99" t="n">
        <f aca="false">M81+N80</f>
        <v>28664.7883814494</v>
      </c>
      <c r="O81" s="99" t="n">
        <f aca="false">N81+O80</f>
        <v>29593.7947918931</v>
      </c>
      <c r="P81" s="99" t="n">
        <f aca="false">O81+P80</f>
        <v>28529.2911486421</v>
      </c>
      <c r="Q81" s="99" t="n">
        <f aca="false">P81+Q80</f>
        <v>27465.7192184332</v>
      </c>
      <c r="R81" s="99" t="n">
        <f aca="false">Q81+R80</f>
        <v>24477.753071065</v>
      </c>
      <c r="S81" s="99" t="n">
        <f aca="false">R81+S80</f>
        <v>17028.0130491928</v>
      </c>
      <c r="T81" s="99" t="n">
        <f aca="false">S81+T80</f>
        <v>20695.8553061388</v>
      </c>
      <c r="U81" s="99" t="n">
        <f aca="false">T81+U80</f>
        <v>13846.0923027355</v>
      </c>
      <c r="V81" s="99" t="n">
        <f aca="false">U81+V80</f>
        <v>7314.48664611696</v>
      </c>
      <c r="W81" s="99" t="n">
        <f aca="false">V81+W80</f>
        <v>0</v>
      </c>
      <c r="X81" s="99" t="n">
        <f aca="false">W81+X80</f>
        <v>0</v>
      </c>
      <c r="Y81" s="99" t="n">
        <f aca="false">X81+Y80</f>
        <v>0</v>
      </c>
      <c r="Z81" s="99" t="n">
        <f aca="false">Y81+Z80</f>
        <v>0</v>
      </c>
      <c r="AA81" s="99" t="n">
        <f aca="false">Z81+AA80</f>
        <v>0</v>
      </c>
      <c r="AB81" s="99" t="n">
        <f aca="false">AA81+AB80</f>
        <v>0</v>
      </c>
      <c r="AC81" s="99" t="n">
        <f aca="false">AB81+AC80</f>
        <v>0</v>
      </c>
      <c r="AD81" s="99" t="n">
        <f aca="false">AC81+AD80</f>
        <v>0</v>
      </c>
      <c r="AE81" s="99" t="n">
        <f aca="false">AD81+AE80</f>
        <v>0</v>
      </c>
      <c r="AF81" s="99" t="n">
        <f aca="false">AE81+AF80</f>
        <v>0</v>
      </c>
      <c r="AG81" s="99" t="n">
        <f aca="false">AF81+AG80</f>
        <v>0</v>
      </c>
      <c r="AH81" s="99" t="n">
        <f aca="false">AG81+AH80</f>
        <v>0</v>
      </c>
      <c r="AI81" s="99" t="n">
        <f aca="false">AH81+AI80</f>
        <v>0</v>
      </c>
      <c r="AJ81" s="99" t="n">
        <f aca="false">AI81+AJ80</f>
        <v>0</v>
      </c>
      <c r="AK81" s="99" t="n">
        <f aca="false">AJ81+AK80</f>
        <v>0</v>
      </c>
      <c r="AL81" s="99" t="n">
        <f aca="false">AK81+AL80</f>
        <v>0</v>
      </c>
      <c r="AM81" s="99" t="n">
        <f aca="false">AL81+AM80</f>
        <v>0</v>
      </c>
      <c r="AN81" s="99" t="n">
        <f aca="false">AM81+AN80</f>
        <v>0</v>
      </c>
      <c r="AO81" s="99" t="n">
        <f aca="false">AN81+AO80</f>
        <v>0</v>
      </c>
      <c r="AP81" s="99" t="n">
        <f aca="false">AO81+AP80</f>
        <v>0</v>
      </c>
      <c r="AQ81" s="99" t="n">
        <f aca="false">AP81+AQ80</f>
        <v>0</v>
      </c>
      <c r="AR81" s="99" t="n">
        <f aca="false">AQ81+AR80</f>
        <v>0</v>
      </c>
      <c r="AS81" s="99" t="n">
        <f aca="false">AR81+AS80</f>
        <v>0</v>
      </c>
      <c r="AT81" s="99" t="n">
        <f aca="false">AS81+AT80</f>
        <v>0</v>
      </c>
      <c r="AU81" s="99" t="n">
        <f aca="false">AT81+AU80</f>
        <v>0</v>
      </c>
      <c r="AV81" s="99" t="n">
        <f aca="false">AU81+AV80</f>
        <v>0</v>
      </c>
      <c r="AW81" s="99" t="n">
        <f aca="false">AV81+AW80</f>
        <v>0</v>
      </c>
      <c r="AX81" s="99" t="n">
        <f aca="false">AW81+AX80</f>
        <v>0</v>
      </c>
      <c r="AY81" s="99" t="n">
        <f aca="false">AX81+AY80</f>
        <v>0</v>
      </c>
      <c r="AZ81" s="99" t="n">
        <f aca="false">AY81+AZ80</f>
        <v>0</v>
      </c>
      <c r="BA81" s="99" t="n">
        <f aca="false">AZ81+BA80</f>
        <v>0</v>
      </c>
      <c r="BB81" s="99" t="n">
        <f aca="false">BA81+BB80</f>
        <v>0</v>
      </c>
      <c r="BC81" s="99" t="n">
        <f aca="false">BB81+BC80</f>
        <v>0</v>
      </c>
      <c r="BD81" s="99" t="n">
        <f aca="false">BC81+BD80</f>
        <v>0</v>
      </c>
      <c r="BE81" s="99" t="n">
        <f aca="false">BD81+BE80</f>
        <v>0</v>
      </c>
      <c r="BF81" s="99" t="n">
        <f aca="false">BE81+BF80</f>
        <v>0</v>
      </c>
      <c r="BG81" s="99" t="n">
        <f aca="false">BF81+BG80</f>
        <v>0</v>
      </c>
      <c r="BH81" s="99" t="n">
        <f aca="false">BG81+BH80</f>
        <v>0</v>
      </c>
      <c r="BI81" s="99" t="n">
        <f aca="false">BH81+BI80</f>
        <v>0</v>
      </c>
      <c r="BJ81" s="99" t="n">
        <f aca="false">BI81+BJ80</f>
        <v>0</v>
      </c>
      <c r="BK81" s="99" t="n">
        <f aca="false">BJ81+BK80</f>
        <v>0</v>
      </c>
      <c r="BL81" s="99" t="n">
        <f aca="false">BK81+BL80</f>
        <v>0</v>
      </c>
      <c r="BM81" s="99" t="n">
        <f aca="false">BL81+BM80</f>
        <v>0</v>
      </c>
      <c r="BN81" s="99" t="n">
        <f aca="false">BM81+BN80</f>
        <v>0</v>
      </c>
      <c r="BO81" s="99" t="n">
        <f aca="false">BN81+BO80</f>
        <v>0</v>
      </c>
      <c r="BP81" s="99" t="n">
        <f aca="false">BO81+BP80</f>
        <v>0</v>
      </c>
      <c r="BQ81" s="99" t="n">
        <f aca="false">BP81+BQ80</f>
        <v>0</v>
      </c>
      <c r="BR81" s="99" t="n">
        <f aca="false">BQ81+BR80</f>
        <v>0</v>
      </c>
      <c r="BS81" s="99" t="n">
        <f aca="false">BR81+BS80</f>
        <v>0</v>
      </c>
      <c r="BT81" s="99" t="n">
        <f aca="false">BS81+BT80</f>
        <v>0</v>
      </c>
      <c r="BU81" s="99" t="n">
        <f aca="false">BT81+BU80</f>
        <v>0</v>
      </c>
      <c r="BV81" s="99" t="n">
        <f aca="false">BU81+BV80</f>
        <v>0</v>
      </c>
      <c r="BW81" s="99" t="n">
        <f aca="false">BV81+BW80</f>
        <v>0</v>
      </c>
      <c r="BX81" s="99" t="n">
        <f aca="false">BW81+BX80</f>
        <v>0</v>
      </c>
      <c r="BY81" s="99" t="n">
        <f aca="false">BX81+BY80</f>
        <v>0</v>
      </c>
      <c r="BZ81" s="99" t="n">
        <f aca="false">BY81+BZ80</f>
        <v>0</v>
      </c>
      <c r="CA81" s="99" t="n">
        <f aca="false">BZ81+CA80</f>
        <v>0</v>
      </c>
      <c r="CB81" s="99" t="n">
        <f aca="false">CA81+CB80</f>
        <v>0</v>
      </c>
      <c r="CC81" s="99" t="n">
        <f aca="false">CB81+CC80</f>
        <v>0</v>
      </c>
      <c r="CD81" s="99" t="n">
        <f aca="false">CC81+CD80</f>
        <v>0</v>
      </c>
      <c r="CE81" s="99" t="n">
        <f aca="false">CD81+CE80</f>
        <v>0</v>
      </c>
      <c r="CF81" s="99" t="n">
        <f aca="false">CE81+CF80</f>
        <v>0</v>
      </c>
      <c r="CG81" s="99" t="n">
        <f aca="false">CF81+CG80</f>
        <v>0</v>
      </c>
      <c r="CH81" s="99" t="n">
        <f aca="false">CG81+CH80</f>
        <v>0</v>
      </c>
    </row>
    <row r="82" customFormat="false" ht="13.5" hidden="false" customHeight="true" outlineLevel="0" collapsed="false">
      <c r="A82" s="13" t="s">
        <v>760</v>
      </c>
      <c r="C82" s="138" t="n">
        <f aca="false">C79+C80</f>
        <v>149528.470309947</v>
      </c>
      <c r="D82" s="138" t="n">
        <f aca="false">D79+D80</f>
        <v>120418.584222257</v>
      </c>
      <c r="E82" s="138" t="n">
        <f aca="false">E79+E80</f>
        <v>96598.4060017235</v>
      </c>
      <c r="F82" s="138" t="n">
        <f aca="false">F79+F80</f>
        <v>75279.0841312124</v>
      </c>
      <c r="G82" s="138" t="n">
        <f aca="false">G79+G80</f>
        <v>56315.7163807796</v>
      </c>
      <c r="H82" s="138" t="n">
        <f aca="false">H79+H80</f>
        <v>37019.5932746516</v>
      </c>
      <c r="I82" s="138" t="n">
        <f aca="false">I79+I80</f>
        <v>30000</v>
      </c>
      <c r="J82" s="138" t="n">
        <f aca="false">J79+J80</f>
        <v>30000</v>
      </c>
      <c r="K82" s="138" t="n">
        <f aca="false">K79+K80</f>
        <v>30000</v>
      </c>
      <c r="L82" s="138" t="n">
        <f aca="false">L79+L80</f>
        <v>30000</v>
      </c>
      <c r="M82" s="138" t="n">
        <f aca="false">M79+M80</f>
        <v>30000</v>
      </c>
      <c r="N82" s="138" t="n">
        <f aca="false">N79+N80</f>
        <v>30000</v>
      </c>
      <c r="O82" s="138" t="n">
        <f aca="false">O79+O80</f>
        <v>30000</v>
      </c>
      <c r="P82" s="138" t="n">
        <f aca="false">P79+P80</f>
        <v>30000</v>
      </c>
      <c r="Q82" s="138" t="n">
        <f aca="false">Q79+Q80</f>
        <v>30000</v>
      </c>
      <c r="R82" s="138" t="n">
        <f aca="false">R79+R80</f>
        <v>30000</v>
      </c>
      <c r="S82" s="138" t="n">
        <f aca="false">S79+S80</f>
        <v>30000</v>
      </c>
      <c r="T82" s="138" t="n">
        <f aca="false">T79+T80</f>
        <v>30000</v>
      </c>
      <c r="U82" s="138" t="n">
        <f aca="false">U79+U80</f>
        <v>30000</v>
      </c>
      <c r="V82" s="138" t="n">
        <f aca="false">V79+V80</f>
        <v>30000</v>
      </c>
      <c r="W82" s="138" t="n">
        <f aca="false">W79+W80</f>
        <v>31162.81577572</v>
      </c>
      <c r="X82" s="138" t="n">
        <f aca="false">X79+X80</f>
        <v>39434.3329082176</v>
      </c>
      <c r="Y82" s="138" t="n">
        <f aca="false">Y79+Y80</f>
        <v>49236.1186742951</v>
      </c>
      <c r="Z82" s="138" t="n">
        <f aca="false">Z79+Z80</f>
        <v>60482.3733953375</v>
      </c>
      <c r="AA82" s="138" t="n">
        <f aca="false">AA79+AA80</f>
        <v>69437.1085950026</v>
      </c>
      <c r="AB82" s="138" t="n">
        <f aca="false">AB79+AB80</f>
        <v>79787.9983253793</v>
      </c>
      <c r="AC82" s="138" t="n">
        <f aca="false">AC79+AC80</f>
        <v>91535.0425864676</v>
      </c>
      <c r="AD82" s="138" t="n">
        <f aca="false">AD79+AD80</f>
        <v>104678.241378268</v>
      </c>
      <c r="AE82" s="138" t="n">
        <f aca="false">AE79+AE80</f>
        <v>124063.047001596</v>
      </c>
      <c r="AF82" s="138" t="n">
        <f aca="false">AF79+AF80</f>
        <v>123325.014144223</v>
      </c>
      <c r="AG82" s="138" t="n">
        <f aca="false">AG79+AG80</f>
        <v>138673.587081358</v>
      </c>
      <c r="AH82" s="138" t="n">
        <f aca="false">AH79+AH80</f>
        <v>155418.314549204</v>
      </c>
      <c r="AI82" s="138" t="n">
        <f aca="false">AI79+AI80</f>
        <v>173559.196547762</v>
      </c>
      <c r="AJ82" s="138" t="n">
        <f aca="false">AJ79+AJ80</f>
        <v>193096.233077032</v>
      </c>
      <c r="AK82" s="138" t="n">
        <f aca="false">AK79+AK80</f>
        <v>214029.424137013</v>
      </c>
      <c r="AL82" s="138" t="n">
        <f aca="false">AL79+AL80</f>
        <v>236358.769727706</v>
      </c>
      <c r="AM82" s="138" t="n">
        <f aca="false">AM79+AM80</f>
        <v>253620.569380963</v>
      </c>
      <c r="AN82" s="138" t="n">
        <f aca="false">AN79+AN80</f>
        <v>271860.879174933</v>
      </c>
      <c r="AO82" s="138" t="n">
        <f aca="false">AO79+AO80</f>
        <v>291079.699109618</v>
      </c>
      <c r="AP82" s="138" t="n">
        <f aca="false">AP79+AP80</f>
        <v>311277.029185016</v>
      </c>
      <c r="AQ82" s="138" t="n">
        <f aca="false">AQ79+AQ80</f>
        <v>340098.886365125</v>
      </c>
      <c r="AR82" s="138" t="n">
        <f aca="false">AR79+AR80</f>
        <v>344016.814463446</v>
      </c>
      <c r="AS82" s="138" t="n">
        <f aca="false">AS79+AS80</f>
        <v>366730.558910958</v>
      </c>
      <c r="AT82" s="138" t="n">
        <f aca="false">AT79+AT80</f>
        <v>389448.470025137</v>
      </c>
      <c r="AU82" s="138" t="n">
        <f aca="false">AU79+AU80</f>
        <v>412170.547805982</v>
      </c>
      <c r="AV82" s="138" t="n">
        <f aca="false">AV79+AV80</f>
        <v>434896.792253494</v>
      </c>
      <c r="AW82" s="138" t="n">
        <f aca="false">AW79+AW80</f>
        <v>457627.203367673</v>
      </c>
      <c r="AX82" s="138" t="n">
        <f aca="false">AX79+AX80</f>
        <v>480361.781148518</v>
      </c>
      <c r="AY82" s="138" t="n">
        <f aca="false">AY79+AY80</f>
        <v>390167.446230475</v>
      </c>
      <c r="AZ82" s="138" t="n">
        <f aca="false">AZ79+AZ80</f>
        <v>411003.427593373</v>
      </c>
      <c r="BA82" s="138" t="n">
        <f aca="false">BA79+BA80</f>
        <v>431843.575622938</v>
      </c>
      <c r="BB82" s="138" t="n">
        <f aca="false">BB79+BB80</f>
        <v>452687.89031917</v>
      </c>
      <c r="BC82" s="138" t="n">
        <f aca="false">BC79+BC80</f>
        <v>481182.388646065</v>
      </c>
      <c r="BD82" s="138" t="n">
        <f aca="false">BD79+BD80</f>
        <v>483798.614417124</v>
      </c>
      <c r="BE82" s="138" t="n">
        <f aca="false">BE79+BE80</f>
        <v>504655.429113356</v>
      </c>
      <c r="BF82" s="138" t="n">
        <f aca="false">BF79+BF80</f>
        <v>525516.410476254</v>
      </c>
      <c r="BG82" s="138" t="n">
        <f aca="false">BG79+BG80</f>
        <v>546381.558505819</v>
      </c>
      <c r="BH82" s="138" t="n">
        <f aca="false">BH79+BH80</f>
        <v>567250.873202051</v>
      </c>
      <c r="BI82" s="138" t="n">
        <f aca="false">BI79+BI80</f>
        <v>588124.354564949</v>
      </c>
      <c r="BJ82" s="138" t="n">
        <f aca="false">BJ79+BJ80</f>
        <v>609002.002594514</v>
      </c>
      <c r="BK82" s="138" t="n">
        <f aca="false">BK79+BK80</f>
        <v>519810.331296361</v>
      </c>
      <c r="BL82" s="138" t="n">
        <f aca="false">BL79+BL80</f>
        <v>538775.834015441</v>
      </c>
      <c r="BM82" s="138" t="n">
        <f aca="false">BM79+BM80</f>
        <v>557745.503401187</v>
      </c>
      <c r="BN82" s="138" t="n">
        <f aca="false">BN79+BN80</f>
        <v>576719.3394536</v>
      </c>
      <c r="BO82" s="138" t="n">
        <f aca="false">BO79+BO80</f>
        <v>603343.359136676</v>
      </c>
      <c r="BP82" s="138" t="n">
        <f aca="false">BP79+BP80</f>
        <v>604089.106263916</v>
      </c>
      <c r="BQ82" s="138" t="n">
        <f aca="false">BQ79+BQ80</f>
        <v>623075.442316329</v>
      </c>
      <c r="BR82" s="138" t="n">
        <f aca="false">BR79+BR80</f>
        <v>642065.945035409</v>
      </c>
      <c r="BS82" s="138" t="n">
        <f aca="false">BS79+BS80</f>
        <v>661060.614421155</v>
      </c>
      <c r="BT82" s="138" t="n">
        <f aca="false">BT79+BT80</f>
        <v>680059.450473568</v>
      </c>
      <c r="BU82" s="138" t="n">
        <f aca="false">BU79+BU80</f>
        <v>699062.453192647</v>
      </c>
      <c r="BV82" s="138" t="n">
        <f aca="false">BV79+BV80</f>
        <v>718069.622578393</v>
      </c>
      <c r="BW82" s="138" t="n">
        <f aca="false">BW79+BW80</f>
        <v>635971.814767437</v>
      </c>
      <c r="BX82" s="138" t="n">
        <f aca="false">BX79+BX80</f>
        <v>653052.883483383</v>
      </c>
      <c r="BY82" s="138" t="n">
        <f aca="false">BY79+BY80</f>
        <v>670138.118865996</v>
      </c>
      <c r="BZ82" s="138" t="n">
        <f aca="false">BZ79+BZ80</f>
        <v>687227.520915276</v>
      </c>
      <c r="CA82" s="138" t="n">
        <f aca="false">CA79+CA80</f>
        <v>711967.106595218</v>
      </c>
      <c r="CB82" s="138" t="n">
        <f aca="false">CB79+CB80</f>
        <v>710828.419719326</v>
      </c>
      <c r="CC82" s="138" t="n">
        <f aca="false">CC79+CC80</f>
        <v>727930.321768605</v>
      </c>
      <c r="CD82" s="138" t="n">
        <f aca="false">CD79+CD80</f>
        <v>745036.390484551</v>
      </c>
      <c r="CE82" s="138" t="n">
        <f aca="false">CE79+CE80</f>
        <v>762146.625867164</v>
      </c>
      <c r="CF82" s="138" t="n">
        <f aca="false">CF79+CF80</f>
        <v>779261.027916443</v>
      </c>
      <c r="CG82" s="138" t="n">
        <f aca="false">CG79+CG80</f>
        <v>796379.59663239</v>
      </c>
      <c r="CH82" s="138" t="n">
        <f aca="false">CH79+CH80</f>
        <v>813502.332015002</v>
      </c>
    </row>
    <row r="83" customFormat="false" ht="13.5" hidden="false" customHeight="true" outlineLevel="0" collapsed="false">
      <c r="A83" s="13" t="s">
        <v>761</v>
      </c>
      <c r="C83" s="138" t="n">
        <f aca="false">-IF(AND(1&gt;=Hipótesis!$D$76,MOD(1,12)=0,C81=0),MIN(Hipótesis!$D$77*MAX(0,SUM(C63:C63)),MAX(0,C82-Hipótesis!$D$80)),0)</f>
        <v>-0</v>
      </c>
      <c r="D83" s="138" t="n">
        <f aca="false">-IF(AND(2&gt;=Hipótesis!$D$76,MOD(2,12)=0,D81=0),MIN(Hipótesis!$D$77*MAX(0,SUM(C63:D63)),MAX(0,D82-Hipótesis!$D$80)),0)</f>
        <v>-0</v>
      </c>
      <c r="E83" s="138" t="n">
        <f aca="false">-IF(AND(3&gt;=Hipótesis!$D$76,MOD(3,12)=0,E81=0),MIN(Hipótesis!$D$77*MAX(0,SUM(C63:E63)),MAX(0,E82-Hipótesis!$D$80)),0)</f>
        <v>-0</v>
      </c>
      <c r="F83" s="138" t="n">
        <f aca="false">-IF(AND(4&gt;=Hipótesis!$D$76,MOD(4,12)=0,F81=0),MIN(Hipótesis!$D$77*MAX(0,SUM(C63:F63)),MAX(0,F82-Hipótesis!$D$80)),0)</f>
        <v>-0</v>
      </c>
      <c r="G83" s="138" t="n">
        <f aca="false">-IF(AND(5&gt;=Hipótesis!$D$76,MOD(5,12)=0,G81=0),MIN(Hipótesis!$D$77*MAX(0,SUM(C63:G63)),MAX(0,G82-Hipótesis!$D$80)),0)</f>
        <v>-0</v>
      </c>
      <c r="H83" s="138" t="n">
        <f aca="false">-IF(AND(6&gt;=Hipótesis!$D$76,MOD(6,12)=0,H81=0),MIN(Hipótesis!$D$77*MAX(0,SUM(C63:H63)),MAX(0,H82-Hipótesis!$D$80)),0)</f>
        <v>-0</v>
      </c>
      <c r="I83" s="138" t="n">
        <f aca="false">-IF(AND(7&gt;=Hipótesis!$D$76,MOD(7,12)=0,I81=0),MIN(Hipótesis!$D$77*MAX(0,SUM(C63:I63)),MAX(0,I82-Hipótesis!$D$80)),0)</f>
        <v>-0</v>
      </c>
      <c r="J83" s="138" t="n">
        <f aca="false">-IF(AND(8&gt;=Hipótesis!$D$76,MOD(8,12)=0,J81=0),MIN(Hipótesis!$D$77*MAX(0,SUM(C63:J63)),MAX(0,J82-Hipótesis!$D$80)),0)</f>
        <v>-0</v>
      </c>
      <c r="K83" s="138" t="n">
        <f aca="false">-IF(AND(9&gt;=Hipótesis!$D$76,MOD(9,12)=0,K81=0),MIN(Hipótesis!$D$77*MAX(0,SUM(C63:K63)),MAX(0,K82-Hipótesis!$D$80)),0)</f>
        <v>-0</v>
      </c>
      <c r="L83" s="138" t="n">
        <f aca="false">-IF(AND(10&gt;=Hipótesis!$D$76,MOD(10,12)=0,L81=0),MIN(Hipótesis!$D$77*MAX(0,SUM(C63:L63)),MAX(0,L82-Hipótesis!$D$80)),0)</f>
        <v>-0</v>
      </c>
      <c r="M83" s="138" t="n">
        <f aca="false">-IF(AND(11&gt;=Hipótesis!$D$76,MOD(11,12)=0,M81=0),MIN(Hipótesis!$D$77*MAX(0,SUM(C63:M63)),MAX(0,M82-Hipótesis!$D$80)),0)</f>
        <v>-0</v>
      </c>
      <c r="N83" s="138" t="n">
        <f aca="false">-IF(AND(12&gt;=Hipótesis!$D$76,MOD(12,12)=0,N81=0),MIN(Hipótesis!$D$77*MAX(0,SUM(C63:N63)),MAX(0,N82-Hipótesis!$D$80)),0)</f>
        <v>-0</v>
      </c>
      <c r="O83" s="138" t="n">
        <f aca="false">-IF(AND(13&gt;=Hipótesis!$D$76,MOD(13,12)=0,O81=0),MIN(Hipótesis!$D$77*MAX(0,SUM(D63:O63)),MAX(0,O82-Hipótesis!$D$80)),0)</f>
        <v>-0</v>
      </c>
      <c r="P83" s="138" t="n">
        <f aca="false">-IF(AND(14&gt;=Hipótesis!$D$76,MOD(14,12)=0,P81=0),MIN(Hipótesis!$D$77*MAX(0,SUM(E63:P63)),MAX(0,P82-Hipótesis!$D$80)),0)</f>
        <v>-0</v>
      </c>
      <c r="Q83" s="138" t="n">
        <f aca="false">-IF(AND(15&gt;=Hipótesis!$D$76,MOD(15,12)=0,Q81=0),MIN(Hipótesis!$D$77*MAX(0,SUM(F63:Q63)),MAX(0,Q82-Hipótesis!$D$80)),0)</f>
        <v>-0</v>
      </c>
      <c r="R83" s="138" t="n">
        <f aca="false">-IF(AND(16&gt;=Hipótesis!$D$76,MOD(16,12)=0,R81=0),MIN(Hipótesis!$D$77*MAX(0,SUM(G63:R63)),MAX(0,R82-Hipótesis!$D$80)),0)</f>
        <v>-0</v>
      </c>
      <c r="S83" s="138" t="n">
        <f aca="false">-IF(AND(17&gt;=Hipótesis!$D$76,MOD(17,12)=0,S81=0),MIN(Hipótesis!$D$77*MAX(0,SUM(H63:S63)),MAX(0,S82-Hipótesis!$D$80)),0)</f>
        <v>-0</v>
      </c>
      <c r="T83" s="138" t="n">
        <f aca="false">-IF(AND(18&gt;=Hipótesis!$D$76,MOD(18,12)=0,T81=0),MIN(Hipótesis!$D$77*MAX(0,SUM(I63:T63)),MAX(0,T82-Hipótesis!$D$80)),0)</f>
        <v>-0</v>
      </c>
      <c r="U83" s="138" t="n">
        <f aca="false">-IF(AND(19&gt;=Hipótesis!$D$76,MOD(19,12)=0,U81=0),MIN(Hipótesis!$D$77*MAX(0,SUM(J63:U63)),MAX(0,U82-Hipótesis!$D$80)),0)</f>
        <v>-0</v>
      </c>
      <c r="V83" s="138" t="n">
        <f aca="false">-IF(AND(20&gt;=Hipótesis!$D$76,MOD(20,12)=0,V81=0),MIN(Hipótesis!$D$77*MAX(0,SUM(K63:V63)),MAX(0,V82-Hipótesis!$D$80)),0)</f>
        <v>-0</v>
      </c>
      <c r="W83" s="138" t="n">
        <f aca="false">-IF(AND(21&gt;=Hipótesis!$D$76,MOD(21,12)=0,W81=0),MIN(Hipótesis!$D$77*MAX(0,SUM(L63:W63)),MAX(0,W82-Hipótesis!$D$80)),0)</f>
        <v>-0</v>
      </c>
      <c r="X83" s="138" t="n">
        <f aca="false">-IF(AND(22&gt;=Hipótesis!$D$76,MOD(22,12)=0,X81=0),MIN(Hipótesis!$D$77*MAX(0,SUM(M63:X63)),MAX(0,X82-Hipótesis!$D$80)),0)</f>
        <v>-0</v>
      </c>
      <c r="Y83" s="138" t="n">
        <f aca="false">-IF(AND(23&gt;=Hipótesis!$D$76,MOD(23,12)=0,Y81=0),MIN(Hipótesis!$D$77*MAX(0,SUM(N63:Y63)),MAX(0,Y82-Hipótesis!$D$80)),0)</f>
        <v>-0</v>
      </c>
      <c r="Z83" s="138" t="n">
        <f aca="false">-IF(AND(24&gt;=Hipótesis!$D$76,MOD(24,12)=0,Z81=0),MIN(Hipótesis!$D$77*MAX(0,SUM(O63:Z63)),MAX(0,Z82-Hipótesis!$D$80)),0)</f>
        <v>-0</v>
      </c>
      <c r="AA83" s="138" t="n">
        <f aca="false">-IF(AND(25&gt;=Hipótesis!$D$76,MOD(25,12)=0,AA81=0),MIN(Hipótesis!$D$77*MAX(0,SUM(P63:AA63)),MAX(0,AA82-Hipótesis!$D$80)),0)</f>
        <v>-0</v>
      </c>
      <c r="AB83" s="138" t="n">
        <f aca="false">-IF(AND(26&gt;=Hipótesis!$D$76,MOD(26,12)=0,AB81=0),MIN(Hipótesis!$D$77*MAX(0,SUM(Q63:AB63)),MAX(0,AB82-Hipótesis!$D$80)),0)</f>
        <v>-0</v>
      </c>
      <c r="AC83" s="138" t="n">
        <f aca="false">-IF(AND(27&gt;=Hipótesis!$D$76,MOD(27,12)=0,AC81=0),MIN(Hipótesis!$D$77*MAX(0,SUM(R63:AC63)),MAX(0,AC82-Hipótesis!$D$80)),0)</f>
        <v>-0</v>
      </c>
      <c r="AD83" s="138" t="n">
        <f aca="false">-IF(AND(28&gt;=Hipótesis!$D$76,MOD(28,12)=0,AD81=0),MIN(Hipótesis!$D$77*MAX(0,SUM(S63:AD63)),MAX(0,AD82-Hipótesis!$D$80)),0)</f>
        <v>-0</v>
      </c>
      <c r="AE83" s="138" t="n">
        <f aca="false">-IF(AND(29&gt;=Hipótesis!$D$76,MOD(29,12)=0,AE81=0),MIN(Hipótesis!$D$77*MAX(0,SUM(T63:AE63)),MAX(0,AE82-Hipótesis!$D$80)),0)</f>
        <v>-0</v>
      </c>
      <c r="AF83" s="138" t="n">
        <f aca="false">-IF(AND(30&gt;=Hipótesis!$D$76,MOD(30,12)=0,AF81=0),MIN(Hipótesis!$D$77*MAX(0,SUM(U63:AF63)),MAX(0,AF82-Hipótesis!$D$80)),0)</f>
        <v>-0</v>
      </c>
      <c r="AG83" s="138" t="n">
        <f aca="false">-IF(AND(31&gt;=Hipótesis!$D$76,MOD(31,12)=0,AG81=0),MIN(Hipótesis!$D$77*MAX(0,SUM(V63:AG63)),MAX(0,AG82-Hipótesis!$D$80)),0)</f>
        <v>-0</v>
      </c>
      <c r="AH83" s="138" t="n">
        <f aca="false">-IF(AND(32&gt;=Hipótesis!$D$76,MOD(32,12)=0,AH81=0),MIN(Hipótesis!$D$77*MAX(0,SUM(W63:AH63)),MAX(0,AH82-Hipótesis!$D$80)),0)</f>
        <v>-0</v>
      </c>
      <c r="AI83" s="138" t="n">
        <f aca="false">-IF(AND(33&gt;=Hipótesis!$D$76,MOD(33,12)=0,AI81=0),MIN(Hipótesis!$D$77*MAX(0,SUM(X63:AI63)),MAX(0,AI82-Hipótesis!$D$80)),0)</f>
        <v>-0</v>
      </c>
      <c r="AJ83" s="138" t="n">
        <f aca="false">-IF(AND(34&gt;=Hipótesis!$D$76,MOD(34,12)=0,AJ81=0),MIN(Hipótesis!$D$77*MAX(0,SUM(Y63:AJ63)),MAX(0,AJ82-Hipótesis!$D$80)),0)</f>
        <v>-0</v>
      </c>
      <c r="AK83" s="138" t="n">
        <f aca="false">-IF(AND(35&gt;=Hipótesis!$D$76,MOD(35,12)=0,AK81=0),MIN(Hipótesis!$D$77*MAX(0,SUM(Z63:AK63)),MAX(0,AK82-Hipótesis!$D$80)),0)</f>
        <v>-0</v>
      </c>
      <c r="AL83" s="138" t="n">
        <f aca="false">-IF(AND(36&gt;=Hipótesis!$D$76,MOD(36,12)=0,AL81=0),MIN(Hipótesis!$D$77*MAX(0,SUM(AA63:AL63)),MAX(0,AL82-Hipótesis!$D$80)),0)</f>
        <v>-0</v>
      </c>
      <c r="AM83" s="138" t="n">
        <f aca="false">-IF(AND(37&gt;=Hipótesis!$D$76,MOD(37,12)=0,AM81=0),MIN(Hipótesis!$D$77*MAX(0,SUM(AB63:AM63)),MAX(0,AM82-Hipótesis!$D$80)),0)</f>
        <v>-0</v>
      </c>
      <c r="AN83" s="138" t="n">
        <f aca="false">-IF(AND(38&gt;=Hipótesis!$D$76,MOD(38,12)=0,AN81=0),MIN(Hipótesis!$D$77*MAX(0,SUM(AC63:AN63)),MAX(0,AN82-Hipótesis!$D$80)),0)</f>
        <v>-0</v>
      </c>
      <c r="AO83" s="138" t="n">
        <f aca="false">-IF(AND(39&gt;=Hipótesis!$D$76,MOD(39,12)=0,AO81=0),MIN(Hipótesis!$D$77*MAX(0,SUM(AD63:AO63)),MAX(0,AO82-Hipótesis!$D$80)),0)</f>
        <v>-0</v>
      </c>
      <c r="AP83" s="138" t="n">
        <f aca="false">-IF(AND(40&gt;=Hipótesis!$D$76,MOD(40,12)=0,AP81=0),MIN(Hipótesis!$D$77*MAX(0,SUM(AE63:AP63)),MAX(0,AP82-Hipótesis!$D$80)),0)</f>
        <v>-0</v>
      </c>
      <c r="AQ83" s="138" t="n">
        <f aca="false">-IF(AND(41&gt;=Hipótesis!$D$76,MOD(41,12)=0,AQ81=0),MIN(Hipótesis!$D$77*MAX(0,SUM(AF63:AQ63)),MAX(0,AQ82-Hipótesis!$D$80)),0)</f>
        <v>-0</v>
      </c>
      <c r="AR83" s="138" t="n">
        <f aca="false">-IF(AND(42&gt;=Hipótesis!$D$76,MOD(42,12)=0,AR81=0),MIN(Hipótesis!$D$77*MAX(0,SUM(AG63:AR63)),MAX(0,AR82-Hipótesis!$D$80)),0)</f>
        <v>-0</v>
      </c>
      <c r="AS83" s="138" t="n">
        <f aca="false">-IF(AND(43&gt;=Hipótesis!$D$76,MOD(43,12)=0,AS81=0),MIN(Hipótesis!$D$77*MAX(0,SUM(AH63:AS63)),MAX(0,AS82-Hipótesis!$D$80)),0)</f>
        <v>-0</v>
      </c>
      <c r="AT83" s="138" t="n">
        <f aca="false">-IF(AND(44&gt;=Hipótesis!$D$76,MOD(44,12)=0,AT81=0),MIN(Hipótesis!$D$77*MAX(0,SUM(AI63:AT63)),MAX(0,AT82-Hipótesis!$D$80)),0)</f>
        <v>-0</v>
      </c>
      <c r="AU83" s="138" t="n">
        <f aca="false">-IF(AND(45&gt;=Hipótesis!$D$76,MOD(45,12)=0,AU81=0),MIN(Hipótesis!$D$77*MAX(0,SUM(AJ63:AU63)),MAX(0,AU82-Hipótesis!$D$80)),0)</f>
        <v>-0</v>
      </c>
      <c r="AV83" s="138" t="n">
        <f aca="false">-IF(AND(46&gt;=Hipótesis!$D$76,MOD(46,12)=0,AV81=0),MIN(Hipótesis!$D$77*MAX(0,SUM(AK63:AV63)),MAX(0,AV82-Hipótesis!$D$80)),0)</f>
        <v>-0</v>
      </c>
      <c r="AW83" s="138" t="n">
        <f aca="false">-IF(AND(47&gt;=Hipótesis!$D$76,MOD(47,12)=0,AW81=0),MIN(Hipótesis!$D$77*MAX(0,SUM(AL63:AW63)),MAX(0,AW82-Hipótesis!$D$80)),0)</f>
        <v>-0</v>
      </c>
      <c r="AX83" s="138" t="n">
        <f aca="false">-IF(AND(48&gt;=Hipótesis!$D$76,MOD(48,12)=0,AX81=0),MIN(Hipótesis!$D$77*MAX(0,SUM(AM63:AX63)),MAX(0,AX82-Hipótesis!$D$80)),0)</f>
        <v>-111026.149614275</v>
      </c>
      <c r="AY83" s="138" t="n">
        <f aca="false">-IF(AND(49&gt;=Hipótesis!$D$76,MOD(49,12)=0,AY81=0),MIN(Hipótesis!$D$77*MAX(0,SUM(AN63:AY63)),MAX(0,AY82-Hipótesis!$D$80)),0)</f>
        <v>-0</v>
      </c>
      <c r="AZ83" s="138" t="n">
        <f aca="false">-IF(AND(50&gt;=Hipótesis!$D$76,MOD(50,12)=0,AZ81=0),MIN(Hipótesis!$D$77*MAX(0,SUM(AO63:AZ63)),MAX(0,AZ82-Hipótesis!$D$80)),0)</f>
        <v>-0</v>
      </c>
      <c r="BA83" s="138" t="n">
        <f aca="false">-IF(AND(51&gt;=Hipótesis!$D$76,MOD(51,12)=0,BA81=0),MIN(Hipótesis!$D$77*MAX(0,SUM(AP63:BA63)),MAX(0,BA82-Hipótesis!$D$80)),0)</f>
        <v>-0</v>
      </c>
      <c r="BB83" s="138" t="n">
        <f aca="false">-IF(AND(52&gt;=Hipótesis!$D$76,MOD(52,12)=0,BB81=0),MIN(Hipótesis!$D$77*MAX(0,SUM(AQ63:BB63)),MAX(0,BB82-Hipótesis!$D$80)),0)</f>
        <v>-0</v>
      </c>
      <c r="BC83" s="138" t="n">
        <f aca="false">-IF(AND(53&gt;=Hipótesis!$D$76,MOD(53,12)=0,BC81=0),MIN(Hipótesis!$D$77*MAX(0,SUM(AR63:BC63)),MAX(0,BC82-Hipótesis!$D$80)),0)</f>
        <v>-0</v>
      </c>
      <c r="BD83" s="138" t="n">
        <f aca="false">-IF(AND(54&gt;=Hipótesis!$D$76,MOD(54,12)=0,BD81=0),MIN(Hipótesis!$D$77*MAX(0,SUM(AS63:BD63)),MAX(0,BD82-Hipótesis!$D$80)),0)</f>
        <v>-0</v>
      </c>
      <c r="BE83" s="138" t="n">
        <f aca="false">-IF(AND(55&gt;=Hipótesis!$D$76,MOD(55,12)=0,BE81=0),MIN(Hipótesis!$D$77*MAX(0,SUM(AT63:BE63)),MAX(0,BE82-Hipótesis!$D$80)),0)</f>
        <v>-0</v>
      </c>
      <c r="BF83" s="138" t="n">
        <f aca="false">-IF(AND(56&gt;=Hipótesis!$D$76,MOD(56,12)=0,BF81=0),MIN(Hipótesis!$D$77*MAX(0,SUM(AU63:BF63)),MAX(0,BF82-Hipótesis!$D$80)),0)</f>
        <v>-0</v>
      </c>
      <c r="BG83" s="138" t="n">
        <f aca="false">-IF(AND(57&gt;=Hipótesis!$D$76,MOD(57,12)=0,BG81=0),MIN(Hipótesis!$D$77*MAX(0,SUM(AV63:BG63)),MAX(0,BG82-Hipótesis!$D$80)),0)</f>
        <v>-0</v>
      </c>
      <c r="BH83" s="138" t="n">
        <f aca="false">-IF(AND(58&gt;=Hipótesis!$D$76,MOD(58,12)=0,BH81=0),MIN(Hipótesis!$D$77*MAX(0,SUM(AW63:BH63)),MAX(0,BH82-Hipótesis!$D$80)),0)</f>
        <v>-0</v>
      </c>
      <c r="BI83" s="138" t="n">
        <f aca="false">-IF(AND(59&gt;=Hipótesis!$D$76,MOD(59,12)=0,BI81=0),MIN(Hipótesis!$D$77*MAX(0,SUM(AX63:BI63)),MAX(0,BI82-Hipótesis!$D$80)),0)</f>
        <v>-0</v>
      </c>
      <c r="BJ83" s="138" t="n">
        <f aca="false">-IF(AND(60&gt;=Hipótesis!$D$76,MOD(60,12)=0,BJ81=0),MIN(Hipótesis!$D$77*MAX(0,SUM(AY63:BJ63)),MAX(0,BJ82-Hipótesis!$D$80)),0)</f>
        <v>-108153.007350566</v>
      </c>
      <c r="BK83" s="138" t="n">
        <f aca="false">-IF(AND(61&gt;=Hipótesis!$D$76,MOD(61,12)=0,BK81=0),MIN(Hipótesis!$D$77*MAX(0,SUM(AZ63:BK63)),MAX(0,BK82-Hipótesis!$D$80)),0)</f>
        <v>-0</v>
      </c>
      <c r="BL83" s="138" t="n">
        <f aca="false">-IF(AND(62&gt;=Hipótesis!$D$76,MOD(62,12)=0,BL81=0),MIN(Hipótesis!$D$77*MAX(0,SUM(BA63:BL63)),MAX(0,BL82-Hipótesis!$D$80)),0)</f>
        <v>-0</v>
      </c>
      <c r="BM83" s="138" t="n">
        <f aca="false">-IF(AND(63&gt;=Hipótesis!$D$76,MOD(63,12)=0,BM81=0),MIN(Hipótesis!$D$77*MAX(0,SUM(BB63:BM63)),MAX(0,BM82-Hipótesis!$D$80)),0)</f>
        <v>-0</v>
      </c>
      <c r="BN83" s="138" t="n">
        <f aca="false">-IF(AND(64&gt;=Hipótesis!$D$76,MOD(64,12)=0,BN81=0),MIN(Hipótesis!$D$77*MAX(0,SUM(BC63:BN63)),MAX(0,BN82-Hipótesis!$D$80)),0)</f>
        <v>-0</v>
      </c>
      <c r="BO83" s="138" t="n">
        <f aca="false">-IF(AND(65&gt;=Hipótesis!$D$76,MOD(65,12)=0,BO81=0),MIN(Hipótesis!$D$77*MAX(0,SUM(BD63:BO63)),MAX(0,BO82-Hipótesis!$D$80)),0)</f>
        <v>-0</v>
      </c>
      <c r="BP83" s="138" t="n">
        <f aca="false">-IF(AND(66&gt;=Hipótesis!$D$76,MOD(66,12)=0,BP81=0),MIN(Hipótesis!$D$77*MAX(0,SUM(BE63:BP63)),MAX(0,BP82-Hipótesis!$D$80)),0)</f>
        <v>-0</v>
      </c>
      <c r="BQ83" s="138" t="n">
        <f aca="false">-IF(AND(67&gt;=Hipótesis!$D$76,MOD(67,12)=0,BQ81=0),MIN(Hipótesis!$D$77*MAX(0,SUM(BF63:BQ63)),MAX(0,BQ82-Hipótesis!$D$80)),0)</f>
        <v>-0</v>
      </c>
      <c r="BR83" s="138" t="n">
        <f aca="false">-IF(AND(68&gt;=Hipótesis!$D$76,MOD(68,12)=0,BR81=0),MIN(Hipótesis!$D$77*MAX(0,SUM(BG63:BR63)),MAX(0,BR82-Hipótesis!$D$80)),0)</f>
        <v>-0</v>
      </c>
      <c r="BS83" s="138" t="n">
        <f aca="false">-IF(AND(69&gt;=Hipótesis!$D$76,MOD(69,12)=0,BS81=0),MIN(Hipótesis!$D$77*MAX(0,SUM(BH63:BS63)),MAX(0,BS82-Hipótesis!$D$80)),0)</f>
        <v>-0</v>
      </c>
      <c r="BT83" s="138" t="n">
        <f aca="false">-IF(AND(70&gt;=Hipótesis!$D$76,MOD(70,12)=0,BT81=0),MIN(Hipótesis!$D$77*MAX(0,SUM(BI63:BT63)),MAX(0,BT82-Hipótesis!$D$80)),0)</f>
        <v>-0</v>
      </c>
      <c r="BU83" s="138" t="n">
        <f aca="false">-IF(AND(71&gt;=Hipótesis!$D$76,MOD(71,12)=0,BU81=0),MIN(Hipótesis!$D$77*MAX(0,SUM(BJ63:BU63)),MAX(0,BU82-Hipótesis!$D$80)),0)</f>
        <v>-0</v>
      </c>
      <c r="BV83" s="138" t="n">
        <f aca="false">-IF(AND(72&gt;=Hipótesis!$D$76,MOD(72,12)=0,BV81=0),MIN(Hipótesis!$D$77*MAX(0,SUM(BK63:BV63)),MAX(0,BV82-Hipótesis!$D$80)),0)</f>
        <v>-99174.7098602358</v>
      </c>
      <c r="BW83" s="138" t="n">
        <f aca="false">-IF(AND(73&gt;=Hipótesis!$D$76,MOD(73,12)=0,BW81=0),MIN(Hipótesis!$D$77*MAX(0,SUM(BL63:BW63)),MAX(0,BW82-Hipótesis!$D$80)),0)</f>
        <v>-0</v>
      </c>
      <c r="BX83" s="138" t="n">
        <f aca="false">-IF(AND(74&gt;=Hipótesis!$D$76,MOD(74,12)=0,BX81=0),MIN(Hipótesis!$D$77*MAX(0,SUM(BM63:BX63)),MAX(0,BX82-Hipótesis!$D$80)),0)</f>
        <v>-0</v>
      </c>
      <c r="BY83" s="138" t="n">
        <f aca="false">-IF(AND(75&gt;=Hipótesis!$D$76,MOD(75,12)=0,BY81=0),MIN(Hipótesis!$D$77*MAX(0,SUM(BN63:BY63)),MAX(0,BY82-Hipótesis!$D$80)),0)</f>
        <v>-0</v>
      </c>
      <c r="BZ83" s="138" t="n">
        <f aca="false">-IF(AND(76&gt;=Hipótesis!$D$76,MOD(76,12)=0,BZ81=0),MIN(Hipótesis!$D$77*MAX(0,SUM(BO63:BZ63)),MAX(0,BZ82-Hipótesis!$D$80)),0)</f>
        <v>-0</v>
      </c>
      <c r="CA83" s="138" t="n">
        <f aca="false">-IF(AND(77&gt;=Hipótesis!$D$76,MOD(77,12)=0,CA81=0),MIN(Hipótesis!$D$77*MAX(0,SUM(BP63:CA63)),MAX(0,CA82-Hipótesis!$D$80)),0)</f>
        <v>-0</v>
      </c>
      <c r="CB83" s="138" t="n">
        <f aca="false">-IF(AND(78&gt;=Hipótesis!$D$76,MOD(78,12)=0,CB81=0),MIN(Hipótesis!$D$77*MAX(0,SUM(BQ63:CB63)),MAX(0,CB82-Hipótesis!$D$80)),0)</f>
        <v>-0</v>
      </c>
      <c r="CC83" s="138" t="n">
        <f aca="false">-IF(AND(79&gt;=Hipótesis!$D$76,MOD(79,12)=0,CC81=0),MIN(Hipótesis!$D$77*MAX(0,SUM(BR63:CC63)),MAX(0,CC82-Hipótesis!$D$80)),0)</f>
        <v>-0</v>
      </c>
      <c r="CD83" s="138" t="n">
        <f aca="false">-IF(AND(80&gt;=Hipótesis!$D$76,MOD(80,12)=0,CD81=0),MIN(Hipótesis!$D$77*MAX(0,SUM(BS63:CD63)),MAX(0,CD82-Hipótesis!$D$80)),0)</f>
        <v>-0</v>
      </c>
      <c r="CE83" s="138" t="n">
        <f aca="false">-IF(AND(81&gt;=Hipótesis!$D$76,MOD(81,12)=0,CE81=0),MIN(Hipótesis!$D$77*MAX(0,SUM(BT63:CE63)),MAX(0,CE82-Hipótesis!$D$80)),0)</f>
        <v>-0</v>
      </c>
      <c r="CF83" s="138" t="n">
        <f aca="false">-IF(AND(82&gt;=Hipótesis!$D$76,MOD(82,12)=0,CF81=0),MIN(Hipótesis!$D$77*MAX(0,SUM(BU63:CF63)),MAX(0,CF82-Hipótesis!$D$80)),0)</f>
        <v>-0</v>
      </c>
      <c r="CG83" s="138" t="n">
        <f aca="false">-IF(AND(83&gt;=Hipótesis!$D$76,MOD(83,12)=0,CG81=0),MIN(Hipótesis!$D$77*MAX(0,SUM(BV63:CG63)),MAX(0,CG82-Hipótesis!$D$80)),0)</f>
        <v>-0</v>
      </c>
      <c r="CH83" s="138" t="n">
        <f aca="false">-IF(AND(84&gt;=Hipótesis!$D$76,MOD(84,12)=0,CH81=0),MIN(Hipótesis!$D$77*MAX(0,SUM(BW63:CH63)),MAX(0,CH82-Hipótesis!$D$80)),0)</f>
        <v>-90129.4266451956</v>
      </c>
    </row>
    <row r="84" customFormat="false" ht="13.5" hidden="false" customHeight="true" outlineLevel="0" collapsed="false">
      <c r="A84" s="30" t="s">
        <v>762</v>
      </c>
      <c r="C84" s="138" t="n">
        <f aca="false">-IF(AND(1&gt;=Hipótesis!$D$78,MOD(1,12)=0,C96=0,C89=0,C101=0,C81=0),MIN(Hipótesis!$D$79*MAX(0,C112),MAX(0,C82+C83-Hipótesis!$D$80)),0)</f>
        <v>-0</v>
      </c>
      <c r="D84" s="138" t="n">
        <f aca="false">-IF(AND(2&gt;=Hipótesis!$D$78,MOD(2,12)=0,D96=0,D89=0,D101=0,D81=0),MIN(Hipótesis!$D$79*MAX(0,D112),MAX(0,D82+D83-Hipótesis!$D$80)),0)</f>
        <v>-0</v>
      </c>
      <c r="E84" s="138" t="n">
        <f aca="false">-IF(AND(3&gt;=Hipótesis!$D$78,MOD(3,12)=0,E96=0,E89=0,E101=0,E81=0),MIN(Hipótesis!$D$79*MAX(0,E112),MAX(0,E82+E83-Hipótesis!$D$80)),0)</f>
        <v>-0</v>
      </c>
      <c r="F84" s="138" t="n">
        <f aca="false">-IF(AND(4&gt;=Hipótesis!$D$78,MOD(4,12)=0,F96=0,F89=0,F101=0,F81=0),MIN(Hipótesis!$D$79*MAX(0,F112),MAX(0,F82+F83-Hipótesis!$D$80)),0)</f>
        <v>-0</v>
      </c>
      <c r="G84" s="138" t="n">
        <f aca="false">-IF(AND(5&gt;=Hipótesis!$D$78,MOD(5,12)=0,G96=0,G89=0,G101=0,G81=0),MIN(Hipótesis!$D$79*MAX(0,G112),MAX(0,G82+G83-Hipótesis!$D$80)),0)</f>
        <v>-0</v>
      </c>
      <c r="H84" s="138" t="n">
        <f aca="false">-IF(AND(6&gt;=Hipótesis!$D$78,MOD(6,12)=0,H96=0,H89=0,H101=0,H81=0),MIN(Hipótesis!$D$79*MAX(0,H112),MAX(0,H82+H83-Hipótesis!$D$80)),0)</f>
        <v>-0</v>
      </c>
      <c r="I84" s="138" t="n">
        <f aca="false">-IF(AND(7&gt;=Hipótesis!$D$78,MOD(7,12)=0,I96=0,I89=0,I101=0,I81=0),MIN(Hipótesis!$D$79*MAX(0,I112),MAX(0,I82+I83-Hipótesis!$D$80)),0)</f>
        <v>-0</v>
      </c>
      <c r="J84" s="138" t="n">
        <f aca="false">-IF(AND(8&gt;=Hipótesis!$D$78,MOD(8,12)=0,J96=0,J89=0,J101=0,J81=0),MIN(Hipótesis!$D$79*MAX(0,J112),MAX(0,J82+J83-Hipótesis!$D$80)),0)</f>
        <v>-0</v>
      </c>
      <c r="K84" s="138" t="n">
        <f aca="false">-IF(AND(9&gt;=Hipótesis!$D$78,MOD(9,12)=0,K96=0,K89=0,K101=0,K81=0),MIN(Hipótesis!$D$79*MAX(0,K112),MAX(0,K82+K83-Hipótesis!$D$80)),0)</f>
        <v>-0</v>
      </c>
      <c r="L84" s="138" t="n">
        <f aca="false">-IF(AND(10&gt;=Hipótesis!$D$78,MOD(10,12)=0,L96=0,L89=0,L101=0,L81=0),MIN(Hipótesis!$D$79*MAX(0,L112),MAX(0,L82+L83-Hipótesis!$D$80)),0)</f>
        <v>-0</v>
      </c>
      <c r="M84" s="138" t="n">
        <f aca="false">-IF(AND(11&gt;=Hipótesis!$D$78,MOD(11,12)=0,M96=0,M89=0,M101=0,M81=0),MIN(Hipótesis!$D$79*MAX(0,M112),MAX(0,M82+M83-Hipótesis!$D$80)),0)</f>
        <v>-0</v>
      </c>
      <c r="N84" s="138" t="n">
        <f aca="false">-IF(AND(12&gt;=Hipótesis!$D$78,MOD(12,12)=0,N96=0,N89=0,N101=0,N81=0),MIN(Hipótesis!$D$79*MAX(0,N112),MAX(0,N82+N83-Hipótesis!$D$80)),0)</f>
        <v>-0</v>
      </c>
      <c r="O84" s="138" t="n">
        <f aca="false">-IF(AND(13&gt;=Hipótesis!$D$78,MOD(13,12)=0,O96=0,O89=0,O101=0,O81=0),MIN(Hipótesis!$D$79*MAX(0,O112),MAX(0,O82+O83-Hipótesis!$D$80)),0)</f>
        <v>-0</v>
      </c>
      <c r="P84" s="138" t="n">
        <f aca="false">-IF(AND(14&gt;=Hipótesis!$D$78,MOD(14,12)=0,P96=0,P89=0,P101=0,P81=0),MIN(Hipótesis!$D$79*MAX(0,P112),MAX(0,P82+P83-Hipótesis!$D$80)),0)</f>
        <v>-0</v>
      </c>
      <c r="Q84" s="138" t="n">
        <f aca="false">-IF(AND(15&gt;=Hipótesis!$D$78,MOD(15,12)=0,Q96=0,Q89=0,Q101=0,Q81=0),MIN(Hipótesis!$D$79*MAX(0,Q112),MAX(0,Q82+Q83-Hipótesis!$D$80)),0)</f>
        <v>-0</v>
      </c>
      <c r="R84" s="138" t="n">
        <f aca="false">-IF(AND(16&gt;=Hipótesis!$D$78,MOD(16,12)=0,R96=0,R89=0,R101=0,R81=0),MIN(Hipótesis!$D$79*MAX(0,R112),MAX(0,R82+R83-Hipótesis!$D$80)),0)</f>
        <v>-0</v>
      </c>
      <c r="S84" s="138" t="n">
        <f aca="false">-IF(AND(17&gt;=Hipótesis!$D$78,MOD(17,12)=0,S96=0,S89=0,S101=0,S81=0),MIN(Hipótesis!$D$79*MAX(0,S112),MAX(0,S82+S83-Hipótesis!$D$80)),0)</f>
        <v>-0</v>
      </c>
      <c r="T84" s="138" t="n">
        <f aca="false">-IF(AND(18&gt;=Hipótesis!$D$78,MOD(18,12)=0,T96=0,T89=0,T101=0,T81=0),MIN(Hipótesis!$D$79*MAX(0,T112),MAX(0,T82+T83-Hipótesis!$D$80)),0)</f>
        <v>-0</v>
      </c>
      <c r="U84" s="138" t="n">
        <f aca="false">-IF(AND(19&gt;=Hipótesis!$D$78,MOD(19,12)=0,U96=0,U89=0,U101=0,U81=0),MIN(Hipótesis!$D$79*MAX(0,U112),MAX(0,U82+U83-Hipótesis!$D$80)),0)</f>
        <v>-0</v>
      </c>
      <c r="V84" s="138" t="n">
        <f aca="false">-IF(AND(20&gt;=Hipótesis!$D$78,MOD(20,12)=0,V96=0,V89=0,V101=0,V81=0),MIN(Hipótesis!$D$79*MAX(0,V112),MAX(0,V82+V83-Hipótesis!$D$80)),0)</f>
        <v>-0</v>
      </c>
      <c r="W84" s="138" t="n">
        <f aca="false">-IF(AND(21&gt;=Hipótesis!$D$78,MOD(21,12)=0,W96=0,W89=0,W101=0,W81=0),MIN(Hipótesis!$D$79*MAX(0,W112),MAX(0,W82+W83-Hipótesis!$D$80)),0)</f>
        <v>-0</v>
      </c>
      <c r="X84" s="138" t="n">
        <f aca="false">-IF(AND(22&gt;=Hipótesis!$D$78,MOD(22,12)=0,X96=0,X89=0,X101=0,X81=0),MIN(Hipótesis!$D$79*MAX(0,X112),MAX(0,X82+X83-Hipótesis!$D$80)),0)</f>
        <v>-0</v>
      </c>
      <c r="Y84" s="138" t="n">
        <f aca="false">-IF(AND(23&gt;=Hipótesis!$D$78,MOD(23,12)=0,Y96=0,Y89=0,Y101=0,Y81=0),MIN(Hipótesis!$D$79*MAX(0,Y112),MAX(0,Y82+Y83-Hipótesis!$D$80)),0)</f>
        <v>-0</v>
      </c>
      <c r="Z84" s="138" t="n">
        <f aca="false">-IF(AND(24&gt;=Hipótesis!$D$78,MOD(24,12)=0,Z96=0,Z89=0,Z101=0,Z81=0),MIN(Hipótesis!$D$79*MAX(0,Z112),MAX(0,Z82+Z83-Hipótesis!$D$80)),0)</f>
        <v>-0</v>
      </c>
      <c r="AA84" s="138" t="n">
        <f aca="false">-IF(AND(25&gt;=Hipótesis!$D$78,MOD(25,12)=0,AA96=0,AA89=0,AA101=0,AA81=0),MIN(Hipótesis!$D$79*MAX(0,AA112),MAX(0,AA82+AA83-Hipótesis!$D$80)),0)</f>
        <v>-0</v>
      </c>
      <c r="AB84" s="138" t="n">
        <f aca="false">-IF(AND(26&gt;=Hipótesis!$D$78,MOD(26,12)=0,AB96=0,AB89=0,AB101=0,AB81=0),MIN(Hipótesis!$D$79*MAX(0,AB112),MAX(0,AB82+AB83-Hipótesis!$D$80)),0)</f>
        <v>-0</v>
      </c>
      <c r="AC84" s="138" t="n">
        <f aca="false">-IF(AND(27&gt;=Hipótesis!$D$78,MOD(27,12)=0,AC96=0,AC89=0,AC101=0,AC81=0),MIN(Hipótesis!$D$79*MAX(0,AC112),MAX(0,AC82+AC83-Hipótesis!$D$80)),0)</f>
        <v>-0</v>
      </c>
      <c r="AD84" s="138" t="n">
        <f aca="false">-IF(AND(28&gt;=Hipótesis!$D$78,MOD(28,12)=0,AD96=0,AD89=0,AD101=0,AD81=0),MIN(Hipótesis!$D$79*MAX(0,AD112),MAX(0,AD82+AD83-Hipótesis!$D$80)),0)</f>
        <v>-0</v>
      </c>
      <c r="AE84" s="138" t="n">
        <f aca="false">-IF(AND(29&gt;=Hipótesis!$D$78,MOD(29,12)=0,AE96=0,AE89=0,AE101=0,AE81=0),MIN(Hipótesis!$D$79*MAX(0,AE112),MAX(0,AE82+AE83-Hipótesis!$D$80)),0)</f>
        <v>-0</v>
      </c>
      <c r="AF84" s="138" t="n">
        <f aca="false">-IF(AND(30&gt;=Hipótesis!$D$78,MOD(30,12)=0,AF96=0,AF89=0,AF101=0,AF81=0),MIN(Hipótesis!$D$79*MAX(0,AF112),MAX(0,AF82+AF83-Hipótesis!$D$80)),0)</f>
        <v>-0</v>
      </c>
      <c r="AG84" s="138" t="n">
        <f aca="false">-IF(AND(31&gt;=Hipótesis!$D$78,MOD(31,12)=0,AG96=0,AG89=0,AG101=0,AG81=0),MIN(Hipótesis!$D$79*MAX(0,AG112),MAX(0,AG82+AG83-Hipótesis!$D$80)),0)</f>
        <v>-0</v>
      </c>
      <c r="AH84" s="138" t="n">
        <f aca="false">-IF(AND(32&gt;=Hipótesis!$D$78,MOD(32,12)=0,AH96=0,AH89=0,AH101=0,AH81=0),MIN(Hipótesis!$D$79*MAX(0,AH112),MAX(0,AH82+AH83-Hipótesis!$D$80)),0)</f>
        <v>-0</v>
      </c>
      <c r="AI84" s="138" t="n">
        <f aca="false">-IF(AND(33&gt;=Hipótesis!$D$78,MOD(33,12)=0,AI96=0,AI89=0,AI101=0,AI81=0),MIN(Hipótesis!$D$79*MAX(0,AI112),MAX(0,AI82+AI83-Hipótesis!$D$80)),0)</f>
        <v>-0</v>
      </c>
      <c r="AJ84" s="138" t="n">
        <f aca="false">-IF(AND(34&gt;=Hipótesis!$D$78,MOD(34,12)=0,AJ96=0,AJ89=0,AJ101=0,AJ81=0),MIN(Hipótesis!$D$79*MAX(0,AJ112),MAX(0,AJ82+AJ83-Hipótesis!$D$80)),0)</f>
        <v>-0</v>
      </c>
      <c r="AK84" s="138" t="n">
        <f aca="false">-IF(AND(35&gt;=Hipótesis!$D$78,MOD(35,12)=0,AK96=0,AK89=0,AK101=0,AK81=0),MIN(Hipótesis!$D$79*MAX(0,AK112),MAX(0,AK82+AK83-Hipótesis!$D$80)),0)</f>
        <v>-0</v>
      </c>
      <c r="AL84" s="138" t="n">
        <f aca="false">-IF(AND(36&gt;=Hipótesis!$D$78,MOD(36,12)=0,AL96=0,AL89=0,AL101=0,AL81=0),MIN(Hipótesis!$D$79*MAX(0,AL112),MAX(0,AL82+AL83-Hipótesis!$D$80)),0)</f>
        <v>-0</v>
      </c>
      <c r="AM84" s="138" t="n">
        <f aca="false">-IF(AND(37&gt;=Hipótesis!$D$78,MOD(37,12)=0,AM96=0,AM89=0,AM101=0,AM81=0),MIN(Hipótesis!$D$79*MAX(0,AM112),MAX(0,AM82+AM83-Hipótesis!$D$80)),0)</f>
        <v>-0</v>
      </c>
      <c r="AN84" s="138" t="n">
        <f aca="false">-IF(AND(38&gt;=Hipótesis!$D$78,MOD(38,12)=0,AN96=0,AN89=0,AN101=0,AN81=0),MIN(Hipótesis!$D$79*MAX(0,AN112),MAX(0,AN82+AN83-Hipótesis!$D$80)),0)</f>
        <v>-0</v>
      </c>
      <c r="AO84" s="138" t="n">
        <f aca="false">-IF(AND(39&gt;=Hipótesis!$D$78,MOD(39,12)=0,AO96=0,AO89=0,AO101=0,AO81=0),MIN(Hipótesis!$D$79*MAX(0,AO112),MAX(0,AO82+AO83-Hipótesis!$D$80)),0)</f>
        <v>-0</v>
      </c>
      <c r="AP84" s="138" t="n">
        <f aca="false">-IF(AND(40&gt;=Hipótesis!$D$78,MOD(40,12)=0,AP96=0,AP89=0,AP101=0,AP81=0),MIN(Hipótesis!$D$79*MAX(0,AP112),MAX(0,AP82+AP83-Hipótesis!$D$80)),0)</f>
        <v>-0</v>
      </c>
      <c r="AQ84" s="138" t="n">
        <f aca="false">-IF(AND(41&gt;=Hipótesis!$D$78,MOD(41,12)=0,AQ96=0,AQ89=0,AQ101=0,AQ81=0),MIN(Hipótesis!$D$79*MAX(0,AQ112),MAX(0,AQ82+AQ83-Hipótesis!$D$80)),0)</f>
        <v>-0</v>
      </c>
      <c r="AR84" s="138" t="n">
        <f aca="false">-IF(AND(42&gt;=Hipótesis!$D$78,MOD(42,12)=0,AR96=0,AR89=0,AR101=0,AR81=0),MIN(Hipótesis!$D$79*MAX(0,AR112),MAX(0,AR82+AR83-Hipótesis!$D$80)),0)</f>
        <v>-0</v>
      </c>
      <c r="AS84" s="138" t="n">
        <f aca="false">-IF(AND(43&gt;=Hipótesis!$D$78,MOD(43,12)=0,AS96=0,AS89=0,AS101=0,AS81=0),MIN(Hipótesis!$D$79*MAX(0,AS112),MAX(0,AS82+AS83-Hipótesis!$D$80)),0)</f>
        <v>-0</v>
      </c>
      <c r="AT84" s="138" t="n">
        <f aca="false">-IF(AND(44&gt;=Hipótesis!$D$78,MOD(44,12)=0,AT96=0,AT89=0,AT101=0,AT81=0),MIN(Hipótesis!$D$79*MAX(0,AT112),MAX(0,AT82+AT83-Hipótesis!$D$80)),0)</f>
        <v>-0</v>
      </c>
      <c r="AU84" s="138" t="n">
        <f aca="false">-IF(AND(45&gt;=Hipótesis!$D$78,MOD(45,12)=0,AU96=0,AU89=0,AU101=0,AU81=0),MIN(Hipótesis!$D$79*MAX(0,AU112),MAX(0,AU82+AU83-Hipótesis!$D$80)),0)</f>
        <v>-0</v>
      </c>
      <c r="AV84" s="138" t="n">
        <f aca="false">-IF(AND(46&gt;=Hipótesis!$D$78,MOD(46,12)=0,AV96=0,AV89=0,AV101=0,AV81=0),MIN(Hipótesis!$D$79*MAX(0,AV112),MAX(0,AV82+AV83-Hipótesis!$D$80)),0)</f>
        <v>-0</v>
      </c>
      <c r="AW84" s="138" t="n">
        <f aca="false">-IF(AND(47&gt;=Hipótesis!$D$78,MOD(47,12)=0,AW96=0,AW89=0,AW101=0,AW81=0),MIN(Hipótesis!$D$79*MAX(0,AW112),MAX(0,AW82+AW83-Hipótesis!$D$80)),0)</f>
        <v>-0</v>
      </c>
      <c r="AX84" s="138" t="n">
        <f aca="false">-IF(AND(48&gt;=Hipótesis!$D$78,MOD(48,12)=0,AX96=0,AX89=0,AX101=0,AX81=0),MIN(Hipótesis!$D$79*MAX(0,AX112),MAX(0,AX82+AX83-Hipótesis!$D$80)),0)</f>
        <v>-0</v>
      </c>
      <c r="AY84" s="138" t="n">
        <f aca="false">-IF(AND(49&gt;=Hipótesis!$D$78,MOD(49,12)=0,AY96=0,AY89=0,AY101=0,AY81=0),MIN(Hipótesis!$D$79*MAX(0,AY112),MAX(0,AY82+AY83-Hipótesis!$D$80)),0)</f>
        <v>-0</v>
      </c>
      <c r="AZ84" s="138" t="n">
        <f aca="false">-IF(AND(50&gt;=Hipótesis!$D$78,MOD(50,12)=0,AZ96=0,AZ89=0,AZ101=0,AZ81=0),MIN(Hipótesis!$D$79*MAX(0,AZ112),MAX(0,AZ82+AZ83-Hipótesis!$D$80)),0)</f>
        <v>-0</v>
      </c>
      <c r="BA84" s="138" t="n">
        <f aca="false">-IF(AND(51&gt;=Hipótesis!$D$78,MOD(51,12)=0,BA96=0,BA89=0,BA101=0,BA81=0),MIN(Hipótesis!$D$79*MAX(0,BA112),MAX(0,BA82+BA83-Hipótesis!$D$80)),0)</f>
        <v>-0</v>
      </c>
      <c r="BB84" s="138" t="n">
        <f aca="false">-IF(AND(52&gt;=Hipótesis!$D$78,MOD(52,12)=0,BB96=0,BB89=0,BB101=0,BB81=0),MIN(Hipótesis!$D$79*MAX(0,BB112),MAX(0,BB82+BB83-Hipótesis!$D$80)),0)</f>
        <v>-0</v>
      </c>
      <c r="BC84" s="138" t="n">
        <f aca="false">-IF(AND(53&gt;=Hipótesis!$D$78,MOD(53,12)=0,BC96=0,BC89=0,BC101=0,BC81=0),MIN(Hipótesis!$D$79*MAX(0,BC112),MAX(0,BC82+BC83-Hipótesis!$D$80)),0)</f>
        <v>-0</v>
      </c>
      <c r="BD84" s="138" t="n">
        <f aca="false">-IF(AND(54&gt;=Hipótesis!$D$78,MOD(54,12)=0,BD96=0,BD89=0,BD101=0,BD81=0),MIN(Hipótesis!$D$79*MAX(0,BD112),MAX(0,BD82+BD83-Hipótesis!$D$80)),0)</f>
        <v>-0</v>
      </c>
      <c r="BE84" s="138" t="n">
        <f aca="false">-IF(AND(55&gt;=Hipótesis!$D$78,MOD(55,12)=0,BE96=0,BE89=0,BE101=0,BE81=0),MIN(Hipótesis!$D$79*MAX(0,BE112),MAX(0,BE82+BE83-Hipótesis!$D$80)),0)</f>
        <v>-0</v>
      </c>
      <c r="BF84" s="138" t="n">
        <f aca="false">-IF(AND(56&gt;=Hipótesis!$D$78,MOD(56,12)=0,BF96=0,BF89=0,BF101=0,BF81=0),MIN(Hipótesis!$D$79*MAX(0,BF112),MAX(0,BF82+BF83-Hipótesis!$D$80)),0)</f>
        <v>-0</v>
      </c>
      <c r="BG84" s="138" t="n">
        <f aca="false">-IF(AND(57&gt;=Hipótesis!$D$78,MOD(57,12)=0,BG96=0,BG89=0,BG101=0,BG81=0),MIN(Hipótesis!$D$79*MAX(0,BG112),MAX(0,BG82+BG83-Hipótesis!$D$80)),0)</f>
        <v>-0</v>
      </c>
      <c r="BH84" s="138" t="n">
        <f aca="false">-IF(AND(58&gt;=Hipótesis!$D$78,MOD(58,12)=0,BH96=0,BH89=0,BH101=0,BH81=0),MIN(Hipótesis!$D$79*MAX(0,BH112),MAX(0,BH82+BH83-Hipótesis!$D$80)),0)</f>
        <v>-0</v>
      </c>
      <c r="BI84" s="138" t="n">
        <f aca="false">-IF(AND(59&gt;=Hipótesis!$D$78,MOD(59,12)=0,BI96=0,BI89=0,BI101=0,BI81=0),MIN(Hipótesis!$D$79*MAX(0,BI112),MAX(0,BI82+BI83-Hipótesis!$D$80)),0)</f>
        <v>-0</v>
      </c>
      <c r="BJ84" s="138" t="n">
        <f aca="false">-IF(AND(60&gt;=Hipótesis!$D$78,MOD(60,12)=0,BJ96=0,BJ89=0,BJ101=0,BJ81=0),MIN(Hipótesis!$D$79*MAX(0,BJ112),MAX(0,BJ82+BJ83-Hipótesis!$D$80)),0)</f>
        <v>-0</v>
      </c>
      <c r="BK84" s="138" t="n">
        <f aca="false">-IF(AND(61&gt;=Hipótesis!$D$78,MOD(61,12)=0,BK96=0,BK89=0,BK101=0,BK81=0),MIN(Hipótesis!$D$79*MAX(0,BK112),MAX(0,BK82+BK83-Hipótesis!$D$80)),0)</f>
        <v>-0</v>
      </c>
      <c r="BL84" s="138" t="n">
        <f aca="false">-IF(AND(62&gt;=Hipótesis!$D$78,MOD(62,12)=0,BL96=0,BL89=0,BL101=0,BL81=0),MIN(Hipótesis!$D$79*MAX(0,BL112),MAX(0,BL82+BL83-Hipótesis!$D$80)),0)</f>
        <v>-0</v>
      </c>
      <c r="BM84" s="138" t="n">
        <f aca="false">-IF(AND(63&gt;=Hipótesis!$D$78,MOD(63,12)=0,BM96=0,BM89=0,BM101=0,BM81=0),MIN(Hipótesis!$D$79*MAX(0,BM112),MAX(0,BM82+BM83-Hipótesis!$D$80)),0)</f>
        <v>-0</v>
      </c>
      <c r="BN84" s="138" t="n">
        <f aca="false">-IF(AND(64&gt;=Hipótesis!$D$78,MOD(64,12)=0,BN96=0,BN89=0,BN101=0,BN81=0),MIN(Hipótesis!$D$79*MAX(0,BN112),MAX(0,BN82+BN83-Hipótesis!$D$80)),0)</f>
        <v>-0</v>
      </c>
      <c r="BO84" s="138" t="n">
        <f aca="false">-IF(AND(65&gt;=Hipótesis!$D$78,MOD(65,12)=0,BO96=0,BO89=0,BO101=0,BO81=0),MIN(Hipótesis!$D$79*MAX(0,BO112),MAX(0,BO82+BO83-Hipótesis!$D$80)),0)</f>
        <v>-0</v>
      </c>
      <c r="BP84" s="138" t="n">
        <f aca="false">-IF(AND(66&gt;=Hipótesis!$D$78,MOD(66,12)=0,BP96=0,BP89=0,BP101=0,BP81=0),MIN(Hipótesis!$D$79*MAX(0,BP112),MAX(0,BP82+BP83-Hipótesis!$D$80)),0)</f>
        <v>-0</v>
      </c>
      <c r="BQ84" s="138" t="n">
        <f aca="false">-IF(AND(67&gt;=Hipótesis!$D$78,MOD(67,12)=0,BQ96=0,BQ89=0,BQ101=0,BQ81=0),MIN(Hipótesis!$D$79*MAX(0,BQ112),MAX(0,BQ82+BQ83-Hipótesis!$D$80)),0)</f>
        <v>-0</v>
      </c>
      <c r="BR84" s="138" t="n">
        <f aca="false">-IF(AND(68&gt;=Hipótesis!$D$78,MOD(68,12)=0,BR96=0,BR89=0,BR101=0,BR81=0),MIN(Hipótesis!$D$79*MAX(0,BR112),MAX(0,BR82+BR83-Hipótesis!$D$80)),0)</f>
        <v>-0</v>
      </c>
      <c r="BS84" s="138" t="n">
        <f aca="false">-IF(AND(69&gt;=Hipótesis!$D$78,MOD(69,12)=0,BS96=0,BS89=0,BS101=0,BS81=0),MIN(Hipótesis!$D$79*MAX(0,BS112),MAX(0,BS82+BS83-Hipótesis!$D$80)),0)</f>
        <v>-0</v>
      </c>
      <c r="BT84" s="138" t="n">
        <f aca="false">-IF(AND(70&gt;=Hipótesis!$D$78,MOD(70,12)=0,BT96=0,BT89=0,BT101=0,BT81=0),MIN(Hipótesis!$D$79*MAX(0,BT112),MAX(0,BT82+BT83-Hipótesis!$D$80)),0)</f>
        <v>-0</v>
      </c>
      <c r="BU84" s="138" t="n">
        <f aca="false">-IF(AND(71&gt;=Hipótesis!$D$78,MOD(71,12)=0,BU96=0,BU89=0,BU101=0,BU81=0),MIN(Hipótesis!$D$79*MAX(0,BU112),MAX(0,BU82+BU83-Hipótesis!$D$80)),0)</f>
        <v>-0</v>
      </c>
      <c r="BV84" s="138" t="n">
        <f aca="false">-IF(AND(72&gt;=Hipótesis!$D$78,MOD(72,12)=0,BV96=0,BV89=0,BV101=0,BV81=0),MIN(Hipótesis!$D$79*MAX(0,BV112),MAX(0,BV82+BV83-Hipótesis!$D$80)),0)</f>
        <v>-0</v>
      </c>
      <c r="BW84" s="138" t="n">
        <f aca="false">-IF(AND(73&gt;=Hipótesis!$D$78,MOD(73,12)=0,BW96=0,BW89=0,BW101=0,BW81=0),MIN(Hipótesis!$D$79*MAX(0,BW112),MAX(0,BW82+BW83-Hipótesis!$D$80)),0)</f>
        <v>-0</v>
      </c>
      <c r="BX84" s="138" t="n">
        <f aca="false">-IF(AND(74&gt;=Hipótesis!$D$78,MOD(74,12)=0,BX96=0,BX89=0,BX101=0,BX81=0),MIN(Hipótesis!$D$79*MAX(0,BX112),MAX(0,BX82+BX83-Hipótesis!$D$80)),0)</f>
        <v>-0</v>
      </c>
      <c r="BY84" s="138" t="n">
        <f aca="false">-IF(AND(75&gt;=Hipótesis!$D$78,MOD(75,12)=0,BY96=0,BY89=0,BY101=0,BY81=0),MIN(Hipótesis!$D$79*MAX(0,BY112),MAX(0,BY82+BY83-Hipótesis!$D$80)),0)</f>
        <v>-0</v>
      </c>
      <c r="BZ84" s="138" t="n">
        <f aca="false">-IF(AND(76&gt;=Hipótesis!$D$78,MOD(76,12)=0,BZ96=0,BZ89=0,BZ101=0,BZ81=0),MIN(Hipótesis!$D$79*MAX(0,BZ112),MAX(0,BZ82+BZ83-Hipótesis!$D$80)),0)</f>
        <v>-0</v>
      </c>
      <c r="CA84" s="138" t="n">
        <f aca="false">-IF(AND(77&gt;=Hipótesis!$D$78,MOD(77,12)=0,CA96=0,CA89=0,CA101=0,CA81=0),MIN(Hipótesis!$D$79*MAX(0,CA112),MAX(0,CA82+CA83-Hipótesis!$D$80)),0)</f>
        <v>-0</v>
      </c>
      <c r="CB84" s="138" t="n">
        <f aca="false">-IF(AND(78&gt;=Hipótesis!$D$78,MOD(78,12)=0,CB96=0,CB89=0,CB101=0,CB81=0),MIN(Hipótesis!$D$79*MAX(0,CB112),MAX(0,CB82+CB83-Hipótesis!$D$80)),0)</f>
        <v>-0</v>
      </c>
      <c r="CC84" s="138" t="n">
        <f aca="false">-IF(AND(79&gt;=Hipótesis!$D$78,MOD(79,12)=0,CC96=0,CC89=0,CC101=0,CC81=0),MIN(Hipótesis!$D$79*MAX(0,CC112),MAX(0,CC82+CC83-Hipótesis!$D$80)),0)</f>
        <v>-0</v>
      </c>
      <c r="CD84" s="138" t="n">
        <f aca="false">-IF(AND(80&gt;=Hipótesis!$D$78,MOD(80,12)=0,CD96=0,CD89=0,CD101=0,CD81=0),MIN(Hipótesis!$D$79*MAX(0,CD112),MAX(0,CD82+CD83-Hipótesis!$D$80)),0)</f>
        <v>-0</v>
      </c>
      <c r="CE84" s="138" t="n">
        <f aca="false">-IF(AND(81&gt;=Hipótesis!$D$78,MOD(81,12)=0,CE96=0,CE89=0,CE101=0,CE81=0),MIN(Hipótesis!$D$79*MAX(0,CE112),MAX(0,CE82+CE83-Hipótesis!$D$80)),0)</f>
        <v>-0</v>
      </c>
      <c r="CF84" s="138" t="n">
        <f aca="false">-IF(AND(82&gt;=Hipótesis!$D$78,MOD(82,12)=0,CF96=0,CF89=0,CF101=0,CF81=0),MIN(Hipótesis!$D$79*MAX(0,CF112),MAX(0,CF82+CF83-Hipótesis!$D$80)),0)</f>
        <v>-0</v>
      </c>
      <c r="CG84" s="138" t="n">
        <f aca="false">-IF(AND(83&gt;=Hipótesis!$D$78,MOD(83,12)=0,CG96=0,CG89=0,CG101=0,CG81=0),MIN(Hipótesis!$D$79*MAX(0,CG112),MAX(0,CG82+CG83-Hipótesis!$D$80)),0)</f>
        <v>-0</v>
      </c>
      <c r="CH84" s="138" t="n">
        <f aca="false">-IF(AND(84&gt;=Hipótesis!$D$78,MOD(84,12)=0,CH96=0,CH89=0,CH101=0,CH81=0),MIN(Hipótesis!$D$79*MAX(0,CH112),MAX(0,CH82+CH83-Hipótesis!$D$80)),0)</f>
        <v>-0</v>
      </c>
    </row>
    <row r="85" customFormat="false" ht="13.5" hidden="false" customHeight="true" outlineLevel="0" collapsed="false">
      <c r="A85" s="30" t="s">
        <v>763</v>
      </c>
      <c r="C85" s="138" t="n">
        <f aca="false">C78+C80+C83+C84</f>
        <v>149528.470309947</v>
      </c>
      <c r="D85" s="138" t="n">
        <f aca="false">D78+D80+D83+D84</f>
        <v>-29109.8860876894</v>
      </c>
      <c r="E85" s="138" t="n">
        <f aca="false">E78+E80+E83+E84</f>
        <v>-23820.1782205336</v>
      </c>
      <c r="F85" s="138" t="n">
        <f aca="false">F78+F80+F83+F84</f>
        <v>-21319.3218705111</v>
      </c>
      <c r="G85" s="138" t="n">
        <f aca="false">G78+G80+G83+G84</f>
        <v>-18963.3677504327</v>
      </c>
      <c r="H85" s="138" t="n">
        <f aca="false">H78+H80+H83+H84</f>
        <v>-19296.123106128</v>
      </c>
      <c r="I85" s="138" t="n">
        <f aca="false">I78+I80+I83+I84</f>
        <v>-7019.59327465161</v>
      </c>
      <c r="J85" s="138" t="n">
        <f aca="false">J78+J80+J83+J84</f>
        <v>0</v>
      </c>
      <c r="K85" s="138" t="n">
        <f aca="false">K78+K80+K83+K84</f>
        <v>0</v>
      </c>
      <c r="L85" s="138" t="n">
        <f aca="false">L78+L80+L83+L84</f>
        <v>0</v>
      </c>
      <c r="M85" s="138" t="n">
        <f aca="false">M78+M80+M83+M84</f>
        <v>0</v>
      </c>
      <c r="N85" s="138" t="n">
        <f aca="false">N78+N80+N83+N84</f>
        <v>1.81898940354586E-012</v>
      </c>
      <c r="O85" s="138" t="n">
        <f aca="false">O78+O80+O83+O84</f>
        <v>0</v>
      </c>
      <c r="P85" s="138" t="n">
        <f aca="false">P78+P80+P83+P84</f>
        <v>0</v>
      </c>
      <c r="Q85" s="138" t="n">
        <f aca="false">Q78+Q80+Q83+Q84</f>
        <v>0</v>
      </c>
      <c r="R85" s="138" t="n">
        <f aca="false">R78+R80+R83+R84</f>
        <v>0</v>
      </c>
      <c r="S85" s="138" t="n">
        <f aca="false">S78+S80+S83+S84</f>
        <v>0</v>
      </c>
      <c r="T85" s="138" t="n">
        <f aca="false">T78+T80+T83+T84</f>
        <v>0</v>
      </c>
      <c r="U85" s="138" t="n">
        <f aca="false">U78+U80+U83+U84</f>
        <v>0</v>
      </c>
      <c r="V85" s="138" t="n">
        <f aca="false">V78+V80+V83+V84</f>
        <v>0</v>
      </c>
      <c r="W85" s="138" t="n">
        <f aca="false">W78+W80+W83+W84</f>
        <v>1162.81577571997</v>
      </c>
      <c r="X85" s="138" t="n">
        <f aca="false">X78+X80+X83+X84</f>
        <v>8271.51713249762</v>
      </c>
      <c r="Y85" s="138" t="n">
        <f aca="false">Y78+Y80+Y83+Y84</f>
        <v>9801.78576607752</v>
      </c>
      <c r="Z85" s="138" t="n">
        <f aca="false">Z78+Z80+Z83+Z84</f>
        <v>11246.2547210424</v>
      </c>
      <c r="AA85" s="138" t="n">
        <f aca="false">AA78+AA80+AA83+AA84</f>
        <v>8954.7351996651</v>
      </c>
      <c r="AB85" s="138" t="n">
        <f aca="false">AB78+AB80+AB83+AB84</f>
        <v>10350.8897303767</v>
      </c>
      <c r="AC85" s="138" t="n">
        <f aca="false">AC78+AC80+AC83+AC84</f>
        <v>11747.0442610883</v>
      </c>
      <c r="AD85" s="138" t="n">
        <f aca="false">AD78+AD80+AD83+AD84</f>
        <v>13143.1987917999</v>
      </c>
      <c r="AE85" s="138" t="n">
        <f aca="false">AE78+AE80+AE83+AE84</f>
        <v>19384.8056233282</v>
      </c>
      <c r="AF85" s="138" t="n">
        <f aca="false">AF78+AF80+AF83+AF84</f>
        <v>-738.032857372763</v>
      </c>
      <c r="AG85" s="138" t="n">
        <f aca="false">AG78+AG80+AG83+AG84</f>
        <v>15348.5729371348</v>
      </c>
      <c r="AH85" s="138" t="n">
        <f aca="false">AH78+AH80+AH83+AH84</f>
        <v>16744.7274678464</v>
      </c>
      <c r="AI85" s="138" t="n">
        <f aca="false">AI78+AI80+AI83+AI84</f>
        <v>18140.881998558</v>
      </c>
      <c r="AJ85" s="138" t="n">
        <f aca="false">AJ78+AJ80+AJ83+AJ84</f>
        <v>19537.0365292696</v>
      </c>
      <c r="AK85" s="138" t="n">
        <f aca="false">AK78+AK80+AK83+AK84</f>
        <v>20933.1910599813</v>
      </c>
      <c r="AL85" s="138" t="n">
        <f aca="false">AL78+AL80+AL83+AL84</f>
        <v>22329.3455906929</v>
      </c>
      <c r="AM85" s="138" t="n">
        <f aca="false">AM78+AM80+AM83+AM84</f>
        <v>17261.7996532566</v>
      </c>
      <c r="AN85" s="138" t="n">
        <f aca="false">AN78+AN80+AN83+AN84</f>
        <v>18240.3097939706</v>
      </c>
      <c r="AO85" s="138" t="n">
        <f aca="false">AO78+AO80+AO83+AO84</f>
        <v>19218.8199346845</v>
      </c>
      <c r="AP85" s="138" t="n">
        <f aca="false">AP78+AP80+AP83+AP84</f>
        <v>20197.3300753985</v>
      </c>
      <c r="AQ85" s="138" t="n">
        <f aca="false">AQ78+AQ80+AQ83+AQ84</f>
        <v>28821.8571801087</v>
      </c>
      <c r="AR85" s="138" t="n">
        <f aca="false">AR78+AR80+AR83+AR84</f>
        <v>3917.92809832107</v>
      </c>
      <c r="AS85" s="138" t="n">
        <f aca="false">AS78+AS80+AS83+AS84</f>
        <v>22713.7444475121</v>
      </c>
      <c r="AT85" s="138" t="n">
        <f aca="false">AT78+AT80+AT83+AT84</f>
        <v>22717.9111141787</v>
      </c>
      <c r="AU85" s="138" t="n">
        <f aca="false">AU78+AU80+AU83+AU84</f>
        <v>22722.0777808454</v>
      </c>
      <c r="AV85" s="138" t="n">
        <f aca="false">AV78+AV80+AV83+AV84</f>
        <v>22726.2444475121</v>
      </c>
      <c r="AW85" s="138" t="n">
        <f aca="false">AW78+AW80+AW83+AW84</f>
        <v>22730.4111141787</v>
      </c>
      <c r="AX85" s="138" t="n">
        <f aca="false">AX78+AX80+AX83+AX84</f>
        <v>-88291.5718334295</v>
      </c>
      <c r="AY85" s="138" t="n">
        <f aca="false">AY78+AY80+AY83+AY84</f>
        <v>20831.8146962317</v>
      </c>
      <c r="AZ85" s="138" t="n">
        <f aca="false">AZ78+AZ80+AZ83+AZ84</f>
        <v>20835.9813628983</v>
      </c>
      <c r="BA85" s="138" t="n">
        <f aca="false">BA78+BA80+BA83+BA84</f>
        <v>20840.148029565</v>
      </c>
      <c r="BB85" s="138" t="n">
        <f aca="false">BB78+BB80+BB83+BB84</f>
        <v>20844.3146962317</v>
      </c>
      <c r="BC85" s="138" t="n">
        <f aca="false">BC78+BC80+BC83+BC84</f>
        <v>28494.4983268946</v>
      </c>
      <c r="BD85" s="138" t="n">
        <f aca="false">BD78+BD80+BD83+BD84</f>
        <v>2616.22577105972</v>
      </c>
      <c r="BE85" s="138" t="n">
        <f aca="false">BE78+BE80+BE83+BE84</f>
        <v>20856.8146962317</v>
      </c>
      <c r="BF85" s="138" t="n">
        <f aca="false">BF78+BF80+BF83+BF84</f>
        <v>20860.9813628983</v>
      </c>
      <c r="BG85" s="138" t="n">
        <f aca="false">BG78+BG80+BG83+BG84</f>
        <v>20865.148029565</v>
      </c>
      <c r="BH85" s="138" t="n">
        <f aca="false">BH78+BH80+BH83+BH84</f>
        <v>20869.3146962317</v>
      </c>
      <c r="BI85" s="138" t="n">
        <f aca="false">BI78+BI80+BI83+BI84</f>
        <v>20873.4813628983</v>
      </c>
      <c r="BJ85" s="138" t="n">
        <f aca="false">BJ78+BJ80+BJ83+BJ84</f>
        <v>-87275.3593210011</v>
      </c>
      <c r="BK85" s="138" t="n">
        <f aca="false">BK78+BK80+BK83+BK84</f>
        <v>18961.3360524128</v>
      </c>
      <c r="BL85" s="138" t="n">
        <f aca="false">BL78+BL80+BL83+BL84</f>
        <v>18965.5027190795</v>
      </c>
      <c r="BM85" s="138" t="n">
        <f aca="false">BM78+BM80+BM83+BM84</f>
        <v>18969.6693857462</v>
      </c>
      <c r="BN85" s="138" t="n">
        <f aca="false">BN78+BN80+BN83+BN84</f>
        <v>18973.8360524128</v>
      </c>
      <c r="BO85" s="138" t="n">
        <f aca="false">BO78+BO80+BO83+BO84</f>
        <v>26624.0196830758</v>
      </c>
      <c r="BP85" s="138" t="n">
        <f aca="false">BP78+BP80+BP83+BP84</f>
        <v>745.747127240899</v>
      </c>
      <c r="BQ85" s="138" t="n">
        <f aca="false">BQ78+BQ80+BQ83+BQ84</f>
        <v>18986.3360524128</v>
      </c>
      <c r="BR85" s="138" t="n">
        <f aca="false">BR78+BR80+BR83+BR84</f>
        <v>18990.5027190795</v>
      </c>
      <c r="BS85" s="138" t="n">
        <f aca="false">BS78+BS80+BS83+BS84</f>
        <v>18994.6693857462</v>
      </c>
      <c r="BT85" s="138" t="n">
        <f aca="false">BT78+BT80+BT83+BT84</f>
        <v>18998.8360524128</v>
      </c>
      <c r="BU85" s="138" t="n">
        <f aca="false">BU78+BU80+BU83+BU84</f>
        <v>19003.0027190795</v>
      </c>
      <c r="BV85" s="138" t="n">
        <f aca="false">BV78+BV80+BV83+BV84</f>
        <v>-80167.5404744896</v>
      </c>
      <c r="BW85" s="138" t="n">
        <f aca="false">BW78+BW80+BW83+BW84</f>
        <v>17076.9020492795</v>
      </c>
      <c r="BX85" s="138" t="n">
        <f aca="false">BX78+BX80+BX83+BX84</f>
        <v>17081.0687159461</v>
      </c>
      <c r="BY85" s="138" t="n">
        <f aca="false">BY78+BY80+BY83+BY84</f>
        <v>17085.2353826128</v>
      </c>
      <c r="BZ85" s="138" t="n">
        <f aca="false">BZ78+BZ80+BZ83+BZ84</f>
        <v>17089.4020492795</v>
      </c>
      <c r="CA85" s="138" t="n">
        <f aca="false">CA78+CA80+CA83+CA84</f>
        <v>24739.5856799424</v>
      </c>
      <c r="CB85" s="138" t="n">
        <f aca="false">CB78+CB80+CB83+CB84</f>
        <v>-1138.68687589248</v>
      </c>
      <c r="CC85" s="138" t="n">
        <f aca="false">CC78+CC80+CC83+CC84</f>
        <v>17101.9020492795</v>
      </c>
      <c r="CD85" s="138" t="n">
        <f aca="false">CD78+CD80+CD83+CD84</f>
        <v>17106.0687159461</v>
      </c>
      <c r="CE85" s="138" t="n">
        <f aca="false">CE78+CE80+CE83+CE84</f>
        <v>17110.2353826128</v>
      </c>
      <c r="CF85" s="138" t="n">
        <f aca="false">CF78+CF80+CF83+CF84</f>
        <v>17114.4020492795</v>
      </c>
      <c r="CG85" s="138" t="n">
        <f aca="false">CG78+CG80+CG83+CG84</f>
        <v>17118.5687159461</v>
      </c>
      <c r="CH85" s="138" t="n">
        <f aca="false">CH78+CH80+CH83+CH84</f>
        <v>-73006.6912625827</v>
      </c>
    </row>
    <row r="86" customFormat="false" ht="13.5" hidden="false" customHeight="true" outlineLevel="0" collapsed="false">
      <c r="A86" s="64" t="s">
        <v>764</v>
      </c>
      <c r="C86" s="99" t="n">
        <f aca="false">C85</f>
        <v>149528.470309947</v>
      </c>
      <c r="D86" s="99" t="n">
        <f aca="false">C86+D85</f>
        <v>120418.584222257</v>
      </c>
      <c r="E86" s="99" t="n">
        <f aca="false">D86+E85</f>
        <v>96598.4060017235</v>
      </c>
      <c r="F86" s="99" t="n">
        <f aca="false">E86+F85</f>
        <v>75279.0841312124</v>
      </c>
      <c r="G86" s="99" t="n">
        <f aca="false">F86+G85</f>
        <v>56315.7163807796</v>
      </c>
      <c r="H86" s="99" t="n">
        <f aca="false">G86+H85</f>
        <v>37019.5932746516</v>
      </c>
      <c r="I86" s="99" t="n">
        <f aca="false">H86+I85</f>
        <v>30000</v>
      </c>
      <c r="J86" s="99" t="n">
        <f aca="false">I86+J85</f>
        <v>30000</v>
      </c>
      <c r="K86" s="99" t="n">
        <f aca="false">J86+K85</f>
        <v>30000</v>
      </c>
      <c r="L86" s="99" t="n">
        <f aca="false">K86+L85</f>
        <v>30000</v>
      </c>
      <c r="M86" s="99" t="n">
        <f aca="false">L86+M85</f>
        <v>30000</v>
      </c>
      <c r="N86" s="99" t="n">
        <f aca="false">M86+N85</f>
        <v>30000</v>
      </c>
      <c r="O86" s="99" t="n">
        <f aca="false">N86+O85</f>
        <v>30000</v>
      </c>
      <c r="P86" s="99" t="n">
        <f aca="false">O86+P85</f>
        <v>30000</v>
      </c>
      <c r="Q86" s="99" t="n">
        <f aca="false">P86+Q85</f>
        <v>30000</v>
      </c>
      <c r="R86" s="99" t="n">
        <f aca="false">Q86+R85</f>
        <v>30000</v>
      </c>
      <c r="S86" s="99" t="n">
        <f aca="false">R86+S85</f>
        <v>30000</v>
      </c>
      <c r="T86" s="99" t="n">
        <f aca="false">S86+T85</f>
        <v>30000</v>
      </c>
      <c r="U86" s="99" t="n">
        <f aca="false">T86+U85</f>
        <v>30000</v>
      </c>
      <c r="V86" s="99" t="n">
        <f aca="false">U86+V85</f>
        <v>30000</v>
      </c>
      <c r="W86" s="99" t="n">
        <f aca="false">V86+W85</f>
        <v>31162.81577572</v>
      </c>
      <c r="X86" s="99" t="n">
        <f aca="false">W86+X85</f>
        <v>39434.3329082176</v>
      </c>
      <c r="Y86" s="99" t="n">
        <f aca="false">X86+Y85</f>
        <v>49236.1186742951</v>
      </c>
      <c r="Z86" s="99" t="n">
        <f aca="false">Y86+Z85</f>
        <v>60482.3733953375</v>
      </c>
      <c r="AA86" s="99" t="n">
        <f aca="false">Z86+AA85</f>
        <v>69437.1085950026</v>
      </c>
      <c r="AB86" s="99" t="n">
        <f aca="false">AA86+AB85</f>
        <v>79787.9983253793</v>
      </c>
      <c r="AC86" s="99" t="n">
        <f aca="false">AB86+AC85</f>
        <v>91535.0425864676</v>
      </c>
      <c r="AD86" s="99" t="n">
        <f aca="false">AC86+AD85</f>
        <v>104678.241378268</v>
      </c>
      <c r="AE86" s="99" t="n">
        <f aca="false">AD86+AE85</f>
        <v>124063.047001596</v>
      </c>
      <c r="AF86" s="99" t="n">
        <f aca="false">AE86+AF85</f>
        <v>123325.014144223</v>
      </c>
      <c r="AG86" s="99" t="n">
        <f aca="false">AF86+AG85</f>
        <v>138673.587081358</v>
      </c>
      <c r="AH86" s="99" t="n">
        <f aca="false">AG86+AH85</f>
        <v>155418.314549204</v>
      </c>
      <c r="AI86" s="99" t="n">
        <f aca="false">AH86+AI85</f>
        <v>173559.196547762</v>
      </c>
      <c r="AJ86" s="99" t="n">
        <f aca="false">AI86+AJ85</f>
        <v>193096.233077032</v>
      </c>
      <c r="AK86" s="99" t="n">
        <f aca="false">AJ86+AK85</f>
        <v>214029.424137013</v>
      </c>
      <c r="AL86" s="99" t="n">
        <f aca="false">AK86+AL85</f>
        <v>236358.769727706</v>
      </c>
      <c r="AM86" s="99" t="n">
        <f aca="false">AL86+AM85</f>
        <v>253620.569380963</v>
      </c>
      <c r="AN86" s="99" t="n">
        <f aca="false">AM86+AN85</f>
        <v>271860.879174933</v>
      </c>
      <c r="AO86" s="99" t="n">
        <f aca="false">AN86+AO85</f>
        <v>291079.699109618</v>
      </c>
      <c r="AP86" s="99" t="n">
        <f aca="false">AO86+AP85</f>
        <v>311277.029185016</v>
      </c>
      <c r="AQ86" s="99" t="n">
        <f aca="false">AP86+AQ85</f>
        <v>340098.886365125</v>
      </c>
      <c r="AR86" s="99" t="n">
        <f aca="false">AQ86+AR85</f>
        <v>344016.814463446</v>
      </c>
      <c r="AS86" s="99" t="n">
        <f aca="false">AR86+AS85</f>
        <v>366730.558910958</v>
      </c>
      <c r="AT86" s="99" t="n">
        <f aca="false">AS86+AT85</f>
        <v>389448.470025137</v>
      </c>
      <c r="AU86" s="99" t="n">
        <f aca="false">AT86+AU85</f>
        <v>412170.547805982</v>
      </c>
      <c r="AV86" s="99" t="n">
        <f aca="false">AU86+AV85</f>
        <v>434896.792253494</v>
      </c>
      <c r="AW86" s="99" t="n">
        <f aca="false">AV86+AW85</f>
        <v>457627.203367673</v>
      </c>
      <c r="AX86" s="99" t="n">
        <f aca="false">AW86+AX85</f>
        <v>369335.631534243</v>
      </c>
      <c r="AY86" s="99" t="n">
        <f aca="false">AX86+AY85</f>
        <v>390167.446230475</v>
      </c>
      <c r="AZ86" s="99" t="n">
        <f aca="false">AY86+AZ85</f>
        <v>411003.427593373</v>
      </c>
      <c r="BA86" s="99" t="n">
        <f aca="false">AZ86+BA85</f>
        <v>431843.575622938</v>
      </c>
      <c r="BB86" s="99" t="n">
        <f aca="false">BA86+BB85</f>
        <v>452687.89031917</v>
      </c>
      <c r="BC86" s="99" t="n">
        <f aca="false">BB86+BC85</f>
        <v>481182.388646065</v>
      </c>
      <c r="BD86" s="99" t="n">
        <f aca="false">BC86+BD85</f>
        <v>483798.614417124</v>
      </c>
      <c r="BE86" s="99" t="n">
        <f aca="false">BD86+BE85</f>
        <v>504655.429113356</v>
      </c>
      <c r="BF86" s="99" t="n">
        <f aca="false">BE86+BF85</f>
        <v>525516.410476254</v>
      </c>
      <c r="BG86" s="99" t="n">
        <f aca="false">BF86+BG85</f>
        <v>546381.558505819</v>
      </c>
      <c r="BH86" s="99" t="n">
        <f aca="false">BG86+BH85</f>
        <v>567250.873202051</v>
      </c>
      <c r="BI86" s="99" t="n">
        <f aca="false">BH86+BI85</f>
        <v>588124.354564949</v>
      </c>
      <c r="BJ86" s="99" t="n">
        <f aca="false">BI86+BJ85</f>
        <v>500848.995243948</v>
      </c>
      <c r="BK86" s="99" t="n">
        <f aca="false">BJ86+BK85</f>
        <v>519810.331296361</v>
      </c>
      <c r="BL86" s="99" t="n">
        <f aca="false">BK86+BL85</f>
        <v>538775.834015441</v>
      </c>
      <c r="BM86" s="99" t="n">
        <f aca="false">BL86+BM85</f>
        <v>557745.503401187</v>
      </c>
      <c r="BN86" s="99" t="n">
        <f aca="false">BM86+BN85</f>
        <v>576719.3394536</v>
      </c>
      <c r="BO86" s="99" t="n">
        <f aca="false">BN86+BO85</f>
        <v>603343.359136676</v>
      </c>
      <c r="BP86" s="99" t="n">
        <f aca="false">BO86+BP85</f>
        <v>604089.106263916</v>
      </c>
      <c r="BQ86" s="99" t="n">
        <f aca="false">BP86+BQ85</f>
        <v>623075.442316329</v>
      </c>
      <c r="BR86" s="99" t="n">
        <f aca="false">BQ86+BR85</f>
        <v>642065.945035409</v>
      </c>
      <c r="BS86" s="99" t="n">
        <f aca="false">BR86+BS85</f>
        <v>661060.614421155</v>
      </c>
      <c r="BT86" s="99" t="n">
        <f aca="false">BS86+BT85</f>
        <v>680059.450473568</v>
      </c>
      <c r="BU86" s="99" t="n">
        <f aca="false">BT86+BU85</f>
        <v>699062.453192647</v>
      </c>
      <c r="BV86" s="99" t="n">
        <f aca="false">BU86+BV85</f>
        <v>618894.912718158</v>
      </c>
      <c r="BW86" s="99" t="n">
        <f aca="false">BV86+BW85</f>
        <v>635971.814767437</v>
      </c>
      <c r="BX86" s="99" t="n">
        <f aca="false">BW86+BX85</f>
        <v>653052.883483383</v>
      </c>
      <c r="BY86" s="99" t="n">
        <f aca="false">BX86+BY85</f>
        <v>670138.118865996</v>
      </c>
      <c r="BZ86" s="99" t="n">
        <f aca="false">BY86+BZ85</f>
        <v>687227.520915276</v>
      </c>
      <c r="CA86" s="99" t="n">
        <f aca="false">BZ86+CA85</f>
        <v>711967.106595218</v>
      </c>
      <c r="CB86" s="99" t="n">
        <f aca="false">CA86+CB85</f>
        <v>710828.419719326</v>
      </c>
      <c r="CC86" s="99" t="n">
        <f aca="false">CB86+CC85</f>
        <v>727930.321768605</v>
      </c>
      <c r="CD86" s="99" t="n">
        <f aca="false">CC86+CD85</f>
        <v>745036.390484551</v>
      </c>
      <c r="CE86" s="99" t="n">
        <f aca="false">CD86+CE85</f>
        <v>762146.625867164</v>
      </c>
      <c r="CF86" s="99" t="n">
        <f aca="false">CE86+CF85</f>
        <v>779261.027916443</v>
      </c>
      <c r="CG86" s="99" t="n">
        <f aca="false">CF86+CG85</f>
        <v>796379.59663239</v>
      </c>
      <c r="CH86" s="99" t="n">
        <f aca="false">CG86+CH85</f>
        <v>723372.905369807</v>
      </c>
    </row>
    <row r="87" customFormat="false" ht="13.5" hidden="false" customHeight="true" outlineLevel="0" collapsed="false"/>
    <row r="88" customFormat="false" ht="12.75" hidden="false" customHeight="true" outlineLevel="0" collapsed="false">
      <c r="A88" s="10" t="s">
        <v>765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</row>
    <row r="89" customFormat="false" ht="13.5" hidden="false" customHeight="true" outlineLevel="0" collapsed="false">
      <c r="A89" s="13" t="s">
        <v>766</v>
      </c>
      <c r="C89" s="138" t="n">
        <f aca="false">IF(Hipótesis!$D$94=5,0,Hipótesis!$D$93)</f>
        <v>0</v>
      </c>
      <c r="D89" s="138" t="n">
        <f aca="false">C89-C90</f>
        <v>0</v>
      </c>
      <c r="E89" s="138" t="n">
        <f aca="false">D89-D90</f>
        <v>0</v>
      </c>
      <c r="F89" s="138" t="n">
        <f aca="false">E89-E90</f>
        <v>0</v>
      </c>
      <c r="G89" s="138" t="n">
        <f aca="false">F89-F90</f>
        <v>0</v>
      </c>
      <c r="H89" s="138" t="n">
        <f aca="false">G89-G90</f>
        <v>0</v>
      </c>
      <c r="I89" s="138" t="n">
        <f aca="false">H89-H90</f>
        <v>0</v>
      </c>
      <c r="J89" s="138" t="n">
        <f aca="false">I89-I90</f>
        <v>0</v>
      </c>
      <c r="K89" s="138" t="n">
        <f aca="false">J89-J90</f>
        <v>0</v>
      </c>
      <c r="L89" s="138" t="n">
        <f aca="false">K89-K90</f>
        <v>0</v>
      </c>
      <c r="M89" s="138" t="n">
        <f aca="false">L89-L90</f>
        <v>0</v>
      </c>
      <c r="N89" s="138" t="n">
        <f aca="false">M89-M90</f>
        <v>0</v>
      </c>
      <c r="O89" s="138" t="n">
        <f aca="false">N89-N90</f>
        <v>0</v>
      </c>
      <c r="P89" s="138" t="n">
        <f aca="false">O89-O90</f>
        <v>0</v>
      </c>
      <c r="Q89" s="138" t="n">
        <f aca="false">P89-P90</f>
        <v>0</v>
      </c>
      <c r="R89" s="138" t="n">
        <f aca="false">Q89-Q90</f>
        <v>0</v>
      </c>
      <c r="S89" s="138" t="n">
        <f aca="false">R89-R90</f>
        <v>0</v>
      </c>
      <c r="T89" s="138" t="n">
        <f aca="false">S89-S90</f>
        <v>0</v>
      </c>
      <c r="U89" s="138" t="n">
        <f aca="false">T89-T90</f>
        <v>0</v>
      </c>
      <c r="V89" s="138" t="n">
        <f aca="false">U89-U90</f>
        <v>0</v>
      </c>
      <c r="W89" s="138" t="n">
        <f aca="false">V89-V90</f>
        <v>0</v>
      </c>
      <c r="X89" s="138" t="n">
        <f aca="false">W89-W90</f>
        <v>0</v>
      </c>
      <c r="Y89" s="138" t="n">
        <f aca="false">X89-X90</f>
        <v>0</v>
      </c>
      <c r="Z89" s="138" t="n">
        <f aca="false">Y89-Y90</f>
        <v>0</v>
      </c>
      <c r="AA89" s="138" t="n">
        <f aca="false">Z89-Z90</f>
        <v>0</v>
      </c>
      <c r="AB89" s="138" t="n">
        <f aca="false">AA89-AA90</f>
        <v>0</v>
      </c>
      <c r="AC89" s="138" t="n">
        <f aca="false">AB89-AB90</f>
        <v>0</v>
      </c>
      <c r="AD89" s="138" t="n">
        <f aca="false">AC89-AC90</f>
        <v>0</v>
      </c>
      <c r="AE89" s="138" t="n">
        <f aca="false">AD89-AD90</f>
        <v>0</v>
      </c>
      <c r="AF89" s="138" t="n">
        <f aca="false">AE89-AE90</f>
        <v>0</v>
      </c>
      <c r="AG89" s="138" t="n">
        <f aca="false">AF89-AF90</f>
        <v>0</v>
      </c>
      <c r="AH89" s="138" t="n">
        <f aca="false">AG89-AG90</f>
        <v>0</v>
      </c>
      <c r="AI89" s="138" t="n">
        <f aca="false">AH89-AH90</f>
        <v>0</v>
      </c>
      <c r="AJ89" s="138" t="n">
        <f aca="false">AI89-AI90</f>
        <v>0</v>
      </c>
      <c r="AK89" s="138" t="n">
        <f aca="false">AJ89-AJ90</f>
        <v>0</v>
      </c>
      <c r="AL89" s="138" t="n">
        <f aca="false">AK89-AK90</f>
        <v>0</v>
      </c>
      <c r="AM89" s="138" t="n">
        <f aca="false">AL89-AL90</f>
        <v>0</v>
      </c>
      <c r="AN89" s="138" t="n">
        <f aca="false">AM89-AM90</f>
        <v>0</v>
      </c>
      <c r="AO89" s="138" t="n">
        <f aca="false">AN89-AN90</f>
        <v>0</v>
      </c>
      <c r="AP89" s="138" t="n">
        <f aca="false">AO89-AO90</f>
        <v>0</v>
      </c>
      <c r="AQ89" s="138" t="n">
        <f aca="false">AP89-AP90</f>
        <v>0</v>
      </c>
      <c r="AR89" s="138" t="n">
        <f aca="false">AQ89-AQ90</f>
        <v>0</v>
      </c>
      <c r="AS89" s="138" t="n">
        <f aca="false">AR89-AR90</f>
        <v>0</v>
      </c>
      <c r="AT89" s="138" t="n">
        <f aca="false">AS89-AS90</f>
        <v>0</v>
      </c>
      <c r="AU89" s="138" t="n">
        <f aca="false">AT89-AT90</f>
        <v>0</v>
      </c>
      <c r="AV89" s="138" t="n">
        <f aca="false">AU89-AU90</f>
        <v>0</v>
      </c>
      <c r="AW89" s="138" t="n">
        <f aca="false">AV89-AV90</f>
        <v>0</v>
      </c>
      <c r="AX89" s="138" t="n">
        <f aca="false">AW89-AW90</f>
        <v>0</v>
      </c>
      <c r="AY89" s="138" t="n">
        <f aca="false">AX89-AX90</f>
        <v>0</v>
      </c>
      <c r="AZ89" s="138" t="n">
        <f aca="false">AY89-AY90</f>
        <v>0</v>
      </c>
      <c r="BA89" s="138" t="n">
        <f aca="false">AZ89-AZ90</f>
        <v>0</v>
      </c>
      <c r="BB89" s="138" t="n">
        <f aca="false">BA89-BA90</f>
        <v>0</v>
      </c>
      <c r="BC89" s="138" t="n">
        <f aca="false">BB89-BB90</f>
        <v>0</v>
      </c>
      <c r="BD89" s="138" t="n">
        <f aca="false">BC89-BC90</f>
        <v>0</v>
      </c>
      <c r="BE89" s="138" t="n">
        <f aca="false">BD89-BD90</f>
        <v>0</v>
      </c>
      <c r="BF89" s="138" t="n">
        <f aca="false">BE89-BE90</f>
        <v>0</v>
      </c>
      <c r="BG89" s="138" t="n">
        <f aca="false">BF89-BF90</f>
        <v>0</v>
      </c>
      <c r="BH89" s="138" t="n">
        <f aca="false">BG89-BG90</f>
        <v>0</v>
      </c>
      <c r="BI89" s="138" t="n">
        <f aca="false">BH89-BH90</f>
        <v>0</v>
      </c>
      <c r="BJ89" s="138" t="n">
        <f aca="false">BI89-BI90</f>
        <v>0</v>
      </c>
      <c r="BK89" s="138" t="n">
        <f aca="false">BJ89-BJ90</f>
        <v>0</v>
      </c>
      <c r="BL89" s="138" t="n">
        <f aca="false">BK89-BK90</f>
        <v>0</v>
      </c>
      <c r="BM89" s="138" t="n">
        <f aca="false">BL89-BL90</f>
        <v>0</v>
      </c>
      <c r="BN89" s="138" t="n">
        <f aca="false">BM89-BM90</f>
        <v>0</v>
      </c>
      <c r="BO89" s="138" t="n">
        <f aca="false">BN89-BN90</f>
        <v>0</v>
      </c>
      <c r="BP89" s="138" t="n">
        <f aca="false">BO89-BO90</f>
        <v>0</v>
      </c>
      <c r="BQ89" s="138" t="n">
        <f aca="false">BP89-BP90</f>
        <v>0</v>
      </c>
      <c r="BR89" s="138" t="n">
        <f aca="false">BQ89-BQ90</f>
        <v>0</v>
      </c>
      <c r="BS89" s="138" t="n">
        <f aca="false">BR89-BR90</f>
        <v>0</v>
      </c>
      <c r="BT89" s="138" t="n">
        <f aca="false">BS89-BS90</f>
        <v>0</v>
      </c>
      <c r="BU89" s="138" t="n">
        <f aca="false">BT89-BT90</f>
        <v>0</v>
      </c>
      <c r="BV89" s="138" t="n">
        <f aca="false">BU89-BU90</f>
        <v>0</v>
      </c>
      <c r="BW89" s="138" t="n">
        <f aca="false">BV89-BV90</f>
        <v>0</v>
      </c>
      <c r="BX89" s="138" t="n">
        <f aca="false">BW89-BW90</f>
        <v>0</v>
      </c>
      <c r="BY89" s="138" t="n">
        <f aca="false">BX89-BX90</f>
        <v>0</v>
      </c>
      <c r="BZ89" s="138" t="n">
        <f aca="false">BY89-BY90</f>
        <v>0</v>
      </c>
      <c r="CA89" s="138" t="n">
        <f aca="false">BZ89-BZ90</f>
        <v>0</v>
      </c>
      <c r="CB89" s="138" t="n">
        <f aca="false">CA89-CA90</f>
        <v>0</v>
      </c>
      <c r="CC89" s="138" t="n">
        <f aca="false">CB89-CB90</f>
        <v>0</v>
      </c>
      <c r="CD89" s="138" t="n">
        <f aca="false">CC89-CC90</f>
        <v>0</v>
      </c>
      <c r="CE89" s="138" t="n">
        <f aca="false">CD89-CD90</f>
        <v>0</v>
      </c>
      <c r="CF89" s="138" t="n">
        <f aca="false">CE89-CE90</f>
        <v>0</v>
      </c>
      <c r="CG89" s="138" t="n">
        <f aca="false">CF89-CF90</f>
        <v>0</v>
      </c>
      <c r="CH89" s="138" t="n">
        <f aca="false">CG89-CG90</f>
        <v>0</v>
      </c>
    </row>
    <row r="90" customFormat="false" ht="13.5" hidden="false" customHeight="true" outlineLevel="0" collapsed="false">
      <c r="A90" s="13" t="s">
        <v>767</v>
      </c>
      <c r="C90" s="138" t="n">
        <f aca="false">IF(1&lt;=Hipótesis!$D$97,0,IF(C89&gt;0,MIN(C89,Hipótesis!$D$93/MAX(Hipótesis!$D$96-Hipótesis!$D$97,1)),0))</f>
        <v>0</v>
      </c>
      <c r="D90" s="138" t="n">
        <f aca="false">IF(2&lt;=Hipótesis!$D$97,0,IF(D89&gt;0,MIN(D89,Hipótesis!$D$93/MAX(Hipótesis!$D$96-Hipótesis!$D$97,1)),0))</f>
        <v>0</v>
      </c>
      <c r="E90" s="138" t="n">
        <f aca="false">IF(3&lt;=Hipótesis!$D$97,0,IF(E89&gt;0,MIN(E89,Hipótesis!$D$93/MAX(Hipótesis!$D$96-Hipótesis!$D$97,1)),0))</f>
        <v>0</v>
      </c>
      <c r="F90" s="138" t="n">
        <f aca="false">IF(4&lt;=Hipótesis!$D$97,0,IF(F89&gt;0,MIN(F89,Hipótesis!$D$93/MAX(Hipótesis!$D$96-Hipótesis!$D$97,1)),0))</f>
        <v>0</v>
      </c>
      <c r="G90" s="138" t="n">
        <f aca="false">IF(5&lt;=Hipótesis!$D$97,0,IF(G89&gt;0,MIN(G89,Hipótesis!$D$93/MAX(Hipótesis!$D$96-Hipótesis!$D$97,1)),0))</f>
        <v>0</v>
      </c>
      <c r="H90" s="138" t="n">
        <f aca="false">IF(6&lt;=Hipótesis!$D$97,0,IF(H89&gt;0,MIN(H89,Hipótesis!$D$93/MAX(Hipótesis!$D$96-Hipótesis!$D$97,1)),0))</f>
        <v>0</v>
      </c>
      <c r="I90" s="138" t="n">
        <f aca="false">IF(7&lt;=Hipótesis!$D$97,0,IF(I89&gt;0,MIN(I89,Hipótesis!$D$93/MAX(Hipótesis!$D$96-Hipótesis!$D$97,1)),0))</f>
        <v>0</v>
      </c>
      <c r="J90" s="138" t="n">
        <f aca="false">IF(8&lt;=Hipótesis!$D$97,0,IF(J89&gt;0,MIN(J89,Hipótesis!$D$93/MAX(Hipótesis!$D$96-Hipótesis!$D$97,1)),0))</f>
        <v>0</v>
      </c>
      <c r="K90" s="138" t="n">
        <f aca="false">IF(9&lt;=Hipótesis!$D$97,0,IF(K89&gt;0,MIN(K89,Hipótesis!$D$93/MAX(Hipótesis!$D$96-Hipótesis!$D$97,1)),0))</f>
        <v>0</v>
      </c>
      <c r="L90" s="138" t="n">
        <f aca="false">IF(10&lt;=Hipótesis!$D$97,0,IF(L89&gt;0,MIN(L89,Hipótesis!$D$93/MAX(Hipótesis!$D$96-Hipótesis!$D$97,1)),0))</f>
        <v>0</v>
      </c>
      <c r="M90" s="138" t="n">
        <f aca="false">IF(11&lt;=Hipótesis!$D$97,0,IF(M89&gt;0,MIN(M89,Hipótesis!$D$93/MAX(Hipótesis!$D$96-Hipótesis!$D$97,1)),0))</f>
        <v>0</v>
      </c>
      <c r="N90" s="138" t="n">
        <f aca="false">IF(12&lt;=Hipótesis!$D$97,0,IF(N89&gt;0,MIN(N89,Hipótesis!$D$93/MAX(Hipótesis!$D$96-Hipótesis!$D$97,1)),0))</f>
        <v>0</v>
      </c>
      <c r="O90" s="138" t="n">
        <f aca="false">IF(13&lt;=Hipótesis!$D$97,0,IF(O89&gt;0,MIN(O89,Hipótesis!$D$93/MAX(Hipótesis!$D$96-Hipótesis!$D$97,1)),0))</f>
        <v>0</v>
      </c>
      <c r="P90" s="138" t="n">
        <f aca="false">IF(14&lt;=Hipótesis!$D$97,0,IF(P89&gt;0,MIN(P89,Hipótesis!$D$93/MAX(Hipótesis!$D$96-Hipótesis!$D$97,1)),0))</f>
        <v>0</v>
      </c>
      <c r="Q90" s="138" t="n">
        <f aca="false">IF(15&lt;=Hipótesis!$D$97,0,IF(Q89&gt;0,MIN(Q89,Hipótesis!$D$93/MAX(Hipótesis!$D$96-Hipótesis!$D$97,1)),0))</f>
        <v>0</v>
      </c>
      <c r="R90" s="138" t="n">
        <f aca="false">IF(16&lt;=Hipótesis!$D$97,0,IF(R89&gt;0,MIN(R89,Hipótesis!$D$93/MAX(Hipótesis!$D$96-Hipótesis!$D$97,1)),0))</f>
        <v>0</v>
      </c>
      <c r="S90" s="138" t="n">
        <f aca="false">IF(17&lt;=Hipótesis!$D$97,0,IF(S89&gt;0,MIN(S89,Hipótesis!$D$93/MAX(Hipótesis!$D$96-Hipótesis!$D$97,1)),0))</f>
        <v>0</v>
      </c>
      <c r="T90" s="138" t="n">
        <f aca="false">IF(18&lt;=Hipótesis!$D$97,0,IF(T89&gt;0,MIN(T89,Hipótesis!$D$93/MAX(Hipótesis!$D$96-Hipótesis!$D$97,1)),0))</f>
        <v>0</v>
      </c>
      <c r="U90" s="138" t="n">
        <f aca="false">IF(19&lt;=Hipótesis!$D$97,0,IF(U89&gt;0,MIN(U89,Hipótesis!$D$93/MAX(Hipótesis!$D$96-Hipótesis!$D$97,1)),0))</f>
        <v>0</v>
      </c>
      <c r="V90" s="138" t="n">
        <f aca="false">IF(20&lt;=Hipótesis!$D$97,0,IF(V89&gt;0,MIN(V89,Hipótesis!$D$93/MAX(Hipótesis!$D$96-Hipótesis!$D$97,1)),0))</f>
        <v>0</v>
      </c>
      <c r="W90" s="138" t="n">
        <f aca="false">IF(21&lt;=Hipótesis!$D$97,0,IF(W89&gt;0,MIN(W89,Hipótesis!$D$93/MAX(Hipótesis!$D$96-Hipótesis!$D$97,1)),0))</f>
        <v>0</v>
      </c>
      <c r="X90" s="138" t="n">
        <f aca="false">IF(22&lt;=Hipótesis!$D$97,0,IF(X89&gt;0,MIN(X89,Hipótesis!$D$93/MAX(Hipótesis!$D$96-Hipótesis!$D$97,1)),0))</f>
        <v>0</v>
      </c>
      <c r="Y90" s="138" t="n">
        <f aca="false">IF(23&lt;=Hipótesis!$D$97,0,IF(Y89&gt;0,MIN(Y89,Hipótesis!$D$93/MAX(Hipótesis!$D$96-Hipótesis!$D$97,1)),0))</f>
        <v>0</v>
      </c>
      <c r="Z90" s="138" t="n">
        <f aca="false">IF(24&lt;=Hipótesis!$D$97,0,IF(Z89&gt;0,MIN(Z89,Hipótesis!$D$93/MAX(Hipótesis!$D$96-Hipótesis!$D$97,1)),0))</f>
        <v>0</v>
      </c>
      <c r="AA90" s="138" t="n">
        <f aca="false">IF(25&lt;=Hipótesis!$D$97,0,IF(AA89&gt;0,MIN(AA89,Hipótesis!$D$93/MAX(Hipótesis!$D$96-Hipótesis!$D$97,1)),0))</f>
        <v>0</v>
      </c>
      <c r="AB90" s="138" t="n">
        <f aca="false">IF(26&lt;=Hipótesis!$D$97,0,IF(AB89&gt;0,MIN(AB89,Hipótesis!$D$93/MAX(Hipótesis!$D$96-Hipótesis!$D$97,1)),0))</f>
        <v>0</v>
      </c>
      <c r="AC90" s="138" t="n">
        <f aca="false">IF(27&lt;=Hipótesis!$D$97,0,IF(AC89&gt;0,MIN(AC89,Hipótesis!$D$93/MAX(Hipótesis!$D$96-Hipótesis!$D$97,1)),0))</f>
        <v>0</v>
      </c>
      <c r="AD90" s="138" t="n">
        <f aca="false">IF(28&lt;=Hipótesis!$D$97,0,IF(AD89&gt;0,MIN(AD89,Hipótesis!$D$93/MAX(Hipótesis!$D$96-Hipótesis!$D$97,1)),0))</f>
        <v>0</v>
      </c>
      <c r="AE90" s="138" t="n">
        <f aca="false">IF(29&lt;=Hipótesis!$D$97,0,IF(AE89&gt;0,MIN(AE89,Hipótesis!$D$93/MAX(Hipótesis!$D$96-Hipótesis!$D$97,1)),0))</f>
        <v>0</v>
      </c>
      <c r="AF90" s="138" t="n">
        <f aca="false">IF(30&lt;=Hipótesis!$D$97,0,IF(AF89&gt;0,MIN(AF89,Hipótesis!$D$93/MAX(Hipótesis!$D$96-Hipótesis!$D$97,1)),0))</f>
        <v>0</v>
      </c>
      <c r="AG90" s="138" t="n">
        <f aca="false">IF(31&lt;=Hipótesis!$D$97,0,IF(AG89&gt;0,MIN(AG89,Hipótesis!$D$93/MAX(Hipótesis!$D$96-Hipótesis!$D$97,1)),0))</f>
        <v>0</v>
      </c>
      <c r="AH90" s="138" t="n">
        <f aca="false">IF(32&lt;=Hipótesis!$D$97,0,IF(AH89&gt;0,MIN(AH89,Hipótesis!$D$93/MAX(Hipótesis!$D$96-Hipótesis!$D$97,1)),0))</f>
        <v>0</v>
      </c>
      <c r="AI90" s="138" t="n">
        <f aca="false">IF(33&lt;=Hipótesis!$D$97,0,IF(AI89&gt;0,MIN(AI89,Hipótesis!$D$93/MAX(Hipótesis!$D$96-Hipótesis!$D$97,1)),0))</f>
        <v>0</v>
      </c>
      <c r="AJ90" s="138" t="n">
        <f aca="false">IF(34&lt;=Hipótesis!$D$97,0,IF(AJ89&gt;0,MIN(AJ89,Hipótesis!$D$93/MAX(Hipótesis!$D$96-Hipótesis!$D$97,1)),0))</f>
        <v>0</v>
      </c>
      <c r="AK90" s="138" t="n">
        <f aca="false">IF(35&lt;=Hipótesis!$D$97,0,IF(AK89&gt;0,MIN(AK89,Hipótesis!$D$93/MAX(Hipótesis!$D$96-Hipótesis!$D$97,1)),0))</f>
        <v>0</v>
      </c>
      <c r="AL90" s="138" t="n">
        <f aca="false">IF(36&lt;=Hipótesis!$D$97,0,IF(AL89&gt;0,MIN(AL89,Hipótesis!$D$93/MAX(Hipótesis!$D$96-Hipótesis!$D$97,1)),0))</f>
        <v>0</v>
      </c>
      <c r="AM90" s="138" t="n">
        <f aca="false">IF(37&lt;=Hipótesis!$D$97,0,IF(AM89&gt;0,MIN(AM89,Hipótesis!$D$93/MAX(Hipótesis!$D$96-Hipótesis!$D$97,1)),0))</f>
        <v>0</v>
      </c>
      <c r="AN90" s="138" t="n">
        <f aca="false">IF(38&lt;=Hipótesis!$D$97,0,IF(AN89&gt;0,MIN(AN89,Hipótesis!$D$93/MAX(Hipótesis!$D$96-Hipótesis!$D$97,1)),0))</f>
        <v>0</v>
      </c>
      <c r="AO90" s="138" t="n">
        <f aca="false">IF(39&lt;=Hipótesis!$D$97,0,IF(AO89&gt;0,MIN(AO89,Hipótesis!$D$93/MAX(Hipótesis!$D$96-Hipótesis!$D$97,1)),0))</f>
        <v>0</v>
      </c>
      <c r="AP90" s="138" t="n">
        <f aca="false">IF(40&lt;=Hipótesis!$D$97,0,IF(AP89&gt;0,MIN(AP89,Hipótesis!$D$93/MAX(Hipótesis!$D$96-Hipótesis!$D$97,1)),0))</f>
        <v>0</v>
      </c>
      <c r="AQ90" s="138" t="n">
        <f aca="false">IF(41&lt;=Hipótesis!$D$97,0,IF(AQ89&gt;0,MIN(AQ89,Hipótesis!$D$93/MAX(Hipótesis!$D$96-Hipótesis!$D$97,1)),0))</f>
        <v>0</v>
      </c>
      <c r="AR90" s="138" t="n">
        <f aca="false">IF(42&lt;=Hipótesis!$D$97,0,IF(AR89&gt;0,MIN(AR89,Hipótesis!$D$93/MAX(Hipótesis!$D$96-Hipótesis!$D$97,1)),0))</f>
        <v>0</v>
      </c>
      <c r="AS90" s="138" t="n">
        <f aca="false">IF(43&lt;=Hipótesis!$D$97,0,IF(AS89&gt;0,MIN(AS89,Hipótesis!$D$93/MAX(Hipótesis!$D$96-Hipótesis!$D$97,1)),0))</f>
        <v>0</v>
      </c>
      <c r="AT90" s="138" t="n">
        <f aca="false">IF(44&lt;=Hipótesis!$D$97,0,IF(AT89&gt;0,MIN(AT89,Hipótesis!$D$93/MAX(Hipótesis!$D$96-Hipótesis!$D$97,1)),0))</f>
        <v>0</v>
      </c>
      <c r="AU90" s="138" t="n">
        <f aca="false">IF(45&lt;=Hipótesis!$D$97,0,IF(AU89&gt;0,MIN(AU89,Hipótesis!$D$93/MAX(Hipótesis!$D$96-Hipótesis!$D$97,1)),0))</f>
        <v>0</v>
      </c>
      <c r="AV90" s="138" t="n">
        <f aca="false">IF(46&lt;=Hipótesis!$D$97,0,IF(AV89&gt;0,MIN(AV89,Hipótesis!$D$93/MAX(Hipótesis!$D$96-Hipótesis!$D$97,1)),0))</f>
        <v>0</v>
      </c>
      <c r="AW90" s="138" t="n">
        <f aca="false">IF(47&lt;=Hipótesis!$D$97,0,IF(AW89&gt;0,MIN(AW89,Hipótesis!$D$93/MAX(Hipótesis!$D$96-Hipótesis!$D$97,1)),0))</f>
        <v>0</v>
      </c>
      <c r="AX90" s="138" t="n">
        <f aca="false">IF(48&lt;=Hipótesis!$D$97,0,IF(AX89&gt;0,MIN(AX89,Hipótesis!$D$93/MAX(Hipótesis!$D$96-Hipótesis!$D$97,1)),0))</f>
        <v>0</v>
      </c>
      <c r="AY90" s="138" t="n">
        <f aca="false">IF(49&lt;=Hipótesis!$D$97,0,IF(AY89&gt;0,MIN(AY89,Hipótesis!$D$93/MAX(Hipótesis!$D$96-Hipótesis!$D$97,1)),0))</f>
        <v>0</v>
      </c>
      <c r="AZ90" s="138" t="n">
        <f aca="false">IF(50&lt;=Hipótesis!$D$97,0,IF(AZ89&gt;0,MIN(AZ89,Hipótesis!$D$93/MAX(Hipótesis!$D$96-Hipótesis!$D$97,1)),0))</f>
        <v>0</v>
      </c>
      <c r="BA90" s="138" t="n">
        <f aca="false">IF(51&lt;=Hipótesis!$D$97,0,IF(BA89&gt;0,MIN(BA89,Hipótesis!$D$93/MAX(Hipótesis!$D$96-Hipótesis!$D$97,1)),0))</f>
        <v>0</v>
      </c>
      <c r="BB90" s="138" t="n">
        <f aca="false">IF(52&lt;=Hipótesis!$D$97,0,IF(BB89&gt;0,MIN(BB89,Hipótesis!$D$93/MAX(Hipótesis!$D$96-Hipótesis!$D$97,1)),0))</f>
        <v>0</v>
      </c>
      <c r="BC90" s="138" t="n">
        <f aca="false">IF(53&lt;=Hipótesis!$D$97,0,IF(BC89&gt;0,MIN(BC89,Hipótesis!$D$93/MAX(Hipótesis!$D$96-Hipótesis!$D$97,1)),0))</f>
        <v>0</v>
      </c>
      <c r="BD90" s="138" t="n">
        <f aca="false">IF(54&lt;=Hipótesis!$D$97,0,IF(BD89&gt;0,MIN(BD89,Hipótesis!$D$93/MAX(Hipótesis!$D$96-Hipótesis!$D$97,1)),0))</f>
        <v>0</v>
      </c>
      <c r="BE90" s="138" t="n">
        <f aca="false">IF(55&lt;=Hipótesis!$D$97,0,IF(BE89&gt;0,MIN(BE89,Hipótesis!$D$93/MAX(Hipótesis!$D$96-Hipótesis!$D$97,1)),0))</f>
        <v>0</v>
      </c>
      <c r="BF90" s="138" t="n">
        <f aca="false">IF(56&lt;=Hipótesis!$D$97,0,IF(BF89&gt;0,MIN(BF89,Hipótesis!$D$93/MAX(Hipótesis!$D$96-Hipótesis!$D$97,1)),0))</f>
        <v>0</v>
      </c>
      <c r="BG90" s="138" t="n">
        <f aca="false">IF(57&lt;=Hipótesis!$D$97,0,IF(BG89&gt;0,MIN(BG89,Hipótesis!$D$93/MAX(Hipótesis!$D$96-Hipótesis!$D$97,1)),0))</f>
        <v>0</v>
      </c>
      <c r="BH90" s="138" t="n">
        <f aca="false">IF(58&lt;=Hipótesis!$D$97,0,IF(BH89&gt;0,MIN(BH89,Hipótesis!$D$93/MAX(Hipótesis!$D$96-Hipótesis!$D$97,1)),0))</f>
        <v>0</v>
      </c>
      <c r="BI90" s="138" t="n">
        <f aca="false">IF(59&lt;=Hipótesis!$D$97,0,IF(BI89&gt;0,MIN(BI89,Hipótesis!$D$93/MAX(Hipótesis!$D$96-Hipótesis!$D$97,1)),0))</f>
        <v>0</v>
      </c>
      <c r="BJ90" s="138" t="n">
        <f aca="false">IF(60&lt;=Hipótesis!$D$97,0,IF(BJ89&gt;0,MIN(BJ89,Hipótesis!$D$93/MAX(Hipótesis!$D$96-Hipótesis!$D$97,1)),0))</f>
        <v>0</v>
      </c>
      <c r="BK90" s="138" t="n">
        <f aca="false">IF(61&lt;=Hipótesis!$D$97,0,IF(BK89&gt;0,MIN(BK89,Hipótesis!$D$93/MAX(Hipótesis!$D$96-Hipótesis!$D$97,1)),0))</f>
        <v>0</v>
      </c>
      <c r="BL90" s="138" t="n">
        <f aca="false">IF(62&lt;=Hipótesis!$D$97,0,IF(BL89&gt;0,MIN(BL89,Hipótesis!$D$93/MAX(Hipótesis!$D$96-Hipótesis!$D$97,1)),0))</f>
        <v>0</v>
      </c>
      <c r="BM90" s="138" t="n">
        <f aca="false">IF(63&lt;=Hipótesis!$D$97,0,IF(BM89&gt;0,MIN(BM89,Hipótesis!$D$93/MAX(Hipótesis!$D$96-Hipótesis!$D$97,1)),0))</f>
        <v>0</v>
      </c>
      <c r="BN90" s="138" t="n">
        <f aca="false">IF(64&lt;=Hipótesis!$D$97,0,IF(BN89&gt;0,MIN(BN89,Hipótesis!$D$93/MAX(Hipótesis!$D$96-Hipótesis!$D$97,1)),0))</f>
        <v>0</v>
      </c>
      <c r="BO90" s="138" t="n">
        <f aca="false">IF(65&lt;=Hipótesis!$D$97,0,IF(BO89&gt;0,MIN(BO89,Hipótesis!$D$93/MAX(Hipótesis!$D$96-Hipótesis!$D$97,1)),0))</f>
        <v>0</v>
      </c>
      <c r="BP90" s="138" t="n">
        <f aca="false">IF(66&lt;=Hipótesis!$D$97,0,IF(BP89&gt;0,MIN(BP89,Hipótesis!$D$93/MAX(Hipótesis!$D$96-Hipótesis!$D$97,1)),0))</f>
        <v>0</v>
      </c>
      <c r="BQ90" s="138" t="n">
        <f aca="false">IF(67&lt;=Hipótesis!$D$97,0,IF(BQ89&gt;0,MIN(BQ89,Hipótesis!$D$93/MAX(Hipótesis!$D$96-Hipótesis!$D$97,1)),0))</f>
        <v>0</v>
      </c>
      <c r="BR90" s="138" t="n">
        <f aca="false">IF(68&lt;=Hipótesis!$D$97,0,IF(BR89&gt;0,MIN(BR89,Hipótesis!$D$93/MAX(Hipótesis!$D$96-Hipótesis!$D$97,1)),0))</f>
        <v>0</v>
      </c>
      <c r="BS90" s="138" t="n">
        <f aca="false">IF(69&lt;=Hipótesis!$D$97,0,IF(BS89&gt;0,MIN(BS89,Hipótesis!$D$93/MAX(Hipótesis!$D$96-Hipótesis!$D$97,1)),0))</f>
        <v>0</v>
      </c>
      <c r="BT90" s="138" t="n">
        <f aca="false">IF(70&lt;=Hipótesis!$D$97,0,IF(BT89&gt;0,MIN(BT89,Hipótesis!$D$93/MAX(Hipótesis!$D$96-Hipótesis!$D$97,1)),0))</f>
        <v>0</v>
      </c>
      <c r="BU90" s="138" t="n">
        <f aca="false">IF(71&lt;=Hipótesis!$D$97,0,IF(BU89&gt;0,MIN(BU89,Hipótesis!$D$93/MAX(Hipótesis!$D$96-Hipótesis!$D$97,1)),0))</f>
        <v>0</v>
      </c>
      <c r="BV90" s="138" t="n">
        <f aca="false">IF(72&lt;=Hipótesis!$D$97,0,IF(BV89&gt;0,MIN(BV89,Hipótesis!$D$93/MAX(Hipótesis!$D$96-Hipótesis!$D$97,1)),0))</f>
        <v>0</v>
      </c>
      <c r="BW90" s="138" t="n">
        <f aca="false">IF(73&lt;=Hipótesis!$D$97,0,IF(BW89&gt;0,MIN(BW89,Hipótesis!$D$93/MAX(Hipótesis!$D$96-Hipótesis!$D$97,1)),0))</f>
        <v>0</v>
      </c>
      <c r="BX90" s="138" t="n">
        <f aca="false">IF(74&lt;=Hipótesis!$D$97,0,IF(BX89&gt;0,MIN(BX89,Hipótesis!$D$93/MAX(Hipótesis!$D$96-Hipótesis!$D$97,1)),0))</f>
        <v>0</v>
      </c>
      <c r="BY90" s="138" t="n">
        <f aca="false">IF(75&lt;=Hipótesis!$D$97,0,IF(BY89&gt;0,MIN(BY89,Hipótesis!$D$93/MAX(Hipótesis!$D$96-Hipótesis!$D$97,1)),0))</f>
        <v>0</v>
      </c>
      <c r="BZ90" s="138" t="n">
        <f aca="false">IF(76&lt;=Hipótesis!$D$97,0,IF(BZ89&gt;0,MIN(BZ89,Hipótesis!$D$93/MAX(Hipótesis!$D$96-Hipótesis!$D$97,1)),0))</f>
        <v>0</v>
      </c>
      <c r="CA90" s="138" t="n">
        <f aca="false">IF(77&lt;=Hipótesis!$D$97,0,IF(CA89&gt;0,MIN(CA89,Hipótesis!$D$93/MAX(Hipótesis!$D$96-Hipótesis!$D$97,1)),0))</f>
        <v>0</v>
      </c>
      <c r="CB90" s="138" t="n">
        <f aca="false">IF(78&lt;=Hipótesis!$D$97,0,IF(CB89&gt;0,MIN(CB89,Hipótesis!$D$93/MAX(Hipótesis!$D$96-Hipótesis!$D$97,1)),0))</f>
        <v>0</v>
      </c>
      <c r="CC90" s="138" t="n">
        <f aca="false">IF(79&lt;=Hipótesis!$D$97,0,IF(CC89&gt;0,MIN(CC89,Hipótesis!$D$93/MAX(Hipótesis!$D$96-Hipótesis!$D$97,1)),0))</f>
        <v>0</v>
      </c>
      <c r="CD90" s="138" t="n">
        <f aca="false">IF(80&lt;=Hipótesis!$D$97,0,IF(CD89&gt;0,MIN(CD89,Hipótesis!$D$93/MAX(Hipótesis!$D$96-Hipótesis!$D$97,1)),0))</f>
        <v>0</v>
      </c>
      <c r="CE90" s="138" t="n">
        <f aca="false">IF(81&lt;=Hipótesis!$D$97,0,IF(CE89&gt;0,MIN(CE89,Hipótesis!$D$93/MAX(Hipótesis!$D$96-Hipótesis!$D$97,1)),0))</f>
        <v>0</v>
      </c>
      <c r="CF90" s="138" t="n">
        <f aca="false">IF(82&lt;=Hipótesis!$D$97,0,IF(CF89&gt;0,MIN(CF89,Hipótesis!$D$93/MAX(Hipótesis!$D$96-Hipótesis!$D$97,1)),0))</f>
        <v>0</v>
      </c>
      <c r="CG90" s="138" t="n">
        <f aca="false">IF(83&lt;=Hipótesis!$D$97,0,IF(CG89&gt;0,MIN(CG89,Hipótesis!$D$93/MAX(Hipótesis!$D$96-Hipótesis!$D$97,1)),0))</f>
        <v>0</v>
      </c>
      <c r="CH90" s="138" t="n">
        <f aca="false">IF(84&lt;=Hipótesis!$D$97,0,IF(CH89&gt;0,MIN(CH89,Hipótesis!$D$93/MAX(Hipótesis!$D$96-Hipótesis!$D$97,1)),0))</f>
        <v>0</v>
      </c>
    </row>
    <row r="91" customFormat="false" ht="13.5" hidden="false" customHeight="true" outlineLevel="0" collapsed="false">
      <c r="A91" s="13" t="s">
        <v>768</v>
      </c>
      <c r="C91" s="138" t="n">
        <f aca="false">C89*Hipótesis!$D$95/12</f>
        <v>0</v>
      </c>
      <c r="D91" s="138" t="n">
        <f aca="false">D89*Hipótesis!$D$95/12</f>
        <v>0</v>
      </c>
      <c r="E91" s="138" t="n">
        <f aca="false">E89*Hipótesis!$D$95/12</f>
        <v>0</v>
      </c>
      <c r="F91" s="138" t="n">
        <f aca="false">F89*Hipótesis!$D$95/12</f>
        <v>0</v>
      </c>
      <c r="G91" s="138" t="n">
        <f aca="false">G89*Hipótesis!$D$95/12</f>
        <v>0</v>
      </c>
      <c r="H91" s="138" t="n">
        <f aca="false">H89*Hipótesis!$D$95/12</f>
        <v>0</v>
      </c>
      <c r="I91" s="138" t="n">
        <f aca="false">I89*Hipótesis!$D$95/12</f>
        <v>0</v>
      </c>
      <c r="J91" s="138" t="n">
        <f aca="false">J89*Hipótesis!$D$95/12</f>
        <v>0</v>
      </c>
      <c r="K91" s="138" t="n">
        <f aca="false">K89*Hipótesis!$D$95/12</f>
        <v>0</v>
      </c>
      <c r="L91" s="138" t="n">
        <f aca="false">L89*Hipótesis!$D$95/12</f>
        <v>0</v>
      </c>
      <c r="M91" s="138" t="n">
        <f aca="false">M89*Hipótesis!$D$95/12</f>
        <v>0</v>
      </c>
      <c r="N91" s="138" t="n">
        <f aca="false">N89*Hipótesis!$D$95/12</f>
        <v>0</v>
      </c>
      <c r="O91" s="138" t="n">
        <f aca="false">O89*Hipótesis!$D$95/12</f>
        <v>0</v>
      </c>
      <c r="P91" s="138" t="n">
        <f aca="false">P89*Hipótesis!$D$95/12</f>
        <v>0</v>
      </c>
      <c r="Q91" s="138" t="n">
        <f aca="false">Q89*Hipótesis!$D$95/12</f>
        <v>0</v>
      </c>
      <c r="R91" s="138" t="n">
        <f aca="false">R89*Hipótesis!$D$95/12</f>
        <v>0</v>
      </c>
      <c r="S91" s="138" t="n">
        <f aca="false">S89*Hipótesis!$D$95/12</f>
        <v>0</v>
      </c>
      <c r="T91" s="138" t="n">
        <f aca="false">T89*Hipótesis!$D$95/12</f>
        <v>0</v>
      </c>
      <c r="U91" s="138" t="n">
        <f aca="false">U89*Hipótesis!$D$95/12</f>
        <v>0</v>
      </c>
      <c r="V91" s="138" t="n">
        <f aca="false">V89*Hipótesis!$D$95/12</f>
        <v>0</v>
      </c>
      <c r="W91" s="138" t="n">
        <f aca="false">W89*Hipótesis!$D$95/12</f>
        <v>0</v>
      </c>
      <c r="X91" s="138" t="n">
        <f aca="false">X89*Hipótesis!$D$95/12</f>
        <v>0</v>
      </c>
      <c r="Y91" s="138" t="n">
        <f aca="false">Y89*Hipótesis!$D$95/12</f>
        <v>0</v>
      </c>
      <c r="Z91" s="138" t="n">
        <f aca="false">Z89*Hipótesis!$D$95/12</f>
        <v>0</v>
      </c>
      <c r="AA91" s="138" t="n">
        <f aca="false">AA89*Hipótesis!$D$95/12</f>
        <v>0</v>
      </c>
      <c r="AB91" s="138" t="n">
        <f aca="false">AB89*Hipótesis!$D$95/12</f>
        <v>0</v>
      </c>
      <c r="AC91" s="138" t="n">
        <f aca="false">AC89*Hipótesis!$D$95/12</f>
        <v>0</v>
      </c>
      <c r="AD91" s="138" t="n">
        <f aca="false">AD89*Hipótesis!$D$95/12</f>
        <v>0</v>
      </c>
      <c r="AE91" s="138" t="n">
        <f aca="false">AE89*Hipótesis!$D$95/12</f>
        <v>0</v>
      </c>
      <c r="AF91" s="138" t="n">
        <f aca="false">AF89*Hipótesis!$D$95/12</f>
        <v>0</v>
      </c>
      <c r="AG91" s="138" t="n">
        <f aca="false">AG89*Hipótesis!$D$95/12</f>
        <v>0</v>
      </c>
      <c r="AH91" s="138" t="n">
        <f aca="false">AH89*Hipótesis!$D$95/12</f>
        <v>0</v>
      </c>
      <c r="AI91" s="138" t="n">
        <f aca="false">AI89*Hipótesis!$D$95/12</f>
        <v>0</v>
      </c>
      <c r="AJ91" s="138" t="n">
        <f aca="false">AJ89*Hipótesis!$D$95/12</f>
        <v>0</v>
      </c>
      <c r="AK91" s="138" t="n">
        <f aca="false">AK89*Hipótesis!$D$95/12</f>
        <v>0</v>
      </c>
      <c r="AL91" s="138" t="n">
        <f aca="false">AL89*Hipótesis!$D$95/12</f>
        <v>0</v>
      </c>
      <c r="AM91" s="138" t="n">
        <f aca="false">AM89*Hipótesis!$D$95/12</f>
        <v>0</v>
      </c>
      <c r="AN91" s="138" t="n">
        <f aca="false">AN89*Hipótesis!$D$95/12</f>
        <v>0</v>
      </c>
      <c r="AO91" s="138" t="n">
        <f aca="false">AO89*Hipótesis!$D$95/12</f>
        <v>0</v>
      </c>
      <c r="AP91" s="138" t="n">
        <f aca="false">AP89*Hipótesis!$D$95/12</f>
        <v>0</v>
      </c>
      <c r="AQ91" s="138" t="n">
        <f aca="false">AQ89*Hipótesis!$D$95/12</f>
        <v>0</v>
      </c>
      <c r="AR91" s="138" t="n">
        <f aca="false">AR89*Hipótesis!$D$95/12</f>
        <v>0</v>
      </c>
      <c r="AS91" s="138" t="n">
        <f aca="false">AS89*Hipótesis!$D$95/12</f>
        <v>0</v>
      </c>
      <c r="AT91" s="138" t="n">
        <f aca="false">AT89*Hipótesis!$D$95/12</f>
        <v>0</v>
      </c>
      <c r="AU91" s="138" t="n">
        <f aca="false">AU89*Hipótesis!$D$95/12</f>
        <v>0</v>
      </c>
      <c r="AV91" s="138" t="n">
        <f aca="false">AV89*Hipótesis!$D$95/12</f>
        <v>0</v>
      </c>
      <c r="AW91" s="138" t="n">
        <f aca="false">AW89*Hipótesis!$D$95/12</f>
        <v>0</v>
      </c>
      <c r="AX91" s="138" t="n">
        <f aca="false">AX89*Hipótesis!$D$95/12</f>
        <v>0</v>
      </c>
      <c r="AY91" s="138" t="n">
        <f aca="false">AY89*Hipótesis!$D$95/12</f>
        <v>0</v>
      </c>
      <c r="AZ91" s="138" t="n">
        <f aca="false">AZ89*Hipótesis!$D$95/12</f>
        <v>0</v>
      </c>
      <c r="BA91" s="138" t="n">
        <f aca="false">BA89*Hipótesis!$D$95/12</f>
        <v>0</v>
      </c>
      <c r="BB91" s="138" t="n">
        <f aca="false">BB89*Hipótesis!$D$95/12</f>
        <v>0</v>
      </c>
      <c r="BC91" s="138" t="n">
        <f aca="false">BC89*Hipótesis!$D$95/12</f>
        <v>0</v>
      </c>
      <c r="BD91" s="138" t="n">
        <f aca="false">BD89*Hipótesis!$D$95/12</f>
        <v>0</v>
      </c>
      <c r="BE91" s="138" t="n">
        <f aca="false">BE89*Hipótesis!$D$95/12</f>
        <v>0</v>
      </c>
      <c r="BF91" s="138" t="n">
        <f aca="false">BF89*Hipótesis!$D$95/12</f>
        <v>0</v>
      </c>
      <c r="BG91" s="138" t="n">
        <f aca="false">BG89*Hipótesis!$D$95/12</f>
        <v>0</v>
      </c>
      <c r="BH91" s="138" t="n">
        <f aca="false">BH89*Hipótesis!$D$95/12</f>
        <v>0</v>
      </c>
      <c r="BI91" s="138" t="n">
        <f aca="false">BI89*Hipótesis!$D$95/12</f>
        <v>0</v>
      </c>
      <c r="BJ91" s="138" t="n">
        <f aca="false">BJ89*Hipótesis!$D$95/12</f>
        <v>0</v>
      </c>
      <c r="BK91" s="138" t="n">
        <f aca="false">BK89*Hipótesis!$D$95/12</f>
        <v>0</v>
      </c>
      <c r="BL91" s="138" t="n">
        <f aca="false">BL89*Hipótesis!$D$95/12</f>
        <v>0</v>
      </c>
      <c r="BM91" s="138" t="n">
        <f aca="false">BM89*Hipótesis!$D$95/12</f>
        <v>0</v>
      </c>
      <c r="BN91" s="138" t="n">
        <f aca="false">BN89*Hipótesis!$D$95/12</f>
        <v>0</v>
      </c>
      <c r="BO91" s="138" t="n">
        <f aca="false">BO89*Hipótesis!$D$95/12</f>
        <v>0</v>
      </c>
      <c r="BP91" s="138" t="n">
        <f aca="false">BP89*Hipótesis!$D$95/12</f>
        <v>0</v>
      </c>
      <c r="BQ91" s="138" t="n">
        <f aca="false">BQ89*Hipótesis!$D$95/12</f>
        <v>0</v>
      </c>
      <c r="BR91" s="138" t="n">
        <f aca="false">BR89*Hipótesis!$D$95/12</f>
        <v>0</v>
      </c>
      <c r="BS91" s="138" t="n">
        <f aca="false">BS89*Hipótesis!$D$95/12</f>
        <v>0</v>
      </c>
      <c r="BT91" s="138" t="n">
        <f aca="false">BT89*Hipótesis!$D$95/12</f>
        <v>0</v>
      </c>
      <c r="BU91" s="138" t="n">
        <f aca="false">BU89*Hipótesis!$D$95/12</f>
        <v>0</v>
      </c>
      <c r="BV91" s="138" t="n">
        <f aca="false">BV89*Hipótesis!$D$95/12</f>
        <v>0</v>
      </c>
      <c r="BW91" s="138" t="n">
        <f aca="false">BW89*Hipótesis!$D$95/12</f>
        <v>0</v>
      </c>
      <c r="BX91" s="138" t="n">
        <f aca="false">BX89*Hipótesis!$D$95/12</f>
        <v>0</v>
      </c>
      <c r="BY91" s="138" t="n">
        <f aca="false">BY89*Hipótesis!$D$95/12</f>
        <v>0</v>
      </c>
      <c r="BZ91" s="138" t="n">
        <f aca="false">BZ89*Hipótesis!$D$95/12</f>
        <v>0</v>
      </c>
      <c r="CA91" s="138" t="n">
        <f aca="false">CA89*Hipótesis!$D$95/12</f>
        <v>0</v>
      </c>
      <c r="CB91" s="138" t="n">
        <f aca="false">CB89*Hipótesis!$D$95/12</f>
        <v>0</v>
      </c>
      <c r="CC91" s="138" t="n">
        <f aca="false">CC89*Hipótesis!$D$95/12</f>
        <v>0</v>
      </c>
      <c r="CD91" s="138" t="n">
        <f aca="false">CD89*Hipótesis!$D$95/12</f>
        <v>0</v>
      </c>
      <c r="CE91" s="138" t="n">
        <f aca="false">CE89*Hipótesis!$D$95/12</f>
        <v>0</v>
      </c>
      <c r="CF91" s="138" t="n">
        <f aca="false">CF89*Hipótesis!$D$95/12</f>
        <v>0</v>
      </c>
      <c r="CG91" s="138" t="n">
        <f aca="false">CG89*Hipótesis!$D$95/12</f>
        <v>0</v>
      </c>
      <c r="CH91" s="138" t="n">
        <f aca="false">CH89*Hipótesis!$D$95/12</f>
        <v>0</v>
      </c>
    </row>
    <row r="92" customFormat="false" ht="13.5" hidden="false" customHeight="true" outlineLevel="0" collapsed="false">
      <c r="A92" s="13" t="s">
        <v>769</v>
      </c>
      <c r="C92" s="138" t="n">
        <f aca="false">IF(Hipótesis!$D$94=5,0,IF(Hipótesis!$D$94=1,C90+C91,IF(Hipótesis!$D$94=2,C90+C91+IF(C89&gt;0,Hipótesis!$D$98*MAX(0,C56),0),IF(Hipótesis!$D$94=3,Hipótesis!$D$99*MAX(0,C56),Hipótesis!$D$100*C36))))</f>
        <v>0</v>
      </c>
      <c r="D92" s="138" t="n">
        <f aca="false">IF(Hipótesis!$D$94=5,0,IF(Hipótesis!$D$94=1,D90+D91,IF(Hipótesis!$D$94=2,D90+D91+IF(D89&gt;0,Hipótesis!$D$98*MAX(0,D56),0),IF(Hipótesis!$D$94=3,Hipótesis!$D$99*MAX(0,D56),Hipótesis!$D$100*D36))))</f>
        <v>0</v>
      </c>
      <c r="E92" s="138" t="n">
        <f aca="false">IF(Hipótesis!$D$94=5,0,IF(Hipótesis!$D$94=1,E90+E91,IF(Hipótesis!$D$94=2,E90+E91+IF(E89&gt;0,Hipótesis!$D$98*MAX(0,E56),0),IF(Hipótesis!$D$94=3,Hipótesis!$D$99*MAX(0,E56),Hipótesis!$D$100*E36))))</f>
        <v>0</v>
      </c>
      <c r="F92" s="138" t="n">
        <f aca="false">IF(Hipótesis!$D$94=5,0,IF(Hipótesis!$D$94=1,F90+F91,IF(Hipótesis!$D$94=2,F90+F91+IF(F89&gt;0,Hipótesis!$D$98*MAX(0,F56),0),IF(Hipótesis!$D$94=3,Hipótesis!$D$99*MAX(0,F56),Hipótesis!$D$100*F36))))</f>
        <v>0</v>
      </c>
      <c r="G92" s="138" t="n">
        <f aca="false">IF(Hipótesis!$D$94=5,0,IF(Hipótesis!$D$94=1,G90+G91,IF(Hipótesis!$D$94=2,G90+G91+IF(G89&gt;0,Hipótesis!$D$98*MAX(0,G56),0),IF(Hipótesis!$D$94=3,Hipótesis!$D$99*MAX(0,G56),Hipótesis!$D$100*G36))))</f>
        <v>0</v>
      </c>
      <c r="H92" s="138" t="n">
        <f aca="false">IF(Hipótesis!$D$94=5,0,IF(Hipótesis!$D$94=1,H90+H91,IF(Hipótesis!$D$94=2,H90+H91+IF(H89&gt;0,Hipótesis!$D$98*MAX(0,H56),0),IF(Hipótesis!$D$94=3,Hipótesis!$D$99*MAX(0,H56),Hipótesis!$D$100*H36))))</f>
        <v>0</v>
      </c>
      <c r="I92" s="138" t="n">
        <f aca="false">IF(Hipótesis!$D$94=5,0,IF(Hipótesis!$D$94=1,I90+I91,IF(Hipótesis!$D$94=2,I90+I91+IF(I89&gt;0,Hipótesis!$D$98*MAX(0,I56),0),IF(Hipótesis!$D$94=3,Hipótesis!$D$99*MAX(0,I56),Hipótesis!$D$100*I36))))</f>
        <v>0</v>
      </c>
      <c r="J92" s="138" t="n">
        <f aca="false">IF(Hipótesis!$D$94=5,0,IF(Hipótesis!$D$94=1,J90+J91,IF(Hipótesis!$D$94=2,J90+J91+IF(J89&gt;0,Hipótesis!$D$98*MAX(0,J56),0),IF(Hipótesis!$D$94=3,Hipótesis!$D$99*MAX(0,J56),Hipótesis!$D$100*J36))))</f>
        <v>0</v>
      </c>
      <c r="K92" s="138" t="n">
        <f aca="false">IF(Hipótesis!$D$94=5,0,IF(Hipótesis!$D$94=1,K90+K91,IF(Hipótesis!$D$94=2,K90+K91+IF(K89&gt;0,Hipótesis!$D$98*MAX(0,K56),0),IF(Hipótesis!$D$94=3,Hipótesis!$D$99*MAX(0,K56),Hipótesis!$D$100*K36))))</f>
        <v>0</v>
      </c>
      <c r="L92" s="138" t="n">
        <f aca="false">IF(Hipótesis!$D$94=5,0,IF(Hipótesis!$D$94=1,L90+L91,IF(Hipótesis!$D$94=2,L90+L91+IF(L89&gt;0,Hipótesis!$D$98*MAX(0,L56),0),IF(Hipótesis!$D$94=3,Hipótesis!$D$99*MAX(0,L56),Hipótesis!$D$100*L36))))</f>
        <v>0</v>
      </c>
      <c r="M92" s="138" t="n">
        <f aca="false">IF(Hipótesis!$D$94=5,0,IF(Hipótesis!$D$94=1,M90+M91,IF(Hipótesis!$D$94=2,M90+M91+IF(M89&gt;0,Hipótesis!$D$98*MAX(0,M56),0),IF(Hipótesis!$D$94=3,Hipótesis!$D$99*MAX(0,M56),Hipótesis!$D$100*M36))))</f>
        <v>0</v>
      </c>
      <c r="N92" s="138" t="n">
        <f aca="false">IF(Hipótesis!$D$94=5,0,IF(Hipótesis!$D$94=1,N90+N91,IF(Hipótesis!$D$94=2,N90+N91+IF(N89&gt;0,Hipótesis!$D$98*MAX(0,N56),0),IF(Hipótesis!$D$94=3,Hipótesis!$D$99*MAX(0,N56),Hipótesis!$D$100*N36))))</f>
        <v>0</v>
      </c>
      <c r="O92" s="138" t="n">
        <f aca="false">IF(Hipótesis!$D$94=5,0,IF(Hipótesis!$D$94=1,O90+O91,IF(Hipótesis!$D$94=2,O90+O91+IF(O89&gt;0,Hipótesis!$D$98*MAX(0,O56),0),IF(Hipótesis!$D$94=3,Hipótesis!$D$99*MAX(0,O56),Hipótesis!$D$100*O36))))</f>
        <v>0</v>
      </c>
      <c r="P92" s="138" t="n">
        <f aca="false">IF(Hipótesis!$D$94=5,0,IF(Hipótesis!$D$94=1,P90+P91,IF(Hipótesis!$D$94=2,P90+P91+IF(P89&gt;0,Hipótesis!$D$98*MAX(0,P56),0),IF(Hipótesis!$D$94=3,Hipótesis!$D$99*MAX(0,P56),Hipótesis!$D$100*P36))))</f>
        <v>0</v>
      </c>
      <c r="Q92" s="138" t="n">
        <f aca="false">IF(Hipótesis!$D$94=5,0,IF(Hipótesis!$D$94=1,Q90+Q91,IF(Hipótesis!$D$94=2,Q90+Q91+IF(Q89&gt;0,Hipótesis!$D$98*MAX(0,Q56),0),IF(Hipótesis!$D$94=3,Hipótesis!$D$99*MAX(0,Q56),Hipótesis!$D$100*Q36))))</f>
        <v>0</v>
      </c>
      <c r="R92" s="138" t="n">
        <f aca="false">IF(Hipótesis!$D$94=5,0,IF(Hipótesis!$D$94=1,R90+R91,IF(Hipótesis!$D$94=2,R90+R91+IF(R89&gt;0,Hipótesis!$D$98*MAX(0,R56),0),IF(Hipótesis!$D$94=3,Hipótesis!$D$99*MAX(0,R56),Hipótesis!$D$100*R36))))</f>
        <v>0</v>
      </c>
      <c r="S92" s="138" t="n">
        <f aca="false">IF(Hipótesis!$D$94=5,0,IF(Hipótesis!$D$94=1,S90+S91,IF(Hipótesis!$D$94=2,S90+S91+IF(S89&gt;0,Hipótesis!$D$98*MAX(0,S56),0),IF(Hipótesis!$D$94=3,Hipótesis!$D$99*MAX(0,S56),Hipótesis!$D$100*S36))))</f>
        <v>0</v>
      </c>
      <c r="T92" s="138" t="n">
        <f aca="false">IF(Hipótesis!$D$94=5,0,IF(Hipótesis!$D$94=1,T90+T91,IF(Hipótesis!$D$94=2,T90+T91+IF(T89&gt;0,Hipótesis!$D$98*MAX(0,T56),0),IF(Hipótesis!$D$94=3,Hipótesis!$D$99*MAX(0,T56),Hipótesis!$D$100*T36))))</f>
        <v>0</v>
      </c>
      <c r="U92" s="138" t="n">
        <f aca="false">IF(Hipótesis!$D$94=5,0,IF(Hipótesis!$D$94=1,U90+U91,IF(Hipótesis!$D$94=2,U90+U91+IF(U89&gt;0,Hipótesis!$D$98*MAX(0,U56),0),IF(Hipótesis!$D$94=3,Hipótesis!$D$99*MAX(0,U56),Hipótesis!$D$100*U36))))</f>
        <v>0</v>
      </c>
      <c r="V92" s="138" t="n">
        <f aca="false">IF(Hipótesis!$D$94=5,0,IF(Hipótesis!$D$94=1,V90+V91,IF(Hipótesis!$D$94=2,V90+V91+IF(V89&gt;0,Hipótesis!$D$98*MAX(0,V56),0),IF(Hipótesis!$D$94=3,Hipótesis!$D$99*MAX(0,V56),Hipótesis!$D$100*V36))))</f>
        <v>0</v>
      </c>
      <c r="W92" s="138" t="n">
        <f aca="false">IF(Hipótesis!$D$94=5,0,IF(Hipótesis!$D$94=1,W90+W91,IF(Hipótesis!$D$94=2,W90+W91+IF(W89&gt;0,Hipótesis!$D$98*MAX(0,W56),0),IF(Hipótesis!$D$94=3,Hipótesis!$D$99*MAX(0,W56),Hipótesis!$D$100*W36))))</f>
        <v>0</v>
      </c>
      <c r="X92" s="138" t="n">
        <f aca="false">IF(Hipótesis!$D$94=5,0,IF(Hipótesis!$D$94=1,X90+X91,IF(Hipótesis!$D$94=2,X90+X91+IF(X89&gt;0,Hipótesis!$D$98*MAX(0,X56),0),IF(Hipótesis!$D$94=3,Hipótesis!$D$99*MAX(0,X56),Hipótesis!$D$100*X36))))</f>
        <v>0</v>
      </c>
      <c r="Y92" s="138" t="n">
        <f aca="false">IF(Hipótesis!$D$94=5,0,IF(Hipótesis!$D$94=1,Y90+Y91,IF(Hipótesis!$D$94=2,Y90+Y91+IF(Y89&gt;0,Hipótesis!$D$98*MAX(0,Y56),0),IF(Hipótesis!$D$94=3,Hipótesis!$D$99*MAX(0,Y56),Hipótesis!$D$100*Y36))))</f>
        <v>0</v>
      </c>
      <c r="Z92" s="138" t="n">
        <f aca="false">IF(Hipótesis!$D$94=5,0,IF(Hipótesis!$D$94=1,Z90+Z91,IF(Hipótesis!$D$94=2,Z90+Z91+IF(Z89&gt;0,Hipótesis!$D$98*MAX(0,Z56),0),IF(Hipótesis!$D$94=3,Hipótesis!$D$99*MAX(0,Z56),Hipótesis!$D$100*Z36))))</f>
        <v>0</v>
      </c>
      <c r="AA92" s="138" t="n">
        <f aca="false">IF(Hipótesis!$D$94=5,0,IF(Hipótesis!$D$94=1,AA90+AA91,IF(Hipótesis!$D$94=2,AA90+AA91+IF(AA89&gt;0,Hipótesis!$D$98*MAX(0,AA56),0),IF(Hipótesis!$D$94=3,Hipótesis!$D$99*MAX(0,AA56),Hipótesis!$D$100*AA36))))</f>
        <v>0</v>
      </c>
      <c r="AB92" s="138" t="n">
        <f aca="false">IF(Hipótesis!$D$94=5,0,IF(Hipótesis!$D$94=1,AB90+AB91,IF(Hipótesis!$D$94=2,AB90+AB91+IF(AB89&gt;0,Hipótesis!$D$98*MAX(0,AB56),0),IF(Hipótesis!$D$94=3,Hipótesis!$D$99*MAX(0,AB56),Hipótesis!$D$100*AB36))))</f>
        <v>0</v>
      </c>
      <c r="AC92" s="138" t="n">
        <f aca="false">IF(Hipótesis!$D$94=5,0,IF(Hipótesis!$D$94=1,AC90+AC91,IF(Hipótesis!$D$94=2,AC90+AC91+IF(AC89&gt;0,Hipótesis!$D$98*MAX(0,AC56),0),IF(Hipótesis!$D$94=3,Hipótesis!$D$99*MAX(0,AC56),Hipótesis!$D$100*AC36))))</f>
        <v>0</v>
      </c>
      <c r="AD92" s="138" t="n">
        <f aca="false">IF(Hipótesis!$D$94=5,0,IF(Hipótesis!$D$94=1,AD90+AD91,IF(Hipótesis!$D$94=2,AD90+AD91+IF(AD89&gt;0,Hipótesis!$D$98*MAX(0,AD56),0),IF(Hipótesis!$D$94=3,Hipótesis!$D$99*MAX(0,AD56),Hipótesis!$D$100*AD36))))</f>
        <v>0</v>
      </c>
      <c r="AE92" s="138" t="n">
        <f aca="false">IF(Hipótesis!$D$94=5,0,IF(Hipótesis!$D$94=1,AE90+AE91,IF(Hipótesis!$D$94=2,AE90+AE91+IF(AE89&gt;0,Hipótesis!$D$98*MAX(0,AE56),0),IF(Hipótesis!$D$94=3,Hipótesis!$D$99*MAX(0,AE56),Hipótesis!$D$100*AE36))))</f>
        <v>0</v>
      </c>
      <c r="AF92" s="138" t="n">
        <f aca="false">IF(Hipótesis!$D$94=5,0,IF(Hipótesis!$D$94=1,AF90+AF91,IF(Hipótesis!$D$94=2,AF90+AF91+IF(AF89&gt;0,Hipótesis!$D$98*MAX(0,AF56),0),IF(Hipótesis!$D$94=3,Hipótesis!$D$99*MAX(0,AF56),Hipótesis!$D$100*AF36))))</f>
        <v>0</v>
      </c>
      <c r="AG92" s="138" t="n">
        <f aca="false">IF(Hipótesis!$D$94=5,0,IF(Hipótesis!$D$94=1,AG90+AG91,IF(Hipótesis!$D$94=2,AG90+AG91+IF(AG89&gt;0,Hipótesis!$D$98*MAX(0,AG56),0),IF(Hipótesis!$D$94=3,Hipótesis!$D$99*MAX(0,AG56),Hipótesis!$D$100*AG36))))</f>
        <v>0</v>
      </c>
      <c r="AH92" s="138" t="n">
        <f aca="false">IF(Hipótesis!$D$94=5,0,IF(Hipótesis!$D$94=1,AH90+AH91,IF(Hipótesis!$D$94=2,AH90+AH91+IF(AH89&gt;0,Hipótesis!$D$98*MAX(0,AH56),0),IF(Hipótesis!$D$94=3,Hipótesis!$D$99*MAX(0,AH56),Hipótesis!$D$100*AH36))))</f>
        <v>0</v>
      </c>
      <c r="AI92" s="138" t="n">
        <f aca="false">IF(Hipótesis!$D$94=5,0,IF(Hipótesis!$D$94=1,AI90+AI91,IF(Hipótesis!$D$94=2,AI90+AI91+IF(AI89&gt;0,Hipótesis!$D$98*MAX(0,AI56),0),IF(Hipótesis!$D$94=3,Hipótesis!$D$99*MAX(0,AI56),Hipótesis!$D$100*AI36))))</f>
        <v>0</v>
      </c>
      <c r="AJ92" s="138" t="n">
        <f aca="false">IF(Hipótesis!$D$94=5,0,IF(Hipótesis!$D$94=1,AJ90+AJ91,IF(Hipótesis!$D$94=2,AJ90+AJ91+IF(AJ89&gt;0,Hipótesis!$D$98*MAX(0,AJ56),0),IF(Hipótesis!$D$94=3,Hipótesis!$D$99*MAX(0,AJ56),Hipótesis!$D$100*AJ36))))</f>
        <v>0</v>
      </c>
      <c r="AK92" s="138" t="n">
        <f aca="false">IF(Hipótesis!$D$94=5,0,IF(Hipótesis!$D$94=1,AK90+AK91,IF(Hipótesis!$D$94=2,AK90+AK91+IF(AK89&gt;0,Hipótesis!$D$98*MAX(0,AK56),0),IF(Hipótesis!$D$94=3,Hipótesis!$D$99*MAX(0,AK56),Hipótesis!$D$100*AK36))))</f>
        <v>0</v>
      </c>
      <c r="AL92" s="138" t="n">
        <f aca="false">IF(Hipótesis!$D$94=5,0,IF(Hipótesis!$D$94=1,AL90+AL91,IF(Hipótesis!$D$94=2,AL90+AL91+IF(AL89&gt;0,Hipótesis!$D$98*MAX(0,AL56),0),IF(Hipótesis!$D$94=3,Hipótesis!$D$99*MAX(0,AL56),Hipótesis!$D$100*AL36))))</f>
        <v>0</v>
      </c>
      <c r="AM92" s="138" t="n">
        <f aca="false">IF(Hipótesis!$D$94=5,0,IF(Hipótesis!$D$94=1,AM90+AM91,IF(Hipótesis!$D$94=2,AM90+AM91+IF(AM89&gt;0,Hipótesis!$D$98*MAX(0,AM56),0),IF(Hipótesis!$D$94=3,Hipótesis!$D$99*MAX(0,AM56),Hipótesis!$D$100*AM36))))</f>
        <v>0</v>
      </c>
      <c r="AN92" s="138" t="n">
        <f aca="false">IF(Hipótesis!$D$94=5,0,IF(Hipótesis!$D$94=1,AN90+AN91,IF(Hipótesis!$D$94=2,AN90+AN91+IF(AN89&gt;0,Hipótesis!$D$98*MAX(0,AN56),0),IF(Hipótesis!$D$94=3,Hipótesis!$D$99*MAX(0,AN56),Hipótesis!$D$100*AN36))))</f>
        <v>0</v>
      </c>
      <c r="AO92" s="138" t="n">
        <f aca="false">IF(Hipótesis!$D$94=5,0,IF(Hipótesis!$D$94=1,AO90+AO91,IF(Hipótesis!$D$94=2,AO90+AO91+IF(AO89&gt;0,Hipótesis!$D$98*MAX(0,AO56),0),IF(Hipótesis!$D$94=3,Hipótesis!$D$99*MAX(0,AO56),Hipótesis!$D$100*AO36))))</f>
        <v>0</v>
      </c>
      <c r="AP92" s="138" t="n">
        <f aca="false">IF(Hipótesis!$D$94=5,0,IF(Hipótesis!$D$94=1,AP90+AP91,IF(Hipótesis!$D$94=2,AP90+AP91+IF(AP89&gt;0,Hipótesis!$D$98*MAX(0,AP56),0),IF(Hipótesis!$D$94=3,Hipótesis!$D$99*MAX(0,AP56),Hipótesis!$D$100*AP36))))</f>
        <v>0</v>
      </c>
      <c r="AQ92" s="138" t="n">
        <f aca="false">IF(Hipótesis!$D$94=5,0,IF(Hipótesis!$D$94=1,AQ90+AQ91,IF(Hipótesis!$D$94=2,AQ90+AQ91+IF(AQ89&gt;0,Hipótesis!$D$98*MAX(0,AQ56),0),IF(Hipótesis!$D$94=3,Hipótesis!$D$99*MAX(0,AQ56),Hipótesis!$D$100*AQ36))))</f>
        <v>0</v>
      </c>
      <c r="AR92" s="138" t="n">
        <f aca="false">IF(Hipótesis!$D$94=5,0,IF(Hipótesis!$D$94=1,AR90+AR91,IF(Hipótesis!$D$94=2,AR90+AR91+IF(AR89&gt;0,Hipótesis!$D$98*MAX(0,AR56),0),IF(Hipótesis!$D$94=3,Hipótesis!$D$99*MAX(0,AR56),Hipótesis!$D$100*AR36))))</f>
        <v>0</v>
      </c>
      <c r="AS92" s="138" t="n">
        <f aca="false">IF(Hipótesis!$D$94=5,0,IF(Hipótesis!$D$94=1,AS90+AS91,IF(Hipótesis!$D$94=2,AS90+AS91+IF(AS89&gt;0,Hipótesis!$D$98*MAX(0,AS56),0),IF(Hipótesis!$D$94=3,Hipótesis!$D$99*MAX(0,AS56),Hipótesis!$D$100*AS36))))</f>
        <v>0</v>
      </c>
      <c r="AT92" s="138" t="n">
        <f aca="false">IF(Hipótesis!$D$94=5,0,IF(Hipótesis!$D$94=1,AT90+AT91,IF(Hipótesis!$D$94=2,AT90+AT91+IF(AT89&gt;0,Hipótesis!$D$98*MAX(0,AT56),0),IF(Hipótesis!$D$94=3,Hipótesis!$D$99*MAX(0,AT56),Hipótesis!$D$100*AT36))))</f>
        <v>0</v>
      </c>
      <c r="AU92" s="138" t="n">
        <f aca="false">IF(Hipótesis!$D$94=5,0,IF(Hipótesis!$D$94=1,AU90+AU91,IF(Hipótesis!$D$94=2,AU90+AU91+IF(AU89&gt;0,Hipótesis!$D$98*MAX(0,AU56),0),IF(Hipótesis!$D$94=3,Hipótesis!$D$99*MAX(0,AU56),Hipótesis!$D$100*AU36))))</f>
        <v>0</v>
      </c>
      <c r="AV92" s="138" t="n">
        <f aca="false">IF(Hipótesis!$D$94=5,0,IF(Hipótesis!$D$94=1,AV90+AV91,IF(Hipótesis!$D$94=2,AV90+AV91+IF(AV89&gt;0,Hipótesis!$D$98*MAX(0,AV56),0),IF(Hipótesis!$D$94=3,Hipótesis!$D$99*MAX(0,AV56),Hipótesis!$D$100*AV36))))</f>
        <v>0</v>
      </c>
      <c r="AW92" s="138" t="n">
        <f aca="false">IF(Hipótesis!$D$94=5,0,IF(Hipótesis!$D$94=1,AW90+AW91,IF(Hipótesis!$D$94=2,AW90+AW91+IF(AW89&gt;0,Hipótesis!$D$98*MAX(0,AW56),0),IF(Hipótesis!$D$94=3,Hipótesis!$D$99*MAX(0,AW56),Hipótesis!$D$100*AW36))))</f>
        <v>0</v>
      </c>
      <c r="AX92" s="138" t="n">
        <f aca="false">IF(Hipótesis!$D$94=5,0,IF(Hipótesis!$D$94=1,AX90+AX91,IF(Hipótesis!$D$94=2,AX90+AX91+IF(AX89&gt;0,Hipótesis!$D$98*MAX(0,AX56),0),IF(Hipótesis!$D$94=3,Hipótesis!$D$99*MAX(0,AX56),Hipótesis!$D$100*AX36))))</f>
        <v>0</v>
      </c>
      <c r="AY92" s="138" t="n">
        <f aca="false">IF(Hipótesis!$D$94=5,0,IF(Hipótesis!$D$94=1,AY90+AY91,IF(Hipótesis!$D$94=2,AY90+AY91+IF(AY89&gt;0,Hipótesis!$D$98*MAX(0,AY56),0),IF(Hipótesis!$D$94=3,Hipótesis!$D$99*MAX(0,AY56),Hipótesis!$D$100*AY36))))</f>
        <v>0</v>
      </c>
      <c r="AZ92" s="138" t="n">
        <f aca="false">IF(Hipótesis!$D$94=5,0,IF(Hipótesis!$D$94=1,AZ90+AZ91,IF(Hipótesis!$D$94=2,AZ90+AZ91+IF(AZ89&gt;0,Hipótesis!$D$98*MAX(0,AZ56),0),IF(Hipótesis!$D$94=3,Hipótesis!$D$99*MAX(0,AZ56),Hipótesis!$D$100*AZ36))))</f>
        <v>0</v>
      </c>
      <c r="BA92" s="138" t="n">
        <f aca="false">IF(Hipótesis!$D$94=5,0,IF(Hipótesis!$D$94=1,BA90+BA91,IF(Hipótesis!$D$94=2,BA90+BA91+IF(BA89&gt;0,Hipótesis!$D$98*MAX(0,BA56),0),IF(Hipótesis!$D$94=3,Hipótesis!$D$99*MAX(0,BA56),Hipótesis!$D$100*BA36))))</f>
        <v>0</v>
      </c>
      <c r="BB92" s="138" t="n">
        <f aca="false">IF(Hipótesis!$D$94=5,0,IF(Hipótesis!$D$94=1,BB90+BB91,IF(Hipótesis!$D$94=2,BB90+BB91+IF(BB89&gt;0,Hipótesis!$D$98*MAX(0,BB56),0),IF(Hipótesis!$D$94=3,Hipótesis!$D$99*MAX(0,BB56),Hipótesis!$D$100*BB36))))</f>
        <v>0</v>
      </c>
      <c r="BC92" s="138" t="n">
        <f aca="false">IF(Hipótesis!$D$94=5,0,IF(Hipótesis!$D$94=1,BC90+BC91,IF(Hipótesis!$D$94=2,BC90+BC91+IF(BC89&gt;0,Hipótesis!$D$98*MAX(0,BC56),0),IF(Hipótesis!$D$94=3,Hipótesis!$D$99*MAX(0,BC56),Hipótesis!$D$100*BC36))))</f>
        <v>0</v>
      </c>
      <c r="BD92" s="138" t="n">
        <f aca="false">IF(Hipótesis!$D$94=5,0,IF(Hipótesis!$D$94=1,BD90+BD91,IF(Hipótesis!$D$94=2,BD90+BD91+IF(BD89&gt;0,Hipótesis!$D$98*MAX(0,BD56),0),IF(Hipótesis!$D$94=3,Hipótesis!$D$99*MAX(0,BD56),Hipótesis!$D$100*BD36))))</f>
        <v>0</v>
      </c>
      <c r="BE92" s="138" t="n">
        <f aca="false">IF(Hipótesis!$D$94=5,0,IF(Hipótesis!$D$94=1,BE90+BE91,IF(Hipótesis!$D$94=2,BE90+BE91+IF(BE89&gt;0,Hipótesis!$D$98*MAX(0,BE56),0),IF(Hipótesis!$D$94=3,Hipótesis!$D$99*MAX(0,BE56),Hipótesis!$D$100*BE36))))</f>
        <v>0</v>
      </c>
      <c r="BF92" s="138" t="n">
        <f aca="false">IF(Hipótesis!$D$94=5,0,IF(Hipótesis!$D$94=1,BF90+BF91,IF(Hipótesis!$D$94=2,BF90+BF91+IF(BF89&gt;0,Hipótesis!$D$98*MAX(0,BF56),0),IF(Hipótesis!$D$94=3,Hipótesis!$D$99*MAX(0,BF56),Hipótesis!$D$100*BF36))))</f>
        <v>0</v>
      </c>
      <c r="BG92" s="138" t="n">
        <f aca="false">IF(Hipótesis!$D$94=5,0,IF(Hipótesis!$D$94=1,BG90+BG91,IF(Hipótesis!$D$94=2,BG90+BG91+IF(BG89&gt;0,Hipótesis!$D$98*MAX(0,BG56),0),IF(Hipótesis!$D$94=3,Hipótesis!$D$99*MAX(0,BG56),Hipótesis!$D$100*BG36))))</f>
        <v>0</v>
      </c>
      <c r="BH92" s="138" t="n">
        <f aca="false">IF(Hipótesis!$D$94=5,0,IF(Hipótesis!$D$94=1,BH90+BH91,IF(Hipótesis!$D$94=2,BH90+BH91+IF(BH89&gt;0,Hipótesis!$D$98*MAX(0,BH56),0),IF(Hipótesis!$D$94=3,Hipótesis!$D$99*MAX(0,BH56),Hipótesis!$D$100*BH36))))</f>
        <v>0</v>
      </c>
      <c r="BI92" s="138" t="n">
        <f aca="false">IF(Hipótesis!$D$94=5,0,IF(Hipótesis!$D$94=1,BI90+BI91,IF(Hipótesis!$D$94=2,BI90+BI91+IF(BI89&gt;0,Hipótesis!$D$98*MAX(0,BI56),0),IF(Hipótesis!$D$94=3,Hipótesis!$D$99*MAX(0,BI56),Hipótesis!$D$100*BI36))))</f>
        <v>0</v>
      </c>
      <c r="BJ92" s="138" t="n">
        <f aca="false">IF(Hipótesis!$D$94=5,0,IF(Hipótesis!$D$94=1,BJ90+BJ91,IF(Hipótesis!$D$94=2,BJ90+BJ91+IF(BJ89&gt;0,Hipótesis!$D$98*MAX(0,BJ56),0),IF(Hipótesis!$D$94=3,Hipótesis!$D$99*MAX(0,BJ56),Hipótesis!$D$100*BJ36))))</f>
        <v>0</v>
      </c>
      <c r="BK92" s="138" t="n">
        <f aca="false">IF(Hipótesis!$D$94=5,0,IF(Hipótesis!$D$94=1,BK90+BK91,IF(Hipótesis!$D$94=2,BK90+BK91+IF(BK89&gt;0,Hipótesis!$D$98*MAX(0,BK56),0),IF(Hipótesis!$D$94=3,Hipótesis!$D$99*MAX(0,BK56),Hipótesis!$D$100*BK36))))</f>
        <v>0</v>
      </c>
      <c r="BL92" s="138" t="n">
        <f aca="false">IF(Hipótesis!$D$94=5,0,IF(Hipótesis!$D$94=1,BL90+BL91,IF(Hipótesis!$D$94=2,BL90+BL91+IF(BL89&gt;0,Hipótesis!$D$98*MAX(0,BL56),0),IF(Hipótesis!$D$94=3,Hipótesis!$D$99*MAX(0,BL56),Hipótesis!$D$100*BL36))))</f>
        <v>0</v>
      </c>
      <c r="BM92" s="138" t="n">
        <f aca="false">IF(Hipótesis!$D$94=5,0,IF(Hipótesis!$D$94=1,BM90+BM91,IF(Hipótesis!$D$94=2,BM90+BM91+IF(BM89&gt;0,Hipótesis!$D$98*MAX(0,BM56),0),IF(Hipótesis!$D$94=3,Hipótesis!$D$99*MAX(0,BM56),Hipótesis!$D$100*BM36))))</f>
        <v>0</v>
      </c>
      <c r="BN92" s="138" t="n">
        <f aca="false">IF(Hipótesis!$D$94=5,0,IF(Hipótesis!$D$94=1,BN90+BN91,IF(Hipótesis!$D$94=2,BN90+BN91+IF(BN89&gt;0,Hipótesis!$D$98*MAX(0,BN56),0),IF(Hipótesis!$D$94=3,Hipótesis!$D$99*MAX(0,BN56),Hipótesis!$D$100*BN36))))</f>
        <v>0</v>
      </c>
      <c r="BO92" s="138" t="n">
        <f aca="false">IF(Hipótesis!$D$94=5,0,IF(Hipótesis!$D$94=1,BO90+BO91,IF(Hipótesis!$D$94=2,BO90+BO91+IF(BO89&gt;0,Hipótesis!$D$98*MAX(0,BO56),0),IF(Hipótesis!$D$94=3,Hipótesis!$D$99*MAX(0,BO56),Hipótesis!$D$100*BO36))))</f>
        <v>0</v>
      </c>
      <c r="BP92" s="138" t="n">
        <f aca="false">IF(Hipótesis!$D$94=5,0,IF(Hipótesis!$D$94=1,BP90+BP91,IF(Hipótesis!$D$94=2,BP90+BP91+IF(BP89&gt;0,Hipótesis!$D$98*MAX(0,BP56),0),IF(Hipótesis!$D$94=3,Hipótesis!$D$99*MAX(0,BP56),Hipótesis!$D$100*BP36))))</f>
        <v>0</v>
      </c>
      <c r="BQ92" s="138" t="n">
        <f aca="false">IF(Hipótesis!$D$94=5,0,IF(Hipótesis!$D$94=1,BQ90+BQ91,IF(Hipótesis!$D$94=2,BQ90+BQ91+IF(BQ89&gt;0,Hipótesis!$D$98*MAX(0,BQ56),0),IF(Hipótesis!$D$94=3,Hipótesis!$D$99*MAX(0,BQ56),Hipótesis!$D$100*BQ36))))</f>
        <v>0</v>
      </c>
      <c r="BR92" s="138" t="n">
        <f aca="false">IF(Hipótesis!$D$94=5,0,IF(Hipótesis!$D$94=1,BR90+BR91,IF(Hipótesis!$D$94=2,BR90+BR91+IF(BR89&gt;0,Hipótesis!$D$98*MAX(0,BR56),0),IF(Hipótesis!$D$94=3,Hipótesis!$D$99*MAX(0,BR56),Hipótesis!$D$100*BR36))))</f>
        <v>0</v>
      </c>
      <c r="BS92" s="138" t="n">
        <f aca="false">IF(Hipótesis!$D$94=5,0,IF(Hipótesis!$D$94=1,BS90+BS91,IF(Hipótesis!$D$94=2,BS90+BS91+IF(BS89&gt;0,Hipótesis!$D$98*MAX(0,BS56),0),IF(Hipótesis!$D$94=3,Hipótesis!$D$99*MAX(0,BS56),Hipótesis!$D$100*BS36))))</f>
        <v>0</v>
      </c>
      <c r="BT92" s="138" t="n">
        <f aca="false">IF(Hipótesis!$D$94=5,0,IF(Hipótesis!$D$94=1,BT90+BT91,IF(Hipótesis!$D$94=2,BT90+BT91+IF(BT89&gt;0,Hipótesis!$D$98*MAX(0,BT56),0),IF(Hipótesis!$D$94=3,Hipótesis!$D$99*MAX(0,BT56),Hipótesis!$D$100*BT36))))</f>
        <v>0</v>
      </c>
      <c r="BU92" s="138" t="n">
        <f aca="false">IF(Hipótesis!$D$94=5,0,IF(Hipótesis!$D$94=1,BU90+BU91,IF(Hipótesis!$D$94=2,BU90+BU91+IF(BU89&gt;0,Hipótesis!$D$98*MAX(0,BU56),0),IF(Hipótesis!$D$94=3,Hipótesis!$D$99*MAX(0,BU56),Hipótesis!$D$100*BU36))))</f>
        <v>0</v>
      </c>
      <c r="BV92" s="138" t="n">
        <f aca="false">IF(Hipótesis!$D$94=5,0,IF(Hipótesis!$D$94=1,BV90+BV91,IF(Hipótesis!$D$94=2,BV90+BV91+IF(BV89&gt;0,Hipótesis!$D$98*MAX(0,BV56),0),IF(Hipótesis!$D$94=3,Hipótesis!$D$99*MAX(0,BV56),Hipótesis!$D$100*BV36))))</f>
        <v>0</v>
      </c>
      <c r="BW92" s="138" t="n">
        <f aca="false">IF(Hipótesis!$D$94=5,0,IF(Hipótesis!$D$94=1,BW90+BW91,IF(Hipótesis!$D$94=2,BW90+BW91+IF(BW89&gt;0,Hipótesis!$D$98*MAX(0,BW56),0),IF(Hipótesis!$D$94=3,Hipótesis!$D$99*MAX(0,BW56),Hipótesis!$D$100*BW36))))</f>
        <v>0</v>
      </c>
      <c r="BX92" s="138" t="n">
        <f aca="false">IF(Hipótesis!$D$94=5,0,IF(Hipótesis!$D$94=1,BX90+BX91,IF(Hipótesis!$D$94=2,BX90+BX91+IF(BX89&gt;0,Hipótesis!$D$98*MAX(0,BX56),0),IF(Hipótesis!$D$94=3,Hipótesis!$D$99*MAX(0,BX56),Hipótesis!$D$100*BX36))))</f>
        <v>0</v>
      </c>
      <c r="BY92" s="138" t="n">
        <f aca="false">IF(Hipótesis!$D$94=5,0,IF(Hipótesis!$D$94=1,BY90+BY91,IF(Hipótesis!$D$94=2,BY90+BY91+IF(BY89&gt;0,Hipótesis!$D$98*MAX(0,BY56),0),IF(Hipótesis!$D$94=3,Hipótesis!$D$99*MAX(0,BY56),Hipótesis!$D$100*BY36))))</f>
        <v>0</v>
      </c>
      <c r="BZ92" s="138" t="n">
        <f aca="false">IF(Hipótesis!$D$94=5,0,IF(Hipótesis!$D$94=1,BZ90+BZ91,IF(Hipótesis!$D$94=2,BZ90+BZ91+IF(BZ89&gt;0,Hipótesis!$D$98*MAX(0,BZ56),0),IF(Hipótesis!$D$94=3,Hipótesis!$D$99*MAX(0,BZ56),Hipótesis!$D$100*BZ36))))</f>
        <v>0</v>
      </c>
      <c r="CA92" s="138" t="n">
        <f aca="false">IF(Hipótesis!$D$94=5,0,IF(Hipótesis!$D$94=1,CA90+CA91,IF(Hipótesis!$D$94=2,CA90+CA91+IF(CA89&gt;0,Hipótesis!$D$98*MAX(0,CA56),0),IF(Hipótesis!$D$94=3,Hipótesis!$D$99*MAX(0,CA56),Hipótesis!$D$100*CA36))))</f>
        <v>0</v>
      </c>
      <c r="CB92" s="138" t="n">
        <f aca="false">IF(Hipótesis!$D$94=5,0,IF(Hipótesis!$D$94=1,CB90+CB91,IF(Hipótesis!$D$94=2,CB90+CB91+IF(CB89&gt;0,Hipótesis!$D$98*MAX(0,CB56),0),IF(Hipótesis!$D$94=3,Hipótesis!$D$99*MAX(0,CB56),Hipótesis!$D$100*CB36))))</f>
        <v>0</v>
      </c>
      <c r="CC92" s="138" t="n">
        <f aca="false">IF(Hipótesis!$D$94=5,0,IF(Hipótesis!$D$94=1,CC90+CC91,IF(Hipótesis!$D$94=2,CC90+CC91+IF(CC89&gt;0,Hipótesis!$D$98*MAX(0,CC56),0),IF(Hipótesis!$D$94=3,Hipótesis!$D$99*MAX(0,CC56),Hipótesis!$D$100*CC36))))</f>
        <v>0</v>
      </c>
      <c r="CD92" s="138" t="n">
        <f aca="false">IF(Hipótesis!$D$94=5,0,IF(Hipótesis!$D$94=1,CD90+CD91,IF(Hipótesis!$D$94=2,CD90+CD91+IF(CD89&gt;0,Hipótesis!$D$98*MAX(0,CD56),0),IF(Hipótesis!$D$94=3,Hipótesis!$D$99*MAX(0,CD56),Hipótesis!$D$100*CD36))))</f>
        <v>0</v>
      </c>
      <c r="CE92" s="138" t="n">
        <f aca="false">IF(Hipótesis!$D$94=5,0,IF(Hipótesis!$D$94=1,CE90+CE91,IF(Hipótesis!$D$94=2,CE90+CE91+IF(CE89&gt;0,Hipótesis!$D$98*MAX(0,CE56),0),IF(Hipótesis!$D$94=3,Hipótesis!$D$99*MAX(0,CE56),Hipótesis!$D$100*CE36))))</f>
        <v>0</v>
      </c>
      <c r="CF92" s="138" t="n">
        <f aca="false">IF(Hipótesis!$D$94=5,0,IF(Hipótesis!$D$94=1,CF90+CF91,IF(Hipótesis!$D$94=2,CF90+CF91+IF(CF89&gt;0,Hipótesis!$D$98*MAX(0,CF56),0),IF(Hipótesis!$D$94=3,Hipótesis!$D$99*MAX(0,CF56),Hipótesis!$D$100*CF36))))</f>
        <v>0</v>
      </c>
      <c r="CG92" s="138" t="n">
        <f aca="false">IF(Hipótesis!$D$94=5,0,IF(Hipótesis!$D$94=1,CG90+CG91,IF(Hipótesis!$D$94=2,CG90+CG91+IF(CG89&gt;0,Hipótesis!$D$98*MAX(0,CG56),0),IF(Hipótesis!$D$94=3,Hipótesis!$D$99*MAX(0,CG56),Hipótesis!$D$100*CG36))))</f>
        <v>0</v>
      </c>
      <c r="CH92" s="138" t="n">
        <f aca="false">IF(Hipótesis!$D$94=5,0,IF(Hipótesis!$D$94=1,CH90+CH91,IF(Hipótesis!$D$94=2,CH90+CH91+IF(CH89&gt;0,Hipótesis!$D$98*MAX(0,CH56),0),IF(Hipótesis!$D$94=3,Hipótesis!$D$99*MAX(0,CH56),Hipótesis!$D$100*CH36))))</f>
        <v>0</v>
      </c>
    </row>
    <row r="93" customFormat="false" ht="13.5" hidden="false" customHeight="true" outlineLevel="0" collapsed="false">
      <c r="A93" s="13" t="s">
        <v>770</v>
      </c>
      <c r="C93" s="138" t="n">
        <f aca="false">IF(Hipótesis!$D$94&lt;=2,C92,MIN(C92,MAX(0,Hipótesis!$D$101*Hipótesis!$D$93-0)))</f>
        <v>0</v>
      </c>
      <c r="D93" s="138" t="n">
        <f aca="false">IF(Hipótesis!$D$94&lt;=2,D92,MIN(D92,MAX(0,Hipótesis!$D$101*Hipótesis!$D$93-C94)))</f>
        <v>0</v>
      </c>
      <c r="E93" s="138" t="n">
        <f aca="false">IF(Hipótesis!$D$94&lt;=2,E92,MIN(E92,MAX(0,Hipótesis!$D$101*Hipótesis!$D$93-D94)))</f>
        <v>0</v>
      </c>
      <c r="F93" s="138" t="n">
        <f aca="false">IF(Hipótesis!$D$94&lt;=2,F92,MIN(F92,MAX(0,Hipótesis!$D$101*Hipótesis!$D$93-E94)))</f>
        <v>0</v>
      </c>
      <c r="G93" s="138" t="n">
        <f aca="false">IF(Hipótesis!$D$94&lt;=2,G92,MIN(G92,MAX(0,Hipótesis!$D$101*Hipótesis!$D$93-F94)))</f>
        <v>0</v>
      </c>
      <c r="H93" s="138" t="n">
        <f aca="false">IF(Hipótesis!$D$94&lt;=2,H92,MIN(H92,MAX(0,Hipótesis!$D$101*Hipótesis!$D$93-G94)))</f>
        <v>0</v>
      </c>
      <c r="I93" s="138" t="n">
        <f aca="false">IF(Hipótesis!$D$94&lt;=2,I92,MIN(I92,MAX(0,Hipótesis!$D$101*Hipótesis!$D$93-H94)))</f>
        <v>0</v>
      </c>
      <c r="J93" s="138" t="n">
        <f aca="false">IF(Hipótesis!$D$94&lt;=2,J92,MIN(J92,MAX(0,Hipótesis!$D$101*Hipótesis!$D$93-I94)))</f>
        <v>0</v>
      </c>
      <c r="K93" s="138" t="n">
        <f aca="false">IF(Hipótesis!$D$94&lt;=2,K92,MIN(K92,MAX(0,Hipótesis!$D$101*Hipótesis!$D$93-J94)))</f>
        <v>0</v>
      </c>
      <c r="L93" s="138" t="n">
        <f aca="false">IF(Hipótesis!$D$94&lt;=2,L92,MIN(L92,MAX(0,Hipótesis!$D$101*Hipótesis!$D$93-K94)))</f>
        <v>0</v>
      </c>
      <c r="M93" s="138" t="n">
        <f aca="false">IF(Hipótesis!$D$94&lt;=2,M92,MIN(M92,MAX(0,Hipótesis!$D$101*Hipótesis!$D$93-L94)))</f>
        <v>0</v>
      </c>
      <c r="N93" s="138" t="n">
        <f aca="false">IF(Hipótesis!$D$94&lt;=2,N92,MIN(N92,MAX(0,Hipótesis!$D$101*Hipótesis!$D$93-M94)))</f>
        <v>0</v>
      </c>
      <c r="O93" s="138" t="n">
        <f aca="false">IF(Hipótesis!$D$94&lt;=2,O92,MIN(O92,MAX(0,Hipótesis!$D$101*Hipótesis!$D$93-N94)))</f>
        <v>0</v>
      </c>
      <c r="P93" s="138" t="n">
        <f aca="false">IF(Hipótesis!$D$94&lt;=2,P92,MIN(P92,MAX(0,Hipótesis!$D$101*Hipótesis!$D$93-O94)))</f>
        <v>0</v>
      </c>
      <c r="Q93" s="138" t="n">
        <f aca="false">IF(Hipótesis!$D$94&lt;=2,Q92,MIN(Q92,MAX(0,Hipótesis!$D$101*Hipótesis!$D$93-P94)))</f>
        <v>0</v>
      </c>
      <c r="R93" s="138" t="n">
        <f aca="false">IF(Hipótesis!$D$94&lt;=2,R92,MIN(R92,MAX(0,Hipótesis!$D$101*Hipótesis!$D$93-Q94)))</f>
        <v>0</v>
      </c>
      <c r="S93" s="138" t="n">
        <f aca="false">IF(Hipótesis!$D$94&lt;=2,S92,MIN(S92,MAX(0,Hipótesis!$D$101*Hipótesis!$D$93-R94)))</f>
        <v>0</v>
      </c>
      <c r="T93" s="138" t="n">
        <f aca="false">IF(Hipótesis!$D$94&lt;=2,T92,MIN(T92,MAX(0,Hipótesis!$D$101*Hipótesis!$D$93-S94)))</f>
        <v>0</v>
      </c>
      <c r="U93" s="138" t="n">
        <f aca="false">IF(Hipótesis!$D$94&lt;=2,U92,MIN(U92,MAX(0,Hipótesis!$D$101*Hipótesis!$D$93-T94)))</f>
        <v>0</v>
      </c>
      <c r="V93" s="138" t="n">
        <f aca="false">IF(Hipótesis!$D$94&lt;=2,V92,MIN(V92,MAX(0,Hipótesis!$D$101*Hipótesis!$D$93-U94)))</f>
        <v>0</v>
      </c>
      <c r="W93" s="138" t="n">
        <f aca="false">IF(Hipótesis!$D$94&lt;=2,W92,MIN(W92,MAX(0,Hipótesis!$D$101*Hipótesis!$D$93-V94)))</f>
        <v>0</v>
      </c>
      <c r="X93" s="138" t="n">
        <f aca="false">IF(Hipótesis!$D$94&lt;=2,X92,MIN(X92,MAX(0,Hipótesis!$D$101*Hipótesis!$D$93-W94)))</f>
        <v>0</v>
      </c>
      <c r="Y93" s="138" t="n">
        <f aca="false">IF(Hipótesis!$D$94&lt;=2,Y92,MIN(Y92,MAX(0,Hipótesis!$D$101*Hipótesis!$D$93-X94)))</f>
        <v>0</v>
      </c>
      <c r="Z93" s="138" t="n">
        <f aca="false">IF(Hipótesis!$D$94&lt;=2,Z92,MIN(Z92,MAX(0,Hipótesis!$D$101*Hipótesis!$D$93-Y94)))</f>
        <v>0</v>
      </c>
      <c r="AA93" s="138" t="n">
        <f aca="false">IF(Hipótesis!$D$94&lt;=2,AA92,MIN(AA92,MAX(0,Hipótesis!$D$101*Hipótesis!$D$93-Z94)))</f>
        <v>0</v>
      </c>
      <c r="AB93" s="138" t="n">
        <f aca="false">IF(Hipótesis!$D$94&lt;=2,AB92,MIN(AB92,MAX(0,Hipótesis!$D$101*Hipótesis!$D$93-AA94)))</f>
        <v>0</v>
      </c>
      <c r="AC93" s="138" t="n">
        <f aca="false">IF(Hipótesis!$D$94&lt;=2,AC92,MIN(AC92,MAX(0,Hipótesis!$D$101*Hipótesis!$D$93-AB94)))</f>
        <v>0</v>
      </c>
      <c r="AD93" s="138" t="n">
        <f aca="false">IF(Hipótesis!$D$94&lt;=2,AD92,MIN(AD92,MAX(0,Hipótesis!$D$101*Hipótesis!$D$93-AC94)))</f>
        <v>0</v>
      </c>
      <c r="AE93" s="138" t="n">
        <f aca="false">IF(Hipótesis!$D$94&lt;=2,AE92,MIN(AE92,MAX(0,Hipótesis!$D$101*Hipótesis!$D$93-AD94)))</f>
        <v>0</v>
      </c>
      <c r="AF93" s="138" t="n">
        <f aca="false">IF(Hipótesis!$D$94&lt;=2,AF92,MIN(AF92,MAX(0,Hipótesis!$D$101*Hipótesis!$D$93-AE94)))</f>
        <v>0</v>
      </c>
      <c r="AG93" s="138" t="n">
        <f aca="false">IF(Hipótesis!$D$94&lt;=2,AG92,MIN(AG92,MAX(0,Hipótesis!$D$101*Hipótesis!$D$93-AF94)))</f>
        <v>0</v>
      </c>
      <c r="AH93" s="138" t="n">
        <f aca="false">IF(Hipótesis!$D$94&lt;=2,AH92,MIN(AH92,MAX(0,Hipótesis!$D$101*Hipótesis!$D$93-AG94)))</f>
        <v>0</v>
      </c>
      <c r="AI93" s="138" t="n">
        <f aca="false">IF(Hipótesis!$D$94&lt;=2,AI92,MIN(AI92,MAX(0,Hipótesis!$D$101*Hipótesis!$D$93-AH94)))</f>
        <v>0</v>
      </c>
      <c r="AJ93" s="138" t="n">
        <f aca="false">IF(Hipótesis!$D$94&lt;=2,AJ92,MIN(AJ92,MAX(0,Hipótesis!$D$101*Hipótesis!$D$93-AI94)))</f>
        <v>0</v>
      </c>
      <c r="AK93" s="138" t="n">
        <f aca="false">IF(Hipótesis!$D$94&lt;=2,AK92,MIN(AK92,MAX(0,Hipótesis!$D$101*Hipótesis!$D$93-AJ94)))</f>
        <v>0</v>
      </c>
      <c r="AL93" s="138" t="n">
        <f aca="false">IF(Hipótesis!$D$94&lt;=2,AL92,MIN(AL92,MAX(0,Hipótesis!$D$101*Hipótesis!$D$93-AK94)))</f>
        <v>0</v>
      </c>
      <c r="AM93" s="138" t="n">
        <f aca="false">IF(Hipótesis!$D$94&lt;=2,AM92,MIN(AM92,MAX(0,Hipótesis!$D$101*Hipótesis!$D$93-AL94)))</f>
        <v>0</v>
      </c>
      <c r="AN93" s="138" t="n">
        <f aca="false">IF(Hipótesis!$D$94&lt;=2,AN92,MIN(AN92,MAX(0,Hipótesis!$D$101*Hipótesis!$D$93-AM94)))</f>
        <v>0</v>
      </c>
      <c r="AO93" s="138" t="n">
        <f aca="false">IF(Hipótesis!$D$94&lt;=2,AO92,MIN(AO92,MAX(0,Hipótesis!$D$101*Hipótesis!$D$93-AN94)))</f>
        <v>0</v>
      </c>
      <c r="AP93" s="138" t="n">
        <f aca="false">IF(Hipótesis!$D$94&lt;=2,AP92,MIN(AP92,MAX(0,Hipótesis!$D$101*Hipótesis!$D$93-AO94)))</f>
        <v>0</v>
      </c>
      <c r="AQ93" s="138" t="n">
        <f aca="false">IF(Hipótesis!$D$94&lt;=2,AQ92,MIN(AQ92,MAX(0,Hipótesis!$D$101*Hipótesis!$D$93-AP94)))</f>
        <v>0</v>
      </c>
      <c r="AR93" s="138" t="n">
        <f aca="false">IF(Hipótesis!$D$94&lt;=2,AR92,MIN(AR92,MAX(0,Hipótesis!$D$101*Hipótesis!$D$93-AQ94)))</f>
        <v>0</v>
      </c>
      <c r="AS93" s="138" t="n">
        <f aca="false">IF(Hipótesis!$D$94&lt;=2,AS92,MIN(AS92,MAX(0,Hipótesis!$D$101*Hipótesis!$D$93-AR94)))</f>
        <v>0</v>
      </c>
      <c r="AT93" s="138" t="n">
        <f aca="false">IF(Hipótesis!$D$94&lt;=2,AT92,MIN(AT92,MAX(0,Hipótesis!$D$101*Hipótesis!$D$93-AS94)))</f>
        <v>0</v>
      </c>
      <c r="AU93" s="138" t="n">
        <f aca="false">IF(Hipótesis!$D$94&lt;=2,AU92,MIN(AU92,MAX(0,Hipótesis!$D$101*Hipótesis!$D$93-AT94)))</f>
        <v>0</v>
      </c>
      <c r="AV93" s="138" t="n">
        <f aca="false">IF(Hipótesis!$D$94&lt;=2,AV92,MIN(AV92,MAX(0,Hipótesis!$D$101*Hipótesis!$D$93-AU94)))</f>
        <v>0</v>
      </c>
      <c r="AW93" s="138" t="n">
        <f aca="false">IF(Hipótesis!$D$94&lt;=2,AW92,MIN(AW92,MAX(0,Hipótesis!$D$101*Hipótesis!$D$93-AV94)))</f>
        <v>0</v>
      </c>
      <c r="AX93" s="138" t="n">
        <f aca="false">IF(Hipótesis!$D$94&lt;=2,AX92,MIN(AX92,MAX(0,Hipótesis!$D$101*Hipótesis!$D$93-AW94)))</f>
        <v>0</v>
      </c>
      <c r="AY93" s="138" t="n">
        <f aca="false">IF(Hipótesis!$D$94&lt;=2,AY92,MIN(AY92,MAX(0,Hipótesis!$D$101*Hipótesis!$D$93-AX94)))</f>
        <v>0</v>
      </c>
      <c r="AZ93" s="138" t="n">
        <f aca="false">IF(Hipótesis!$D$94&lt;=2,AZ92,MIN(AZ92,MAX(0,Hipótesis!$D$101*Hipótesis!$D$93-AY94)))</f>
        <v>0</v>
      </c>
      <c r="BA93" s="138" t="n">
        <f aca="false">IF(Hipótesis!$D$94&lt;=2,BA92,MIN(BA92,MAX(0,Hipótesis!$D$101*Hipótesis!$D$93-AZ94)))</f>
        <v>0</v>
      </c>
      <c r="BB93" s="138" t="n">
        <f aca="false">IF(Hipótesis!$D$94&lt;=2,BB92,MIN(BB92,MAX(0,Hipótesis!$D$101*Hipótesis!$D$93-BA94)))</f>
        <v>0</v>
      </c>
      <c r="BC93" s="138" t="n">
        <f aca="false">IF(Hipótesis!$D$94&lt;=2,BC92,MIN(BC92,MAX(0,Hipótesis!$D$101*Hipótesis!$D$93-BB94)))</f>
        <v>0</v>
      </c>
      <c r="BD93" s="138" t="n">
        <f aca="false">IF(Hipótesis!$D$94&lt;=2,BD92,MIN(BD92,MAX(0,Hipótesis!$D$101*Hipótesis!$D$93-BC94)))</f>
        <v>0</v>
      </c>
      <c r="BE93" s="138" t="n">
        <f aca="false">IF(Hipótesis!$D$94&lt;=2,BE92,MIN(BE92,MAX(0,Hipótesis!$D$101*Hipótesis!$D$93-BD94)))</f>
        <v>0</v>
      </c>
      <c r="BF93" s="138" t="n">
        <f aca="false">IF(Hipótesis!$D$94&lt;=2,BF92,MIN(BF92,MAX(0,Hipótesis!$D$101*Hipótesis!$D$93-BE94)))</f>
        <v>0</v>
      </c>
      <c r="BG93" s="138" t="n">
        <f aca="false">IF(Hipótesis!$D$94&lt;=2,BG92,MIN(BG92,MAX(0,Hipótesis!$D$101*Hipótesis!$D$93-BF94)))</f>
        <v>0</v>
      </c>
      <c r="BH93" s="138" t="n">
        <f aca="false">IF(Hipótesis!$D$94&lt;=2,BH92,MIN(BH92,MAX(0,Hipótesis!$D$101*Hipótesis!$D$93-BG94)))</f>
        <v>0</v>
      </c>
      <c r="BI93" s="138" t="n">
        <f aca="false">IF(Hipótesis!$D$94&lt;=2,BI92,MIN(BI92,MAX(0,Hipótesis!$D$101*Hipótesis!$D$93-BH94)))</f>
        <v>0</v>
      </c>
      <c r="BJ93" s="138" t="n">
        <f aca="false">IF(Hipótesis!$D$94&lt;=2,BJ92,MIN(BJ92,MAX(0,Hipótesis!$D$101*Hipótesis!$D$93-BI94)))</f>
        <v>0</v>
      </c>
      <c r="BK93" s="138" t="n">
        <f aca="false">IF(Hipótesis!$D$94&lt;=2,BK92,MIN(BK92,MAX(0,Hipótesis!$D$101*Hipótesis!$D$93-BJ94)))</f>
        <v>0</v>
      </c>
      <c r="BL93" s="138" t="n">
        <f aca="false">IF(Hipótesis!$D$94&lt;=2,BL92,MIN(BL92,MAX(0,Hipótesis!$D$101*Hipótesis!$D$93-BK94)))</f>
        <v>0</v>
      </c>
      <c r="BM93" s="138" t="n">
        <f aca="false">IF(Hipótesis!$D$94&lt;=2,BM92,MIN(BM92,MAX(0,Hipótesis!$D$101*Hipótesis!$D$93-BL94)))</f>
        <v>0</v>
      </c>
      <c r="BN93" s="138" t="n">
        <f aca="false">IF(Hipótesis!$D$94&lt;=2,BN92,MIN(BN92,MAX(0,Hipótesis!$D$101*Hipótesis!$D$93-BM94)))</f>
        <v>0</v>
      </c>
      <c r="BO93" s="138" t="n">
        <f aca="false">IF(Hipótesis!$D$94&lt;=2,BO92,MIN(BO92,MAX(0,Hipótesis!$D$101*Hipótesis!$D$93-BN94)))</f>
        <v>0</v>
      </c>
      <c r="BP93" s="138" t="n">
        <f aca="false">IF(Hipótesis!$D$94&lt;=2,BP92,MIN(BP92,MAX(0,Hipótesis!$D$101*Hipótesis!$D$93-BO94)))</f>
        <v>0</v>
      </c>
      <c r="BQ93" s="138" t="n">
        <f aca="false">IF(Hipótesis!$D$94&lt;=2,BQ92,MIN(BQ92,MAX(0,Hipótesis!$D$101*Hipótesis!$D$93-BP94)))</f>
        <v>0</v>
      </c>
      <c r="BR93" s="138" t="n">
        <f aca="false">IF(Hipótesis!$D$94&lt;=2,BR92,MIN(BR92,MAX(0,Hipótesis!$D$101*Hipótesis!$D$93-BQ94)))</f>
        <v>0</v>
      </c>
      <c r="BS93" s="138" t="n">
        <f aca="false">IF(Hipótesis!$D$94&lt;=2,BS92,MIN(BS92,MAX(0,Hipótesis!$D$101*Hipótesis!$D$93-BR94)))</f>
        <v>0</v>
      </c>
      <c r="BT93" s="138" t="n">
        <f aca="false">IF(Hipótesis!$D$94&lt;=2,BT92,MIN(BT92,MAX(0,Hipótesis!$D$101*Hipótesis!$D$93-BS94)))</f>
        <v>0</v>
      </c>
      <c r="BU93" s="138" t="n">
        <f aca="false">IF(Hipótesis!$D$94&lt;=2,BU92,MIN(BU92,MAX(0,Hipótesis!$D$101*Hipótesis!$D$93-BT94)))</f>
        <v>0</v>
      </c>
      <c r="BV93" s="138" t="n">
        <f aca="false">IF(Hipótesis!$D$94&lt;=2,BV92,MIN(BV92,MAX(0,Hipótesis!$D$101*Hipótesis!$D$93-BU94)))</f>
        <v>0</v>
      </c>
      <c r="BW93" s="138" t="n">
        <f aca="false">IF(Hipótesis!$D$94&lt;=2,BW92,MIN(BW92,MAX(0,Hipótesis!$D$101*Hipótesis!$D$93-BV94)))</f>
        <v>0</v>
      </c>
      <c r="BX93" s="138" t="n">
        <f aca="false">IF(Hipótesis!$D$94&lt;=2,BX92,MIN(BX92,MAX(0,Hipótesis!$D$101*Hipótesis!$D$93-BW94)))</f>
        <v>0</v>
      </c>
      <c r="BY93" s="138" t="n">
        <f aca="false">IF(Hipótesis!$D$94&lt;=2,BY92,MIN(BY92,MAX(0,Hipótesis!$D$101*Hipótesis!$D$93-BX94)))</f>
        <v>0</v>
      </c>
      <c r="BZ93" s="138" t="n">
        <f aca="false">IF(Hipótesis!$D$94&lt;=2,BZ92,MIN(BZ92,MAX(0,Hipótesis!$D$101*Hipótesis!$D$93-BY94)))</f>
        <v>0</v>
      </c>
      <c r="CA93" s="138" t="n">
        <f aca="false">IF(Hipótesis!$D$94&lt;=2,CA92,MIN(CA92,MAX(0,Hipótesis!$D$101*Hipótesis!$D$93-BZ94)))</f>
        <v>0</v>
      </c>
      <c r="CB93" s="138" t="n">
        <f aca="false">IF(Hipótesis!$D$94&lt;=2,CB92,MIN(CB92,MAX(0,Hipótesis!$D$101*Hipótesis!$D$93-CA94)))</f>
        <v>0</v>
      </c>
      <c r="CC93" s="138" t="n">
        <f aca="false">IF(Hipótesis!$D$94&lt;=2,CC92,MIN(CC92,MAX(0,Hipótesis!$D$101*Hipótesis!$D$93-CB94)))</f>
        <v>0</v>
      </c>
      <c r="CD93" s="138" t="n">
        <f aca="false">IF(Hipótesis!$D$94&lt;=2,CD92,MIN(CD92,MAX(0,Hipótesis!$D$101*Hipótesis!$D$93-CC94)))</f>
        <v>0</v>
      </c>
      <c r="CE93" s="138" t="n">
        <f aca="false">IF(Hipótesis!$D$94&lt;=2,CE92,MIN(CE92,MAX(0,Hipótesis!$D$101*Hipótesis!$D$93-CD94)))</f>
        <v>0</v>
      </c>
      <c r="CF93" s="138" t="n">
        <f aca="false">IF(Hipótesis!$D$94&lt;=2,CF92,MIN(CF92,MAX(0,Hipótesis!$D$101*Hipótesis!$D$93-CE94)))</f>
        <v>0</v>
      </c>
      <c r="CG93" s="138" t="n">
        <f aca="false">IF(Hipótesis!$D$94&lt;=2,CG92,MIN(CG92,MAX(0,Hipótesis!$D$101*Hipótesis!$D$93-CF94)))</f>
        <v>0</v>
      </c>
      <c r="CH93" s="138" t="n">
        <f aca="false">IF(Hipótesis!$D$94&lt;=2,CH92,MIN(CH92,MAX(0,Hipótesis!$D$101*Hipótesis!$D$93-CG94)))</f>
        <v>0</v>
      </c>
    </row>
    <row r="94" customFormat="false" ht="13.5" hidden="false" customHeight="true" outlineLevel="0" collapsed="false">
      <c r="A94" s="13" t="s">
        <v>771</v>
      </c>
      <c r="C94" s="138" t="n">
        <f aca="false">C121</f>
        <v>0</v>
      </c>
      <c r="D94" s="138" t="n">
        <f aca="false">C94+D121</f>
        <v>0</v>
      </c>
      <c r="E94" s="138" t="n">
        <f aca="false">D94+E121</f>
        <v>0</v>
      </c>
      <c r="F94" s="138" t="n">
        <f aca="false">E94+F121</f>
        <v>0</v>
      </c>
      <c r="G94" s="138" t="n">
        <f aca="false">F94+G121</f>
        <v>0</v>
      </c>
      <c r="H94" s="138" t="n">
        <f aca="false">G94+H121</f>
        <v>0</v>
      </c>
      <c r="I94" s="138" t="n">
        <f aca="false">H94+I121</f>
        <v>0</v>
      </c>
      <c r="J94" s="138" t="n">
        <f aca="false">I94+J121</f>
        <v>0</v>
      </c>
      <c r="K94" s="138" t="n">
        <f aca="false">J94+K121</f>
        <v>0</v>
      </c>
      <c r="L94" s="138" t="n">
        <f aca="false">K94+L121</f>
        <v>0</v>
      </c>
      <c r="M94" s="138" t="n">
        <f aca="false">L94+M121</f>
        <v>0</v>
      </c>
      <c r="N94" s="138" t="n">
        <f aca="false">M94+N121</f>
        <v>0</v>
      </c>
      <c r="O94" s="138" t="n">
        <f aca="false">N94+O121</f>
        <v>0</v>
      </c>
      <c r="P94" s="138" t="n">
        <f aca="false">O94+P121</f>
        <v>0</v>
      </c>
      <c r="Q94" s="138" t="n">
        <f aca="false">P94+Q121</f>
        <v>0</v>
      </c>
      <c r="R94" s="138" t="n">
        <f aca="false">Q94+R121</f>
        <v>0</v>
      </c>
      <c r="S94" s="138" t="n">
        <f aca="false">R94+S121</f>
        <v>0</v>
      </c>
      <c r="T94" s="138" t="n">
        <f aca="false">S94+T121</f>
        <v>0</v>
      </c>
      <c r="U94" s="138" t="n">
        <f aca="false">T94+U121</f>
        <v>0</v>
      </c>
      <c r="V94" s="138" t="n">
        <f aca="false">U94+V121</f>
        <v>0</v>
      </c>
      <c r="W94" s="138" t="n">
        <f aca="false">V94+W121</f>
        <v>0</v>
      </c>
      <c r="X94" s="138" t="n">
        <f aca="false">W94+X121</f>
        <v>0</v>
      </c>
      <c r="Y94" s="138" t="n">
        <f aca="false">X94+Y121</f>
        <v>0</v>
      </c>
      <c r="Z94" s="138" t="n">
        <f aca="false">Y94+Z121</f>
        <v>0</v>
      </c>
      <c r="AA94" s="138" t="n">
        <f aca="false">Z94+AA121</f>
        <v>0</v>
      </c>
      <c r="AB94" s="138" t="n">
        <f aca="false">AA94+AB121</f>
        <v>0</v>
      </c>
      <c r="AC94" s="138" t="n">
        <f aca="false">AB94+AC121</f>
        <v>0</v>
      </c>
      <c r="AD94" s="138" t="n">
        <f aca="false">AC94+AD121</f>
        <v>0</v>
      </c>
      <c r="AE94" s="138" t="n">
        <f aca="false">AD94+AE121</f>
        <v>0</v>
      </c>
      <c r="AF94" s="138" t="n">
        <f aca="false">AE94+AF121</f>
        <v>0</v>
      </c>
      <c r="AG94" s="138" t="n">
        <f aca="false">AF94+AG121</f>
        <v>0</v>
      </c>
      <c r="AH94" s="138" t="n">
        <f aca="false">AG94+AH121</f>
        <v>0</v>
      </c>
      <c r="AI94" s="138" t="n">
        <f aca="false">AH94+AI121</f>
        <v>0</v>
      </c>
      <c r="AJ94" s="138" t="n">
        <f aca="false">AI94+AJ121</f>
        <v>0</v>
      </c>
      <c r="AK94" s="138" t="n">
        <f aca="false">AJ94+AK121</f>
        <v>0</v>
      </c>
      <c r="AL94" s="138" t="n">
        <f aca="false">AK94+AL121</f>
        <v>0</v>
      </c>
      <c r="AM94" s="138" t="n">
        <f aca="false">AL94+AM121</f>
        <v>0</v>
      </c>
      <c r="AN94" s="138" t="n">
        <f aca="false">AM94+AN121</f>
        <v>0</v>
      </c>
      <c r="AO94" s="138" t="n">
        <f aca="false">AN94+AO121</f>
        <v>0</v>
      </c>
      <c r="AP94" s="138" t="n">
        <f aca="false">AO94+AP121</f>
        <v>0</v>
      </c>
      <c r="AQ94" s="138" t="n">
        <f aca="false">AP94+AQ121</f>
        <v>0</v>
      </c>
      <c r="AR94" s="138" t="n">
        <f aca="false">AQ94+AR121</f>
        <v>0</v>
      </c>
      <c r="AS94" s="138" t="n">
        <f aca="false">AR94+AS121</f>
        <v>0</v>
      </c>
      <c r="AT94" s="138" t="n">
        <f aca="false">AS94+AT121</f>
        <v>0</v>
      </c>
      <c r="AU94" s="138" t="n">
        <f aca="false">AT94+AU121</f>
        <v>0</v>
      </c>
      <c r="AV94" s="138" t="n">
        <f aca="false">AU94+AV121</f>
        <v>0</v>
      </c>
      <c r="AW94" s="138" t="n">
        <f aca="false">AV94+AW121</f>
        <v>0</v>
      </c>
      <c r="AX94" s="138" t="n">
        <f aca="false">AW94+AX121</f>
        <v>270219.59553395</v>
      </c>
      <c r="AY94" s="138" t="n">
        <f aca="false">AX94+AY121</f>
        <v>270219.59553395</v>
      </c>
      <c r="AZ94" s="138" t="n">
        <f aca="false">AY94+AZ121</f>
        <v>270219.59553395</v>
      </c>
      <c r="BA94" s="138" t="n">
        <f aca="false">AZ94+BA121</f>
        <v>270219.59553395</v>
      </c>
      <c r="BB94" s="138" t="n">
        <f aca="false">BA94+BB121</f>
        <v>270219.59553395</v>
      </c>
      <c r="BC94" s="138" t="n">
        <f aca="false">BB94+BC121</f>
        <v>270219.59553395</v>
      </c>
      <c r="BD94" s="138" t="n">
        <f aca="false">BC94+BD121</f>
        <v>270219.59553395</v>
      </c>
      <c r="BE94" s="138" t="n">
        <f aca="false">BD94+BE121</f>
        <v>270219.59553395</v>
      </c>
      <c r="BF94" s="138" t="n">
        <f aca="false">BE94+BF121</f>
        <v>270219.59553395</v>
      </c>
      <c r="BG94" s="138" t="n">
        <f aca="false">BF94+BG121</f>
        <v>270219.59553395</v>
      </c>
      <c r="BH94" s="138" t="n">
        <f aca="false">BG94+BH121</f>
        <v>270219.59553395</v>
      </c>
      <c r="BI94" s="138" t="n">
        <f aca="false">BH94+BI121</f>
        <v>270219.59553395</v>
      </c>
      <c r="BJ94" s="138" t="n">
        <f aca="false">BI94+BJ121</f>
        <v>270219.59553395</v>
      </c>
      <c r="BK94" s="138" t="n">
        <f aca="false">BJ94+BK121</f>
        <v>270219.59553395</v>
      </c>
      <c r="BL94" s="138" t="n">
        <f aca="false">BK94+BL121</f>
        <v>270219.59553395</v>
      </c>
      <c r="BM94" s="138" t="n">
        <f aca="false">BL94+BM121</f>
        <v>270219.59553395</v>
      </c>
      <c r="BN94" s="138" t="n">
        <f aca="false">BM94+BN121</f>
        <v>270219.59553395</v>
      </c>
      <c r="BO94" s="138" t="n">
        <f aca="false">BN94+BO121</f>
        <v>270219.59553395</v>
      </c>
      <c r="BP94" s="138" t="n">
        <f aca="false">BO94+BP121</f>
        <v>270219.59553395</v>
      </c>
      <c r="BQ94" s="138" t="n">
        <f aca="false">BP94+BQ121</f>
        <v>270219.59553395</v>
      </c>
      <c r="BR94" s="138" t="n">
        <f aca="false">BQ94+BR121</f>
        <v>270219.59553395</v>
      </c>
      <c r="BS94" s="138" t="n">
        <f aca="false">BR94+BS121</f>
        <v>270219.59553395</v>
      </c>
      <c r="BT94" s="138" t="n">
        <f aca="false">BS94+BT121</f>
        <v>270219.59553395</v>
      </c>
      <c r="BU94" s="138" t="n">
        <f aca="false">BT94+BU121</f>
        <v>270219.59553395</v>
      </c>
      <c r="BV94" s="138" t="n">
        <f aca="false">BU94+BV121</f>
        <v>270219.59553395</v>
      </c>
      <c r="BW94" s="138" t="n">
        <f aca="false">BV94+BW121</f>
        <v>270219.59553395</v>
      </c>
      <c r="BX94" s="138" t="n">
        <f aca="false">BW94+BX121</f>
        <v>270219.59553395</v>
      </c>
      <c r="BY94" s="138" t="n">
        <f aca="false">BX94+BY121</f>
        <v>270219.59553395</v>
      </c>
      <c r="BZ94" s="138" t="n">
        <f aca="false">BY94+BZ121</f>
        <v>270219.59553395</v>
      </c>
      <c r="CA94" s="138" t="n">
        <f aca="false">BZ94+CA121</f>
        <v>270219.59553395</v>
      </c>
      <c r="CB94" s="138" t="n">
        <f aca="false">CA94+CB121</f>
        <v>270219.59553395</v>
      </c>
      <c r="CC94" s="138" t="n">
        <f aca="false">CB94+CC121</f>
        <v>270219.59553395</v>
      </c>
      <c r="CD94" s="138" t="n">
        <f aca="false">CC94+CD121</f>
        <v>270219.59553395</v>
      </c>
      <c r="CE94" s="138" t="n">
        <f aca="false">CD94+CE121</f>
        <v>270219.59553395</v>
      </c>
      <c r="CF94" s="138" t="n">
        <f aca="false">CE94+CF121</f>
        <v>270219.59553395</v>
      </c>
      <c r="CG94" s="138" t="n">
        <f aca="false">CF94+CG121</f>
        <v>270219.59553395</v>
      </c>
      <c r="CH94" s="138" t="n">
        <f aca="false">CG94+CH121</f>
        <v>270219.59553395</v>
      </c>
    </row>
    <row r="95" customFormat="false" ht="13.5" hidden="false" customHeight="true" outlineLevel="0" collapsed="false"/>
    <row r="96" customFormat="false" ht="13.5" hidden="false" customHeight="true" outlineLevel="0" collapsed="false">
      <c r="A96" s="13" t="s">
        <v>772</v>
      </c>
      <c r="C96" s="138" t="n">
        <f aca="false">Hipótesis!$D$105</f>
        <v>100000</v>
      </c>
      <c r="D96" s="138" t="n">
        <f aca="false">C96-C97</f>
        <v>100000</v>
      </c>
      <c r="E96" s="138" t="n">
        <f aca="false">D96-D97</f>
        <v>100000</v>
      </c>
      <c r="F96" s="138" t="n">
        <f aca="false">E96-E97</f>
        <v>100000</v>
      </c>
      <c r="G96" s="138" t="n">
        <f aca="false">F96-F97</f>
        <v>100000</v>
      </c>
      <c r="H96" s="138" t="n">
        <f aca="false">G96-G97</f>
        <v>100000</v>
      </c>
      <c r="I96" s="138" t="n">
        <f aca="false">H96-H97</f>
        <v>100000</v>
      </c>
      <c r="J96" s="138" t="n">
        <f aca="false">I96-I97</f>
        <v>100000</v>
      </c>
      <c r="K96" s="138" t="n">
        <f aca="false">J96-J97</f>
        <v>100000</v>
      </c>
      <c r="L96" s="138" t="n">
        <f aca="false">K96-K97</f>
        <v>100000</v>
      </c>
      <c r="M96" s="138" t="n">
        <f aca="false">L96-L97</f>
        <v>100000</v>
      </c>
      <c r="N96" s="138" t="n">
        <f aca="false">M96-M97</f>
        <v>100000</v>
      </c>
      <c r="O96" s="138" t="n">
        <f aca="false">N96-N97</f>
        <v>100000</v>
      </c>
      <c r="P96" s="138" t="n">
        <f aca="false">O96-O97</f>
        <v>100000</v>
      </c>
      <c r="Q96" s="138" t="n">
        <f aca="false">P96-P97</f>
        <v>100000</v>
      </c>
      <c r="R96" s="138" t="n">
        <f aca="false">Q96-Q97</f>
        <v>100000</v>
      </c>
      <c r="S96" s="138" t="n">
        <f aca="false">R96-R97</f>
        <v>100000</v>
      </c>
      <c r="T96" s="138" t="n">
        <f aca="false">S96-S97</f>
        <v>100000</v>
      </c>
      <c r="U96" s="138" t="n">
        <f aca="false">T96-T97</f>
        <v>100000</v>
      </c>
      <c r="V96" s="138" t="n">
        <f aca="false">U96-U97</f>
        <v>100000</v>
      </c>
      <c r="W96" s="138" t="n">
        <f aca="false">V96-V97</f>
        <v>100000</v>
      </c>
      <c r="X96" s="138" t="n">
        <f aca="false">W96-W97</f>
        <v>100000</v>
      </c>
      <c r="Y96" s="138" t="n">
        <f aca="false">X96-X97</f>
        <v>100000</v>
      </c>
      <c r="Z96" s="138" t="n">
        <f aca="false">Y96-Y97</f>
        <v>100000</v>
      </c>
      <c r="AA96" s="138" t="n">
        <f aca="false">Z96-Z97</f>
        <v>100000</v>
      </c>
      <c r="AB96" s="138" t="n">
        <f aca="false">AA96-AA97</f>
        <v>98333.3333333333</v>
      </c>
      <c r="AC96" s="138" t="n">
        <f aca="false">AB96-AB97</f>
        <v>96666.6666666667</v>
      </c>
      <c r="AD96" s="138" t="n">
        <f aca="false">AC96-AC97</f>
        <v>95000</v>
      </c>
      <c r="AE96" s="138" t="n">
        <f aca="false">AD96-AD97</f>
        <v>93333.3333333333</v>
      </c>
      <c r="AF96" s="138" t="n">
        <f aca="false">AE96-AE97</f>
        <v>91666.6666666666</v>
      </c>
      <c r="AG96" s="138" t="n">
        <f aca="false">AF96-AF97</f>
        <v>90000</v>
      </c>
      <c r="AH96" s="138" t="n">
        <f aca="false">AG96-AG97</f>
        <v>88333.3333333333</v>
      </c>
      <c r="AI96" s="138" t="n">
        <f aca="false">AH96-AH97</f>
        <v>86666.6666666666</v>
      </c>
      <c r="AJ96" s="138" t="n">
        <f aca="false">AI96-AI97</f>
        <v>85000</v>
      </c>
      <c r="AK96" s="138" t="n">
        <f aca="false">AJ96-AJ97</f>
        <v>83333.3333333333</v>
      </c>
      <c r="AL96" s="138" t="n">
        <f aca="false">AK96-AK97</f>
        <v>81666.6666666666</v>
      </c>
      <c r="AM96" s="138" t="n">
        <f aca="false">AL96-AL97</f>
        <v>79999.9999999999</v>
      </c>
      <c r="AN96" s="138" t="n">
        <f aca="false">AM96-AM97</f>
        <v>78333.3333333333</v>
      </c>
      <c r="AO96" s="138" t="n">
        <f aca="false">AN96-AN97</f>
        <v>76666.6666666666</v>
      </c>
      <c r="AP96" s="138" t="n">
        <f aca="false">AO96-AO97</f>
        <v>74999.9999999999</v>
      </c>
      <c r="AQ96" s="138" t="n">
        <f aca="false">AP96-AP97</f>
        <v>73333.3333333333</v>
      </c>
      <c r="AR96" s="138" t="n">
        <f aca="false">AQ96-AQ97</f>
        <v>71666.6666666666</v>
      </c>
      <c r="AS96" s="138" t="n">
        <f aca="false">AR96-AR97</f>
        <v>69999.9999999999</v>
      </c>
      <c r="AT96" s="138" t="n">
        <f aca="false">AS96-AS97</f>
        <v>68333.3333333332</v>
      </c>
      <c r="AU96" s="138" t="n">
        <f aca="false">AT96-AT97</f>
        <v>66666.6666666666</v>
      </c>
      <c r="AV96" s="138" t="n">
        <f aca="false">AU96-AU97</f>
        <v>64999.9999999999</v>
      </c>
      <c r="AW96" s="138" t="n">
        <f aca="false">AV96-AV97</f>
        <v>63333.3333333332</v>
      </c>
      <c r="AX96" s="138" t="n">
        <f aca="false">AW96-AW97</f>
        <v>61666.6666666666</v>
      </c>
      <c r="AY96" s="138" t="n">
        <f aca="false">AX96-AX97</f>
        <v>59999.9999999999</v>
      </c>
      <c r="AZ96" s="138" t="n">
        <f aca="false">AY96-AY97</f>
        <v>58333.3333333333</v>
      </c>
      <c r="BA96" s="138" t="n">
        <f aca="false">AZ96-AZ97</f>
        <v>56666.6666666666</v>
      </c>
      <c r="BB96" s="138" t="n">
        <f aca="false">BA96-BA97</f>
        <v>54999.9999999999</v>
      </c>
      <c r="BC96" s="138" t="n">
        <f aca="false">BB96-BB97</f>
        <v>53333.3333333333</v>
      </c>
      <c r="BD96" s="138" t="n">
        <f aca="false">BC96-BC97</f>
        <v>51666.6666666666</v>
      </c>
      <c r="BE96" s="138" t="n">
        <f aca="false">BD96-BD97</f>
        <v>49999.9999999999</v>
      </c>
      <c r="BF96" s="138" t="n">
        <f aca="false">BE96-BE97</f>
        <v>48333.3333333333</v>
      </c>
      <c r="BG96" s="138" t="n">
        <f aca="false">BF96-BF97</f>
        <v>46666.6666666666</v>
      </c>
      <c r="BH96" s="138" t="n">
        <f aca="false">BG96-BG97</f>
        <v>44999.9999999999</v>
      </c>
      <c r="BI96" s="138" t="n">
        <f aca="false">BH96-BH97</f>
        <v>43333.3333333333</v>
      </c>
      <c r="BJ96" s="138" t="n">
        <f aca="false">BI96-BI97</f>
        <v>41666.6666666666</v>
      </c>
      <c r="BK96" s="138" t="n">
        <f aca="false">BJ96-BJ97</f>
        <v>39999.9999999999</v>
      </c>
      <c r="BL96" s="138" t="n">
        <f aca="false">BK96-BK97</f>
        <v>38333.3333333333</v>
      </c>
      <c r="BM96" s="138" t="n">
        <f aca="false">BL96-BL97</f>
        <v>36666.6666666666</v>
      </c>
      <c r="BN96" s="138" t="n">
        <f aca="false">BM96-BM97</f>
        <v>35000</v>
      </c>
      <c r="BO96" s="138" t="n">
        <f aca="false">BN96-BN97</f>
        <v>33333.3333333333</v>
      </c>
      <c r="BP96" s="138" t="n">
        <f aca="false">BO96-BO97</f>
        <v>31666.6666666666</v>
      </c>
      <c r="BQ96" s="138" t="n">
        <f aca="false">BP96-BP97</f>
        <v>30000</v>
      </c>
      <c r="BR96" s="138" t="n">
        <f aca="false">BQ96-BQ97</f>
        <v>28333.3333333333</v>
      </c>
      <c r="BS96" s="138" t="n">
        <f aca="false">BR96-BR97</f>
        <v>26666.6666666666</v>
      </c>
      <c r="BT96" s="138" t="n">
        <f aca="false">BS96-BS97</f>
        <v>24999.9999999999</v>
      </c>
      <c r="BU96" s="138" t="n">
        <f aca="false">BT96-BT97</f>
        <v>23333.3333333333</v>
      </c>
      <c r="BV96" s="138" t="n">
        <f aca="false">BU96-BU97</f>
        <v>21666.6666666666</v>
      </c>
      <c r="BW96" s="138" t="n">
        <f aca="false">BV96-BV97</f>
        <v>19999.9999999999</v>
      </c>
      <c r="BX96" s="138" t="n">
        <f aca="false">BW96-BW97</f>
        <v>18333.3333333333</v>
      </c>
      <c r="BY96" s="138" t="n">
        <f aca="false">BX96-BX97</f>
        <v>16666.6666666666</v>
      </c>
      <c r="BZ96" s="138" t="n">
        <f aca="false">BY96-BY97</f>
        <v>14999.9999999999</v>
      </c>
      <c r="CA96" s="138" t="n">
        <f aca="false">BZ96-BZ97</f>
        <v>13333.3333333333</v>
      </c>
      <c r="CB96" s="138" t="n">
        <f aca="false">CA96-CA97</f>
        <v>11666.6666666666</v>
      </c>
      <c r="CC96" s="138" t="n">
        <f aca="false">CB96-CB97</f>
        <v>9999.99999999994</v>
      </c>
      <c r="CD96" s="138" t="n">
        <f aca="false">CC96-CC97</f>
        <v>8333.33333333328</v>
      </c>
      <c r="CE96" s="138" t="n">
        <f aca="false">CD96-CD97</f>
        <v>6666.66666666661</v>
      </c>
      <c r="CF96" s="138" t="n">
        <f aca="false">CE96-CE97</f>
        <v>4999.99999999994</v>
      </c>
      <c r="CG96" s="138" t="n">
        <f aca="false">CF96-CF97</f>
        <v>3333.33333333328</v>
      </c>
      <c r="CH96" s="138" t="n">
        <f aca="false">CG96-CG97</f>
        <v>1666.66666666661</v>
      </c>
    </row>
    <row r="97" customFormat="false" ht="13.5" hidden="false" customHeight="true" outlineLevel="0" collapsed="false">
      <c r="A97" s="13" t="s">
        <v>773</v>
      </c>
      <c r="C97" s="138" t="n">
        <f aca="false">IF(1&lt;=Hipótesis!$D$109,0,IF(C96&gt;0,MIN(C96,Hipótesis!$D$105/MAX(Hipótesis!$D$108-Hipótesis!$D$109,1)),0))</f>
        <v>0</v>
      </c>
      <c r="D97" s="138" t="n">
        <f aca="false">IF(2&lt;=Hipótesis!$D$109,0,IF(D96&gt;0,MIN(D96,Hipótesis!$D$105/MAX(Hipótesis!$D$108-Hipótesis!$D$109,1)),0))</f>
        <v>0</v>
      </c>
      <c r="E97" s="138" t="n">
        <f aca="false">IF(3&lt;=Hipótesis!$D$109,0,IF(E96&gt;0,MIN(E96,Hipótesis!$D$105/MAX(Hipótesis!$D$108-Hipótesis!$D$109,1)),0))</f>
        <v>0</v>
      </c>
      <c r="F97" s="138" t="n">
        <f aca="false">IF(4&lt;=Hipótesis!$D$109,0,IF(F96&gt;0,MIN(F96,Hipótesis!$D$105/MAX(Hipótesis!$D$108-Hipótesis!$D$109,1)),0))</f>
        <v>0</v>
      </c>
      <c r="G97" s="138" t="n">
        <f aca="false">IF(5&lt;=Hipótesis!$D$109,0,IF(G96&gt;0,MIN(G96,Hipótesis!$D$105/MAX(Hipótesis!$D$108-Hipótesis!$D$109,1)),0))</f>
        <v>0</v>
      </c>
      <c r="H97" s="138" t="n">
        <f aca="false">IF(6&lt;=Hipótesis!$D$109,0,IF(H96&gt;0,MIN(H96,Hipótesis!$D$105/MAX(Hipótesis!$D$108-Hipótesis!$D$109,1)),0))</f>
        <v>0</v>
      </c>
      <c r="I97" s="138" t="n">
        <f aca="false">IF(7&lt;=Hipótesis!$D$109,0,IF(I96&gt;0,MIN(I96,Hipótesis!$D$105/MAX(Hipótesis!$D$108-Hipótesis!$D$109,1)),0))</f>
        <v>0</v>
      </c>
      <c r="J97" s="138" t="n">
        <f aca="false">IF(8&lt;=Hipótesis!$D$109,0,IF(J96&gt;0,MIN(J96,Hipótesis!$D$105/MAX(Hipótesis!$D$108-Hipótesis!$D$109,1)),0))</f>
        <v>0</v>
      </c>
      <c r="K97" s="138" t="n">
        <f aca="false">IF(9&lt;=Hipótesis!$D$109,0,IF(K96&gt;0,MIN(K96,Hipótesis!$D$105/MAX(Hipótesis!$D$108-Hipótesis!$D$109,1)),0))</f>
        <v>0</v>
      </c>
      <c r="L97" s="138" t="n">
        <f aca="false">IF(10&lt;=Hipótesis!$D$109,0,IF(L96&gt;0,MIN(L96,Hipótesis!$D$105/MAX(Hipótesis!$D$108-Hipótesis!$D$109,1)),0))</f>
        <v>0</v>
      </c>
      <c r="M97" s="138" t="n">
        <f aca="false">IF(11&lt;=Hipótesis!$D$109,0,IF(M96&gt;0,MIN(M96,Hipótesis!$D$105/MAX(Hipótesis!$D$108-Hipótesis!$D$109,1)),0))</f>
        <v>0</v>
      </c>
      <c r="N97" s="138" t="n">
        <f aca="false">IF(12&lt;=Hipótesis!$D$109,0,IF(N96&gt;0,MIN(N96,Hipótesis!$D$105/MAX(Hipótesis!$D$108-Hipótesis!$D$109,1)),0))</f>
        <v>0</v>
      </c>
      <c r="O97" s="138" t="n">
        <f aca="false">IF(13&lt;=Hipótesis!$D$109,0,IF(O96&gt;0,MIN(O96,Hipótesis!$D$105/MAX(Hipótesis!$D$108-Hipótesis!$D$109,1)),0))</f>
        <v>0</v>
      </c>
      <c r="P97" s="138" t="n">
        <f aca="false">IF(14&lt;=Hipótesis!$D$109,0,IF(P96&gt;0,MIN(P96,Hipótesis!$D$105/MAX(Hipótesis!$D$108-Hipótesis!$D$109,1)),0))</f>
        <v>0</v>
      </c>
      <c r="Q97" s="138" t="n">
        <f aca="false">IF(15&lt;=Hipótesis!$D$109,0,IF(Q96&gt;0,MIN(Q96,Hipótesis!$D$105/MAX(Hipótesis!$D$108-Hipótesis!$D$109,1)),0))</f>
        <v>0</v>
      </c>
      <c r="R97" s="138" t="n">
        <f aca="false">IF(16&lt;=Hipótesis!$D$109,0,IF(R96&gt;0,MIN(R96,Hipótesis!$D$105/MAX(Hipótesis!$D$108-Hipótesis!$D$109,1)),0))</f>
        <v>0</v>
      </c>
      <c r="S97" s="138" t="n">
        <f aca="false">IF(17&lt;=Hipótesis!$D$109,0,IF(S96&gt;0,MIN(S96,Hipótesis!$D$105/MAX(Hipótesis!$D$108-Hipótesis!$D$109,1)),0))</f>
        <v>0</v>
      </c>
      <c r="T97" s="138" t="n">
        <f aca="false">IF(18&lt;=Hipótesis!$D$109,0,IF(T96&gt;0,MIN(T96,Hipótesis!$D$105/MAX(Hipótesis!$D$108-Hipótesis!$D$109,1)),0))</f>
        <v>0</v>
      </c>
      <c r="U97" s="138" t="n">
        <f aca="false">IF(19&lt;=Hipótesis!$D$109,0,IF(U96&gt;0,MIN(U96,Hipótesis!$D$105/MAX(Hipótesis!$D$108-Hipótesis!$D$109,1)),0))</f>
        <v>0</v>
      </c>
      <c r="V97" s="138" t="n">
        <f aca="false">IF(20&lt;=Hipótesis!$D$109,0,IF(V96&gt;0,MIN(V96,Hipótesis!$D$105/MAX(Hipótesis!$D$108-Hipótesis!$D$109,1)),0))</f>
        <v>0</v>
      </c>
      <c r="W97" s="138" t="n">
        <f aca="false">IF(21&lt;=Hipótesis!$D$109,0,IF(W96&gt;0,MIN(W96,Hipótesis!$D$105/MAX(Hipótesis!$D$108-Hipótesis!$D$109,1)),0))</f>
        <v>0</v>
      </c>
      <c r="X97" s="138" t="n">
        <f aca="false">IF(22&lt;=Hipótesis!$D$109,0,IF(X96&gt;0,MIN(X96,Hipótesis!$D$105/MAX(Hipótesis!$D$108-Hipótesis!$D$109,1)),0))</f>
        <v>0</v>
      </c>
      <c r="Y97" s="138" t="n">
        <f aca="false">IF(23&lt;=Hipótesis!$D$109,0,IF(Y96&gt;0,MIN(Y96,Hipótesis!$D$105/MAX(Hipótesis!$D$108-Hipótesis!$D$109,1)),0))</f>
        <v>0</v>
      </c>
      <c r="Z97" s="138" t="n">
        <f aca="false">IF(24&lt;=Hipótesis!$D$109,0,IF(Z96&gt;0,MIN(Z96,Hipótesis!$D$105/MAX(Hipótesis!$D$108-Hipótesis!$D$109,1)),0))</f>
        <v>0</v>
      </c>
      <c r="AA97" s="138" t="n">
        <f aca="false">IF(25&lt;=Hipótesis!$D$109,0,IF(AA96&gt;0,MIN(AA96,Hipótesis!$D$105/MAX(Hipótesis!$D$108-Hipótesis!$D$109,1)),0))</f>
        <v>1666.66666666667</v>
      </c>
      <c r="AB97" s="138" t="n">
        <f aca="false">IF(26&lt;=Hipótesis!$D$109,0,IF(AB96&gt;0,MIN(AB96,Hipótesis!$D$105/MAX(Hipótesis!$D$108-Hipótesis!$D$109,1)),0))</f>
        <v>1666.66666666667</v>
      </c>
      <c r="AC97" s="138" t="n">
        <f aca="false">IF(27&lt;=Hipótesis!$D$109,0,IF(AC96&gt;0,MIN(AC96,Hipótesis!$D$105/MAX(Hipótesis!$D$108-Hipótesis!$D$109,1)),0))</f>
        <v>1666.66666666667</v>
      </c>
      <c r="AD97" s="138" t="n">
        <f aca="false">IF(28&lt;=Hipótesis!$D$109,0,IF(AD96&gt;0,MIN(AD96,Hipótesis!$D$105/MAX(Hipótesis!$D$108-Hipótesis!$D$109,1)),0))</f>
        <v>1666.66666666667</v>
      </c>
      <c r="AE97" s="138" t="n">
        <f aca="false">IF(29&lt;=Hipótesis!$D$109,0,IF(AE96&gt;0,MIN(AE96,Hipótesis!$D$105/MAX(Hipótesis!$D$108-Hipótesis!$D$109,1)),0))</f>
        <v>1666.66666666667</v>
      </c>
      <c r="AF97" s="138" t="n">
        <f aca="false">IF(30&lt;=Hipótesis!$D$109,0,IF(AF96&gt;0,MIN(AF96,Hipótesis!$D$105/MAX(Hipótesis!$D$108-Hipótesis!$D$109,1)),0))</f>
        <v>1666.66666666667</v>
      </c>
      <c r="AG97" s="138" t="n">
        <f aca="false">IF(31&lt;=Hipótesis!$D$109,0,IF(AG96&gt;0,MIN(AG96,Hipótesis!$D$105/MAX(Hipótesis!$D$108-Hipótesis!$D$109,1)),0))</f>
        <v>1666.66666666667</v>
      </c>
      <c r="AH97" s="138" t="n">
        <f aca="false">IF(32&lt;=Hipótesis!$D$109,0,IF(AH96&gt;0,MIN(AH96,Hipótesis!$D$105/MAX(Hipótesis!$D$108-Hipótesis!$D$109,1)),0))</f>
        <v>1666.66666666667</v>
      </c>
      <c r="AI97" s="138" t="n">
        <f aca="false">IF(33&lt;=Hipótesis!$D$109,0,IF(AI96&gt;0,MIN(AI96,Hipótesis!$D$105/MAX(Hipótesis!$D$108-Hipótesis!$D$109,1)),0))</f>
        <v>1666.66666666667</v>
      </c>
      <c r="AJ97" s="138" t="n">
        <f aca="false">IF(34&lt;=Hipótesis!$D$109,0,IF(AJ96&gt;0,MIN(AJ96,Hipótesis!$D$105/MAX(Hipótesis!$D$108-Hipótesis!$D$109,1)),0))</f>
        <v>1666.66666666667</v>
      </c>
      <c r="AK97" s="138" t="n">
        <f aca="false">IF(35&lt;=Hipótesis!$D$109,0,IF(AK96&gt;0,MIN(AK96,Hipótesis!$D$105/MAX(Hipótesis!$D$108-Hipótesis!$D$109,1)),0))</f>
        <v>1666.66666666667</v>
      </c>
      <c r="AL97" s="138" t="n">
        <f aca="false">IF(36&lt;=Hipótesis!$D$109,0,IF(AL96&gt;0,MIN(AL96,Hipótesis!$D$105/MAX(Hipótesis!$D$108-Hipótesis!$D$109,1)),0))</f>
        <v>1666.66666666667</v>
      </c>
      <c r="AM97" s="138" t="n">
        <f aca="false">IF(37&lt;=Hipótesis!$D$109,0,IF(AM96&gt;0,MIN(AM96,Hipótesis!$D$105/MAX(Hipótesis!$D$108-Hipótesis!$D$109,1)),0))</f>
        <v>1666.66666666667</v>
      </c>
      <c r="AN97" s="138" t="n">
        <f aca="false">IF(38&lt;=Hipótesis!$D$109,0,IF(AN96&gt;0,MIN(AN96,Hipótesis!$D$105/MAX(Hipótesis!$D$108-Hipótesis!$D$109,1)),0))</f>
        <v>1666.66666666667</v>
      </c>
      <c r="AO97" s="138" t="n">
        <f aca="false">IF(39&lt;=Hipótesis!$D$109,0,IF(AO96&gt;0,MIN(AO96,Hipótesis!$D$105/MAX(Hipótesis!$D$108-Hipótesis!$D$109,1)),0))</f>
        <v>1666.66666666667</v>
      </c>
      <c r="AP97" s="138" t="n">
        <f aca="false">IF(40&lt;=Hipótesis!$D$109,0,IF(AP96&gt;0,MIN(AP96,Hipótesis!$D$105/MAX(Hipótesis!$D$108-Hipótesis!$D$109,1)),0))</f>
        <v>1666.66666666667</v>
      </c>
      <c r="AQ97" s="138" t="n">
        <f aca="false">IF(41&lt;=Hipótesis!$D$109,0,IF(AQ96&gt;0,MIN(AQ96,Hipótesis!$D$105/MAX(Hipótesis!$D$108-Hipótesis!$D$109,1)),0))</f>
        <v>1666.66666666667</v>
      </c>
      <c r="AR97" s="138" t="n">
        <f aca="false">IF(42&lt;=Hipótesis!$D$109,0,IF(AR96&gt;0,MIN(AR96,Hipótesis!$D$105/MAX(Hipótesis!$D$108-Hipótesis!$D$109,1)),0))</f>
        <v>1666.66666666667</v>
      </c>
      <c r="AS97" s="138" t="n">
        <f aca="false">IF(43&lt;=Hipótesis!$D$109,0,IF(AS96&gt;0,MIN(AS96,Hipótesis!$D$105/MAX(Hipótesis!$D$108-Hipótesis!$D$109,1)),0))</f>
        <v>1666.66666666667</v>
      </c>
      <c r="AT97" s="138" t="n">
        <f aca="false">IF(44&lt;=Hipótesis!$D$109,0,IF(AT96&gt;0,MIN(AT96,Hipótesis!$D$105/MAX(Hipótesis!$D$108-Hipótesis!$D$109,1)),0))</f>
        <v>1666.66666666667</v>
      </c>
      <c r="AU97" s="138" t="n">
        <f aca="false">IF(45&lt;=Hipótesis!$D$109,0,IF(AU96&gt;0,MIN(AU96,Hipótesis!$D$105/MAX(Hipótesis!$D$108-Hipótesis!$D$109,1)),0))</f>
        <v>1666.66666666667</v>
      </c>
      <c r="AV97" s="138" t="n">
        <f aca="false">IF(46&lt;=Hipótesis!$D$109,0,IF(AV96&gt;0,MIN(AV96,Hipótesis!$D$105/MAX(Hipótesis!$D$108-Hipótesis!$D$109,1)),0))</f>
        <v>1666.66666666667</v>
      </c>
      <c r="AW97" s="138" t="n">
        <f aca="false">IF(47&lt;=Hipótesis!$D$109,0,IF(AW96&gt;0,MIN(AW96,Hipótesis!$D$105/MAX(Hipótesis!$D$108-Hipótesis!$D$109,1)),0))</f>
        <v>1666.66666666667</v>
      </c>
      <c r="AX97" s="138" t="n">
        <f aca="false">IF(48&lt;=Hipótesis!$D$109,0,IF(AX96&gt;0,MIN(AX96,Hipótesis!$D$105/MAX(Hipótesis!$D$108-Hipótesis!$D$109,1)),0))</f>
        <v>1666.66666666667</v>
      </c>
      <c r="AY97" s="138" t="n">
        <f aca="false">IF(49&lt;=Hipótesis!$D$109,0,IF(AY96&gt;0,MIN(AY96,Hipótesis!$D$105/MAX(Hipótesis!$D$108-Hipótesis!$D$109,1)),0))</f>
        <v>1666.66666666667</v>
      </c>
      <c r="AZ97" s="138" t="n">
        <f aca="false">IF(50&lt;=Hipótesis!$D$109,0,IF(AZ96&gt;0,MIN(AZ96,Hipótesis!$D$105/MAX(Hipótesis!$D$108-Hipótesis!$D$109,1)),0))</f>
        <v>1666.66666666667</v>
      </c>
      <c r="BA97" s="138" t="n">
        <f aca="false">IF(51&lt;=Hipótesis!$D$109,0,IF(BA96&gt;0,MIN(BA96,Hipótesis!$D$105/MAX(Hipótesis!$D$108-Hipótesis!$D$109,1)),0))</f>
        <v>1666.66666666667</v>
      </c>
      <c r="BB97" s="138" t="n">
        <f aca="false">IF(52&lt;=Hipótesis!$D$109,0,IF(BB96&gt;0,MIN(BB96,Hipótesis!$D$105/MAX(Hipótesis!$D$108-Hipótesis!$D$109,1)),0))</f>
        <v>1666.66666666667</v>
      </c>
      <c r="BC97" s="138" t="n">
        <f aca="false">IF(53&lt;=Hipótesis!$D$109,0,IF(BC96&gt;0,MIN(BC96,Hipótesis!$D$105/MAX(Hipótesis!$D$108-Hipótesis!$D$109,1)),0))</f>
        <v>1666.66666666667</v>
      </c>
      <c r="BD97" s="138" t="n">
        <f aca="false">IF(54&lt;=Hipótesis!$D$109,0,IF(BD96&gt;0,MIN(BD96,Hipótesis!$D$105/MAX(Hipótesis!$D$108-Hipótesis!$D$109,1)),0))</f>
        <v>1666.66666666667</v>
      </c>
      <c r="BE97" s="138" t="n">
        <f aca="false">IF(55&lt;=Hipótesis!$D$109,0,IF(BE96&gt;0,MIN(BE96,Hipótesis!$D$105/MAX(Hipótesis!$D$108-Hipótesis!$D$109,1)),0))</f>
        <v>1666.66666666667</v>
      </c>
      <c r="BF97" s="138" t="n">
        <f aca="false">IF(56&lt;=Hipótesis!$D$109,0,IF(BF96&gt;0,MIN(BF96,Hipótesis!$D$105/MAX(Hipótesis!$D$108-Hipótesis!$D$109,1)),0))</f>
        <v>1666.66666666667</v>
      </c>
      <c r="BG97" s="138" t="n">
        <f aca="false">IF(57&lt;=Hipótesis!$D$109,0,IF(BG96&gt;0,MIN(BG96,Hipótesis!$D$105/MAX(Hipótesis!$D$108-Hipótesis!$D$109,1)),0))</f>
        <v>1666.66666666667</v>
      </c>
      <c r="BH97" s="138" t="n">
        <f aca="false">IF(58&lt;=Hipótesis!$D$109,0,IF(BH96&gt;0,MIN(BH96,Hipótesis!$D$105/MAX(Hipótesis!$D$108-Hipótesis!$D$109,1)),0))</f>
        <v>1666.66666666667</v>
      </c>
      <c r="BI97" s="138" t="n">
        <f aca="false">IF(59&lt;=Hipótesis!$D$109,0,IF(BI96&gt;0,MIN(BI96,Hipótesis!$D$105/MAX(Hipótesis!$D$108-Hipótesis!$D$109,1)),0))</f>
        <v>1666.66666666667</v>
      </c>
      <c r="BJ97" s="138" t="n">
        <f aca="false">IF(60&lt;=Hipótesis!$D$109,0,IF(BJ96&gt;0,MIN(BJ96,Hipótesis!$D$105/MAX(Hipótesis!$D$108-Hipótesis!$D$109,1)),0))</f>
        <v>1666.66666666667</v>
      </c>
      <c r="BK97" s="138" t="n">
        <f aca="false">IF(61&lt;=Hipótesis!$D$109,0,IF(BK96&gt;0,MIN(BK96,Hipótesis!$D$105/MAX(Hipótesis!$D$108-Hipótesis!$D$109,1)),0))</f>
        <v>1666.66666666667</v>
      </c>
      <c r="BL97" s="138" t="n">
        <f aca="false">IF(62&lt;=Hipótesis!$D$109,0,IF(BL96&gt;0,MIN(BL96,Hipótesis!$D$105/MAX(Hipótesis!$D$108-Hipótesis!$D$109,1)),0))</f>
        <v>1666.66666666667</v>
      </c>
      <c r="BM97" s="138" t="n">
        <f aca="false">IF(63&lt;=Hipótesis!$D$109,0,IF(BM96&gt;0,MIN(BM96,Hipótesis!$D$105/MAX(Hipótesis!$D$108-Hipótesis!$D$109,1)),0))</f>
        <v>1666.66666666667</v>
      </c>
      <c r="BN97" s="138" t="n">
        <f aca="false">IF(64&lt;=Hipótesis!$D$109,0,IF(BN96&gt;0,MIN(BN96,Hipótesis!$D$105/MAX(Hipótesis!$D$108-Hipótesis!$D$109,1)),0))</f>
        <v>1666.66666666667</v>
      </c>
      <c r="BO97" s="138" t="n">
        <f aca="false">IF(65&lt;=Hipótesis!$D$109,0,IF(BO96&gt;0,MIN(BO96,Hipótesis!$D$105/MAX(Hipótesis!$D$108-Hipótesis!$D$109,1)),0))</f>
        <v>1666.66666666667</v>
      </c>
      <c r="BP97" s="138" t="n">
        <f aca="false">IF(66&lt;=Hipótesis!$D$109,0,IF(BP96&gt;0,MIN(BP96,Hipótesis!$D$105/MAX(Hipótesis!$D$108-Hipótesis!$D$109,1)),0))</f>
        <v>1666.66666666667</v>
      </c>
      <c r="BQ97" s="138" t="n">
        <f aca="false">IF(67&lt;=Hipótesis!$D$109,0,IF(BQ96&gt;0,MIN(BQ96,Hipótesis!$D$105/MAX(Hipótesis!$D$108-Hipótesis!$D$109,1)),0))</f>
        <v>1666.66666666667</v>
      </c>
      <c r="BR97" s="138" t="n">
        <f aca="false">IF(68&lt;=Hipótesis!$D$109,0,IF(BR96&gt;0,MIN(BR96,Hipótesis!$D$105/MAX(Hipótesis!$D$108-Hipótesis!$D$109,1)),0))</f>
        <v>1666.66666666667</v>
      </c>
      <c r="BS97" s="138" t="n">
        <f aca="false">IF(69&lt;=Hipótesis!$D$109,0,IF(BS96&gt;0,MIN(BS96,Hipótesis!$D$105/MAX(Hipótesis!$D$108-Hipótesis!$D$109,1)),0))</f>
        <v>1666.66666666667</v>
      </c>
      <c r="BT97" s="138" t="n">
        <f aca="false">IF(70&lt;=Hipótesis!$D$109,0,IF(BT96&gt;0,MIN(BT96,Hipótesis!$D$105/MAX(Hipótesis!$D$108-Hipótesis!$D$109,1)),0))</f>
        <v>1666.66666666667</v>
      </c>
      <c r="BU97" s="138" t="n">
        <f aca="false">IF(71&lt;=Hipótesis!$D$109,0,IF(BU96&gt;0,MIN(BU96,Hipótesis!$D$105/MAX(Hipótesis!$D$108-Hipótesis!$D$109,1)),0))</f>
        <v>1666.66666666667</v>
      </c>
      <c r="BV97" s="138" t="n">
        <f aca="false">IF(72&lt;=Hipótesis!$D$109,0,IF(BV96&gt;0,MIN(BV96,Hipótesis!$D$105/MAX(Hipótesis!$D$108-Hipótesis!$D$109,1)),0))</f>
        <v>1666.66666666667</v>
      </c>
      <c r="BW97" s="138" t="n">
        <f aca="false">IF(73&lt;=Hipótesis!$D$109,0,IF(BW96&gt;0,MIN(BW96,Hipótesis!$D$105/MAX(Hipótesis!$D$108-Hipótesis!$D$109,1)),0))</f>
        <v>1666.66666666667</v>
      </c>
      <c r="BX97" s="138" t="n">
        <f aca="false">IF(74&lt;=Hipótesis!$D$109,0,IF(BX96&gt;0,MIN(BX96,Hipótesis!$D$105/MAX(Hipótesis!$D$108-Hipótesis!$D$109,1)),0))</f>
        <v>1666.66666666667</v>
      </c>
      <c r="BY97" s="138" t="n">
        <f aca="false">IF(75&lt;=Hipótesis!$D$109,0,IF(BY96&gt;0,MIN(BY96,Hipótesis!$D$105/MAX(Hipótesis!$D$108-Hipótesis!$D$109,1)),0))</f>
        <v>1666.66666666667</v>
      </c>
      <c r="BZ97" s="138" t="n">
        <f aca="false">IF(76&lt;=Hipótesis!$D$109,0,IF(BZ96&gt;0,MIN(BZ96,Hipótesis!$D$105/MAX(Hipótesis!$D$108-Hipótesis!$D$109,1)),0))</f>
        <v>1666.66666666667</v>
      </c>
      <c r="CA97" s="138" t="n">
        <f aca="false">IF(77&lt;=Hipótesis!$D$109,0,IF(CA96&gt;0,MIN(CA96,Hipótesis!$D$105/MAX(Hipótesis!$D$108-Hipótesis!$D$109,1)),0))</f>
        <v>1666.66666666667</v>
      </c>
      <c r="CB97" s="138" t="n">
        <f aca="false">IF(78&lt;=Hipótesis!$D$109,0,IF(CB96&gt;0,MIN(CB96,Hipótesis!$D$105/MAX(Hipótesis!$D$108-Hipótesis!$D$109,1)),0))</f>
        <v>1666.66666666667</v>
      </c>
      <c r="CC97" s="138" t="n">
        <f aca="false">IF(79&lt;=Hipótesis!$D$109,0,IF(CC96&gt;0,MIN(CC96,Hipótesis!$D$105/MAX(Hipótesis!$D$108-Hipótesis!$D$109,1)),0))</f>
        <v>1666.66666666667</v>
      </c>
      <c r="CD97" s="138" t="n">
        <f aca="false">IF(80&lt;=Hipótesis!$D$109,0,IF(CD96&gt;0,MIN(CD96,Hipótesis!$D$105/MAX(Hipótesis!$D$108-Hipótesis!$D$109,1)),0))</f>
        <v>1666.66666666667</v>
      </c>
      <c r="CE97" s="138" t="n">
        <f aca="false">IF(81&lt;=Hipótesis!$D$109,0,IF(CE96&gt;0,MIN(CE96,Hipótesis!$D$105/MAX(Hipótesis!$D$108-Hipótesis!$D$109,1)),0))</f>
        <v>1666.66666666667</v>
      </c>
      <c r="CF97" s="138" t="n">
        <f aca="false">IF(82&lt;=Hipótesis!$D$109,0,IF(CF96&gt;0,MIN(CF96,Hipótesis!$D$105/MAX(Hipótesis!$D$108-Hipótesis!$D$109,1)),0))</f>
        <v>1666.66666666667</v>
      </c>
      <c r="CG97" s="138" t="n">
        <f aca="false">IF(83&lt;=Hipótesis!$D$109,0,IF(CG96&gt;0,MIN(CG96,Hipótesis!$D$105/MAX(Hipótesis!$D$108-Hipótesis!$D$109,1)),0))</f>
        <v>1666.66666666667</v>
      </c>
      <c r="CH97" s="138" t="n">
        <f aca="false">IF(84&lt;=Hipótesis!$D$109,0,IF(CH96&gt;0,MIN(CH96,Hipótesis!$D$105/MAX(Hipótesis!$D$108-Hipótesis!$D$109,1)),0))</f>
        <v>1666.66666666661</v>
      </c>
    </row>
    <row r="98" customFormat="false" ht="13.5" hidden="false" customHeight="true" outlineLevel="0" collapsed="false">
      <c r="A98" s="13" t="s">
        <v>774</v>
      </c>
      <c r="C98" s="138" t="n">
        <f aca="false">C96*Hipótesis!$D$106/12+IF(C96&gt;0,Hipótesis!$D$107*MAX(0,C56),0)</f>
        <v>333.333333333333</v>
      </c>
      <c r="D98" s="138" t="n">
        <f aca="false">D96*Hipótesis!$D$106/12+IF(D96&gt;0,Hipótesis!$D$107*MAX(0,D56),0)</f>
        <v>333.333333333333</v>
      </c>
      <c r="E98" s="138" t="n">
        <f aca="false">E96*Hipótesis!$D$106/12+IF(E96&gt;0,Hipótesis!$D$107*MAX(0,E56),0)</f>
        <v>333.333333333333</v>
      </c>
      <c r="F98" s="138" t="n">
        <f aca="false">F96*Hipótesis!$D$106/12+IF(F96&gt;0,Hipótesis!$D$107*MAX(0,F56),0)</f>
        <v>333.333333333333</v>
      </c>
      <c r="G98" s="138" t="n">
        <f aca="false">G96*Hipótesis!$D$106/12+IF(G96&gt;0,Hipótesis!$D$107*MAX(0,G56),0)</f>
        <v>333.333333333333</v>
      </c>
      <c r="H98" s="138" t="n">
        <f aca="false">H96*Hipótesis!$D$106/12+IF(H96&gt;0,Hipótesis!$D$107*MAX(0,H56),0)</f>
        <v>333.333333333333</v>
      </c>
      <c r="I98" s="138" t="n">
        <f aca="false">I96*Hipótesis!$D$106/12+IF(I96&gt;0,Hipótesis!$D$107*MAX(0,I56),0)</f>
        <v>333.333333333333</v>
      </c>
      <c r="J98" s="138" t="n">
        <f aca="false">J96*Hipótesis!$D$106/12+IF(J96&gt;0,Hipótesis!$D$107*MAX(0,J56),0)</f>
        <v>333.333333333333</v>
      </c>
      <c r="K98" s="138" t="n">
        <f aca="false">K96*Hipótesis!$D$106/12+IF(K96&gt;0,Hipótesis!$D$107*MAX(0,K56),0)</f>
        <v>333.333333333333</v>
      </c>
      <c r="L98" s="138" t="n">
        <f aca="false">L96*Hipótesis!$D$106/12+IF(L96&gt;0,Hipótesis!$D$107*MAX(0,L56),0)</f>
        <v>373.694280821524</v>
      </c>
      <c r="M98" s="138" t="n">
        <f aca="false">M96*Hipótesis!$D$106/12+IF(M96&gt;0,Hipótesis!$D$107*MAX(0,M56),0)</f>
        <v>415.768862920863</v>
      </c>
      <c r="N98" s="138" t="n">
        <f aca="false">N96*Hipótesis!$D$106/12+IF(N96&gt;0,Hipótesis!$D$107*MAX(0,N56),0)</f>
        <v>422.735473687099</v>
      </c>
      <c r="O98" s="138" t="n">
        <f aca="false">O96*Hipótesis!$D$106/12+IF(O96&gt;0,Hipótesis!$D$107*MAX(0,O56),0)</f>
        <v>368.691684453335</v>
      </c>
      <c r="P98" s="138" t="n">
        <f aca="false">P96*Hipótesis!$D$106/12+IF(P96&gt;0,Hipótesis!$D$107*MAX(0,P56),0)</f>
        <v>416.579295102838</v>
      </c>
      <c r="Q98" s="138" t="n">
        <f aca="false">Q96*Hipótesis!$D$106/12+IF(Q96&gt;0,Hipótesis!$D$107*MAX(0,Q56),0)</f>
        <v>418.240505752341</v>
      </c>
      <c r="R98" s="138" t="n">
        <f aca="false">R96*Hipótesis!$D$106/12+IF(R96&gt;0,Hipótesis!$D$107*MAX(0,R56),0)</f>
        <v>466.128116401844</v>
      </c>
      <c r="S98" s="138" t="n">
        <f aca="false">S96*Hipótesis!$D$106/12+IF(S96&gt;0,Hipótesis!$D$107*MAX(0,S56),0)</f>
        <v>363.893286838975</v>
      </c>
      <c r="T98" s="138" t="n">
        <f aca="false">T96*Hipótesis!$D$106/12+IF(T96&gt;0,Hipótesis!$D$107*MAX(0,T56),0)</f>
        <v>515.67693770085</v>
      </c>
      <c r="U98" s="138" t="n">
        <f aca="false">U96*Hipótesis!$D$106/12+IF(U96&gt;0,Hipótesis!$D$107*MAX(0,U56),0)</f>
        <v>563.564548350353</v>
      </c>
      <c r="V98" s="138" t="n">
        <f aca="false">V96*Hipótesis!$D$106/12+IF(V96&gt;0,Hipótesis!$D$107*MAX(0,V56),0)</f>
        <v>557.068158999856</v>
      </c>
      <c r="W98" s="138" t="n">
        <f aca="false">W96*Hipótesis!$D$106/12+IF(W96&gt;0,Hipótesis!$D$107*MAX(0,W56),0)</f>
        <v>604.955769649359</v>
      </c>
      <c r="X98" s="138" t="n">
        <f aca="false">X96*Hipótesis!$D$106/12+IF(X96&gt;0,Hipótesis!$D$107*MAX(0,X56),0)</f>
        <v>596.844951631965</v>
      </c>
      <c r="Y98" s="138" t="n">
        <f aca="false">Y96*Hipótesis!$D$106/12+IF(Y96&gt;0,Hipótesis!$D$107*MAX(0,Y56),0)</f>
        <v>634.960533614571</v>
      </c>
      <c r="Z98" s="138" t="n">
        <f aca="false">Z96*Hipótesis!$D$106/12+IF(Z96&gt;0,Hipótesis!$D$107*MAX(0,Z56),0)</f>
        <v>669.590124130419</v>
      </c>
      <c r="AA98" s="138" t="n">
        <f aca="false">AA96*Hipótesis!$D$106/12+IF(AA96&gt;0,Hipótesis!$D$107*MAX(0,AA56),0)</f>
        <v>655.809506646266</v>
      </c>
      <c r="AB98" s="138" t="n">
        <f aca="false">AB96*Hipótesis!$D$106/12+IF(AB96&gt;0,Hipótesis!$D$107*MAX(0,AB56),0)</f>
        <v>684.883541606558</v>
      </c>
      <c r="AC98" s="138" t="n">
        <f aca="false">AC96*Hipótesis!$D$106/12+IF(AC96&gt;0,Hipótesis!$D$107*MAX(0,AC56),0)</f>
        <v>713.95757656685</v>
      </c>
      <c r="AD98" s="138" t="n">
        <f aca="false">AD96*Hipótesis!$D$106/12+IF(AD96&gt;0,Hipótesis!$D$107*MAX(0,AD56),0)</f>
        <v>743.031611527142</v>
      </c>
      <c r="AE98" s="138" t="n">
        <f aca="false">AE96*Hipótesis!$D$106/12+IF(AE96&gt;0,Hipótesis!$D$107*MAX(0,AE56),0)</f>
        <v>527.30854259574</v>
      </c>
      <c r="AF98" s="138" t="n">
        <f aca="false">AF96*Hipótesis!$D$106/12+IF(AF96&gt;0,Hipótesis!$D$107*MAX(0,AF56),0)</f>
        <v>753.566489447725</v>
      </c>
      <c r="AG98" s="138" t="n">
        <f aca="false">AG96*Hipótesis!$D$106/12+IF(AG96&gt;0,Hipótesis!$D$107*MAX(0,AG56),0)</f>
        <v>782.640524408017</v>
      </c>
      <c r="AH98" s="138" t="n">
        <f aca="false">AH96*Hipótesis!$D$106/12+IF(AH96&gt;0,Hipótesis!$D$107*MAX(0,AH56),0)</f>
        <v>811.714559368309</v>
      </c>
      <c r="AI98" s="138" t="n">
        <f aca="false">AI96*Hipótesis!$D$106/12+IF(AI96&gt;0,Hipótesis!$D$107*MAX(0,AI56),0)</f>
        <v>840.788594328601</v>
      </c>
      <c r="AJ98" s="138" t="n">
        <f aca="false">AJ96*Hipótesis!$D$106/12+IF(AJ96&gt;0,Hipótesis!$D$107*MAX(0,AJ56),0)</f>
        <v>869.862629288892</v>
      </c>
      <c r="AK98" s="138" t="n">
        <f aca="false">AK96*Hipótesis!$D$106/12+IF(AK96&gt;0,Hipótesis!$D$107*MAX(0,AK56),0)</f>
        <v>898.936664249185</v>
      </c>
      <c r="AL98" s="138" t="n">
        <f aca="false">AL96*Hipótesis!$D$106/12+IF(AL96&gt;0,Hipótesis!$D$107*MAX(0,AL56),0)</f>
        <v>928.010699209476</v>
      </c>
      <c r="AM98" s="138" t="n">
        <f aca="false">AM96*Hipótesis!$D$106/12+IF(AM96&gt;0,Hipótesis!$D$107*MAX(0,AM56),0)</f>
        <v>853.373292353995</v>
      </c>
      <c r="AN98" s="138" t="n">
        <f aca="false">AN96*Hipótesis!$D$106/12+IF(AN96&gt;0,Hipótesis!$D$107*MAX(0,AN56),0)</f>
        <v>875.402206080583</v>
      </c>
      <c r="AO98" s="138" t="n">
        <f aca="false">AO96*Hipótesis!$D$106/12+IF(AO96&gt;0,Hipótesis!$D$107*MAX(0,AO56),0)</f>
        <v>897.431119807169</v>
      </c>
      <c r="AP98" s="138" t="n">
        <f aca="false">AP96*Hipótesis!$D$106/12+IF(AP96&gt;0,Hipótesis!$D$107*MAX(0,AP56),0)</f>
        <v>919.460033533756</v>
      </c>
      <c r="AQ98" s="138" t="n">
        <f aca="false">AQ96*Hipótesis!$D$106/12+IF(AQ96&gt;0,Hipótesis!$D$107*MAX(0,AQ56),0)</f>
        <v>641.464956222379</v>
      </c>
      <c r="AR98" s="138" t="n">
        <f aca="false">AR96*Hipótesis!$D$106/12+IF(AR96&gt;0,Hipótesis!$D$107*MAX(0,AR56),0)</f>
        <v>963.51786098693</v>
      </c>
      <c r="AS98" s="138" t="n">
        <f aca="false">AS96*Hipótesis!$D$106/12+IF(AS96&gt;0,Hipótesis!$D$107*MAX(0,AS56),0)</f>
        <v>957.962305431375</v>
      </c>
      <c r="AT98" s="138" t="n">
        <f aca="false">AT96*Hipótesis!$D$106/12+IF(AT96&gt;0,Hipótesis!$D$107*MAX(0,AT56),0)</f>
        <v>952.406749875819</v>
      </c>
      <c r="AU98" s="138" t="n">
        <f aca="false">AU96*Hipótesis!$D$106/12+IF(AU96&gt;0,Hipótesis!$D$107*MAX(0,AU56),0)</f>
        <v>946.851194320263</v>
      </c>
      <c r="AV98" s="138" t="n">
        <f aca="false">AV96*Hipótesis!$D$106/12+IF(AV96&gt;0,Hipótesis!$D$107*MAX(0,AV56),0)</f>
        <v>941.295638764708</v>
      </c>
      <c r="AW98" s="138" t="n">
        <f aca="false">AW96*Hipótesis!$D$106/12+IF(AW96&gt;0,Hipótesis!$D$107*MAX(0,AW56),0)</f>
        <v>935.740083209152</v>
      </c>
      <c r="AX98" s="138" t="n">
        <f aca="false">AX96*Hipótesis!$D$106/12+IF(AX96&gt;0,Hipótesis!$D$107*MAX(0,AX56),0)</f>
        <v>930.184527653597</v>
      </c>
      <c r="AY98" s="138" t="n">
        <f aca="false">AY96*Hipótesis!$D$106/12+IF(AY96&gt;0,Hipótesis!$D$107*MAX(0,AY56),0)</f>
        <v>872.739727165241</v>
      </c>
      <c r="AZ98" s="138" t="n">
        <f aca="false">AZ96*Hipótesis!$D$106/12+IF(AZ96&gt;0,Hipótesis!$D$107*MAX(0,AZ56),0)</f>
        <v>867.184171609685</v>
      </c>
      <c r="BA98" s="138" t="n">
        <f aca="false">BA96*Hipótesis!$D$106/12+IF(BA96&gt;0,Hipótesis!$D$107*MAX(0,BA56),0)</f>
        <v>861.62861605413</v>
      </c>
      <c r="BB98" s="138" t="n">
        <f aca="false">BB96*Hipótesis!$D$106/12+IF(BB96&gt;0,Hipótesis!$D$107*MAX(0,BB56),0)</f>
        <v>856.073060498574</v>
      </c>
      <c r="BC98" s="138" t="n">
        <f aca="false">BC96*Hipótesis!$D$106/12+IF(BC96&gt;0,Hipótesis!$D$107*MAX(0,BC56),0)</f>
        <v>550.493513905055</v>
      </c>
      <c r="BD98" s="138" t="n">
        <f aca="false">BD96*Hipótesis!$D$106/12+IF(BD96&gt;0,Hipótesis!$D$107*MAX(0,BD56),0)</f>
        <v>844.961949387463</v>
      </c>
      <c r="BE98" s="138" t="n">
        <f aca="false">BE96*Hipótesis!$D$106/12+IF(BE96&gt;0,Hipótesis!$D$107*MAX(0,BE56),0)</f>
        <v>839.406393831908</v>
      </c>
      <c r="BF98" s="138" t="n">
        <f aca="false">BF96*Hipótesis!$D$106/12+IF(BF96&gt;0,Hipótesis!$D$107*MAX(0,BF56),0)</f>
        <v>833.850838276352</v>
      </c>
      <c r="BG98" s="138" t="n">
        <f aca="false">BG96*Hipótesis!$D$106/12+IF(BG96&gt;0,Hipótesis!$D$107*MAX(0,BG56),0)</f>
        <v>828.295282720797</v>
      </c>
      <c r="BH98" s="138" t="n">
        <f aca="false">BH96*Hipótesis!$D$106/12+IF(BH96&gt;0,Hipótesis!$D$107*MAX(0,BH56),0)</f>
        <v>822.739727165241</v>
      </c>
      <c r="BI98" s="138" t="n">
        <f aca="false">BI96*Hipótesis!$D$106/12+IF(BI96&gt;0,Hipótesis!$D$107*MAX(0,BI56),0)</f>
        <v>817.184171609686</v>
      </c>
      <c r="BJ98" s="138" t="n">
        <f aca="false">BJ96*Hipótesis!$D$106/12+IF(BJ96&gt;0,Hipótesis!$D$107*MAX(0,BJ56),0)</f>
        <v>811.62861605413</v>
      </c>
      <c r="BK98" s="138" t="n">
        <f aca="false">BK96*Hipótesis!$D$106/12+IF(BK96&gt;0,Hipótesis!$D$107*MAX(0,BK56),0)</f>
        <v>753.81513821779</v>
      </c>
      <c r="BL98" s="138" t="n">
        <f aca="false">BL96*Hipótesis!$D$106/12+IF(BL96&gt;0,Hipótesis!$D$107*MAX(0,BL56),0)</f>
        <v>748.259582662235</v>
      </c>
      <c r="BM98" s="138" t="n">
        <f aca="false">BM96*Hipótesis!$D$106/12+IF(BM96&gt;0,Hipótesis!$D$107*MAX(0,BM56),0)</f>
        <v>742.704027106679</v>
      </c>
      <c r="BN98" s="138" t="n">
        <f aca="false">BN96*Hipótesis!$D$106/12+IF(BN96&gt;0,Hipótesis!$D$107*MAX(0,BN56),0)</f>
        <v>737.148471551124</v>
      </c>
      <c r="BO98" s="138" t="n">
        <f aca="false">BO96*Hipótesis!$D$106/12+IF(BO96&gt;0,Hipótesis!$D$107*MAX(0,BO56),0)</f>
        <v>431.568924957604</v>
      </c>
      <c r="BP98" s="138" t="n">
        <f aca="false">BP96*Hipótesis!$D$106/12+IF(BP96&gt;0,Hipótesis!$D$107*MAX(0,BP56),0)</f>
        <v>726.037360440013</v>
      </c>
      <c r="BQ98" s="138" t="n">
        <f aca="false">BQ96*Hipótesis!$D$106/12+IF(BQ96&gt;0,Hipótesis!$D$107*MAX(0,BQ56),0)</f>
        <v>720.481804884457</v>
      </c>
      <c r="BR98" s="138" t="n">
        <f aca="false">BR96*Hipótesis!$D$106/12+IF(BR96&gt;0,Hipótesis!$D$107*MAX(0,BR56),0)</f>
        <v>714.926249328902</v>
      </c>
      <c r="BS98" s="138" t="n">
        <f aca="false">BS96*Hipótesis!$D$106/12+IF(BS96&gt;0,Hipótesis!$D$107*MAX(0,BS56),0)</f>
        <v>709.370693773346</v>
      </c>
      <c r="BT98" s="138" t="n">
        <f aca="false">BT96*Hipótesis!$D$106/12+IF(BT96&gt;0,Hipótesis!$D$107*MAX(0,BT56),0)</f>
        <v>703.81513821779</v>
      </c>
      <c r="BU98" s="138" t="n">
        <f aca="false">BU96*Hipótesis!$D$106/12+IF(BU96&gt;0,Hipótesis!$D$107*MAX(0,BU56),0)</f>
        <v>698.259582662235</v>
      </c>
      <c r="BV98" s="138" t="n">
        <f aca="false">BV96*Hipótesis!$D$106/12+IF(BV96&gt;0,Hipótesis!$D$107*MAX(0,BV56),0)</f>
        <v>692.704027106679</v>
      </c>
      <c r="BW98" s="138" t="n">
        <f aca="false">BW96*Hipótesis!$D$106/12+IF(BW96&gt;0,Hipótesis!$D$107*MAX(0,BW56),0)</f>
        <v>634.510811601916</v>
      </c>
      <c r="BX98" s="138" t="n">
        <f aca="false">BX96*Hipótesis!$D$106/12+IF(BX96&gt;0,Hipótesis!$D$107*MAX(0,BX56),0)</f>
        <v>628.955256046361</v>
      </c>
      <c r="BY98" s="138" t="n">
        <f aca="false">BY96*Hipótesis!$D$106/12+IF(BY96&gt;0,Hipótesis!$D$107*MAX(0,BY56),0)</f>
        <v>623.399700490805</v>
      </c>
      <c r="BZ98" s="138" t="n">
        <f aca="false">BZ96*Hipótesis!$D$106/12+IF(BZ96&gt;0,Hipótesis!$D$107*MAX(0,BZ56),0)</f>
        <v>617.84414493525</v>
      </c>
      <c r="CA98" s="138" t="n">
        <f aca="false">CA96*Hipótesis!$D$106/12+IF(CA96&gt;0,Hipótesis!$D$107*MAX(0,CA56),0)</f>
        <v>312.26459834173</v>
      </c>
      <c r="CB98" s="138" t="n">
        <f aca="false">CB96*Hipótesis!$D$106/12+IF(CB96&gt;0,Hipótesis!$D$107*MAX(0,CB56),0)</f>
        <v>606.733033824139</v>
      </c>
      <c r="CC98" s="138" t="n">
        <f aca="false">CC96*Hipótesis!$D$106/12+IF(CC96&gt;0,Hipótesis!$D$107*MAX(0,CC56),0)</f>
        <v>601.177478268583</v>
      </c>
      <c r="CD98" s="138" t="n">
        <f aca="false">CD96*Hipótesis!$D$106/12+IF(CD96&gt;0,Hipótesis!$D$107*MAX(0,CD56),0)</f>
        <v>595.621922713027</v>
      </c>
      <c r="CE98" s="138" t="n">
        <f aca="false">CE96*Hipótesis!$D$106/12+IF(CE96&gt;0,Hipótesis!$D$107*MAX(0,CE56),0)</f>
        <v>590.066367157472</v>
      </c>
      <c r="CF98" s="138" t="n">
        <f aca="false">CF96*Hipótesis!$D$106/12+IF(CF96&gt;0,Hipótesis!$D$107*MAX(0,CF56),0)</f>
        <v>584.510811601916</v>
      </c>
      <c r="CG98" s="138" t="n">
        <f aca="false">CG96*Hipótesis!$D$106/12+IF(CG96&gt;0,Hipótesis!$D$107*MAX(0,CG56),0)</f>
        <v>578.955256046361</v>
      </c>
      <c r="CH98" s="138" t="n">
        <f aca="false">CH96*Hipótesis!$D$106/12+IF(CH96&gt;0,Hipótesis!$D$107*MAX(0,CH56),0)</f>
        <v>573.399700490805</v>
      </c>
    </row>
    <row r="99" customFormat="false" ht="13.5" hidden="false" customHeight="true" outlineLevel="0" collapsed="false">
      <c r="A99" s="13" t="s">
        <v>775</v>
      </c>
      <c r="C99" s="138" t="n">
        <f aca="false">C97+C98</f>
        <v>333.333333333333</v>
      </c>
      <c r="D99" s="138" t="n">
        <f aca="false">D97+D98</f>
        <v>333.333333333333</v>
      </c>
      <c r="E99" s="138" t="n">
        <f aca="false">E97+E98</f>
        <v>333.333333333333</v>
      </c>
      <c r="F99" s="138" t="n">
        <f aca="false">F97+F98</f>
        <v>333.333333333333</v>
      </c>
      <c r="G99" s="138" t="n">
        <f aca="false">G97+G98</f>
        <v>333.333333333333</v>
      </c>
      <c r="H99" s="138" t="n">
        <f aca="false">H97+H98</f>
        <v>333.333333333333</v>
      </c>
      <c r="I99" s="138" t="n">
        <f aca="false">I97+I98</f>
        <v>333.333333333333</v>
      </c>
      <c r="J99" s="138" t="n">
        <f aca="false">J97+J98</f>
        <v>333.333333333333</v>
      </c>
      <c r="K99" s="138" t="n">
        <f aca="false">K97+K98</f>
        <v>333.333333333333</v>
      </c>
      <c r="L99" s="138" t="n">
        <f aca="false">L97+L98</f>
        <v>373.694280821524</v>
      </c>
      <c r="M99" s="138" t="n">
        <f aca="false">M97+M98</f>
        <v>415.768862920863</v>
      </c>
      <c r="N99" s="138" t="n">
        <f aca="false">N97+N98</f>
        <v>422.735473687099</v>
      </c>
      <c r="O99" s="138" t="n">
        <f aca="false">O97+O98</f>
        <v>368.691684453335</v>
      </c>
      <c r="P99" s="138" t="n">
        <f aca="false">P97+P98</f>
        <v>416.579295102838</v>
      </c>
      <c r="Q99" s="138" t="n">
        <f aca="false">Q97+Q98</f>
        <v>418.240505752341</v>
      </c>
      <c r="R99" s="138" t="n">
        <f aca="false">R97+R98</f>
        <v>466.128116401844</v>
      </c>
      <c r="S99" s="138" t="n">
        <f aca="false">S97+S98</f>
        <v>363.893286838975</v>
      </c>
      <c r="T99" s="138" t="n">
        <f aca="false">T97+T98</f>
        <v>515.67693770085</v>
      </c>
      <c r="U99" s="138" t="n">
        <f aca="false">U97+U98</f>
        <v>563.564548350353</v>
      </c>
      <c r="V99" s="138" t="n">
        <f aca="false">V97+V98</f>
        <v>557.068158999856</v>
      </c>
      <c r="W99" s="138" t="n">
        <f aca="false">W97+W98</f>
        <v>604.955769649359</v>
      </c>
      <c r="X99" s="138" t="n">
        <f aca="false">X97+X98</f>
        <v>596.844951631965</v>
      </c>
      <c r="Y99" s="138" t="n">
        <f aca="false">Y97+Y98</f>
        <v>634.960533614571</v>
      </c>
      <c r="Z99" s="138" t="n">
        <f aca="false">Z97+Z98</f>
        <v>669.590124130419</v>
      </c>
      <c r="AA99" s="138" t="n">
        <f aca="false">AA97+AA98</f>
        <v>2322.47617331293</v>
      </c>
      <c r="AB99" s="138" t="n">
        <f aca="false">AB97+AB98</f>
        <v>2351.55020827322</v>
      </c>
      <c r="AC99" s="138" t="n">
        <f aca="false">AC97+AC98</f>
        <v>2380.62424323352</v>
      </c>
      <c r="AD99" s="138" t="n">
        <f aca="false">AD97+AD98</f>
        <v>2409.69827819381</v>
      </c>
      <c r="AE99" s="138" t="n">
        <f aca="false">AE97+AE98</f>
        <v>2193.97520926241</v>
      </c>
      <c r="AF99" s="138" t="n">
        <f aca="false">AF97+AF98</f>
        <v>2420.23315611439</v>
      </c>
      <c r="AG99" s="138" t="n">
        <f aca="false">AG97+AG98</f>
        <v>2449.30719107468</v>
      </c>
      <c r="AH99" s="138" t="n">
        <f aca="false">AH97+AH98</f>
        <v>2478.38122603498</v>
      </c>
      <c r="AI99" s="138" t="n">
        <f aca="false">AI97+AI98</f>
        <v>2507.45526099527</v>
      </c>
      <c r="AJ99" s="138" t="n">
        <f aca="false">AJ97+AJ98</f>
        <v>2536.52929595556</v>
      </c>
      <c r="AK99" s="138" t="n">
        <f aca="false">AK97+AK98</f>
        <v>2565.60333091585</v>
      </c>
      <c r="AL99" s="138" t="n">
        <f aca="false">AL97+AL98</f>
        <v>2594.67736587614</v>
      </c>
      <c r="AM99" s="138" t="n">
        <f aca="false">AM97+AM98</f>
        <v>2520.03995902066</v>
      </c>
      <c r="AN99" s="138" t="n">
        <f aca="false">AN97+AN98</f>
        <v>2542.06887274725</v>
      </c>
      <c r="AO99" s="138" t="n">
        <f aca="false">AO97+AO98</f>
        <v>2564.09778647384</v>
      </c>
      <c r="AP99" s="138" t="n">
        <f aca="false">AP97+AP98</f>
        <v>2586.12670020042</v>
      </c>
      <c r="AQ99" s="138" t="n">
        <f aca="false">AQ97+AQ98</f>
        <v>2308.13162288905</v>
      </c>
      <c r="AR99" s="138" t="n">
        <f aca="false">AR97+AR98</f>
        <v>2630.1845276536</v>
      </c>
      <c r="AS99" s="138" t="n">
        <f aca="false">AS97+AS98</f>
        <v>2624.62897209804</v>
      </c>
      <c r="AT99" s="138" t="n">
        <f aca="false">AT97+AT98</f>
        <v>2619.07341654249</v>
      </c>
      <c r="AU99" s="138" t="n">
        <f aca="false">AU97+AU98</f>
        <v>2613.51786098693</v>
      </c>
      <c r="AV99" s="138" t="n">
        <f aca="false">AV97+AV98</f>
        <v>2607.96230543137</v>
      </c>
      <c r="AW99" s="138" t="n">
        <f aca="false">AW97+AW98</f>
        <v>2602.40674987582</v>
      </c>
      <c r="AX99" s="138" t="n">
        <f aca="false">AX97+AX98</f>
        <v>2596.85119432026</v>
      </c>
      <c r="AY99" s="138" t="n">
        <f aca="false">AY97+AY98</f>
        <v>2539.40639383191</v>
      </c>
      <c r="AZ99" s="138" t="n">
        <f aca="false">AZ97+AZ98</f>
        <v>2533.85083827635</v>
      </c>
      <c r="BA99" s="138" t="n">
        <f aca="false">BA97+BA98</f>
        <v>2528.2952827208</v>
      </c>
      <c r="BB99" s="138" t="n">
        <f aca="false">BB97+BB98</f>
        <v>2522.73972716524</v>
      </c>
      <c r="BC99" s="138" t="n">
        <f aca="false">BC97+BC98</f>
        <v>2217.16018057172</v>
      </c>
      <c r="BD99" s="138" t="n">
        <f aca="false">BD97+BD98</f>
        <v>2511.62861605413</v>
      </c>
      <c r="BE99" s="138" t="n">
        <f aca="false">BE97+BE98</f>
        <v>2506.07306049857</v>
      </c>
      <c r="BF99" s="138" t="n">
        <f aca="false">BF97+BF98</f>
        <v>2500.51750494302</v>
      </c>
      <c r="BG99" s="138" t="n">
        <f aca="false">BG97+BG98</f>
        <v>2494.96194938746</v>
      </c>
      <c r="BH99" s="138" t="n">
        <f aca="false">BH97+BH98</f>
        <v>2489.40639383191</v>
      </c>
      <c r="BI99" s="138" t="n">
        <f aca="false">BI97+BI98</f>
        <v>2483.85083827635</v>
      </c>
      <c r="BJ99" s="138" t="n">
        <f aca="false">BJ97+BJ98</f>
        <v>2478.2952827208</v>
      </c>
      <c r="BK99" s="138" t="n">
        <f aca="false">BK97+BK98</f>
        <v>2420.48180488446</v>
      </c>
      <c r="BL99" s="138" t="n">
        <f aca="false">BL97+BL98</f>
        <v>2414.9262493289</v>
      </c>
      <c r="BM99" s="138" t="n">
        <f aca="false">BM97+BM98</f>
        <v>2409.37069377335</v>
      </c>
      <c r="BN99" s="138" t="n">
        <f aca="false">BN97+BN98</f>
        <v>2403.81513821779</v>
      </c>
      <c r="BO99" s="138" t="n">
        <f aca="false">BO97+BO98</f>
        <v>2098.23559162427</v>
      </c>
      <c r="BP99" s="138" t="n">
        <f aca="false">BP97+BP98</f>
        <v>2392.70402710668</v>
      </c>
      <c r="BQ99" s="138" t="n">
        <f aca="false">BQ97+BQ98</f>
        <v>2387.14847155112</v>
      </c>
      <c r="BR99" s="138" t="n">
        <f aca="false">BR97+BR98</f>
        <v>2381.59291599557</v>
      </c>
      <c r="BS99" s="138" t="n">
        <f aca="false">BS97+BS98</f>
        <v>2376.03736044001</v>
      </c>
      <c r="BT99" s="138" t="n">
        <f aca="false">BT97+BT98</f>
        <v>2370.48180488446</v>
      </c>
      <c r="BU99" s="138" t="n">
        <f aca="false">BU97+BU98</f>
        <v>2364.9262493289</v>
      </c>
      <c r="BV99" s="138" t="n">
        <f aca="false">BV97+BV98</f>
        <v>2359.37069377335</v>
      </c>
      <c r="BW99" s="138" t="n">
        <f aca="false">BW97+BW98</f>
        <v>2301.17747826858</v>
      </c>
      <c r="BX99" s="138" t="n">
        <f aca="false">BX97+BX98</f>
        <v>2295.62192271303</v>
      </c>
      <c r="BY99" s="138" t="n">
        <f aca="false">BY97+BY98</f>
        <v>2290.06636715747</v>
      </c>
      <c r="BZ99" s="138" t="n">
        <f aca="false">BZ97+BZ98</f>
        <v>2284.51081160192</v>
      </c>
      <c r="CA99" s="138" t="n">
        <f aca="false">CA97+CA98</f>
        <v>1978.9312650084</v>
      </c>
      <c r="CB99" s="138" t="n">
        <f aca="false">CB97+CB98</f>
        <v>2273.39970049081</v>
      </c>
      <c r="CC99" s="138" t="n">
        <f aca="false">CC97+CC98</f>
        <v>2267.84414493525</v>
      </c>
      <c r="CD99" s="138" t="n">
        <f aca="false">CD97+CD98</f>
        <v>2262.28858937969</v>
      </c>
      <c r="CE99" s="138" t="n">
        <f aca="false">CE97+CE98</f>
        <v>2256.73303382414</v>
      </c>
      <c r="CF99" s="138" t="n">
        <f aca="false">CF97+CF98</f>
        <v>2251.17747826858</v>
      </c>
      <c r="CG99" s="138" t="n">
        <f aca="false">CG97+CG98</f>
        <v>2245.62192271303</v>
      </c>
      <c r="CH99" s="138" t="n">
        <f aca="false">CH97+CH98</f>
        <v>2240.06636715741</v>
      </c>
    </row>
    <row r="100" customFormat="false" ht="13.5" hidden="false" customHeight="true" outlineLevel="0" collapsed="false"/>
    <row r="101" customFormat="false" ht="13.5" hidden="false" customHeight="true" outlineLevel="0" collapsed="false">
      <c r="A101" s="13" t="s">
        <v>776</v>
      </c>
      <c r="C101" s="138" t="n">
        <f aca="false">Hipótesis!$D$113*(1-Hipótesis!$D$117)</f>
        <v>0</v>
      </c>
      <c r="D101" s="138" t="n">
        <f aca="false">C101-C102</f>
        <v>0</v>
      </c>
      <c r="E101" s="138" t="n">
        <f aca="false">D101-D102</f>
        <v>0</v>
      </c>
      <c r="F101" s="138" t="n">
        <f aca="false">E101-E102</f>
        <v>0</v>
      </c>
      <c r="G101" s="138" t="n">
        <f aca="false">F101-F102</f>
        <v>0</v>
      </c>
      <c r="H101" s="138" t="n">
        <f aca="false">G101-G102</f>
        <v>0</v>
      </c>
      <c r="I101" s="138" t="n">
        <f aca="false">H101-H102</f>
        <v>0</v>
      </c>
      <c r="J101" s="138" t="n">
        <f aca="false">I101-I102</f>
        <v>0</v>
      </c>
      <c r="K101" s="138" t="n">
        <f aca="false">J101-J102</f>
        <v>0</v>
      </c>
      <c r="L101" s="138" t="n">
        <f aca="false">K101-K102</f>
        <v>0</v>
      </c>
      <c r="M101" s="138" t="n">
        <f aca="false">L101-L102</f>
        <v>0</v>
      </c>
      <c r="N101" s="138" t="n">
        <f aca="false">M101-M102</f>
        <v>0</v>
      </c>
      <c r="O101" s="138" t="n">
        <f aca="false">N101-N102</f>
        <v>0</v>
      </c>
      <c r="P101" s="138" t="n">
        <f aca="false">O101-O102</f>
        <v>0</v>
      </c>
      <c r="Q101" s="138" t="n">
        <f aca="false">P101-P102</f>
        <v>0</v>
      </c>
      <c r="R101" s="138" t="n">
        <f aca="false">Q101-Q102</f>
        <v>0</v>
      </c>
      <c r="S101" s="138" t="n">
        <f aca="false">R101-R102</f>
        <v>0</v>
      </c>
      <c r="T101" s="138" t="n">
        <f aca="false">S101-S102</f>
        <v>0</v>
      </c>
      <c r="U101" s="138" t="n">
        <f aca="false">T101-T102</f>
        <v>0</v>
      </c>
      <c r="V101" s="138" t="n">
        <f aca="false">U101-U102</f>
        <v>0</v>
      </c>
      <c r="W101" s="138" t="n">
        <f aca="false">V101-V102</f>
        <v>0</v>
      </c>
      <c r="X101" s="138" t="n">
        <f aca="false">W101-W102</f>
        <v>0</v>
      </c>
      <c r="Y101" s="138" t="n">
        <f aca="false">X101-X102</f>
        <v>0</v>
      </c>
      <c r="Z101" s="138" t="n">
        <f aca="false">Y101-Y102</f>
        <v>0</v>
      </c>
      <c r="AA101" s="138" t="n">
        <f aca="false">Z101-Z102</f>
        <v>0</v>
      </c>
      <c r="AB101" s="138" t="n">
        <f aca="false">AA101-AA102</f>
        <v>0</v>
      </c>
      <c r="AC101" s="138" t="n">
        <f aca="false">AB101-AB102</f>
        <v>0</v>
      </c>
      <c r="AD101" s="138" t="n">
        <f aca="false">AC101-AC102</f>
        <v>0</v>
      </c>
      <c r="AE101" s="138" t="n">
        <f aca="false">AD101-AD102</f>
        <v>0</v>
      </c>
      <c r="AF101" s="138" t="n">
        <f aca="false">AE101-AE102</f>
        <v>0</v>
      </c>
      <c r="AG101" s="138" t="n">
        <f aca="false">AF101-AF102</f>
        <v>0</v>
      </c>
      <c r="AH101" s="138" t="n">
        <f aca="false">AG101-AG102</f>
        <v>0</v>
      </c>
      <c r="AI101" s="138" t="n">
        <f aca="false">AH101-AH102</f>
        <v>0</v>
      </c>
      <c r="AJ101" s="138" t="n">
        <f aca="false">AI101-AI102</f>
        <v>0</v>
      </c>
      <c r="AK101" s="138" t="n">
        <f aca="false">AJ101-AJ102</f>
        <v>0</v>
      </c>
      <c r="AL101" s="138" t="n">
        <f aca="false">AK101-AK102</f>
        <v>0</v>
      </c>
      <c r="AM101" s="138" t="n">
        <f aca="false">AL101-AL102</f>
        <v>0</v>
      </c>
      <c r="AN101" s="138" t="n">
        <f aca="false">AM101-AM102</f>
        <v>0</v>
      </c>
      <c r="AO101" s="138" t="n">
        <f aca="false">AN101-AN102</f>
        <v>0</v>
      </c>
      <c r="AP101" s="138" t="n">
        <f aca="false">AO101-AO102</f>
        <v>0</v>
      </c>
      <c r="AQ101" s="138" t="n">
        <f aca="false">AP101-AP102</f>
        <v>0</v>
      </c>
      <c r="AR101" s="138" t="n">
        <f aca="false">AQ101-AQ102</f>
        <v>0</v>
      </c>
      <c r="AS101" s="138" t="n">
        <f aca="false">AR101-AR102</f>
        <v>0</v>
      </c>
      <c r="AT101" s="138" t="n">
        <f aca="false">AS101-AS102</f>
        <v>0</v>
      </c>
      <c r="AU101" s="138" t="n">
        <f aca="false">AT101-AT102</f>
        <v>0</v>
      </c>
      <c r="AV101" s="138" t="n">
        <f aca="false">AU101-AU102</f>
        <v>0</v>
      </c>
      <c r="AW101" s="138" t="n">
        <f aca="false">AV101-AV102</f>
        <v>0</v>
      </c>
      <c r="AX101" s="138" t="n">
        <f aca="false">AW101-AW102</f>
        <v>0</v>
      </c>
      <c r="AY101" s="138" t="n">
        <f aca="false">AX101-AX102</f>
        <v>0</v>
      </c>
      <c r="AZ101" s="138" t="n">
        <f aca="false">AY101-AY102</f>
        <v>0</v>
      </c>
      <c r="BA101" s="138" t="n">
        <f aca="false">AZ101-AZ102</f>
        <v>0</v>
      </c>
      <c r="BB101" s="138" t="n">
        <f aca="false">BA101-BA102</f>
        <v>0</v>
      </c>
      <c r="BC101" s="138" t="n">
        <f aca="false">BB101-BB102</f>
        <v>0</v>
      </c>
      <c r="BD101" s="138" t="n">
        <f aca="false">BC101-BC102</f>
        <v>0</v>
      </c>
      <c r="BE101" s="138" t="n">
        <f aca="false">BD101-BD102</f>
        <v>0</v>
      </c>
      <c r="BF101" s="138" t="n">
        <f aca="false">BE101-BE102</f>
        <v>0</v>
      </c>
      <c r="BG101" s="138" t="n">
        <f aca="false">BF101-BF102</f>
        <v>0</v>
      </c>
      <c r="BH101" s="138" t="n">
        <f aca="false">BG101-BG102</f>
        <v>0</v>
      </c>
      <c r="BI101" s="138" t="n">
        <f aca="false">BH101-BH102</f>
        <v>0</v>
      </c>
      <c r="BJ101" s="138" t="n">
        <f aca="false">BI101-BI102</f>
        <v>0</v>
      </c>
      <c r="BK101" s="138" t="n">
        <f aca="false">BJ101-BJ102</f>
        <v>0</v>
      </c>
      <c r="BL101" s="138" t="n">
        <f aca="false">BK101-BK102</f>
        <v>0</v>
      </c>
      <c r="BM101" s="138" t="n">
        <f aca="false">BL101-BL102</f>
        <v>0</v>
      </c>
      <c r="BN101" s="138" t="n">
        <f aca="false">BM101-BM102</f>
        <v>0</v>
      </c>
      <c r="BO101" s="138" t="n">
        <f aca="false">BN101-BN102</f>
        <v>0</v>
      </c>
      <c r="BP101" s="138" t="n">
        <f aca="false">BO101-BO102</f>
        <v>0</v>
      </c>
      <c r="BQ101" s="138" t="n">
        <f aca="false">BP101-BP102</f>
        <v>0</v>
      </c>
      <c r="BR101" s="138" t="n">
        <f aca="false">BQ101-BQ102</f>
        <v>0</v>
      </c>
      <c r="BS101" s="138" t="n">
        <f aca="false">BR101-BR102</f>
        <v>0</v>
      </c>
      <c r="BT101" s="138" t="n">
        <f aca="false">BS101-BS102</f>
        <v>0</v>
      </c>
      <c r="BU101" s="138" t="n">
        <f aca="false">BT101-BT102</f>
        <v>0</v>
      </c>
      <c r="BV101" s="138" t="n">
        <f aca="false">BU101-BU102</f>
        <v>0</v>
      </c>
      <c r="BW101" s="138" t="n">
        <f aca="false">BV101-BV102</f>
        <v>0</v>
      </c>
      <c r="BX101" s="138" t="n">
        <f aca="false">BW101-BW102</f>
        <v>0</v>
      </c>
      <c r="BY101" s="138" t="n">
        <f aca="false">BX101-BX102</f>
        <v>0</v>
      </c>
      <c r="BZ101" s="138" t="n">
        <f aca="false">BY101-BY102</f>
        <v>0</v>
      </c>
      <c r="CA101" s="138" t="n">
        <f aca="false">BZ101-BZ102</f>
        <v>0</v>
      </c>
      <c r="CB101" s="138" t="n">
        <f aca="false">CA101-CA102</f>
        <v>0</v>
      </c>
      <c r="CC101" s="138" t="n">
        <f aca="false">CB101-CB102</f>
        <v>0</v>
      </c>
      <c r="CD101" s="138" t="n">
        <f aca="false">CC101-CC102</f>
        <v>0</v>
      </c>
      <c r="CE101" s="138" t="n">
        <f aca="false">CD101-CD102</f>
        <v>0</v>
      </c>
      <c r="CF101" s="138" t="n">
        <f aca="false">CE101-CE102</f>
        <v>0</v>
      </c>
      <c r="CG101" s="138" t="n">
        <f aca="false">CF101-CF102</f>
        <v>0</v>
      </c>
      <c r="CH101" s="138" t="n">
        <f aca="false">CG101-CG102</f>
        <v>0</v>
      </c>
    </row>
    <row r="102" customFormat="false" ht="13.5" hidden="false" customHeight="true" outlineLevel="0" collapsed="false">
      <c r="A102" s="13" t="s">
        <v>777</v>
      </c>
      <c r="C102" s="138" t="n">
        <f aca="false">IF(1&lt;=Hipótesis!$D$116,0,IF(C101&gt;0,MIN(C101,Hipótesis!$D$113*(1-Hipótesis!$D$117)/MAX(Hipótesis!$D$115-Hipótesis!$D$116,1)),0))</f>
        <v>0</v>
      </c>
      <c r="D102" s="138" t="n">
        <f aca="false">IF(2&lt;=Hipótesis!$D$116,0,IF(D101&gt;0,MIN(D101,Hipótesis!$D$113*(1-Hipótesis!$D$117)/MAX(Hipótesis!$D$115-Hipótesis!$D$116,1)),0))</f>
        <v>0</v>
      </c>
      <c r="E102" s="138" t="n">
        <f aca="false">IF(3&lt;=Hipótesis!$D$116,0,IF(E101&gt;0,MIN(E101,Hipótesis!$D$113*(1-Hipótesis!$D$117)/MAX(Hipótesis!$D$115-Hipótesis!$D$116,1)),0))</f>
        <v>0</v>
      </c>
      <c r="F102" s="138" t="n">
        <f aca="false">IF(4&lt;=Hipótesis!$D$116,0,IF(F101&gt;0,MIN(F101,Hipótesis!$D$113*(1-Hipótesis!$D$117)/MAX(Hipótesis!$D$115-Hipótesis!$D$116,1)),0))</f>
        <v>0</v>
      </c>
      <c r="G102" s="138" t="n">
        <f aca="false">IF(5&lt;=Hipótesis!$D$116,0,IF(G101&gt;0,MIN(G101,Hipótesis!$D$113*(1-Hipótesis!$D$117)/MAX(Hipótesis!$D$115-Hipótesis!$D$116,1)),0))</f>
        <v>0</v>
      </c>
      <c r="H102" s="138" t="n">
        <f aca="false">IF(6&lt;=Hipótesis!$D$116,0,IF(H101&gt;0,MIN(H101,Hipótesis!$D$113*(1-Hipótesis!$D$117)/MAX(Hipótesis!$D$115-Hipótesis!$D$116,1)),0))</f>
        <v>0</v>
      </c>
      <c r="I102" s="138" t="n">
        <f aca="false">IF(7&lt;=Hipótesis!$D$116,0,IF(I101&gt;0,MIN(I101,Hipótesis!$D$113*(1-Hipótesis!$D$117)/MAX(Hipótesis!$D$115-Hipótesis!$D$116,1)),0))</f>
        <v>0</v>
      </c>
      <c r="J102" s="138" t="n">
        <f aca="false">IF(8&lt;=Hipótesis!$D$116,0,IF(J101&gt;0,MIN(J101,Hipótesis!$D$113*(1-Hipótesis!$D$117)/MAX(Hipótesis!$D$115-Hipótesis!$D$116,1)),0))</f>
        <v>0</v>
      </c>
      <c r="K102" s="138" t="n">
        <f aca="false">IF(9&lt;=Hipótesis!$D$116,0,IF(K101&gt;0,MIN(K101,Hipótesis!$D$113*(1-Hipótesis!$D$117)/MAX(Hipótesis!$D$115-Hipótesis!$D$116,1)),0))</f>
        <v>0</v>
      </c>
      <c r="L102" s="138" t="n">
        <f aca="false">IF(10&lt;=Hipótesis!$D$116,0,IF(L101&gt;0,MIN(L101,Hipótesis!$D$113*(1-Hipótesis!$D$117)/MAX(Hipótesis!$D$115-Hipótesis!$D$116,1)),0))</f>
        <v>0</v>
      </c>
      <c r="M102" s="138" t="n">
        <f aca="false">IF(11&lt;=Hipótesis!$D$116,0,IF(M101&gt;0,MIN(M101,Hipótesis!$D$113*(1-Hipótesis!$D$117)/MAX(Hipótesis!$D$115-Hipótesis!$D$116,1)),0))</f>
        <v>0</v>
      </c>
      <c r="N102" s="138" t="n">
        <f aca="false">IF(12&lt;=Hipótesis!$D$116,0,IF(N101&gt;0,MIN(N101,Hipótesis!$D$113*(1-Hipótesis!$D$117)/MAX(Hipótesis!$D$115-Hipótesis!$D$116,1)),0))</f>
        <v>0</v>
      </c>
      <c r="O102" s="138" t="n">
        <f aca="false">IF(13&lt;=Hipótesis!$D$116,0,IF(O101&gt;0,MIN(O101,Hipótesis!$D$113*(1-Hipótesis!$D$117)/MAX(Hipótesis!$D$115-Hipótesis!$D$116,1)),0))</f>
        <v>0</v>
      </c>
      <c r="P102" s="138" t="n">
        <f aca="false">IF(14&lt;=Hipótesis!$D$116,0,IF(P101&gt;0,MIN(P101,Hipótesis!$D$113*(1-Hipótesis!$D$117)/MAX(Hipótesis!$D$115-Hipótesis!$D$116,1)),0))</f>
        <v>0</v>
      </c>
      <c r="Q102" s="138" t="n">
        <f aca="false">IF(15&lt;=Hipótesis!$D$116,0,IF(Q101&gt;0,MIN(Q101,Hipótesis!$D$113*(1-Hipótesis!$D$117)/MAX(Hipótesis!$D$115-Hipótesis!$D$116,1)),0))</f>
        <v>0</v>
      </c>
      <c r="R102" s="138" t="n">
        <f aca="false">IF(16&lt;=Hipótesis!$D$116,0,IF(R101&gt;0,MIN(R101,Hipótesis!$D$113*(1-Hipótesis!$D$117)/MAX(Hipótesis!$D$115-Hipótesis!$D$116,1)),0))</f>
        <v>0</v>
      </c>
      <c r="S102" s="138" t="n">
        <f aca="false">IF(17&lt;=Hipótesis!$D$116,0,IF(S101&gt;0,MIN(S101,Hipótesis!$D$113*(1-Hipótesis!$D$117)/MAX(Hipótesis!$D$115-Hipótesis!$D$116,1)),0))</f>
        <v>0</v>
      </c>
      <c r="T102" s="138" t="n">
        <f aca="false">IF(18&lt;=Hipótesis!$D$116,0,IF(T101&gt;0,MIN(T101,Hipótesis!$D$113*(1-Hipótesis!$D$117)/MAX(Hipótesis!$D$115-Hipótesis!$D$116,1)),0))</f>
        <v>0</v>
      </c>
      <c r="U102" s="138" t="n">
        <f aca="false">IF(19&lt;=Hipótesis!$D$116,0,IF(U101&gt;0,MIN(U101,Hipótesis!$D$113*(1-Hipótesis!$D$117)/MAX(Hipótesis!$D$115-Hipótesis!$D$116,1)),0))</f>
        <v>0</v>
      </c>
      <c r="V102" s="138" t="n">
        <f aca="false">IF(20&lt;=Hipótesis!$D$116,0,IF(V101&gt;0,MIN(V101,Hipótesis!$D$113*(1-Hipótesis!$D$117)/MAX(Hipótesis!$D$115-Hipótesis!$D$116,1)),0))</f>
        <v>0</v>
      </c>
      <c r="W102" s="138" t="n">
        <f aca="false">IF(21&lt;=Hipótesis!$D$116,0,IF(W101&gt;0,MIN(W101,Hipótesis!$D$113*(1-Hipótesis!$D$117)/MAX(Hipótesis!$D$115-Hipótesis!$D$116,1)),0))</f>
        <v>0</v>
      </c>
      <c r="X102" s="138" t="n">
        <f aca="false">IF(22&lt;=Hipótesis!$D$116,0,IF(X101&gt;0,MIN(X101,Hipótesis!$D$113*(1-Hipótesis!$D$117)/MAX(Hipótesis!$D$115-Hipótesis!$D$116,1)),0))</f>
        <v>0</v>
      </c>
      <c r="Y102" s="138" t="n">
        <f aca="false">IF(23&lt;=Hipótesis!$D$116,0,IF(Y101&gt;0,MIN(Y101,Hipótesis!$D$113*(1-Hipótesis!$D$117)/MAX(Hipótesis!$D$115-Hipótesis!$D$116,1)),0))</f>
        <v>0</v>
      </c>
      <c r="Z102" s="138" t="n">
        <f aca="false">IF(24&lt;=Hipótesis!$D$116,0,IF(Z101&gt;0,MIN(Z101,Hipótesis!$D$113*(1-Hipótesis!$D$117)/MAX(Hipótesis!$D$115-Hipótesis!$D$116,1)),0))</f>
        <v>0</v>
      </c>
      <c r="AA102" s="138" t="n">
        <f aca="false">IF(25&lt;=Hipótesis!$D$116,0,IF(AA101&gt;0,MIN(AA101,Hipótesis!$D$113*(1-Hipótesis!$D$117)/MAX(Hipótesis!$D$115-Hipótesis!$D$116,1)),0))</f>
        <v>0</v>
      </c>
      <c r="AB102" s="138" t="n">
        <f aca="false">IF(26&lt;=Hipótesis!$D$116,0,IF(AB101&gt;0,MIN(AB101,Hipótesis!$D$113*(1-Hipótesis!$D$117)/MAX(Hipótesis!$D$115-Hipótesis!$D$116,1)),0))</f>
        <v>0</v>
      </c>
      <c r="AC102" s="138" t="n">
        <f aca="false">IF(27&lt;=Hipótesis!$D$116,0,IF(AC101&gt;0,MIN(AC101,Hipótesis!$D$113*(1-Hipótesis!$D$117)/MAX(Hipótesis!$D$115-Hipótesis!$D$116,1)),0))</f>
        <v>0</v>
      </c>
      <c r="AD102" s="138" t="n">
        <f aca="false">IF(28&lt;=Hipótesis!$D$116,0,IF(AD101&gt;0,MIN(AD101,Hipótesis!$D$113*(1-Hipótesis!$D$117)/MAX(Hipótesis!$D$115-Hipótesis!$D$116,1)),0))</f>
        <v>0</v>
      </c>
      <c r="AE102" s="138" t="n">
        <f aca="false">IF(29&lt;=Hipótesis!$D$116,0,IF(AE101&gt;0,MIN(AE101,Hipótesis!$D$113*(1-Hipótesis!$D$117)/MAX(Hipótesis!$D$115-Hipótesis!$D$116,1)),0))</f>
        <v>0</v>
      </c>
      <c r="AF102" s="138" t="n">
        <f aca="false">IF(30&lt;=Hipótesis!$D$116,0,IF(AF101&gt;0,MIN(AF101,Hipótesis!$D$113*(1-Hipótesis!$D$117)/MAX(Hipótesis!$D$115-Hipótesis!$D$116,1)),0))</f>
        <v>0</v>
      </c>
      <c r="AG102" s="138" t="n">
        <f aca="false">IF(31&lt;=Hipótesis!$D$116,0,IF(AG101&gt;0,MIN(AG101,Hipótesis!$D$113*(1-Hipótesis!$D$117)/MAX(Hipótesis!$D$115-Hipótesis!$D$116,1)),0))</f>
        <v>0</v>
      </c>
      <c r="AH102" s="138" t="n">
        <f aca="false">IF(32&lt;=Hipótesis!$D$116,0,IF(AH101&gt;0,MIN(AH101,Hipótesis!$D$113*(1-Hipótesis!$D$117)/MAX(Hipótesis!$D$115-Hipótesis!$D$116,1)),0))</f>
        <v>0</v>
      </c>
      <c r="AI102" s="138" t="n">
        <f aca="false">IF(33&lt;=Hipótesis!$D$116,0,IF(AI101&gt;0,MIN(AI101,Hipótesis!$D$113*(1-Hipótesis!$D$117)/MAX(Hipótesis!$D$115-Hipótesis!$D$116,1)),0))</f>
        <v>0</v>
      </c>
      <c r="AJ102" s="138" t="n">
        <f aca="false">IF(34&lt;=Hipótesis!$D$116,0,IF(AJ101&gt;0,MIN(AJ101,Hipótesis!$D$113*(1-Hipótesis!$D$117)/MAX(Hipótesis!$D$115-Hipótesis!$D$116,1)),0))</f>
        <v>0</v>
      </c>
      <c r="AK102" s="138" t="n">
        <f aca="false">IF(35&lt;=Hipótesis!$D$116,0,IF(AK101&gt;0,MIN(AK101,Hipótesis!$D$113*(1-Hipótesis!$D$117)/MAX(Hipótesis!$D$115-Hipótesis!$D$116,1)),0))</f>
        <v>0</v>
      </c>
      <c r="AL102" s="138" t="n">
        <f aca="false">IF(36&lt;=Hipótesis!$D$116,0,IF(AL101&gt;0,MIN(AL101,Hipótesis!$D$113*(1-Hipótesis!$D$117)/MAX(Hipótesis!$D$115-Hipótesis!$D$116,1)),0))</f>
        <v>0</v>
      </c>
      <c r="AM102" s="138" t="n">
        <f aca="false">IF(37&lt;=Hipótesis!$D$116,0,IF(AM101&gt;0,MIN(AM101,Hipótesis!$D$113*(1-Hipótesis!$D$117)/MAX(Hipótesis!$D$115-Hipótesis!$D$116,1)),0))</f>
        <v>0</v>
      </c>
      <c r="AN102" s="138" t="n">
        <f aca="false">IF(38&lt;=Hipótesis!$D$116,0,IF(AN101&gt;0,MIN(AN101,Hipótesis!$D$113*(1-Hipótesis!$D$117)/MAX(Hipótesis!$D$115-Hipótesis!$D$116,1)),0))</f>
        <v>0</v>
      </c>
      <c r="AO102" s="138" t="n">
        <f aca="false">IF(39&lt;=Hipótesis!$D$116,0,IF(AO101&gt;0,MIN(AO101,Hipótesis!$D$113*(1-Hipótesis!$D$117)/MAX(Hipótesis!$D$115-Hipótesis!$D$116,1)),0))</f>
        <v>0</v>
      </c>
      <c r="AP102" s="138" t="n">
        <f aca="false">IF(40&lt;=Hipótesis!$D$116,0,IF(AP101&gt;0,MIN(AP101,Hipótesis!$D$113*(1-Hipótesis!$D$117)/MAX(Hipótesis!$D$115-Hipótesis!$D$116,1)),0))</f>
        <v>0</v>
      </c>
      <c r="AQ102" s="138" t="n">
        <f aca="false">IF(41&lt;=Hipótesis!$D$116,0,IF(AQ101&gt;0,MIN(AQ101,Hipótesis!$D$113*(1-Hipótesis!$D$117)/MAX(Hipótesis!$D$115-Hipótesis!$D$116,1)),0))</f>
        <v>0</v>
      </c>
      <c r="AR102" s="138" t="n">
        <f aca="false">IF(42&lt;=Hipótesis!$D$116,0,IF(AR101&gt;0,MIN(AR101,Hipótesis!$D$113*(1-Hipótesis!$D$117)/MAX(Hipótesis!$D$115-Hipótesis!$D$116,1)),0))</f>
        <v>0</v>
      </c>
      <c r="AS102" s="138" t="n">
        <f aca="false">IF(43&lt;=Hipótesis!$D$116,0,IF(AS101&gt;0,MIN(AS101,Hipótesis!$D$113*(1-Hipótesis!$D$117)/MAX(Hipótesis!$D$115-Hipótesis!$D$116,1)),0))</f>
        <v>0</v>
      </c>
      <c r="AT102" s="138" t="n">
        <f aca="false">IF(44&lt;=Hipótesis!$D$116,0,IF(AT101&gt;0,MIN(AT101,Hipótesis!$D$113*(1-Hipótesis!$D$117)/MAX(Hipótesis!$D$115-Hipótesis!$D$116,1)),0))</f>
        <v>0</v>
      </c>
      <c r="AU102" s="138" t="n">
        <f aca="false">IF(45&lt;=Hipótesis!$D$116,0,IF(AU101&gt;0,MIN(AU101,Hipótesis!$D$113*(1-Hipótesis!$D$117)/MAX(Hipótesis!$D$115-Hipótesis!$D$116,1)),0))</f>
        <v>0</v>
      </c>
      <c r="AV102" s="138" t="n">
        <f aca="false">IF(46&lt;=Hipótesis!$D$116,0,IF(AV101&gt;0,MIN(AV101,Hipótesis!$D$113*(1-Hipótesis!$D$117)/MAX(Hipótesis!$D$115-Hipótesis!$D$116,1)),0))</f>
        <v>0</v>
      </c>
      <c r="AW102" s="138" t="n">
        <f aca="false">IF(47&lt;=Hipótesis!$D$116,0,IF(AW101&gt;0,MIN(AW101,Hipótesis!$D$113*(1-Hipótesis!$D$117)/MAX(Hipótesis!$D$115-Hipótesis!$D$116,1)),0))</f>
        <v>0</v>
      </c>
      <c r="AX102" s="138" t="n">
        <f aca="false">IF(48&lt;=Hipótesis!$D$116,0,IF(AX101&gt;0,MIN(AX101,Hipótesis!$D$113*(1-Hipótesis!$D$117)/MAX(Hipótesis!$D$115-Hipótesis!$D$116,1)),0))</f>
        <v>0</v>
      </c>
      <c r="AY102" s="138" t="n">
        <f aca="false">IF(49&lt;=Hipótesis!$D$116,0,IF(AY101&gt;0,MIN(AY101,Hipótesis!$D$113*(1-Hipótesis!$D$117)/MAX(Hipótesis!$D$115-Hipótesis!$D$116,1)),0))</f>
        <v>0</v>
      </c>
      <c r="AZ102" s="138" t="n">
        <f aca="false">IF(50&lt;=Hipótesis!$D$116,0,IF(AZ101&gt;0,MIN(AZ101,Hipótesis!$D$113*(1-Hipótesis!$D$117)/MAX(Hipótesis!$D$115-Hipótesis!$D$116,1)),0))</f>
        <v>0</v>
      </c>
      <c r="BA102" s="138" t="n">
        <f aca="false">IF(51&lt;=Hipótesis!$D$116,0,IF(BA101&gt;0,MIN(BA101,Hipótesis!$D$113*(1-Hipótesis!$D$117)/MAX(Hipótesis!$D$115-Hipótesis!$D$116,1)),0))</f>
        <v>0</v>
      </c>
      <c r="BB102" s="138" t="n">
        <f aca="false">IF(52&lt;=Hipótesis!$D$116,0,IF(BB101&gt;0,MIN(BB101,Hipótesis!$D$113*(1-Hipótesis!$D$117)/MAX(Hipótesis!$D$115-Hipótesis!$D$116,1)),0))</f>
        <v>0</v>
      </c>
      <c r="BC102" s="138" t="n">
        <f aca="false">IF(53&lt;=Hipótesis!$D$116,0,IF(BC101&gt;0,MIN(BC101,Hipótesis!$D$113*(1-Hipótesis!$D$117)/MAX(Hipótesis!$D$115-Hipótesis!$D$116,1)),0))</f>
        <v>0</v>
      </c>
      <c r="BD102" s="138" t="n">
        <f aca="false">IF(54&lt;=Hipótesis!$D$116,0,IF(BD101&gt;0,MIN(BD101,Hipótesis!$D$113*(1-Hipótesis!$D$117)/MAX(Hipótesis!$D$115-Hipótesis!$D$116,1)),0))</f>
        <v>0</v>
      </c>
      <c r="BE102" s="138" t="n">
        <f aca="false">IF(55&lt;=Hipótesis!$D$116,0,IF(BE101&gt;0,MIN(BE101,Hipótesis!$D$113*(1-Hipótesis!$D$117)/MAX(Hipótesis!$D$115-Hipótesis!$D$116,1)),0))</f>
        <v>0</v>
      </c>
      <c r="BF102" s="138" t="n">
        <f aca="false">IF(56&lt;=Hipótesis!$D$116,0,IF(BF101&gt;0,MIN(BF101,Hipótesis!$D$113*(1-Hipótesis!$D$117)/MAX(Hipótesis!$D$115-Hipótesis!$D$116,1)),0))</f>
        <v>0</v>
      </c>
      <c r="BG102" s="138" t="n">
        <f aca="false">IF(57&lt;=Hipótesis!$D$116,0,IF(BG101&gt;0,MIN(BG101,Hipótesis!$D$113*(1-Hipótesis!$D$117)/MAX(Hipótesis!$D$115-Hipótesis!$D$116,1)),0))</f>
        <v>0</v>
      </c>
      <c r="BH102" s="138" t="n">
        <f aca="false">IF(58&lt;=Hipótesis!$D$116,0,IF(BH101&gt;0,MIN(BH101,Hipótesis!$D$113*(1-Hipótesis!$D$117)/MAX(Hipótesis!$D$115-Hipótesis!$D$116,1)),0))</f>
        <v>0</v>
      </c>
      <c r="BI102" s="138" t="n">
        <f aca="false">IF(59&lt;=Hipótesis!$D$116,0,IF(BI101&gt;0,MIN(BI101,Hipótesis!$D$113*(1-Hipótesis!$D$117)/MAX(Hipótesis!$D$115-Hipótesis!$D$116,1)),0))</f>
        <v>0</v>
      </c>
      <c r="BJ102" s="138" t="n">
        <f aca="false">IF(60&lt;=Hipótesis!$D$116,0,IF(BJ101&gt;0,MIN(BJ101,Hipótesis!$D$113*(1-Hipótesis!$D$117)/MAX(Hipótesis!$D$115-Hipótesis!$D$116,1)),0))</f>
        <v>0</v>
      </c>
      <c r="BK102" s="138" t="n">
        <f aca="false">IF(61&lt;=Hipótesis!$D$116,0,IF(BK101&gt;0,MIN(BK101,Hipótesis!$D$113*(1-Hipótesis!$D$117)/MAX(Hipótesis!$D$115-Hipótesis!$D$116,1)),0))</f>
        <v>0</v>
      </c>
      <c r="BL102" s="138" t="n">
        <f aca="false">IF(62&lt;=Hipótesis!$D$116,0,IF(BL101&gt;0,MIN(BL101,Hipótesis!$D$113*(1-Hipótesis!$D$117)/MAX(Hipótesis!$D$115-Hipótesis!$D$116,1)),0))</f>
        <v>0</v>
      </c>
      <c r="BM102" s="138" t="n">
        <f aca="false">IF(63&lt;=Hipótesis!$D$116,0,IF(BM101&gt;0,MIN(BM101,Hipótesis!$D$113*(1-Hipótesis!$D$117)/MAX(Hipótesis!$D$115-Hipótesis!$D$116,1)),0))</f>
        <v>0</v>
      </c>
      <c r="BN102" s="138" t="n">
        <f aca="false">IF(64&lt;=Hipótesis!$D$116,0,IF(BN101&gt;0,MIN(BN101,Hipótesis!$D$113*(1-Hipótesis!$D$117)/MAX(Hipótesis!$D$115-Hipótesis!$D$116,1)),0))</f>
        <v>0</v>
      </c>
      <c r="BO102" s="138" t="n">
        <f aca="false">IF(65&lt;=Hipótesis!$D$116,0,IF(BO101&gt;0,MIN(BO101,Hipótesis!$D$113*(1-Hipótesis!$D$117)/MAX(Hipótesis!$D$115-Hipótesis!$D$116,1)),0))</f>
        <v>0</v>
      </c>
      <c r="BP102" s="138" t="n">
        <f aca="false">IF(66&lt;=Hipótesis!$D$116,0,IF(BP101&gt;0,MIN(BP101,Hipótesis!$D$113*(1-Hipótesis!$D$117)/MAX(Hipótesis!$D$115-Hipótesis!$D$116,1)),0))</f>
        <v>0</v>
      </c>
      <c r="BQ102" s="138" t="n">
        <f aca="false">IF(67&lt;=Hipótesis!$D$116,0,IF(BQ101&gt;0,MIN(BQ101,Hipótesis!$D$113*(1-Hipótesis!$D$117)/MAX(Hipótesis!$D$115-Hipótesis!$D$116,1)),0))</f>
        <v>0</v>
      </c>
      <c r="BR102" s="138" t="n">
        <f aca="false">IF(68&lt;=Hipótesis!$D$116,0,IF(BR101&gt;0,MIN(BR101,Hipótesis!$D$113*(1-Hipótesis!$D$117)/MAX(Hipótesis!$D$115-Hipótesis!$D$116,1)),0))</f>
        <v>0</v>
      </c>
      <c r="BS102" s="138" t="n">
        <f aca="false">IF(69&lt;=Hipótesis!$D$116,0,IF(BS101&gt;0,MIN(BS101,Hipótesis!$D$113*(1-Hipótesis!$D$117)/MAX(Hipótesis!$D$115-Hipótesis!$D$116,1)),0))</f>
        <v>0</v>
      </c>
      <c r="BT102" s="138" t="n">
        <f aca="false">IF(70&lt;=Hipótesis!$D$116,0,IF(BT101&gt;0,MIN(BT101,Hipótesis!$D$113*(1-Hipótesis!$D$117)/MAX(Hipótesis!$D$115-Hipótesis!$D$116,1)),0))</f>
        <v>0</v>
      </c>
      <c r="BU102" s="138" t="n">
        <f aca="false">IF(71&lt;=Hipótesis!$D$116,0,IF(BU101&gt;0,MIN(BU101,Hipótesis!$D$113*(1-Hipótesis!$D$117)/MAX(Hipótesis!$D$115-Hipótesis!$D$116,1)),0))</f>
        <v>0</v>
      </c>
      <c r="BV102" s="138" t="n">
        <f aca="false">IF(72&lt;=Hipótesis!$D$116,0,IF(BV101&gt;0,MIN(BV101,Hipótesis!$D$113*(1-Hipótesis!$D$117)/MAX(Hipótesis!$D$115-Hipótesis!$D$116,1)),0))</f>
        <v>0</v>
      </c>
      <c r="BW102" s="138" t="n">
        <f aca="false">IF(73&lt;=Hipótesis!$D$116,0,IF(BW101&gt;0,MIN(BW101,Hipótesis!$D$113*(1-Hipótesis!$D$117)/MAX(Hipótesis!$D$115-Hipótesis!$D$116,1)),0))</f>
        <v>0</v>
      </c>
      <c r="BX102" s="138" t="n">
        <f aca="false">IF(74&lt;=Hipótesis!$D$116,0,IF(BX101&gt;0,MIN(BX101,Hipótesis!$D$113*(1-Hipótesis!$D$117)/MAX(Hipótesis!$D$115-Hipótesis!$D$116,1)),0))</f>
        <v>0</v>
      </c>
      <c r="BY102" s="138" t="n">
        <f aca="false">IF(75&lt;=Hipótesis!$D$116,0,IF(BY101&gt;0,MIN(BY101,Hipótesis!$D$113*(1-Hipótesis!$D$117)/MAX(Hipótesis!$D$115-Hipótesis!$D$116,1)),0))</f>
        <v>0</v>
      </c>
      <c r="BZ102" s="138" t="n">
        <f aca="false">IF(76&lt;=Hipótesis!$D$116,0,IF(BZ101&gt;0,MIN(BZ101,Hipótesis!$D$113*(1-Hipótesis!$D$117)/MAX(Hipótesis!$D$115-Hipótesis!$D$116,1)),0))</f>
        <v>0</v>
      </c>
      <c r="CA102" s="138" t="n">
        <f aca="false">IF(77&lt;=Hipótesis!$D$116,0,IF(CA101&gt;0,MIN(CA101,Hipótesis!$D$113*(1-Hipótesis!$D$117)/MAX(Hipótesis!$D$115-Hipótesis!$D$116,1)),0))</f>
        <v>0</v>
      </c>
      <c r="CB102" s="138" t="n">
        <f aca="false">IF(78&lt;=Hipótesis!$D$116,0,IF(CB101&gt;0,MIN(CB101,Hipótesis!$D$113*(1-Hipótesis!$D$117)/MAX(Hipótesis!$D$115-Hipótesis!$D$116,1)),0))</f>
        <v>0</v>
      </c>
      <c r="CC102" s="138" t="n">
        <f aca="false">IF(79&lt;=Hipótesis!$D$116,0,IF(CC101&gt;0,MIN(CC101,Hipótesis!$D$113*(1-Hipótesis!$D$117)/MAX(Hipótesis!$D$115-Hipótesis!$D$116,1)),0))</f>
        <v>0</v>
      </c>
      <c r="CD102" s="138" t="n">
        <f aca="false">IF(80&lt;=Hipótesis!$D$116,0,IF(CD101&gt;0,MIN(CD101,Hipótesis!$D$113*(1-Hipótesis!$D$117)/MAX(Hipótesis!$D$115-Hipótesis!$D$116,1)),0))</f>
        <v>0</v>
      </c>
      <c r="CE102" s="138" t="n">
        <f aca="false">IF(81&lt;=Hipótesis!$D$116,0,IF(CE101&gt;0,MIN(CE101,Hipótesis!$D$113*(1-Hipótesis!$D$117)/MAX(Hipótesis!$D$115-Hipótesis!$D$116,1)),0))</f>
        <v>0</v>
      </c>
      <c r="CF102" s="138" t="n">
        <f aca="false">IF(82&lt;=Hipótesis!$D$116,0,IF(CF101&gt;0,MIN(CF101,Hipótesis!$D$113*(1-Hipótesis!$D$117)/MAX(Hipótesis!$D$115-Hipótesis!$D$116,1)),0))</f>
        <v>0</v>
      </c>
      <c r="CG102" s="138" t="n">
        <f aca="false">IF(83&lt;=Hipótesis!$D$116,0,IF(CG101&gt;0,MIN(CG101,Hipótesis!$D$113*(1-Hipótesis!$D$117)/MAX(Hipótesis!$D$115-Hipótesis!$D$116,1)),0))</f>
        <v>0</v>
      </c>
      <c r="CH102" s="138" t="n">
        <f aca="false">IF(84&lt;=Hipótesis!$D$116,0,IF(CH101&gt;0,MIN(CH101,Hipótesis!$D$113*(1-Hipótesis!$D$117)/MAX(Hipótesis!$D$115-Hipótesis!$D$116,1)),0))</f>
        <v>0</v>
      </c>
    </row>
    <row r="103" customFormat="false" ht="13.5" hidden="false" customHeight="true" outlineLevel="0" collapsed="false">
      <c r="A103" s="13" t="s">
        <v>778</v>
      </c>
      <c r="C103" s="138" t="n">
        <f aca="false">C101*Hipótesis!$D$114/12</f>
        <v>0</v>
      </c>
      <c r="D103" s="138" t="n">
        <f aca="false">D101*Hipótesis!$D$114/12</f>
        <v>0</v>
      </c>
      <c r="E103" s="138" t="n">
        <f aca="false">E101*Hipótesis!$D$114/12</f>
        <v>0</v>
      </c>
      <c r="F103" s="138" t="n">
        <f aca="false">F101*Hipótesis!$D$114/12</f>
        <v>0</v>
      </c>
      <c r="G103" s="138" t="n">
        <f aca="false">G101*Hipótesis!$D$114/12</f>
        <v>0</v>
      </c>
      <c r="H103" s="138" t="n">
        <f aca="false">H101*Hipótesis!$D$114/12</f>
        <v>0</v>
      </c>
      <c r="I103" s="138" t="n">
        <f aca="false">I101*Hipótesis!$D$114/12</f>
        <v>0</v>
      </c>
      <c r="J103" s="138" t="n">
        <f aca="false">J101*Hipótesis!$D$114/12</f>
        <v>0</v>
      </c>
      <c r="K103" s="138" t="n">
        <f aca="false">K101*Hipótesis!$D$114/12</f>
        <v>0</v>
      </c>
      <c r="L103" s="138" t="n">
        <f aca="false">L101*Hipótesis!$D$114/12</f>
        <v>0</v>
      </c>
      <c r="M103" s="138" t="n">
        <f aca="false">M101*Hipótesis!$D$114/12</f>
        <v>0</v>
      </c>
      <c r="N103" s="138" t="n">
        <f aca="false">N101*Hipótesis!$D$114/12</f>
        <v>0</v>
      </c>
      <c r="O103" s="138" t="n">
        <f aca="false">O101*Hipótesis!$D$114/12</f>
        <v>0</v>
      </c>
      <c r="P103" s="138" t="n">
        <f aca="false">P101*Hipótesis!$D$114/12</f>
        <v>0</v>
      </c>
      <c r="Q103" s="138" t="n">
        <f aca="false">Q101*Hipótesis!$D$114/12</f>
        <v>0</v>
      </c>
      <c r="R103" s="138" t="n">
        <f aca="false">R101*Hipótesis!$D$114/12</f>
        <v>0</v>
      </c>
      <c r="S103" s="138" t="n">
        <f aca="false">S101*Hipótesis!$D$114/12</f>
        <v>0</v>
      </c>
      <c r="T103" s="138" t="n">
        <f aca="false">T101*Hipótesis!$D$114/12</f>
        <v>0</v>
      </c>
      <c r="U103" s="138" t="n">
        <f aca="false">U101*Hipótesis!$D$114/12</f>
        <v>0</v>
      </c>
      <c r="V103" s="138" t="n">
        <f aca="false">V101*Hipótesis!$D$114/12</f>
        <v>0</v>
      </c>
      <c r="W103" s="138" t="n">
        <f aca="false">W101*Hipótesis!$D$114/12</f>
        <v>0</v>
      </c>
      <c r="X103" s="138" t="n">
        <f aca="false">X101*Hipótesis!$D$114/12</f>
        <v>0</v>
      </c>
      <c r="Y103" s="138" t="n">
        <f aca="false">Y101*Hipótesis!$D$114/12</f>
        <v>0</v>
      </c>
      <c r="Z103" s="138" t="n">
        <f aca="false">Z101*Hipótesis!$D$114/12</f>
        <v>0</v>
      </c>
      <c r="AA103" s="138" t="n">
        <f aca="false">AA101*Hipótesis!$D$114/12</f>
        <v>0</v>
      </c>
      <c r="AB103" s="138" t="n">
        <f aca="false">AB101*Hipótesis!$D$114/12</f>
        <v>0</v>
      </c>
      <c r="AC103" s="138" t="n">
        <f aca="false">AC101*Hipótesis!$D$114/12</f>
        <v>0</v>
      </c>
      <c r="AD103" s="138" t="n">
        <f aca="false">AD101*Hipótesis!$D$114/12</f>
        <v>0</v>
      </c>
      <c r="AE103" s="138" t="n">
        <f aca="false">AE101*Hipótesis!$D$114/12</f>
        <v>0</v>
      </c>
      <c r="AF103" s="138" t="n">
        <f aca="false">AF101*Hipótesis!$D$114/12</f>
        <v>0</v>
      </c>
      <c r="AG103" s="138" t="n">
        <f aca="false">AG101*Hipótesis!$D$114/12</f>
        <v>0</v>
      </c>
      <c r="AH103" s="138" t="n">
        <f aca="false">AH101*Hipótesis!$D$114/12</f>
        <v>0</v>
      </c>
      <c r="AI103" s="138" t="n">
        <f aca="false">AI101*Hipótesis!$D$114/12</f>
        <v>0</v>
      </c>
      <c r="AJ103" s="138" t="n">
        <f aca="false">AJ101*Hipótesis!$D$114/12</f>
        <v>0</v>
      </c>
      <c r="AK103" s="138" t="n">
        <f aca="false">AK101*Hipótesis!$D$114/12</f>
        <v>0</v>
      </c>
      <c r="AL103" s="138" t="n">
        <f aca="false">AL101*Hipótesis!$D$114/12</f>
        <v>0</v>
      </c>
      <c r="AM103" s="138" t="n">
        <f aca="false">AM101*Hipótesis!$D$114/12</f>
        <v>0</v>
      </c>
      <c r="AN103" s="138" t="n">
        <f aca="false">AN101*Hipótesis!$D$114/12</f>
        <v>0</v>
      </c>
      <c r="AO103" s="138" t="n">
        <f aca="false">AO101*Hipótesis!$D$114/12</f>
        <v>0</v>
      </c>
      <c r="AP103" s="138" t="n">
        <f aca="false">AP101*Hipótesis!$D$114/12</f>
        <v>0</v>
      </c>
      <c r="AQ103" s="138" t="n">
        <f aca="false">AQ101*Hipótesis!$D$114/12</f>
        <v>0</v>
      </c>
      <c r="AR103" s="138" t="n">
        <f aca="false">AR101*Hipótesis!$D$114/12</f>
        <v>0</v>
      </c>
      <c r="AS103" s="138" t="n">
        <f aca="false">AS101*Hipótesis!$D$114/12</f>
        <v>0</v>
      </c>
      <c r="AT103" s="138" t="n">
        <f aca="false">AT101*Hipótesis!$D$114/12</f>
        <v>0</v>
      </c>
      <c r="AU103" s="138" t="n">
        <f aca="false">AU101*Hipótesis!$D$114/12</f>
        <v>0</v>
      </c>
      <c r="AV103" s="138" t="n">
        <f aca="false">AV101*Hipótesis!$D$114/12</f>
        <v>0</v>
      </c>
      <c r="AW103" s="138" t="n">
        <f aca="false">AW101*Hipótesis!$D$114/12</f>
        <v>0</v>
      </c>
      <c r="AX103" s="138" t="n">
        <f aca="false">AX101*Hipótesis!$D$114/12</f>
        <v>0</v>
      </c>
      <c r="AY103" s="138" t="n">
        <f aca="false">AY101*Hipótesis!$D$114/12</f>
        <v>0</v>
      </c>
      <c r="AZ103" s="138" t="n">
        <f aca="false">AZ101*Hipótesis!$D$114/12</f>
        <v>0</v>
      </c>
      <c r="BA103" s="138" t="n">
        <f aca="false">BA101*Hipótesis!$D$114/12</f>
        <v>0</v>
      </c>
      <c r="BB103" s="138" t="n">
        <f aca="false">BB101*Hipótesis!$D$114/12</f>
        <v>0</v>
      </c>
      <c r="BC103" s="138" t="n">
        <f aca="false">BC101*Hipótesis!$D$114/12</f>
        <v>0</v>
      </c>
      <c r="BD103" s="138" t="n">
        <f aca="false">BD101*Hipótesis!$D$114/12</f>
        <v>0</v>
      </c>
      <c r="BE103" s="138" t="n">
        <f aca="false">BE101*Hipótesis!$D$114/12</f>
        <v>0</v>
      </c>
      <c r="BF103" s="138" t="n">
        <f aca="false">BF101*Hipótesis!$D$114/12</f>
        <v>0</v>
      </c>
      <c r="BG103" s="138" t="n">
        <f aca="false">BG101*Hipótesis!$D$114/12</f>
        <v>0</v>
      </c>
      <c r="BH103" s="138" t="n">
        <f aca="false">BH101*Hipótesis!$D$114/12</f>
        <v>0</v>
      </c>
      <c r="BI103" s="138" t="n">
        <f aca="false">BI101*Hipótesis!$D$114/12</f>
        <v>0</v>
      </c>
      <c r="BJ103" s="138" t="n">
        <f aca="false">BJ101*Hipótesis!$D$114/12</f>
        <v>0</v>
      </c>
      <c r="BK103" s="138" t="n">
        <f aca="false">BK101*Hipótesis!$D$114/12</f>
        <v>0</v>
      </c>
      <c r="BL103" s="138" t="n">
        <f aca="false">BL101*Hipótesis!$D$114/12</f>
        <v>0</v>
      </c>
      <c r="BM103" s="138" t="n">
        <f aca="false">BM101*Hipótesis!$D$114/12</f>
        <v>0</v>
      </c>
      <c r="BN103" s="138" t="n">
        <f aca="false">BN101*Hipótesis!$D$114/12</f>
        <v>0</v>
      </c>
      <c r="BO103" s="138" t="n">
        <f aca="false">BO101*Hipótesis!$D$114/12</f>
        <v>0</v>
      </c>
      <c r="BP103" s="138" t="n">
        <f aca="false">BP101*Hipótesis!$D$114/12</f>
        <v>0</v>
      </c>
      <c r="BQ103" s="138" t="n">
        <f aca="false">BQ101*Hipótesis!$D$114/12</f>
        <v>0</v>
      </c>
      <c r="BR103" s="138" t="n">
        <f aca="false">BR101*Hipótesis!$D$114/12</f>
        <v>0</v>
      </c>
      <c r="BS103" s="138" t="n">
        <f aca="false">BS101*Hipótesis!$D$114/12</f>
        <v>0</v>
      </c>
      <c r="BT103" s="138" t="n">
        <f aca="false">BT101*Hipótesis!$D$114/12</f>
        <v>0</v>
      </c>
      <c r="BU103" s="138" t="n">
        <f aca="false">BU101*Hipótesis!$D$114/12</f>
        <v>0</v>
      </c>
      <c r="BV103" s="138" t="n">
        <f aca="false">BV101*Hipótesis!$D$114/12</f>
        <v>0</v>
      </c>
      <c r="BW103" s="138" t="n">
        <f aca="false">BW101*Hipótesis!$D$114/12</f>
        <v>0</v>
      </c>
      <c r="BX103" s="138" t="n">
        <f aca="false">BX101*Hipótesis!$D$114/12</f>
        <v>0</v>
      </c>
      <c r="BY103" s="138" t="n">
        <f aca="false">BY101*Hipótesis!$D$114/12</f>
        <v>0</v>
      </c>
      <c r="BZ103" s="138" t="n">
        <f aca="false">BZ101*Hipótesis!$D$114/12</f>
        <v>0</v>
      </c>
      <c r="CA103" s="138" t="n">
        <f aca="false">CA101*Hipótesis!$D$114/12</f>
        <v>0</v>
      </c>
      <c r="CB103" s="138" t="n">
        <f aca="false">CB101*Hipótesis!$D$114/12</f>
        <v>0</v>
      </c>
      <c r="CC103" s="138" t="n">
        <f aca="false">CC101*Hipótesis!$D$114/12</f>
        <v>0</v>
      </c>
      <c r="CD103" s="138" t="n">
        <f aca="false">CD101*Hipótesis!$D$114/12</f>
        <v>0</v>
      </c>
      <c r="CE103" s="138" t="n">
        <f aca="false">CE101*Hipótesis!$D$114/12</f>
        <v>0</v>
      </c>
      <c r="CF103" s="138" t="n">
        <f aca="false">CF101*Hipótesis!$D$114/12</f>
        <v>0</v>
      </c>
      <c r="CG103" s="138" t="n">
        <f aca="false">CG101*Hipótesis!$D$114/12</f>
        <v>0</v>
      </c>
      <c r="CH103" s="138" t="n">
        <f aca="false">CH101*Hipótesis!$D$114/12</f>
        <v>0</v>
      </c>
    </row>
    <row r="104" customFormat="false" ht="13.5" hidden="false" customHeight="true" outlineLevel="0" collapsed="false">
      <c r="A104" s="13" t="s">
        <v>779</v>
      </c>
      <c r="C104" s="138" t="n">
        <f aca="false">C102+C103</f>
        <v>0</v>
      </c>
      <c r="D104" s="138" t="n">
        <f aca="false">D102+D103</f>
        <v>0</v>
      </c>
      <c r="E104" s="138" t="n">
        <f aca="false">E102+E103</f>
        <v>0</v>
      </c>
      <c r="F104" s="138" t="n">
        <f aca="false">F102+F103</f>
        <v>0</v>
      </c>
      <c r="G104" s="138" t="n">
        <f aca="false">G102+G103</f>
        <v>0</v>
      </c>
      <c r="H104" s="138" t="n">
        <f aca="false">H102+H103</f>
        <v>0</v>
      </c>
      <c r="I104" s="138" t="n">
        <f aca="false">I102+I103</f>
        <v>0</v>
      </c>
      <c r="J104" s="138" t="n">
        <f aca="false">J102+J103</f>
        <v>0</v>
      </c>
      <c r="K104" s="138" t="n">
        <f aca="false">K102+K103</f>
        <v>0</v>
      </c>
      <c r="L104" s="138" t="n">
        <f aca="false">L102+L103</f>
        <v>0</v>
      </c>
      <c r="M104" s="138" t="n">
        <f aca="false">M102+M103</f>
        <v>0</v>
      </c>
      <c r="N104" s="138" t="n">
        <f aca="false">N102+N103</f>
        <v>0</v>
      </c>
      <c r="O104" s="138" t="n">
        <f aca="false">O102+O103</f>
        <v>0</v>
      </c>
      <c r="P104" s="138" t="n">
        <f aca="false">P102+P103</f>
        <v>0</v>
      </c>
      <c r="Q104" s="138" t="n">
        <f aca="false">Q102+Q103</f>
        <v>0</v>
      </c>
      <c r="R104" s="138" t="n">
        <f aca="false">R102+R103</f>
        <v>0</v>
      </c>
      <c r="S104" s="138" t="n">
        <f aca="false">S102+S103</f>
        <v>0</v>
      </c>
      <c r="T104" s="138" t="n">
        <f aca="false">T102+T103</f>
        <v>0</v>
      </c>
      <c r="U104" s="138" t="n">
        <f aca="false">U102+U103</f>
        <v>0</v>
      </c>
      <c r="V104" s="138" t="n">
        <f aca="false">V102+V103</f>
        <v>0</v>
      </c>
      <c r="W104" s="138" t="n">
        <f aca="false">W102+W103</f>
        <v>0</v>
      </c>
      <c r="X104" s="138" t="n">
        <f aca="false">X102+X103</f>
        <v>0</v>
      </c>
      <c r="Y104" s="138" t="n">
        <f aca="false">Y102+Y103</f>
        <v>0</v>
      </c>
      <c r="Z104" s="138" t="n">
        <f aca="false">Z102+Z103</f>
        <v>0</v>
      </c>
      <c r="AA104" s="138" t="n">
        <f aca="false">AA102+AA103</f>
        <v>0</v>
      </c>
      <c r="AB104" s="138" t="n">
        <f aca="false">AB102+AB103</f>
        <v>0</v>
      </c>
      <c r="AC104" s="138" t="n">
        <f aca="false">AC102+AC103</f>
        <v>0</v>
      </c>
      <c r="AD104" s="138" t="n">
        <f aca="false">AD102+AD103</f>
        <v>0</v>
      </c>
      <c r="AE104" s="138" t="n">
        <f aca="false">AE102+AE103</f>
        <v>0</v>
      </c>
      <c r="AF104" s="138" t="n">
        <f aca="false">AF102+AF103</f>
        <v>0</v>
      </c>
      <c r="AG104" s="138" t="n">
        <f aca="false">AG102+AG103</f>
        <v>0</v>
      </c>
      <c r="AH104" s="138" t="n">
        <f aca="false">AH102+AH103</f>
        <v>0</v>
      </c>
      <c r="AI104" s="138" t="n">
        <f aca="false">AI102+AI103</f>
        <v>0</v>
      </c>
      <c r="AJ104" s="138" t="n">
        <f aca="false">AJ102+AJ103</f>
        <v>0</v>
      </c>
      <c r="AK104" s="138" t="n">
        <f aca="false">AK102+AK103</f>
        <v>0</v>
      </c>
      <c r="AL104" s="138" t="n">
        <f aca="false">AL102+AL103</f>
        <v>0</v>
      </c>
      <c r="AM104" s="138" t="n">
        <f aca="false">AM102+AM103</f>
        <v>0</v>
      </c>
      <c r="AN104" s="138" t="n">
        <f aca="false">AN102+AN103</f>
        <v>0</v>
      </c>
      <c r="AO104" s="138" t="n">
        <f aca="false">AO102+AO103</f>
        <v>0</v>
      </c>
      <c r="AP104" s="138" t="n">
        <f aca="false">AP102+AP103</f>
        <v>0</v>
      </c>
      <c r="AQ104" s="138" t="n">
        <f aca="false">AQ102+AQ103</f>
        <v>0</v>
      </c>
      <c r="AR104" s="138" t="n">
        <f aca="false">AR102+AR103</f>
        <v>0</v>
      </c>
      <c r="AS104" s="138" t="n">
        <f aca="false">AS102+AS103</f>
        <v>0</v>
      </c>
      <c r="AT104" s="138" t="n">
        <f aca="false">AT102+AT103</f>
        <v>0</v>
      </c>
      <c r="AU104" s="138" t="n">
        <f aca="false">AU102+AU103</f>
        <v>0</v>
      </c>
      <c r="AV104" s="138" t="n">
        <f aca="false">AV102+AV103</f>
        <v>0</v>
      </c>
      <c r="AW104" s="138" t="n">
        <f aca="false">AW102+AW103</f>
        <v>0</v>
      </c>
      <c r="AX104" s="138" t="n">
        <f aca="false">AX102+AX103</f>
        <v>0</v>
      </c>
      <c r="AY104" s="138" t="n">
        <f aca="false">AY102+AY103</f>
        <v>0</v>
      </c>
      <c r="AZ104" s="138" t="n">
        <f aca="false">AZ102+AZ103</f>
        <v>0</v>
      </c>
      <c r="BA104" s="138" t="n">
        <f aca="false">BA102+BA103</f>
        <v>0</v>
      </c>
      <c r="BB104" s="138" t="n">
        <f aca="false">BB102+BB103</f>
        <v>0</v>
      </c>
      <c r="BC104" s="138" t="n">
        <f aca="false">BC102+BC103</f>
        <v>0</v>
      </c>
      <c r="BD104" s="138" t="n">
        <f aca="false">BD102+BD103</f>
        <v>0</v>
      </c>
      <c r="BE104" s="138" t="n">
        <f aca="false">BE102+BE103</f>
        <v>0</v>
      </c>
      <c r="BF104" s="138" t="n">
        <f aca="false">BF102+BF103</f>
        <v>0</v>
      </c>
      <c r="BG104" s="138" t="n">
        <f aca="false">BG102+BG103</f>
        <v>0</v>
      </c>
      <c r="BH104" s="138" t="n">
        <f aca="false">BH102+BH103</f>
        <v>0</v>
      </c>
      <c r="BI104" s="138" t="n">
        <f aca="false">BI102+BI103</f>
        <v>0</v>
      </c>
      <c r="BJ104" s="138" t="n">
        <f aca="false">BJ102+BJ103</f>
        <v>0</v>
      </c>
      <c r="BK104" s="138" t="n">
        <f aca="false">BK102+BK103</f>
        <v>0</v>
      </c>
      <c r="BL104" s="138" t="n">
        <f aca="false">BL102+BL103</f>
        <v>0</v>
      </c>
      <c r="BM104" s="138" t="n">
        <f aca="false">BM102+BM103</f>
        <v>0</v>
      </c>
      <c r="BN104" s="138" t="n">
        <f aca="false">BN102+BN103</f>
        <v>0</v>
      </c>
      <c r="BO104" s="138" t="n">
        <f aca="false">BO102+BO103</f>
        <v>0</v>
      </c>
      <c r="BP104" s="138" t="n">
        <f aca="false">BP102+BP103</f>
        <v>0</v>
      </c>
      <c r="BQ104" s="138" t="n">
        <f aca="false">BQ102+BQ103</f>
        <v>0</v>
      </c>
      <c r="BR104" s="138" t="n">
        <f aca="false">BR102+BR103</f>
        <v>0</v>
      </c>
      <c r="BS104" s="138" t="n">
        <f aca="false">BS102+BS103</f>
        <v>0</v>
      </c>
      <c r="BT104" s="138" t="n">
        <f aca="false">BT102+BT103</f>
        <v>0</v>
      </c>
      <c r="BU104" s="138" t="n">
        <f aca="false">BU102+BU103</f>
        <v>0</v>
      </c>
      <c r="BV104" s="138" t="n">
        <f aca="false">BV102+BV103</f>
        <v>0</v>
      </c>
      <c r="BW104" s="138" t="n">
        <f aca="false">BW102+BW103</f>
        <v>0</v>
      </c>
      <c r="BX104" s="138" t="n">
        <f aca="false">BX102+BX103</f>
        <v>0</v>
      </c>
      <c r="BY104" s="138" t="n">
        <f aca="false">BY102+BY103</f>
        <v>0</v>
      </c>
      <c r="BZ104" s="138" t="n">
        <f aca="false">BZ102+BZ103</f>
        <v>0</v>
      </c>
      <c r="CA104" s="138" t="n">
        <f aca="false">CA102+CA103</f>
        <v>0</v>
      </c>
      <c r="CB104" s="138" t="n">
        <f aca="false">CB102+CB103</f>
        <v>0</v>
      </c>
      <c r="CC104" s="138" t="n">
        <f aca="false">CC102+CC103</f>
        <v>0</v>
      </c>
      <c r="CD104" s="138" t="n">
        <f aca="false">CD102+CD103</f>
        <v>0</v>
      </c>
      <c r="CE104" s="138" t="n">
        <f aca="false">CE102+CE103</f>
        <v>0</v>
      </c>
      <c r="CF104" s="138" t="n">
        <f aca="false">CF102+CF103</f>
        <v>0</v>
      </c>
      <c r="CG104" s="138" t="n">
        <f aca="false">CG102+CG103</f>
        <v>0</v>
      </c>
      <c r="CH104" s="138" t="n">
        <f aca="false">CH102+CH103</f>
        <v>0</v>
      </c>
    </row>
    <row r="105" customFormat="false" ht="13.5" hidden="false" customHeight="true" outlineLevel="0" collapsed="false"/>
    <row r="106" customFormat="false" ht="13.5" hidden="false" customHeight="true" outlineLevel="0" collapsed="false">
      <c r="A106" s="64" t="s">
        <v>780</v>
      </c>
      <c r="C106" s="99" t="n">
        <f aca="false">C93+C99+C104</f>
        <v>333.333333333333</v>
      </c>
      <c r="D106" s="99" t="n">
        <f aca="false">D93+D99+D104</f>
        <v>333.333333333333</v>
      </c>
      <c r="E106" s="99" t="n">
        <f aca="false">E93+E99+E104</f>
        <v>333.333333333333</v>
      </c>
      <c r="F106" s="99" t="n">
        <f aca="false">F93+F99+F104</f>
        <v>333.333333333333</v>
      </c>
      <c r="G106" s="99" t="n">
        <f aca="false">G93+G99+G104</f>
        <v>333.333333333333</v>
      </c>
      <c r="H106" s="99" t="n">
        <f aca="false">H93+H99+H104</f>
        <v>333.333333333333</v>
      </c>
      <c r="I106" s="99" t="n">
        <f aca="false">I93+I99+I104</f>
        <v>333.333333333333</v>
      </c>
      <c r="J106" s="99" t="n">
        <f aca="false">J93+J99+J104</f>
        <v>333.333333333333</v>
      </c>
      <c r="K106" s="99" t="n">
        <f aca="false">K93+K99+K104</f>
        <v>333.333333333333</v>
      </c>
      <c r="L106" s="99" t="n">
        <f aca="false">L93+L99+L104</f>
        <v>373.694280821524</v>
      </c>
      <c r="M106" s="99" t="n">
        <f aca="false">M93+M99+M104</f>
        <v>415.768862920863</v>
      </c>
      <c r="N106" s="99" t="n">
        <f aca="false">N93+N99+N104</f>
        <v>422.735473687099</v>
      </c>
      <c r="O106" s="99" t="n">
        <f aca="false">O93+O99+O104</f>
        <v>368.691684453335</v>
      </c>
      <c r="P106" s="99" t="n">
        <f aca="false">P93+P99+P104</f>
        <v>416.579295102838</v>
      </c>
      <c r="Q106" s="99" t="n">
        <f aca="false">Q93+Q99+Q104</f>
        <v>418.240505752341</v>
      </c>
      <c r="R106" s="99" t="n">
        <f aca="false">R93+R99+R104</f>
        <v>466.128116401844</v>
      </c>
      <c r="S106" s="99" t="n">
        <f aca="false">S93+S99+S104</f>
        <v>363.893286838975</v>
      </c>
      <c r="T106" s="99" t="n">
        <f aca="false">T93+T99+T104</f>
        <v>515.67693770085</v>
      </c>
      <c r="U106" s="99" t="n">
        <f aca="false">U93+U99+U104</f>
        <v>563.564548350353</v>
      </c>
      <c r="V106" s="99" t="n">
        <f aca="false">V93+V99+V104</f>
        <v>557.068158999856</v>
      </c>
      <c r="W106" s="99" t="n">
        <f aca="false">W93+W99+W104</f>
        <v>604.955769649359</v>
      </c>
      <c r="X106" s="99" t="n">
        <f aca="false">X93+X99+X104</f>
        <v>596.844951631965</v>
      </c>
      <c r="Y106" s="99" t="n">
        <f aca="false">Y93+Y99+Y104</f>
        <v>634.960533614571</v>
      </c>
      <c r="Z106" s="99" t="n">
        <f aca="false">Z93+Z99+Z104</f>
        <v>669.590124130419</v>
      </c>
      <c r="AA106" s="99" t="n">
        <f aca="false">AA93+AA99+AA104</f>
        <v>2322.47617331293</v>
      </c>
      <c r="AB106" s="99" t="n">
        <f aca="false">AB93+AB99+AB104</f>
        <v>2351.55020827322</v>
      </c>
      <c r="AC106" s="99" t="n">
        <f aca="false">AC93+AC99+AC104</f>
        <v>2380.62424323352</v>
      </c>
      <c r="AD106" s="99" t="n">
        <f aca="false">AD93+AD99+AD104</f>
        <v>2409.69827819381</v>
      </c>
      <c r="AE106" s="99" t="n">
        <f aca="false">AE93+AE99+AE104</f>
        <v>2193.97520926241</v>
      </c>
      <c r="AF106" s="99" t="n">
        <f aca="false">AF93+AF99+AF104</f>
        <v>2420.23315611439</v>
      </c>
      <c r="AG106" s="99" t="n">
        <f aca="false">AG93+AG99+AG104</f>
        <v>2449.30719107468</v>
      </c>
      <c r="AH106" s="99" t="n">
        <f aca="false">AH93+AH99+AH104</f>
        <v>2478.38122603498</v>
      </c>
      <c r="AI106" s="99" t="n">
        <f aca="false">AI93+AI99+AI104</f>
        <v>2507.45526099527</v>
      </c>
      <c r="AJ106" s="99" t="n">
        <f aca="false">AJ93+AJ99+AJ104</f>
        <v>2536.52929595556</v>
      </c>
      <c r="AK106" s="99" t="n">
        <f aca="false">AK93+AK99+AK104</f>
        <v>2565.60333091585</v>
      </c>
      <c r="AL106" s="99" t="n">
        <f aca="false">AL93+AL99+AL104</f>
        <v>2594.67736587614</v>
      </c>
      <c r="AM106" s="99" t="n">
        <f aca="false">AM93+AM99+AM104</f>
        <v>2520.03995902066</v>
      </c>
      <c r="AN106" s="99" t="n">
        <f aca="false">AN93+AN99+AN104</f>
        <v>2542.06887274725</v>
      </c>
      <c r="AO106" s="99" t="n">
        <f aca="false">AO93+AO99+AO104</f>
        <v>2564.09778647384</v>
      </c>
      <c r="AP106" s="99" t="n">
        <f aca="false">AP93+AP99+AP104</f>
        <v>2586.12670020042</v>
      </c>
      <c r="AQ106" s="99" t="n">
        <f aca="false">AQ93+AQ99+AQ104</f>
        <v>2308.13162288905</v>
      </c>
      <c r="AR106" s="99" t="n">
        <f aca="false">AR93+AR99+AR104</f>
        <v>2630.1845276536</v>
      </c>
      <c r="AS106" s="99" t="n">
        <f aca="false">AS93+AS99+AS104</f>
        <v>2624.62897209804</v>
      </c>
      <c r="AT106" s="99" t="n">
        <f aca="false">AT93+AT99+AT104</f>
        <v>2619.07341654249</v>
      </c>
      <c r="AU106" s="99" t="n">
        <f aca="false">AU93+AU99+AU104</f>
        <v>2613.51786098693</v>
      </c>
      <c r="AV106" s="99" t="n">
        <f aca="false">AV93+AV99+AV104</f>
        <v>2607.96230543137</v>
      </c>
      <c r="AW106" s="99" t="n">
        <f aca="false">AW93+AW99+AW104</f>
        <v>2602.40674987582</v>
      </c>
      <c r="AX106" s="99" t="n">
        <f aca="false">AX93+AX99+AX104</f>
        <v>2596.85119432026</v>
      </c>
      <c r="AY106" s="99" t="n">
        <f aca="false">AY93+AY99+AY104</f>
        <v>2539.40639383191</v>
      </c>
      <c r="AZ106" s="99" t="n">
        <f aca="false">AZ93+AZ99+AZ104</f>
        <v>2533.85083827635</v>
      </c>
      <c r="BA106" s="99" t="n">
        <f aca="false">BA93+BA99+BA104</f>
        <v>2528.2952827208</v>
      </c>
      <c r="BB106" s="99" t="n">
        <f aca="false">BB93+BB99+BB104</f>
        <v>2522.73972716524</v>
      </c>
      <c r="BC106" s="99" t="n">
        <f aca="false">BC93+BC99+BC104</f>
        <v>2217.16018057172</v>
      </c>
      <c r="BD106" s="99" t="n">
        <f aca="false">BD93+BD99+BD104</f>
        <v>2511.62861605413</v>
      </c>
      <c r="BE106" s="99" t="n">
        <f aca="false">BE93+BE99+BE104</f>
        <v>2506.07306049857</v>
      </c>
      <c r="BF106" s="99" t="n">
        <f aca="false">BF93+BF99+BF104</f>
        <v>2500.51750494302</v>
      </c>
      <c r="BG106" s="99" t="n">
        <f aca="false">BG93+BG99+BG104</f>
        <v>2494.96194938746</v>
      </c>
      <c r="BH106" s="99" t="n">
        <f aca="false">BH93+BH99+BH104</f>
        <v>2489.40639383191</v>
      </c>
      <c r="BI106" s="99" t="n">
        <f aca="false">BI93+BI99+BI104</f>
        <v>2483.85083827635</v>
      </c>
      <c r="BJ106" s="99" t="n">
        <f aca="false">BJ93+BJ99+BJ104</f>
        <v>2478.2952827208</v>
      </c>
      <c r="BK106" s="99" t="n">
        <f aca="false">BK93+BK99+BK104</f>
        <v>2420.48180488446</v>
      </c>
      <c r="BL106" s="99" t="n">
        <f aca="false">BL93+BL99+BL104</f>
        <v>2414.9262493289</v>
      </c>
      <c r="BM106" s="99" t="n">
        <f aca="false">BM93+BM99+BM104</f>
        <v>2409.37069377335</v>
      </c>
      <c r="BN106" s="99" t="n">
        <f aca="false">BN93+BN99+BN104</f>
        <v>2403.81513821779</v>
      </c>
      <c r="BO106" s="99" t="n">
        <f aca="false">BO93+BO99+BO104</f>
        <v>2098.23559162427</v>
      </c>
      <c r="BP106" s="99" t="n">
        <f aca="false">BP93+BP99+BP104</f>
        <v>2392.70402710668</v>
      </c>
      <c r="BQ106" s="99" t="n">
        <f aca="false">BQ93+BQ99+BQ104</f>
        <v>2387.14847155112</v>
      </c>
      <c r="BR106" s="99" t="n">
        <f aca="false">BR93+BR99+BR104</f>
        <v>2381.59291599557</v>
      </c>
      <c r="BS106" s="99" t="n">
        <f aca="false">BS93+BS99+BS104</f>
        <v>2376.03736044001</v>
      </c>
      <c r="BT106" s="99" t="n">
        <f aca="false">BT93+BT99+BT104</f>
        <v>2370.48180488446</v>
      </c>
      <c r="BU106" s="99" t="n">
        <f aca="false">BU93+BU99+BU104</f>
        <v>2364.9262493289</v>
      </c>
      <c r="BV106" s="99" t="n">
        <f aca="false">BV93+BV99+BV104</f>
        <v>2359.37069377335</v>
      </c>
      <c r="BW106" s="99" t="n">
        <f aca="false">BW93+BW99+BW104</f>
        <v>2301.17747826858</v>
      </c>
      <c r="BX106" s="99" t="n">
        <f aca="false">BX93+BX99+BX104</f>
        <v>2295.62192271303</v>
      </c>
      <c r="BY106" s="99" t="n">
        <f aca="false">BY93+BY99+BY104</f>
        <v>2290.06636715747</v>
      </c>
      <c r="BZ106" s="99" t="n">
        <f aca="false">BZ93+BZ99+BZ104</f>
        <v>2284.51081160192</v>
      </c>
      <c r="CA106" s="99" t="n">
        <f aca="false">CA93+CA99+CA104</f>
        <v>1978.9312650084</v>
      </c>
      <c r="CB106" s="99" t="n">
        <f aca="false">CB93+CB99+CB104</f>
        <v>2273.39970049081</v>
      </c>
      <c r="CC106" s="99" t="n">
        <f aca="false">CC93+CC99+CC104</f>
        <v>2267.84414493525</v>
      </c>
      <c r="CD106" s="99" t="n">
        <f aca="false">CD93+CD99+CD104</f>
        <v>2262.28858937969</v>
      </c>
      <c r="CE106" s="99" t="n">
        <f aca="false">CE93+CE99+CE104</f>
        <v>2256.73303382414</v>
      </c>
      <c r="CF106" s="99" t="n">
        <f aca="false">CF93+CF99+CF104</f>
        <v>2251.17747826858</v>
      </c>
      <c r="CG106" s="99" t="n">
        <f aca="false">CG93+CG99+CG104</f>
        <v>2245.62192271303</v>
      </c>
      <c r="CH106" s="99" t="n">
        <f aca="false">CH93+CH99+CH104</f>
        <v>2240.06636715741</v>
      </c>
    </row>
    <row r="107" customFormat="false" ht="13.5" hidden="false" customHeight="true" outlineLevel="0" collapsed="false">
      <c r="A107" s="13" t="s">
        <v>781</v>
      </c>
      <c r="C107" s="138" t="n">
        <f aca="false">C106</f>
        <v>333.333333333333</v>
      </c>
      <c r="D107" s="138" t="n">
        <f aca="false">C107+D106</f>
        <v>666.666666666667</v>
      </c>
      <c r="E107" s="138" t="n">
        <f aca="false">D107+E106</f>
        <v>1000</v>
      </c>
      <c r="F107" s="138" t="n">
        <f aca="false">E107+F106</f>
        <v>1333.33333333333</v>
      </c>
      <c r="G107" s="138" t="n">
        <f aca="false">F107+G106</f>
        <v>1666.66666666667</v>
      </c>
      <c r="H107" s="138" t="n">
        <f aca="false">G107+H106</f>
        <v>2000</v>
      </c>
      <c r="I107" s="138" t="n">
        <f aca="false">H107+I106</f>
        <v>2333.33333333333</v>
      </c>
      <c r="J107" s="138" t="n">
        <f aca="false">I107+J106</f>
        <v>2666.66666666667</v>
      </c>
      <c r="K107" s="138" t="n">
        <f aca="false">J107+K106</f>
        <v>3000</v>
      </c>
      <c r="L107" s="138" t="n">
        <f aca="false">K107+L106</f>
        <v>3373.69428082152</v>
      </c>
      <c r="M107" s="138" t="n">
        <f aca="false">L107+M106</f>
        <v>3789.46314374239</v>
      </c>
      <c r="N107" s="138" t="n">
        <f aca="false">M107+N106</f>
        <v>4212.19861742949</v>
      </c>
      <c r="O107" s="138" t="n">
        <f aca="false">N107+O106</f>
        <v>4580.89030188282</v>
      </c>
      <c r="P107" s="138" t="n">
        <f aca="false">O107+P106</f>
        <v>4997.46959698566</v>
      </c>
      <c r="Q107" s="138" t="n">
        <f aca="false">P107+Q106</f>
        <v>5415.710102738</v>
      </c>
      <c r="R107" s="138" t="n">
        <f aca="false">Q107+R106</f>
        <v>5881.83821913985</v>
      </c>
      <c r="S107" s="138" t="n">
        <f aca="false">R107+S106</f>
        <v>6245.73150597882</v>
      </c>
      <c r="T107" s="138" t="n">
        <f aca="false">S107+T106</f>
        <v>6761.40844367967</v>
      </c>
      <c r="U107" s="138" t="n">
        <f aca="false">T107+U106</f>
        <v>7324.97299203002</v>
      </c>
      <c r="V107" s="138" t="n">
        <f aca="false">U107+V106</f>
        <v>7882.04115102988</v>
      </c>
      <c r="W107" s="138" t="n">
        <f aca="false">V107+W106</f>
        <v>8486.99692067924</v>
      </c>
      <c r="X107" s="138" t="n">
        <f aca="false">W107+X106</f>
        <v>9083.8418723112</v>
      </c>
      <c r="Y107" s="138" t="n">
        <f aca="false">X107+Y106</f>
        <v>9718.80240592577</v>
      </c>
      <c r="Z107" s="138" t="n">
        <f aca="false">Y107+Z106</f>
        <v>10388.3925300562</v>
      </c>
      <c r="AA107" s="138" t="n">
        <f aca="false">Z107+AA106</f>
        <v>12710.8687033691</v>
      </c>
      <c r="AB107" s="138" t="n">
        <f aca="false">AA107+AB106</f>
        <v>15062.4189116423</v>
      </c>
      <c r="AC107" s="138" t="n">
        <f aca="false">AB107+AC106</f>
        <v>17443.0431548759</v>
      </c>
      <c r="AD107" s="138" t="n">
        <f aca="false">AC107+AD106</f>
        <v>19852.7414330697</v>
      </c>
      <c r="AE107" s="138" t="n">
        <f aca="false">AD107+AE106</f>
        <v>22046.7166423321</v>
      </c>
      <c r="AF107" s="138" t="n">
        <f aca="false">AE107+AF106</f>
        <v>24466.9497984465</v>
      </c>
      <c r="AG107" s="138" t="n">
        <f aca="false">AF107+AG106</f>
        <v>26916.2569895212</v>
      </c>
      <c r="AH107" s="138" t="n">
        <f aca="false">AG107+AH106</f>
        <v>29394.6382155561</v>
      </c>
      <c r="AI107" s="138" t="n">
        <f aca="false">AH107+AI106</f>
        <v>31902.0934765514</v>
      </c>
      <c r="AJ107" s="138" t="n">
        <f aca="false">AI107+AJ106</f>
        <v>34438.622772507</v>
      </c>
      <c r="AK107" s="138" t="n">
        <f aca="false">AJ107+AK106</f>
        <v>37004.2261034228</v>
      </c>
      <c r="AL107" s="138" t="n">
        <f aca="false">AK107+AL106</f>
        <v>39598.903469299</v>
      </c>
      <c r="AM107" s="138" t="n">
        <f aca="false">AL107+AM106</f>
        <v>42118.9434283196</v>
      </c>
      <c r="AN107" s="138" t="n">
        <f aca="false">AM107+AN106</f>
        <v>44661.0123010669</v>
      </c>
      <c r="AO107" s="138" t="n">
        <f aca="false">AN107+AO106</f>
        <v>47225.1100875407</v>
      </c>
      <c r="AP107" s="138" t="n">
        <f aca="false">AO107+AP106</f>
        <v>49811.2367877411</v>
      </c>
      <c r="AQ107" s="138" t="n">
        <f aca="false">AP107+AQ106</f>
        <v>52119.3684106302</v>
      </c>
      <c r="AR107" s="138" t="n">
        <f aca="false">AQ107+AR106</f>
        <v>54749.5529382838</v>
      </c>
      <c r="AS107" s="138" t="n">
        <f aca="false">AR107+AS106</f>
        <v>57374.1819103818</v>
      </c>
      <c r="AT107" s="138" t="n">
        <f aca="false">AS107+AT106</f>
        <v>59993.2553269243</v>
      </c>
      <c r="AU107" s="138" t="n">
        <f aca="false">AT107+AU106</f>
        <v>62606.7731879112</v>
      </c>
      <c r="AV107" s="138" t="n">
        <f aca="false">AU107+AV106</f>
        <v>65214.7354933426</v>
      </c>
      <c r="AW107" s="138" t="n">
        <f aca="false">AV107+AW106</f>
        <v>67817.1422432184</v>
      </c>
      <c r="AX107" s="138" t="n">
        <f aca="false">AW107+AX106</f>
        <v>70413.9934375387</v>
      </c>
      <c r="AY107" s="138" t="n">
        <f aca="false">AX107+AY106</f>
        <v>72953.3998313706</v>
      </c>
      <c r="AZ107" s="138" t="n">
        <f aca="false">AY107+AZ106</f>
        <v>75487.250669647</v>
      </c>
      <c r="BA107" s="138" t="n">
        <f aca="false">AZ107+BA106</f>
        <v>78015.5459523677</v>
      </c>
      <c r="BB107" s="138" t="n">
        <f aca="false">BA107+BB106</f>
        <v>80538.285679533</v>
      </c>
      <c r="BC107" s="138" t="n">
        <f aca="false">BB107+BC106</f>
        <v>82755.4458601047</v>
      </c>
      <c r="BD107" s="138" t="n">
        <f aca="false">BC107+BD106</f>
        <v>85267.0744761588</v>
      </c>
      <c r="BE107" s="138" t="n">
        <f aca="false">BD107+BE106</f>
        <v>87773.1475366574</v>
      </c>
      <c r="BF107" s="138" t="n">
        <f aca="false">BE107+BF106</f>
        <v>90273.6650416004</v>
      </c>
      <c r="BG107" s="138" t="n">
        <f aca="false">BF107+BG106</f>
        <v>92768.6269909879</v>
      </c>
      <c r="BH107" s="138" t="n">
        <f aca="false">BG107+BH106</f>
        <v>95258.0333848198</v>
      </c>
      <c r="BI107" s="138" t="n">
        <f aca="false">BH107+BI106</f>
        <v>97741.8842230962</v>
      </c>
      <c r="BJ107" s="138" t="n">
        <f aca="false">BI107+BJ106</f>
        <v>100220.179505817</v>
      </c>
      <c r="BK107" s="138" t="n">
        <f aca="false">BJ107+BK106</f>
        <v>102640.661310701</v>
      </c>
      <c r="BL107" s="138" t="n">
        <f aca="false">BK107+BL106</f>
        <v>105055.58756003</v>
      </c>
      <c r="BM107" s="138" t="n">
        <f aca="false">BL107+BM106</f>
        <v>107464.958253804</v>
      </c>
      <c r="BN107" s="138" t="n">
        <f aca="false">BM107+BN106</f>
        <v>109868.773392021</v>
      </c>
      <c r="BO107" s="138" t="n">
        <f aca="false">BN107+BO106</f>
        <v>111967.008983646</v>
      </c>
      <c r="BP107" s="138" t="n">
        <f aca="false">BO107+BP106</f>
        <v>114359.713010752</v>
      </c>
      <c r="BQ107" s="138" t="n">
        <f aca="false">BP107+BQ106</f>
        <v>116746.861482304</v>
      </c>
      <c r="BR107" s="138" t="n">
        <f aca="false">BQ107+BR106</f>
        <v>119128.454398299</v>
      </c>
      <c r="BS107" s="138" t="n">
        <f aca="false">BR107+BS106</f>
        <v>121504.491758739</v>
      </c>
      <c r="BT107" s="138" t="n">
        <f aca="false">BS107+BT106</f>
        <v>123874.973563624</v>
      </c>
      <c r="BU107" s="138" t="n">
        <f aca="false">BT107+BU106</f>
        <v>126239.899812952</v>
      </c>
      <c r="BV107" s="138" t="n">
        <f aca="false">BU107+BV106</f>
        <v>128599.270506726</v>
      </c>
      <c r="BW107" s="138" t="n">
        <f aca="false">BV107+BW106</f>
        <v>130900.447984994</v>
      </c>
      <c r="BX107" s="138" t="n">
        <f aca="false">BW107+BX106</f>
        <v>133196.069907707</v>
      </c>
      <c r="BY107" s="138" t="n">
        <f aca="false">BX107+BY106</f>
        <v>135486.136274865</v>
      </c>
      <c r="BZ107" s="138" t="n">
        <f aca="false">BY107+BZ106</f>
        <v>137770.647086467</v>
      </c>
      <c r="CA107" s="138" t="n">
        <f aca="false">BZ107+CA106</f>
        <v>139749.578351475</v>
      </c>
      <c r="CB107" s="138" t="n">
        <f aca="false">CA107+CB106</f>
        <v>142022.978051966</v>
      </c>
      <c r="CC107" s="138" t="n">
        <f aca="false">CB107+CC106</f>
        <v>144290.822196901</v>
      </c>
      <c r="CD107" s="138" t="n">
        <f aca="false">CC107+CD106</f>
        <v>146553.110786281</v>
      </c>
      <c r="CE107" s="138" t="n">
        <f aca="false">CD107+CE106</f>
        <v>148809.843820105</v>
      </c>
      <c r="CF107" s="138" t="n">
        <f aca="false">CE107+CF106</f>
        <v>151061.021298374</v>
      </c>
      <c r="CG107" s="138" t="n">
        <f aca="false">CF107+CG106</f>
        <v>153306.643221087</v>
      </c>
      <c r="CH107" s="138" t="n">
        <f aca="false">CG107+CH106</f>
        <v>155546.709588244</v>
      </c>
    </row>
    <row r="108" customFormat="false" ht="13.5" hidden="false" customHeight="true" outlineLevel="0" collapsed="false"/>
    <row r="109" customFormat="false" ht="12.75" hidden="false" customHeight="true" outlineLevel="0" collapsed="false">
      <c r="A109" s="10" t="s">
        <v>782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</row>
    <row r="110" customFormat="false" ht="13.5" hidden="false" customHeight="true" outlineLevel="0" collapsed="false">
      <c r="A110" s="13" t="s">
        <v>783</v>
      </c>
      <c r="C110" s="138" t="n">
        <f aca="false">C63</f>
        <v>-17671.8514057852</v>
      </c>
      <c r="D110" s="138" t="n">
        <f aca="false">C113+D63</f>
        <v>-34080.620399363</v>
      </c>
      <c r="E110" s="138" t="n">
        <f aca="false">D113+E63</f>
        <v>-48521.5612283007</v>
      </c>
      <c r="F110" s="138" t="n">
        <f aca="false">E113+F63</f>
        <v>-61647.793956911</v>
      </c>
      <c r="G110" s="138" t="n">
        <f aca="false">F113+G63</f>
        <v>-75913.9002024783</v>
      </c>
      <c r="H110" s="138" t="n">
        <f aca="false">G113+H63</f>
        <v>-86131.0834807605</v>
      </c>
      <c r="I110" s="138" t="n">
        <f aca="false">H113+I63</f>
        <v>-94210.9494230549</v>
      </c>
      <c r="J110" s="138" t="n">
        <f aca="false">I113+J63</f>
        <v>-99438.1503406677</v>
      </c>
      <c r="K110" s="138" t="n">
        <f aca="false">J113+K63</f>
        <v>-101829.299854267</v>
      </c>
      <c r="L110" s="138" t="n">
        <f aca="false">K113+L63</f>
        <v>-101534.574048877</v>
      </c>
      <c r="M110" s="138" t="n">
        <f aca="false">L113+M63</f>
        <v>-99510.2529227087</v>
      </c>
      <c r="N110" s="138" t="n">
        <f aca="false">M113+N63</f>
        <v>-97210.7150262875</v>
      </c>
      <c r="O110" s="138" t="n">
        <f aca="false">N113+O63</f>
        <v>-97176.8598827283</v>
      </c>
      <c r="P110" s="138" t="n">
        <f aca="false">O113+P63</f>
        <v>-95163.9881439379</v>
      </c>
      <c r="Q110" s="138" t="n">
        <f aca="false">P113+Q63</f>
        <v>-93089.6629869988</v>
      </c>
      <c r="R110" s="138" t="n">
        <f aca="false">Q113+R63</f>
        <v>-89028.5584817095</v>
      </c>
      <c r="S110" s="138" t="n">
        <f aca="false">R113+S63</f>
        <v>-89260.580437084</v>
      </c>
      <c r="T110" s="138" t="n">
        <f aca="false">S113+T63</f>
        <v>-83118.8702294333</v>
      </c>
      <c r="U110" s="138" t="n">
        <f aca="false">T113+U63</f>
        <v>-75008.8134745366</v>
      </c>
      <c r="V110" s="138" t="n">
        <f aca="false">U113+V63</f>
        <v>-67154.5289352338</v>
      </c>
      <c r="W110" s="138" t="n">
        <f aca="false">V113+W63</f>
        <v>-57292.1624995219</v>
      </c>
      <c r="X110" s="138" t="n">
        <f aca="false">W113+X63</f>
        <v>-47747.6294006471</v>
      </c>
      <c r="Y110" s="138" t="n">
        <f aca="false">X113+Y63</f>
        <v>-36624.0960995017</v>
      </c>
      <c r="Z110" s="138" t="n">
        <f aca="false">Y113+Z63</f>
        <v>-24065.496251176</v>
      </c>
      <c r="AA110" s="138" t="n">
        <f aca="false">Z113+AA63</f>
        <v>-12088.1150188702</v>
      </c>
      <c r="AB110" s="138" t="n">
        <f aca="false">AA113+AB63</f>
        <v>1329.05498283808</v>
      </c>
      <c r="AC110" s="138" t="n">
        <f aca="false">AB113+AC63</f>
        <v>16186.0137539488</v>
      </c>
      <c r="AD110" s="138" t="n">
        <f aca="false">AC113+AD63</f>
        <v>32482.7612944618</v>
      </c>
      <c r="AE110" s="138" t="n">
        <f aca="false">AD113+AE63</f>
        <v>40023.4982272883</v>
      </c>
      <c r="AF110" s="138" t="n">
        <f aca="false">AE113+AF63</f>
        <v>57216.7338598062</v>
      </c>
      <c r="AG110" s="138" t="n">
        <f aca="false">AF113+AG63</f>
        <v>75849.7582617265</v>
      </c>
      <c r="AH110" s="138" t="n">
        <f aca="false">AG113+AH63</f>
        <v>95922.5714330493</v>
      </c>
      <c r="AI110" s="138" t="n">
        <f aca="false">AH113+AI63</f>
        <v>117435.173373774</v>
      </c>
      <c r="AJ110" s="138" t="n">
        <f aca="false">AI113+AJ63</f>
        <v>140387.564083902</v>
      </c>
      <c r="AK110" s="138" t="n">
        <f aca="false">AJ113+AK63</f>
        <v>164779.743563432</v>
      </c>
      <c r="AL110" s="138" t="n">
        <f aca="false">AK113+AL63</f>
        <v>190611.711812364</v>
      </c>
      <c r="AM110" s="138" t="n">
        <f aca="false">AL113+AM63</f>
        <v>210862.991115535</v>
      </c>
      <c r="AN110" s="138" t="n">
        <f aca="false">AM113+AN63</f>
        <v>232125.123842446</v>
      </c>
      <c r="AO110" s="138" t="n">
        <f aca="false">AN113+AO63</f>
        <v>254398.109993096</v>
      </c>
      <c r="AP110" s="138" t="n">
        <f aca="false">AO113+AP63</f>
        <v>277681.949567486</v>
      </c>
      <c r="AQ110" s="138" t="n">
        <f aca="false">AP113+AQ63</f>
        <v>290950.76089497</v>
      </c>
      <c r="AR110" s="138" t="n">
        <f aca="false">AQ113+AR63</f>
        <v>316256.307316839</v>
      </c>
      <c r="AS110" s="138" t="n">
        <f aca="false">AR113+AS63</f>
        <v>341566.020405374</v>
      </c>
      <c r="AT110" s="138" t="n">
        <f aca="false">AS113+AT63</f>
        <v>366879.900160577</v>
      </c>
      <c r="AU110" s="138" t="n">
        <f aca="false">AT113+AU63</f>
        <v>392197.946582445</v>
      </c>
      <c r="AV110" s="138" t="n">
        <f aca="false">AU113+AV63</f>
        <v>417520.159670981</v>
      </c>
      <c r="AW110" s="138" t="n">
        <f aca="false">AV113+AW63</f>
        <v>442846.539426183</v>
      </c>
      <c r="AX110" s="138" t="n">
        <f aca="false">AW113+AX63</f>
        <v>468177.085848052</v>
      </c>
      <c r="AY110" s="138" t="n">
        <f aca="false">AX113+AY63</f>
        <v>491604.869185307</v>
      </c>
      <c r="AZ110" s="138" t="n">
        <f aca="false">AY113+AZ63</f>
        <v>515036.819189228</v>
      </c>
      <c r="BA110" s="138" t="n">
        <f aca="false">AZ113+BA63</f>
        <v>538472.935859817</v>
      </c>
      <c r="BB110" s="138" t="n">
        <f aca="false">BA113+BB63</f>
        <v>561913.219197072</v>
      </c>
      <c r="BC110" s="138" t="n">
        <f aca="false">BB113+BC63</f>
        <v>574331.787530348</v>
      </c>
      <c r="BD110" s="138" t="n">
        <f aca="false">BC113+BD63</f>
        <v>597780.404200937</v>
      </c>
      <c r="BE110" s="138" t="n">
        <f aca="false">BD113+BE63</f>
        <v>621233.187538192</v>
      </c>
      <c r="BF110" s="138" t="n">
        <f aca="false">BE113+BF63</f>
        <v>644690.137542113</v>
      </c>
      <c r="BG110" s="138" t="n">
        <f aca="false">BF113+BG63</f>
        <v>668151.254212702</v>
      </c>
      <c r="BH110" s="138" t="n">
        <f aca="false">BG113+BH63</f>
        <v>691616.537549957</v>
      </c>
      <c r="BI110" s="138" t="n">
        <f aca="false">BH113+BI63</f>
        <v>715085.987553879</v>
      </c>
      <c r="BJ110" s="138" t="n">
        <f aca="false">BI113+BJ63</f>
        <v>738559.604224467</v>
      </c>
      <c r="BK110" s="138" t="n">
        <f aca="false">BJ113+BK63</f>
        <v>760116.908917903</v>
      </c>
      <c r="BL110" s="138" t="n">
        <f aca="false">BK113+BL63</f>
        <v>781678.380278006</v>
      </c>
      <c r="BM110" s="138" t="n">
        <f aca="false">BL113+BM63</f>
        <v>803244.018304776</v>
      </c>
      <c r="BN110" s="138" t="n">
        <f aca="false">BM113+BN63</f>
        <v>824813.822998212</v>
      </c>
      <c r="BO110" s="138" t="n">
        <f aca="false">BN113+BO63</f>
        <v>835361.912687669</v>
      </c>
      <c r="BP110" s="138" t="n">
        <f aca="false">BO113+BP63</f>
        <v>856940.050714439</v>
      </c>
      <c r="BQ110" s="138" t="n">
        <f aca="false">BP113+BQ63</f>
        <v>878522.355407875</v>
      </c>
      <c r="BR110" s="138" t="n">
        <f aca="false">BQ113+BR63</f>
        <v>900108.826767978</v>
      </c>
      <c r="BS110" s="138" t="n">
        <f aca="false">BR113+BS63</f>
        <v>921699.464794748</v>
      </c>
      <c r="BT110" s="138" t="n">
        <f aca="false">BS113+BT63</f>
        <v>943294.269488184</v>
      </c>
      <c r="BU110" s="138" t="n">
        <f aca="false">BT113+BU63</f>
        <v>964893.240848287</v>
      </c>
      <c r="BV110" s="138" t="n">
        <f aca="false">BU113+BV63</f>
        <v>986496.378875056</v>
      </c>
      <c r="BW110" s="138" t="n">
        <f aca="false">BV113+BW63</f>
        <v>1006169.24956536</v>
      </c>
      <c r="BX110" s="138" t="n">
        <f aca="false">BW113+BX63</f>
        <v>1025846.28692233</v>
      </c>
      <c r="BY110" s="138" t="n">
        <f aca="false">BX113+BY63</f>
        <v>1045527.49094596</v>
      </c>
      <c r="BZ110" s="138" t="n">
        <f aca="false">BY113+BZ63</f>
        <v>1065212.86163627</v>
      </c>
      <c r="CA110" s="138" t="n">
        <f aca="false">BZ113+CA63</f>
        <v>1073876.51732259</v>
      </c>
      <c r="CB110" s="138" t="n">
        <f aca="false">CA113+CB63</f>
        <v>1093570.22134623</v>
      </c>
      <c r="CC110" s="138" t="n">
        <f aca="false">CB113+CC63</f>
        <v>1113268.09203653</v>
      </c>
      <c r="CD110" s="138" t="n">
        <f aca="false">CC113+CD63</f>
        <v>1132970.1293935</v>
      </c>
      <c r="CE110" s="138" t="n">
        <f aca="false">CD113+CE63</f>
        <v>1152676.33341714</v>
      </c>
      <c r="CF110" s="138" t="n">
        <f aca="false">CE113+CF63</f>
        <v>1172386.70410744</v>
      </c>
      <c r="CG110" s="138" t="n">
        <f aca="false">CF113+CG63</f>
        <v>1192101.24146441</v>
      </c>
      <c r="CH110" s="138" t="n">
        <f aca="false">CG113+CH63</f>
        <v>1211819.94548805</v>
      </c>
    </row>
    <row r="111" customFormat="false" ht="13.5" hidden="false" customHeight="true" outlineLevel="0" collapsed="false">
      <c r="A111" s="13" t="s">
        <v>784</v>
      </c>
      <c r="C111" s="138" t="n">
        <f aca="false">MIN(0.2*Hipótesis!$D$81,MAX(0,C110)*0.1)</f>
        <v>0</v>
      </c>
      <c r="D111" s="138" t="n">
        <f aca="false">MIN(0.2*Hipótesis!$D$81,MAX(0,D110)*0.1)</f>
        <v>0</v>
      </c>
      <c r="E111" s="138" t="n">
        <f aca="false">MIN(0.2*Hipótesis!$D$81,MAX(0,E110)*0.1)</f>
        <v>0</v>
      </c>
      <c r="F111" s="138" t="n">
        <f aca="false">MIN(0.2*Hipótesis!$D$81,MAX(0,F110)*0.1)</f>
        <v>0</v>
      </c>
      <c r="G111" s="138" t="n">
        <f aca="false">MIN(0.2*Hipótesis!$D$81,MAX(0,G110)*0.1)</f>
        <v>0</v>
      </c>
      <c r="H111" s="138" t="n">
        <f aca="false">MIN(0.2*Hipótesis!$D$81,MAX(0,H110)*0.1)</f>
        <v>0</v>
      </c>
      <c r="I111" s="138" t="n">
        <f aca="false">MIN(0.2*Hipótesis!$D$81,MAX(0,I110)*0.1)</f>
        <v>0</v>
      </c>
      <c r="J111" s="138" t="n">
        <f aca="false">MIN(0.2*Hipótesis!$D$81,MAX(0,J110)*0.1)</f>
        <v>0</v>
      </c>
      <c r="K111" s="138" t="n">
        <f aca="false">MIN(0.2*Hipótesis!$D$81,MAX(0,K110)*0.1)</f>
        <v>0</v>
      </c>
      <c r="L111" s="138" t="n">
        <f aca="false">MIN(0.2*Hipótesis!$D$81,MAX(0,L110)*0.1)</f>
        <v>0</v>
      </c>
      <c r="M111" s="138" t="n">
        <f aca="false">MIN(0.2*Hipótesis!$D$81,MAX(0,M110)*0.1)</f>
        <v>0</v>
      </c>
      <c r="N111" s="138" t="n">
        <f aca="false">MIN(0.2*Hipótesis!$D$81,MAX(0,N110)*0.1)</f>
        <v>0</v>
      </c>
      <c r="O111" s="138" t="n">
        <f aca="false">MIN(0.2*Hipótesis!$D$81,MAX(0,O110)*0.1)</f>
        <v>0</v>
      </c>
      <c r="P111" s="138" t="n">
        <f aca="false">MIN(0.2*Hipótesis!$D$81,MAX(0,P110)*0.1)</f>
        <v>0</v>
      </c>
      <c r="Q111" s="138" t="n">
        <f aca="false">MIN(0.2*Hipótesis!$D$81,MAX(0,Q110)*0.1)</f>
        <v>0</v>
      </c>
      <c r="R111" s="138" t="n">
        <f aca="false">MIN(0.2*Hipótesis!$D$81,MAX(0,R110)*0.1)</f>
        <v>0</v>
      </c>
      <c r="S111" s="138" t="n">
        <f aca="false">MIN(0.2*Hipótesis!$D$81,MAX(0,S110)*0.1)</f>
        <v>0</v>
      </c>
      <c r="T111" s="138" t="n">
        <f aca="false">MIN(0.2*Hipótesis!$D$81,MAX(0,T110)*0.1)</f>
        <v>0</v>
      </c>
      <c r="U111" s="138" t="n">
        <f aca="false">MIN(0.2*Hipótesis!$D$81,MAX(0,U110)*0.1)</f>
        <v>0</v>
      </c>
      <c r="V111" s="138" t="n">
        <f aca="false">MIN(0.2*Hipótesis!$D$81,MAX(0,V110)*0.1)</f>
        <v>0</v>
      </c>
      <c r="W111" s="138" t="n">
        <f aca="false">MIN(0.2*Hipótesis!$D$81,MAX(0,W110)*0.1)</f>
        <v>0</v>
      </c>
      <c r="X111" s="138" t="n">
        <f aca="false">MIN(0.2*Hipótesis!$D$81,MAX(0,X110)*0.1)</f>
        <v>0</v>
      </c>
      <c r="Y111" s="138" t="n">
        <f aca="false">MIN(0.2*Hipótesis!$D$81,MAX(0,Y110)*0.1)</f>
        <v>0</v>
      </c>
      <c r="Z111" s="138" t="n">
        <f aca="false">MIN(0.2*Hipótesis!$D$81,MAX(0,Z110)*0.1)</f>
        <v>0</v>
      </c>
      <c r="AA111" s="138" t="n">
        <f aca="false">MIN(0.2*Hipótesis!$D$81,MAX(0,AA110)*0.1)</f>
        <v>0</v>
      </c>
      <c r="AB111" s="138" t="n">
        <f aca="false">MIN(0.2*Hipótesis!$D$81,MAX(0,AB110)*0.1)</f>
        <v>132.905498283808</v>
      </c>
      <c r="AC111" s="138" t="n">
        <f aca="false">MIN(0.2*Hipótesis!$D$81,MAX(0,AC110)*0.1)</f>
        <v>1618.60137539488</v>
      </c>
      <c r="AD111" s="138" t="n">
        <f aca="false">MIN(0.2*Hipótesis!$D$81,MAX(0,AD110)*0.1)</f>
        <v>3248.27612944618</v>
      </c>
      <c r="AE111" s="138" t="n">
        <f aca="false">MIN(0.2*Hipótesis!$D$81,MAX(0,AE110)*0.1)</f>
        <v>4002.34982272883</v>
      </c>
      <c r="AF111" s="138" t="n">
        <f aca="false">MIN(0.2*Hipótesis!$D$81,MAX(0,AF110)*0.1)</f>
        <v>5721.67338598062</v>
      </c>
      <c r="AG111" s="138" t="n">
        <f aca="false">MIN(0.2*Hipótesis!$D$81,MAX(0,AG110)*0.1)</f>
        <v>7584.97582617265</v>
      </c>
      <c r="AH111" s="138" t="n">
        <f aca="false">MIN(0.2*Hipótesis!$D$81,MAX(0,AH110)*0.1)</f>
        <v>9592.25714330493</v>
      </c>
      <c r="AI111" s="138" t="n">
        <f aca="false">MIN(0.2*Hipótesis!$D$81,MAX(0,AI110)*0.1)</f>
        <v>11743.5173373774</v>
      </c>
      <c r="AJ111" s="138" t="n">
        <f aca="false">MIN(0.2*Hipótesis!$D$81,MAX(0,AJ110)*0.1)</f>
        <v>14038.7564083902</v>
      </c>
      <c r="AK111" s="138" t="n">
        <f aca="false">MIN(0.2*Hipótesis!$D$81,MAX(0,AK110)*0.1)</f>
        <v>16477.9743563432</v>
      </c>
      <c r="AL111" s="138" t="n">
        <f aca="false">MIN(0.2*Hipótesis!$D$81,MAX(0,AL110)*0.1)</f>
        <v>19061.1711812364</v>
      </c>
      <c r="AM111" s="138" t="n">
        <f aca="false">MIN(0.2*Hipótesis!$D$81,MAX(0,AM110)*0.1)</f>
        <v>20006</v>
      </c>
      <c r="AN111" s="138" t="n">
        <f aca="false">MIN(0.2*Hipótesis!$D$81,MAX(0,AN110)*0.1)</f>
        <v>20006</v>
      </c>
      <c r="AO111" s="138" t="n">
        <f aca="false">MIN(0.2*Hipótesis!$D$81,MAX(0,AO110)*0.1)</f>
        <v>20006</v>
      </c>
      <c r="AP111" s="138" t="n">
        <f aca="false">MIN(0.2*Hipótesis!$D$81,MAX(0,AP110)*0.1)</f>
        <v>20006</v>
      </c>
      <c r="AQ111" s="138" t="n">
        <f aca="false">MIN(0.2*Hipótesis!$D$81,MAX(0,AQ110)*0.1)</f>
        <v>20006</v>
      </c>
      <c r="AR111" s="138" t="n">
        <f aca="false">MIN(0.2*Hipótesis!$D$81,MAX(0,AR110)*0.1)</f>
        <v>20006</v>
      </c>
      <c r="AS111" s="138" t="n">
        <f aca="false">MIN(0.2*Hipótesis!$D$81,MAX(0,AS110)*0.1)</f>
        <v>20006</v>
      </c>
      <c r="AT111" s="138" t="n">
        <f aca="false">MIN(0.2*Hipótesis!$D$81,MAX(0,AT110)*0.1)</f>
        <v>20006</v>
      </c>
      <c r="AU111" s="138" t="n">
        <f aca="false">MIN(0.2*Hipótesis!$D$81,MAX(0,AU110)*0.1)</f>
        <v>20006</v>
      </c>
      <c r="AV111" s="138" t="n">
        <f aca="false">MIN(0.2*Hipótesis!$D$81,MAX(0,AV110)*0.1)</f>
        <v>20006</v>
      </c>
      <c r="AW111" s="138" t="n">
        <f aca="false">MIN(0.2*Hipótesis!$D$81,MAX(0,AW110)*0.1)</f>
        <v>20006</v>
      </c>
      <c r="AX111" s="138" t="n">
        <f aca="false">MIN(0.2*Hipótesis!$D$81,MAX(0,AX110)*0.1)</f>
        <v>20006</v>
      </c>
      <c r="AY111" s="138" t="n">
        <f aca="false">MIN(0.2*Hipótesis!$D$81,MAX(0,AY110)*0.1)</f>
        <v>20006</v>
      </c>
      <c r="AZ111" s="138" t="n">
        <f aca="false">MIN(0.2*Hipótesis!$D$81,MAX(0,AZ110)*0.1)</f>
        <v>20006</v>
      </c>
      <c r="BA111" s="138" t="n">
        <f aca="false">MIN(0.2*Hipótesis!$D$81,MAX(0,BA110)*0.1)</f>
        <v>20006</v>
      </c>
      <c r="BB111" s="138" t="n">
        <f aca="false">MIN(0.2*Hipótesis!$D$81,MAX(0,BB110)*0.1)</f>
        <v>20006</v>
      </c>
      <c r="BC111" s="138" t="n">
        <f aca="false">MIN(0.2*Hipótesis!$D$81,MAX(0,BC110)*0.1)</f>
        <v>20006</v>
      </c>
      <c r="BD111" s="138" t="n">
        <f aca="false">MIN(0.2*Hipótesis!$D$81,MAX(0,BD110)*0.1)</f>
        <v>20006</v>
      </c>
      <c r="BE111" s="138" t="n">
        <f aca="false">MIN(0.2*Hipótesis!$D$81,MAX(0,BE110)*0.1)</f>
        <v>20006</v>
      </c>
      <c r="BF111" s="138" t="n">
        <f aca="false">MIN(0.2*Hipótesis!$D$81,MAX(0,BF110)*0.1)</f>
        <v>20006</v>
      </c>
      <c r="BG111" s="138" t="n">
        <f aca="false">MIN(0.2*Hipótesis!$D$81,MAX(0,BG110)*0.1)</f>
        <v>20006</v>
      </c>
      <c r="BH111" s="138" t="n">
        <f aca="false">MIN(0.2*Hipótesis!$D$81,MAX(0,BH110)*0.1)</f>
        <v>20006</v>
      </c>
      <c r="BI111" s="138" t="n">
        <f aca="false">MIN(0.2*Hipótesis!$D$81,MAX(0,BI110)*0.1)</f>
        <v>20006</v>
      </c>
      <c r="BJ111" s="138" t="n">
        <f aca="false">MIN(0.2*Hipótesis!$D$81,MAX(0,BJ110)*0.1)</f>
        <v>20006</v>
      </c>
      <c r="BK111" s="138" t="n">
        <f aca="false">MIN(0.2*Hipótesis!$D$81,MAX(0,BK110)*0.1)</f>
        <v>20006</v>
      </c>
      <c r="BL111" s="138" t="n">
        <f aca="false">MIN(0.2*Hipótesis!$D$81,MAX(0,BL110)*0.1)</f>
        <v>20006</v>
      </c>
      <c r="BM111" s="138" t="n">
        <f aca="false">MIN(0.2*Hipótesis!$D$81,MAX(0,BM110)*0.1)</f>
        <v>20006</v>
      </c>
      <c r="BN111" s="138" t="n">
        <f aca="false">MIN(0.2*Hipótesis!$D$81,MAX(0,BN110)*0.1)</f>
        <v>20006</v>
      </c>
      <c r="BO111" s="138" t="n">
        <f aca="false">MIN(0.2*Hipótesis!$D$81,MAX(0,BO110)*0.1)</f>
        <v>20006</v>
      </c>
      <c r="BP111" s="138" t="n">
        <f aca="false">MIN(0.2*Hipótesis!$D$81,MAX(0,BP110)*0.1)</f>
        <v>20006</v>
      </c>
      <c r="BQ111" s="138" t="n">
        <f aca="false">MIN(0.2*Hipótesis!$D$81,MAX(0,BQ110)*0.1)</f>
        <v>20006</v>
      </c>
      <c r="BR111" s="138" t="n">
        <f aca="false">MIN(0.2*Hipótesis!$D$81,MAX(0,BR110)*0.1)</f>
        <v>20006</v>
      </c>
      <c r="BS111" s="138" t="n">
        <f aca="false">MIN(0.2*Hipótesis!$D$81,MAX(0,BS110)*0.1)</f>
        <v>20006</v>
      </c>
      <c r="BT111" s="138" t="n">
        <f aca="false">MIN(0.2*Hipótesis!$D$81,MAX(0,BT110)*0.1)</f>
        <v>20006</v>
      </c>
      <c r="BU111" s="138" t="n">
        <f aca="false">MIN(0.2*Hipótesis!$D$81,MAX(0,BU110)*0.1)</f>
        <v>20006</v>
      </c>
      <c r="BV111" s="138" t="n">
        <f aca="false">MIN(0.2*Hipótesis!$D$81,MAX(0,BV110)*0.1)</f>
        <v>20006</v>
      </c>
      <c r="BW111" s="138" t="n">
        <f aca="false">MIN(0.2*Hipótesis!$D$81,MAX(0,BW110)*0.1)</f>
        <v>20006</v>
      </c>
      <c r="BX111" s="138" t="n">
        <f aca="false">MIN(0.2*Hipótesis!$D$81,MAX(0,BX110)*0.1)</f>
        <v>20006</v>
      </c>
      <c r="BY111" s="138" t="n">
        <f aca="false">MIN(0.2*Hipótesis!$D$81,MAX(0,BY110)*0.1)</f>
        <v>20006</v>
      </c>
      <c r="BZ111" s="138" t="n">
        <f aca="false">MIN(0.2*Hipótesis!$D$81,MAX(0,BZ110)*0.1)</f>
        <v>20006</v>
      </c>
      <c r="CA111" s="138" t="n">
        <f aca="false">MIN(0.2*Hipótesis!$D$81,MAX(0,CA110)*0.1)</f>
        <v>20006</v>
      </c>
      <c r="CB111" s="138" t="n">
        <f aca="false">MIN(0.2*Hipótesis!$D$81,MAX(0,CB110)*0.1)</f>
        <v>20006</v>
      </c>
      <c r="CC111" s="138" t="n">
        <f aca="false">MIN(0.2*Hipótesis!$D$81,MAX(0,CC110)*0.1)</f>
        <v>20006</v>
      </c>
      <c r="CD111" s="138" t="n">
        <f aca="false">MIN(0.2*Hipótesis!$D$81,MAX(0,CD110)*0.1)</f>
        <v>20006</v>
      </c>
      <c r="CE111" s="138" t="n">
        <f aca="false">MIN(0.2*Hipótesis!$D$81,MAX(0,CE110)*0.1)</f>
        <v>20006</v>
      </c>
      <c r="CF111" s="138" t="n">
        <f aca="false">MIN(0.2*Hipótesis!$D$81,MAX(0,CF110)*0.1)</f>
        <v>20006</v>
      </c>
      <c r="CG111" s="138" t="n">
        <f aca="false">MIN(0.2*Hipótesis!$D$81,MAX(0,CG110)*0.1)</f>
        <v>20006</v>
      </c>
      <c r="CH111" s="138" t="n">
        <f aca="false">MIN(0.2*Hipótesis!$D$81,MAX(0,CH110)*0.1)</f>
        <v>20006</v>
      </c>
    </row>
    <row r="112" customFormat="false" ht="13.5" hidden="false" customHeight="true" outlineLevel="0" collapsed="false">
      <c r="A112" s="30" t="s">
        <v>785</v>
      </c>
      <c r="C112" s="138" t="n">
        <f aca="false">MAX(0,C110-C111)</f>
        <v>0</v>
      </c>
      <c r="D112" s="138" t="n">
        <f aca="false">MAX(0,D110-D111)</f>
        <v>0</v>
      </c>
      <c r="E112" s="138" t="n">
        <f aca="false">MAX(0,E110-E111)</f>
        <v>0</v>
      </c>
      <c r="F112" s="138" t="n">
        <f aca="false">MAX(0,F110-F111)</f>
        <v>0</v>
      </c>
      <c r="G112" s="138" t="n">
        <f aca="false">MAX(0,G110-G111)</f>
        <v>0</v>
      </c>
      <c r="H112" s="138" t="n">
        <f aca="false">MAX(0,H110-H111)</f>
        <v>0</v>
      </c>
      <c r="I112" s="138" t="n">
        <f aca="false">MAX(0,I110-I111)</f>
        <v>0</v>
      </c>
      <c r="J112" s="138" t="n">
        <f aca="false">MAX(0,J110-J111)</f>
        <v>0</v>
      </c>
      <c r="K112" s="138" t="n">
        <f aca="false">MAX(0,K110-K111)</f>
        <v>0</v>
      </c>
      <c r="L112" s="138" t="n">
        <f aca="false">MAX(0,L110-L111)</f>
        <v>0</v>
      </c>
      <c r="M112" s="138" t="n">
        <f aca="false">MAX(0,M110-M111)</f>
        <v>0</v>
      </c>
      <c r="N112" s="138" t="n">
        <f aca="false">MAX(0,N110-N111)</f>
        <v>0</v>
      </c>
      <c r="O112" s="138" t="n">
        <f aca="false">MAX(0,O110-O111)</f>
        <v>0</v>
      </c>
      <c r="P112" s="138" t="n">
        <f aca="false">MAX(0,P110-P111)</f>
        <v>0</v>
      </c>
      <c r="Q112" s="138" t="n">
        <f aca="false">MAX(0,Q110-Q111)</f>
        <v>0</v>
      </c>
      <c r="R112" s="138" t="n">
        <f aca="false">MAX(0,R110-R111)</f>
        <v>0</v>
      </c>
      <c r="S112" s="138" t="n">
        <f aca="false">MAX(0,S110-S111)</f>
        <v>0</v>
      </c>
      <c r="T112" s="138" t="n">
        <f aca="false">MAX(0,T110-T111)</f>
        <v>0</v>
      </c>
      <c r="U112" s="138" t="n">
        <f aca="false">MAX(0,U110-U111)</f>
        <v>0</v>
      </c>
      <c r="V112" s="138" t="n">
        <f aca="false">MAX(0,V110-V111)</f>
        <v>0</v>
      </c>
      <c r="W112" s="138" t="n">
        <f aca="false">MAX(0,W110-W111)</f>
        <v>0</v>
      </c>
      <c r="X112" s="138" t="n">
        <f aca="false">MAX(0,X110-X111)</f>
        <v>0</v>
      </c>
      <c r="Y112" s="138" t="n">
        <f aca="false">MAX(0,Y110-Y111)</f>
        <v>0</v>
      </c>
      <c r="Z112" s="138" t="n">
        <f aca="false">MAX(0,Z110-Z111)</f>
        <v>0</v>
      </c>
      <c r="AA112" s="138" t="n">
        <f aca="false">MAX(0,AA110-AA111)</f>
        <v>0</v>
      </c>
      <c r="AB112" s="138" t="n">
        <f aca="false">MAX(0,AB110-AB111)</f>
        <v>1196.14948455428</v>
      </c>
      <c r="AC112" s="138" t="n">
        <f aca="false">MAX(0,AC110-AC111)</f>
        <v>14567.4123785539</v>
      </c>
      <c r="AD112" s="138" t="n">
        <f aca="false">MAX(0,AD110-AD111)</f>
        <v>29234.4851650157</v>
      </c>
      <c r="AE112" s="138" t="n">
        <f aca="false">MAX(0,AE110-AE111)</f>
        <v>36021.1484045595</v>
      </c>
      <c r="AF112" s="138" t="n">
        <f aca="false">MAX(0,AF110-AF111)</f>
        <v>51495.0604738256</v>
      </c>
      <c r="AG112" s="138" t="n">
        <f aca="false">MAX(0,AG110-AG111)</f>
        <v>68264.7824355539</v>
      </c>
      <c r="AH112" s="138" t="n">
        <f aca="false">MAX(0,AH110-AH111)</f>
        <v>86330.3142897443</v>
      </c>
      <c r="AI112" s="138" t="n">
        <f aca="false">MAX(0,AI110-AI111)</f>
        <v>105691.656036397</v>
      </c>
      <c r="AJ112" s="138" t="n">
        <f aca="false">MAX(0,AJ110-AJ111)</f>
        <v>126348.807675512</v>
      </c>
      <c r="AK112" s="138" t="n">
        <f aca="false">MAX(0,AK110-AK111)</f>
        <v>148301.769207089</v>
      </c>
      <c r="AL112" s="138" t="n">
        <f aca="false">MAX(0,AL110-AL111)</f>
        <v>171550.540631128</v>
      </c>
      <c r="AM112" s="138" t="n">
        <f aca="false">MAX(0,AM110-AM111)</f>
        <v>190856.991115535</v>
      </c>
      <c r="AN112" s="138" t="n">
        <f aca="false">MAX(0,AN110-AN111)</f>
        <v>212119.123842446</v>
      </c>
      <c r="AO112" s="138" t="n">
        <f aca="false">MAX(0,AO110-AO111)</f>
        <v>234392.109993096</v>
      </c>
      <c r="AP112" s="138" t="n">
        <f aca="false">MAX(0,AP110-AP111)</f>
        <v>257675.949567486</v>
      </c>
      <c r="AQ112" s="138" t="n">
        <f aca="false">MAX(0,AQ110-AQ111)</f>
        <v>270944.76089497</v>
      </c>
      <c r="AR112" s="138" t="n">
        <f aca="false">MAX(0,AR110-AR111)</f>
        <v>296250.307316839</v>
      </c>
      <c r="AS112" s="138" t="n">
        <f aca="false">MAX(0,AS110-AS111)</f>
        <v>321560.020405374</v>
      </c>
      <c r="AT112" s="138" t="n">
        <f aca="false">MAX(0,AT110-AT111)</f>
        <v>346873.900160577</v>
      </c>
      <c r="AU112" s="138" t="n">
        <f aca="false">MAX(0,AU110-AU111)</f>
        <v>372191.946582445</v>
      </c>
      <c r="AV112" s="138" t="n">
        <f aca="false">MAX(0,AV110-AV111)</f>
        <v>397514.159670981</v>
      </c>
      <c r="AW112" s="138" t="n">
        <f aca="false">MAX(0,AW110-AW111)</f>
        <v>422840.539426183</v>
      </c>
      <c r="AX112" s="138" t="n">
        <f aca="false">MAX(0,AX110-AX111)</f>
        <v>448171.085848052</v>
      </c>
      <c r="AY112" s="138" t="n">
        <f aca="false">MAX(0,AY110-AY111)</f>
        <v>471598.869185307</v>
      </c>
      <c r="AZ112" s="138" t="n">
        <f aca="false">MAX(0,AZ110-AZ111)</f>
        <v>495030.819189228</v>
      </c>
      <c r="BA112" s="138" t="n">
        <f aca="false">MAX(0,BA110-BA111)</f>
        <v>518466.935859817</v>
      </c>
      <c r="BB112" s="138" t="n">
        <f aca="false">MAX(0,BB110-BB111)</f>
        <v>541907.219197072</v>
      </c>
      <c r="BC112" s="138" t="n">
        <f aca="false">MAX(0,BC110-BC111)</f>
        <v>554325.787530348</v>
      </c>
      <c r="BD112" s="138" t="n">
        <f aca="false">MAX(0,BD110-BD111)</f>
        <v>577774.404200937</v>
      </c>
      <c r="BE112" s="138" t="n">
        <f aca="false">MAX(0,BE110-BE111)</f>
        <v>601227.187538192</v>
      </c>
      <c r="BF112" s="138" t="n">
        <f aca="false">MAX(0,BF110-BF111)</f>
        <v>624684.137542113</v>
      </c>
      <c r="BG112" s="138" t="n">
        <f aca="false">MAX(0,BG110-BG111)</f>
        <v>648145.254212702</v>
      </c>
      <c r="BH112" s="138" t="n">
        <f aca="false">MAX(0,BH110-BH111)</f>
        <v>671610.537549957</v>
      </c>
      <c r="BI112" s="138" t="n">
        <f aca="false">MAX(0,BI110-BI111)</f>
        <v>695079.987553879</v>
      </c>
      <c r="BJ112" s="138" t="n">
        <f aca="false">MAX(0,BJ110-BJ111)</f>
        <v>718553.604224467</v>
      </c>
      <c r="BK112" s="138" t="n">
        <f aca="false">MAX(0,BK110-BK111)</f>
        <v>740110.908917903</v>
      </c>
      <c r="BL112" s="138" t="n">
        <f aca="false">MAX(0,BL110-BL111)</f>
        <v>761672.380278006</v>
      </c>
      <c r="BM112" s="138" t="n">
        <f aca="false">MAX(0,BM110-BM111)</f>
        <v>783238.018304776</v>
      </c>
      <c r="BN112" s="138" t="n">
        <f aca="false">MAX(0,BN110-BN111)</f>
        <v>804807.822998212</v>
      </c>
      <c r="BO112" s="138" t="n">
        <f aca="false">MAX(0,BO110-BO111)</f>
        <v>815355.912687669</v>
      </c>
      <c r="BP112" s="138" t="n">
        <f aca="false">MAX(0,BP110-BP111)</f>
        <v>836934.050714439</v>
      </c>
      <c r="BQ112" s="138" t="n">
        <f aca="false">MAX(0,BQ110-BQ111)</f>
        <v>858516.355407875</v>
      </c>
      <c r="BR112" s="138" t="n">
        <f aca="false">MAX(0,BR110-BR111)</f>
        <v>880102.826767978</v>
      </c>
      <c r="BS112" s="138" t="n">
        <f aca="false">MAX(0,BS110-BS111)</f>
        <v>901693.464794748</v>
      </c>
      <c r="BT112" s="138" t="n">
        <f aca="false">MAX(0,BT110-BT111)</f>
        <v>923288.269488184</v>
      </c>
      <c r="BU112" s="138" t="n">
        <f aca="false">MAX(0,BU110-BU111)</f>
        <v>944887.240848287</v>
      </c>
      <c r="BV112" s="138" t="n">
        <f aca="false">MAX(0,BV110-BV111)</f>
        <v>966490.378875056</v>
      </c>
      <c r="BW112" s="138" t="n">
        <f aca="false">MAX(0,BW110-BW111)</f>
        <v>986163.249565359</v>
      </c>
      <c r="BX112" s="138" t="n">
        <f aca="false">MAX(0,BX110-BX111)</f>
        <v>1005840.28692233</v>
      </c>
      <c r="BY112" s="138" t="n">
        <f aca="false">MAX(0,BY110-BY111)</f>
        <v>1025521.49094596</v>
      </c>
      <c r="BZ112" s="138" t="n">
        <f aca="false">MAX(0,BZ110-BZ111)</f>
        <v>1045206.86163627</v>
      </c>
      <c r="CA112" s="138" t="n">
        <f aca="false">MAX(0,CA110-CA111)</f>
        <v>1053870.51732259</v>
      </c>
      <c r="CB112" s="138" t="n">
        <f aca="false">MAX(0,CB110-CB111)</f>
        <v>1073564.22134623</v>
      </c>
      <c r="CC112" s="138" t="n">
        <f aca="false">MAX(0,CC110-CC111)</f>
        <v>1093262.09203653</v>
      </c>
      <c r="CD112" s="138" t="n">
        <f aca="false">MAX(0,CD110-CD111)</f>
        <v>1112964.1293935</v>
      </c>
      <c r="CE112" s="138" t="n">
        <f aca="false">MAX(0,CE110-CE111)</f>
        <v>1132670.33341714</v>
      </c>
      <c r="CF112" s="138" t="n">
        <f aca="false">MAX(0,CF110-CF111)</f>
        <v>1152380.70410744</v>
      </c>
      <c r="CG112" s="138" t="n">
        <f aca="false">MAX(0,CG110-CG111)</f>
        <v>1172095.24146441</v>
      </c>
      <c r="CH112" s="138" t="n">
        <f aca="false">MAX(0,CH110-CH111)</f>
        <v>1191813.94548805</v>
      </c>
    </row>
    <row r="113" customFormat="false" ht="13.5" hidden="false" customHeight="true" outlineLevel="0" collapsed="false">
      <c r="A113" s="13" t="s">
        <v>786</v>
      </c>
      <c r="C113" s="138" t="n">
        <f aca="false">C110+C84</f>
        <v>-17671.8514057852</v>
      </c>
      <c r="D113" s="138" t="n">
        <f aca="false">D110+D84</f>
        <v>-34080.620399363</v>
      </c>
      <c r="E113" s="138" t="n">
        <f aca="false">E110+E84</f>
        <v>-48521.5612283007</v>
      </c>
      <c r="F113" s="138" t="n">
        <f aca="false">F110+F84</f>
        <v>-61647.793956911</v>
      </c>
      <c r="G113" s="138" t="n">
        <f aca="false">G110+G84</f>
        <v>-75913.9002024783</v>
      </c>
      <c r="H113" s="138" t="n">
        <f aca="false">H110+H84</f>
        <v>-86131.0834807605</v>
      </c>
      <c r="I113" s="138" t="n">
        <f aca="false">I110+I84</f>
        <v>-94210.9494230549</v>
      </c>
      <c r="J113" s="138" t="n">
        <f aca="false">J110+J84</f>
        <v>-99438.1503406677</v>
      </c>
      <c r="K113" s="138" t="n">
        <f aca="false">K110+K84</f>
        <v>-101829.299854267</v>
      </c>
      <c r="L113" s="138" t="n">
        <f aca="false">L110+L84</f>
        <v>-101534.574048877</v>
      </c>
      <c r="M113" s="138" t="n">
        <f aca="false">M110+M84</f>
        <v>-99510.2529227087</v>
      </c>
      <c r="N113" s="138" t="n">
        <f aca="false">N110+N84</f>
        <v>-97210.7150262875</v>
      </c>
      <c r="O113" s="138" t="n">
        <f aca="false">O110+O84</f>
        <v>-97176.8598827283</v>
      </c>
      <c r="P113" s="138" t="n">
        <f aca="false">P110+P84</f>
        <v>-95163.9881439379</v>
      </c>
      <c r="Q113" s="138" t="n">
        <f aca="false">Q110+Q84</f>
        <v>-93089.6629869988</v>
      </c>
      <c r="R113" s="138" t="n">
        <f aca="false">R110+R84</f>
        <v>-89028.5584817095</v>
      </c>
      <c r="S113" s="138" t="n">
        <f aca="false">S110+S84</f>
        <v>-89260.580437084</v>
      </c>
      <c r="T113" s="138" t="n">
        <f aca="false">T110+T84</f>
        <v>-83118.8702294333</v>
      </c>
      <c r="U113" s="138" t="n">
        <f aca="false">U110+U84</f>
        <v>-75008.8134745366</v>
      </c>
      <c r="V113" s="138" t="n">
        <f aca="false">V110+V84</f>
        <v>-67154.5289352338</v>
      </c>
      <c r="W113" s="138" t="n">
        <f aca="false">W110+W84</f>
        <v>-57292.1624995219</v>
      </c>
      <c r="X113" s="138" t="n">
        <f aca="false">X110+X84</f>
        <v>-47747.6294006471</v>
      </c>
      <c r="Y113" s="138" t="n">
        <f aca="false">Y110+Y84</f>
        <v>-36624.0960995017</v>
      </c>
      <c r="Z113" s="138" t="n">
        <f aca="false">Z110+Z84</f>
        <v>-24065.496251176</v>
      </c>
      <c r="AA113" s="138" t="n">
        <f aca="false">AA110+AA84</f>
        <v>-12088.1150188702</v>
      </c>
      <c r="AB113" s="138" t="n">
        <f aca="false">AB110+AB84</f>
        <v>1329.05498283808</v>
      </c>
      <c r="AC113" s="138" t="n">
        <f aca="false">AC110+AC84</f>
        <v>16186.0137539488</v>
      </c>
      <c r="AD113" s="138" t="n">
        <f aca="false">AD110+AD84</f>
        <v>32482.7612944618</v>
      </c>
      <c r="AE113" s="138" t="n">
        <f aca="false">AE110+AE84</f>
        <v>40023.4982272883</v>
      </c>
      <c r="AF113" s="138" t="n">
        <f aca="false">AF110+AF84</f>
        <v>57216.7338598062</v>
      </c>
      <c r="AG113" s="138" t="n">
        <f aca="false">AG110+AG84</f>
        <v>75849.7582617265</v>
      </c>
      <c r="AH113" s="138" t="n">
        <f aca="false">AH110+AH84</f>
        <v>95922.5714330493</v>
      </c>
      <c r="AI113" s="138" t="n">
        <f aca="false">AI110+AI84</f>
        <v>117435.173373774</v>
      </c>
      <c r="AJ113" s="138" t="n">
        <f aca="false">AJ110+AJ84</f>
        <v>140387.564083902</v>
      </c>
      <c r="AK113" s="138" t="n">
        <f aca="false">AK110+AK84</f>
        <v>164779.743563432</v>
      </c>
      <c r="AL113" s="138" t="n">
        <f aca="false">AL110+AL84</f>
        <v>190611.711812364</v>
      </c>
      <c r="AM113" s="138" t="n">
        <f aca="false">AM110+AM84</f>
        <v>210862.991115535</v>
      </c>
      <c r="AN113" s="138" t="n">
        <f aca="false">AN110+AN84</f>
        <v>232125.123842446</v>
      </c>
      <c r="AO113" s="138" t="n">
        <f aca="false">AO110+AO84</f>
        <v>254398.109993096</v>
      </c>
      <c r="AP113" s="138" t="n">
        <f aca="false">AP110+AP84</f>
        <v>277681.949567486</v>
      </c>
      <c r="AQ113" s="138" t="n">
        <f aca="false">AQ110+AQ84</f>
        <v>290950.76089497</v>
      </c>
      <c r="AR113" s="138" t="n">
        <f aca="false">AR110+AR84</f>
        <v>316256.307316839</v>
      </c>
      <c r="AS113" s="138" t="n">
        <f aca="false">AS110+AS84</f>
        <v>341566.020405374</v>
      </c>
      <c r="AT113" s="138" t="n">
        <f aca="false">AT110+AT84</f>
        <v>366879.900160577</v>
      </c>
      <c r="AU113" s="138" t="n">
        <f aca="false">AU110+AU84</f>
        <v>392197.946582445</v>
      </c>
      <c r="AV113" s="138" t="n">
        <f aca="false">AV110+AV84</f>
        <v>417520.159670981</v>
      </c>
      <c r="AW113" s="138" t="n">
        <f aca="false">AW110+AW84</f>
        <v>442846.539426183</v>
      </c>
      <c r="AX113" s="138" t="n">
        <f aca="false">AX110+AX84</f>
        <v>468177.085848052</v>
      </c>
      <c r="AY113" s="138" t="n">
        <f aca="false">AY110+AY84</f>
        <v>491604.869185307</v>
      </c>
      <c r="AZ113" s="138" t="n">
        <f aca="false">AZ110+AZ84</f>
        <v>515036.819189228</v>
      </c>
      <c r="BA113" s="138" t="n">
        <f aca="false">BA110+BA84</f>
        <v>538472.935859817</v>
      </c>
      <c r="BB113" s="138" t="n">
        <f aca="false">BB110+BB84</f>
        <v>561913.219197072</v>
      </c>
      <c r="BC113" s="138" t="n">
        <f aca="false">BC110+BC84</f>
        <v>574331.787530348</v>
      </c>
      <c r="BD113" s="138" t="n">
        <f aca="false">BD110+BD84</f>
        <v>597780.404200937</v>
      </c>
      <c r="BE113" s="138" t="n">
        <f aca="false">BE110+BE84</f>
        <v>621233.187538192</v>
      </c>
      <c r="BF113" s="138" t="n">
        <f aca="false">BF110+BF84</f>
        <v>644690.137542113</v>
      </c>
      <c r="BG113" s="138" t="n">
        <f aca="false">BG110+BG84</f>
        <v>668151.254212702</v>
      </c>
      <c r="BH113" s="138" t="n">
        <f aca="false">BH110+BH84</f>
        <v>691616.537549957</v>
      </c>
      <c r="BI113" s="138" t="n">
        <f aca="false">BI110+BI84</f>
        <v>715085.987553879</v>
      </c>
      <c r="BJ113" s="138" t="n">
        <f aca="false">BJ110+BJ84</f>
        <v>738559.604224467</v>
      </c>
      <c r="BK113" s="138" t="n">
        <f aca="false">BK110+BK84</f>
        <v>760116.908917903</v>
      </c>
      <c r="BL113" s="138" t="n">
        <f aca="false">BL110+BL84</f>
        <v>781678.380278006</v>
      </c>
      <c r="BM113" s="138" t="n">
        <f aca="false">BM110+BM84</f>
        <v>803244.018304776</v>
      </c>
      <c r="BN113" s="138" t="n">
        <f aca="false">BN110+BN84</f>
        <v>824813.822998212</v>
      </c>
      <c r="BO113" s="138" t="n">
        <f aca="false">BO110+BO84</f>
        <v>835361.912687669</v>
      </c>
      <c r="BP113" s="138" t="n">
        <f aca="false">BP110+BP84</f>
        <v>856940.050714439</v>
      </c>
      <c r="BQ113" s="138" t="n">
        <f aca="false">BQ110+BQ84</f>
        <v>878522.355407875</v>
      </c>
      <c r="BR113" s="138" t="n">
        <f aca="false">BR110+BR84</f>
        <v>900108.826767978</v>
      </c>
      <c r="BS113" s="138" t="n">
        <f aca="false">BS110+BS84</f>
        <v>921699.464794748</v>
      </c>
      <c r="BT113" s="138" t="n">
        <f aca="false">BT110+BT84</f>
        <v>943294.269488184</v>
      </c>
      <c r="BU113" s="138" t="n">
        <f aca="false">BU110+BU84</f>
        <v>964893.240848287</v>
      </c>
      <c r="BV113" s="138" t="n">
        <f aca="false">BV110+BV84</f>
        <v>986496.378875056</v>
      </c>
      <c r="BW113" s="138" t="n">
        <f aca="false">BW110+BW84</f>
        <v>1006169.24956536</v>
      </c>
      <c r="BX113" s="138" t="n">
        <f aca="false">BX110+BX84</f>
        <v>1025846.28692233</v>
      </c>
      <c r="BY113" s="138" t="n">
        <f aca="false">BY110+BY84</f>
        <v>1045527.49094596</v>
      </c>
      <c r="BZ113" s="138" t="n">
        <f aca="false">BZ110+BZ84</f>
        <v>1065212.86163627</v>
      </c>
      <c r="CA113" s="138" t="n">
        <f aca="false">CA110+CA84</f>
        <v>1073876.51732259</v>
      </c>
      <c r="CB113" s="138" t="n">
        <f aca="false">CB110+CB84</f>
        <v>1093570.22134623</v>
      </c>
      <c r="CC113" s="138" t="n">
        <f aca="false">CC110+CC84</f>
        <v>1113268.09203653</v>
      </c>
      <c r="CD113" s="138" t="n">
        <f aca="false">CD110+CD84</f>
        <v>1132970.1293935</v>
      </c>
      <c r="CE113" s="138" t="n">
        <f aca="false">CE110+CE84</f>
        <v>1152676.33341714</v>
      </c>
      <c r="CF113" s="138" t="n">
        <f aca="false">CF110+CF84</f>
        <v>1172386.70410744</v>
      </c>
      <c r="CG113" s="138" t="n">
        <f aca="false">CG110+CG84</f>
        <v>1192101.24146441</v>
      </c>
      <c r="CH113" s="138" t="n">
        <f aca="false">CH110+CH84</f>
        <v>1211819.94548805</v>
      </c>
    </row>
    <row r="114" customFormat="false" ht="13.5" hidden="false" customHeight="true" outlineLevel="0" collapsed="false">
      <c r="A114" s="13" t="s">
        <v>787</v>
      </c>
      <c r="C114" s="138" t="n">
        <f aca="false">-C84</f>
        <v>0</v>
      </c>
      <c r="D114" s="138" t="n">
        <f aca="false">C114-D84</f>
        <v>0</v>
      </c>
      <c r="E114" s="138" t="n">
        <f aca="false">D114-E84</f>
        <v>0</v>
      </c>
      <c r="F114" s="138" t="n">
        <f aca="false">E114-F84</f>
        <v>0</v>
      </c>
      <c r="G114" s="138" t="n">
        <f aca="false">F114-G84</f>
        <v>0</v>
      </c>
      <c r="H114" s="138" t="n">
        <f aca="false">G114-H84</f>
        <v>0</v>
      </c>
      <c r="I114" s="138" t="n">
        <f aca="false">H114-I84</f>
        <v>0</v>
      </c>
      <c r="J114" s="138" t="n">
        <f aca="false">I114-J84</f>
        <v>0</v>
      </c>
      <c r="K114" s="138" t="n">
        <f aca="false">J114-K84</f>
        <v>0</v>
      </c>
      <c r="L114" s="138" t="n">
        <f aca="false">K114-L84</f>
        <v>0</v>
      </c>
      <c r="M114" s="138" t="n">
        <f aca="false">L114-M84</f>
        <v>0</v>
      </c>
      <c r="N114" s="138" t="n">
        <f aca="false">M114-N84</f>
        <v>0</v>
      </c>
      <c r="O114" s="138" t="n">
        <f aca="false">N114-O84</f>
        <v>0</v>
      </c>
      <c r="P114" s="138" t="n">
        <f aca="false">O114-P84</f>
        <v>0</v>
      </c>
      <c r="Q114" s="138" t="n">
        <f aca="false">P114-Q84</f>
        <v>0</v>
      </c>
      <c r="R114" s="138" t="n">
        <f aca="false">Q114-R84</f>
        <v>0</v>
      </c>
      <c r="S114" s="138" t="n">
        <f aca="false">R114-S84</f>
        <v>0</v>
      </c>
      <c r="T114" s="138" t="n">
        <f aca="false">S114-T84</f>
        <v>0</v>
      </c>
      <c r="U114" s="138" t="n">
        <f aca="false">T114-U84</f>
        <v>0</v>
      </c>
      <c r="V114" s="138" t="n">
        <f aca="false">U114-V84</f>
        <v>0</v>
      </c>
      <c r="W114" s="138" t="n">
        <f aca="false">V114-W84</f>
        <v>0</v>
      </c>
      <c r="X114" s="138" t="n">
        <f aca="false">W114-X84</f>
        <v>0</v>
      </c>
      <c r="Y114" s="138" t="n">
        <f aca="false">X114-Y84</f>
        <v>0</v>
      </c>
      <c r="Z114" s="138" t="n">
        <f aca="false">Y114-Z84</f>
        <v>0</v>
      </c>
      <c r="AA114" s="138" t="n">
        <f aca="false">Z114-AA84</f>
        <v>0</v>
      </c>
      <c r="AB114" s="138" t="n">
        <f aca="false">AA114-AB84</f>
        <v>0</v>
      </c>
      <c r="AC114" s="138" t="n">
        <f aca="false">AB114-AC84</f>
        <v>0</v>
      </c>
      <c r="AD114" s="138" t="n">
        <f aca="false">AC114-AD84</f>
        <v>0</v>
      </c>
      <c r="AE114" s="138" t="n">
        <f aca="false">AD114-AE84</f>
        <v>0</v>
      </c>
      <c r="AF114" s="138" t="n">
        <f aca="false">AE114-AF84</f>
        <v>0</v>
      </c>
      <c r="AG114" s="138" t="n">
        <f aca="false">AF114-AG84</f>
        <v>0</v>
      </c>
      <c r="AH114" s="138" t="n">
        <f aca="false">AG114-AH84</f>
        <v>0</v>
      </c>
      <c r="AI114" s="138" t="n">
        <f aca="false">AH114-AI84</f>
        <v>0</v>
      </c>
      <c r="AJ114" s="138" t="n">
        <f aca="false">AI114-AJ84</f>
        <v>0</v>
      </c>
      <c r="AK114" s="138" t="n">
        <f aca="false">AJ114-AK84</f>
        <v>0</v>
      </c>
      <c r="AL114" s="138" t="n">
        <f aca="false">AK114-AL84</f>
        <v>0</v>
      </c>
      <c r="AM114" s="138" t="n">
        <f aca="false">AL114-AM84</f>
        <v>0</v>
      </c>
      <c r="AN114" s="138" t="n">
        <f aca="false">AM114-AN84</f>
        <v>0</v>
      </c>
      <c r="AO114" s="138" t="n">
        <f aca="false">AN114-AO84</f>
        <v>0</v>
      </c>
      <c r="AP114" s="138" t="n">
        <f aca="false">AO114-AP84</f>
        <v>0</v>
      </c>
      <c r="AQ114" s="138" t="n">
        <f aca="false">AP114-AQ84</f>
        <v>0</v>
      </c>
      <c r="AR114" s="138" t="n">
        <f aca="false">AQ114-AR84</f>
        <v>0</v>
      </c>
      <c r="AS114" s="138" t="n">
        <f aca="false">AR114-AS84</f>
        <v>0</v>
      </c>
      <c r="AT114" s="138" t="n">
        <f aca="false">AS114-AT84</f>
        <v>0</v>
      </c>
      <c r="AU114" s="138" t="n">
        <f aca="false">AT114-AU84</f>
        <v>0</v>
      </c>
      <c r="AV114" s="138" t="n">
        <f aca="false">AU114-AV84</f>
        <v>0</v>
      </c>
      <c r="AW114" s="138" t="n">
        <f aca="false">AV114-AW84</f>
        <v>0</v>
      </c>
      <c r="AX114" s="138" t="n">
        <f aca="false">AW114-AX84</f>
        <v>0</v>
      </c>
      <c r="AY114" s="138" t="n">
        <f aca="false">AX114-AY84</f>
        <v>0</v>
      </c>
      <c r="AZ114" s="138" t="n">
        <f aca="false">AY114-AZ84</f>
        <v>0</v>
      </c>
      <c r="BA114" s="138" t="n">
        <f aca="false">AZ114-BA84</f>
        <v>0</v>
      </c>
      <c r="BB114" s="138" t="n">
        <f aca="false">BA114-BB84</f>
        <v>0</v>
      </c>
      <c r="BC114" s="138" t="n">
        <f aca="false">BB114-BC84</f>
        <v>0</v>
      </c>
      <c r="BD114" s="138" t="n">
        <f aca="false">BC114-BD84</f>
        <v>0</v>
      </c>
      <c r="BE114" s="138" t="n">
        <f aca="false">BD114-BE84</f>
        <v>0</v>
      </c>
      <c r="BF114" s="138" t="n">
        <f aca="false">BE114-BF84</f>
        <v>0</v>
      </c>
      <c r="BG114" s="138" t="n">
        <f aca="false">BF114-BG84</f>
        <v>0</v>
      </c>
      <c r="BH114" s="138" t="n">
        <f aca="false">BG114-BH84</f>
        <v>0</v>
      </c>
      <c r="BI114" s="138" t="n">
        <f aca="false">BH114-BI84</f>
        <v>0</v>
      </c>
      <c r="BJ114" s="138" t="n">
        <f aca="false">BI114-BJ84</f>
        <v>0</v>
      </c>
      <c r="BK114" s="138" t="n">
        <f aca="false">BJ114-BK84</f>
        <v>0</v>
      </c>
      <c r="BL114" s="138" t="n">
        <f aca="false">BK114-BL84</f>
        <v>0</v>
      </c>
      <c r="BM114" s="138" t="n">
        <f aca="false">BL114-BM84</f>
        <v>0</v>
      </c>
      <c r="BN114" s="138" t="n">
        <f aca="false">BM114-BN84</f>
        <v>0</v>
      </c>
      <c r="BO114" s="138" t="n">
        <f aca="false">BN114-BO84</f>
        <v>0</v>
      </c>
      <c r="BP114" s="138" t="n">
        <f aca="false">BO114-BP84</f>
        <v>0</v>
      </c>
      <c r="BQ114" s="138" t="n">
        <f aca="false">BP114-BQ84</f>
        <v>0</v>
      </c>
      <c r="BR114" s="138" t="n">
        <f aca="false">BQ114-BR84</f>
        <v>0</v>
      </c>
      <c r="BS114" s="138" t="n">
        <f aca="false">BR114-BS84</f>
        <v>0</v>
      </c>
      <c r="BT114" s="138" t="n">
        <f aca="false">BS114-BT84</f>
        <v>0</v>
      </c>
      <c r="BU114" s="138" t="n">
        <f aca="false">BT114-BU84</f>
        <v>0</v>
      </c>
      <c r="BV114" s="138" t="n">
        <f aca="false">BU114-BV84</f>
        <v>0</v>
      </c>
      <c r="BW114" s="138" t="n">
        <f aca="false">BV114-BW84</f>
        <v>0</v>
      </c>
      <c r="BX114" s="138" t="n">
        <f aca="false">BW114-BX84</f>
        <v>0</v>
      </c>
      <c r="BY114" s="138" t="n">
        <f aca="false">BX114-BY84</f>
        <v>0</v>
      </c>
      <c r="BZ114" s="138" t="n">
        <f aca="false">BY114-BZ84</f>
        <v>0</v>
      </c>
      <c r="CA114" s="138" t="n">
        <f aca="false">BZ114-CA84</f>
        <v>0</v>
      </c>
      <c r="CB114" s="138" t="n">
        <f aca="false">CA114-CB84</f>
        <v>0</v>
      </c>
      <c r="CC114" s="138" t="n">
        <f aca="false">CB114-CC84</f>
        <v>0</v>
      </c>
      <c r="CD114" s="138" t="n">
        <f aca="false">CC114-CD84</f>
        <v>0</v>
      </c>
      <c r="CE114" s="138" t="n">
        <f aca="false">CD114-CE84</f>
        <v>0</v>
      </c>
      <c r="CF114" s="138" t="n">
        <f aca="false">CE114-CF84</f>
        <v>0</v>
      </c>
      <c r="CG114" s="138" t="n">
        <f aca="false">CF114-CG84</f>
        <v>0</v>
      </c>
      <c r="CH114" s="138" t="n">
        <f aca="false">CG114-CH84</f>
        <v>0</v>
      </c>
    </row>
    <row r="115" customFormat="false" ht="13.5" hidden="false" customHeight="true" outlineLevel="0" collapsed="false">
      <c r="A115" s="13" t="s">
        <v>788</v>
      </c>
      <c r="C115" s="138" t="n">
        <f aca="false">-C83</f>
        <v>0</v>
      </c>
      <c r="D115" s="138" t="n">
        <f aca="false">C115-D83</f>
        <v>0</v>
      </c>
      <c r="E115" s="138" t="n">
        <f aca="false">D115-E83</f>
        <v>0</v>
      </c>
      <c r="F115" s="138" t="n">
        <f aca="false">E115-F83</f>
        <v>0</v>
      </c>
      <c r="G115" s="138" t="n">
        <f aca="false">F115-G83</f>
        <v>0</v>
      </c>
      <c r="H115" s="138" t="n">
        <f aca="false">G115-H83</f>
        <v>0</v>
      </c>
      <c r="I115" s="138" t="n">
        <f aca="false">H115-I83</f>
        <v>0</v>
      </c>
      <c r="J115" s="138" t="n">
        <f aca="false">I115-J83</f>
        <v>0</v>
      </c>
      <c r="K115" s="138" t="n">
        <f aca="false">J115-K83</f>
        <v>0</v>
      </c>
      <c r="L115" s="138" t="n">
        <f aca="false">K115-L83</f>
        <v>0</v>
      </c>
      <c r="M115" s="138" t="n">
        <f aca="false">L115-M83</f>
        <v>0</v>
      </c>
      <c r="N115" s="138" t="n">
        <f aca="false">M115-N83</f>
        <v>0</v>
      </c>
      <c r="O115" s="138" t="n">
        <f aca="false">N115-O83</f>
        <v>0</v>
      </c>
      <c r="P115" s="138" t="n">
        <f aca="false">O115-P83</f>
        <v>0</v>
      </c>
      <c r="Q115" s="138" t="n">
        <f aca="false">P115-Q83</f>
        <v>0</v>
      </c>
      <c r="R115" s="138" t="n">
        <f aca="false">Q115-R83</f>
        <v>0</v>
      </c>
      <c r="S115" s="138" t="n">
        <f aca="false">R115-S83</f>
        <v>0</v>
      </c>
      <c r="T115" s="138" t="n">
        <f aca="false">S115-T83</f>
        <v>0</v>
      </c>
      <c r="U115" s="138" t="n">
        <f aca="false">T115-U83</f>
        <v>0</v>
      </c>
      <c r="V115" s="138" t="n">
        <f aca="false">U115-V83</f>
        <v>0</v>
      </c>
      <c r="W115" s="138" t="n">
        <f aca="false">V115-W83</f>
        <v>0</v>
      </c>
      <c r="X115" s="138" t="n">
        <f aca="false">W115-X83</f>
        <v>0</v>
      </c>
      <c r="Y115" s="138" t="n">
        <f aca="false">X115-Y83</f>
        <v>0</v>
      </c>
      <c r="Z115" s="138" t="n">
        <f aca="false">Y115-Z83</f>
        <v>0</v>
      </c>
      <c r="AA115" s="138" t="n">
        <f aca="false">Z115-AA83</f>
        <v>0</v>
      </c>
      <c r="AB115" s="138" t="n">
        <f aca="false">AA115-AB83</f>
        <v>0</v>
      </c>
      <c r="AC115" s="138" t="n">
        <f aca="false">AB115-AC83</f>
        <v>0</v>
      </c>
      <c r="AD115" s="138" t="n">
        <f aca="false">AC115-AD83</f>
        <v>0</v>
      </c>
      <c r="AE115" s="138" t="n">
        <f aca="false">AD115-AE83</f>
        <v>0</v>
      </c>
      <c r="AF115" s="138" t="n">
        <f aca="false">AE115-AF83</f>
        <v>0</v>
      </c>
      <c r="AG115" s="138" t="n">
        <f aca="false">AF115-AG83</f>
        <v>0</v>
      </c>
      <c r="AH115" s="138" t="n">
        <f aca="false">AG115-AH83</f>
        <v>0</v>
      </c>
      <c r="AI115" s="138" t="n">
        <f aca="false">AH115-AI83</f>
        <v>0</v>
      </c>
      <c r="AJ115" s="138" t="n">
        <f aca="false">AI115-AJ83</f>
        <v>0</v>
      </c>
      <c r="AK115" s="138" t="n">
        <f aca="false">AJ115-AK83</f>
        <v>0</v>
      </c>
      <c r="AL115" s="138" t="n">
        <f aca="false">AK115-AL83</f>
        <v>0</v>
      </c>
      <c r="AM115" s="138" t="n">
        <f aca="false">AL115-AM83</f>
        <v>0</v>
      </c>
      <c r="AN115" s="138" t="n">
        <f aca="false">AM115-AN83</f>
        <v>0</v>
      </c>
      <c r="AO115" s="138" t="n">
        <f aca="false">AN115-AO83</f>
        <v>0</v>
      </c>
      <c r="AP115" s="138" t="n">
        <f aca="false">AO115-AP83</f>
        <v>0</v>
      </c>
      <c r="AQ115" s="138" t="n">
        <f aca="false">AP115-AQ83</f>
        <v>0</v>
      </c>
      <c r="AR115" s="138" t="n">
        <f aca="false">AQ115-AR83</f>
        <v>0</v>
      </c>
      <c r="AS115" s="138" t="n">
        <f aca="false">AR115-AS83</f>
        <v>0</v>
      </c>
      <c r="AT115" s="138" t="n">
        <f aca="false">AS115-AT83</f>
        <v>0</v>
      </c>
      <c r="AU115" s="138" t="n">
        <f aca="false">AT115-AU83</f>
        <v>0</v>
      </c>
      <c r="AV115" s="138" t="n">
        <f aca="false">AU115-AV83</f>
        <v>0</v>
      </c>
      <c r="AW115" s="138" t="n">
        <f aca="false">AV115-AW83</f>
        <v>0</v>
      </c>
      <c r="AX115" s="138" t="n">
        <f aca="false">AW115-AX83</f>
        <v>111026.149614275</v>
      </c>
      <c r="AY115" s="138" t="n">
        <f aca="false">AX115-AY83</f>
        <v>111026.149614275</v>
      </c>
      <c r="AZ115" s="138" t="n">
        <f aca="false">AY115-AZ83</f>
        <v>111026.149614275</v>
      </c>
      <c r="BA115" s="138" t="n">
        <f aca="false">AZ115-BA83</f>
        <v>111026.149614275</v>
      </c>
      <c r="BB115" s="138" t="n">
        <f aca="false">BA115-BB83</f>
        <v>111026.149614275</v>
      </c>
      <c r="BC115" s="138" t="n">
        <f aca="false">BB115-BC83</f>
        <v>111026.149614275</v>
      </c>
      <c r="BD115" s="138" t="n">
        <f aca="false">BC115-BD83</f>
        <v>111026.149614275</v>
      </c>
      <c r="BE115" s="138" t="n">
        <f aca="false">BD115-BE83</f>
        <v>111026.149614275</v>
      </c>
      <c r="BF115" s="138" t="n">
        <f aca="false">BE115-BF83</f>
        <v>111026.149614275</v>
      </c>
      <c r="BG115" s="138" t="n">
        <f aca="false">BF115-BG83</f>
        <v>111026.149614275</v>
      </c>
      <c r="BH115" s="138" t="n">
        <f aca="false">BG115-BH83</f>
        <v>111026.149614275</v>
      </c>
      <c r="BI115" s="138" t="n">
        <f aca="false">BH115-BI83</f>
        <v>111026.149614275</v>
      </c>
      <c r="BJ115" s="138" t="n">
        <f aca="false">BI115-BJ83</f>
        <v>219179.156964841</v>
      </c>
      <c r="BK115" s="138" t="n">
        <f aca="false">BJ115-BK83</f>
        <v>219179.156964841</v>
      </c>
      <c r="BL115" s="138" t="n">
        <f aca="false">BK115-BL83</f>
        <v>219179.156964841</v>
      </c>
      <c r="BM115" s="138" t="n">
        <f aca="false">BL115-BM83</f>
        <v>219179.156964841</v>
      </c>
      <c r="BN115" s="138" t="n">
        <f aca="false">BM115-BN83</f>
        <v>219179.156964841</v>
      </c>
      <c r="BO115" s="138" t="n">
        <f aca="false">BN115-BO83</f>
        <v>219179.156964841</v>
      </c>
      <c r="BP115" s="138" t="n">
        <f aca="false">BO115-BP83</f>
        <v>219179.156964841</v>
      </c>
      <c r="BQ115" s="138" t="n">
        <f aca="false">BP115-BQ83</f>
        <v>219179.156964841</v>
      </c>
      <c r="BR115" s="138" t="n">
        <f aca="false">BQ115-BR83</f>
        <v>219179.156964841</v>
      </c>
      <c r="BS115" s="138" t="n">
        <f aca="false">BR115-BS83</f>
        <v>219179.156964841</v>
      </c>
      <c r="BT115" s="138" t="n">
        <f aca="false">BS115-BT83</f>
        <v>219179.156964841</v>
      </c>
      <c r="BU115" s="138" t="n">
        <f aca="false">BT115-BU83</f>
        <v>219179.156964841</v>
      </c>
      <c r="BV115" s="138" t="n">
        <f aca="false">BU115-BV83</f>
        <v>318353.866825077</v>
      </c>
      <c r="BW115" s="138" t="n">
        <f aca="false">BV115-BW83</f>
        <v>318353.866825077</v>
      </c>
      <c r="BX115" s="138" t="n">
        <f aca="false">BW115-BX83</f>
        <v>318353.866825077</v>
      </c>
      <c r="BY115" s="138" t="n">
        <f aca="false">BX115-BY83</f>
        <v>318353.866825077</v>
      </c>
      <c r="BZ115" s="138" t="n">
        <f aca="false">BY115-BZ83</f>
        <v>318353.866825077</v>
      </c>
      <c r="CA115" s="138" t="n">
        <f aca="false">BZ115-CA83</f>
        <v>318353.866825077</v>
      </c>
      <c r="CB115" s="138" t="n">
        <f aca="false">CA115-CB83</f>
        <v>318353.866825077</v>
      </c>
      <c r="CC115" s="138" t="n">
        <f aca="false">CB115-CC83</f>
        <v>318353.866825077</v>
      </c>
      <c r="CD115" s="138" t="n">
        <f aca="false">CC115-CD83</f>
        <v>318353.866825077</v>
      </c>
      <c r="CE115" s="138" t="n">
        <f aca="false">CD115-CE83</f>
        <v>318353.866825077</v>
      </c>
      <c r="CF115" s="138" t="n">
        <f aca="false">CE115-CF83</f>
        <v>318353.866825077</v>
      </c>
      <c r="CG115" s="138" t="n">
        <f aca="false">CF115-CG83</f>
        <v>318353.866825077</v>
      </c>
      <c r="CH115" s="138" t="n">
        <f aca="false">CG115-CH83</f>
        <v>408483.293470272</v>
      </c>
    </row>
    <row r="116" customFormat="false" ht="13.5" hidden="false" customHeight="true" outlineLevel="0" collapsed="false">
      <c r="A116" s="13" t="s">
        <v>789</v>
      </c>
      <c r="C116" s="138" t="n">
        <f aca="false">Hipótesis!$C$44*(1-Hipótesis!$D$83)</f>
        <v>1540</v>
      </c>
      <c r="D116" s="138" t="n">
        <f aca="false">Hipótesis!$C$44*(1-Hipótesis!$D$83)</f>
        <v>1540</v>
      </c>
      <c r="E116" s="138" t="n">
        <f aca="false">Hipótesis!$C$44*(1-Hipótesis!$D$83)</f>
        <v>1540</v>
      </c>
      <c r="F116" s="138" t="n">
        <f aca="false">Hipótesis!$C$44*(1-Hipótesis!$D$83)</f>
        <v>1540</v>
      </c>
      <c r="G116" s="138" t="n">
        <f aca="false">Hipótesis!$C$44*(1-Hipótesis!$D$83)</f>
        <v>1540</v>
      </c>
      <c r="H116" s="138" t="n">
        <f aca="false">Hipótesis!$C$44*(1-Hipótesis!$D$83)</f>
        <v>1540</v>
      </c>
      <c r="I116" s="138" t="n">
        <f aca="false">Hipótesis!$C$44*(1-Hipótesis!$D$83)</f>
        <v>1540</v>
      </c>
      <c r="J116" s="138" t="n">
        <f aca="false">Hipótesis!$C$44*(1-Hipótesis!$D$83)</f>
        <v>1540</v>
      </c>
      <c r="K116" s="138" t="n">
        <f aca="false">Hipótesis!$C$44*(1-Hipótesis!$D$83)</f>
        <v>1540</v>
      </c>
      <c r="L116" s="138" t="n">
        <f aca="false">Hipótesis!$C$44*(1-Hipótesis!$D$83)</f>
        <v>1540</v>
      </c>
      <c r="M116" s="138" t="n">
        <f aca="false">Hipótesis!$C$44*(1-Hipótesis!$D$83)</f>
        <v>1540</v>
      </c>
      <c r="N116" s="138" t="n">
        <f aca="false">Hipótesis!$C$44*(1-Hipótesis!$D$83)</f>
        <v>1540</v>
      </c>
      <c r="O116" s="138" t="n">
        <f aca="false">Hipótesis!$D$44*(1-Hipótesis!$D$83)</f>
        <v>2450</v>
      </c>
      <c r="P116" s="138" t="n">
        <f aca="false">Hipótesis!$D$44*(1-Hipótesis!$D$83)</f>
        <v>2450</v>
      </c>
      <c r="Q116" s="138" t="n">
        <f aca="false">Hipótesis!$D$44*(1-Hipótesis!$D$83)</f>
        <v>2450</v>
      </c>
      <c r="R116" s="138" t="n">
        <f aca="false">Hipótesis!$D$44*(1-Hipótesis!$D$83)</f>
        <v>2450</v>
      </c>
      <c r="S116" s="138" t="n">
        <f aca="false">Hipótesis!$D$44*(1-Hipótesis!$D$83)</f>
        <v>2450</v>
      </c>
      <c r="T116" s="138" t="n">
        <f aca="false">Hipótesis!$D$44*(1-Hipótesis!$D$83)</f>
        <v>2450</v>
      </c>
      <c r="U116" s="138" t="n">
        <f aca="false">Hipótesis!$D$44*(1-Hipótesis!$D$83)</f>
        <v>2450</v>
      </c>
      <c r="V116" s="138" t="n">
        <f aca="false">Hipótesis!$D$44*(1-Hipótesis!$D$83)</f>
        <v>2450</v>
      </c>
      <c r="W116" s="138" t="n">
        <f aca="false">Hipótesis!$D$44*(1-Hipótesis!$D$83)</f>
        <v>2450</v>
      </c>
      <c r="X116" s="138" t="n">
        <f aca="false">Hipótesis!$D$44*(1-Hipótesis!$D$83)</f>
        <v>2450</v>
      </c>
      <c r="Y116" s="138" t="n">
        <f aca="false">Hipótesis!$D$44*(1-Hipótesis!$D$83)</f>
        <v>2450</v>
      </c>
      <c r="Z116" s="138" t="n">
        <f aca="false">Hipótesis!$D$44*(1-Hipótesis!$D$83)</f>
        <v>2450</v>
      </c>
      <c r="AA116" s="138" t="n">
        <f aca="false">Hipótesis!$E$44*(1-Hipótesis!$D$83)</f>
        <v>2800</v>
      </c>
      <c r="AB116" s="138" t="n">
        <f aca="false">Hipótesis!$E$44*(1-Hipótesis!$D$83)</f>
        <v>2800</v>
      </c>
      <c r="AC116" s="138" t="n">
        <f aca="false">Hipótesis!$E$44*(1-Hipótesis!$D$83)</f>
        <v>2800</v>
      </c>
      <c r="AD116" s="138" t="n">
        <f aca="false">Hipótesis!$E$44*(1-Hipótesis!$D$83)</f>
        <v>2800</v>
      </c>
      <c r="AE116" s="138" t="n">
        <f aca="false">Hipótesis!$E$44*(1-Hipótesis!$D$83)</f>
        <v>2800</v>
      </c>
      <c r="AF116" s="138" t="n">
        <f aca="false">Hipótesis!$E$44*(1-Hipótesis!$D$83)</f>
        <v>2800</v>
      </c>
      <c r="AG116" s="138" t="n">
        <f aca="false">Hipótesis!$E$44*(1-Hipótesis!$D$83)</f>
        <v>2800</v>
      </c>
      <c r="AH116" s="138" t="n">
        <f aca="false">Hipótesis!$E$44*(1-Hipótesis!$D$83)</f>
        <v>2800</v>
      </c>
      <c r="AI116" s="138" t="n">
        <f aca="false">Hipótesis!$E$44*(1-Hipótesis!$D$83)</f>
        <v>2800</v>
      </c>
      <c r="AJ116" s="138" t="n">
        <f aca="false">Hipótesis!$E$44*(1-Hipótesis!$D$83)</f>
        <v>2800</v>
      </c>
      <c r="AK116" s="138" t="n">
        <f aca="false">Hipótesis!$E$44*(1-Hipótesis!$D$83)</f>
        <v>2800</v>
      </c>
      <c r="AL116" s="138" t="n">
        <f aca="false">Hipótesis!$E$44*(1-Hipótesis!$D$83)</f>
        <v>2800</v>
      </c>
      <c r="AM116" s="138" t="n">
        <f aca="false">Hipótesis!$F$44*(1-Hipótesis!$D$83)</f>
        <v>3150</v>
      </c>
      <c r="AN116" s="138" t="n">
        <f aca="false">Hipótesis!$F$44*(1-Hipótesis!$D$83)</f>
        <v>3150</v>
      </c>
      <c r="AO116" s="138" t="n">
        <f aca="false">Hipótesis!$F$44*(1-Hipótesis!$D$83)</f>
        <v>3150</v>
      </c>
      <c r="AP116" s="138" t="n">
        <f aca="false">Hipótesis!$F$44*(1-Hipótesis!$D$83)</f>
        <v>3150</v>
      </c>
      <c r="AQ116" s="138" t="n">
        <f aca="false">Hipótesis!$F$44*(1-Hipótesis!$D$83)</f>
        <v>3150</v>
      </c>
      <c r="AR116" s="138" t="n">
        <f aca="false">Hipótesis!$F$44*(1-Hipótesis!$D$83)</f>
        <v>3150</v>
      </c>
      <c r="AS116" s="138" t="n">
        <f aca="false">Hipótesis!$F$44*(1-Hipótesis!$D$83)</f>
        <v>3150</v>
      </c>
      <c r="AT116" s="138" t="n">
        <f aca="false">Hipótesis!$F$44*(1-Hipótesis!$D$83)</f>
        <v>3150</v>
      </c>
      <c r="AU116" s="138" t="n">
        <f aca="false">Hipótesis!$F$44*(1-Hipótesis!$D$83)</f>
        <v>3150</v>
      </c>
      <c r="AV116" s="138" t="n">
        <f aca="false">Hipótesis!$F$44*(1-Hipótesis!$D$83)</f>
        <v>3150</v>
      </c>
      <c r="AW116" s="138" t="n">
        <f aca="false">Hipótesis!$F$44*(1-Hipótesis!$D$83)</f>
        <v>3150</v>
      </c>
      <c r="AX116" s="138" t="n">
        <f aca="false">Hipótesis!$F$44*(1-Hipótesis!$D$83)</f>
        <v>3150</v>
      </c>
      <c r="AY116" s="138" t="n">
        <f aca="false">Hipótesis!$G$44*(1-Hipótesis!$D$83)</f>
        <v>3500</v>
      </c>
      <c r="AZ116" s="138" t="n">
        <f aca="false">Hipótesis!$G$44*(1-Hipótesis!$D$83)</f>
        <v>3500</v>
      </c>
      <c r="BA116" s="138" t="n">
        <f aca="false">Hipótesis!$G$44*(1-Hipótesis!$D$83)</f>
        <v>3500</v>
      </c>
      <c r="BB116" s="138" t="n">
        <f aca="false">Hipótesis!$G$44*(1-Hipótesis!$D$83)</f>
        <v>3500</v>
      </c>
      <c r="BC116" s="138" t="n">
        <f aca="false">Hipótesis!$G$44*(1-Hipótesis!$D$83)</f>
        <v>3500</v>
      </c>
      <c r="BD116" s="138" t="n">
        <f aca="false">Hipótesis!$G$44*(1-Hipótesis!$D$83)</f>
        <v>3500</v>
      </c>
      <c r="BE116" s="138" t="n">
        <f aca="false">Hipótesis!$G$44*(1-Hipótesis!$D$83)</f>
        <v>3500</v>
      </c>
      <c r="BF116" s="138" t="n">
        <f aca="false">Hipótesis!$G$44*(1-Hipótesis!$D$83)</f>
        <v>3500</v>
      </c>
      <c r="BG116" s="138" t="n">
        <f aca="false">Hipótesis!$G$44*(1-Hipótesis!$D$83)</f>
        <v>3500</v>
      </c>
      <c r="BH116" s="138" t="n">
        <f aca="false">Hipótesis!$G$44*(1-Hipótesis!$D$83)</f>
        <v>3500</v>
      </c>
      <c r="BI116" s="138" t="n">
        <f aca="false">Hipótesis!$G$44*(1-Hipótesis!$D$83)</f>
        <v>3500</v>
      </c>
      <c r="BJ116" s="138" t="n">
        <f aca="false">Hipótesis!$G$44*(1-Hipótesis!$D$83)</f>
        <v>3500</v>
      </c>
      <c r="BK116" s="138" t="n">
        <f aca="false">Hipótesis!$H$44*(1-Hipótesis!$D$83)</f>
        <v>3850</v>
      </c>
      <c r="BL116" s="138" t="n">
        <f aca="false">Hipótesis!$H$44*(1-Hipótesis!$D$83)</f>
        <v>3850</v>
      </c>
      <c r="BM116" s="138" t="n">
        <f aca="false">Hipótesis!$H$44*(1-Hipótesis!$D$83)</f>
        <v>3850</v>
      </c>
      <c r="BN116" s="138" t="n">
        <f aca="false">Hipótesis!$H$44*(1-Hipótesis!$D$83)</f>
        <v>3850</v>
      </c>
      <c r="BO116" s="138" t="n">
        <f aca="false">Hipótesis!$H$44*(1-Hipótesis!$D$83)</f>
        <v>3850</v>
      </c>
      <c r="BP116" s="138" t="n">
        <f aca="false">Hipótesis!$H$44*(1-Hipótesis!$D$83)</f>
        <v>3850</v>
      </c>
      <c r="BQ116" s="138" t="n">
        <f aca="false">Hipótesis!$H$44*(1-Hipótesis!$D$83)</f>
        <v>3850</v>
      </c>
      <c r="BR116" s="138" t="n">
        <f aca="false">Hipótesis!$H$44*(1-Hipótesis!$D$83)</f>
        <v>3850</v>
      </c>
      <c r="BS116" s="138" t="n">
        <f aca="false">Hipótesis!$H$44*(1-Hipótesis!$D$83)</f>
        <v>3850</v>
      </c>
      <c r="BT116" s="138" t="n">
        <f aca="false">Hipótesis!$H$44*(1-Hipótesis!$D$83)</f>
        <v>3850</v>
      </c>
      <c r="BU116" s="138" t="n">
        <f aca="false">Hipótesis!$H$44*(1-Hipótesis!$D$83)</f>
        <v>3850</v>
      </c>
      <c r="BV116" s="138" t="n">
        <f aca="false">Hipótesis!$H$44*(1-Hipótesis!$D$83)</f>
        <v>3850</v>
      </c>
      <c r="BW116" s="138" t="n">
        <f aca="false">Hipótesis!$I$44*(1-Hipótesis!$D$83)</f>
        <v>4200</v>
      </c>
      <c r="BX116" s="138" t="n">
        <f aca="false">Hipótesis!$I$44*(1-Hipótesis!$D$83)</f>
        <v>4200</v>
      </c>
      <c r="BY116" s="138" t="n">
        <f aca="false">Hipótesis!$I$44*(1-Hipótesis!$D$83)</f>
        <v>4200</v>
      </c>
      <c r="BZ116" s="138" t="n">
        <f aca="false">Hipótesis!$I$44*(1-Hipótesis!$D$83)</f>
        <v>4200</v>
      </c>
      <c r="CA116" s="138" t="n">
        <f aca="false">Hipótesis!$I$44*(1-Hipótesis!$D$83)</f>
        <v>4200</v>
      </c>
      <c r="CB116" s="138" t="n">
        <f aca="false">Hipótesis!$I$44*(1-Hipótesis!$D$83)</f>
        <v>4200</v>
      </c>
      <c r="CC116" s="138" t="n">
        <f aca="false">Hipótesis!$I$44*(1-Hipótesis!$D$83)</f>
        <v>4200</v>
      </c>
      <c r="CD116" s="138" t="n">
        <f aca="false">Hipótesis!$I$44*(1-Hipótesis!$D$83)</f>
        <v>4200</v>
      </c>
      <c r="CE116" s="138" t="n">
        <f aca="false">Hipótesis!$I$44*(1-Hipótesis!$D$83)</f>
        <v>4200</v>
      </c>
      <c r="CF116" s="138" t="n">
        <f aca="false">Hipótesis!$I$44*(1-Hipótesis!$D$83)</f>
        <v>4200</v>
      </c>
      <c r="CG116" s="138" t="n">
        <f aca="false">Hipótesis!$I$44*(1-Hipótesis!$D$83)</f>
        <v>4200</v>
      </c>
      <c r="CH116" s="138" t="n">
        <f aca="false">Hipótesis!$I$44*(1-Hipótesis!$D$83)</f>
        <v>4200</v>
      </c>
    </row>
    <row r="117" customFormat="false" ht="13.5" hidden="false" customHeight="true" outlineLevel="0" collapsed="false">
      <c r="A117" s="13" t="s">
        <v>790</v>
      </c>
      <c r="C117" s="138" t="n">
        <f aca="false">-C84*Hipótesis!$D$82*(1-Hipótesis!$D$84)</f>
        <v>0</v>
      </c>
      <c r="D117" s="138" t="n">
        <f aca="false">-D84*Hipótesis!$D$82*(1-Hipótesis!$D$84)</f>
        <v>0</v>
      </c>
      <c r="E117" s="138" t="n">
        <f aca="false">-E84*Hipótesis!$D$82*(1-Hipótesis!$D$84)</f>
        <v>0</v>
      </c>
      <c r="F117" s="138" t="n">
        <f aca="false">-F84*Hipótesis!$D$82*(1-Hipótesis!$D$84)</f>
        <v>0</v>
      </c>
      <c r="G117" s="138" t="n">
        <f aca="false">-G84*Hipótesis!$D$82*(1-Hipótesis!$D$84)</f>
        <v>0</v>
      </c>
      <c r="H117" s="138" t="n">
        <f aca="false">-H84*Hipótesis!$D$82*(1-Hipótesis!$D$84)</f>
        <v>0</v>
      </c>
      <c r="I117" s="138" t="n">
        <f aca="false">-I84*Hipótesis!$D$82*(1-Hipótesis!$D$84)</f>
        <v>0</v>
      </c>
      <c r="J117" s="138" t="n">
        <f aca="false">-J84*Hipótesis!$D$82*(1-Hipótesis!$D$84)</f>
        <v>0</v>
      </c>
      <c r="K117" s="138" t="n">
        <f aca="false">-K84*Hipótesis!$D$82*(1-Hipótesis!$D$84)</f>
        <v>0</v>
      </c>
      <c r="L117" s="138" t="n">
        <f aca="false">-L84*Hipótesis!$D$82*(1-Hipótesis!$D$84)</f>
        <v>0</v>
      </c>
      <c r="M117" s="138" t="n">
        <f aca="false">-M84*Hipótesis!$D$82*(1-Hipótesis!$D$84)</f>
        <v>0</v>
      </c>
      <c r="N117" s="138" t="n">
        <f aca="false">-N84*Hipótesis!$D$82*(1-Hipótesis!$D$84)</f>
        <v>0</v>
      </c>
      <c r="O117" s="138" t="n">
        <f aca="false">-O84*Hipótesis!$D$82*(1-Hipótesis!$D$84)</f>
        <v>0</v>
      </c>
      <c r="P117" s="138" t="n">
        <f aca="false">-P84*Hipótesis!$D$82*(1-Hipótesis!$D$84)</f>
        <v>0</v>
      </c>
      <c r="Q117" s="138" t="n">
        <f aca="false">-Q84*Hipótesis!$D$82*(1-Hipótesis!$D$84)</f>
        <v>0</v>
      </c>
      <c r="R117" s="138" t="n">
        <f aca="false">-R84*Hipótesis!$D$82*(1-Hipótesis!$D$84)</f>
        <v>0</v>
      </c>
      <c r="S117" s="138" t="n">
        <f aca="false">-S84*Hipótesis!$D$82*(1-Hipótesis!$D$84)</f>
        <v>0</v>
      </c>
      <c r="T117" s="138" t="n">
        <f aca="false">-T84*Hipótesis!$D$82*(1-Hipótesis!$D$84)</f>
        <v>0</v>
      </c>
      <c r="U117" s="138" t="n">
        <f aca="false">-U84*Hipótesis!$D$82*(1-Hipótesis!$D$84)</f>
        <v>0</v>
      </c>
      <c r="V117" s="138" t="n">
        <f aca="false">-V84*Hipótesis!$D$82*(1-Hipótesis!$D$84)</f>
        <v>0</v>
      </c>
      <c r="W117" s="138" t="n">
        <f aca="false">-W84*Hipótesis!$D$82*(1-Hipótesis!$D$84)</f>
        <v>0</v>
      </c>
      <c r="X117" s="138" t="n">
        <f aca="false">-X84*Hipótesis!$D$82*(1-Hipótesis!$D$84)</f>
        <v>0</v>
      </c>
      <c r="Y117" s="138" t="n">
        <f aca="false">-Y84*Hipótesis!$D$82*(1-Hipótesis!$D$84)</f>
        <v>0</v>
      </c>
      <c r="Z117" s="138" t="n">
        <f aca="false">-Z84*Hipótesis!$D$82*(1-Hipótesis!$D$84)</f>
        <v>0</v>
      </c>
      <c r="AA117" s="138" t="n">
        <f aca="false">-AA84*Hipótesis!$D$82*(1-Hipótesis!$D$84)</f>
        <v>0</v>
      </c>
      <c r="AB117" s="138" t="n">
        <f aca="false">-AB84*Hipótesis!$D$82*(1-Hipótesis!$D$84)</f>
        <v>0</v>
      </c>
      <c r="AC117" s="138" t="n">
        <f aca="false">-AC84*Hipótesis!$D$82*(1-Hipótesis!$D$84)</f>
        <v>0</v>
      </c>
      <c r="AD117" s="138" t="n">
        <f aca="false">-AD84*Hipótesis!$D$82*(1-Hipótesis!$D$84)</f>
        <v>0</v>
      </c>
      <c r="AE117" s="138" t="n">
        <f aca="false">-AE84*Hipótesis!$D$82*(1-Hipótesis!$D$84)</f>
        <v>0</v>
      </c>
      <c r="AF117" s="138" t="n">
        <f aca="false">-AF84*Hipótesis!$D$82*(1-Hipótesis!$D$84)</f>
        <v>0</v>
      </c>
      <c r="AG117" s="138" t="n">
        <f aca="false">-AG84*Hipótesis!$D$82*(1-Hipótesis!$D$84)</f>
        <v>0</v>
      </c>
      <c r="AH117" s="138" t="n">
        <f aca="false">-AH84*Hipótesis!$D$82*(1-Hipótesis!$D$84)</f>
        <v>0</v>
      </c>
      <c r="AI117" s="138" t="n">
        <f aca="false">-AI84*Hipótesis!$D$82*(1-Hipótesis!$D$84)</f>
        <v>0</v>
      </c>
      <c r="AJ117" s="138" t="n">
        <f aca="false">-AJ84*Hipótesis!$D$82*(1-Hipótesis!$D$84)</f>
        <v>0</v>
      </c>
      <c r="AK117" s="138" t="n">
        <f aca="false">-AK84*Hipótesis!$D$82*(1-Hipótesis!$D$84)</f>
        <v>0</v>
      </c>
      <c r="AL117" s="138" t="n">
        <f aca="false">-AL84*Hipótesis!$D$82*(1-Hipótesis!$D$84)</f>
        <v>0</v>
      </c>
      <c r="AM117" s="138" t="n">
        <f aca="false">-AM84*Hipótesis!$D$82*(1-Hipótesis!$D$84)</f>
        <v>0</v>
      </c>
      <c r="AN117" s="138" t="n">
        <f aca="false">-AN84*Hipótesis!$D$82*(1-Hipótesis!$D$84)</f>
        <v>0</v>
      </c>
      <c r="AO117" s="138" t="n">
        <f aca="false">-AO84*Hipótesis!$D$82*(1-Hipótesis!$D$84)</f>
        <v>0</v>
      </c>
      <c r="AP117" s="138" t="n">
        <f aca="false">-AP84*Hipótesis!$D$82*(1-Hipótesis!$D$84)</f>
        <v>0</v>
      </c>
      <c r="AQ117" s="138" t="n">
        <f aca="false">-AQ84*Hipótesis!$D$82*(1-Hipótesis!$D$84)</f>
        <v>0</v>
      </c>
      <c r="AR117" s="138" t="n">
        <f aca="false">-AR84*Hipótesis!$D$82*(1-Hipótesis!$D$84)</f>
        <v>0</v>
      </c>
      <c r="AS117" s="138" t="n">
        <f aca="false">-AS84*Hipótesis!$D$82*(1-Hipótesis!$D$84)</f>
        <v>0</v>
      </c>
      <c r="AT117" s="138" t="n">
        <f aca="false">-AT84*Hipótesis!$D$82*(1-Hipótesis!$D$84)</f>
        <v>0</v>
      </c>
      <c r="AU117" s="138" t="n">
        <f aca="false">-AU84*Hipótesis!$D$82*(1-Hipótesis!$D$84)</f>
        <v>0</v>
      </c>
      <c r="AV117" s="138" t="n">
        <f aca="false">-AV84*Hipótesis!$D$82*(1-Hipótesis!$D$84)</f>
        <v>0</v>
      </c>
      <c r="AW117" s="138" t="n">
        <f aca="false">-AW84*Hipótesis!$D$82*(1-Hipótesis!$D$84)</f>
        <v>0</v>
      </c>
      <c r="AX117" s="138" t="n">
        <f aca="false">-AX84*Hipótesis!$D$82*(1-Hipótesis!$D$84)</f>
        <v>0</v>
      </c>
      <c r="AY117" s="138" t="n">
        <f aca="false">-AY84*Hipótesis!$D$82*(1-Hipótesis!$D$84)</f>
        <v>0</v>
      </c>
      <c r="AZ117" s="138" t="n">
        <f aca="false">-AZ84*Hipótesis!$D$82*(1-Hipótesis!$D$84)</f>
        <v>0</v>
      </c>
      <c r="BA117" s="138" t="n">
        <f aca="false">-BA84*Hipótesis!$D$82*(1-Hipótesis!$D$84)</f>
        <v>0</v>
      </c>
      <c r="BB117" s="138" t="n">
        <f aca="false">-BB84*Hipótesis!$D$82*(1-Hipótesis!$D$84)</f>
        <v>0</v>
      </c>
      <c r="BC117" s="138" t="n">
        <f aca="false">-BC84*Hipótesis!$D$82*(1-Hipótesis!$D$84)</f>
        <v>0</v>
      </c>
      <c r="BD117" s="138" t="n">
        <f aca="false">-BD84*Hipótesis!$D$82*(1-Hipótesis!$D$84)</f>
        <v>0</v>
      </c>
      <c r="BE117" s="138" t="n">
        <f aca="false">-BE84*Hipótesis!$D$82*(1-Hipótesis!$D$84)</f>
        <v>0</v>
      </c>
      <c r="BF117" s="138" t="n">
        <f aca="false">-BF84*Hipótesis!$D$82*(1-Hipótesis!$D$84)</f>
        <v>0</v>
      </c>
      <c r="BG117" s="138" t="n">
        <f aca="false">-BG84*Hipótesis!$D$82*(1-Hipótesis!$D$84)</f>
        <v>0</v>
      </c>
      <c r="BH117" s="138" t="n">
        <f aca="false">-BH84*Hipótesis!$D$82*(1-Hipótesis!$D$84)</f>
        <v>0</v>
      </c>
      <c r="BI117" s="138" t="n">
        <f aca="false">-BI84*Hipótesis!$D$82*(1-Hipótesis!$D$84)</f>
        <v>0</v>
      </c>
      <c r="BJ117" s="138" t="n">
        <f aca="false">-BJ84*Hipótesis!$D$82*(1-Hipótesis!$D$84)</f>
        <v>0</v>
      </c>
      <c r="BK117" s="138" t="n">
        <f aca="false">-BK84*Hipótesis!$D$82*(1-Hipótesis!$D$84)</f>
        <v>0</v>
      </c>
      <c r="BL117" s="138" t="n">
        <f aca="false">-BL84*Hipótesis!$D$82*(1-Hipótesis!$D$84)</f>
        <v>0</v>
      </c>
      <c r="BM117" s="138" t="n">
        <f aca="false">-BM84*Hipótesis!$D$82*(1-Hipótesis!$D$84)</f>
        <v>0</v>
      </c>
      <c r="BN117" s="138" t="n">
        <f aca="false">-BN84*Hipótesis!$D$82*(1-Hipótesis!$D$84)</f>
        <v>0</v>
      </c>
      <c r="BO117" s="138" t="n">
        <f aca="false">-BO84*Hipótesis!$D$82*(1-Hipótesis!$D$84)</f>
        <v>0</v>
      </c>
      <c r="BP117" s="138" t="n">
        <f aca="false">-BP84*Hipótesis!$D$82*(1-Hipótesis!$D$84)</f>
        <v>0</v>
      </c>
      <c r="BQ117" s="138" t="n">
        <f aca="false">-BQ84*Hipótesis!$D$82*(1-Hipótesis!$D$84)</f>
        <v>0</v>
      </c>
      <c r="BR117" s="138" t="n">
        <f aca="false">-BR84*Hipótesis!$D$82*(1-Hipótesis!$D$84)</f>
        <v>0</v>
      </c>
      <c r="BS117" s="138" t="n">
        <f aca="false">-BS84*Hipótesis!$D$82*(1-Hipótesis!$D$84)</f>
        <v>0</v>
      </c>
      <c r="BT117" s="138" t="n">
        <f aca="false">-BT84*Hipótesis!$D$82*(1-Hipótesis!$D$84)</f>
        <v>0</v>
      </c>
      <c r="BU117" s="138" t="n">
        <f aca="false">-BU84*Hipótesis!$D$82*(1-Hipótesis!$D$84)</f>
        <v>0</v>
      </c>
      <c r="BV117" s="138" t="n">
        <f aca="false">-BV84*Hipótesis!$D$82*(1-Hipótesis!$D$84)</f>
        <v>0</v>
      </c>
      <c r="BW117" s="138" t="n">
        <f aca="false">-BW84*Hipótesis!$D$82*(1-Hipótesis!$D$84)</f>
        <v>0</v>
      </c>
      <c r="BX117" s="138" t="n">
        <f aca="false">-BX84*Hipótesis!$D$82*(1-Hipótesis!$D$84)</f>
        <v>0</v>
      </c>
      <c r="BY117" s="138" t="n">
        <f aca="false">-BY84*Hipótesis!$D$82*(1-Hipótesis!$D$84)</f>
        <v>0</v>
      </c>
      <c r="BZ117" s="138" t="n">
        <f aca="false">-BZ84*Hipótesis!$D$82*(1-Hipótesis!$D$84)</f>
        <v>0</v>
      </c>
      <c r="CA117" s="138" t="n">
        <f aca="false">-CA84*Hipótesis!$D$82*(1-Hipótesis!$D$84)</f>
        <v>0</v>
      </c>
      <c r="CB117" s="138" t="n">
        <f aca="false">-CB84*Hipótesis!$D$82*(1-Hipótesis!$D$84)</f>
        <v>0</v>
      </c>
      <c r="CC117" s="138" t="n">
        <f aca="false">-CC84*Hipótesis!$D$82*(1-Hipótesis!$D$84)</f>
        <v>0</v>
      </c>
      <c r="CD117" s="138" t="n">
        <f aca="false">-CD84*Hipótesis!$D$82*(1-Hipótesis!$D$84)</f>
        <v>0</v>
      </c>
      <c r="CE117" s="138" t="n">
        <f aca="false">-CE84*Hipótesis!$D$82*(1-Hipótesis!$D$84)</f>
        <v>0</v>
      </c>
      <c r="CF117" s="138" t="n">
        <f aca="false">-CF84*Hipótesis!$D$82*(1-Hipótesis!$D$84)</f>
        <v>0</v>
      </c>
      <c r="CG117" s="138" t="n">
        <f aca="false">-CG84*Hipótesis!$D$82*(1-Hipótesis!$D$84)</f>
        <v>0</v>
      </c>
      <c r="CH117" s="138" t="n">
        <f aca="false">-CH84*Hipótesis!$D$82*(1-Hipótesis!$D$84)</f>
        <v>0</v>
      </c>
    </row>
    <row r="118" customFormat="false" ht="13.5" hidden="false" customHeight="true" outlineLevel="0" collapsed="false">
      <c r="A118" s="30" t="s">
        <v>791</v>
      </c>
      <c r="C118" s="138" t="n">
        <f aca="false">C116+C117</f>
        <v>1540</v>
      </c>
      <c r="D118" s="138" t="n">
        <f aca="false">D116+D117</f>
        <v>1540</v>
      </c>
      <c r="E118" s="138" t="n">
        <f aca="false">E116+E117</f>
        <v>1540</v>
      </c>
      <c r="F118" s="138" t="n">
        <f aca="false">F116+F117</f>
        <v>1540</v>
      </c>
      <c r="G118" s="138" t="n">
        <f aca="false">G116+G117</f>
        <v>1540</v>
      </c>
      <c r="H118" s="138" t="n">
        <f aca="false">H116+H117</f>
        <v>1540</v>
      </c>
      <c r="I118" s="138" t="n">
        <f aca="false">I116+I117</f>
        <v>1540</v>
      </c>
      <c r="J118" s="138" t="n">
        <f aca="false">J116+J117</f>
        <v>1540</v>
      </c>
      <c r="K118" s="138" t="n">
        <f aca="false">K116+K117</f>
        <v>1540</v>
      </c>
      <c r="L118" s="138" t="n">
        <f aca="false">L116+L117</f>
        <v>1540</v>
      </c>
      <c r="M118" s="138" t="n">
        <f aca="false">M116+M117</f>
        <v>1540</v>
      </c>
      <c r="N118" s="138" t="n">
        <f aca="false">N116+N117</f>
        <v>1540</v>
      </c>
      <c r="O118" s="138" t="n">
        <f aca="false">O116+O117</f>
        <v>2450</v>
      </c>
      <c r="P118" s="138" t="n">
        <f aca="false">P116+P117</f>
        <v>2450</v>
      </c>
      <c r="Q118" s="138" t="n">
        <f aca="false">Q116+Q117</f>
        <v>2450</v>
      </c>
      <c r="R118" s="138" t="n">
        <f aca="false">R116+R117</f>
        <v>2450</v>
      </c>
      <c r="S118" s="138" t="n">
        <f aca="false">S116+S117</f>
        <v>2450</v>
      </c>
      <c r="T118" s="138" t="n">
        <f aca="false">T116+T117</f>
        <v>2450</v>
      </c>
      <c r="U118" s="138" t="n">
        <f aca="false">U116+U117</f>
        <v>2450</v>
      </c>
      <c r="V118" s="138" t="n">
        <f aca="false">V116+V117</f>
        <v>2450</v>
      </c>
      <c r="W118" s="138" t="n">
        <f aca="false">W116+W117</f>
        <v>2450</v>
      </c>
      <c r="X118" s="138" t="n">
        <f aca="false">X116+X117</f>
        <v>2450</v>
      </c>
      <c r="Y118" s="138" t="n">
        <f aca="false">Y116+Y117</f>
        <v>2450</v>
      </c>
      <c r="Z118" s="138" t="n">
        <f aca="false">Z116+Z117</f>
        <v>2450</v>
      </c>
      <c r="AA118" s="138" t="n">
        <f aca="false">AA116+AA117</f>
        <v>2800</v>
      </c>
      <c r="AB118" s="138" t="n">
        <f aca="false">AB116+AB117</f>
        <v>2800</v>
      </c>
      <c r="AC118" s="138" t="n">
        <f aca="false">AC116+AC117</f>
        <v>2800</v>
      </c>
      <c r="AD118" s="138" t="n">
        <f aca="false">AD116+AD117</f>
        <v>2800</v>
      </c>
      <c r="AE118" s="138" t="n">
        <f aca="false">AE116+AE117</f>
        <v>2800</v>
      </c>
      <c r="AF118" s="138" t="n">
        <f aca="false">AF116+AF117</f>
        <v>2800</v>
      </c>
      <c r="AG118" s="138" t="n">
        <f aca="false">AG116+AG117</f>
        <v>2800</v>
      </c>
      <c r="AH118" s="138" t="n">
        <f aca="false">AH116+AH117</f>
        <v>2800</v>
      </c>
      <c r="AI118" s="138" t="n">
        <f aca="false">AI116+AI117</f>
        <v>2800</v>
      </c>
      <c r="AJ118" s="138" t="n">
        <f aca="false">AJ116+AJ117</f>
        <v>2800</v>
      </c>
      <c r="AK118" s="138" t="n">
        <f aca="false">AK116+AK117</f>
        <v>2800</v>
      </c>
      <c r="AL118" s="138" t="n">
        <f aca="false">AL116+AL117</f>
        <v>2800</v>
      </c>
      <c r="AM118" s="138" t="n">
        <f aca="false">AM116+AM117</f>
        <v>3150</v>
      </c>
      <c r="AN118" s="138" t="n">
        <f aca="false">AN116+AN117</f>
        <v>3150</v>
      </c>
      <c r="AO118" s="138" t="n">
        <f aca="false">AO116+AO117</f>
        <v>3150</v>
      </c>
      <c r="AP118" s="138" t="n">
        <f aca="false">AP116+AP117</f>
        <v>3150</v>
      </c>
      <c r="AQ118" s="138" t="n">
        <f aca="false">AQ116+AQ117</f>
        <v>3150</v>
      </c>
      <c r="AR118" s="138" t="n">
        <f aca="false">AR116+AR117</f>
        <v>3150</v>
      </c>
      <c r="AS118" s="138" t="n">
        <f aca="false">AS116+AS117</f>
        <v>3150</v>
      </c>
      <c r="AT118" s="138" t="n">
        <f aca="false">AT116+AT117</f>
        <v>3150</v>
      </c>
      <c r="AU118" s="138" t="n">
        <f aca="false">AU116+AU117</f>
        <v>3150</v>
      </c>
      <c r="AV118" s="138" t="n">
        <f aca="false">AV116+AV117</f>
        <v>3150</v>
      </c>
      <c r="AW118" s="138" t="n">
        <f aca="false">AW116+AW117</f>
        <v>3150</v>
      </c>
      <c r="AX118" s="138" t="n">
        <f aca="false">AX116+AX117</f>
        <v>3150</v>
      </c>
      <c r="AY118" s="138" t="n">
        <f aca="false">AY116+AY117</f>
        <v>3500</v>
      </c>
      <c r="AZ118" s="138" t="n">
        <f aca="false">AZ116+AZ117</f>
        <v>3500</v>
      </c>
      <c r="BA118" s="138" t="n">
        <f aca="false">BA116+BA117</f>
        <v>3500</v>
      </c>
      <c r="BB118" s="138" t="n">
        <f aca="false">BB116+BB117</f>
        <v>3500</v>
      </c>
      <c r="BC118" s="138" t="n">
        <f aca="false">BC116+BC117</f>
        <v>3500</v>
      </c>
      <c r="BD118" s="138" t="n">
        <f aca="false">BD116+BD117</f>
        <v>3500</v>
      </c>
      <c r="BE118" s="138" t="n">
        <f aca="false">BE116+BE117</f>
        <v>3500</v>
      </c>
      <c r="BF118" s="138" t="n">
        <f aca="false">BF116+BF117</f>
        <v>3500</v>
      </c>
      <c r="BG118" s="138" t="n">
        <f aca="false">BG116+BG117</f>
        <v>3500</v>
      </c>
      <c r="BH118" s="138" t="n">
        <f aca="false">BH116+BH117</f>
        <v>3500</v>
      </c>
      <c r="BI118" s="138" t="n">
        <f aca="false">BI116+BI117</f>
        <v>3500</v>
      </c>
      <c r="BJ118" s="138" t="n">
        <f aca="false">BJ116+BJ117</f>
        <v>3500</v>
      </c>
      <c r="BK118" s="138" t="n">
        <f aca="false">BK116+BK117</f>
        <v>3850</v>
      </c>
      <c r="BL118" s="138" t="n">
        <f aca="false">BL116+BL117</f>
        <v>3850</v>
      </c>
      <c r="BM118" s="138" t="n">
        <f aca="false">BM116+BM117</f>
        <v>3850</v>
      </c>
      <c r="BN118" s="138" t="n">
        <f aca="false">BN116+BN117</f>
        <v>3850</v>
      </c>
      <c r="BO118" s="138" t="n">
        <f aca="false">BO116+BO117</f>
        <v>3850</v>
      </c>
      <c r="BP118" s="138" t="n">
        <f aca="false">BP116+BP117</f>
        <v>3850</v>
      </c>
      <c r="BQ118" s="138" t="n">
        <f aca="false">BQ116+BQ117</f>
        <v>3850</v>
      </c>
      <c r="BR118" s="138" t="n">
        <f aca="false">BR116+BR117</f>
        <v>3850</v>
      </c>
      <c r="BS118" s="138" t="n">
        <f aca="false">BS116+BS117</f>
        <v>3850</v>
      </c>
      <c r="BT118" s="138" t="n">
        <f aca="false">BT116+BT117</f>
        <v>3850</v>
      </c>
      <c r="BU118" s="138" t="n">
        <f aca="false">BU116+BU117</f>
        <v>3850</v>
      </c>
      <c r="BV118" s="138" t="n">
        <f aca="false">BV116+BV117</f>
        <v>3850</v>
      </c>
      <c r="BW118" s="138" t="n">
        <f aca="false">BW116+BW117</f>
        <v>4200</v>
      </c>
      <c r="BX118" s="138" t="n">
        <f aca="false">BX116+BX117</f>
        <v>4200</v>
      </c>
      <c r="BY118" s="138" t="n">
        <f aca="false">BY116+BY117</f>
        <v>4200</v>
      </c>
      <c r="BZ118" s="138" t="n">
        <f aca="false">BZ116+BZ117</f>
        <v>4200</v>
      </c>
      <c r="CA118" s="138" t="n">
        <f aca="false">CA116+CA117</f>
        <v>4200</v>
      </c>
      <c r="CB118" s="138" t="n">
        <f aca="false">CB116+CB117</f>
        <v>4200</v>
      </c>
      <c r="CC118" s="138" t="n">
        <f aca="false">CC116+CC117</f>
        <v>4200</v>
      </c>
      <c r="CD118" s="138" t="n">
        <f aca="false">CD116+CD117</f>
        <v>4200</v>
      </c>
      <c r="CE118" s="138" t="n">
        <f aca="false">CE116+CE117</f>
        <v>4200</v>
      </c>
      <c r="CF118" s="138" t="n">
        <f aca="false">CF116+CF117</f>
        <v>4200</v>
      </c>
      <c r="CG118" s="138" t="n">
        <f aca="false">CG116+CG117</f>
        <v>4200</v>
      </c>
      <c r="CH118" s="138" t="n">
        <f aca="false">CH116+CH117</f>
        <v>4200</v>
      </c>
    </row>
    <row r="119" customFormat="false" ht="13.5" hidden="false" customHeight="true" outlineLevel="0" collapsed="false"/>
    <row r="120" customFormat="false" ht="12.75" hidden="false" customHeight="true" outlineLevel="0" collapsed="false">
      <c r="A120" s="10" t="s">
        <v>792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</row>
    <row r="121" customFormat="false" ht="12.75" hidden="false" customHeight="true" outlineLevel="0" collapsed="false">
      <c r="A121" s="30" t="s">
        <v>793</v>
      </c>
      <c r="B121" s="152" t="n">
        <f aca="false">-Hipótesis!$D$93</f>
        <v>-100000</v>
      </c>
      <c r="C121" s="152" t="n">
        <f aca="false">C93+IF(Hipótesis!$D$94=5,IF(C$3=Hipótesis!$D$124,$C$158,0),IF(C$3=84,$C$134,0))</f>
        <v>0</v>
      </c>
      <c r="D121" s="152" t="n">
        <f aca="false">D93+IF(Hipótesis!$D$94=5,IF(D$3=Hipótesis!$D$124,$C$158,0),IF(D$3=84,$C$134,0))</f>
        <v>0</v>
      </c>
      <c r="E121" s="152" t="n">
        <f aca="false">E93+IF(Hipótesis!$D$94=5,IF(E$3=Hipótesis!$D$124,$C$158,0),IF(E$3=84,$C$134,0))</f>
        <v>0</v>
      </c>
      <c r="F121" s="152" t="n">
        <f aca="false">F93+IF(Hipótesis!$D$94=5,IF(F$3=Hipótesis!$D$124,$C$158,0),IF(F$3=84,$C$134,0))</f>
        <v>0</v>
      </c>
      <c r="G121" s="152" t="n">
        <f aca="false">G93+IF(Hipótesis!$D$94=5,IF(G$3=Hipótesis!$D$124,$C$158,0),IF(G$3=84,$C$134,0))</f>
        <v>0</v>
      </c>
      <c r="H121" s="152" t="n">
        <f aca="false">H93+IF(Hipótesis!$D$94=5,IF(H$3=Hipótesis!$D$124,$C$158,0),IF(H$3=84,$C$134,0))</f>
        <v>0</v>
      </c>
      <c r="I121" s="152" t="n">
        <f aca="false">I93+IF(Hipótesis!$D$94=5,IF(I$3=Hipótesis!$D$124,$C$158,0),IF(I$3=84,$C$134,0))</f>
        <v>0</v>
      </c>
      <c r="J121" s="152" t="n">
        <f aca="false">J93+IF(Hipótesis!$D$94=5,IF(J$3=Hipótesis!$D$124,$C$158,0),IF(J$3=84,$C$134,0))</f>
        <v>0</v>
      </c>
      <c r="K121" s="152" t="n">
        <f aca="false">K93+IF(Hipótesis!$D$94=5,IF(K$3=Hipótesis!$D$124,$C$158,0),IF(K$3=84,$C$134,0))</f>
        <v>0</v>
      </c>
      <c r="L121" s="152" t="n">
        <f aca="false">L93+IF(Hipótesis!$D$94=5,IF(L$3=Hipótesis!$D$124,$C$158,0),IF(L$3=84,$C$134,0))</f>
        <v>0</v>
      </c>
      <c r="M121" s="152" t="n">
        <f aca="false">M93+IF(Hipótesis!$D$94=5,IF(M$3=Hipótesis!$D$124,$C$158,0),IF(M$3=84,$C$134,0))</f>
        <v>0</v>
      </c>
      <c r="N121" s="152" t="n">
        <f aca="false">N93+IF(Hipótesis!$D$94=5,IF(N$3=Hipótesis!$D$124,$C$158,0),IF(N$3=84,$C$134,0))</f>
        <v>0</v>
      </c>
      <c r="O121" s="152" t="n">
        <f aca="false">O93+IF(Hipótesis!$D$94=5,IF(O$3=Hipótesis!$D$124,$C$158,0),IF(O$3=84,$C$134,0))</f>
        <v>0</v>
      </c>
      <c r="P121" s="152" t="n">
        <f aca="false">P93+IF(Hipótesis!$D$94=5,IF(P$3=Hipótesis!$D$124,$C$158,0),IF(P$3=84,$C$134,0))</f>
        <v>0</v>
      </c>
      <c r="Q121" s="152" t="n">
        <f aca="false">Q93+IF(Hipótesis!$D$94=5,IF(Q$3=Hipótesis!$D$124,$C$158,0),IF(Q$3=84,$C$134,0))</f>
        <v>0</v>
      </c>
      <c r="R121" s="152" t="n">
        <f aca="false">R93+IF(Hipótesis!$D$94=5,IF(R$3=Hipótesis!$D$124,$C$158,0),IF(R$3=84,$C$134,0))</f>
        <v>0</v>
      </c>
      <c r="S121" s="152" t="n">
        <f aca="false">S93+IF(Hipótesis!$D$94=5,IF(S$3=Hipótesis!$D$124,$C$158,0),IF(S$3=84,$C$134,0))</f>
        <v>0</v>
      </c>
      <c r="T121" s="152" t="n">
        <f aca="false">T93+IF(Hipótesis!$D$94=5,IF(T$3=Hipótesis!$D$124,$C$158,0),IF(T$3=84,$C$134,0))</f>
        <v>0</v>
      </c>
      <c r="U121" s="152" t="n">
        <f aca="false">U93+IF(Hipótesis!$D$94=5,IF(U$3=Hipótesis!$D$124,$C$158,0),IF(U$3=84,$C$134,0))</f>
        <v>0</v>
      </c>
      <c r="V121" s="152" t="n">
        <f aca="false">V93+IF(Hipótesis!$D$94=5,IF(V$3=Hipótesis!$D$124,$C$158,0),IF(V$3=84,$C$134,0))</f>
        <v>0</v>
      </c>
      <c r="W121" s="152" t="n">
        <f aca="false">W93+IF(Hipótesis!$D$94=5,IF(W$3=Hipótesis!$D$124,$C$158,0),IF(W$3=84,$C$134,0))</f>
        <v>0</v>
      </c>
      <c r="X121" s="152" t="n">
        <f aca="false">X93+IF(Hipótesis!$D$94=5,IF(X$3=Hipótesis!$D$124,$C$158,0),IF(X$3=84,$C$134,0))</f>
        <v>0</v>
      </c>
      <c r="Y121" s="152" t="n">
        <f aca="false">Y93+IF(Hipótesis!$D$94=5,IF(Y$3=Hipótesis!$D$124,$C$158,0),IF(Y$3=84,$C$134,0))</f>
        <v>0</v>
      </c>
      <c r="Z121" s="152" t="n">
        <f aca="false">Z93+IF(Hipótesis!$D$94=5,IF(Z$3=Hipótesis!$D$124,$C$158,0),IF(Z$3=84,$C$134,0))</f>
        <v>0</v>
      </c>
      <c r="AA121" s="152" t="n">
        <f aca="false">AA93+IF(Hipótesis!$D$94=5,IF(AA$3=Hipótesis!$D$124,$C$158,0),IF(AA$3=84,$C$134,0))</f>
        <v>0</v>
      </c>
      <c r="AB121" s="152" t="n">
        <f aca="false">AB93+IF(Hipótesis!$D$94=5,IF(AB$3=Hipótesis!$D$124,$C$158,0),IF(AB$3=84,$C$134,0))</f>
        <v>0</v>
      </c>
      <c r="AC121" s="152" t="n">
        <f aca="false">AC93+IF(Hipótesis!$D$94=5,IF(AC$3=Hipótesis!$D$124,$C$158,0),IF(AC$3=84,$C$134,0))</f>
        <v>0</v>
      </c>
      <c r="AD121" s="152" t="n">
        <f aca="false">AD93+IF(Hipótesis!$D$94=5,IF(AD$3=Hipótesis!$D$124,$C$158,0),IF(AD$3=84,$C$134,0))</f>
        <v>0</v>
      </c>
      <c r="AE121" s="152" t="n">
        <f aca="false">AE93+IF(Hipótesis!$D$94=5,IF(AE$3=Hipótesis!$D$124,$C$158,0),IF(AE$3=84,$C$134,0))</f>
        <v>0</v>
      </c>
      <c r="AF121" s="152" t="n">
        <f aca="false">AF93+IF(Hipótesis!$D$94=5,IF(AF$3=Hipótesis!$D$124,$C$158,0),IF(AF$3=84,$C$134,0))</f>
        <v>0</v>
      </c>
      <c r="AG121" s="152" t="n">
        <f aca="false">AG93+IF(Hipótesis!$D$94=5,IF(AG$3=Hipótesis!$D$124,$C$158,0),IF(AG$3=84,$C$134,0))</f>
        <v>0</v>
      </c>
      <c r="AH121" s="152" t="n">
        <f aca="false">AH93+IF(Hipótesis!$D$94=5,IF(AH$3=Hipótesis!$D$124,$C$158,0),IF(AH$3=84,$C$134,0))</f>
        <v>0</v>
      </c>
      <c r="AI121" s="152" t="n">
        <f aca="false">AI93+IF(Hipótesis!$D$94=5,IF(AI$3=Hipótesis!$D$124,$C$158,0),IF(AI$3=84,$C$134,0))</f>
        <v>0</v>
      </c>
      <c r="AJ121" s="152" t="n">
        <f aca="false">AJ93+IF(Hipótesis!$D$94=5,IF(AJ$3=Hipótesis!$D$124,$C$158,0),IF(AJ$3=84,$C$134,0))</f>
        <v>0</v>
      </c>
      <c r="AK121" s="152" t="n">
        <f aca="false">AK93+IF(Hipótesis!$D$94=5,IF(AK$3=Hipótesis!$D$124,$C$158,0),IF(AK$3=84,$C$134,0))</f>
        <v>0</v>
      </c>
      <c r="AL121" s="152" t="n">
        <f aca="false">AL93+IF(Hipótesis!$D$94=5,IF(AL$3=Hipótesis!$D$124,$C$158,0),IF(AL$3=84,$C$134,0))</f>
        <v>0</v>
      </c>
      <c r="AM121" s="152" t="n">
        <f aca="false">AM93+IF(Hipótesis!$D$94=5,IF(AM$3=Hipótesis!$D$124,$C$158,0),IF(AM$3=84,$C$134,0))</f>
        <v>0</v>
      </c>
      <c r="AN121" s="152" t="n">
        <f aca="false">AN93+IF(Hipótesis!$D$94=5,IF(AN$3=Hipótesis!$D$124,$C$158,0),IF(AN$3=84,$C$134,0))</f>
        <v>0</v>
      </c>
      <c r="AO121" s="152" t="n">
        <f aca="false">AO93+IF(Hipótesis!$D$94=5,IF(AO$3=Hipótesis!$D$124,$C$158,0),IF(AO$3=84,$C$134,0))</f>
        <v>0</v>
      </c>
      <c r="AP121" s="152" t="n">
        <f aca="false">AP93+IF(Hipótesis!$D$94=5,IF(AP$3=Hipótesis!$D$124,$C$158,0),IF(AP$3=84,$C$134,0))</f>
        <v>0</v>
      </c>
      <c r="AQ121" s="152" t="n">
        <f aca="false">AQ93+IF(Hipótesis!$D$94=5,IF(AQ$3=Hipótesis!$D$124,$C$158,0),IF(AQ$3=84,$C$134,0))</f>
        <v>0</v>
      </c>
      <c r="AR121" s="152" t="n">
        <f aca="false">AR93+IF(Hipótesis!$D$94=5,IF(AR$3=Hipótesis!$D$124,$C$158,0),IF(AR$3=84,$C$134,0))</f>
        <v>0</v>
      </c>
      <c r="AS121" s="152" t="n">
        <f aca="false">AS93+IF(Hipótesis!$D$94=5,IF(AS$3=Hipótesis!$D$124,$C$158,0),IF(AS$3=84,$C$134,0))</f>
        <v>0</v>
      </c>
      <c r="AT121" s="152" t="n">
        <f aca="false">AT93+IF(Hipótesis!$D$94=5,IF(AT$3=Hipótesis!$D$124,$C$158,0),IF(AT$3=84,$C$134,0))</f>
        <v>0</v>
      </c>
      <c r="AU121" s="152" t="n">
        <f aca="false">AU93+IF(Hipótesis!$D$94=5,IF(AU$3=Hipótesis!$D$124,$C$158,0),IF(AU$3=84,$C$134,0))</f>
        <v>0</v>
      </c>
      <c r="AV121" s="152" t="n">
        <f aca="false">AV93+IF(Hipótesis!$D$94=5,IF(AV$3=Hipótesis!$D$124,$C$158,0),IF(AV$3=84,$C$134,0))</f>
        <v>0</v>
      </c>
      <c r="AW121" s="152" t="n">
        <f aca="false">AW93+IF(Hipótesis!$D$94=5,IF(AW$3=Hipótesis!$D$124,$C$158,0),IF(AW$3=84,$C$134,0))</f>
        <v>0</v>
      </c>
      <c r="AX121" s="152" t="n">
        <f aca="false">AX93+IF(Hipótesis!$D$94=5,IF(AX$3=Hipótesis!$D$124,$C$158,0),IF(AX$3=84,$C$134,0))</f>
        <v>270219.59553395</v>
      </c>
      <c r="AY121" s="152" t="n">
        <f aca="false">AY93+IF(Hipótesis!$D$94=5,IF(AY$3=Hipótesis!$D$124,$C$158,0),IF(AY$3=84,$C$134,0))</f>
        <v>0</v>
      </c>
      <c r="AZ121" s="152" t="n">
        <f aca="false">AZ93+IF(Hipótesis!$D$94=5,IF(AZ$3=Hipótesis!$D$124,$C$158,0),IF(AZ$3=84,$C$134,0))</f>
        <v>0</v>
      </c>
      <c r="BA121" s="152" t="n">
        <f aca="false">BA93+IF(Hipótesis!$D$94=5,IF(BA$3=Hipótesis!$D$124,$C$158,0),IF(BA$3=84,$C$134,0))</f>
        <v>0</v>
      </c>
      <c r="BB121" s="152" t="n">
        <f aca="false">BB93+IF(Hipótesis!$D$94=5,IF(BB$3=Hipótesis!$D$124,$C$158,0),IF(BB$3=84,$C$134,0))</f>
        <v>0</v>
      </c>
      <c r="BC121" s="152" t="n">
        <f aca="false">BC93+IF(Hipótesis!$D$94=5,IF(BC$3=Hipótesis!$D$124,$C$158,0),IF(BC$3=84,$C$134,0))</f>
        <v>0</v>
      </c>
      <c r="BD121" s="152" t="n">
        <f aca="false">BD93+IF(Hipótesis!$D$94=5,IF(BD$3=Hipótesis!$D$124,$C$158,0),IF(BD$3=84,$C$134,0))</f>
        <v>0</v>
      </c>
      <c r="BE121" s="152" t="n">
        <f aca="false">BE93+IF(Hipótesis!$D$94=5,IF(BE$3=Hipótesis!$D$124,$C$158,0),IF(BE$3=84,$C$134,0))</f>
        <v>0</v>
      </c>
      <c r="BF121" s="152" t="n">
        <f aca="false">BF93+IF(Hipótesis!$D$94=5,IF(BF$3=Hipótesis!$D$124,$C$158,0),IF(BF$3=84,$C$134,0))</f>
        <v>0</v>
      </c>
      <c r="BG121" s="152" t="n">
        <f aca="false">BG93+IF(Hipótesis!$D$94=5,IF(BG$3=Hipótesis!$D$124,$C$158,0),IF(BG$3=84,$C$134,0))</f>
        <v>0</v>
      </c>
      <c r="BH121" s="152" t="n">
        <f aca="false">BH93+IF(Hipótesis!$D$94=5,IF(BH$3=Hipótesis!$D$124,$C$158,0),IF(BH$3=84,$C$134,0))</f>
        <v>0</v>
      </c>
      <c r="BI121" s="152" t="n">
        <f aca="false">BI93+IF(Hipótesis!$D$94=5,IF(BI$3=Hipótesis!$D$124,$C$158,0),IF(BI$3=84,$C$134,0))</f>
        <v>0</v>
      </c>
      <c r="BJ121" s="152" t="n">
        <f aca="false">BJ93+IF(Hipótesis!$D$94=5,IF(BJ$3=Hipótesis!$D$124,$C$158,0),IF(BJ$3=84,$C$134,0))</f>
        <v>0</v>
      </c>
      <c r="BK121" s="152" t="n">
        <f aca="false">BK93+IF(Hipótesis!$D$94=5,IF(BK$3=Hipótesis!$D$124,$C$158,0),IF(BK$3=84,$C$134,0))</f>
        <v>0</v>
      </c>
      <c r="BL121" s="152" t="n">
        <f aca="false">BL93+IF(Hipótesis!$D$94=5,IF(BL$3=Hipótesis!$D$124,$C$158,0),IF(BL$3=84,$C$134,0))</f>
        <v>0</v>
      </c>
      <c r="BM121" s="152" t="n">
        <f aca="false">BM93+IF(Hipótesis!$D$94=5,IF(BM$3=Hipótesis!$D$124,$C$158,0),IF(BM$3=84,$C$134,0))</f>
        <v>0</v>
      </c>
      <c r="BN121" s="152" t="n">
        <f aca="false">BN93+IF(Hipótesis!$D$94=5,IF(BN$3=Hipótesis!$D$124,$C$158,0),IF(BN$3=84,$C$134,0))</f>
        <v>0</v>
      </c>
      <c r="BO121" s="152" t="n">
        <f aca="false">BO93+IF(Hipótesis!$D$94=5,IF(BO$3=Hipótesis!$D$124,$C$158,0),IF(BO$3=84,$C$134,0))</f>
        <v>0</v>
      </c>
      <c r="BP121" s="152" t="n">
        <f aca="false">BP93+IF(Hipótesis!$D$94=5,IF(BP$3=Hipótesis!$D$124,$C$158,0),IF(BP$3=84,$C$134,0))</f>
        <v>0</v>
      </c>
      <c r="BQ121" s="152" t="n">
        <f aca="false">BQ93+IF(Hipótesis!$D$94=5,IF(BQ$3=Hipótesis!$D$124,$C$158,0),IF(BQ$3=84,$C$134,0))</f>
        <v>0</v>
      </c>
      <c r="BR121" s="152" t="n">
        <f aca="false">BR93+IF(Hipótesis!$D$94=5,IF(BR$3=Hipótesis!$D$124,$C$158,0),IF(BR$3=84,$C$134,0))</f>
        <v>0</v>
      </c>
      <c r="BS121" s="152" t="n">
        <f aca="false">BS93+IF(Hipótesis!$D$94=5,IF(BS$3=Hipótesis!$D$124,$C$158,0),IF(BS$3=84,$C$134,0))</f>
        <v>0</v>
      </c>
      <c r="BT121" s="152" t="n">
        <f aca="false">BT93+IF(Hipótesis!$D$94=5,IF(BT$3=Hipótesis!$D$124,$C$158,0),IF(BT$3=84,$C$134,0))</f>
        <v>0</v>
      </c>
      <c r="BU121" s="152" t="n">
        <f aca="false">BU93+IF(Hipótesis!$D$94=5,IF(BU$3=Hipótesis!$D$124,$C$158,0),IF(BU$3=84,$C$134,0))</f>
        <v>0</v>
      </c>
      <c r="BV121" s="152" t="n">
        <f aca="false">BV93+IF(Hipótesis!$D$94=5,IF(BV$3=Hipótesis!$D$124,$C$158,0),IF(BV$3=84,$C$134,0))</f>
        <v>0</v>
      </c>
      <c r="BW121" s="152" t="n">
        <f aca="false">BW93+IF(Hipótesis!$D$94=5,IF(BW$3=Hipótesis!$D$124,$C$158,0),IF(BW$3=84,$C$134,0))</f>
        <v>0</v>
      </c>
      <c r="BX121" s="152" t="n">
        <f aca="false">BX93+IF(Hipótesis!$D$94=5,IF(BX$3=Hipótesis!$D$124,$C$158,0),IF(BX$3=84,$C$134,0))</f>
        <v>0</v>
      </c>
      <c r="BY121" s="152" t="n">
        <f aca="false">BY93+IF(Hipótesis!$D$94=5,IF(BY$3=Hipótesis!$D$124,$C$158,0),IF(BY$3=84,$C$134,0))</f>
        <v>0</v>
      </c>
      <c r="BZ121" s="152" t="n">
        <f aca="false">BZ93+IF(Hipótesis!$D$94=5,IF(BZ$3=Hipótesis!$D$124,$C$158,0),IF(BZ$3=84,$C$134,0))</f>
        <v>0</v>
      </c>
      <c r="CA121" s="152" t="n">
        <f aca="false">CA93+IF(Hipótesis!$D$94=5,IF(CA$3=Hipótesis!$D$124,$C$158,0),IF(CA$3=84,$C$134,0))</f>
        <v>0</v>
      </c>
      <c r="CB121" s="152" t="n">
        <f aca="false">CB93+IF(Hipótesis!$D$94=5,IF(CB$3=Hipótesis!$D$124,$C$158,0),IF(CB$3=84,$C$134,0))</f>
        <v>0</v>
      </c>
      <c r="CC121" s="152" t="n">
        <f aca="false">CC93+IF(Hipótesis!$D$94=5,IF(CC$3=Hipótesis!$D$124,$C$158,0),IF(CC$3=84,$C$134,0))</f>
        <v>0</v>
      </c>
      <c r="CD121" s="152" t="n">
        <f aca="false">CD93+IF(Hipótesis!$D$94=5,IF(CD$3=Hipótesis!$D$124,$C$158,0),IF(CD$3=84,$C$134,0))</f>
        <v>0</v>
      </c>
      <c r="CE121" s="152" t="n">
        <f aca="false">CE93+IF(Hipótesis!$D$94=5,IF(CE$3=Hipótesis!$D$124,$C$158,0),IF(CE$3=84,$C$134,0))</f>
        <v>0</v>
      </c>
      <c r="CF121" s="152" t="n">
        <f aca="false">CF93+IF(Hipótesis!$D$94=5,IF(CF$3=Hipótesis!$D$124,$C$158,0),IF(CF$3=84,$C$134,0))</f>
        <v>0</v>
      </c>
      <c r="CG121" s="152" t="n">
        <f aca="false">CG93+IF(Hipótesis!$D$94=5,IF(CG$3=Hipótesis!$D$124,$C$158,0),IF(CG$3=84,$C$134,0))</f>
        <v>0</v>
      </c>
      <c r="CH121" s="152" t="n">
        <f aca="false">CH93+IF(Hipótesis!$D$94=5,IF(CH$3=Hipótesis!$D$124,$C$158,0),IF(CH$3=84,$C$134,0))</f>
        <v>0</v>
      </c>
    </row>
    <row r="122" customFormat="false" ht="12.75" hidden="false" customHeight="true" outlineLevel="0" collapsed="false">
      <c r="A122" s="13" t="s">
        <v>794</v>
      </c>
      <c r="B122" s="138" t="n">
        <f aca="false">Hipótesis!$D$122</f>
        <v>200000</v>
      </c>
      <c r="C122" s="138" t="n">
        <f aca="false">-C106-IF(Hipótesis!$D$94=5,IF(C$3=Hipótesis!$D$124,$C$158,0),IF(C$3=84,$C$134,0))</f>
        <v>-333.333333333333</v>
      </c>
      <c r="D122" s="138" t="n">
        <f aca="false">-D106-IF(Hipótesis!$D$94=5,IF(D$3=Hipótesis!$D$124,$C$158,0),IF(D$3=84,$C$134,0))</f>
        <v>-333.333333333333</v>
      </c>
      <c r="E122" s="138" t="n">
        <f aca="false">-E106-IF(Hipótesis!$D$94=5,IF(E$3=Hipótesis!$D$124,$C$158,0),IF(E$3=84,$C$134,0))</f>
        <v>-333.333333333333</v>
      </c>
      <c r="F122" s="138" t="n">
        <f aca="false">-F106-IF(Hipótesis!$D$94=5,IF(F$3=Hipótesis!$D$124,$C$158,0),IF(F$3=84,$C$134,0))</f>
        <v>-333.333333333333</v>
      </c>
      <c r="G122" s="138" t="n">
        <f aca="false">-G106-IF(Hipótesis!$D$94=5,IF(G$3=Hipótesis!$D$124,$C$158,0),IF(G$3=84,$C$134,0))</f>
        <v>-333.333333333333</v>
      </c>
      <c r="H122" s="138" t="n">
        <f aca="false">-H106-IF(Hipótesis!$D$94=5,IF(H$3=Hipótesis!$D$124,$C$158,0),IF(H$3=84,$C$134,0))</f>
        <v>-333.333333333333</v>
      </c>
      <c r="I122" s="138" t="n">
        <f aca="false">-I106-IF(Hipótesis!$D$94=5,IF(I$3=Hipótesis!$D$124,$C$158,0),IF(I$3=84,$C$134,0))</f>
        <v>-333.333333333333</v>
      </c>
      <c r="J122" s="138" t="n">
        <f aca="false">-J106-IF(Hipótesis!$D$94=5,IF(J$3=Hipótesis!$D$124,$C$158,0),IF(J$3=84,$C$134,0))</f>
        <v>-333.333333333333</v>
      </c>
      <c r="K122" s="138" t="n">
        <f aca="false">-K106-IF(Hipótesis!$D$94=5,IF(K$3=Hipótesis!$D$124,$C$158,0),IF(K$3=84,$C$134,0))</f>
        <v>-333.333333333333</v>
      </c>
      <c r="L122" s="138" t="n">
        <f aca="false">-L106-IF(Hipótesis!$D$94=5,IF(L$3=Hipótesis!$D$124,$C$158,0),IF(L$3=84,$C$134,0))</f>
        <v>-373.694280821524</v>
      </c>
      <c r="M122" s="138" t="n">
        <f aca="false">-M106-IF(Hipótesis!$D$94=5,IF(M$3=Hipótesis!$D$124,$C$158,0),IF(M$3=84,$C$134,0))</f>
        <v>-415.768862920863</v>
      </c>
      <c r="N122" s="138" t="n">
        <f aca="false">-N106-IF(Hipótesis!$D$94=5,IF(N$3=Hipótesis!$D$124,$C$158,0),IF(N$3=84,$C$134,0))</f>
        <v>-422.735473687099</v>
      </c>
      <c r="O122" s="138" t="n">
        <f aca="false">-O106-IF(Hipótesis!$D$94=5,IF(O$3=Hipótesis!$D$124,$C$158,0),IF(O$3=84,$C$134,0))</f>
        <v>-368.691684453335</v>
      </c>
      <c r="P122" s="138" t="n">
        <f aca="false">-P106-IF(Hipótesis!$D$94=5,IF(P$3=Hipótesis!$D$124,$C$158,0),IF(P$3=84,$C$134,0))</f>
        <v>-416.579295102838</v>
      </c>
      <c r="Q122" s="138" t="n">
        <f aca="false">-Q106-IF(Hipótesis!$D$94=5,IF(Q$3=Hipótesis!$D$124,$C$158,0),IF(Q$3=84,$C$134,0))</f>
        <v>-418.240505752341</v>
      </c>
      <c r="R122" s="138" t="n">
        <f aca="false">-R106-IF(Hipótesis!$D$94=5,IF(R$3=Hipótesis!$D$124,$C$158,0),IF(R$3=84,$C$134,0))</f>
        <v>-466.128116401844</v>
      </c>
      <c r="S122" s="138" t="n">
        <f aca="false">-S106-IF(Hipótesis!$D$94=5,IF(S$3=Hipótesis!$D$124,$C$158,0),IF(S$3=84,$C$134,0))</f>
        <v>-363.893286838975</v>
      </c>
      <c r="T122" s="138" t="n">
        <f aca="false">-T106-IF(Hipótesis!$D$94=5,IF(T$3=Hipótesis!$D$124,$C$158,0),IF(T$3=84,$C$134,0))</f>
        <v>-515.67693770085</v>
      </c>
      <c r="U122" s="138" t="n">
        <f aca="false">-U106-IF(Hipótesis!$D$94=5,IF(U$3=Hipótesis!$D$124,$C$158,0),IF(U$3=84,$C$134,0))</f>
        <v>-563.564548350353</v>
      </c>
      <c r="V122" s="138" t="n">
        <f aca="false">-V106-IF(Hipótesis!$D$94=5,IF(V$3=Hipótesis!$D$124,$C$158,0),IF(V$3=84,$C$134,0))</f>
        <v>-557.068158999856</v>
      </c>
      <c r="W122" s="138" t="n">
        <f aca="false">-W106-IF(Hipótesis!$D$94=5,IF(W$3=Hipótesis!$D$124,$C$158,0),IF(W$3=84,$C$134,0))</f>
        <v>-604.955769649359</v>
      </c>
      <c r="X122" s="138" t="n">
        <f aca="false">-X106-IF(Hipótesis!$D$94=5,IF(X$3=Hipótesis!$D$124,$C$158,0),IF(X$3=84,$C$134,0))</f>
        <v>-596.844951631965</v>
      </c>
      <c r="Y122" s="138" t="n">
        <f aca="false">-Y106-IF(Hipótesis!$D$94=5,IF(Y$3=Hipótesis!$D$124,$C$158,0),IF(Y$3=84,$C$134,0))</f>
        <v>-634.960533614571</v>
      </c>
      <c r="Z122" s="138" t="n">
        <f aca="false">-Z106-IF(Hipótesis!$D$94=5,IF(Z$3=Hipótesis!$D$124,$C$158,0),IF(Z$3=84,$C$134,0))</f>
        <v>-669.590124130419</v>
      </c>
      <c r="AA122" s="138" t="n">
        <f aca="false">-AA106-IF(Hipótesis!$D$94=5,IF(AA$3=Hipótesis!$D$124,$C$158,0),IF(AA$3=84,$C$134,0))</f>
        <v>-2322.47617331293</v>
      </c>
      <c r="AB122" s="138" t="n">
        <f aca="false">-AB106-IF(Hipótesis!$D$94=5,IF(AB$3=Hipótesis!$D$124,$C$158,0),IF(AB$3=84,$C$134,0))</f>
        <v>-2351.55020827322</v>
      </c>
      <c r="AC122" s="138" t="n">
        <f aca="false">-AC106-IF(Hipótesis!$D$94=5,IF(AC$3=Hipótesis!$D$124,$C$158,0),IF(AC$3=84,$C$134,0))</f>
        <v>-2380.62424323352</v>
      </c>
      <c r="AD122" s="138" t="n">
        <f aca="false">-AD106-IF(Hipótesis!$D$94=5,IF(AD$3=Hipótesis!$D$124,$C$158,0),IF(AD$3=84,$C$134,0))</f>
        <v>-2409.69827819381</v>
      </c>
      <c r="AE122" s="138" t="n">
        <f aca="false">-AE106-IF(Hipótesis!$D$94=5,IF(AE$3=Hipótesis!$D$124,$C$158,0),IF(AE$3=84,$C$134,0))</f>
        <v>-2193.97520926241</v>
      </c>
      <c r="AF122" s="138" t="n">
        <f aca="false">-AF106-IF(Hipótesis!$D$94=5,IF(AF$3=Hipótesis!$D$124,$C$158,0),IF(AF$3=84,$C$134,0))</f>
        <v>-2420.23315611439</v>
      </c>
      <c r="AG122" s="138" t="n">
        <f aca="false">-AG106-IF(Hipótesis!$D$94=5,IF(AG$3=Hipótesis!$D$124,$C$158,0),IF(AG$3=84,$C$134,0))</f>
        <v>-2449.30719107468</v>
      </c>
      <c r="AH122" s="138" t="n">
        <f aca="false">-AH106-IF(Hipótesis!$D$94=5,IF(AH$3=Hipótesis!$D$124,$C$158,0),IF(AH$3=84,$C$134,0))</f>
        <v>-2478.38122603498</v>
      </c>
      <c r="AI122" s="138" t="n">
        <f aca="false">-AI106-IF(Hipótesis!$D$94=5,IF(AI$3=Hipótesis!$D$124,$C$158,0),IF(AI$3=84,$C$134,0))</f>
        <v>-2507.45526099527</v>
      </c>
      <c r="AJ122" s="138" t="n">
        <f aca="false">-AJ106-IF(Hipótesis!$D$94=5,IF(AJ$3=Hipótesis!$D$124,$C$158,0),IF(AJ$3=84,$C$134,0))</f>
        <v>-2536.52929595556</v>
      </c>
      <c r="AK122" s="138" t="n">
        <f aca="false">-AK106-IF(Hipótesis!$D$94=5,IF(AK$3=Hipótesis!$D$124,$C$158,0),IF(AK$3=84,$C$134,0))</f>
        <v>-2565.60333091585</v>
      </c>
      <c r="AL122" s="138" t="n">
        <f aca="false">-AL106-IF(Hipótesis!$D$94=5,IF(AL$3=Hipótesis!$D$124,$C$158,0),IF(AL$3=84,$C$134,0))</f>
        <v>-2594.67736587614</v>
      </c>
      <c r="AM122" s="138" t="n">
        <f aca="false">-AM106-IF(Hipótesis!$D$94=5,IF(AM$3=Hipótesis!$D$124,$C$158,0),IF(AM$3=84,$C$134,0))</f>
        <v>-2520.03995902066</v>
      </c>
      <c r="AN122" s="138" t="n">
        <f aca="false">-AN106-IF(Hipótesis!$D$94=5,IF(AN$3=Hipótesis!$D$124,$C$158,0),IF(AN$3=84,$C$134,0))</f>
        <v>-2542.06887274725</v>
      </c>
      <c r="AO122" s="138" t="n">
        <f aca="false">-AO106-IF(Hipótesis!$D$94=5,IF(AO$3=Hipótesis!$D$124,$C$158,0),IF(AO$3=84,$C$134,0))</f>
        <v>-2564.09778647384</v>
      </c>
      <c r="AP122" s="138" t="n">
        <f aca="false">-AP106-IF(Hipótesis!$D$94=5,IF(AP$3=Hipótesis!$D$124,$C$158,0),IF(AP$3=84,$C$134,0))</f>
        <v>-2586.12670020042</v>
      </c>
      <c r="AQ122" s="138" t="n">
        <f aca="false">-AQ106-IF(Hipótesis!$D$94=5,IF(AQ$3=Hipótesis!$D$124,$C$158,0),IF(AQ$3=84,$C$134,0))</f>
        <v>-2308.13162288905</v>
      </c>
      <c r="AR122" s="138" t="n">
        <f aca="false">-AR106-IF(Hipótesis!$D$94=5,IF(AR$3=Hipótesis!$D$124,$C$158,0),IF(AR$3=84,$C$134,0))</f>
        <v>-2630.1845276536</v>
      </c>
      <c r="AS122" s="138" t="n">
        <f aca="false">-AS106-IF(Hipótesis!$D$94=5,IF(AS$3=Hipótesis!$D$124,$C$158,0),IF(AS$3=84,$C$134,0))</f>
        <v>-2624.62897209804</v>
      </c>
      <c r="AT122" s="138" t="n">
        <f aca="false">-AT106-IF(Hipótesis!$D$94=5,IF(AT$3=Hipótesis!$D$124,$C$158,0),IF(AT$3=84,$C$134,0))</f>
        <v>-2619.07341654249</v>
      </c>
      <c r="AU122" s="138" t="n">
        <f aca="false">-AU106-IF(Hipótesis!$D$94=5,IF(AU$3=Hipótesis!$D$124,$C$158,0),IF(AU$3=84,$C$134,0))</f>
        <v>-2613.51786098693</v>
      </c>
      <c r="AV122" s="138" t="n">
        <f aca="false">-AV106-IF(Hipótesis!$D$94=5,IF(AV$3=Hipótesis!$D$124,$C$158,0),IF(AV$3=84,$C$134,0))</f>
        <v>-2607.96230543137</v>
      </c>
      <c r="AW122" s="138" t="n">
        <f aca="false">-AW106-IF(Hipótesis!$D$94=5,IF(AW$3=Hipótesis!$D$124,$C$158,0),IF(AW$3=84,$C$134,0))</f>
        <v>-2602.40674987582</v>
      </c>
      <c r="AX122" s="138" t="n">
        <f aca="false">-AX106-IF(Hipótesis!$D$94=5,IF(AX$3=Hipótesis!$D$124,$C$158,0),IF(AX$3=84,$C$134,0))</f>
        <v>-272816.44672827</v>
      </c>
      <c r="AY122" s="138" t="n">
        <f aca="false">-AY106-IF(Hipótesis!$D$94=5,IF(AY$3=Hipótesis!$D$124,$C$158,0),IF(AY$3=84,$C$134,0))</f>
        <v>-2539.40639383191</v>
      </c>
      <c r="AZ122" s="138" t="n">
        <f aca="false">-AZ106-IF(Hipótesis!$D$94=5,IF(AZ$3=Hipótesis!$D$124,$C$158,0),IF(AZ$3=84,$C$134,0))</f>
        <v>-2533.85083827635</v>
      </c>
      <c r="BA122" s="138" t="n">
        <f aca="false">-BA106-IF(Hipótesis!$D$94=5,IF(BA$3=Hipótesis!$D$124,$C$158,0),IF(BA$3=84,$C$134,0))</f>
        <v>-2528.2952827208</v>
      </c>
      <c r="BB122" s="138" t="n">
        <f aca="false">-BB106-IF(Hipótesis!$D$94=5,IF(BB$3=Hipótesis!$D$124,$C$158,0),IF(BB$3=84,$C$134,0))</f>
        <v>-2522.73972716524</v>
      </c>
      <c r="BC122" s="138" t="n">
        <f aca="false">-BC106-IF(Hipótesis!$D$94=5,IF(BC$3=Hipótesis!$D$124,$C$158,0),IF(BC$3=84,$C$134,0))</f>
        <v>-2217.16018057172</v>
      </c>
      <c r="BD122" s="138" t="n">
        <f aca="false">-BD106-IF(Hipótesis!$D$94=5,IF(BD$3=Hipótesis!$D$124,$C$158,0),IF(BD$3=84,$C$134,0))</f>
        <v>-2511.62861605413</v>
      </c>
      <c r="BE122" s="138" t="n">
        <f aca="false">-BE106-IF(Hipótesis!$D$94=5,IF(BE$3=Hipótesis!$D$124,$C$158,0),IF(BE$3=84,$C$134,0))</f>
        <v>-2506.07306049857</v>
      </c>
      <c r="BF122" s="138" t="n">
        <f aca="false">-BF106-IF(Hipótesis!$D$94=5,IF(BF$3=Hipótesis!$D$124,$C$158,0),IF(BF$3=84,$C$134,0))</f>
        <v>-2500.51750494302</v>
      </c>
      <c r="BG122" s="138" t="n">
        <f aca="false">-BG106-IF(Hipótesis!$D$94=5,IF(BG$3=Hipótesis!$D$124,$C$158,0),IF(BG$3=84,$C$134,0))</f>
        <v>-2494.96194938746</v>
      </c>
      <c r="BH122" s="138" t="n">
        <f aca="false">-BH106-IF(Hipótesis!$D$94=5,IF(BH$3=Hipótesis!$D$124,$C$158,0),IF(BH$3=84,$C$134,0))</f>
        <v>-2489.40639383191</v>
      </c>
      <c r="BI122" s="138" t="n">
        <f aca="false">-BI106-IF(Hipótesis!$D$94=5,IF(BI$3=Hipótesis!$D$124,$C$158,0),IF(BI$3=84,$C$134,0))</f>
        <v>-2483.85083827635</v>
      </c>
      <c r="BJ122" s="138" t="n">
        <f aca="false">-BJ106-IF(Hipótesis!$D$94=5,IF(BJ$3=Hipótesis!$D$124,$C$158,0),IF(BJ$3=84,$C$134,0))</f>
        <v>-2478.2952827208</v>
      </c>
      <c r="BK122" s="138" t="n">
        <f aca="false">-BK106-IF(Hipótesis!$D$94=5,IF(BK$3=Hipótesis!$D$124,$C$158,0),IF(BK$3=84,$C$134,0))</f>
        <v>-2420.48180488446</v>
      </c>
      <c r="BL122" s="138" t="n">
        <f aca="false">-BL106-IF(Hipótesis!$D$94=5,IF(BL$3=Hipótesis!$D$124,$C$158,0),IF(BL$3=84,$C$134,0))</f>
        <v>-2414.9262493289</v>
      </c>
      <c r="BM122" s="138" t="n">
        <f aca="false">-BM106-IF(Hipótesis!$D$94=5,IF(BM$3=Hipótesis!$D$124,$C$158,0),IF(BM$3=84,$C$134,0))</f>
        <v>-2409.37069377335</v>
      </c>
      <c r="BN122" s="138" t="n">
        <f aca="false">-BN106-IF(Hipótesis!$D$94=5,IF(BN$3=Hipótesis!$D$124,$C$158,0),IF(BN$3=84,$C$134,0))</f>
        <v>-2403.81513821779</v>
      </c>
      <c r="BO122" s="138" t="n">
        <f aca="false">-BO106-IF(Hipótesis!$D$94=5,IF(BO$3=Hipótesis!$D$124,$C$158,0),IF(BO$3=84,$C$134,0))</f>
        <v>-2098.23559162427</v>
      </c>
      <c r="BP122" s="138" t="n">
        <f aca="false">-BP106-IF(Hipótesis!$D$94=5,IF(BP$3=Hipótesis!$D$124,$C$158,0),IF(BP$3=84,$C$134,0))</f>
        <v>-2392.70402710668</v>
      </c>
      <c r="BQ122" s="138" t="n">
        <f aca="false">-BQ106-IF(Hipótesis!$D$94=5,IF(BQ$3=Hipótesis!$D$124,$C$158,0),IF(BQ$3=84,$C$134,0))</f>
        <v>-2387.14847155112</v>
      </c>
      <c r="BR122" s="138" t="n">
        <f aca="false">-BR106-IF(Hipótesis!$D$94=5,IF(BR$3=Hipótesis!$D$124,$C$158,0),IF(BR$3=84,$C$134,0))</f>
        <v>-2381.59291599557</v>
      </c>
      <c r="BS122" s="138" t="n">
        <f aca="false">-BS106-IF(Hipótesis!$D$94=5,IF(BS$3=Hipótesis!$D$124,$C$158,0),IF(BS$3=84,$C$134,0))</f>
        <v>-2376.03736044001</v>
      </c>
      <c r="BT122" s="138" t="n">
        <f aca="false">-BT106-IF(Hipótesis!$D$94=5,IF(BT$3=Hipótesis!$D$124,$C$158,0),IF(BT$3=84,$C$134,0))</f>
        <v>-2370.48180488446</v>
      </c>
      <c r="BU122" s="138" t="n">
        <f aca="false">-BU106-IF(Hipótesis!$D$94=5,IF(BU$3=Hipótesis!$D$124,$C$158,0),IF(BU$3=84,$C$134,0))</f>
        <v>-2364.9262493289</v>
      </c>
      <c r="BV122" s="138" t="n">
        <f aca="false">-BV106-IF(Hipótesis!$D$94=5,IF(BV$3=Hipótesis!$D$124,$C$158,0),IF(BV$3=84,$C$134,0))</f>
        <v>-2359.37069377335</v>
      </c>
      <c r="BW122" s="138" t="n">
        <f aca="false">-BW106-IF(Hipótesis!$D$94=5,IF(BW$3=Hipótesis!$D$124,$C$158,0),IF(BW$3=84,$C$134,0))</f>
        <v>-2301.17747826858</v>
      </c>
      <c r="BX122" s="138" t="n">
        <f aca="false">-BX106-IF(Hipótesis!$D$94=5,IF(BX$3=Hipótesis!$D$124,$C$158,0),IF(BX$3=84,$C$134,0))</f>
        <v>-2295.62192271303</v>
      </c>
      <c r="BY122" s="138" t="n">
        <f aca="false">-BY106-IF(Hipótesis!$D$94=5,IF(BY$3=Hipótesis!$D$124,$C$158,0),IF(BY$3=84,$C$134,0))</f>
        <v>-2290.06636715747</v>
      </c>
      <c r="BZ122" s="138" t="n">
        <f aca="false">-BZ106-IF(Hipótesis!$D$94=5,IF(BZ$3=Hipótesis!$D$124,$C$158,0),IF(BZ$3=84,$C$134,0))</f>
        <v>-2284.51081160192</v>
      </c>
      <c r="CA122" s="138" t="n">
        <f aca="false">-CA106-IF(Hipótesis!$D$94=5,IF(CA$3=Hipótesis!$D$124,$C$158,0),IF(CA$3=84,$C$134,0))</f>
        <v>-1978.9312650084</v>
      </c>
      <c r="CB122" s="138" t="n">
        <f aca="false">-CB106-IF(Hipótesis!$D$94=5,IF(CB$3=Hipótesis!$D$124,$C$158,0),IF(CB$3=84,$C$134,0))</f>
        <v>-2273.39970049081</v>
      </c>
      <c r="CC122" s="138" t="n">
        <f aca="false">-CC106-IF(Hipótesis!$D$94=5,IF(CC$3=Hipótesis!$D$124,$C$158,0),IF(CC$3=84,$C$134,0))</f>
        <v>-2267.84414493525</v>
      </c>
      <c r="CD122" s="138" t="n">
        <f aca="false">-CD106-IF(Hipótesis!$D$94=5,IF(CD$3=Hipótesis!$D$124,$C$158,0),IF(CD$3=84,$C$134,0))</f>
        <v>-2262.28858937969</v>
      </c>
      <c r="CE122" s="138" t="n">
        <f aca="false">-CE106-IF(Hipótesis!$D$94=5,IF(CE$3=Hipótesis!$D$124,$C$158,0),IF(CE$3=84,$C$134,0))</f>
        <v>-2256.73303382414</v>
      </c>
      <c r="CF122" s="138" t="n">
        <f aca="false">-CF106-IF(Hipótesis!$D$94=5,IF(CF$3=Hipótesis!$D$124,$C$158,0),IF(CF$3=84,$C$134,0))</f>
        <v>-2251.17747826858</v>
      </c>
      <c r="CG122" s="138" t="n">
        <f aca="false">-CG106-IF(Hipótesis!$D$94=5,IF(CG$3=Hipótesis!$D$124,$C$158,0),IF(CG$3=84,$C$134,0))</f>
        <v>-2245.62192271303</v>
      </c>
      <c r="CH122" s="138" t="n">
        <f aca="false">-CH106-IF(Hipótesis!$D$94=5,IF(CH$3=Hipótesis!$D$124,$C$158,0),IF(CH$3=84,$C$134,0))</f>
        <v>-2240.06636715741</v>
      </c>
    </row>
    <row r="123" customFormat="false" ht="12.75" hidden="false" customHeight="true" outlineLevel="0" collapsed="false">
      <c r="A123" s="13" t="s">
        <v>795</v>
      </c>
      <c r="B123" s="138" t="n">
        <f aca="false">-Hipótesis!$D$105</f>
        <v>-100000</v>
      </c>
      <c r="C123" s="138" t="n">
        <f aca="false">C99</f>
        <v>333.333333333333</v>
      </c>
      <c r="D123" s="138" t="n">
        <f aca="false">D99</f>
        <v>333.333333333333</v>
      </c>
      <c r="E123" s="138" t="n">
        <f aca="false">E99</f>
        <v>333.333333333333</v>
      </c>
      <c r="F123" s="138" t="n">
        <f aca="false">F99</f>
        <v>333.333333333333</v>
      </c>
      <c r="G123" s="138" t="n">
        <f aca="false">G99</f>
        <v>333.333333333333</v>
      </c>
      <c r="H123" s="138" t="n">
        <f aca="false">H99</f>
        <v>333.333333333333</v>
      </c>
      <c r="I123" s="138" t="n">
        <f aca="false">I99</f>
        <v>333.333333333333</v>
      </c>
      <c r="J123" s="138" t="n">
        <f aca="false">J99</f>
        <v>333.333333333333</v>
      </c>
      <c r="K123" s="138" t="n">
        <f aca="false">K99</f>
        <v>333.333333333333</v>
      </c>
      <c r="L123" s="138" t="n">
        <f aca="false">L99</f>
        <v>373.694280821524</v>
      </c>
      <c r="M123" s="138" t="n">
        <f aca="false">M99</f>
        <v>415.768862920863</v>
      </c>
      <c r="N123" s="138" t="n">
        <f aca="false">N99</f>
        <v>422.735473687099</v>
      </c>
      <c r="O123" s="138" t="n">
        <f aca="false">O99</f>
        <v>368.691684453335</v>
      </c>
      <c r="P123" s="138" t="n">
        <f aca="false">P99</f>
        <v>416.579295102838</v>
      </c>
      <c r="Q123" s="138" t="n">
        <f aca="false">Q99</f>
        <v>418.240505752341</v>
      </c>
      <c r="R123" s="138" t="n">
        <f aca="false">R99</f>
        <v>466.128116401844</v>
      </c>
      <c r="S123" s="138" t="n">
        <f aca="false">S99</f>
        <v>363.893286838975</v>
      </c>
      <c r="T123" s="138" t="n">
        <f aca="false">T99</f>
        <v>515.67693770085</v>
      </c>
      <c r="U123" s="138" t="n">
        <f aca="false">U99</f>
        <v>563.564548350353</v>
      </c>
      <c r="V123" s="138" t="n">
        <f aca="false">V99</f>
        <v>557.068158999856</v>
      </c>
      <c r="W123" s="138" t="n">
        <f aca="false">W99</f>
        <v>604.955769649359</v>
      </c>
      <c r="X123" s="138" t="n">
        <f aca="false">X99</f>
        <v>596.844951631965</v>
      </c>
      <c r="Y123" s="138" t="n">
        <f aca="false">Y99</f>
        <v>634.960533614571</v>
      </c>
      <c r="Z123" s="138" t="n">
        <f aca="false">Z99</f>
        <v>669.590124130419</v>
      </c>
      <c r="AA123" s="138" t="n">
        <f aca="false">AA99</f>
        <v>2322.47617331293</v>
      </c>
      <c r="AB123" s="138" t="n">
        <f aca="false">AB99</f>
        <v>2351.55020827322</v>
      </c>
      <c r="AC123" s="138" t="n">
        <f aca="false">AC99</f>
        <v>2380.62424323352</v>
      </c>
      <c r="AD123" s="138" t="n">
        <f aca="false">AD99</f>
        <v>2409.69827819381</v>
      </c>
      <c r="AE123" s="138" t="n">
        <f aca="false">AE99</f>
        <v>2193.97520926241</v>
      </c>
      <c r="AF123" s="138" t="n">
        <f aca="false">AF99</f>
        <v>2420.23315611439</v>
      </c>
      <c r="AG123" s="138" t="n">
        <f aca="false">AG99</f>
        <v>2449.30719107468</v>
      </c>
      <c r="AH123" s="138" t="n">
        <f aca="false">AH99</f>
        <v>2478.38122603498</v>
      </c>
      <c r="AI123" s="138" t="n">
        <f aca="false">AI99</f>
        <v>2507.45526099527</v>
      </c>
      <c r="AJ123" s="138" t="n">
        <f aca="false">AJ99</f>
        <v>2536.52929595556</v>
      </c>
      <c r="AK123" s="138" t="n">
        <f aca="false">AK99</f>
        <v>2565.60333091585</v>
      </c>
      <c r="AL123" s="138" t="n">
        <f aca="false">AL99</f>
        <v>2594.67736587614</v>
      </c>
      <c r="AM123" s="138" t="n">
        <f aca="false">AM99</f>
        <v>2520.03995902066</v>
      </c>
      <c r="AN123" s="138" t="n">
        <f aca="false">AN99</f>
        <v>2542.06887274725</v>
      </c>
      <c r="AO123" s="138" t="n">
        <f aca="false">AO99</f>
        <v>2564.09778647384</v>
      </c>
      <c r="AP123" s="138" t="n">
        <f aca="false">AP99</f>
        <v>2586.12670020042</v>
      </c>
      <c r="AQ123" s="138" t="n">
        <f aca="false">AQ99</f>
        <v>2308.13162288905</v>
      </c>
      <c r="AR123" s="138" t="n">
        <f aca="false">AR99</f>
        <v>2630.1845276536</v>
      </c>
      <c r="AS123" s="138" t="n">
        <f aca="false">AS99</f>
        <v>2624.62897209804</v>
      </c>
      <c r="AT123" s="138" t="n">
        <f aca="false">AT99</f>
        <v>2619.07341654249</v>
      </c>
      <c r="AU123" s="138" t="n">
        <f aca="false">AU99</f>
        <v>2613.51786098693</v>
      </c>
      <c r="AV123" s="138" t="n">
        <f aca="false">AV99</f>
        <v>2607.96230543137</v>
      </c>
      <c r="AW123" s="138" t="n">
        <f aca="false">AW99</f>
        <v>2602.40674987582</v>
      </c>
      <c r="AX123" s="138" t="n">
        <f aca="false">AX99</f>
        <v>2596.85119432026</v>
      </c>
      <c r="AY123" s="138" t="n">
        <f aca="false">AY99</f>
        <v>2539.40639383191</v>
      </c>
      <c r="AZ123" s="138" t="n">
        <f aca="false">AZ99</f>
        <v>2533.85083827635</v>
      </c>
      <c r="BA123" s="138" t="n">
        <f aca="false">BA99</f>
        <v>2528.2952827208</v>
      </c>
      <c r="BB123" s="138" t="n">
        <f aca="false">BB99</f>
        <v>2522.73972716524</v>
      </c>
      <c r="BC123" s="138" t="n">
        <f aca="false">BC99</f>
        <v>2217.16018057172</v>
      </c>
      <c r="BD123" s="138" t="n">
        <f aca="false">BD99</f>
        <v>2511.62861605413</v>
      </c>
      <c r="BE123" s="138" t="n">
        <f aca="false">BE99</f>
        <v>2506.07306049857</v>
      </c>
      <c r="BF123" s="138" t="n">
        <f aca="false">BF99</f>
        <v>2500.51750494302</v>
      </c>
      <c r="BG123" s="138" t="n">
        <f aca="false">BG99</f>
        <v>2494.96194938746</v>
      </c>
      <c r="BH123" s="138" t="n">
        <f aca="false">BH99</f>
        <v>2489.40639383191</v>
      </c>
      <c r="BI123" s="138" t="n">
        <f aca="false">BI99</f>
        <v>2483.85083827635</v>
      </c>
      <c r="BJ123" s="138" t="n">
        <f aca="false">BJ99</f>
        <v>2478.2952827208</v>
      </c>
      <c r="BK123" s="138" t="n">
        <f aca="false">BK99</f>
        <v>2420.48180488446</v>
      </c>
      <c r="BL123" s="138" t="n">
        <f aca="false">BL99</f>
        <v>2414.9262493289</v>
      </c>
      <c r="BM123" s="138" t="n">
        <f aca="false">BM99</f>
        <v>2409.37069377335</v>
      </c>
      <c r="BN123" s="138" t="n">
        <f aca="false">BN99</f>
        <v>2403.81513821779</v>
      </c>
      <c r="BO123" s="138" t="n">
        <f aca="false">BO99</f>
        <v>2098.23559162427</v>
      </c>
      <c r="BP123" s="138" t="n">
        <f aca="false">BP99</f>
        <v>2392.70402710668</v>
      </c>
      <c r="BQ123" s="138" t="n">
        <f aca="false">BQ99</f>
        <v>2387.14847155112</v>
      </c>
      <c r="BR123" s="138" t="n">
        <f aca="false">BR99</f>
        <v>2381.59291599557</v>
      </c>
      <c r="BS123" s="138" t="n">
        <f aca="false">BS99</f>
        <v>2376.03736044001</v>
      </c>
      <c r="BT123" s="138" t="n">
        <f aca="false">BT99</f>
        <v>2370.48180488446</v>
      </c>
      <c r="BU123" s="138" t="n">
        <f aca="false">BU99</f>
        <v>2364.9262493289</v>
      </c>
      <c r="BV123" s="138" t="n">
        <f aca="false">BV99</f>
        <v>2359.37069377335</v>
      </c>
      <c r="BW123" s="138" t="n">
        <f aca="false">BW99</f>
        <v>2301.17747826858</v>
      </c>
      <c r="BX123" s="138" t="n">
        <f aca="false">BX99</f>
        <v>2295.62192271303</v>
      </c>
      <c r="BY123" s="138" t="n">
        <f aca="false">BY99</f>
        <v>2290.06636715747</v>
      </c>
      <c r="BZ123" s="138" t="n">
        <f aca="false">BZ99</f>
        <v>2284.51081160192</v>
      </c>
      <c r="CA123" s="138" t="n">
        <f aca="false">CA99</f>
        <v>1978.9312650084</v>
      </c>
      <c r="CB123" s="138" t="n">
        <f aca="false">CB99</f>
        <v>2273.39970049081</v>
      </c>
      <c r="CC123" s="138" t="n">
        <f aca="false">CC99</f>
        <v>2267.84414493525</v>
      </c>
      <c r="CD123" s="138" t="n">
        <f aca="false">CD99</f>
        <v>2262.28858937969</v>
      </c>
      <c r="CE123" s="138" t="n">
        <f aca="false">CE99</f>
        <v>2256.73303382414</v>
      </c>
      <c r="CF123" s="138" t="n">
        <f aca="false">CF99</f>
        <v>2251.17747826858</v>
      </c>
      <c r="CG123" s="138" t="n">
        <f aca="false">CG99</f>
        <v>2245.62192271303</v>
      </c>
      <c r="CH123" s="138" t="n">
        <f aca="false">CH99</f>
        <v>2240.06636715741</v>
      </c>
    </row>
    <row r="124" customFormat="false" ht="13.5" hidden="false" customHeight="true" outlineLevel="0" collapsed="false"/>
    <row r="125" customFormat="false" ht="13.5" hidden="false" customHeight="true" outlineLevel="0" collapsed="false">
      <c r="A125" s="10" t="s">
        <v>796</v>
      </c>
      <c r="B125" s="10"/>
    </row>
    <row r="126" customFormat="false" ht="13.5" hidden="false" customHeight="true" outlineLevel="0" collapsed="false">
      <c r="A126" s="13" t="s">
        <v>797</v>
      </c>
      <c r="C126" s="16" t="n">
        <f aca="false">Hipótesis!$D$93</f>
        <v>100000</v>
      </c>
    </row>
    <row r="127" customFormat="false" ht="13.5" hidden="false" customHeight="true" outlineLevel="0" collapsed="false">
      <c r="A127" s="13" t="s">
        <v>798</v>
      </c>
      <c r="C127" s="19" t="n">
        <f aca="false">IFERROR(IRR($B$121:$CH$121,0.02),"n.d.")</f>
        <v>0.0209256160206846</v>
      </c>
    </row>
    <row r="128" customFormat="false" ht="13.5" hidden="false" customHeight="true" outlineLevel="0" collapsed="false">
      <c r="A128" s="13" t="s">
        <v>86</v>
      </c>
      <c r="C128" s="19" t="n">
        <f aca="false">IFERROR((1+IRR($B$121:$CH$121,0.02))^12-1,"n.d.")</f>
        <v>0.282121579505954</v>
      </c>
    </row>
    <row r="129" customFormat="false" ht="13.5" hidden="false" customHeight="true" outlineLevel="0" collapsed="false">
      <c r="A129" s="13" t="s">
        <v>799</v>
      </c>
      <c r="C129" s="23" t="n">
        <f aca="false">IFERROR(SUM($C$121:$CH$121)/$C$126,0)</f>
        <v>2.7021959553395</v>
      </c>
    </row>
    <row r="130" customFormat="false" ht="13.5" hidden="false" customHeight="true" outlineLevel="0" collapsed="false">
      <c r="A130" s="13" t="s">
        <v>58</v>
      </c>
      <c r="C130" s="17" t="n">
        <f aca="false">IFERROR(COUNTIF($C$94:$CH$94,"&lt;"&amp;$C$126)+1,"n.d.")</f>
        <v>48</v>
      </c>
    </row>
    <row r="131" customFormat="false" ht="13.5" hidden="false" customHeight="true" outlineLevel="0" collapsed="false">
      <c r="A131" s="13" t="s">
        <v>800</v>
      </c>
      <c r="C131" s="16" t="n">
        <f aca="false">IFERROR($B$121+NPV((1+Hipótesis!$D$121)^(1/12)-1,$C$121:$CH$121),0)</f>
        <v>71729.4381010658</v>
      </c>
    </row>
    <row r="132" customFormat="false" ht="13.5" hidden="false" customHeight="true" outlineLevel="0" collapsed="false">
      <c r="A132" s="13" t="s">
        <v>801</v>
      </c>
      <c r="C132" s="138" t="n">
        <f aca="false">SUM($AY$56:$BJ$56)</f>
        <v>388642.636747247</v>
      </c>
    </row>
    <row r="133" customFormat="false" ht="13.5" hidden="false" customHeight="true" outlineLevel="0" collapsed="false">
      <c r="A133" s="13" t="s">
        <v>802</v>
      </c>
      <c r="C133" s="138" t="n">
        <f aca="false">IF(Hipótesis!$D$94=5,$C$157,$C$132*Hipótesis!$D$120)</f>
        <v>2702195.9553395</v>
      </c>
    </row>
    <row r="134" customFormat="false" ht="13.5" hidden="false" customHeight="true" outlineLevel="0" collapsed="false">
      <c r="A134" s="13" t="s">
        <v>803</v>
      </c>
      <c r="C134" s="138" t="n">
        <f aca="false">MAX(0,$C$133)*Hipótesis!$D$119</f>
        <v>270219.59553395</v>
      </c>
    </row>
    <row r="135" customFormat="false" ht="13.5" hidden="false" customHeight="true" outlineLevel="0" collapsed="false">
      <c r="A135" s="13" t="s">
        <v>804</v>
      </c>
      <c r="C135" s="19" t="n">
        <f aca="false">IF(ISNUMBER($C$128),$C$128,"n.d.")</f>
        <v>0.282121579505954</v>
      </c>
    </row>
    <row r="136" customFormat="false" ht="13.5" hidden="false" customHeight="true" outlineLevel="0" collapsed="false">
      <c r="A136" s="13" t="s">
        <v>83</v>
      </c>
      <c r="C136" s="19" t="n">
        <f aca="false">IFERROR((1+IRR($B$123:$CH$123,0.01))^12-1,"n.d.")</f>
        <v>0.11277982410705</v>
      </c>
    </row>
    <row r="137" customFormat="false" ht="13.5" hidden="false" customHeight="true" outlineLevel="0" collapsed="false">
      <c r="A137" s="13" t="s">
        <v>805</v>
      </c>
      <c r="C137" s="19" t="n">
        <f aca="false">IFERROR((1+IRR($B$122:$CH$122,0.01))^12-1,"n.d.")</f>
        <v>0.207371883061117</v>
      </c>
    </row>
    <row r="138" customFormat="false" ht="13.5" hidden="false" customHeight="true" outlineLevel="0" collapsed="false">
      <c r="A138" s="13" t="s">
        <v>89</v>
      </c>
      <c r="C138" s="16" t="n">
        <f aca="false">Hipótesis!$D$122</f>
        <v>200000</v>
      </c>
    </row>
    <row r="139" customFormat="false" ht="13.5" hidden="false" customHeight="true" outlineLevel="0" collapsed="false">
      <c r="A139" s="13" t="s">
        <v>806</v>
      </c>
      <c r="C139" s="16" t="n">
        <f aca="false">Hipótesis!$D$113*Hipótesis!$D$117</f>
        <v>0</v>
      </c>
    </row>
    <row r="140" customFormat="false" ht="13.5" hidden="false" customHeight="true" outlineLevel="0" collapsed="false"/>
    <row r="141" customFormat="false" ht="13.5" hidden="false" customHeight="true" outlineLevel="0" collapsed="false">
      <c r="A141" s="146" t="s">
        <v>688</v>
      </c>
      <c r="C141" s="147" t="n">
        <v>1</v>
      </c>
      <c r="D141" s="147" t="n">
        <v>2</v>
      </c>
      <c r="E141" s="147" t="n">
        <v>3</v>
      </c>
      <c r="F141" s="147" t="n">
        <v>4</v>
      </c>
      <c r="G141" s="147" t="n">
        <v>5</v>
      </c>
      <c r="H141" s="147" t="n">
        <v>6</v>
      </c>
      <c r="I141" s="147" t="n">
        <v>7</v>
      </c>
    </row>
    <row r="142" customFormat="false" ht="13.5" hidden="false" customHeight="true" outlineLevel="0" collapsed="false">
      <c r="A142" s="13" t="s">
        <v>807</v>
      </c>
      <c r="C142" s="138" t="n">
        <f aca="false">SUM($C$56:$N$56)</f>
        <v>-77991.123518904</v>
      </c>
      <c r="D142" s="138" t="n">
        <f aca="false">SUM($O$56:$Z$56)</f>
        <v>108809.695631335</v>
      </c>
      <c r="E142" s="138" t="n">
        <f aca="false">SUM($AA$56:$AL$56)</f>
        <v>278858.880295471</v>
      </c>
      <c r="F142" s="138" t="n">
        <f aca="false">SUM($AM$56:$AX$56)</f>
        <v>399087.83174532</v>
      </c>
      <c r="G142" s="138" t="n">
        <f aca="false">SUM($AY$56:$BJ$56)</f>
        <v>388642.636747247</v>
      </c>
      <c r="H142" s="138" t="n">
        <f aca="false">SUM($BK$56:$BV$56)</f>
        <v>357287.883378776</v>
      </c>
      <c r="I142" s="138" t="n">
        <f aca="false">SUM($BW$56:$CH$56)</f>
        <v>325705.287409252</v>
      </c>
    </row>
    <row r="143" customFormat="false" ht="13.5" hidden="false" customHeight="true" outlineLevel="0" collapsed="false">
      <c r="A143" s="13" t="s">
        <v>808</v>
      </c>
      <c r="C143" s="138" t="n">
        <f aca="false">SUM($C$106:$N$106)</f>
        <v>4212.19861742949</v>
      </c>
      <c r="D143" s="138" t="n">
        <f aca="false">SUM($O$106:$Z$106)</f>
        <v>6176.1939126267</v>
      </c>
      <c r="E143" s="138" t="n">
        <f aca="false">SUM($AA$106:$AL$106)</f>
        <v>29210.5109392428</v>
      </c>
      <c r="F143" s="138" t="n">
        <f aca="false">SUM($AM$106:$AX$106)</f>
        <v>30815.0899682397</v>
      </c>
      <c r="G143" s="138" t="n">
        <f aca="false">SUM($AY$106:$BJ$106)</f>
        <v>29806.1860682783</v>
      </c>
      <c r="H143" s="138" t="n">
        <f aca="false">SUM($BK$106:$BV$106)</f>
        <v>28379.0910009089</v>
      </c>
      <c r="I143" s="138" t="n">
        <f aca="false">SUM($BW$106:$CH$106)</f>
        <v>26947.4390815183</v>
      </c>
    </row>
    <row r="144" customFormat="false" ht="13.5" hidden="false" customHeight="true" outlineLevel="0" collapsed="false">
      <c r="A144" s="30" t="s">
        <v>809</v>
      </c>
      <c r="C144" s="153" t="n">
        <f aca="false">IFERROR(C142/C143,0)</f>
        <v>-18.5155379891603</v>
      </c>
      <c r="D144" s="153" t="n">
        <f aca="false">IFERROR(D142/D143,0)</f>
        <v>17.6175970461165</v>
      </c>
      <c r="E144" s="153" t="n">
        <f aca="false">IFERROR(E142/E143,0)</f>
        <v>9.54652525166342</v>
      </c>
      <c r="F144" s="153" t="n">
        <f aca="false">IFERROR(F142/F143,0)</f>
        <v>12.9510519734535</v>
      </c>
      <c r="G144" s="153" t="n">
        <f aca="false">IFERROR(G142/G143,0)</f>
        <v>13.0389925050111</v>
      </c>
      <c r="H144" s="153" t="n">
        <f aca="false">IFERROR(H142/H143,0)</f>
        <v>12.5898283129412</v>
      </c>
      <c r="I144" s="153" t="n">
        <f aca="false">IFERROR(I142/I143,0)</f>
        <v>12.0866879566539</v>
      </c>
    </row>
    <row r="145" customFormat="false" ht="13.5" hidden="false" customHeight="true" outlineLevel="0" collapsed="false">
      <c r="A145" s="30" t="s">
        <v>810</v>
      </c>
      <c r="C145" s="18" t="n">
        <f aca="false">MIN(D144:I144)</f>
        <v>9.54652525166342</v>
      </c>
    </row>
    <row r="146" customFormat="false" ht="13.5" hidden="false" customHeight="true" outlineLevel="0" collapsed="false">
      <c r="A146" s="30" t="s">
        <v>811</v>
      </c>
      <c r="C146" s="16" t="n">
        <f aca="false">MIN($C$86:$CH$86)</f>
        <v>30000</v>
      </c>
    </row>
    <row r="147" customFormat="false" ht="13.5" hidden="false" customHeight="true" outlineLevel="0" collapsed="false">
      <c r="A147" s="30" t="s">
        <v>812</v>
      </c>
      <c r="C147" s="16" t="n">
        <f aca="false">SUM($C$36:$N$36)</f>
        <v>193490.033462029</v>
      </c>
    </row>
    <row r="148" customFormat="false" ht="13.5" hidden="false" customHeight="true" outlineLevel="0" collapsed="false">
      <c r="A148" s="30" t="s">
        <v>813</v>
      </c>
      <c r="C148" s="138" t="n">
        <f aca="false">-SUM($C$84:$N$84)</f>
        <v>-0</v>
      </c>
      <c r="D148" s="138" t="n">
        <f aca="false">-SUM($O$84:$Z$84)</f>
        <v>-0</v>
      </c>
      <c r="E148" s="138" t="n">
        <f aca="false">-SUM($AA$84:$AL$84)</f>
        <v>-0</v>
      </c>
      <c r="F148" s="138" t="n">
        <f aca="false">-SUM($AM$84:$AX$84)</f>
        <v>-0</v>
      </c>
      <c r="G148" s="138" t="n">
        <f aca="false">-SUM($AY$84:$BJ$84)</f>
        <v>-0</v>
      </c>
      <c r="H148" s="138" t="n">
        <f aca="false">-SUM($BK$84:$BV$84)</f>
        <v>-0</v>
      </c>
      <c r="I148" s="138" t="n">
        <f aca="false">-SUM($BW$84:$CH$84)</f>
        <v>-0</v>
      </c>
    </row>
    <row r="149" customFormat="false" ht="13.5" hidden="false" customHeight="true" outlineLevel="0" collapsed="false">
      <c r="A149" s="30" t="s">
        <v>814</v>
      </c>
      <c r="C149" s="16" t="n">
        <f aca="false">SUM($C$118:$N$118)/12</f>
        <v>1540</v>
      </c>
      <c r="D149" s="16" t="n">
        <f aca="false">SUM($O$118:$Z$118)/12</f>
        <v>2450</v>
      </c>
      <c r="E149" s="16" t="n">
        <f aca="false">SUM($AA$118:$AL$118)/12</f>
        <v>2800</v>
      </c>
      <c r="F149" s="16" t="n">
        <f aca="false">SUM($AM$118:$AX$118)/12</f>
        <v>3150</v>
      </c>
      <c r="G149" s="16" t="n">
        <f aca="false">SUM($AY$118:$BJ$118)/12</f>
        <v>3500</v>
      </c>
      <c r="H149" s="16" t="n">
        <f aca="false">SUM($BK$118:$BV$118)/12</f>
        <v>3850</v>
      </c>
      <c r="I149" s="16" t="n">
        <f aca="false">SUM($BW$118:$CH$118)/12</f>
        <v>4200</v>
      </c>
    </row>
    <row r="150" customFormat="false" ht="13.5" hidden="false" customHeight="true" outlineLevel="0" collapsed="false">
      <c r="A150" s="30" t="s">
        <v>815</v>
      </c>
      <c r="C150" s="16" t="n">
        <f aca="false">MAX($C$81:$CH$81)</f>
        <v>29593.7947918931</v>
      </c>
    </row>
    <row r="152" customFormat="false" ht="15" hidden="false" customHeight="true" outlineLevel="0" collapsed="false">
      <c r="A152" s="72" t="s">
        <v>816</v>
      </c>
    </row>
    <row r="153" customFormat="false" ht="15" hidden="false" customHeight="true" outlineLevel="0" collapsed="false">
      <c r="A153" s="1" t="s">
        <v>817</v>
      </c>
      <c r="C153" s="1" t="n">
        <f aca="false">SUMIFS($C$56:$CH$56,$C$3:$CH$3,"&gt;="&amp;Hipótesis!$D$124-11,$C$3:$CH$3,"&lt;="&amp;Hipótesis!$D$124)</f>
        <v>399087.83174532</v>
      </c>
    </row>
    <row r="154" customFormat="false" ht="15" hidden="false" customHeight="true" outlineLevel="0" collapsed="false">
      <c r="A154" s="1" t="s">
        <v>818</v>
      </c>
      <c r="C154" s="1" t="n">
        <f aca="false">$C$153*Hipótesis!$D$120</f>
        <v>2394526.99047192</v>
      </c>
    </row>
    <row r="155" customFormat="false" ht="15" hidden="false" customHeight="true" outlineLevel="0" collapsed="false">
      <c r="A155" s="1" t="s">
        <v>819</v>
      </c>
      <c r="C155" s="1" t="n">
        <f aca="false">SUMIFS($C$86:$CH$86,$C$3:$CH$3,"="&amp;Hipótesis!$D$124)</f>
        <v>369335.631534243</v>
      </c>
    </row>
    <row r="156" customFormat="false" ht="15" hidden="false" customHeight="true" outlineLevel="0" collapsed="false">
      <c r="A156" s="1" t="s">
        <v>820</v>
      </c>
      <c r="C156" s="1" t="n">
        <f aca="false">SUMIFS($C$96:$CH$96,$C$3:$CH$3,"="&amp;Hipótesis!$D$124)+SUMIFS($C$101:$CH$101,$C$3:$CH$3,"="&amp;Hipótesis!$D$124)+SUMIFS($C$89:$CH$89,$C$3:$CH$3,"="&amp;Hipótesis!$D$124)</f>
        <v>61666.6666666666</v>
      </c>
    </row>
    <row r="157" customFormat="false" ht="15" hidden="false" customHeight="true" outlineLevel="0" collapsed="false">
      <c r="A157" s="72" t="s">
        <v>821</v>
      </c>
      <c r="C157" s="1" t="n">
        <f aca="false">MAX(0,$C$154+Hipótesis!$D$125*($C$155-$C$156))</f>
        <v>2702195.9553395</v>
      </c>
    </row>
    <row r="158" customFormat="false" ht="15" hidden="false" customHeight="true" outlineLevel="0" collapsed="false">
      <c r="A158" s="1" t="s">
        <v>822</v>
      </c>
      <c r="C158" s="1" t="n">
        <f aca="false">MIN($C$157,MAX($C$157*Hipótesis!$D$119,Hipótesis!$D$127*Hipótesis!$D$93))</f>
        <v>270219.59553395</v>
      </c>
    </row>
    <row r="159" customFormat="false" ht="15" hidden="false" customHeight="true" outlineLevel="0" collapsed="false">
      <c r="A159" s="1" t="s">
        <v>823</v>
      </c>
      <c r="C159" s="1" t="n">
        <f aca="false">MAX(0,$C$158-$C$157*Hipótesis!$D$119)</f>
        <v>0</v>
      </c>
    </row>
    <row r="160" customFormat="false" ht="15" hidden="false" customHeight="true" outlineLevel="0" collapsed="false">
      <c r="A160" s="72" t="s">
        <v>824</v>
      </c>
    </row>
    <row r="161" customFormat="false" ht="15" hidden="false" customHeight="true" outlineLevel="0" collapsed="false">
      <c r="A161" s="1" t="s">
        <v>825</v>
      </c>
      <c r="C161" s="80" t="n">
        <f aca="false">IF(Hipótesis!$D$94=5,Hipótesis!$D$93,0)</f>
        <v>100000</v>
      </c>
    </row>
    <row r="162" customFormat="false" ht="15" hidden="false" customHeight="true" outlineLevel="0" collapsed="false">
      <c r="A162" s="1" t="s">
        <v>826</v>
      </c>
      <c r="C162" s="1" t="n">
        <f aca="false">SUMIFS($C$63:$CH$63,$C$3:$CH$3,"&lt;="&amp;Hipótesis!$D$126)</f>
        <v>0</v>
      </c>
    </row>
    <row r="163" customFormat="false" ht="15" hidden="false" customHeight="true" outlineLevel="0" collapsed="false">
      <c r="A163" s="72" t="s">
        <v>827</v>
      </c>
      <c r="C163" s="1" t="n">
        <f aca="false">$C$161+$C$162</f>
        <v>100000</v>
      </c>
    </row>
    <row r="164" customFormat="false" ht="15" hidden="false" customHeight="true" outlineLevel="0" collapsed="false">
      <c r="A164" s="1" t="s">
        <v>828</v>
      </c>
      <c r="C164" s="80" t="n">
        <f aca="false">Hipótesis!$D$105</f>
        <v>100000</v>
      </c>
    </row>
    <row r="165" customFormat="false" ht="15" hidden="false" customHeight="true" outlineLevel="0" collapsed="false">
      <c r="A165" s="72" t="s">
        <v>829</v>
      </c>
      <c r="C165" s="1" t="str">
        <f aca="false">IF($C$163&gt;=$C$164,"SI CUMPLE","NO CUMPLE - faltan "&amp;TEXT($C$164-$C$163,"#,##0")&amp;" EUR")</f>
        <v>SI CUMPLE</v>
      </c>
    </row>
    <row r="168" customFormat="false" ht="15" hidden="false" customHeight="false" outlineLevel="0" collapsed="false">
      <c r="A168" s="154" t="s">
        <v>830</v>
      </c>
    </row>
    <row r="169" customFormat="false" ht="15" hidden="false" customHeight="false" outlineLevel="0" collapsed="false">
      <c r="A169" s="1" t="s">
        <v>831</v>
      </c>
    </row>
    <row r="171" customFormat="false" ht="15" hidden="false" customHeight="false" outlineLevel="0" collapsed="false">
      <c r="A171" s="1" t="s">
        <v>832</v>
      </c>
      <c r="C171" s="27" t="n">
        <f aca="false">MOD(Restaurantes!$D$32+C$3-2,12)+1</f>
        <v>4</v>
      </c>
      <c r="D171" s="27" t="n">
        <f aca="false">MOD(Restaurantes!$D$32+D$3-2,12)+1</f>
        <v>5</v>
      </c>
      <c r="E171" s="27" t="n">
        <f aca="false">MOD(Restaurantes!$D$32+E$3-2,12)+1</f>
        <v>6</v>
      </c>
      <c r="F171" s="27" t="n">
        <f aca="false">MOD(Restaurantes!$D$32+F$3-2,12)+1</f>
        <v>7</v>
      </c>
      <c r="G171" s="27" t="n">
        <f aca="false">MOD(Restaurantes!$D$32+G$3-2,12)+1</f>
        <v>8</v>
      </c>
      <c r="H171" s="27" t="n">
        <f aca="false">MOD(Restaurantes!$D$32+H$3-2,12)+1</f>
        <v>9</v>
      </c>
      <c r="I171" s="27" t="n">
        <f aca="false">MOD(Restaurantes!$D$32+I$3-2,12)+1</f>
        <v>10</v>
      </c>
      <c r="J171" s="27" t="n">
        <f aca="false">MOD(Restaurantes!$D$32+J$3-2,12)+1</f>
        <v>11</v>
      </c>
      <c r="K171" s="27" t="n">
        <f aca="false">MOD(Restaurantes!$D$32+K$3-2,12)+1</f>
        <v>12</v>
      </c>
      <c r="L171" s="27" t="n">
        <f aca="false">MOD(Restaurantes!$D$32+L$3-2,12)+1</f>
        <v>1</v>
      </c>
      <c r="M171" s="27" t="n">
        <f aca="false">MOD(Restaurantes!$D$32+M$3-2,12)+1</f>
        <v>2</v>
      </c>
      <c r="N171" s="27" t="n">
        <f aca="false">MOD(Restaurantes!$D$32+N$3-2,12)+1</f>
        <v>3</v>
      </c>
      <c r="O171" s="27" t="n">
        <f aca="false">MOD(Restaurantes!$D$32+O$3-2,12)+1</f>
        <v>4</v>
      </c>
      <c r="P171" s="27" t="n">
        <f aca="false">MOD(Restaurantes!$D$32+P$3-2,12)+1</f>
        <v>5</v>
      </c>
      <c r="Q171" s="27" t="n">
        <f aca="false">MOD(Restaurantes!$D$32+Q$3-2,12)+1</f>
        <v>6</v>
      </c>
      <c r="R171" s="27" t="n">
        <f aca="false">MOD(Restaurantes!$D$32+R$3-2,12)+1</f>
        <v>7</v>
      </c>
      <c r="S171" s="27" t="n">
        <f aca="false">MOD(Restaurantes!$D$32+S$3-2,12)+1</f>
        <v>8</v>
      </c>
      <c r="T171" s="27" t="n">
        <f aca="false">MOD(Restaurantes!$D$32+T$3-2,12)+1</f>
        <v>9</v>
      </c>
      <c r="U171" s="27" t="n">
        <f aca="false">MOD(Restaurantes!$D$32+U$3-2,12)+1</f>
        <v>10</v>
      </c>
      <c r="V171" s="27" t="n">
        <f aca="false">MOD(Restaurantes!$D$32+V$3-2,12)+1</f>
        <v>11</v>
      </c>
      <c r="W171" s="27" t="n">
        <f aca="false">MOD(Restaurantes!$D$32+W$3-2,12)+1</f>
        <v>12</v>
      </c>
      <c r="X171" s="27" t="n">
        <f aca="false">MOD(Restaurantes!$D$32+X$3-2,12)+1</f>
        <v>1</v>
      </c>
      <c r="Y171" s="27" t="n">
        <f aca="false">MOD(Restaurantes!$D$32+Y$3-2,12)+1</f>
        <v>2</v>
      </c>
      <c r="Z171" s="27" t="n">
        <f aca="false">MOD(Restaurantes!$D$32+Z$3-2,12)+1</f>
        <v>3</v>
      </c>
      <c r="AA171" s="27" t="n">
        <f aca="false">MOD(Restaurantes!$D$32+AA$3-2,12)+1</f>
        <v>4</v>
      </c>
      <c r="AB171" s="27" t="n">
        <f aca="false">MOD(Restaurantes!$D$32+AB$3-2,12)+1</f>
        <v>5</v>
      </c>
      <c r="AC171" s="27" t="n">
        <f aca="false">MOD(Restaurantes!$D$32+AC$3-2,12)+1</f>
        <v>6</v>
      </c>
      <c r="AD171" s="27" t="n">
        <f aca="false">MOD(Restaurantes!$D$32+AD$3-2,12)+1</f>
        <v>7</v>
      </c>
      <c r="AE171" s="27" t="n">
        <f aca="false">MOD(Restaurantes!$D$32+AE$3-2,12)+1</f>
        <v>8</v>
      </c>
      <c r="AF171" s="27" t="n">
        <f aca="false">MOD(Restaurantes!$D$32+AF$3-2,12)+1</f>
        <v>9</v>
      </c>
      <c r="AG171" s="27" t="n">
        <f aca="false">MOD(Restaurantes!$D$32+AG$3-2,12)+1</f>
        <v>10</v>
      </c>
      <c r="AH171" s="27" t="n">
        <f aca="false">MOD(Restaurantes!$D$32+AH$3-2,12)+1</f>
        <v>11</v>
      </c>
      <c r="AI171" s="27" t="n">
        <f aca="false">MOD(Restaurantes!$D$32+AI$3-2,12)+1</f>
        <v>12</v>
      </c>
      <c r="AJ171" s="27" t="n">
        <f aca="false">MOD(Restaurantes!$D$32+AJ$3-2,12)+1</f>
        <v>1</v>
      </c>
      <c r="AK171" s="27" t="n">
        <f aca="false">MOD(Restaurantes!$D$32+AK$3-2,12)+1</f>
        <v>2</v>
      </c>
      <c r="AL171" s="27" t="n">
        <f aca="false">MOD(Restaurantes!$D$32+AL$3-2,12)+1</f>
        <v>3</v>
      </c>
      <c r="AM171" s="27" t="n">
        <f aca="false">MOD(Restaurantes!$D$32+AM$3-2,12)+1</f>
        <v>4</v>
      </c>
      <c r="AN171" s="27" t="n">
        <f aca="false">MOD(Restaurantes!$D$32+AN$3-2,12)+1</f>
        <v>5</v>
      </c>
      <c r="AO171" s="27" t="n">
        <f aca="false">MOD(Restaurantes!$D$32+AO$3-2,12)+1</f>
        <v>6</v>
      </c>
      <c r="AP171" s="27" t="n">
        <f aca="false">MOD(Restaurantes!$D$32+AP$3-2,12)+1</f>
        <v>7</v>
      </c>
      <c r="AQ171" s="27" t="n">
        <f aca="false">MOD(Restaurantes!$D$32+AQ$3-2,12)+1</f>
        <v>8</v>
      </c>
      <c r="AR171" s="27" t="n">
        <f aca="false">MOD(Restaurantes!$D$32+AR$3-2,12)+1</f>
        <v>9</v>
      </c>
      <c r="AS171" s="27" t="n">
        <f aca="false">MOD(Restaurantes!$D$32+AS$3-2,12)+1</f>
        <v>10</v>
      </c>
      <c r="AT171" s="27" t="n">
        <f aca="false">MOD(Restaurantes!$D$32+AT$3-2,12)+1</f>
        <v>11</v>
      </c>
      <c r="AU171" s="27" t="n">
        <f aca="false">MOD(Restaurantes!$D$32+AU$3-2,12)+1</f>
        <v>12</v>
      </c>
      <c r="AV171" s="27" t="n">
        <f aca="false">MOD(Restaurantes!$D$32+AV$3-2,12)+1</f>
        <v>1</v>
      </c>
      <c r="AW171" s="27" t="n">
        <f aca="false">MOD(Restaurantes!$D$32+AW$3-2,12)+1</f>
        <v>2</v>
      </c>
      <c r="AX171" s="27" t="n">
        <f aca="false">MOD(Restaurantes!$D$32+AX$3-2,12)+1</f>
        <v>3</v>
      </c>
      <c r="AY171" s="27" t="n">
        <f aca="false">MOD(Restaurantes!$D$32+AY$3-2,12)+1</f>
        <v>4</v>
      </c>
      <c r="AZ171" s="27" t="n">
        <f aca="false">MOD(Restaurantes!$D$32+AZ$3-2,12)+1</f>
        <v>5</v>
      </c>
      <c r="BA171" s="27" t="n">
        <f aca="false">MOD(Restaurantes!$D$32+BA$3-2,12)+1</f>
        <v>6</v>
      </c>
      <c r="BB171" s="27" t="n">
        <f aca="false">MOD(Restaurantes!$D$32+BB$3-2,12)+1</f>
        <v>7</v>
      </c>
      <c r="BC171" s="27" t="n">
        <f aca="false">MOD(Restaurantes!$D$32+BC$3-2,12)+1</f>
        <v>8</v>
      </c>
      <c r="BD171" s="27" t="n">
        <f aca="false">MOD(Restaurantes!$D$32+BD$3-2,12)+1</f>
        <v>9</v>
      </c>
      <c r="BE171" s="27" t="n">
        <f aca="false">MOD(Restaurantes!$D$32+BE$3-2,12)+1</f>
        <v>10</v>
      </c>
      <c r="BF171" s="27" t="n">
        <f aca="false">MOD(Restaurantes!$D$32+BF$3-2,12)+1</f>
        <v>11</v>
      </c>
      <c r="BG171" s="27" t="n">
        <f aca="false">MOD(Restaurantes!$D$32+BG$3-2,12)+1</f>
        <v>12</v>
      </c>
      <c r="BH171" s="27" t="n">
        <f aca="false">MOD(Restaurantes!$D$32+BH$3-2,12)+1</f>
        <v>1</v>
      </c>
      <c r="BI171" s="27" t="n">
        <f aca="false">MOD(Restaurantes!$D$32+BI$3-2,12)+1</f>
        <v>2</v>
      </c>
      <c r="BJ171" s="27" t="n">
        <f aca="false">MOD(Restaurantes!$D$32+BJ$3-2,12)+1</f>
        <v>3</v>
      </c>
      <c r="BK171" s="27" t="n">
        <f aca="false">MOD(Restaurantes!$D$32+BK$3-2,12)+1</f>
        <v>4</v>
      </c>
      <c r="BL171" s="27" t="n">
        <f aca="false">MOD(Restaurantes!$D$32+BL$3-2,12)+1</f>
        <v>5</v>
      </c>
      <c r="BM171" s="27" t="n">
        <f aca="false">MOD(Restaurantes!$D$32+BM$3-2,12)+1</f>
        <v>6</v>
      </c>
      <c r="BN171" s="27" t="n">
        <f aca="false">MOD(Restaurantes!$D$32+BN$3-2,12)+1</f>
        <v>7</v>
      </c>
      <c r="BO171" s="27" t="n">
        <f aca="false">MOD(Restaurantes!$D$32+BO$3-2,12)+1</f>
        <v>8</v>
      </c>
      <c r="BP171" s="27" t="n">
        <f aca="false">MOD(Restaurantes!$D$32+BP$3-2,12)+1</f>
        <v>9</v>
      </c>
      <c r="BQ171" s="27" t="n">
        <f aca="false">MOD(Restaurantes!$D$32+BQ$3-2,12)+1</f>
        <v>10</v>
      </c>
      <c r="BR171" s="27" t="n">
        <f aca="false">MOD(Restaurantes!$D$32+BR$3-2,12)+1</f>
        <v>11</v>
      </c>
      <c r="BS171" s="27" t="n">
        <f aca="false">MOD(Restaurantes!$D$32+BS$3-2,12)+1</f>
        <v>12</v>
      </c>
      <c r="BT171" s="27" t="n">
        <f aca="false">MOD(Restaurantes!$D$32+BT$3-2,12)+1</f>
        <v>1</v>
      </c>
      <c r="BU171" s="27" t="n">
        <f aca="false">MOD(Restaurantes!$D$32+BU$3-2,12)+1</f>
        <v>2</v>
      </c>
      <c r="BV171" s="27" t="n">
        <f aca="false">MOD(Restaurantes!$D$32+BV$3-2,12)+1</f>
        <v>3</v>
      </c>
      <c r="BW171" s="27" t="n">
        <f aca="false">MOD(Restaurantes!$D$32+BW$3-2,12)+1</f>
        <v>4</v>
      </c>
      <c r="BX171" s="27" t="n">
        <f aca="false">MOD(Restaurantes!$D$32+BX$3-2,12)+1</f>
        <v>5</v>
      </c>
      <c r="BY171" s="27" t="n">
        <f aca="false">MOD(Restaurantes!$D$32+BY$3-2,12)+1</f>
        <v>6</v>
      </c>
      <c r="BZ171" s="27" t="n">
        <f aca="false">MOD(Restaurantes!$D$32+BZ$3-2,12)+1</f>
        <v>7</v>
      </c>
      <c r="CA171" s="27" t="n">
        <f aca="false">MOD(Restaurantes!$D$32+CA$3-2,12)+1</f>
        <v>8</v>
      </c>
      <c r="CB171" s="27" t="n">
        <f aca="false">MOD(Restaurantes!$D$32+CB$3-2,12)+1</f>
        <v>9</v>
      </c>
      <c r="CC171" s="27" t="n">
        <f aca="false">MOD(Restaurantes!$D$32+CC$3-2,12)+1</f>
        <v>10</v>
      </c>
      <c r="CD171" s="27" t="n">
        <f aca="false">MOD(Restaurantes!$D$32+CD$3-2,12)+1</f>
        <v>11</v>
      </c>
      <c r="CE171" s="27" t="n">
        <f aca="false">MOD(Restaurantes!$D$32+CE$3-2,12)+1</f>
        <v>12</v>
      </c>
      <c r="CF171" s="27" t="n">
        <f aca="false">MOD(Restaurantes!$D$32+CF$3-2,12)+1</f>
        <v>1</v>
      </c>
      <c r="CG171" s="27" t="n">
        <f aca="false">MOD(Restaurantes!$D$32+CG$3-2,12)+1</f>
        <v>2</v>
      </c>
      <c r="CH171" s="27" t="n">
        <f aca="false">MOD(Restaurantes!$D$32+CH$3-2,12)+1</f>
        <v>3</v>
      </c>
    </row>
    <row r="172" customFormat="false" ht="15" hidden="false" customHeight="false" outlineLevel="0" collapsed="false">
      <c r="A172" s="1" t="s">
        <v>833</v>
      </c>
      <c r="C172" s="26" t="n">
        <f aca="false">IF(C171=8,Restaurantes!$D$31,1)</f>
        <v>1</v>
      </c>
      <c r="D172" s="26" t="n">
        <f aca="false">IF(D171=8,Restaurantes!$D$31,1)</f>
        <v>1</v>
      </c>
      <c r="E172" s="26" t="n">
        <f aca="false">IF(E171=8,Restaurantes!$D$31,1)</f>
        <v>1</v>
      </c>
      <c r="F172" s="26" t="n">
        <f aca="false">IF(F171=8,Restaurantes!$D$31,1)</f>
        <v>1</v>
      </c>
      <c r="G172" s="26" t="n">
        <f aca="false">IF(G171=8,Restaurantes!$D$31,1)</f>
        <v>0.15</v>
      </c>
      <c r="H172" s="26" t="n">
        <f aca="false">IF(H171=8,Restaurantes!$D$31,1)</f>
        <v>1</v>
      </c>
      <c r="I172" s="26" t="n">
        <f aca="false">IF(I171=8,Restaurantes!$D$31,1)</f>
        <v>1</v>
      </c>
      <c r="J172" s="26" t="n">
        <f aca="false">IF(J171=8,Restaurantes!$D$31,1)</f>
        <v>1</v>
      </c>
      <c r="K172" s="26" t="n">
        <f aca="false">IF(K171=8,Restaurantes!$D$31,1)</f>
        <v>1</v>
      </c>
      <c r="L172" s="26" t="n">
        <f aca="false">IF(L171=8,Restaurantes!$D$31,1)</f>
        <v>1</v>
      </c>
      <c r="M172" s="26" t="n">
        <f aca="false">IF(M171=8,Restaurantes!$D$31,1)</f>
        <v>1</v>
      </c>
      <c r="N172" s="26" t="n">
        <f aca="false">IF(N171=8,Restaurantes!$D$31,1)</f>
        <v>1</v>
      </c>
      <c r="O172" s="26" t="n">
        <f aca="false">IF(O171=8,Restaurantes!$D$31,1)</f>
        <v>1</v>
      </c>
      <c r="P172" s="26" t="n">
        <f aca="false">IF(P171=8,Restaurantes!$D$31,1)</f>
        <v>1</v>
      </c>
      <c r="Q172" s="26" t="n">
        <f aca="false">IF(Q171=8,Restaurantes!$D$31,1)</f>
        <v>1</v>
      </c>
      <c r="R172" s="26" t="n">
        <f aca="false">IF(R171=8,Restaurantes!$D$31,1)</f>
        <v>1</v>
      </c>
      <c r="S172" s="26" t="n">
        <f aca="false">IF(S171=8,Restaurantes!$D$31,1)</f>
        <v>0.15</v>
      </c>
      <c r="T172" s="26" t="n">
        <f aca="false">IF(T171=8,Restaurantes!$D$31,1)</f>
        <v>1</v>
      </c>
      <c r="U172" s="26" t="n">
        <f aca="false">IF(U171=8,Restaurantes!$D$31,1)</f>
        <v>1</v>
      </c>
      <c r="V172" s="26" t="n">
        <f aca="false">IF(V171=8,Restaurantes!$D$31,1)</f>
        <v>1</v>
      </c>
      <c r="W172" s="26" t="n">
        <f aca="false">IF(W171=8,Restaurantes!$D$31,1)</f>
        <v>1</v>
      </c>
      <c r="X172" s="26" t="n">
        <f aca="false">IF(X171=8,Restaurantes!$D$31,1)</f>
        <v>1</v>
      </c>
      <c r="Y172" s="26" t="n">
        <f aca="false">IF(Y171=8,Restaurantes!$D$31,1)</f>
        <v>1</v>
      </c>
      <c r="Z172" s="26" t="n">
        <f aca="false">IF(Z171=8,Restaurantes!$D$31,1)</f>
        <v>1</v>
      </c>
      <c r="AA172" s="26" t="n">
        <f aca="false">IF(AA171=8,Restaurantes!$D$31,1)</f>
        <v>1</v>
      </c>
      <c r="AB172" s="26" t="n">
        <f aca="false">IF(AB171=8,Restaurantes!$D$31,1)</f>
        <v>1</v>
      </c>
      <c r="AC172" s="26" t="n">
        <f aca="false">IF(AC171=8,Restaurantes!$D$31,1)</f>
        <v>1</v>
      </c>
      <c r="AD172" s="26" t="n">
        <f aca="false">IF(AD171=8,Restaurantes!$D$31,1)</f>
        <v>1</v>
      </c>
      <c r="AE172" s="26" t="n">
        <f aca="false">IF(AE171=8,Restaurantes!$D$31,1)</f>
        <v>0.15</v>
      </c>
      <c r="AF172" s="26" t="n">
        <f aca="false">IF(AF171=8,Restaurantes!$D$31,1)</f>
        <v>1</v>
      </c>
      <c r="AG172" s="26" t="n">
        <f aca="false">IF(AG171=8,Restaurantes!$D$31,1)</f>
        <v>1</v>
      </c>
      <c r="AH172" s="26" t="n">
        <f aca="false">IF(AH171=8,Restaurantes!$D$31,1)</f>
        <v>1</v>
      </c>
      <c r="AI172" s="26" t="n">
        <f aca="false">IF(AI171=8,Restaurantes!$D$31,1)</f>
        <v>1</v>
      </c>
      <c r="AJ172" s="26" t="n">
        <f aca="false">IF(AJ171=8,Restaurantes!$D$31,1)</f>
        <v>1</v>
      </c>
      <c r="AK172" s="26" t="n">
        <f aca="false">IF(AK171=8,Restaurantes!$D$31,1)</f>
        <v>1</v>
      </c>
      <c r="AL172" s="26" t="n">
        <f aca="false">IF(AL171=8,Restaurantes!$D$31,1)</f>
        <v>1</v>
      </c>
      <c r="AM172" s="26" t="n">
        <f aca="false">IF(AM171=8,Restaurantes!$D$31,1)</f>
        <v>1</v>
      </c>
      <c r="AN172" s="26" t="n">
        <f aca="false">IF(AN171=8,Restaurantes!$D$31,1)</f>
        <v>1</v>
      </c>
      <c r="AO172" s="26" t="n">
        <f aca="false">IF(AO171=8,Restaurantes!$D$31,1)</f>
        <v>1</v>
      </c>
      <c r="AP172" s="26" t="n">
        <f aca="false">IF(AP171=8,Restaurantes!$D$31,1)</f>
        <v>1</v>
      </c>
      <c r="AQ172" s="26" t="n">
        <f aca="false">IF(AQ171=8,Restaurantes!$D$31,1)</f>
        <v>0.15</v>
      </c>
      <c r="AR172" s="26" t="n">
        <f aca="false">IF(AR171=8,Restaurantes!$D$31,1)</f>
        <v>1</v>
      </c>
      <c r="AS172" s="26" t="n">
        <f aca="false">IF(AS171=8,Restaurantes!$D$31,1)</f>
        <v>1</v>
      </c>
      <c r="AT172" s="26" t="n">
        <f aca="false">IF(AT171=8,Restaurantes!$D$31,1)</f>
        <v>1</v>
      </c>
      <c r="AU172" s="26" t="n">
        <f aca="false">IF(AU171=8,Restaurantes!$D$31,1)</f>
        <v>1</v>
      </c>
      <c r="AV172" s="26" t="n">
        <f aca="false">IF(AV171=8,Restaurantes!$D$31,1)</f>
        <v>1</v>
      </c>
      <c r="AW172" s="26" t="n">
        <f aca="false">IF(AW171=8,Restaurantes!$D$31,1)</f>
        <v>1</v>
      </c>
      <c r="AX172" s="26" t="n">
        <f aca="false">IF(AX171=8,Restaurantes!$D$31,1)</f>
        <v>1</v>
      </c>
      <c r="AY172" s="26" t="n">
        <f aca="false">IF(AY171=8,Restaurantes!$D$31,1)</f>
        <v>1</v>
      </c>
      <c r="AZ172" s="26" t="n">
        <f aca="false">IF(AZ171=8,Restaurantes!$D$31,1)</f>
        <v>1</v>
      </c>
      <c r="BA172" s="26" t="n">
        <f aca="false">IF(BA171=8,Restaurantes!$D$31,1)</f>
        <v>1</v>
      </c>
      <c r="BB172" s="26" t="n">
        <f aca="false">IF(BB171=8,Restaurantes!$D$31,1)</f>
        <v>1</v>
      </c>
      <c r="BC172" s="26" t="n">
        <f aca="false">IF(BC171=8,Restaurantes!$D$31,1)</f>
        <v>0.15</v>
      </c>
      <c r="BD172" s="26" t="n">
        <f aca="false">IF(BD171=8,Restaurantes!$D$31,1)</f>
        <v>1</v>
      </c>
      <c r="BE172" s="26" t="n">
        <f aca="false">IF(BE171=8,Restaurantes!$D$31,1)</f>
        <v>1</v>
      </c>
      <c r="BF172" s="26" t="n">
        <f aca="false">IF(BF171=8,Restaurantes!$D$31,1)</f>
        <v>1</v>
      </c>
      <c r="BG172" s="26" t="n">
        <f aca="false">IF(BG171=8,Restaurantes!$D$31,1)</f>
        <v>1</v>
      </c>
      <c r="BH172" s="26" t="n">
        <f aca="false">IF(BH171=8,Restaurantes!$D$31,1)</f>
        <v>1</v>
      </c>
      <c r="BI172" s="26" t="n">
        <f aca="false">IF(BI171=8,Restaurantes!$D$31,1)</f>
        <v>1</v>
      </c>
      <c r="BJ172" s="26" t="n">
        <f aca="false">IF(BJ171=8,Restaurantes!$D$31,1)</f>
        <v>1</v>
      </c>
      <c r="BK172" s="26" t="n">
        <f aca="false">IF(BK171=8,Restaurantes!$D$31,1)</f>
        <v>1</v>
      </c>
      <c r="BL172" s="26" t="n">
        <f aca="false">IF(BL171=8,Restaurantes!$D$31,1)</f>
        <v>1</v>
      </c>
      <c r="BM172" s="26" t="n">
        <f aca="false">IF(BM171=8,Restaurantes!$D$31,1)</f>
        <v>1</v>
      </c>
      <c r="BN172" s="26" t="n">
        <f aca="false">IF(BN171=8,Restaurantes!$D$31,1)</f>
        <v>1</v>
      </c>
      <c r="BO172" s="26" t="n">
        <f aca="false">IF(BO171=8,Restaurantes!$D$31,1)</f>
        <v>0.15</v>
      </c>
      <c r="BP172" s="26" t="n">
        <f aca="false">IF(BP171=8,Restaurantes!$D$31,1)</f>
        <v>1</v>
      </c>
      <c r="BQ172" s="26" t="n">
        <f aca="false">IF(BQ171=8,Restaurantes!$D$31,1)</f>
        <v>1</v>
      </c>
      <c r="BR172" s="26" t="n">
        <f aca="false">IF(BR171=8,Restaurantes!$D$31,1)</f>
        <v>1</v>
      </c>
      <c r="BS172" s="26" t="n">
        <f aca="false">IF(BS171=8,Restaurantes!$D$31,1)</f>
        <v>1</v>
      </c>
      <c r="BT172" s="26" t="n">
        <f aca="false">IF(BT171=8,Restaurantes!$D$31,1)</f>
        <v>1</v>
      </c>
      <c r="BU172" s="26" t="n">
        <f aca="false">IF(BU171=8,Restaurantes!$D$31,1)</f>
        <v>1</v>
      </c>
      <c r="BV172" s="26" t="n">
        <f aca="false">IF(BV171=8,Restaurantes!$D$31,1)</f>
        <v>1</v>
      </c>
      <c r="BW172" s="26" t="n">
        <f aca="false">IF(BW171=8,Restaurantes!$D$31,1)</f>
        <v>1</v>
      </c>
      <c r="BX172" s="26" t="n">
        <f aca="false">IF(BX171=8,Restaurantes!$D$31,1)</f>
        <v>1</v>
      </c>
      <c r="BY172" s="26" t="n">
        <f aca="false">IF(BY171=8,Restaurantes!$D$31,1)</f>
        <v>1</v>
      </c>
      <c r="BZ172" s="26" t="n">
        <f aca="false">IF(BZ171=8,Restaurantes!$D$31,1)</f>
        <v>1</v>
      </c>
      <c r="CA172" s="26" t="n">
        <f aca="false">IF(CA171=8,Restaurantes!$D$31,1)</f>
        <v>0.15</v>
      </c>
      <c r="CB172" s="26" t="n">
        <f aca="false">IF(CB171=8,Restaurantes!$D$31,1)</f>
        <v>1</v>
      </c>
      <c r="CC172" s="26" t="n">
        <f aca="false">IF(CC171=8,Restaurantes!$D$31,1)</f>
        <v>1</v>
      </c>
      <c r="CD172" s="26" t="n">
        <f aca="false">IF(CD171=8,Restaurantes!$D$31,1)</f>
        <v>1</v>
      </c>
      <c r="CE172" s="26" t="n">
        <f aca="false">IF(CE171=8,Restaurantes!$D$31,1)</f>
        <v>1</v>
      </c>
      <c r="CF172" s="26" t="n">
        <f aca="false">IF(CF171=8,Restaurantes!$D$31,1)</f>
        <v>1</v>
      </c>
      <c r="CG172" s="26" t="n">
        <f aca="false">IF(CG171=8,Restaurantes!$D$31,1)</f>
        <v>1</v>
      </c>
      <c r="CH172" s="26" t="n">
        <f aca="false">IF(CH171=8,Restaurantes!$D$31,1)</f>
        <v>1</v>
      </c>
    </row>
    <row r="173" customFormat="false" ht="15" hidden="false" customHeight="false" outlineLevel="0" collapsed="false">
      <c r="A173" s="1" t="s">
        <v>834</v>
      </c>
      <c r="C173" s="26" t="n">
        <f aca="false">IF(C$3&lt;Restaurantes!$D$8,0,MIN(1,(C$3-Restaurantes!$D$8+1)/MAX(1,Restaurantes!$C$9)))</f>
        <v>0.0277777777777778</v>
      </c>
      <c r="D173" s="26" t="n">
        <f aca="false">IF(D$3&lt;Restaurantes!$D$8,0,MIN(1,(D$3-Restaurantes!$D$8+1)/MAX(1,Restaurantes!$C$9)))</f>
        <v>0.0555555555555556</v>
      </c>
      <c r="E173" s="26" t="n">
        <f aca="false">IF(E$3&lt;Restaurantes!$D$8,0,MIN(1,(E$3-Restaurantes!$D$8+1)/MAX(1,Restaurantes!$C$9)))</f>
        <v>0.0833333333333333</v>
      </c>
      <c r="F173" s="26" t="n">
        <f aca="false">IF(F$3&lt;Restaurantes!$D$8,0,MIN(1,(F$3-Restaurantes!$D$8+1)/MAX(1,Restaurantes!$C$9)))</f>
        <v>0.111111111111111</v>
      </c>
      <c r="G173" s="26" t="n">
        <f aca="false">IF(G$3&lt;Restaurantes!$D$8,0,MIN(1,(G$3-Restaurantes!$D$8+1)/MAX(1,Restaurantes!$C$9)))</f>
        <v>0.138888888888889</v>
      </c>
      <c r="H173" s="26" t="n">
        <f aca="false">IF(H$3&lt;Restaurantes!$D$8,0,MIN(1,(H$3-Restaurantes!$D$8+1)/MAX(1,Restaurantes!$C$9)))</f>
        <v>0.166666666666667</v>
      </c>
      <c r="I173" s="26" t="n">
        <f aca="false">IF(I$3&lt;Restaurantes!$D$8,0,MIN(1,(I$3-Restaurantes!$D$8+1)/MAX(1,Restaurantes!$C$9)))</f>
        <v>0.194444444444444</v>
      </c>
      <c r="J173" s="26" t="n">
        <f aca="false">IF(J$3&lt;Restaurantes!$D$8,0,MIN(1,(J$3-Restaurantes!$D$8+1)/MAX(1,Restaurantes!$C$9)))</f>
        <v>0.222222222222222</v>
      </c>
      <c r="K173" s="26" t="n">
        <f aca="false">IF(K$3&lt;Restaurantes!$D$8,0,MIN(1,(K$3-Restaurantes!$D$8+1)/MAX(1,Restaurantes!$C$9)))</f>
        <v>0.25</v>
      </c>
      <c r="L173" s="26" t="n">
        <f aca="false">IF(L$3&lt;Restaurantes!$D$8,0,MIN(1,(L$3-Restaurantes!$D$8+1)/MAX(1,Restaurantes!$C$9)))</f>
        <v>0.277777777777778</v>
      </c>
      <c r="M173" s="26" t="n">
        <f aca="false">IF(M$3&lt;Restaurantes!$D$8,0,MIN(1,(M$3-Restaurantes!$D$8+1)/MAX(1,Restaurantes!$C$9)))</f>
        <v>0.305555555555556</v>
      </c>
      <c r="N173" s="26" t="n">
        <f aca="false">IF(N$3&lt;Restaurantes!$D$8,0,MIN(1,(N$3-Restaurantes!$D$8+1)/MAX(1,Restaurantes!$C$9)))</f>
        <v>0.333333333333333</v>
      </c>
      <c r="O173" s="26" t="n">
        <f aca="false">IF(O$3&lt;Restaurantes!$D$8,0,MIN(1,(O$3-Restaurantes!$D$8+1)/MAX(1,Restaurantes!$C$9)))</f>
        <v>0.361111111111111</v>
      </c>
      <c r="P173" s="26" t="n">
        <f aca="false">IF(P$3&lt;Restaurantes!$D$8,0,MIN(1,(P$3-Restaurantes!$D$8+1)/MAX(1,Restaurantes!$C$9)))</f>
        <v>0.388888888888889</v>
      </c>
      <c r="Q173" s="26" t="n">
        <f aca="false">IF(Q$3&lt;Restaurantes!$D$8,0,MIN(1,(Q$3-Restaurantes!$D$8+1)/MAX(1,Restaurantes!$C$9)))</f>
        <v>0.416666666666667</v>
      </c>
      <c r="R173" s="26" t="n">
        <f aca="false">IF(R$3&lt;Restaurantes!$D$8,0,MIN(1,(R$3-Restaurantes!$D$8+1)/MAX(1,Restaurantes!$C$9)))</f>
        <v>0.444444444444444</v>
      </c>
      <c r="S173" s="26" t="n">
        <f aca="false">IF(S$3&lt;Restaurantes!$D$8,0,MIN(1,(S$3-Restaurantes!$D$8+1)/MAX(1,Restaurantes!$C$9)))</f>
        <v>0.472222222222222</v>
      </c>
      <c r="T173" s="26" t="n">
        <f aca="false">IF(T$3&lt;Restaurantes!$D$8,0,MIN(1,(T$3-Restaurantes!$D$8+1)/MAX(1,Restaurantes!$C$9)))</f>
        <v>0.5</v>
      </c>
      <c r="U173" s="26" t="n">
        <f aca="false">IF(U$3&lt;Restaurantes!$D$8,0,MIN(1,(U$3-Restaurantes!$D$8+1)/MAX(1,Restaurantes!$C$9)))</f>
        <v>0.527777777777778</v>
      </c>
      <c r="V173" s="26" t="n">
        <f aca="false">IF(V$3&lt;Restaurantes!$D$8,0,MIN(1,(V$3-Restaurantes!$D$8+1)/MAX(1,Restaurantes!$C$9)))</f>
        <v>0.555555555555556</v>
      </c>
      <c r="W173" s="26" t="n">
        <f aca="false">IF(W$3&lt;Restaurantes!$D$8,0,MIN(1,(W$3-Restaurantes!$D$8+1)/MAX(1,Restaurantes!$C$9)))</f>
        <v>0.583333333333333</v>
      </c>
      <c r="X173" s="26" t="n">
        <f aca="false">IF(X$3&lt;Restaurantes!$D$8,0,MIN(1,(X$3-Restaurantes!$D$8+1)/MAX(1,Restaurantes!$C$9)))</f>
        <v>0.611111111111111</v>
      </c>
      <c r="Y173" s="26" t="n">
        <f aca="false">IF(Y$3&lt;Restaurantes!$D$8,0,MIN(1,(Y$3-Restaurantes!$D$8+1)/MAX(1,Restaurantes!$C$9)))</f>
        <v>0.638888888888889</v>
      </c>
      <c r="Z173" s="26" t="n">
        <f aca="false">IF(Z$3&lt;Restaurantes!$D$8,0,MIN(1,(Z$3-Restaurantes!$D$8+1)/MAX(1,Restaurantes!$C$9)))</f>
        <v>0.666666666666667</v>
      </c>
      <c r="AA173" s="26" t="n">
        <f aca="false">IF(AA$3&lt;Restaurantes!$D$8,0,MIN(1,(AA$3-Restaurantes!$D$8+1)/MAX(1,Restaurantes!$C$9)))</f>
        <v>0.694444444444444</v>
      </c>
      <c r="AB173" s="26" t="n">
        <f aca="false">IF(AB$3&lt;Restaurantes!$D$8,0,MIN(1,(AB$3-Restaurantes!$D$8+1)/MAX(1,Restaurantes!$C$9)))</f>
        <v>0.722222222222222</v>
      </c>
      <c r="AC173" s="26" t="n">
        <f aca="false">IF(AC$3&lt;Restaurantes!$D$8,0,MIN(1,(AC$3-Restaurantes!$D$8+1)/MAX(1,Restaurantes!$C$9)))</f>
        <v>0.75</v>
      </c>
      <c r="AD173" s="26" t="n">
        <f aca="false">IF(AD$3&lt;Restaurantes!$D$8,0,MIN(1,(AD$3-Restaurantes!$D$8+1)/MAX(1,Restaurantes!$C$9)))</f>
        <v>0.777777777777778</v>
      </c>
      <c r="AE173" s="26" t="n">
        <f aca="false">IF(AE$3&lt;Restaurantes!$D$8,0,MIN(1,(AE$3-Restaurantes!$D$8+1)/MAX(1,Restaurantes!$C$9)))</f>
        <v>0.805555555555556</v>
      </c>
      <c r="AF173" s="26" t="n">
        <f aca="false">IF(AF$3&lt;Restaurantes!$D$8,0,MIN(1,(AF$3-Restaurantes!$D$8+1)/MAX(1,Restaurantes!$C$9)))</f>
        <v>0.833333333333333</v>
      </c>
      <c r="AG173" s="26" t="n">
        <f aca="false">IF(AG$3&lt;Restaurantes!$D$8,0,MIN(1,(AG$3-Restaurantes!$D$8+1)/MAX(1,Restaurantes!$C$9)))</f>
        <v>0.861111111111111</v>
      </c>
      <c r="AH173" s="26" t="n">
        <f aca="false">IF(AH$3&lt;Restaurantes!$D$8,0,MIN(1,(AH$3-Restaurantes!$D$8+1)/MAX(1,Restaurantes!$C$9)))</f>
        <v>0.888888888888889</v>
      </c>
      <c r="AI173" s="26" t="n">
        <f aca="false">IF(AI$3&lt;Restaurantes!$D$8,0,MIN(1,(AI$3-Restaurantes!$D$8+1)/MAX(1,Restaurantes!$C$9)))</f>
        <v>0.916666666666667</v>
      </c>
      <c r="AJ173" s="26" t="n">
        <f aca="false">IF(AJ$3&lt;Restaurantes!$D$8,0,MIN(1,(AJ$3-Restaurantes!$D$8+1)/MAX(1,Restaurantes!$C$9)))</f>
        <v>0.944444444444444</v>
      </c>
      <c r="AK173" s="26" t="n">
        <f aca="false">IF(AK$3&lt;Restaurantes!$D$8,0,MIN(1,(AK$3-Restaurantes!$D$8+1)/MAX(1,Restaurantes!$C$9)))</f>
        <v>0.972222222222222</v>
      </c>
      <c r="AL173" s="26" t="n">
        <f aca="false">IF(AL$3&lt;Restaurantes!$D$8,0,MIN(1,(AL$3-Restaurantes!$D$8+1)/MAX(1,Restaurantes!$C$9)))</f>
        <v>1</v>
      </c>
      <c r="AM173" s="26" t="n">
        <f aca="false">IF(AM$3&lt;Restaurantes!$D$8,0,MIN(1,(AM$3-Restaurantes!$D$8+1)/MAX(1,Restaurantes!$C$9)))</f>
        <v>1</v>
      </c>
      <c r="AN173" s="26" t="n">
        <f aca="false">IF(AN$3&lt;Restaurantes!$D$8,0,MIN(1,(AN$3-Restaurantes!$D$8+1)/MAX(1,Restaurantes!$C$9)))</f>
        <v>1</v>
      </c>
      <c r="AO173" s="26" t="n">
        <f aca="false">IF(AO$3&lt;Restaurantes!$D$8,0,MIN(1,(AO$3-Restaurantes!$D$8+1)/MAX(1,Restaurantes!$C$9)))</f>
        <v>1</v>
      </c>
      <c r="AP173" s="26" t="n">
        <f aca="false">IF(AP$3&lt;Restaurantes!$D$8,0,MIN(1,(AP$3-Restaurantes!$D$8+1)/MAX(1,Restaurantes!$C$9)))</f>
        <v>1</v>
      </c>
      <c r="AQ173" s="26" t="n">
        <f aca="false">IF(AQ$3&lt;Restaurantes!$D$8,0,MIN(1,(AQ$3-Restaurantes!$D$8+1)/MAX(1,Restaurantes!$C$9)))</f>
        <v>1</v>
      </c>
      <c r="AR173" s="26" t="n">
        <f aca="false">IF(AR$3&lt;Restaurantes!$D$8,0,MIN(1,(AR$3-Restaurantes!$D$8+1)/MAX(1,Restaurantes!$C$9)))</f>
        <v>1</v>
      </c>
      <c r="AS173" s="26" t="n">
        <f aca="false">IF(AS$3&lt;Restaurantes!$D$8,0,MIN(1,(AS$3-Restaurantes!$D$8+1)/MAX(1,Restaurantes!$C$9)))</f>
        <v>1</v>
      </c>
      <c r="AT173" s="26" t="n">
        <f aca="false">IF(AT$3&lt;Restaurantes!$D$8,0,MIN(1,(AT$3-Restaurantes!$D$8+1)/MAX(1,Restaurantes!$C$9)))</f>
        <v>1</v>
      </c>
      <c r="AU173" s="26" t="n">
        <f aca="false">IF(AU$3&lt;Restaurantes!$D$8,0,MIN(1,(AU$3-Restaurantes!$D$8+1)/MAX(1,Restaurantes!$C$9)))</f>
        <v>1</v>
      </c>
      <c r="AV173" s="26" t="n">
        <f aca="false">IF(AV$3&lt;Restaurantes!$D$8,0,MIN(1,(AV$3-Restaurantes!$D$8+1)/MAX(1,Restaurantes!$C$9)))</f>
        <v>1</v>
      </c>
      <c r="AW173" s="26" t="n">
        <f aca="false">IF(AW$3&lt;Restaurantes!$D$8,0,MIN(1,(AW$3-Restaurantes!$D$8+1)/MAX(1,Restaurantes!$C$9)))</f>
        <v>1</v>
      </c>
      <c r="AX173" s="26" t="n">
        <f aca="false">IF(AX$3&lt;Restaurantes!$D$8,0,MIN(1,(AX$3-Restaurantes!$D$8+1)/MAX(1,Restaurantes!$C$9)))</f>
        <v>1</v>
      </c>
      <c r="AY173" s="26" t="n">
        <f aca="false">IF(AY$3&lt;Restaurantes!$D$8,0,MIN(1,(AY$3-Restaurantes!$D$8+1)/MAX(1,Restaurantes!$C$9)))</f>
        <v>1</v>
      </c>
      <c r="AZ173" s="26" t="n">
        <f aca="false">IF(AZ$3&lt;Restaurantes!$D$8,0,MIN(1,(AZ$3-Restaurantes!$D$8+1)/MAX(1,Restaurantes!$C$9)))</f>
        <v>1</v>
      </c>
      <c r="BA173" s="26" t="n">
        <f aca="false">IF(BA$3&lt;Restaurantes!$D$8,0,MIN(1,(BA$3-Restaurantes!$D$8+1)/MAX(1,Restaurantes!$C$9)))</f>
        <v>1</v>
      </c>
      <c r="BB173" s="26" t="n">
        <f aca="false">IF(BB$3&lt;Restaurantes!$D$8,0,MIN(1,(BB$3-Restaurantes!$D$8+1)/MAX(1,Restaurantes!$C$9)))</f>
        <v>1</v>
      </c>
      <c r="BC173" s="26" t="n">
        <f aca="false">IF(BC$3&lt;Restaurantes!$D$8,0,MIN(1,(BC$3-Restaurantes!$D$8+1)/MAX(1,Restaurantes!$C$9)))</f>
        <v>1</v>
      </c>
      <c r="BD173" s="26" t="n">
        <f aca="false">IF(BD$3&lt;Restaurantes!$D$8,0,MIN(1,(BD$3-Restaurantes!$D$8+1)/MAX(1,Restaurantes!$C$9)))</f>
        <v>1</v>
      </c>
      <c r="BE173" s="26" t="n">
        <f aca="false">IF(BE$3&lt;Restaurantes!$D$8,0,MIN(1,(BE$3-Restaurantes!$D$8+1)/MAX(1,Restaurantes!$C$9)))</f>
        <v>1</v>
      </c>
      <c r="BF173" s="26" t="n">
        <f aca="false">IF(BF$3&lt;Restaurantes!$D$8,0,MIN(1,(BF$3-Restaurantes!$D$8+1)/MAX(1,Restaurantes!$C$9)))</f>
        <v>1</v>
      </c>
      <c r="BG173" s="26" t="n">
        <f aca="false">IF(BG$3&lt;Restaurantes!$D$8,0,MIN(1,(BG$3-Restaurantes!$D$8+1)/MAX(1,Restaurantes!$C$9)))</f>
        <v>1</v>
      </c>
      <c r="BH173" s="26" t="n">
        <f aca="false">IF(BH$3&lt;Restaurantes!$D$8,0,MIN(1,(BH$3-Restaurantes!$D$8+1)/MAX(1,Restaurantes!$C$9)))</f>
        <v>1</v>
      </c>
      <c r="BI173" s="26" t="n">
        <f aca="false">IF(BI$3&lt;Restaurantes!$D$8,0,MIN(1,(BI$3-Restaurantes!$D$8+1)/MAX(1,Restaurantes!$C$9)))</f>
        <v>1</v>
      </c>
      <c r="BJ173" s="26" t="n">
        <f aca="false">IF(BJ$3&lt;Restaurantes!$D$8,0,MIN(1,(BJ$3-Restaurantes!$D$8+1)/MAX(1,Restaurantes!$C$9)))</f>
        <v>1</v>
      </c>
      <c r="BK173" s="26" t="n">
        <f aca="false">IF(BK$3&lt;Restaurantes!$D$8,0,MIN(1,(BK$3-Restaurantes!$D$8+1)/MAX(1,Restaurantes!$C$9)))</f>
        <v>1</v>
      </c>
      <c r="BL173" s="26" t="n">
        <f aca="false">IF(BL$3&lt;Restaurantes!$D$8,0,MIN(1,(BL$3-Restaurantes!$D$8+1)/MAX(1,Restaurantes!$C$9)))</f>
        <v>1</v>
      </c>
      <c r="BM173" s="26" t="n">
        <f aca="false">IF(BM$3&lt;Restaurantes!$D$8,0,MIN(1,(BM$3-Restaurantes!$D$8+1)/MAX(1,Restaurantes!$C$9)))</f>
        <v>1</v>
      </c>
      <c r="BN173" s="26" t="n">
        <f aca="false">IF(BN$3&lt;Restaurantes!$D$8,0,MIN(1,(BN$3-Restaurantes!$D$8+1)/MAX(1,Restaurantes!$C$9)))</f>
        <v>1</v>
      </c>
      <c r="BO173" s="26" t="n">
        <f aca="false">IF(BO$3&lt;Restaurantes!$D$8,0,MIN(1,(BO$3-Restaurantes!$D$8+1)/MAX(1,Restaurantes!$C$9)))</f>
        <v>1</v>
      </c>
      <c r="BP173" s="26" t="n">
        <f aca="false">IF(BP$3&lt;Restaurantes!$D$8,0,MIN(1,(BP$3-Restaurantes!$D$8+1)/MAX(1,Restaurantes!$C$9)))</f>
        <v>1</v>
      </c>
      <c r="BQ173" s="26" t="n">
        <f aca="false">IF(BQ$3&lt;Restaurantes!$D$8,0,MIN(1,(BQ$3-Restaurantes!$D$8+1)/MAX(1,Restaurantes!$C$9)))</f>
        <v>1</v>
      </c>
      <c r="BR173" s="26" t="n">
        <f aca="false">IF(BR$3&lt;Restaurantes!$D$8,0,MIN(1,(BR$3-Restaurantes!$D$8+1)/MAX(1,Restaurantes!$C$9)))</f>
        <v>1</v>
      </c>
      <c r="BS173" s="26" t="n">
        <f aca="false">IF(BS$3&lt;Restaurantes!$D$8,0,MIN(1,(BS$3-Restaurantes!$D$8+1)/MAX(1,Restaurantes!$C$9)))</f>
        <v>1</v>
      </c>
      <c r="BT173" s="26" t="n">
        <f aca="false">IF(BT$3&lt;Restaurantes!$D$8,0,MIN(1,(BT$3-Restaurantes!$D$8+1)/MAX(1,Restaurantes!$C$9)))</f>
        <v>1</v>
      </c>
      <c r="BU173" s="26" t="n">
        <f aca="false">IF(BU$3&lt;Restaurantes!$D$8,0,MIN(1,(BU$3-Restaurantes!$D$8+1)/MAX(1,Restaurantes!$C$9)))</f>
        <v>1</v>
      </c>
      <c r="BV173" s="26" t="n">
        <f aca="false">IF(BV$3&lt;Restaurantes!$D$8,0,MIN(1,(BV$3-Restaurantes!$D$8+1)/MAX(1,Restaurantes!$C$9)))</f>
        <v>1</v>
      </c>
      <c r="BW173" s="26" t="n">
        <f aca="false">IF(BW$3&lt;Restaurantes!$D$8,0,MIN(1,(BW$3-Restaurantes!$D$8+1)/MAX(1,Restaurantes!$C$9)))</f>
        <v>1</v>
      </c>
      <c r="BX173" s="26" t="n">
        <f aca="false">IF(BX$3&lt;Restaurantes!$D$8,0,MIN(1,(BX$3-Restaurantes!$D$8+1)/MAX(1,Restaurantes!$C$9)))</f>
        <v>1</v>
      </c>
      <c r="BY173" s="26" t="n">
        <f aca="false">IF(BY$3&lt;Restaurantes!$D$8,0,MIN(1,(BY$3-Restaurantes!$D$8+1)/MAX(1,Restaurantes!$C$9)))</f>
        <v>1</v>
      </c>
      <c r="BZ173" s="26" t="n">
        <f aca="false">IF(BZ$3&lt;Restaurantes!$D$8,0,MIN(1,(BZ$3-Restaurantes!$D$8+1)/MAX(1,Restaurantes!$C$9)))</f>
        <v>1</v>
      </c>
      <c r="CA173" s="26" t="n">
        <f aca="false">IF(CA$3&lt;Restaurantes!$D$8,0,MIN(1,(CA$3-Restaurantes!$D$8+1)/MAX(1,Restaurantes!$C$9)))</f>
        <v>1</v>
      </c>
      <c r="CB173" s="26" t="n">
        <f aca="false">IF(CB$3&lt;Restaurantes!$D$8,0,MIN(1,(CB$3-Restaurantes!$D$8+1)/MAX(1,Restaurantes!$C$9)))</f>
        <v>1</v>
      </c>
      <c r="CC173" s="26" t="n">
        <f aca="false">IF(CC$3&lt;Restaurantes!$D$8,0,MIN(1,(CC$3-Restaurantes!$D$8+1)/MAX(1,Restaurantes!$C$9)))</f>
        <v>1</v>
      </c>
      <c r="CD173" s="26" t="n">
        <f aca="false">IF(CD$3&lt;Restaurantes!$D$8,0,MIN(1,(CD$3-Restaurantes!$D$8+1)/MAX(1,Restaurantes!$C$9)))</f>
        <v>1</v>
      </c>
      <c r="CE173" s="26" t="n">
        <f aca="false">IF(CE$3&lt;Restaurantes!$D$8,0,MIN(1,(CE$3-Restaurantes!$D$8+1)/MAX(1,Restaurantes!$C$9)))</f>
        <v>1</v>
      </c>
      <c r="CF173" s="26" t="n">
        <f aca="false">IF(CF$3&lt;Restaurantes!$D$8,0,MIN(1,(CF$3-Restaurantes!$D$8+1)/MAX(1,Restaurantes!$C$9)))</f>
        <v>1</v>
      </c>
      <c r="CG173" s="26" t="n">
        <f aca="false">IF(CG$3&lt;Restaurantes!$D$8,0,MIN(1,(CG$3-Restaurantes!$D$8+1)/MAX(1,Restaurantes!$C$9)))</f>
        <v>1</v>
      </c>
      <c r="CH173" s="26" t="n">
        <f aca="false">IF(CH$3&lt;Restaurantes!$D$8,0,MIN(1,(CH$3-Restaurantes!$D$8+1)/MAX(1,Restaurantes!$C$9)))</f>
        <v>1</v>
      </c>
    </row>
    <row r="174" customFormat="false" ht="15" hidden="false" customHeight="false" outlineLevel="0" collapsed="false">
      <c r="A174" s="1" t="s">
        <v>835</v>
      </c>
      <c r="C174" s="27" t="n">
        <f aca="false">C18*C21</f>
        <v>41.6958475068843</v>
      </c>
      <c r="D174" s="27" t="n">
        <f aca="false">D18*D21</f>
        <v>85.4214624133963</v>
      </c>
      <c r="E174" s="27" t="n">
        <f aca="false">E18*E21</f>
        <v>162.499898070454</v>
      </c>
      <c r="F174" s="27" t="n">
        <f aca="false">F18*F21</f>
        <v>197.882486220627</v>
      </c>
      <c r="G174" s="27" t="n">
        <f aca="false">G18*G21</f>
        <v>231.235306971172</v>
      </c>
      <c r="H174" s="27" t="n">
        <f aca="false">H18*H21</f>
        <v>287.845879175785</v>
      </c>
      <c r="I174" s="27" t="n">
        <f aca="false">I18*I21</f>
        <v>344.456451380398</v>
      </c>
      <c r="J174" s="27" t="n">
        <f aca="false">J18*J21</f>
        <v>401.067023585011</v>
      </c>
      <c r="K174" s="27" t="n">
        <f aca="false">K18*K21</f>
        <v>457.677595789624</v>
      </c>
      <c r="L174" s="27" t="n">
        <f aca="false">L18*L21</f>
        <v>514.288167994237</v>
      </c>
      <c r="M174" s="27" t="n">
        <f aca="false">M18*M21</f>
        <v>537.545919448304</v>
      </c>
      <c r="N174" s="27" t="n">
        <f aca="false">N18*N21</f>
        <v>594.633127562834</v>
      </c>
      <c r="O174" s="27" t="n">
        <f aca="false">O18*O21</f>
        <v>651.720335677363</v>
      </c>
      <c r="P174" s="27" t="n">
        <f aca="false">P18*P21</f>
        <v>699.08157500201</v>
      </c>
      <c r="Q174" s="27" t="n">
        <f aca="false">Q18*Q21</f>
        <v>746.442814326657</v>
      </c>
      <c r="R174" s="27" t="n">
        <f aca="false">R18*R21</f>
        <v>793.804053651303</v>
      </c>
      <c r="S174" s="27" t="n">
        <f aca="false">S18*S21</f>
        <v>841.16529297595</v>
      </c>
      <c r="T174" s="27" t="n">
        <f aca="false">T18*T21</f>
        <v>888.526532300597</v>
      </c>
      <c r="U174" s="27" t="n">
        <f aca="false">U18*U21</f>
        <v>935.887771625244</v>
      </c>
      <c r="V174" s="27" t="n">
        <f aca="false">V18*V21</f>
        <v>983.249010949891</v>
      </c>
      <c r="W174" s="27" t="n">
        <f aca="false">W18*W21</f>
        <v>1030.61025027454</v>
      </c>
      <c r="X174" s="27" t="n">
        <f aca="false">X18*X21</f>
        <v>1044.14203293872</v>
      </c>
      <c r="Y174" s="27" t="n">
        <f aca="false">Y18*Y21</f>
        <v>1057.67381560291</v>
      </c>
      <c r="Z174" s="27" t="n">
        <f aca="false">Z18*Z21</f>
        <v>1057.67381560291</v>
      </c>
      <c r="AA174" s="27" t="n">
        <f aca="false">AA18*AA21</f>
        <v>1057.67381560291</v>
      </c>
      <c r="AB174" s="27" t="n">
        <f aca="false">AB18*AB21</f>
        <v>1057.67381560291</v>
      </c>
      <c r="AC174" s="27" t="n">
        <f aca="false">AC18*AC21</f>
        <v>1057.67381560291</v>
      </c>
      <c r="AD174" s="27" t="n">
        <f aca="false">AD18*AD21</f>
        <v>1057.67381560291</v>
      </c>
      <c r="AE174" s="27" t="n">
        <f aca="false">AE18*AE21</f>
        <v>1057.67381560291</v>
      </c>
      <c r="AF174" s="27" t="n">
        <f aca="false">AF18*AF21</f>
        <v>1057.67381560291</v>
      </c>
      <c r="AG174" s="27" t="n">
        <f aca="false">AG18*AG21</f>
        <v>1057.67381560291</v>
      </c>
      <c r="AH174" s="27" t="n">
        <f aca="false">AH18*AH21</f>
        <v>1057.67381560291</v>
      </c>
      <c r="AI174" s="27" t="n">
        <f aca="false">AI18*AI21</f>
        <v>1057.67381560291</v>
      </c>
      <c r="AJ174" s="27" t="n">
        <f aca="false">AJ18*AJ21</f>
        <v>1057.67381560291</v>
      </c>
      <c r="AK174" s="27" t="n">
        <f aca="false">AK18*AK21</f>
        <v>1057.67381560291</v>
      </c>
      <c r="AL174" s="27" t="n">
        <f aca="false">AL18*AL21</f>
        <v>1057.67381560291</v>
      </c>
      <c r="AM174" s="27" t="n">
        <f aca="false">AM18*AM21</f>
        <v>1057.67381560291</v>
      </c>
      <c r="AN174" s="27" t="n">
        <f aca="false">AN18*AN21</f>
        <v>1057.67381560291</v>
      </c>
      <c r="AO174" s="27" t="n">
        <f aca="false">AO18*AO21</f>
        <v>1057.67381560291</v>
      </c>
      <c r="AP174" s="27" t="n">
        <f aca="false">AP18*AP21</f>
        <v>1057.67381560291</v>
      </c>
      <c r="AQ174" s="27" t="n">
        <f aca="false">AQ18*AQ21</f>
        <v>1057.67381560291</v>
      </c>
      <c r="AR174" s="27" t="n">
        <f aca="false">AR18*AR21</f>
        <v>1057.67381560291</v>
      </c>
      <c r="AS174" s="27" t="n">
        <f aca="false">AS18*AS21</f>
        <v>1057.67381560291</v>
      </c>
      <c r="AT174" s="27" t="n">
        <f aca="false">AT18*AT21</f>
        <v>1057.67381560291</v>
      </c>
      <c r="AU174" s="27" t="n">
        <f aca="false">AU18*AU21</f>
        <v>1057.67381560291</v>
      </c>
      <c r="AV174" s="27" t="n">
        <f aca="false">AV18*AV21</f>
        <v>1057.67381560291</v>
      </c>
      <c r="AW174" s="27" t="n">
        <f aca="false">AW18*AW21</f>
        <v>1057.67381560291</v>
      </c>
      <c r="AX174" s="27" t="n">
        <f aca="false">AX18*AX21</f>
        <v>1057.67381560291</v>
      </c>
      <c r="AY174" s="27" t="n">
        <f aca="false">AY18*AY21</f>
        <v>1057.67381560291</v>
      </c>
      <c r="AZ174" s="27" t="n">
        <f aca="false">AZ18*AZ21</f>
        <v>1057.67381560291</v>
      </c>
      <c r="BA174" s="27" t="n">
        <f aca="false">BA18*BA21</f>
        <v>1057.67381560291</v>
      </c>
      <c r="BB174" s="27" t="n">
        <f aca="false">BB18*BB21</f>
        <v>1057.67381560291</v>
      </c>
      <c r="BC174" s="27" t="n">
        <f aca="false">BC18*BC21</f>
        <v>1057.67381560291</v>
      </c>
      <c r="BD174" s="27" t="n">
        <f aca="false">BD18*BD21</f>
        <v>1057.67381560291</v>
      </c>
      <c r="BE174" s="27" t="n">
        <f aca="false">BE18*BE21</f>
        <v>1057.67381560291</v>
      </c>
      <c r="BF174" s="27" t="n">
        <f aca="false">BF18*BF21</f>
        <v>1057.67381560291</v>
      </c>
      <c r="BG174" s="27" t="n">
        <f aca="false">BG18*BG21</f>
        <v>1057.67381560291</v>
      </c>
      <c r="BH174" s="27" t="n">
        <f aca="false">BH18*BH21</f>
        <v>1057.67381560291</v>
      </c>
      <c r="BI174" s="27" t="n">
        <f aca="false">BI18*BI21</f>
        <v>1057.67381560291</v>
      </c>
      <c r="BJ174" s="27" t="n">
        <f aca="false">BJ18*BJ21</f>
        <v>1057.67381560291</v>
      </c>
      <c r="BK174" s="27" t="n">
        <f aca="false">BK18*BK21</f>
        <v>1057.67381560291</v>
      </c>
      <c r="BL174" s="27" t="n">
        <f aca="false">BL18*BL21</f>
        <v>1057.67381560291</v>
      </c>
      <c r="BM174" s="27" t="n">
        <f aca="false">BM18*BM21</f>
        <v>1057.67381560291</v>
      </c>
      <c r="BN174" s="27" t="n">
        <f aca="false">BN18*BN21</f>
        <v>1057.67381560291</v>
      </c>
      <c r="BO174" s="27" t="n">
        <f aca="false">BO18*BO21</f>
        <v>1057.67381560291</v>
      </c>
      <c r="BP174" s="27" t="n">
        <f aca="false">BP18*BP21</f>
        <v>1057.67381560291</v>
      </c>
      <c r="BQ174" s="27" t="n">
        <f aca="false">BQ18*BQ21</f>
        <v>1057.67381560291</v>
      </c>
      <c r="BR174" s="27" t="n">
        <f aca="false">BR18*BR21</f>
        <v>1057.67381560291</v>
      </c>
      <c r="BS174" s="27" t="n">
        <f aca="false">BS18*BS21</f>
        <v>1057.67381560291</v>
      </c>
      <c r="BT174" s="27" t="n">
        <f aca="false">BT18*BT21</f>
        <v>1057.67381560291</v>
      </c>
      <c r="BU174" s="27" t="n">
        <f aca="false">BU18*BU21</f>
        <v>1057.67381560291</v>
      </c>
      <c r="BV174" s="27" t="n">
        <f aca="false">BV18*BV21</f>
        <v>1057.67381560291</v>
      </c>
      <c r="BW174" s="27" t="n">
        <f aca="false">BW18*BW21</f>
        <v>1057.67381560291</v>
      </c>
      <c r="BX174" s="27" t="n">
        <f aca="false">BX18*BX21</f>
        <v>1057.67381560291</v>
      </c>
      <c r="BY174" s="27" t="n">
        <f aca="false">BY18*BY21</f>
        <v>1057.67381560291</v>
      </c>
      <c r="BZ174" s="27" t="n">
        <f aca="false">BZ18*BZ21</f>
        <v>1057.67381560291</v>
      </c>
      <c r="CA174" s="27" t="n">
        <f aca="false">CA18*CA21</f>
        <v>1057.67381560291</v>
      </c>
      <c r="CB174" s="27" t="n">
        <f aca="false">CB18*CB21</f>
        <v>1057.67381560291</v>
      </c>
      <c r="CC174" s="27" t="n">
        <f aca="false">CC18*CC21</f>
        <v>1057.67381560291</v>
      </c>
      <c r="CD174" s="27" t="n">
        <f aca="false">CD18*CD21</f>
        <v>1057.67381560291</v>
      </c>
      <c r="CE174" s="27" t="n">
        <f aca="false">CE18*CE21</f>
        <v>1057.67381560291</v>
      </c>
      <c r="CF174" s="27" t="n">
        <f aca="false">CF18*CF21</f>
        <v>1057.67381560291</v>
      </c>
      <c r="CG174" s="27" t="n">
        <f aca="false">CG18*CG21</f>
        <v>1057.67381560291</v>
      </c>
      <c r="CH174" s="27" t="n">
        <f aca="false">CH18*CH21</f>
        <v>1057.67381560291</v>
      </c>
    </row>
    <row r="175" customFormat="false" ht="15" hidden="false" customHeight="false" outlineLevel="0" collapsed="false">
      <c r="A175" s="1" t="s">
        <v>836</v>
      </c>
      <c r="C175" s="27" t="n">
        <f aca="false">IF(Restaurantes!$D$10=1,Restaurantes!$D$13*Restaurantes!$D$24*Restaurantes!$D$25*Restaurantes!$D$22/MAX(0.0001,Hipótesis!$C$130),9000000000)</f>
        <v>223.218906592279</v>
      </c>
      <c r="D175" s="27" t="n">
        <f aca="false">IF(Restaurantes!$D$10=1,Restaurantes!$D$13*Restaurantes!$D$24*Restaurantes!$D$25*Restaurantes!$D$22/MAX(0.0001,Hipótesis!$C$130),9000000000)</f>
        <v>223.218906592279</v>
      </c>
      <c r="E175" s="27" t="n">
        <f aca="false">IF(Restaurantes!$D$10=1,Restaurantes!$D$13*Restaurantes!$D$24*Restaurantes!$D$25*Restaurantes!$D$22/MAX(0.0001,Hipótesis!$C$130),9000000000)</f>
        <v>223.218906592279</v>
      </c>
      <c r="F175" s="27" t="n">
        <f aca="false">IF(Restaurantes!$D$10=1,Restaurantes!$D$13*Restaurantes!$D$24*Restaurantes!$D$25*Restaurantes!$D$22/MAX(0.0001,Hipótesis!$C$130),9000000000)</f>
        <v>223.218906592279</v>
      </c>
      <c r="G175" s="27" t="n">
        <f aca="false">IF(Restaurantes!$D$10=1,Restaurantes!$D$13*Restaurantes!$D$24*Restaurantes!$D$25*Restaurantes!$D$22/MAX(0.0001,Hipótesis!$C$130),9000000000)</f>
        <v>223.218906592279</v>
      </c>
      <c r="H175" s="27" t="n">
        <f aca="false">IF(Restaurantes!$D$10=1,Restaurantes!$D$13*Restaurantes!$D$24*Restaurantes!$D$25*Restaurantes!$D$22/MAX(0.0001,Hipótesis!$C$130),9000000000)</f>
        <v>223.218906592279</v>
      </c>
      <c r="I175" s="27" t="n">
        <f aca="false">IF(Restaurantes!$D$10=1,Restaurantes!$D$13*Restaurantes!$D$24*Restaurantes!$D$25*Restaurantes!$D$22/MAX(0.0001,Hipótesis!$C$130),9000000000)</f>
        <v>223.218906592279</v>
      </c>
      <c r="J175" s="27" t="n">
        <f aca="false">IF(Restaurantes!$D$10=1,Restaurantes!$D$13*Restaurantes!$D$24*Restaurantes!$D$25*Restaurantes!$D$22/MAX(0.0001,Hipótesis!$C$130),9000000000)</f>
        <v>223.218906592279</v>
      </c>
      <c r="K175" s="27" t="n">
        <f aca="false">IF(Restaurantes!$D$10=1,Restaurantes!$D$13*Restaurantes!$D$24*Restaurantes!$D$25*Restaurantes!$D$22/MAX(0.0001,Hipótesis!$C$130),9000000000)</f>
        <v>223.218906592279</v>
      </c>
      <c r="L175" s="27" t="n">
        <f aca="false">IF(Restaurantes!$D$10=1,Restaurantes!$D$13*Restaurantes!$D$24*Restaurantes!$D$25*Restaurantes!$D$22/MAX(0.0001,Hipótesis!$C$130),9000000000)</f>
        <v>223.218906592279</v>
      </c>
      <c r="M175" s="27" t="n">
        <f aca="false">IF(Restaurantes!$D$10=1,Restaurantes!$D$13*Restaurantes!$D$24*Restaurantes!$D$25*Restaurantes!$D$22/MAX(0.0001,Hipótesis!$C$130),9000000000)</f>
        <v>223.218906592279</v>
      </c>
      <c r="N175" s="27" t="n">
        <f aca="false">IF(Restaurantes!$D$10=1,Restaurantes!$D$13*Restaurantes!$D$24*Restaurantes!$D$25*Restaurantes!$D$22/MAX(0.0001,Hipótesis!$C$130),9000000000)</f>
        <v>223.218906592279</v>
      </c>
      <c r="O175" s="27" t="n">
        <f aca="false">IF(Restaurantes!$D$10=1,Restaurantes!$D$13*Restaurantes!$D$24*Restaurantes!$D$25*Restaurantes!$D$22/MAX(0.0001,Hipótesis!$C$130),9000000000)</f>
        <v>223.218906592279</v>
      </c>
      <c r="P175" s="27" t="n">
        <f aca="false">IF(Restaurantes!$D$10=1,Restaurantes!$D$13*Restaurantes!$D$24*Restaurantes!$D$25*Restaurantes!$D$22/MAX(0.0001,Hipótesis!$C$130),9000000000)</f>
        <v>223.218906592279</v>
      </c>
      <c r="Q175" s="27" t="n">
        <f aca="false">IF(Restaurantes!$D$10=1,Restaurantes!$D$13*Restaurantes!$D$24*Restaurantes!$D$25*Restaurantes!$D$22/MAX(0.0001,Hipótesis!$C$130),9000000000)</f>
        <v>223.218906592279</v>
      </c>
      <c r="R175" s="27" t="n">
        <f aca="false">IF(Restaurantes!$D$10=1,Restaurantes!$D$13*Restaurantes!$D$24*Restaurantes!$D$25*Restaurantes!$D$22/MAX(0.0001,Hipótesis!$C$130),9000000000)</f>
        <v>223.218906592279</v>
      </c>
      <c r="S175" s="27" t="n">
        <f aca="false">IF(Restaurantes!$D$10=1,Restaurantes!$D$13*Restaurantes!$D$24*Restaurantes!$D$25*Restaurantes!$D$22/MAX(0.0001,Hipótesis!$C$130),9000000000)</f>
        <v>223.218906592279</v>
      </c>
      <c r="T175" s="27" t="n">
        <f aca="false">IF(Restaurantes!$D$10=1,Restaurantes!$D$13*Restaurantes!$D$24*Restaurantes!$D$25*Restaurantes!$D$22/MAX(0.0001,Hipótesis!$C$130),9000000000)</f>
        <v>223.218906592279</v>
      </c>
      <c r="U175" s="27" t="n">
        <f aca="false">IF(Restaurantes!$D$10=1,Restaurantes!$D$13*Restaurantes!$D$24*Restaurantes!$D$25*Restaurantes!$D$22/MAX(0.0001,Hipótesis!$C$130),9000000000)</f>
        <v>223.218906592279</v>
      </c>
      <c r="V175" s="27" t="n">
        <f aca="false">IF(Restaurantes!$D$10=1,Restaurantes!$D$13*Restaurantes!$D$24*Restaurantes!$D$25*Restaurantes!$D$22/MAX(0.0001,Hipótesis!$C$130),9000000000)</f>
        <v>223.218906592279</v>
      </c>
      <c r="W175" s="27" t="n">
        <f aca="false">IF(Restaurantes!$D$10=1,Restaurantes!$D$13*Restaurantes!$D$24*Restaurantes!$D$25*Restaurantes!$D$22/MAX(0.0001,Hipótesis!$C$130),9000000000)</f>
        <v>223.218906592279</v>
      </c>
      <c r="X175" s="27" t="n">
        <f aca="false">IF(Restaurantes!$D$10=1,Restaurantes!$D$13*Restaurantes!$D$24*Restaurantes!$D$25*Restaurantes!$D$22/MAX(0.0001,Hipótesis!$C$130),9000000000)</f>
        <v>223.218906592279</v>
      </c>
      <c r="Y175" s="27" t="n">
        <f aca="false">IF(Restaurantes!$D$10=1,Restaurantes!$D$13*Restaurantes!$D$24*Restaurantes!$D$25*Restaurantes!$D$22/MAX(0.0001,Hipótesis!$C$130),9000000000)</f>
        <v>223.218906592279</v>
      </c>
      <c r="Z175" s="27" t="n">
        <f aca="false">IF(Restaurantes!$D$10=1,Restaurantes!$D$13*Restaurantes!$D$24*Restaurantes!$D$25*Restaurantes!$D$22/MAX(0.0001,Hipótesis!$C$130),9000000000)</f>
        <v>223.218906592279</v>
      </c>
      <c r="AA175" s="27" t="n">
        <f aca="false">IF(Restaurantes!$D$10=1,Restaurantes!$D$13*Restaurantes!$D$24*Restaurantes!$D$25*Restaurantes!$D$22/MAX(0.0001,Hipótesis!$C$130),9000000000)</f>
        <v>223.218906592279</v>
      </c>
      <c r="AB175" s="27" t="n">
        <f aca="false">IF(Restaurantes!$D$10=1,Restaurantes!$D$13*Restaurantes!$D$24*Restaurantes!$D$25*Restaurantes!$D$22/MAX(0.0001,Hipótesis!$C$130),9000000000)</f>
        <v>223.218906592279</v>
      </c>
      <c r="AC175" s="27" t="n">
        <f aca="false">IF(Restaurantes!$D$10=1,Restaurantes!$D$13*Restaurantes!$D$24*Restaurantes!$D$25*Restaurantes!$D$22/MAX(0.0001,Hipótesis!$C$130),9000000000)</f>
        <v>223.218906592279</v>
      </c>
      <c r="AD175" s="27" t="n">
        <f aca="false">IF(Restaurantes!$D$10=1,Restaurantes!$D$13*Restaurantes!$D$24*Restaurantes!$D$25*Restaurantes!$D$22/MAX(0.0001,Hipótesis!$C$130),9000000000)</f>
        <v>223.218906592279</v>
      </c>
      <c r="AE175" s="27" t="n">
        <f aca="false">IF(Restaurantes!$D$10=1,Restaurantes!$D$13*Restaurantes!$D$24*Restaurantes!$D$25*Restaurantes!$D$22/MAX(0.0001,Hipótesis!$C$130),9000000000)</f>
        <v>223.218906592279</v>
      </c>
      <c r="AF175" s="27" t="n">
        <f aca="false">IF(Restaurantes!$D$10=1,Restaurantes!$D$13*Restaurantes!$D$24*Restaurantes!$D$25*Restaurantes!$D$22/MAX(0.0001,Hipótesis!$C$130),9000000000)</f>
        <v>223.218906592279</v>
      </c>
      <c r="AG175" s="27" t="n">
        <f aca="false">IF(Restaurantes!$D$10=1,Restaurantes!$D$13*Restaurantes!$D$24*Restaurantes!$D$25*Restaurantes!$D$22/MAX(0.0001,Hipótesis!$C$130),9000000000)</f>
        <v>223.218906592279</v>
      </c>
      <c r="AH175" s="27" t="n">
        <f aca="false">IF(Restaurantes!$D$10=1,Restaurantes!$D$13*Restaurantes!$D$24*Restaurantes!$D$25*Restaurantes!$D$22/MAX(0.0001,Hipótesis!$C$130),9000000000)</f>
        <v>223.218906592279</v>
      </c>
      <c r="AI175" s="27" t="n">
        <f aca="false">IF(Restaurantes!$D$10=1,Restaurantes!$D$13*Restaurantes!$D$24*Restaurantes!$D$25*Restaurantes!$D$22/MAX(0.0001,Hipótesis!$C$130),9000000000)</f>
        <v>223.218906592279</v>
      </c>
      <c r="AJ175" s="27" t="n">
        <f aca="false">IF(Restaurantes!$D$10=1,Restaurantes!$D$13*Restaurantes!$D$24*Restaurantes!$D$25*Restaurantes!$D$22/MAX(0.0001,Hipótesis!$C$130),9000000000)</f>
        <v>223.218906592279</v>
      </c>
      <c r="AK175" s="27" t="n">
        <f aca="false">IF(Restaurantes!$D$10=1,Restaurantes!$D$13*Restaurantes!$D$24*Restaurantes!$D$25*Restaurantes!$D$22/MAX(0.0001,Hipótesis!$C$130),9000000000)</f>
        <v>223.218906592279</v>
      </c>
      <c r="AL175" s="27" t="n">
        <f aca="false">IF(Restaurantes!$D$10=1,Restaurantes!$D$13*Restaurantes!$D$24*Restaurantes!$D$25*Restaurantes!$D$22/MAX(0.0001,Hipótesis!$C$130),9000000000)</f>
        <v>223.218906592279</v>
      </c>
      <c r="AM175" s="27" t="n">
        <f aca="false">IF(Restaurantes!$D$10=1,Restaurantes!$D$13*Restaurantes!$D$24*Restaurantes!$D$25*Restaurantes!$D$22/MAX(0.0001,Hipótesis!$C$130),9000000000)</f>
        <v>223.218906592279</v>
      </c>
      <c r="AN175" s="27" t="n">
        <f aca="false">IF(Restaurantes!$D$10=1,Restaurantes!$D$13*Restaurantes!$D$24*Restaurantes!$D$25*Restaurantes!$D$22/MAX(0.0001,Hipótesis!$C$130),9000000000)</f>
        <v>223.218906592279</v>
      </c>
      <c r="AO175" s="27" t="n">
        <f aca="false">IF(Restaurantes!$D$10=1,Restaurantes!$D$13*Restaurantes!$D$24*Restaurantes!$D$25*Restaurantes!$D$22/MAX(0.0001,Hipótesis!$C$130),9000000000)</f>
        <v>223.218906592279</v>
      </c>
      <c r="AP175" s="27" t="n">
        <f aca="false">IF(Restaurantes!$D$10=1,Restaurantes!$D$13*Restaurantes!$D$24*Restaurantes!$D$25*Restaurantes!$D$22/MAX(0.0001,Hipótesis!$C$130),9000000000)</f>
        <v>223.218906592279</v>
      </c>
      <c r="AQ175" s="27" t="n">
        <f aca="false">IF(Restaurantes!$D$10=1,Restaurantes!$D$13*Restaurantes!$D$24*Restaurantes!$D$25*Restaurantes!$D$22/MAX(0.0001,Hipótesis!$C$130),9000000000)</f>
        <v>223.218906592279</v>
      </c>
      <c r="AR175" s="27" t="n">
        <f aca="false">IF(Restaurantes!$D$10=1,Restaurantes!$D$13*Restaurantes!$D$24*Restaurantes!$D$25*Restaurantes!$D$22/MAX(0.0001,Hipótesis!$C$130),9000000000)</f>
        <v>223.218906592279</v>
      </c>
      <c r="AS175" s="27" t="n">
        <f aca="false">IF(Restaurantes!$D$10=1,Restaurantes!$D$13*Restaurantes!$D$24*Restaurantes!$D$25*Restaurantes!$D$22/MAX(0.0001,Hipótesis!$C$130),9000000000)</f>
        <v>223.218906592279</v>
      </c>
      <c r="AT175" s="27" t="n">
        <f aca="false">IF(Restaurantes!$D$10=1,Restaurantes!$D$13*Restaurantes!$D$24*Restaurantes!$D$25*Restaurantes!$D$22/MAX(0.0001,Hipótesis!$C$130),9000000000)</f>
        <v>223.218906592279</v>
      </c>
      <c r="AU175" s="27" t="n">
        <f aca="false">IF(Restaurantes!$D$10=1,Restaurantes!$D$13*Restaurantes!$D$24*Restaurantes!$D$25*Restaurantes!$D$22/MAX(0.0001,Hipótesis!$C$130),9000000000)</f>
        <v>223.218906592279</v>
      </c>
      <c r="AV175" s="27" t="n">
        <f aca="false">IF(Restaurantes!$D$10=1,Restaurantes!$D$13*Restaurantes!$D$24*Restaurantes!$D$25*Restaurantes!$D$22/MAX(0.0001,Hipótesis!$C$130),9000000000)</f>
        <v>223.218906592279</v>
      </c>
      <c r="AW175" s="27" t="n">
        <f aca="false">IF(Restaurantes!$D$10=1,Restaurantes!$D$13*Restaurantes!$D$24*Restaurantes!$D$25*Restaurantes!$D$22/MAX(0.0001,Hipótesis!$C$130),9000000000)</f>
        <v>223.218906592279</v>
      </c>
      <c r="AX175" s="27" t="n">
        <f aca="false">IF(Restaurantes!$D$10=1,Restaurantes!$D$13*Restaurantes!$D$24*Restaurantes!$D$25*Restaurantes!$D$22/MAX(0.0001,Hipótesis!$C$130),9000000000)</f>
        <v>223.218906592279</v>
      </c>
      <c r="AY175" s="27" t="n">
        <f aca="false">IF(Restaurantes!$D$10=1,Restaurantes!$D$13*Restaurantes!$D$24*Restaurantes!$D$25*Restaurantes!$D$22/MAX(0.0001,Hipótesis!$C$130),9000000000)</f>
        <v>223.218906592279</v>
      </c>
      <c r="AZ175" s="27" t="n">
        <f aca="false">IF(Restaurantes!$D$10=1,Restaurantes!$D$13*Restaurantes!$D$24*Restaurantes!$D$25*Restaurantes!$D$22/MAX(0.0001,Hipótesis!$C$130),9000000000)</f>
        <v>223.218906592279</v>
      </c>
      <c r="BA175" s="27" t="n">
        <f aca="false">IF(Restaurantes!$D$10=1,Restaurantes!$D$13*Restaurantes!$D$24*Restaurantes!$D$25*Restaurantes!$D$22/MAX(0.0001,Hipótesis!$C$130),9000000000)</f>
        <v>223.218906592279</v>
      </c>
      <c r="BB175" s="27" t="n">
        <f aca="false">IF(Restaurantes!$D$10=1,Restaurantes!$D$13*Restaurantes!$D$24*Restaurantes!$D$25*Restaurantes!$D$22/MAX(0.0001,Hipótesis!$C$130),9000000000)</f>
        <v>223.218906592279</v>
      </c>
      <c r="BC175" s="27" t="n">
        <f aca="false">IF(Restaurantes!$D$10=1,Restaurantes!$D$13*Restaurantes!$D$24*Restaurantes!$D$25*Restaurantes!$D$22/MAX(0.0001,Hipótesis!$C$130),9000000000)</f>
        <v>223.218906592279</v>
      </c>
      <c r="BD175" s="27" t="n">
        <f aca="false">IF(Restaurantes!$D$10=1,Restaurantes!$D$13*Restaurantes!$D$24*Restaurantes!$D$25*Restaurantes!$D$22/MAX(0.0001,Hipótesis!$C$130),9000000000)</f>
        <v>223.218906592279</v>
      </c>
      <c r="BE175" s="27" t="n">
        <f aca="false">IF(Restaurantes!$D$10=1,Restaurantes!$D$13*Restaurantes!$D$24*Restaurantes!$D$25*Restaurantes!$D$22/MAX(0.0001,Hipótesis!$C$130),9000000000)</f>
        <v>223.218906592279</v>
      </c>
      <c r="BF175" s="27" t="n">
        <f aca="false">IF(Restaurantes!$D$10=1,Restaurantes!$D$13*Restaurantes!$D$24*Restaurantes!$D$25*Restaurantes!$D$22/MAX(0.0001,Hipótesis!$C$130),9000000000)</f>
        <v>223.218906592279</v>
      </c>
      <c r="BG175" s="27" t="n">
        <f aca="false">IF(Restaurantes!$D$10=1,Restaurantes!$D$13*Restaurantes!$D$24*Restaurantes!$D$25*Restaurantes!$D$22/MAX(0.0001,Hipótesis!$C$130),9000000000)</f>
        <v>223.218906592279</v>
      </c>
      <c r="BH175" s="27" t="n">
        <f aca="false">IF(Restaurantes!$D$10=1,Restaurantes!$D$13*Restaurantes!$D$24*Restaurantes!$D$25*Restaurantes!$D$22/MAX(0.0001,Hipótesis!$C$130),9000000000)</f>
        <v>223.218906592279</v>
      </c>
      <c r="BI175" s="27" t="n">
        <f aca="false">IF(Restaurantes!$D$10=1,Restaurantes!$D$13*Restaurantes!$D$24*Restaurantes!$D$25*Restaurantes!$D$22/MAX(0.0001,Hipótesis!$C$130),9000000000)</f>
        <v>223.218906592279</v>
      </c>
      <c r="BJ175" s="27" t="n">
        <f aca="false">IF(Restaurantes!$D$10=1,Restaurantes!$D$13*Restaurantes!$D$24*Restaurantes!$D$25*Restaurantes!$D$22/MAX(0.0001,Hipótesis!$C$130),9000000000)</f>
        <v>223.218906592279</v>
      </c>
      <c r="BK175" s="27" t="n">
        <f aca="false">IF(Restaurantes!$D$10=1,Restaurantes!$D$13*Restaurantes!$D$24*Restaurantes!$D$25*Restaurantes!$D$22/MAX(0.0001,Hipótesis!$C$130),9000000000)</f>
        <v>223.218906592279</v>
      </c>
      <c r="BL175" s="27" t="n">
        <f aca="false">IF(Restaurantes!$D$10=1,Restaurantes!$D$13*Restaurantes!$D$24*Restaurantes!$D$25*Restaurantes!$D$22/MAX(0.0001,Hipótesis!$C$130),9000000000)</f>
        <v>223.218906592279</v>
      </c>
      <c r="BM175" s="27" t="n">
        <f aca="false">IF(Restaurantes!$D$10=1,Restaurantes!$D$13*Restaurantes!$D$24*Restaurantes!$D$25*Restaurantes!$D$22/MAX(0.0001,Hipótesis!$C$130),9000000000)</f>
        <v>223.218906592279</v>
      </c>
      <c r="BN175" s="27" t="n">
        <f aca="false">IF(Restaurantes!$D$10=1,Restaurantes!$D$13*Restaurantes!$D$24*Restaurantes!$D$25*Restaurantes!$D$22/MAX(0.0001,Hipótesis!$C$130),9000000000)</f>
        <v>223.218906592279</v>
      </c>
      <c r="BO175" s="27" t="n">
        <f aca="false">IF(Restaurantes!$D$10=1,Restaurantes!$D$13*Restaurantes!$D$24*Restaurantes!$D$25*Restaurantes!$D$22/MAX(0.0001,Hipótesis!$C$130),9000000000)</f>
        <v>223.218906592279</v>
      </c>
      <c r="BP175" s="27" t="n">
        <f aca="false">IF(Restaurantes!$D$10=1,Restaurantes!$D$13*Restaurantes!$D$24*Restaurantes!$D$25*Restaurantes!$D$22/MAX(0.0001,Hipótesis!$C$130),9000000000)</f>
        <v>223.218906592279</v>
      </c>
      <c r="BQ175" s="27" t="n">
        <f aca="false">IF(Restaurantes!$D$10=1,Restaurantes!$D$13*Restaurantes!$D$24*Restaurantes!$D$25*Restaurantes!$D$22/MAX(0.0001,Hipótesis!$C$130),9000000000)</f>
        <v>223.218906592279</v>
      </c>
      <c r="BR175" s="27" t="n">
        <f aca="false">IF(Restaurantes!$D$10=1,Restaurantes!$D$13*Restaurantes!$D$24*Restaurantes!$D$25*Restaurantes!$D$22/MAX(0.0001,Hipótesis!$C$130),9000000000)</f>
        <v>223.218906592279</v>
      </c>
      <c r="BS175" s="27" t="n">
        <f aca="false">IF(Restaurantes!$D$10=1,Restaurantes!$D$13*Restaurantes!$D$24*Restaurantes!$D$25*Restaurantes!$D$22/MAX(0.0001,Hipótesis!$C$130),9000000000)</f>
        <v>223.218906592279</v>
      </c>
      <c r="BT175" s="27" t="n">
        <f aca="false">IF(Restaurantes!$D$10=1,Restaurantes!$D$13*Restaurantes!$D$24*Restaurantes!$D$25*Restaurantes!$D$22/MAX(0.0001,Hipótesis!$C$130),9000000000)</f>
        <v>223.218906592279</v>
      </c>
      <c r="BU175" s="27" t="n">
        <f aca="false">IF(Restaurantes!$D$10=1,Restaurantes!$D$13*Restaurantes!$D$24*Restaurantes!$D$25*Restaurantes!$D$22/MAX(0.0001,Hipótesis!$C$130),9000000000)</f>
        <v>223.218906592279</v>
      </c>
      <c r="BV175" s="27" t="n">
        <f aca="false">IF(Restaurantes!$D$10=1,Restaurantes!$D$13*Restaurantes!$D$24*Restaurantes!$D$25*Restaurantes!$D$22/MAX(0.0001,Hipótesis!$C$130),9000000000)</f>
        <v>223.218906592279</v>
      </c>
      <c r="BW175" s="27" t="n">
        <f aca="false">IF(Restaurantes!$D$10=1,Restaurantes!$D$13*Restaurantes!$D$24*Restaurantes!$D$25*Restaurantes!$D$22/MAX(0.0001,Hipótesis!$C$130),9000000000)</f>
        <v>223.218906592279</v>
      </c>
      <c r="BX175" s="27" t="n">
        <f aca="false">IF(Restaurantes!$D$10=1,Restaurantes!$D$13*Restaurantes!$D$24*Restaurantes!$D$25*Restaurantes!$D$22/MAX(0.0001,Hipótesis!$C$130),9000000000)</f>
        <v>223.218906592279</v>
      </c>
      <c r="BY175" s="27" t="n">
        <f aca="false">IF(Restaurantes!$D$10=1,Restaurantes!$D$13*Restaurantes!$D$24*Restaurantes!$D$25*Restaurantes!$D$22/MAX(0.0001,Hipótesis!$C$130),9000000000)</f>
        <v>223.218906592279</v>
      </c>
      <c r="BZ175" s="27" t="n">
        <f aca="false">IF(Restaurantes!$D$10=1,Restaurantes!$D$13*Restaurantes!$D$24*Restaurantes!$D$25*Restaurantes!$D$22/MAX(0.0001,Hipótesis!$C$130),9000000000)</f>
        <v>223.218906592279</v>
      </c>
      <c r="CA175" s="27" t="n">
        <f aca="false">IF(Restaurantes!$D$10=1,Restaurantes!$D$13*Restaurantes!$D$24*Restaurantes!$D$25*Restaurantes!$D$22/MAX(0.0001,Hipótesis!$C$130),9000000000)</f>
        <v>223.218906592279</v>
      </c>
      <c r="CB175" s="27" t="n">
        <f aca="false">IF(Restaurantes!$D$10=1,Restaurantes!$D$13*Restaurantes!$D$24*Restaurantes!$D$25*Restaurantes!$D$22/MAX(0.0001,Hipótesis!$C$130),9000000000)</f>
        <v>223.218906592279</v>
      </c>
      <c r="CC175" s="27" t="n">
        <f aca="false">IF(Restaurantes!$D$10=1,Restaurantes!$D$13*Restaurantes!$D$24*Restaurantes!$D$25*Restaurantes!$D$22/MAX(0.0001,Hipótesis!$C$130),9000000000)</f>
        <v>223.218906592279</v>
      </c>
      <c r="CD175" s="27" t="n">
        <f aca="false">IF(Restaurantes!$D$10=1,Restaurantes!$D$13*Restaurantes!$D$24*Restaurantes!$D$25*Restaurantes!$D$22/MAX(0.0001,Hipótesis!$C$130),9000000000)</f>
        <v>223.218906592279</v>
      </c>
      <c r="CE175" s="27" t="n">
        <f aca="false">IF(Restaurantes!$D$10=1,Restaurantes!$D$13*Restaurantes!$D$24*Restaurantes!$D$25*Restaurantes!$D$22/MAX(0.0001,Hipótesis!$C$130),9000000000)</f>
        <v>223.218906592279</v>
      </c>
      <c r="CF175" s="27" t="n">
        <f aca="false">IF(Restaurantes!$D$10=1,Restaurantes!$D$13*Restaurantes!$D$24*Restaurantes!$D$25*Restaurantes!$D$22/MAX(0.0001,Hipótesis!$C$130),9000000000)</f>
        <v>223.218906592279</v>
      </c>
      <c r="CG175" s="27" t="n">
        <f aca="false">IF(Restaurantes!$D$10=1,Restaurantes!$D$13*Restaurantes!$D$24*Restaurantes!$D$25*Restaurantes!$D$22/MAX(0.0001,Hipótesis!$C$130),9000000000)</f>
        <v>223.218906592279</v>
      </c>
      <c r="CH175" s="27" t="n">
        <f aca="false">IF(Restaurantes!$D$10=1,Restaurantes!$D$13*Restaurantes!$D$24*Restaurantes!$D$25*Restaurantes!$D$22/MAX(0.0001,Hipótesis!$C$130),9000000000)</f>
        <v>223.218906592279</v>
      </c>
    </row>
    <row r="176" customFormat="false" ht="15" hidden="false" customHeight="false" outlineLevel="0" collapsed="false">
      <c r="A176" s="1" t="s">
        <v>837</v>
      </c>
      <c r="C176" s="27" t="n">
        <f aca="false">MIN(Restaurantes!$D$7*Hipótesis!$D$13*Hipótesis!$C$26,C175)*C173</f>
        <v>4</v>
      </c>
      <c r="D176" s="27" t="n">
        <f aca="false">MIN(Restaurantes!$D$7*Hipótesis!$D$13*Hipótesis!$C$26,D175)*D173</f>
        <v>8</v>
      </c>
      <c r="E176" s="27" t="n">
        <f aca="false">MIN(Restaurantes!$D$7*Hipótesis!$D$13*Hipótesis!$C$26,E175)*E173</f>
        <v>12</v>
      </c>
      <c r="F176" s="27" t="n">
        <f aca="false">MIN(Restaurantes!$D$7*Hipótesis!$D$13*Hipótesis!$C$26,F175)*F173</f>
        <v>16</v>
      </c>
      <c r="G176" s="27" t="n">
        <f aca="false">MIN(Restaurantes!$D$7*Hipótesis!$D$13*Hipótesis!$C$26,G175)*G173</f>
        <v>20</v>
      </c>
      <c r="H176" s="27" t="n">
        <f aca="false">MIN(Restaurantes!$D$7*Hipótesis!$D$13*Hipótesis!$C$26,H175)*H173</f>
        <v>24</v>
      </c>
      <c r="I176" s="27" t="n">
        <f aca="false">MIN(Restaurantes!$D$7*Hipótesis!$D$13*Hipótesis!$C$26,I175)*I173</f>
        <v>28</v>
      </c>
      <c r="J176" s="27" t="n">
        <f aca="false">MIN(Restaurantes!$D$7*Hipótesis!$D$13*Hipótesis!$C$26,J175)*J173</f>
        <v>32</v>
      </c>
      <c r="K176" s="27" t="n">
        <f aca="false">MIN(Restaurantes!$D$7*Hipótesis!$D$13*Hipótesis!$C$26,K175)*K173</f>
        <v>36</v>
      </c>
      <c r="L176" s="27" t="n">
        <f aca="false">MIN(Restaurantes!$D$7*Hipótesis!$D$13*Hipótesis!$C$26,L175)*L173</f>
        <v>40</v>
      </c>
      <c r="M176" s="27" t="n">
        <f aca="false">MIN(Restaurantes!$D$7*Hipótesis!$D$13*Hipótesis!$C$26,M175)*M173</f>
        <v>44</v>
      </c>
      <c r="N176" s="27" t="n">
        <f aca="false">MIN(Restaurantes!$D$7*Hipótesis!$D$13*Hipótesis!$C$26,N175)*N173</f>
        <v>48</v>
      </c>
      <c r="O176" s="27" t="n">
        <f aca="false">MIN(Restaurantes!$D$7*Hipótesis!$D$13*Hipótesis!$C$26,O175)*O173</f>
        <v>52</v>
      </c>
      <c r="P176" s="27" t="n">
        <f aca="false">MIN(Restaurantes!$D$7*Hipótesis!$D$13*Hipótesis!$C$26,P175)*P173</f>
        <v>56</v>
      </c>
      <c r="Q176" s="27" t="n">
        <f aca="false">MIN(Restaurantes!$D$7*Hipótesis!$D$13*Hipótesis!$C$26,Q175)*Q173</f>
        <v>60</v>
      </c>
      <c r="R176" s="27" t="n">
        <f aca="false">MIN(Restaurantes!$D$7*Hipótesis!$D$13*Hipótesis!$C$26,R175)*R173</f>
        <v>64</v>
      </c>
      <c r="S176" s="27" t="n">
        <f aca="false">MIN(Restaurantes!$D$7*Hipótesis!$D$13*Hipótesis!$C$26,S175)*S173</f>
        <v>68</v>
      </c>
      <c r="T176" s="27" t="n">
        <f aca="false">MIN(Restaurantes!$D$7*Hipótesis!$D$13*Hipótesis!$C$26,T175)*T173</f>
        <v>72</v>
      </c>
      <c r="U176" s="27" t="n">
        <f aca="false">MIN(Restaurantes!$D$7*Hipótesis!$D$13*Hipótesis!$C$26,U175)*U173</f>
        <v>76</v>
      </c>
      <c r="V176" s="27" t="n">
        <f aca="false">MIN(Restaurantes!$D$7*Hipótesis!$D$13*Hipótesis!$C$26,V175)*V173</f>
        <v>80</v>
      </c>
      <c r="W176" s="27" t="n">
        <f aca="false">MIN(Restaurantes!$D$7*Hipótesis!$D$13*Hipótesis!$C$26,W175)*W173</f>
        <v>84</v>
      </c>
      <c r="X176" s="27" t="n">
        <f aca="false">MIN(Restaurantes!$D$7*Hipótesis!$D$13*Hipótesis!$C$26,X175)*X173</f>
        <v>88</v>
      </c>
      <c r="Y176" s="27" t="n">
        <f aca="false">MIN(Restaurantes!$D$7*Hipótesis!$D$13*Hipótesis!$C$26,Y175)*Y173</f>
        <v>92</v>
      </c>
      <c r="Z176" s="27" t="n">
        <f aca="false">MIN(Restaurantes!$D$7*Hipótesis!$D$13*Hipótesis!$C$26,Z175)*Z173</f>
        <v>96</v>
      </c>
      <c r="AA176" s="27" t="n">
        <f aca="false">MIN(Restaurantes!$D$7*Hipótesis!$D$13*Hipótesis!$C$26,AA175)*AA173</f>
        <v>100</v>
      </c>
      <c r="AB176" s="27" t="n">
        <f aca="false">MIN(Restaurantes!$D$7*Hipótesis!$D$13*Hipótesis!$C$26,AB175)*AB173</f>
        <v>104</v>
      </c>
      <c r="AC176" s="27" t="n">
        <f aca="false">MIN(Restaurantes!$D$7*Hipótesis!$D$13*Hipótesis!$C$26,AC175)*AC173</f>
        <v>108</v>
      </c>
      <c r="AD176" s="27" t="n">
        <f aca="false">MIN(Restaurantes!$D$7*Hipótesis!$D$13*Hipótesis!$C$26,AD175)*AD173</f>
        <v>112</v>
      </c>
      <c r="AE176" s="27" t="n">
        <f aca="false">MIN(Restaurantes!$D$7*Hipótesis!$D$13*Hipótesis!$C$26,AE175)*AE173</f>
        <v>116</v>
      </c>
      <c r="AF176" s="27" t="n">
        <f aca="false">MIN(Restaurantes!$D$7*Hipótesis!$D$13*Hipótesis!$C$26,AF175)*AF173</f>
        <v>120</v>
      </c>
      <c r="AG176" s="27" t="n">
        <f aca="false">MIN(Restaurantes!$D$7*Hipótesis!$D$13*Hipótesis!$C$26,AG175)*AG173</f>
        <v>124</v>
      </c>
      <c r="AH176" s="27" t="n">
        <f aca="false">MIN(Restaurantes!$D$7*Hipótesis!$D$13*Hipótesis!$C$26,AH175)*AH173</f>
        <v>128</v>
      </c>
      <c r="AI176" s="27" t="n">
        <f aca="false">MIN(Restaurantes!$D$7*Hipótesis!$D$13*Hipótesis!$C$26,AI175)*AI173</f>
        <v>132</v>
      </c>
      <c r="AJ176" s="27" t="n">
        <f aca="false">MIN(Restaurantes!$D$7*Hipótesis!$D$13*Hipótesis!$C$26,AJ175)*AJ173</f>
        <v>136</v>
      </c>
      <c r="AK176" s="27" t="n">
        <f aca="false">MIN(Restaurantes!$D$7*Hipótesis!$D$13*Hipótesis!$C$26,AK175)*AK173</f>
        <v>140</v>
      </c>
      <c r="AL176" s="27" t="n">
        <f aca="false">MIN(Restaurantes!$D$7*Hipótesis!$D$13*Hipótesis!$C$26,AL175)*AL173</f>
        <v>144</v>
      </c>
      <c r="AM176" s="27" t="n">
        <f aca="false">MIN(Restaurantes!$D$7*Hipótesis!$D$13*Hipótesis!$C$26,AM175)*AM173</f>
        <v>144</v>
      </c>
      <c r="AN176" s="27" t="n">
        <f aca="false">MIN(Restaurantes!$D$7*Hipótesis!$D$13*Hipótesis!$C$26,AN175)*AN173</f>
        <v>144</v>
      </c>
      <c r="AO176" s="27" t="n">
        <f aca="false">MIN(Restaurantes!$D$7*Hipótesis!$D$13*Hipótesis!$C$26,AO175)*AO173</f>
        <v>144</v>
      </c>
      <c r="AP176" s="27" t="n">
        <f aca="false">MIN(Restaurantes!$D$7*Hipótesis!$D$13*Hipótesis!$C$26,AP175)*AP173</f>
        <v>144</v>
      </c>
      <c r="AQ176" s="27" t="n">
        <f aca="false">MIN(Restaurantes!$D$7*Hipótesis!$D$13*Hipótesis!$C$26,AQ175)*AQ173</f>
        <v>144</v>
      </c>
      <c r="AR176" s="27" t="n">
        <f aca="false">MIN(Restaurantes!$D$7*Hipótesis!$D$13*Hipótesis!$C$26,AR175)*AR173</f>
        <v>144</v>
      </c>
      <c r="AS176" s="27" t="n">
        <f aca="false">MIN(Restaurantes!$D$7*Hipótesis!$D$13*Hipótesis!$C$26,AS175)*AS173</f>
        <v>144</v>
      </c>
      <c r="AT176" s="27" t="n">
        <f aca="false">MIN(Restaurantes!$D$7*Hipótesis!$D$13*Hipótesis!$C$26,AT175)*AT173</f>
        <v>144</v>
      </c>
      <c r="AU176" s="27" t="n">
        <f aca="false">MIN(Restaurantes!$D$7*Hipótesis!$D$13*Hipótesis!$C$26,AU175)*AU173</f>
        <v>144</v>
      </c>
      <c r="AV176" s="27" t="n">
        <f aca="false">MIN(Restaurantes!$D$7*Hipótesis!$D$13*Hipótesis!$C$26,AV175)*AV173</f>
        <v>144</v>
      </c>
      <c r="AW176" s="27" t="n">
        <f aca="false">MIN(Restaurantes!$D$7*Hipótesis!$D$13*Hipótesis!$C$26,AW175)*AW173</f>
        <v>144</v>
      </c>
      <c r="AX176" s="27" t="n">
        <f aca="false">MIN(Restaurantes!$D$7*Hipótesis!$D$13*Hipótesis!$C$26,AX175)*AX173</f>
        <v>144</v>
      </c>
      <c r="AY176" s="27" t="n">
        <f aca="false">MIN(Restaurantes!$D$7*Hipótesis!$D$13*Hipótesis!$C$26,AY175)*AY173</f>
        <v>144</v>
      </c>
      <c r="AZ176" s="27" t="n">
        <f aca="false">MIN(Restaurantes!$D$7*Hipótesis!$D$13*Hipótesis!$C$26,AZ175)*AZ173</f>
        <v>144</v>
      </c>
      <c r="BA176" s="27" t="n">
        <f aca="false">MIN(Restaurantes!$D$7*Hipótesis!$D$13*Hipótesis!$C$26,BA175)*BA173</f>
        <v>144</v>
      </c>
      <c r="BB176" s="27" t="n">
        <f aca="false">MIN(Restaurantes!$D$7*Hipótesis!$D$13*Hipótesis!$C$26,BB175)*BB173</f>
        <v>144</v>
      </c>
      <c r="BC176" s="27" t="n">
        <f aca="false">MIN(Restaurantes!$D$7*Hipótesis!$D$13*Hipótesis!$C$26,BC175)*BC173</f>
        <v>144</v>
      </c>
      <c r="BD176" s="27" t="n">
        <f aca="false">MIN(Restaurantes!$D$7*Hipótesis!$D$13*Hipótesis!$C$26,BD175)*BD173</f>
        <v>144</v>
      </c>
      <c r="BE176" s="27" t="n">
        <f aca="false">MIN(Restaurantes!$D$7*Hipótesis!$D$13*Hipótesis!$C$26,BE175)*BE173</f>
        <v>144</v>
      </c>
      <c r="BF176" s="27" t="n">
        <f aca="false">MIN(Restaurantes!$D$7*Hipótesis!$D$13*Hipótesis!$C$26,BF175)*BF173</f>
        <v>144</v>
      </c>
      <c r="BG176" s="27" t="n">
        <f aca="false">MIN(Restaurantes!$D$7*Hipótesis!$D$13*Hipótesis!$C$26,BG175)*BG173</f>
        <v>144</v>
      </c>
      <c r="BH176" s="27" t="n">
        <f aca="false">MIN(Restaurantes!$D$7*Hipótesis!$D$13*Hipótesis!$C$26,BH175)*BH173</f>
        <v>144</v>
      </c>
      <c r="BI176" s="27" t="n">
        <f aca="false">MIN(Restaurantes!$D$7*Hipótesis!$D$13*Hipótesis!$C$26,BI175)*BI173</f>
        <v>144</v>
      </c>
      <c r="BJ176" s="27" t="n">
        <f aca="false">MIN(Restaurantes!$D$7*Hipótesis!$D$13*Hipótesis!$C$26,BJ175)*BJ173</f>
        <v>144</v>
      </c>
      <c r="BK176" s="27" t="n">
        <f aca="false">MIN(Restaurantes!$D$7*Hipótesis!$D$13*Hipótesis!$C$26,BK175)*BK173</f>
        <v>144</v>
      </c>
      <c r="BL176" s="27" t="n">
        <f aca="false">MIN(Restaurantes!$D$7*Hipótesis!$D$13*Hipótesis!$C$26,BL175)*BL173</f>
        <v>144</v>
      </c>
      <c r="BM176" s="27" t="n">
        <f aca="false">MIN(Restaurantes!$D$7*Hipótesis!$D$13*Hipótesis!$C$26,BM175)*BM173</f>
        <v>144</v>
      </c>
      <c r="BN176" s="27" t="n">
        <f aca="false">MIN(Restaurantes!$D$7*Hipótesis!$D$13*Hipótesis!$C$26,BN175)*BN173</f>
        <v>144</v>
      </c>
      <c r="BO176" s="27" t="n">
        <f aca="false">MIN(Restaurantes!$D$7*Hipótesis!$D$13*Hipótesis!$C$26,BO175)*BO173</f>
        <v>144</v>
      </c>
      <c r="BP176" s="27" t="n">
        <f aca="false">MIN(Restaurantes!$D$7*Hipótesis!$D$13*Hipótesis!$C$26,BP175)*BP173</f>
        <v>144</v>
      </c>
      <c r="BQ176" s="27" t="n">
        <f aca="false">MIN(Restaurantes!$D$7*Hipótesis!$D$13*Hipótesis!$C$26,BQ175)*BQ173</f>
        <v>144</v>
      </c>
      <c r="BR176" s="27" t="n">
        <f aca="false">MIN(Restaurantes!$D$7*Hipótesis!$D$13*Hipótesis!$C$26,BR175)*BR173</f>
        <v>144</v>
      </c>
      <c r="BS176" s="27" t="n">
        <f aca="false">MIN(Restaurantes!$D$7*Hipótesis!$D$13*Hipótesis!$C$26,BS175)*BS173</f>
        <v>144</v>
      </c>
      <c r="BT176" s="27" t="n">
        <f aca="false">MIN(Restaurantes!$D$7*Hipótesis!$D$13*Hipótesis!$C$26,BT175)*BT173</f>
        <v>144</v>
      </c>
      <c r="BU176" s="27" t="n">
        <f aca="false">MIN(Restaurantes!$D$7*Hipótesis!$D$13*Hipótesis!$C$26,BU175)*BU173</f>
        <v>144</v>
      </c>
      <c r="BV176" s="27" t="n">
        <f aca="false">MIN(Restaurantes!$D$7*Hipótesis!$D$13*Hipótesis!$C$26,BV175)*BV173</f>
        <v>144</v>
      </c>
      <c r="BW176" s="27" t="n">
        <f aca="false">MIN(Restaurantes!$D$7*Hipótesis!$D$13*Hipótesis!$C$26,BW175)*BW173</f>
        <v>144</v>
      </c>
      <c r="BX176" s="27" t="n">
        <f aca="false">MIN(Restaurantes!$D$7*Hipótesis!$D$13*Hipótesis!$C$26,BX175)*BX173</f>
        <v>144</v>
      </c>
      <c r="BY176" s="27" t="n">
        <f aca="false">MIN(Restaurantes!$D$7*Hipótesis!$D$13*Hipótesis!$C$26,BY175)*BY173</f>
        <v>144</v>
      </c>
      <c r="BZ176" s="27" t="n">
        <f aca="false">MIN(Restaurantes!$D$7*Hipótesis!$D$13*Hipótesis!$C$26,BZ175)*BZ173</f>
        <v>144</v>
      </c>
      <c r="CA176" s="27" t="n">
        <f aca="false">MIN(Restaurantes!$D$7*Hipótesis!$D$13*Hipótesis!$C$26,CA175)*CA173</f>
        <v>144</v>
      </c>
      <c r="CB176" s="27" t="n">
        <f aca="false">MIN(Restaurantes!$D$7*Hipótesis!$D$13*Hipótesis!$C$26,CB175)*CB173</f>
        <v>144</v>
      </c>
      <c r="CC176" s="27" t="n">
        <f aca="false">MIN(Restaurantes!$D$7*Hipótesis!$D$13*Hipótesis!$C$26,CC175)*CC173</f>
        <v>144</v>
      </c>
      <c r="CD176" s="27" t="n">
        <f aca="false">MIN(Restaurantes!$D$7*Hipótesis!$D$13*Hipótesis!$C$26,CD175)*CD173</f>
        <v>144</v>
      </c>
      <c r="CE176" s="27" t="n">
        <f aca="false">MIN(Restaurantes!$D$7*Hipótesis!$D$13*Hipótesis!$C$26,CE175)*CE173</f>
        <v>144</v>
      </c>
      <c r="CF176" s="27" t="n">
        <f aca="false">MIN(Restaurantes!$D$7*Hipótesis!$D$13*Hipótesis!$C$26,CF175)*CF173</f>
        <v>144</v>
      </c>
      <c r="CG176" s="27" t="n">
        <f aca="false">MIN(Restaurantes!$D$7*Hipótesis!$D$13*Hipótesis!$C$26,CG175)*CG173</f>
        <v>144</v>
      </c>
      <c r="CH176" s="27" t="n">
        <f aca="false">MIN(Restaurantes!$D$7*Hipótesis!$D$13*Hipótesis!$C$26,CH175)*CH173</f>
        <v>144</v>
      </c>
    </row>
    <row r="177" customFormat="false" ht="15" hidden="false" customHeight="false" outlineLevel="0" collapsed="false">
      <c r="A177" s="1" t="s">
        <v>838</v>
      </c>
      <c r="C177" s="27" t="n">
        <f aca="false">MIN(C176,MAX(0,C8-C174))</f>
        <v>4</v>
      </c>
      <c r="D177" s="27" t="n">
        <f aca="false">MIN(D176,MAX(0,D8-D174))</f>
        <v>8</v>
      </c>
      <c r="E177" s="27" t="n">
        <f aca="false">MIN(E176,MAX(0,E8-E174))</f>
        <v>12</v>
      </c>
      <c r="F177" s="27" t="n">
        <f aca="false">MIN(F176,MAX(0,F8-F174))</f>
        <v>16</v>
      </c>
      <c r="G177" s="27" t="n">
        <f aca="false">MIN(G176,MAX(0,G8-G174))</f>
        <v>20</v>
      </c>
      <c r="H177" s="27" t="n">
        <f aca="false">MIN(H176,MAX(0,H8-H174))</f>
        <v>24</v>
      </c>
      <c r="I177" s="27" t="n">
        <f aca="false">MIN(I176,MAX(0,I8-I174))</f>
        <v>28</v>
      </c>
      <c r="J177" s="27" t="n">
        <f aca="false">MIN(J176,MAX(0,J8-J174))</f>
        <v>32</v>
      </c>
      <c r="K177" s="27" t="n">
        <f aca="false">MIN(K176,MAX(0,K8-K174))</f>
        <v>36</v>
      </c>
      <c r="L177" s="27" t="n">
        <f aca="false">MIN(L176,MAX(0,L8-L174))</f>
        <v>40</v>
      </c>
      <c r="M177" s="27" t="n">
        <f aca="false">MIN(M176,MAX(0,M8-M174))</f>
        <v>44</v>
      </c>
      <c r="N177" s="27" t="n">
        <f aca="false">MIN(N176,MAX(0,N8-N174))</f>
        <v>48</v>
      </c>
      <c r="O177" s="27" t="n">
        <f aca="false">MIN(O176,MAX(0,O8-O174))</f>
        <v>52</v>
      </c>
      <c r="P177" s="27" t="n">
        <f aca="false">MIN(P176,MAX(0,P8-P174))</f>
        <v>56</v>
      </c>
      <c r="Q177" s="27" t="n">
        <f aca="false">MIN(Q176,MAX(0,Q8-Q174))</f>
        <v>60</v>
      </c>
      <c r="R177" s="27" t="n">
        <f aca="false">MIN(R176,MAX(0,R8-R174))</f>
        <v>64</v>
      </c>
      <c r="S177" s="27" t="n">
        <f aca="false">MIN(S176,MAX(0,S8-S174))</f>
        <v>68</v>
      </c>
      <c r="T177" s="27" t="n">
        <f aca="false">MIN(T176,MAX(0,T8-T174))</f>
        <v>72</v>
      </c>
      <c r="U177" s="27" t="n">
        <f aca="false">MIN(U176,MAX(0,U8-U174))</f>
        <v>76</v>
      </c>
      <c r="V177" s="27" t="n">
        <f aca="false">MIN(V176,MAX(0,V8-V174))</f>
        <v>80</v>
      </c>
      <c r="W177" s="27" t="n">
        <f aca="false">MIN(W176,MAX(0,W8-W174))</f>
        <v>84</v>
      </c>
      <c r="X177" s="27" t="n">
        <f aca="false">MIN(X176,MAX(0,X8-X174))</f>
        <v>88</v>
      </c>
      <c r="Y177" s="27" t="n">
        <f aca="false">MIN(Y176,MAX(0,Y8-Y174))</f>
        <v>92</v>
      </c>
      <c r="Z177" s="27" t="n">
        <f aca="false">MIN(Z176,MAX(0,Z8-Z174))</f>
        <v>96</v>
      </c>
      <c r="AA177" s="27" t="n">
        <f aca="false">MIN(AA176,MAX(0,AA8-AA174))</f>
        <v>100</v>
      </c>
      <c r="AB177" s="27" t="n">
        <f aca="false">MIN(AB176,MAX(0,AB8-AB174))</f>
        <v>104</v>
      </c>
      <c r="AC177" s="27" t="n">
        <f aca="false">MIN(AC176,MAX(0,AC8-AC174))</f>
        <v>108</v>
      </c>
      <c r="AD177" s="27" t="n">
        <f aca="false">MIN(AD176,MAX(0,AD8-AD174))</f>
        <v>112</v>
      </c>
      <c r="AE177" s="27" t="n">
        <f aca="false">MIN(AE176,MAX(0,AE8-AE174))</f>
        <v>116</v>
      </c>
      <c r="AF177" s="27" t="n">
        <f aca="false">MIN(AF176,MAX(0,AF8-AF174))</f>
        <v>120</v>
      </c>
      <c r="AG177" s="27" t="n">
        <f aca="false">MIN(AG176,MAX(0,AG8-AG174))</f>
        <v>124</v>
      </c>
      <c r="AH177" s="27" t="n">
        <f aca="false">MIN(AH176,MAX(0,AH8-AH174))</f>
        <v>128</v>
      </c>
      <c r="AI177" s="27" t="n">
        <f aca="false">MIN(AI176,MAX(0,AI8-AI174))</f>
        <v>132</v>
      </c>
      <c r="AJ177" s="27" t="n">
        <f aca="false">MIN(AJ176,MAX(0,AJ8-AJ174))</f>
        <v>136</v>
      </c>
      <c r="AK177" s="27" t="n">
        <f aca="false">MIN(AK176,MAX(0,AK8-AK174))</f>
        <v>140</v>
      </c>
      <c r="AL177" s="27" t="n">
        <f aca="false">MIN(AL176,MAX(0,AL8-AL174))</f>
        <v>144</v>
      </c>
      <c r="AM177" s="27" t="n">
        <f aca="false">MIN(AM176,MAX(0,AM8-AM174))</f>
        <v>144</v>
      </c>
      <c r="AN177" s="27" t="n">
        <f aca="false">MIN(AN176,MAX(0,AN8-AN174))</f>
        <v>144</v>
      </c>
      <c r="AO177" s="27" t="n">
        <f aca="false">MIN(AO176,MAX(0,AO8-AO174))</f>
        <v>144</v>
      </c>
      <c r="AP177" s="27" t="n">
        <f aca="false">MIN(AP176,MAX(0,AP8-AP174))</f>
        <v>144</v>
      </c>
      <c r="AQ177" s="27" t="n">
        <f aca="false">MIN(AQ176,MAX(0,AQ8-AQ174))</f>
        <v>144</v>
      </c>
      <c r="AR177" s="27" t="n">
        <f aca="false">MIN(AR176,MAX(0,AR8-AR174))</f>
        <v>144</v>
      </c>
      <c r="AS177" s="27" t="n">
        <f aca="false">MIN(AS176,MAX(0,AS8-AS174))</f>
        <v>144</v>
      </c>
      <c r="AT177" s="27" t="n">
        <f aca="false">MIN(AT176,MAX(0,AT8-AT174))</f>
        <v>144</v>
      </c>
      <c r="AU177" s="27" t="n">
        <f aca="false">MIN(AU176,MAX(0,AU8-AU174))</f>
        <v>144</v>
      </c>
      <c r="AV177" s="27" t="n">
        <f aca="false">MIN(AV176,MAX(0,AV8-AV174))</f>
        <v>144</v>
      </c>
      <c r="AW177" s="27" t="n">
        <f aca="false">MIN(AW176,MAX(0,AW8-AW174))</f>
        <v>144</v>
      </c>
      <c r="AX177" s="27" t="n">
        <f aca="false">MIN(AX176,MAX(0,AX8-AX174))</f>
        <v>144</v>
      </c>
      <c r="AY177" s="27" t="n">
        <f aca="false">MIN(AY176,MAX(0,AY8-AY174))</f>
        <v>144</v>
      </c>
      <c r="AZ177" s="27" t="n">
        <f aca="false">MIN(AZ176,MAX(0,AZ8-AZ174))</f>
        <v>144</v>
      </c>
      <c r="BA177" s="27" t="n">
        <f aca="false">MIN(BA176,MAX(0,BA8-BA174))</f>
        <v>144</v>
      </c>
      <c r="BB177" s="27" t="n">
        <f aca="false">MIN(BB176,MAX(0,BB8-BB174))</f>
        <v>144</v>
      </c>
      <c r="BC177" s="27" t="n">
        <f aca="false">MIN(BC176,MAX(0,BC8-BC174))</f>
        <v>144</v>
      </c>
      <c r="BD177" s="27" t="n">
        <f aca="false">MIN(BD176,MAX(0,BD8-BD174))</f>
        <v>144</v>
      </c>
      <c r="BE177" s="27" t="n">
        <f aca="false">MIN(BE176,MAX(0,BE8-BE174))</f>
        <v>144</v>
      </c>
      <c r="BF177" s="27" t="n">
        <f aca="false">MIN(BF176,MAX(0,BF8-BF174))</f>
        <v>144</v>
      </c>
      <c r="BG177" s="27" t="n">
        <f aca="false">MIN(BG176,MAX(0,BG8-BG174))</f>
        <v>144</v>
      </c>
      <c r="BH177" s="27" t="n">
        <f aca="false">MIN(BH176,MAX(0,BH8-BH174))</f>
        <v>144</v>
      </c>
      <c r="BI177" s="27" t="n">
        <f aca="false">MIN(BI176,MAX(0,BI8-BI174))</f>
        <v>144</v>
      </c>
      <c r="BJ177" s="27" t="n">
        <f aca="false">MIN(BJ176,MAX(0,BJ8-BJ174))</f>
        <v>144</v>
      </c>
      <c r="BK177" s="27" t="n">
        <f aca="false">MIN(BK176,MAX(0,BK8-BK174))</f>
        <v>144</v>
      </c>
      <c r="BL177" s="27" t="n">
        <f aca="false">MIN(BL176,MAX(0,BL8-BL174))</f>
        <v>144</v>
      </c>
      <c r="BM177" s="27" t="n">
        <f aca="false">MIN(BM176,MAX(0,BM8-BM174))</f>
        <v>144</v>
      </c>
      <c r="BN177" s="27" t="n">
        <f aca="false">MIN(BN176,MAX(0,BN8-BN174))</f>
        <v>144</v>
      </c>
      <c r="BO177" s="27" t="n">
        <f aca="false">MIN(BO176,MAX(0,BO8-BO174))</f>
        <v>144</v>
      </c>
      <c r="BP177" s="27" t="n">
        <f aca="false">MIN(BP176,MAX(0,BP8-BP174))</f>
        <v>144</v>
      </c>
      <c r="BQ177" s="27" t="n">
        <f aca="false">MIN(BQ176,MAX(0,BQ8-BQ174))</f>
        <v>144</v>
      </c>
      <c r="BR177" s="27" t="n">
        <f aca="false">MIN(BR176,MAX(0,BR8-BR174))</f>
        <v>144</v>
      </c>
      <c r="BS177" s="27" t="n">
        <f aca="false">MIN(BS176,MAX(0,BS8-BS174))</f>
        <v>144</v>
      </c>
      <c r="BT177" s="27" t="n">
        <f aca="false">MIN(BT176,MAX(0,BT8-BT174))</f>
        <v>144</v>
      </c>
      <c r="BU177" s="27" t="n">
        <f aca="false">MIN(BU176,MAX(0,BU8-BU174))</f>
        <v>144</v>
      </c>
      <c r="BV177" s="27" t="n">
        <f aca="false">MIN(BV176,MAX(0,BV8-BV174))</f>
        <v>144</v>
      </c>
      <c r="BW177" s="27" t="n">
        <f aca="false">MIN(BW176,MAX(0,BW8-BW174))</f>
        <v>144</v>
      </c>
      <c r="BX177" s="27" t="n">
        <f aca="false">MIN(BX176,MAX(0,BX8-BX174))</f>
        <v>144</v>
      </c>
      <c r="BY177" s="27" t="n">
        <f aca="false">MIN(BY176,MAX(0,BY8-BY174))</f>
        <v>144</v>
      </c>
      <c r="BZ177" s="27" t="n">
        <f aca="false">MIN(BZ176,MAX(0,BZ8-BZ174))</f>
        <v>144</v>
      </c>
      <c r="CA177" s="27" t="n">
        <f aca="false">MIN(CA176,MAX(0,CA8-CA174))</f>
        <v>144</v>
      </c>
      <c r="CB177" s="27" t="n">
        <f aca="false">MIN(CB176,MAX(0,CB8-CB174))</f>
        <v>144</v>
      </c>
      <c r="CC177" s="27" t="n">
        <f aca="false">MIN(CC176,MAX(0,CC8-CC174))</f>
        <v>144</v>
      </c>
      <c r="CD177" s="27" t="n">
        <f aca="false">MIN(CD176,MAX(0,CD8-CD174))</f>
        <v>144</v>
      </c>
      <c r="CE177" s="27" t="n">
        <f aca="false">MIN(CE176,MAX(0,CE8-CE174))</f>
        <v>144</v>
      </c>
      <c r="CF177" s="27" t="n">
        <f aca="false">MIN(CF176,MAX(0,CF8-CF174))</f>
        <v>144</v>
      </c>
      <c r="CG177" s="27" t="n">
        <f aca="false">MIN(CG176,MAX(0,CG8-CG174))</f>
        <v>144</v>
      </c>
      <c r="CH177" s="27" t="n">
        <f aca="false">MIN(CH176,MAX(0,CH8-CH174))</f>
        <v>144</v>
      </c>
    </row>
    <row r="178" customFormat="false" ht="15" hidden="false" customHeight="false" outlineLevel="0" collapsed="false">
      <c r="A178" s="25" t="s">
        <v>839</v>
      </c>
      <c r="C178" s="155" t="n">
        <f aca="false">C177*C172</f>
        <v>4</v>
      </c>
      <c r="D178" s="155" t="n">
        <f aca="false">D177*D172</f>
        <v>8</v>
      </c>
      <c r="E178" s="155" t="n">
        <f aca="false">E177*E172</f>
        <v>12</v>
      </c>
      <c r="F178" s="155" t="n">
        <f aca="false">F177*F172</f>
        <v>16</v>
      </c>
      <c r="G178" s="155" t="n">
        <f aca="false">G177*G172</f>
        <v>3</v>
      </c>
      <c r="H178" s="155" t="n">
        <f aca="false">H177*H172</f>
        <v>24</v>
      </c>
      <c r="I178" s="155" t="n">
        <f aca="false">I177*I172</f>
        <v>28</v>
      </c>
      <c r="J178" s="155" t="n">
        <f aca="false">J177*J172</f>
        <v>32</v>
      </c>
      <c r="K178" s="155" t="n">
        <f aca="false">K177*K172</f>
        <v>36</v>
      </c>
      <c r="L178" s="155" t="n">
        <f aca="false">L177*L172</f>
        <v>40</v>
      </c>
      <c r="M178" s="155" t="n">
        <f aca="false">M177*M172</f>
        <v>44</v>
      </c>
      <c r="N178" s="155" t="n">
        <f aca="false">N177*N172</f>
        <v>48</v>
      </c>
      <c r="O178" s="155" t="n">
        <f aca="false">O177*O172</f>
        <v>52</v>
      </c>
      <c r="P178" s="155" t="n">
        <f aca="false">P177*P172</f>
        <v>56</v>
      </c>
      <c r="Q178" s="155" t="n">
        <f aca="false">Q177*Q172</f>
        <v>60</v>
      </c>
      <c r="R178" s="155" t="n">
        <f aca="false">R177*R172</f>
        <v>64</v>
      </c>
      <c r="S178" s="155" t="n">
        <f aca="false">S177*S172</f>
        <v>10.2</v>
      </c>
      <c r="T178" s="155" t="n">
        <f aca="false">T177*T172</f>
        <v>72</v>
      </c>
      <c r="U178" s="155" t="n">
        <f aca="false">U177*U172</f>
        <v>76</v>
      </c>
      <c r="V178" s="155" t="n">
        <f aca="false">V177*V172</f>
        <v>80</v>
      </c>
      <c r="W178" s="155" t="n">
        <f aca="false">W177*W172</f>
        <v>84</v>
      </c>
      <c r="X178" s="155" t="n">
        <f aca="false">X177*X172</f>
        <v>88</v>
      </c>
      <c r="Y178" s="155" t="n">
        <f aca="false">Y177*Y172</f>
        <v>92</v>
      </c>
      <c r="Z178" s="155" t="n">
        <f aca="false">Z177*Z172</f>
        <v>96</v>
      </c>
      <c r="AA178" s="155" t="n">
        <f aca="false">AA177*AA172</f>
        <v>100</v>
      </c>
      <c r="AB178" s="155" t="n">
        <f aca="false">AB177*AB172</f>
        <v>104</v>
      </c>
      <c r="AC178" s="155" t="n">
        <f aca="false">AC177*AC172</f>
        <v>108</v>
      </c>
      <c r="AD178" s="155" t="n">
        <f aca="false">AD177*AD172</f>
        <v>112</v>
      </c>
      <c r="AE178" s="155" t="n">
        <f aca="false">AE177*AE172</f>
        <v>17.4</v>
      </c>
      <c r="AF178" s="155" t="n">
        <f aca="false">AF177*AF172</f>
        <v>120</v>
      </c>
      <c r="AG178" s="155" t="n">
        <f aca="false">AG177*AG172</f>
        <v>124</v>
      </c>
      <c r="AH178" s="155" t="n">
        <f aca="false">AH177*AH172</f>
        <v>128</v>
      </c>
      <c r="AI178" s="155" t="n">
        <f aca="false">AI177*AI172</f>
        <v>132</v>
      </c>
      <c r="AJ178" s="155" t="n">
        <f aca="false">AJ177*AJ172</f>
        <v>136</v>
      </c>
      <c r="AK178" s="155" t="n">
        <f aca="false">AK177*AK172</f>
        <v>140</v>
      </c>
      <c r="AL178" s="155" t="n">
        <f aca="false">AL177*AL172</f>
        <v>144</v>
      </c>
      <c r="AM178" s="155" t="n">
        <f aca="false">AM177*AM172</f>
        <v>144</v>
      </c>
      <c r="AN178" s="155" t="n">
        <f aca="false">AN177*AN172</f>
        <v>144</v>
      </c>
      <c r="AO178" s="155" t="n">
        <f aca="false">AO177*AO172</f>
        <v>144</v>
      </c>
      <c r="AP178" s="155" t="n">
        <f aca="false">AP177*AP172</f>
        <v>144</v>
      </c>
      <c r="AQ178" s="155" t="n">
        <f aca="false">AQ177*AQ172</f>
        <v>21.6</v>
      </c>
      <c r="AR178" s="155" t="n">
        <f aca="false">AR177*AR172</f>
        <v>144</v>
      </c>
      <c r="AS178" s="155" t="n">
        <f aca="false">AS177*AS172</f>
        <v>144</v>
      </c>
      <c r="AT178" s="155" t="n">
        <f aca="false">AT177*AT172</f>
        <v>144</v>
      </c>
      <c r="AU178" s="155" t="n">
        <f aca="false">AU177*AU172</f>
        <v>144</v>
      </c>
      <c r="AV178" s="155" t="n">
        <f aca="false">AV177*AV172</f>
        <v>144</v>
      </c>
      <c r="AW178" s="155" t="n">
        <f aca="false">AW177*AW172</f>
        <v>144</v>
      </c>
      <c r="AX178" s="155" t="n">
        <f aca="false">AX177*AX172</f>
        <v>144</v>
      </c>
      <c r="AY178" s="155" t="n">
        <f aca="false">AY177*AY172</f>
        <v>144</v>
      </c>
      <c r="AZ178" s="155" t="n">
        <f aca="false">AZ177*AZ172</f>
        <v>144</v>
      </c>
      <c r="BA178" s="155" t="n">
        <f aca="false">BA177*BA172</f>
        <v>144</v>
      </c>
      <c r="BB178" s="155" t="n">
        <f aca="false">BB177*BB172</f>
        <v>144</v>
      </c>
      <c r="BC178" s="155" t="n">
        <f aca="false">BC177*BC172</f>
        <v>21.6</v>
      </c>
      <c r="BD178" s="155" t="n">
        <f aca="false">BD177*BD172</f>
        <v>144</v>
      </c>
      <c r="BE178" s="155" t="n">
        <f aca="false">BE177*BE172</f>
        <v>144</v>
      </c>
      <c r="BF178" s="155" t="n">
        <f aca="false">BF177*BF172</f>
        <v>144</v>
      </c>
      <c r="BG178" s="155" t="n">
        <f aca="false">BG177*BG172</f>
        <v>144</v>
      </c>
      <c r="BH178" s="155" t="n">
        <f aca="false">BH177*BH172</f>
        <v>144</v>
      </c>
      <c r="BI178" s="155" t="n">
        <f aca="false">BI177*BI172</f>
        <v>144</v>
      </c>
      <c r="BJ178" s="155" t="n">
        <f aca="false">BJ177*BJ172</f>
        <v>144</v>
      </c>
      <c r="BK178" s="155" t="n">
        <f aca="false">BK177*BK172</f>
        <v>144</v>
      </c>
      <c r="BL178" s="155" t="n">
        <f aca="false">BL177*BL172</f>
        <v>144</v>
      </c>
      <c r="BM178" s="155" t="n">
        <f aca="false">BM177*BM172</f>
        <v>144</v>
      </c>
      <c r="BN178" s="155" t="n">
        <f aca="false">BN177*BN172</f>
        <v>144</v>
      </c>
      <c r="BO178" s="155" t="n">
        <f aca="false">BO177*BO172</f>
        <v>21.6</v>
      </c>
      <c r="BP178" s="155" t="n">
        <f aca="false">BP177*BP172</f>
        <v>144</v>
      </c>
      <c r="BQ178" s="155" t="n">
        <f aca="false">BQ177*BQ172</f>
        <v>144</v>
      </c>
      <c r="BR178" s="155" t="n">
        <f aca="false">BR177*BR172</f>
        <v>144</v>
      </c>
      <c r="BS178" s="155" t="n">
        <f aca="false">BS177*BS172</f>
        <v>144</v>
      </c>
      <c r="BT178" s="155" t="n">
        <f aca="false">BT177*BT172</f>
        <v>144</v>
      </c>
      <c r="BU178" s="155" t="n">
        <f aca="false">BU177*BU172</f>
        <v>144</v>
      </c>
      <c r="BV178" s="155" t="n">
        <f aca="false">BV177*BV172</f>
        <v>144</v>
      </c>
      <c r="BW178" s="155" t="n">
        <f aca="false">BW177*BW172</f>
        <v>144</v>
      </c>
      <c r="BX178" s="155" t="n">
        <f aca="false">BX177*BX172</f>
        <v>144</v>
      </c>
      <c r="BY178" s="155" t="n">
        <f aca="false">BY177*BY172</f>
        <v>144</v>
      </c>
      <c r="BZ178" s="155" t="n">
        <f aca="false">BZ177*BZ172</f>
        <v>144</v>
      </c>
      <c r="CA178" s="155" t="n">
        <f aca="false">CA177*CA172</f>
        <v>21.6</v>
      </c>
      <c r="CB178" s="155" t="n">
        <f aca="false">CB177*CB172</f>
        <v>144</v>
      </c>
      <c r="CC178" s="155" t="n">
        <f aca="false">CC177*CC172</f>
        <v>144</v>
      </c>
      <c r="CD178" s="155" t="n">
        <f aca="false">CD177*CD172</f>
        <v>144</v>
      </c>
      <c r="CE178" s="155" t="n">
        <f aca="false">CE177*CE172</f>
        <v>144</v>
      </c>
      <c r="CF178" s="155" t="n">
        <f aca="false">CF177*CF172</f>
        <v>144</v>
      </c>
      <c r="CG178" s="155" t="n">
        <f aca="false">CG177*CG172</f>
        <v>144</v>
      </c>
      <c r="CH178" s="155" t="n">
        <f aca="false">CH177*CH172</f>
        <v>144</v>
      </c>
    </row>
    <row r="179" customFormat="false" ht="15" hidden="false" customHeight="false" outlineLevel="0" collapsed="false">
      <c r="A179" s="25" t="s">
        <v>840</v>
      </c>
      <c r="C179" s="155" t="n">
        <f aca="false">C174+C23</f>
        <v>41.6958475068843</v>
      </c>
      <c r="D179" s="155" t="n">
        <f aca="false">D174+D23</f>
        <v>85.4214624133963</v>
      </c>
      <c r="E179" s="155" t="n">
        <f aca="false">E174+E23</f>
        <v>162.499898070454</v>
      </c>
      <c r="F179" s="155" t="n">
        <f aca="false">F174+F23</f>
        <v>197.882486220627</v>
      </c>
      <c r="G179" s="155" t="n">
        <f aca="false">G174+G23</f>
        <v>231.235306971172</v>
      </c>
      <c r="H179" s="155" t="n">
        <f aca="false">H174+H23</f>
        <v>287.845879175785</v>
      </c>
      <c r="I179" s="155" t="n">
        <f aca="false">I174+I23</f>
        <v>360.456451380398</v>
      </c>
      <c r="J179" s="155" t="n">
        <f aca="false">J174+J23</f>
        <v>457.067023585011</v>
      </c>
      <c r="K179" s="155" t="n">
        <f aca="false">K174+K23</f>
        <v>553.677595789624</v>
      </c>
      <c r="L179" s="155" t="n">
        <f aca="false">L174+L23</f>
        <v>650.288167994237</v>
      </c>
      <c r="M179" s="155" t="n">
        <f aca="false">M174+M23</f>
        <v>713.545919448304</v>
      </c>
      <c r="N179" s="155" t="n">
        <f aca="false">N174+N23</f>
        <v>810.633127562834</v>
      </c>
      <c r="O179" s="155" t="n">
        <f aca="false">O174+O23</f>
        <v>907.720335677363</v>
      </c>
      <c r="P179" s="155" t="n">
        <f aca="false">P174+P23</f>
        <v>995.08157500201</v>
      </c>
      <c r="Q179" s="155" t="n">
        <f aca="false">Q174+Q23</f>
        <v>1082.44281432666</v>
      </c>
      <c r="R179" s="155" t="n">
        <f aca="false">R174+R23</f>
        <v>1169.8040536513</v>
      </c>
      <c r="S179" s="155" t="n">
        <f aca="false">S174+S23</f>
        <v>1257.16529297595</v>
      </c>
      <c r="T179" s="155" t="n">
        <f aca="false">T174+T23</f>
        <v>1344.5265323006</v>
      </c>
      <c r="U179" s="155" t="n">
        <f aca="false">U174+U23</f>
        <v>1431.88777162524</v>
      </c>
      <c r="V179" s="155" t="n">
        <f aca="false">V174+V23</f>
        <v>1519.24901094989</v>
      </c>
      <c r="W179" s="155" t="n">
        <f aca="false">W174+W23</f>
        <v>1606.61025027454</v>
      </c>
      <c r="X179" s="155" t="n">
        <f aca="false">X174+X23</f>
        <v>1660.14203293872</v>
      </c>
      <c r="Y179" s="155" t="n">
        <f aca="false">Y174+Y23</f>
        <v>1713.67381560291</v>
      </c>
      <c r="Z179" s="155" t="n">
        <f aca="false">Z174+Z23</f>
        <v>1753.67381560291</v>
      </c>
      <c r="AA179" s="155" t="n">
        <f aca="false">AA174+AA23</f>
        <v>1793.67381560291</v>
      </c>
      <c r="AB179" s="155" t="n">
        <f aca="false">AB174+AB23</f>
        <v>1833.67381560291</v>
      </c>
      <c r="AC179" s="155" t="n">
        <f aca="false">AC174+AC23</f>
        <v>1873.67381560291</v>
      </c>
      <c r="AD179" s="155" t="n">
        <f aca="false">AD174+AD23</f>
        <v>1913.67381560291</v>
      </c>
      <c r="AE179" s="155" t="n">
        <f aca="false">AE174+AE23</f>
        <v>1953.67381560291</v>
      </c>
      <c r="AF179" s="155" t="n">
        <f aca="false">AF174+AF23</f>
        <v>1993.67381560291</v>
      </c>
      <c r="AG179" s="155" t="n">
        <f aca="false">AG174+AG23</f>
        <v>2033.67381560291</v>
      </c>
      <c r="AH179" s="155" t="n">
        <f aca="false">AH174+AH23</f>
        <v>2073.67381560291</v>
      </c>
      <c r="AI179" s="155" t="n">
        <f aca="false">AI174+AI23</f>
        <v>2113.67381560291</v>
      </c>
      <c r="AJ179" s="155" t="n">
        <f aca="false">AJ174+AJ23</f>
        <v>2153.67381560291</v>
      </c>
      <c r="AK179" s="155" t="n">
        <f aca="false">AK174+AK23</f>
        <v>2193.67381560291</v>
      </c>
      <c r="AL179" s="155" t="n">
        <f aca="false">AL174+AL23</f>
        <v>2233.67381560291</v>
      </c>
      <c r="AM179" s="155" t="n">
        <f aca="false">AM174+AM23</f>
        <v>2277.67381560291</v>
      </c>
      <c r="AN179" s="155" t="n">
        <f aca="false">AN174+AN23</f>
        <v>2321.67381560291</v>
      </c>
      <c r="AO179" s="155" t="n">
        <f aca="false">AO174+AO23</f>
        <v>2365.67381560291</v>
      </c>
      <c r="AP179" s="155" t="n">
        <f aca="false">AP174+AP23</f>
        <v>2409.67381560291</v>
      </c>
      <c r="AQ179" s="155" t="n">
        <f aca="false">AQ174+AQ23</f>
        <v>2453.67381560291</v>
      </c>
      <c r="AR179" s="155" t="n">
        <f aca="false">AR174+AR23</f>
        <v>2497.67381560291</v>
      </c>
      <c r="AS179" s="155" t="n">
        <f aca="false">AS174+AS23</f>
        <v>2497.67381560291</v>
      </c>
      <c r="AT179" s="155" t="n">
        <f aca="false">AT174+AT23</f>
        <v>2497.67381560291</v>
      </c>
      <c r="AU179" s="155" t="n">
        <f aca="false">AU174+AU23</f>
        <v>2497.67381560291</v>
      </c>
      <c r="AV179" s="155" t="n">
        <f aca="false">AV174+AV23</f>
        <v>2497.67381560291</v>
      </c>
      <c r="AW179" s="155" t="n">
        <f aca="false">AW174+AW23</f>
        <v>2497.67381560291</v>
      </c>
      <c r="AX179" s="155" t="n">
        <f aca="false">AX174+AX23</f>
        <v>2497.67381560291</v>
      </c>
      <c r="AY179" s="155" t="n">
        <f aca="false">AY174+AY23</f>
        <v>2497.67381560291</v>
      </c>
      <c r="AZ179" s="155" t="n">
        <f aca="false">AZ174+AZ23</f>
        <v>2497.67381560291</v>
      </c>
      <c r="BA179" s="155" t="n">
        <f aca="false">BA174+BA23</f>
        <v>2497.67381560291</v>
      </c>
      <c r="BB179" s="155" t="n">
        <f aca="false">BB174+BB23</f>
        <v>2497.67381560291</v>
      </c>
      <c r="BC179" s="155" t="n">
        <f aca="false">BC174+BC23</f>
        <v>2497.67381560291</v>
      </c>
      <c r="BD179" s="155" t="n">
        <f aca="false">BD174+BD23</f>
        <v>2497.67381560291</v>
      </c>
      <c r="BE179" s="155" t="n">
        <f aca="false">BE174+BE23</f>
        <v>2497.67381560291</v>
      </c>
      <c r="BF179" s="155" t="n">
        <f aca="false">BF174+BF23</f>
        <v>2497.67381560291</v>
      </c>
      <c r="BG179" s="155" t="n">
        <f aca="false">BG174+BG23</f>
        <v>2497.67381560291</v>
      </c>
      <c r="BH179" s="155" t="n">
        <f aca="false">BH174+BH23</f>
        <v>2497.67381560291</v>
      </c>
      <c r="BI179" s="155" t="n">
        <f aca="false">BI174+BI23</f>
        <v>2497.67381560291</v>
      </c>
      <c r="BJ179" s="155" t="n">
        <f aca="false">BJ174+BJ23</f>
        <v>2497.67381560291</v>
      </c>
      <c r="BK179" s="155" t="n">
        <f aca="false">BK174+BK23</f>
        <v>2497.67381560291</v>
      </c>
      <c r="BL179" s="155" t="n">
        <f aca="false">BL174+BL23</f>
        <v>2497.67381560291</v>
      </c>
      <c r="BM179" s="155" t="n">
        <f aca="false">BM174+BM23</f>
        <v>2497.67381560291</v>
      </c>
      <c r="BN179" s="155" t="n">
        <f aca="false">BN174+BN23</f>
        <v>2497.67381560291</v>
      </c>
      <c r="BO179" s="155" t="n">
        <f aca="false">BO174+BO23</f>
        <v>2497.67381560291</v>
      </c>
      <c r="BP179" s="155" t="n">
        <f aca="false">BP174+BP23</f>
        <v>2497.67381560291</v>
      </c>
      <c r="BQ179" s="155" t="n">
        <f aca="false">BQ174+BQ23</f>
        <v>2497.67381560291</v>
      </c>
      <c r="BR179" s="155" t="n">
        <f aca="false">BR174+BR23</f>
        <v>2497.67381560291</v>
      </c>
      <c r="BS179" s="155" t="n">
        <f aca="false">BS174+BS23</f>
        <v>2497.67381560291</v>
      </c>
      <c r="BT179" s="155" t="n">
        <f aca="false">BT174+BT23</f>
        <v>2497.67381560291</v>
      </c>
      <c r="BU179" s="155" t="n">
        <f aca="false">BU174+BU23</f>
        <v>2497.67381560291</v>
      </c>
      <c r="BV179" s="155" t="n">
        <f aca="false">BV174+BV23</f>
        <v>2497.67381560291</v>
      </c>
      <c r="BW179" s="155" t="n">
        <f aca="false">BW174+BW23</f>
        <v>2497.67381560291</v>
      </c>
      <c r="BX179" s="155" t="n">
        <f aca="false">BX174+BX23</f>
        <v>2497.67381560291</v>
      </c>
      <c r="BY179" s="155" t="n">
        <f aca="false">BY174+BY23</f>
        <v>2497.67381560291</v>
      </c>
      <c r="BZ179" s="155" t="n">
        <f aca="false">BZ174+BZ23</f>
        <v>2497.67381560291</v>
      </c>
      <c r="CA179" s="155" t="n">
        <f aca="false">CA174+CA23</f>
        <v>2497.67381560291</v>
      </c>
      <c r="CB179" s="155" t="n">
        <f aca="false">CB174+CB23</f>
        <v>2497.67381560291</v>
      </c>
      <c r="CC179" s="155" t="n">
        <f aca="false">CC174+CC23</f>
        <v>2497.67381560291</v>
      </c>
      <c r="CD179" s="155" t="n">
        <f aca="false">CD174+CD23</f>
        <v>2497.67381560291</v>
      </c>
      <c r="CE179" s="155" t="n">
        <f aca="false">CE174+CE23</f>
        <v>2497.67381560291</v>
      </c>
      <c r="CF179" s="155" t="n">
        <f aca="false">CF174+CF23</f>
        <v>2497.67381560291</v>
      </c>
      <c r="CG179" s="155" t="n">
        <f aca="false">CG174+CG23</f>
        <v>2497.67381560291</v>
      </c>
      <c r="CH179" s="155" t="n">
        <f aca="false">CH174+CH23</f>
        <v>2497.67381560291</v>
      </c>
    </row>
    <row r="180" customFormat="false" ht="15" hidden="false" customHeight="false" outlineLevel="0" collapsed="false">
      <c r="A180" s="1" t="s">
        <v>841</v>
      </c>
      <c r="C180" s="26" t="n">
        <f aca="false">IFERROR((C179+C178)/C8,0)</f>
        <v>0.0475998411530045</v>
      </c>
      <c r="D180" s="26" t="n">
        <f aca="false">IFERROR((D179+D178)/D8,0)</f>
        <v>0.0648760155648585</v>
      </c>
      <c r="E180" s="26" t="n">
        <f aca="false">IFERROR((E179+E178)/E8,0)</f>
        <v>0.0908853635783613</v>
      </c>
      <c r="F180" s="26" t="n">
        <f aca="false">IFERROR((F179+F178)/F8,0)</f>
        <v>0.0891177025919278</v>
      </c>
      <c r="G180" s="26" t="n">
        <f aca="false">IFERROR((G179+G178)/G8,0)</f>
        <v>0.0813317038094347</v>
      </c>
      <c r="H180" s="26" t="n">
        <f aca="false">IFERROR((H179+H178)/H8,0)</f>
        <v>0.108279819158259</v>
      </c>
      <c r="I180" s="26" t="n">
        <f aca="false">IFERROR((I179+I178)/I8,0)</f>
        <v>0.13488071228486</v>
      </c>
      <c r="J180" s="26" t="n">
        <f aca="false">IFERROR((J179+J178)/J8,0)</f>
        <v>0.169814938744795</v>
      </c>
      <c r="K180" s="26" t="n">
        <f aca="false">IFERROR((K179+K178)/K8,0)</f>
        <v>0.20474916520473</v>
      </c>
      <c r="L180" s="26" t="n">
        <f aca="false">IFERROR((L179+L178)/L8,0)</f>
        <v>0.239683391664665</v>
      </c>
      <c r="M180" s="26" t="n">
        <f aca="false">IFERROR((M179+M178)/M8,0)</f>
        <v>0.263036777586217</v>
      </c>
      <c r="N180" s="26" t="n">
        <f aca="false">IFERROR((N179+N178)/N8,0)</f>
        <v>0.298136502625984</v>
      </c>
      <c r="O180" s="26" t="n">
        <f aca="false">IFERROR((O179+O178)/O8,0)</f>
        <v>0.333236227665751</v>
      </c>
      <c r="P180" s="26" t="n">
        <f aca="false">IFERROR((P179+P178)/P8,0)</f>
        <v>0.364958880209031</v>
      </c>
      <c r="Q180" s="26" t="n">
        <f aca="false">IFERROR((Q179+Q178)/Q8,0)</f>
        <v>0.396681532752311</v>
      </c>
      <c r="R180" s="26" t="n">
        <f aca="false">IFERROR((R179+R178)/R8,0)</f>
        <v>0.428404185295592</v>
      </c>
      <c r="S180" s="26" t="n">
        <f aca="false">IFERROR((S179+S178)/S8,0)</f>
        <v>0.440057393394427</v>
      </c>
      <c r="T180" s="26" t="n">
        <f aca="false">IFERROR((T179+T178)/T8,0)</f>
        <v>0.491849490382152</v>
      </c>
      <c r="U180" s="26" t="n">
        <f aca="false">IFERROR((U179+U178)/U8,0)</f>
        <v>0.523572142925432</v>
      </c>
      <c r="V180" s="26" t="n">
        <f aca="false">IFERROR((V179+V178)/V8,0)</f>
        <v>0.555294795468712</v>
      </c>
      <c r="W180" s="26" t="n">
        <f aca="false">IFERROR((W179+W178)/W8,0)</f>
        <v>0.587017448011992</v>
      </c>
      <c r="X180" s="26" t="n">
        <f aca="false">IFERROR((X179+X178)/X8,0)</f>
        <v>0.606993761437056</v>
      </c>
      <c r="Y180" s="26" t="n">
        <f aca="false">IFERROR((Y179+Y178)/Y8,0)</f>
        <v>0.62697007486212</v>
      </c>
      <c r="Z180" s="26" t="n">
        <f aca="false">IFERROR((Z179+Z178)/Z8,0)</f>
        <v>0.642247852639898</v>
      </c>
      <c r="AA180" s="26" t="n">
        <f aca="false">IFERROR((AA179+AA178)/AA8,0)</f>
        <v>0.657525630417676</v>
      </c>
      <c r="AB180" s="26" t="n">
        <f aca="false">IFERROR((AB179+AB178)/AB8,0)</f>
        <v>0.672803408195454</v>
      </c>
      <c r="AC180" s="26" t="n">
        <f aca="false">IFERROR((AC179+AC178)/AC8,0)</f>
        <v>0.688081185973232</v>
      </c>
      <c r="AD180" s="26" t="n">
        <f aca="false">IFERROR((AD179+AD178)/AD8,0)</f>
        <v>0.703358963751009</v>
      </c>
      <c r="AE180" s="26" t="n">
        <f aca="false">IFERROR((AE179+AE178)/AE8,0)</f>
        <v>0.684400630417676</v>
      </c>
      <c r="AF180" s="26" t="n">
        <f aca="false">IFERROR((AF179+AF178)/AF8,0)</f>
        <v>0.733914519306565</v>
      </c>
      <c r="AG180" s="26" t="n">
        <f aca="false">IFERROR((AG179+AG178)/AG8,0)</f>
        <v>0.749192297084343</v>
      </c>
      <c r="AH180" s="26" t="n">
        <f aca="false">IFERROR((AH179+AH178)/AH8,0)</f>
        <v>0.764470074862121</v>
      </c>
      <c r="AI180" s="26" t="n">
        <f aca="false">IFERROR((AI179+AI178)/AI8,0)</f>
        <v>0.779747852639898</v>
      </c>
      <c r="AJ180" s="26" t="n">
        <f aca="false">IFERROR((AJ179+AJ178)/AJ8,0)</f>
        <v>0.795025630417676</v>
      </c>
      <c r="AK180" s="26" t="n">
        <f aca="false">IFERROR((AK179+AK178)/AK8,0)</f>
        <v>0.810303408195454</v>
      </c>
      <c r="AL180" s="26" t="n">
        <f aca="false">IFERROR((AL179+AL178)/AL8,0)</f>
        <v>0.825581185973232</v>
      </c>
      <c r="AM180" s="26" t="n">
        <f aca="false">IFERROR((AM179+AM178)/AM8,0)</f>
        <v>0.840858963751009</v>
      </c>
      <c r="AN180" s="26" t="n">
        <f aca="false">IFERROR((AN179+AN178)/AN8,0)</f>
        <v>0.856136741528787</v>
      </c>
      <c r="AO180" s="26" t="n">
        <f aca="false">IFERROR((AO179+AO178)/AO8,0)</f>
        <v>0.871414519306565</v>
      </c>
      <c r="AP180" s="26" t="n">
        <f aca="false">IFERROR((AP179+AP178)/AP8,0)</f>
        <v>0.886692297084343</v>
      </c>
      <c r="AQ180" s="26" t="n">
        <f aca="false">IFERROR((AQ179+AQ178)/AQ8,0)</f>
        <v>0.859470074862121</v>
      </c>
      <c r="AR180" s="26" t="n">
        <f aca="false">IFERROR((AR179+AR178)/AR8,0)</f>
        <v>0.917247852639898</v>
      </c>
      <c r="AS180" s="26" t="n">
        <f aca="false">IFERROR((AS179+AS178)/AS8,0)</f>
        <v>0.917247852639898</v>
      </c>
      <c r="AT180" s="26" t="n">
        <f aca="false">IFERROR((AT179+AT178)/AT8,0)</f>
        <v>0.917247852639898</v>
      </c>
      <c r="AU180" s="26" t="n">
        <f aca="false">IFERROR((AU179+AU178)/AU8,0)</f>
        <v>0.917247852639898</v>
      </c>
      <c r="AV180" s="26" t="n">
        <f aca="false">IFERROR((AV179+AV178)/AV8,0)</f>
        <v>0.917247852639898</v>
      </c>
      <c r="AW180" s="26" t="n">
        <f aca="false">IFERROR((AW179+AW178)/AW8,0)</f>
        <v>0.917247852639898</v>
      </c>
      <c r="AX180" s="26" t="n">
        <f aca="false">IFERROR((AX179+AX178)/AX8,0)</f>
        <v>0.917247852639898</v>
      </c>
      <c r="AY180" s="26" t="n">
        <f aca="false">IFERROR((AY179+AY178)/AY8,0)</f>
        <v>0.917247852639898</v>
      </c>
      <c r="AZ180" s="26" t="n">
        <f aca="false">IFERROR((AZ179+AZ178)/AZ8,0)</f>
        <v>0.917247852639898</v>
      </c>
      <c r="BA180" s="26" t="n">
        <f aca="false">IFERROR((BA179+BA178)/BA8,0)</f>
        <v>0.917247852639898</v>
      </c>
      <c r="BB180" s="26" t="n">
        <f aca="false">IFERROR((BB179+BB178)/BB8,0)</f>
        <v>0.917247852639898</v>
      </c>
      <c r="BC180" s="26" t="n">
        <f aca="false">IFERROR((BC179+BC178)/BC8,0)</f>
        <v>0.874747852639898</v>
      </c>
      <c r="BD180" s="26" t="n">
        <f aca="false">IFERROR((BD179+BD178)/BD8,0)</f>
        <v>0.917247852639898</v>
      </c>
      <c r="BE180" s="26" t="n">
        <f aca="false">IFERROR((BE179+BE178)/BE8,0)</f>
        <v>0.917247852639898</v>
      </c>
      <c r="BF180" s="26" t="n">
        <f aca="false">IFERROR((BF179+BF178)/BF8,0)</f>
        <v>0.917247852639898</v>
      </c>
      <c r="BG180" s="26" t="n">
        <f aca="false">IFERROR((BG179+BG178)/BG8,0)</f>
        <v>0.917247852639898</v>
      </c>
      <c r="BH180" s="26" t="n">
        <f aca="false">IFERROR((BH179+BH178)/BH8,0)</f>
        <v>0.917247852639898</v>
      </c>
      <c r="BI180" s="26" t="n">
        <f aca="false">IFERROR((BI179+BI178)/BI8,0)</f>
        <v>0.917247852639898</v>
      </c>
      <c r="BJ180" s="26" t="n">
        <f aca="false">IFERROR((BJ179+BJ178)/BJ8,0)</f>
        <v>0.917247852639898</v>
      </c>
      <c r="BK180" s="26" t="n">
        <f aca="false">IFERROR((BK179+BK178)/BK8,0)</f>
        <v>0.917247852639898</v>
      </c>
      <c r="BL180" s="26" t="n">
        <f aca="false">IFERROR((BL179+BL178)/BL8,0)</f>
        <v>0.917247852639898</v>
      </c>
      <c r="BM180" s="26" t="n">
        <f aca="false">IFERROR((BM179+BM178)/BM8,0)</f>
        <v>0.917247852639898</v>
      </c>
      <c r="BN180" s="26" t="n">
        <f aca="false">IFERROR((BN179+BN178)/BN8,0)</f>
        <v>0.917247852639898</v>
      </c>
      <c r="BO180" s="26" t="n">
        <f aca="false">IFERROR((BO179+BO178)/BO8,0)</f>
        <v>0.874747852639898</v>
      </c>
      <c r="BP180" s="26" t="n">
        <f aca="false">IFERROR((BP179+BP178)/BP8,0)</f>
        <v>0.917247852639898</v>
      </c>
      <c r="BQ180" s="26" t="n">
        <f aca="false">IFERROR((BQ179+BQ178)/BQ8,0)</f>
        <v>0.917247852639898</v>
      </c>
      <c r="BR180" s="26" t="n">
        <f aca="false">IFERROR((BR179+BR178)/BR8,0)</f>
        <v>0.917247852639898</v>
      </c>
      <c r="BS180" s="26" t="n">
        <f aca="false">IFERROR((BS179+BS178)/BS8,0)</f>
        <v>0.917247852639898</v>
      </c>
      <c r="BT180" s="26" t="n">
        <f aca="false">IFERROR((BT179+BT178)/BT8,0)</f>
        <v>0.917247852639898</v>
      </c>
      <c r="BU180" s="26" t="n">
        <f aca="false">IFERROR((BU179+BU178)/BU8,0)</f>
        <v>0.917247852639898</v>
      </c>
      <c r="BV180" s="26" t="n">
        <f aca="false">IFERROR((BV179+BV178)/BV8,0)</f>
        <v>0.917247852639898</v>
      </c>
      <c r="BW180" s="26" t="n">
        <f aca="false">IFERROR((BW179+BW178)/BW8,0)</f>
        <v>0.917247852639898</v>
      </c>
      <c r="BX180" s="26" t="n">
        <f aca="false">IFERROR((BX179+BX178)/BX8,0)</f>
        <v>0.917247852639898</v>
      </c>
      <c r="BY180" s="26" t="n">
        <f aca="false">IFERROR((BY179+BY178)/BY8,0)</f>
        <v>0.917247852639898</v>
      </c>
      <c r="BZ180" s="26" t="n">
        <f aca="false">IFERROR((BZ179+BZ178)/BZ8,0)</f>
        <v>0.917247852639898</v>
      </c>
      <c r="CA180" s="26" t="n">
        <f aca="false">IFERROR((CA179+CA178)/CA8,0)</f>
        <v>0.874747852639898</v>
      </c>
      <c r="CB180" s="26" t="n">
        <f aca="false">IFERROR((CB179+CB178)/CB8,0)</f>
        <v>0.917247852639898</v>
      </c>
      <c r="CC180" s="26" t="n">
        <f aca="false">IFERROR((CC179+CC178)/CC8,0)</f>
        <v>0.917247852639898</v>
      </c>
      <c r="CD180" s="26" t="n">
        <f aca="false">IFERROR((CD179+CD178)/CD8,0)</f>
        <v>0.917247852639898</v>
      </c>
      <c r="CE180" s="26" t="n">
        <f aca="false">IFERROR((CE179+CE178)/CE8,0)</f>
        <v>0.917247852639898</v>
      </c>
      <c r="CF180" s="26" t="n">
        <f aca="false">IFERROR((CF179+CF178)/CF8,0)</f>
        <v>0.917247852639898</v>
      </c>
      <c r="CG180" s="26" t="n">
        <f aca="false">IFERROR((CG179+CG178)/CG8,0)</f>
        <v>0.917247852639898</v>
      </c>
      <c r="CH180" s="26" t="n">
        <f aca="false">IFERROR((CH179+CH178)/CH8,0)</f>
        <v>0.917247852639898</v>
      </c>
    </row>
    <row r="181" customFormat="false" ht="15" hidden="false" customHeight="false" outlineLevel="0" collapsed="false">
      <c r="A181" s="1" t="s">
        <v>842</v>
      </c>
      <c r="C181" s="27" t="n">
        <f aca="false">C178*Hipótesis!$C$23</f>
        <v>4.5743605945946</v>
      </c>
      <c r="D181" s="27" t="n">
        <f aca="false">D178*Hipótesis!$C$23</f>
        <v>9.14872118918919</v>
      </c>
      <c r="E181" s="27" t="n">
        <f aca="false">E178*Hipótesis!$C$23</f>
        <v>13.7230817837838</v>
      </c>
      <c r="F181" s="27" t="n">
        <f aca="false">F178*Hipótesis!$C$23</f>
        <v>18.2974423783784</v>
      </c>
      <c r="G181" s="27" t="n">
        <f aca="false">G178*Hipótesis!$C$23</f>
        <v>3.43077044594595</v>
      </c>
      <c r="H181" s="27" t="n">
        <f aca="false">H178*Hipótesis!$C$23</f>
        <v>27.4461635675676</v>
      </c>
      <c r="I181" s="27" t="n">
        <f aca="false">I178*Hipótesis!$C$23</f>
        <v>32.0205241621622</v>
      </c>
      <c r="J181" s="27" t="n">
        <f aca="false">J178*Hipótesis!$C$23</f>
        <v>36.5948847567568</v>
      </c>
      <c r="K181" s="27" t="n">
        <f aca="false">K178*Hipótesis!$C$23</f>
        <v>41.1692453513514</v>
      </c>
      <c r="L181" s="27" t="n">
        <f aca="false">L178*Hipótesis!$C$23</f>
        <v>45.743605945946</v>
      </c>
      <c r="M181" s="27" t="n">
        <f aca="false">M178*Hipótesis!$C$23</f>
        <v>50.3179665405405</v>
      </c>
      <c r="N181" s="27" t="n">
        <f aca="false">N178*Hipótesis!$C$23</f>
        <v>54.8923271351352</v>
      </c>
      <c r="O181" s="27" t="n">
        <f aca="false">O178*Hipótesis!$C$23</f>
        <v>59.4666877297297</v>
      </c>
      <c r="P181" s="27" t="n">
        <f aca="false">P178*Hipótesis!$C$23</f>
        <v>64.0410483243243</v>
      </c>
      <c r="Q181" s="27" t="n">
        <f aca="false">Q178*Hipótesis!$C$23</f>
        <v>68.6154089189189</v>
      </c>
      <c r="R181" s="27" t="n">
        <f aca="false">R178*Hipótesis!$C$23</f>
        <v>73.1897695135135</v>
      </c>
      <c r="S181" s="27" t="n">
        <f aca="false">S178*Hipótesis!$C$23</f>
        <v>11.6646195162162</v>
      </c>
      <c r="T181" s="27" t="n">
        <f aca="false">T178*Hipótesis!$C$23</f>
        <v>82.3384907027027</v>
      </c>
      <c r="U181" s="27" t="n">
        <f aca="false">U178*Hipótesis!$C$23</f>
        <v>86.9128512972973</v>
      </c>
      <c r="V181" s="27" t="n">
        <f aca="false">V178*Hipótesis!$C$23</f>
        <v>91.4872118918919</v>
      </c>
      <c r="W181" s="27" t="n">
        <f aca="false">W178*Hipótesis!$C$23</f>
        <v>96.0615724864865</v>
      </c>
      <c r="X181" s="27" t="n">
        <f aca="false">X178*Hipótesis!$C$23</f>
        <v>100.635933081081</v>
      </c>
      <c r="Y181" s="27" t="n">
        <f aca="false">Y178*Hipótesis!$C$23</f>
        <v>105.210293675676</v>
      </c>
      <c r="Z181" s="27" t="n">
        <f aca="false">Z178*Hipótesis!$C$23</f>
        <v>109.78465427027</v>
      </c>
      <c r="AA181" s="27" t="n">
        <f aca="false">AA178*Hipótesis!$C$23</f>
        <v>114.359014864865</v>
      </c>
      <c r="AB181" s="27" t="n">
        <f aca="false">AB178*Hipótesis!$C$23</f>
        <v>118.933375459459</v>
      </c>
      <c r="AC181" s="27" t="n">
        <f aca="false">AC178*Hipótesis!$C$23</f>
        <v>123.507736054054</v>
      </c>
      <c r="AD181" s="27" t="n">
        <f aca="false">AD178*Hipótesis!$C$23</f>
        <v>128.082096648649</v>
      </c>
      <c r="AE181" s="27" t="n">
        <f aca="false">AE178*Hipótesis!$C$23</f>
        <v>19.8984685864865</v>
      </c>
      <c r="AF181" s="27" t="n">
        <f aca="false">AF178*Hipótesis!$C$23</f>
        <v>137.230817837838</v>
      </c>
      <c r="AG181" s="27" t="n">
        <f aca="false">AG178*Hipótesis!$C$23</f>
        <v>141.805178432432</v>
      </c>
      <c r="AH181" s="27" t="n">
        <f aca="false">AH178*Hipótesis!$C$23</f>
        <v>146.379539027027</v>
      </c>
      <c r="AI181" s="27" t="n">
        <f aca="false">AI178*Hipótesis!$C$23</f>
        <v>150.953899621622</v>
      </c>
      <c r="AJ181" s="27" t="n">
        <f aca="false">AJ178*Hipótesis!$C$23</f>
        <v>155.528260216216</v>
      </c>
      <c r="AK181" s="27" t="n">
        <f aca="false">AK178*Hipótesis!$C$23</f>
        <v>160.102620810811</v>
      </c>
      <c r="AL181" s="27" t="n">
        <f aca="false">AL178*Hipótesis!$C$23</f>
        <v>164.676981405405</v>
      </c>
      <c r="AM181" s="27" t="n">
        <f aca="false">AM178*Hipótesis!$C$23</f>
        <v>164.676981405405</v>
      </c>
      <c r="AN181" s="27" t="n">
        <f aca="false">AN178*Hipótesis!$C$23</f>
        <v>164.676981405405</v>
      </c>
      <c r="AO181" s="27" t="n">
        <f aca="false">AO178*Hipótesis!$C$23</f>
        <v>164.676981405405</v>
      </c>
      <c r="AP181" s="27" t="n">
        <f aca="false">AP178*Hipótesis!$C$23</f>
        <v>164.676981405405</v>
      </c>
      <c r="AQ181" s="27" t="n">
        <f aca="false">AQ178*Hipótesis!$C$23</f>
        <v>24.7015472108108</v>
      </c>
      <c r="AR181" s="27" t="n">
        <f aca="false">AR178*Hipótesis!$C$23</f>
        <v>164.676981405405</v>
      </c>
      <c r="AS181" s="27" t="n">
        <f aca="false">AS178*Hipótesis!$C$23</f>
        <v>164.676981405405</v>
      </c>
      <c r="AT181" s="27" t="n">
        <f aca="false">AT178*Hipótesis!$C$23</f>
        <v>164.676981405405</v>
      </c>
      <c r="AU181" s="27" t="n">
        <f aca="false">AU178*Hipótesis!$C$23</f>
        <v>164.676981405405</v>
      </c>
      <c r="AV181" s="27" t="n">
        <f aca="false">AV178*Hipótesis!$C$23</f>
        <v>164.676981405405</v>
      </c>
      <c r="AW181" s="27" t="n">
        <f aca="false">AW178*Hipótesis!$C$23</f>
        <v>164.676981405405</v>
      </c>
      <c r="AX181" s="27" t="n">
        <f aca="false">AX178*Hipótesis!$C$23</f>
        <v>164.676981405405</v>
      </c>
      <c r="AY181" s="27" t="n">
        <f aca="false">AY178*Hipótesis!$C$23</f>
        <v>164.676981405405</v>
      </c>
      <c r="AZ181" s="27" t="n">
        <f aca="false">AZ178*Hipótesis!$C$23</f>
        <v>164.676981405405</v>
      </c>
      <c r="BA181" s="27" t="n">
        <f aca="false">BA178*Hipótesis!$C$23</f>
        <v>164.676981405405</v>
      </c>
      <c r="BB181" s="27" t="n">
        <f aca="false">BB178*Hipótesis!$C$23</f>
        <v>164.676981405405</v>
      </c>
      <c r="BC181" s="27" t="n">
        <f aca="false">BC178*Hipótesis!$C$23</f>
        <v>24.7015472108108</v>
      </c>
      <c r="BD181" s="27" t="n">
        <f aca="false">BD178*Hipótesis!$C$23</f>
        <v>164.676981405405</v>
      </c>
      <c r="BE181" s="27" t="n">
        <f aca="false">BE178*Hipótesis!$C$23</f>
        <v>164.676981405405</v>
      </c>
      <c r="BF181" s="27" t="n">
        <f aca="false">BF178*Hipótesis!$C$23</f>
        <v>164.676981405405</v>
      </c>
      <c r="BG181" s="27" t="n">
        <f aca="false">BG178*Hipótesis!$C$23</f>
        <v>164.676981405405</v>
      </c>
      <c r="BH181" s="27" t="n">
        <f aca="false">BH178*Hipótesis!$C$23</f>
        <v>164.676981405405</v>
      </c>
      <c r="BI181" s="27" t="n">
        <f aca="false">BI178*Hipótesis!$C$23</f>
        <v>164.676981405405</v>
      </c>
      <c r="BJ181" s="27" t="n">
        <f aca="false">BJ178*Hipótesis!$C$23</f>
        <v>164.676981405405</v>
      </c>
      <c r="BK181" s="27" t="n">
        <f aca="false">BK178*Hipótesis!$C$23</f>
        <v>164.676981405405</v>
      </c>
      <c r="BL181" s="27" t="n">
        <f aca="false">BL178*Hipótesis!$C$23</f>
        <v>164.676981405405</v>
      </c>
      <c r="BM181" s="27" t="n">
        <f aca="false">BM178*Hipótesis!$C$23</f>
        <v>164.676981405405</v>
      </c>
      <c r="BN181" s="27" t="n">
        <f aca="false">BN178*Hipótesis!$C$23</f>
        <v>164.676981405405</v>
      </c>
      <c r="BO181" s="27" t="n">
        <f aca="false">BO178*Hipótesis!$C$23</f>
        <v>24.7015472108108</v>
      </c>
      <c r="BP181" s="27" t="n">
        <f aca="false">BP178*Hipótesis!$C$23</f>
        <v>164.676981405405</v>
      </c>
      <c r="BQ181" s="27" t="n">
        <f aca="false">BQ178*Hipótesis!$C$23</f>
        <v>164.676981405405</v>
      </c>
      <c r="BR181" s="27" t="n">
        <f aca="false">BR178*Hipótesis!$C$23</f>
        <v>164.676981405405</v>
      </c>
      <c r="BS181" s="27" t="n">
        <f aca="false">BS178*Hipótesis!$C$23</f>
        <v>164.676981405405</v>
      </c>
      <c r="BT181" s="27" t="n">
        <f aca="false">BT178*Hipótesis!$C$23</f>
        <v>164.676981405405</v>
      </c>
      <c r="BU181" s="27" t="n">
        <f aca="false">BU178*Hipótesis!$C$23</f>
        <v>164.676981405405</v>
      </c>
      <c r="BV181" s="27" t="n">
        <f aca="false">BV178*Hipótesis!$C$23</f>
        <v>164.676981405405</v>
      </c>
      <c r="BW181" s="27" t="n">
        <f aca="false">BW178*Hipótesis!$C$23</f>
        <v>164.676981405405</v>
      </c>
      <c r="BX181" s="27" t="n">
        <f aca="false">BX178*Hipótesis!$C$23</f>
        <v>164.676981405405</v>
      </c>
      <c r="BY181" s="27" t="n">
        <f aca="false">BY178*Hipótesis!$C$23</f>
        <v>164.676981405405</v>
      </c>
      <c r="BZ181" s="27" t="n">
        <f aca="false">BZ178*Hipótesis!$C$23</f>
        <v>164.676981405405</v>
      </c>
      <c r="CA181" s="27" t="n">
        <f aca="false">CA178*Hipótesis!$C$23</f>
        <v>24.7015472108108</v>
      </c>
      <c r="CB181" s="27" t="n">
        <f aca="false">CB178*Hipótesis!$C$23</f>
        <v>164.676981405405</v>
      </c>
      <c r="CC181" s="27" t="n">
        <f aca="false">CC178*Hipótesis!$C$23</f>
        <v>164.676981405405</v>
      </c>
      <c r="CD181" s="27" t="n">
        <f aca="false">CD178*Hipótesis!$C$23</f>
        <v>164.676981405405</v>
      </c>
      <c r="CE181" s="27" t="n">
        <f aca="false">CE178*Hipótesis!$C$23</f>
        <v>164.676981405405</v>
      </c>
      <c r="CF181" s="27" t="n">
        <f aca="false">CF178*Hipótesis!$C$23</f>
        <v>164.676981405405</v>
      </c>
      <c r="CG181" s="27" t="n">
        <f aca="false">CG178*Hipótesis!$C$23</f>
        <v>164.676981405405</v>
      </c>
      <c r="CH181" s="27" t="n">
        <f aca="false">CH178*Hipótesis!$C$23</f>
        <v>164.676981405405</v>
      </c>
    </row>
    <row r="182" customFormat="false" ht="15" hidden="false" customHeight="false" outlineLevel="0" collapsed="false">
      <c r="A182" s="1" t="s">
        <v>843</v>
      </c>
      <c r="C182" s="27" t="n">
        <f aca="false">C20*C21+C23*Hipótesis!$C$23</f>
        <v>12.3975</v>
      </c>
      <c r="D182" s="27" t="n">
        <f aca="false">D20*D21+D23*Hipótesis!$C$23</f>
        <v>27.405</v>
      </c>
      <c r="E182" s="27" t="n">
        <f aca="false">E20*E21+E23*Hipótesis!$C$23</f>
        <v>75.69</v>
      </c>
      <c r="F182" s="27" t="n">
        <f aca="false">F20*F21+F23*Hipótesis!$C$23</f>
        <v>111.5775</v>
      </c>
      <c r="G182" s="27" t="n">
        <f aca="false">G20*G21+G23*Hipótesis!$C$23</f>
        <v>144.855</v>
      </c>
      <c r="H182" s="27" t="n">
        <f aca="false">H20*H21+H23*Hipótesis!$C$23</f>
        <v>208.03875</v>
      </c>
      <c r="I182" s="27" t="n">
        <f aca="false">I20*I21+I23*Hipótesis!$C$23</f>
        <v>289.519942378378</v>
      </c>
      <c r="J182" s="27" t="n">
        <f aca="false">J20*J21+J23*Hipótesis!$C$23</f>
        <v>398.447298324324</v>
      </c>
      <c r="K182" s="27" t="n">
        <f aca="false">K20*K21+K23*Hipótesis!$C$23</f>
        <v>507.37465427027</v>
      </c>
      <c r="L182" s="27" t="n">
        <f aca="false">L20*L21+L23*Hipótesis!$C$23</f>
        <v>616.302010216216</v>
      </c>
      <c r="M182" s="27" t="n">
        <f aca="false">M20*M21+M23*Hipótesis!$C$23</f>
        <v>691.951866162162</v>
      </c>
      <c r="N182" s="27" t="n">
        <f aca="false">N20*N21+N23*Hipótesis!$C$23</f>
        <v>811.101722108108</v>
      </c>
      <c r="O182" s="27" t="n">
        <f aca="false">O20*O21+O23*Hipótesis!$C$23</f>
        <v>930.251578054054</v>
      </c>
      <c r="P182" s="27" t="n">
        <f aca="false">P20*P21+P23*Hipótesis!$C$23</f>
        <v>1036.895184</v>
      </c>
      <c r="Q182" s="27" t="n">
        <f aca="false">Q20*Q21+Q23*Hipótesis!$C$23</f>
        <v>1143.53878994595</v>
      </c>
      <c r="R182" s="27" t="n">
        <f aca="false">R20*R21+R23*Hipótesis!$C$23</f>
        <v>1250.18239589189</v>
      </c>
      <c r="S182" s="27" t="n">
        <f aca="false">S20*S21+S23*Hipótesis!$C$23</f>
        <v>1356.82600183784</v>
      </c>
      <c r="T182" s="27" t="n">
        <f aca="false">T20*T21+T23*Hipótesis!$C$23</f>
        <v>1463.46960778378</v>
      </c>
      <c r="U182" s="27" t="n">
        <f aca="false">U20*U21+U23*Hipótesis!$C$23</f>
        <v>1570.11321372973</v>
      </c>
      <c r="V182" s="27" t="n">
        <f aca="false">V20*V21+V23*Hipótesis!$C$23</f>
        <v>1676.75681967568</v>
      </c>
      <c r="W182" s="27" t="n">
        <f aca="false">W20*W21+W23*Hipótesis!$C$23</f>
        <v>1783.40042562162</v>
      </c>
      <c r="X182" s="27" t="n">
        <f aca="false">X20*X21+X23*Hipótesis!$C$23</f>
        <v>1846.54403156757</v>
      </c>
      <c r="Y182" s="27" t="n">
        <f aca="false">Y20*Y21+Y23*Hipótesis!$C$23</f>
        <v>1909.68763751351</v>
      </c>
      <c r="Z182" s="27" t="n">
        <f aca="false">Z20*Z21+Z23*Hipótesis!$C$23</f>
        <v>1955.43124345946</v>
      </c>
      <c r="AA182" s="27" t="n">
        <f aca="false">AA20*AA21+AA23*Hipótesis!$C$23</f>
        <v>2001.17484940541</v>
      </c>
      <c r="AB182" s="27" t="n">
        <f aca="false">AB20*AB21+AB23*Hipótesis!$C$23</f>
        <v>2046.91845535135</v>
      </c>
      <c r="AC182" s="27" t="n">
        <f aca="false">AC20*AC21+AC23*Hipótesis!$C$23</f>
        <v>2092.6620612973</v>
      </c>
      <c r="AD182" s="27" t="n">
        <f aca="false">AD20*AD21+AD23*Hipótesis!$C$23</f>
        <v>2138.40566724324</v>
      </c>
      <c r="AE182" s="27" t="n">
        <f aca="false">AE20*AE21+AE23*Hipótesis!$C$23</f>
        <v>2184.14927318919</v>
      </c>
      <c r="AF182" s="27" t="n">
        <f aca="false">AF20*AF21+AF23*Hipótesis!$C$23</f>
        <v>2229.89287913514</v>
      </c>
      <c r="AG182" s="27" t="n">
        <f aca="false">AG20*AG21+AG23*Hipótesis!$C$23</f>
        <v>2275.63648508108</v>
      </c>
      <c r="AH182" s="27" t="n">
        <f aca="false">AH20*AH21+AH23*Hipótesis!$C$23</f>
        <v>2321.38009102703</v>
      </c>
      <c r="AI182" s="27" t="n">
        <f aca="false">AI20*AI21+AI23*Hipótesis!$C$23</f>
        <v>2367.12369697297</v>
      </c>
      <c r="AJ182" s="27" t="n">
        <f aca="false">AJ20*AJ21+AJ23*Hipótesis!$C$23</f>
        <v>2412.86730291892</v>
      </c>
      <c r="AK182" s="27" t="n">
        <f aca="false">AK20*AK21+AK23*Hipótesis!$C$23</f>
        <v>2458.61090886487</v>
      </c>
      <c r="AL182" s="27" t="n">
        <f aca="false">AL20*AL21+AL23*Hipótesis!$C$23</f>
        <v>2504.35451481081</v>
      </c>
      <c r="AM182" s="27" t="n">
        <f aca="false">AM20*AM21+AM23*Hipótesis!$C$23</f>
        <v>2554.67248135135</v>
      </c>
      <c r="AN182" s="27" t="n">
        <f aca="false">AN20*AN21+AN23*Hipótesis!$C$23</f>
        <v>2604.99044789189</v>
      </c>
      <c r="AO182" s="27" t="n">
        <f aca="false">AO20*AO21+AO23*Hipótesis!$C$23</f>
        <v>2655.30841443243</v>
      </c>
      <c r="AP182" s="27" t="n">
        <f aca="false">AP20*AP21+AP23*Hipótesis!$C$23</f>
        <v>2705.62638097297</v>
      </c>
      <c r="AQ182" s="27" t="n">
        <f aca="false">AQ20*AQ21+AQ23*Hipótesis!$C$23</f>
        <v>2755.94434751351</v>
      </c>
      <c r="AR182" s="27" t="n">
        <f aca="false">AR20*AR21+AR23*Hipótesis!$C$23</f>
        <v>2806.26231405405</v>
      </c>
      <c r="AS182" s="27" t="n">
        <f aca="false">AS20*AS21+AS23*Hipótesis!$C$23</f>
        <v>2806.26231405405</v>
      </c>
      <c r="AT182" s="27" t="n">
        <f aca="false">AT20*AT21+AT23*Hipótesis!$C$23</f>
        <v>2806.26231405405</v>
      </c>
      <c r="AU182" s="27" t="n">
        <f aca="false">AU20*AU21+AU23*Hipótesis!$C$23</f>
        <v>2806.26231405405</v>
      </c>
      <c r="AV182" s="27" t="n">
        <f aca="false">AV20*AV21+AV23*Hipótesis!$C$23</f>
        <v>2806.26231405405</v>
      </c>
      <c r="AW182" s="27" t="n">
        <f aca="false">AW20*AW21+AW23*Hipótesis!$C$23</f>
        <v>2806.26231405405</v>
      </c>
      <c r="AX182" s="27" t="n">
        <f aca="false">AX20*AX21+AX23*Hipótesis!$C$23</f>
        <v>2806.26231405405</v>
      </c>
      <c r="AY182" s="27" t="n">
        <f aca="false">AY20*AY21+AY23*Hipótesis!$C$23</f>
        <v>2806.26231405405</v>
      </c>
      <c r="AZ182" s="27" t="n">
        <f aca="false">AZ20*AZ21+AZ23*Hipótesis!$C$23</f>
        <v>2806.26231405405</v>
      </c>
      <c r="BA182" s="27" t="n">
        <f aca="false">BA20*BA21+BA23*Hipótesis!$C$23</f>
        <v>2806.26231405405</v>
      </c>
      <c r="BB182" s="27" t="n">
        <f aca="false">BB20*BB21+BB23*Hipótesis!$C$23</f>
        <v>2806.26231405405</v>
      </c>
      <c r="BC182" s="27" t="n">
        <f aca="false">BC20*BC21+BC23*Hipótesis!$C$23</f>
        <v>2806.26231405405</v>
      </c>
      <c r="BD182" s="27" t="n">
        <f aca="false">BD20*BD21+BD23*Hipótesis!$C$23</f>
        <v>2806.26231405405</v>
      </c>
      <c r="BE182" s="27" t="n">
        <f aca="false">BE20*BE21+BE23*Hipótesis!$C$23</f>
        <v>2806.26231405405</v>
      </c>
      <c r="BF182" s="27" t="n">
        <f aca="false">BF20*BF21+BF23*Hipótesis!$C$23</f>
        <v>2806.26231405405</v>
      </c>
      <c r="BG182" s="27" t="n">
        <f aca="false">BG20*BG21+BG23*Hipótesis!$C$23</f>
        <v>2806.26231405405</v>
      </c>
      <c r="BH182" s="27" t="n">
        <f aca="false">BH20*BH21+BH23*Hipótesis!$C$23</f>
        <v>2806.26231405405</v>
      </c>
      <c r="BI182" s="27" t="n">
        <f aca="false">BI20*BI21+BI23*Hipótesis!$C$23</f>
        <v>2806.26231405405</v>
      </c>
      <c r="BJ182" s="27" t="n">
        <f aca="false">BJ20*BJ21+BJ23*Hipótesis!$C$23</f>
        <v>2806.26231405405</v>
      </c>
      <c r="BK182" s="27" t="n">
        <f aca="false">BK20*BK21+BK23*Hipótesis!$C$23</f>
        <v>2806.26231405405</v>
      </c>
      <c r="BL182" s="27" t="n">
        <f aca="false">BL20*BL21+BL23*Hipótesis!$C$23</f>
        <v>2806.26231405405</v>
      </c>
      <c r="BM182" s="27" t="n">
        <f aca="false">BM20*BM21+BM23*Hipótesis!$C$23</f>
        <v>2806.26231405405</v>
      </c>
      <c r="BN182" s="27" t="n">
        <f aca="false">BN20*BN21+BN23*Hipótesis!$C$23</f>
        <v>2806.26231405405</v>
      </c>
      <c r="BO182" s="27" t="n">
        <f aca="false">BO20*BO21+BO23*Hipótesis!$C$23</f>
        <v>2806.26231405405</v>
      </c>
      <c r="BP182" s="27" t="n">
        <f aca="false">BP20*BP21+BP23*Hipótesis!$C$23</f>
        <v>2806.26231405405</v>
      </c>
      <c r="BQ182" s="27" t="n">
        <f aca="false">BQ20*BQ21+BQ23*Hipótesis!$C$23</f>
        <v>2806.26231405405</v>
      </c>
      <c r="BR182" s="27" t="n">
        <f aca="false">BR20*BR21+BR23*Hipótesis!$C$23</f>
        <v>2806.26231405405</v>
      </c>
      <c r="BS182" s="27" t="n">
        <f aca="false">BS20*BS21+BS23*Hipótesis!$C$23</f>
        <v>2806.26231405405</v>
      </c>
      <c r="BT182" s="27" t="n">
        <f aca="false">BT20*BT21+BT23*Hipótesis!$C$23</f>
        <v>2806.26231405405</v>
      </c>
      <c r="BU182" s="27" t="n">
        <f aca="false">BU20*BU21+BU23*Hipótesis!$C$23</f>
        <v>2806.26231405405</v>
      </c>
      <c r="BV182" s="27" t="n">
        <f aca="false">BV20*BV21+BV23*Hipótesis!$C$23</f>
        <v>2806.26231405405</v>
      </c>
      <c r="BW182" s="27" t="n">
        <f aca="false">BW20*BW21+BW23*Hipótesis!$C$23</f>
        <v>2806.26231405405</v>
      </c>
      <c r="BX182" s="27" t="n">
        <f aca="false">BX20*BX21+BX23*Hipótesis!$C$23</f>
        <v>2806.26231405405</v>
      </c>
      <c r="BY182" s="27" t="n">
        <f aca="false">BY20*BY21+BY23*Hipótesis!$C$23</f>
        <v>2806.26231405405</v>
      </c>
      <c r="BZ182" s="27" t="n">
        <f aca="false">BZ20*BZ21+BZ23*Hipótesis!$C$23</f>
        <v>2806.26231405405</v>
      </c>
      <c r="CA182" s="27" t="n">
        <f aca="false">CA20*CA21+CA23*Hipótesis!$C$23</f>
        <v>2806.26231405405</v>
      </c>
      <c r="CB182" s="27" t="n">
        <f aca="false">CB20*CB21+CB23*Hipótesis!$C$23</f>
        <v>2806.26231405405</v>
      </c>
      <c r="CC182" s="27" t="n">
        <f aca="false">CC20*CC21+CC23*Hipótesis!$C$23</f>
        <v>2806.26231405405</v>
      </c>
      <c r="CD182" s="27" t="n">
        <f aca="false">CD20*CD21+CD23*Hipótesis!$C$23</f>
        <v>2806.26231405405</v>
      </c>
      <c r="CE182" s="27" t="n">
        <f aca="false">CE20*CE21+CE23*Hipótesis!$C$23</f>
        <v>2806.26231405405</v>
      </c>
      <c r="CF182" s="27" t="n">
        <f aca="false">CF20*CF21+CF23*Hipótesis!$C$23</f>
        <v>2806.26231405405</v>
      </c>
      <c r="CG182" s="27" t="n">
        <f aca="false">CG20*CG21+CG23*Hipótesis!$C$23</f>
        <v>2806.26231405405</v>
      </c>
      <c r="CH182" s="27" t="n">
        <f aca="false">CH20*CH21+CH23*Hipótesis!$C$23</f>
        <v>2806.26231405405</v>
      </c>
    </row>
    <row r="183" customFormat="false" ht="15" hidden="false" customHeight="false" outlineLevel="0" collapsed="false">
      <c r="A183" s="1" t="s">
        <v>844</v>
      </c>
      <c r="C183" s="26" t="n">
        <f aca="false">IFERROR(C181/(C181+C182),0)</f>
        <v>0.269526170633967</v>
      </c>
      <c r="D183" s="26" t="n">
        <f aca="false">IFERROR(D181/(D181+D182),0)</f>
        <v>0.250281527887096</v>
      </c>
      <c r="E183" s="26" t="n">
        <f aca="false">IFERROR(E181/(E181+E182),0)</f>
        <v>0.153479574912411</v>
      </c>
      <c r="F183" s="26" t="n">
        <f aca="false">IFERROR(F181/(F181+F182),0)</f>
        <v>0.140885085631611</v>
      </c>
      <c r="G183" s="26" t="n">
        <f aca="false">IFERROR(G181/(G181+G182),0)</f>
        <v>0.0231362081178015</v>
      </c>
      <c r="H183" s="26" t="n">
        <f aca="false">IFERROR(H181/(H181+H182),0)</f>
        <v>0.116551685421208</v>
      </c>
      <c r="I183" s="26" t="n">
        <f aca="false">IFERROR(I181/(I181+I182),0)</f>
        <v>0.0995847412509895</v>
      </c>
      <c r="J183" s="26" t="n">
        <f aca="false">IFERROR(J181/(J181+J182),0)</f>
        <v>0.0841180147120041</v>
      </c>
      <c r="K183" s="26" t="n">
        <f aca="false">IFERROR(K181/(K181+K182),0)</f>
        <v>0.0750518698316568</v>
      </c>
      <c r="L183" s="26" t="n">
        <f aca="false">IFERROR(L181/(L181+L182),0)</f>
        <v>0.0690943415819575</v>
      </c>
      <c r="M183" s="26" t="n">
        <f aca="false">IFERROR(M181/(M181+M182),0)</f>
        <v>0.0677893190907762</v>
      </c>
      <c r="N183" s="26" t="n">
        <f aca="false">IFERROR(N181/(N181+N182),0)</f>
        <v>0.0633864946105615</v>
      </c>
      <c r="O183" s="26" t="n">
        <f aca="false">IFERROR(O181/(O181+O182),0)</f>
        <v>0.0600844601798235</v>
      </c>
      <c r="P183" s="26" t="n">
        <f aca="false">IFERROR(P181/(P181+P182),0)</f>
        <v>0.0581696254914958</v>
      </c>
      <c r="Q183" s="26" t="n">
        <f aca="false">IFERROR(Q181/(Q181+Q182),0)</f>
        <v>0.0566061718741515</v>
      </c>
      <c r="R183" s="26" t="n">
        <f aca="false">IFERROR(R181/(R181+R182),0)</f>
        <v>0.0553055077224572</v>
      </c>
      <c r="S183" s="26" t="n">
        <f aca="false">IFERROR(S181/(S181+S182),0)</f>
        <v>0.0085237116968143</v>
      </c>
      <c r="T183" s="26" t="n">
        <f aca="false">IFERROR(T181/(T181+T182),0)</f>
        <v>0.0532656613607608</v>
      </c>
      <c r="U183" s="26" t="n">
        <f aca="false">IFERROR(U181/(U181+U182),0)</f>
        <v>0.0524511069147725</v>
      </c>
      <c r="V183" s="26" t="n">
        <f aca="false">IFERROR(V181/(V181+V182),0)</f>
        <v>0.0517390191956636</v>
      </c>
      <c r="W183" s="26" t="n">
        <f aca="false">IFERROR(W181/(W181+W182),0)</f>
        <v>0.0511112076664404</v>
      </c>
      <c r="X183" s="26" t="n">
        <f aca="false">IFERROR(X181/(X181+X182),0)</f>
        <v>0.0516829131914574</v>
      </c>
      <c r="Y183" s="26" t="n">
        <f aca="false">IFERROR(Y181/(Y181+Y182),0)</f>
        <v>0.0522161902333091</v>
      </c>
      <c r="Z183" s="26" t="n">
        <f aca="false">IFERROR(Z181/(Z181+Z182),0)</f>
        <v>0.0531589236703801</v>
      </c>
      <c r="AA183" s="26" t="n">
        <f aca="false">IFERROR(AA181/(AA181+AA182),0)</f>
        <v>0.0540568112835725</v>
      </c>
      <c r="AB183" s="26" t="n">
        <f aca="false">IFERROR(AB181/(AB181+AB182),0)</f>
        <v>0.0549129787031348</v>
      </c>
      <c r="AC183" s="26" t="n">
        <f aca="false">IFERROR(AC181/(AC181+AC182),0)</f>
        <v>0.055730267690528</v>
      </c>
      <c r="AD183" s="26" t="n">
        <f aca="false">IFERROR(AD181/(AD181+AD182),0)</f>
        <v>0.0565112676490752</v>
      </c>
      <c r="AE183" s="26" t="n">
        <f aca="false">IFERROR(AE181/(AE181+AE182),0)</f>
        <v>0.00902814771628106</v>
      </c>
      <c r="AF183" s="26" t="n">
        <f aca="false">IFERROR(AF181/(AF181+AF182),0)</f>
        <v>0.0579736572335977</v>
      </c>
      <c r="AG183" s="26" t="n">
        <f aca="false">IFERROR(AG181/(AG181+AG182),0)</f>
        <v>0.0586591935485767</v>
      </c>
      <c r="AH183" s="26" t="n">
        <f aca="false">IFERROR(AH181/(AH181+AH182),0)</f>
        <v>0.0593167734994598</v>
      </c>
      <c r="AI183" s="26" t="n">
        <f aca="false">IFERROR(AI181/(AI181+AI182),0)</f>
        <v>0.0599480730164031</v>
      </c>
      <c r="AJ183" s="26" t="n">
        <f aca="false">IFERROR(AJ181/(AJ181+AJ182),0)</f>
        <v>0.0605546366955911</v>
      </c>
      <c r="AK183" s="26" t="n">
        <f aca="false">IFERROR(AK181/(AK181+AK182),0)</f>
        <v>0.0611378904169939</v>
      </c>
      <c r="AL183" s="26" t="n">
        <f aca="false">IFERROR(AL181/(AL181+AL182),0)</f>
        <v>0.0616991525348658</v>
      </c>
      <c r="AM183" s="26" t="n">
        <f aca="false">IFERROR(AM181/(AM181+AM182),0)</f>
        <v>0.0605574912900173</v>
      </c>
      <c r="AN183" s="26" t="n">
        <f aca="false">IFERROR(AN181/(AN181+AN182),0)</f>
        <v>0.0594573123341333</v>
      </c>
      <c r="AO183" s="26" t="n">
        <f aca="false">IFERROR(AO181/(AO181+AO182),0)</f>
        <v>0.0583963951190884</v>
      </c>
      <c r="AP183" s="26" t="n">
        <f aca="false">IFERROR(AP181/(AP181+AP182),0)</f>
        <v>0.057372674806384</v>
      </c>
      <c r="AQ183" s="26" t="n">
        <f aca="false">IFERROR(AQ181/(AQ181+AQ182),0)</f>
        <v>0.00888338470485461</v>
      </c>
      <c r="AR183" s="26" t="n">
        <f aca="false">IFERROR(AR181/(AR181+AR182),0)</f>
        <v>0.0554292649658255</v>
      </c>
      <c r="AS183" s="26" t="n">
        <f aca="false">IFERROR(AS181/(AS181+AS182),0)</f>
        <v>0.0554292649658255</v>
      </c>
      <c r="AT183" s="26" t="n">
        <f aca="false">IFERROR(AT181/(AT181+AT182),0)</f>
        <v>0.0554292649658255</v>
      </c>
      <c r="AU183" s="26" t="n">
        <f aca="false">IFERROR(AU181/(AU181+AU182),0)</f>
        <v>0.0554292649658255</v>
      </c>
      <c r="AV183" s="26" t="n">
        <f aca="false">IFERROR(AV181/(AV181+AV182),0)</f>
        <v>0.0554292649658255</v>
      </c>
      <c r="AW183" s="26" t="n">
        <f aca="false">IFERROR(AW181/(AW181+AW182),0)</f>
        <v>0.0554292649658255</v>
      </c>
      <c r="AX183" s="26" t="n">
        <f aca="false">IFERROR(AX181/(AX181+AX182),0)</f>
        <v>0.0554292649658255</v>
      </c>
      <c r="AY183" s="26" t="n">
        <f aca="false">IFERROR(AY181/(AY181+AY182),0)</f>
        <v>0.0554292649658255</v>
      </c>
      <c r="AZ183" s="26" t="n">
        <f aca="false">IFERROR(AZ181/(AZ181+AZ182),0)</f>
        <v>0.0554292649658255</v>
      </c>
      <c r="BA183" s="26" t="n">
        <f aca="false">IFERROR(BA181/(BA181+BA182),0)</f>
        <v>0.0554292649658255</v>
      </c>
      <c r="BB183" s="26" t="n">
        <f aca="false">IFERROR(BB181/(BB181+BB182),0)</f>
        <v>0.0554292649658255</v>
      </c>
      <c r="BC183" s="26" t="n">
        <f aca="false">IFERROR(BC181/(BC181+BC182),0)</f>
        <v>0.00872549012327351</v>
      </c>
      <c r="BD183" s="26" t="n">
        <f aca="false">IFERROR(BD181/(BD181+BD182),0)</f>
        <v>0.0554292649658255</v>
      </c>
      <c r="BE183" s="26" t="n">
        <f aca="false">IFERROR(BE181/(BE181+BE182),0)</f>
        <v>0.0554292649658255</v>
      </c>
      <c r="BF183" s="26" t="n">
        <f aca="false">IFERROR(BF181/(BF181+BF182),0)</f>
        <v>0.0554292649658255</v>
      </c>
      <c r="BG183" s="26" t="n">
        <f aca="false">IFERROR(BG181/(BG181+BG182),0)</f>
        <v>0.0554292649658255</v>
      </c>
      <c r="BH183" s="26" t="n">
        <f aca="false">IFERROR(BH181/(BH181+BH182),0)</f>
        <v>0.0554292649658255</v>
      </c>
      <c r="BI183" s="26" t="n">
        <f aca="false">IFERROR(BI181/(BI181+BI182),0)</f>
        <v>0.0554292649658255</v>
      </c>
      <c r="BJ183" s="26" t="n">
        <f aca="false">IFERROR(BJ181/(BJ181+BJ182),0)</f>
        <v>0.0554292649658255</v>
      </c>
      <c r="BK183" s="26" t="n">
        <f aca="false">IFERROR(BK181/(BK181+BK182),0)</f>
        <v>0.0554292649658255</v>
      </c>
      <c r="BL183" s="26" t="n">
        <f aca="false">IFERROR(BL181/(BL181+BL182),0)</f>
        <v>0.0554292649658255</v>
      </c>
      <c r="BM183" s="26" t="n">
        <f aca="false">IFERROR(BM181/(BM181+BM182),0)</f>
        <v>0.0554292649658255</v>
      </c>
      <c r="BN183" s="26" t="n">
        <f aca="false">IFERROR(BN181/(BN181+BN182),0)</f>
        <v>0.0554292649658255</v>
      </c>
      <c r="BO183" s="26" t="n">
        <f aca="false">IFERROR(BO181/(BO181+BO182),0)</f>
        <v>0.00872549012327351</v>
      </c>
      <c r="BP183" s="26" t="n">
        <f aca="false">IFERROR(BP181/(BP181+BP182),0)</f>
        <v>0.0554292649658255</v>
      </c>
      <c r="BQ183" s="26" t="n">
        <f aca="false">IFERROR(BQ181/(BQ181+BQ182),0)</f>
        <v>0.0554292649658255</v>
      </c>
      <c r="BR183" s="26" t="n">
        <f aca="false">IFERROR(BR181/(BR181+BR182),0)</f>
        <v>0.0554292649658255</v>
      </c>
      <c r="BS183" s="26" t="n">
        <f aca="false">IFERROR(BS181/(BS181+BS182),0)</f>
        <v>0.0554292649658255</v>
      </c>
      <c r="BT183" s="26" t="n">
        <f aca="false">IFERROR(BT181/(BT181+BT182),0)</f>
        <v>0.0554292649658255</v>
      </c>
      <c r="BU183" s="26" t="n">
        <f aca="false">IFERROR(BU181/(BU181+BU182),0)</f>
        <v>0.0554292649658255</v>
      </c>
      <c r="BV183" s="26" t="n">
        <f aca="false">IFERROR(BV181/(BV181+BV182),0)</f>
        <v>0.0554292649658255</v>
      </c>
      <c r="BW183" s="26" t="n">
        <f aca="false">IFERROR(BW181/(BW181+BW182),0)</f>
        <v>0.0554292649658255</v>
      </c>
      <c r="BX183" s="26" t="n">
        <f aca="false">IFERROR(BX181/(BX181+BX182),0)</f>
        <v>0.0554292649658255</v>
      </c>
      <c r="BY183" s="26" t="n">
        <f aca="false">IFERROR(BY181/(BY181+BY182),0)</f>
        <v>0.0554292649658255</v>
      </c>
      <c r="BZ183" s="26" t="n">
        <f aca="false">IFERROR(BZ181/(BZ181+BZ182),0)</f>
        <v>0.0554292649658255</v>
      </c>
      <c r="CA183" s="26" t="n">
        <f aca="false">IFERROR(CA181/(CA181+CA182),0)</f>
        <v>0.00872549012327351</v>
      </c>
      <c r="CB183" s="26" t="n">
        <f aca="false">IFERROR(CB181/(CB181+CB182),0)</f>
        <v>0.0554292649658255</v>
      </c>
      <c r="CC183" s="26" t="n">
        <f aca="false">IFERROR(CC181/(CC181+CC182),0)</f>
        <v>0.0554292649658255</v>
      </c>
      <c r="CD183" s="26" t="n">
        <f aca="false">IFERROR(CD181/(CD181+CD182),0)</f>
        <v>0.0554292649658255</v>
      </c>
      <c r="CE183" s="26" t="n">
        <f aca="false">IFERROR(CE181/(CE181+CE182),0)</f>
        <v>0.0554292649658255</v>
      </c>
      <c r="CF183" s="26" t="n">
        <f aca="false">IFERROR(CF181/(CF181+CF182),0)</f>
        <v>0.0554292649658255</v>
      </c>
      <c r="CG183" s="26" t="n">
        <f aca="false">IFERROR(CG181/(CG181+CG182),0)</f>
        <v>0.0554292649658255</v>
      </c>
      <c r="CH183" s="26" t="n">
        <f aca="false">IFERROR(CH181/(CH181+CH182),0)</f>
        <v>0.0554292649658255</v>
      </c>
    </row>
    <row r="184" customFormat="false" ht="15" hidden="false" customHeight="false" outlineLevel="0" collapsed="false">
      <c r="A184" s="1" t="s">
        <v>845</v>
      </c>
      <c r="C184" s="28" t="n">
        <f aca="false">C16*C21*Hipótesis!$C$16</f>
        <v>929.8125</v>
      </c>
      <c r="D184" s="28" t="n">
        <f aca="false">D16*D21*Hipótesis!$C$16</f>
        <v>1930.095</v>
      </c>
      <c r="E184" s="28" t="n">
        <f aca="false">E16*E21*Hipótesis!$C$16</f>
        <v>4011.89625</v>
      </c>
      <c r="F184" s="28" t="n">
        <f aca="false">F16*F21*Hipótesis!$C$16</f>
        <v>5163.885</v>
      </c>
      <c r="G184" s="28" t="n">
        <f aca="false">G16*G21*Hipótesis!$C$16</f>
        <v>6245.40375</v>
      </c>
      <c r="H184" s="28" t="n">
        <f aca="false">H16*H21*Hipótesis!$C$16</f>
        <v>7972.8975</v>
      </c>
      <c r="I184" s="28" t="n">
        <f aca="false">I16*I21*Hipótesis!$C$16</f>
        <v>9700.39125</v>
      </c>
      <c r="J184" s="28" t="n">
        <f aca="false">J16*J21*Hipótesis!$C$16</f>
        <v>11427.885</v>
      </c>
      <c r="K184" s="28" t="n">
        <f aca="false">K16*K21*Hipótesis!$C$16</f>
        <v>13155.37875</v>
      </c>
      <c r="L184" s="28" t="n">
        <f aca="false">L16*L21*Hipótesis!$C$16</f>
        <v>14882.8725</v>
      </c>
      <c r="M184" s="28" t="n">
        <f aca="false">M16*M21*Hipótesis!$C$16</f>
        <v>15528.8475</v>
      </c>
      <c r="N184" s="28" t="n">
        <f aca="false">N16*N21*Hipótesis!$C$16</f>
        <v>17055.6975</v>
      </c>
      <c r="O184" s="28" t="n">
        <f aca="false">O16*O21*Hipótesis!$C$16</f>
        <v>18582.5475</v>
      </c>
      <c r="P184" s="28" t="n">
        <f aca="false">P16*P21*Hipótesis!$C$16</f>
        <v>19792.2825</v>
      </c>
      <c r="Q184" s="28" t="n">
        <f aca="false">Q16*Q21*Hipótesis!$C$16</f>
        <v>21002.0175</v>
      </c>
      <c r="R184" s="28" t="n">
        <f aca="false">R16*R21*Hipótesis!$C$16</f>
        <v>22211.7525</v>
      </c>
      <c r="S184" s="28" t="n">
        <f aca="false">S16*S21*Hipótesis!$C$16</f>
        <v>23421.4875</v>
      </c>
      <c r="T184" s="28" t="n">
        <f aca="false">T16*T21*Hipótesis!$C$16</f>
        <v>24631.2225</v>
      </c>
      <c r="U184" s="28" t="n">
        <f aca="false">U16*U21*Hipótesis!$C$16</f>
        <v>25840.9575</v>
      </c>
      <c r="V184" s="28" t="n">
        <f aca="false">V16*V21*Hipótesis!$C$16</f>
        <v>27050.6925</v>
      </c>
      <c r="W184" s="28" t="n">
        <f aca="false">W16*W21*Hipótesis!$C$16</f>
        <v>28260.4275</v>
      </c>
      <c r="X184" s="28" t="n">
        <f aca="false">X16*X21*Hipótesis!$C$16</f>
        <v>28589.2875</v>
      </c>
      <c r="Y184" s="28" t="n">
        <f aca="false">Y16*Y21*Hipótesis!$C$16</f>
        <v>28918.1475</v>
      </c>
      <c r="Z184" s="28" t="n">
        <f aca="false">Z16*Z21*Hipótesis!$C$16</f>
        <v>28918.1475</v>
      </c>
      <c r="AA184" s="28" t="n">
        <f aca="false">AA16*AA21*Hipótesis!$C$16</f>
        <v>28918.1475</v>
      </c>
      <c r="AB184" s="28" t="n">
        <f aca="false">AB16*AB21*Hipótesis!$C$16</f>
        <v>28918.1475</v>
      </c>
      <c r="AC184" s="28" t="n">
        <f aca="false">AC16*AC21*Hipótesis!$C$16</f>
        <v>28918.1475</v>
      </c>
      <c r="AD184" s="28" t="n">
        <f aca="false">AD16*AD21*Hipótesis!$C$16</f>
        <v>28918.1475</v>
      </c>
      <c r="AE184" s="28" t="n">
        <f aca="false">AE16*AE21*Hipótesis!$C$16</f>
        <v>28918.1475</v>
      </c>
      <c r="AF184" s="28" t="n">
        <f aca="false">AF16*AF21*Hipótesis!$C$16</f>
        <v>28918.1475</v>
      </c>
      <c r="AG184" s="28" t="n">
        <f aca="false">AG16*AG21*Hipótesis!$C$16</f>
        <v>28918.1475</v>
      </c>
      <c r="AH184" s="28" t="n">
        <f aca="false">AH16*AH21*Hipótesis!$C$16</f>
        <v>28918.1475</v>
      </c>
      <c r="AI184" s="28" t="n">
        <f aca="false">AI16*AI21*Hipótesis!$C$16</f>
        <v>28918.1475</v>
      </c>
      <c r="AJ184" s="28" t="n">
        <f aca="false">AJ16*AJ21*Hipótesis!$C$16</f>
        <v>28918.1475</v>
      </c>
      <c r="AK184" s="28" t="n">
        <f aca="false">AK16*AK21*Hipótesis!$C$16</f>
        <v>28918.1475</v>
      </c>
      <c r="AL184" s="28" t="n">
        <f aca="false">AL16*AL21*Hipótesis!$C$16</f>
        <v>28918.1475</v>
      </c>
      <c r="AM184" s="28" t="n">
        <f aca="false">AM16*AM21*Hipótesis!$C$16</f>
        <v>28918.1475</v>
      </c>
      <c r="AN184" s="28" t="n">
        <f aca="false">AN16*AN21*Hipótesis!$C$16</f>
        <v>28918.1475</v>
      </c>
      <c r="AO184" s="28" t="n">
        <f aca="false">AO16*AO21*Hipótesis!$C$16</f>
        <v>28918.1475</v>
      </c>
      <c r="AP184" s="28" t="n">
        <f aca="false">AP16*AP21*Hipótesis!$C$16</f>
        <v>28918.1475</v>
      </c>
      <c r="AQ184" s="28" t="n">
        <f aca="false">AQ16*AQ21*Hipótesis!$C$16</f>
        <v>28918.1475</v>
      </c>
      <c r="AR184" s="28" t="n">
        <f aca="false">AR16*AR21*Hipótesis!$C$16</f>
        <v>28918.1475</v>
      </c>
      <c r="AS184" s="28" t="n">
        <f aca="false">AS16*AS21*Hipótesis!$C$16</f>
        <v>28918.1475</v>
      </c>
      <c r="AT184" s="28" t="n">
        <f aca="false">AT16*AT21*Hipótesis!$C$16</f>
        <v>28918.1475</v>
      </c>
      <c r="AU184" s="28" t="n">
        <f aca="false">AU16*AU21*Hipótesis!$C$16</f>
        <v>28918.1475</v>
      </c>
      <c r="AV184" s="28" t="n">
        <f aca="false">AV16*AV21*Hipótesis!$C$16</f>
        <v>28918.1475</v>
      </c>
      <c r="AW184" s="28" t="n">
        <f aca="false">AW16*AW21*Hipótesis!$C$16</f>
        <v>28918.1475</v>
      </c>
      <c r="AX184" s="28" t="n">
        <f aca="false">AX16*AX21*Hipótesis!$C$16</f>
        <v>28918.1475</v>
      </c>
      <c r="AY184" s="28" t="n">
        <f aca="false">AY16*AY21*Hipótesis!$C$16</f>
        <v>28918.1475</v>
      </c>
      <c r="AZ184" s="28" t="n">
        <f aca="false">AZ16*AZ21*Hipótesis!$C$16</f>
        <v>28918.1475</v>
      </c>
      <c r="BA184" s="28" t="n">
        <f aca="false">BA16*BA21*Hipótesis!$C$16</f>
        <v>28918.1475</v>
      </c>
      <c r="BB184" s="28" t="n">
        <f aca="false">BB16*BB21*Hipótesis!$C$16</f>
        <v>28918.1475</v>
      </c>
      <c r="BC184" s="28" t="n">
        <f aca="false">BC16*BC21*Hipótesis!$C$16</f>
        <v>28918.1475</v>
      </c>
      <c r="BD184" s="28" t="n">
        <f aca="false">BD16*BD21*Hipótesis!$C$16</f>
        <v>28918.1475</v>
      </c>
      <c r="BE184" s="28" t="n">
        <f aca="false">BE16*BE21*Hipótesis!$C$16</f>
        <v>28918.1475</v>
      </c>
      <c r="BF184" s="28" t="n">
        <f aca="false">BF16*BF21*Hipótesis!$C$16</f>
        <v>28918.1475</v>
      </c>
      <c r="BG184" s="28" t="n">
        <f aca="false">BG16*BG21*Hipótesis!$C$16</f>
        <v>28918.1475</v>
      </c>
      <c r="BH184" s="28" t="n">
        <f aca="false">BH16*BH21*Hipótesis!$C$16</f>
        <v>28918.1475</v>
      </c>
      <c r="BI184" s="28" t="n">
        <f aca="false">BI16*BI21*Hipótesis!$C$16</f>
        <v>28918.1475</v>
      </c>
      <c r="BJ184" s="28" t="n">
        <f aca="false">BJ16*BJ21*Hipótesis!$C$16</f>
        <v>28918.1475</v>
      </c>
      <c r="BK184" s="28" t="n">
        <f aca="false">BK16*BK21*Hipótesis!$C$16</f>
        <v>28918.1475</v>
      </c>
      <c r="BL184" s="28" t="n">
        <f aca="false">BL16*BL21*Hipótesis!$C$16</f>
        <v>28918.1475</v>
      </c>
      <c r="BM184" s="28" t="n">
        <f aca="false">BM16*BM21*Hipótesis!$C$16</f>
        <v>28918.1475</v>
      </c>
      <c r="BN184" s="28" t="n">
        <f aca="false">BN16*BN21*Hipótesis!$C$16</f>
        <v>28918.1475</v>
      </c>
      <c r="BO184" s="28" t="n">
        <f aca="false">BO16*BO21*Hipótesis!$C$16</f>
        <v>28918.1475</v>
      </c>
      <c r="BP184" s="28" t="n">
        <f aca="false">BP16*BP21*Hipótesis!$C$16</f>
        <v>28918.1475</v>
      </c>
      <c r="BQ184" s="28" t="n">
        <f aca="false">BQ16*BQ21*Hipótesis!$C$16</f>
        <v>28918.1475</v>
      </c>
      <c r="BR184" s="28" t="n">
        <f aca="false">BR16*BR21*Hipótesis!$C$16</f>
        <v>28918.1475</v>
      </c>
      <c r="BS184" s="28" t="n">
        <f aca="false">BS16*BS21*Hipótesis!$C$16</f>
        <v>28918.1475</v>
      </c>
      <c r="BT184" s="28" t="n">
        <f aca="false">BT16*BT21*Hipótesis!$C$16</f>
        <v>28918.1475</v>
      </c>
      <c r="BU184" s="28" t="n">
        <f aca="false">BU16*BU21*Hipótesis!$C$16</f>
        <v>28918.1475</v>
      </c>
      <c r="BV184" s="28" t="n">
        <f aca="false">BV16*BV21*Hipótesis!$C$16</f>
        <v>28918.1475</v>
      </c>
      <c r="BW184" s="28" t="n">
        <f aca="false">BW16*BW21*Hipótesis!$C$16</f>
        <v>28918.1475</v>
      </c>
      <c r="BX184" s="28" t="n">
        <f aca="false">BX16*BX21*Hipótesis!$C$16</f>
        <v>28918.1475</v>
      </c>
      <c r="BY184" s="28" t="n">
        <f aca="false">BY16*BY21*Hipótesis!$C$16</f>
        <v>28918.1475</v>
      </c>
      <c r="BZ184" s="28" t="n">
        <f aca="false">BZ16*BZ21*Hipótesis!$C$16</f>
        <v>28918.1475</v>
      </c>
      <c r="CA184" s="28" t="n">
        <f aca="false">CA16*CA21*Hipótesis!$C$16</f>
        <v>28918.1475</v>
      </c>
      <c r="CB184" s="28" t="n">
        <f aca="false">CB16*CB21*Hipótesis!$C$16</f>
        <v>28918.1475</v>
      </c>
      <c r="CC184" s="28" t="n">
        <f aca="false">CC16*CC21*Hipótesis!$C$16</f>
        <v>28918.1475</v>
      </c>
      <c r="CD184" s="28" t="n">
        <f aca="false">CD16*CD21*Hipótesis!$C$16</f>
        <v>28918.1475</v>
      </c>
      <c r="CE184" s="28" t="n">
        <f aca="false">CE16*CE21*Hipótesis!$C$16</f>
        <v>28918.1475</v>
      </c>
      <c r="CF184" s="28" t="n">
        <f aca="false">CF16*CF21*Hipótesis!$C$16</f>
        <v>28918.1475</v>
      </c>
      <c r="CG184" s="28" t="n">
        <f aca="false">CG16*CG21*Hipótesis!$C$16</f>
        <v>28918.1475</v>
      </c>
      <c r="CH184" s="28" t="n">
        <f aca="false">CH16*CH21*Hipótesis!$C$16</f>
        <v>28918.1475</v>
      </c>
    </row>
    <row r="185" customFormat="false" ht="15" hidden="false" customHeight="false" outlineLevel="0" collapsed="false">
      <c r="A185" s="1" t="s">
        <v>846</v>
      </c>
      <c r="C185" s="28" t="n">
        <f aca="false">C23*Hipótesis!$C$20</f>
        <v>0</v>
      </c>
      <c r="D185" s="28" t="n">
        <f aca="false">D23*Hipótesis!$C$20</f>
        <v>0</v>
      </c>
      <c r="E185" s="28" t="n">
        <f aca="false">E23*Hipótesis!$C$20</f>
        <v>0</v>
      </c>
      <c r="F185" s="28" t="n">
        <f aca="false">F23*Hipótesis!$C$20</f>
        <v>0</v>
      </c>
      <c r="G185" s="28" t="n">
        <f aca="false">G23*Hipótesis!$C$20</f>
        <v>0</v>
      </c>
      <c r="H185" s="28" t="n">
        <f aca="false">H23*Hipótesis!$C$20</f>
        <v>0</v>
      </c>
      <c r="I185" s="28" t="n">
        <f aca="false">I23*Hipótesis!$C$20</f>
        <v>758.786698547027</v>
      </c>
      <c r="J185" s="28" t="n">
        <f aca="false">J23*Hipótesis!$C$20</f>
        <v>2655.75344491459</v>
      </c>
      <c r="K185" s="28" t="n">
        <f aca="false">K23*Hipótesis!$C$20</f>
        <v>4552.72019128216</v>
      </c>
      <c r="L185" s="28" t="n">
        <f aca="false">L23*Hipótesis!$C$20</f>
        <v>6449.68693764973</v>
      </c>
      <c r="M185" s="28" t="n">
        <f aca="false">M23*Hipótesis!$C$20</f>
        <v>8346.6536840173</v>
      </c>
      <c r="N185" s="28" t="n">
        <f aca="false">N23*Hipótesis!$C$20</f>
        <v>10243.6204303849</v>
      </c>
      <c r="O185" s="28" t="n">
        <f aca="false">O23*Hipótesis!$C$20</f>
        <v>12140.5871767524</v>
      </c>
      <c r="P185" s="28" t="n">
        <f aca="false">P23*Hipótesis!$C$20</f>
        <v>14037.55392312</v>
      </c>
      <c r="Q185" s="28" t="n">
        <f aca="false">Q23*Hipótesis!$C$20</f>
        <v>15934.5206694876</v>
      </c>
      <c r="R185" s="28" t="n">
        <f aca="false">R23*Hipótesis!$C$20</f>
        <v>17831.4874158551</v>
      </c>
      <c r="S185" s="28" t="n">
        <f aca="false">S23*Hipótesis!$C$20</f>
        <v>19728.4541622227</v>
      </c>
      <c r="T185" s="28" t="n">
        <f aca="false">T23*Hipótesis!$C$20</f>
        <v>21625.4209085903</v>
      </c>
      <c r="U185" s="28" t="n">
        <f aca="false">U23*Hipótesis!$C$20</f>
        <v>23522.3876549578</v>
      </c>
      <c r="V185" s="28" t="n">
        <f aca="false">V23*Hipótesis!$C$20</f>
        <v>25419.3544013254</v>
      </c>
      <c r="W185" s="28" t="n">
        <f aca="false">W23*Hipótesis!$C$20</f>
        <v>27316.321147693</v>
      </c>
      <c r="X185" s="28" t="n">
        <f aca="false">X23*Hipótesis!$C$20</f>
        <v>29213.2878940605</v>
      </c>
      <c r="Y185" s="28" t="n">
        <f aca="false">Y23*Hipótesis!$C$20</f>
        <v>31110.2546404281</v>
      </c>
      <c r="Z185" s="28" t="n">
        <f aca="false">Z23*Hipótesis!$C$20</f>
        <v>33007.2213867957</v>
      </c>
      <c r="AA185" s="28" t="n">
        <f aca="false">AA23*Hipótesis!$C$20</f>
        <v>34904.1881331633</v>
      </c>
      <c r="AB185" s="28" t="n">
        <f aca="false">AB23*Hipótesis!$C$20</f>
        <v>36801.1548795308</v>
      </c>
      <c r="AC185" s="28" t="n">
        <f aca="false">AC23*Hipótesis!$C$20</f>
        <v>38698.1216258984</v>
      </c>
      <c r="AD185" s="28" t="n">
        <f aca="false">AD23*Hipótesis!$C$20</f>
        <v>40595.088372266</v>
      </c>
      <c r="AE185" s="28" t="n">
        <f aca="false">AE23*Hipótesis!$C$20</f>
        <v>42492.0551186335</v>
      </c>
      <c r="AF185" s="28" t="n">
        <f aca="false">AF23*Hipótesis!$C$20</f>
        <v>44389.0218650011</v>
      </c>
      <c r="AG185" s="28" t="n">
        <f aca="false">AG23*Hipótesis!$C$20</f>
        <v>46285.9886113687</v>
      </c>
      <c r="AH185" s="28" t="n">
        <f aca="false">AH23*Hipótesis!$C$20</f>
        <v>48182.9553577362</v>
      </c>
      <c r="AI185" s="28" t="n">
        <f aca="false">AI23*Hipótesis!$C$20</f>
        <v>50079.9221041038</v>
      </c>
      <c r="AJ185" s="28" t="n">
        <f aca="false">AJ23*Hipótesis!$C$20</f>
        <v>51976.8888504714</v>
      </c>
      <c r="AK185" s="28" t="n">
        <f aca="false">AK23*Hipótesis!$C$20</f>
        <v>53873.8555968389</v>
      </c>
      <c r="AL185" s="28" t="n">
        <f aca="false">AL23*Hipótesis!$C$20</f>
        <v>55770.8223432065</v>
      </c>
      <c r="AM185" s="28" t="n">
        <f aca="false">AM23*Hipótesis!$C$20</f>
        <v>57857.4857642108</v>
      </c>
      <c r="AN185" s="28" t="n">
        <f aca="false">AN23*Hipótesis!$C$20</f>
        <v>59944.1491852151</v>
      </c>
      <c r="AO185" s="28" t="n">
        <f aca="false">AO23*Hipótesis!$C$20</f>
        <v>62030.8126062195</v>
      </c>
      <c r="AP185" s="28" t="n">
        <f aca="false">AP23*Hipótesis!$C$20</f>
        <v>64117.4760272238</v>
      </c>
      <c r="AQ185" s="28" t="n">
        <f aca="false">AQ23*Hipótesis!$C$20</f>
        <v>66204.1394482281</v>
      </c>
      <c r="AR185" s="28" t="n">
        <f aca="false">AR23*Hipótesis!$C$20</f>
        <v>68290.8028692324</v>
      </c>
      <c r="AS185" s="28" t="n">
        <f aca="false">AS23*Hipótesis!$C$20</f>
        <v>68290.8028692324</v>
      </c>
      <c r="AT185" s="28" t="n">
        <f aca="false">AT23*Hipótesis!$C$20</f>
        <v>68290.8028692324</v>
      </c>
      <c r="AU185" s="28" t="n">
        <f aca="false">AU23*Hipótesis!$C$20</f>
        <v>68290.8028692324</v>
      </c>
      <c r="AV185" s="28" t="n">
        <f aca="false">AV23*Hipótesis!$C$20</f>
        <v>68290.8028692324</v>
      </c>
      <c r="AW185" s="28" t="n">
        <f aca="false">AW23*Hipótesis!$C$20</f>
        <v>68290.8028692324</v>
      </c>
      <c r="AX185" s="28" t="n">
        <f aca="false">AX23*Hipótesis!$C$20</f>
        <v>68290.8028692324</v>
      </c>
      <c r="AY185" s="28" t="n">
        <f aca="false">AY23*Hipótesis!$C$20</f>
        <v>68290.8028692324</v>
      </c>
      <c r="AZ185" s="28" t="n">
        <f aca="false">AZ23*Hipótesis!$C$20</f>
        <v>68290.8028692324</v>
      </c>
      <c r="BA185" s="28" t="n">
        <f aca="false">BA23*Hipótesis!$C$20</f>
        <v>68290.8028692324</v>
      </c>
      <c r="BB185" s="28" t="n">
        <f aca="false">BB23*Hipótesis!$C$20</f>
        <v>68290.8028692324</v>
      </c>
      <c r="BC185" s="28" t="n">
        <f aca="false">BC23*Hipótesis!$C$20</f>
        <v>68290.8028692324</v>
      </c>
      <c r="BD185" s="28" t="n">
        <f aca="false">BD23*Hipótesis!$C$20</f>
        <v>68290.8028692324</v>
      </c>
      <c r="BE185" s="28" t="n">
        <f aca="false">BE23*Hipótesis!$C$20</f>
        <v>68290.8028692324</v>
      </c>
      <c r="BF185" s="28" t="n">
        <f aca="false">BF23*Hipótesis!$C$20</f>
        <v>68290.8028692324</v>
      </c>
      <c r="BG185" s="28" t="n">
        <f aca="false">BG23*Hipótesis!$C$20</f>
        <v>68290.8028692324</v>
      </c>
      <c r="BH185" s="28" t="n">
        <f aca="false">BH23*Hipótesis!$C$20</f>
        <v>68290.8028692324</v>
      </c>
      <c r="BI185" s="28" t="n">
        <f aca="false">BI23*Hipótesis!$C$20</f>
        <v>68290.8028692324</v>
      </c>
      <c r="BJ185" s="28" t="n">
        <f aca="false">BJ23*Hipótesis!$C$20</f>
        <v>68290.8028692324</v>
      </c>
      <c r="BK185" s="28" t="n">
        <f aca="false">BK23*Hipótesis!$C$20</f>
        <v>68290.8028692324</v>
      </c>
      <c r="BL185" s="28" t="n">
        <f aca="false">BL23*Hipótesis!$C$20</f>
        <v>68290.8028692324</v>
      </c>
      <c r="BM185" s="28" t="n">
        <f aca="false">BM23*Hipótesis!$C$20</f>
        <v>68290.8028692324</v>
      </c>
      <c r="BN185" s="28" t="n">
        <f aca="false">BN23*Hipótesis!$C$20</f>
        <v>68290.8028692324</v>
      </c>
      <c r="BO185" s="28" t="n">
        <f aca="false">BO23*Hipótesis!$C$20</f>
        <v>68290.8028692324</v>
      </c>
      <c r="BP185" s="28" t="n">
        <f aca="false">BP23*Hipótesis!$C$20</f>
        <v>68290.8028692324</v>
      </c>
      <c r="BQ185" s="28" t="n">
        <f aca="false">BQ23*Hipótesis!$C$20</f>
        <v>68290.8028692324</v>
      </c>
      <c r="BR185" s="28" t="n">
        <f aca="false">BR23*Hipótesis!$C$20</f>
        <v>68290.8028692324</v>
      </c>
      <c r="BS185" s="28" t="n">
        <f aca="false">BS23*Hipótesis!$C$20</f>
        <v>68290.8028692324</v>
      </c>
      <c r="BT185" s="28" t="n">
        <f aca="false">BT23*Hipótesis!$C$20</f>
        <v>68290.8028692324</v>
      </c>
      <c r="BU185" s="28" t="n">
        <f aca="false">BU23*Hipótesis!$C$20</f>
        <v>68290.8028692324</v>
      </c>
      <c r="BV185" s="28" t="n">
        <f aca="false">BV23*Hipótesis!$C$20</f>
        <v>68290.8028692324</v>
      </c>
      <c r="BW185" s="28" t="n">
        <f aca="false">BW23*Hipótesis!$C$20</f>
        <v>68290.8028692324</v>
      </c>
      <c r="BX185" s="28" t="n">
        <f aca="false">BX23*Hipótesis!$C$20</f>
        <v>68290.8028692324</v>
      </c>
      <c r="BY185" s="28" t="n">
        <f aca="false">BY23*Hipótesis!$C$20</f>
        <v>68290.8028692324</v>
      </c>
      <c r="BZ185" s="28" t="n">
        <f aca="false">BZ23*Hipótesis!$C$20</f>
        <v>68290.8028692324</v>
      </c>
      <c r="CA185" s="28" t="n">
        <f aca="false">CA23*Hipótesis!$C$20</f>
        <v>68290.8028692324</v>
      </c>
      <c r="CB185" s="28" t="n">
        <f aca="false">CB23*Hipótesis!$C$20</f>
        <v>68290.8028692324</v>
      </c>
      <c r="CC185" s="28" t="n">
        <f aca="false">CC23*Hipótesis!$C$20</f>
        <v>68290.8028692324</v>
      </c>
      <c r="CD185" s="28" t="n">
        <f aca="false">CD23*Hipótesis!$C$20</f>
        <v>68290.8028692324</v>
      </c>
      <c r="CE185" s="28" t="n">
        <f aca="false">CE23*Hipótesis!$C$20</f>
        <v>68290.8028692324</v>
      </c>
      <c r="CF185" s="28" t="n">
        <f aca="false">CF23*Hipótesis!$C$20</f>
        <v>68290.8028692324</v>
      </c>
      <c r="CG185" s="28" t="n">
        <f aca="false">CG23*Hipótesis!$C$20</f>
        <v>68290.8028692324</v>
      </c>
      <c r="CH185" s="28" t="n">
        <f aca="false">CH23*Hipótesis!$C$20</f>
        <v>68290.8028692324</v>
      </c>
    </row>
    <row r="186" customFormat="false" ht="15" hidden="false" customHeight="false" outlineLevel="0" collapsed="false">
      <c r="A186" s="25" t="s">
        <v>847</v>
      </c>
      <c r="C186" s="156" t="n">
        <f aca="false">C184+C185</f>
        <v>929.8125</v>
      </c>
      <c r="D186" s="156" t="n">
        <f aca="false">D184+D185</f>
        <v>1930.095</v>
      </c>
      <c r="E186" s="156" t="n">
        <f aca="false">E184+E185</f>
        <v>4011.89625</v>
      </c>
      <c r="F186" s="156" t="n">
        <f aca="false">F184+F185</f>
        <v>5163.885</v>
      </c>
      <c r="G186" s="156" t="n">
        <f aca="false">G184+G185</f>
        <v>6245.40375</v>
      </c>
      <c r="H186" s="156" t="n">
        <f aca="false">H184+H185</f>
        <v>7972.8975</v>
      </c>
      <c r="I186" s="156" t="n">
        <f aca="false">I184+I185</f>
        <v>10459.177948547</v>
      </c>
      <c r="J186" s="156" t="n">
        <f aca="false">J184+J185</f>
        <v>14083.6384449146</v>
      </c>
      <c r="K186" s="156" t="n">
        <f aca="false">K184+K185</f>
        <v>17708.0989412822</v>
      </c>
      <c r="L186" s="156" t="n">
        <f aca="false">L184+L185</f>
        <v>21332.5594376497</v>
      </c>
      <c r="M186" s="156" t="n">
        <f aca="false">M184+M185</f>
        <v>23875.5011840173</v>
      </c>
      <c r="N186" s="156" t="n">
        <f aca="false">N184+N185</f>
        <v>27299.3179303849</v>
      </c>
      <c r="O186" s="156" t="n">
        <f aca="false">O184+O185</f>
        <v>30723.1346767524</v>
      </c>
      <c r="P186" s="156" t="n">
        <f aca="false">P184+P185</f>
        <v>33829.83642312</v>
      </c>
      <c r="Q186" s="156" t="n">
        <f aca="false">Q184+Q185</f>
        <v>36936.5381694876</v>
      </c>
      <c r="R186" s="156" t="n">
        <f aca="false">R184+R185</f>
        <v>40043.2399158551</v>
      </c>
      <c r="S186" s="156" t="n">
        <f aca="false">S184+S185</f>
        <v>43149.9416622227</v>
      </c>
      <c r="T186" s="156" t="n">
        <f aca="false">T184+T185</f>
        <v>46256.6434085903</v>
      </c>
      <c r="U186" s="156" t="n">
        <f aca="false">U184+U185</f>
        <v>49363.3451549578</v>
      </c>
      <c r="V186" s="156" t="n">
        <f aca="false">V184+V185</f>
        <v>52470.0469013254</v>
      </c>
      <c r="W186" s="156" t="n">
        <f aca="false">W184+W185</f>
        <v>55576.748647693</v>
      </c>
      <c r="X186" s="156" t="n">
        <f aca="false">X184+X185</f>
        <v>57802.5753940605</v>
      </c>
      <c r="Y186" s="156" t="n">
        <f aca="false">Y184+Y185</f>
        <v>60028.4021404281</v>
      </c>
      <c r="Z186" s="156" t="n">
        <f aca="false">Z184+Z185</f>
        <v>61925.3688867957</v>
      </c>
      <c r="AA186" s="156" t="n">
        <f aca="false">AA184+AA185</f>
        <v>63822.3356331633</v>
      </c>
      <c r="AB186" s="156" t="n">
        <f aca="false">AB184+AB185</f>
        <v>65719.3023795308</v>
      </c>
      <c r="AC186" s="156" t="n">
        <f aca="false">AC184+AC185</f>
        <v>67616.2691258984</v>
      </c>
      <c r="AD186" s="156" t="n">
        <f aca="false">AD184+AD185</f>
        <v>69513.235872266</v>
      </c>
      <c r="AE186" s="156" t="n">
        <f aca="false">AE184+AE185</f>
        <v>71410.2026186335</v>
      </c>
      <c r="AF186" s="156" t="n">
        <f aca="false">AF184+AF185</f>
        <v>73307.1693650011</v>
      </c>
      <c r="AG186" s="156" t="n">
        <f aca="false">AG184+AG185</f>
        <v>75204.1361113687</v>
      </c>
      <c r="AH186" s="156" t="n">
        <f aca="false">AH184+AH185</f>
        <v>77101.1028577362</v>
      </c>
      <c r="AI186" s="156" t="n">
        <f aca="false">AI184+AI185</f>
        <v>78998.0696041038</v>
      </c>
      <c r="AJ186" s="156" t="n">
        <f aca="false">AJ184+AJ185</f>
        <v>80895.0363504714</v>
      </c>
      <c r="AK186" s="156" t="n">
        <f aca="false">AK184+AK185</f>
        <v>82792.0030968389</v>
      </c>
      <c r="AL186" s="156" t="n">
        <f aca="false">AL184+AL185</f>
        <v>84688.9698432065</v>
      </c>
      <c r="AM186" s="156" t="n">
        <f aca="false">AM184+AM185</f>
        <v>86775.6332642108</v>
      </c>
      <c r="AN186" s="156" t="n">
        <f aca="false">AN184+AN185</f>
        <v>88862.2966852151</v>
      </c>
      <c r="AO186" s="156" t="n">
        <f aca="false">AO184+AO185</f>
        <v>90948.9601062195</v>
      </c>
      <c r="AP186" s="156" t="n">
        <f aca="false">AP184+AP185</f>
        <v>93035.6235272238</v>
      </c>
      <c r="AQ186" s="156" t="n">
        <f aca="false">AQ184+AQ185</f>
        <v>95122.2869482281</v>
      </c>
      <c r="AR186" s="156" t="n">
        <f aca="false">AR184+AR185</f>
        <v>97208.9503692325</v>
      </c>
      <c r="AS186" s="156" t="n">
        <f aca="false">AS184+AS185</f>
        <v>97208.9503692325</v>
      </c>
      <c r="AT186" s="156" t="n">
        <f aca="false">AT184+AT185</f>
        <v>97208.9503692325</v>
      </c>
      <c r="AU186" s="156" t="n">
        <f aca="false">AU184+AU185</f>
        <v>97208.9503692325</v>
      </c>
      <c r="AV186" s="156" t="n">
        <f aca="false">AV184+AV185</f>
        <v>97208.9503692325</v>
      </c>
      <c r="AW186" s="156" t="n">
        <f aca="false">AW184+AW185</f>
        <v>97208.9503692325</v>
      </c>
      <c r="AX186" s="156" t="n">
        <f aca="false">AX184+AX185</f>
        <v>97208.9503692325</v>
      </c>
      <c r="AY186" s="156" t="n">
        <f aca="false">AY184+AY185</f>
        <v>97208.9503692325</v>
      </c>
      <c r="AZ186" s="156" t="n">
        <f aca="false">AZ184+AZ185</f>
        <v>97208.9503692325</v>
      </c>
      <c r="BA186" s="156" t="n">
        <f aca="false">BA184+BA185</f>
        <v>97208.9503692325</v>
      </c>
      <c r="BB186" s="156" t="n">
        <f aca="false">BB184+BB185</f>
        <v>97208.9503692325</v>
      </c>
      <c r="BC186" s="156" t="n">
        <f aca="false">BC184+BC185</f>
        <v>97208.9503692325</v>
      </c>
      <c r="BD186" s="156" t="n">
        <f aca="false">BD184+BD185</f>
        <v>97208.9503692325</v>
      </c>
      <c r="BE186" s="156" t="n">
        <f aca="false">BE184+BE185</f>
        <v>97208.9503692325</v>
      </c>
      <c r="BF186" s="156" t="n">
        <f aca="false">BF184+BF185</f>
        <v>97208.9503692325</v>
      </c>
      <c r="BG186" s="156" t="n">
        <f aca="false">BG184+BG185</f>
        <v>97208.9503692325</v>
      </c>
      <c r="BH186" s="156" t="n">
        <f aca="false">BH184+BH185</f>
        <v>97208.9503692325</v>
      </c>
      <c r="BI186" s="156" t="n">
        <f aca="false">BI184+BI185</f>
        <v>97208.9503692325</v>
      </c>
      <c r="BJ186" s="156" t="n">
        <f aca="false">BJ184+BJ185</f>
        <v>97208.9503692325</v>
      </c>
      <c r="BK186" s="156" t="n">
        <f aca="false">BK184+BK185</f>
        <v>97208.9503692325</v>
      </c>
      <c r="BL186" s="156" t="n">
        <f aca="false">BL184+BL185</f>
        <v>97208.9503692325</v>
      </c>
      <c r="BM186" s="156" t="n">
        <f aca="false">BM184+BM185</f>
        <v>97208.9503692325</v>
      </c>
      <c r="BN186" s="156" t="n">
        <f aca="false">BN184+BN185</f>
        <v>97208.9503692325</v>
      </c>
      <c r="BO186" s="156" t="n">
        <f aca="false">BO184+BO185</f>
        <v>97208.9503692325</v>
      </c>
      <c r="BP186" s="156" t="n">
        <f aca="false">BP184+BP185</f>
        <v>97208.9503692325</v>
      </c>
      <c r="BQ186" s="156" t="n">
        <f aca="false">BQ184+BQ185</f>
        <v>97208.9503692325</v>
      </c>
      <c r="BR186" s="156" t="n">
        <f aca="false">BR184+BR185</f>
        <v>97208.9503692325</v>
      </c>
      <c r="BS186" s="156" t="n">
        <f aca="false">BS184+BS185</f>
        <v>97208.9503692325</v>
      </c>
      <c r="BT186" s="156" t="n">
        <f aca="false">BT184+BT185</f>
        <v>97208.9503692325</v>
      </c>
      <c r="BU186" s="156" t="n">
        <f aca="false">BU184+BU185</f>
        <v>97208.9503692325</v>
      </c>
      <c r="BV186" s="156" t="n">
        <f aca="false">BV184+BV185</f>
        <v>97208.9503692325</v>
      </c>
      <c r="BW186" s="156" t="n">
        <f aca="false">BW184+BW185</f>
        <v>97208.9503692325</v>
      </c>
      <c r="BX186" s="156" t="n">
        <f aca="false">BX184+BX185</f>
        <v>97208.9503692325</v>
      </c>
      <c r="BY186" s="156" t="n">
        <f aca="false">BY184+BY185</f>
        <v>97208.9503692325</v>
      </c>
      <c r="BZ186" s="156" t="n">
        <f aca="false">BZ184+BZ185</f>
        <v>97208.9503692325</v>
      </c>
      <c r="CA186" s="156" t="n">
        <f aca="false">CA184+CA185</f>
        <v>97208.9503692325</v>
      </c>
      <c r="CB186" s="156" t="n">
        <f aca="false">CB184+CB185</f>
        <v>97208.9503692325</v>
      </c>
      <c r="CC186" s="156" t="n">
        <f aca="false">CC184+CC185</f>
        <v>97208.9503692325</v>
      </c>
      <c r="CD186" s="156" t="n">
        <f aca="false">CD184+CD185</f>
        <v>97208.9503692325</v>
      </c>
      <c r="CE186" s="156" t="n">
        <f aca="false">CE184+CE185</f>
        <v>97208.9503692325</v>
      </c>
      <c r="CF186" s="156" t="n">
        <f aca="false">CF184+CF185</f>
        <v>97208.9503692325</v>
      </c>
      <c r="CG186" s="156" t="n">
        <f aca="false">CG184+CG185</f>
        <v>97208.9503692325</v>
      </c>
      <c r="CH186" s="156" t="n">
        <f aca="false">CH184+CH185</f>
        <v>97208.9503692325</v>
      </c>
    </row>
    <row r="187" customFormat="false" ht="15" hidden="false" customHeight="false" outlineLevel="0" collapsed="false">
      <c r="A187" s="1" t="s">
        <v>848</v>
      </c>
      <c r="C187" s="28" t="n">
        <f aca="false">C178*Hipótesis!$C$130</f>
        <v>790.625229005406</v>
      </c>
      <c r="D187" s="28" t="n">
        <f aca="false">D178*Hipótesis!$C$130</f>
        <v>1581.25045801081</v>
      </c>
      <c r="E187" s="28" t="n">
        <f aca="false">E178*Hipótesis!$C$130</f>
        <v>2371.87568701622</v>
      </c>
      <c r="F187" s="28" t="n">
        <f aca="false">F178*Hipótesis!$C$130</f>
        <v>3162.50091602162</v>
      </c>
      <c r="G187" s="28" t="n">
        <f aca="false">G178*Hipótesis!$C$130</f>
        <v>592.968921754054</v>
      </c>
      <c r="H187" s="28" t="n">
        <f aca="false">H178*Hipótesis!$C$130</f>
        <v>4743.75137403243</v>
      </c>
      <c r="I187" s="28" t="n">
        <f aca="false">I178*Hipótesis!$C$130</f>
        <v>5534.37660303784</v>
      </c>
      <c r="J187" s="28" t="n">
        <f aca="false">J178*Hipótesis!$C$130</f>
        <v>6325.00183204325</v>
      </c>
      <c r="K187" s="28" t="n">
        <f aca="false">K178*Hipótesis!$C$130</f>
        <v>7115.62706104865</v>
      </c>
      <c r="L187" s="28" t="n">
        <f aca="false">L178*Hipótesis!$C$130</f>
        <v>7906.25229005406</v>
      </c>
      <c r="M187" s="28" t="n">
        <f aca="false">M178*Hipótesis!$C$130</f>
        <v>8696.87751905946</v>
      </c>
      <c r="N187" s="28" t="n">
        <f aca="false">N178*Hipótesis!$C$130</f>
        <v>9487.50274806487</v>
      </c>
      <c r="O187" s="28" t="n">
        <f aca="false">O178*Hipótesis!$C$130</f>
        <v>10278.1279770703</v>
      </c>
      <c r="P187" s="28" t="n">
        <f aca="false">P178*Hipótesis!$C$130</f>
        <v>11068.7532060757</v>
      </c>
      <c r="Q187" s="28" t="n">
        <f aca="false">Q178*Hipótesis!$C$130</f>
        <v>11859.3784350811</v>
      </c>
      <c r="R187" s="28" t="n">
        <f aca="false">R178*Hipótesis!$C$130</f>
        <v>12650.0036640865</v>
      </c>
      <c r="S187" s="28" t="n">
        <f aca="false">S178*Hipótesis!$C$130</f>
        <v>2016.09433396378</v>
      </c>
      <c r="T187" s="28" t="n">
        <f aca="false">T178*Hipótesis!$C$130</f>
        <v>14231.2541220973</v>
      </c>
      <c r="U187" s="28" t="n">
        <f aca="false">U178*Hipótesis!$C$130</f>
        <v>15021.8793511027</v>
      </c>
      <c r="V187" s="28" t="n">
        <f aca="false">V178*Hipótesis!$C$130</f>
        <v>15812.5045801081</v>
      </c>
      <c r="W187" s="28" t="n">
        <f aca="false">W178*Hipótesis!$C$130</f>
        <v>16603.1298091135</v>
      </c>
      <c r="X187" s="28" t="n">
        <f aca="false">X178*Hipótesis!$C$130</f>
        <v>17393.7550381189</v>
      </c>
      <c r="Y187" s="28" t="n">
        <f aca="false">Y178*Hipótesis!$C$130</f>
        <v>18184.3802671243</v>
      </c>
      <c r="Z187" s="28" t="n">
        <f aca="false">Z178*Hipótesis!$C$130</f>
        <v>18975.0054961297</v>
      </c>
      <c r="AA187" s="28" t="n">
        <f aca="false">AA178*Hipótesis!$C$130</f>
        <v>19765.6307251351</v>
      </c>
      <c r="AB187" s="28" t="n">
        <f aca="false">AB178*Hipótesis!$C$130</f>
        <v>20556.2559541405</v>
      </c>
      <c r="AC187" s="28" t="n">
        <f aca="false">AC178*Hipótesis!$C$130</f>
        <v>21346.881183146</v>
      </c>
      <c r="AD187" s="28" t="n">
        <f aca="false">AD178*Hipótesis!$C$130</f>
        <v>22137.5064121514</v>
      </c>
      <c r="AE187" s="28" t="n">
        <f aca="false">AE178*Hipótesis!$C$130</f>
        <v>3439.21974617351</v>
      </c>
      <c r="AF187" s="28" t="n">
        <f aca="false">AF178*Hipótesis!$C$130</f>
        <v>23718.7568701622</v>
      </c>
      <c r="AG187" s="28" t="n">
        <f aca="false">AG178*Hipótesis!$C$130</f>
        <v>24509.3820991676</v>
      </c>
      <c r="AH187" s="28" t="n">
        <f aca="false">AH178*Hipótesis!$C$130</f>
        <v>25300.007328173</v>
      </c>
      <c r="AI187" s="28" t="n">
        <f aca="false">AI178*Hipótesis!$C$130</f>
        <v>26090.6325571784</v>
      </c>
      <c r="AJ187" s="28" t="n">
        <f aca="false">AJ178*Hipótesis!$C$130</f>
        <v>26881.2577861838</v>
      </c>
      <c r="AK187" s="28" t="n">
        <f aca="false">AK178*Hipótesis!$C$130</f>
        <v>27671.8830151892</v>
      </c>
      <c r="AL187" s="28" t="n">
        <f aca="false">AL178*Hipótesis!$C$130</f>
        <v>28462.5082441946</v>
      </c>
      <c r="AM187" s="28" t="n">
        <f aca="false">AM178*Hipótesis!$C$130</f>
        <v>28462.5082441946</v>
      </c>
      <c r="AN187" s="28" t="n">
        <f aca="false">AN178*Hipótesis!$C$130</f>
        <v>28462.5082441946</v>
      </c>
      <c r="AO187" s="28" t="n">
        <f aca="false">AO178*Hipótesis!$C$130</f>
        <v>28462.5082441946</v>
      </c>
      <c r="AP187" s="28" t="n">
        <f aca="false">AP178*Hipótesis!$C$130</f>
        <v>28462.5082441946</v>
      </c>
      <c r="AQ187" s="28" t="n">
        <f aca="false">AQ178*Hipótesis!$C$130</f>
        <v>4269.37623662919</v>
      </c>
      <c r="AR187" s="28" t="n">
        <f aca="false">AR178*Hipótesis!$C$130</f>
        <v>28462.5082441946</v>
      </c>
      <c r="AS187" s="28" t="n">
        <f aca="false">AS178*Hipótesis!$C$130</f>
        <v>28462.5082441946</v>
      </c>
      <c r="AT187" s="28" t="n">
        <f aca="false">AT178*Hipótesis!$C$130</f>
        <v>28462.5082441946</v>
      </c>
      <c r="AU187" s="28" t="n">
        <f aca="false">AU178*Hipótesis!$C$130</f>
        <v>28462.5082441946</v>
      </c>
      <c r="AV187" s="28" t="n">
        <f aca="false">AV178*Hipótesis!$C$130</f>
        <v>28462.5082441946</v>
      </c>
      <c r="AW187" s="28" t="n">
        <f aca="false">AW178*Hipótesis!$C$130</f>
        <v>28462.5082441946</v>
      </c>
      <c r="AX187" s="28" t="n">
        <f aca="false">AX178*Hipótesis!$C$130</f>
        <v>28462.5082441946</v>
      </c>
      <c r="AY187" s="28" t="n">
        <f aca="false">AY178*Hipótesis!$C$130</f>
        <v>28462.5082441946</v>
      </c>
      <c r="AZ187" s="28" t="n">
        <f aca="false">AZ178*Hipótesis!$C$130</f>
        <v>28462.5082441946</v>
      </c>
      <c r="BA187" s="28" t="n">
        <f aca="false">BA178*Hipótesis!$C$130</f>
        <v>28462.5082441946</v>
      </c>
      <c r="BB187" s="28" t="n">
        <f aca="false">BB178*Hipótesis!$C$130</f>
        <v>28462.5082441946</v>
      </c>
      <c r="BC187" s="28" t="n">
        <f aca="false">BC178*Hipótesis!$C$130</f>
        <v>4269.37623662919</v>
      </c>
      <c r="BD187" s="28" t="n">
        <f aca="false">BD178*Hipótesis!$C$130</f>
        <v>28462.5082441946</v>
      </c>
      <c r="BE187" s="28" t="n">
        <f aca="false">BE178*Hipótesis!$C$130</f>
        <v>28462.5082441946</v>
      </c>
      <c r="BF187" s="28" t="n">
        <f aca="false">BF178*Hipótesis!$C$130</f>
        <v>28462.5082441946</v>
      </c>
      <c r="BG187" s="28" t="n">
        <f aca="false">BG178*Hipótesis!$C$130</f>
        <v>28462.5082441946</v>
      </c>
      <c r="BH187" s="28" t="n">
        <f aca="false">BH178*Hipótesis!$C$130</f>
        <v>28462.5082441946</v>
      </c>
      <c r="BI187" s="28" t="n">
        <f aca="false">BI178*Hipótesis!$C$130</f>
        <v>28462.5082441946</v>
      </c>
      <c r="BJ187" s="28" t="n">
        <f aca="false">BJ178*Hipótesis!$C$130</f>
        <v>28462.5082441946</v>
      </c>
      <c r="BK187" s="28" t="n">
        <f aca="false">BK178*Hipótesis!$C$130</f>
        <v>28462.5082441946</v>
      </c>
      <c r="BL187" s="28" t="n">
        <f aca="false">BL178*Hipótesis!$C$130</f>
        <v>28462.5082441946</v>
      </c>
      <c r="BM187" s="28" t="n">
        <f aca="false">BM178*Hipótesis!$C$130</f>
        <v>28462.5082441946</v>
      </c>
      <c r="BN187" s="28" t="n">
        <f aca="false">BN178*Hipótesis!$C$130</f>
        <v>28462.5082441946</v>
      </c>
      <c r="BO187" s="28" t="n">
        <f aca="false">BO178*Hipótesis!$C$130</f>
        <v>4269.37623662919</v>
      </c>
      <c r="BP187" s="28" t="n">
        <f aca="false">BP178*Hipótesis!$C$130</f>
        <v>28462.5082441946</v>
      </c>
      <c r="BQ187" s="28" t="n">
        <f aca="false">BQ178*Hipótesis!$C$130</f>
        <v>28462.5082441946</v>
      </c>
      <c r="BR187" s="28" t="n">
        <f aca="false">BR178*Hipótesis!$C$130</f>
        <v>28462.5082441946</v>
      </c>
      <c r="BS187" s="28" t="n">
        <f aca="false">BS178*Hipótesis!$C$130</f>
        <v>28462.5082441946</v>
      </c>
      <c r="BT187" s="28" t="n">
        <f aca="false">BT178*Hipótesis!$C$130</f>
        <v>28462.5082441946</v>
      </c>
      <c r="BU187" s="28" t="n">
        <f aca="false">BU178*Hipótesis!$C$130</f>
        <v>28462.5082441946</v>
      </c>
      <c r="BV187" s="28" t="n">
        <f aca="false">BV178*Hipótesis!$C$130</f>
        <v>28462.5082441946</v>
      </c>
      <c r="BW187" s="28" t="n">
        <f aca="false">BW178*Hipótesis!$C$130</f>
        <v>28462.5082441946</v>
      </c>
      <c r="BX187" s="28" t="n">
        <f aca="false">BX178*Hipótesis!$C$130</f>
        <v>28462.5082441946</v>
      </c>
      <c r="BY187" s="28" t="n">
        <f aca="false">BY178*Hipótesis!$C$130</f>
        <v>28462.5082441946</v>
      </c>
      <c r="BZ187" s="28" t="n">
        <f aca="false">BZ178*Hipótesis!$C$130</f>
        <v>28462.5082441946</v>
      </c>
      <c r="CA187" s="28" t="n">
        <f aca="false">CA178*Hipótesis!$C$130</f>
        <v>4269.37623662919</v>
      </c>
      <c r="CB187" s="28" t="n">
        <f aca="false">CB178*Hipótesis!$C$130</f>
        <v>28462.5082441946</v>
      </c>
      <c r="CC187" s="28" t="n">
        <f aca="false">CC178*Hipótesis!$C$130</f>
        <v>28462.5082441946</v>
      </c>
      <c r="CD187" s="28" t="n">
        <f aca="false">CD178*Hipótesis!$C$130</f>
        <v>28462.5082441946</v>
      </c>
      <c r="CE187" s="28" t="n">
        <f aca="false">CE178*Hipótesis!$C$130</f>
        <v>28462.5082441946</v>
      </c>
      <c r="CF187" s="28" t="n">
        <f aca="false">CF178*Hipótesis!$C$130</f>
        <v>28462.5082441946</v>
      </c>
      <c r="CG187" s="28" t="n">
        <f aca="false">CG178*Hipótesis!$C$130</f>
        <v>28462.5082441946</v>
      </c>
      <c r="CH187" s="28" t="n">
        <f aca="false">CH178*Hipótesis!$C$130</f>
        <v>28462.5082441946</v>
      </c>
    </row>
    <row r="188" customFormat="false" ht="15" hidden="false" customHeight="false" outlineLevel="0" collapsed="false">
      <c r="A188" s="1" t="s">
        <v>849</v>
      </c>
      <c r="C188" s="27" t="n">
        <f aca="false">IFERROR(C187/Restaurantes!$D$22,0)</f>
        <v>27.3336293519587</v>
      </c>
      <c r="D188" s="27" t="n">
        <f aca="false">IFERROR(D187/Restaurantes!$D$22,0)</f>
        <v>54.6672587039174</v>
      </c>
      <c r="E188" s="27" t="n">
        <f aca="false">IFERROR(E187/Restaurantes!$D$22,0)</f>
        <v>82.0008880558761</v>
      </c>
      <c r="F188" s="27" t="n">
        <f aca="false">IFERROR(F187/Restaurantes!$D$22,0)</f>
        <v>109.334517407835</v>
      </c>
      <c r="G188" s="27" t="n">
        <f aca="false">IFERROR(G187/Restaurantes!$D$22,0)</f>
        <v>20.500222013969</v>
      </c>
      <c r="H188" s="27" t="n">
        <f aca="false">IFERROR(H187/Restaurantes!$D$22,0)</f>
        <v>164.001776111752</v>
      </c>
      <c r="I188" s="27" t="n">
        <f aca="false">IFERROR(I187/Restaurantes!$D$22,0)</f>
        <v>191.335405463711</v>
      </c>
      <c r="J188" s="27" t="n">
        <f aca="false">IFERROR(J187/Restaurantes!$D$22,0)</f>
        <v>218.66903481567</v>
      </c>
      <c r="K188" s="27" t="n">
        <f aca="false">IFERROR(K187/Restaurantes!$D$22,0)</f>
        <v>246.002664167628</v>
      </c>
      <c r="L188" s="27" t="n">
        <f aca="false">IFERROR(L187/Restaurantes!$D$22,0)</f>
        <v>273.336293519587</v>
      </c>
      <c r="M188" s="27" t="n">
        <f aca="false">IFERROR(M187/Restaurantes!$D$22,0)</f>
        <v>300.669922871546</v>
      </c>
      <c r="N188" s="27" t="n">
        <f aca="false">IFERROR(N187/Restaurantes!$D$22,0)</f>
        <v>328.003552223504</v>
      </c>
      <c r="O188" s="27" t="n">
        <f aca="false">IFERROR(O187/Restaurantes!$D$22,0)</f>
        <v>355.337181575463</v>
      </c>
      <c r="P188" s="27" t="n">
        <f aca="false">IFERROR(P187/Restaurantes!$D$22,0)</f>
        <v>382.670810927422</v>
      </c>
      <c r="Q188" s="27" t="n">
        <f aca="false">IFERROR(Q187/Restaurantes!$D$22,0)</f>
        <v>410.004440279381</v>
      </c>
      <c r="R188" s="27" t="n">
        <f aca="false">IFERROR(R187/Restaurantes!$D$22,0)</f>
        <v>437.338069631339</v>
      </c>
      <c r="S188" s="27" t="n">
        <f aca="false">IFERROR(S187/Restaurantes!$D$22,0)</f>
        <v>69.7007548474947</v>
      </c>
      <c r="T188" s="27" t="n">
        <f aca="false">IFERROR(T187/Restaurantes!$D$22,0)</f>
        <v>492.005328335257</v>
      </c>
      <c r="U188" s="27" t="n">
        <f aca="false">IFERROR(U187/Restaurantes!$D$22,0)</f>
        <v>519.338957687215</v>
      </c>
      <c r="V188" s="27" t="n">
        <f aca="false">IFERROR(V187/Restaurantes!$D$22,0)</f>
        <v>546.672587039174</v>
      </c>
      <c r="W188" s="27" t="n">
        <f aca="false">IFERROR(W187/Restaurantes!$D$22,0)</f>
        <v>574.006216391133</v>
      </c>
      <c r="X188" s="27" t="n">
        <f aca="false">IFERROR(X187/Restaurantes!$D$22,0)</f>
        <v>601.339845743092</v>
      </c>
      <c r="Y188" s="27" t="n">
        <f aca="false">IFERROR(Y187/Restaurantes!$D$22,0)</f>
        <v>628.67347509505</v>
      </c>
      <c r="Z188" s="27" t="n">
        <f aca="false">IFERROR(Z187/Restaurantes!$D$22,0)</f>
        <v>656.007104447009</v>
      </c>
      <c r="AA188" s="27" t="n">
        <f aca="false">IFERROR(AA187/Restaurantes!$D$22,0)</f>
        <v>683.340733798968</v>
      </c>
      <c r="AB188" s="27" t="n">
        <f aca="false">IFERROR(AB187/Restaurantes!$D$22,0)</f>
        <v>710.674363150926</v>
      </c>
      <c r="AC188" s="27" t="n">
        <f aca="false">IFERROR(AC187/Restaurantes!$D$22,0)</f>
        <v>738.007992502885</v>
      </c>
      <c r="AD188" s="27" t="n">
        <f aca="false">IFERROR(AD187/Restaurantes!$D$22,0)</f>
        <v>765.341621854844</v>
      </c>
      <c r="AE188" s="27" t="n">
        <f aca="false">IFERROR(AE187/Restaurantes!$D$22,0)</f>
        <v>118.90128768102</v>
      </c>
      <c r="AF188" s="27" t="n">
        <f aca="false">IFERROR(AF187/Restaurantes!$D$22,0)</f>
        <v>820.008880558761</v>
      </c>
      <c r="AG188" s="27" t="n">
        <f aca="false">IFERROR(AG187/Restaurantes!$D$22,0)</f>
        <v>847.34250991072</v>
      </c>
      <c r="AH188" s="27" t="n">
        <f aca="false">IFERROR(AH187/Restaurantes!$D$22,0)</f>
        <v>874.676139262679</v>
      </c>
      <c r="AI188" s="27" t="n">
        <f aca="false">IFERROR(AI187/Restaurantes!$D$22,0)</f>
        <v>902.009768614637</v>
      </c>
      <c r="AJ188" s="27" t="n">
        <f aca="false">IFERROR(AJ187/Restaurantes!$D$22,0)</f>
        <v>929.343397966596</v>
      </c>
      <c r="AK188" s="27" t="n">
        <f aca="false">IFERROR(AK187/Restaurantes!$D$22,0)</f>
        <v>956.677027318555</v>
      </c>
      <c r="AL188" s="27" t="n">
        <f aca="false">IFERROR(AL187/Restaurantes!$D$22,0)</f>
        <v>984.010656670513</v>
      </c>
      <c r="AM188" s="27" t="n">
        <f aca="false">IFERROR(AM187/Restaurantes!$D$22,0)</f>
        <v>984.010656670513</v>
      </c>
      <c r="AN188" s="27" t="n">
        <f aca="false">IFERROR(AN187/Restaurantes!$D$22,0)</f>
        <v>984.010656670513</v>
      </c>
      <c r="AO188" s="27" t="n">
        <f aca="false">IFERROR(AO187/Restaurantes!$D$22,0)</f>
        <v>984.010656670513</v>
      </c>
      <c r="AP188" s="27" t="n">
        <f aca="false">IFERROR(AP187/Restaurantes!$D$22,0)</f>
        <v>984.010656670513</v>
      </c>
      <c r="AQ188" s="27" t="n">
        <f aca="false">IFERROR(AQ187/Restaurantes!$D$22,0)</f>
        <v>147.601598500577</v>
      </c>
      <c r="AR188" s="27" t="n">
        <f aca="false">IFERROR(AR187/Restaurantes!$D$22,0)</f>
        <v>984.010656670513</v>
      </c>
      <c r="AS188" s="27" t="n">
        <f aca="false">IFERROR(AS187/Restaurantes!$D$22,0)</f>
        <v>984.010656670513</v>
      </c>
      <c r="AT188" s="27" t="n">
        <f aca="false">IFERROR(AT187/Restaurantes!$D$22,0)</f>
        <v>984.010656670513</v>
      </c>
      <c r="AU188" s="27" t="n">
        <f aca="false">IFERROR(AU187/Restaurantes!$D$22,0)</f>
        <v>984.010656670513</v>
      </c>
      <c r="AV188" s="27" t="n">
        <f aca="false">IFERROR(AV187/Restaurantes!$D$22,0)</f>
        <v>984.010656670513</v>
      </c>
      <c r="AW188" s="27" t="n">
        <f aca="false">IFERROR(AW187/Restaurantes!$D$22,0)</f>
        <v>984.010656670513</v>
      </c>
      <c r="AX188" s="27" t="n">
        <f aca="false">IFERROR(AX187/Restaurantes!$D$22,0)</f>
        <v>984.010656670513</v>
      </c>
      <c r="AY188" s="27" t="n">
        <f aca="false">IFERROR(AY187/Restaurantes!$D$22,0)</f>
        <v>984.010656670513</v>
      </c>
      <c r="AZ188" s="27" t="n">
        <f aca="false">IFERROR(AZ187/Restaurantes!$D$22,0)</f>
        <v>984.010656670513</v>
      </c>
      <c r="BA188" s="27" t="n">
        <f aca="false">IFERROR(BA187/Restaurantes!$D$22,0)</f>
        <v>984.010656670513</v>
      </c>
      <c r="BB188" s="27" t="n">
        <f aca="false">IFERROR(BB187/Restaurantes!$D$22,0)</f>
        <v>984.010656670513</v>
      </c>
      <c r="BC188" s="27" t="n">
        <f aca="false">IFERROR(BC187/Restaurantes!$D$22,0)</f>
        <v>147.601598500577</v>
      </c>
      <c r="BD188" s="27" t="n">
        <f aca="false">IFERROR(BD187/Restaurantes!$D$22,0)</f>
        <v>984.010656670513</v>
      </c>
      <c r="BE188" s="27" t="n">
        <f aca="false">IFERROR(BE187/Restaurantes!$D$22,0)</f>
        <v>984.010656670513</v>
      </c>
      <c r="BF188" s="27" t="n">
        <f aca="false">IFERROR(BF187/Restaurantes!$D$22,0)</f>
        <v>984.010656670513</v>
      </c>
      <c r="BG188" s="27" t="n">
        <f aca="false">IFERROR(BG187/Restaurantes!$D$22,0)</f>
        <v>984.010656670513</v>
      </c>
      <c r="BH188" s="27" t="n">
        <f aca="false">IFERROR(BH187/Restaurantes!$D$22,0)</f>
        <v>984.010656670513</v>
      </c>
      <c r="BI188" s="27" t="n">
        <f aca="false">IFERROR(BI187/Restaurantes!$D$22,0)</f>
        <v>984.010656670513</v>
      </c>
      <c r="BJ188" s="27" t="n">
        <f aca="false">IFERROR(BJ187/Restaurantes!$D$22,0)</f>
        <v>984.010656670513</v>
      </c>
      <c r="BK188" s="27" t="n">
        <f aca="false">IFERROR(BK187/Restaurantes!$D$22,0)</f>
        <v>984.010656670513</v>
      </c>
      <c r="BL188" s="27" t="n">
        <f aca="false">IFERROR(BL187/Restaurantes!$D$22,0)</f>
        <v>984.010656670513</v>
      </c>
      <c r="BM188" s="27" t="n">
        <f aca="false">IFERROR(BM187/Restaurantes!$D$22,0)</f>
        <v>984.010656670513</v>
      </c>
      <c r="BN188" s="27" t="n">
        <f aca="false">IFERROR(BN187/Restaurantes!$D$22,0)</f>
        <v>984.010656670513</v>
      </c>
      <c r="BO188" s="27" t="n">
        <f aca="false">IFERROR(BO187/Restaurantes!$D$22,0)</f>
        <v>147.601598500577</v>
      </c>
      <c r="BP188" s="27" t="n">
        <f aca="false">IFERROR(BP187/Restaurantes!$D$22,0)</f>
        <v>984.010656670513</v>
      </c>
      <c r="BQ188" s="27" t="n">
        <f aca="false">IFERROR(BQ187/Restaurantes!$D$22,0)</f>
        <v>984.010656670513</v>
      </c>
      <c r="BR188" s="27" t="n">
        <f aca="false">IFERROR(BR187/Restaurantes!$D$22,0)</f>
        <v>984.010656670513</v>
      </c>
      <c r="BS188" s="27" t="n">
        <f aca="false">IFERROR(BS187/Restaurantes!$D$22,0)</f>
        <v>984.010656670513</v>
      </c>
      <c r="BT188" s="27" t="n">
        <f aca="false">IFERROR(BT187/Restaurantes!$D$22,0)</f>
        <v>984.010656670513</v>
      </c>
      <c r="BU188" s="27" t="n">
        <f aca="false">IFERROR(BU187/Restaurantes!$D$22,0)</f>
        <v>984.010656670513</v>
      </c>
      <c r="BV188" s="27" t="n">
        <f aca="false">IFERROR(BV187/Restaurantes!$D$22,0)</f>
        <v>984.010656670513</v>
      </c>
      <c r="BW188" s="27" t="n">
        <f aca="false">IFERROR(BW187/Restaurantes!$D$22,0)</f>
        <v>984.010656670513</v>
      </c>
      <c r="BX188" s="27" t="n">
        <f aca="false">IFERROR(BX187/Restaurantes!$D$22,0)</f>
        <v>984.010656670513</v>
      </c>
      <c r="BY188" s="27" t="n">
        <f aca="false">IFERROR(BY187/Restaurantes!$D$22,0)</f>
        <v>984.010656670513</v>
      </c>
      <c r="BZ188" s="27" t="n">
        <f aca="false">IFERROR(BZ187/Restaurantes!$D$22,0)</f>
        <v>984.010656670513</v>
      </c>
      <c r="CA188" s="27" t="n">
        <f aca="false">IFERROR(CA187/Restaurantes!$D$22,0)</f>
        <v>147.601598500577</v>
      </c>
      <c r="CB188" s="27" t="n">
        <f aca="false">IFERROR(CB187/Restaurantes!$D$22,0)</f>
        <v>984.010656670513</v>
      </c>
      <c r="CC188" s="27" t="n">
        <f aca="false">IFERROR(CC187/Restaurantes!$D$22,0)</f>
        <v>984.010656670513</v>
      </c>
      <c r="CD188" s="27" t="n">
        <f aca="false">IFERROR(CD187/Restaurantes!$D$22,0)</f>
        <v>984.010656670513</v>
      </c>
      <c r="CE188" s="27" t="n">
        <f aca="false">IFERROR(CE187/Restaurantes!$D$22,0)</f>
        <v>984.010656670513</v>
      </c>
      <c r="CF188" s="27" t="n">
        <f aca="false">IFERROR(CF187/Restaurantes!$D$22,0)</f>
        <v>984.010656670513</v>
      </c>
      <c r="CG188" s="27" t="n">
        <f aca="false">IFERROR(CG187/Restaurantes!$D$22,0)</f>
        <v>984.010656670513</v>
      </c>
      <c r="CH188" s="27" t="n">
        <f aca="false">IFERROR(CH187/Restaurantes!$D$22,0)</f>
        <v>984.010656670513</v>
      </c>
    </row>
    <row r="189" customFormat="false" ht="15" hidden="false" customHeight="false" outlineLevel="0" collapsed="false">
      <c r="A189" s="1" t="s">
        <v>850</v>
      </c>
      <c r="C189" s="28" t="n">
        <f aca="false">C188*Restaurantes!$D$30*Restaurantes!$D$29</f>
        <v>0</v>
      </c>
      <c r="D189" s="28" t="n">
        <f aca="false">D188*Restaurantes!$D$30*Restaurantes!$D$29</f>
        <v>0</v>
      </c>
      <c r="E189" s="28" t="n">
        <f aca="false">E188*Restaurantes!$D$30*Restaurantes!$D$29</f>
        <v>0</v>
      </c>
      <c r="F189" s="28" t="n">
        <f aca="false">F188*Restaurantes!$D$30*Restaurantes!$D$29</f>
        <v>0</v>
      </c>
      <c r="G189" s="28" t="n">
        <f aca="false">G188*Restaurantes!$D$30*Restaurantes!$D$29</f>
        <v>0</v>
      </c>
      <c r="H189" s="28" t="n">
        <f aca="false">H188*Restaurantes!$D$30*Restaurantes!$D$29</f>
        <v>0</v>
      </c>
      <c r="I189" s="28" t="n">
        <f aca="false">I188*Restaurantes!$D$30*Restaurantes!$D$29</f>
        <v>0</v>
      </c>
      <c r="J189" s="28" t="n">
        <f aca="false">J188*Restaurantes!$D$30*Restaurantes!$D$29</f>
        <v>0</v>
      </c>
      <c r="K189" s="28" t="n">
        <f aca="false">K188*Restaurantes!$D$30*Restaurantes!$D$29</f>
        <v>0</v>
      </c>
      <c r="L189" s="28" t="n">
        <f aca="false">L188*Restaurantes!$D$30*Restaurantes!$D$29</f>
        <v>0</v>
      </c>
      <c r="M189" s="28" t="n">
        <f aca="false">M188*Restaurantes!$D$30*Restaurantes!$D$29</f>
        <v>0</v>
      </c>
      <c r="N189" s="28" t="n">
        <f aca="false">N188*Restaurantes!$D$30*Restaurantes!$D$29</f>
        <v>0</v>
      </c>
      <c r="O189" s="28" t="n">
        <f aca="false">O188*Restaurantes!$D$30*Restaurantes!$D$29</f>
        <v>0</v>
      </c>
      <c r="P189" s="28" t="n">
        <f aca="false">P188*Restaurantes!$D$30*Restaurantes!$D$29</f>
        <v>0</v>
      </c>
      <c r="Q189" s="28" t="n">
        <f aca="false">Q188*Restaurantes!$D$30*Restaurantes!$D$29</f>
        <v>0</v>
      </c>
      <c r="R189" s="28" t="n">
        <f aca="false">R188*Restaurantes!$D$30*Restaurantes!$D$29</f>
        <v>0</v>
      </c>
      <c r="S189" s="28" t="n">
        <f aca="false">S188*Restaurantes!$D$30*Restaurantes!$D$29</f>
        <v>0</v>
      </c>
      <c r="T189" s="28" t="n">
        <f aca="false">T188*Restaurantes!$D$30*Restaurantes!$D$29</f>
        <v>0</v>
      </c>
      <c r="U189" s="28" t="n">
        <f aca="false">U188*Restaurantes!$D$30*Restaurantes!$D$29</f>
        <v>0</v>
      </c>
      <c r="V189" s="28" t="n">
        <f aca="false">V188*Restaurantes!$D$30*Restaurantes!$D$29</f>
        <v>0</v>
      </c>
      <c r="W189" s="28" t="n">
        <f aca="false">W188*Restaurantes!$D$30*Restaurantes!$D$29</f>
        <v>0</v>
      </c>
      <c r="X189" s="28" t="n">
        <f aca="false">X188*Restaurantes!$D$30*Restaurantes!$D$29</f>
        <v>0</v>
      </c>
      <c r="Y189" s="28" t="n">
        <f aca="false">Y188*Restaurantes!$D$30*Restaurantes!$D$29</f>
        <v>0</v>
      </c>
      <c r="Z189" s="28" t="n">
        <f aca="false">Z188*Restaurantes!$D$30*Restaurantes!$D$29</f>
        <v>0</v>
      </c>
      <c r="AA189" s="28" t="n">
        <f aca="false">AA188*Restaurantes!$D$30*Restaurantes!$D$29</f>
        <v>0</v>
      </c>
      <c r="AB189" s="28" t="n">
        <f aca="false">AB188*Restaurantes!$D$30*Restaurantes!$D$29</f>
        <v>0</v>
      </c>
      <c r="AC189" s="28" t="n">
        <f aca="false">AC188*Restaurantes!$D$30*Restaurantes!$D$29</f>
        <v>0</v>
      </c>
      <c r="AD189" s="28" t="n">
        <f aca="false">AD188*Restaurantes!$D$30*Restaurantes!$D$29</f>
        <v>0</v>
      </c>
      <c r="AE189" s="28" t="n">
        <f aca="false">AE188*Restaurantes!$D$30*Restaurantes!$D$29</f>
        <v>0</v>
      </c>
      <c r="AF189" s="28" t="n">
        <f aca="false">AF188*Restaurantes!$D$30*Restaurantes!$D$29</f>
        <v>0</v>
      </c>
      <c r="AG189" s="28" t="n">
        <f aca="false">AG188*Restaurantes!$D$30*Restaurantes!$D$29</f>
        <v>0</v>
      </c>
      <c r="AH189" s="28" t="n">
        <f aca="false">AH188*Restaurantes!$D$30*Restaurantes!$D$29</f>
        <v>0</v>
      </c>
      <c r="AI189" s="28" t="n">
        <f aca="false">AI188*Restaurantes!$D$30*Restaurantes!$D$29</f>
        <v>0</v>
      </c>
      <c r="AJ189" s="28" t="n">
        <f aca="false">AJ188*Restaurantes!$D$30*Restaurantes!$D$29</f>
        <v>0</v>
      </c>
      <c r="AK189" s="28" t="n">
        <f aca="false">AK188*Restaurantes!$D$30*Restaurantes!$D$29</f>
        <v>0</v>
      </c>
      <c r="AL189" s="28" t="n">
        <f aca="false">AL188*Restaurantes!$D$30*Restaurantes!$D$29</f>
        <v>0</v>
      </c>
      <c r="AM189" s="28" t="n">
        <f aca="false">AM188*Restaurantes!$D$30*Restaurantes!$D$29</f>
        <v>0</v>
      </c>
      <c r="AN189" s="28" t="n">
        <f aca="false">AN188*Restaurantes!$D$30*Restaurantes!$D$29</f>
        <v>0</v>
      </c>
      <c r="AO189" s="28" t="n">
        <f aca="false">AO188*Restaurantes!$D$30*Restaurantes!$D$29</f>
        <v>0</v>
      </c>
      <c r="AP189" s="28" t="n">
        <f aca="false">AP188*Restaurantes!$D$30*Restaurantes!$D$29</f>
        <v>0</v>
      </c>
      <c r="AQ189" s="28" t="n">
        <f aca="false">AQ188*Restaurantes!$D$30*Restaurantes!$D$29</f>
        <v>0</v>
      </c>
      <c r="AR189" s="28" t="n">
        <f aca="false">AR188*Restaurantes!$D$30*Restaurantes!$D$29</f>
        <v>0</v>
      </c>
      <c r="AS189" s="28" t="n">
        <f aca="false">AS188*Restaurantes!$D$30*Restaurantes!$D$29</f>
        <v>0</v>
      </c>
      <c r="AT189" s="28" t="n">
        <f aca="false">AT188*Restaurantes!$D$30*Restaurantes!$D$29</f>
        <v>0</v>
      </c>
      <c r="AU189" s="28" t="n">
        <f aca="false">AU188*Restaurantes!$D$30*Restaurantes!$D$29</f>
        <v>0</v>
      </c>
      <c r="AV189" s="28" t="n">
        <f aca="false">AV188*Restaurantes!$D$30*Restaurantes!$D$29</f>
        <v>0</v>
      </c>
      <c r="AW189" s="28" t="n">
        <f aca="false">AW188*Restaurantes!$D$30*Restaurantes!$D$29</f>
        <v>0</v>
      </c>
      <c r="AX189" s="28" t="n">
        <f aca="false">AX188*Restaurantes!$D$30*Restaurantes!$D$29</f>
        <v>0</v>
      </c>
      <c r="AY189" s="28" t="n">
        <f aca="false">AY188*Restaurantes!$D$30*Restaurantes!$D$29</f>
        <v>0</v>
      </c>
      <c r="AZ189" s="28" t="n">
        <f aca="false">AZ188*Restaurantes!$D$30*Restaurantes!$D$29</f>
        <v>0</v>
      </c>
      <c r="BA189" s="28" t="n">
        <f aca="false">BA188*Restaurantes!$D$30*Restaurantes!$D$29</f>
        <v>0</v>
      </c>
      <c r="BB189" s="28" t="n">
        <f aca="false">BB188*Restaurantes!$D$30*Restaurantes!$D$29</f>
        <v>0</v>
      </c>
      <c r="BC189" s="28" t="n">
        <f aca="false">BC188*Restaurantes!$D$30*Restaurantes!$D$29</f>
        <v>0</v>
      </c>
      <c r="BD189" s="28" t="n">
        <f aca="false">BD188*Restaurantes!$D$30*Restaurantes!$D$29</f>
        <v>0</v>
      </c>
      <c r="BE189" s="28" t="n">
        <f aca="false">BE188*Restaurantes!$D$30*Restaurantes!$D$29</f>
        <v>0</v>
      </c>
      <c r="BF189" s="28" t="n">
        <f aca="false">BF188*Restaurantes!$D$30*Restaurantes!$D$29</f>
        <v>0</v>
      </c>
      <c r="BG189" s="28" t="n">
        <f aca="false">BG188*Restaurantes!$D$30*Restaurantes!$D$29</f>
        <v>0</v>
      </c>
      <c r="BH189" s="28" t="n">
        <f aca="false">BH188*Restaurantes!$D$30*Restaurantes!$D$29</f>
        <v>0</v>
      </c>
      <c r="BI189" s="28" t="n">
        <f aca="false">BI188*Restaurantes!$D$30*Restaurantes!$D$29</f>
        <v>0</v>
      </c>
      <c r="BJ189" s="28" t="n">
        <f aca="false">BJ188*Restaurantes!$D$30*Restaurantes!$D$29</f>
        <v>0</v>
      </c>
      <c r="BK189" s="28" t="n">
        <f aca="false">BK188*Restaurantes!$D$30*Restaurantes!$D$29</f>
        <v>0</v>
      </c>
      <c r="BL189" s="28" t="n">
        <f aca="false">BL188*Restaurantes!$D$30*Restaurantes!$D$29</f>
        <v>0</v>
      </c>
      <c r="BM189" s="28" t="n">
        <f aca="false">BM188*Restaurantes!$D$30*Restaurantes!$D$29</f>
        <v>0</v>
      </c>
      <c r="BN189" s="28" t="n">
        <f aca="false">BN188*Restaurantes!$D$30*Restaurantes!$D$29</f>
        <v>0</v>
      </c>
      <c r="BO189" s="28" t="n">
        <f aca="false">BO188*Restaurantes!$D$30*Restaurantes!$D$29</f>
        <v>0</v>
      </c>
      <c r="BP189" s="28" t="n">
        <f aca="false">BP188*Restaurantes!$D$30*Restaurantes!$D$29</f>
        <v>0</v>
      </c>
      <c r="BQ189" s="28" t="n">
        <f aca="false">BQ188*Restaurantes!$D$30*Restaurantes!$D$29</f>
        <v>0</v>
      </c>
      <c r="BR189" s="28" t="n">
        <f aca="false">BR188*Restaurantes!$D$30*Restaurantes!$D$29</f>
        <v>0</v>
      </c>
      <c r="BS189" s="28" t="n">
        <f aca="false">BS188*Restaurantes!$D$30*Restaurantes!$D$29</f>
        <v>0</v>
      </c>
      <c r="BT189" s="28" t="n">
        <f aca="false">BT188*Restaurantes!$D$30*Restaurantes!$D$29</f>
        <v>0</v>
      </c>
      <c r="BU189" s="28" t="n">
        <f aca="false">BU188*Restaurantes!$D$30*Restaurantes!$D$29</f>
        <v>0</v>
      </c>
      <c r="BV189" s="28" t="n">
        <f aca="false">BV188*Restaurantes!$D$30*Restaurantes!$D$29</f>
        <v>0</v>
      </c>
      <c r="BW189" s="28" t="n">
        <f aca="false">BW188*Restaurantes!$D$30*Restaurantes!$D$29</f>
        <v>0</v>
      </c>
      <c r="BX189" s="28" t="n">
        <f aca="false">BX188*Restaurantes!$D$30*Restaurantes!$D$29</f>
        <v>0</v>
      </c>
      <c r="BY189" s="28" t="n">
        <f aca="false">BY188*Restaurantes!$D$30*Restaurantes!$D$29</f>
        <v>0</v>
      </c>
      <c r="BZ189" s="28" t="n">
        <f aca="false">BZ188*Restaurantes!$D$30*Restaurantes!$D$29</f>
        <v>0</v>
      </c>
      <c r="CA189" s="28" t="n">
        <f aca="false">CA188*Restaurantes!$D$30*Restaurantes!$D$29</f>
        <v>0</v>
      </c>
      <c r="CB189" s="28" t="n">
        <f aca="false">CB188*Restaurantes!$D$30*Restaurantes!$D$29</f>
        <v>0</v>
      </c>
      <c r="CC189" s="28" t="n">
        <f aca="false">CC188*Restaurantes!$D$30*Restaurantes!$D$29</f>
        <v>0</v>
      </c>
      <c r="CD189" s="28" t="n">
        <f aca="false">CD188*Restaurantes!$D$30*Restaurantes!$D$29</f>
        <v>0</v>
      </c>
      <c r="CE189" s="28" t="n">
        <f aca="false">CE188*Restaurantes!$D$30*Restaurantes!$D$29</f>
        <v>0</v>
      </c>
      <c r="CF189" s="28" t="n">
        <f aca="false">CF188*Restaurantes!$D$30*Restaurantes!$D$29</f>
        <v>0</v>
      </c>
      <c r="CG189" s="28" t="n">
        <f aca="false">CG188*Restaurantes!$D$30*Restaurantes!$D$29</f>
        <v>0</v>
      </c>
      <c r="CH189" s="28" t="n">
        <f aca="false">CH188*Restaurantes!$D$30*Restaurantes!$D$29</f>
        <v>0</v>
      </c>
    </row>
    <row r="190" customFormat="false" ht="15" hidden="false" customHeight="false" outlineLevel="0" collapsed="false">
      <c r="A190" s="25" t="s">
        <v>851</v>
      </c>
      <c r="C190" s="156" t="n">
        <f aca="false">C178*Hipótesis!$C$21+C189</f>
        <v>711.562706104865</v>
      </c>
      <c r="D190" s="156" t="n">
        <f aca="false">D178*Hipótesis!$C$21+D189</f>
        <v>1423.12541220973</v>
      </c>
      <c r="E190" s="156" t="n">
        <f aca="false">E178*Hipótesis!$C$21+E189</f>
        <v>2134.6881183146</v>
      </c>
      <c r="F190" s="156" t="n">
        <f aca="false">F178*Hipótesis!$C$21+F189</f>
        <v>2846.25082441946</v>
      </c>
      <c r="G190" s="156" t="n">
        <f aca="false">G178*Hipótesis!$C$21+G189</f>
        <v>533.672029578649</v>
      </c>
      <c r="H190" s="156" t="n">
        <f aca="false">H178*Hipótesis!$C$21+H189</f>
        <v>4269.37623662919</v>
      </c>
      <c r="I190" s="156" t="n">
        <f aca="false">I178*Hipótesis!$C$21+I189</f>
        <v>4980.93894273406</v>
      </c>
      <c r="J190" s="156" t="n">
        <f aca="false">J178*Hipótesis!$C$21+J189</f>
        <v>5692.50164883892</v>
      </c>
      <c r="K190" s="156" t="n">
        <f aca="false">K178*Hipótesis!$C$21+K189</f>
        <v>6404.06435494379</v>
      </c>
      <c r="L190" s="156" t="n">
        <f aca="false">L178*Hipótesis!$C$21+L189</f>
        <v>7115.62706104865</v>
      </c>
      <c r="M190" s="156" t="n">
        <f aca="false">M178*Hipótesis!$C$21+M189</f>
        <v>7827.18976715352</v>
      </c>
      <c r="N190" s="156" t="n">
        <f aca="false">N178*Hipótesis!$C$21+N189</f>
        <v>8538.75247325838</v>
      </c>
      <c r="O190" s="156" t="n">
        <f aca="false">O178*Hipótesis!$C$21+O189</f>
        <v>9250.31517936325</v>
      </c>
      <c r="P190" s="156" t="n">
        <f aca="false">P178*Hipótesis!$C$21+P189</f>
        <v>9961.87788546811</v>
      </c>
      <c r="Q190" s="156" t="n">
        <f aca="false">Q178*Hipótesis!$C$21+Q189</f>
        <v>10673.440591573</v>
      </c>
      <c r="R190" s="156" t="n">
        <f aca="false">R178*Hipótesis!$C$21+R189</f>
        <v>11385.0032976778</v>
      </c>
      <c r="S190" s="156" t="n">
        <f aca="false">S178*Hipótesis!$C$21+S189</f>
        <v>1814.48490056741</v>
      </c>
      <c r="T190" s="156" t="n">
        <f aca="false">T178*Hipótesis!$C$21+T189</f>
        <v>12808.1287098876</v>
      </c>
      <c r="U190" s="156" t="n">
        <f aca="false">U178*Hipótesis!$C$21+U189</f>
        <v>13519.6914159924</v>
      </c>
      <c r="V190" s="156" t="n">
        <f aca="false">V178*Hipótesis!$C$21+V189</f>
        <v>14231.2541220973</v>
      </c>
      <c r="W190" s="156" t="n">
        <f aca="false">W178*Hipótesis!$C$21+W189</f>
        <v>14942.8168282022</v>
      </c>
      <c r="X190" s="156" t="n">
        <f aca="false">X178*Hipótesis!$C$21+X189</f>
        <v>15654.379534307</v>
      </c>
      <c r="Y190" s="156" t="n">
        <f aca="false">Y178*Hipótesis!$C$21+Y189</f>
        <v>16365.9422404119</v>
      </c>
      <c r="Z190" s="156" t="n">
        <f aca="false">Z178*Hipótesis!$C$21+Z189</f>
        <v>17077.5049465168</v>
      </c>
      <c r="AA190" s="156" t="n">
        <f aca="false">AA178*Hipótesis!$C$21+AA189</f>
        <v>17789.0676526216</v>
      </c>
      <c r="AB190" s="156" t="n">
        <f aca="false">AB178*Hipótesis!$C$21+AB189</f>
        <v>18500.6303587265</v>
      </c>
      <c r="AC190" s="156" t="n">
        <f aca="false">AC178*Hipótesis!$C$21+AC189</f>
        <v>19212.1930648314</v>
      </c>
      <c r="AD190" s="156" t="n">
        <f aca="false">AD178*Hipótesis!$C$21+AD189</f>
        <v>19923.7557709362</v>
      </c>
      <c r="AE190" s="156" t="n">
        <f aca="false">AE178*Hipótesis!$C$21+AE189</f>
        <v>3095.29777155616</v>
      </c>
      <c r="AF190" s="156" t="n">
        <f aca="false">AF178*Hipótesis!$C$21+AF189</f>
        <v>21346.881183146</v>
      </c>
      <c r="AG190" s="156" t="n">
        <f aca="false">AG178*Hipótesis!$C$21+AG189</f>
        <v>22058.4438892508</v>
      </c>
      <c r="AH190" s="156" t="n">
        <f aca="false">AH178*Hipótesis!$C$21+AH189</f>
        <v>22770.0065953557</v>
      </c>
      <c r="AI190" s="156" t="n">
        <f aca="false">AI178*Hipótesis!$C$21+AI189</f>
        <v>23481.5693014605</v>
      </c>
      <c r="AJ190" s="156" t="n">
        <f aca="false">AJ178*Hipótesis!$C$21+AJ189</f>
        <v>24193.1320075654</v>
      </c>
      <c r="AK190" s="156" t="n">
        <f aca="false">AK178*Hipótesis!$C$21+AK189</f>
        <v>24904.6947136703</v>
      </c>
      <c r="AL190" s="156" t="n">
        <f aca="false">AL178*Hipótesis!$C$21+AL189</f>
        <v>25616.2574197751</v>
      </c>
      <c r="AM190" s="156" t="n">
        <f aca="false">AM178*Hipótesis!$C$21+AM189</f>
        <v>25616.2574197751</v>
      </c>
      <c r="AN190" s="156" t="n">
        <f aca="false">AN178*Hipótesis!$C$21+AN189</f>
        <v>25616.2574197751</v>
      </c>
      <c r="AO190" s="156" t="n">
        <f aca="false">AO178*Hipótesis!$C$21+AO189</f>
        <v>25616.2574197751</v>
      </c>
      <c r="AP190" s="156" t="n">
        <f aca="false">AP178*Hipótesis!$C$21+AP189</f>
        <v>25616.2574197751</v>
      </c>
      <c r="AQ190" s="156" t="n">
        <f aca="false">AQ178*Hipótesis!$C$21+AQ189</f>
        <v>3842.43861296627</v>
      </c>
      <c r="AR190" s="156" t="n">
        <f aca="false">AR178*Hipótesis!$C$21+AR189</f>
        <v>25616.2574197751</v>
      </c>
      <c r="AS190" s="156" t="n">
        <f aca="false">AS178*Hipótesis!$C$21+AS189</f>
        <v>25616.2574197751</v>
      </c>
      <c r="AT190" s="156" t="n">
        <f aca="false">AT178*Hipótesis!$C$21+AT189</f>
        <v>25616.2574197751</v>
      </c>
      <c r="AU190" s="156" t="n">
        <f aca="false">AU178*Hipótesis!$C$21+AU189</f>
        <v>25616.2574197751</v>
      </c>
      <c r="AV190" s="156" t="n">
        <f aca="false">AV178*Hipótesis!$C$21+AV189</f>
        <v>25616.2574197751</v>
      </c>
      <c r="AW190" s="156" t="n">
        <f aca="false">AW178*Hipótesis!$C$21+AW189</f>
        <v>25616.2574197751</v>
      </c>
      <c r="AX190" s="156" t="n">
        <f aca="false">AX178*Hipótesis!$C$21+AX189</f>
        <v>25616.2574197751</v>
      </c>
      <c r="AY190" s="156" t="n">
        <f aca="false">AY178*Hipótesis!$C$21+AY189</f>
        <v>25616.2574197751</v>
      </c>
      <c r="AZ190" s="156" t="n">
        <f aca="false">AZ178*Hipótesis!$C$21+AZ189</f>
        <v>25616.2574197751</v>
      </c>
      <c r="BA190" s="156" t="n">
        <f aca="false">BA178*Hipótesis!$C$21+BA189</f>
        <v>25616.2574197751</v>
      </c>
      <c r="BB190" s="156" t="n">
        <f aca="false">BB178*Hipótesis!$C$21+BB189</f>
        <v>25616.2574197751</v>
      </c>
      <c r="BC190" s="156" t="n">
        <f aca="false">BC178*Hipótesis!$C$21+BC189</f>
        <v>3842.43861296627</v>
      </c>
      <c r="BD190" s="156" t="n">
        <f aca="false">BD178*Hipótesis!$C$21+BD189</f>
        <v>25616.2574197751</v>
      </c>
      <c r="BE190" s="156" t="n">
        <f aca="false">BE178*Hipótesis!$C$21+BE189</f>
        <v>25616.2574197751</v>
      </c>
      <c r="BF190" s="156" t="n">
        <f aca="false">BF178*Hipótesis!$C$21+BF189</f>
        <v>25616.2574197751</v>
      </c>
      <c r="BG190" s="156" t="n">
        <f aca="false">BG178*Hipótesis!$C$21+BG189</f>
        <v>25616.2574197751</v>
      </c>
      <c r="BH190" s="156" t="n">
        <f aca="false">BH178*Hipótesis!$C$21+BH189</f>
        <v>25616.2574197751</v>
      </c>
      <c r="BI190" s="156" t="n">
        <f aca="false">BI178*Hipótesis!$C$21+BI189</f>
        <v>25616.2574197751</v>
      </c>
      <c r="BJ190" s="156" t="n">
        <f aca="false">BJ178*Hipótesis!$C$21+BJ189</f>
        <v>25616.2574197751</v>
      </c>
      <c r="BK190" s="156" t="n">
        <f aca="false">BK178*Hipótesis!$C$21+BK189</f>
        <v>25616.2574197751</v>
      </c>
      <c r="BL190" s="156" t="n">
        <f aca="false">BL178*Hipótesis!$C$21+BL189</f>
        <v>25616.2574197751</v>
      </c>
      <c r="BM190" s="156" t="n">
        <f aca="false">BM178*Hipótesis!$C$21+BM189</f>
        <v>25616.2574197751</v>
      </c>
      <c r="BN190" s="156" t="n">
        <f aca="false">BN178*Hipótesis!$C$21+BN189</f>
        <v>25616.2574197751</v>
      </c>
      <c r="BO190" s="156" t="n">
        <f aca="false">BO178*Hipótesis!$C$21+BO189</f>
        <v>3842.43861296627</v>
      </c>
      <c r="BP190" s="156" t="n">
        <f aca="false">BP178*Hipótesis!$C$21+BP189</f>
        <v>25616.2574197751</v>
      </c>
      <c r="BQ190" s="156" t="n">
        <f aca="false">BQ178*Hipótesis!$C$21+BQ189</f>
        <v>25616.2574197751</v>
      </c>
      <c r="BR190" s="156" t="n">
        <f aca="false">BR178*Hipótesis!$C$21+BR189</f>
        <v>25616.2574197751</v>
      </c>
      <c r="BS190" s="156" t="n">
        <f aca="false">BS178*Hipótesis!$C$21+BS189</f>
        <v>25616.2574197751</v>
      </c>
      <c r="BT190" s="156" t="n">
        <f aca="false">BT178*Hipótesis!$C$21+BT189</f>
        <v>25616.2574197751</v>
      </c>
      <c r="BU190" s="156" t="n">
        <f aca="false">BU178*Hipótesis!$C$21+BU189</f>
        <v>25616.2574197751</v>
      </c>
      <c r="BV190" s="156" t="n">
        <f aca="false">BV178*Hipótesis!$C$21+BV189</f>
        <v>25616.2574197751</v>
      </c>
      <c r="BW190" s="156" t="n">
        <f aca="false">BW178*Hipótesis!$C$21+BW189</f>
        <v>25616.2574197751</v>
      </c>
      <c r="BX190" s="156" t="n">
        <f aca="false">BX178*Hipótesis!$C$21+BX189</f>
        <v>25616.2574197751</v>
      </c>
      <c r="BY190" s="156" t="n">
        <f aca="false">BY178*Hipótesis!$C$21+BY189</f>
        <v>25616.2574197751</v>
      </c>
      <c r="BZ190" s="156" t="n">
        <f aca="false">BZ178*Hipótesis!$C$21+BZ189</f>
        <v>25616.2574197751</v>
      </c>
      <c r="CA190" s="156" t="n">
        <f aca="false">CA178*Hipótesis!$C$21+CA189</f>
        <v>3842.43861296627</v>
      </c>
      <c r="CB190" s="156" t="n">
        <f aca="false">CB178*Hipótesis!$C$21+CB189</f>
        <v>25616.2574197751</v>
      </c>
      <c r="CC190" s="156" t="n">
        <f aca="false">CC178*Hipótesis!$C$21+CC189</f>
        <v>25616.2574197751</v>
      </c>
      <c r="CD190" s="156" t="n">
        <f aca="false">CD178*Hipótesis!$C$21+CD189</f>
        <v>25616.2574197751</v>
      </c>
      <c r="CE190" s="156" t="n">
        <f aca="false">CE178*Hipótesis!$C$21+CE189</f>
        <v>25616.2574197751</v>
      </c>
      <c r="CF190" s="156" t="n">
        <f aca="false">CF178*Hipótesis!$C$21+CF189</f>
        <v>25616.2574197751</v>
      </c>
      <c r="CG190" s="156" t="n">
        <f aca="false">CG178*Hipótesis!$C$21+CG189</f>
        <v>25616.2574197751</v>
      </c>
      <c r="CH190" s="156" t="n">
        <f aca="false">CH178*Hipótesis!$C$21+CH189</f>
        <v>25616.2574197751</v>
      </c>
    </row>
    <row r="191" customFormat="false" ht="15" hidden="false" customHeight="false" outlineLevel="0" collapsed="false">
      <c r="A191" s="1" t="s">
        <v>852</v>
      </c>
      <c r="C191" s="26" t="n">
        <f aca="false">IFERROR(C190/(C186+C190),0)</f>
        <v>0.433516178055028</v>
      </c>
      <c r="D191" s="26" t="n">
        <f aca="false">IFERROR(D190/(D186+D190),0)</f>
        <v>0.424405567563603</v>
      </c>
      <c r="E191" s="26" t="n">
        <f aca="false">IFERROR(E190/(E186+E190),0)</f>
        <v>0.347296643208679</v>
      </c>
      <c r="F191" s="26" t="n">
        <f aca="false">IFERROR(F190/(F186+F190),0)</f>
        <v>0.355331156276085</v>
      </c>
      <c r="G191" s="26" t="n">
        <f aca="false">IFERROR(G190/(G186+G190),0)</f>
        <v>0.0787234199662272</v>
      </c>
      <c r="H191" s="26" t="n">
        <f aca="false">IFERROR(H190/(H186+H190),0)</f>
        <v>0.348740465086572</v>
      </c>
      <c r="I191" s="26" t="n">
        <f aca="false">IFERROR(I190/(I186+I190),0)</f>
        <v>0.322597230176849</v>
      </c>
      <c r="J191" s="26" t="n">
        <f aca="false">IFERROR(J190/(J186+J190),0)</f>
        <v>0.287846952026647</v>
      </c>
      <c r="K191" s="26" t="n">
        <f aca="false">IFERROR(K190/(K186+K190),0)</f>
        <v>0.265594765441314</v>
      </c>
      <c r="L191" s="26" t="n">
        <f aca="false">IFERROR(L190/(L186+L190),0)</f>
        <v>0.250125858158805</v>
      </c>
      <c r="M191" s="26" t="n">
        <f aca="false">IFERROR(M190/(M186+M190),0)</f>
        <v>0.24689354538418</v>
      </c>
      <c r="N191" s="26" t="n">
        <f aca="false">IFERROR(N190/(N186+N190),0)</f>
        <v>0.238259269460845</v>
      </c>
      <c r="O191" s="26" t="n">
        <f aca="false">IFERROR(O190/(O186+O190),0)</f>
        <v>0.231411479686135</v>
      </c>
      <c r="P191" s="26" t="n">
        <f aca="false">IFERROR(P190/(P186+P190),0)</f>
        <v>0.227483167598087</v>
      </c>
      <c r="Q191" s="26" t="n">
        <f aca="false">IFERROR(Q190/(Q186+Q190),0)</f>
        <v>0.224184947553529</v>
      </c>
      <c r="R191" s="26" t="n">
        <f aca="false">IFERROR(R190/(R186+R190),0)</f>
        <v>0.221376476937131</v>
      </c>
      <c r="S191" s="26" t="n">
        <f aca="false">IFERROR(S190/(S186+S190),0)</f>
        <v>0.0403537871884919</v>
      </c>
      <c r="T191" s="26" t="n">
        <f aca="false">IFERROR(T190/(T186+T190),0)</f>
        <v>0.21684886355264</v>
      </c>
      <c r="U191" s="26" t="n">
        <f aca="false">IFERROR(U190/(U186+U190),0)</f>
        <v>0.214997432586423</v>
      </c>
      <c r="V191" s="26" t="n">
        <f aca="false">IFERROR(V190/(V186+V190),0)</f>
        <v>0.213357969091186</v>
      </c>
      <c r="W191" s="26" t="n">
        <f aca="false">IFERROR(W190/(W186+W190),0)</f>
        <v>0.211896042287865</v>
      </c>
      <c r="X191" s="26" t="n">
        <f aca="false">IFERROR(X190/(X186+X190),0)</f>
        <v>0.213109562594483</v>
      </c>
      <c r="Y191" s="26" t="n">
        <f aca="false">IFERROR(Y190/(Y186+Y190),0)</f>
        <v>0.21422976233456</v>
      </c>
      <c r="Z191" s="26" t="n">
        <f aca="false">IFERROR(Z190/(Z186+Z190),0)</f>
        <v>0.216163085187869</v>
      </c>
      <c r="AA191" s="26" t="n">
        <f aca="false">IFERROR(AA190/(AA186+AA190),0)</f>
        <v>0.217972819194498</v>
      </c>
      <c r="AB191" s="26" t="n">
        <f aca="false">IFERROR(AB190/(AB186+AB190),0)</f>
        <v>0.219670448042551</v>
      </c>
      <c r="AC191" s="26" t="n">
        <f aca="false">IFERROR(AC190/(AC186+AC190),0)</f>
        <v>0.221266075433069</v>
      </c>
      <c r="AD191" s="26" t="n">
        <f aca="false">IFERROR(AD190/(AD186+AD190),0)</f>
        <v>0.222768626324324</v>
      </c>
      <c r="AE191" s="26" t="n">
        <f aca="false">IFERROR(AE190/(AE186+AE190),0)</f>
        <v>0.0415445538295281</v>
      </c>
      <c r="AF191" s="26" t="n">
        <f aca="false">IFERROR(AF190/(AF186+AF190),0)</f>
        <v>0.225525279261954</v>
      </c>
      <c r="AG191" s="26" t="n">
        <f aca="false">IFERROR(AG190/(AG186+AG190),0)</f>
        <v>0.22679270783389</v>
      </c>
      <c r="AH191" s="26" t="n">
        <f aca="false">IFERROR(AH190/(AH186+AH190),0)</f>
        <v>0.227993928575014</v>
      </c>
      <c r="AI191" s="26" t="n">
        <f aca="false">IFERROR(AI190/(AI186+AI190),0)</f>
        <v>0.229133997272365</v>
      </c>
      <c r="AJ191" s="26" t="n">
        <f aca="false">IFERROR(AJ190/(AJ186+AJ190),0)</f>
        <v>0.230217467728042</v>
      </c>
      <c r="AK191" s="26" t="n">
        <f aca="false">IFERROR(AK190/(AK186+AK190),0)</f>
        <v>0.231248452552275</v>
      </c>
      <c r="AL191" s="26" t="n">
        <f aca="false">IFERROR(AL190/(AL186+AL190),0)</f>
        <v>0.232230675330578</v>
      </c>
      <c r="AM191" s="26" t="n">
        <f aca="false">IFERROR(AM190/(AM186+AM190),0)</f>
        <v>0.227919089748217</v>
      </c>
      <c r="AN191" s="26" t="n">
        <f aca="false">IFERROR(AN190/(AN186+AN190),0)</f>
        <v>0.22376468343828</v>
      </c>
      <c r="AO191" s="26" t="n">
        <f aca="false">IFERROR(AO190/(AO186+AO190),0)</f>
        <v>0.219759015283119</v>
      </c>
      <c r="AP191" s="26" t="n">
        <f aca="false">IFERROR(AP190/(AP186+AP190),0)</f>
        <v>0.215894237961704</v>
      </c>
      <c r="AQ191" s="26" t="n">
        <f aca="false">IFERROR(AQ190/(AQ186+AQ190),0)</f>
        <v>0.0388263453586835</v>
      </c>
      <c r="AR191" s="26" t="n">
        <f aca="false">IFERROR(AR190/(AR186+AR190),0)</f>
        <v>0.208558632880796</v>
      </c>
      <c r="AS191" s="26" t="n">
        <f aca="false">IFERROR(AS190/(AS186+AS190),0)</f>
        <v>0.208558632880796</v>
      </c>
      <c r="AT191" s="26" t="n">
        <f aca="false">IFERROR(AT190/(AT186+AT190),0)</f>
        <v>0.208558632880796</v>
      </c>
      <c r="AU191" s="26" t="n">
        <f aca="false">IFERROR(AU190/(AU186+AU190),0)</f>
        <v>0.208558632880796</v>
      </c>
      <c r="AV191" s="26" t="n">
        <f aca="false">IFERROR(AV190/(AV186+AV190),0)</f>
        <v>0.208558632880796</v>
      </c>
      <c r="AW191" s="26" t="n">
        <f aca="false">IFERROR(AW190/(AW186+AW190),0)</f>
        <v>0.208558632880796</v>
      </c>
      <c r="AX191" s="26" t="n">
        <f aca="false">IFERROR(AX190/(AX186+AX190),0)</f>
        <v>0.208558632880796</v>
      </c>
      <c r="AY191" s="26" t="n">
        <f aca="false">IFERROR(AY190/(AY186+AY190),0)</f>
        <v>0.208558632880796</v>
      </c>
      <c r="AZ191" s="26" t="n">
        <f aca="false">IFERROR(AZ190/(AZ186+AZ190),0)</f>
        <v>0.208558632880796</v>
      </c>
      <c r="BA191" s="26" t="n">
        <f aca="false">IFERROR(BA190/(BA186+BA190),0)</f>
        <v>0.208558632880796</v>
      </c>
      <c r="BB191" s="26" t="n">
        <f aca="false">IFERROR(BB190/(BB186+BB190),0)</f>
        <v>0.208558632880796</v>
      </c>
      <c r="BC191" s="26" t="n">
        <f aca="false">IFERROR(BC190/(BC186+BC190),0)</f>
        <v>0.0380245996781218</v>
      </c>
      <c r="BD191" s="26" t="n">
        <f aca="false">IFERROR(BD190/(BD186+BD190),0)</f>
        <v>0.208558632880796</v>
      </c>
      <c r="BE191" s="26" t="n">
        <f aca="false">IFERROR(BE190/(BE186+BE190),0)</f>
        <v>0.208558632880796</v>
      </c>
      <c r="BF191" s="26" t="n">
        <f aca="false">IFERROR(BF190/(BF186+BF190),0)</f>
        <v>0.208558632880796</v>
      </c>
      <c r="BG191" s="26" t="n">
        <f aca="false">IFERROR(BG190/(BG186+BG190),0)</f>
        <v>0.208558632880796</v>
      </c>
      <c r="BH191" s="26" t="n">
        <f aca="false">IFERROR(BH190/(BH186+BH190),0)</f>
        <v>0.208558632880796</v>
      </c>
      <c r="BI191" s="26" t="n">
        <f aca="false">IFERROR(BI190/(BI186+BI190),0)</f>
        <v>0.208558632880796</v>
      </c>
      <c r="BJ191" s="26" t="n">
        <f aca="false">IFERROR(BJ190/(BJ186+BJ190),0)</f>
        <v>0.208558632880796</v>
      </c>
      <c r="BK191" s="26" t="n">
        <f aca="false">IFERROR(BK190/(BK186+BK190),0)</f>
        <v>0.208558632880796</v>
      </c>
      <c r="BL191" s="26" t="n">
        <f aca="false">IFERROR(BL190/(BL186+BL190),0)</f>
        <v>0.208558632880796</v>
      </c>
      <c r="BM191" s="26" t="n">
        <f aca="false">IFERROR(BM190/(BM186+BM190),0)</f>
        <v>0.208558632880796</v>
      </c>
      <c r="BN191" s="26" t="n">
        <f aca="false">IFERROR(BN190/(BN186+BN190),0)</f>
        <v>0.208558632880796</v>
      </c>
      <c r="BO191" s="26" t="n">
        <f aca="false">IFERROR(BO190/(BO186+BO190),0)</f>
        <v>0.0380245996781218</v>
      </c>
      <c r="BP191" s="26" t="n">
        <f aca="false">IFERROR(BP190/(BP186+BP190),0)</f>
        <v>0.208558632880796</v>
      </c>
      <c r="BQ191" s="26" t="n">
        <f aca="false">IFERROR(BQ190/(BQ186+BQ190),0)</f>
        <v>0.208558632880796</v>
      </c>
      <c r="BR191" s="26" t="n">
        <f aca="false">IFERROR(BR190/(BR186+BR190),0)</f>
        <v>0.208558632880796</v>
      </c>
      <c r="BS191" s="26" t="n">
        <f aca="false">IFERROR(BS190/(BS186+BS190),0)</f>
        <v>0.208558632880796</v>
      </c>
      <c r="BT191" s="26" t="n">
        <f aca="false">IFERROR(BT190/(BT186+BT190),0)</f>
        <v>0.208558632880796</v>
      </c>
      <c r="BU191" s="26" t="n">
        <f aca="false">IFERROR(BU190/(BU186+BU190),0)</f>
        <v>0.208558632880796</v>
      </c>
      <c r="BV191" s="26" t="n">
        <f aca="false">IFERROR(BV190/(BV186+BV190),0)</f>
        <v>0.208558632880796</v>
      </c>
      <c r="BW191" s="26" t="n">
        <f aca="false">IFERROR(BW190/(BW186+BW190),0)</f>
        <v>0.208558632880796</v>
      </c>
      <c r="BX191" s="26" t="n">
        <f aca="false">IFERROR(BX190/(BX186+BX190),0)</f>
        <v>0.208558632880796</v>
      </c>
      <c r="BY191" s="26" t="n">
        <f aca="false">IFERROR(BY190/(BY186+BY190),0)</f>
        <v>0.208558632880796</v>
      </c>
      <c r="BZ191" s="26" t="n">
        <f aca="false">IFERROR(BZ190/(BZ186+BZ190),0)</f>
        <v>0.208558632880796</v>
      </c>
      <c r="CA191" s="26" t="n">
        <f aca="false">IFERROR(CA190/(CA186+CA190),0)</f>
        <v>0.0380245996781218</v>
      </c>
      <c r="CB191" s="26" t="n">
        <f aca="false">IFERROR(CB190/(CB186+CB190),0)</f>
        <v>0.208558632880796</v>
      </c>
      <c r="CC191" s="26" t="n">
        <f aca="false">IFERROR(CC190/(CC186+CC190),0)</f>
        <v>0.208558632880796</v>
      </c>
      <c r="CD191" s="26" t="n">
        <f aca="false">IFERROR(CD190/(CD186+CD190),0)</f>
        <v>0.208558632880796</v>
      </c>
      <c r="CE191" s="26" t="n">
        <f aca="false">IFERROR(CE190/(CE186+CE190),0)</f>
        <v>0.208558632880796</v>
      </c>
      <c r="CF191" s="26" t="n">
        <f aca="false">IFERROR(CF190/(CF186+CF190),0)</f>
        <v>0.208558632880796</v>
      </c>
      <c r="CG191" s="26" t="n">
        <f aca="false">IFERROR(CG190/(CG186+CG190),0)</f>
        <v>0.208558632880796</v>
      </c>
      <c r="CH191" s="26" t="n">
        <f aca="false">IFERROR(CH190/(CH186+CH190),0)</f>
        <v>0.208558632880796</v>
      </c>
    </row>
    <row r="192" customFormat="false" ht="15" hidden="false" customHeight="false" outlineLevel="0" collapsed="false">
      <c r="A192" s="1" t="s">
        <v>853</v>
      </c>
      <c r="C192" s="28" t="n">
        <f aca="false">-C186*Hipótesis!$C$34</f>
        <v>-92.98125</v>
      </c>
      <c r="D192" s="28" t="n">
        <f aca="false">-D186*Hipótesis!$C$34</f>
        <v>-193.0095</v>
      </c>
      <c r="E192" s="28" t="n">
        <f aca="false">-E186*Hipótesis!$C$34</f>
        <v>-401.189625</v>
      </c>
      <c r="F192" s="28" t="n">
        <f aca="false">-F186*Hipótesis!$C$34</f>
        <v>-516.3885</v>
      </c>
      <c r="G192" s="28" t="n">
        <f aca="false">-G186*Hipótesis!$C$34</f>
        <v>-624.540375</v>
      </c>
      <c r="H192" s="28" t="n">
        <f aca="false">-H186*Hipótesis!$C$34</f>
        <v>-797.28975</v>
      </c>
      <c r="I192" s="28" t="n">
        <f aca="false">-I186*Hipótesis!$C$34</f>
        <v>-1045.9177948547</v>
      </c>
      <c r="J192" s="28" t="n">
        <f aca="false">-J186*Hipótesis!$C$34</f>
        <v>-1408.36384449146</v>
      </c>
      <c r="K192" s="28" t="n">
        <f aca="false">-K186*Hipótesis!$C$34</f>
        <v>-1770.80989412822</v>
      </c>
      <c r="L192" s="28" t="n">
        <f aca="false">-L186*Hipótesis!$C$34</f>
        <v>-2133.25594376497</v>
      </c>
      <c r="M192" s="28" t="n">
        <f aca="false">-M186*Hipótesis!$C$34</f>
        <v>-2387.55011840173</v>
      </c>
      <c r="N192" s="28" t="n">
        <f aca="false">-N186*Hipótesis!$C$34</f>
        <v>-2729.93179303849</v>
      </c>
      <c r="O192" s="28" t="n">
        <f aca="false">-O186*Hipótesis!$C$34</f>
        <v>-3072.31346767524</v>
      </c>
      <c r="P192" s="28" t="n">
        <f aca="false">-P186*Hipótesis!$C$34</f>
        <v>-3382.983642312</v>
      </c>
      <c r="Q192" s="28" t="n">
        <f aca="false">-Q186*Hipótesis!$C$34</f>
        <v>-3693.65381694876</v>
      </c>
      <c r="R192" s="28" t="n">
        <f aca="false">-R186*Hipótesis!$C$34</f>
        <v>-4004.32399158551</v>
      </c>
      <c r="S192" s="28" t="n">
        <f aca="false">-S186*Hipótesis!$C$34</f>
        <v>-4314.99416622227</v>
      </c>
      <c r="T192" s="28" t="n">
        <f aca="false">-T186*Hipótesis!$C$34</f>
        <v>-4625.66434085903</v>
      </c>
      <c r="U192" s="28" t="n">
        <f aca="false">-U186*Hipótesis!$C$34</f>
        <v>-4936.33451549578</v>
      </c>
      <c r="V192" s="28" t="n">
        <f aca="false">-V186*Hipótesis!$C$34</f>
        <v>-5247.00469013254</v>
      </c>
      <c r="W192" s="28" t="n">
        <f aca="false">-W186*Hipótesis!$C$34</f>
        <v>-5557.6748647693</v>
      </c>
      <c r="X192" s="28" t="n">
        <f aca="false">-X186*Hipótesis!$C$34</f>
        <v>-5780.25753940605</v>
      </c>
      <c r="Y192" s="28" t="n">
        <f aca="false">-Y186*Hipótesis!$C$34</f>
        <v>-6002.84021404281</v>
      </c>
      <c r="Z192" s="28" t="n">
        <f aca="false">-Z186*Hipótesis!$C$34</f>
        <v>-6192.53688867957</v>
      </c>
      <c r="AA192" s="28" t="n">
        <f aca="false">-AA186*Hipótesis!$C$34</f>
        <v>-6382.23356331633</v>
      </c>
      <c r="AB192" s="28" t="n">
        <f aca="false">-AB186*Hipótesis!$C$34</f>
        <v>-6571.93023795308</v>
      </c>
      <c r="AC192" s="28" t="n">
        <f aca="false">-AC186*Hipótesis!$C$34</f>
        <v>-6761.62691258984</v>
      </c>
      <c r="AD192" s="28" t="n">
        <f aca="false">-AD186*Hipótesis!$C$34</f>
        <v>-6951.3235872266</v>
      </c>
      <c r="AE192" s="28" t="n">
        <f aca="false">-AE186*Hipótesis!$C$34</f>
        <v>-7141.02026186335</v>
      </c>
      <c r="AF192" s="28" t="n">
        <f aca="false">-AF186*Hipótesis!$C$34</f>
        <v>-7330.71693650011</v>
      </c>
      <c r="AG192" s="28" t="n">
        <f aca="false">-AG186*Hipótesis!$C$34</f>
        <v>-7520.41361113687</v>
      </c>
      <c r="AH192" s="28" t="n">
        <f aca="false">-AH186*Hipótesis!$C$34</f>
        <v>-7710.11028577362</v>
      </c>
      <c r="AI192" s="28" t="n">
        <f aca="false">-AI186*Hipótesis!$C$34</f>
        <v>-7899.80696041038</v>
      </c>
      <c r="AJ192" s="28" t="n">
        <f aca="false">-AJ186*Hipótesis!$C$34</f>
        <v>-8089.50363504714</v>
      </c>
      <c r="AK192" s="28" t="n">
        <f aca="false">-AK186*Hipótesis!$C$34</f>
        <v>-8279.20030968389</v>
      </c>
      <c r="AL192" s="28" t="n">
        <f aca="false">-AL186*Hipótesis!$C$34</f>
        <v>-8468.89698432065</v>
      </c>
      <c r="AM192" s="28" t="n">
        <f aca="false">-AM186*Hipótesis!$C$34</f>
        <v>-8677.56332642108</v>
      </c>
      <c r="AN192" s="28" t="n">
        <f aca="false">-AN186*Hipótesis!$C$34</f>
        <v>-8886.22966852152</v>
      </c>
      <c r="AO192" s="28" t="n">
        <f aca="false">-AO186*Hipótesis!$C$34</f>
        <v>-9094.89601062195</v>
      </c>
      <c r="AP192" s="28" t="n">
        <f aca="false">-AP186*Hipótesis!$C$34</f>
        <v>-9303.56235272238</v>
      </c>
      <c r="AQ192" s="28" t="n">
        <f aca="false">-AQ186*Hipótesis!$C$34</f>
        <v>-9512.22869482281</v>
      </c>
      <c r="AR192" s="28" t="n">
        <f aca="false">-AR186*Hipótesis!$C$34</f>
        <v>-9720.89503692325</v>
      </c>
      <c r="AS192" s="28" t="n">
        <f aca="false">-AS186*Hipótesis!$C$34</f>
        <v>-9720.89503692325</v>
      </c>
      <c r="AT192" s="28" t="n">
        <f aca="false">-AT186*Hipótesis!$C$34</f>
        <v>-9720.89503692325</v>
      </c>
      <c r="AU192" s="28" t="n">
        <f aca="false">-AU186*Hipótesis!$C$34</f>
        <v>-9720.89503692325</v>
      </c>
      <c r="AV192" s="28" t="n">
        <f aca="false">-AV186*Hipótesis!$C$34</f>
        <v>-9720.89503692325</v>
      </c>
      <c r="AW192" s="28" t="n">
        <f aca="false">-AW186*Hipótesis!$C$34</f>
        <v>-9720.89503692325</v>
      </c>
      <c r="AX192" s="28" t="n">
        <f aca="false">-AX186*Hipótesis!$C$34</f>
        <v>-9720.89503692325</v>
      </c>
      <c r="AY192" s="28" t="n">
        <f aca="false">-AY186*Hipótesis!$C$34</f>
        <v>-9720.89503692325</v>
      </c>
      <c r="AZ192" s="28" t="n">
        <f aca="false">-AZ186*Hipótesis!$C$34</f>
        <v>-9720.89503692325</v>
      </c>
      <c r="BA192" s="28" t="n">
        <f aca="false">-BA186*Hipótesis!$C$34</f>
        <v>-9720.89503692325</v>
      </c>
      <c r="BB192" s="28" t="n">
        <f aca="false">-BB186*Hipótesis!$C$34</f>
        <v>-9720.89503692325</v>
      </c>
      <c r="BC192" s="28" t="n">
        <f aca="false">-BC186*Hipótesis!$C$34</f>
        <v>-9720.89503692325</v>
      </c>
      <c r="BD192" s="28" t="n">
        <f aca="false">-BD186*Hipótesis!$C$34</f>
        <v>-9720.89503692325</v>
      </c>
      <c r="BE192" s="28" t="n">
        <f aca="false">-BE186*Hipótesis!$C$34</f>
        <v>-9720.89503692325</v>
      </c>
      <c r="BF192" s="28" t="n">
        <f aca="false">-BF186*Hipótesis!$C$34</f>
        <v>-9720.89503692325</v>
      </c>
      <c r="BG192" s="28" t="n">
        <f aca="false">-BG186*Hipótesis!$C$34</f>
        <v>-9720.89503692325</v>
      </c>
      <c r="BH192" s="28" t="n">
        <f aca="false">-BH186*Hipótesis!$C$34</f>
        <v>-9720.89503692325</v>
      </c>
      <c r="BI192" s="28" t="n">
        <f aca="false">-BI186*Hipótesis!$C$34</f>
        <v>-9720.89503692325</v>
      </c>
      <c r="BJ192" s="28" t="n">
        <f aca="false">-BJ186*Hipótesis!$C$34</f>
        <v>-9720.89503692325</v>
      </c>
      <c r="BK192" s="28" t="n">
        <f aca="false">-BK186*Hipótesis!$C$34</f>
        <v>-9720.89503692325</v>
      </c>
      <c r="BL192" s="28" t="n">
        <f aca="false">-BL186*Hipótesis!$C$34</f>
        <v>-9720.89503692325</v>
      </c>
      <c r="BM192" s="28" t="n">
        <f aca="false">-BM186*Hipótesis!$C$34</f>
        <v>-9720.89503692325</v>
      </c>
      <c r="BN192" s="28" t="n">
        <f aca="false">-BN186*Hipótesis!$C$34</f>
        <v>-9720.89503692325</v>
      </c>
      <c r="BO192" s="28" t="n">
        <f aca="false">-BO186*Hipótesis!$C$34</f>
        <v>-9720.89503692325</v>
      </c>
      <c r="BP192" s="28" t="n">
        <f aca="false">-BP186*Hipótesis!$C$34</f>
        <v>-9720.89503692325</v>
      </c>
      <c r="BQ192" s="28" t="n">
        <f aca="false">-BQ186*Hipótesis!$C$34</f>
        <v>-9720.89503692325</v>
      </c>
      <c r="BR192" s="28" t="n">
        <f aca="false">-BR186*Hipótesis!$C$34</f>
        <v>-9720.89503692325</v>
      </c>
      <c r="BS192" s="28" t="n">
        <f aca="false">-BS186*Hipótesis!$C$34</f>
        <v>-9720.89503692325</v>
      </c>
      <c r="BT192" s="28" t="n">
        <f aca="false">-BT186*Hipótesis!$C$34</f>
        <v>-9720.89503692325</v>
      </c>
      <c r="BU192" s="28" t="n">
        <f aca="false">-BU186*Hipótesis!$C$34</f>
        <v>-9720.89503692325</v>
      </c>
      <c r="BV192" s="28" t="n">
        <f aca="false">-BV186*Hipótesis!$C$34</f>
        <v>-9720.89503692325</v>
      </c>
      <c r="BW192" s="28" t="n">
        <f aca="false">-BW186*Hipótesis!$C$34</f>
        <v>-9720.89503692325</v>
      </c>
      <c r="BX192" s="28" t="n">
        <f aca="false">-BX186*Hipótesis!$C$34</f>
        <v>-9720.89503692325</v>
      </c>
      <c r="BY192" s="28" t="n">
        <f aca="false">-BY186*Hipótesis!$C$34</f>
        <v>-9720.89503692325</v>
      </c>
      <c r="BZ192" s="28" t="n">
        <f aca="false">-BZ186*Hipótesis!$C$34</f>
        <v>-9720.89503692325</v>
      </c>
      <c r="CA192" s="28" t="n">
        <f aca="false">-CA186*Hipótesis!$C$34</f>
        <v>-9720.89503692325</v>
      </c>
      <c r="CB192" s="28" t="n">
        <f aca="false">-CB186*Hipótesis!$C$34</f>
        <v>-9720.89503692325</v>
      </c>
      <c r="CC192" s="28" t="n">
        <f aca="false">-CC186*Hipótesis!$C$34</f>
        <v>-9720.89503692325</v>
      </c>
      <c r="CD192" s="28" t="n">
        <f aca="false">-CD186*Hipótesis!$C$34</f>
        <v>-9720.89503692325</v>
      </c>
      <c r="CE192" s="28" t="n">
        <f aca="false">-CE186*Hipótesis!$C$34</f>
        <v>-9720.89503692325</v>
      </c>
      <c r="CF192" s="28" t="n">
        <f aca="false">-CF186*Hipótesis!$C$34</f>
        <v>-9720.89503692325</v>
      </c>
      <c r="CG192" s="28" t="n">
        <f aca="false">-CG186*Hipótesis!$C$34</f>
        <v>-9720.89503692325</v>
      </c>
      <c r="CH192" s="28" t="n">
        <f aca="false">-CH186*Hipótesis!$C$34</f>
        <v>-9720.89503692325</v>
      </c>
    </row>
    <row r="193" customFormat="false" ht="15" hidden="false" customHeight="false" outlineLevel="0" collapsed="false">
      <c r="A193" s="1" t="s">
        <v>854</v>
      </c>
      <c r="C193" s="28" t="n">
        <f aca="false">-C190*Restaurantes!$D$27</f>
        <v>-71.1562706104865</v>
      </c>
      <c r="D193" s="28" t="n">
        <f aca="false">-D190*Restaurantes!$D$27</f>
        <v>-142.312541220973</v>
      </c>
      <c r="E193" s="28" t="n">
        <f aca="false">-E190*Restaurantes!$D$27</f>
        <v>-213.46881183146</v>
      </c>
      <c r="F193" s="28" t="n">
        <f aca="false">-F190*Restaurantes!$D$27</f>
        <v>-284.625082441946</v>
      </c>
      <c r="G193" s="28" t="n">
        <f aca="false">-G190*Restaurantes!$D$27</f>
        <v>-53.3672029578649</v>
      </c>
      <c r="H193" s="28" t="n">
        <f aca="false">-H190*Restaurantes!$D$27</f>
        <v>-426.937623662919</v>
      </c>
      <c r="I193" s="28" t="n">
        <f aca="false">-I190*Restaurantes!$D$27</f>
        <v>-498.093894273406</v>
      </c>
      <c r="J193" s="28" t="n">
        <f aca="false">-J190*Restaurantes!$D$27</f>
        <v>-569.250164883892</v>
      </c>
      <c r="K193" s="28" t="n">
        <f aca="false">-K190*Restaurantes!$D$27</f>
        <v>-640.406435494379</v>
      </c>
      <c r="L193" s="28" t="n">
        <f aca="false">-L190*Restaurantes!$D$27</f>
        <v>-711.562706104865</v>
      </c>
      <c r="M193" s="28" t="n">
        <f aca="false">-M190*Restaurantes!$D$27</f>
        <v>-782.718976715352</v>
      </c>
      <c r="N193" s="28" t="n">
        <f aca="false">-N190*Restaurantes!$D$27</f>
        <v>-853.875247325838</v>
      </c>
      <c r="O193" s="28" t="n">
        <f aca="false">-O190*Restaurantes!$D$27</f>
        <v>-925.031517936325</v>
      </c>
      <c r="P193" s="28" t="n">
        <f aca="false">-P190*Restaurantes!$D$27</f>
        <v>-996.187788546811</v>
      </c>
      <c r="Q193" s="28" t="n">
        <f aca="false">-Q190*Restaurantes!$D$27</f>
        <v>-1067.3440591573</v>
      </c>
      <c r="R193" s="28" t="n">
        <f aca="false">-R190*Restaurantes!$D$27</f>
        <v>-1138.50032976778</v>
      </c>
      <c r="S193" s="28" t="n">
        <f aca="false">-S190*Restaurantes!$D$27</f>
        <v>-181.448490056741</v>
      </c>
      <c r="T193" s="28" t="n">
        <f aca="false">-T190*Restaurantes!$D$27</f>
        <v>-1280.81287098876</v>
      </c>
      <c r="U193" s="28" t="n">
        <f aca="false">-U190*Restaurantes!$D$27</f>
        <v>-1351.96914159924</v>
      </c>
      <c r="V193" s="28" t="n">
        <f aca="false">-V190*Restaurantes!$D$27</f>
        <v>-1423.12541220973</v>
      </c>
      <c r="W193" s="28" t="n">
        <f aca="false">-W190*Restaurantes!$D$27</f>
        <v>-1494.28168282022</v>
      </c>
      <c r="X193" s="28" t="n">
        <f aca="false">-X190*Restaurantes!$D$27</f>
        <v>-1565.4379534307</v>
      </c>
      <c r="Y193" s="28" t="n">
        <f aca="false">-Y190*Restaurantes!$D$27</f>
        <v>-1636.59422404119</v>
      </c>
      <c r="Z193" s="28" t="n">
        <f aca="false">-Z190*Restaurantes!$D$27</f>
        <v>-1707.75049465168</v>
      </c>
      <c r="AA193" s="28" t="n">
        <f aca="false">-AA190*Restaurantes!$D$27</f>
        <v>-1778.90676526216</v>
      </c>
      <c r="AB193" s="28" t="n">
        <f aca="false">-AB190*Restaurantes!$D$27</f>
        <v>-1850.06303587265</v>
      </c>
      <c r="AC193" s="28" t="n">
        <f aca="false">-AC190*Restaurantes!$D$27</f>
        <v>-1921.21930648314</v>
      </c>
      <c r="AD193" s="28" t="n">
        <f aca="false">-AD190*Restaurantes!$D$27</f>
        <v>-1992.37557709362</v>
      </c>
      <c r="AE193" s="28" t="n">
        <f aca="false">-AE190*Restaurantes!$D$27</f>
        <v>-309.529777155616</v>
      </c>
      <c r="AF193" s="28" t="n">
        <f aca="false">-AF190*Restaurantes!$D$27</f>
        <v>-2134.6881183146</v>
      </c>
      <c r="AG193" s="28" t="n">
        <f aca="false">-AG190*Restaurantes!$D$27</f>
        <v>-2205.84438892508</v>
      </c>
      <c r="AH193" s="28" t="n">
        <f aca="false">-AH190*Restaurantes!$D$27</f>
        <v>-2277.00065953557</v>
      </c>
      <c r="AI193" s="28" t="n">
        <f aca="false">-AI190*Restaurantes!$D$27</f>
        <v>-2348.15693014605</v>
      </c>
      <c r="AJ193" s="28" t="n">
        <f aca="false">-AJ190*Restaurantes!$D$27</f>
        <v>-2419.31320075654</v>
      </c>
      <c r="AK193" s="28" t="n">
        <f aca="false">-AK190*Restaurantes!$D$27</f>
        <v>-2490.46947136703</v>
      </c>
      <c r="AL193" s="28" t="n">
        <f aca="false">-AL190*Restaurantes!$D$27</f>
        <v>-2561.62574197751</v>
      </c>
      <c r="AM193" s="28" t="n">
        <f aca="false">-AM190*Restaurantes!$D$27</f>
        <v>-2561.62574197751</v>
      </c>
      <c r="AN193" s="28" t="n">
        <f aca="false">-AN190*Restaurantes!$D$27</f>
        <v>-2561.62574197751</v>
      </c>
      <c r="AO193" s="28" t="n">
        <f aca="false">-AO190*Restaurantes!$D$27</f>
        <v>-2561.62574197751</v>
      </c>
      <c r="AP193" s="28" t="n">
        <f aca="false">-AP190*Restaurantes!$D$27</f>
        <v>-2561.62574197751</v>
      </c>
      <c r="AQ193" s="28" t="n">
        <f aca="false">-AQ190*Restaurantes!$D$27</f>
        <v>-384.243861296627</v>
      </c>
      <c r="AR193" s="28" t="n">
        <f aca="false">-AR190*Restaurantes!$D$27</f>
        <v>-2561.62574197751</v>
      </c>
      <c r="AS193" s="28" t="n">
        <f aca="false">-AS190*Restaurantes!$D$27</f>
        <v>-2561.62574197751</v>
      </c>
      <c r="AT193" s="28" t="n">
        <f aca="false">-AT190*Restaurantes!$D$27</f>
        <v>-2561.62574197751</v>
      </c>
      <c r="AU193" s="28" t="n">
        <f aca="false">-AU190*Restaurantes!$D$27</f>
        <v>-2561.62574197751</v>
      </c>
      <c r="AV193" s="28" t="n">
        <f aca="false">-AV190*Restaurantes!$D$27</f>
        <v>-2561.62574197751</v>
      </c>
      <c r="AW193" s="28" t="n">
        <f aca="false">-AW190*Restaurantes!$D$27</f>
        <v>-2561.62574197751</v>
      </c>
      <c r="AX193" s="28" t="n">
        <f aca="false">-AX190*Restaurantes!$D$27</f>
        <v>-2561.62574197751</v>
      </c>
      <c r="AY193" s="28" t="n">
        <f aca="false">-AY190*Restaurantes!$D$27</f>
        <v>-2561.62574197751</v>
      </c>
      <c r="AZ193" s="28" t="n">
        <f aca="false">-AZ190*Restaurantes!$D$27</f>
        <v>-2561.62574197751</v>
      </c>
      <c r="BA193" s="28" t="n">
        <f aca="false">-BA190*Restaurantes!$D$27</f>
        <v>-2561.62574197751</v>
      </c>
      <c r="BB193" s="28" t="n">
        <f aca="false">-BB190*Restaurantes!$D$27</f>
        <v>-2561.62574197751</v>
      </c>
      <c r="BC193" s="28" t="n">
        <f aca="false">-BC190*Restaurantes!$D$27</f>
        <v>-384.243861296627</v>
      </c>
      <c r="BD193" s="28" t="n">
        <f aca="false">-BD190*Restaurantes!$D$27</f>
        <v>-2561.62574197751</v>
      </c>
      <c r="BE193" s="28" t="n">
        <f aca="false">-BE190*Restaurantes!$D$27</f>
        <v>-2561.62574197751</v>
      </c>
      <c r="BF193" s="28" t="n">
        <f aca="false">-BF190*Restaurantes!$D$27</f>
        <v>-2561.62574197751</v>
      </c>
      <c r="BG193" s="28" t="n">
        <f aca="false">-BG190*Restaurantes!$D$27</f>
        <v>-2561.62574197751</v>
      </c>
      <c r="BH193" s="28" t="n">
        <f aca="false">-BH190*Restaurantes!$D$27</f>
        <v>-2561.62574197751</v>
      </c>
      <c r="BI193" s="28" t="n">
        <f aca="false">-BI190*Restaurantes!$D$27</f>
        <v>-2561.62574197751</v>
      </c>
      <c r="BJ193" s="28" t="n">
        <f aca="false">-BJ190*Restaurantes!$D$27</f>
        <v>-2561.62574197751</v>
      </c>
      <c r="BK193" s="28" t="n">
        <f aca="false">-BK190*Restaurantes!$D$27</f>
        <v>-2561.62574197751</v>
      </c>
      <c r="BL193" s="28" t="n">
        <f aca="false">-BL190*Restaurantes!$D$27</f>
        <v>-2561.62574197751</v>
      </c>
      <c r="BM193" s="28" t="n">
        <f aca="false">-BM190*Restaurantes!$D$27</f>
        <v>-2561.62574197751</v>
      </c>
      <c r="BN193" s="28" t="n">
        <f aca="false">-BN190*Restaurantes!$D$27</f>
        <v>-2561.62574197751</v>
      </c>
      <c r="BO193" s="28" t="n">
        <f aca="false">-BO190*Restaurantes!$D$27</f>
        <v>-384.243861296627</v>
      </c>
      <c r="BP193" s="28" t="n">
        <f aca="false">-BP190*Restaurantes!$D$27</f>
        <v>-2561.62574197751</v>
      </c>
      <c r="BQ193" s="28" t="n">
        <f aca="false">-BQ190*Restaurantes!$D$27</f>
        <v>-2561.62574197751</v>
      </c>
      <c r="BR193" s="28" t="n">
        <f aca="false">-BR190*Restaurantes!$D$27</f>
        <v>-2561.62574197751</v>
      </c>
      <c r="BS193" s="28" t="n">
        <f aca="false">-BS190*Restaurantes!$D$27</f>
        <v>-2561.62574197751</v>
      </c>
      <c r="BT193" s="28" t="n">
        <f aca="false">-BT190*Restaurantes!$D$27</f>
        <v>-2561.62574197751</v>
      </c>
      <c r="BU193" s="28" t="n">
        <f aca="false">-BU190*Restaurantes!$D$27</f>
        <v>-2561.62574197751</v>
      </c>
      <c r="BV193" s="28" t="n">
        <f aca="false">-BV190*Restaurantes!$D$27</f>
        <v>-2561.62574197751</v>
      </c>
      <c r="BW193" s="28" t="n">
        <f aca="false">-BW190*Restaurantes!$D$27</f>
        <v>-2561.62574197751</v>
      </c>
      <c r="BX193" s="28" t="n">
        <f aca="false">-BX190*Restaurantes!$D$27</f>
        <v>-2561.62574197751</v>
      </c>
      <c r="BY193" s="28" t="n">
        <f aca="false">-BY190*Restaurantes!$D$27</f>
        <v>-2561.62574197751</v>
      </c>
      <c r="BZ193" s="28" t="n">
        <f aca="false">-BZ190*Restaurantes!$D$27</f>
        <v>-2561.62574197751</v>
      </c>
      <c r="CA193" s="28" t="n">
        <f aca="false">-CA190*Restaurantes!$D$27</f>
        <v>-384.243861296627</v>
      </c>
      <c r="CB193" s="28" t="n">
        <f aca="false">-CB190*Restaurantes!$D$27</f>
        <v>-2561.62574197751</v>
      </c>
      <c r="CC193" s="28" t="n">
        <f aca="false">-CC190*Restaurantes!$D$27</f>
        <v>-2561.62574197751</v>
      </c>
      <c r="CD193" s="28" t="n">
        <f aca="false">-CD190*Restaurantes!$D$27</f>
        <v>-2561.62574197751</v>
      </c>
      <c r="CE193" s="28" t="n">
        <f aca="false">-CE190*Restaurantes!$D$27</f>
        <v>-2561.62574197751</v>
      </c>
      <c r="CF193" s="28" t="n">
        <f aca="false">-CF190*Restaurantes!$D$27</f>
        <v>-2561.62574197751</v>
      </c>
      <c r="CG193" s="28" t="n">
        <f aca="false">-CG190*Restaurantes!$D$27</f>
        <v>-2561.62574197751</v>
      </c>
      <c r="CH193" s="28" t="n">
        <f aca="false">-CH190*Restaurantes!$D$27</f>
        <v>-2561.62574197751</v>
      </c>
    </row>
    <row r="194" customFormat="false" ht="15" hidden="false" customHeight="false" outlineLevel="0" collapsed="false">
      <c r="A194" s="1" t="s">
        <v>855</v>
      </c>
      <c r="C194" s="28" t="n">
        <f aca="false">-(C19*C21*Hipótesis!$C$18+C23*Hipótesis!$C$22)</f>
        <v>-143.474670557851</v>
      </c>
      <c r="D194" s="28" t="n">
        <f aca="false">-(D19*D21*Hipótesis!$C$18+D23*Hipótesis!$C$22)</f>
        <v>-302.671764144385</v>
      </c>
      <c r="E194" s="28" t="n">
        <f aca="false">-(E19*E21*Hipótesis!$C$18+E23*Hipótesis!$C$22)</f>
        <v>-687.776733743684</v>
      </c>
      <c r="F194" s="28" t="n">
        <f aca="false">-(F19*F21*Hipótesis!$C$18+F23*Hipótesis!$C$22)</f>
        <v>-929.407032785133</v>
      </c>
      <c r="G194" s="28" t="n">
        <f aca="false">-(G19*G21*Hipótesis!$C$18+G23*Hipótesis!$C$22)</f>
        <v>-1155.3149087979</v>
      </c>
      <c r="H194" s="28" t="n">
        <f aca="false">-(H19*H21*Hipótesis!$C$18+H23*Hipótesis!$C$22)</f>
        <v>-1561.37554868098</v>
      </c>
      <c r="I194" s="28" t="n">
        <f aca="false">-(I19*I21*Hipótesis!$C$18+I23*Hipótesis!$C$22)</f>
        <v>-2129.75292240518</v>
      </c>
      <c r="J194" s="28" t="n">
        <f aca="false">-(J19*J21*Hipótesis!$C$18+J23*Hipótesis!$C$22)</f>
        <v>-2941.60539689103</v>
      </c>
      <c r="K194" s="28" t="n">
        <f aca="false">-(K19*K21*Hipótesis!$C$18+K23*Hipótesis!$C$22)</f>
        <v>-3753.45787137688</v>
      </c>
      <c r="L194" s="28" t="n">
        <f aca="false">-(L19*L21*Hipótesis!$C$18+L23*Hipótesis!$C$22)</f>
        <v>-4565.31034586273</v>
      </c>
      <c r="M194" s="28" t="n">
        <f aca="false">-(M19*M21*Hipótesis!$C$18+M23*Hipótesis!$C$22)</f>
        <v>-5151.25494433581</v>
      </c>
      <c r="N194" s="28" t="n">
        <f aca="false">-(N19*N21*Hipótesis!$C$18+N23*Hipótesis!$C$22)</f>
        <v>-5999.23992662027</v>
      </c>
      <c r="O194" s="28" t="n">
        <f aca="false">-(O19*O21*Hipótesis!$C$18+O23*Hipótesis!$C$22)</f>
        <v>-6847.22490890473</v>
      </c>
      <c r="P194" s="28" t="n">
        <f aca="false">-(P19*P21*Hipótesis!$C$18+P23*Hipótesis!$C$22)</f>
        <v>-7619.87328084342</v>
      </c>
      <c r="Q194" s="28" t="n">
        <f aca="false">-(Q19*Q21*Hipótesis!$C$18+Q23*Hipótesis!$C$22)</f>
        <v>-8392.52165278211</v>
      </c>
      <c r="R194" s="28" t="n">
        <f aca="false">-(R19*R21*Hipótesis!$C$18+R23*Hipótesis!$C$22)</f>
        <v>-9165.1700247208</v>
      </c>
      <c r="S194" s="28" t="n">
        <f aca="false">-(S19*S21*Hipótesis!$C$18+S23*Hipótesis!$C$22)</f>
        <v>-9937.81839665949</v>
      </c>
      <c r="T194" s="28" t="n">
        <f aca="false">-(T19*T21*Hipótesis!$C$18+T23*Hipótesis!$C$22)</f>
        <v>-10710.4667685982</v>
      </c>
      <c r="U194" s="28" t="n">
        <f aca="false">-(U19*U21*Hipótesis!$C$18+U23*Hipótesis!$C$22)</f>
        <v>-11483.1151405369</v>
      </c>
      <c r="V194" s="28" t="n">
        <f aca="false">-(V19*V21*Hipótesis!$C$18+V23*Hipótesis!$C$22)</f>
        <v>-12255.7635124756</v>
      </c>
      <c r="W194" s="28" t="n">
        <f aca="false">-(W19*W21*Hipótesis!$C$18+W23*Hipótesis!$C$22)</f>
        <v>-13028.4118844142</v>
      </c>
      <c r="X194" s="28" t="n">
        <f aca="false">-(X19*X21*Hipótesis!$C$18+X23*Hipótesis!$C$22)</f>
        <v>-13539.0198725416</v>
      </c>
      <c r="Y194" s="28" t="n">
        <f aca="false">-(Y19*Y21*Hipótesis!$C$18+Y23*Hipótesis!$C$22)</f>
        <v>-14049.6278606689</v>
      </c>
      <c r="Z194" s="28" t="n">
        <f aca="false">-(Z19*Z21*Hipótesis!$C$18+Z23*Hipótesis!$C$22)</f>
        <v>-14455.4196952716</v>
      </c>
      <c r="AA194" s="28" t="n">
        <f aca="false">-(AA19*AA21*Hipótesis!$C$18+AA23*Hipótesis!$C$22)</f>
        <v>-14861.2115298744</v>
      </c>
      <c r="AB194" s="28" t="n">
        <f aca="false">-(AB19*AB21*Hipótesis!$C$18+AB23*Hipótesis!$C$22)</f>
        <v>-15267.0033644772</v>
      </c>
      <c r="AC194" s="28" t="n">
        <f aca="false">-(AC19*AC21*Hipótesis!$C$18+AC23*Hipótesis!$C$22)</f>
        <v>-15672.7951990799</v>
      </c>
      <c r="AD194" s="28" t="n">
        <f aca="false">-(AD19*AD21*Hipótesis!$C$18+AD23*Hipótesis!$C$22)</f>
        <v>-16078.5870336827</v>
      </c>
      <c r="AE194" s="28" t="n">
        <f aca="false">-(AE19*AE21*Hipótesis!$C$18+AE23*Hipótesis!$C$22)</f>
        <v>-16484.3788682855</v>
      </c>
      <c r="AF194" s="28" t="n">
        <f aca="false">-(AF19*AF21*Hipótesis!$C$18+AF23*Hipótesis!$C$22)</f>
        <v>-16890.1707028882</v>
      </c>
      <c r="AG194" s="28" t="n">
        <f aca="false">-(AG19*AG21*Hipótesis!$C$18+AG23*Hipótesis!$C$22)</f>
        <v>-17295.962537491</v>
      </c>
      <c r="AH194" s="28" t="n">
        <f aca="false">-(AH19*AH21*Hipótesis!$C$18+AH23*Hipótesis!$C$22)</f>
        <v>-17701.7543720937</v>
      </c>
      <c r="AI194" s="28" t="n">
        <f aca="false">-(AI19*AI21*Hipótesis!$C$18+AI23*Hipótesis!$C$22)</f>
        <v>-18107.5462066965</v>
      </c>
      <c r="AJ194" s="28" t="n">
        <f aca="false">-(AJ19*AJ21*Hipótesis!$C$18+AJ23*Hipótesis!$C$22)</f>
        <v>-18513.3380412993</v>
      </c>
      <c r="AK194" s="28" t="n">
        <f aca="false">-(AK19*AK21*Hipótesis!$C$18+AK23*Hipótesis!$C$22)</f>
        <v>-18919.129875902</v>
      </c>
      <c r="AL194" s="28" t="n">
        <f aca="false">-(AL19*AL21*Hipótesis!$C$18+AL23*Hipótesis!$C$22)</f>
        <v>-19324.9217105048</v>
      </c>
      <c r="AM194" s="28" t="n">
        <f aca="false">-(AM19*AM21*Hipótesis!$C$18+AM23*Hipótesis!$C$22)</f>
        <v>-19771.2927285678</v>
      </c>
      <c r="AN194" s="28" t="n">
        <f aca="false">-(AN19*AN21*Hipótesis!$C$18+AN23*Hipótesis!$C$22)</f>
        <v>-20217.6637466309</v>
      </c>
      <c r="AO194" s="28" t="n">
        <f aca="false">-(AO19*AO21*Hipótesis!$C$18+AO23*Hipótesis!$C$22)</f>
        <v>-20664.0347646939</v>
      </c>
      <c r="AP194" s="28" t="n">
        <f aca="false">-(AP19*AP21*Hipótesis!$C$18+AP23*Hipótesis!$C$22)</f>
        <v>-21110.405782757</v>
      </c>
      <c r="AQ194" s="28" t="n">
        <f aca="false">-(AQ19*AQ21*Hipótesis!$C$18+AQ23*Hipótesis!$C$22)</f>
        <v>-21556.77680082</v>
      </c>
      <c r="AR194" s="28" t="n">
        <f aca="false">-(AR19*AR21*Hipótesis!$C$18+AR23*Hipótesis!$C$22)</f>
        <v>-22003.147818883</v>
      </c>
      <c r="AS194" s="28" t="n">
        <f aca="false">-(AS19*AS21*Hipótesis!$C$18+AS23*Hipótesis!$C$22)</f>
        <v>-22003.147818883</v>
      </c>
      <c r="AT194" s="28" t="n">
        <f aca="false">-(AT19*AT21*Hipótesis!$C$18+AT23*Hipótesis!$C$22)</f>
        <v>-22003.147818883</v>
      </c>
      <c r="AU194" s="28" t="n">
        <f aca="false">-(AU19*AU21*Hipótesis!$C$18+AU23*Hipótesis!$C$22)</f>
        <v>-22003.147818883</v>
      </c>
      <c r="AV194" s="28" t="n">
        <f aca="false">-(AV19*AV21*Hipótesis!$C$18+AV23*Hipótesis!$C$22)</f>
        <v>-22003.147818883</v>
      </c>
      <c r="AW194" s="28" t="n">
        <f aca="false">-(AW19*AW21*Hipótesis!$C$18+AW23*Hipótesis!$C$22)</f>
        <v>-22003.147818883</v>
      </c>
      <c r="AX194" s="28" t="n">
        <f aca="false">-(AX19*AX21*Hipótesis!$C$18+AX23*Hipótesis!$C$22)</f>
        <v>-22003.147818883</v>
      </c>
      <c r="AY194" s="28" t="n">
        <f aca="false">-(AY19*AY21*Hipótesis!$C$18+AY23*Hipótesis!$C$22)</f>
        <v>-22003.147818883</v>
      </c>
      <c r="AZ194" s="28" t="n">
        <f aca="false">-(AZ19*AZ21*Hipótesis!$C$18+AZ23*Hipótesis!$C$22)</f>
        <v>-22003.147818883</v>
      </c>
      <c r="BA194" s="28" t="n">
        <f aca="false">-(BA19*BA21*Hipótesis!$C$18+BA23*Hipótesis!$C$22)</f>
        <v>-22003.147818883</v>
      </c>
      <c r="BB194" s="28" t="n">
        <f aca="false">-(BB19*BB21*Hipótesis!$C$18+BB23*Hipótesis!$C$22)</f>
        <v>-22003.147818883</v>
      </c>
      <c r="BC194" s="28" t="n">
        <f aca="false">-(BC19*BC21*Hipótesis!$C$18+BC23*Hipótesis!$C$22)</f>
        <v>-22003.147818883</v>
      </c>
      <c r="BD194" s="28" t="n">
        <f aca="false">-(BD19*BD21*Hipótesis!$C$18+BD23*Hipótesis!$C$22)</f>
        <v>-22003.147818883</v>
      </c>
      <c r="BE194" s="28" t="n">
        <f aca="false">-(BE19*BE21*Hipótesis!$C$18+BE23*Hipótesis!$C$22)</f>
        <v>-22003.147818883</v>
      </c>
      <c r="BF194" s="28" t="n">
        <f aca="false">-(BF19*BF21*Hipótesis!$C$18+BF23*Hipótesis!$C$22)</f>
        <v>-22003.147818883</v>
      </c>
      <c r="BG194" s="28" t="n">
        <f aca="false">-(BG19*BG21*Hipótesis!$C$18+BG23*Hipótesis!$C$22)</f>
        <v>-22003.147818883</v>
      </c>
      <c r="BH194" s="28" t="n">
        <f aca="false">-(BH19*BH21*Hipótesis!$C$18+BH23*Hipótesis!$C$22)</f>
        <v>-22003.147818883</v>
      </c>
      <c r="BI194" s="28" t="n">
        <f aca="false">-(BI19*BI21*Hipótesis!$C$18+BI23*Hipótesis!$C$22)</f>
        <v>-22003.147818883</v>
      </c>
      <c r="BJ194" s="28" t="n">
        <f aca="false">-(BJ19*BJ21*Hipótesis!$C$18+BJ23*Hipótesis!$C$22)</f>
        <v>-22003.147818883</v>
      </c>
      <c r="BK194" s="28" t="n">
        <f aca="false">-(BK19*BK21*Hipótesis!$C$18+BK23*Hipótesis!$C$22)</f>
        <v>-22003.147818883</v>
      </c>
      <c r="BL194" s="28" t="n">
        <f aca="false">-(BL19*BL21*Hipótesis!$C$18+BL23*Hipótesis!$C$22)</f>
        <v>-22003.147818883</v>
      </c>
      <c r="BM194" s="28" t="n">
        <f aca="false">-(BM19*BM21*Hipótesis!$C$18+BM23*Hipótesis!$C$22)</f>
        <v>-22003.147818883</v>
      </c>
      <c r="BN194" s="28" t="n">
        <f aca="false">-(BN19*BN21*Hipótesis!$C$18+BN23*Hipótesis!$C$22)</f>
        <v>-22003.147818883</v>
      </c>
      <c r="BO194" s="28" t="n">
        <f aca="false">-(BO19*BO21*Hipótesis!$C$18+BO23*Hipótesis!$C$22)</f>
        <v>-22003.147818883</v>
      </c>
      <c r="BP194" s="28" t="n">
        <f aca="false">-(BP19*BP21*Hipótesis!$C$18+BP23*Hipótesis!$C$22)</f>
        <v>-22003.147818883</v>
      </c>
      <c r="BQ194" s="28" t="n">
        <f aca="false">-(BQ19*BQ21*Hipótesis!$C$18+BQ23*Hipótesis!$C$22)</f>
        <v>-22003.147818883</v>
      </c>
      <c r="BR194" s="28" t="n">
        <f aca="false">-(BR19*BR21*Hipótesis!$C$18+BR23*Hipótesis!$C$22)</f>
        <v>-22003.147818883</v>
      </c>
      <c r="BS194" s="28" t="n">
        <f aca="false">-(BS19*BS21*Hipótesis!$C$18+BS23*Hipótesis!$C$22)</f>
        <v>-22003.147818883</v>
      </c>
      <c r="BT194" s="28" t="n">
        <f aca="false">-(BT19*BT21*Hipótesis!$C$18+BT23*Hipótesis!$C$22)</f>
        <v>-22003.147818883</v>
      </c>
      <c r="BU194" s="28" t="n">
        <f aca="false">-(BU19*BU21*Hipótesis!$C$18+BU23*Hipótesis!$C$22)</f>
        <v>-22003.147818883</v>
      </c>
      <c r="BV194" s="28" t="n">
        <f aca="false">-(BV19*BV21*Hipótesis!$C$18+BV23*Hipótesis!$C$22)</f>
        <v>-22003.147818883</v>
      </c>
      <c r="BW194" s="28" t="n">
        <f aca="false">-(BW19*BW21*Hipótesis!$C$18+BW23*Hipótesis!$C$22)</f>
        <v>-22003.147818883</v>
      </c>
      <c r="BX194" s="28" t="n">
        <f aca="false">-(BX19*BX21*Hipótesis!$C$18+BX23*Hipótesis!$C$22)</f>
        <v>-22003.147818883</v>
      </c>
      <c r="BY194" s="28" t="n">
        <f aca="false">-(BY19*BY21*Hipótesis!$C$18+BY23*Hipótesis!$C$22)</f>
        <v>-22003.147818883</v>
      </c>
      <c r="BZ194" s="28" t="n">
        <f aca="false">-(BZ19*BZ21*Hipótesis!$C$18+BZ23*Hipótesis!$C$22)</f>
        <v>-22003.147818883</v>
      </c>
      <c r="CA194" s="28" t="n">
        <f aca="false">-(CA19*CA21*Hipótesis!$C$18+CA23*Hipótesis!$C$22)</f>
        <v>-22003.147818883</v>
      </c>
      <c r="CB194" s="28" t="n">
        <f aca="false">-(CB19*CB21*Hipótesis!$C$18+CB23*Hipótesis!$C$22)</f>
        <v>-22003.147818883</v>
      </c>
      <c r="CC194" s="28" t="n">
        <f aca="false">-(CC19*CC21*Hipótesis!$C$18+CC23*Hipótesis!$C$22)</f>
        <v>-22003.147818883</v>
      </c>
      <c r="CD194" s="28" t="n">
        <f aca="false">-(CD19*CD21*Hipótesis!$C$18+CD23*Hipótesis!$C$22)</f>
        <v>-22003.147818883</v>
      </c>
      <c r="CE194" s="28" t="n">
        <f aca="false">-(CE19*CE21*Hipótesis!$C$18+CE23*Hipótesis!$C$22)</f>
        <v>-22003.147818883</v>
      </c>
      <c r="CF194" s="28" t="n">
        <f aca="false">-(CF19*CF21*Hipótesis!$C$18+CF23*Hipótesis!$C$22)</f>
        <v>-22003.147818883</v>
      </c>
      <c r="CG194" s="28" t="n">
        <f aca="false">-(CG19*CG21*Hipótesis!$C$18+CG23*Hipótesis!$C$22)</f>
        <v>-22003.147818883</v>
      </c>
      <c r="CH194" s="28" t="n">
        <f aca="false">-(CH19*CH21*Hipótesis!$C$18+CH23*Hipótesis!$C$22)</f>
        <v>-22003.147818883</v>
      </c>
    </row>
    <row r="195" customFormat="false" ht="15" hidden="false" customHeight="false" outlineLevel="0" collapsed="false">
      <c r="A195" s="1" t="s">
        <v>856</v>
      </c>
      <c r="C195" s="28" t="n">
        <f aca="false">-C178*Hipótesis!$C$129</f>
        <v>-44.4449237785196</v>
      </c>
      <c r="D195" s="28" t="n">
        <f aca="false">-D178*Hipótesis!$C$129</f>
        <v>-88.8898475570391</v>
      </c>
      <c r="E195" s="28" t="n">
        <f aca="false">-E178*Hipótesis!$C$129</f>
        <v>-133.334771335559</v>
      </c>
      <c r="F195" s="28" t="n">
        <f aca="false">-F178*Hipótesis!$C$129</f>
        <v>-177.779695114078</v>
      </c>
      <c r="G195" s="28" t="n">
        <f aca="false">-G178*Hipótesis!$C$129</f>
        <v>-33.3336928338897</v>
      </c>
      <c r="H195" s="28" t="n">
        <f aca="false">-H178*Hipótesis!$C$129</f>
        <v>-266.669542671117</v>
      </c>
      <c r="I195" s="28" t="n">
        <f aca="false">-I178*Hipótesis!$C$129</f>
        <v>-311.114466449637</v>
      </c>
      <c r="J195" s="28" t="n">
        <f aca="false">-J178*Hipótesis!$C$129</f>
        <v>-355.559390228157</v>
      </c>
      <c r="K195" s="28" t="n">
        <f aca="false">-K178*Hipótesis!$C$129</f>
        <v>-400.004314006676</v>
      </c>
      <c r="L195" s="28" t="n">
        <f aca="false">-L178*Hipótesis!$C$129</f>
        <v>-444.449237785196</v>
      </c>
      <c r="M195" s="28" t="n">
        <f aca="false">-M178*Hipótesis!$C$129</f>
        <v>-488.894161563715</v>
      </c>
      <c r="N195" s="28" t="n">
        <f aca="false">-N178*Hipótesis!$C$129</f>
        <v>-533.339085342235</v>
      </c>
      <c r="O195" s="28" t="n">
        <f aca="false">-O178*Hipótesis!$C$129</f>
        <v>-577.784009120754</v>
      </c>
      <c r="P195" s="28" t="n">
        <f aca="false">-P178*Hipótesis!$C$129</f>
        <v>-622.228932899274</v>
      </c>
      <c r="Q195" s="28" t="n">
        <f aca="false">-Q178*Hipótesis!$C$129</f>
        <v>-666.673856677793</v>
      </c>
      <c r="R195" s="28" t="n">
        <f aca="false">-R178*Hipótesis!$C$129</f>
        <v>-711.118780456313</v>
      </c>
      <c r="S195" s="28" t="n">
        <f aca="false">-S178*Hipótesis!$C$129</f>
        <v>-113.334555635225</v>
      </c>
      <c r="T195" s="28" t="n">
        <f aca="false">-T178*Hipótesis!$C$129</f>
        <v>-800.008628013352</v>
      </c>
      <c r="U195" s="28" t="n">
        <f aca="false">-U178*Hipótesis!$C$129</f>
        <v>-844.453551791872</v>
      </c>
      <c r="V195" s="28" t="n">
        <f aca="false">-V178*Hipótesis!$C$129</f>
        <v>-888.898475570391</v>
      </c>
      <c r="W195" s="28" t="n">
        <f aca="false">-W178*Hipótesis!$C$129</f>
        <v>-933.343399348911</v>
      </c>
      <c r="X195" s="28" t="n">
        <f aca="false">-X178*Hipótesis!$C$129</f>
        <v>-977.78832312743</v>
      </c>
      <c r="Y195" s="28" t="n">
        <f aca="false">-Y178*Hipótesis!$C$129</f>
        <v>-1022.23324690595</v>
      </c>
      <c r="Z195" s="28" t="n">
        <f aca="false">-Z178*Hipótesis!$C$129</f>
        <v>-1066.67817068447</v>
      </c>
      <c r="AA195" s="28" t="n">
        <f aca="false">-AA178*Hipótesis!$C$129</f>
        <v>-1111.12309446299</v>
      </c>
      <c r="AB195" s="28" t="n">
        <f aca="false">-AB178*Hipótesis!$C$129</f>
        <v>-1155.56801824151</v>
      </c>
      <c r="AC195" s="28" t="n">
        <f aca="false">-AC178*Hipótesis!$C$129</f>
        <v>-1200.01294202003</v>
      </c>
      <c r="AD195" s="28" t="n">
        <f aca="false">-AD178*Hipótesis!$C$129</f>
        <v>-1244.45786579855</v>
      </c>
      <c r="AE195" s="28" t="n">
        <f aca="false">-AE178*Hipótesis!$C$129</f>
        <v>-193.33541843656</v>
      </c>
      <c r="AF195" s="28" t="n">
        <f aca="false">-AF178*Hipótesis!$C$129</f>
        <v>-1333.34771335559</v>
      </c>
      <c r="AG195" s="28" t="n">
        <f aca="false">-AG178*Hipótesis!$C$129</f>
        <v>-1377.79263713411</v>
      </c>
      <c r="AH195" s="28" t="n">
        <f aca="false">-AH178*Hipótesis!$C$129</f>
        <v>-1422.23756091263</v>
      </c>
      <c r="AI195" s="28" t="n">
        <f aca="false">-AI178*Hipótesis!$C$129</f>
        <v>-1466.68248469115</v>
      </c>
      <c r="AJ195" s="28" t="n">
        <f aca="false">-AJ178*Hipótesis!$C$129</f>
        <v>-1511.12740846967</v>
      </c>
      <c r="AK195" s="28" t="n">
        <f aca="false">-AK178*Hipótesis!$C$129</f>
        <v>-1555.57233224818</v>
      </c>
      <c r="AL195" s="28" t="n">
        <f aca="false">-AL178*Hipótesis!$C$129</f>
        <v>-1600.0172560267</v>
      </c>
      <c r="AM195" s="28" t="n">
        <f aca="false">-AM178*Hipótesis!$C$129</f>
        <v>-1600.0172560267</v>
      </c>
      <c r="AN195" s="28" t="n">
        <f aca="false">-AN178*Hipótesis!$C$129</f>
        <v>-1600.0172560267</v>
      </c>
      <c r="AO195" s="28" t="n">
        <f aca="false">-AO178*Hipótesis!$C$129</f>
        <v>-1600.0172560267</v>
      </c>
      <c r="AP195" s="28" t="n">
        <f aca="false">-AP178*Hipótesis!$C$129</f>
        <v>-1600.0172560267</v>
      </c>
      <c r="AQ195" s="28" t="n">
        <f aca="false">-AQ178*Hipótesis!$C$129</f>
        <v>-240.002588404006</v>
      </c>
      <c r="AR195" s="28" t="n">
        <f aca="false">-AR178*Hipótesis!$C$129</f>
        <v>-1600.0172560267</v>
      </c>
      <c r="AS195" s="28" t="n">
        <f aca="false">-AS178*Hipótesis!$C$129</f>
        <v>-1600.0172560267</v>
      </c>
      <c r="AT195" s="28" t="n">
        <f aca="false">-AT178*Hipótesis!$C$129</f>
        <v>-1600.0172560267</v>
      </c>
      <c r="AU195" s="28" t="n">
        <f aca="false">-AU178*Hipótesis!$C$129</f>
        <v>-1600.0172560267</v>
      </c>
      <c r="AV195" s="28" t="n">
        <f aca="false">-AV178*Hipótesis!$C$129</f>
        <v>-1600.0172560267</v>
      </c>
      <c r="AW195" s="28" t="n">
        <f aca="false">-AW178*Hipótesis!$C$129</f>
        <v>-1600.0172560267</v>
      </c>
      <c r="AX195" s="28" t="n">
        <f aca="false">-AX178*Hipótesis!$C$129</f>
        <v>-1600.0172560267</v>
      </c>
      <c r="AY195" s="28" t="n">
        <f aca="false">-AY178*Hipótesis!$C$129</f>
        <v>-1600.0172560267</v>
      </c>
      <c r="AZ195" s="28" t="n">
        <f aca="false">-AZ178*Hipótesis!$C$129</f>
        <v>-1600.0172560267</v>
      </c>
      <c r="BA195" s="28" t="n">
        <f aca="false">-BA178*Hipótesis!$C$129</f>
        <v>-1600.0172560267</v>
      </c>
      <c r="BB195" s="28" t="n">
        <f aca="false">-BB178*Hipótesis!$C$129</f>
        <v>-1600.0172560267</v>
      </c>
      <c r="BC195" s="28" t="n">
        <f aca="false">-BC178*Hipótesis!$C$129</f>
        <v>-240.002588404006</v>
      </c>
      <c r="BD195" s="28" t="n">
        <f aca="false">-BD178*Hipótesis!$C$129</f>
        <v>-1600.0172560267</v>
      </c>
      <c r="BE195" s="28" t="n">
        <f aca="false">-BE178*Hipótesis!$C$129</f>
        <v>-1600.0172560267</v>
      </c>
      <c r="BF195" s="28" t="n">
        <f aca="false">-BF178*Hipótesis!$C$129</f>
        <v>-1600.0172560267</v>
      </c>
      <c r="BG195" s="28" t="n">
        <f aca="false">-BG178*Hipótesis!$C$129</f>
        <v>-1600.0172560267</v>
      </c>
      <c r="BH195" s="28" t="n">
        <f aca="false">-BH178*Hipótesis!$C$129</f>
        <v>-1600.0172560267</v>
      </c>
      <c r="BI195" s="28" t="n">
        <f aca="false">-BI178*Hipótesis!$C$129</f>
        <v>-1600.0172560267</v>
      </c>
      <c r="BJ195" s="28" t="n">
        <f aca="false">-BJ178*Hipótesis!$C$129</f>
        <v>-1600.0172560267</v>
      </c>
      <c r="BK195" s="28" t="n">
        <f aca="false">-BK178*Hipótesis!$C$129</f>
        <v>-1600.0172560267</v>
      </c>
      <c r="BL195" s="28" t="n">
        <f aca="false">-BL178*Hipótesis!$C$129</f>
        <v>-1600.0172560267</v>
      </c>
      <c r="BM195" s="28" t="n">
        <f aca="false">-BM178*Hipótesis!$C$129</f>
        <v>-1600.0172560267</v>
      </c>
      <c r="BN195" s="28" t="n">
        <f aca="false">-BN178*Hipótesis!$C$129</f>
        <v>-1600.0172560267</v>
      </c>
      <c r="BO195" s="28" t="n">
        <f aca="false">-BO178*Hipótesis!$C$129</f>
        <v>-240.002588404006</v>
      </c>
      <c r="BP195" s="28" t="n">
        <f aca="false">-BP178*Hipótesis!$C$129</f>
        <v>-1600.0172560267</v>
      </c>
      <c r="BQ195" s="28" t="n">
        <f aca="false">-BQ178*Hipótesis!$C$129</f>
        <v>-1600.0172560267</v>
      </c>
      <c r="BR195" s="28" t="n">
        <f aca="false">-BR178*Hipótesis!$C$129</f>
        <v>-1600.0172560267</v>
      </c>
      <c r="BS195" s="28" t="n">
        <f aca="false">-BS178*Hipótesis!$C$129</f>
        <v>-1600.0172560267</v>
      </c>
      <c r="BT195" s="28" t="n">
        <f aca="false">-BT178*Hipótesis!$C$129</f>
        <v>-1600.0172560267</v>
      </c>
      <c r="BU195" s="28" t="n">
        <f aca="false">-BU178*Hipótesis!$C$129</f>
        <v>-1600.0172560267</v>
      </c>
      <c r="BV195" s="28" t="n">
        <f aca="false">-BV178*Hipótesis!$C$129</f>
        <v>-1600.0172560267</v>
      </c>
      <c r="BW195" s="28" t="n">
        <f aca="false">-BW178*Hipótesis!$C$129</f>
        <v>-1600.0172560267</v>
      </c>
      <c r="BX195" s="28" t="n">
        <f aca="false">-BX178*Hipótesis!$C$129</f>
        <v>-1600.0172560267</v>
      </c>
      <c r="BY195" s="28" t="n">
        <f aca="false">-BY178*Hipótesis!$C$129</f>
        <v>-1600.0172560267</v>
      </c>
      <c r="BZ195" s="28" t="n">
        <f aca="false">-BZ178*Hipótesis!$C$129</f>
        <v>-1600.0172560267</v>
      </c>
      <c r="CA195" s="28" t="n">
        <f aca="false">-CA178*Hipótesis!$C$129</f>
        <v>-240.002588404006</v>
      </c>
      <c r="CB195" s="28" t="n">
        <f aca="false">-CB178*Hipótesis!$C$129</f>
        <v>-1600.0172560267</v>
      </c>
      <c r="CC195" s="28" t="n">
        <f aca="false">-CC178*Hipótesis!$C$129</f>
        <v>-1600.0172560267</v>
      </c>
      <c r="CD195" s="28" t="n">
        <f aca="false">-CD178*Hipótesis!$C$129</f>
        <v>-1600.0172560267</v>
      </c>
      <c r="CE195" s="28" t="n">
        <f aca="false">-CE178*Hipótesis!$C$129</f>
        <v>-1600.0172560267</v>
      </c>
      <c r="CF195" s="28" t="n">
        <f aca="false">-CF178*Hipótesis!$C$129</f>
        <v>-1600.0172560267</v>
      </c>
      <c r="CG195" s="28" t="n">
        <f aca="false">-CG178*Hipótesis!$C$129</f>
        <v>-1600.0172560267</v>
      </c>
      <c r="CH195" s="28" t="n">
        <f aca="false">-CH178*Hipótesis!$C$129</f>
        <v>-1600.0172560267</v>
      </c>
    </row>
    <row r="196" customFormat="false" ht="15" hidden="false" customHeight="false" outlineLevel="0" collapsed="false">
      <c r="A196" s="25" t="s">
        <v>857</v>
      </c>
      <c r="C196" s="157" t="n">
        <f aca="false">IFERROR(C177*Hipótesis!$C$130/Restaurantes!$D$22/(Restaurantes!$D$24*Restaurantes!$D$25),0)</f>
        <v>3.14489489585324</v>
      </c>
      <c r="D196" s="157" t="n">
        <f aca="false">IFERROR(D177*Hipótesis!$C$130/Restaurantes!$D$22/(Restaurantes!$D$24*Restaurantes!$D$25),0)</f>
        <v>6.28978979170647</v>
      </c>
      <c r="E196" s="157" t="n">
        <f aca="false">IFERROR(E177*Hipótesis!$C$130/Restaurantes!$D$22/(Restaurantes!$D$24*Restaurantes!$D$25),0)</f>
        <v>9.43468468755971</v>
      </c>
      <c r="F196" s="157" t="n">
        <f aca="false">IFERROR(F177*Hipótesis!$C$130/Restaurantes!$D$22/(Restaurantes!$D$24*Restaurantes!$D$25),0)</f>
        <v>12.5795795834129</v>
      </c>
      <c r="G196" s="157" t="n">
        <f aca="false">IFERROR(G177*Hipótesis!$C$130/Restaurantes!$D$22/(Restaurantes!$D$24*Restaurantes!$D$25),0)</f>
        <v>15.7244744792662</v>
      </c>
      <c r="H196" s="157" t="n">
        <f aca="false">IFERROR(H177*Hipótesis!$C$130/Restaurantes!$D$22/(Restaurantes!$D$24*Restaurantes!$D$25),0)</f>
        <v>18.8693693751194</v>
      </c>
      <c r="I196" s="157" t="n">
        <f aca="false">IFERROR(I177*Hipótesis!$C$130/Restaurantes!$D$22/(Restaurantes!$D$24*Restaurantes!$D$25),0)</f>
        <v>22.0142642709727</v>
      </c>
      <c r="J196" s="157" t="n">
        <f aca="false">IFERROR(J177*Hipótesis!$C$130/Restaurantes!$D$22/(Restaurantes!$D$24*Restaurantes!$D$25),0)</f>
        <v>25.1591591668259</v>
      </c>
      <c r="K196" s="157" t="n">
        <f aca="false">IFERROR(K177*Hipótesis!$C$130/Restaurantes!$D$22/(Restaurantes!$D$24*Restaurantes!$D$25),0)</f>
        <v>28.3040540626791</v>
      </c>
      <c r="L196" s="157" t="n">
        <f aca="false">IFERROR(L177*Hipótesis!$C$130/Restaurantes!$D$22/(Restaurantes!$D$24*Restaurantes!$D$25),0)</f>
        <v>31.4489489585324</v>
      </c>
      <c r="M196" s="157" t="n">
        <f aca="false">IFERROR(M177*Hipótesis!$C$130/Restaurantes!$D$22/(Restaurantes!$D$24*Restaurantes!$D$25),0)</f>
        <v>34.5938438543856</v>
      </c>
      <c r="N196" s="157" t="n">
        <f aca="false">IFERROR(N177*Hipótesis!$C$130/Restaurantes!$D$22/(Restaurantes!$D$24*Restaurantes!$D$25),0)</f>
        <v>37.7387387502388</v>
      </c>
      <c r="O196" s="157" t="n">
        <f aca="false">IFERROR(O177*Hipótesis!$C$130/Restaurantes!$D$22/(Restaurantes!$D$24*Restaurantes!$D$25),0)</f>
        <v>40.8836336460921</v>
      </c>
      <c r="P196" s="157" t="n">
        <f aca="false">IFERROR(P177*Hipótesis!$C$130/Restaurantes!$D$22/(Restaurantes!$D$24*Restaurantes!$D$25),0)</f>
        <v>44.0285285419453</v>
      </c>
      <c r="Q196" s="157" t="n">
        <f aca="false">IFERROR(Q177*Hipótesis!$C$130/Restaurantes!$D$22/(Restaurantes!$D$24*Restaurantes!$D$25),0)</f>
        <v>47.1734234377986</v>
      </c>
      <c r="R196" s="157" t="n">
        <f aca="false">IFERROR(R177*Hipótesis!$C$130/Restaurantes!$D$22/(Restaurantes!$D$24*Restaurantes!$D$25),0)</f>
        <v>50.3183183336518</v>
      </c>
      <c r="S196" s="157" t="n">
        <f aca="false">IFERROR(S177*Hipótesis!$C$130/Restaurantes!$D$22/(Restaurantes!$D$24*Restaurantes!$D$25),0)</f>
        <v>53.463213229505</v>
      </c>
      <c r="T196" s="157" t="n">
        <f aca="false">IFERROR(T177*Hipótesis!$C$130/Restaurantes!$D$22/(Restaurantes!$D$24*Restaurantes!$D$25),0)</f>
        <v>56.6081081253583</v>
      </c>
      <c r="U196" s="157" t="n">
        <f aca="false">IFERROR(U177*Hipótesis!$C$130/Restaurantes!$D$22/(Restaurantes!$D$24*Restaurantes!$D$25),0)</f>
        <v>59.7530030212115</v>
      </c>
      <c r="V196" s="157" t="n">
        <f aca="false">IFERROR(V177*Hipótesis!$C$130/Restaurantes!$D$22/(Restaurantes!$D$24*Restaurantes!$D$25),0)</f>
        <v>62.8978979170647</v>
      </c>
      <c r="W196" s="157" t="n">
        <f aca="false">IFERROR(W177*Hipótesis!$C$130/Restaurantes!$D$22/(Restaurantes!$D$24*Restaurantes!$D$25),0)</f>
        <v>66.042792812918</v>
      </c>
      <c r="X196" s="157" t="n">
        <f aca="false">IFERROR(X177*Hipótesis!$C$130/Restaurantes!$D$22/(Restaurantes!$D$24*Restaurantes!$D$25),0)</f>
        <v>69.1876877087712</v>
      </c>
      <c r="Y196" s="157" t="n">
        <f aca="false">IFERROR(Y177*Hipótesis!$C$130/Restaurantes!$D$22/(Restaurantes!$D$24*Restaurantes!$D$25),0)</f>
        <v>72.3325826046245</v>
      </c>
      <c r="Z196" s="157" t="n">
        <f aca="false">IFERROR(Z177*Hipótesis!$C$130/Restaurantes!$D$22/(Restaurantes!$D$24*Restaurantes!$D$25),0)</f>
        <v>75.4774775004777</v>
      </c>
      <c r="AA196" s="157" t="n">
        <f aca="false">IFERROR(AA177*Hipótesis!$C$130/Restaurantes!$D$22/(Restaurantes!$D$24*Restaurantes!$D$25),0)</f>
        <v>78.6223723963309</v>
      </c>
      <c r="AB196" s="157" t="n">
        <f aca="false">IFERROR(AB177*Hipótesis!$C$130/Restaurantes!$D$22/(Restaurantes!$D$24*Restaurantes!$D$25),0)</f>
        <v>81.7672672921842</v>
      </c>
      <c r="AC196" s="157" t="n">
        <f aca="false">IFERROR(AC177*Hipótesis!$C$130/Restaurantes!$D$22/(Restaurantes!$D$24*Restaurantes!$D$25),0)</f>
        <v>84.9121621880374</v>
      </c>
      <c r="AD196" s="157" t="n">
        <f aca="false">IFERROR(AD177*Hipótesis!$C$130/Restaurantes!$D$22/(Restaurantes!$D$24*Restaurantes!$D$25),0)</f>
        <v>88.0570570838906</v>
      </c>
      <c r="AE196" s="157" t="n">
        <f aca="false">IFERROR(AE177*Hipótesis!$C$130/Restaurantes!$D$22/(Restaurantes!$D$24*Restaurantes!$D$25),0)</f>
        <v>91.2019519797439</v>
      </c>
      <c r="AF196" s="157" t="n">
        <f aca="false">IFERROR(AF177*Hipótesis!$C$130/Restaurantes!$D$22/(Restaurantes!$D$24*Restaurantes!$D$25),0)</f>
        <v>94.3468468755971</v>
      </c>
      <c r="AG196" s="157" t="n">
        <f aca="false">IFERROR(AG177*Hipótesis!$C$130/Restaurantes!$D$22/(Restaurantes!$D$24*Restaurantes!$D$25),0)</f>
        <v>97.4917417714503</v>
      </c>
      <c r="AH196" s="157" t="n">
        <f aca="false">IFERROR(AH177*Hipótesis!$C$130/Restaurantes!$D$22/(Restaurantes!$D$24*Restaurantes!$D$25),0)</f>
        <v>100.636636667304</v>
      </c>
      <c r="AI196" s="157" t="n">
        <f aca="false">IFERROR(AI177*Hipótesis!$C$130/Restaurantes!$D$22/(Restaurantes!$D$24*Restaurantes!$D$25),0)</f>
        <v>103.781531563157</v>
      </c>
      <c r="AJ196" s="157" t="n">
        <f aca="false">IFERROR(AJ177*Hipótesis!$C$130/Restaurantes!$D$22/(Restaurantes!$D$24*Restaurantes!$D$25),0)</f>
        <v>106.92642645901</v>
      </c>
      <c r="AK196" s="157" t="n">
        <f aca="false">IFERROR(AK177*Hipótesis!$C$130/Restaurantes!$D$22/(Restaurantes!$D$24*Restaurantes!$D$25),0)</f>
        <v>110.071321354863</v>
      </c>
      <c r="AL196" s="157" t="n">
        <f aca="false">IFERROR(AL177*Hipótesis!$C$130/Restaurantes!$D$22/(Restaurantes!$D$24*Restaurantes!$D$25),0)</f>
        <v>113.216216250717</v>
      </c>
      <c r="AM196" s="157" t="n">
        <f aca="false">IFERROR(AM177*Hipótesis!$C$130/Restaurantes!$D$22/(Restaurantes!$D$24*Restaurantes!$D$25),0)</f>
        <v>113.216216250717</v>
      </c>
      <c r="AN196" s="157" t="n">
        <f aca="false">IFERROR(AN177*Hipótesis!$C$130/Restaurantes!$D$22/(Restaurantes!$D$24*Restaurantes!$D$25),0)</f>
        <v>113.216216250717</v>
      </c>
      <c r="AO196" s="157" t="n">
        <f aca="false">IFERROR(AO177*Hipótesis!$C$130/Restaurantes!$D$22/(Restaurantes!$D$24*Restaurantes!$D$25),0)</f>
        <v>113.216216250717</v>
      </c>
      <c r="AP196" s="157" t="n">
        <f aca="false">IFERROR(AP177*Hipótesis!$C$130/Restaurantes!$D$22/(Restaurantes!$D$24*Restaurantes!$D$25),0)</f>
        <v>113.216216250717</v>
      </c>
      <c r="AQ196" s="157" t="n">
        <f aca="false">IFERROR(AQ177*Hipótesis!$C$130/Restaurantes!$D$22/(Restaurantes!$D$24*Restaurantes!$D$25),0)</f>
        <v>113.216216250717</v>
      </c>
      <c r="AR196" s="157" t="n">
        <f aca="false">IFERROR(AR177*Hipótesis!$C$130/Restaurantes!$D$22/(Restaurantes!$D$24*Restaurantes!$D$25),0)</f>
        <v>113.216216250717</v>
      </c>
      <c r="AS196" s="157" t="n">
        <f aca="false">IFERROR(AS177*Hipótesis!$C$130/Restaurantes!$D$22/(Restaurantes!$D$24*Restaurantes!$D$25),0)</f>
        <v>113.216216250717</v>
      </c>
      <c r="AT196" s="157" t="n">
        <f aca="false">IFERROR(AT177*Hipótesis!$C$130/Restaurantes!$D$22/(Restaurantes!$D$24*Restaurantes!$D$25),0)</f>
        <v>113.216216250717</v>
      </c>
      <c r="AU196" s="157" t="n">
        <f aca="false">IFERROR(AU177*Hipótesis!$C$130/Restaurantes!$D$22/(Restaurantes!$D$24*Restaurantes!$D$25),0)</f>
        <v>113.216216250717</v>
      </c>
      <c r="AV196" s="157" t="n">
        <f aca="false">IFERROR(AV177*Hipótesis!$C$130/Restaurantes!$D$22/(Restaurantes!$D$24*Restaurantes!$D$25),0)</f>
        <v>113.216216250717</v>
      </c>
      <c r="AW196" s="157" t="n">
        <f aca="false">IFERROR(AW177*Hipótesis!$C$130/Restaurantes!$D$22/(Restaurantes!$D$24*Restaurantes!$D$25),0)</f>
        <v>113.216216250717</v>
      </c>
      <c r="AX196" s="157" t="n">
        <f aca="false">IFERROR(AX177*Hipótesis!$C$130/Restaurantes!$D$22/(Restaurantes!$D$24*Restaurantes!$D$25),0)</f>
        <v>113.216216250717</v>
      </c>
      <c r="AY196" s="157" t="n">
        <f aca="false">IFERROR(AY177*Hipótesis!$C$130/Restaurantes!$D$22/(Restaurantes!$D$24*Restaurantes!$D$25),0)</f>
        <v>113.216216250717</v>
      </c>
      <c r="AZ196" s="157" t="n">
        <f aca="false">IFERROR(AZ177*Hipótesis!$C$130/Restaurantes!$D$22/(Restaurantes!$D$24*Restaurantes!$D$25),0)</f>
        <v>113.216216250717</v>
      </c>
      <c r="BA196" s="157" t="n">
        <f aca="false">IFERROR(BA177*Hipótesis!$C$130/Restaurantes!$D$22/(Restaurantes!$D$24*Restaurantes!$D$25),0)</f>
        <v>113.216216250717</v>
      </c>
      <c r="BB196" s="157" t="n">
        <f aca="false">IFERROR(BB177*Hipótesis!$C$130/Restaurantes!$D$22/(Restaurantes!$D$24*Restaurantes!$D$25),0)</f>
        <v>113.216216250717</v>
      </c>
      <c r="BC196" s="157" t="n">
        <f aca="false">IFERROR(BC177*Hipótesis!$C$130/Restaurantes!$D$22/(Restaurantes!$D$24*Restaurantes!$D$25),0)</f>
        <v>113.216216250717</v>
      </c>
      <c r="BD196" s="157" t="n">
        <f aca="false">IFERROR(BD177*Hipótesis!$C$130/Restaurantes!$D$22/(Restaurantes!$D$24*Restaurantes!$D$25),0)</f>
        <v>113.216216250717</v>
      </c>
      <c r="BE196" s="157" t="n">
        <f aca="false">IFERROR(BE177*Hipótesis!$C$130/Restaurantes!$D$22/(Restaurantes!$D$24*Restaurantes!$D$25),0)</f>
        <v>113.216216250717</v>
      </c>
      <c r="BF196" s="157" t="n">
        <f aca="false">IFERROR(BF177*Hipótesis!$C$130/Restaurantes!$D$22/(Restaurantes!$D$24*Restaurantes!$D$25),0)</f>
        <v>113.216216250717</v>
      </c>
      <c r="BG196" s="157" t="n">
        <f aca="false">IFERROR(BG177*Hipótesis!$C$130/Restaurantes!$D$22/(Restaurantes!$D$24*Restaurantes!$D$25),0)</f>
        <v>113.216216250717</v>
      </c>
      <c r="BH196" s="157" t="n">
        <f aca="false">IFERROR(BH177*Hipótesis!$C$130/Restaurantes!$D$22/(Restaurantes!$D$24*Restaurantes!$D$25),0)</f>
        <v>113.216216250717</v>
      </c>
      <c r="BI196" s="157" t="n">
        <f aca="false">IFERROR(BI177*Hipótesis!$C$130/Restaurantes!$D$22/(Restaurantes!$D$24*Restaurantes!$D$25),0)</f>
        <v>113.216216250717</v>
      </c>
      <c r="BJ196" s="157" t="n">
        <f aca="false">IFERROR(BJ177*Hipótesis!$C$130/Restaurantes!$D$22/(Restaurantes!$D$24*Restaurantes!$D$25),0)</f>
        <v>113.216216250717</v>
      </c>
      <c r="BK196" s="157" t="n">
        <f aca="false">IFERROR(BK177*Hipótesis!$C$130/Restaurantes!$D$22/(Restaurantes!$D$24*Restaurantes!$D$25),0)</f>
        <v>113.216216250717</v>
      </c>
      <c r="BL196" s="157" t="n">
        <f aca="false">IFERROR(BL177*Hipótesis!$C$130/Restaurantes!$D$22/(Restaurantes!$D$24*Restaurantes!$D$25),0)</f>
        <v>113.216216250717</v>
      </c>
      <c r="BM196" s="157" t="n">
        <f aca="false">IFERROR(BM177*Hipótesis!$C$130/Restaurantes!$D$22/(Restaurantes!$D$24*Restaurantes!$D$25),0)</f>
        <v>113.216216250717</v>
      </c>
      <c r="BN196" s="157" t="n">
        <f aca="false">IFERROR(BN177*Hipótesis!$C$130/Restaurantes!$D$22/(Restaurantes!$D$24*Restaurantes!$D$25),0)</f>
        <v>113.216216250717</v>
      </c>
      <c r="BO196" s="157" t="n">
        <f aca="false">IFERROR(BO177*Hipótesis!$C$130/Restaurantes!$D$22/(Restaurantes!$D$24*Restaurantes!$D$25),0)</f>
        <v>113.216216250717</v>
      </c>
      <c r="BP196" s="157" t="n">
        <f aca="false">IFERROR(BP177*Hipótesis!$C$130/Restaurantes!$D$22/(Restaurantes!$D$24*Restaurantes!$D$25),0)</f>
        <v>113.216216250717</v>
      </c>
      <c r="BQ196" s="157" t="n">
        <f aca="false">IFERROR(BQ177*Hipótesis!$C$130/Restaurantes!$D$22/(Restaurantes!$D$24*Restaurantes!$D$25),0)</f>
        <v>113.216216250717</v>
      </c>
      <c r="BR196" s="157" t="n">
        <f aca="false">IFERROR(BR177*Hipótesis!$C$130/Restaurantes!$D$22/(Restaurantes!$D$24*Restaurantes!$D$25),0)</f>
        <v>113.216216250717</v>
      </c>
      <c r="BS196" s="157" t="n">
        <f aca="false">IFERROR(BS177*Hipótesis!$C$130/Restaurantes!$D$22/(Restaurantes!$D$24*Restaurantes!$D$25),0)</f>
        <v>113.216216250717</v>
      </c>
      <c r="BT196" s="157" t="n">
        <f aca="false">IFERROR(BT177*Hipótesis!$C$130/Restaurantes!$D$22/(Restaurantes!$D$24*Restaurantes!$D$25),0)</f>
        <v>113.216216250717</v>
      </c>
      <c r="BU196" s="157" t="n">
        <f aca="false">IFERROR(BU177*Hipótesis!$C$130/Restaurantes!$D$22/(Restaurantes!$D$24*Restaurantes!$D$25),0)</f>
        <v>113.216216250717</v>
      </c>
      <c r="BV196" s="157" t="n">
        <f aca="false">IFERROR(BV177*Hipótesis!$C$130/Restaurantes!$D$22/(Restaurantes!$D$24*Restaurantes!$D$25),0)</f>
        <v>113.216216250717</v>
      </c>
      <c r="BW196" s="157" t="n">
        <f aca="false">IFERROR(BW177*Hipótesis!$C$130/Restaurantes!$D$22/(Restaurantes!$D$24*Restaurantes!$D$25),0)</f>
        <v>113.216216250717</v>
      </c>
      <c r="BX196" s="157" t="n">
        <f aca="false">IFERROR(BX177*Hipótesis!$C$130/Restaurantes!$D$22/(Restaurantes!$D$24*Restaurantes!$D$25),0)</f>
        <v>113.216216250717</v>
      </c>
      <c r="BY196" s="157" t="n">
        <f aca="false">IFERROR(BY177*Hipótesis!$C$130/Restaurantes!$D$22/(Restaurantes!$D$24*Restaurantes!$D$25),0)</f>
        <v>113.216216250717</v>
      </c>
      <c r="BZ196" s="157" t="n">
        <f aca="false">IFERROR(BZ177*Hipótesis!$C$130/Restaurantes!$D$22/(Restaurantes!$D$24*Restaurantes!$D$25),0)</f>
        <v>113.216216250717</v>
      </c>
      <c r="CA196" s="157" t="n">
        <f aca="false">IFERROR(CA177*Hipótesis!$C$130/Restaurantes!$D$22/(Restaurantes!$D$24*Restaurantes!$D$25),0)</f>
        <v>113.216216250717</v>
      </c>
      <c r="CB196" s="157" t="n">
        <f aca="false">IFERROR(CB177*Hipótesis!$C$130/Restaurantes!$D$22/(Restaurantes!$D$24*Restaurantes!$D$25),0)</f>
        <v>113.216216250717</v>
      </c>
      <c r="CC196" s="157" t="n">
        <f aca="false">IFERROR(CC177*Hipótesis!$C$130/Restaurantes!$D$22/(Restaurantes!$D$24*Restaurantes!$D$25),0)</f>
        <v>113.216216250717</v>
      </c>
      <c r="CD196" s="157" t="n">
        <f aca="false">IFERROR(CD177*Hipótesis!$C$130/Restaurantes!$D$22/(Restaurantes!$D$24*Restaurantes!$D$25),0)</f>
        <v>113.216216250717</v>
      </c>
      <c r="CE196" s="157" t="n">
        <f aca="false">IFERROR(CE177*Hipótesis!$C$130/Restaurantes!$D$22/(Restaurantes!$D$24*Restaurantes!$D$25),0)</f>
        <v>113.216216250717</v>
      </c>
      <c r="CF196" s="157" t="n">
        <f aca="false">IFERROR(CF177*Hipótesis!$C$130/Restaurantes!$D$22/(Restaurantes!$D$24*Restaurantes!$D$25),0)</f>
        <v>113.216216250717</v>
      </c>
      <c r="CG196" s="157" t="n">
        <f aca="false">IFERROR(CG177*Hipótesis!$C$130/Restaurantes!$D$22/(Restaurantes!$D$24*Restaurantes!$D$25),0)</f>
        <v>113.216216250717</v>
      </c>
      <c r="CH196" s="157" t="n">
        <f aca="false">IFERROR(CH177*Hipótesis!$C$130/Restaurantes!$D$22/(Restaurantes!$D$24*Restaurantes!$D$25),0)</f>
        <v>113.216216250717</v>
      </c>
    </row>
    <row r="197" customFormat="false" ht="15" hidden="false" customHeight="false" outlineLevel="0" collapsed="false">
      <c r="A197" s="1" t="s">
        <v>858</v>
      </c>
      <c r="C197" s="158" t="n">
        <f aca="false">MAX(0,C196)</f>
        <v>3.14489489585324</v>
      </c>
      <c r="D197" s="158" t="n">
        <f aca="false">MAX(0,D196-C196)+C196*Restaurantes!$D$62</f>
        <v>3.19206831929104</v>
      </c>
      <c r="E197" s="158" t="n">
        <f aca="false">MAX(0,E196-D196)+D196*Restaurantes!$D$62</f>
        <v>3.23924174272883</v>
      </c>
      <c r="F197" s="158" t="n">
        <f aca="false">MAX(0,F196-E196)+E196*Restaurantes!$D$62</f>
        <v>3.28641516616663</v>
      </c>
      <c r="G197" s="158" t="n">
        <f aca="false">MAX(0,G196-F196)+F196*Restaurantes!$D$62</f>
        <v>3.33358858960443</v>
      </c>
      <c r="H197" s="158" t="n">
        <f aca="false">MAX(0,H196-G196)+G196*Restaurantes!$D$62</f>
        <v>3.38076201304223</v>
      </c>
      <c r="I197" s="158" t="n">
        <f aca="false">MAX(0,I196-H196)+H196*Restaurantes!$D$62</f>
        <v>3.42793543648003</v>
      </c>
      <c r="J197" s="158" t="n">
        <f aca="false">MAX(0,J196-I196)+I196*Restaurantes!$D$62</f>
        <v>3.47510885991783</v>
      </c>
      <c r="K197" s="158" t="n">
        <f aca="false">MAX(0,K196-J196)+J196*Restaurantes!$D$62</f>
        <v>3.52228228335563</v>
      </c>
      <c r="L197" s="158" t="n">
        <f aca="false">MAX(0,L196-K196)+K196*Restaurantes!$D$62</f>
        <v>3.56945570679342</v>
      </c>
      <c r="M197" s="158" t="n">
        <f aca="false">MAX(0,M196-L196)+L196*Restaurantes!$D$62</f>
        <v>3.61662913023122</v>
      </c>
      <c r="N197" s="158" t="n">
        <f aca="false">MAX(0,N196-M196)+M196*Restaurantes!$D$62</f>
        <v>3.66380255366902</v>
      </c>
      <c r="O197" s="158" t="n">
        <f aca="false">MAX(0,O196-N196)+N196*Restaurantes!$D$62</f>
        <v>3.71097597710682</v>
      </c>
      <c r="P197" s="158" t="n">
        <f aca="false">MAX(0,P196-O196)+O196*Restaurantes!$D$62</f>
        <v>3.75814940054462</v>
      </c>
      <c r="Q197" s="158" t="n">
        <f aca="false">MAX(0,Q196-P196)+P196*Restaurantes!$D$62</f>
        <v>3.80532282398241</v>
      </c>
      <c r="R197" s="158" t="n">
        <f aca="false">MAX(0,R196-Q196)+Q196*Restaurantes!$D$62</f>
        <v>3.85249624742022</v>
      </c>
      <c r="S197" s="158" t="n">
        <f aca="false">MAX(0,S196-R196)+R196*Restaurantes!$D$62</f>
        <v>3.89966967085801</v>
      </c>
      <c r="T197" s="158" t="n">
        <f aca="false">MAX(0,T196-S196)+S196*Restaurantes!$D$62</f>
        <v>3.94684309429582</v>
      </c>
      <c r="U197" s="158" t="n">
        <f aca="false">MAX(0,U196-T196)+T196*Restaurantes!$D$62</f>
        <v>3.99401651773361</v>
      </c>
      <c r="V197" s="158" t="n">
        <f aca="false">MAX(0,V196-U196)+U196*Restaurantes!$D$62</f>
        <v>4.04118994117141</v>
      </c>
      <c r="W197" s="158" t="n">
        <f aca="false">MAX(0,W196-V196)+V196*Restaurantes!$D$62</f>
        <v>4.08836336460922</v>
      </c>
      <c r="X197" s="158" t="n">
        <f aca="false">MAX(0,X196-W196)+W196*Restaurantes!$D$62</f>
        <v>4.135536788047</v>
      </c>
      <c r="Y197" s="158" t="n">
        <f aca="false">MAX(0,Y196-X196)+X196*Restaurantes!$D$62</f>
        <v>4.18271021148481</v>
      </c>
      <c r="Z197" s="158" t="n">
        <f aca="false">MAX(0,Z196-Y196)+Y196*Restaurantes!$D$62</f>
        <v>4.22988363492259</v>
      </c>
      <c r="AA197" s="158" t="n">
        <f aca="false">MAX(0,AA196-Z196)+Z196*Restaurantes!$D$62</f>
        <v>4.27705705836041</v>
      </c>
      <c r="AB197" s="158" t="n">
        <f aca="false">MAX(0,AB196-AA196)+AA196*Restaurantes!$D$62</f>
        <v>4.32423048179821</v>
      </c>
      <c r="AC197" s="158" t="n">
        <f aca="false">MAX(0,AC196-AB196)+AB196*Restaurantes!$D$62</f>
        <v>4.37140390523599</v>
      </c>
      <c r="AD197" s="158" t="n">
        <f aca="false">MAX(0,AD196-AC196)+AC196*Restaurantes!$D$62</f>
        <v>4.4185773286738</v>
      </c>
      <c r="AE197" s="158" t="n">
        <f aca="false">MAX(0,AE196-AD196)+AD196*Restaurantes!$D$62</f>
        <v>4.46575075211159</v>
      </c>
      <c r="AF197" s="158" t="n">
        <f aca="false">MAX(0,AF196-AE196)+AE196*Restaurantes!$D$62</f>
        <v>4.5129241755494</v>
      </c>
      <c r="AG197" s="158" t="n">
        <f aca="false">MAX(0,AG196-AF196)+AF196*Restaurantes!$D$62</f>
        <v>4.5600975989872</v>
      </c>
      <c r="AH197" s="158" t="n">
        <f aca="false">MAX(0,AH196-AG196)+AG196*Restaurantes!$D$62</f>
        <v>4.607271022425</v>
      </c>
      <c r="AI197" s="158" t="n">
        <f aca="false">MAX(0,AI196-AH196)+AH196*Restaurantes!$D$62</f>
        <v>4.6544444458628</v>
      </c>
      <c r="AJ197" s="158" t="n">
        <f aca="false">MAX(0,AJ196-AI196)+AI196*Restaurantes!$D$62</f>
        <v>4.70161786930058</v>
      </c>
      <c r="AK197" s="158" t="n">
        <f aca="false">MAX(0,AK196-AJ196)+AJ196*Restaurantes!$D$62</f>
        <v>4.74879129273839</v>
      </c>
      <c r="AL197" s="158" t="n">
        <f aca="false">MAX(0,AL196-AK196)+AK196*Restaurantes!$D$62</f>
        <v>4.79596471617619</v>
      </c>
      <c r="AM197" s="158" t="n">
        <f aca="false">MAX(0,AM196-AL196)+AL196*Restaurantes!$D$62</f>
        <v>1.69824324376075</v>
      </c>
      <c r="AN197" s="158" t="n">
        <f aca="false">MAX(0,AN196-AM196)+AM196*Restaurantes!$D$62</f>
        <v>1.69824324376075</v>
      </c>
      <c r="AO197" s="158" t="n">
        <f aca="false">MAX(0,AO196-AN196)+AN196*Restaurantes!$D$62</f>
        <v>1.69824324376075</v>
      </c>
      <c r="AP197" s="158" t="n">
        <f aca="false">MAX(0,AP196-AO196)+AO196*Restaurantes!$D$62</f>
        <v>1.69824324376075</v>
      </c>
      <c r="AQ197" s="158" t="n">
        <f aca="false">MAX(0,AQ196-AP196)+AP196*Restaurantes!$D$62</f>
        <v>1.69824324376075</v>
      </c>
      <c r="AR197" s="158" t="n">
        <f aca="false">MAX(0,AR196-AQ196)+AQ196*Restaurantes!$D$62</f>
        <v>1.69824324376075</v>
      </c>
      <c r="AS197" s="158" t="n">
        <f aca="false">MAX(0,AS196-AR196)+AR196*Restaurantes!$D$62</f>
        <v>1.69824324376075</v>
      </c>
      <c r="AT197" s="158" t="n">
        <f aca="false">MAX(0,AT196-AS196)+AS196*Restaurantes!$D$62</f>
        <v>1.69824324376075</v>
      </c>
      <c r="AU197" s="158" t="n">
        <f aca="false">MAX(0,AU196-AT196)+AT196*Restaurantes!$D$62</f>
        <v>1.69824324376075</v>
      </c>
      <c r="AV197" s="158" t="n">
        <f aca="false">MAX(0,AV196-AU196)+AU196*Restaurantes!$D$62</f>
        <v>1.69824324376075</v>
      </c>
      <c r="AW197" s="158" t="n">
        <f aca="false">MAX(0,AW196-AV196)+AV196*Restaurantes!$D$62</f>
        <v>1.69824324376075</v>
      </c>
      <c r="AX197" s="158" t="n">
        <f aca="false">MAX(0,AX196-AW196)+AW196*Restaurantes!$D$62</f>
        <v>1.69824324376075</v>
      </c>
      <c r="AY197" s="158" t="n">
        <f aca="false">MAX(0,AY196-AX196)+AX196*Restaurantes!$D$62</f>
        <v>1.69824324376075</v>
      </c>
      <c r="AZ197" s="158" t="n">
        <f aca="false">MAX(0,AZ196-AY196)+AY196*Restaurantes!$D$62</f>
        <v>1.69824324376075</v>
      </c>
      <c r="BA197" s="158" t="n">
        <f aca="false">MAX(0,BA196-AZ196)+AZ196*Restaurantes!$D$62</f>
        <v>1.69824324376075</v>
      </c>
      <c r="BB197" s="158" t="n">
        <f aca="false">MAX(0,BB196-BA196)+BA196*Restaurantes!$D$62</f>
        <v>1.69824324376075</v>
      </c>
      <c r="BC197" s="158" t="n">
        <f aca="false">MAX(0,BC196-BB196)+BB196*Restaurantes!$D$62</f>
        <v>1.69824324376075</v>
      </c>
      <c r="BD197" s="158" t="n">
        <f aca="false">MAX(0,BD196-BC196)+BC196*Restaurantes!$D$62</f>
        <v>1.69824324376075</v>
      </c>
      <c r="BE197" s="158" t="n">
        <f aca="false">MAX(0,BE196-BD196)+BD196*Restaurantes!$D$62</f>
        <v>1.69824324376075</v>
      </c>
      <c r="BF197" s="158" t="n">
        <f aca="false">MAX(0,BF196-BE196)+BE196*Restaurantes!$D$62</f>
        <v>1.69824324376075</v>
      </c>
      <c r="BG197" s="158" t="n">
        <f aca="false">MAX(0,BG196-BF196)+BF196*Restaurantes!$D$62</f>
        <v>1.69824324376075</v>
      </c>
      <c r="BH197" s="158" t="n">
        <f aca="false">MAX(0,BH196-BG196)+BG196*Restaurantes!$D$62</f>
        <v>1.69824324376075</v>
      </c>
      <c r="BI197" s="158" t="n">
        <f aca="false">MAX(0,BI196-BH196)+BH196*Restaurantes!$D$62</f>
        <v>1.69824324376075</v>
      </c>
      <c r="BJ197" s="158" t="n">
        <f aca="false">MAX(0,BJ196-BI196)+BI196*Restaurantes!$D$62</f>
        <v>1.69824324376075</v>
      </c>
      <c r="BK197" s="158" t="n">
        <f aca="false">MAX(0,BK196-BJ196)+BJ196*Restaurantes!$D$62</f>
        <v>1.69824324376075</v>
      </c>
      <c r="BL197" s="158" t="n">
        <f aca="false">MAX(0,BL196-BK196)+BK196*Restaurantes!$D$62</f>
        <v>1.69824324376075</v>
      </c>
      <c r="BM197" s="158" t="n">
        <f aca="false">MAX(0,BM196-BL196)+BL196*Restaurantes!$D$62</f>
        <v>1.69824324376075</v>
      </c>
      <c r="BN197" s="158" t="n">
        <f aca="false">MAX(0,BN196-BM196)+BM196*Restaurantes!$D$62</f>
        <v>1.69824324376075</v>
      </c>
      <c r="BO197" s="158" t="n">
        <f aca="false">MAX(0,BO196-BN196)+BN196*Restaurantes!$D$62</f>
        <v>1.69824324376075</v>
      </c>
      <c r="BP197" s="158" t="n">
        <f aca="false">MAX(0,BP196-BO196)+BO196*Restaurantes!$D$62</f>
        <v>1.69824324376075</v>
      </c>
      <c r="BQ197" s="158" t="n">
        <f aca="false">MAX(0,BQ196-BP196)+BP196*Restaurantes!$D$62</f>
        <v>1.69824324376075</v>
      </c>
      <c r="BR197" s="158" t="n">
        <f aca="false">MAX(0,BR196-BQ196)+BQ196*Restaurantes!$D$62</f>
        <v>1.69824324376075</v>
      </c>
      <c r="BS197" s="158" t="n">
        <f aca="false">MAX(0,BS196-BR196)+BR196*Restaurantes!$D$62</f>
        <v>1.69824324376075</v>
      </c>
      <c r="BT197" s="158" t="n">
        <f aca="false">MAX(0,BT196-BS196)+BS196*Restaurantes!$D$62</f>
        <v>1.69824324376075</v>
      </c>
      <c r="BU197" s="158" t="n">
        <f aca="false">MAX(0,BU196-BT196)+BT196*Restaurantes!$D$62</f>
        <v>1.69824324376075</v>
      </c>
      <c r="BV197" s="158" t="n">
        <f aca="false">MAX(0,BV196-BU196)+BU196*Restaurantes!$D$62</f>
        <v>1.69824324376075</v>
      </c>
      <c r="BW197" s="158" t="n">
        <f aca="false">MAX(0,BW196-BV196)+BV196*Restaurantes!$D$62</f>
        <v>1.69824324376075</v>
      </c>
      <c r="BX197" s="158" t="n">
        <f aca="false">MAX(0,BX196-BW196)+BW196*Restaurantes!$D$62</f>
        <v>1.69824324376075</v>
      </c>
      <c r="BY197" s="158" t="n">
        <f aca="false">MAX(0,BY196-BX196)+BX196*Restaurantes!$D$62</f>
        <v>1.69824324376075</v>
      </c>
      <c r="BZ197" s="158" t="n">
        <f aca="false">MAX(0,BZ196-BY196)+BY196*Restaurantes!$D$62</f>
        <v>1.69824324376075</v>
      </c>
      <c r="CA197" s="158" t="n">
        <f aca="false">MAX(0,CA196-BZ196)+BZ196*Restaurantes!$D$62</f>
        <v>1.69824324376075</v>
      </c>
      <c r="CB197" s="158" t="n">
        <f aca="false">MAX(0,CB196-CA196)+CA196*Restaurantes!$D$62</f>
        <v>1.69824324376075</v>
      </c>
      <c r="CC197" s="158" t="n">
        <f aca="false">MAX(0,CC196-CB196)+CB196*Restaurantes!$D$62</f>
        <v>1.69824324376075</v>
      </c>
      <c r="CD197" s="158" t="n">
        <f aca="false">MAX(0,CD196-CC196)+CC196*Restaurantes!$D$62</f>
        <v>1.69824324376075</v>
      </c>
      <c r="CE197" s="158" t="n">
        <f aca="false">MAX(0,CE196-CD196)+CD196*Restaurantes!$D$62</f>
        <v>1.69824324376075</v>
      </c>
      <c r="CF197" s="158" t="n">
        <f aca="false">MAX(0,CF196-CE196)+CE196*Restaurantes!$D$62</f>
        <v>1.69824324376075</v>
      </c>
      <c r="CG197" s="158" t="n">
        <f aca="false">MAX(0,CG196-CF196)+CF196*Restaurantes!$D$62</f>
        <v>1.69824324376075</v>
      </c>
      <c r="CH197" s="158" t="n">
        <f aca="false">MAX(0,CH196-CG196)+CG196*Restaurantes!$D$62</f>
        <v>1.69824324376075</v>
      </c>
    </row>
    <row r="198" customFormat="false" ht="15" hidden="false" customHeight="false" outlineLevel="0" collapsed="false">
      <c r="A198" s="1" t="s">
        <v>859</v>
      </c>
      <c r="C198" s="158" t="n">
        <f aca="false">IFERROR(C188/Restaurantes!$D$35,0)</f>
        <v>1.09334517407835</v>
      </c>
      <c r="D198" s="158" t="n">
        <f aca="false">IFERROR(D188/Restaurantes!$D$35,0)</f>
        <v>2.1866903481567</v>
      </c>
      <c r="E198" s="158" t="n">
        <f aca="false">IFERROR(E188/Restaurantes!$D$35,0)</f>
        <v>3.28003552223505</v>
      </c>
      <c r="F198" s="158" t="n">
        <f aca="false">IFERROR(F188/Restaurantes!$D$35,0)</f>
        <v>4.37338069631339</v>
      </c>
      <c r="G198" s="158" t="n">
        <f aca="false">IFERROR(G188/Restaurantes!$D$35,0)</f>
        <v>0.820008880558761</v>
      </c>
      <c r="H198" s="158" t="n">
        <f aca="false">IFERROR(H188/Restaurantes!$D$35,0)</f>
        <v>6.56007104447009</v>
      </c>
      <c r="I198" s="158" t="n">
        <f aca="false">IFERROR(I188/Restaurantes!$D$35,0)</f>
        <v>7.65341621854844</v>
      </c>
      <c r="J198" s="158" t="n">
        <f aca="false">IFERROR(J188/Restaurantes!$D$35,0)</f>
        <v>8.74676139262679</v>
      </c>
      <c r="K198" s="158" t="n">
        <f aca="false">IFERROR(K188/Restaurantes!$D$35,0)</f>
        <v>9.84010656670514</v>
      </c>
      <c r="L198" s="158" t="n">
        <f aca="false">IFERROR(L188/Restaurantes!$D$35,0)</f>
        <v>10.9334517407835</v>
      </c>
      <c r="M198" s="158" t="n">
        <f aca="false">IFERROR(M188/Restaurantes!$D$35,0)</f>
        <v>12.0267969148618</v>
      </c>
      <c r="N198" s="158" t="n">
        <f aca="false">IFERROR(N188/Restaurantes!$D$35,0)</f>
        <v>13.1201420889402</v>
      </c>
      <c r="O198" s="158" t="n">
        <f aca="false">IFERROR(O188/Restaurantes!$D$35,0)</f>
        <v>14.2134872630185</v>
      </c>
      <c r="P198" s="158" t="n">
        <f aca="false">IFERROR(P188/Restaurantes!$D$35,0)</f>
        <v>15.3068324370969</v>
      </c>
      <c r="Q198" s="158" t="n">
        <f aca="false">IFERROR(Q188/Restaurantes!$D$35,0)</f>
        <v>16.4001776111752</v>
      </c>
      <c r="R198" s="158" t="n">
        <f aca="false">IFERROR(R188/Restaurantes!$D$35,0)</f>
        <v>17.4935227852536</v>
      </c>
      <c r="S198" s="158" t="n">
        <f aca="false">IFERROR(S188/Restaurantes!$D$35,0)</f>
        <v>2.78803019389979</v>
      </c>
      <c r="T198" s="158" t="n">
        <f aca="false">IFERROR(T188/Restaurantes!$D$35,0)</f>
        <v>19.6802131334103</v>
      </c>
      <c r="U198" s="158" t="n">
        <f aca="false">IFERROR(U188/Restaurantes!$D$35,0)</f>
        <v>20.7735583074886</v>
      </c>
      <c r="V198" s="158" t="n">
        <f aca="false">IFERROR(V188/Restaurantes!$D$35,0)</f>
        <v>21.866903481567</v>
      </c>
      <c r="W198" s="158" t="n">
        <f aca="false">IFERROR(W188/Restaurantes!$D$35,0)</f>
        <v>22.9602486556453</v>
      </c>
      <c r="X198" s="158" t="n">
        <f aca="false">IFERROR(X188/Restaurantes!$D$35,0)</f>
        <v>24.0535938297237</v>
      </c>
      <c r="Y198" s="158" t="n">
        <f aca="false">IFERROR(Y188/Restaurantes!$D$35,0)</f>
        <v>25.146939003802</v>
      </c>
      <c r="Z198" s="158" t="n">
        <f aca="false">IFERROR(Z188/Restaurantes!$D$35,0)</f>
        <v>26.2402841778804</v>
      </c>
      <c r="AA198" s="158" t="n">
        <f aca="false">IFERROR(AA188/Restaurantes!$D$35,0)</f>
        <v>27.3336293519587</v>
      </c>
      <c r="AB198" s="158" t="n">
        <f aca="false">IFERROR(AB188/Restaurantes!$D$35,0)</f>
        <v>28.4269745260371</v>
      </c>
      <c r="AC198" s="158" t="n">
        <f aca="false">IFERROR(AC188/Restaurantes!$D$35,0)</f>
        <v>29.5203197001154</v>
      </c>
      <c r="AD198" s="158" t="n">
        <f aca="false">IFERROR(AD188/Restaurantes!$D$35,0)</f>
        <v>30.6136648741938</v>
      </c>
      <c r="AE198" s="158" t="n">
        <f aca="false">IFERROR(AE188/Restaurantes!$D$35,0)</f>
        <v>4.75605150724082</v>
      </c>
      <c r="AF198" s="158" t="n">
        <f aca="false">IFERROR(AF188/Restaurantes!$D$35,0)</f>
        <v>32.8003552223505</v>
      </c>
      <c r="AG198" s="158" t="n">
        <f aca="false">IFERROR(AG188/Restaurantes!$D$35,0)</f>
        <v>33.8937003964288</v>
      </c>
      <c r="AH198" s="158" t="n">
        <f aca="false">IFERROR(AH188/Restaurantes!$D$35,0)</f>
        <v>34.9870455705071</v>
      </c>
      <c r="AI198" s="158" t="n">
        <f aca="false">IFERROR(AI188/Restaurantes!$D$35,0)</f>
        <v>36.0803907445855</v>
      </c>
      <c r="AJ198" s="158" t="n">
        <f aca="false">IFERROR(AJ188/Restaurantes!$D$35,0)</f>
        <v>37.1737359186638</v>
      </c>
      <c r="AK198" s="158" t="n">
        <f aca="false">IFERROR(AK188/Restaurantes!$D$35,0)</f>
        <v>38.2670810927422</v>
      </c>
      <c r="AL198" s="158" t="n">
        <f aca="false">IFERROR(AL188/Restaurantes!$D$35,0)</f>
        <v>39.3604262668205</v>
      </c>
      <c r="AM198" s="158" t="n">
        <f aca="false">IFERROR(AM188/Restaurantes!$D$35,0)</f>
        <v>39.3604262668205</v>
      </c>
      <c r="AN198" s="158" t="n">
        <f aca="false">IFERROR(AN188/Restaurantes!$D$35,0)</f>
        <v>39.3604262668205</v>
      </c>
      <c r="AO198" s="158" t="n">
        <f aca="false">IFERROR(AO188/Restaurantes!$D$35,0)</f>
        <v>39.3604262668205</v>
      </c>
      <c r="AP198" s="158" t="n">
        <f aca="false">IFERROR(AP188/Restaurantes!$D$35,0)</f>
        <v>39.3604262668205</v>
      </c>
      <c r="AQ198" s="158" t="n">
        <f aca="false">IFERROR(AQ188/Restaurantes!$D$35,0)</f>
        <v>5.90406394002308</v>
      </c>
      <c r="AR198" s="158" t="n">
        <f aca="false">IFERROR(AR188/Restaurantes!$D$35,0)</f>
        <v>39.3604262668205</v>
      </c>
      <c r="AS198" s="158" t="n">
        <f aca="false">IFERROR(AS188/Restaurantes!$D$35,0)</f>
        <v>39.3604262668205</v>
      </c>
      <c r="AT198" s="158" t="n">
        <f aca="false">IFERROR(AT188/Restaurantes!$D$35,0)</f>
        <v>39.3604262668205</v>
      </c>
      <c r="AU198" s="158" t="n">
        <f aca="false">IFERROR(AU188/Restaurantes!$D$35,0)</f>
        <v>39.3604262668205</v>
      </c>
      <c r="AV198" s="158" t="n">
        <f aca="false">IFERROR(AV188/Restaurantes!$D$35,0)</f>
        <v>39.3604262668205</v>
      </c>
      <c r="AW198" s="158" t="n">
        <f aca="false">IFERROR(AW188/Restaurantes!$D$35,0)</f>
        <v>39.3604262668205</v>
      </c>
      <c r="AX198" s="158" t="n">
        <f aca="false">IFERROR(AX188/Restaurantes!$D$35,0)</f>
        <v>39.3604262668205</v>
      </c>
      <c r="AY198" s="158" t="n">
        <f aca="false">IFERROR(AY188/Restaurantes!$D$35,0)</f>
        <v>39.3604262668205</v>
      </c>
      <c r="AZ198" s="158" t="n">
        <f aca="false">IFERROR(AZ188/Restaurantes!$D$35,0)</f>
        <v>39.3604262668205</v>
      </c>
      <c r="BA198" s="158" t="n">
        <f aca="false">IFERROR(BA188/Restaurantes!$D$35,0)</f>
        <v>39.3604262668205</v>
      </c>
      <c r="BB198" s="158" t="n">
        <f aca="false">IFERROR(BB188/Restaurantes!$D$35,0)</f>
        <v>39.3604262668205</v>
      </c>
      <c r="BC198" s="158" t="n">
        <f aca="false">IFERROR(BC188/Restaurantes!$D$35,0)</f>
        <v>5.90406394002308</v>
      </c>
      <c r="BD198" s="158" t="n">
        <f aca="false">IFERROR(BD188/Restaurantes!$D$35,0)</f>
        <v>39.3604262668205</v>
      </c>
      <c r="BE198" s="158" t="n">
        <f aca="false">IFERROR(BE188/Restaurantes!$D$35,0)</f>
        <v>39.3604262668205</v>
      </c>
      <c r="BF198" s="158" t="n">
        <f aca="false">IFERROR(BF188/Restaurantes!$D$35,0)</f>
        <v>39.3604262668205</v>
      </c>
      <c r="BG198" s="158" t="n">
        <f aca="false">IFERROR(BG188/Restaurantes!$D$35,0)</f>
        <v>39.3604262668205</v>
      </c>
      <c r="BH198" s="158" t="n">
        <f aca="false">IFERROR(BH188/Restaurantes!$D$35,0)</f>
        <v>39.3604262668205</v>
      </c>
      <c r="BI198" s="158" t="n">
        <f aca="false">IFERROR(BI188/Restaurantes!$D$35,0)</f>
        <v>39.3604262668205</v>
      </c>
      <c r="BJ198" s="158" t="n">
        <f aca="false">IFERROR(BJ188/Restaurantes!$D$35,0)</f>
        <v>39.3604262668205</v>
      </c>
      <c r="BK198" s="158" t="n">
        <f aca="false">IFERROR(BK188/Restaurantes!$D$35,0)</f>
        <v>39.3604262668205</v>
      </c>
      <c r="BL198" s="158" t="n">
        <f aca="false">IFERROR(BL188/Restaurantes!$D$35,0)</f>
        <v>39.3604262668205</v>
      </c>
      <c r="BM198" s="158" t="n">
        <f aca="false">IFERROR(BM188/Restaurantes!$D$35,0)</f>
        <v>39.3604262668205</v>
      </c>
      <c r="BN198" s="158" t="n">
        <f aca="false">IFERROR(BN188/Restaurantes!$D$35,0)</f>
        <v>39.3604262668205</v>
      </c>
      <c r="BO198" s="158" t="n">
        <f aca="false">IFERROR(BO188/Restaurantes!$D$35,0)</f>
        <v>5.90406394002308</v>
      </c>
      <c r="BP198" s="158" t="n">
        <f aca="false">IFERROR(BP188/Restaurantes!$D$35,0)</f>
        <v>39.3604262668205</v>
      </c>
      <c r="BQ198" s="158" t="n">
        <f aca="false">IFERROR(BQ188/Restaurantes!$D$35,0)</f>
        <v>39.3604262668205</v>
      </c>
      <c r="BR198" s="158" t="n">
        <f aca="false">IFERROR(BR188/Restaurantes!$D$35,0)</f>
        <v>39.3604262668205</v>
      </c>
      <c r="BS198" s="158" t="n">
        <f aca="false">IFERROR(BS188/Restaurantes!$D$35,0)</f>
        <v>39.3604262668205</v>
      </c>
      <c r="BT198" s="158" t="n">
        <f aca="false">IFERROR(BT188/Restaurantes!$D$35,0)</f>
        <v>39.3604262668205</v>
      </c>
      <c r="BU198" s="158" t="n">
        <f aca="false">IFERROR(BU188/Restaurantes!$D$35,0)</f>
        <v>39.3604262668205</v>
      </c>
      <c r="BV198" s="158" t="n">
        <f aca="false">IFERROR(BV188/Restaurantes!$D$35,0)</f>
        <v>39.3604262668205</v>
      </c>
      <c r="BW198" s="158" t="n">
        <f aca="false">IFERROR(BW188/Restaurantes!$D$35,0)</f>
        <v>39.3604262668205</v>
      </c>
      <c r="BX198" s="158" t="n">
        <f aca="false">IFERROR(BX188/Restaurantes!$D$35,0)</f>
        <v>39.3604262668205</v>
      </c>
      <c r="BY198" s="158" t="n">
        <f aca="false">IFERROR(BY188/Restaurantes!$D$35,0)</f>
        <v>39.3604262668205</v>
      </c>
      <c r="BZ198" s="158" t="n">
        <f aca="false">IFERROR(BZ188/Restaurantes!$D$35,0)</f>
        <v>39.3604262668205</v>
      </c>
      <c r="CA198" s="158" t="n">
        <f aca="false">IFERROR(CA188/Restaurantes!$D$35,0)</f>
        <v>5.90406394002308</v>
      </c>
      <c r="CB198" s="158" t="n">
        <f aca="false">IFERROR(CB188/Restaurantes!$D$35,0)</f>
        <v>39.3604262668205</v>
      </c>
      <c r="CC198" s="158" t="n">
        <f aca="false">IFERROR(CC188/Restaurantes!$D$35,0)</f>
        <v>39.3604262668205</v>
      </c>
      <c r="CD198" s="158" t="n">
        <f aca="false">IFERROR(CD188/Restaurantes!$D$35,0)</f>
        <v>39.3604262668205</v>
      </c>
      <c r="CE198" s="158" t="n">
        <f aca="false">IFERROR(CE188/Restaurantes!$D$35,0)</f>
        <v>39.3604262668205</v>
      </c>
      <c r="CF198" s="158" t="n">
        <f aca="false">IFERROR(CF188/Restaurantes!$D$35,0)</f>
        <v>39.3604262668205</v>
      </c>
      <c r="CG198" s="158" t="n">
        <f aca="false">IFERROR(CG188/Restaurantes!$D$35,0)</f>
        <v>39.3604262668205</v>
      </c>
      <c r="CH198" s="158" t="n">
        <f aca="false">IFERROR(CH188/Restaurantes!$D$35,0)</f>
        <v>39.3604262668205</v>
      </c>
    </row>
    <row r="199" customFormat="false" ht="15" hidden="false" customHeight="false" outlineLevel="0" collapsed="false">
      <c r="A199" s="1" t="s">
        <v>860</v>
      </c>
      <c r="C199" s="158" t="n">
        <f aca="false">IFERROR(C198/Restaurantes!$C$36,0)</f>
        <v>0.21866903481567</v>
      </c>
      <c r="D199" s="158" t="n">
        <f aca="false">IFERROR(D198/Restaurantes!$C$36,0)</f>
        <v>0.437338069631339</v>
      </c>
      <c r="E199" s="158" t="n">
        <f aca="false">IFERROR(E198/Restaurantes!$C$36,0)</f>
        <v>0.656007104447009</v>
      </c>
      <c r="F199" s="158" t="n">
        <f aca="false">IFERROR(F198/Restaurantes!$C$36,0)</f>
        <v>0.874676139262679</v>
      </c>
      <c r="G199" s="158" t="n">
        <f aca="false">IFERROR(G198/Restaurantes!$C$36,0)</f>
        <v>0.164001776111752</v>
      </c>
      <c r="H199" s="158" t="n">
        <f aca="false">IFERROR(H198/Restaurantes!$C$36,0)</f>
        <v>1.31201420889402</v>
      </c>
      <c r="I199" s="158" t="n">
        <f aca="false">IFERROR(I198/Restaurantes!$C$36,0)</f>
        <v>1.53068324370969</v>
      </c>
      <c r="J199" s="158" t="n">
        <f aca="false">IFERROR(J198/Restaurantes!$C$36,0)</f>
        <v>1.74935227852536</v>
      </c>
      <c r="K199" s="158" t="n">
        <f aca="false">IFERROR(K198/Restaurantes!$C$36,0)</f>
        <v>1.96802131334103</v>
      </c>
      <c r="L199" s="158" t="n">
        <f aca="false">IFERROR(L198/Restaurantes!$C$36,0)</f>
        <v>2.1866903481567</v>
      </c>
      <c r="M199" s="158" t="n">
        <f aca="false">IFERROR(M198/Restaurantes!$C$36,0)</f>
        <v>2.40535938297237</v>
      </c>
      <c r="N199" s="158" t="n">
        <f aca="false">IFERROR(N198/Restaurantes!$C$36,0)</f>
        <v>2.62402841778804</v>
      </c>
      <c r="O199" s="158" t="n">
        <f aca="false">IFERROR(O198/Restaurantes!$C$36,0)</f>
        <v>2.84269745260371</v>
      </c>
      <c r="P199" s="158" t="n">
        <f aca="false">IFERROR(P198/Restaurantes!$C$36,0)</f>
        <v>3.06136648741938</v>
      </c>
      <c r="Q199" s="158" t="n">
        <f aca="false">IFERROR(Q198/Restaurantes!$C$36,0)</f>
        <v>3.28003552223505</v>
      </c>
      <c r="R199" s="158" t="n">
        <f aca="false">IFERROR(R198/Restaurantes!$C$36,0)</f>
        <v>3.49870455705071</v>
      </c>
      <c r="S199" s="158" t="n">
        <f aca="false">IFERROR(S198/Restaurantes!$C$36,0)</f>
        <v>0.557606038779958</v>
      </c>
      <c r="T199" s="158" t="n">
        <f aca="false">IFERROR(T198/Restaurantes!$C$36,0)</f>
        <v>3.93604262668205</v>
      </c>
      <c r="U199" s="158" t="n">
        <f aca="false">IFERROR(U198/Restaurantes!$C$36,0)</f>
        <v>4.15471166149772</v>
      </c>
      <c r="V199" s="158" t="n">
        <f aca="false">IFERROR(V198/Restaurantes!$C$36,0)</f>
        <v>4.37338069631339</v>
      </c>
      <c r="W199" s="158" t="n">
        <f aca="false">IFERROR(W198/Restaurantes!$C$36,0)</f>
        <v>4.59204973112906</v>
      </c>
      <c r="X199" s="158" t="n">
        <f aca="false">IFERROR(X198/Restaurantes!$C$36,0)</f>
        <v>4.81071876594473</v>
      </c>
      <c r="Y199" s="158" t="n">
        <f aca="false">IFERROR(Y198/Restaurantes!$C$36,0)</f>
        <v>5.0293878007604</v>
      </c>
      <c r="Z199" s="158" t="n">
        <f aca="false">IFERROR(Z198/Restaurantes!$C$36,0)</f>
        <v>5.24805683557607</v>
      </c>
      <c r="AA199" s="158" t="n">
        <f aca="false">IFERROR(AA198/Restaurantes!$C$36,0)</f>
        <v>5.46672587039174</v>
      </c>
      <c r="AB199" s="158" t="n">
        <f aca="false">IFERROR(AB198/Restaurantes!$C$36,0)</f>
        <v>5.68539490520741</v>
      </c>
      <c r="AC199" s="158" t="n">
        <f aca="false">IFERROR(AC198/Restaurantes!$C$36,0)</f>
        <v>5.90406394002308</v>
      </c>
      <c r="AD199" s="158" t="n">
        <f aca="false">IFERROR(AD198/Restaurantes!$C$36,0)</f>
        <v>6.12273297483875</v>
      </c>
      <c r="AE199" s="158" t="n">
        <f aca="false">IFERROR(AE198/Restaurantes!$C$36,0)</f>
        <v>0.951210301448163</v>
      </c>
      <c r="AF199" s="158" t="n">
        <f aca="false">IFERROR(AF198/Restaurantes!$C$36,0)</f>
        <v>6.56007104447009</v>
      </c>
      <c r="AG199" s="158" t="n">
        <f aca="false">IFERROR(AG198/Restaurantes!$C$36,0)</f>
        <v>6.77874007928576</v>
      </c>
      <c r="AH199" s="158" t="n">
        <f aca="false">IFERROR(AH198/Restaurantes!$C$36,0)</f>
        <v>6.99740911410143</v>
      </c>
      <c r="AI199" s="158" t="n">
        <f aca="false">IFERROR(AI198/Restaurantes!$C$36,0)</f>
        <v>7.2160781489171</v>
      </c>
      <c r="AJ199" s="158" t="n">
        <f aca="false">IFERROR(AJ198/Restaurantes!$C$36,0)</f>
        <v>7.43474718373277</v>
      </c>
      <c r="AK199" s="158" t="n">
        <f aca="false">IFERROR(AK198/Restaurantes!$C$36,0)</f>
        <v>7.65341621854844</v>
      </c>
      <c r="AL199" s="158" t="n">
        <f aca="false">IFERROR(AL198/Restaurantes!$C$36,0)</f>
        <v>7.87208525336411</v>
      </c>
      <c r="AM199" s="158" t="n">
        <f aca="false">IFERROR(AM198/Restaurantes!$C$36,0)</f>
        <v>7.87208525336411</v>
      </c>
      <c r="AN199" s="158" t="n">
        <f aca="false">IFERROR(AN198/Restaurantes!$C$36,0)</f>
        <v>7.87208525336411</v>
      </c>
      <c r="AO199" s="158" t="n">
        <f aca="false">IFERROR(AO198/Restaurantes!$C$36,0)</f>
        <v>7.87208525336411</v>
      </c>
      <c r="AP199" s="158" t="n">
        <f aca="false">IFERROR(AP198/Restaurantes!$C$36,0)</f>
        <v>7.87208525336411</v>
      </c>
      <c r="AQ199" s="158" t="n">
        <f aca="false">IFERROR(AQ198/Restaurantes!$C$36,0)</f>
        <v>1.18081278800462</v>
      </c>
      <c r="AR199" s="158" t="n">
        <f aca="false">IFERROR(AR198/Restaurantes!$C$36,0)</f>
        <v>7.87208525336411</v>
      </c>
      <c r="AS199" s="158" t="n">
        <f aca="false">IFERROR(AS198/Restaurantes!$C$36,0)</f>
        <v>7.87208525336411</v>
      </c>
      <c r="AT199" s="158" t="n">
        <f aca="false">IFERROR(AT198/Restaurantes!$C$36,0)</f>
        <v>7.87208525336411</v>
      </c>
      <c r="AU199" s="158" t="n">
        <f aca="false">IFERROR(AU198/Restaurantes!$C$36,0)</f>
        <v>7.87208525336411</v>
      </c>
      <c r="AV199" s="158" t="n">
        <f aca="false">IFERROR(AV198/Restaurantes!$C$36,0)</f>
        <v>7.87208525336411</v>
      </c>
      <c r="AW199" s="158" t="n">
        <f aca="false">IFERROR(AW198/Restaurantes!$C$36,0)</f>
        <v>7.87208525336411</v>
      </c>
      <c r="AX199" s="158" t="n">
        <f aca="false">IFERROR(AX198/Restaurantes!$C$36,0)</f>
        <v>7.87208525336411</v>
      </c>
      <c r="AY199" s="158" t="n">
        <f aca="false">IFERROR(AY198/Restaurantes!$C$36,0)</f>
        <v>7.87208525336411</v>
      </c>
      <c r="AZ199" s="158" t="n">
        <f aca="false">IFERROR(AZ198/Restaurantes!$C$36,0)</f>
        <v>7.87208525336411</v>
      </c>
      <c r="BA199" s="158" t="n">
        <f aca="false">IFERROR(BA198/Restaurantes!$C$36,0)</f>
        <v>7.87208525336411</v>
      </c>
      <c r="BB199" s="158" t="n">
        <f aca="false">IFERROR(BB198/Restaurantes!$C$36,0)</f>
        <v>7.87208525336411</v>
      </c>
      <c r="BC199" s="158" t="n">
        <f aca="false">IFERROR(BC198/Restaurantes!$C$36,0)</f>
        <v>1.18081278800462</v>
      </c>
      <c r="BD199" s="158" t="n">
        <f aca="false">IFERROR(BD198/Restaurantes!$C$36,0)</f>
        <v>7.87208525336411</v>
      </c>
      <c r="BE199" s="158" t="n">
        <f aca="false">IFERROR(BE198/Restaurantes!$C$36,0)</f>
        <v>7.87208525336411</v>
      </c>
      <c r="BF199" s="158" t="n">
        <f aca="false">IFERROR(BF198/Restaurantes!$C$36,0)</f>
        <v>7.87208525336411</v>
      </c>
      <c r="BG199" s="158" t="n">
        <f aca="false">IFERROR(BG198/Restaurantes!$C$36,0)</f>
        <v>7.87208525336411</v>
      </c>
      <c r="BH199" s="158" t="n">
        <f aca="false">IFERROR(BH198/Restaurantes!$C$36,0)</f>
        <v>7.87208525336411</v>
      </c>
      <c r="BI199" s="158" t="n">
        <f aca="false">IFERROR(BI198/Restaurantes!$C$36,0)</f>
        <v>7.87208525336411</v>
      </c>
      <c r="BJ199" s="158" t="n">
        <f aca="false">IFERROR(BJ198/Restaurantes!$C$36,0)</f>
        <v>7.87208525336411</v>
      </c>
      <c r="BK199" s="158" t="n">
        <f aca="false">IFERROR(BK198/Restaurantes!$C$36,0)</f>
        <v>7.87208525336411</v>
      </c>
      <c r="BL199" s="158" t="n">
        <f aca="false">IFERROR(BL198/Restaurantes!$C$36,0)</f>
        <v>7.87208525336411</v>
      </c>
      <c r="BM199" s="158" t="n">
        <f aca="false">IFERROR(BM198/Restaurantes!$C$36,0)</f>
        <v>7.87208525336411</v>
      </c>
      <c r="BN199" s="158" t="n">
        <f aca="false">IFERROR(BN198/Restaurantes!$C$36,0)</f>
        <v>7.87208525336411</v>
      </c>
      <c r="BO199" s="158" t="n">
        <f aca="false">IFERROR(BO198/Restaurantes!$C$36,0)</f>
        <v>1.18081278800462</v>
      </c>
      <c r="BP199" s="158" t="n">
        <f aca="false">IFERROR(BP198/Restaurantes!$C$36,0)</f>
        <v>7.87208525336411</v>
      </c>
      <c r="BQ199" s="158" t="n">
        <f aca="false">IFERROR(BQ198/Restaurantes!$C$36,0)</f>
        <v>7.87208525336411</v>
      </c>
      <c r="BR199" s="158" t="n">
        <f aca="false">IFERROR(BR198/Restaurantes!$C$36,0)</f>
        <v>7.87208525336411</v>
      </c>
      <c r="BS199" s="158" t="n">
        <f aca="false">IFERROR(BS198/Restaurantes!$C$36,0)</f>
        <v>7.87208525336411</v>
      </c>
      <c r="BT199" s="158" t="n">
        <f aca="false">IFERROR(BT198/Restaurantes!$C$36,0)</f>
        <v>7.87208525336411</v>
      </c>
      <c r="BU199" s="158" t="n">
        <f aca="false">IFERROR(BU198/Restaurantes!$C$36,0)</f>
        <v>7.87208525336411</v>
      </c>
      <c r="BV199" s="158" t="n">
        <f aca="false">IFERROR(BV198/Restaurantes!$C$36,0)</f>
        <v>7.87208525336411</v>
      </c>
      <c r="BW199" s="158" t="n">
        <f aca="false">IFERROR(BW198/Restaurantes!$C$36,0)</f>
        <v>7.87208525336411</v>
      </c>
      <c r="BX199" s="158" t="n">
        <f aca="false">IFERROR(BX198/Restaurantes!$C$36,0)</f>
        <v>7.87208525336411</v>
      </c>
      <c r="BY199" s="158" t="n">
        <f aca="false">IFERROR(BY198/Restaurantes!$C$36,0)</f>
        <v>7.87208525336411</v>
      </c>
      <c r="BZ199" s="158" t="n">
        <f aca="false">IFERROR(BZ198/Restaurantes!$C$36,0)</f>
        <v>7.87208525336411</v>
      </c>
      <c r="CA199" s="158" t="n">
        <f aca="false">IFERROR(CA198/Restaurantes!$C$36,0)</f>
        <v>1.18081278800462</v>
      </c>
      <c r="CB199" s="158" t="n">
        <f aca="false">IFERROR(CB198/Restaurantes!$C$36,0)</f>
        <v>7.87208525336411</v>
      </c>
      <c r="CC199" s="158" t="n">
        <f aca="false">IFERROR(CC198/Restaurantes!$C$36,0)</f>
        <v>7.87208525336411</v>
      </c>
      <c r="CD199" s="158" t="n">
        <f aca="false">IFERROR(CD198/Restaurantes!$C$36,0)</f>
        <v>7.87208525336411</v>
      </c>
      <c r="CE199" s="158" t="n">
        <f aca="false">IFERROR(CE198/Restaurantes!$C$36,0)</f>
        <v>7.87208525336411</v>
      </c>
      <c r="CF199" s="158" t="n">
        <f aca="false">IFERROR(CF198/Restaurantes!$C$36,0)</f>
        <v>7.87208525336411</v>
      </c>
      <c r="CG199" s="158" t="n">
        <f aca="false">IFERROR(CG198/Restaurantes!$C$36,0)</f>
        <v>7.87208525336411</v>
      </c>
      <c r="CH199" s="158" t="n">
        <f aca="false">IFERROR(CH198/Restaurantes!$C$36,0)</f>
        <v>7.87208525336411</v>
      </c>
    </row>
    <row r="200" customFormat="false" ht="15" hidden="false" customHeight="false" outlineLevel="0" collapsed="false">
      <c r="A200" s="25" t="s">
        <v>861</v>
      </c>
      <c r="C200" s="155" t="n">
        <f aca="false">IF(C198&gt;0,MAX(1,ROUNDUP(C199/Restaurantes!$D$38,0)),0)</f>
        <v>1</v>
      </c>
      <c r="D200" s="155" t="n">
        <f aca="false">IF(D198&gt;0,MAX(1,ROUNDUP(D199/Restaurantes!$D$38,0)),0)</f>
        <v>1</v>
      </c>
      <c r="E200" s="155" t="n">
        <f aca="false">IF(E198&gt;0,MAX(1,ROUNDUP(E199/Restaurantes!$D$38,0)),0)</f>
        <v>1</v>
      </c>
      <c r="F200" s="155" t="n">
        <f aca="false">IF(F198&gt;0,MAX(1,ROUNDUP(F199/Restaurantes!$D$38,0)),0)</f>
        <v>1</v>
      </c>
      <c r="G200" s="155" t="n">
        <f aca="false">IF(G198&gt;0,MAX(1,ROUNDUP(G199/Restaurantes!$D$38,0)),0)</f>
        <v>1</v>
      </c>
      <c r="H200" s="155" t="n">
        <f aca="false">IF(H198&gt;0,MAX(1,ROUNDUP(H199/Restaurantes!$D$38,0)),0)</f>
        <v>1</v>
      </c>
      <c r="I200" s="155" t="n">
        <f aca="false">IF(I198&gt;0,MAX(1,ROUNDUP(I199/Restaurantes!$D$38,0)),0)</f>
        <v>1</v>
      </c>
      <c r="J200" s="155" t="n">
        <f aca="false">IF(J198&gt;0,MAX(1,ROUNDUP(J199/Restaurantes!$D$38,0)),0)</f>
        <v>1</v>
      </c>
      <c r="K200" s="155" t="n">
        <f aca="false">IF(K198&gt;0,MAX(1,ROUNDUP(K199/Restaurantes!$D$38,0)),0)</f>
        <v>1</v>
      </c>
      <c r="L200" s="155" t="n">
        <f aca="false">IF(L198&gt;0,MAX(1,ROUNDUP(L199/Restaurantes!$D$38,0)),0)</f>
        <v>1</v>
      </c>
      <c r="M200" s="155" t="n">
        <f aca="false">IF(M198&gt;0,MAX(1,ROUNDUP(M199/Restaurantes!$D$38,0)),0)</f>
        <v>1</v>
      </c>
      <c r="N200" s="155" t="n">
        <f aca="false">IF(N198&gt;0,MAX(1,ROUNDUP(N199/Restaurantes!$D$38,0)),0)</f>
        <v>1</v>
      </c>
      <c r="O200" s="155" t="n">
        <f aca="false">IF(O198&gt;0,MAX(1,ROUNDUP(O199/Restaurantes!$D$38,0)),0)</f>
        <v>1</v>
      </c>
      <c r="P200" s="155" t="n">
        <f aca="false">IF(P198&gt;0,MAX(1,ROUNDUP(P199/Restaurantes!$D$38,0)),0)</f>
        <v>1</v>
      </c>
      <c r="Q200" s="155" t="n">
        <f aca="false">IF(Q198&gt;0,MAX(1,ROUNDUP(Q199/Restaurantes!$D$38,0)),0)</f>
        <v>1</v>
      </c>
      <c r="R200" s="155" t="n">
        <f aca="false">IF(R198&gt;0,MAX(1,ROUNDUP(R199/Restaurantes!$D$38,0)),0)</f>
        <v>1</v>
      </c>
      <c r="S200" s="155" t="n">
        <f aca="false">IF(S198&gt;0,MAX(1,ROUNDUP(S199/Restaurantes!$D$38,0)),0)</f>
        <v>1</v>
      </c>
      <c r="T200" s="155" t="n">
        <f aca="false">IF(T198&gt;0,MAX(1,ROUNDUP(T199/Restaurantes!$D$38,0)),0)</f>
        <v>1</v>
      </c>
      <c r="U200" s="155" t="n">
        <f aca="false">IF(U198&gt;0,MAX(1,ROUNDUP(U199/Restaurantes!$D$38,0)),0)</f>
        <v>1</v>
      </c>
      <c r="V200" s="155" t="n">
        <f aca="false">IF(V198&gt;0,MAX(1,ROUNDUP(V199/Restaurantes!$D$38,0)),0)</f>
        <v>1</v>
      </c>
      <c r="W200" s="155" t="n">
        <f aca="false">IF(W198&gt;0,MAX(1,ROUNDUP(W199/Restaurantes!$D$38,0)),0)</f>
        <v>1</v>
      </c>
      <c r="X200" s="155" t="n">
        <f aca="false">IF(X198&gt;0,MAX(1,ROUNDUP(X199/Restaurantes!$D$38,0)),0)</f>
        <v>1</v>
      </c>
      <c r="Y200" s="155" t="n">
        <f aca="false">IF(Y198&gt;0,MAX(1,ROUNDUP(Y199/Restaurantes!$D$38,0)),0)</f>
        <v>2</v>
      </c>
      <c r="Z200" s="155" t="n">
        <f aca="false">IF(Z198&gt;0,MAX(1,ROUNDUP(Z199/Restaurantes!$D$38,0)),0)</f>
        <v>2</v>
      </c>
      <c r="AA200" s="155" t="n">
        <f aca="false">IF(AA198&gt;0,MAX(1,ROUNDUP(AA199/Restaurantes!$D$38,0)),0)</f>
        <v>2</v>
      </c>
      <c r="AB200" s="155" t="n">
        <f aca="false">IF(AB198&gt;0,MAX(1,ROUNDUP(AB199/Restaurantes!$D$38,0)),0)</f>
        <v>2</v>
      </c>
      <c r="AC200" s="155" t="n">
        <f aca="false">IF(AC198&gt;0,MAX(1,ROUNDUP(AC199/Restaurantes!$D$38,0)),0)</f>
        <v>2</v>
      </c>
      <c r="AD200" s="155" t="n">
        <f aca="false">IF(AD198&gt;0,MAX(1,ROUNDUP(AD199/Restaurantes!$D$38,0)),0)</f>
        <v>2</v>
      </c>
      <c r="AE200" s="155" t="n">
        <f aca="false">IF(AE198&gt;0,MAX(1,ROUNDUP(AE199/Restaurantes!$D$38,0)),0)</f>
        <v>1</v>
      </c>
      <c r="AF200" s="155" t="n">
        <f aca="false">IF(AF198&gt;0,MAX(1,ROUNDUP(AF199/Restaurantes!$D$38,0)),0)</f>
        <v>2</v>
      </c>
      <c r="AG200" s="155" t="n">
        <f aca="false">IF(AG198&gt;0,MAX(1,ROUNDUP(AG199/Restaurantes!$D$38,0)),0)</f>
        <v>2</v>
      </c>
      <c r="AH200" s="155" t="n">
        <f aca="false">IF(AH198&gt;0,MAX(1,ROUNDUP(AH199/Restaurantes!$D$38,0)),0)</f>
        <v>2</v>
      </c>
      <c r="AI200" s="155" t="n">
        <f aca="false">IF(AI198&gt;0,MAX(1,ROUNDUP(AI199/Restaurantes!$D$38,0)),0)</f>
        <v>2</v>
      </c>
      <c r="AJ200" s="155" t="n">
        <f aca="false">IF(AJ198&gt;0,MAX(1,ROUNDUP(AJ199/Restaurantes!$D$38,0)),0)</f>
        <v>2</v>
      </c>
      <c r="AK200" s="155" t="n">
        <f aca="false">IF(AK198&gt;0,MAX(1,ROUNDUP(AK199/Restaurantes!$D$38,0)),0)</f>
        <v>2</v>
      </c>
      <c r="AL200" s="155" t="n">
        <f aca="false">IF(AL198&gt;0,MAX(1,ROUNDUP(AL199/Restaurantes!$D$38,0)),0)</f>
        <v>2</v>
      </c>
      <c r="AM200" s="155" t="n">
        <f aca="false">IF(AM198&gt;0,MAX(1,ROUNDUP(AM199/Restaurantes!$D$38,0)),0)</f>
        <v>2</v>
      </c>
      <c r="AN200" s="155" t="n">
        <f aca="false">IF(AN198&gt;0,MAX(1,ROUNDUP(AN199/Restaurantes!$D$38,0)),0)</f>
        <v>2</v>
      </c>
      <c r="AO200" s="155" t="n">
        <f aca="false">IF(AO198&gt;0,MAX(1,ROUNDUP(AO199/Restaurantes!$D$38,0)),0)</f>
        <v>2</v>
      </c>
      <c r="AP200" s="155" t="n">
        <f aca="false">IF(AP198&gt;0,MAX(1,ROUNDUP(AP199/Restaurantes!$D$38,0)),0)</f>
        <v>2</v>
      </c>
      <c r="AQ200" s="155" t="n">
        <f aca="false">IF(AQ198&gt;0,MAX(1,ROUNDUP(AQ199/Restaurantes!$D$38,0)),0)</f>
        <v>1</v>
      </c>
      <c r="AR200" s="155" t="n">
        <f aca="false">IF(AR198&gt;0,MAX(1,ROUNDUP(AR199/Restaurantes!$D$38,0)),0)</f>
        <v>2</v>
      </c>
      <c r="AS200" s="155" t="n">
        <f aca="false">IF(AS198&gt;0,MAX(1,ROUNDUP(AS199/Restaurantes!$D$38,0)),0)</f>
        <v>2</v>
      </c>
      <c r="AT200" s="155" t="n">
        <f aca="false">IF(AT198&gt;0,MAX(1,ROUNDUP(AT199/Restaurantes!$D$38,0)),0)</f>
        <v>2</v>
      </c>
      <c r="AU200" s="155" t="n">
        <f aca="false">IF(AU198&gt;0,MAX(1,ROUNDUP(AU199/Restaurantes!$D$38,0)),0)</f>
        <v>2</v>
      </c>
      <c r="AV200" s="155" t="n">
        <f aca="false">IF(AV198&gt;0,MAX(1,ROUNDUP(AV199/Restaurantes!$D$38,0)),0)</f>
        <v>2</v>
      </c>
      <c r="AW200" s="155" t="n">
        <f aca="false">IF(AW198&gt;0,MAX(1,ROUNDUP(AW199/Restaurantes!$D$38,0)),0)</f>
        <v>2</v>
      </c>
      <c r="AX200" s="155" t="n">
        <f aca="false">IF(AX198&gt;0,MAX(1,ROUNDUP(AX199/Restaurantes!$D$38,0)),0)</f>
        <v>2</v>
      </c>
      <c r="AY200" s="155" t="n">
        <f aca="false">IF(AY198&gt;0,MAX(1,ROUNDUP(AY199/Restaurantes!$D$38,0)),0)</f>
        <v>2</v>
      </c>
      <c r="AZ200" s="155" t="n">
        <f aca="false">IF(AZ198&gt;0,MAX(1,ROUNDUP(AZ199/Restaurantes!$D$38,0)),0)</f>
        <v>2</v>
      </c>
      <c r="BA200" s="155" t="n">
        <f aca="false">IF(BA198&gt;0,MAX(1,ROUNDUP(BA199/Restaurantes!$D$38,0)),0)</f>
        <v>2</v>
      </c>
      <c r="BB200" s="155" t="n">
        <f aca="false">IF(BB198&gt;0,MAX(1,ROUNDUP(BB199/Restaurantes!$D$38,0)),0)</f>
        <v>2</v>
      </c>
      <c r="BC200" s="155" t="n">
        <f aca="false">IF(BC198&gt;0,MAX(1,ROUNDUP(BC199/Restaurantes!$D$38,0)),0)</f>
        <v>1</v>
      </c>
      <c r="BD200" s="155" t="n">
        <f aca="false">IF(BD198&gt;0,MAX(1,ROUNDUP(BD199/Restaurantes!$D$38,0)),0)</f>
        <v>2</v>
      </c>
      <c r="BE200" s="155" t="n">
        <f aca="false">IF(BE198&gt;0,MAX(1,ROUNDUP(BE199/Restaurantes!$D$38,0)),0)</f>
        <v>2</v>
      </c>
      <c r="BF200" s="155" t="n">
        <f aca="false">IF(BF198&gt;0,MAX(1,ROUNDUP(BF199/Restaurantes!$D$38,0)),0)</f>
        <v>2</v>
      </c>
      <c r="BG200" s="155" t="n">
        <f aca="false">IF(BG198&gt;0,MAX(1,ROUNDUP(BG199/Restaurantes!$D$38,0)),0)</f>
        <v>2</v>
      </c>
      <c r="BH200" s="155" t="n">
        <f aca="false">IF(BH198&gt;0,MAX(1,ROUNDUP(BH199/Restaurantes!$D$38,0)),0)</f>
        <v>2</v>
      </c>
      <c r="BI200" s="155" t="n">
        <f aca="false">IF(BI198&gt;0,MAX(1,ROUNDUP(BI199/Restaurantes!$D$38,0)),0)</f>
        <v>2</v>
      </c>
      <c r="BJ200" s="155" t="n">
        <f aca="false">IF(BJ198&gt;0,MAX(1,ROUNDUP(BJ199/Restaurantes!$D$38,0)),0)</f>
        <v>2</v>
      </c>
      <c r="BK200" s="155" t="n">
        <f aca="false">IF(BK198&gt;0,MAX(1,ROUNDUP(BK199/Restaurantes!$D$38,0)),0)</f>
        <v>2</v>
      </c>
      <c r="BL200" s="155" t="n">
        <f aca="false">IF(BL198&gt;0,MAX(1,ROUNDUP(BL199/Restaurantes!$D$38,0)),0)</f>
        <v>2</v>
      </c>
      <c r="BM200" s="155" t="n">
        <f aca="false">IF(BM198&gt;0,MAX(1,ROUNDUP(BM199/Restaurantes!$D$38,0)),0)</f>
        <v>2</v>
      </c>
      <c r="BN200" s="155" t="n">
        <f aca="false">IF(BN198&gt;0,MAX(1,ROUNDUP(BN199/Restaurantes!$D$38,0)),0)</f>
        <v>2</v>
      </c>
      <c r="BO200" s="155" t="n">
        <f aca="false">IF(BO198&gt;0,MAX(1,ROUNDUP(BO199/Restaurantes!$D$38,0)),0)</f>
        <v>1</v>
      </c>
      <c r="BP200" s="155" t="n">
        <f aca="false">IF(BP198&gt;0,MAX(1,ROUNDUP(BP199/Restaurantes!$D$38,0)),0)</f>
        <v>2</v>
      </c>
      <c r="BQ200" s="155" t="n">
        <f aca="false">IF(BQ198&gt;0,MAX(1,ROUNDUP(BQ199/Restaurantes!$D$38,0)),0)</f>
        <v>2</v>
      </c>
      <c r="BR200" s="155" t="n">
        <f aca="false">IF(BR198&gt;0,MAX(1,ROUNDUP(BR199/Restaurantes!$D$38,0)),0)</f>
        <v>2</v>
      </c>
      <c r="BS200" s="155" t="n">
        <f aca="false">IF(BS198&gt;0,MAX(1,ROUNDUP(BS199/Restaurantes!$D$38,0)),0)</f>
        <v>2</v>
      </c>
      <c r="BT200" s="155" t="n">
        <f aca="false">IF(BT198&gt;0,MAX(1,ROUNDUP(BT199/Restaurantes!$D$38,0)),0)</f>
        <v>2</v>
      </c>
      <c r="BU200" s="155" t="n">
        <f aca="false">IF(BU198&gt;0,MAX(1,ROUNDUP(BU199/Restaurantes!$D$38,0)),0)</f>
        <v>2</v>
      </c>
      <c r="BV200" s="155" t="n">
        <f aca="false">IF(BV198&gt;0,MAX(1,ROUNDUP(BV199/Restaurantes!$D$38,0)),0)</f>
        <v>2</v>
      </c>
      <c r="BW200" s="155" t="n">
        <f aca="false">IF(BW198&gt;0,MAX(1,ROUNDUP(BW199/Restaurantes!$D$38,0)),0)</f>
        <v>2</v>
      </c>
      <c r="BX200" s="155" t="n">
        <f aca="false">IF(BX198&gt;0,MAX(1,ROUNDUP(BX199/Restaurantes!$D$38,0)),0)</f>
        <v>2</v>
      </c>
      <c r="BY200" s="155" t="n">
        <f aca="false">IF(BY198&gt;0,MAX(1,ROUNDUP(BY199/Restaurantes!$D$38,0)),0)</f>
        <v>2</v>
      </c>
      <c r="BZ200" s="155" t="n">
        <f aca="false">IF(BZ198&gt;0,MAX(1,ROUNDUP(BZ199/Restaurantes!$D$38,0)),0)</f>
        <v>2</v>
      </c>
      <c r="CA200" s="155" t="n">
        <f aca="false">IF(CA198&gt;0,MAX(1,ROUNDUP(CA199/Restaurantes!$D$38,0)),0)</f>
        <v>1</v>
      </c>
      <c r="CB200" s="155" t="n">
        <f aca="false">IF(CB198&gt;0,MAX(1,ROUNDUP(CB199/Restaurantes!$D$38,0)),0)</f>
        <v>2</v>
      </c>
      <c r="CC200" s="155" t="n">
        <f aca="false">IF(CC198&gt;0,MAX(1,ROUNDUP(CC199/Restaurantes!$D$38,0)),0)</f>
        <v>2</v>
      </c>
      <c r="CD200" s="155" t="n">
        <f aca="false">IF(CD198&gt;0,MAX(1,ROUNDUP(CD199/Restaurantes!$D$38,0)),0)</f>
        <v>2</v>
      </c>
      <c r="CE200" s="155" t="n">
        <f aca="false">IF(CE198&gt;0,MAX(1,ROUNDUP(CE199/Restaurantes!$D$38,0)),0)</f>
        <v>2</v>
      </c>
      <c r="CF200" s="155" t="n">
        <f aca="false">IF(CF198&gt;0,MAX(1,ROUNDUP(CF199/Restaurantes!$D$38,0)),0)</f>
        <v>2</v>
      </c>
      <c r="CG200" s="155" t="n">
        <f aca="false">IF(CG198&gt;0,MAX(1,ROUNDUP(CG199/Restaurantes!$D$38,0)),0)</f>
        <v>2</v>
      </c>
      <c r="CH200" s="155" t="n">
        <f aca="false">IF(CH198&gt;0,MAX(1,ROUNDUP(CH199/Restaurantes!$D$38,0)),0)</f>
        <v>2</v>
      </c>
    </row>
    <row r="201" customFormat="false" ht="15" hidden="false" customHeight="false" outlineLevel="0" collapsed="false">
      <c r="A201" s="1" t="s">
        <v>862</v>
      </c>
      <c r="C201" s="27" t="n">
        <f aca="false">MAX(C199,C200*Restaurantes!$D$39)*Restaurantes!$D$35</f>
        <v>50</v>
      </c>
      <c r="D201" s="27" t="n">
        <f aca="false">MAX(D199,D200*Restaurantes!$D$39)*Restaurantes!$D$35</f>
        <v>50</v>
      </c>
      <c r="E201" s="27" t="n">
        <f aca="false">MAX(E199,E200*Restaurantes!$D$39)*Restaurantes!$D$35</f>
        <v>50</v>
      </c>
      <c r="F201" s="27" t="n">
        <f aca="false">MAX(F199,F200*Restaurantes!$D$39)*Restaurantes!$D$35</f>
        <v>50</v>
      </c>
      <c r="G201" s="27" t="n">
        <f aca="false">MAX(G199,G200*Restaurantes!$D$39)*Restaurantes!$D$35</f>
        <v>50</v>
      </c>
      <c r="H201" s="27" t="n">
        <f aca="false">MAX(H199,H200*Restaurantes!$D$39)*Restaurantes!$D$35</f>
        <v>50</v>
      </c>
      <c r="I201" s="27" t="n">
        <f aca="false">MAX(I199,I200*Restaurantes!$D$39)*Restaurantes!$D$35</f>
        <v>50</v>
      </c>
      <c r="J201" s="27" t="n">
        <f aca="false">MAX(J199,J200*Restaurantes!$D$39)*Restaurantes!$D$35</f>
        <v>50</v>
      </c>
      <c r="K201" s="27" t="n">
        <f aca="false">MAX(K199,K200*Restaurantes!$D$39)*Restaurantes!$D$35</f>
        <v>50</v>
      </c>
      <c r="L201" s="27" t="n">
        <f aca="false">MAX(L199,L200*Restaurantes!$D$39)*Restaurantes!$D$35</f>
        <v>54.6672587039174</v>
      </c>
      <c r="M201" s="27" t="n">
        <f aca="false">MAX(M199,M200*Restaurantes!$D$39)*Restaurantes!$D$35</f>
        <v>60.1339845743092</v>
      </c>
      <c r="N201" s="27" t="n">
        <f aca="false">MAX(N199,N200*Restaurantes!$D$39)*Restaurantes!$D$35</f>
        <v>65.6007104447009</v>
      </c>
      <c r="O201" s="27" t="n">
        <f aca="false">MAX(O199,O200*Restaurantes!$D$39)*Restaurantes!$D$35</f>
        <v>71.0674363150927</v>
      </c>
      <c r="P201" s="27" t="n">
        <f aca="false">MAX(P199,P200*Restaurantes!$D$39)*Restaurantes!$D$35</f>
        <v>76.5341621854844</v>
      </c>
      <c r="Q201" s="27" t="n">
        <f aca="false">MAX(Q199,Q200*Restaurantes!$D$39)*Restaurantes!$D$35</f>
        <v>82.0008880558761</v>
      </c>
      <c r="R201" s="27" t="n">
        <f aca="false">MAX(R199,R200*Restaurantes!$D$39)*Restaurantes!$D$35</f>
        <v>87.4676139262678</v>
      </c>
      <c r="S201" s="27" t="n">
        <f aca="false">MAX(S199,S200*Restaurantes!$D$39)*Restaurantes!$D$35</f>
        <v>50</v>
      </c>
      <c r="T201" s="27" t="n">
        <f aca="false">MAX(T199,T200*Restaurantes!$D$39)*Restaurantes!$D$35</f>
        <v>98.4010656670513</v>
      </c>
      <c r="U201" s="27" t="n">
        <f aca="false">MAX(U199,U200*Restaurantes!$D$39)*Restaurantes!$D$35</f>
        <v>103.867791537443</v>
      </c>
      <c r="V201" s="27" t="n">
        <f aca="false">MAX(V199,V200*Restaurantes!$D$39)*Restaurantes!$D$35</f>
        <v>109.334517407835</v>
      </c>
      <c r="W201" s="27" t="n">
        <f aca="false">MAX(W199,W200*Restaurantes!$D$39)*Restaurantes!$D$35</f>
        <v>114.801243278227</v>
      </c>
      <c r="X201" s="27" t="n">
        <f aca="false">MAX(X199,X200*Restaurantes!$D$39)*Restaurantes!$D$35</f>
        <v>120.267969148618</v>
      </c>
      <c r="Y201" s="27" t="n">
        <f aca="false">MAX(Y199,Y200*Restaurantes!$D$39)*Restaurantes!$D$35</f>
        <v>125.73469501901</v>
      </c>
      <c r="Z201" s="27" t="n">
        <f aca="false">MAX(Z199,Z200*Restaurantes!$D$39)*Restaurantes!$D$35</f>
        <v>131.201420889402</v>
      </c>
      <c r="AA201" s="27" t="n">
        <f aca="false">MAX(AA199,AA200*Restaurantes!$D$39)*Restaurantes!$D$35</f>
        <v>136.668146759794</v>
      </c>
      <c r="AB201" s="27" t="n">
        <f aca="false">MAX(AB199,AB200*Restaurantes!$D$39)*Restaurantes!$D$35</f>
        <v>142.134872630185</v>
      </c>
      <c r="AC201" s="27" t="n">
        <f aca="false">MAX(AC199,AC200*Restaurantes!$D$39)*Restaurantes!$D$35</f>
        <v>147.601598500577</v>
      </c>
      <c r="AD201" s="27" t="n">
        <f aca="false">MAX(AD199,AD200*Restaurantes!$D$39)*Restaurantes!$D$35</f>
        <v>153.068324370969</v>
      </c>
      <c r="AE201" s="27" t="n">
        <f aca="false">MAX(AE199,AE200*Restaurantes!$D$39)*Restaurantes!$D$35</f>
        <v>50</v>
      </c>
      <c r="AF201" s="27" t="n">
        <f aca="false">MAX(AF199,AF200*Restaurantes!$D$39)*Restaurantes!$D$35</f>
        <v>164.001776111752</v>
      </c>
      <c r="AG201" s="27" t="n">
        <f aca="false">MAX(AG199,AG200*Restaurantes!$D$39)*Restaurantes!$D$35</f>
        <v>169.468501982144</v>
      </c>
      <c r="AH201" s="27" t="n">
        <f aca="false">MAX(AH199,AH200*Restaurantes!$D$39)*Restaurantes!$D$35</f>
        <v>174.935227852536</v>
      </c>
      <c r="AI201" s="27" t="n">
        <f aca="false">MAX(AI199,AI200*Restaurantes!$D$39)*Restaurantes!$D$35</f>
        <v>180.401953722927</v>
      </c>
      <c r="AJ201" s="27" t="n">
        <f aca="false">MAX(AJ199,AJ200*Restaurantes!$D$39)*Restaurantes!$D$35</f>
        <v>185.868679593319</v>
      </c>
      <c r="AK201" s="27" t="n">
        <f aca="false">MAX(AK199,AK200*Restaurantes!$D$39)*Restaurantes!$D$35</f>
        <v>191.335405463711</v>
      </c>
      <c r="AL201" s="27" t="n">
        <f aca="false">MAX(AL199,AL200*Restaurantes!$D$39)*Restaurantes!$D$35</f>
        <v>196.802131334103</v>
      </c>
      <c r="AM201" s="27" t="n">
        <f aca="false">MAX(AM199,AM200*Restaurantes!$D$39)*Restaurantes!$D$35</f>
        <v>196.802131334103</v>
      </c>
      <c r="AN201" s="27" t="n">
        <f aca="false">MAX(AN199,AN200*Restaurantes!$D$39)*Restaurantes!$D$35</f>
        <v>196.802131334103</v>
      </c>
      <c r="AO201" s="27" t="n">
        <f aca="false">MAX(AO199,AO200*Restaurantes!$D$39)*Restaurantes!$D$35</f>
        <v>196.802131334103</v>
      </c>
      <c r="AP201" s="27" t="n">
        <f aca="false">MAX(AP199,AP200*Restaurantes!$D$39)*Restaurantes!$D$35</f>
        <v>196.802131334103</v>
      </c>
      <c r="AQ201" s="27" t="n">
        <f aca="false">MAX(AQ199,AQ200*Restaurantes!$D$39)*Restaurantes!$D$35</f>
        <v>50</v>
      </c>
      <c r="AR201" s="27" t="n">
        <f aca="false">MAX(AR199,AR200*Restaurantes!$D$39)*Restaurantes!$D$35</f>
        <v>196.802131334103</v>
      </c>
      <c r="AS201" s="27" t="n">
        <f aca="false">MAX(AS199,AS200*Restaurantes!$D$39)*Restaurantes!$D$35</f>
        <v>196.802131334103</v>
      </c>
      <c r="AT201" s="27" t="n">
        <f aca="false">MAX(AT199,AT200*Restaurantes!$D$39)*Restaurantes!$D$35</f>
        <v>196.802131334103</v>
      </c>
      <c r="AU201" s="27" t="n">
        <f aca="false">MAX(AU199,AU200*Restaurantes!$D$39)*Restaurantes!$D$35</f>
        <v>196.802131334103</v>
      </c>
      <c r="AV201" s="27" t="n">
        <f aca="false">MAX(AV199,AV200*Restaurantes!$D$39)*Restaurantes!$D$35</f>
        <v>196.802131334103</v>
      </c>
      <c r="AW201" s="27" t="n">
        <f aca="false">MAX(AW199,AW200*Restaurantes!$D$39)*Restaurantes!$D$35</f>
        <v>196.802131334103</v>
      </c>
      <c r="AX201" s="27" t="n">
        <f aca="false">MAX(AX199,AX200*Restaurantes!$D$39)*Restaurantes!$D$35</f>
        <v>196.802131334103</v>
      </c>
      <c r="AY201" s="27" t="n">
        <f aca="false">MAX(AY199,AY200*Restaurantes!$D$39)*Restaurantes!$D$35</f>
        <v>196.802131334103</v>
      </c>
      <c r="AZ201" s="27" t="n">
        <f aca="false">MAX(AZ199,AZ200*Restaurantes!$D$39)*Restaurantes!$D$35</f>
        <v>196.802131334103</v>
      </c>
      <c r="BA201" s="27" t="n">
        <f aca="false">MAX(BA199,BA200*Restaurantes!$D$39)*Restaurantes!$D$35</f>
        <v>196.802131334103</v>
      </c>
      <c r="BB201" s="27" t="n">
        <f aca="false">MAX(BB199,BB200*Restaurantes!$D$39)*Restaurantes!$D$35</f>
        <v>196.802131334103</v>
      </c>
      <c r="BC201" s="27" t="n">
        <f aca="false">MAX(BC199,BC200*Restaurantes!$D$39)*Restaurantes!$D$35</f>
        <v>50</v>
      </c>
      <c r="BD201" s="27" t="n">
        <f aca="false">MAX(BD199,BD200*Restaurantes!$D$39)*Restaurantes!$D$35</f>
        <v>196.802131334103</v>
      </c>
      <c r="BE201" s="27" t="n">
        <f aca="false">MAX(BE199,BE200*Restaurantes!$D$39)*Restaurantes!$D$35</f>
        <v>196.802131334103</v>
      </c>
      <c r="BF201" s="27" t="n">
        <f aca="false">MAX(BF199,BF200*Restaurantes!$D$39)*Restaurantes!$D$35</f>
        <v>196.802131334103</v>
      </c>
      <c r="BG201" s="27" t="n">
        <f aca="false">MAX(BG199,BG200*Restaurantes!$D$39)*Restaurantes!$D$35</f>
        <v>196.802131334103</v>
      </c>
      <c r="BH201" s="27" t="n">
        <f aca="false">MAX(BH199,BH200*Restaurantes!$D$39)*Restaurantes!$D$35</f>
        <v>196.802131334103</v>
      </c>
      <c r="BI201" s="27" t="n">
        <f aca="false">MAX(BI199,BI200*Restaurantes!$D$39)*Restaurantes!$D$35</f>
        <v>196.802131334103</v>
      </c>
      <c r="BJ201" s="27" t="n">
        <f aca="false">MAX(BJ199,BJ200*Restaurantes!$D$39)*Restaurantes!$D$35</f>
        <v>196.802131334103</v>
      </c>
      <c r="BK201" s="27" t="n">
        <f aca="false">MAX(BK199,BK200*Restaurantes!$D$39)*Restaurantes!$D$35</f>
        <v>196.802131334103</v>
      </c>
      <c r="BL201" s="27" t="n">
        <f aca="false">MAX(BL199,BL200*Restaurantes!$D$39)*Restaurantes!$D$35</f>
        <v>196.802131334103</v>
      </c>
      <c r="BM201" s="27" t="n">
        <f aca="false">MAX(BM199,BM200*Restaurantes!$D$39)*Restaurantes!$D$35</f>
        <v>196.802131334103</v>
      </c>
      <c r="BN201" s="27" t="n">
        <f aca="false">MAX(BN199,BN200*Restaurantes!$D$39)*Restaurantes!$D$35</f>
        <v>196.802131334103</v>
      </c>
      <c r="BO201" s="27" t="n">
        <f aca="false">MAX(BO199,BO200*Restaurantes!$D$39)*Restaurantes!$D$35</f>
        <v>50</v>
      </c>
      <c r="BP201" s="27" t="n">
        <f aca="false">MAX(BP199,BP200*Restaurantes!$D$39)*Restaurantes!$D$35</f>
        <v>196.802131334103</v>
      </c>
      <c r="BQ201" s="27" t="n">
        <f aca="false">MAX(BQ199,BQ200*Restaurantes!$D$39)*Restaurantes!$D$35</f>
        <v>196.802131334103</v>
      </c>
      <c r="BR201" s="27" t="n">
        <f aca="false">MAX(BR199,BR200*Restaurantes!$D$39)*Restaurantes!$D$35</f>
        <v>196.802131334103</v>
      </c>
      <c r="BS201" s="27" t="n">
        <f aca="false">MAX(BS199,BS200*Restaurantes!$D$39)*Restaurantes!$D$35</f>
        <v>196.802131334103</v>
      </c>
      <c r="BT201" s="27" t="n">
        <f aca="false">MAX(BT199,BT200*Restaurantes!$D$39)*Restaurantes!$D$35</f>
        <v>196.802131334103</v>
      </c>
      <c r="BU201" s="27" t="n">
        <f aca="false">MAX(BU199,BU200*Restaurantes!$D$39)*Restaurantes!$D$35</f>
        <v>196.802131334103</v>
      </c>
      <c r="BV201" s="27" t="n">
        <f aca="false">MAX(BV199,BV200*Restaurantes!$D$39)*Restaurantes!$D$35</f>
        <v>196.802131334103</v>
      </c>
      <c r="BW201" s="27" t="n">
        <f aca="false">MAX(BW199,BW200*Restaurantes!$D$39)*Restaurantes!$D$35</f>
        <v>196.802131334103</v>
      </c>
      <c r="BX201" s="27" t="n">
        <f aca="false">MAX(BX199,BX200*Restaurantes!$D$39)*Restaurantes!$D$35</f>
        <v>196.802131334103</v>
      </c>
      <c r="BY201" s="27" t="n">
        <f aca="false">MAX(BY199,BY200*Restaurantes!$D$39)*Restaurantes!$D$35</f>
        <v>196.802131334103</v>
      </c>
      <c r="BZ201" s="27" t="n">
        <f aca="false">MAX(BZ199,BZ200*Restaurantes!$D$39)*Restaurantes!$D$35</f>
        <v>196.802131334103</v>
      </c>
      <c r="CA201" s="27" t="n">
        <f aca="false">MAX(CA199,CA200*Restaurantes!$D$39)*Restaurantes!$D$35</f>
        <v>50</v>
      </c>
      <c r="CB201" s="27" t="n">
        <f aca="false">MAX(CB199,CB200*Restaurantes!$D$39)*Restaurantes!$D$35</f>
        <v>196.802131334103</v>
      </c>
      <c r="CC201" s="27" t="n">
        <f aca="false">MAX(CC199,CC200*Restaurantes!$D$39)*Restaurantes!$D$35</f>
        <v>196.802131334103</v>
      </c>
      <c r="CD201" s="27" t="n">
        <f aca="false">MAX(CD199,CD200*Restaurantes!$D$39)*Restaurantes!$D$35</f>
        <v>196.802131334103</v>
      </c>
      <c r="CE201" s="27" t="n">
        <f aca="false">MAX(CE199,CE200*Restaurantes!$D$39)*Restaurantes!$D$35</f>
        <v>196.802131334103</v>
      </c>
      <c r="CF201" s="27" t="n">
        <f aca="false">MAX(CF199,CF200*Restaurantes!$D$39)*Restaurantes!$D$35</f>
        <v>196.802131334103</v>
      </c>
      <c r="CG201" s="27" t="n">
        <f aca="false">MAX(CG199,CG200*Restaurantes!$D$39)*Restaurantes!$D$35</f>
        <v>196.802131334103</v>
      </c>
      <c r="CH201" s="27" t="n">
        <f aca="false">MAX(CH199,CH200*Restaurantes!$D$39)*Restaurantes!$D$35</f>
        <v>196.802131334103</v>
      </c>
    </row>
    <row r="202" customFormat="false" ht="15" hidden="false" customHeight="false" outlineLevel="0" collapsed="false">
      <c r="A202" s="1" t="s">
        <v>863</v>
      </c>
      <c r="C202" s="28" t="n">
        <f aca="false">-C201*Restaurantes!$D$37</f>
        <v>-800</v>
      </c>
      <c r="D202" s="28" t="n">
        <f aca="false">-D201*Restaurantes!$D$37</f>
        <v>-800</v>
      </c>
      <c r="E202" s="28" t="n">
        <f aca="false">-E201*Restaurantes!$D$37</f>
        <v>-800</v>
      </c>
      <c r="F202" s="28" t="n">
        <f aca="false">-F201*Restaurantes!$D$37</f>
        <v>-800</v>
      </c>
      <c r="G202" s="28" t="n">
        <f aca="false">-G201*Restaurantes!$D$37</f>
        <v>-800</v>
      </c>
      <c r="H202" s="28" t="n">
        <f aca="false">-H201*Restaurantes!$D$37</f>
        <v>-800</v>
      </c>
      <c r="I202" s="28" t="n">
        <f aca="false">-I201*Restaurantes!$D$37</f>
        <v>-800</v>
      </c>
      <c r="J202" s="28" t="n">
        <f aca="false">-J201*Restaurantes!$D$37</f>
        <v>-800</v>
      </c>
      <c r="K202" s="28" t="n">
        <f aca="false">-K201*Restaurantes!$D$37</f>
        <v>-800</v>
      </c>
      <c r="L202" s="28" t="n">
        <f aca="false">-L201*Restaurantes!$D$37</f>
        <v>-874.676139262679</v>
      </c>
      <c r="M202" s="28" t="n">
        <f aca="false">-M201*Restaurantes!$D$37</f>
        <v>-962.143753188946</v>
      </c>
      <c r="N202" s="28" t="n">
        <f aca="false">-N201*Restaurantes!$D$37</f>
        <v>-1049.61136711521</v>
      </c>
      <c r="O202" s="28" t="n">
        <f aca="false">-O201*Restaurantes!$D$37</f>
        <v>-1137.07898104148</v>
      </c>
      <c r="P202" s="28" t="n">
        <f aca="false">-P201*Restaurantes!$D$37</f>
        <v>-1224.54659496775</v>
      </c>
      <c r="Q202" s="28" t="n">
        <f aca="false">-Q201*Restaurantes!$D$37</f>
        <v>-1312.01420889402</v>
      </c>
      <c r="R202" s="28" t="n">
        <f aca="false">-R201*Restaurantes!$D$37</f>
        <v>-1399.48182282029</v>
      </c>
      <c r="S202" s="28" t="n">
        <f aca="false">-S201*Restaurantes!$D$37</f>
        <v>-800</v>
      </c>
      <c r="T202" s="28" t="n">
        <f aca="false">-T201*Restaurantes!$D$37</f>
        <v>-1574.41705067282</v>
      </c>
      <c r="U202" s="28" t="n">
        <f aca="false">-U201*Restaurantes!$D$37</f>
        <v>-1661.88466459909</v>
      </c>
      <c r="V202" s="28" t="n">
        <f aca="false">-V201*Restaurantes!$D$37</f>
        <v>-1749.35227852536</v>
      </c>
      <c r="W202" s="28" t="n">
        <f aca="false">-W201*Restaurantes!$D$37</f>
        <v>-1836.81989245163</v>
      </c>
      <c r="X202" s="28" t="n">
        <f aca="false">-X201*Restaurantes!$D$37</f>
        <v>-1924.28750637789</v>
      </c>
      <c r="Y202" s="28" t="n">
        <f aca="false">-Y201*Restaurantes!$D$37</f>
        <v>-2011.75512030416</v>
      </c>
      <c r="Z202" s="28" t="n">
        <f aca="false">-Z201*Restaurantes!$D$37</f>
        <v>-2099.22273423043</v>
      </c>
      <c r="AA202" s="28" t="n">
        <f aca="false">-AA201*Restaurantes!$D$37</f>
        <v>-2186.6903481567</v>
      </c>
      <c r="AB202" s="28" t="n">
        <f aca="false">-AB201*Restaurantes!$D$37</f>
        <v>-2274.15796208297</v>
      </c>
      <c r="AC202" s="28" t="n">
        <f aca="false">-AC201*Restaurantes!$D$37</f>
        <v>-2361.62557600923</v>
      </c>
      <c r="AD202" s="28" t="n">
        <f aca="false">-AD201*Restaurantes!$D$37</f>
        <v>-2449.0931899355</v>
      </c>
      <c r="AE202" s="28" t="n">
        <f aca="false">-AE201*Restaurantes!$D$37</f>
        <v>-800</v>
      </c>
      <c r="AF202" s="28" t="n">
        <f aca="false">-AF201*Restaurantes!$D$37</f>
        <v>-2624.02841778804</v>
      </c>
      <c r="AG202" s="28" t="n">
        <f aca="false">-AG201*Restaurantes!$D$37</f>
        <v>-2711.4960317143</v>
      </c>
      <c r="AH202" s="28" t="n">
        <f aca="false">-AH201*Restaurantes!$D$37</f>
        <v>-2798.96364564057</v>
      </c>
      <c r="AI202" s="28" t="n">
        <f aca="false">-AI201*Restaurantes!$D$37</f>
        <v>-2886.43125956684</v>
      </c>
      <c r="AJ202" s="28" t="n">
        <f aca="false">-AJ201*Restaurantes!$D$37</f>
        <v>-2973.89887349311</v>
      </c>
      <c r="AK202" s="28" t="n">
        <f aca="false">-AK201*Restaurantes!$D$37</f>
        <v>-3061.36648741938</v>
      </c>
      <c r="AL202" s="28" t="n">
        <f aca="false">-AL201*Restaurantes!$D$37</f>
        <v>-3148.83410134564</v>
      </c>
      <c r="AM202" s="28" t="n">
        <f aca="false">-AM201*Restaurantes!$D$37</f>
        <v>-3148.83410134564</v>
      </c>
      <c r="AN202" s="28" t="n">
        <f aca="false">-AN201*Restaurantes!$D$37</f>
        <v>-3148.83410134564</v>
      </c>
      <c r="AO202" s="28" t="n">
        <f aca="false">-AO201*Restaurantes!$D$37</f>
        <v>-3148.83410134564</v>
      </c>
      <c r="AP202" s="28" t="n">
        <f aca="false">-AP201*Restaurantes!$D$37</f>
        <v>-3148.83410134564</v>
      </c>
      <c r="AQ202" s="28" t="n">
        <f aca="false">-AQ201*Restaurantes!$D$37</f>
        <v>-800</v>
      </c>
      <c r="AR202" s="28" t="n">
        <f aca="false">-AR201*Restaurantes!$D$37</f>
        <v>-3148.83410134564</v>
      </c>
      <c r="AS202" s="28" t="n">
        <f aca="false">-AS201*Restaurantes!$D$37</f>
        <v>-3148.83410134564</v>
      </c>
      <c r="AT202" s="28" t="n">
        <f aca="false">-AT201*Restaurantes!$D$37</f>
        <v>-3148.83410134564</v>
      </c>
      <c r="AU202" s="28" t="n">
        <f aca="false">-AU201*Restaurantes!$D$37</f>
        <v>-3148.83410134564</v>
      </c>
      <c r="AV202" s="28" t="n">
        <f aca="false">-AV201*Restaurantes!$D$37</f>
        <v>-3148.83410134564</v>
      </c>
      <c r="AW202" s="28" t="n">
        <f aca="false">-AW201*Restaurantes!$D$37</f>
        <v>-3148.83410134564</v>
      </c>
      <c r="AX202" s="28" t="n">
        <f aca="false">-AX201*Restaurantes!$D$37</f>
        <v>-3148.83410134564</v>
      </c>
      <c r="AY202" s="28" t="n">
        <f aca="false">-AY201*Restaurantes!$D$37</f>
        <v>-3148.83410134564</v>
      </c>
      <c r="AZ202" s="28" t="n">
        <f aca="false">-AZ201*Restaurantes!$D$37</f>
        <v>-3148.83410134564</v>
      </c>
      <c r="BA202" s="28" t="n">
        <f aca="false">-BA201*Restaurantes!$D$37</f>
        <v>-3148.83410134564</v>
      </c>
      <c r="BB202" s="28" t="n">
        <f aca="false">-BB201*Restaurantes!$D$37</f>
        <v>-3148.83410134564</v>
      </c>
      <c r="BC202" s="28" t="n">
        <f aca="false">-BC201*Restaurantes!$D$37</f>
        <v>-800</v>
      </c>
      <c r="BD202" s="28" t="n">
        <f aca="false">-BD201*Restaurantes!$D$37</f>
        <v>-3148.83410134564</v>
      </c>
      <c r="BE202" s="28" t="n">
        <f aca="false">-BE201*Restaurantes!$D$37</f>
        <v>-3148.83410134564</v>
      </c>
      <c r="BF202" s="28" t="n">
        <f aca="false">-BF201*Restaurantes!$D$37</f>
        <v>-3148.83410134564</v>
      </c>
      <c r="BG202" s="28" t="n">
        <f aca="false">-BG201*Restaurantes!$D$37</f>
        <v>-3148.83410134564</v>
      </c>
      <c r="BH202" s="28" t="n">
        <f aca="false">-BH201*Restaurantes!$D$37</f>
        <v>-3148.83410134564</v>
      </c>
      <c r="BI202" s="28" t="n">
        <f aca="false">-BI201*Restaurantes!$D$37</f>
        <v>-3148.83410134564</v>
      </c>
      <c r="BJ202" s="28" t="n">
        <f aca="false">-BJ201*Restaurantes!$D$37</f>
        <v>-3148.83410134564</v>
      </c>
      <c r="BK202" s="28" t="n">
        <f aca="false">-BK201*Restaurantes!$D$37</f>
        <v>-3148.83410134564</v>
      </c>
      <c r="BL202" s="28" t="n">
        <f aca="false">-BL201*Restaurantes!$D$37</f>
        <v>-3148.83410134564</v>
      </c>
      <c r="BM202" s="28" t="n">
        <f aca="false">-BM201*Restaurantes!$D$37</f>
        <v>-3148.83410134564</v>
      </c>
      <c r="BN202" s="28" t="n">
        <f aca="false">-BN201*Restaurantes!$D$37</f>
        <v>-3148.83410134564</v>
      </c>
      <c r="BO202" s="28" t="n">
        <f aca="false">-BO201*Restaurantes!$D$37</f>
        <v>-800</v>
      </c>
      <c r="BP202" s="28" t="n">
        <f aca="false">-BP201*Restaurantes!$D$37</f>
        <v>-3148.83410134564</v>
      </c>
      <c r="BQ202" s="28" t="n">
        <f aca="false">-BQ201*Restaurantes!$D$37</f>
        <v>-3148.83410134564</v>
      </c>
      <c r="BR202" s="28" t="n">
        <f aca="false">-BR201*Restaurantes!$D$37</f>
        <v>-3148.83410134564</v>
      </c>
      <c r="BS202" s="28" t="n">
        <f aca="false">-BS201*Restaurantes!$D$37</f>
        <v>-3148.83410134564</v>
      </c>
      <c r="BT202" s="28" t="n">
        <f aca="false">-BT201*Restaurantes!$D$37</f>
        <v>-3148.83410134564</v>
      </c>
      <c r="BU202" s="28" t="n">
        <f aca="false">-BU201*Restaurantes!$D$37</f>
        <v>-3148.83410134564</v>
      </c>
      <c r="BV202" s="28" t="n">
        <f aca="false">-BV201*Restaurantes!$D$37</f>
        <v>-3148.83410134564</v>
      </c>
      <c r="BW202" s="28" t="n">
        <f aca="false">-BW201*Restaurantes!$D$37</f>
        <v>-3148.83410134564</v>
      </c>
      <c r="BX202" s="28" t="n">
        <f aca="false">-BX201*Restaurantes!$D$37</f>
        <v>-3148.83410134564</v>
      </c>
      <c r="BY202" s="28" t="n">
        <f aca="false">-BY201*Restaurantes!$D$37</f>
        <v>-3148.83410134564</v>
      </c>
      <c r="BZ202" s="28" t="n">
        <f aca="false">-BZ201*Restaurantes!$D$37</f>
        <v>-3148.83410134564</v>
      </c>
      <c r="CA202" s="28" t="n">
        <f aca="false">-CA201*Restaurantes!$D$37</f>
        <v>-800</v>
      </c>
      <c r="CB202" s="28" t="n">
        <f aca="false">-CB201*Restaurantes!$D$37</f>
        <v>-3148.83410134564</v>
      </c>
      <c r="CC202" s="28" t="n">
        <f aca="false">-CC201*Restaurantes!$D$37</f>
        <v>-3148.83410134564</v>
      </c>
      <c r="CD202" s="28" t="n">
        <f aca="false">-CD201*Restaurantes!$D$37</f>
        <v>-3148.83410134564</v>
      </c>
      <c r="CE202" s="28" t="n">
        <f aca="false">-CE201*Restaurantes!$D$37</f>
        <v>-3148.83410134564</v>
      </c>
      <c r="CF202" s="28" t="n">
        <f aca="false">-CF201*Restaurantes!$D$37</f>
        <v>-3148.83410134564</v>
      </c>
      <c r="CG202" s="28" t="n">
        <f aca="false">-CG201*Restaurantes!$D$37</f>
        <v>-3148.83410134564</v>
      </c>
      <c r="CH202" s="28" t="n">
        <f aca="false">-CH201*Restaurantes!$D$37</f>
        <v>-3148.83410134564</v>
      </c>
    </row>
    <row r="203" customFormat="false" ht="15" hidden="false" customHeight="false" outlineLevel="0" collapsed="false">
      <c r="A203" s="1" t="s">
        <v>864</v>
      </c>
      <c r="C203" s="28" t="n">
        <f aca="false">-IF(AND(C$3&gt;=Restaurantes!$D$8,Restaurantes!$D$7&gt;0),Restaurantes!$D$44+Restaurantes!$D$45,0)</f>
        <v>-600</v>
      </c>
      <c r="D203" s="28" t="n">
        <f aca="false">-IF(AND(D$3&gt;=Restaurantes!$D$8,Restaurantes!$D$7&gt;0),Restaurantes!$D$44+Restaurantes!$D$45,0)</f>
        <v>-600</v>
      </c>
      <c r="E203" s="28" t="n">
        <f aca="false">-IF(AND(E$3&gt;=Restaurantes!$D$8,Restaurantes!$D$7&gt;0),Restaurantes!$D$44+Restaurantes!$D$45,0)</f>
        <v>-600</v>
      </c>
      <c r="F203" s="28" t="n">
        <f aca="false">-IF(AND(F$3&gt;=Restaurantes!$D$8,Restaurantes!$D$7&gt;0),Restaurantes!$D$44+Restaurantes!$D$45,0)</f>
        <v>-600</v>
      </c>
      <c r="G203" s="28" t="n">
        <f aca="false">-IF(AND(G$3&gt;=Restaurantes!$D$8,Restaurantes!$D$7&gt;0),Restaurantes!$D$44+Restaurantes!$D$45,0)</f>
        <v>-600</v>
      </c>
      <c r="H203" s="28" t="n">
        <f aca="false">-IF(AND(H$3&gt;=Restaurantes!$D$8,Restaurantes!$D$7&gt;0),Restaurantes!$D$44+Restaurantes!$D$45,0)</f>
        <v>-600</v>
      </c>
      <c r="I203" s="28" t="n">
        <f aca="false">-IF(AND(I$3&gt;=Restaurantes!$D$8,Restaurantes!$D$7&gt;0),Restaurantes!$D$44+Restaurantes!$D$45,0)</f>
        <v>-600</v>
      </c>
      <c r="J203" s="28" t="n">
        <f aca="false">-IF(AND(J$3&gt;=Restaurantes!$D$8,Restaurantes!$D$7&gt;0),Restaurantes!$D$44+Restaurantes!$D$45,0)</f>
        <v>-600</v>
      </c>
      <c r="K203" s="28" t="n">
        <f aca="false">-IF(AND(K$3&gt;=Restaurantes!$D$8,Restaurantes!$D$7&gt;0),Restaurantes!$D$44+Restaurantes!$D$45,0)</f>
        <v>-600</v>
      </c>
      <c r="L203" s="28" t="n">
        <f aca="false">-IF(AND(L$3&gt;=Restaurantes!$D$8,Restaurantes!$D$7&gt;0),Restaurantes!$D$44+Restaurantes!$D$45,0)</f>
        <v>-600</v>
      </c>
      <c r="M203" s="28" t="n">
        <f aca="false">-IF(AND(M$3&gt;=Restaurantes!$D$8,Restaurantes!$D$7&gt;0),Restaurantes!$D$44+Restaurantes!$D$45,0)</f>
        <v>-600</v>
      </c>
      <c r="N203" s="28" t="n">
        <f aca="false">-IF(AND(N$3&gt;=Restaurantes!$D$8,Restaurantes!$D$7&gt;0),Restaurantes!$D$44+Restaurantes!$D$45,0)</f>
        <v>-600</v>
      </c>
      <c r="O203" s="28" t="n">
        <f aca="false">-IF(AND(O$3&gt;=Restaurantes!$D$8,Restaurantes!$D$7&gt;0),Restaurantes!$D$44+Restaurantes!$D$45,0)</f>
        <v>-600</v>
      </c>
      <c r="P203" s="28" t="n">
        <f aca="false">-IF(AND(P$3&gt;=Restaurantes!$D$8,Restaurantes!$D$7&gt;0),Restaurantes!$D$44+Restaurantes!$D$45,0)</f>
        <v>-600</v>
      </c>
      <c r="Q203" s="28" t="n">
        <f aca="false">-IF(AND(Q$3&gt;=Restaurantes!$D$8,Restaurantes!$D$7&gt;0),Restaurantes!$D$44+Restaurantes!$D$45,0)</f>
        <v>-600</v>
      </c>
      <c r="R203" s="28" t="n">
        <f aca="false">-IF(AND(R$3&gt;=Restaurantes!$D$8,Restaurantes!$D$7&gt;0),Restaurantes!$D$44+Restaurantes!$D$45,0)</f>
        <v>-600</v>
      </c>
      <c r="S203" s="28" t="n">
        <f aca="false">-IF(AND(S$3&gt;=Restaurantes!$D$8,Restaurantes!$D$7&gt;0),Restaurantes!$D$44+Restaurantes!$D$45,0)</f>
        <v>-600</v>
      </c>
      <c r="T203" s="28" t="n">
        <f aca="false">-IF(AND(T$3&gt;=Restaurantes!$D$8,Restaurantes!$D$7&gt;0),Restaurantes!$D$44+Restaurantes!$D$45,0)</f>
        <v>-600</v>
      </c>
      <c r="U203" s="28" t="n">
        <f aca="false">-IF(AND(U$3&gt;=Restaurantes!$D$8,Restaurantes!$D$7&gt;0),Restaurantes!$D$44+Restaurantes!$D$45,0)</f>
        <v>-600</v>
      </c>
      <c r="V203" s="28" t="n">
        <f aca="false">-IF(AND(V$3&gt;=Restaurantes!$D$8,Restaurantes!$D$7&gt;0),Restaurantes!$D$44+Restaurantes!$D$45,0)</f>
        <v>-600</v>
      </c>
      <c r="W203" s="28" t="n">
        <f aca="false">-IF(AND(W$3&gt;=Restaurantes!$D$8,Restaurantes!$D$7&gt;0),Restaurantes!$D$44+Restaurantes!$D$45,0)</f>
        <v>-600</v>
      </c>
      <c r="X203" s="28" t="n">
        <f aca="false">-IF(AND(X$3&gt;=Restaurantes!$D$8,Restaurantes!$D$7&gt;0),Restaurantes!$D$44+Restaurantes!$D$45,0)</f>
        <v>-600</v>
      </c>
      <c r="Y203" s="28" t="n">
        <f aca="false">-IF(AND(Y$3&gt;=Restaurantes!$D$8,Restaurantes!$D$7&gt;0),Restaurantes!$D$44+Restaurantes!$D$45,0)</f>
        <v>-600</v>
      </c>
      <c r="Z203" s="28" t="n">
        <f aca="false">-IF(AND(Z$3&gt;=Restaurantes!$D$8,Restaurantes!$D$7&gt;0),Restaurantes!$D$44+Restaurantes!$D$45,0)</f>
        <v>-600</v>
      </c>
      <c r="AA203" s="28" t="n">
        <f aca="false">-IF(AND(AA$3&gt;=Restaurantes!$D$8,Restaurantes!$D$7&gt;0),Restaurantes!$D$44+Restaurantes!$D$45,0)</f>
        <v>-600</v>
      </c>
      <c r="AB203" s="28" t="n">
        <f aca="false">-IF(AND(AB$3&gt;=Restaurantes!$D$8,Restaurantes!$D$7&gt;0),Restaurantes!$D$44+Restaurantes!$D$45,0)</f>
        <v>-600</v>
      </c>
      <c r="AC203" s="28" t="n">
        <f aca="false">-IF(AND(AC$3&gt;=Restaurantes!$D$8,Restaurantes!$D$7&gt;0),Restaurantes!$D$44+Restaurantes!$D$45,0)</f>
        <v>-600</v>
      </c>
      <c r="AD203" s="28" t="n">
        <f aca="false">-IF(AND(AD$3&gt;=Restaurantes!$D$8,Restaurantes!$D$7&gt;0),Restaurantes!$D$44+Restaurantes!$D$45,0)</f>
        <v>-600</v>
      </c>
      <c r="AE203" s="28" t="n">
        <f aca="false">-IF(AND(AE$3&gt;=Restaurantes!$D$8,Restaurantes!$D$7&gt;0),Restaurantes!$D$44+Restaurantes!$D$45,0)</f>
        <v>-600</v>
      </c>
      <c r="AF203" s="28" t="n">
        <f aca="false">-IF(AND(AF$3&gt;=Restaurantes!$D$8,Restaurantes!$D$7&gt;0),Restaurantes!$D$44+Restaurantes!$D$45,0)</f>
        <v>-600</v>
      </c>
      <c r="AG203" s="28" t="n">
        <f aca="false">-IF(AND(AG$3&gt;=Restaurantes!$D$8,Restaurantes!$D$7&gt;0),Restaurantes!$D$44+Restaurantes!$D$45,0)</f>
        <v>-600</v>
      </c>
      <c r="AH203" s="28" t="n">
        <f aca="false">-IF(AND(AH$3&gt;=Restaurantes!$D$8,Restaurantes!$D$7&gt;0),Restaurantes!$D$44+Restaurantes!$D$45,0)</f>
        <v>-600</v>
      </c>
      <c r="AI203" s="28" t="n">
        <f aca="false">-IF(AND(AI$3&gt;=Restaurantes!$D$8,Restaurantes!$D$7&gt;0),Restaurantes!$D$44+Restaurantes!$D$45,0)</f>
        <v>-600</v>
      </c>
      <c r="AJ203" s="28" t="n">
        <f aca="false">-IF(AND(AJ$3&gt;=Restaurantes!$D$8,Restaurantes!$D$7&gt;0),Restaurantes!$D$44+Restaurantes!$D$45,0)</f>
        <v>-600</v>
      </c>
      <c r="AK203" s="28" t="n">
        <f aca="false">-IF(AND(AK$3&gt;=Restaurantes!$D$8,Restaurantes!$D$7&gt;0),Restaurantes!$D$44+Restaurantes!$D$45,0)</f>
        <v>-600</v>
      </c>
      <c r="AL203" s="28" t="n">
        <f aca="false">-IF(AND(AL$3&gt;=Restaurantes!$D$8,Restaurantes!$D$7&gt;0),Restaurantes!$D$44+Restaurantes!$D$45,0)</f>
        <v>-600</v>
      </c>
      <c r="AM203" s="28" t="n">
        <f aca="false">-IF(AND(AM$3&gt;=Restaurantes!$D$8,Restaurantes!$D$7&gt;0),Restaurantes!$D$44+Restaurantes!$D$45,0)</f>
        <v>-600</v>
      </c>
      <c r="AN203" s="28" t="n">
        <f aca="false">-IF(AND(AN$3&gt;=Restaurantes!$D$8,Restaurantes!$D$7&gt;0),Restaurantes!$D$44+Restaurantes!$D$45,0)</f>
        <v>-600</v>
      </c>
      <c r="AO203" s="28" t="n">
        <f aca="false">-IF(AND(AO$3&gt;=Restaurantes!$D$8,Restaurantes!$D$7&gt;0),Restaurantes!$D$44+Restaurantes!$D$45,0)</f>
        <v>-600</v>
      </c>
      <c r="AP203" s="28" t="n">
        <f aca="false">-IF(AND(AP$3&gt;=Restaurantes!$D$8,Restaurantes!$D$7&gt;0),Restaurantes!$D$44+Restaurantes!$D$45,0)</f>
        <v>-600</v>
      </c>
      <c r="AQ203" s="28" t="n">
        <f aca="false">-IF(AND(AQ$3&gt;=Restaurantes!$D$8,Restaurantes!$D$7&gt;0),Restaurantes!$D$44+Restaurantes!$D$45,0)</f>
        <v>-600</v>
      </c>
      <c r="AR203" s="28" t="n">
        <f aca="false">-IF(AND(AR$3&gt;=Restaurantes!$D$8,Restaurantes!$D$7&gt;0),Restaurantes!$D$44+Restaurantes!$D$45,0)</f>
        <v>-600</v>
      </c>
      <c r="AS203" s="28" t="n">
        <f aca="false">-IF(AND(AS$3&gt;=Restaurantes!$D$8,Restaurantes!$D$7&gt;0),Restaurantes!$D$44+Restaurantes!$D$45,0)</f>
        <v>-600</v>
      </c>
      <c r="AT203" s="28" t="n">
        <f aca="false">-IF(AND(AT$3&gt;=Restaurantes!$D$8,Restaurantes!$D$7&gt;0),Restaurantes!$D$44+Restaurantes!$D$45,0)</f>
        <v>-600</v>
      </c>
      <c r="AU203" s="28" t="n">
        <f aca="false">-IF(AND(AU$3&gt;=Restaurantes!$D$8,Restaurantes!$D$7&gt;0),Restaurantes!$D$44+Restaurantes!$D$45,0)</f>
        <v>-600</v>
      </c>
      <c r="AV203" s="28" t="n">
        <f aca="false">-IF(AND(AV$3&gt;=Restaurantes!$D$8,Restaurantes!$D$7&gt;0),Restaurantes!$D$44+Restaurantes!$D$45,0)</f>
        <v>-600</v>
      </c>
      <c r="AW203" s="28" t="n">
        <f aca="false">-IF(AND(AW$3&gt;=Restaurantes!$D$8,Restaurantes!$D$7&gt;0),Restaurantes!$D$44+Restaurantes!$D$45,0)</f>
        <v>-600</v>
      </c>
      <c r="AX203" s="28" t="n">
        <f aca="false">-IF(AND(AX$3&gt;=Restaurantes!$D$8,Restaurantes!$D$7&gt;0),Restaurantes!$D$44+Restaurantes!$D$45,0)</f>
        <v>-600</v>
      </c>
      <c r="AY203" s="28" t="n">
        <f aca="false">-IF(AND(AY$3&gt;=Restaurantes!$D$8,Restaurantes!$D$7&gt;0),Restaurantes!$D$44+Restaurantes!$D$45,0)</f>
        <v>-600</v>
      </c>
      <c r="AZ203" s="28" t="n">
        <f aca="false">-IF(AND(AZ$3&gt;=Restaurantes!$D$8,Restaurantes!$D$7&gt;0),Restaurantes!$D$44+Restaurantes!$D$45,0)</f>
        <v>-600</v>
      </c>
      <c r="BA203" s="28" t="n">
        <f aca="false">-IF(AND(BA$3&gt;=Restaurantes!$D$8,Restaurantes!$D$7&gt;0),Restaurantes!$D$44+Restaurantes!$D$45,0)</f>
        <v>-600</v>
      </c>
      <c r="BB203" s="28" t="n">
        <f aca="false">-IF(AND(BB$3&gt;=Restaurantes!$D$8,Restaurantes!$D$7&gt;0),Restaurantes!$D$44+Restaurantes!$D$45,0)</f>
        <v>-600</v>
      </c>
      <c r="BC203" s="28" t="n">
        <f aca="false">-IF(AND(BC$3&gt;=Restaurantes!$D$8,Restaurantes!$D$7&gt;0),Restaurantes!$D$44+Restaurantes!$D$45,0)</f>
        <v>-600</v>
      </c>
      <c r="BD203" s="28" t="n">
        <f aca="false">-IF(AND(BD$3&gt;=Restaurantes!$D$8,Restaurantes!$D$7&gt;0),Restaurantes!$D$44+Restaurantes!$D$45,0)</f>
        <v>-600</v>
      </c>
      <c r="BE203" s="28" t="n">
        <f aca="false">-IF(AND(BE$3&gt;=Restaurantes!$D$8,Restaurantes!$D$7&gt;0),Restaurantes!$D$44+Restaurantes!$D$45,0)</f>
        <v>-600</v>
      </c>
      <c r="BF203" s="28" t="n">
        <f aca="false">-IF(AND(BF$3&gt;=Restaurantes!$D$8,Restaurantes!$D$7&gt;0),Restaurantes!$D$44+Restaurantes!$D$45,0)</f>
        <v>-600</v>
      </c>
      <c r="BG203" s="28" t="n">
        <f aca="false">-IF(AND(BG$3&gt;=Restaurantes!$D$8,Restaurantes!$D$7&gt;0),Restaurantes!$D$44+Restaurantes!$D$45,0)</f>
        <v>-600</v>
      </c>
      <c r="BH203" s="28" t="n">
        <f aca="false">-IF(AND(BH$3&gt;=Restaurantes!$D$8,Restaurantes!$D$7&gt;0),Restaurantes!$D$44+Restaurantes!$D$45,0)</f>
        <v>-600</v>
      </c>
      <c r="BI203" s="28" t="n">
        <f aca="false">-IF(AND(BI$3&gt;=Restaurantes!$D$8,Restaurantes!$D$7&gt;0),Restaurantes!$D$44+Restaurantes!$D$45,0)</f>
        <v>-600</v>
      </c>
      <c r="BJ203" s="28" t="n">
        <f aca="false">-IF(AND(BJ$3&gt;=Restaurantes!$D$8,Restaurantes!$D$7&gt;0),Restaurantes!$D$44+Restaurantes!$D$45,0)</f>
        <v>-600</v>
      </c>
      <c r="BK203" s="28" t="n">
        <f aca="false">-IF(AND(BK$3&gt;=Restaurantes!$D$8,Restaurantes!$D$7&gt;0),Restaurantes!$D$44+Restaurantes!$D$45,0)</f>
        <v>-600</v>
      </c>
      <c r="BL203" s="28" t="n">
        <f aca="false">-IF(AND(BL$3&gt;=Restaurantes!$D$8,Restaurantes!$D$7&gt;0),Restaurantes!$D$44+Restaurantes!$D$45,0)</f>
        <v>-600</v>
      </c>
      <c r="BM203" s="28" t="n">
        <f aca="false">-IF(AND(BM$3&gt;=Restaurantes!$D$8,Restaurantes!$D$7&gt;0),Restaurantes!$D$44+Restaurantes!$D$45,0)</f>
        <v>-600</v>
      </c>
      <c r="BN203" s="28" t="n">
        <f aca="false">-IF(AND(BN$3&gt;=Restaurantes!$D$8,Restaurantes!$D$7&gt;0),Restaurantes!$D$44+Restaurantes!$D$45,0)</f>
        <v>-600</v>
      </c>
      <c r="BO203" s="28" t="n">
        <f aca="false">-IF(AND(BO$3&gt;=Restaurantes!$D$8,Restaurantes!$D$7&gt;0),Restaurantes!$D$44+Restaurantes!$D$45,0)</f>
        <v>-600</v>
      </c>
      <c r="BP203" s="28" t="n">
        <f aca="false">-IF(AND(BP$3&gt;=Restaurantes!$D$8,Restaurantes!$D$7&gt;0),Restaurantes!$D$44+Restaurantes!$D$45,0)</f>
        <v>-600</v>
      </c>
      <c r="BQ203" s="28" t="n">
        <f aca="false">-IF(AND(BQ$3&gt;=Restaurantes!$D$8,Restaurantes!$D$7&gt;0),Restaurantes!$D$44+Restaurantes!$D$45,0)</f>
        <v>-600</v>
      </c>
      <c r="BR203" s="28" t="n">
        <f aca="false">-IF(AND(BR$3&gt;=Restaurantes!$D$8,Restaurantes!$D$7&gt;0),Restaurantes!$D$44+Restaurantes!$D$45,0)</f>
        <v>-600</v>
      </c>
      <c r="BS203" s="28" t="n">
        <f aca="false">-IF(AND(BS$3&gt;=Restaurantes!$D$8,Restaurantes!$D$7&gt;0),Restaurantes!$D$44+Restaurantes!$D$45,0)</f>
        <v>-600</v>
      </c>
      <c r="BT203" s="28" t="n">
        <f aca="false">-IF(AND(BT$3&gt;=Restaurantes!$D$8,Restaurantes!$D$7&gt;0),Restaurantes!$D$44+Restaurantes!$D$45,0)</f>
        <v>-600</v>
      </c>
      <c r="BU203" s="28" t="n">
        <f aca="false">-IF(AND(BU$3&gt;=Restaurantes!$D$8,Restaurantes!$D$7&gt;0),Restaurantes!$D$44+Restaurantes!$D$45,0)</f>
        <v>-600</v>
      </c>
      <c r="BV203" s="28" t="n">
        <f aca="false">-IF(AND(BV$3&gt;=Restaurantes!$D$8,Restaurantes!$D$7&gt;0),Restaurantes!$D$44+Restaurantes!$D$45,0)</f>
        <v>-600</v>
      </c>
      <c r="BW203" s="28" t="n">
        <f aca="false">-IF(AND(BW$3&gt;=Restaurantes!$D$8,Restaurantes!$D$7&gt;0),Restaurantes!$D$44+Restaurantes!$D$45,0)</f>
        <v>-600</v>
      </c>
      <c r="BX203" s="28" t="n">
        <f aca="false">-IF(AND(BX$3&gt;=Restaurantes!$D$8,Restaurantes!$D$7&gt;0),Restaurantes!$D$44+Restaurantes!$D$45,0)</f>
        <v>-600</v>
      </c>
      <c r="BY203" s="28" t="n">
        <f aca="false">-IF(AND(BY$3&gt;=Restaurantes!$D$8,Restaurantes!$D$7&gt;0),Restaurantes!$D$44+Restaurantes!$D$45,0)</f>
        <v>-600</v>
      </c>
      <c r="BZ203" s="28" t="n">
        <f aca="false">-IF(AND(BZ$3&gt;=Restaurantes!$D$8,Restaurantes!$D$7&gt;0),Restaurantes!$D$44+Restaurantes!$D$45,0)</f>
        <v>-600</v>
      </c>
      <c r="CA203" s="28" t="n">
        <f aca="false">-IF(AND(CA$3&gt;=Restaurantes!$D$8,Restaurantes!$D$7&gt;0),Restaurantes!$D$44+Restaurantes!$D$45,0)</f>
        <v>-600</v>
      </c>
      <c r="CB203" s="28" t="n">
        <f aca="false">-IF(AND(CB$3&gt;=Restaurantes!$D$8,Restaurantes!$D$7&gt;0),Restaurantes!$D$44+Restaurantes!$D$45,0)</f>
        <v>-600</v>
      </c>
      <c r="CC203" s="28" t="n">
        <f aca="false">-IF(AND(CC$3&gt;=Restaurantes!$D$8,Restaurantes!$D$7&gt;0),Restaurantes!$D$44+Restaurantes!$D$45,0)</f>
        <v>-600</v>
      </c>
      <c r="CD203" s="28" t="n">
        <f aca="false">-IF(AND(CD$3&gt;=Restaurantes!$D$8,Restaurantes!$D$7&gt;0),Restaurantes!$D$44+Restaurantes!$D$45,0)</f>
        <v>-600</v>
      </c>
      <c r="CE203" s="28" t="n">
        <f aca="false">-IF(AND(CE$3&gt;=Restaurantes!$D$8,Restaurantes!$D$7&gt;0),Restaurantes!$D$44+Restaurantes!$D$45,0)</f>
        <v>-600</v>
      </c>
      <c r="CF203" s="28" t="n">
        <f aca="false">-IF(AND(CF$3&gt;=Restaurantes!$D$8,Restaurantes!$D$7&gt;0),Restaurantes!$D$44+Restaurantes!$D$45,0)</f>
        <v>-600</v>
      </c>
      <c r="CG203" s="28" t="n">
        <f aca="false">-IF(AND(CG$3&gt;=Restaurantes!$D$8,Restaurantes!$D$7&gt;0),Restaurantes!$D$44+Restaurantes!$D$45,0)</f>
        <v>-600</v>
      </c>
      <c r="CH203" s="28" t="n">
        <f aca="false">-IF(AND(CH$3&gt;=Restaurantes!$D$8,Restaurantes!$D$7&gt;0),Restaurantes!$D$44+Restaurantes!$D$45,0)</f>
        <v>-600</v>
      </c>
    </row>
    <row r="204" customFormat="false" ht="15" hidden="false" customHeight="false" outlineLevel="0" collapsed="false">
      <c r="A204" s="1" t="s">
        <v>865</v>
      </c>
      <c r="C204" s="28" t="n">
        <f aca="false">-IF(AND(C$3&gt;=Restaurantes!$D$8,Restaurantes!$D$7&gt;0),Restaurantes!$D$51*(Restaurantes!$D$52*Restaurantes!$D$53+Restaurantes!$D$54*Restaurantes!$D$55),0)</f>
        <v>-541.075</v>
      </c>
      <c r="D204" s="28" t="n">
        <f aca="false">-IF(AND(D$3&gt;=Restaurantes!$D$8,Restaurantes!$D$7&gt;0),Restaurantes!$D$51*(Restaurantes!$D$52*Restaurantes!$D$53+Restaurantes!$D$54*Restaurantes!$D$55),0)</f>
        <v>-541.075</v>
      </c>
      <c r="E204" s="28" t="n">
        <f aca="false">-IF(AND(E$3&gt;=Restaurantes!$D$8,Restaurantes!$D$7&gt;0),Restaurantes!$D$51*(Restaurantes!$D$52*Restaurantes!$D$53+Restaurantes!$D$54*Restaurantes!$D$55),0)</f>
        <v>-541.075</v>
      </c>
      <c r="F204" s="28" t="n">
        <f aca="false">-IF(AND(F$3&gt;=Restaurantes!$D$8,Restaurantes!$D$7&gt;0),Restaurantes!$D$51*(Restaurantes!$D$52*Restaurantes!$D$53+Restaurantes!$D$54*Restaurantes!$D$55),0)</f>
        <v>-541.075</v>
      </c>
      <c r="G204" s="28" t="n">
        <f aca="false">-IF(AND(G$3&gt;=Restaurantes!$D$8,Restaurantes!$D$7&gt;0),Restaurantes!$D$51*(Restaurantes!$D$52*Restaurantes!$D$53+Restaurantes!$D$54*Restaurantes!$D$55),0)</f>
        <v>-541.075</v>
      </c>
      <c r="H204" s="28" t="n">
        <f aca="false">-IF(AND(H$3&gt;=Restaurantes!$D$8,Restaurantes!$D$7&gt;0),Restaurantes!$D$51*(Restaurantes!$D$52*Restaurantes!$D$53+Restaurantes!$D$54*Restaurantes!$D$55),0)</f>
        <v>-541.075</v>
      </c>
      <c r="I204" s="28" t="n">
        <f aca="false">-IF(AND(I$3&gt;=Restaurantes!$D$8,Restaurantes!$D$7&gt;0),Restaurantes!$D$51*(Restaurantes!$D$52*Restaurantes!$D$53+Restaurantes!$D$54*Restaurantes!$D$55),0)</f>
        <v>-541.075</v>
      </c>
      <c r="J204" s="28" t="n">
        <f aca="false">-IF(AND(J$3&gt;=Restaurantes!$D$8,Restaurantes!$D$7&gt;0),Restaurantes!$D$51*(Restaurantes!$D$52*Restaurantes!$D$53+Restaurantes!$D$54*Restaurantes!$D$55),0)</f>
        <v>-541.075</v>
      </c>
      <c r="K204" s="28" t="n">
        <f aca="false">-IF(AND(K$3&gt;=Restaurantes!$D$8,Restaurantes!$D$7&gt;0),Restaurantes!$D$51*(Restaurantes!$D$52*Restaurantes!$D$53+Restaurantes!$D$54*Restaurantes!$D$55),0)</f>
        <v>-541.075</v>
      </c>
      <c r="L204" s="28" t="n">
        <f aca="false">-IF(AND(L$3&gt;=Restaurantes!$D$8,Restaurantes!$D$7&gt;0),Restaurantes!$D$51*(Restaurantes!$D$52*Restaurantes!$D$53+Restaurantes!$D$54*Restaurantes!$D$55),0)</f>
        <v>-541.075</v>
      </c>
      <c r="M204" s="28" t="n">
        <f aca="false">-IF(AND(M$3&gt;=Restaurantes!$D$8,Restaurantes!$D$7&gt;0),Restaurantes!$D$51*(Restaurantes!$D$52*Restaurantes!$D$53+Restaurantes!$D$54*Restaurantes!$D$55),0)</f>
        <v>-541.075</v>
      </c>
      <c r="N204" s="28" t="n">
        <f aca="false">-IF(AND(N$3&gt;=Restaurantes!$D$8,Restaurantes!$D$7&gt;0),Restaurantes!$D$51*(Restaurantes!$D$52*Restaurantes!$D$53+Restaurantes!$D$54*Restaurantes!$D$55),0)</f>
        <v>-541.075</v>
      </c>
      <c r="O204" s="28" t="n">
        <f aca="false">-IF(AND(O$3&gt;=Restaurantes!$D$8,Restaurantes!$D$7&gt;0),Restaurantes!$D$51*(Restaurantes!$D$52*Restaurantes!$D$53+Restaurantes!$D$54*Restaurantes!$D$55),0)</f>
        <v>-541.075</v>
      </c>
      <c r="P204" s="28" t="n">
        <f aca="false">-IF(AND(P$3&gt;=Restaurantes!$D$8,Restaurantes!$D$7&gt;0),Restaurantes!$D$51*(Restaurantes!$D$52*Restaurantes!$D$53+Restaurantes!$D$54*Restaurantes!$D$55),0)</f>
        <v>-541.075</v>
      </c>
      <c r="Q204" s="28" t="n">
        <f aca="false">-IF(AND(Q$3&gt;=Restaurantes!$D$8,Restaurantes!$D$7&gt;0),Restaurantes!$D$51*(Restaurantes!$D$52*Restaurantes!$D$53+Restaurantes!$D$54*Restaurantes!$D$55),0)</f>
        <v>-541.075</v>
      </c>
      <c r="R204" s="28" t="n">
        <f aca="false">-IF(AND(R$3&gt;=Restaurantes!$D$8,Restaurantes!$D$7&gt;0),Restaurantes!$D$51*(Restaurantes!$D$52*Restaurantes!$D$53+Restaurantes!$D$54*Restaurantes!$D$55),0)</f>
        <v>-541.075</v>
      </c>
      <c r="S204" s="28" t="n">
        <f aca="false">-IF(AND(S$3&gt;=Restaurantes!$D$8,Restaurantes!$D$7&gt;0),Restaurantes!$D$51*(Restaurantes!$D$52*Restaurantes!$D$53+Restaurantes!$D$54*Restaurantes!$D$55),0)</f>
        <v>-541.075</v>
      </c>
      <c r="T204" s="28" t="n">
        <f aca="false">-IF(AND(T$3&gt;=Restaurantes!$D$8,Restaurantes!$D$7&gt;0),Restaurantes!$D$51*(Restaurantes!$D$52*Restaurantes!$D$53+Restaurantes!$D$54*Restaurantes!$D$55),0)</f>
        <v>-541.075</v>
      </c>
      <c r="U204" s="28" t="n">
        <f aca="false">-IF(AND(U$3&gt;=Restaurantes!$D$8,Restaurantes!$D$7&gt;0),Restaurantes!$D$51*(Restaurantes!$D$52*Restaurantes!$D$53+Restaurantes!$D$54*Restaurantes!$D$55),0)</f>
        <v>-541.075</v>
      </c>
      <c r="V204" s="28" t="n">
        <f aca="false">-IF(AND(V$3&gt;=Restaurantes!$D$8,Restaurantes!$D$7&gt;0),Restaurantes!$D$51*(Restaurantes!$D$52*Restaurantes!$D$53+Restaurantes!$D$54*Restaurantes!$D$55),0)</f>
        <v>-541.075</v>
      </c>
      <c r="W204" s="28" t="n">
        <f aca="false">-IF(AND(W$3&gt;=Restaurantes!$D$8,Restaurantes!$D$7&gt;0),Restaurantes!$D$51*(Restaurantes!$D$52*Restaurantes!$D$53+Restaurantes!$D$54*Restaurantes!$D$55),0)</f>
        <v>-541.075</v>
      </c>
      <c r="X204" s="28" t="n">
        <f aca="false">-IF(AND(X$3&gt;=Restaurantes!$D$8,Restaurantes!$D$7&gt;0),Restaurantes!$D$51*(Restaurantes!$D$52*Restaurantes!$D$53+Restaurantes!$D$54*Restaurantes!$D$55),0)</f>
        <v>-541.075</v>
      </c>
      <c r="Y204" s="28" t="n">
        <f aca="false">-IF(AND(Y$3&gt;=Restaurantes!$D$8,Restaurantes!$D$7&gt;0),Restaurantes!$D$51*(Restaurantes!$D$52*Restaurantes!$D$53+Restaurantes!$D$54*Restaurantes!$D$55),0)</f>
        <v>-541.075</v>
      </c>
      <c r="Z204" s="28" t="n">
        <f aca="false">-IF(AND(Z$3&gt;=Restaurantes!$D$8,Restaurantes!$D$7&gt;0),Restaurantes!$D$51*(Restaurantes!$D$52*Restaurantes!$D$53+Restaurantes!$D$54*Restaurantes!$D$55),0)</f>
        <v>-541.075</v>
      </c>
      <c r="AA204" s="28" t="n">
        <f aca="false">-IF(AND(AA$3&gt;=Restaurantes!$D$8,Restaurantes!$D$7&gt;0),Restaurantes!$D$51*(Restaurantes!$D$52*Restaurantes!$D$53+Restaurantes!$D$54*Restaurantes!$D$55),0)</f>
        <v>-541.075</v>
      </c>
      <c r="AB204" s="28" t="n">
        <f aca="false">-IF(AND(AB$3&gt;=Restaurantes!$D$8,Restaurantes!$D$7&gt;0),Restaurantes!$D$51*(Restaurantes!$D$52*Restaurantes!$D$53+Restaurantes!$D$54*Restaurantes!$D$55),0)</f>
        <v>-541.075</v>
      </c>
      <c r="AC204" s="28" t="n">
        <f aca="false">-IF(AND(AC$3&gt;=Restaurantes!$D$8,Restaurantes!$D$7&gt;0),Restaurantes!$D$51*(Restaurantes!$D$52*Restaurantes!$D$53+Restaurantes!$D$54*Restaurantes!$D$55),0)</f>
        <v>-541.075</v>
      </c>
      <c r="AD204" s="28" t="n">
        <f aca="false">-IF(AND(AD$3&gt;=Restaurantes!$D$8,Restaurantes!$D$7&gt;0),Restaurantes!$D$51*(Restaurantes!$D$52*Restaurantes!$D$53+Restaurantes!$D$54*Restaurantes!$D$55),0)</f>
        <v>-541.075</v>
      </c>
      <c r="AE204" s="28" t="n">
        <f aca="false">-IF(AND(AE$3&gt;=Restaurantes!$D$8,Restaurantes!$D$7&gt;0),Restaurantes!$D$51*(Restaurantes!$D$52*Restaurantes!$D$53+Restaurantes!$D$54*Restaurantes!$D$55),0)</f>
        <v>-541.075</v>
      </c>
      <c r="AF204" s="28" t="n">
        <f aca="false">-IF(AND(AF$3&gt;=Restaurantes!$D$8,Restaurantes!$D$7&gt;0),Restaurantes!$D$51*(Restaurantes!$D$52*Restaurantes!$D$53+Restaurantes!$D$54*Restaurantes!$D$55),0)</f>
        <v>-541.075</v>
      </c>
      <c r="AG204" s="28" t="n">
        <f aca="false">-IF(AND(AG$3&gt;=Restaurantes!$D$8,Restaurantes!$D$7&gt;0),Restaurantes!$D$51*(Restaurantes!$D$52*Restaurantes!$D$53+Restaurantes!$D$54*Restaurantes!$D$55),0)</f>
        <v>-541.075</v>
      </c>
      <c r="AH204" s="28" t="n">
        <f aca="false">-IF(AND(AH$3&gt;=Restaurantes!$D$8,Restaurantes!$D$7&gt;0),Restaurantes!$D$51*(Restaurantes!$D$52*Restaurantes!$D$53+Restaurantes!$D$54*Restaurantes!$D$55),0)</f>
        <v>-541.075</v>
      </c>
      <c r="AI204" s="28" t="n">
        <f aca="false">-IF(AND(AI$3&gt;=Restaurantes!$D$8,Restaurantes!$D$7&gt;0),Restaurantes!$D$51*(Restaurantes!$D$52*Restaurantes!$D$53+Restaurantes!$D$54*Restaurantes!$D$55),0)</f>
        <v>-541.075</v>
      </c>
      <c r="AJ204" s="28" t="n">
        <f aca="false">-IF(AND(AJ$3&gt;=Restaurantes!$D$8,Restaurantes!$D$7&gt;0),Restaurantes!$D$51*(Restaurantes!$D$52*Restaurantes!$D$53+Restaurantes!$D$54*Restaurantes!$D$55),0)</f>
        <v>-541.075</v>
      </c>
      <c r="AK204" s="28" t="n">
        <f aca="false">-IF(AND(AK$3&gt;=Restaurantes!$D$8,Restaurantes!$D$7&gt;0),Restaurantes!$D$51*(Restaurantes!$D$52*Restaurantes!$D$53+Restaurantes!$D$54*Restaurantes!$D$55),0)</f>
        <v>-541.075</v>
      </c>
      <c r="AL204" s="28" t="n">
        <f aca="false">-IF(AND(AL$3&gt;=Restaurantes!$D$8,Restaurantes!$D$7&gt;0),Restaurantes!$D$51*(Restaurantes!$D$52*Restaurantes!$D$53+Restaurantes!$D$54*Restaurantes!$D$55),0)</f>
        <v>-541.075</v>
      </c>
      <c r="AM204" s="28" t="n">
        <f aca="false">-IF(AND(AM$3&gt;=Restaurantes!$D$8,Restaurantes!$D$7&gt;0),Restaurantes!$D$51*(Restaurantes!$D$52*Restaurantes!$D$53+Restaurantes!$D$54*Restaurantes!$D$55),0)</f>
        <v>-541.075</v>
      </c>
      <c r="AN204" s="28" t="n">
        <f aca="false">-IF(AND(AN$3&gt;=Restaurantes!$D$8,Restaurantes!$D$7&gt;0),Restaurantes!$D$51*(Restaurantes!$D$52*Restaurantes!$D$53+Restaurantes!$D$54*Restaurantes!$D$55),0)</f>
        <v>-541.075</v>
      </c>
      <c r="AO204" s="28" t="n">
        <f aca="false">-IF(AND(AO$3&gt;=Restaurantes!$D$8,Restaurantes!$D$7&gt;0),Restaurantes!$D$51*(Restaurantes!$D$52*Restaurantes!$D$53+Restaurantes!$D$54*Restaurantes!$D$55),0)</f>
        <v>-541.075</v>
      </c>
      <c r="AP204" s="28" t="n">
        <f aca="false">-IF(AND(AP$3&gt;=Restaurantes!$D$8,Restaurantes!$D$7&gt;0),Restaurantes!$D$51*(Restaurantes!$D$52*Restaurantes!$D$53+Restaurantes!$D$54*Restaurantes!$D$55),0)</f>
        <v>-541.075</v>
      </c>
      <c r="AQ204" s="28" t="n">
        <f aca="false">-IF(AND(AQ$3&gt;=Restaurantes!$D$8,Restaurantes!$D$7&gt;0),Restaurantes!$D$51*(Restaurantes!$D$52*Restaurantes!$D$53+Restaurantes!$D$54*Restaurantes!$D$55),0)</f>
        <v>-541.075</v>
      </c>
      <c r="AR204" s="28" t="n">
        <f aca="false">-IF(AND(AR$3&gt;=Restaurantes!$D$8,Restaurantes!$D$7&gt;0),Restaurantes!$D$51*(Restaurantes!$D$52*Restaurantes!$D$53+Restaurantes!$D$54*Restaurantes!$D$55),0)</f>
        <v>-541.075</v>
      </c>
      <c r="AS204" s="28" t="n">
        <f aca="false">-IF(AND(AS$3&gt;=Restaurantes!$D$8,Restaurantes!$D$7&gt;0),Restaurantes!$D$51*(Restaurantes!$D$52*Restaurantes!$D$53+Restaurantes!$D$54*Restaurantes!$D$55),0)</f>
        <v>-541.075</v>
      </c>
      <c r="AT204" s="28" t="n">
        <f aca="false">-IF(AND(AT$3&gt;=Restaurantes!$D$8,Restaurantes!$D$7&gt;0),Restaurantes!$D$51*(Restaurantes!$D$52*Restaurantes!$D$53+Restaurantes!$D$54*Restaurantes!$D$55),0)</f>
        <v>-541.075</v>
      </c>
      <c r="AU204" s="28" t="n">
        <f aca="false">-IF(AND(AU$3&gt;=Restaurantes!$D$8,Restaurantes!$D$7&gt;0),Restaurantes!$D$51*(Restaurantes!$D$52*Restaurantes!$D$53+Restaurantes!$D$54*Restaurantes!$D$55),0)</f>
        <v>-541.075</v>
      </c>
      <c r="AV204" s="28" t="n">
        <f aca="false">-IF(AND(AV$3&gt;=Restaurantes!$D$8,Restaurantes!$D$7&gt;0),Restaurantes!$D$51*(Restaurantes!$D$52*Restaurantes!$D$53+Restaurantes!$D$54*Restaurantes!$D$55),0)</f>
        <v>-541.075</v>
      </c>
      <c r="AW204" s="28" t="n">
        <f aca="false">-IF(AND(AW$3&gt;=Restaurantes!$D$8,Restaurantes!$D$7&gt;0),Restaurantes!$D$51*(Restaurantes!$D$52*Restaurantes!$D$53+Restaurantes!$D$54*Restaurantes!$D$55),0)</f>
        <v>-541.075</v>
      </c>
      <c r="AX204" s="28" t="n">
        <f aca="false">-IF(AND(AX$3&gt;=Restaurantes!$D$8,Restaurantes!$D$7&gt;0),Restaurantes!$D$51*(Restaurantes!$D$52*Restaurantes!$D$53+Restaurantes!$D$54*Restaurantes!$D$55),0)</f>
        <v>-541.075</v>
      </c>
      <c r="AY204" s="28" t="n">
        <f aca="false">-IF(AND(AY$3&gt;=Restaurantes!$D$8,Restaurantes!$D$7&gt;0),Restaurantes!$D$51*(Restaurantes!$D$52*Restaurantes!$D$53+Restaurantes!$D$54*Restaurantes!$D$55),0)</f>
        <v>-541.075</v>
      </c>
      <c r="AZ204" s="28" t="n">
        <f aca="false">-IF(AND(AZ$3&gt;=Restaurantes!$D$8,Restaurantes!$D$7&gt;0),Restaurantes!$D$51*(Restaurantes!$D$52*Restaurantes!$D$53+Restaurantes!$D$54*Restaurantes!$D$55),0)</f>
        <v>-541.075</v>
      </c>
      <c r="BA204" s="28" t="n">
        <f aca="false">-IF(AND(BA$3&gt;=Restaurantes!$D$8,Restaurantes!$D$7&gt;0),Restaurantes!$D$51*(Restaurantes!$D$52*Restaurantes!$D$53+Restaurantes!$D$54*Restaurantes!$D$55),0)</f>
        <v>-541.075</v>
      </c>
      <c r="BB204" s="28" t="n">
        <f aca="false">-IF(AND(BB$3&gt;=Restaurantes!$D$8,Restaurantes!$D$7&gt;0),Restaurantes!$D$51*(Restaurantes!$D$52*Restaurantes!$D$53+Restaurantes!$D$54*Restaurantes!$D$55),0)</f>
        <v>-541.075</v>
      </c>
      <c r="BC204" s="28" t="n">
        <f aca="false">-IF(AND(BC$3&gt;=Restaurantes!$D$8,Restaurantes!$D$7&gt;0),Restaurantes!$D$51*(Restaurantes!$D$52*Restaurantes!$D$53+Restaurantes!$D$54*Restaurantes!$D$55),0)</f>
        <v>-541.075</v>
      </c>
      <c r="BD204" s="28" t="n">
        <f aca="false">-IF(AND(BD$3&gt;=Restaurantes!$D$8,Restaurantes!$D$7&gt;0),Restaurantes!$D$51*(Restaurantes!$D$52*Restaurantes!$D$53+Restaurantes!$D$54*Restaurantes!$D$55),0)</f>
        <v>-541.075</v>
      </c>
      <c r="BE204" s="28" t="n">
        <f aca="false">-IF(AND(BE$3&gt;=Restaurantes!$D$8,Restaurantes!$D$7&gt;0),Restaurantes!$D$51*(Restaurantes!$D$52*Restaurantes!$D$53+Restaurantes!$D$54*Restaurantes!$D$55),0)</f>
        <v>-541.075</v>
      </c>
      <c r="BF204" s="28" t="n">
        <f aca="false">-IF(AND(BF$3&gt;=Restaurantes!$D$8,Restaurantes!$D$7&gt;0),Restaurantes!$D$51*(Restaurantes!$D$52*Restaurantes!$D$53+Restaurantes!$D$54*Restaurantes!$D$55),0)</f>
        <v>-541.075</v>
      </c>
      <c r="BG204" s="28" t="n">
        <f aca="false">-IF(AND(BG$3&gt;=Restaurantes!$D$8,Restaurantes!$D$7&gt;0),Restaurantes!$D$51*(Restaurantes!$D$52*Restaurantes!$D$53+Restaurantes!$D$54*Restaurantes!$D$55),0)</f>
        <v>-541.075</v>
      </c>
      <c r="BH204" s="28" t="n">
        <f aca="false">-IF(AND(BH$3&gt;=Restaurantes!$D$8,Restaurantes!$D$7&gt;0),Restaurantes!$D$51*(Restaurantes!$D$52*Restaurantes!$D$53+Restaurantes!$D$54*Restaurantes!$D$55),0)</f>
        <v>-541.075</v>
      </c>
      <c r="BI204" s="28" t="n">
        <f aca="false">-IF(AND(BI$3&gt;=Restaurantes!$D$8,Restaurantes!$D$7&gt;0),Restaurantes!$D$51*(Restaurantes!$D$52*Restaurantes!$D$53+Restaurantes!$D$54*Restaurantes!$D$55),0)</f>
        <v>-541.075</v>
      </c>
      <c r="BJ204" s="28" t="n">
        <f aca="false">-IF(AND(BJ$3&gt;=Restaurantes!$D$8,Restaurantes!$D$7&gt;0),Restaurantes!$D$51*(Restaurantes!$D$52*Restaurantes!$D$53+Restaurantes!$D$54*Restaurantes!$D$55),0)</f>
        <v>-541.075</v>
      </c>
      <c r="BK204" s="28" t="n">
        <f aca="false">-IF(AND(BK$3&gt;=Restaurantes!$D$8,Restaurantes!$D$7&gt;0),Restaurantes!$D$51*(Restaurantes!$D$52*Restaurantes!$D$53+Restaurantes!$D$54*Restaurantes!$D$55),0)</f>
        <v>-541.075</v>
      </c>
      <c r="BL204" s="28" t="n">
        <f aca="false">-IF(AND(BL$3&gt;=Restaurantes!$D$8,Restaurantes!$D$7&gt;0),Restaurantes!$D$51*(Restaurantes!$D$52*Restaurantes!$D$53+Restaurantes!$D$54*Restaurantes!$D$55),0)</f>
        <v>-541.075</v>
      </c>
      <c r="BM204" s="28" t="n">
        <f aca="false">-IF(AND(BM$3&gt;=Restaurantes!$D$8,Restaurantes!$D$7&gt;0),Restaurantes!$D$51*(Restaurantes!$D$52*Restaurantes!$D$53+Restaurantes!$D$54*Restaurantes!$D$55),0)</f>
        <v>-541.075</v>
      </c>
      <c r="BN204" s="28" t="n">
        <f aca="false">-IF(AND(BN$3&gt;=Restaurantes!$D$8,Restaurantes!$D$7&gt;0),Restaurantes!$D$51*(Restaurantes!$D$52*Restaurantes!$D$53+Restaurantes!$D$54*Restaurantes!$D$55),0)</f>
        <v>-541.075</v>
      </c>
      <c r="BO204" s="28" t="n">
        <f aca="false">-IF(AND(BO$3&gt;=Restaurantes!$D$8,Restaurantes!$D$7&gt;0),Restaurantes!$D$51*(Restaurantes!$D$52*Restaurantes!$D$53+Restaurantes!$D$54*Restaurantes!$D$55),0)</f>
        <v>-541.075</v>
      </c>
      <c r="BP204" s="28" t="n">
        <f aca="false">-IF(AND(BP$3&gt;=Restaurantes!$D$8,Restaurantes!$D$7&gt;0),Restaurantes!$D$51*(Restaurantes!$D$52*Restaurantes!$D$53+Restaurantes!$D$54*Restaurantes!$D$55),0)</f>
        <v>-541.075</v>
      </c>
      <c r="BQ204" s="28" t="n">
        <f aca="false">-IF(AND(BQ$3&gt;=Restaurantes!$D$8,Restaurantes!$D$7&gt;0),Restaurantes!$D$51*(Restaurantes!$D$52*Restaurantes!$D$53+Restaurantes!$D$54*Restaurantes!$D$55),0)</f>
        <v>-541.075</v>
      </c>
      <c r="BR204" s="28" t="n">
        <f aca="false">-IF(AND(BR$3&gt;=Restaurantes!$D$8,Restaurantes!$D$7&gt;0),Restaurantes!$D$51*(Restaurantes!$D$52*Restaurantes!$D$53+Restaurantes!$D$54*Restaurantes!$D$55),0)</f>
        <v>-541.075</v>
      </c>
      <c r="BS204" s="28" t="n">
        <f aca="false">-IF(AND(BS$3&gt;=Restaurantes!$D$8,Restaurantes!$D$7&gt;0),Restaurantes!$D$51*(Restaurantes!$D$52*Restaurantes!$D$53+Restaurantes!$D$54*Restaurantes!$D$55),0)</f>
        <v>-541.075</v>
      </c>
      <c r="BT204" s="28" t="n">
        <f aca="false">-IF(AND(BT$3&gt;=Restaurantes!$D$8,Restaurantes!$D$7&gt;0),Restaurantes!$D$51*(Restaurantes!$D$52*Restaurantes!$D$53+Restaurantes!$D$54*Restaurantes!$D$55),0)</f>
        <v>-541.075</v>
      </c>
      <c r="BU204" s="28" t="n">
        <f aca="false">-IF(AND(BU$3&gt;=Restaurantes!$D$8,Restaurantes!$D$7&gt;0),Restaurantes!$D$51*(Restaurantes!$D$52*Restaurantes!$D$53+Restaurantes!$D$54*Restaurantes!$D$55),0)</f>
        <v>-541.075</v>
      </c>
      <c r="BV204" s="28" t="n">
        <f aca="false">-IF(AND(BV$3&gt;=Restaurantes!$D$8,Restaurantes!$D$7&gt;0),Restaurantes!$D$51*(Restaurantes!$D$52*Restaurantes!$D$53+Restaurantes!$D$54*Restaurantes!$D$55),0)</f>
        <v>-541.075</v>
      </c>
      <c r="BW204" s="28" t="n">
        <f aca="false">-IF(AND(BW$3&gt;=Restaurantes!$D$8,Restaurantes!$D$7&gt;0),Restaurantes!$D$51*(Restaurantes!$D$52*Restaurantes!$D$53+Restaurantes!$D$54*Restaurantes!$D$55),0)</f>
        <v>-541.075</v>
      </c>
      <c r="BX204" s="28" t="n">
        <f aca="false">-IF(AND(BX$3&gt;=Restaurantes!$D$8,Restaurantes!$D$7&gt;0),Restaurantes!$D$51*(Restaurantes!$D$52*Restaurantes!$D$53+Restaurantes!$D$54*Restaurantes!$D$55),0)</f>
        <v>-541.075</v>
      </c>
      <c r="BY204" s="28" t="n">
        <f aca="false">-IF(AND(BY$3&gt;=Restaurantes!$D$8,Restaurantes!$D$7&gt;0),Restaurantes!$D$51*(Restaurantes!$D$52*Restaurantes!$D$53+Restaurantes!$D$54*Restaurantes!$D$55),0)</f>
        <v>-541.075</v>
      </c>
      <c r="BZ204" s="28" t="n">
        <f aca="false">-IF(AND(BZ$3&gt;=Restaurantes!$D$8,Restaurantes!$D$7&gt;0),Restaurantes!$D$51*(Restaurantes!$D$52*Restaurantes!$D$53+Restaurantes!$D$54*Restaurantes!$D$55),0)</f>
        <v>-541.075</v>
      </c>
      <c r="CA204" s="28" t="n">
        <f aca="false">-IF(AND(CA$3&gt;=Restaurantes!$D$8,Restaurantes!$D$7&gt;0),Restaurantes!$D$51*(Restaurantes!$D$52*Restaurantes!$D$53+Restaurantes!$D$54*Restaurantes!$D$55),0)</f>
        <v>-541.075</v>
      </c>
      <c r="CB204" s="28" t="n">
        <f aca="false">-IF(AND(CB$3&gt;=Restaurantes!$D$8,Restaurantes!$D$7&gt;0),Restaurantes!$D$51*(Restaurantes!$D$52*Restaurantes!$D$53+Restaurantes!$D$54*Restaurantes!$D$55),0)</f>
        <v>-541.075</v>
      </c>
      <c r="CC204" s="28" t="n">
        <f aca="false">-IF(AND(CC$3&gt;=Restaurantes!$D$8,Restaurantes!$D$7&gt;0),Restaurantes!$D$51*(Restaurantes!$D$52*Restaurantes!$D$53+Restaurantes!$D$54*Restaurantes!$D$55),0)</f>
        <v>-541.075</v>
      </c>
      <c r="CD204" s="28" t="n">
        <f aca="false">-IF(AND(CD$3&gt;=Restaurantes!$D$8,Restaurantes!$D$7&gt;0),Restaurantes!$D$51*(Restaurantes!$D$52*Restaurantes!$D$53+Restaurantes!$D$54*Restaurantes!$D$55),0)</f>
        <v>-541.075</v>
      </c>
      <c r="CE204" s="28" t="n">
        <f aca="false">-IF(AND(CE$3&gt;=Restaurantes!$D$8,Restaurantes!$D$7&gt;0),Restaurantes!$D$51*(Restaurantes!$D$52*Restaurantes!$D$53+Restaurantes!$D$54*Restaurantes!$D$55),0)</f>
        <v>-541.075</v>
      </c>
      <c r="CF204" s="28" t="n">
        <f aca="false">-IF(AND(CF$3&gt;=Restaurantes!$D$8,Restaurantes!$D$7&gt;0),Restaurantes!$D$51*(Restaurantes!$D$52*Restaurantes!$D$53+Restaurantes!$D$54*Restaurantes!$D$55),0)</f>
        <v>-541.075</v>
      </c>
      <c r="CG204" s="28" t="n">
        <f aca="false">-IF(AND(CG$3&gt;=Restaurantes!$D$8,Restaurantes!$D$7&gt;0),Restaurantes!$D$51*(Restaurantes!$D$52*Restaurantes!$D$53+Restaurantes!$D$54*Restaurantes!$D$55),0)</f>
        <v>-541.075</v>
      </c>
      <c r="CH204" s="28" t="n">
        <f aca="false">-IF(AND(CH$3&gt;=Restaurantes!$D$8,Restaurantes!$D$7&gt;0),Restaurantes!$D$51*(Restaurantes!$D$52*Restaurantes!$D$53+Restaurantes!$D$54*Restaurantes!$D$55),0)</f>
        <v>-541.075</v>
      </c>
    </row>
    <row r="205" customFormat="false" ht="15" hidden="false" customHeight="false" outlineLevel="0" collapsed="false">
      <c r="A205" s="1" t="s">
        <v>866</v>
      </c>
      <c r="C205" s="28" t="n">
        <f aca="false">-C188*Restaurantes!$D$56/60*Restaurantes!$D$57</f>
        <v>-21.866903481567</v>
      </c>
      <c r="D205" s="28" t="n">
        <f aca="false">-D188*Restaurantes!$D$56/60*Restaurantes!$D$57</f>
        <v>-43.7338069631339</v>
      </c>
      <c r="E205" s="28" t="n">
        <f aca="false">-E188*Restaurantes!$D$56/60*Restaurantes!$D$57</f>
        <v>-65.6007104447009</v>
      </c>
      <c r="F205" s="28" t="n">
        <f aca="false">-F188*Restaurantes!$D$56/60*Restaurantes!$D$57</f>
        <v>-87.4676139262679</v>
      </c>
      <c r="G205" s="28" t="n">
        <f aca="false">-G188*Restaurantes!$D$56/60*Restaurantes!$D$57</f>
        <v>-16.4001776111752</v>
      </c>
      <c r="H205" s="28" t="n">
        <f aca="false">-H188*Restaurantes!$D$56/60*Restaurantes!$D$57</f>
        <v>-131.201420889402</v>
      </c>
      <c r="I205" s="28" t="n">
        <f aca="false">-I188*Restaurantes!$D$56/60*Restaurantes!$D$57</f>
        <v>-153.068324370969</v>
      </c>
      <c r="J205" s="28" t="n">
        <f aca="false">-J188*Restaurantes!$D$56/60*Restaurantes!$D$57</f>
        <v>-174.935227852536</v>
      </c>
      <c r="K205" s="28" t="n">
        <f aca="false">-K188*Restaurantes!$D$56/60*Restaurantes!$D$57</f>
        <v>-196.802131334103</v>
      </c>
      <c r="L205" s="28" t="n">
        <f aca="false">-L188*Restaurantes!$D$56/60*Restaurantes!$D$57</f>
        <v>-218.66903481567</v>
      </c>
      <c r="M205" s="28" t="n">
        <f aca="false">-M188*Restaurantes!$D$56/60*Restaurantes!$D$57</f>
        <v>-240.535938297237</v>
      </c>
      <c r="N205" s="28" t="n">
        <f aca="false">-N188*Restaurantes!$D$56/60*Restaurantes!$D$57</f>
        <v>-262.402841778804</v>
      </c>
      <c r="O205" s="28" t="n">
        <f aca="false">-O188*Restaurantes!$D$56/60*Restaurantes!$D$57</f>
        <v>-284.269745260371</v>
      </c>
      <c r="P205" s="28" t="n">
        <f aca="false">-P188*Restaurantes!$D$56/60*Restaurantes!$D$57</f>
        <v>-306.136648741938</v>
      </c>
      <c r="Q205" s="28" t="n">
        <f aca="false">-Q188*Restaurantes!$D$56/60*Restaurantes!$D$57</f>
        <v>-328.003552223504</v>
      </c>
      <c r="R205" s="28" t="n">
        <f aca="false">-R188*Restaurantes!$D$56/60*Restaurantes!$D$57</f>
        <v>-349.870455705071</v>
      </c>
      <c r="S205" s="28" t="n">
        <f aca="false">-S188*Restaurantes!$D$56/60*Restaurantes!$D$57</f>
        <v>-55.7606038779958</v>
      </c>
      <c r="T205" s="28" t="n">
        <f aca="false">-T188*Restaurantes!$D$56/60*Restaurantes!$D$57</f>
        <v>-393.604262668205</v>
      </c>
      <c r="U205" s="28" t="n">
        <f aca="false">-U188*Restaurantes!$D$56/60*Restaurantes!$D$57</f>
        <v>-415.471166149772</v>
      </c>
      <c r="V205" s="28" t="n">
        <f aca="false">-V188*Restaurantes!$D$56/60*Restaurantes!$D$57</f>
        <v>-437.338069631339</v>
      </c>
      <c r="W205" s="28" t="n">
        <f aca="false">-W188*Restaurantes!$D$56/60*Restaurantes!$D$57</f>
        <v>-459.204973112906</v>
      </c>
      <c r="X205" s="28" t="n">
        <f aca="false">-X188*Restaurantes!$D$56/60*Restaurantes!$D$57</f>
        <v>-481.071876594473</v>
      </c>
      <c r="Y205" s="28" t="n">
        <f aca="false">-Y188*Restaurantes!$D$56/60*Restaurantes!$D$57</f>
        <v>-502.93878007604</v>
      </c>
      <c r="Z205" s="28" t="n">
        <f aca="false">-Z188*Restaurantes!$D$56/60*Restaurantes!$D$57</f>
        <v>-524.805683557607</v>
      </c>
      <c r="AA205" s="28" t="n">
        <f aca="false">-AA188*Restaurantes!$D$56/60*Restaurantes!$D$57</f>
        <v>-546.672587039174</v>
      </c>
      <c r="AB205" s="28" t="n">
        <f aca="false">-AB188*Restaurantes!$D$56/60*Restaurantes!$D$57</f>
        <v>-568.539490520741</v>
      </c>
      <c r="AC205" s="28" t="n">
        <f aca="false">-AC188*Restaurantes!$D$56/60*Restaurantes!$D$57</f>
        <v>-590.406394002308</v>
      </c>
      <c r="AD205" s="28" t="n">
        <f aca="false">-AD188*Restaurantes!$D$56/60*Restaurantes!$D$57</f>
        <v>-612.273297483875</v>
      </c>
      <c r="AE205" s="28" t="n">
        <f aca="false">-AE188*Restaurantes!$D$56/60*Restaurantes!$D$57</f>
        <v>-95.1210301448163</v>
      </c>
      <c r="AF205" s="28" t="n">
        <f aca="false">-AF188*Restaurantes!$D$56/60*Restaurantes!$D$57</f>
        <v>-656.007104447009</v>
      </c>
      <c r="AG205" s="28" t="n">
        <f aca="false">-AG188*Restaurantes!$D$56/60*Restaurantes!$D$57</f>
        <v>-677.874007928576</v>
      </c>
      <c r="AH205" s="28" t="n">
        <f aca="false">-AH188*Restaurantes!$D$56/60*Restaurantes!$D$57</f>
        <v>-699.740911410143</v>
      </c>
      <c r="AI205" s="28" t="n">
        <f aca="false">-AI188*Restaurantes!$D$56/60*Restaurantes!$D$57</f>
        <v>-721.60781489171</v>
      </c>
      <c r="AJ205" s="28" t="n">
        <f aca="false">-AJ188*Restaurantes!$D$56/60*Restaurantes!$D$57</f>
        <v>-743.474718373277</v>
      </c>
      <c r="AK205" s="28" t="n">
        <f aca="false">-AK188*Restaurantes!$D$56/60*Restaurantes!$D$57</f>
        <v>-765.341621854844</v>
      </c>
      <c r="AL205" s="28" t="n">
        <f aca="false">-AL188*Restaurantes!$D$56/60*Restaurantes!$D$57</f>
        <v>-787.208525336411</v>
      </c>
      <c r="AM205" s="28" t="n">
        <f aca="false">-AM188*Restaurantes!$D$56/60*Restaurantes!$D$57</f>
        <v>-787.208525336411</v>
      </c>
      <c r="AN205" s="28" t="n">
        <f aca="false">-AN188*Restaurantes!$D$56/60*Restaurantes!$D$57</f>
        <v>-787.208525336411</v>
      </c>
      <c r="AO205" s="28" t="n">
        <f aca="false">-AO188*Restaurantes!$D$56/60*Restaurantes!$D$57</f>
        <v>-787.208525336411</v>
      </c>
      <c r="AP205" s="28" t="n">
        <f aca="false">-AP188*Restaurantes!$D$56/60*Restaurantes!$D$57</f>
        <v>-787.208525336411</v>
      </c>
      <c r="AQ205" s="28" t="n">
        <f aca="false">-AQ188*Restaurantes!$D$56/60*Restaurantes!$D$57</f>
        <v>-118.081278800462</v>
      </c>
      <c r="AR205" s="28" t="n">
        <f aca="false">-AR188*Restaurantes!$D$56/60*Restaurantes!$D$57</f>
        <v>-787.208525336411</v>
      </c>
      <c r="AS205" s="28" t="n">
        <f aca="false">-AS188*Restaurantes!$D$56/60*Restaurantes!$D$57</f>
        <v>-787.208525336411</v>
      </c>
      <c r="AT205" s="28" t="n">
        <f aca="false">-AT188*Restaurantes!$D$56/60*Restaurantes!$D$57</f>
        <v>-787.208525336411</v>
      </c>
      <c r="AU205" s="28" t="n">
        <f aca="false">-AU188*Restaurantes!$D$56/60*Restaurantes!$D$57</f>
        <v>-787.208525336411</v>
      </c>
      <c r="AV205" s="28" t="n">
        <f aca="false">-AV188*Restaurantes!$D$56/60*Restaurantes!$D$57</f>
        <v>-787.208525336411</v>
      </c>
      <c r="AW205" s="28" t="n">
        <f aca="false">-AW188*Restaurantes!$D$56/60*Restaurantes!$D$57</f>
        <v>-787.208525336411</v>
      </c>
      <c r="AX205" s="28" t="n">
        <f aca="false">-AX188*Restaurantes!$D$56/60*Restaurantes!$D$57</f>
        <v>-787.208525336411</v>
      </c>
      <c r="AY205" s="28" t="n">
        <f aca="false">-AY188*Restaurantes!$D$56/60*Restaurantes!$D$57</f>
        <v>-787.208525336411</v>
      </c>
      <c r="AZ205" s="28" t="n">
        <f aca="false">-AZ188*Restaurantes!$D$56/60*Restaurantes!$D$57</f>
        <v>-787.208525336411</v>
      </c>
      <c r="BA205" s="28" t="n">
        <f aca="false">-BA188*Restaurantes!$D$56/60*Restaurantes!$D$57</f>
        <v>-787.208525336411</v>
      </c>
      <c r="BB205" s="28" t="n">
        <f aca="false">-BB188*Restaurantes!$D$56/60*Restaurantes!$D$57</f>
        <v>-787.208525336411</v>
      </c>
      <c r="BC205" s="28" t="n">
        <f aca="false">-BC188*Restaurantes!$D$56/60*Restaurantes!$D$57</f>
        <v>-118.081278800462</v>
      </c>
      <c r="BD205" s="28" t="n">
        <f aca="false">-BD188*Restaurantes!$D$56/60*Restaurantes!$D$57</f>
        <v>-787.208525336411</v>
      </c>
      <c r="BE205" s="28" t="n">
        <f aca="false">-BE188*Restaurantes!$D$56/60*Restaurantes!$D$57</f>
        <v>-787.208525336411</v>
      </c>
      <c r="BF205" s="28" t="n">
        <f aca="false">-BF188*Restaurantes!$D$56/60*Restaurantes!$D$57</f>
        <v>-787.208525336411</v>
      </c>
      <c r="BG205" s="28" t="n">
        <f aca="false">-BG188*Restaurantes!$D$56/60*Restaurantes!$D$57</f>
        <v>-787.208525336411</v>
      </c>
      <c r="BH205" s="28" t="n">
        <f aca="false">-BH188*Restaurantes!$D$56/60*Restaurantes!$D$57</f>
        <v>-787.208525336411</v>
      </c>
      <c r="BI205" s="28" t="n">
        <f aca="false">-BI188*Restaurantes!$D$56/60*Restaurantes!$D$57</f>
        <v>-787.208525336411</v>
      </c>
      <c r="BJ205" s="28" t="n">
        <f aca="false">-BJ188*Restaurantes!$D$56/60*Restaurantes!$D$57</f>
        <v>-787.208525336411</v>
      </c>
      <c r="BK205" s="28" t="n">
        <f aca="false">-BK188*Restaurantes!$D$56/60*Restaurantes!$D$57</f>
        <v>-787.208525336411</v>
      </c>
      <c r="BL205" s="28" t="n">
        <f aca="false">-BL188*Restaurantes!$D$56/60*Restaurantes!$D$57</f>
        <v>-787.208525336411</v>
      </c>
      <c r="BM205" s="28" t="n">
        <f aca="false">-BM188*Restaurantes!$D$56/60*Restaurantes!$D$57</f>
        <v>-787.208525336411</v>
      </c>
      <c r="BN205" s="28" t="n">
        <f aca="false">-BN188*Restaurantes!$D$56/60*Restaurantes!$D$57</f>
        <v>-787.208525336411</v>
      </c>
      <c r="BO205" s="28" t="n">
        <f aca="false">-BO188*Restaurantes!$D$56/60*Restaurantes!$D$57</f>
        <v>-118.081278800462</v>
      </c>
      <c r="BP205" s="28" t="n">
        <f aca="false">-BP188*Restaurantes!$D$56/60*Restaurantes!$D$57</f>
        <v>-787.208525336411</v>
      </c>
      <c r="BQ205" s="28" t="n">
        <f aca="false">-BQ188*Restaurantes!$D$56/60*Restaurantes!$D$57</f>
        <v>-787.208525336411</v>
      </c>
      <c r="BR205" s="28" t="n">
        <f aca="false">-BR188*Restaurantes!$D$56/60*Restaurantes!$D$57</f>
        <v>-787.208525336411</v>
      </c>
      <c r="BS205" s="28" t="n">
        <f aca="false">-BS188*Restaurantes!$D$56/60*Restaurantes!$D$57</f>
        <v>-787.208525336411</v>
      </c>
      <c r="BT205" s="28" t="n">
        <f aca="false">-BT188*Restaurantes!$D$56/60*Restaurantes!$D$57</f>
        <v>-787.208525336411</v>
      </c>
      <c r="BU205" s="28" t="n">
        <f aca="false">-BU188*Restaurantes!$D$56/60*Restaurantes!$D$57</f>
        <v>-787.208525336411</v>
      </c>
      <c r="BV205" s="28" t="n">
        <f aca="false">-BV188*Restaurantes!$D$56/60*Restaurantes!$D$57</f>
        <v>-787.208525336411</v>
      </c>
      <c r="BW205" s="28" t="n">
        <f aca="false">-BW188*Restaurantes!$D$56/60*Restaurantes!$D$57</f>
        <v>-787.208525336411</v>
      </c>
      <c r="BX205" s="28" t="n">
        <f aca="false">-BX188*Restaurantes!$D$56/60*Restaurantes!$D$57</f>
        <v>-787.208525336411</v>
      </c>
      <c r="BY205" s="28" t="n">
        <f aca="false">-BY188*Restaurantes!$D$56/60*Restaurantes!$D$57</f>
        <v>-787.208525336411</v>
      </c>
      <c r="BZ205" s="28" t="n">
        <f aca="false">-BZ188*Restaurantes!$D$56/60*Restaurantes!$D$57</f>
        <v>-787.208525336411</v>
      </c>
      <c r="CA205" s="28" t="n">
        <f aca="false">-CA188*Restaurantes!$D$56/60*Restaurantes!$D$57</f>
        <v>-118.081278800462</v>
      </c>
      <c r="CB205" s="28" t="n">
        <f aca="false">-CB188*Restaurantes!$D$56/60*Restaurantes!$D$57</f>
        <v>-787.208525336411</v>
      </c>
      <c r="CC205" s="28" t="n">
        <f aca="false">-CC188*Restaurantes!$D$56/60*Restaurantes!$D$57</f>
        <v>-787.208525336411</v>
      </c>
      <c r="CD205" s="28" t="n">
        <f aca="false">-CD188*Restaurantes!$D$56/60*Restaurantes!$D$57</f>
        <v>-787.208525336411</v>
      </c>
      <c r="CE205" s="28" t="n">
        <f aca="false">-CE188*Restaurantes!$D$56/60*Restaurantes!$D$57</f>
        <v>-787.208525336411</v>
      </c>
      <c r="CF205" s="28" t="n">
        <f aca="false">-CF188*Restaurantes!$D$56/60*Restaurantes!$D$57</f>
        <v>-787.208525336411</v>
      </c>
      <c r="CG205" s="28" t="n">
        <f aca="false">-CG188*Restaurantes!$D$56/60*Restaurantes!$D$57</f>
        <v>-787.208525336411</v>
      </c>
      <c r="CH205" s="28" t="n">
        <f aca="false">-CH188*Restaurantes!$D$56/60*Restaurantes!$D$57</f>
        <v>-787.208525336411</v>
      </c>
    </row>
    <row r="206" customFormat="false" ht="15" hidden="false" customHeight="false" outlineLevel="0" collapsed="false">
      <c r="A206" s="1" t="s">
        <v>867</v>
      </c>
      <c r="C206" s="28" t="n">
        <f aca="false">-C188*Restaurantes!$D$58</f>
        <v>-4.10004440279381</v>
      </c>
      <c r="D206" s="28" t="n">
        <f aca="false">-D188*Restaurantes!$D$58</f>
        <v>-8.20008880558761</v>
      </c>
      <c r="E206" s="28" t="n">
        <f aca="false">-E188*Restaurantes!$D$58</f>
        <v>-12.3001332083814</v>
      </c>
      <c r="F206" s="28" t="n">
        <f aca="false">-F188*Restaurantes!$D$58</f>
        <v>-16.4001776111752</v>
      </c>
      <c r="G206" s="28" t="n">
        <f aca="false">-G188*Restaurantes!$D$58</f>
        <v>-3.07503330209535</v>
      </c>
      <c r="H206" s="28" t="n">
        <f aca="false">-H188*Restaurantes!$D$58</f>
        <v>-24.6002664167628</v>
      </c>
      <c r="I206" s="28" t="n">
        <f aca="false">-I188*Restaurantes!$D$58</f>
        <v>-28.7003108195566</v>
      </c>
      <c r="J206" s="28" t="n">
        <f aca="false">-J188*Restaurantes!$D$58</f>
        <v>-32.8003552223505</v>
      </c>
      <c r="K206" s="28" t="n">
        <f aca="false">-K188*Restaurantes!$D$58</f>
        <v>-36.9003996251443</v>
      </c>
      <c r="L206" s="28" t="n">
        <f aca="false">-L188*Restaurantes!$D$58</f>
        <v>-41.0004440279381</v>
      </c>
      <c r="M206" s="28" t="n">
        <f aca="false">-M188*Restaurantes!$D$58</f>
        <v>-45.1004884307319</v>
      </c>
      <c r="N206" s="28" t="n">
        <f aca="false">-N188*Restaurantes!$D$58</f>
        <v>-49.2005328335257</v>
      </c>
      <c r="O206" s="28" t="n">
        <f aca="false">-O188*Restaurantes!$D$58</f>
        <v>-53.3005772363195</v>
      </c>
      <c r="P206" s="28" t="n">
        <f aca="false">-P188*Restaurantes!$D$58</f>
        <v>-57.4006216391133</v>
      </c>
      <c r="Q206" s="28" t="n">
        <f aca="false">-Q188*Restaurantes!$D$58</f>
        <v>-61.5006660419071</v>
      </c>
      <c r="R206" s="28" t="n">
        <f aca="false">-R188*Restaurantes!$D$58</f>
        <v>-65.6007104447009</v>
      </c>
      <c r="S206" s="28" t="n">
        <f aca="false">-S188*Restaurantes!$D$58</f>
        <v>-10.4551132271242</v>
      </c>
      <c r="T206" s="28" t="n">
        <f aca="false">-T188*Restaurantes!$D$58</f>
        <v>-73.8007992502885</v>
      </c>
      <c r="U206" s="28" t="n">
        <f aca="false">-U188*Restaurantes!$D$58</f>
        <v>-77.9008436530823</v>
      </c>
      <c r="V206" s="28" t="n">
        <f aca="false">-V188*Restaurantes!$D$58</f>
        <v>-82.0008880558761</v>
      </c>
      <c r="W206" s="28" t="n">
        <f aca="false">-W188*Restaurantes!$D$58</f>
        <v>-86.1009324586699</v>
      </c>
      <c r="X206" s="28" t="n">
        <f aca="false">-X188*Restaurantes!$D$58</f>
        <v>-90.2009768614637</v>
      </c>
      <c r="Y206" s="28" t="n">
        <f aca="false">-Y188*Restaurantes!$D$58</f>
        <v>-94.3010212642575</v>
      </c>
      <c r="Z206" s="28" t="n">
        <f aca="false">-Z188*Restaurantes!$D$58</f>
        <v>-98.4010656670513</v>
      </c>
      <c r="AA206" s="28" t="n">
        <f aca="false">-AA188*Restaurantes!$D$58</f>
        <v>-102.501110069845</v>
      </c>
      <c r="AB206" s="28" t="n">
        <f aca="false">-AB188*Restaurantes!$D$58</f>
        <v>-106.601154472639</v>
      </c>
      <c r="AC206" s="28" t="n">
        <f aca="false">-AC188*Restaurantes!$D$58</f>
        <v>-110.701198875433</v>
      </c>
      <c r="AD206" s="28" t="n">
        <f aca="false">-AD188*Restaurantes!$D$58</f>
        <v>-114.801243278227</v>
      </c>
      <c r="AE206" s="28" t="n">
        <f aca="false">-AE188*Restaurantes!$D$58</f>
        <v>-17.8351931521531</v>
      </c>
      <c r="AF206" s="28" t="n">
        <f aca="false">-AF188*Restaurantes!$D$58</f>
        <v>-123.001332083814</v>
      </c>
      <c r="AG206" s="28" t="n">
        <f aca="false">-AG188*Restaurantes!$D$58</f>
        <v>-127.101376486608</v>
      </c>
      <c r="AH206" s="28" t="n">
        <f aca="false">-AH188*Restaurantes!$D$58</f>
        <v>-131.201420889402</v>
      </c>
      <c r="AI206" s="28" t="n">
        <f aca="false">-AI188*Restaurantes!$D$58</f>
        <v>-135.301465292196</v>
      </c>
      <c r="AJ206" s="28" t="n">
        <f aca="false">-AJ188*Restaurantes!$D$58</f>
        <v>-139.401509694989</v>
      </c>
      <c r="AK206" s="28" t="n">
        <f aca="false">-AK188*Restaurantes!$D$58</f>
        <v>-143.501554097783</v>
      </c>
      <c r="AL206" s="28" t="n">
        <f aca="false">-AL188*Restaurantes!$D$58</f>
        <v>-147.601598500577</v>
      </c>
      <c r="AM206" s="28" t="n">
        <f aca="false">-AM188*Restaurantes!$D$58</f>
        <v>-147.601598500577</v>
      </c>
      <c r="AN206" s="28" t="n">
        <f aca="false">-AN188*Restaurantes!$D$58</f>
        <v>-147.601598500577</v>
      </c>
      <c r="AO206" s="28" t="n">
        <f aca="false">-AO188*Restaurantes!$D$58</f>
        <v>-147.601598500577</v>
      </c>
      <c r="AP206" s="28" t="n">
        <f aca="false">-AP188*Restaurantes!$D$58</f>
        <v>-147.601598500577</v>
      </c>
      <c r="AQ206" s="28" t="n">
        <f aca="false">-AQ188*Restaurantes!$D$58</f>
        <v>-22.1402397750865</v>
      </c>
      <c r="AR206" s="28" t="n">
        <f aca="false">-AR188*Restaurantes!$D$58</f>
        <v>-147.601598500577</v>
      </c>
      <c r="AS206" s="28" t="n">
        <f aca="false">-AS188*Restaurantes!$D$58</f>
        <v>-147.601598500577</v>
      </c>
      <c r="AT206" s="28" t="n">
        <f aca="false">-AT188*Restaurantes!$D$58</f>
        <v>-147.601598500577</v>
      </c>
      <c r="AU206" s="28" t="n">
        <f aca="false">-AU188*Restaurantes!$D$58</f>
        <v>-147.601598500577</v>
      </c>
      <c r="AV206" s="28" t="n">
        <f aca="false">-AV188*Restaurantes!$D$58</f>
        <v>-147.601598500577</v>
      </c>
      <c r="AW206" s="28" t="n">
        <f aca="false">-AW188*Restaurantes!$D$58</f>
        <v>-147.601598500577</v>
      </c>
      <c r="AX206" s="28" t="n">
        <f aca="false">-AX188*Restaurantes!$D$58</f>
        <v>-147.601598500577</v>
      </c>
      <c r="AY206" s="28" t="n">
        <f aca="false">-AY188*Restaurantes!$D$58</f>
        <v>-147.601598500577</v>
      </c>
      <c r="AZ206" s="28" t="n">
        <f aca="false">-AZ188*Restaurantes!$D$58</f>
        <v>-147.601598500577</v>
      </c>
      <c r="BA206" s="28" t="n">
        <f aca="false">-BA188*Restaurantes!$D$58</f>
        <v>-147.601598500577</v>
      </c>
      <c r="BB206" s="28" t="n">
        <f aca="false">-BB188*Restaurantes!$D$58</f>
        <v>-147.601598500577</v>
      </c>
      <c r="BC206" s="28" t="n">
        <f aca="false">-BC188*Restaurantes!$D$58</f>
        <v>-22.1402397750865</v>
      </c>
      <c r="BD206" s="28" t="n">
        <f aca="false">-BD188*Restaurantes!$D$58</f>
        <v>-147.601598500577</v>
      </c>
      <c r="BE206" s="28" t="n">
        <f aca="false">-BE188*Restaurantes!$D$58</f>
        <v>-147.601598500577</v>
      </c>
      <c r="BF206" s="28" t="n">
        <f aca="false">-BF188*Restaurantes!$D$58</f>
        <v>-147.601598500577</v>
      </c>
      <c r="BG206" s="28" t="n">
        <f aca="false">-BG188*Restaurantes!$D$58</f>
        <v>-147.601598500577</v>
      </c>
      <c r="BH206" s="28" t="n">
        <f aca="false">-BH188*Restaurantes!$D$58</f>
        <v>-147.601598500577</v>
      </c>
      <c r="BI206" s="28" t="n">
        <f aca="false">-BI188*Restaurantes!$D$58</f>
        <v>-147.601598500577</v>
      </c>
      <c r="BJ206" s="28" t="n">
        <f aca="false">-BJ188*Restaurantes!$D$58</f>
        <v>-147.601598500577</v>
      </c>
      <c r="BK206" s="28" t="n">
        <f aca="false">-BK188*Restaurantes!$D$58</f>
        <v>-147.601598500577</v>
      </c>
      <c r="BL206" s="28" t="n">
        <f aca="false">-BL188*Restaurantes!$D$58</f>
        <v>-147.601598500577</v>
      </c>
      <c r="BM206" s="28" t="n">
        <f aca="false">-BM188*Restaurantes!$D$58</f>
        <v>-147.601598500577</v>
      </c>
      <c r="BN206" s="28" t="n">
        <f aca="false">-BN188*Restaurantes!$D$58</f>
        <v>-147.601598500577</v>
      </c>
      <c r="BO206" s="28" t="n">
        <f aca="false">-BO188*Restaurantes!$D$58</f>
        <v>-22.1402397750865</v>
      </c>
      <c r="BP206" s="28" t="n">
        <f aca="false">-BP188*Restaurantes!$D$58</f>
        <v>-147.601598500577</v>
      </c>
      <c r="BQ206" s="28" t="n">
        <f aca="false">-BQ188*Restaurantes!$D$58</f>
        <v>-147.601598500577</v>
      </c>
      <c r="BR206" s="28" t="n">
        <f aca="false">-BR188*Restaurantes!$D$58</f>
        <v>-147.601598500577</v>
      </c>
      <c r="BS206" s="28" t="n">
        <f aca="false">-BS188*Restaurantes!$D$58</f>
        <v>-147.601598500577</v>
      </c>
      <c r="BT206" s="28" t="n">
        <f aca="false">-BT188*Restaurantes!$D$58</f>
        <v>-147.601598500577</v>
      </c>
      <c r="BU206" s="28" t="n">
        <f aca="false">-BU188*Restaurantes!$D$58</f>
        <v>-147.601598500577</v>
      </c>
      <c r="BV206" s="28" t="n">
        <f aca="false">-BV188*Restaurantes!$D$58</f>
        <v>-147.601598500577</v>
      </c>
      <c r="BW206" s="28" t="n">
        <f aca="false">-BW188*Restaurantes!$D$58</f>
        <v>-147.601598500577</v>
      </c>
      <c r="BX206" s="28" t="n">
        <f aca="false">-BX188*Restaurantes!$D$58</f>
        <v>-147.601598500577</v>
      </c>
      <c r="BY206" s="28" t="n">
        <f aca="false">-BY188*Restaurantes!$D$58</f>
        <v>-147.601598500577</v>
      </c>
      <c r="BZ206" s="28" t="n">
        <f aca="false">-BZ188*Restaurantes!$D$58</f>
        <v>-147.601598500577</v>
      </c>
      <c r="CA206" s="28" t="n">
        <f aca="false">-CA188*Restaurantes!$D$58</f>
        <v>-22.1402397750865</v>
      </c>
      <c r="CB206" s="28" t="n">
        <f aca="false">-CB188*Restaurantes!$D$58</f>
        <v>-147.601598500577</v>
      </c>
      <c r="CC206" s="28" t="n">
        <f aca="false">-CC188*Restaurantes!$D$58</f>
        <v>-147.601598500577</v>
      </c>
      <c r="CD206" s="28" t="n">
        <f aca="false">-CD188*Restaurantes!$D$58</f>
        <v>-147.601598500577</v>
      </c>
      <c r="CE206" s="28" t="n">
        <f aca="false">-CE188*Restaurantes!$D$58</f>
        <v>-147.601598500577</v>
      </c>
      <c r="CF206" s="28" t="n">
        <f aca="false">-CF188*Restaurantes!$D$58</f>
        <v>-147.601598500577</v>
      </c>
      <c r="CG206" s="28" t="n">
        <f aca="false">-CG188*Restaurantes!$D$58</f>
        <v>-147.601598500577</v>
      </c>
      <c r="CH206" s="28" t="n">
        <f aca="false">-CH188*Restaurantes!$D$58</f>
        <v>-147.601598500577</v>
      </c>
    </row>
    <row r="207" customFormat="false" ht="15" hidden="false" customHeight="false" outlineLevel="0" collapsed="false">
      <c r="A207" s="25" t="s">
        <v>868</v>
      </c>
      <c r="C207" s="156" t="n">
        <f aca="false">SUM(C202:C206)</f>
        <v>-1967.04194788436</v>
      </c>
      <c r="D207" s="156" t="n">
        <f aca="false">SUM(D202:D206)</f>
        <v>-1993.00889576872</v>
      </c>
      <c r="E207" s="156" t="n">
        <f aca="false">SUM(E202:E206)</f>
        <v>-2018.97584365308</v>
      </c>
      <c r="F207" s="156" t="n">
        <f aca="false">SUM(F202:F206)</f>
        <v>-2044.94279153744</v>
      </c>
      <c r="G207" s="156" t="n">
        <f aca="false">SUM(G202:G206)</f>
        <v>-1960.55021091327</v>
      </c>
      <c r="H207" s="156" t="n">
        <f aca="false">SUM(H202:H206)</f>
        <v>-2096.87668730616</v>
      </c>
      <c r="I207" s="156" t="n">
        <f aca="false">SUM(I202:I206)</f>
        <v>-2122.84363519053</v>
      </c>
      <c r="J207" s="156" t="n">
        <f aca="false">SUM(J202:J206)</f>
        <v>-2148.81058307489</v>
      </c>
      <c r="K207" s="156" t="n">
        <f aca="false">SUM(K202:K206)</f>
        <v>-2174.77753095925</v>
      </c>
      <c r="L207" s="156" t="n">
        <f aca="false">SUM(L202:L206)</f>
        <v>-2275.42061810629</v>
      </c>
      <c r="M207" s="156" t="n">
        <f aca="false">SUM(M202:M206)</f>
        <v>-2388.85517991692</v>
      </c>
      <c r="N207" s="156" t="n">
        <f aca="false">SUM(N202:N206)</f>
        <v>-2502.28974172754</v>
      </c>
      <c r="O207" s="156" t="n">
        <f aca="false">SUM(O202:O206)</f>
        <v>-2615.72430353817</v>
      </c>
      <c r="P207" s="156" t="n">
        <f aca="false">SUM(P202:P206)</f>
        <v>-2729.1588653488</v>
      </c>
      <c r="Q207" s="156" t="n">
        <f aca="false">SUM(Q202:Q206)</f>
        <v>-2842.59342715943</v>
      </c>
      <c r="R207" s="156" t="n">
        <f aca="false">SUM(R202:R206)</f>
        <v>-2956.02798897006</v>
      </c>
      <c r="S207" s="156" t="n">
        <f aca="false">SUM(S202:S206)</f>
        <v>-2007.29071710512</v>
      </c>
      <c r="T207" s="156" t="n">
        <f aca="false">SUM(T202:T206)</f>
        <v>-3182.89711259132</v>
      </c>
      <c r="U207" s="156" t="n">
        <f aca="false">SUM(U202:U206)</f>
        <v>-3296.33167440194</v>
      </c>
      <c r="V207" s="156" t="n">
        <f aca="false">SUM(V202:V206)</f>
        <v>-3409.76623621257</v>
      </c>
      <c r="W207" s="156" t="n">
        <f aca="false">SUM(W202:W206)</f>
        <v>-3523.2007980232</v>
      </c>
      <c r="X207" s="156" t="n">
        <f aca="false">SUM(X202:X206)</f>
        <v>-3636.63535983383</v>
      </c>
      <c r="Y207" s="156" t="n">
        <f aca="false">SUM(Y202:Y206)</f>
        <v>-3750.06992164446</v>
      </c>
      <c r="Z207" s="156" t="n">
        <f aca="false">SUM(Z202:Z206)</f>
        <v>-3863.50448345509</v>
      </c>
      <c r="AA207" s="156" t="n">
        <f aca="false">SUM(AA202:AA206)</f>
        <v>-3976.93904526572</v>
      </c>
      <c r="AB207" s="156" t="n">
        <f aca="false">SUM(AB202:AB206)</f>
        <v>-4090.37360707635</v>
      </c>
      <c r="AC207" s="156" t="n">
        <f aca="false">SUM(AC202:AC206)</f>
        <v>-4203.80816888697</v>
      </c>
      <c r="AD207" s="156" t="n">
        <f aca="false">SUM(AD202:AD206)</f>
        <v>-4317.2427306976</v>
      </c>
      <c r="AE207" s="156" t="n">
        <f aca="false">SUM(AE202:AE206)</f>
        <v>-2054.03122329697</v>
      </c>
      <c r="AF207" s="156" t="n">
        <f aca="false">SUM(AF202:AF206)</f>
        <v>-4544.11185431886</v>
      </c>
      <c r="AG207" s="156" t="n">
        <f aca="false">SUM(AG202:AG206)</f>
        <v>-4657.54641612949</v>
      </c>
      <c r="AH207" s="156" t="n">
        <f aca="false">SUM(AH202:AH206)</f>
        <v>-4770.98097794012</v>
      </c>
      <c r="AI207" s="156" t="n">
        <f aca="false">SUM(AI202:AI206)</f>
        <v>-4884.41553975075</v>
      </c>
      <c r="AJ207" s="156" t="n">
        <f aca="false">SUM(AJ202:AJ206)</f>
        <v>-4997.85010156137</v>
      </c>
      <c r="AK207" s="156" t="n">
        <f aca="false">SUM(AK202:AK206)</f>
        <v>-5111.284663372</v>
      </c>
      <c r="AL207" s="156" t="n">
        <f aca="false">SUM(AL202:AL206)</f>
        <v>-5224.71922518263</v>
      </c>
      <c r="AM207" s="156" t="n">
        <f aca="false">SUM(AM202:AM206)</f>
        <v>-5224.71922518263</v>
      </c>
      <c r="AN207" s="156" t="n">
        <f aca="false">SUM(AN202:AN206)</f>
        <v>-5224.71922518263</v>
      </c>
      <c r="AO207" s="156" t="n">
        <f aca="false">SUM(AO202:AO206)</f>
        <v>-5224.71922518263</v>
      </c>
      <c r="AP207" s="156" t="n">
        <f aca="false">SUM(AP202:AP206)</f>
        <v>-5224.71922518263</v>
      </c>
      <c r="AQ207" s="156" t="n">
        <f aca="false">SUM(AQ202:AQ206)</f>
        <v>-2081.29651857555</v>
      </c>
      <c r="AR207" s="156" t="n">
        <f aca="false">SUM(AR202:AR206)</f>
        <v>-5224.71922518263</v>
      </c>
      <c r="AS207" s="156" t="n">
        <f aca="false">SUM(AS202:AS206)</f>
        <v>-5224.71922518263</v>
      </c>
      <c r="AT207" s="156" t="n">
        <f aca="false">SUM(AT202:AT206)</f>
        <v>-5224.71922518263</v>
      </c>
      <c r="AU207" s="156" t="n">
        <f aca="false">SUM(AU202:AU206)</f>
        <v>-5224.71922518263</v>
      </c>
      <c r="AV207" s="156" t="n">
        <f aca="false">SUM(AV202:AV206)</f>
        <v>-5224.71922518263</v>
      </c>
      <c r="AW207" s="156" t="n">
        <f aca="false">SUM(AW202:AW206)</f>
        <v>-5224.71922518263</v>
      </c>
      <c r="AX207" s="156" t="n">
        <f aca="false">SUM(AX202:AX206)</f>
        <v>-5224.71922518263</v>
      </c>
      <c r="AY207" s="156" t="n">
        <f aca="false">SUM(AY202:AY206)</f>
        <v>-5224.71922518263</v>
      </c>
      <c r="AZ207" s="156" t="n">
        <f aca="false">SUM(AZ202:AZ206)</f>
        <v>-5224.71922518263</v>
      </c>
      <c r="BA207" s="156" t="n">
        <f aca="false">SUM(BA202:BA206)</f>
        <v>-5224.71922518263</v>
      </c>
      <c r="BB207" s="156" t="n">
        <f aca="false">SUM(BB202:BB206)</f>
        <v>-5224.71922518263</v>
      </c>
      <c r="BC207" s="156" t="n">
        <f aca="false">SUM(BC202:BC206)</f>
        <v>-2081.29651857555</v>
      </c>
      <c r="BD207" s="156" t="n">
        <f aca="false">SUM(BD202:BD206)</f>
        <v>-5224.71922518263</v>
      </c>
      <c r="BE207" s="156" t="n">
        <f aca="false">SUM(BE202:BE206)</f>
        <v>-5224.71922518263</v>
      </c>
      <c r="BF207" s="156" t="n">
        <f aca="false">SUM(BF202:BF206)</f>
        <v>-5224.71922518263</v>
      </c>
      <c r="BG207" s="156" t="n">
        <f aca="false">SUM(BG202:BG206)</f>
        <v>-5224.71922518263</v>
      </c>
      <c r="BH207" s="156" t="n">
        <f aca="false">SUM(BH202:BH206)</f>
        <v>-5224.71922518263</v>
      </c>
      <c r="BI207" s="156" t="n">
        <f aca="false">SUM(BI202:BI206)</f>
        <v>-5224.71922518263</v>
      </c>
      <c r="BJ207" s="156" t="n">
        <f aca="false">SUM(BJ202:BJ206)</f>
        <v>-5224.71922518263</v>
      </c>
      <c r="BK207" s="156" t="n">
        <f aca="false">SUM(BK202:BK206)</f>
        <v>-5224.71922518263</v>
      </c>
      <c r="BL207" s="156" t="n">
        <f aca="false">SUM(BL202:BL206)</f>
        <v>-5224.71922518263</v>
      </c>
      <c r="BM207" s="156" t="n">
        <f aca="false">SUM(BM202:BM206)</f>
        <v>-5224.71922518263</v>
      </c>
      <c r="BN207" s="156" t="n">
        <f aca="false">SUM(BN202:BN206)</f>
        <v>-5224.71922518263</v>
      </c>
      <c r="BO207" s="156" t="n">
        <f aca="false">SUM(BO202:BO206)</f>
        <v>-2081.29651857555</v>
      </c>
      <c r="BP207" s="156" t="n">
        <f aca="false">SUM(BP202:BP206)</f>
        <v>-5224.71922518263</v>
      </c>
      <c r="BQ207" s="156" t="n">
        <f aca="false">SUM(BQ202:BQ206)</f>
        <v>-5224.71922518263</v>
      </c>
      <c r="BR207" s="156" t="n">
        <f aca="false">SUM(BR202:BR206)</f>
        <v>-5224.71922518263</v>
      </c>
      <c r="BS207" s="156" t="n">
        <f aca="false">SUM(BS202:BS206)</f>
        <v>-5224.71922518263</v>
      </c>
      <c r="BT207" s="156" t="n">
        <f aca="false">SUM(BT202:BT206)</f>
        <v>-5224.71922518263</v>
      </c>
      <c r="BU207" s="156" t="n">
        <f aca="false">SUM(BU202:BU206)</f>
        <v>-5224.71922518263</v>
      </c>
      <c r="BV207" s="156" t="n">
        <f aca="false">SUM(BV202:BV206)</f>
        <v>-5224.71922518263</v>
      </c>
      <c r="BW207" s="156" t="n">
        <f aca="false">SUM(BW202:BW206)</f>
        <v>-5224.71922518263</v>
      </c>
      <c r="BX207" s="156" t="n">
        <f aca="false">SUM(BX202:BX206)</f>
        <v>-5224.71922518263</v>
      </c>
      <c r="BY207" s="156" t="n">
        <f aca="false">SUM(BY202:BY206)</f>
        <v>-5224.71922518263</v>
      </c>
      <c r="BZ207" s="156" t="n">
        <f aca="false">SUM(BZ202:BZ206)</f>
        <v>-5224.71922518263</v>
      </c>
      <c r="CA207" s="156" t="n">
        <f aca="false">SUM(CA202:CA206)</f>
        <v>-2081.29651857555</v>
      </c>
      <c r="CB207" s="156" t="n">
        <f aca="false">SUM(CB202:CB206)</f>
        <v>-5224.71922518263</v>
      </c>
      <c r="CC207" s="156" t="n">
        <f aca="false">SUM(CC202:CC206)</f>
        <v>-5224.71922518263</v>
      </c>
      <c r="CD207" s="156" t="n">
        <f aca="false">SUM(CD202:CD206)</f>
        <v>-5224.71922518263</v>
      </c>
      <c r="CE207" s="156" t="n">
        <f aca="false">SUM(CE202:CE206)</f>
        <v>-5224.71922518263</v>
      </c>
      <c r="CF207" s="156" t="n">
        <f aca="false">SUM(CF202:CF206)</f>
        <v>-5224.71922518263</v>
      </c>
      <c r="CG207" s="156" t="n">
        <f aca="false">SUM(CG202:CG206)</f>
        <v>-5224.71922518263</v>
      </c>
      <c r="CH207" s="156" t="n">
        <f aca="false">SUM(CH202:CH206)</f>
        <v>-5224.71922518263</v>
      </c>
    </row>
    <row r="208" customFormat="false" ht="15" hidden="false" customHeight="false" outlineLevel="0" collapsed="false">
      <c r="A208" s="1" t="s">
        <v>869</v>
      </c>
      <c r="C208" s="29" t="n">
        <f aca="false">IFERROR(-C207/C188,0)</f>
        <v>71.9641699445011</v>
      </c>
      <c r="D208" s="29" t="n">
        <f aca="false">IFERROR(-D207/D188,0)</f>
        <v>36.4570849722506</v>
      </c>
      <c r="E208" s="29" t="n">
        <f aca="false">IFERROR(-E207/E188,0)</f>
        <v>24.6213899815004</v>
      </c>
      <c r="F208" s="29" t="n">
        <f aca="false">IFERROR(-F207/F188,0)</f>
        <v>18.7035424861253</v>
      </c>
      <c r="G208" s="29" t="n">
        <f aca="false">IFERROR(-G207/G188,0)</f>
        <v>95.6355599260015</v>
      </c>
      <c r="H208" s="29" t="n">
        <f aca="false">IFERROR(-H207/H188,0)</f>
        <v>12.7856949907502</v>
      </c>
      <c r="I208" s="29" t="n">
        <f aca="false">IFERROR(-I207/I188,0)</f>
        <v>11.094881420643</v>
      </c>
      <c r="J208" s="29" t="n">
        <f aca="false">IFERROR(-J207/J188,0)</f>
        <v>9.82677124306264</v>
      </c>
      <c r="K208" s="29" t="n">
        <f aca="false">IFERROR(-K207/K188,0)</f>
        <v>8.84046332716679</v>
      </c>
      <c r="L208" s="29" t="n">
        <f aca="false">IFERROR(-L207/L188,0)</f>
        <v>8.32461942322794</v>
      </c>
      <c r="M208" s="29" t="n">
        <f aca="false">IFERROR(-M207/M188,0)</f>
        <v>7.94510856657085</v>
      </c>
      <c r="N208" s="29" t="n">
        <f aca="false">IFERROR(-N207/N188,0)</f>
        <v>7.62884951935661</v>
      </c>
      <c r="O208" s="29" t="n">
        <f aca="false">IFERROR(-O207/O188,0)</f>
        <v>7.36124571017534</v>
      </c>
      <c r="P208" s="29" t="n">
        <f aca="false">IFERROR(-P207/P188,0)</f>
        <v>7.13187101659138</v>
      </c>
      <c r="Q208" s="29" t="n">
        <f aca="false">IFERROR(-Q207/Q188,0)</f>
        <v>6.93307961548529</v>
      </c>
      <c r="R208" s="29" t="n">
        <f aca="false">IFERROR(-R207/R188,0)</f>
        <v>6.75913713951746</v>
      </c>
      <c r="S208" s="29" t="n">
        <f aca="false">IFERROR(-S207/S188,0)</f>
        <v>28.7986940958828</v>
      </c>
      <c r="T208" s="29" t="n">
        <f aca="false">IFERROR(-T207/T188,0)</f>
        <v>6.46923301290441</v>
      </c>
      <c r="U208" s="29" t="n">
        <f aca="false">IFERROR(-U207/U188,0)</f>
        <v>6.34716811748839</v>
      </c>
      <c r="V208" s="29" t="n">
        <f aca="false">IFERROR(-V207/V188,0)</f>
        <v>6.23730971161397</v>
      </c>
      <c r="W208" s="29" t="n">
        <f aca="false">IFERROR(-W207/W188,0)</f>
        <v>6.13791401106092</v>
      </c>
      <c r="X208" s="29" t="n">
        <f aca="false">IFERROR(-X207/X188,0)</f>
        <v>6.04755428328543</v>
      </c>
      <c r="Y208" s="29" t="n">
        <f aca="false">IFERROR(-Y207/Y188,0)</f>
        <v>5.96505192314258</v>
      </c>
      <c r="Z208" s="29" t="n">
        <f aca="false">IFERROR(-Z207/Z188,0)</f>
        <v>5.88942475967831</v>
      </c>
      <c r="AA208" s="29" t="n">
        <f aca="false">IFERROR(-AA207/AA188,0)</f>
        <v>5.81984776929117</v>
      </c>
      <c r="AB208" s="29" t="n">
        <f aca="false">IFERROR(-AB207/AB188,0)</f>
        <v>5.75562285508767</v>
      </c>
      <c r="AC208" s="29" t="n">
        <f aca="false">IFERROR(-AC207/AC188,0)</f>
        <v>5.69615534193627</v>
      </c>
      <c r="AD208" s="29" t="n">
        <f aca="false">IFERROR(-AD207/AD188,0)</f>
        <v>5.64093550829569</v>
      </c>
      <c r="AE208" s="29" t="n">
        <f aca="false">IFERROR(-AE207/AE188,0)</f>
        <v>17.2750965389658</v>
      </c>
      <c r="AF208" s="29" t="n">
        <f aca="false">IFERROR(-AF207/AF188,0)</f>
        <v>5.54153980774265</v>
      </c>
      <c r="AG208" s="29" t="n">
        <f aca="false">IFERROR(-AG207/AG188,0)</f>
        <v>5.49665142684772</v>
      </c>
      <c r="AH208" s="29" t="n">
        <f aca="false">IFERROR(-AH207/AH188,0)</f>
        <v>5.45456856975873</v>
      </c>
      <c r="AI208" s="29" t="n">
        <f aca="false">IFERROR(-AI207/AI188,0)</f>
        <v>5.41503618885695</v>
      </c>
      <c r="AJ208" s="29" t="n">
        <f aca="false">IFERROR(-AJ207/AJ188,0)</f>
        <v>5.37782924212586</v>
      </c>
      <c r="AK208" s="29" t="n">
        <f aca="false">IFERROR(-AK207/AK188,0)</f>
        <v>5.34274840663655</v>
      </c>
      <c r="AL208" s="29" t="n">
        <f aca="false">IFERROR(-AL207/AL188,0)</f>
        <v>5.30961650645221</v>
      </c>
      <c r="AM208" s="29" t="n">
        <f aca="false">IFERROR(-AM207/AM188,0)</f>
        <v>5.30961650645221</v>
      </c>
      <c r="AN208" s="29" t="n">
        <f aca="false">IFERROR(-AN207/AN188,0)</f>
        <v>5.30961650645221</v>
      </c>
      <c r="AO208" s="29" t="n">
        <f aca="false">IFERROR(-AO207/AO188,0)</f>
        <v>5.30961650645221</v>
      </c>
      <c r="AP208" s="29" t="n">
        <f aca="false">IFERROR(-AP207/AP188,0)</f>
        <v>5.30961650645221</v>
      </c>
      <c r="AQ208" s="29" t="n">
        <f aca="false">IFERROR(-AQ207/AQ188,0)</f>
        <v>14.1007722119447</v>
      </c>
      <c r="AR208" s="29" t="n">
        <f aca="false">IFERROR(-AR207/AR188,0)</f>
        <v>5.30961650645221</v>
      </c>
      <c r="AS208" s="29" t="n">
        <f aca="false">IFERROR(-AS207/AS188,0)</f>
        <v>5.30961650645221</v>
      </c>
      <c r="AT208" s="29" t="n">
        <f aca="false">IFERROR(-AT207/AT188,0)</f>
        <v>5.30961650645221</v>
      </c>
      <c r="AU208" s="29" t="n">
        <f aca="false">IFERROR(-AU207/AU188,0)</f>
        <v>5.30961650645221</v>
      </c>
      <c r="AV208" s="29" t="n">
        <f aca="false">IFERROR(-AV207/AV188,0)</f>
        <v>5.30961650645221</v>
      </c>
      <c r="AW208" s="29" t="n">
        <f aca="false">IFERROR(-AW207/AW188,0)</f>
        <v>5.30961650645221</v>
      </c>
      <c r="AX208" s="29" t="n">
        <f aca="false">IFERROR(-AX207/AX188,0)</f>
        <v>5.30961650645221</v>
      </c>
      <c r="AY208" s="29" t="n">
        <f aca="false">IFERROR(-AY207/AY188,0)</f>
        <v>5.30961650645221</v>
      </c>
      <c r="AZ208" s="29" t="n">
        <f aca="false">IFERROR(-AZ207/AZ188,0)</f>
        <v>5.30961650645221</v>
      </c>
      <c r="BA208" s="29" t="n">
        <f aca="false">IFERROR(-BA207/BA188,0)</f>
        <v>5.30961650645221</v>
      </c>
      <c r="BB208" s="29" t="n">
        <f aca="false">IFERROR(-BB207/BB188,0)</f>
        <v>5.30961650645221</v>
      </c>
      <c r="BC208" s="29" t="n">
        <f aca="false">IFERROR(-BC207/BC188,0)</f>
        <v>14.1007722119447</v>
      </c>
      <c r="BD208" s="29" t="n">
        <f aca="false">IFERROR(-BD207/BD188,0)</f>
        <v>5.30961650645221</v>
      </c>
      <c r="BE208" s="29" t="n">
        <f aca="false">IFERROR(-BE207/BE188,0)</f>
        <v>5.30961650645221</v>
      </c>
      <c r="BF208" s="29" t="n">
        <f aca="false">IFERROR(-BF207/BF188,0)</f>
        <v>5.30961650645221</v>
      </c>
      <c r="BG208" s="29" t="n">
        <f aca="false">IFERROR(-BG207/BG188,0)</f>
        <v>5.30961650645221</v>
      </c>
      <c r="BH208" s="29" t="n">
        <f aca="false">IFERROR(-BH207/BH188,0)</f>
        <v>5.30961650645221</v>
      </c>
      <c r="BI208" s="29" t="n">
        <f aca="false">IFERROR(-BI207/BI188,0)</f>
        <v>5.30961650645221</v>
      </c>
      <c r="BJ208" s="29" t="n">
        <f aca="false">IFERROR(-BJ207/BJ188,0)</f>
        <v>5.30961650645221</v>
      </c>
      <c r="BK208" s="29" t="n">
        <f aca="false">IFERROR(-BK207/BK188,0)</f>
        <v>5.30961650645221</v>
      </c>
      <c r="BL208" s="29" t="n">
        <f aca="false">IFERROR(-BL207/BL188,0)</f>
        <v>5.30961650645221</v>
      </c>
      <c r="BM208" s="29" t="n">
        <f aca="false">IFERROR(-BM207/BM188,0)</f>
        <v>5.30961650645221</v>
      </c>
      <c r="BN208" s="29" t="n">
        <f aca="false">IFERROR(-BN207/BN188,0)</f>
        <v>5.30961650645221</v>
      </c>
      <c r="BO208" s="29" t="n">
        <f aca="false">IFERROR(-BO207/BO188,0)</f>
        <v>14.1007722119447</v>
      </c>
      <c r="BP208" s="29" t="n">
        <f aca="false">IFERROR(-BP207/BP188,0)</f>
        <v>5.30961650645221</v>
      </c>
      <c r="BQ208" s="29" t="n">
        <f aca="false">IFERROR(-BQ207/BQ188,0)</f>
        <v>5.30961650645221</v>
      </c>
      <c r="BR208" s="29" t="n">
        <f aca="false">IFERROR(-BR207/BR188,0)</f>
        <v>5.30961650645221</v>
      </c>
      <c r="BS208" s="29" t="n">
        <f aca="false">IFERROR(-BS207/BS188,0)</f>
        <v>5.30961650645221</v>
      </c>
      <c r="BT208" s="29" t="n">
        <f aca="false">IFERROR(-BT207/BT188,0)</f>
        <v>5.30961650645221</v>
      </c>
      <c r="BU208" s="29" t="n">
        <f aca="false">IFERROR(-BU207/BU188,0)</f>
        <v>5.30961650645221</v>
      </c>
      <c r="BV208" s="29" t="n">
        <f aca="false">IFERROR(-BV207/BV188,0)</f>
        <v>5.30961650645221</v>
      </c>
      <c r="BW208" s="29" t="n">
        <f aca="false">IFERROR(-BW207/BW188,0)</f>
        <v>5.30961650645221</v>
      </c>
      <c r="BX208" s="29" t="n">
        <f aca="false">IFERROR(-BX207/BX188,0)</f>
        <v>5.30961650645221</v>
      </c>
      <c r="BY208" s="29" t="n">
        <f aca="false">IFERROR(-BY207/BY188,0)</f>
        <v>5.30961650645221</v>
      </c>
      <c r="BZ208" s="29" t="n">
        <f aca="false">IFERROR(-BZ207/BZ188,0)</f>
        <v>5.30961650645221</v>
      </c>
      <c r="CA208" s="29" t="n">
        <f aca="false">IFERROR(-CA207/CA188,0)</f>
        <v>14.1007722119447</v>
      </c>
      <c r="CB208" s="29" t="n">
        <f aca="false">IFERROR(-CB207/CB188,0)</f>
        <v>5.30961650645221</v>
      </c>
      <c r="CC208" s="29" t="n">
        <f aca="false">IFERROR(-CC207/CC188,0)</f>
        <v>5.30961650645221</v>
      </c>
      <c r="CD208" s="29" t="n">
        <f aca="false">IFERROR(-CD207/CD188,0)</f>
        <v>5.30961650645221</v>
      </c>
      <c r="CE208" s="29" t="n">
        <f aca="false">IFERROR(-CE207/CE188,0)</f>
        <v>5.30961650645221</v>
      </c>
      <c r="CF208" s="29" t="n">
        <f aca="false">IFERROR(-CF207/CF188,0)</f>
        <v>5.30961650645221</v>
      </c>
      <c r="CG208" s="29" t="n">
        <f aca="false">IFERROR(-CG207/CG188,0)</f>
        <v>5.30961650645221</v>
      </c>
      <c r="CH208" s="29" t="n">
        <f aca="false">IFERROR(-CH207/CH188,0)</f>
        <v>5.30961650645221</v>
      </c>
    </row>
    <row r="209" customFormat="false" ht="15" hidden="false" customHeight="false" outlineLevel="0" collapsed="false">
      <c r="A209" s="1" t="s">
        <v>870</v>
      </c>
      <c r="C209" s="28" t="n">
        <f aca="false">-C197*Restaurantes!$D$61</f>
        <v>-125.795795834129</v>
      </c>
      <c r="D209" s="28" t="n">
        <f aca="false">-D197*Restaurantes!$D$61</f>
        <v>-127.682732771641</v>
      </c>
      <c r="E209" s="28" t="n">
        <f aca="false">-E197*Restaurantes!$D$61</f>
        <v>-129.569669709153</v>
      </c>
      <c r="F209" s="28" t="n">
        <f aca="false">-F197*Restaurantes!$D$61</f>
        <v>-131.456606646665</v>
      </c>
      <c r="G209" s="28" t="n">
        <f aca="false">-G197*Restaurantes!$D$61</f>
        <v>-133.343543584177</v>
      </c>
      <c r="H209" s="28" t="n">
        <f aca="false">-H197*Restaurantes!$D$61</f>
        <v>-135.230480521689</v>
      </c>
      <c r="I209" s="28" t="n">
        <f aca="false">-I197*Restaurantes!$D$61</f>
        <v>-137.117417459201</v>
      </c>
      <c r="J209" s="28" t="n">
        <f aca="false">-J197*Restaurantes!$D$61</f>
        <v>-139.004354396713</v>
      </c>
      <c r="K209" s="28" t="n">
        <f aca="false">-K197*Restaurantes!$D$61</f>
        <v>-140.891291334225</v>
      </c>
      <c r="L209" s="28" t="n">
        <f aca="false">-L197*Restaurantes!$D$61</f>
        <v>-142.778228271737</v>
      </c>
      <c r="M209" s="28" t="n">
        <f aca="false">-M197*Restaurantes!$D$61</f>
        <v>-144.665165209249</v>
      </c>
      <c r="N209" s="28" t="n">
        <f aca="false">-N197*Restaurantes!$D$61</f>
        <v>-146.552102146761</v>
      </c>
      <c r="O209" s="28" t="n">
        <f aca="false">-O197*Restaurantes!$D$61</f>
        <v>-148.439039084273</v>
      </c>
      <c r="P209" s="28" t="n">
        <f aca="false">-P197*Restaurantes!$D$61</f>
        <v>-150.325976021785</v>
      </c>
      <c r="Q209" s="28" t="n">
        <f aca="false">-Q197*Restaurantes!$D$61</f>
        <v>-152.212912959297</v>
      </c>
      <c r="R209" s="28" t="n">
        <f aca="false">-R197*Restaurantes!$D$61</f>
        <v>-154.099849896809</v>
      </c>
      <c r="S209" s="28" t="n">
        <f aca="false">-S197*Restaurantes!$D$61</f>
        <v>-155.98678683432</v>
      </c>
      <c r="T209" s="28" t="n">
        <f aca="false">-T197*Restaurantes!$D$61</f>
        <v>-157.873723771833</v>
      </c>
      <c r="U209" s="28" t="n">
        <f aca="false">-U197*Restaurantes!$D$61</f>
        <v>-159.760660709344</v>
      </c>
      <c r="V209" s="28" t="n">
        <f aca="false">-V197*Restaurantes!$D$61</f>
        <v>-161.647597646856</v>
      </c>
      <c r="W209" s="28" t="n">
        <f aca="false">-W197*Restaurantes!$D$61</f>
        <v>-163.534534584369</v>
      </c>
      <c r="X209" s="28" t="n">
        <f aca="false">-X197*Restaurantes!$D$61</f>
        <v>-165.42147152188</v>
      </c>
      <c r="Y209" s="28" t="n">
        <f aca="false">-Y197*Restaurantes!$D$61</f>
        <v>-167.308408459392</v>
      </c>
      <c r="Z209" s="28" t="n">
        <f aca="false">-Z197*Restaurantes!$D$61</f>
        <v>-169.195345396904</v>
      </c>
      <c r="AA209" s="28" t="n">
        <f aca="false">-AA197*Restaurantes!$D$61</f>
        <v>-171.082282334416</v>
      </c>
      <c r="AB209" s="28" t="n">
        <f aca="false">-AB197*Restaurantes!$D$61</f>
        <v>-172.969219271928</v>
      </c>
      <c r="AC209" s="28" t="n">
        <f aca="false">-AC197*Restaurantes!$D$61</f>
        <v>-174.85615620944</v>
      </c>
      <c r="AD209" s="28" t="n">
        <f aca="false">-AD197*Restaurantes!$D$61</f>
        <v>-176.743093146952</v>
      </c>
      <c r="AE209" s="28" t="n">
        <f aca="false">-AE197*Restaurantes!$D$61</f>
        <v>-178.630030084463</v>
      </c>
      <c r="AF209" s="28" t="n">
        <f aca="false">-AF197*Restaurantes!$D$61</f>
        <v>-180.516967021976</v>
      </c>
      <c r="AG209" s="28" t="n">
        <f aca="false">-AG197*Restaurantes!$D$61</f>
        <v>-182.403903959488</v>
      </c>
      <c r="AH209" s="28" t="n">
        <f aca="false">-AH197*Restaurantes!$D$61</f>
        <v>-184.290840897</v>
      </c>
      <c r="AI209" s="28" t="n">
        <f aca="false">-AI197*Restaurantes!$D$61</f>
        <v>-186.177777834512</v>
      </c>
      <c r="AJ209" s="28" t="n">
        <f aca="false">-AJ197*Restaurantes!$D$61</f>
        <v>-188.064714772023</v>
      </c>
      <c r="AK209" s="28" t="n">
        <f aca="false">-AK197*Restaurantes!$D$61</f>
        <v>-189.951651709536</v>
      </c>
      <c r="AL209" s="28" t="n">
        <f aca="false">-AL197*Restaurantes!$D$61</f>
        <v>-191.838588647048</v>
      </c>
      <c r="AM209" s="28" t="n">
        <f aca="false">-AM197*Restaurantes!$D$61</f>
        <v>-67.9297297504299</v>
      </c>
      <c r="AN209" s="28" t="n">
        <f aca="false">-AN197*Restaurantes!$D$61</f>
        <v>-67.9297297504299</v>
      </c>
      <c r="AO209" s="28" t="n">
        <f aca="false">-AO197*Restaurantes!$D$61</f>
        <v>-67.9297297504299</v>
      </c>
      <c r="AP209" s="28" t="n">
        <f aca="false">-AP197*Restaurantes!$D$61</f>
        <v>-67.9297297504299</v>
      </c>
      <c r="AQ209" s="28" t="n">
        <f aca="false">-AQ197*Restaurantes!$D$61</f>
        <v>-67.9297297504299</v>
      </c>
      <c r="AR209" s="28" t="n">
        <f aca="false">-AR197*Restaurantes!$D$61</f>
        <v>-67.9297297504299</v>
      </c>
      <c r="AS209" s="28" t="n">
        <f aca="false">-AS197*Restaurantes!$D$61</f>
        <v>-67.9297297504299</v>
      </c>
      <c r="AT209" s="28" t="n">
        <f aca="false">-AT197*Restaurantes!$D$61</f>
        <v>-67.9297297504299</v>
      </c>
      <c r="AU209" s="28" t="n">
        <f aca="false">-AU197*Restaurantes!$D$61</f>
        <v>-67.9297297504299</v>
      </c>
      <c r="AV209" s="28" t="n">
        <f aca="false">-AV197*Restaurantes!$D$61</f>
        <v>-67.9297297504299</v>
      </c>
      <c r="AW209" s="28" t="n">
        <f aca="false">-AW197*Restaurantes!$D$61</f>
        <v>-67.9297297504299</v>
      </c>
      <c r="AX209" s="28" t="n">
        <f aca="false">-AX197*Restaurantes!$D$61</f>
        <v>-67.9297297504299</v>
      </c>
      <c r="AY209" s="28" t="n">
        <f aca="false">-AY197*Restaurantes!$D$61</f>
        <v>-67.9297297504299</v>
      </c>
      <c r="AZ209" s="28" t="n">
        <f aca="false">-AZ197*Restaurantes!$D$61</f>
        <v>-67.9297297504299</v>
      </c>
      <c r="BA209" s="28" t="n">
        <f aca="false">-BA197*Restaurantes!$D$61</f>
        <v>-67.9297297504299</v>
      </c>
      <c r="BB209" s="28" t="n">
        <f aca="false">-BB197*Restaurantes!$D$61</f>
        <v>-67.9297297504299</v>
      </c>
      <c r="BC209" s="28" t="n">
        <f aca="false">-BC197*Restaurantes!$D$61</f>
        <v>-67.9297297504299</v>
      </c>
      <c r="BD209" s="28" t="n">
        <f aca="false">-BD197*Restaurantes!$D$61</f>
        <v>-67.9297297504299</v>
      </c>
      <c r="BE209" s="28" t="n">
        <f aca="false">-BE197*Restaurantes!$D$61</f>
        <v>-67.9297297504299</v>
      </c>
      <c r="BF209" s="28" t="n">
        <f aca="false">-BF197*Restaurantes!$D$61</f>
        <v>-67.9297297504299</v>
      </c>
      <c r="BG209" s="28" t="n">
        <f aca="false">-BG197*Restaurantes!$D$61</f>
        <v>-67.9297297504299</v>
      </c>
      <c r="BH209" s="28" t="n">
        <f aca="false">-BH197*Restaurantes!$D$61</f>
        <v>-67.9297297504299</v>
      </c>
      <c r="BI209" s="28" t="n">
        <f aca="false">-BI197*Restaurantes!$D$61</f>
        <v>-67.9297297504299</v>
      </c>
      <c r="BJ209" s="28" t="n">
        <f aca="false">-BJ197*Restaurantes!$D$61</f>
        <v>-67.9297297504299</v>
      </c>
      <c r="BK209" s="28" t="n">
        <f aca="false">-BK197*Restaurantes!$D$61</f>
        <v>-67.9297297504299</v>
      </c>
      <c r="BL209" s="28" t="n">
        <f aca="false">-BL197*Restaurantes!$D$61</f>
        <v>-67.9297297504299</v>
      </c>
      <c r="BM209" s="28" t="n">
        <f aca="false">-BM197*Restaurantes!$D$61</f>
        <v>-67.9297297504299</v>
      </c>
      <c r="BN209" s="28" t="n">
        <f aca="false">-BN197*Restaurantes!$D$61</f>
        <v>-67.9297297504299</v>
      </c>
      <c r="BO209" s="28" t="n">
        <f aca="false">-BO197*Restaurantes!$D$61</f>
        <v>-67.9297297504299</v>
      </c>
      <c r="BP209" s="28" t="n">
        <f aca="false">-BP197*Restaurantes!$D$61</f>
        <v>-67.9297297504299</v>
      </c>
      <c r="BQ209" s="28" t="n">
        <f aca="false">-BQ197*Restaurantes!$D$61</f>
        <v>-67.9297297504299</v>
      </c>
      <c r="BR209" s="28" t="n">
        <f aca="false">-BR197*Restaurantes!$D$61</f>
        <v>-67.9297297504299</v>
      </c>
      <c r="BS209" s="28" t="n">
        <f aca="false">-BS197*Restaurantes!$D$61</f>
        <v>-67.9297297504299</v>
      </c>
      <c r="BT209" s="28" t="n">
        <f aca="false">-BT197*Restaurantes!$D$61</f>
        <v>-67.9297297504299</v>
      </c>
      <c r="BU209" s="28" t="n">
        <f aca="false">-BU197*Restaurantes!$D$61</f>
        <v>-67.9297297504299</v>
      </c>
      <c r="BV209" s="28" t="n">
        <f aca="false">-BV197*Restaurantes!$D$61</f>
        <v>-67.9297297504299</v>
      </c>
      <c r="BW209" s="28" t="n">
        <f aca="false">-BW197*Restaurantes!$D$61</f>
        <v>-67.9297297504299</v>
      </c>
      <c r="BX209" s="28" t="n">
        <f aca="false">-BX197*Restaurantes!$D$61</f>
        <v>-67.9297297504299</v>
      </c>
      <c r="BY209" s="28" t="n">
        <f aca="false">-BY197*Restaurantes!$D$61</f>
        <v>-67.9297297504299</v>
      </c>
      <c r="BZ209" s="28" t="n">
        <f aca="false">-BZ197*Restaurantes!$D$61</f>
        <v>-67.9297297504299</v>
      </c>
      <c r="CA209" s="28" t="n">
        <f aca="false">-CA197*Restaurantes!$D$61</f>
        <v>-67.9297297504299</v>
      </c>
      <c r="CB209" s="28" t="n">
        <f aca="false">-CB197*Restaurantes!$D$61</f>
        <v>-67.9297297504299</v>
      </c>
      <c r="CC209" s="28" t="n">
        <f aca="false">-CC197*Restaurantes!$D$61</f>
        <v>-67.9297297504299</v>
      </c>
      <c r="CD209" s="28" t="n">
        <f aca="false">-CD197*Restaurantes!$D$61</f>
        <v>-67.9297297504299</v>
      </c>
      <c r="CE209" s="28" t="n">
        <f aca="false">-CE197*Restaurantes!$D$61</f>
        <v>-67.9297297504299</v>
      </c>
      <c r="CF209" s="28" t="n">
        <f aca="false">-CF197*Restaurantes!$D$61</f>
        <v>-67.9297297504299</v>
      </c>
      <c r="CG209" s="28" t="n">
        <f aca="false">-CG197*Restaurantes!$D$61</f>
        <v>-67.9297297504299</v>
      </c>
      <c r="CH209" s="28" t="n">
        <f aca="false">-CH197*Restaurantes!$D$61</f>
        <v>-67.9297297504299</v>
      </c>
    </row>
    <row r="210" customFormat="false" ht="15" hidden="false" customHeight="false" outlineLevel="0" collapsed="false">
      <c r="A210" s="1" t="s">
        <v>871</v>
      </c>
      <c r="C210" s="27" t="n">
        <f aca="false">IFERROR(C196/(Hipótesis!$B$49*(C$3&gt;=Hipótesis!$D$49)+Hipótesis!$B$52*(C$3&gt;=Hipótesis!$D$52)),0)</f>
        <v>3.14489489585324</v>
      </c>
      <c r="D210" s="27" t="n">
        <f aca="false">IFERROR(D196/(Hipótesis!$B$49*(D$3&gt;=Hipótesis!$D$49)+Hipótesis!$B$52*(D$3&gt;=Hipótesis!$D$52)),0)</f>
        <v>6.28978979170647</v>
      </c>
      <c r="E210" s="27" t="n">
        <f aca="false">IFERROR(E196/(Hipótesis!$B$49*(E$3&gt;=Hipótesis!$D$49)+Hipótesis!$B$52*(E$3&gt;=Hipótesis!$D$52)),0)</f>
        <v>9.43468468755971</v>
      </c>
      <c r="F210" s="27" t="n">
        <f aca="false">IFERROR(F196/(Hipótesis!$B$49*(F$3&gt;=Hipótesis!$D$49)+Hipótesis!$B$52*(F$3&gt;=Hipótesis!$D$52)),0)</f>
        <v>12.5795795834129</v>
      </c>
      <c r="G210" s="27" t="n">
        <f aca="false">IFERROR(G196/(Hipótesis!$B$49*(G$3&gt;=Hipótesis!$D$49)+Hipótesis!$B$52*(G$3&gt;=Hipótesis!$D$52)),0)</f>
        <v>15.7244744792662</v>
      </c>
      <c r="H210" s="27" t="n">
        <f aca="false">IFERROR(H196/(Hipótesis!$B$49*(H$3&gt;=Hipótesis!$D$49)+Hipótesis!$B$52*(H$3&gt;=Hipótesis!$D$52)),0)</f>
        <v>18.8693693751194</v>
      </c>
      <c r="I210" s="27" t="n">
        <f aca="false">IFERROR(I196/(Hipótesis!$B$49*(I$3&gt;=Hipótesis!$D$49)+Hipótesis!$B$52*(I$3&gt;=Hipótesis!$D$52)),0)</f>
        <v>22.0142642709727</v>
      </c>
      <c r="J210" s="27" t="n">
        <f aca="false">IFERROR(J196/(Hipótesis!$B$49*(J$3&gt;=Hipótesis!$D$49)+Hipótesis!$B$52*(J$3&gt;=Hipótesis!$D$52)),0)</f>
        <v>25.1591591668259</v>
      </c>
      <c r="K210" s="27" t="n">
        <f aca="false">IFERROR(K196/(Hipótesis!$B$49*(K$3&gt;=Hipótesis!$D$49)+Hipótesis!$B$52*(K$3&gt;=Hipótesis!$D$52)),0)</f>
        <v>28.3040540626791</v>
      </c>
      <c r="L210" s="27" t="n">
        <f aca="false">IFERROR(L196/(Hipótesis!$B$49*(L$3&gt;=Hipótesis!$D$49)+Hipótesis!$B$52*(L$3&gt;=Hipótesis!$D$52)),0)</f>
        <v>31.4489489585324</v>
      </c>
      <c r="M210" s="27" t="n">
        <f aca="false">IFERROR(M196/(Hipótesis!$B$49*(M$3&gt;=Hipótesis!$D$49)+Hipótesis!$B$52*(M$3&gt;=Hipótesis!$D$52)),0)</f>
        <v>34.5938438543856</v>
      </c>
      <c r="N210" s="27" t="n">
        <f aca="false">IFERROR(N196/(Hipótesis!$B$49*(N$3&gt;=Hipótesis!$D$49)+Hipótesis!$B$52*(N$3&gt;=Hipótesis!$D$52)),0)</f>
        <v>37.7387387502388</v>
      </c>
      <c r="O210" s="27" t="n">
        <f aca="false">IFERROR(O196/(Hipótesis!$B$49*(O$3&gt;=Hipótesis!$D$49)+Hipótesis!$B$52*(O$3&gt;=Hipótesis!$D$52)),0)</f>
        <v>40.8836336460921</v>
      </c>
      <c r="P210" s="27" t="n">
        <f aca="false">IFERROR(P196/(Hipótesis!$B$49*(P$3&gt;=Hipótesis!$D$49)+Hipótesis!$B$52*(P$3&gt;=Hipótesis!$D$52)),0)</f>
        <v>44.0285285419453</v>
      </c>
      <c r="Q210" s="27" t="n">
        <f aca="false">IFERROR(Q196/(Hipótesis!$B$49*(Q$3&gt;=Hipótesis!$D$49)+Hipótesis!$B$52*(Q$3&gt;=Hipótesis!$D$52)),0)</f>
        <v>47.1734234377986</v>
      </c>
      <c r="R210" s="27" t="n">
        <f aca="false">IFERROR(R196/(Hipótesis!$B$49*(R$3&gt;=Hipótesis!$D$49)+Hipótesis!$B$52*(R$3&gt;=Hipótesis!$D$52)),0)</f>
        <v>50.3183183336518</v>
      </c>
      <c r="S210" s="27" t="n">
        <f aca="false">IFERROR(S196/(Hipótesis!$B$49*(S$3&gt;=Hipótesis!$D$49)+Hipótesis!$B$52*(S$3&gt;=Hipótesis!$D$52)),0)</f>
        <v>53.463213229505</v>
      </c>
      <c r="T210" s="27" t="n">
        <f aca="false">IFERROR(T196/(Hipótesis!$B$49*(T$3&gt;=Hipótesis!$D$49)+Hipótesis!$B$52*(T$3&gt;=Hipótesis!$D$52)),0)</f>
        <v>56.6081081253583</v>
      </c>
      <c r="U210" s="27" t="n">
        <f aca="false">IFERROR(U196/(Hipótesis!$B$49*(U$3&gt;=Hipótesis!$D$49)+Hipótesis!$B$52*(U$3&gt;=Hipótesis!$D$52)),0)</f>
        <v>59.7530030212115</v>
      </c>
      <c r="V210" s="27" t="n">
        <f aca="false">IFERROR(V196/(Hipótesis!$B$49*(V$3&gt;=Hipótesis!$D$49)+Hipótesis!$B$52*(V$3&gt;=Hipótesis!$D$52)),0)</f>
        <v>31.4489489585324</v>
      </c>
      <c r="W210" s="27" t="n">
        <f aca="false">IFERROR(W196/(Hipótesis!$B$49*(W$3&gt;=Hipótesis!$D$49)+Hipótesis!$B$52*(W$3&gt;=Hipótesis!$D$52)),0)</f>
        <v>33.021396406459</v>
      </c>
      <c r="X210" s="27" t="n">
        <f aca="false">IFERROR(X196/(Hipótesis!$B$49*(X$3&gt;=Hipótesis!$D$49)+Hipótesis!$B$52*(X$3&gt;=Hipótesis!$D$52)),0)</f>
        <v>34.5938438543856</v>
      </c>
      <c r="Y210" s="27" t="n">
        <f aca="false">IFERROR(Y196/(Hipótesis!$B$49*(Y$3&gt;=Hipótesis!$D$49)+Hipótesis!$B$52*(Y$3&gt;=Hipótesis!$D$52)),0)</f>
        <v>36.1662913023122</v>
      </c>
      <c r="Z210" s="27" t="n">
        <f aca="false">IFERROR(Z196/(Hipótesis!$B$49*(Z$3&gt;=Hipótesis!$D$49)+Hipótesis!$B$52*(Z$3&gt;=Hipótesis!$D$52)),0)</f>
        <v>37.7387387502388</v>
      </c>
      <c r="AA210" s="27" t="n">
        <f aca="false">IFERROR(AA196/(Hipótesis!$B$49*(AA$3&gt;=Hipótesis!$D$49)+Hipótesis!$B$52*(AA$3&gt;=Hipótesis!$D$52)),0)</f>
        <v>39.3111861981655</v>
      </c>
      <c r="AB210" s="27" t="n">
        <f aca="false">IFERROR(AB196/(Hipótesis!$B$49*(AB$3&gt;=Hipótesis!$D$49)+Hipótesis!$B$52*(AB$3&gt;=Hipótesis!$D$52)),0)</f>
        <v>40.8836336460921</v>
      </c>
      <c r="AC210" s="27" t="n">
        <f aca="false">IFERROR(AC196/(Hipótesis!$B$49*(AC$3&gt;=Hipótesis!$D$49)+Hipótesis!$B$52*(AC$3&gt;=Hipótesis!$D$52)),0)</f>
        <v>42.4560810940187</v>
      </c>
      <c r="AD210" s="27" t="n">
        <f aca="false">IFERROR(AD196/(Hipótesis!$B$49*(AD$3&gt;=Hipótesis!$D$49)+Hipótesis!$B$52*(AD$3&gt;=Hipótesis!$D$52)),0)</f>
        <v>44.0285285419453</v>
      </c>
      <c r="AE210" s="27" t="n">
        <f aca="false">IFERROR(AE196/(Hipótesis!$B$49*(AE$3&gt;=Hipótesis!$D$49)+Hipótesis!$B$52*(AE$3&gt;=Hipótesis!$D$52)),0)</f>
        <v>45.6009759898719</v>
      </c>
      <c r="AF210" s="27" t="n">
        <f aca="false">IFERROR(AF196/(Hipótesis!$B$49*(AF$3&gt;=Hipótesis!$D$49)+Hipótesis!$B$52*(AF$3&gt;=Hipótesis!$D$52)),0)</f>
        <v>47.1734234377986</v>
      </c>
      <c r="AG210" s="27" t="n">
        <f aca="false">IFERROR(AG196/(Hipótesis!$B$49*(AG$3&gt;=Hipótesis!$D$49)+Hipótesis!$B$52*(AG$3&gt;=Hipótesis!$D$52)),0)</f>
        <v>48.7458708857252</v>
      </c>
      <c r="AH210" s="27" t="n">
        <f aca="false">IFERROR(AH196/(Hipótesis!$B$49*(AH$3&gt;=Hipótesis!$D$49)+Hipótesis!$B$52*(AH$3&gt;=Hipótesis!$D$52)),0)</f>
        <v>50.3183183336518</v>
      </c>
      <c r="AI210" s="27" t="n">
        <f aca="false">IFERROR(AI196/(Hipótesis!$B$49*(AI$3&gt;=Hipótesis!$D$49)+Hipótesis!$B$52*(AI$3&gt;=Hipótesis!$D$52)),0)</f>
        <v>51.8907657815784</v>
      </c>
      <c r="AJ210" s="27" t="n">
        <f aca="false">IFERROR(AJ196/(Hipótesis!$B$49*(AJ$3&gt;=Hipótesis!$D$49)+Hipótesis!$B$52*(AJ$3&gt;=Hipótesis!$D$52)),0)</f>
        <v>53.463213229505</v>
      </c>
      <c r="AK210" s="27" t="n">
        <f aca="false">IFERROR(AK196/(Hipótesis!$B$49*(AK$3&gt;=Hipótesis!$D$49)+Hipótesis!$B$52*(AK$3&gt;=Hipótesis!$D$52)),0)</f>
        <v>55.0356606774316</v>
      </c>
      <c r="AL210" s="27" t="n">
        <f aca="false">IFERROR(AL196/(Hipótesis!$B$49*(AL$3&gt;=Hipótesis!$D$49)+Hipótesis!$B$52*(AL$3&gt;=Hipótesis!$D$52)),0)</f>
        <v>56.6081081253583</v>
      </c>
      <c r="AM210" s="27" t="n">
        <f aca="false">IFERROR(AM196/(Hipótesis!$B$49*(AM$3&gt;=Hipótesis!$D$49)+Hipótesis!$B$52*(AM$3&gt;=Hipótesis!$D$52)),0)</f>
        <v>56.6081081253583</v>
      </c>
      <c r="AN210" s="27" t="n">
        <f aca="false">IFERROR(AN196/(Hipótesis!$B$49*(AN$3&gt;=Hipótesis!$D$49)+Hipótesis!$B$52*(AN$3&gt;=Hipótesis!$D$52)),0)</f>
        <v>56.6081081253583</v>
      </c>
      <c r="AO210" s="27" t="n">
        <f aca="false">IFERROR(AO196/(Hipótesis!$B$49*(AO$3&gt;=Hipótesis!$D$49)+Hipótesis!$B$52*(AO$3&gt;=Hipótesis!$D$52)),0)</f>
        <v>56.6081081253583</v>
      </c>
      <c r="AP210" s="27" t="n">
        <f aca="false">IFERROR(AP196/(Hipótesis!$B$49*(AP$3&gt;=Hipótesis!$D$49)+Hipótesis!$B$52*(AP$3&gt;=Hipótesis!$D$52)),0)</f>
        <v>56.6081081253583</v>
      </c>
      <c r="AQ210" s="27" t="n">
        <f aca="false">IFERROR(AQ196/(Hipótesis!$B$49*(AQ$3&gt;=Hipótesis!$D$49)+Hipótesis!$B$52*(AQ$3&gt;=Hipótesis!$D$52)),0)</f>
        <v>56.6081081253583</v>
      </c>
      <c r="AR210" s="27" t="n">
        <f aca="false">IFERROR(AR196/(Hipótesis!$B$49*(AR$3&gt;=Hipótesis!$D$49)+Hipótesis!$B$52*(AR$3&gt;=Hipótesis!$D$52)),0)</f>
        <v>56.6081081253583</v>
      </c>
      <c r="AS210" s="27" t="n">
        <f aca="false">IFERROR(AS196/(Hipótesis!$B$49*(AS$3&gt;=Hipótesis!$D$49)+Hipótesis!$B$52*(AS$3&gt;=Hipótesis!$D$52)),0)</f>
        <v>56.6081081253583</v>
      </c>
      <c r="AT210" s="27" t="n">
        <f aca="false">IFERROR(AT196/(Hipótesis!$B$49*(AT$3&gt;=Hipótesis!$D$49)+Hipótesis!$B$52*(AT$3&gt;=Hipótesis!$D$52)),0)</f>
        <v>56.6081081253583</v>
      </c>
      <c r="AU210" s="27" t="n">
        <f aca="false">IFERROR(AU196/(Hipótesis!$B$49*(AU$3&gt;=Hipótesis!$D$49)+Hipótesis!$B$52*(AU$3&gt;=Hipótesis!$D$52)),0)</f>
        <v>56.6081081253583</v>
      </c>
      <c r="AV210" s="27" t="n">
        <f aca="false">IFERROR(AV196/(Hipótesis!$B$49*(AV$3&gt;=Hipótesis!$D$49)+Hipótesis!$B$52*(AV$3&gt;=Hipótesis!$D$52)),0)</f>
        <v>56.6081081253583</v>
      </c>
      <c r="AW210" s="27" t="n">
        <f aca="false">IFERROR(AW196/(Hipótesis!$B$49*(AW$3&gt;=Hipótesis!$D$49)+Hipótesis!$B$52*(AW$3&gt;=Hipótesis!$D$52)),0)</f>
        <v>56.6081081253583</v>
      </c>
      <c r="AX210" s="27" t="n">
        <f aca="false">IFERROR(AX196/(Hipótesis!$B$49*(AX$3&gt;=Hipótesis!$D$49)+Hipótesis!$B$52*(AX$3&gt;=Hipótesis!$D$52)),0)</f>
        <v>56.6081081253583</v>
      </c>
      <c r="AY210" s="27" t="n">
        <f aca="false">IFERROR(AY196/(Hipótesis!$B$49*(AY$3&gt;=Hipótesis!$D$49)+Hipótesis!$B$52*(AY$3&gt;=Hipótesis!$D$52)),0)</f>
        <v>56.6081081253583</v>
      </c>
      <c r="AZ210" s="27" t="n">
        <f aca="false">IFERROR(AZ196/(Hipótesis!$B$49*(AZ$3&gt;=Hipótesis!$D$49)+Hipótesis!$B$52*(AZ$3&gt;=Hipótesis!$D$52)),0)</f>
        <v>56.6081081253583</v>
      </c>
      <c r="BA210" s="27" t="n">
        <f aca="false">IFERROR(BA196/(Hipótesis!$B$49*(BA$3&gt;=Hipótesis!$D$49)+Hipótesis!$B$52*(BA$3&gt;=Hipótesis!$D$52)),0)</f>
        <v>56.6081081253583</v>
      </c>
      <c r="BB210" s="27" t="n">
        <f aca="false">IFERROR(BB196/(Hipótesis!$B$49*(BB$3&gt;=Hipótesis!$D$49)+Hipótesis!$B$52*(BB$3&gt;=Hipótesis!$D$52)),0)</f>
        <v>56.6081081253583</v>
      </c>
      <c r="BC210" s="27" t="n">
        <f aca="false">IFERROR(BC196/(Hipótesis!$B$49*(BC$3&gt;=Hipótesis!$D$49)+Hipótesis!$B$52*(BC$3&gt;=Hipótesis!$D$52)),0)</f>
        <v>56.6081081253583</v>
      </c>
      <c r="BD210" s="27" t="n">
        <f aca="false">IFERROR(BD196/(Hipótesis!$B$49*(BD$3&gt;=Hipótesis!$D$49)+Hipótesis!$B$52*(BD$3&gt;=Hipótesis!$D$52)),0)</f>
        <v>56.6081081253583</v>
      </c>
      <c r="BE210" s="27" t="n">
        <f aca="false">IFERROR(BE196/(Hipótesis!$B$49*(BE$3&gt;=Hipótesis!$D$49)+Hipótesis!$B$52*(BE$3&gt;=Hipótesis!$D$52)),0)</f>
        <v>56.6081081253583</v>
      </c>
      <c r="BF210" s="27" t="n">
        <f aca="false">IFERROR(BF196/(Hipótesis!$B$49*(BF$3&gt;=Hipótesis!$D$49)+Hipótesis!$B$52*(BF$3&gt;=Hipótesis!$D$52)),0)</f>
        <v>56.6081081253583</v>
      </c>
      <c r="BG210" s="27" t="n">
        <f aca="false">IFERROR(BG196/(Hipótesis!$B$49*(BG$3&gt;=Hipótesis!$D$49)+Hipótesis!$B$52*(BG$3&gt;=Hipótesis!$D$52)),0)</f>
        <v>56.6081081253583</v>
      </c>
      <c r="BH210" s="27" t="n">
        <f aca="false">IFERROR(BH196/(Hipótesis!$B$49*(BH$3&gt;=Hipótesis!$D$49)+Hipótesis!$B$52*(BH$3&gt;=Hipótesis!$D$52)),0)</f>
        <v>56.6081081253583</v>
      </c>
      <c r="BI210" s="27" t="n">
        <f aca="false">IFERROR(BI196/(Hipótesis!$B$49*(BI$3&gt;=Hipótesis!$D$49)+Hipótesis!$B$52*(BI$3&gt;=Hipótesis!$D$52)),0)</f>
        <v>56.6081081253583</v>
      </c>
      <c r="BJ210" s="27" t="n">
        <f aca="false">IFERROR(BJ196/(Hipótesis!$B$49*(BJ$3&gt;=Hipótesis!$D$49)+Hipótesis!$B$52*(BJ$3&gt;=Hipótesis!$D$52)),0)</f>
        <v>56.6081081253583</v>
      </c>
      <c r="BK210" s="27" t="n">
        <f aca="false">IFERROR(BK196/(Hipótesis!$B$49*(BK$3&gt;=Hipótesis!$D$49)+Hipótesis!$B$52*(BK$3&gt;=Hipótesis!$D$52)),0)</f>
        <v>56.6081081253583</v>
      </c>
      <c r="BL210" s="27" t="n">
        <f aca="false">IFERROR(BL196/(Hipótesis!$B$49*(BL$3&gt;=Hipótesis!$D$49)+Hipótesis!$B$52*(BL$3&gt;=Hipótesis!$D$52)),0)</f>
        <v>56.6081081253583</v>
      </c>
      <c r="BM210" s="27" t="n">
        <f aca="false">IFERROR(BM196/(Hipótesis!$B$49*(BM$3&gt;=Hipótesis!$D$49)+Hipótesis!$B$52*(BM$3&gt;=Hipótesis!$D$52)),0)</f>
        <v>56.6081081253583</v>
      </c>
      <c r="BN210" s="27" t="n">
        <f aca="false">IFERROR(BN196/(Hipótesis!$B$49*(BN$3&gt;=Hipótesis!$D$49)+Hipótesis!$B$52*(BN$3&gt;=Hipótesis!$D$52)),0)</f>
        <v>56.6081081253583</v>
      </c>
      <c r="BO210" s="27" t="n">
        <f aca="false">IFERROR(BO196/(Hipótesis!$B$49*(BO$3&gt;=Hipótesis!$D$49)+Hipótesis!$B$52*(BO$3&gt;=Hipótesis!$D$52)),0)</f>
        <v>56.6081081253583</v>
      </c>
      <c r="BP210" s="27" t="n">
        <f aca="false">IFERROR(BP196/(Hipótesis!$B$49*(BP$3&gt;=Hipótesis!$D$49)+Hipótesis!$B$52*(BP$3&gt;=Hipótesis!$D$52)),0)</f>
        <v>56.6081081253583</v>
      </c>
      <c r="BQ210" s="27" t="n">
        <f aca="false">IFERROR(BQ196/(Hipótesis!$B$49*(BQ$3&gt;=Hipótesis!$D$49)+Hipótesis!$B$52*(BQ$3&gt;=Hipótesis!$D$52)),0)</f>
        <v>56.6081081253583</v>
      </c>
      <c r="BR210" s="27" t="n">
        <f aca="false">IFERROR(BR196/(Hipótesis!$B$49*(BR$3&gt;=Hipótesis!$D$49)+Hipótesis!$B$52*(BR$3&gt;=Hipótesis!$D$52)),0)</f>
        <v>56.6081081253583</v>
      </c>
      <c r="BS210" s="27" t="n">
        <f aca="false">IFERROR(BS196/(Hipótesis!$B$49*(BS$3&gt;=Hipótesis!$D$49)+Hipótesis!$B$52*(BS$3&gt;=Hipótesis!$D$52)),0)</f>
        <v>56.6081081253583</v>
      </c>
      <c r="BT210" s="27" t="n">
        <f aca="false">IFERROR(BT196/(Hipótesis!$B$49*(BT$3&gt;=Hipótesis!$D$49)+Hipótesis!$B$52*(BT$3&gt;=Hipótesis!$D$52)),0)</f>
        <v>56.6081081253583</v>
      </c>
      <c r="BU210" s="27" t="n">
        <f aca="false">IFERROR(BU196/(Hipótesis!$B$49*(BU$3&gt;=Hipótesis!$D$49)+Hipótesis!$B$52*(BU$3&gt;=Hipótesis!$D$52)),0)</f>
        <v>56.6081081253583</v>
      </c>
      <c r="BV210" s="27" t="n">
        <f aca="false">IFERROR(BV196/(Hipótesis!$B$49*(BV$3&gt;=Hipótesis!$D$49)+Hipótesis!$B$52*(BV$3&gt;=Hipótesis!$D$52)),0)</f>
        <v>56.6081081253583</v>
      </c>
      <c r="BW210" s="27" t="n">
        <f aca="false">IFERROR(BW196/(Hipótesis!$B$49*(BW$3&gt;=Hipótesis!$D$49)+Hipótesis!$B$52*(BW$3&gt;=Hipótesis!$D$52)),0)</f>
        <v>56.6081081253583</v>
      </c>
      <c r="BX210" s="27" t="n">
        <f aca="false">IFERROR(BX196/(Hipótesis!$B$49*(BX$3&gt;=Hipótesis!$D$49)+Hipótesis!$B$52*(BX$3&gt;=Hipótesis!$D$52)),0)</f>
        <v>56.6081081253583</v>
      </c>
      <c r="BY210" s="27" t="n">
        <f aca="false">IFERROR(BY196/(Hipótesis!$B$49*(BY$3&gt;=Hipótesis!$D$49)+Hipótesis!$B$52*(BY$3&gt;=Hipótesis!$D$52)),0)</f>
        <v>56.6081081253583</v>
      </c>
      <c r="BZ210" s="27" t="n">
        <f aca="false">IFERROR(BZ196/(Hipótesis!$B$49*(BZ$3&gt;=Hipótesis!$D$49)+Hipótesis!$B$52*(BZ$3&gt;=Hipótesis!$D$52)),0)</f>
        <v>56.6081081253583</v>
      </c>
      <c r="CA210" s="27" t="n">
        <f aca="false">IFERROR(CA196/(Hipótesis!$B$49*(CA$3&gt;=Hipótesis!$D$49)+Hipótesis!$B$52*(CA$3&gt;=Hipótesis!$D$52)),0)</f>
        <v>56.6081081253583</v>
      </c>
      <c r="CB210" s="27" t="n">
        <f aca="false">IFERROR(CB196/(Hipótesis!$B$49*(CB$3&gt;=Hipótesis!$D$49)+Hipótesis!$B$52*(CB$3&gt;=Hipótesis!$D$52)),0)</f>
        <v>56.6081081253583</v>
      </c>
      <c r="CC210" s="27" t="n">
        <f aca="false">IFERROR(CC196/(Hipótesis!$B$49*(CC$3&gt;=Hipótesis!$D$49)+Hipótesis!$B$52*(CC$3&gt;=Hipótesis!$D$52)),0)</f>
        <v>56.6081081253583</v>
      </c>
      <c r="CD210" s="27" t="n">
        <f aca="false">IFERROR(CD196/(Hipótesis!$B$49*(CD$3&gt;=Hipótesis!$D$49)+Hipótesis!$B$52*(CD$3&gt;=Hipótesis!$D$52)),0)</f>
        <v>56.6081081253583</v>
      </c>
      <c r="CE210" s="27" t="n">
        <f aca="false">IFERROR(CE196/(Hipótesis!$B$49*(CE$3&gt;=Hipótesis!$D$49)+Hipótesis!$B$52*(CE$3&gt;=Hipótesis!$D$52)),0)</f>
        <v>56.6081081253583</v>
      </c>
      <c r="CF210" s="27" t="n">
        <f aca="false">IFERROR(CF196/(Hipótesis!$B$49*(CF$3&gt;=Hipótesis!$D$49)+Hipótesis!$B$52*(CF$3&gt;=Hipótesis!$D$52)),0)</f>
        <v>56.6081081253583</v>
      </c>
      <c r="CG210" s="27" t="n">
        <f aca="false">IFERROR(CG196/(Hipótesis!$B$49*(CG$3&gt;=Hipótesis!$D$49)+Hipótesis!$B$52*(CG$3&gt;=Hipótesis!$D$52)),0)</f>
        <v>56.6081081253583</v>
      </c>
      <c r="CH210" s="27" t="n">
        <f aca="false">IFERROR(CH196/(Hipótesis!$B$49*(CH$3&gt;=Hipótesis!$D$49)+Hipótesis!$B$52*(CH$3&gt;=Hipótesis!$D$52)),0)</f>
        <v>56.6081081253583</v>
      </c>
    </row>
    <row r="211" customFormat="false" ht="15" hidden="false" customHeight="false" outlineLevel="0" collapsed="false">
      <c r="A211" s="1" t="s">
        <v>872</v>
      </c>
      <c r="C211" s="28" t="n">
        <f aca="false">-(C182*(1-Logistica!$B$5)*Logistica!$B$7+C182*Logistica!$B$5*Logistica!$B$39)</f>
        <v>-4.78047324930469</v>
      </c>
      <c r="D211" s="28" t="n">
        <f aca="false">-(D182*(1-Logistica!$B$5)*Logistica!$B$7+D182*Logistica!$B$5*Logistica!$B$39)</f>
        <v>-10.5673619195156</v>
      </c>
      <c r="E211" s="28" t="n">
        <f aca="false">-(E182*(1-Logistica!$B$5)*Logistica!$B$7+E182*Logistica!$B$5*Logistica!$B$39)</f>
        <v>-29.1860472062813</v>
      </c>
      <c r="F211" s="28" t="n">
        <f aca="false">-(F182*(1-Logistica!$B$5)*Logistica!$B$7+F182*Logistica!$B$5*Logistica!$B$39)</f>
        <v>-43.0242592437422</v>
      </c>
      <c r="G211" s="28" t="n">
        <f aca="false">-(G182*(1-Logistica!$B$5)*Logistica!$B$7+G182*Logistica!$B$5*Logistica!$B$39)</f>
        <v>-55.8560558602969</v>
      </c>
      <c r="H211" s="28" t="n">
        <f aca="false">-(H182*(1-Logistica!$B$5)*Logistica!$B$7+H182*Logistica!$B$5*Logistica!$B$39)</f>
        <v>-80.2196958414023</v>
      </c>
      <c r="I211" s="28" t="n">
        <f aca="false">-(I182*(1-Logistica!$B$5)*Logistica!$B$7+I182*Logistica!$B$5*Logistica!$B$39)</f>
        <v>-111.638825543865</v>
      </c>
      <c r="J211" s="28" t="n">
        <f aca="false">-(J182*(1-Logistica!$B$5)*Logistica!$B$7+J182*Logistica!$B$5*Logistica!$B$39)</f>
        <v>-153.641189828365</v>
      </c>
      <c r="K211" s="28" t="n">
        <f aca="false">-(K182*(1-Logistica!$B$5)*Logistica!$B$7+K182*Logistica!$B$5*Logistica!$B$39)</f>
        <v>-195.643554112865</v>
      </c>
      <c r="L211" s="28" t="n">
        <f aca="false">-(L182*(1-Logistica!$B$5)*Logistica!$B$7+L182*Logistica!$B$5*Logistica!$B$39)</f>
        <v>-237.645918397364</v>
      </c>
      <c r="M211" s="28" t="n">
        <f aca="false">-(M182*(1-Logistica!$B$5)*Logistica!$B$7+M182*Logistica!$B$5*Logistica!$B$39)</f>
        <v>-266.816486065309</v>
      </c>
      <c r="N211" s="28" t="n">
        <f aca="false">-(N182*(1-Logistica!$B$5)*Logistica!$B$7+N182*Logistica!$B$5*Logistica!$B$39)</f>
        <v>-312.760644081692</v>
      </c>
      <c r="O211" s="28" t="n">
        <f aca="false">-(O182*(1-Logistica!$B$5)*Logistica!$B$7+O182*Logistica!$B$5*Logistica!$B$39)</f>
        <v>-358.704802098074</v>
      </c>
      <c r="P211" s="28" t="n">
        <f aca="false">-(P182*(1-Logistica!$B$5)*Logistica!$B$7+P182*Logistica!$B$5*Logistica!$B$39)</f>
        <v>-399.826552889281</v>
      </c>
      <c r="Q211" s="28" t="n">
        <f aca="false">-(Q182*(1-Logistica!$B$5)*Logistica!$B$7+Q182*Logistica!$B$5*Logistica!$B$39)</f>
        <v>-440.948303680488</v>
      </c>
      <c r="R211" s="28" t="n">
        <f aca="false">-(R182*(1-Logistica!$B$5)*Logistica!$B$7+R182*Logistica!$B$5*Logistica!$B$39)</f>
        <v>-482.070054471695</v>
      </c>
      <c r="S211" s="28" t="n">
        <f aca="false">-(S182*(1-Logistica!$B$5)*Logistica!$B$7+S182*Logistica!$B$5*Logistica!$B$39)</f>
        <v>-523.191805262901</v>
      </c>
      <c r="T211" s="28" t="n">
        <f aca="false">-(T182*(1-Logistica!$B$5)*Logistica!$B$7+T182*Logistica!$B$5*Logistica!$B$39)</f>
        <v>-564.313556054108</v>
      </c>
      <c r="U211" s="28" t="n">
        <f aca="false">-(U182*(1-Logistica!$B$5)*Logistica!$B$7+U182*Logistica!$B$5*Logistica!$B$39)</f>
        <v>-605.435306845315</v>
      </c>
      <c r="V211" s="28" t="n">
        <f aca="false">-(V182*(1-Logistica!$B$5)*Logistica!$B$7+V182*Logistica!$B$5*Logistica!$B$39)</f>
        <v>-646.557057636521</v>
      </c>
      <c r="W211" s="28" t="n">
        <f aca="false">-(W182*(1-Logistica!$B$5)*Logistica!$B$7+W182*Logistica!$B$5*Logistica!$B$39)</f>
        <v>-687.678808427728</v>
      </c>
      <c r="X211" s="28" t="n">
        <f aca="false">-(X182*(1-Logistica!$B$5)*Logistica!$B$7+X182*Logistica!$B$5*Logistica!$B$39)</f>
        <v>-712.026968870497</v>
      </c>
      <c r="Y211" s="28" t="n">
        <f aca="false">-(Y182*(1-Logistica!$B$5)*Logistica!$B$7+Y182*Logistica!$B$5*Logistica!$B$39)</f>
        <v>-736.375129313266</v>
      </c>
      <c r="Z211" s="28" t="n">
        <f aca="false">-(Z182*(1-Logistica!$B$5)*Logistica!$B$7+Z182*Logistica!$B$5*Logistica!$B$39)</f>
        <v>-754.01385361666</v>
      </c>
      <c r="AA211" s="28" t="n">
        <f aca="false">-(AA182*(1-Logistica!$B$5)*Logistica!$B$7+AA182*Logistica!$B$5*Logistica!$B$39)</f>
        <v>-771.652577920055</v>
      </c>
      <c r="AB211" s="28" t="n">
        <f aca="false">-(AB182*(1-Logistica!$B$5)*Logistica!$B$7+AB182*Logistica!$B$5*Logistica!$B$39)</f>
        <v>-789.291302223449</v>
      </c>
      <c r="AC211" s="28" t="n">
        <f aca="false">-(AC182*(1-Logistica!$B$5)*Logistica!$B$7+AC182*Logistica!$B$5*Logistica!$B$39)</f>
        <v>-806.930026526843</v>
      </c>
      <c r="AD211" s="28" t="n">
        <f aca="false">-(AD182*(1-Logistica!$B$5)*Logistica!$B$7+AD182*Logistica!$B$5*Logistica!$B$39)</f>
        <v>-824.568750830237</v>
      </c>
      <c r="AE211" s="28" t="n">
        <f aca="false">-(AE182*(1-Logistica!$B$5)*Logistica!$B$7+AE182*Logistica!$B$5*Logistica!$B$39)</f>
        <v>-842.207475133631</v>
      </c>
      <c r="AF211" s="28" t="n">
        <f aca="false">-(AF182*(1-Logistica!$B$5)*Logistica!$B$7+AF182*Logistica!$B$5*Logistica!$B$39)</f>
        <v>-859.846199437026</v>
      </c>
      <c r="AG211" s="28" t="n">
        <f aca="false">-(AG182*(1-Logistica!$B$5)*Logistica!$B$7+AG182*Logistica!$B$5*Logistica!$B$39)</f>
        <v>-877.48492374042</v>
      </c>
      <c r="AH211" s="28" t="n">
        <f aca="false">-(AH182*(1-Logistica!$B$5)*Logistica!$B$7+AH182*Logistica!$B$5*Logistica!$B$39)</f>
        <v>-895.123648043814</v>
      </c>
      <c r="AI211" s="28" t="n">
        <f aca="false">-(AI182*(1-Logistica!$B$5)*Logistica!$B$7+AI182*Logistica!$B$5*Logistica!$B$39)</f>
        <v>-912.762372347208</v>
      </c>
      <c r="AJ211" s="28" t="n">
        <f aca="false">-(AJ182*(1-Logistica!$B$5)*Logistica!$B$7+AJ182*Logistica!$B$5*Logistica!$B$39)</f>
        <v>-930.401096650602</v>
      </c>
      <c r="AK211" s="28" t="n">
        <f aca="false">-(AK182*(1-Logistica!$B$5)*Logistica!$B$7+AK182*Logistica!$B$5*Logistica!$B$39)</f>
        <v>-948.039820953997</v>
      </c>
      <c r="AL211" s="28" t="n">
        <f aca="false">-(AL182*(1-Logistica!$B$5)*Logistica!$B$7+AL182*Logistica!$B$5*Logistica!$B$39)</f>
        <v>-965.678545257391</v>
      </c>
      <c r="AM211" s="28" t="n">
        <f aca="false">-(AM182*(1-Logistica!$B$5)*Logistica!$B$7+AM182*Logistica!$B$5*Logistica!$B$39)</f>
        <v>-985.081141991124</v>
      </c>
      <c r="AN211" s="28" t="n">
        <f aca="false">-(AN182*(1-Logistica!$B$5)*Logistica!$B$7+AN182*Logistica!$B$5*Logistica!$B$39)</f>
        <v>-1004.48373872486</v>
      </c>
      <c r="AO211" s="28" t="n">
        <f aca="false">-(AO182*(1-Logistica!$B$5)*Logistica!$B$7+AO182*Logistica!$B$5*Logistica!$B$39)</f>
        <v>-1023.88633545859</v>
      </c>
      <c r="AP211" s="28" t="n">
        <f aca="false">-(AP182*(1-Logistica!$B$5)*Logistica!$B$7+AP182*Logistica!$B$5*Logistica!$B$39)</f>
        <v>-1043.28893219233</v>
      </c>
      <c r="AQ211" s="28" t="n">
        <f aca="false">-(AQ182*(1-Logistica!$B$5)*Logistica!$B$7+AQ182*Logistica!$B$5*Logistica!$B$39)</f>
        <v>-1062.69152892606</v>
      </c>
      <c r="AR211" s="28" t="n">
        <f aca="false">-(AR182*(1-Logistica!$B$5)*Logistica!$B$7+AR182*Logistica!$B$5*Logistica!$B$39)</f>
        <v>-1082.09412565979</v>
      </c>
      <c r="AS211" s="28" t="n">
        <f aca="false">-(AS182*(1-Logistica!$B$5)*Logistica!$B$7+AS182*Logistica!$B$5*Logistica!$B$39)</f>
        <v>-1082.09412565979</v>
      </c>
      <c r="AT211" s="28" t="n">
        <f aca="false">-(AT182*(1-Logistica!$B$5)*Logistica!$B$7+AT182*Logistica!$B$5*Logistica!$B$39)</f>
        <v>-1082.09412565979</v>
      </c>
      <c r="AU211" s="28" t="n">
        <f aca="false">-(AU182*(1-Logistica!$B$5)*Logistica!$B$7+AU182*Logistica!$B$5*Logistica!$B$39)</f>
        <v>-1082.09412565979</v>
      </c>
      <c r="AV211" s="28" t="n">
        <f aca="false">-(AV182*(1-Logistica!$B$5)*Logistica!$B$7+AV182*Logistica!$B$5*Logistica!$B$39)</f>
        <v>-1082.09412565979</v>
      </c>
      <c r="AW211" s="28" t="n">
        <f aca="false">-(AW182*(1-Logistica!$B$5)*Logistica!$B$7+AW182*Logistica!$B$5*Logistica!$B$39)</f>
        <v>-1082.09412565979</v>
      </c>
      <c r="AX211" s="28" t="n">
        <f aca="false">-(AX182*(1-Logistica!$B$5)*Logistica!$B$7+AX182*Logistica!$B$5*Logistica!$B$39)</f>
        <v>-1082.09412565979</v>
      </c>
      <c r="AY211" s="28" t="n">
        <f aca="false">-(AY182*(1-Logistica!$B$5)*Logistica!$B$7+AY182*Logistica!$B$5*Logistica!$B$39)</f>
        <v>-1082.09412565979</v>
      </c>
      <c r="AZ211" s="28" t="n">
        <f aca="false">-(AZ182*(1-Logistica!$B$5)*Logistica!$B$7+AZ182*Logistica!$B$5*Logistica!$B$39)</f>
        <v>-1082.09412565979</v>
      </c>
      <c r="BA211" s="28" t="n">
        <f aca="false">-(BA182*(1-Logistica!$B$5)*Logistica!$B$7+BA182*Logistica!$B$5*Logistica!$B$39)</f>
        <v>-1082.09412565979</v>
      </c>
      <c r="BB211" s="28" t="n">
        <f aca="false">-(BB182*(1-Logistica!$B$5)*Logistica!$B$7+BB182*Logistica!$B$5*Logistica!$B$39)</f>
        <v>-1082.09412565979</v>
      </c>
      <c r="BC211" s="28" t="n">
        <f aca="false">-(BC182*(1-Logistica!$B$5)*Logistica!$B$7+BC182*Logistica!$B$5*Logistica!$B$39)</f>
        <v>-1082.09412565979</v>
      </c>
      <c r="BD211" s="28" t="n">
        <f aca="false">-(BD182*(1-Logistica!$B$5)*Logistica!$B$7+BD182*Logistica!$B$5*Logistica!$B$39)</f>
        <v>-1082.09412565979</v>
      </c>
      <c r="BE211" s="28" t="n">
        <f aca="false">-(BE182*(1-Logistica!$B$5)*Logistica!$B$7+BE182*Logistica!$B$5*Logistica!$B$39)</f>
        <v>-1082.09412565979</v>
      </c>
      <c r="BF211" s="28" t="n">
        <f aca="false">-(BF182*(1-Logistica!$B$5)*Logistica!$B$7+BF182*Logistica!$B$5*Logistica!$B$39)</f>
        <v>-1082.09412565979</v>
      </c>
      <c r="BG211" s="28" t="n">
        <f aca="false">-(BG182*(1-Logistica!$B$5)*Logistica!$B$7+BG182*Logistica!$B$5*Logistica!$B$39)</f>
        <v>-1082.09412565979</v>
      </c>
      <c r="BH211" s="28" t="n">
        <f aca="false">-(BH182*(1-Logistica!$B$5)*Logistica!$B$7+BH182*Logistica!$B$5*Logistica!$B$39)</f>
        <v>-1082.09412565979</v>
      </c>
      <c r="BI211" s="28" t="n">
        <f aca="false">-(BI182*(1-Logistica!$B$5)*Logistica!$B$7+BI182*Logistica!$B$5*Logistica!$B$39)</f>
        <v>-1082.09412565979</v>
      </c>
      <c r="BJ211" s="28" t="n">
        <f aca="false">-(BJ182*(1-Logistica!$B$5)*Logistica!$B$7+BJ182*Logistica!$B$5*Logistica!$B$39)</f>
        <v>-1082.09412565979</v>
      </c>
      <c r="BK211" s="28" t="n">
        <f aca="false">-(BK182*(1-Logistica!$B$5)*Logistica!$B$7+BK182*Logistica!$B$5*Logistica!$B$39)</f>
        <v>-1082.09412565979</v>
      </c>
      <c r="BL211" s="28" t="n">
        <f aca="false">-(BL182*(1-Logistica!$B$5)*Logistica!$B$7+BL182*Logistica!$B$5*Logistica!$B$39)</f>
        <v>-1082.09412565979</v>
      </c>
      <c r="BM211" s="28" t="n">
        <f aca="false">-(BM182*(1-Logistica!$B$5)*Logistica!$B$7+BM182*Logistica!$B$5*Logistica!$B$39)</f>
        <v>-1082.09412565979</v>
      </c>
      <c r="BN211" s="28" t="n">
        <f aca="false">-(BN182*(1-Logistica!$B$5)*Logistica!$B$7+BN182*Logistica!$B$5*Logistica!$B$39)</f>
        <v>-1082.09412565979</v>
      </c>
      <c r="BO211" s="28" t="n">
        <f aca="false">-(BO182*(1-Logistica!$B$5)*Logistica!$B$7+BO182*Logistica!$B$5*Logistica!$B$39)</f>
        <v>-1082.09412565979</v>
      </c>
      <c r="BP211" s="28" t="n">
        <f aca="false">-(BP182*(1-Logistica!$B$5)*Logistica!$B$7+BP182*Logistica!$B$5*Logistica!$B$39)</f>
        <v>-1082.09412565979</v>
      </c>
      <c r="BQ211" s="28" t="n">
        <f aca="false">-(BQ182*(1-Logistica!$B$5)*Logistica!$B$7+BQ182*Logistica!$B$5*Logistica!$B$39)</f>
        <v>-1082.09412565979</v>
      </c>
      <c r="BR211" s="28" t="n">
        <f aca="false">-(BR182*(1-Logistica!$B$5)*Logistica!$B$7+BR182*Logistica!$B$5*Logistica!$B$39)</f>
        <v>-1082.09412565979</v>
      </c>
      <c r="BS211" s="28" t="n">
        <f aca="false">-(BS182*(1-Logistica!$B$5)*Logistica!$B$7+BS182*Logistica!$B$5*Logistica!$B$39)</f>
        <v>-1082.09412565979</v>
      </c>
      <c r="BT211" s="28" t="n">
        <f aca="false">-(BT182*(1-Logistica!$B$5)*Logistica!$B$7+BT182*Logistica!$B$5*Logistica!$B$39)</f>
        <v>-1082.09412565979</v>
      </c>
      <c r="BU211" s="28" t="n">
        <f aca="false">-(BU182*(1-Logistica!$B$5)*Logistica!$B$7+BU182*Logistica!$B$5*Logistica!$B$39)</f>
        <v>-1082.09412565979</v>
      </c>
      <c r="BV211" s="28" t="n">
        <f aca="false">-(BV182*(1-Logistica!$B$5)*Logistica!$B$7+BV182*Logistica!$B$5*Logistica!$B$39)</f>
        <v>-1082.09412565979</v>
      </c>
      <c r="BW211" s="28" t="n">
        <f aca="false">-(BW182*(1-Logistica!$B$5)*Logistica!$B$7+BW182*Logistica!$B$5*Logistica!$B$39)</f>
        <v>-1082.09412565979</v>
      </c>
      <c r="BX211" s="28" t="n">
        <f aca="false">-(BX182*(1-Logistica!$B$5)*Logistica!$B$7+BX182*Logistica!$B$5*Logistica!$B$39)</f>
        <v>-1082.09412565979</v>
      </c>
      <c r="BY211" s="28" t="n">
        <f aca="false">-(BY182*(1-Logistica!$B$5)*Logistica!$B$7+BY182*Logistica!$B$5*Logistica!$B$39)</f>
        <v>-1082.09412565979</v>
      </c>
      <c r="BZ211" s="28" t="n">
        <f aca="false">-(BZ182*(1-Logistica!$B$5)*Logistica!$B$7+BZ182*Logistica!$B$5*Logistica!$B$39)</f>
        <v>-1082.09412565979</v>
      </c>
      <c r="CA211" s="28" t="n">
        <f aca="false">-(CA182*(1-Logistica!$B$5)*Logistica!$B$7+CA182*Logistica!$B$5*Logistica!$B$39)</f>
        <v>-1082.09412565979</v>
      </c>
      <c r="CB211" s="28" t="n">
        <f aca="false">-(CB182*(1-Logistica!$B$5)*Logistica!$B$7+CB182*Logistica!$B$5*Logistica!$B$39)</f>
        <v>-1082.09412565979</v>
      </c>
      <c r="CC211" s="28" t="n">
        <f aca="false">-(CC182*(1-Logistica!$B$5)*Logistica!$B$7+CC182*Logistica!$B$5*Logistica!$B$39)</f>
        <v>-1082.09412565979</v>
      </c>
      <c r="CD211" s="28" t="n">
        <f aca="false">-(CD182*(1-Logistica!$B$5)*Logistica!$B$7+CD182*Logistica!$B$5*Logistica!$B$39)</f>
        <v>-1082.09412565979</v>
      </c>
      <c r="CE211" s="28" t="n">
        <f aca="false">-(CE182*(1-Logistica!$B$5)*Logistica!$B$7+CE182*Logistica!$B$5*Logistica!$B$39)</f>
        <v>-1082.09412565979</v>
      </c>
      <c r="CF211" s="28" t="n">
        <f aca="false">-(CF182*(1-Logistica!$B$5)*Logistica!$B$7+CF182*Logistica!$B$5*Logistica!$B$39)</f>
        <v>-1082.09412565979</v>
      </c>
      <c r="CG211" s="28" t="n">
        <f aca="false">-(CG182*(1-Logistica!$B$5)*Logistica!$B$7+CG182*Logistica!$B$5*Logistica!$B$39)</f>
        <v>-1082.09412565979</v>
      </c>
      <c r="CH211" s="28" t="n">
        <f aca="false">-(CH182*(1-Logistica!$B$5)*Logistica!$B$7+CH182*Logistica!$B$5*Logistica!$B$39)</f>
        <v>-1082.09412565979</v>
      </c>
    </row>
    <row r="212" customFormat="false" ht="15" hidden="false" customHeight="false" outlineLevel="0" collapsed="false">
      <c r="A212" s="1" t="s">
        <v>873</v>
      </c>
      <c r="C212" s="28" t="n">
        <f aca="false">(C186+C192)*Hipótesis!$C$66/30</f>
        <v>1115.775</v>
      </c>
      <c r="D212" s="28" t="n">
        <f aca="false">(D186+D192)*Hipótesis!$C$66/30</f>
        <v>2316.114</v>
      </c>
      <c r="E212" s="28" t="n">
        <f aca="false">(E186+E192)*Hipótesis!$C$66/30</f>
        <v>4814.2755</v>
      </c>
      <c r="F212" s="28" t="n">
        <f aca="false">(F186+F192)*Hipótesis!$C$66/30</f>
        <v>6196.662</v>
      </c>
      <c r="G212" s="28" t="n">
        <f aca="false">(G186+G192)*Hipótesis!$C$66/30</f>
        <v>7494.4845</v>
      </c>
      <c r="H212" s="28" t="n">
        <f aca="false">(H186+H192)*Hipótesis!$C$66/30</f>
        <v>9567.477</v>
      </c>
      <c r="I212" s="28" t="n">
        <f aca="false">(I186+I192)*Hipótesis!$C$66/30</f>
        <v>12551.0135382564</v>
      </c>
      <c r="J212" s="28" t="n">
        <f aca="false">(J186+J192)*Hipótesis!$C$66/30</f>
        <v>16900.3661338975</v>
      </c>
      <c r="K212" s="28" t="n">
        <f aca="false">(K186+K192)*Hipótesis!$C$66/30</f>
        <v>21249.7187295386</v>
      </c>
      <c r="L212" s="28" t="n">
        <f aca="false">(L186+L192)*Hipótesis!$C$66/30</f>
        <v>25599.0713251797</v>
      </c>
      <c r="M212" s="28" t="n">
        <f aca="false">(M186+M192)*Hipótesis!$C$66/30</f>
        <v>28650.6014208208</v>
      </c>
      <c r="N212" s="28" t="n">
        <f aca="false">(N186+N192)*Hipótesis!$C$66/30</f>
        <v>32759.1815164618</v>
      </c>
      <c r="O212" s="28" t="n">
        <f aca="false">(O186+O192)*Hipótesis!$C$66/30</f>
        <v>36867.7616121029</v>
      </c>
      <c r="P212" s="28" t="n">
        <f aca="false">(P186+P192)*Hipótesis!$C$66/30</f>
        <v>40595.803707744</v>
      </c>
      <c r="Q212" s="28" t="n">
        <f aca="false">(Q186+Q192)*Hipótesis!$C$66/30</f>
        <v>44323.8458033851</v>
      </c>
      <c r="R212" s="28" t="n">
        <f aca="false">(R186+R192)*Hipótesis!$C$66/30</f>
        <v>48051.8878990262</v>
      </c>
      <c r="S212" s="28" t="n">
        <f aca="false">(S186+S192)*Hipótesis!$C$66/30</f>
        <v>51779.9299946673</v>
      </c>
      <c r="T212" s="28" t="n">
        <f aca="false">(T186+T192)*Hipótesis!$C$66/30</f>
        <v>55507.9720903083</v>
      </c>
      <c r="U212" s="28" t="n">
        <f aca="false">(U186+U192)*Hipótesis!$C$66/30</f>
        <v>59236.0141859494</v>
      </c>
      <c r="V212" s="28" t="n">
        <f aca="false">(V186+V192)*Hipótesis!$C$66/30</f>
        <v>62964.0562815905</v>
      </c>
      <c r="W212" s="28" t="n">
        <f aca="false">(W186+W192)*Hipótesis!$C$66/30</f>
        <v>66692.0983772316</v>
      </c>
      <c r="X212" s="28" t="n">
        <f aca="false">(X186+X192)*Hipótesis!$C$66/30</f>
        <v>69363.0904728727</v>
      </c>
      <c r="Y212" s="28" t="n">
        <f aca="false">(Y186+Y192)*Hipótesis!$C$66/30</f>
        <v>72034.0825685137</v>
      </c>
      <c r="Z212" s="28" t="n">
        <f aca="false">(Z186+Z192)*Hipótesis!$C$66/30</f>
        <v>74310.4426641548</v>
      </c>
      <c r="AA212" s="28" t="n">
        <f aca="false">(AA186+AA192)*Hipótesis!$C$66/30</f>
        <v>76586.8027597959</v>
      </c>
      <c r="AB212" s="28" t="n">
        <f aca="false">(AB186+AB192)*Hipótesis!$C$66/30</f>
        <v>78863.162855437</v>
      </c>
      <c r="AC212" s="28" t="n">
        <f aca="false">(AC186+AC192)*Hipótesis!$C$66/30</f>
        <v>81139.5229510781</v>
      </c>
      <c r="AD212" s="28" t="n">
        <f aca="false">(AD186+AD192)*Hipótesis!$C$66/30</f>
        <v>83415.8830467192</v>
      </c>
      <c r="AE212" s="28" t="n">
        <f aca="false">(AE186+AE192)*Hipótesis!$C$66/30</f>
        <v>85692.2431423602</v>
      </c>
      <c r="AF212" s="28" t="n">
        <f aca="false">(AF186+AF192)*Hipótesis!$C$66/30</f>
        <v>87968.6032380013</v>
      </c>
      <c r="AG212" s="28" t="n">
        <f aca="false">(AG186+AG192)*Hipótesis!$C$66/30</f>
        <v>90244.9633336424</v>
      </c>
      <c r="AH212" s="28" t="n">
        <f aca="false">(AH186+AH192)*Hipótesis!$C$66/30</f>
        <v>92521.3234292835</v>
      </c>
      <c r="AI212" s="28" t="n">
        <f aca="false">(AI186+AI192)*Hipótesis!$C$66/30</f>
        <v>94797.6835249246</v>
      </c>
      <c r="AJ212" s="28" t="n">
        <f aca="false">(AJ186+AJ192)*Hipótesis!$C$66/30</f>
        <v>97074.0436205656</v>
      </c>
      <c r="AK212" s="28" t="n">
        <f aca="false">(AK186+AK192)*Hipótesis!$C$66/30</f>
        <v>99350.4037162067</v>
      </c>
      <c r="AL212" s="28" t="n">
        <f aca="false">(AL186+AL192)*Hipótesis!$C$66/30</f>
        <v>101626.763811848</v>
      </c>
      <c r="AM212" s="28" t="n">
        <f aca="false">(AM186+AM192)*Hipótesis!$C$66/30</f>
        <v>104130.759917053</v>
      </c>
      <c r="AN212" s="28" t="n">
        <f aca="false">(AN186+AN192)*Hipótesis!$C$66/30</f>
        <v>106634.756022258</v>
      </c>
      <c r="AO212" s="28" t="n">
        <f aca="false">(AO186+AO192)*Hipótesis!$C$66/30</f>
        <v>109138.752127463</v>
      </c>
      <c r="AP212" s="28" t="n">
        <f aca="false">(AP186+AP192)*Hipótesis!$C$66/30</f>
        <v>111642.748232669</v>
      </c>
      <c r="AQ212" s="28" t="n">
        <f aca="false">(AQ186+AQ192)*Hipótesis!$C$66/30</f>
        <v>114146.744337874</v>
      </c>
      <c r="AR212" s="28" t="n">
        <f aca="false">(AR186+AR192)*Hipótesis!$C$66/30</f>
        <v>116650.740443079</v>
      </c>
      <c r="AS212" s="28" t="n">
        <f aca="false">(AS186+AS192)*Hipótesis!$C$66/30</f>
        <v>116650.740443079</v>
      </c>
      <c r="AT212" s="28" t="n">
        <f aca="false">(AT186+AT192)*Hipótesis!$C$66/30</f>
        <v>116650.740443079</v>
      </c>
      <c r="AU212" s="28" t="n">
        <f aca="false">(AU186+AU192)*Hipótesis!$C$66/30</f>
        <v>116650.740443079</v>
      </c>
      <c r="AV212" s="28" t="n">
        <f aca="false">(AV186+AV192)*Hipótesis!$C$66/30</f>
        <v>116650.740443079</v>
      </c>
      <c r="AW212" s="28" t="n">
        <f aca="false">(AW186+AW192)*Hipótesis!$C$66/30</f>
        <v>116650.740443079</v>
      </c>
      <c r="AX212" s="28" t="n">
        <f aca="false">(AX186+AX192)*Hipótesis!$C$66/30</f>
        <v>116650.740443079</v>
      </c>
      <c r="AY212" s="28" t="n">
        <f aca="false">(AY186+AY192)*Hipótesis!$C$66/30</f>
        <v>116650.740443079</v>
      </c>
      <c r="AZ212" s="28" t="n">
        <f aca="false">(AZ186+AZ192)*Hipótesis!$C$66/30</f>
        <v>116650.740443079</v>
      </c>
      <c r="BA212" s="28" t="n">
        <f aca="false">(BA186+BA192)*Hipótesis!$C$66/30</f>
        <v>116650.740443079</v>
      </c>
      <c r="BB212" s="28" t="n">
        <f aca="false">(BB186+BB192)*Hipótesis!$C$66/30</f>
        <v>116650.740443079</v>
      </c>
      <c r="BC212" s="28" t="n">
        <f aca="false">(BC186+BC192)*Hipótesis!$C$66/30</f>
        <v>116650.740443079</v>
      </c>
      <c r="BD212" s="28" t="n">
        <f aca="false">(BD186+BD192)*Hipótesis!$C$66/30</f>
        <v>116650.740443079</v>
      </c>
      <c r="BE212" s="28" t="n">
        <f aca="false">(BE186+BE192)*Hipótesis!$C$66/30</f>
        <v>116650.740443079</v>
      </c>
      <c r="BF212" s="28" t="n">
        <f aca="false">(BF186+BF192)*Hipótesis!$C$66/30</f>
        <v>116650.740443079</v>
      </c>
      <c r="BG212" s="28" t="n">
        <f aca="false">(BG186+BG192)*Hipótesis!$C$66/30</f>
        <v>116650.740443079</v>
      </c>
      <c r="BH212" s="28" t="n">
        <f aca="false">(BH186+BH192)*Hipótesis!$C$66/30</f>
        <v>116650.740443079</v>
      </c>
      <c r="BI212" s="28" t="n">
        <f aca="false">(BI186+BI192)*Hipótesis!$C$66/30</f>
        <v>116650.740443079</v>
      </c>
      <c r="BJ212" s="28" t="n">
        <f aca="false">(BJ186+BJ192)*Hipótesis!$C$66/30</f>
        <v>116650.740443079</v>
      </c>
      <c r="BK212" s="28" t="n">
        <f aca="false">(BK186+BK192)*Hipótesis!$C$66/30</f>
        <v>116650.740443079</v>
      </c>
      <c r="BL212" s="28" t="n">
        <f aca="false">(BL186+BL192)*Hipótesis!$C$66/30</f>
        <v>116650.740443079</v>
      </c>
      <c r="BM212" s="28" t="n">
        <f aca="false">(BM186+BM192)*Hipótesis!$C$66/30</f>
        <v>116650.740443079</v>
      </c>
      <c r="BN212" s="28" t="n">
        <f aca="false">(BN186+BN192)*Hipótesis!$C$66/30</f>
        <v>116650.740443079</v>
      </c>
      <c r="BO212" s="28" t="n">
        <f aca="false">(BO186+BO192)*Hipótesis!$C$66/30</f>
        <v>116650.740443079</v>
      </c>
      <c r="BP212" s="28" t="n">
        <f aca="false">(BP186+BP192)*Hipótesis!$C$66/30</f>
        <v>116650.740443079</v>
      </c>
      <c r="BQ212" s="28" t="n">
        <f aca="false">(BQ186+BQ192)*Hipótesis!$C$66/30</f>
        <v>116650.740443079</v>
      </c>
      <c r="BR212" s="28" t="n">
        <f aca="false">(BR186+BR192)*Hipótesis!$C$66/30</f>
        <v>116650.740443079</v>
      </c>
      <c r="BS212" s="28" t="n">
        <f aca="false">(BS186+BS192)*Hipótesis!$C$66/30</f>
        <v>116650.740443079</v>
      </c>
      <c r="BT212" s="28" t="n">
        <f aca="false">(BT186+BT192)*Hipótesis!$C$66/30</f>
        <v>116650.740443079</v>
      </c>
      <c r="BU212" s="28" t="n">
        <f aca="false">(BU186+BU192)*Hipótesis!$C$66/30</f>
        <v>116650.740443079</v>
      </c>
      <c r="BV212" s="28" t="n">
        <f aca="false">(BV186+BV192)*Hipótesis!$C$66/30</f>
        <v>116650.740443079</v>
      </c>
      <c r="BW212" s="28" t="n">
        <f aca="false">(BW186+BW192)*Hipótesis!$C$66/30</f>
        <v>116650.740443079</v>
      </c>
      <c r="BX212" s="28" t="n">
        <f aca="false">(BX186+BX192)*Hipótesis!$C$66/30</f>
        <v>116650.740443079</v>
      </c>
      <c r="BY212" s="28" t="n">
        <f aca="false">(BY186+BY192)*Hipótesis!$C$66/30</f>
        <v>116650.740443079</v>
      </c>
      <c r="BZ212" s="28" t="n">
        <f aca="false">(BZ186+BZ192)*Hipótesis!$C$66/30</f>
        <v>116650.740443079</v>
      </c>
      <c r="CA212" s="28" t="n">
        <f aca="false">(CA186+CA192)*Hipótesis!$C$66/30</f>
        <v>116650.740443079</v>
      </c>
      <c r="CB212" s="28" t="n">
        <f aca="false">(CB186+CB192)*Hipótesis!$C$66/30</f>
        <v>116650.740443079</v>
      </c>
      <c r="CC212" s="28" t="n">
        <f aca="false">(CC186+CC192)*Hipótesis!$C$66/30</f>
        <v>116650.740443079</v>
      </c>
      <c r="CD212" s="28" t="n">
        <f aca="false">(CD186+CD192)*Hipótesis!$C$66/30</f>
        <v>116650.740443079</v>
      </c>
      <c r="CE212" s="28" t="n">
        <f aca="false">(CE186+CE192)*Hipótesis!$C$66/30</f>
        <v>116650.740443079</v>
      </c>
      <c r="CF212" s="28" t="n">
        <f aca="false">(CF186+CF192)*Hipótesis!$C$66/30</f>
        <v>116650.740443079</v>
      </c>
      <c r="CG212" s="28" t="n">
        <f aca="false">(CG186+CG192)*Hipótesis!$C$66/30</f>
        <v>116650.740443079</v>
      </c>
      <c r="CH212" s="28" t="n">
        <f aca="false">(CH186+CH192)*Hipótesis!$C$66/30</f>
        <v>116650.740443079</v>
      </c>
    </row>
    <row r="213" customFormat="false" ht="15" hidden="false" customHeight="false" outlineLevel="0" collapsed="false">
      <c r="A213" s="1" t="s">
        <v>874</v>
      </c>
      <c r="C213" s="28" t="n">
        <f aca="false">(C190+C193)*Restaurantes!$D$28/30</f>
        <v>640.406435494379</v>
      </c>
      <c r="D213" s="28" t="n">
        <f aca="false">(D190+D193)*Restaurantes!$D$28/30</f>
        <v>1280.81287098876</v>
      </c>
      <c r="E213" s="28" t="n">
        <f aca="false">(E190+E193)*Restaurantes!$D$28/30</f>
        <v>1921.21930648314</v>
      </c>
      <c r="F213" s="28" t="n">
        <f aca="false">(F190+F193)*Restaurantes!$D$28/30</f>
        <v>2561.62574197751</v>
      </c>
      <c r="G213" s="28" t="n">
        <f aca="false">(G190+G193)*Restaurantes!$D$28/30</f>
        <v>480.304826620784</v>
      </c>
      <c r="H213" s="28" t="n">
        <f aca="false">(H190+H193)*Restaurantes!$D$28/30</f>
        <v>3842.43861296627</v>
      </c>
      <c r="I213" s="28" t="n">
        <f aca="false">(I190+I193)*Restaurantes!$D$28/30</f>
        <v>4482.84504846065</v>
      </c>
      <c r="J213" s="28" t="n">
        <f aca="false">(J190+J193)*Restaurantes!$D$28/30</f>
        <v>5123.25148395503</v>
      </c>
      <c r="K213" s="28" t="n">
        <f aca="false">(K190+K193)*Restaurantes!$D$28/30</f>
        <v>5763.65791944941</v>
      </c>
      <c r="L213" s="28" t="n">
        <f aca="false">(L190+L193)*Restaurantes!$D$28/30</f>
        <v>6404.06435494379</v>
      </c>
      <c r="M213" s="28" t="n">
        <f aca="false">(M190+M193)*Restaurantes!$D$28/30</f>
        <v>7044.47079043816</v>
      </c>
      <c r="N213" s="28" t="n">
        <f aca="false">(N190+N193)*Restaurantes!$D$28/30</f>
        <v>7684.87722593254</v>
      </c>
      <c r="O213" s="28" t="n">
        <f aca="false">(O190+O193)*Restaurantes!$D$28/30</f>
        <v>8325.28366142692</v>
      </c>
      <c r="P213" s="28" t="n">
        <f aca="false">(P190+P193)*Restaurantes!$D$28/30</f>
        <v>8965.6900969213</v>
      </c>
      <c r="Q213" s="28" t="n">
        <f aca="false">(Q190+Q193)*Restaurantes!$D$28/30</f>
        <v>9606.09653241568</v>
      </c>
      <c r="R213" s="28" t="n">
        <f aca="false">(R190+R193)*Restaurantes!$D$28/30</f>
        <v>10246.5029679101</v>
      </c>
      <c r="S213" s="28" t="n">
        <f aca="false">(S190+S193)*Restaurantes!$D$28/30</f>
        <v>1633.03641051067</v>
      </c>
      <c r="T213" s="28" t="n">
        <f aca="false">(T190+T193)*Restaurantes!$D$28/30</f>
        <v>11527.3158388988</v>
      </c>
      <c r="U213" s="28" t="n">
        <f aca="false">(U190+U193)*Restaurantes!$D$28/30</f>
        <v>12167.7222743932</v>
      </c>
      <c r="V213" s="28" t="n">
        <f aca="false">(V190+V193)*Restaurantes!$D$28/30</f>
        <v>12808.1287098876</v>
      </c>
      <c r="W213" s="28" t="n">
        <f aca="false">(W190+W193)*Restaurantes!$D$28/30</f>
        <v>13448.535145382</v>
      </c>
      <c r="X213" s="28" t="n">
        <f aca="false">(X190+X193)*Restaurantes!$D$28/30</f>
        <v>14088.9415808763</v>
      </c>
      <c r="Y213" s="28" t="n">
        <f aca="false">(Y190+Y193)*Restaurantes!$D$28/30</f>
        <v>14729.3480163707</v>
      </c>
      <c r="Z213" s="28" t="n">
        <f aca="false">(Z190+Z193)*Restaurantes!$D$28/30</f>
        <v>15369.7544518651</v>
      </c>
      <c r="AA213" s="28" t="n">
        <f aca="false">(AA190+AA193)*Restaurantes!$D$28/30</f>
        <v>16010.1608873595</v>
      </c>
      <c r="AB213" s="28" t="n">
        <f aca="false">(AB190+AB193)*Restaurantes!$D$28/30</f>
        <v>16650.5673228538</v>
      </c>
      <c r="AC213" s="28" t="n">
        <f aca="false">(AC190+AC193)*Restaurantes!$D$28/30</f>
        <v>17290.9737583482</v>
      </c>
      <c r="AD213" s="28" t="n">
        <f aca="false">(AD190+AD193)*Restaurantes!$D$28/30</f>
        <v>17931.3801938426</v>
      </c>
      <c r="AE213" s="28" t="n">
        <f aca="false">(AE190+AE193)*Restaurantes!$D$28/30</f>
        <v>2785.76799440055</v>
      </c>
      <c r="AF213" s="28" t="n">
        <f aca="false">(AF190+AF193)*Restaurantes!$D$28/30</f>
        <v>19212.1930648314</v>
      </c>
      <c r="AG213" s="28" t="n">
        <f aca="false">(AG190+AG193)*Restaurantes!$D$28/30</f>
        <v>19852.5995003257</v>
      </c>
      <c r="AH213" s="28" t="n">
        <f aca="false">(AH190+AH193)*Restaurantes!$D$28/30</f>
        <v>20493.0059358201</v>
      </c>
      <c r="AI213" s="28" t="n">
        <f aca="false">(AI190+AI193)*Restaurantes!$D$28/30</f>
        <v>21133.4123713145</v>
      </c>
      <c r="AJ213" s="28" t="n">
        <f aca="false">(AJ190+AJ193)*Restaurantes!$D$28/30</f>
        <v>21773.8188068089</v>
      </c>
      <c r="AK213" s="28" t="n">
        <f aca="false">(AK190+AK193)*Restaurantes!$D$28/30</f>
        <v>22414.2252423033</v>
      </c>
      <c r="AL213" s="28" t="n">
        <f aca="false">(AL190+AL193)*Restaurantes!$D$28/30</f>
        <v>23054.6316777976</v>
      </c>
      <c r="AM213" s="28" t="n">
        <f aca="false">(AM190+AM193)*Restaurantes!$D$28/30</f>
        <v>23054.6316777976</v>
      </c>
      <c r="AN213" s="28" t="n">
        <f aca="false">(AN190+AN193)*Restaurantes!$D$28/30</f>
        <v>23054.6316777976</v>
      </c>
      <c r="AO213" s="28" t="n">
        <f aca="false">(AO190+AO193)*Restaurantes!$D$28/30</f>
        <v>23054.6316777976</v>
      </c>
      <c r="AP213" s="28" t="n">
        <f aca="false">(AP190+AP193)*Restaurantes!$D$28/30</f>
        <v>23054.6316777976</v>
      </c>
      <c r="AQ213" s="28" t="n">
        <f aca="false">(AQ190+AQ193)*Restaurantes!$D$28/30</f>
        <v>3458.19475166964</v>
      </c>
      <c r="AR213" s="28" t="n">
        <f aca="false">(AR190+AR193)*Restaurantes!$D$28/30</f>
        <v>23054.6316777976</v>
      </c>
      <c r="AS213" s="28" t="n">
        <f aca="false">(AS190+AS193)*Restaurantes!$D$28/30</f>
        <v>23054.6316777976</v>
      </c>
      <c r="AT213" s="28" t="n">
        <f aca="false">(AT190+AT193)*Restaurantes!$D$28/30</f>
        <v>23054.6316777976</v>
      </c>
      <c r="AU213" s="28" t="n">
        <f aca="false">(AU190+AU193)*Restaurantes!$D$28/30</f>
        <v>23054.6316777976</v>
      </c>
      <c r="AV213" s="28" t="n">
        <f aca="false">(AV190+AV193)*Restaurantes!$D$28/30</f>
        <v>23054.6316777976</v>
      </c>
      <c r="AW213" s="28" t="n">
        <f aca="false">(AW190+AW193)*Restaurantes!$D$28/30</f>
        <v>23054.6316777976</v>
      </c>
      <c r="AX213" s="28" t="n">
        <f aca="false">(AX190+AX193)*Restaurantes!$D$28/30</f>
        <v>23054.6316777976</v>
      </c>
      <c r="AY213" s="28" t="n">
        <f aca="false">(AY190+AY193)*Restaurantes!$D$28/30</f>
        <v>23054.6316777976</v>
      </c>
      <c r="AZ213" s="28" t="n">
        <f aca="false">(AZ190+AZ193)*Restaurantes!$D$28/30</f>
        <v>23054.6316777976</v>
      </c>
      <c r="BA213" s="28" t="n">
        <f aca="false">(BA190+BA193)*Restaurantes!$D$28/30</f>
        <v>23054.6316777976</v>
      </c>
      <c r="BB213" s="28" t="n">
        <f aca="false">(BB190+BB193)*Restaurantes!$D$28/30</f>
        <v>23054.6316777976</v>
      </c>
      <c r="BC213" s="28" t="n">
        <f aca="false">(BC190+BC193)*Restaurantes!$D$28/30</f>
        <v>3458.19475166964</v>
      </c>
      <c r="BD213" s="28" t="n">
        <f aca="false">(BD190+BD193)*Restaurantes!$D$28/30</f>
        <v>23054.6316777976</v>
      </c>
      <c r="BE213" s="28" t="n">
        <f aca="false">(BE190+BE193)*Restaurantes!$D$28/30</f>
        <v>23054.6316777976</v>
      </c>
      <c r="BF213" s="28" t="n">
        <f aca="false">(BF190+BF193)*Restaurantes!$D$28/30</f>
        <v>23054.6316777976</v>
      </c>
      <c r="BG213" s="28" t="n">
        <f aca="false">(BG190+BG193)*Restaurantes!$D$28/30</f>
        <v>23054.6316777976</v>
      </c>
      <c r="BH213" s="28" t="n">
        <f aca="false">(BH190+BH193)*Restaurantes!$D$28/30</f>
        <v>23054.6316777976</v>
      </c>
      <c r="BI213" s="28" t="n">
        <f aca="false">(BI190+BI193)*Restaurantes!$D$28/30</f>
        <v>23054.6316777976</v>
      </c>
      <c r="BJ213" s="28" t="n">
        <f aca="false">(BJ190+BJ193)*Restaurantes!$D$28/30</f>
        <v>23054.6316777976</v>
      </c>
      <c r="BK213" s="28" t="n">
        <f aca="false">(BK190+BK193)*Restaurantes!$D$28/30</f>
        <v>23054.6316777976</v>
      </c>
      <c r="BL213" s="28" t="n">
        <f aca="false">(BL190+BL193)*Restaurantes!$D$28/30</f>
        <v>23054.6316777976</v>
      </c>
      <c r="BM213" s="28" t="n">
        <f aca="false">(BM190+BM193)*Restaurantes!$D$28/30</f>
        <v>23054.6316777976</v>
      </c>
      <c r="BN213" s="28" t="n">
        <f aca="false">(BN190+BN193)*Restaurantes!$D$28/30</f>
        <v>23054.6316777976</v>
      </c>
      <c r="BO213" s="28" t="n">
        <f aca="false">(BO190+BO193)*Restaurantes!$D$28/30</f>
        <v>3458.19475166964</v>
      </c>
      <c r="BP213" s="28" t="n">
        <f aca="false">(BP190+BP193)*Restaurantes!$D$28/30</f>
        <v>23054.6316777976</v>
      </c>
      <c r="BQ213" s="28" t="n">
        <f aca="false">(BQ190+BQ193)*Restaurantes!$D$28/30</f>
        <v>23054.6316777976</v>
      </c>
      <c r="BR213" s="28" t="n">
        <f aca="false">(BR190+BR193)*Restaurantes!$D$28/30</f>
        <v>23054.6316777976</v>
      </c>
      <c r="BS213" s="28" t="n">
        <f aca="false">(BS190+BS193)*Restaurantes!$D$28/30</f>
        <v>23054.6316777976</v>
      </c>
      <c r="BT213" s="28" t="n">
        <f aca="false">(BT190+BT193)*Restaurantes!$D$28/30</f>
        <v>23054.6316777976</v>
      </c>
      <c r="BU213" s="28" t="n">
        <f aca="false">(BU190+BU193)*Restaurantes!$D$28/30</f>
        <v>23054.6316777976</v>
      </c>
      <c r="BV213" s="28" t="n">
        <f aca="false">(BV190+BV193)*Restaurantes!$D$28/30</f>
        <v>23054.6316777976</v>
      </c>
      <c r="BW213" s="28" t="n">
        <f aca="false">(BW190+BW193)*Restaurantes!$D$28/30</f>
        <v>23054.6316777976</v>
      </c>
      <c r="BX213" s="28" t="n">
        <f aca="false">(BX190+BX193)*Restaurantes!$D$28/30</f>
        <v>23054.6316777976</v>
      </c>
      <c r="BY213" s="28" t="n">
        <f aca="false">(BY190+BY193)*Restaurantes!$D$28/30</f>
        <v>23054.6316777976</v>
      </c>
      <c r="BZ213" s="28" t="n">
        <f aca="false">(BZ190+BZ193)*Restaurantes!$D$28/30</f>
        <v>23054.6316777976</v>
      </c>
      <c r="CA213" s="28" t="n">
        <f aca="false">(CA190+CA193)*Restaurantes!$D$28/30</f>
        <v>3458.19475166964</v>
      </c>
      <c r="CB213" s="28" t="n">
        <f aca="false">(CB190+CB193)*Restaurantes!$D$28/30</f>
        <v>23054.6316777976</v>
      </c>
      <c r="CC213" s="28" t="n">
        <f aca="false">(CC190+CC193)*Restaurantes!$D$28/30</f>
        <v>23054.6316777976</v>
      </c>
      <c r="CD213" s="28" t="n">
        <f aca="false">(CD190+CD193)*Restaurantes!$D$28/30</f>
        <v>23054.6316777976</v>
      </c>
      <c r="CE213" s="28" t="n">
        <f aca="false">(CE190+CE193)*Restaurantes!$D$28/30</f>
        <v>23054.6316777976</v>
      </c>
      <c r="CF213" s="28" t="n">
        <f aca="false">(CF190+CF193)*Restaurantes!$D$28/30</f>
        <v>23054.6316777976</v>
      </c>
      <c r="CG213" s="28" t="n">
        <f aca="false">(CG190+CG193)*Restaurantes!$D$28/30</f>
        <v>23054.6316777976</v>
      </c>
      <c r="CH213" s="28" t="n">
        <f aca="false">(CH190+CH193)*Restaurantes!$D$28/30</f>
        <v>23054.6316777976</v>
      </c>
    </row>
    <row r="214" customFormat="false" ht="15" hidden="false" customHeight="false" outlineLevel="0" collapsed="false">
      <c r="A214" s="25" t="s">
        <v>875</v>
      </c>
      <c r="C214" s="156" t="n">
        <f aca="false">C186+C192+C194+C211</f>
        <v>688.576106192844</v>
      </c>
      <c r="D214" s="156" t="n">
        <f aca="false">D186+D192+D194+D211</f>
        <v>1423.8463739361</v>
      </c>
      <c r="E214" s="156" t="n">
        <f aca="false">E186+E192+E194+E211</f>
        <v>2893.74384405003</v>
      </c>
      <c r="F214" s="156" t="n">
        <f aca="false">F186+F192+F194+F211</f>
        <v>3675.06520797113</v>
      </c>
      <c r="G214" s="156" t="n">
        <f aca="false">G186+G192+G194+G211</f>
        <v>4409.6924103418</v>
      </c>
      <c r="H214" s="156" t="n">
        <f aca="false">H186+H192+H194+H211</f>
        <v>5534.01250547761</v>
      </c>
      <c r="I214" s="156" t="n">
        <f aca="false">I186+I192+I194+I211</f>
        <v>7171.86840574328</v>
      </c>
      <c r="J214" s="156" t="n">
        <f aca="false">J186+J192+J194+J211</f>
        <v>9580.02801370374</v>
      </c>
      <c r="K214" s="156" t="n">
        <f aca="false">K186+K192+K194+K211</f>
        <v>11988.1876216642</v>
      </c>
      <c r="L214" s="156" t="n">
        <f aca="false">L186+L192+L194+L211</f>
        <v>14396.3472296247</v>
      </c>
      <c r="M214" s="156" t="n">
        <f aca="false">M186+M192+M194+M211</f>
        <v>16069.8796352144</v>
      </c>
      <c r="N214" s="156" t="n">
        <f aca="false">N186+N192+N194+N211</f>
        <v>18257.3855666444</v>
      </c>
      <c r="O214" s="156" t="n">
        <f aca="false">O186+O192+O194+O211</f>
        <v>20444.8914980744</v>
      </c>
      <c r="P214" s="156" t="n">
        <f aca="false">P186+P192+P194+P211</f>
        <v>22427.1529470753</v>
      </c>
      <c r="Q214" s="156" t="n">
        <f aca="false">Q186+Q192+Q194+Q211</f>
        <v>24409.4143960762</v>
      </c>
      <c r="R214" s="156" t="n">
        <f aca="false">R186+R192+R194+R211</f>
        <v>26391.6758450771</v>
      </c>
      <c r="S214" s="156" t="n">
        <f aca="false">S186+S192+S194+S211</f>
        <v>28373.937294078</v>
      </c>
      <c r="T214" s="156" t="n">
        <f aca="false">T186+T192+T194+T211</f>
        <v>30356.198743079</v>
      </c>
      <c r="U214" s="156" t="n">
        <f aca="false">U186+U192+U194+U211</f>
        <v>32338.4601920799</v>
      </c>
      <c r="V214" s="156" t="n">
        <f aca="false">V186+V192+V194+V211</f>
        <v>34320.7216410808</v>
      </c>
      <c r="W214" s="156" t="n">
        <f aca="false">W186+W192+W194+W211</f>
        <v>36302.9830900817</v>
      </c>
      <c r="X214" s="156" t="n">
        <f aca="false">X186+X192+X194+X211</f>
        <v>37771.2710132424</v>
      </c>
      <c r="Y214" s="156" t="n">
        <f aca="false">Y186+Y192+Y194+Y211</f>
        <v>39239.5589364032</v>
      </c>
      <c r="Z214" s="156" t="n">
        <f aca="false">Z186+Z192+Z194+Z211</f>
        <v>40523.3984492278</v>
      </c>
      <c r="AA214" s="156" t="n">
        <f aca="false">AA186+AA192+AA194+AA211</f>
        <v>41807.2379620525</v>
      </c>
      <c r="AB214" s="156" t="n">
        <f aca="false">AB186+AB192+AB194+AB211</f>
        <v>43091.0774748771</v>
      </c>
      <c r="AC214" s="156" t="n">
        <f aca="false">AC186+AC192+AC194+AC211</f>
        <v>44374.9169877018</v>
      </c>
      <c r="AD214" s="156" t="n">
        <f aca="false">AD186+AD192+AD194+AD211</f>
        <v>45658.7565005264</v>
      </c>
      <c r="AE214" s="156" t="n">
        <f aca="false">AE186+AE192+AE194+AE211</f>
        <v>46942.5960133511</v>
      </c>
      <c r="AF214" s="156" t="n">
        <f aca="false">AF186+AF192+AF194+AF211</f>
        <v>48226.4355261758</v>
      </c>
      <c r="AG214" s="156" t="n">
        <f aca="false">AG186+AG192+AG194+AG211</f>
        <v>49510.2750390004</v>
      </c>
      <c r="AH214" s="156" t="n">
        <f aca="false">AH186+AH192+AH194+AH211</f>
        <v>50794.114551825</v>
      </c>
      <c r="AI214" s="156" t="n">
        <f aca="false">AI186+AI192+AI194+AI211</f>
        <v>52077.9540646497</v>
      </c>
      <c r="AJ214" s="156" t="n">
        <f aca="false">AJ186+AJ192+AJ194+AJ211</f>
        <v>53361.7935774743</v>
      </c>
      <c r="AK214" s="156" t="n">
        <f aca="false">AK186+AK192+AK194+AK211</f>
        <v>54645.633090299</v>
      </c>
      <c r="AL214" s="156" t="n">
        <f aca="false">AL186+AL192+AL194+AL211</f>
        <v>55929.4726031237</v>
      </c>
      <c r="AM214" s="156" t="n">
        <f aca="false">AM186+AM192+AM194+AM211</f>
        <v>57341.6960672308</v>
      </c>
      <c r="AN214" s="156" t="n">
        <f aca="false">AN186+AN192+AN194+AN211</f>
        <v>58753.9195313379</v>
      </c>
      <c r="AO214" s="156" t="n">
        <f aca="false">AO186+AO192+AO194+AO211</f>
        <v>60166.142995445</v>
      </c>
      <c r="AP214" s="156" t="n">
        <f aca="false">AP186+AP192+AP194+AP211</f>
        <v>61578.3664595521</v>
      </c>
      <c r="AQ214" s="156" t="n">
        <f aca="false">AQ186+AQ192+AQ194+AQ211</f>
        <v>62990.5899236593</v>
      </c>
      <c r="AR214" s="156" t="n">
        <f aca="false">AR186+AR192+AR194+AR211</f>
        <v>64402.8133877664</v>
      </c>
      <c r="AS214" s="156" t="n">
        <f aca="false">AS186+AS192+AS194+AS211</f>
        <v>64402.8133877664</v>
      </c>
      <c r="AT214" s="156" t="n">
        <f aca="false">AT186+AT192+AT194+AT211</f>
        <v>64402.8133877664</v>
      </c>
      <c r="AU214" s="156" t="n">
        <f aca="false">AU186+AU192+AU194+AU211</f>
        <v>64402.8133877664</v>
      </c>
      <c r="AV214" s="156" t="n">
        <f aca="false">AV186+AV192+AV194+AV211</f>
        <v>64402.8133877664</v>
      </c>
      <c r="AW214" s="156" t="n">
        <f aca="false">AW186+AW192+AW194+AW211</f>
        <v>64402.8133877664</v>
      </c>
      <c r="AX214" s="156" t="n">
        <f aca="false">AX186+AX192+AX194+AX211</f>
        <v>64402.8133877664</v>
      </c>
      <c r="AY214" s="156" t="n">
        <f aca="false">AY186+AY192+AY194+AY211</f>
        <v>64402.8133877664</v>
      </c>
      <c r="AZ214" s="156" t="n">
        <f aca="false">AZ186+AZ192+AZ194+AZ211</f>
        <v>64402.8133877664</v>
      </c>
      <c r="BA214" s="156" t="n">
        <f aca="false">BA186+BA192+BA194+BA211</f>
        <v>64402.8133877664</v>
      </c>
      <c r="BB214" s="156" t="n">
        <f aca="false">BB186+BB192+BB194+BB211</f>
        <v>64402.8133877664</v>
      </c>
      <c r="BC214" s="156" t="n">
        <f aca="false">BC186+BC192+BC194+BC211</f>
        <v>64402.8133877664</v>
      </c>
      <c r="BD214" s="156" t="n">
        <f aca="false">BD186+BD192+BD194+BD211</f>
        <v>64402.8133877664</v>
      </c>
      <c r="BE214" s="156" t="n">
        <f aca="false">BE186+BE192+BE194+BE211</f>
        <v>64402.8133877664</v>
      </c>
      <c r="BF214" s="156" t="n">
        <f aca="false">BF186+BF192+BF194+BF211</f>
        <v>64402.8133877664</v>
      </c>
      <c r="BG214" s="156" t="n">
        <f aca="false">BG186+BG192+BG194+BG211</f>
        <v>64402.8133877664</v>
      </c>
      <c r="BH214" s="156" t="n">
        <f aca="false">BH186+BH192+BH194+BH211</f>
        <v>64402.8133877664</v>
      </c>
      <c r="BI214" s="156" t="n">
        <f aca="false">BI186+BI192+BI194+BI211</f>
        <v>64402.8133877664</v>
      </c>
      <c r="BJ214" s="156" t="n">
        <f aca="false">BJ186+BJ192+BJ194+BJ211</f>
        <v>64402.8133877664</v>
      </c>
      <c r="BK214" s="156" t="n">
        <f aca="false">BK186+BK192+BK194+BK211</f>
        <v>64402.8133877664</v>
      </c>
      <c r="BL214" s="156" t="n">
        <f aca="false">BL186+BL192+BL194+BL211</f>
        <v>64402.8133877664</v>
      </c>
      <c r="BM214" s="156" t="n">
        <f aca="false">BM186+BM192+BM194+BM211</f>
        <v>64402.8133877664</v>
      </c>
      <c r="BN214" s="156" t="n">
        <f aca="false">BN186+BN192+BN194+BN211</f>
        <v>64402.8133877664</v>
      </c>
      <c r="BO214" s="156" t="n">
        <f aca="false">BO186+BO192+BO194+BO211</f>
        <v>64402.8133877664</v>
      </c>
      <c r="BP214" s="156" t="n">
        <f aca="false">BP186+BP192+BP194+BP211</f>
        <v>64402.8133877664</v>
      </c>
      <c r="BQ214" s="156" t="n">
        <f aca="false">BQ186+BQ192+BQ194+BQ211</f>
        <v>64402.8133877664</v>
      </c>
      <c r="BR214" s="156" t="n">
        <f aca="false">BR186+BR192+BR194+BR211</f>
        <v>64402.8133877664</v>
      </c>
      <c r="BS214" s="156" t="n">
        <f aca="false">BS186+BS192+BS194+BS211</f>
        <v>64402.8133877664</v>
      </c>
      <c r="BT214" s="156" t="n">
        <f aca="false">BT186+BT192+BT194+BT211</f>
        <v>64402.8133877664</v>
      </c>
      <c r="BU214" s="156" t="n">
        <f aca="false">BU186+BU192+BU194+BU211</f>
        <v>64402.8133877664</v>
      </c>
      <c r="BV214" s="156" t="n">
        <f aca="false">BV186+BV192+BV194+BV211</f>
        <v>64402.8133877664</v>
      </c>
      <c r="BW214" s="156" t="n">
        <f aca="false">BW186+BW192+BW194+BW211</f>
        <v>64402.8133877664</v>
      </c>
      <c r="BX214" s="156" t="n">
        <f aca="false">BX186+BX192+BX194+BX211</f>
        <v>64402.8133877664</v>
      </c>
      <c r="BY214" s="156" t="n">
        <f aca="false">BY186+BY192+BY194+BY211</f>
        <v>64402.8133877664</v>
      </c>
      <c r="BZ214" s="156" t="n">
        <f aca="false">BZ186+BZ192+BZ194+BZ211</f>
        <v>64402.8133877664</v>
      </c>
      <c r="CA214" s="156" t="n">
        <f aca="false">CA186+CA192+CA194+CA211</f>
        <v>64402.8133877664</v>
      </c>
      <c r="CB214" s="156" t="n">
        <f aca="false">CB186+CB192+CB194+CB211</f>
        <v>64402.8133877664</v>
      </c>
      <c r="CC214" s="156" t="n">
        <f aca="false">CC186+CC192+CC194+CC211</f>
        <v>64402.8133877664</v>
      </c>
      <c r="CD214" s="156" t="n">
        <f aca="false">CD186+CD192+CD194+CD211</f>
        <v>64402.8133877664</v>
      </c>
      <c r="CE214" s="156" t="n">
        <f aca="false">CE186+CE192+CE194+CE211</f>
        <v>64402.8133877664</v>
      </c>
      <c r="CF214" s="156" t="n">
        <f aca="false">CF186+CF192+CF194+CF211</f>
        <v>64402.8133877664</v>
      </c>
      <c r="CG214" s="156" t="n">
        <f aca="false">CG186+CG192+CG194+CG211</f>
        <v>64402.8133877664</v>
      </c>
      <c r="CH214" s="156" t="n">
        <f aca="false">CH186+CH192+CH194+CH211</f>
        <v>64402.8133877664</v>
      </c>
    </row>
    <row r="215" customFormat="false" ht="15" hidden="false" customHeight="false" outlineLevel="0" collapsed="false">
      <c r="A215" s="25" t="s">
        <v>876</v>
      </c>
      <c r="C215" s="156" t="n">
        <f aca="false">C190+C193+C195+C207+C209</f>
        <v>-1496.87623200263</v>
      </c>
      <c r="D215" s="156" t="n">
        <f aca="false">D190+D193+D195+D207+D209</f>
        <v>-928.768605108645</v>
      </c>
      <c r="E215" s="156" t="n">
        <f aca="false">E190+E193+E195+E207+E209</f>
        <v>-360.660978214659</v>
      </c>
      <c r="F215" s="156" t="n">
        <f aca="false">F190+F193+F195+F207+F209</f>
        <v>207.446648679327</v>
      </c>
      <c r="G215" s="156" t="n">
        <f aca="false">G190+G193+G195+G207+G209</f>
        <v>-1646.92262071055</v>
      </c>
      <c r="H215" s="156" t="n">
        <f aca="false">H190+H193+H195+H207+H209</f>
        <v>1343.6619024673</v>
      </c>
      <c r="I215" s="156" t="n">
        <f aca="false">I190+I193+I195+I207+I209</f>
        <v>1911.76952936129</v>
      </c>
      <c r="J215" s="156" t="n">
        <f aca="false">J190+J193+J195+J207+J209</f>
        <v>2479.87715625527</v>
      </c>
      <c r="K215" s="156" t="n">
        <f aca="false">K190+K193+K195+K207+K209</f>
        <v>3047.98478314926</v>
      </c>
      <c r="L215" s="156" t="n">
        <f aca="false">L190+L193+L195+L207+L209</f>
        <v>3541.41627078057</v>
      </c>
      <c r="M215" s="156" t="n">
        <f aca="false">M190+M193+M195+M207+M209</f>
        <v>4022.05628374829</v>
      </c>
      <c r="N215" s="156" t="n">
        <f aca="false">N190+N193+N195+N207+N209</f>
        <v>4502.696296716</v>
      </c>
      <c r="O215" s="156" t="n">
        <f aca="false">O190+O193+O195+O207+O209</f>
        <v>4983.33630968372</v>
      </c>
      <c r="P215" s="156" t="n">
        <f aca="false">P190+P193+P195+P207+P209</f>
        <v>5463.97632265144</v>
      </c>
      <c r="Q215" s="156" t="n">
        <f aca="false">Q190+Q193+Q195+Q207+Q209</f>
        <v>5944.61633561916</v>
      </c>
      <c r="R215" s="156" t="n">
        <f aca="false">R190+R193+R195+R207+R209</f>
        <v>6425.25634858688</v>
      </c>
      <c r="S215" s="156" t="n">
        <f aca="false">S190+S193+S195+S207+S209</f>
        <v>-643.575649064</v>
      </c>
      <c r="T215" s="156" t="n">
        <f aca="false">T190+T193+T195+T207+T209</f>
        <v>7386.53637452231</v>
      </c>
      <c r="U215" s="156" t="n">
        <f aca="false">U190+U193+U195+U207+U209</f>
        <v>7867.17638749003</v>
      </c>
      <c r="V215" s="156" t="n">
        <f aca="false">V190+V193+V195+V207+V209</f>
        <v>8347.81640045775</v>
      </c>
      <c r="W215" s="156" t="n">
        <f aca="false">W190+W193+W195+W207+W209</f>
        <v>8828.45641342547</v>
      </c>
      <c r="X215" s="156" t="n">
        <f aca="false">X190+X193+X195+X207+X209</f>
        <v>9309.09642639319</v>
      </c>
      <c r="Y215" s="156" t="n">
        <f aca="false">Y190+Y193+Y195+Y207+Y209</f>
        <v>9789.73643936091</v>
      </c>
      <c r="Z215" s="156" t="n">
        <f aca="false">Z190+Z193+Z195+Z207+Z209</f>
        <v>10270.3764523286</v>
      </c>
      <c r="AA215" s="156" t="n">
        <f aca="false">AA190+AA193+AA195+AA207+AA209</f>
        <v>10751.0164652963</v>
      </c>
      <c r="AB215" s="156" t="n">
        <f aca="false">AB190+AB193+AB195+AB207+AB209</f>
        <v>11231.6564782641</v>
      </c>
      <c r="AC215" s="156" t="n">
        <f aca="false">AC190+AC193+AC195+AC207+AC209</f>
        <v>11712.2964912318</v>
      </c>
      <c r="AD215" s="156" t="n">
        <f aca="false">AD190+AD193+AD195+AD207+AD209</f>
        <v>12192.9365041995</v>
      </c>
      <c r="AE215" s="156" t="n">
        <f aca="false">AE190+AE193+AE195+AE207+AE209</f>
        <v>359.771322582553</v>
      </c>
      <c r="AF215" s="156" t="n">
        <f aca="false">AF190+AF193+AF195+AF207+AF209</f>
        <v>13154.2165301349</v>
      </c>
      <c r="AG215" s="156" t="n">
        <f aca="false">AG190+AG193+AG195+AG207+AG209</f>
        <v>13634.8565431027</v>
      </c>
      <c r="AH215" s="156" t="n">
        <f aca="false">AH190+AH193+AH195+AH207+AH209</f>
        <v>14115.4965560704</v>
      </c>
      <c r="AI215" s="156" t="n">
        <f aca="false">AI190+AI193+AI195+AI207+AI209</f>
        <v>14596.1365690381</v>
      </c>
      <c r="AJ215" s="156" t="n">
        <f aca="false">AJ190+AJ193+AJ195+AJ207+AJ209</f>
        <v>15076.7765820058</v>
      </c>
      <c r="AK215" s="156" t="n">
        <f aca="false">AK190+AK193+AK195+AK207+AK209</f>
        <v>15557.4165949735</v>
      </c>
      <c r="AL215" s="156" t="n">
        <f aca="false">AL190+AL193+AL195+AL207+AL209</f>
        <v>16038.0566079412</v>
      </c>
      <c r="AM215" s="156" t="n">
        <f aca="false">AM190+AM193+AM195+AM207+AM209</f>
        <v>16161.9654668379</v>
      </c>
      <c r="AN215" s="156" t="n">
        <f aca="false">AN190+AN193+AN195+AN207+AN209</f>
        <v>16161.9654668379</v>
      </c>
      <c r="AO215" s="156" t="n">
        <f aca="false">AO190+AO193+AO195+AO207+AO209</f>
        <v>16161.9654668379</v>
      </c>
      <c r="AP215" s="156" t="n">
        <f aca="false">AP190+AP193+AP195+AP207+AP209</f>
        <v>16161.9654668379</v>
      </c>
      <c r="AQ215" s="156" t="n">
        <f aca="false">AQ190+AQ193+AQ195+AQ207+AQ209</f>
        <v>1068.96591493966</v>
      </c>
      <c r="AR215" s="156" t="n">
        <f aca="false">AR190+AR193+AR195+AR207+AR209</f>
        <v>16161.9654668379</v>
      </c>
      <c r="AS215" s="156" t="n">
        <f aca="false">AS190+AS193+AS195+AS207+AS209</f>
        <v>16161.9654668379</v>
      </c>
      <c r="AT215" s="156" t="n">
        <f aca="false">AT190+AT193+AT195+AT207+AT209</f>
        <v>16161.9654668379</v>
      </c>
      <c r="AU215" s="156" t="n">
        <f aca="false">AU190+AU193+AU195+AU207+AU209</f>
        <v>16161.9654668379</v>
      </c>
      <c r="AV215" s="156" t="n">
        <f aca="false">AV190+AV193+AV195+AV207+AV209</f>
        <v>16161.9654668379</v>
      </c>
      <c r="AW215" s="156" t="n">
        <f aca="false">AW190+AW193+AW195+AW207+AW209</f>
        <v>16161.9654668379</v>
      </c>
      <c r="AX215" s="156" t="n">
        <f aca="false">AX190+AX193+AX195+AX207+AX209</f>
        <v>16161.9654668379</v>
      </c>
      <c r="AY215" s="156" t="n">
        <f aca="false">AY190+AY193+AY195+AY207+AY209</f>
        <v>16161.9654668379</v>
      </c>
      <c r="AZ215" s="156" t="n">
        <f aca="false">AZ190+AZ193+AZ195+AZ207+AZ209</f>
        <v>16161.9654668379</v>
      </c>
      <c r="BA215" s="156" t="n">
        <f aca="false">BA190+BA193+BA195+BA207+BA209</f>
        <v>16161.9654668379</v>
      </c>
      <c r="BB215" s="156" t="n">
        <f aca="false">BB190+BB193+BB195+BB207+BB209</f>
        <v>16161.9654668379</v>
      </c>
      <c r="BC215" s="156" t="n">
        <f aca="false">BC190+BC193+BC195+BC207+BC209</f>
        <v>1068.96591493966</v>
      </c>
      <c r="BD215" s="156" t="n">
        <f aca="false">BD190+BD193+BD195+BD207+BD209</f>
        <v>16161.9654668379</v>
      </c>
      <c r="BE215" s="156" t="n">
        <f aca="false">BE190+BE193+BE195+BE207+BE209</f>
        <v>16161.9654668379</v>
      </c>
      <c r="BF215" s="156" t="n">
        <f aca="false">BF190+BF193+BF195+BF207+BF209</f>
        <v>16161.9654668379</v>
      </c>
      <c r="BG215" s="156" t="n">
        <f aca="false">BG190+BG193+BG195+BG207+BG209</f>
        <v>16161.9654668379</v>
      </c>
      <c r="BH215" s="156" t="n">
        <f aca="false">BH190+BH193+BH195+BH207+BH209</f>
        <v>16161.9654668379</v>
      </c>
      <c r="BI215" s="156" t="n">
        <f aca="false">BI190+BI193+BI195+BI207+BI209</f>
        <v>16161.9654668379</v>
      </c>
      <c r="BJ215" s="156" t="n">
        <f aca="false">BJ190+BJ193+BJ195+BJ207+BJ209</f>
        <v>16161.9654668379</v>
      </c>
      <c r="BK215" s="156" t="n">
        <f aca="false">BK190+BK193+BK195+BK207+BK209</f>
        <v>16161.9654668379</v>
      </c>
      <c r="BL215" s="156" t="n">
        <f aca="false">BL190+BL193+BL195+BL207+BL209</f>
        <v>16161.9654668379</v>
      </c>
      <c r="BM215" s="156" t="n">
        <f aca="false">BM190+BM193+BM195+BM207+BM209</f>
        <v>16161.9654668379</v>
      </c>
      <c r="BN215" s="156" t="n">
        <f aca="false">BN190+BN193+BN195+BN207+BN209</f>
        <v>16161.9654668379</v>
      </c>
      <c r="BO215" s="156" t="n">
        <f aca="false">BO190+BO193+BO195+BO207+BO209</f>
        <v>1068.96591493966</v>
      </c>
      <c r="BP215" s="156" t="n">
        <f aca="false">BP190+BP193+BP195+BP207+BP209</f>
        <v>16161.9654668379</v>
      </c>
      <c r="BQ215" s="156" t="n">
        <f aca="false">BQ190+BQ193+BQ195+BQ207+BQ209</f>
        <v>16161.9654668379</v>
      </c>
      <c r="BR215" s="156" t="n">
        <f aca="false">BR190+BR193+BR195+BR207+BR209</f>
        <v>16161.9654668379</v>
      </c>
      <c r="BS215" s="156" t="n">
        <f aca="false">BS190+BS193+BS195+BS207+BS209</f>
        <v>16161.9654668379</v>
      </c>
      <c r="BT215" s="156" t="n">
        <f aca="false">BT190+BT193+BT195+BT207+BT209</f>
        <v>16161.9654668379</v>
      </c>
      <c r="BU215" s="156" t="n">
        <f aca="false">BU190+BU193+BU195+BU207+BU209</f>
        <v>16161.9654668379</v>
      </c>
      <c r="BV215" s="156" t="n">
        <f aca="false">BV190+BV193+BV195+BV207+BV209</f>
        <v>16161.9654668379</v>
      </c>
      <c r="BW215" s="156" t="n">
        <f aca="false">BW190+BW193+BW195+BW207+BW209</f>
        <v>16161.9654668379</v>
      </c>
      <c r="BX215" s="156" t="n">
        <f aca="false">BX190+BX193+BX195+BX207+BX209</f>
        <v>16161.9654668379</v>
      </c>
      <c r="BY215" s="156" t="n">
        <f aca="false">BY190+BY193+BY195+BY207+BY209</f>
        <v>16161.9654668379</v>
      </c>
      <c r="BZ215" s="156" t="n">
        <f aca="false">BZ190+BZ193+BZ195+BZ207+BZ209</f>
        <v>16161.9654668379</v>
      </c>
      <c r="CA215" s="156" t="n">
        <f aca="false">CA190+CA193+CA195+CA207+CA209</f>
        <v>1068.96591493966</v>
      </c>
      <c r="CB215" s="156" t="n">
        <f aca="false">CB190+CB193+CB195+CB207+CB209</f>
        <v>16161.9654668379</v>
      </c>
      <c r="CC215" s="156" t="n">
        <f aca="false">CC190+CC193+CC195+CC207+CC209</f>
        <v>16161.9654668379</v>
      </c>
      <c r="CD215" s="156" t="n">
        <f aca="false">CD190+CD193+CD195+CD207+CD209</f>
        <v>16161.9654668379</v>
      </c>
      <c r="CE215" s="156" t="n">
        <f aca="false">CE190+CE193+CE195+CE207+CE209</f>
        <v>16161.9654668379</v>
      </c>
      <c r="CF215" s="156" t="n">
        <f aca="false">CF190+CF193+CF195+CF207+CF209</f>
        <v>16161.9654668379</v>
      </c>
      <c r="CG215" s="156" t="n">
        <f aca="false">CG190+CG193+CG195+CG207+CG209</f>
        <v>16161.9654668379</v>
      </c>
      <c r="CH215" s="156" t="n">
        <f aca="false">CH190+CH193+CH195+CH207+CH209</f>
        <v>16161.9654668379</v>
      </c>
    </row>
    <row r="216" customFormat="false" ht="15" hidden="false" customHeight="false" outlineLevel="0" collapsed="false">
      <c r="A216" s="1" t="s">
        <v>877</v>
      </c>
      <c r="C216" s="27" t="n">
        <f aca="false">IF(C179+C178&lt;=C8+0.001,1,0)</f>
        <v>1</v>
      </c>
      <c r="D216" s="27" t="n">
        <f aca="false">IF(D179+D178&lt;=D8+0.001,1,0)</f>
        <v>1</v>
      </c>
      <c r="E216" s="27" t="n">
        <f aca="false">IF(E179+E178&lt;=E8+0.001,1,0)</f>
        <v>1</v>
      </c>
      <c r="F216" s="27" t="n">
        <f aca="false">IF(F179+F178&lt;=F8+0.001,1,0)</f>
        <v>1</v>
      </c>
      <c r="G216" s="27" t="n">
        <f aca="false">IF(G179+G178&lt;=G8+0.001,1,0)</f>
        <v>1</v>
      </c>
      <c r="H216" s="27" t="n">
        <f aca="false">IF(H179+H178&lt;=H8+0.001,1,0)</f>
        <v>1</v>
      </c>
      <c r="I216" s="27" t="n">
        <f aca="false">IF(I179+I178&lt;=I8+0.001,1,0)</f>
        <v>1</v>
      </c>
      <c r="J216" s="27" t="n">
        <f aca="false">IF(J179+J178&lt;=J8+0.001,1,0)</f>
        <v>1</v>
      </c>
      <c r="K216" s="27" t="n">
        <f aca="false">IF(K179+K178&lt;=K8+0.001,1,0)</f>
        <v>1</v>
      </c>
      <c r="L216" s="27" t="n">
        <f aca="false">IF(L179+L178&lt;=L8+0.001,1,0)</f>
        <v>1</v>
      </c>
      <c r="M216" s="27" t="n">
        <f aca="false">IF(M179+M178&lt;=M8+0.001,1,0)</f>
        <v>1</v>
      </c>
      <c r="N216" s="27" t="n">
        <f aca="false">IF(N179+N178&lt;=N8+0.001,1,0)</f>
        <v>1</v>
      </c>
      <c r="O216" s="27" t="n">
        <f aca="false">IF(O179+O178&lt;=O8+0.001,1,0)</f>
        <v>1</v>
      </c>
      <c r="P216" s="27" t="n">
        <f aca="false">IF(P179+P178&lt;=P8+0.001,1,0)</f>
        <v>1</v>
      </c>
      <c r="Q216" s="27" t="n">
        <f aca="false">IF(Q179+Q178&lt;=Q8+0.001,1,0)</f>
        <v>1</v>
      </c>
      <c r="R216" s="27" t="n">
        <f aca="false">IF(R179+R178&lt;=R8+0.001,1,0)</f>
        <v>1</v>
      </c>
      <c r="S216" s="27" t="n">
        <f aca="false">IF(S179+S178&lt;=S8+0.001,1,0)</f>
        <v>1</v>
      </c>
      <c r="T216" s="27" t="n">
        <f aca="false">IF(T179+T178&lt;=T8+0.001,1,0)</f>
        <v>1</v>
      </c>
      <c r="U216" s="27" t="n">
        <f aca="false">IF(U179+U178&lt;=U8+0.001,1,0)</f>
        <v>1</v>
      </c>
      <c r="V216" s="27" t="n">
        <f aca="false">IF(V179+V178&lt;=V8+0.001,1,0)</f>
        <v>1</v>
      </c>
      <c r="W216" s="27" t="n">
        <f aca="false">IF(W179+W178&lt;=W8+0.001,1,0)</f>
        <v>1</v>
      </c>
      <c r="X216" s="27" t="n">
        <f aca="false">IF(X179+X178&lt;=X8+0.001,1,0)</f>
        <v>1</v>
      </c>
      <c r="Y216" s="27" t="n">
        <f aca="false">IF(Y179+Y178&lt;=Y8+0.001,1,0)</f>
        <v>1</v>
      </c>
      <c r="Z216" s="27" t="n">
        <f aca="false">IF(Z179+Z178&lt;=Z8+0.001,1,0)</f>
        <v>1</v>
      </c>
      <c r="AA216" s="27" t="n">
        <f aca="false">IF(AA179+AA178&lt;=AA8+0.001,1,0)</f>
        <v>1</v>
      </c>
      <c r="AB216" s="27" t="n">
        <f aca="false">IF(AB179+AB178&lt;=AB8+0.001,1,0)</f>
        <v>1</v>
      </c>
      <c r="AC216" s="27" t="n">
        <f aca="false">IF(AC179+AC178&lt;=AC8+0.001,1,0)</f>
        <v>1</v>
      </c>
      <c r="AD216" s="27" t="n">
        <f aca="false">IF(AD179+AD178&lt;=AD8+0.001,1,0)</f>
        <v>1</v>
      </c>
      <c r="AE216" s="27" t="n">
        <f aca="false">IF(AE179+AE178&lt;=AE8+0.001,1,0)</f>
        <v>1</v>
      </c>
      <c r="AF216" s="27" t="n">
        <f aca="false">IF(AF179+AF178&lt;=AF8+0.001,1,0)</f>
        <v>1</v>
      </c>
      <c r="AG216" s="27" t="n">
        <f aca="false">IF(AG179+AG178&lt;=AG8+0.001,1,0)</f>
        <v>1</v>
      </c>
      <c r="AH216" s="27" t="n">
        <f aca="false">IF(AH179+AH178&lt;=AH8+0.001,1,0)</f>
        <v>1</v>
      </c>
      <c r="AI216" s="27" t="n">
        <f aca="false">IF(AI179+AI178&lt;=AI8+0.001,1,0)</f>
        <v>1</v>
      </c>
      <c r="AJ216" s="27" t="n">
        <f aca="false">IF(AJ179+AJ178&lt;=AJ8+0.001,1,0)</f>
        <v>1</v>
      </c>
      <c r="AK216" s="27" t="n">
        <f aca="false">IF(AK179+AK178&lt;=AK8+0.001,1,0)</f>
        <v>1</v>
      </c>
      <c r="AL216" s="27" t="n">
        <f aca="false">IF(AL179+AL178&lt;=AL8+0.001,1,0)</f>
        <v>1</v>
      </c>
      <c r="AM216" s="27" t="n">
        <f aca="false">IF(AM179+AM178&lt;=AM8+0.001,1,0)</f>
        <v>1</v>
      </c>
      <c r="AN216" s="27" t="n">
        <f aca="false">IF(AN179+AN178&lt;=AN8+0.001,1,0)</f>
        <v>1</v>
      </c>
      <c r="AO216" s="27" t="n">
        <f aca="false">IF(AO179+AO178&lt;=AO8+0.001,1,0)</f>
        <v>1</v>
      </c>
      <c r="AP216" s="27" t="n">
        <f aca="false">IF(AP179+AP178&lt;=AP8+0.001,1,0)</f>
        <v>1</v>
      </c>
      <c r="AQ216" s="27" t="n">
        <f aca="false">IF(AQ179+AQ178&lt;=AQ8+0.001,1,0)</f>
        <v>1</v>
      </c>
      <c r="AR216" s="27" t="n">
        <f aca="false">IF(AR179+AR178&lt;=AR8+0.001,1,0)</f>
        <v>1</v>
      </c>
      <c r="AS216" s="27" t="n">
        <f aca="false">IF(AS179+AS178&lt;=AS8+0.001,1,0)</f>
        <v>1</v>
      </c>
      <c r="AT216" s="27" t="n">
        <f aca="false">IF(AT179+AT178&lt;=AT8+0.001,1,0)</f>
        <v>1</v>
      </c>
      <c r="AU216" s="27" t="n">
        <f aca="false">IF(AU179+AU178&lt;=AU8+0.001,1,0)</f>
        <v>1</v>
      </c>
      <c r="AV216" s="27" t="n">
        <f aca="false">IF(AV179+AV178&lt;=AV8+0.001,1,0)</f>
        <v>1</v>
      </c>
      <c r="AW216" s="27" t="n">
        <f aca="false">IF(AW179+AW178&lt;=AW8+0.001,1,0)</f>
        <v>1</v>
      </c>
      <c r="AX216" s="27" t="n">
        <f aca="false">IF(AX179+AX178&lt;=AX8+0.001,1,0)</f>
        <v>1</v>
      </c>
      <c r="AY216" s="27" t="n">
        <f aca="false">IF(AY179+AY178&lt;=AY8+0.001,1,0)</f>
        <v>1</v>
      </c>
      <c r="AZ216" s="27" t="n">
        <f aca="false">IF(AZ179+AZ178&lt;=AZ8+0.001,1,0)</f>
        <v>1</v>
      </c>
      <c r="BA216" s="27" t="n">
        <f aca="false">IF(BA179+BA178&lt;=BA8+0.001,1,0)</f>
        <v>1</v>
      </c>
      <c r="BB216" s="27" t="n">
        <f aca="false">IF(BB179+BB178&lt;=BB8+0.001,1,0)</f>
        <v>1</v>
      </c>
      <c r="BC216" s="27" t="n">
        <f aca="false">IF(BC179+BC178&lt;=BC8+0.001,1,0)</f>
        <v>1</v>
      </c>
      <c r="BD216" s="27" t="n">
        <f aca="false">IF(BD179+BD178&lt;=BD8+0.001,1,0)</f>
        <v>1</v>
      </c>
      <c r="BE216" s="27" t="n">
        <f aca="false">IF(BE179+BE178&lt;=BE8+0.001,1,0)</f>
        <v>1</v>
      </c>
      <c r="BF216" s="27" t="n">
        <f aca="false">IF(BF179+BF178&lt;=BF8+0.001,1,0)</f>
        <v>1</v>
      </c>
      <c r="BG216" s="27" t="n">
        <f aca="false">IF(BG179+BG178&lt;=BG8+0.001,1,0)</f>
        <v>1</v>
      </c>
      <c r="BH216" s="27" t="n">
        <f aca="false">IF(BH179+BH178&lt;=BH8+0.001,1,0)</f>
        <v>1</v>
      </c>
      <c r="BI216" s="27" t="n">
        <f aca="false">IF(BI179+BI178&lt;=BI8+0.001,1,0)</f>
        <v>1</v>
      </c>
      <c r="BJ216" s="27" t="n">
        <f aca="false">IF(BJ179+BJ178&lt;=BJ8+0.001,1,0)</f>
        <v>1</v>
      </c>
      <c r="BK216" s="27" t="n">
        <f aca="false">IF(BK179+BK178&lt;=BK8+0.001,1,0)</f>
        <v>1</v>
      </c>
      <c r="BL216" s="27" t="n">
        <f aca="false">IF(BL179+BL178&lt;=BL8+0.001,1,0)</f>
        <v>1</v>
      </c>
      <c r="BM216" s="27" t="n">
        <f aca="false">IF(BM179+BM178&lt;=BM8+0.001,1,0)</f>
        <v>1</v>
      </c>
      <c r="BN216" s="27" t="n">
        <f aca="false">IF(BN179+BN178&lt;=BN8+0.001,1,0)</f>
        <v>1</v>
      </c>
      <c r="BO216" s="27" t="n">
        <f aca="false">IF(BO179+BO178&lt;=BO8+0.001,1,0)</f>
        <v>1</v>
      </c>
      <c r="BP216" s="27" t="n">
        <f aca="false">IF(BP179+BP178&lt;=BP8+0.001,1,0)</f>
        <v>1</v>
      </c>
      <c r="BQ216" s="27" t="n">
        <f aca="false">IF(BQ179+BQ178&lt;=BQ8+0.001,1,0)</f>
        <v>1</v>
      </c>
      <c r="BR216" s="27" t="n">
        <f aca="false">IF(BR179+BR178&lt;=BR8+0.001,1,0)</f>
        <v>1</v>
      </c>
      <c r="BS216" s="27" t="n">
        <f aca="false">IF(BS179+BS178&lt;=BS8+0.001,1,0)</f>
        <v>1</v>
      </c>
      <c r="BT216" s="27" t="n">
        <f aca="false">IF(BT179+BT178&lt;=BT8+0.001,1,0)</f>
        <v>1</v>
      </c>
      <c r="BU216" s="27" t="n">
        <f aca="false">IF(BU179+BU178&lt;=BU8+0.001,1,0)</f>
        <v>1</v>
      </c>
      <c r="BV216" s="27" t="n">
        <f aca="false">IF(BV179+BV178&lt;=BV8+0.001,1,0)</f>
        <v>1</v>
      </c>
      <c r="BW216" s="27" t="n">
        <f aca="false">IF(BW179+BW178&lt;=BW8+0.001,1,0)</f>
        <v>1</v>
      </c>
      <c r="BX216" s="27" t="n">
        <f aca="false">IF(BX179+BX178&lt;=BX8+0.001,1,0)</f>
        <v>1</v>
      </c>
      <c r="BY216" s="27" t="n">
        <f aca="false">IF(BY179+BY178&lt;=BY8+0.001,1,0)</f>
        <v>1</v>
      </c>
      <c r="BZ216" s="27" t="n">
        <f aca="false">IF(BZ179+BZ178&lt;=BZ8+0.001,1,0)</f>
        <v>1</v>
      </c>
      <c r="CA216" s="27" t="n">
        <f aca="false">IF(CA179+CA178&lt;=CA8+0.001,1,0)</f>
        <v>1</v>
      </c>
      <c r="CB216" s="27" t="n">
        <f aca="false">IF(CB179+CB178&lt;=CB8+0.001,1,0)</f>
        <v>1</v>
      </c>
      <c r="CC216" s="27" t="n">
        <f aca="false">IF(CC179+CC178&lt;=CC8+0.001,1,0)</f>
        <v>1</v>
      </c>
      <c r="CD216" s="27" t="n">
        <f aca="false">IF(CD179+CD178&lt;=CD8+0.001,1,0)</f>
        <v>1</v>
      </c>
      <c r="CE216" s="27" t="n">
        <f aca="false">IF(CE179+CE178&lt;=CE8+0.001,1,0)</f>
        <v>1</v>
      </c>
      <c r="CF216" s="27" t="n">
        <f aca="false">IF(CF179+CF178&lt;=CF8+0.001,1,0)</f>
        <v>1</v>
      </c>
      <c r="CG216" s="27" t="n">
        <f aca="false">IF(CG179+CG178&lt;=CG8+0.001,1,0)</f>
        <v>1</v>
      </c>
      <c r="CH216" s="27" t="n">
        <f aca="false">IF(CH179+CH178&lt;=CH8+0.001,1,0)</f>
        <v>1</v>
      </c>
    </row>
    <row r="217" customFormat="false" ht="15" hidden="false" customHeight="false" outlineLevel="0" collapsed="false">
      <c r="A217" s="1" t="s">
        <v>878</v>
      </c>
      <c r="C217" s="27" t="n">
        <f aca="false">IF(C196&lt;=Restaurantes!$D$13+0.001,1,0)</f>
        <v>1</v>
      </c>
      <c r="D217" s="27" t="n">
        <f aca="false">IF(D196&lt;=Restaurantes!$D$13+0.001,1,0)</f>
        <v>1</v>
      </c>
      <c r="E217" s="27" t="n">
        <f aca="false">IF(E196&lt;=Restaurantes!$D$13+0.001,1,0)</f>
        <v>1</v>
      </c>
      <c r="F217" s="27" t="n">
        <f aca="false">IF(F196&lt;=Restaurantes!$D$13+0.001,1,0)</f>
        <v>1</v>
      </c>
      <c r="G217" s="27" t="n">
        <f aca="false">IF(G196&lt;=Restaurantes!$D$13+0.001,1,0)</f>
        <v>1</v>
      </c>
      <c r="H217" s="27" t="n">
        <f aca="false">IF(H196&lt;=Restaurantes!$D$13+0.001,1,0)</f>
        <v>1</v>
      </c>
      <c r="I217" s="27" t="n">
        <f aca="false">IF(I196&lt;=Restaurantes!$D$13+0.001,1,0)</f>
        <v>1</v>
      </c>
      <c r="J217" s="27" t="n">
        <f aca="false">IF(J196&lt;=Restaurantes!$D$13+0.001,1,0)</f>
        <v>1</v>
      </c>
      <c r="K217" s="27" t="n">
        <f aca="false">IF(K196&lt;=Restaurantes!$D$13+0.001,1,0)</f>
        <v>1</v>
      </c>
      <c r="L217" s="27" t="n">
        <f aca="false">IF(L196&lt;=Restaurantes!$D$13+0.001,1,0)</f>
        <v>1</v>
      </c>
      <c r="M217" s="27" t="n">
        <f aca="false">IF(M196&lt;=Restaurantes!$D$13+0.001,1,0)</f>
        <v>1</v>
      </c>
      <c r="N217" s="27" t="n">
        <f aca="false">IF(N196&lt;=Restaurantes!$D$13+0.001,1,0)</f>
        <v>1</v>
      </c>
      <c r="O217" s="27" t="n">
        <f aca="false">IF(O196&lt;=Restaurantes!$D$13+0.001,1,0)</f>
        <v>1</v>
      </c>
      <c r="P217" s="27" t="n">
        <f aca="false">IF(P196&lt;=Restaurantes!$D$13+0.001,1,0)</f>
        <v>1</v>
      </c>
      <c r="Q217" s="27" t="n">
        <f aca="false">IF(Q196&lt;=Restaurantes!$D$13+0.001,1,0)</f>
        <v>1</v>
      </c>
      <c r="R217" s="27" t="n">
        <f aca="false">IF(R196&lt;=Restaurantes!$D$13+0.001,1,0)</f>
        <v>1</v>
      </c>
      <c r="S217" s="27" t="n">
        <f aca="false">IF(S196&lt;=Restaurantes!$D$13+0.001,1,0)</f>
        <v>1</v>
      </c>
      <c r="T217" s="27" t="n">
        <f aca="false">IF(T196&lt;=Restaurantes!$D$13+0.001,1,0)</f>
        <v>1</v>
      </c>
      <c r="U217" s="27" t="n">
        <f aca="false">IF(U196&lt;=Restaurantes!$D$13+0.001,1,0)</f>
        <v>1</v>
      </c>
      <c r="V217" s="27" t="n">
        <f aca="false">IF(V196&lt;=Restaurantes!$D$13+0.001,1,0)</f>
        <v>1</v>
      </c>
      <c r="W217" s="27" t="n">
        <f aca="false">IF(W196&lt;=Restaurantes!$D$13+0.001,1,0)</f>
        <v>1</v>
      </c>
      <c r="X217" s="27" t="n">
        <f aca="false">IF(X196&lt;=Restaurantes!$D$13+0.001,1,0)</f>
        <v>1</v>
      </c>
      <c r="Y217" s="27" t="n">
        <f aca="false">IF(Y196&lt;=Restaurantes!$D$13+0.001,1,0)</f>
        <v>1</v>
      </c>
      <c r="Z217" s="27" t="n">
        <f aca="false">IF(Z196&lt;=Restaurantes!$D$13+0.001,1,0)</f>
        <v>1</v>
      </c>
      <c r="AA217" s="27" t="n">
        <f aca="false">IF(AA196&lt;=Restaurantes!$D$13+0.001,1,0)</f>
        <v>1</v>
      </c>
      <c r="AB217" s="27" t="n">
        <f aca="false">IF(AB196&lt;=Restaurantes!$D$13+0.001,1,0)</f>
        <v>1</v>
      </c>
      <c r="AC217" s="27" t="n">
        <f aca="false">IF(AC196&lt;=Restaurantes!$D$13+0.001,1,0)</f>
        <v>1</v>
      </c>
      <c r="AD217" s="27" t="n">
        <f aca="false">IF(AD196&lt;=Restaurantes!$D$13+0.001,1,0)</f>
        <v>1</v>
      </c>
      <c r="AE217" s="27" t="n">
        <f aca="false">IF(AE196&lt;=Restaurantes!$D$13+0.001,1,0)</f>
        <v>1</v>
      </c>
      <c r="AF217" s="27" t="n">
        <f aca="false">IF(AF196&lt;=Restaurantes!$D$13+0.001,1,0)</f>
        <v>1</v>
      </c>
      <c r="AG217" s="27" t="n">
        <f aca="false">IF(AG196&lt;=Restaurantes!$D$13+0.001,1,0)</f>
        <v>1</v>
      </c>
      <c r="AH217" s="27" t="n">
        <f aca="false">IF(AH196&lt;=Restaurantes!$D$13+0.001,1,0)</f>
        <v>1</v>
      </c>
      <c r="AI217" s="27" t="n">
        <f aca="false">IF(AI196&lt;=Restaurantes!$D$13+0.001,1,0)</f>
        <v>1</v>
      </c>
      <c r="AJ217" s="27" t="n">
        <f aca="false">IF(AJ196&lt;=Restaurantes!$D$13+0.001,1,0)</f>
        <v>1</v>
      </c>
      <c r="AK217" s="27" t="n">
        <f aca="false">IF(AK196&lt;=Restaurantes!$D$13+0.001,1,0)</f>
        <v>1</v>
      </c>
      <c r="AL217" s="27" t="n">
        <f aca="false">IF(AL196&lt;=Restaurantes!$D$13+0.001,1,0)</f>
        <v>1</v>
      </c>
      <c r="AM217" s="27" t="n">
        <f aca="false">IF(AM196&lt;=Restaurantes!$D$13+0.001,1,0)</f>
        <v>1</v>
      </c>
      <c r="AN217" s="27" t="n">
        <f aca="false">IF(AN196&lt;=Restaurantes!$D$13+0.001,1,0)</f>
        <v>1</v>
      </c>
      <c r="AO217" s="27" t="n">
        <f aca="false">IF(AO196&lt;=Restaurantes!$D$13+0.001,1,0)</f>
        <v>1</v>
      </c>
      <c r="AP217" s="27" t="n">
        <f aca="false">IF(AP196&lt;=Restaurantes!$D$13+0.001,1,0)</f>
        <v>1</v>
      </c>
      <c r="AQ217" s="27" t="n">
        <f aca="false">IF(AQ196&lt;=Restaurantes!$D$13+0.001,1,0)</f>
        <v>1</v>
      </c>
      <c r="AR217" s="27" t="n">
        <f aca="false">IF(AR196&lt;=Restaurantes!$D$13+0.001,1,0)</f>
        <v>1</v>
      </c>
      <c r="AS217" s="27" t="n">
        <f aca="false">IF(AS196&lt;=Restaurantes!$D$13+0.001,1,0)</f>
        <v>1</v>
      </c>
      <c r="AT217" s="27" t="n">
        <f aca="false">IF(AT196&lt;=Restaurantes!$D$13+0.001,1,0)</f>
        <v>1</v>
      </c>
      <c r="AU217" s="27" t="n">
        <f aca="false">IF(AU196&lt;=Restaurantes!$D$13+0.001,1,0)</f>
        <v>1</v>
      </c>
      <c r="AV217" s="27" t="n">
        <f aca="false">IF(AV196&lt;=Restaurantes!$D$13+0.001,1,0)</f>
        <v>1</v>
      </c>
      <c r="AW217" s="27" t="n">
        <f aca="false">IF(AW196&lt;=Restaurantes!$D$13+0.001,1,0)</f>
        <v>1</v>
      </c>
      <c r="AX217" s="27" t="n">
        <f aca="false">IF(AX196&lt;=Restaurantes!$D$13+0.001,1,0)</f>
        <v>1</v>
      </c>
      <c r="AY217" s="27" t="n">
        <f aca="false">IF(AY196&lt;=Restaurantes!$D$13+0.001,1,0)</f>
        <v>1</v>
      </c>
      <c r="AZ217" s="27" t="n">
        <f aca="false">IF(AZ196&lt;=Restaurantes!$D$13+0.001,1,0)</f>
        <v>1</v>
      </c>
      <c r="BA217" s="27" t="n">
        <f aca="false">IF(BA196&lt;=Restaurantes!$D$13+0.001,1,0)</f>
        <v>1</v>
      </c>
      <c r="BB217" s="27" t="n">
        <f aca="false">IF(BB196&lt;=Restaurantes!$D$13+0.001,1,0)</f>
        <v>1</v>
      </c>
      <c r="BC217" s="27" t="n">
        <f aca="false">IF(BC196&lt;=Restaurantes!$D$13+0.001,1,0)</f>
        <v>1</v>
      </c>
      <c r="BD217" s="27" t="n">
        <f aca="false">IF(BD196&lt;=Restaurantes!$D$13+0.001,1,0)</f>
        <v>1</v>
      </c>
      <c r="BE217" s="27" t="n">
        <f aca="false">IF(BE196&lt;=Restaurantes!$D$13+0.001,1,0)</f>
        <v>1</v>
      </c>
      <c r="BF217" s="27" t="n">
        <f aca="false">IF(BF196&lt;=Restaurantes!$D$13+0.001,1,0)</f>
        <v>1</v>
      </c>
      <c r="BG217" s="27" t="n">
        <f aca="false">IF(BG196&lt;=Restaurantes!$D$13+0.001,1,0)</f>
        <v>1</v>
      </c>
      <c r="BH217" s="27" t="n">
        <f aca="false">IF(BH196&lt;=Restaurantes!$D$13+0.001,1,0)</f>
        <v>1</v>
      </c>
      <c r="BI217" s="27" t="n">
        <f aca="false">IF(BI196&lt;=Restaurantes!$D$13+0.001,1,0)</f>
        <v>1</v>
      </c>
      <c r="BJ217" s="27" t="n">
        <f aca="false">IF(BJ196&lt;=Restaurantes!$D$13+0.001,1,0)</f>
        <v>1</v>
      </c>
      <c r="BK217" s="27" t="n">
        <f aca="false">IF(BK196&lt;=Restaurantes!$D$13+0.001,1,0)</f>
        <v>1</v>
      </c>
      <c r="BL217" s="27" t="n">
        <f aca="false">IF(BL196&lt;=Restaurantes!$D$13+0.001,1,0)</f>
        <v>1</v>
      </c>
      <c r="BM217" s="27" t="n">
        <f aca="false">IF(BM196&lt;=Restaurantes!$D$13+0.001,1,0)</f>
        <v>1</v>
      </c>
      <c r="BN217" s="27" t="n">
        <f aca="false">IF(BN196&lt;=Restaurantes!$D$13+0.001,1,0)</f>
        <v>1</v>
      </c>
      <c r="BO217" s="27" t="n">
        <f aca="false">IF(BO196&lt;=Restaurantes!$D$13+0.001,1,0)</f>
        <v>1</v>
      </c>
      <c r="BP217" s="27" t="n">
        <f aca="false">IF(BP196&lt;=Restaurantes!$D$13+0.001,1,0)</f>
        <v>1</v>
      </c>
      <c r="BQ217" s="27" t="n">
        <f aca="false">IF(BQ196&lt;=Restaurantes!$D$13+0.001,1,0)</f>
        <v>1</v>
      </c>
      <c r="BR217" s="27" t="n">
        <f aca="false">IF(BR196&lt;=Restaurantes!$D$13+0.001,1,0)</f>
        <v>1</v>
      </c>
      <c r="BS217" s="27" t="n">
        <f aca="false">IF(BS196&lt;=Restaurantes!$D$13+0.001,1,0)</f>
        <v>1</v>
      </c>
      <c r="BT217" s="27" t="n">
        <f aca="false">IF(BT196&lt;=Restaurantes!$D$13+0.001,1,0)</f>
        <v>1</v>
      </c>
      <c r="BU217" s="27" t="n">
        <f aca="false">IF(BU196&lt;=Restaurantes!$D$13+0.001,1,0)</f>
        <v>1</v>
      </c>
      <c r="BV217" s="27" t="n">
        <f aca="false">IF(BV196&lt;=Restaurantes!$D$13+0.001,1,0)</f>
        <v>1</v>
      </c>
      <c r="BW217" s="27" t="n">
        <f aca="false">IF(BW196&lt;=Restaurantes!$D$13+0.001,1,0)</f>
        <v>1</v>
      </c>
      <c r="BX217" s="27" t="n">
        <f aca="false">IF(BX196&lt;=Restaurantes!$D$13+0.001,1,0)</f>
        <v>1</v>
      </c>
      <c r="BY217" s="27" t="n">
        <f aca="false">IF(BY196&lt;=Restaurantes!$D$13+0.001,1,0)</f>
        <v>1</v>
      </c>
      <c r="BZ217" s="27" t="n">
        <f aca="false">IF(BZ196&lt;=Restaurantes!$D$13+0.001,1,0)</f>
        <v>1</v>
      </c>
      <c r="CA217" s="27" t="n">
        <f aca="false">IF(CA196&lt;=Restaurantes!$D$13+0.001,1,0)</f>
        <v>1</v>
      </c>
      <c r="CB217" s="27" t="n">
        <f aca="false">IF(CB196&lt;=Restaurantes!$D$13+0.001,1,0)</f>
        <v>1</v>
      </c>
      <c r="CC217" s="27" t="n">
        <f aca="false">IF(CC196&lt;=Restaurantes!$D$13+0.001,1,0)</f>
        <v>1</v>
      </c>
      <c r="CD217" s="27" t="n">
        <f aca="false">IF(CD196&lt;=Restaurantes!$D$13+0.001,1,0)</f>
        <v>1</v>
      </c>
      <c r="CE217" s="27" t="n">
        <f aca="false">IF(CE196&lt;=Restaurantes!$D$13+0.001,1,0)</f>
        <v>1</v>
      </c>
      <c r="CF217" s="27" t="n">
        <f aca="false">IF(CF196&lt;=Restaurantes!$D$13+0.001,1,0)</f>
        <v>1</v>
      </c>
      <c r="CG217" s="27" t="n">
        <f aca="false">IF(CG196&lt;=Restaurantes!$D$13+0.001,1,0)</f>
        <v>1</v>
      </c>
      <c r="CH217" s="27" t="n">
        <f aca="false">IF(CH196&lt;=Restaurantes!$D$13+0.001,1,0)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K39" activePane="bottomRight" state="frozen"/>
      <selection pane="topLeft" activeCell="A1" activeCellId="0" sqref="A1"/>
      <selection pane="topRight" activeCell="K1" activeCellId="0" sqref="K1"/>
      <selection pane="bottomLeft" activeCell="A39" activeCellId="0" sqref="A39"/>
      <selection pane="bottomRight" activeCell="N44" activeCellId="0" sqref="N4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3"/>
    <col collapsed="false" customWidth="true" hidden="false" outlineLevel="0" max="86" min="3" style="1" width="11"/>
  </cols>
  <sheetData>
    <row r="1" customFormat="false" ht="18" hidden="false" customHeight="true" outlineLevel="0" collapsed="false">
      <c r="A1" s="8" t="s">
        <v>973</v>
      </c>
    </row>
    <row r="2" customFormat="false" ht="13.5" hidden="false" customHeight="true" outlineLevel="0" collapsed="false">
      <c r="A2" s="9" t="s">
        <v>972</v>
      </c>
    </row>
    <row r="3" customFormat="false" ht="13.5" hidden="false" customHeight="true" outlineLevel="0" collapsed="false">
      <c r="A3" s="146" t="s">
        <v>687</v>
      </c>
      <c r="C3" s="147" t="n">
        <v>1</v>
      </c>
      <c r="D3" s="147" t="n">
        <v>2</v>
      </c>
      <c r="E3" s="147" t="n">
        <v>3</v>
      </c>
      <c r="F3" s="147" t="n">
        <v>4</v>
      </c>
      <c r="G3" s="147" t="n">
        <v>5</v>
      </c>
      <c r="H3" s="147" t="n">
        <v>6</v>
      </c>
      <c r="I3" s="147" t="n">
        <v>7</v>
      </c>
      <c r="J3" s="147" t="n">
        <v>8</v>
      </c>
      <c r="K3" s="147" t="n">
        <v>9</v>
      </c>
      <c r="L3" s="147" t="n">
        <v>10</v>
      </c>
      <c r="M3" s="147" t="n">
        <v>11</v>
      </c>
      <c r="N3" s="147" t="n">
        <v>12</v>
      </c>
      <c r="O3" s="147" t="n">
        <v>13</v>
      </c>
      <c r="P3" s="147" t="n">
        <v>14</v>
      </c>
      <c r="Q3" s="147" t="n">
        <v>15</v>
      </c>
      <c r="R3" s="147" t="n">
        <v>16</v>
      </c>
      <c r="S3" s="147" t="n">
        <v>17</v>
      </c>
      <c r="T3" s="147" t="n">
        <v>18</v>
      </c>
      <c r="U3" s="147" t="n">
        <v>19</v>
      </c>
      <c r="V3" s="147" t="n">
        <v>20</v>
      </c>
      <c r="W3" s="147" t="n">
        <v>21</v>
      </c>
      <c r="X3" s="147" t="n">
        <v>22</v>
      </c>
      <c r="Y3" s="147" t="n">
        <v>23</v>
      </c>
      <c r="Z3" s="147" t="n">
        <v>24</v>
      </c>
      <c r="AA3" s="147" t="n">
        <v>25</v>
      </c>
      <c r="AB3" s="147" t="n">
        <v>26</v>
      </c>
      <c r="AC3" s="147" t="n">
        <v>27</v>
      </c>
      <c r="AD3" s="147" t="n">
        <v>28</v>
      </c>
      <c r="AE3" s="147" t="n">
        <v>29</v>
      </c>
      <c r="AF3" s="147" t="n">
        <v>30</v>
      </c>
      <c r="AG3" s="147" t="n">
        <v>31</v>
      </c>
      <c r="AH3" s="147" t="n">
        <v>32</v>
      </c>
      <c r="AI3" s="147" t="n">
        <v>33</v>
      </c>
      <c r="AJ3" s="147" t="n">
        <v>34</v>
      </c>
      <c r="AK3" s="147" t="n">
        <v>35</v>
      </c>
      <c r="AL3" s="147" t="n">
        <v>36</v>
      </c>
      <c r="AM3" s="147" t="n">
        <v>37</v>
      </c>
      <c r="AN3" s="147" t="n">
        <v>38</v>
      </c>
      <c r="AO3" s="147" t="n">
        <v>39</v>
      </c>
      <c r="AP3" s="147" t="n">
        <v>40</v>
      </c>
      <c r="AQ3" s="147" t="n">
        <v>41</v>
      </c>
      <c r="AR3" s="147" t="n">
        <v>42</v>
      </c>
      <c r="AS3" s="147" t="n">
        <v>43</v>
      </c>
      <c r="AT3" s="147" t="n">
        <v>44</v>
      </c>
      <c r="AU3" s="147" t="n">
        <v>45</v>
      </c>
      <c r="AV3" s="147" t="n">
        <v>46</v>
      </c>
      <c r="AW3" s="147" t="n">
        <v>47</v>
      </c>
      <c r="AX3" s="147" t="n">
        <v>48</v>
      </c>
      <c r="AY3" s="147" t="n">
        <v>49</v>
      </c>
      <c r="AZ3" s="147" t="n">
        <v>50</v>
      </c>
      <c r="BA3" s="147" t="n">
        <v>51</v>
      </c>
      <c r="BB3" s="147" t="n">
        <v>52</v>
      </c>
      <c r="BC3" s="147" t="n">
        <v>53</v>
      </c>
      <c r="BD3" s="147" t="n">
        <v>54</v>
      </c>
      <c r="BE3" s="147" t="n">
        <v>55</v>
      </c>
      <c r="BF3" s="147" t="n">
        <v>56</v>
      </c>
      <c r="BG3" s="147" t="n">
        <v>57</v>
      </c>
      <c r="BH3" s="147" t="n">
        <v>58</v>
      </c>
      <c r="BI3" s="147" t="n">
        <v>59</v>
      </c>
      <c r="BJ3" s="147" t="n">
        <v>60</v>
      </c>
      <c r="BK3" s="147" t="n">
        <v>61</v>
      </c>
      <c r="BL3" s="147" t="n">
        <v>62</v>
      </c>
      <c r="BM3" s="147" t="n">
        <v>63</v>
      </c>
      <c r="BN3" s="147" t="n">
        <v>64</v>
      </c>
      <c r="BO3" s="147" t="n">
        <v>65</v>
      </c>
      <c r="BP3" s="147" t="n">
        <v>66</v>
      </c>
      <c r="BQ3" s="147" t="n">
        <v>67</v>
      </c>
      <c r="BR3" s="147" t="n">
        <v>68</v>
      </c>
      <c r="BS3" s="147" t="n">
        <v>69</v>
      </c>
      <c r="BT3" s="147" t="n">
        <v>70</v>
      </c>
      <c r="BU3" s="147" t="n">
        <v>71</v>
      </c>
      <c r="BV3" s="147" t="n">
        <v>72</v>
      </c>
      <c r="BW3" s="147" t="n">
        <v>73</v>
      </c>
      <c r="BX3" s="147" t="n">
        <v>74</v>
      </c>
      <c r="BY3" s="147" t="n">
        <v>75</v>
      </c>
      <c r="BZ3" s="147" t="n">
        <v>76</v>
      </c>
      <c r="CA3" s="147" t="n">
        <v>77</v>
      </c>
      <c r="CB3" s="147" t="n">
        <v>78</v>
      </c>
      <c r="CC3" s="147" t="n">
        <v>79</v>
      </c>
      <c r="CD3" s="147" t="n">
        <v>80</v>
      </c>
      <c r="CE3" s="147" t="n">
        <v>81</v>
      </c>
      <c r="CF3" s="147" t="n">
        <v>82</v>
      </c>
      <c r="CG3" s="147" t="n">
        <v>83</v>
      </c>
      <c r="CH3" s="147" t="n">
        <v>84</v>
      </c>
    </row>
    <row r="4" customFormat="false" ht="13.5" hidden="false" customHeight="true" outlineLevel="0" collapsed="false">
      <c r="A4" s="146" t="s">
        <v>688</v>
      </c>
      <c r="C4" s="148" t="n">
        <f aca="false">INT((1-1)/12)+1</f>
        <v>1</v>
      </c>
      <c r="D4" s="148" t="n">
        <f aca="false">INT((2-1)/12)+1</f>
        <v>1</v>
      </c>
      <c r="E4" s="148" t="n">
        <f aca="false">INT((3-1)/12)+1</f>
        <v>1</v>
      </c>
      <c r="F4" s="148" t="n">
        <f aca="false">INT((4-1)/12)+1</f>
        <v>1</v>
      </c>
      <c r="G4" s="148" t="n">
        <f aca="false">INT((5-1)/12)+1</f>
        <v>1</v>
      </c>
      <c r="H4" s="148" t="n">
        <f aca="false">INT((6-1)/12)+1</f>
        <v>1</v>
      </c>
      <c r="I4" s="148" t="n">
        <f aca="false">INT((7-1)/12)+1</f>
        <v>1</v>
      </c>
      <c r="J4" s="148" t="n">
        <f aca="false">INT((8-1)/12)+1</f>
        <v>1</v>
      </c>
      <c r="K4" s="148" t="n">
        <f aca="false">INT((9-1)/12)+1</f>
        <v>1</v>
      </c>
      <c r="L4" s="148" t="n">
        <f aca="false">INT((10-1)/12)+1</f>
        <v>1</v>
      </c>
      <c r="M4" s="148" t="n">
        <f aca="false">INT((11-1)/12)+1</f>
        <v>1</v>
      </c>
      <c r="N4" s="148" t="n">
        <f aca="false">INT((12-1)/12)+1</f>
        <v>1</v>
      </c>
      <c r="O4" s="148" t="n">
        <f aca="false">INT((13-1)/12)+1</f>
        <v>2</v>
      </c>
      <c r="P4" s="148" t="n">
        <f aca="false">INT((14-1)/12)+1</f>
        <v>2</v>
      </c>
      <c r="Q4" s="148" t="n">
        <f aca="false">INT((15-1)/12)+1</f>
        <v>2</v>
      </c>
      <c r="R4" s="148" t="n">
        <f aca="false">INT((16-1)/12)+1</f>
        <v>2</v>
      </c>
      <c r="S4" s="148" t="n">
        <f aca="false">INT((17-1)/12)+1</f>
        <v>2</v>
      </c>
      <c r="T4" s="148" t="n">
        <f aca="false">INT((18-1)/12)+1</f>
        <v>2</v>
      </c>
      <c r="U4" s="148" t="n">
        <f aca="false">INT((19-1)/12)+1</f>
        <v>2</v>
      </c>
      <c r="V4" s="148" t="n">
        <f aca="false">INT((20-1)/12)+1</f>
        <v>2</v>
      </c>
      <c r="W4" s="148" t="n">
        <f aca="false">INT((21-1)/12)+1</f>
        <v>2</v>
      </c>
      <c r="X4" s="148" t="n">
        <f aca="false">INT((22-1)/12)+1</f>
        <v>2</v>
      </c>
      <c r="Y4" s="148" t="n">
        <f aca="false">INT((23-1)/12)+1</f>
        <v>2</v>
      </c>
      <c r="Z4" s="148" t="n">
        <f aca="false">INT((24-1)/12)+1</f>
        <v>2</v>
      </c>
      <c r="AA4" s="148" t="n">
        <f aca="false">INT((25-1)/12)+1</f>
        <v>3</v>
      </c>
      <c r="AB4" s="148" t="n">
        <f aca="false">INT((26-1)/12)+1</f>
        <v>3</v>
      </c>
      <c r="AC4" s="148" t="n">
        <f aca="false">INT((27-1)/12)+1</f>
        <v>3</v>
      </c>
      <c r="AD4" s="148" t="n">
        <f aca="false">INT((28-1)/12)+1</f>
        <v>3</v>
      </c>
      <c r="AE4" s="148" t="n">
        <f aca="false">INT((29-1)/12)+1</f>
        <v>3</v>
      </c>
      <c r="AF4" s="148" t="n">
        <f aca="false">INT((30-1)/12)+1</f>
        <v>3</v>
      </c>
      <c r="AG4" s="148" t="n">
        <f aca="false">INT((31-1)/12)+1</f>
        <v>3</v>
      </c>
      <c r="AH4" s="148" t="n">
        <f aca="false">INT((32-1)/12)+1</f>
        <v>3</v>
      </c>
      <c r="AI4" s="148" t="n">
        <f aca="false">INT((33-1)/12)+1</f>
        <v>3</v>
      </c>
      <c r="AJ4" s="148" t="n">
        <f aca="false">INT((34-1)/12)+1</f>
        <v>3</v>
      </c>
      <c r="AK4" s="148" t="n">
        <f aca="false">INT((35-1)/12)+1</f>
        <v>3</v>
      </c>
      <c r="AL4" s="148" t="n">
        <f aca="false">INT((36-1)/12)+1</f>
        <v>3</v>
      </c>
      <c r="AM4" s="148" t="n">
        <f aca="false">INT((37-1)/12)+1</f>
        <v>4</v>
      </c>
      <c r="AN4" s="148" t="n">
        <f aca="false">INT((38-1)/12)+1</f>
        <v>4</v>
      </c>
      <c r="AO4" s="148" t="n">
        <f aca="false">INT((39-1)/12)+1</f>
        <v>4</v>
      </c>
      <c r="AP4" s="148" t="n">
        <f aca="false">INT((40-1)/12)+1</f>
        <v>4</v>
      </c>
      <c r="AQ4" s="148" t="n">
        <f aca="false">INT((41-1)/12)+1</f>
        <v>4</v>
      </c>
      <c r="AR4" s="148" t="n">
        <f aca="false">INT((42-1)/12)+1</f>
        <v>4</v>
      </c>
      <c r="AS4" s="148" t="n">
        <f aca="false">INT((43-1)/12)+1</f>
        <v>4</v>
      </c>
      <c r="AT4" s="148" t="n">
        <f aca="false">INT((44-1)/12)+1</f>
        <v>4</v>
      </c>
      <c r="AU4" s="148" t="n">
        <f aca="false">INT((45-1)/12)+1</f>
        <v>4</v>
      </c>
      <c r="AV4" s="148" t="n">
        <f aca="false">INT((46-1)/12)+1</f>
        <v>4</v>
      </c>
      <c r="AW4" s="148" t="n">
        <f aca="false">INT((47-1)/12)+1</f>
        <v>4</v>
      </c>
      <c r="AX4" s="148" t="n">
        <f aca="false">INT((48-1)/12)+1</f>
        <v>4</v>
      </c>
      <c r="AY4" s="148" t="n">
        <f aca="false">INT((49-1)/12)+1</f>
        <v>5</v>
      </c>
      <c r="AZ4" s="148" t="n">
        <f aca="false">INT((50-1)/12)+1</f>
        <v>5</v>
      </c>
      <c r="BA4" s="148" t="n">
        <f aca="false">INT((51-1)/12)+1</f>
        <v>5</v>
      </c>
      <c r="BB4" s="148" t="n">
        <f aca="false">INT((52-1)/12)+1</f>
        <v>5</v>
      </c>
      <c r="BC4" s="148" t="n">
        <f aca="false">INT((53-1)/12)+1</f>
        <v>5</v>
      </c>
      <c r="BD4" s="148" t="n">
        <f aca="false">INT((54-1)/12)+1</f>
        <v>5</v>
      </c>
      <c r="BE4" s="148" t="n">
        <f aca="false">INT((55-1)/12)+1</f>
        <v>5</v>
      </c>
      <c r="BF4" s="148" t="n">
        <f aca="false">INT((56-1)/12)+1</f>
        <v>5</v>
      </c>
      <c r="BG4" s="148" t="n">
        <f aca="false">INT((57-1)/12)+1</f>
        <v>5</v>
      </c>
      <c r="BH4" s="148" t="n">
        <f aca="false">INT((58-1)/12)+1</f>
        <v>5</v>
      </c>
      <c r="BI4" s="148" t="n">
        <f aca="false">INT((59-1)/12)+1</f>
        <v>5</v>
      </c>
      <c r="BJ4" s="148" t="n">
        <f aca="false">INT((60-1)/12)+1</f>
        <v>5</v>
      </c>
      <c r="BK4" s="148" t="n">
        <f aca="false">INT((61-1)/12)+1</f>
        <v>6</v>
      </c>
      <c r="BL4" s="148" t="n">
        <f aca="false">INT((62-1)/12)+1</f>
        <v>6</v>
      </c>
      <c r="BM4" s="148" t="n">
        <f aca="false">INT((63-1)/12)+1</f>
        <v>6</v>
      </c>
      <c r="BN4" s="148" t="n">
        <f aca="false">INT((64-1)/12)+1</f>
        <v>6</v>
      </c>
      <c r="BO4" s="148" t="n">
        <f aca="false">INT((65-1)/12)+1</f>
        <v>6</v>
      </c>
      <c r="BP4" s="148" t="n">
        <f aca="false">INT((66-1)/12)+1</f>
        <v>6</v>
      </c>
      <c r="BQ4" s="148" t="n">
        <f aca="false">INT((67-1)/12)+1</f>
        <v>6</v>
      </c>
      <c r="BR4" s="148" t="n">
        <f aca="false">INT((68-1)/12)+1</f>
        <v>6</v>
      </c>
      <c r="BS4" s="148" t="n">
        <f aca="false">INT((69-1)/12)+1</f>
        <v>6</v>
      </c>
      <c r="BT4" s="148" t="n">
        <f aca="false">INT((70-1)/12)+1</f>
        <v>6</v>
      </c>
      <c r="BU4" s="148" t="n">
        <f aca="false">INT((71-1)/12)+1</f>
        <v>6</v>
      </c>
      <c r="BV4" s="148" t="n">
        <f aca="false">INT((72-1)/12)+1</f>
        <v>6</v>
      </c>
      <c r="BW4" s="148" t="n">
        <f aca="false">INT((73-1)/12)+1</f>
        <v>7</v>
      </c>
      <c r="BX4" s="148" t="n">
        <f aca="false">INT((74-1)/12)+1</f>
        <v>7</v>
      </c>
      <c r="BY4" s="148" t="n">
        <f aca="false">INT((75-1)/12)+1</f>
        <v>7</v>
      </c>
      <c r="BZ4" s="148" t="n">
        <f aca="false">INT((76-1)/12)+1</f>
        <v>7</v>
      </c>
      <c r="CA4" s="148" t="n">
        <f aca="false">INT((77-1)/12)+1</f>
        <v>7</v>
      </c>
      <c r="CB4" s="148" t="n">
        <f aca="false">INT((78-1)/12)+1</f>
        <v>7</v>
      </c>
      <c r="CC4" s="148" t="n">
        <f aca="false">INT((79-1)/12)+1</f>
        <v>7</v>
      </c>
      <c r="CD4" s="148" t="n">
        <f aca="false">INT((80-1)/12)+1</f>
        <v>7</v>
      </c>
      <c r="CE4" s="148" t="n">
        <f aca="false">INT((81-1)/12)+1</f>
        <v>7</v>
      </c>
      <c r="CF4" s="148" t="n">
        <f aca="false">INT((82-1)/12)+1</f>
        <v>7</v>
      </c>
      <c r="CG4" s="148" t="n">
        <f aca="false">INT((83-1)/12)+1</f>
        <v>7</v>
      </c>
      <c r="CH4" s="148" t="n">
        <f aca="false">INT((84-1)/12)+1</f>
        <v>7</v>
      </c>
    </row>
    <row r="5" customFormat="false" ht="13.5" hidden="false" customHeight="true" outlineLevel="0" collapsed="false"/>
    <row r="6" customFormat="false" ht="12.75" hidden="false" customHeight="true" outlineLevel="0" collapsed="false">
      <c r="A6" s="10" t="s">
        <v>689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</row>
    <row r="7" customFormat="false" ht="13.5" hidden="false" customHeight="true" outlineLevel="0" collapsed="false">
      <c r="A7" s="13" t="s">
        <v>690</v>
      </c>
      <c r="C7" s="149" t="n">
        <f aca="false">MIN(Hipótesis!$D$26,Hipótesis!$D$27+Hipótesis!$D$28*(1-1))</f>
        <v>1</v>
      </c>
      <c r="D7" s="149" t="n">
        <f aca="false">MIN(Hipótesis!$D$26,Hipótesis!$D$27+Hipótesis!$D$28*(2-1))</f>
        <v>1.5</v>
      </c>
      <c r="E7" s="149" t="n">
        <f aca="false">MIN(Hipótesis!$D$26,Hipótesis!$D$27+Hipótesis!$D$28*(3-1))</f>
        <v>2</v>
      </c>
      <c r="F7" s="149" t="n">
        <f aca="false">MIN(Hipótesis!$D$26,Hipótesis!$D$27+Hipótesis!$D$28*(4-1))</f>
        <v>2.5</v>
      </c>
      <c r="G7" s="149" t="n">
        <f aca="false">MIN(Hipótesis!$D$26,Hipótesis!$D$27+Hipótesis!$D$28*(5-1))</f>
        <v>3</v>
      </c>
      <c r="H7" s="149" t="n">
        <f aca="false">MIN(Hipótesis!$D$26,Hipótesis!$D$27+Hipótesis!$D$28*(6-1))</f>
        <v>3</v>
      </c>
      <c r="I7" s="149" t="n">
        <f aca="false">MIN(Hipótesis!$D$26,Hipótesis!$D$27+Hipótesis!$D$28*(7-1))</f>
        <v>3</v>
      </c>
      <c r="J7" s="149" t="n">
        <f aca="false">MIN(Hipótesis!$D$26,Hipótesis!$D$27+Hipótesis!$D$28*(8-1))</f>
        <v>3</v>
      </c>
      <c r="K7" s="149" t="n">
        <f aca="false">MIN(Hipótesis!$D$26,Hipótesis!$D$27+Hipótesis!$D$28*(9-1))</f>
        <v>3</v>
      </c>
      <c r="L7" s="149" t="n">
        <f aca="false">MIN(Hipótesis!$D$26,Hipótesis!$D$27+Hipótesis!$D$28*(10-1))</f>
        <v>3</v>
      </c>
      <c r="M7" s="149" t="n">
        <f aca="false">MIN(Hipótesis!$D$26,Hipótesis!$D$27+Hipótesis!$D$28*(11-1))</f>
        <v>3</v>
      </c>
      <c r="N7" s="149" t="n">
        <f aca="false">MIN(Hipótesis!$D$26,Hipótesis!$D$27+Hipótesis!$D$28*(12-1))</f>
        <v>3</v>
      </c>
      <c r="O7" s="149" t="n">
        <f aca="false">MIN(Hipótesis!$D$26,Hipótesis!$D$27+Hipótesis!$D$28*(13-1))</f>
        <v>3</v>
      </c>
      <c r="P7" s="149" t="n">
        <f aca="false">MIN(Hipótesis!$D$26,Hipótesis!$D$27+Hipótesis!$D$28*(14-1))</f>
        <v>3</v>
      </c>
      <c r="Q7" s="149" t="n">
        <f aca="false">MIN(Hipótesis!$D$26,Hipótesis!$D$27+Hipótesis!$D$28*(15-1))</f>
        <v>3</v>
      </c>
      <c r="R7" s="149" t="n">
        <f aca="false">MIN(Hipótesis!$D$26,Hipótesis!$D$27+Hipótesis!$D$28*(16-1))</f>
        <v>3</v>
      </c>
      <c r="S7" s="149" t="n">
        <f aca="false">MIN(Hipótesis!$D$26,Hipótesis!$D$27+Hipótesis!$D$28*(17-1))</f>
        <v>3</v>
      </c>
      <c r="T7" s="149" t="n">
        <f aca="false">MIN(Hipótesis!$D$26,Hipótesis!$D$27+Hipótesis!$D$28*(18-1))</f>
        <v>3</v>
      </c>
      <c r="U7" s="149" t="n">
        <f aca="false">MIN(Hipótesis!$D$26,Hipótesis!$D$27+Hipótesis!$D$28*(19-1))</f>
        <v>3</v>
      </c>
      <c r="V7" s="149" t="n">
        <f aca="false">MIN(Hipótesis!$D$26,Hipótesis!$D$27+Hipótesis!$D$28*(20-1))</f>
        <v>3</v>
      </c>
      <c r="W7" s="149" t="n">
        <f aca="false">MIN(Hipótesis!$D$26,Hipótesis!$D$27+Hipótesis!$D$28*(21-1))</f>
        <v>3</v>
      </c>
      <c r="X7" s="149" t="n">
        <f aca="false">MIN(Hipótesis!$D$26,Hipótesis!$D$27+Hipótesis!$D$28*(22-1))</f>
        <v>3</v>
      </c>
      <c r="Y7" s="149" t="n">
        <f aca="false">MIN(Hipótesis!$D$26,Hipótesis!$D$27+Hipótesis!$D$28*(23-1))</f>
        <v>3</v>
      </c>
      <c r="Z7" s="149" t="n">
        <f aca="false">MIN(Hipótesis!$D$26,Hipótesis!$D$27+Hipótesis!$D$28*(24-1))</f>
        <v>3</v>
      </c>
      <c r="AA7" s="149" t="n">
        <f aca="false">MIN(Hipótesis!$D$26,Hipótesis!$D$27+Hipótesis!$D$28*(25-1))</f>
        <v>3</v>
      </c>
      <c r="AB7" s="149" t="n">
        <f aca="false">MIN(Hipótesis!$D$26,Hipótesis!$D$27+Hipótesis!$D$28*(26-1))</f>
        <v>3</v>
      </c>
      <c r="AC7" s="149" t="n">
        <f aca="false">MIN(Hipótesis!$D$26,Hipótesis!$D$27+Hipótesis!$D$28*(27-1))</f>
        <v>3</v>
      </c>
      <c r="AD7" s="149" t="n">
        <f aca="false">MIN(Hipótesis!$D$26,Hipótesis!$D$27+Hipótesis!$D$28*(28-1))</f>
        <v>3</v>
      </c>
      <c r="AE7" s="149" t="n">
        <f aca="false">MIN(Hipótesis!$D$26,Hipótesis!$D$27+Hipótesis!$D$28*(29-1))</f>
        <v>3</v>
      </c>
      <c r="AF7" s="149" t="n">
        <f aca="false">MIN(Hipótesis!$D$26,Hipótesis!$D$27+Hipótesis!$D$28*(30-1))</f>
        <v>3</v>
      </c>
      <c r="AG7" s="149" t="n">
        <f aca="false">MIN(Hipótesis!$D$26,Hipótesis!$D$27+Hipótesis!$D$28*(31-1))</f>
        <v>3</v>
      </c>
      <c r="AH7" s="149" t="n">
        <f aca="false">MIN(Hipótesis!$D$26,Hipótesis!$D$27+Hipótesis!$D$28*(32-1))</f>
        <v>3</v>
      </c>
      <c r="AI7" s="149" t="n">
        <f aca="false">MIN(Hipótesis!$D$26,Hipótesis!$D$27+Hipótesis!$D$28*(33-1))</f>
        <v>3</v>
      </c>
      <c r="AJ7" s="149" t="n">
        <f aca="false">MIN(Hipótesis!$D$26,Hipótesis!$D$27+Hipótesis!$D$28*(34-1))</f>
        <v>3</v>
      </c>
      <c r="AK7" s="149" t="n">
        <f aca="false">MIN(Hipótesis!$D$26,Hipótesis!$D$27+Hipótesis!$D$28*(35-1))</f>
        <v>3</v>
      </c>
      <c r="AL7" s="149" t="n">
        <f aca="false">MIN(Hipótesis!$D$26,Hipótesis!$D$27+Hipótesis!$D$28*(36-1))</f>
        <v>3</v>
      </c>
      <c r="AM7" s="149" t="n">
        <f aca="false">MIN(Hipótesis!$D$26,Hipótesis!$D$27+Hipótesis!$D$28*(37-1))</f>
        <v>3</v>
      </c>
      <c r="AN7" s="149" t="n">
        <f aca="false">MIN(Hipótesis!$D$26,Hipótesis!$D$27+Hipótesis!$D$28*(38-1))</f>
        <v>3</v>
      </c>
      <c r="AO7" s="149" t="n">
        <f aca="false">MIN(Hipótesis!$D$26,Hipótesis!$D$27+Hipótesis!$D$28*(39-1))</f>
        <v>3</v>
      </c>
      <c r="AP7" s="149" t="n">
        <f aca="false">MIN(Hipótesis!$D$26,Hipótesis!$D$27+Hipótesis!$D$28*(40-1))</f>
        <v>3</v>
      </c>
      <c r="AQ7" s="149" t="n">
        <f aca="false">MIN(Hipótesis!$D$26,Hipótesis!$D$27+Hipótesis!$D$28*(41-1))</f>
        <v>3</v>
      </c>
      <c r="AR7" s="149" t="n">
        <f aca="false">MIN(Hipótesis!$D$26,Hipótesis!$D$27+Hipótesis!$D$28*(42-1))</f>
        <v>3</v>
      </c>
      <c r="AS7" s="149" t="n">
        <f aca="false">MIN(Hipótesis!$D$26,Hipótesis!$D$27+Hipótesis!$D$28*(43-1))</f>
        <v>3</v>
      </c>
      <c r="AT7" s="149" t="n">
        <f aca="false">MIN(Hipótesis!$D$26,Hipótesis!$D$27+Hipótesis!$D$28*(44-1))</f>
        <v>3</v>
      </c>
      <c r="AU7" s="149" t="n">
        <f aca="false">MIN(Hipótesis!$D$26,Hipótesis!$D$27+Hipótesis!$D$28*(45-1))</f>
        <v>3</v>
      </c>
      <c r="AV7" s="149" t="n">
        <f aca="false">MIN(Hipótesis!$D$26,Hipótesis!$D$27+Hipótesis!$D$28*(46-1))</f>
        <v>3</v>
      </c>
      <c r="AW7" s="149" t="n">
        <f aca="false">MIN(Hipótesis!$D$26,Hipótesis!$D$27+Hipótesis!$D$28*(47-1))</f>
        <v>3</v>
      </c>
      <c r="AX7" s="149" t="n">
        <f aca="false">MIN(Hipótesis!$D$26,Hipótesis!$D$27+Hipótesis!$D$28*(48-1))</f>
        <v>3</v>
      </c>
      <c r="AY7" s="149" t="n">
        <f aca="false">MIN(Hipótesis!$D$26,Hipótesis!$D$27+Hipótesis!$D$28*(49-1))</f>
        <v>3</v>
      </c>
      <c r="AZ7" s="149" t="n">
        <f aca="false">MIN(Hipótesis!$D$26,Hipótesis!$D$27+Hipótesis!$D$28*(50-1))</f>
        <v>3</v>
      </c>
      <c r="BA7" s="149" t="n">
        <f aca="false">MIN(Hipótesis!$D$26,Hipótesis!$D$27+Hipótesis!$D$28*(51-1))</f>
        <v>3</v>
      </c>
      <c r="BB7" s="149" t="n">
        <f aca="false">MIN(Hipótesis!$D$26,Hipótesis!$D$27+Hipótesis!$D$28*(52-1))</f>
        <v>3</v>
      </c>
      <c r="BC7" s="149" t="n">
        <f aca="false">MIN(Hipótesis!$D$26,Hipótesis!$D$27+Hipótesis!$D$28*(53-1))</f>
        <v>3</v>
      </c>
      <c r="BD7" s="149" t="n">
        <f aca="false">MIN(Hipótesis!$D$26,Hipótesis!$D$27+Hipótesis!$D$28*(54-1))</f>
        <v>3</v>
      </c>
      <c r="BE7" s="149" t="n">
        <f aca="false">MIN(Hipótesis!$D$26,Hipótesis!$D$27+Hipótesis!$D$28*(55-1))</f>
        <v>3</v>
      </c>
      <c r="BF7" s="149" t="n">
        <f aca="false">MIN(Hipótesis!$D$26,Hipótesis!$D$27+Hipótesis!$D$28*(56-1))</f>
        <v>3</v>
      </c>
      <c r="BG7" s="149" t="n">
        <f aca="false">MIN(Hipótesis!$D$26,Hipótesis!$D$27+Hipótesis!$D$28*(57-1))</f>
        <v>3</v>
      </c>
      <c r="BH7" s="149" t="n">
        <f aca="false">MIN(Hipótesis!$D$26,Hipótesis!$D$27+Hipótesis!$D$28*(58-1))</f>
        <v>3</v>
      </c>
      <c r="BI7" s="149" t="n">
        <f aca="false">MIN(Hipótesis!$D$26,Hipótesis!$D$27+Hipótesis!$D$28*(59-1))</f>
        <v>3</v>
      </c>
      <c r="BJ7" s="149" t="n">
        <f aca="false">MIN(Hipótesis!$D$26,Hipótesis!$D$27+Hipótesis!$D$28*(60-1))</f>
        <v>3</v>
      </c>
      <c r="BK7" s="149" t="n">
        <f aca="false">MIN(Hipótesis!$D$26,Hipótesis!$D$27+Hipótesis!$D$28*(61-1))</f>
        <v>3</v>
      </c>
      <c r="BL7" s="149" t="n">
        <f aca="false">MIN(Hipótesis!$D$26,Hipótesis!$D$27+Hipótesis!$D$28*(62-1))</f>
        <v>3</v>
      </c>
      <c r="BM7" s="149" t="n">
        <f aca="false">MIN(Hipótesis!$D$26,Hipótesis!$D$27+Hipótesis!$D$28*(63-1))</f>
        <v>3</v>
      </c>
      <c r="BN7" s="149" t="n">
        <f aca="false">MIN(Hipótesis!$D$26,Hipótesis!$D$27+Hipótesis!$D$28*(64-1))</f>
        <v>3</v>
      </c>
      <c r="BO7" s="149" t="n">
        <f aca="false">MIN(Hipótesis!$D$26,Hipótesis!$D$27+Hipótesis!$D$28*(65-1))</f>
        <v>3</v>
      </c>
      <c r="BP7" s="149" t="n">
        <f aca="false">MIN(Hipótesis!$D$26,Hipótesis!$D$27+Hipótesis!$D$28*(66-1))</f>
        <v>3</v>
      </c>
      <c r="BQ7" s="149" t="n">
        <f aca="false">MIN(Hipótesis!$D$26,Hipótesis!$D$27+Hipótesis!$D$28*(67-1))</f>
        <v>3</v>
      </c>
      <c r="BR7" s="149" t="n">
        <f aca="false">MIN(Hipótesis!$D$26,Hipótesis!$D$27+Hipótesis!$D$28*(68-1))</f>
        <v>3</v>
      </c>
      <c r="BS7" s="149" t="n">
        <f aca="false">MIN(Hipótesis!$D$26,Hipótesis!$D$27+Hipótesis!$D$28*(69-1))</f>
        <v>3</v>
      </c>
      <c r="BT7" s="149" t="n">
        <f aca="false">MIN(Hipótesis!$D$26,Hipótesis!$D$27+Hipótesis!$D$28*(70-1))</f>
        <v>3</v>
      </c>
      <c r="BU7" s="149" t="n">
        <f aca="false">MIN(Hipótesis!$D$26,Hipótesis!$D$27+Hipótesis!$D$28*(71-1))</f>
        <v>3</v>
      </c>
      <c r="BV7" s="149" t="n">
        <f aca="false">MIN(Hipótesis!$D$26,Hipótesis!$D$27+Hipótesis!$D$28*(72-1))</f>
        <v>3</v>
      </c>
      <c r="BW7" s="149" t="n">
        <f aca="false">MIN(Hipótesis!$D$26,Hipótesis!$D$27+Hipótesis!$D$28*(73-1))</f>
        <v>3</v>
      </c>
      <c r="BX7" s="149" t="n">
        <f aca="false">MIN(Hipótesis!$D$26,Hipótesis!$D$27+Hipótesis!$D$28*(74-1))</f>
        <v>3</v>
      </c>
      <c r="BY7" s="149" t="n">
        <f aca="false">MIN(Hipótesis!$D$26,Hipótesis!$D$27+Hipótesis!$D$28*(75-1))</f>
        <v>3</v>
      </c>
      <c r="BZ7" s="149" t="n">
        <f aca="false">MIN(Hipótesis!$D$26,Hipótesis!$D$27+Hipótesis!$D$28*(76-1))</f>
        <v>3</v>
      </c>
      <c r="CA7" s="149" t="n">
        <f aca="false">MIN(Hipótesis!$D$26,Hipótesis!$D$27+Hipótesis!$D$28*(77-1))</f>
        <v>3</v>
      </c>
      <c r="CB7" s="149" t="n">
        <f aca="false">MIN(Hipótesis!$D$26,Hipótesis!$D$27+Hipótesis!$D$28*(78-1))</f>
        <v>3</v>
      </c>
      <c r="CC7" s="149" t="n">
        <f aca="false">MIN(Hipótesis!$D$26,Hipótesis!$D$27+Hipótesis!$D$28*(79-1))</f>
        <v>3</v>
      </c>
      <c r="CD7" s="149" t="n">
        <f aca="false">MIN(Hipótesis!$D$26,Hipótesis!$D$27+Hipótesis!$D$28*(80-1))</f>
        <v>3</v>
      </c>
      <c r="CE7" s="149" t="n">
        <f aca="false">MIN(Hipótesis!$D$26,Hipótesis!$D$27+Hipótesis!$D$28*(81-1))</f>
        <v>3</v>
      </c>
      <c r="CF7" s="149" t="n">
        <f aca="false">MIN(Hipótesis!$D$26,Hipótesis!$D$27+Hipótesis!$D$28*(82-1))</f>
        <v>3</v>
      </c>
      <c r="CG7" s="149" t="n">
        <f aca="false">MIN(Hipótesis!$D$26,Hipótesis!$D$27+Hipótesis!$D$28*(83-1))</f>
        <v>3</v>
      </c>
      <c r="CH7" s="149" t="n">
        <f aca="false">MIN(Hipótesis!$D$26,Hipótesis!$D$27+Hipótesis!$D$28*(84-1))</f>
        <v>3</v>
      </c>
    </row>
    <row r="8" customFormat="false" ht="13.5" hidden="false" customHeight="true" outlineLevel="0" collapsed="false">
      <c r="A8" s="13" t="s">
        <v>691</v>
      </c>
      <c r="C8" s="139" t="n">
        <f aca="false">C7*Hipótesis!$D$13</f>
        <v>960</v>
      </c>
      <c r="D8" s="139" t="n">
        <f aca="false">D7*Hipótesis!$D$13</f>
        <v>1440</v>
      </c>
      <c r="E8" s="139" t="n">
        <f aca="false">E7*Hipótesis!$D$13</f>
        <v>1920</v>
      </c>
      <c r="F8" s="139" t="n">
        <f aca="false">F7*Hipótesis!$D$13</f>
        <v>2400</v>
      </c>
      <c r="G8" s="139" t="n">
        <f aca="false">G7*Hipótesis!$D$13</f>
        <v>2880</v>
      </c>
      <c r="H8" s="139" t="n">
        <f aca="false">H7*Hipótesis!$D$13</f>
        <v>2880</v>
      </c>
      <c r="I8" s="139" t="n">
        <f aca="false">I7*Hipótesis!$D$13</f>
        <v>2880</v>
      </c>
      <c r="J8" s="139" t="n">
        <f aca="false">J7*Hipótesis!$D$13</f>
        <v>2880</v>
      </c>
      <c r="K8" s="139" t="n">
        <f aca="false">K7*Hipótesis!$D$13</f>
        <v>2880</v>
      </c>
      <c r="L8" s="139" t="n">
        <f aca="false">L7*Hipótesis!$D$13</f>
        <v>2880</v>
      </c>
      <c r="M8" s="139" t="n">
        <f aca="false">M7*Hipótesis!$D$13</f>
        <v>2880</v>
      </c>
      <c r="N8" s="139" t="n">
        <f aca="false">N7*Hipótesis!$D$13</f>
        <v>2880</v>
      </c>
      <c r="O8" s="139" t="n">
        <f aca="false">O7*Hipótesis!$D$13</f>
        <v>2880</v>
      </c>
      <c r="P8" s="139" t="n">
        <f aca="false">P7*Hipótesis!$D$13</f>
        <v>2880</v>
      </c>
      <c r="Q8" s="139" t="n">
        <f aca="false">Q7*Hipótesis!$D$13</f>
        <v>2880</v>
      </c>
      <c r="R8" s="139" t="n">
        <f aca="false">R7*Hipótesis!$D$13</f>
        <v>2880</v>
      </c>
      <c r="S8" s="139" t="n">
        <f aca="false">S7*Hipótesis!$D$13</f>
        <v>2880</v>
      </c>
      <c r="T8" s="139" t="n">
        <f aca="false">T7*Hipótesis!$D$13</f>
        <v>2880</v>
      </c>
      <c r="U8" s="139" t="n">
        <f aca="false">U7*Hipótesis!$D$13</f>
        <v>2880</v>
      </c>
      <c r="V8" s="139" t="n">
        <f aca="false">V7*Hipótesis!$D$13</f>
        <v>2880</v>
      </c>
      <c r="W8" s="139" t="n">
        <f aca="false">W7*Hipótesis!$D$13</f>
        <v>2880</v>
      </c>
      <c r="X8" s="139" t="n">
        <f aca="false">X7*Hipótesis!$D$13</f>
        <v>2880</v>
      </c>
      <c r="Y8" s="139" t="n">
        <f aca="false">Y7*Hipótesis!$D$13</f>
        <v>2880</v>
      </c>
      <c r="Z8" s="139" t="n">
        <f aca="false">Z7*Hipótesis!$D$13</f>
        <v>2880</v>
      </c>
      <c r="AA8" s="139" t="n">
        <f aca="false">AA7*Hipótesis!$D$13</f>
        <v>2880</v>
      </c>
      <c r="AB8" s="139" t="n">
        <f aca="false">AB7*Hipótesis!$D$13</f>
        <v>2880</v>
      </c>
      <c r="AC8" s="139" t="n">
        <f aca="false">AC7*Hipótesis!$D$13</f>
        <v>2880</v>
      </c>
      <c r="AD8" s="139" t="n">
        <f aca="false">AD7*Hipótesis!$D$13</f>
        <v>2880</v>
      </c>
      <c r="AE8" s="139" t="n">
        <f aca="false">AE7*Hipótesis!$D$13</f>
        <v>2880</v>
      </c>
      <c r="AF8" s="139" t="n">
        <f aca="false">AF7*Hipótesis!$D$13</f>
        <v>2880</v>
      </c>
      <c r="AG8" s="139" t="n">
        <f aca="false">AG7*Hipótesis!$D$13</f>
        <v>2880</v>
      </c>
      <c r="AH8" s="139" t="n">
        <f aca="false">AH7*Hipótesis!$D$13</f>
        <v>2880</v>
      </c>
      <c r="AI8" s="139" t="n">
        <f aca="false">AI7*Hipótesis!$D$13</f>
        <v>2880</v>
      </c>
      <c r="AJ8" s="139" t="n">
        <f aca="false">AJ7*Hipótesis!$D$13</f>
        <v>2880</v>
      </c>
      <c r="AK8" s="139" t="n">
        <f aca="false">AK7*Hipótesis!$D$13</f>
        <v>2880</v>
      </c>
      <c r="AL8" s="139" t="n">
        <f aca="false">AL7*Hipótesis!$D$13</f>
        <v>2880</v>
      </c>
      <c r="AM8" s="139" t="n">
        <f aca="false">AM7*Hipótesis!$D$13</f>
        <v>2880</v>
      </c>
      <c r="AN8" s="139" t="n">
        <f aca="false">AN7*Hipótesis!$D$13</f>
        <v>2880</v>
      </c>
      <c r="AO8" s="139" t="n">
        <f aca="false">AO7*Hipótesis!$D$13</f>
        <v>2880</v>
      </c>
      <c r="AP8" s="139" t="n">
        <f aca="false">AP7*Hipótesis!$D$13</f>
        <v>2880</v>
      </c>
      <c r="AQ8" s="139" t="n">
        <f aca="false">AQ7*Hipótesis!$D$13</f>
        <v>2880</v>
      </c>
      <c r="AR8" s="139" t="n">
        <f aca="false">AR7*Hipótesis!$D$13</f>
        <v>2880</v>
      </c>
      <c r="AS8" s="139" t="n">
        <f aca="false">AS7*Hipótesis!$D$13</f>
        <v>2880</v>
      </c>
      <c r="AT8" s="139" t="n">
        <f aca="false">AT7*Hipótesis!$D$13</f>
        <v>2880</v>
      </c>
      <c r="AU8" s="139" t="n">
        <f aca="false">AU7*Hipótesis!$D$13</f>
        <v>2880</v>
      </c>
      <c r="AV8" s="139" t="n">
        <f aca="false">AV7*Hipótesis!$D$13</f>
        <v>2880</v>
      </c>
      <c r="AW8" s="139" t="n">
        <f aca="false">AW7*Hipótesis!$D$13</f>
        <v>2880</v>
      </c>
      <c r="AX8" s="139" t="n">
        <f aca="false">AX7*Hipótesis!$D$13</f>
        <v>2880</v>
      </c>
      <c r="AY8" s="139" t="n">
        <f aca="false">AY7*Hipótesis!$D$13</f>
        <v>2880</v>
      </c>
      <c r="AZ8" s="139" t="n">
        <f aca="false">AZ7*Hipótesis!$D$13</f>
        <v>2880</v>
      </c>
      <c r="BA8" s="139" t="n">
        <f aca="false">BA7*Hipótesis!$D$13</f>
        <v>2880</v>
      </c>
      <c r="BB8" s="139" t="n">
        <f aca="false">BB7*Hipótesis!$D$13</f>
        <v>2880</v>
      </c>
      <c r="BC8" s="139" t="n">
        <f aca="false">BC7*Hipótesis!$D$13</f>
        <v>2880</v>
      </c>
      <c r="BD8" s="139" t="n">
        <f aca="false">BD7*Hipótesis!$D$13</f>
        <v>2880</v>
      </c>
      <c r="BE8" s="139" t="n">
        <f aca="false">BE7*Hipótesis!$D$13</f>
        <v>2880</v>
      </c>
      <c r="BF8" s="139" t="n">
        <f aca="false">BF7*Hipótesis!$D$13</f>
        <v>2880</v>
      </c>
      <c r="BG8" s="139" t="n">
        <f aca="false">BG7*Hipótesis!$D$13</f>
        <v>2880</v>
      </c>
      <c r="BH8" s="139" t="n">
        <f aca="false">BH7*Hipótesis!$D$13</f>
        <v>2880</v>
      </c>
      <c r="BI8" s="139" t="n">
        <f aca="false">BI7*Hipótesis!$D$13</f>
        <v>2880</v>
      </c>
      <c r="BJ8" s="139" t="n">
        <f aca="false">BJ7*Hipótesis!$D$13</f>
        <v>2880</v>
      </c>
      <c r="BK8" s="139" t="n">
        <f aca="false">BK7*Hipótesis!$D$13</f>
        <v>2880</v>
      </c>
      <c r="BL8" s="139" t="n">
        <f aca="false">BL7*Hipótesis!$D$13</f>
        <v>2880</v>
      </c>
      <c r="BM8" s="139" t="n">
        <f aca="false">BM7*Hipótesis!$D$13</f>
        <v>2880</v>
      </c>
      <c r="BN8" s="139" t="n">
        <f aca="false">BN7*Hipótesis!$D$13</f>
        <v>2880</v>
      </c>
      <c r="BO8" s="139" t="n">
        <f aca="false">BO7*Hipótesis!$D$13</f>
        <v>2880</v>
      </c>
      <c r="BP8" s="139" t="n">
        <f aca="false">BP7*Hipótesis!$D$13</f>
        <v>2880</v>
      </c>
      <c r="BQ8" s="139" t="n">
        <f aca="false">BQ7*Hipótesis!$D$13</f>
        <v>2880</v>
      </c>
      <c r="BR8" s="139" t="n">
        <f aca="false">BR7*Hipótesis!$D$13</f>
        <v>2880</v>
      </c>
      <c r="BS8" s="139" t="n">
        <f aca="false">BS7*Hipótesis!$D$13</f>
        <v>2880</v>
      </c>
      <c r="BT8" s="139" t="n">
        <f aca="false">BT7*Hipótesis!$D$13</f>
        <v>2880</v>
      </c>
      <c r="BU8" s="139" t="n">
        <f aca="false">BU7*Hipótesis!$D$13</f>
        <v>2880</v>
      </c>
      <c r="BV8" s="139" t="n">
        <f aca="false">BV7*Hipótesis!$D$13</f>
        <v>2880</v>
      </c>
      <c r="BW8" s="139" t="n">
        <f aca="false">BW7*Hipótesis!$D$13</f>
        <v>2880</v>
      </c>
      <c r="BX8" s="139" t="n">
        <f aca="false">BX7*Hipótesis!$D$13</f>
        <v>2880</v>
      </c>
      <c r="BY8" s="139" t="n">
        <f aca="false">BY7*Hipótesis!$D$13</f>
        <v>2880</v>
      </c>
      <c r="BZ8" s="139" t="n">
        <f aca="false">BZ7*Hipótesis!$D$13</f>
        <v>2880</v>
      </c>
      <c r="CA8" s="139" t="n">
        <f aca="false">CA7*Hipótesis!$D$13</f>
        <v>2880</v>
      </c>
      <c r="CB8" s="139" t="n">
        <f aca="false">CB7*Hipótesis!$D$13</f>
        <v>2880</v>
      </c>
      <c r="CC8" s="139" t="n">
        <f aca="false">CC7*Hipótesis!$D$13</f>
        <v>2880</v>
      </c>
      <c r="CD8" s="139" t="n">
        <f aca="false">CD7*Hipótesis!$D$13</f>
        <v>2880</v>
      </c>
      <c r="CE8" s="139" t="n">
        <f aca="false">CE7*Hipótesis!$D$13</f>
        <v>2880</v>
      </c>
      <c r="CF8" s="139" t="n">
        <f aca="false">CF7*Hipótesis!$D$13</f>
        <v>2880</v>
      </c>
      <c r="CG8" s="139" t="n">
        <f aca="false">CG7*Hipótesis!$D$13</f>
        <v>2880</v>
      </c>
      <c r="CH8" s="139" t="n">
        <f aca="false">CH7*Hipótesis!$D$13</f>
        <v>2880</v>
      </c>
    </row>
    <row r="9" customFormat="false" ht="13.5" hidden="false" customHeight="true" outlineLevel="0" collapsed="false">
      <c r="A9" s="13" t="s">
        <v>692</v>
      </c>
      <c r="C9" s="138" t="n">
        <f aca="false">Pipeline!$Q$16*Pipeline!$D$16*MIN(1,MAX(0,(1-Pipeline!$E$16+1)/MAX(Pipeline!$F$16,1)))</f>
        <v>1033.125</v>
      </c>
      <c r="D9" s="138" t="n">
        <f aca="false">Pipeline!$Q$16*Pipeline!$D$16*MIN(1,MAX(0,(2-Pipeline!$E$16+1)/MAX(Pipeline!$F$16,1)))</f>
        <v>2066.25</v>
      </c>
      <c r="E9" s="138" t="n">
        <f aca="false">Pipeline!$Q$16*Pipeline!$D$16*MIN(1,MAX(0,(3-Pipeline!$E$16+1)/MAX(Pipeline!$F$16,1)))</f>
        <v>3099.375</v>
      </c>
      <c r="F9" s="138" t="n">
        <f aca="false">Pipeline!$Q$16*Pipeline!$D$16*MIN(1,MAX(0,(4-Pipeline!$E$16+1)/MAX(Pipeline!$F$16,1)))</f>
        <v>3099.375</v>
      </c>
      <c r="G9" s="138" t="n">
        <f aca="false">Pipeline!$Q$16*Pipeline!$D$16*MIN(1,MAX(0,(5-Pipeline!$E$16+1)/MAX(Pipeline!$F$16,1)))</f>
        <v>3099.375</v>
      </c>
      <c r="H9" s="138" t="n">
        <f aca="false">Pipeline!$Q$16*Pipeline!$D$16*MIN(1,MAX(0,(6-Pipeline!$E$16+1)/MAX(Pipeline!$F$16,1)))</f>
        <v>3099.375</v>
      </c>
      <c r="I9" s="138" t="n">
        <f aca="false">Pipeline!$Q$16*Pipeline!$D$16*MIN(1,MAX(0,(7-Pipeline!$E$16+1)/MAX(Pipeline!$F$16,1)))</f>
        <v>3099.375</v>
      </c>
      <c r="J9" s="138" t="n">
        <f aca="false">Pipeline!$Q$16*Pipeline!$D$16*MIN(1,MAX(0,(8-Pipeline!$E$16+1)/MAX(Pipeline!$F$16,1)))</f>
        <v>3099.375</v>
      </c>
      <c r="K9" s="138" t="n">
        <f aca="false">Pipeline!$Q$16*Pipeline!$D$16*MIN(1,MAX(0,(9-Pipeline!$E$16+1)/MAX(Pipeline!$F$16,1)))</f>
        <v>3099.375</v>
      </c>
      <c r="L9" s="138" t="n">
        <f aca="false">Pipeline!$Q$16*Pipeline!$D$16*MIN(1,MAX(0,(10-Pipeline!$E$16+1)/MAX(Pipeline!$F$16,1)))</f>
        <v>3099.375</v>
      </c>
      <c r="M9" s="138" t="n">
        <f aca="false">Pipeline!$Q$16*Pipeline!$D$16*MIN(1,MAX(0,(11-Pipeline!$E$16+1)/MAX(Pipeline!$F$16,1)))</f>
        <v>3099.375</v>
      </c>
      <c r="N9" s="138" t="n">
        <f aca="false">Pipeline!$Q$16*Pipeline!$D$16*MIN(1,MAX(0,(12-Pipeline!$E$16+1)/MAX(Pipeline!$F$16,1)))</f>
        <v>3099.375</v>
      </c>
      <c r="O9" s="138" t="n">
        <f aca="false">Pipeline!$Q$16*Pipeline!$D$16*MIN(1,MAX(0,(13-Pipeline!$E$16+1)/MAX(Pipeline!$F$16,1)))</f>
        <v>3099.375</v>
      </c>
      <c r="P9" s="138" t="n">
        <f aca="false">Pipeline!$Q$16*Pipeline!$D$16*MIN(1,MAX(0,(14-Pipeline!$E$16+1)/MAX(Pipeline!$F$16,1)))</f>
        <v>3099.375</v>
      </c>
      <c r="Q9" s="138" t="n">
        <f aca="false">Pipeline!$Q$16*Pipeline!$D$16*MIN(1,MAX(0,(15-Pipeline!$E$16+1)/MAX(Pipeline!$F$16,1)))</f>
        <v>3099.375</v>
      </c>
      <c r="R9" s="138" t="n">
        <f aca="false">Pipeline!$Q$16*Pipeline!$D$16*MIN(1,MAX(0,(16-Pipeline!$E$16+1)/MAX(Pipeline!$F$16,1)))</f>
        <v>3099.375</v>
      </c>
      <c r="S9" s="138" t="n">
        <f aca="false">Pipeline!$Q$16*Pipeline!$D$16*MIN(1,MAX(0,(17-Pipeline!$E$16+1)/MAX(Pipeline!$F$16,1)))</f>
        <v>3099.375</v>
      </c>
      <c r="T9" s="138" t="n">
        <f aca="false">Pipeline!$Q$16*Pipeline!$D$16*MIN(1,MAX(0,(18-Pipeline!$E$16+1)/MAX(Pipeline!$F$16,1)))</f>
        <v>3099.375</v>
      </c>
      <c r="U9" s="138" t="n">
        <f aca="false">Pipeline!$Q$16*Pipeline!$D$16*MIN(1,MAX(0,(19-Pipeline!$E$16+1)/MAX(Pipeline!$F$16,1)))</f>
        <v>3099.375</v>
      </c>
      <c r="V9" s="138" t="n">
        <f aca="false">Pipeline!$Q$16*Pipeline!$D$16*MIN(1,MAX(0,(20-Pipeline!$E$16+1)/MAX(Pipeline!$F$16,1)))</f>
        <v>3099.375</v>
      </c>
      <c r="W9" s="138" t="n">
        <f aca="false">Pipeline!$Q$16*Pipeline!$D$16*MIN(1,MAX(0,(21-Pipeline!$E$16+1)/MAX(Pipeline!$F$16,1)))</f>
        <v>3099.375</v>
      </c>
      <c r="X9" s="138" t="n">
        <f aca="false">Pipeline!$Q$16*Pipeline!$D$16*MIN(1,MAX(0,(22-Pipeline!$E$16+1)/MAX(Pipeline!$F$16,1)))</f>
        <v>3099.375</v>
      </c>
      <c r="Y9" s="138" t="n">
        <f aca="false">Pipeline!$Q$16*Pipeline!$D$16*MIN(1,MAX(0,(23-Pipeline!$E$16+1)/MAX(Pipeline!$F$16,1)))</f>
        <v>3099.375</v>
      </c>
      <c r="Z9" s="138" t="n">
        <f aca="false">Pipeline!$Q$16*Pipeline!$D$16*MIN(1,MAX(0,(24-Pipeline!$E$16+1)/MAX(Pipeline!$F$16,1)))</f>
        <v>3099.375</v>
      </c>
      <c r="AA9" s="138" t="n">
        <f aca="false">Pipeline!$Q$16*Pipeline!$D$16*MIN(1,MAX(0,(25-Pipeline!$E$16+1)/MAX(Pipeline!$F$16,1)))</f>
        <v>3099.375</v>
      </c>
      <c r="AB9" s="138" t="n">
        <f aca="false">Pipeline!$Q$16*Pipeline!$D$16*MIN(1,MAX(0,(26-Pipeline!$E$16+1)/MAX(Pipeline!$F$16,1)))</f>
        <v>3099.375</v>
      </c>
      <c r="AC9" s="138" t="n">
        <f aca="false">Pipeline!$Q$16*Pipeline!$D$16*MIN(1,MAX(0,(27-Pipeline!$E$16+1)/MAX(Pipeline!$F$16,1)))</f>
        <v>3099.375</v>
      </c>
      <c r="AD9" s="138" t="n">
        <f aca="false">Pipeline!$Q$16*Pipeline!$D$16*MIN(1,MAX(0,(28-Pipeline!$E$16+1)/MAX(Pipeline!$F$16,1)))</f>
        <v>3099.375</v>
      </c>
      <c r="AE9" s="138" t="n">
        <f aca="false">Pipeline!$Q$16*Pipeline!$D$16*MIN(1,MAX(0,(29-Pipeline!$E$16+1)/MAX(Pipeline!$F$16,1)))</f>
        <v>3099.375</v>
      </c>
      <c r="AF9" s="138" t="n">
        <f aca="false">Pipeline!$Q$16*Pipeline!$D$16*MIN(1,MAX(0,(30-Pipeline!$E$16+1)/MAX(Pipeline!$F$16,1)))</f>
        <v>3099.375</v>
      </c>
      <c r="AG9" s="138" t="n">
        <f aca="false">Pipeline!$Q$16*Pipeline!$D$16*MIN(1,MAX(0,(31-Pipeline!$E$16+1)/MAX(Pipeline!$F$16,1)))</f>
        <v>3099.375</v>
      </c>
      <c r="AH9" s="138" t="n">
        <f aca="false">Pipeline!$Q$16*Pipeline!$D$16*MIN(1,MAX(0,(32-Pipeline!$E$16+1)/MAX(Pipeline!$F$16,1)))</f>
        <v>3099.375</v>
      </c>
      <c r="AI9" s="138" t="n">
        <f aca="false">Pipeline!$Q$16*Pipeline!$D$16*MIN(1,MAX(0,(33-Pipeline!$E$16+1)/MAX(Pipeline!$F$16,1)))</f>
        <v>3099.375</v>
      </c>
      <c r="AJ9" s="138" t="n">
        <f aca="false">Pipeline!$Q$16*Pipeline!$D$16*MIN(1,MAX(0,(34-Pipeline!$E$16+1)/MAX(Pipeline!$F$16,1)))</f>
        <v>3099.375</v>
      </c>
      <c r="AK9" s="138" t="n">
        <f aca="false">Pipeline!$Q$16*Pipeline!$D$16*MIN(1,MAX(0,(35-Pipeline!$E$16+1)/MAX(Pipeline!$F$16,1)))</f>
        <v>3099.375</v>
      </c>
      <c r="AL9" s="138" t="n">
        <f aca="false">Pipeline!$Q$16*Pipeline!$D$16*MIN(1,MAX(0,(36-Pipeline!$E$16+1)/MAX(Pipeline!$F$16,1)))</f>
        <v>3099.375</v>
      </c>
      <c r="AM9" s="138" t="n">
        <f aca="false">Pipeline!$Q$16*Pipeline!$D$16*MIN(1,MAX(0,(37-Pipeline!$E$16+1)/MAX(Pipeline!$F$16,1)))</f>
        <v>3099.375</v>
      </c>
      <c r="AN9" s="138" t="n">
        <f aca="false">Pipeline!$Q$16*Pipeline!$D$16*MIN(1,MAX(0,(38-Pipeline!$E$16+1)/MAX(Pipeline!$F$16,1)))</f>
        <v>3099.375</v>
      </c>
      <c r="AO9" s="138" t="n">
        <f aca="false">Pipeline!$Q$16*Pipeline!$D$16*MIN(1,MAX(0,(39-Pipeline!$E$16+1)/MAX(Pipeline!$F$16,1)))</f>
        <v>3099.375</v>
      </c>
      <c r="AP9" s="138" t="n">
        <f aca="false">Pipeline!$Q$16*Pipeline!$D$16*MIN(1,MAX(0,(40-Pipeline!$E$16+1)/MAX(Pipeline!$F$16,1)))</f>
        <v>3099.375</v>
      </c>
      <c r="AQ9" s="138" t="n">
        <f aca="false">Pipeline!$Q$16*Pipeline!$D$16*MIN(1,MAX(0,(41-Pipeline!$E$16+1)/MAX(Pipeline!$F$16,1)))</f>
        <v>3099.375</v>
      </c>
      <c r="AR9" s="138" t="n">
        <f aca="false">Pipeline!$Q$16*Pipeline!$D$16*MIN(1,MAX(0,(42-Pipeline!$E$16+1)/MAX(Pipeline!$F$16,1)))</f>
        <v>3099.375</v>
      </c>
      <c r="AS9" s="138" t="n">
        <f aca="false">Pipeline!$Q$16*Pipeline!$D$16*MIN(1,MAX(0,(43-Pipeline!$E$16+1)/MAX(Pipeline!$F$16,1)))</f>
        <v>3099.375</v>
      </c>
      <c r="AT9" s="138" t="n">
        <f aca="false">Pipeline!$Q$16*Pipeline!$D$16*MIN(1,MAX(0,(44-Pipeline!$E$16+1)/MAX(Pipeline!$F$16,1)))</f>
        <v>3099.375</v>
      </c>
      <c r="AU9" s="138" t="n">
        <f aca="false">Pipeline!$Q$16*Pipeline!$D$16*MIN(1,MAX(0,(45-Pipeline!$E$16+1)/MAX(Pipeline!$F$16,1)))</f>
        <v>3099.375</v>
      </c>
      <c r="AV9" s="138" t="n">
        <f aca="false">Pipeline!$Q$16*Pipeline!$D$16*MIN(1,MAX(0,(46-Pipeline!$E$16+1)/MAX(Pipeline!$F$16,1)))</f>
        <v>3099.375</v>
      </c>
      <c r="AW9" s="138" t="n">
        <f aca="false">Pipeline!$Q$16*Pipeline!$D$16*MIN(1,MAX(0,(47-Pipeline!$E$16+1)/MAX(Pipeline!$F$16,1)))</f>
        <v>3099.375</v>
      </c>
      <c r="AX9" s="138" t="n">
        <f aca="false">Pipeline!$Q$16*Pipeline!$D$16*MIN(1,MAX(0,(48-Pipeline!$E$16+1)/MAX(Pipeline!$F$16,1)))</f>
        <v>3099.375</v>
      </c>
      <c r="AY9" s="138" t="n">
        <f aca="false">Pipeline!$Q$16*Pipeline!$D$16*MIN(1,MAX(0,(49-Pipeline!$E$16+1)/MAX(Pipeline!$F$16,1)))</f>
        <v>3099.375</v>
      </c>
      <c r="AZ9" s="138" t="n">
        <f aca="false">Pipeline!$Q$16*Pipeline!$D$16*MIN(1,MAX(0,(50-Pipeline!$E$16+1)/MAX(Pipeline!$F$16,1)))</f>
        <v>3099.375</v>
      </c>
      <c r="BA9" s="138" t="n">
        <f aca="false">Pipeline!$Q$16*Pipeline!$D$16*MIN(1,MAX(0,(51-Pipeline!$E$16+1)/MAX(Pipeline!$F$16,1)))</f>
        <v>3099.375</v>
      </c>
      <c r="BB9" s="138" t="n">
        <f aca="false">Pipeline!$Q$16*Pipeline!$D$16*MIN(1,MAX(0,(52-Pipeline!$E$16+1)/MAX(Pipeline!$F$16,1)))</f>
        <v>3099.375</v>
      </c>
      <c r="BC9" s="138" t="n">
        <f aca="false">Pipeline!$Q$16*Pipeline!$D$16*MIN(1,MAX(0,(53-Pipeline!$E$16+1)/MAX(Pipeline!$F$16,1)))</f>
        <v>3099.375</v>
      </c>
      <c r="BD9" s="138" t="n">
        <f aca="false">Pipeline!$Q$16*Pipeline!$D$16*MIN(1,MAX(0,(54-Pipeline!$E$16+1)/MAX(Pipeline!$F$16,1)))</f>
        <v>3099.375</v>
      </c>
      <c r="BE9" s="138" t="n">
        <f aca="false">Pipeline!$Q$16*Pipeline!$D$16*MIN(1,MAX(0,(55-Pipeline!$E$16+1)/MAX(Pipeline!$F$16,1)))</f>
        <v>3099.375</v>
      </c>
      <c r="BF9" s="138" t="n">
        <f aca="false">Pipeline!$Q$16*Pipeline!$D$16*MIN(1,MAX(0,(56-Pipeline!$E$16+1)/MAX(Pipeline!$F$16,1)))</f>
        <v>3099.375</v>
      </c>
      <c r="BG9" s="138" t="n">
        <f aca="false">Pipeline!$Q$16*Pipeline!$D$16*MIN(1,MAX(0,(57-Pipeline!$E$16+1)/MAX(Pipeline!$F$16,1)))</f>
        <v>3099.375</v>
      </c>
      <c r="BH9" s="138" t="n">
        <f aca="false">Pipeline!$Q$16*Pipeline!$D$16*MIN(1,MAX(0,(58-Pipeline!$E$16+1)/MAX(Pipeline!$F$16,1)))</f>
        <v>3099.375</v>
      </c>
      <c r="BI9" s="138" t="n">
        <f aca="false">Pipeline!$Q$16*Pipeline!$D$16*MIN(1,MAX(0,(59-Pipeline!$E$16+1)/MAX(Pipeline!$F$16,1)))</f>
        <v>3099.375</v>
      </c>
      <c r="BJ9" s="138" t="n">
        <f aca="false">Pipeline!$Q$16*Pipeline!$D$16*MIN(1,MAX(0,(60-Pipeline!$E$16+1)/MAX(Pipeline!$F$16,1)))</f>
        <v>3099.375</v>
      </c>
      <c r="BK9" s="138" t="n">
        <f aca="false">Pipeline!$Q$16*Pipeline!$D$16*MIN(1,MAX(0,(61-Pipeline!$E$16+1)/MAX(Pipeline!$F$16,1)))</f>
        <v>3099.375</v>
      </c>
      <c r="BL9" s="138" t="n">
        <f aca="false">Pipeline!$Q$16*Pipeline!$D$16*MIN(1,MAX(0,(62-Pipeline!$E$16+1)/MAX(Pipeline!$F$16,1)))</f>
        <v>3099.375</v>
      </c>
      <c r="BM9" s="138" t="n">
        <f aca="false">Pipeline!$Q$16*Pipeline!$D$16*MIN(1,MAX(0,(63-Pipeline!$E$16+1)/MAX(Pipeline!$F$16,1)))</f>
        <v>3099.375</v>
      </c>
      <c r="BN9" s="138" t="n">
        <f aca="false">Pipeline!$Q$16*Pipeline!$D$16*MIN(1,MAX(0,(64-Pipeline!$E$16+1)/MAX(Pipeline!$F$16,1)))</f>
        <v>3099.375</v>
      </c>
      <c r="BO9" s="138" t="n">
        <f aca="false">Pipeline!$Q$16*Pipeline!$D$16*MIN(1,MAX(0,(65-Pipeline!$E$16+1)/MAX(Pipeline!$F$16,1)))</f>
        <v>3099.375</v>
      </c>
      <c r="BP9" s="138" t="n">
        <f aca="false">Pipeline!$Q$16*Pipeline!$D$16*MIN(1,MAX(0,(66-Pipeline!$E$16+1)/MAX(Pipeline!$F$16,1)))</f>
        <v>3099.375</v>
      </c>
      <c r="BQ9" s="138" t="n">
        <f aca="false">Pipeline!$Q$16*Pipeline!$D$16*MIN(1,MAX(0,(67-Pipeline!$E$16+1)/MAX(Pipeline!$F$16,1)))</f>
        <v>3099.375</v>
      </c>
      <c r="BR9" s="138" t="n">
        <f aca="false">Pipeline!$Q$16*Pipeline!$D$16*MIN(1,MAX(0,(68-Pipeline!$E$16+1)/MAX(Pipeline!$F$16,1)))</f>
        <v>3099.375</v>
      </c>
      <c r="BS9" s="138" t="n">
        <f aca="false">Pipeline!$Q$16*Pipeline!$D$16*MIN(1,MAX(0,(69-Pipeline!$E$16+1)/MAX(Pipeline!$F$16,1)))</f>
        <v>3099.375</v>
      </c>
      <c r="BT9" s="138" t="n">
        <f aca="false">Pipeline!$Q$16*Pipeline!$D$16*MIN(1,MAX(0,(70-Pipeline!$E$16+1)/MAX(Pipeline!$F$16,1)))</f>
        <v>3099.375</v>
      </c>
      <c r="BU9" s="138" t="n">
        <f aca="false">Pipeline!$Q$16*Pipeline!$D$16*MIN(1,MAX(0,(71-Pipeline!$E$16+1)/MAX(Pipeline!$F$16,1)))</f>
        <v>3099.375</v>
      </c>
      <c r="BV9" s="138" t="n">
        <f aca="false">Pipeline!$Q$16*Pipeline!$D$16*MIN(1,MAX(0,(72-Pipeline!$E$16+1)/MAX(Pipeline!$F$16,1)))</f>
        <v>3099.375</v>
      </c>
      <c r="BW9" s="138" t="n">
        <f aca="false">Pipeline!$Q$16*Pipeline!$D$16*MIN(1,MAX(0,(73-Pipeline!$E$16+1)/MAX(Pipeline!$F$16,1)))</f>
        <v>3099.375</v>
      </c>
      <c r="BX9" s="138" t="n">
        <f aca="false">Pipeline!$Q$16*Pipeline!$D$16*MIN(1,MAX(0,(74-Pipeline!$E$16+1)/MAX(Pipeline!$F$16,1)))</f>
        <v>3099.375</v>
      </c>
      <c r="BY9" s="138" t="n">
        <f aca="false">Pipeline!$Q$16*Pipeline!$D$16*MIN(1,MAX(0,(75-Pipeline!$E$16+1)/MAX(Pipeline!$F$16,1)))</f>
        <v>3099.375</v>
      </c>
      <c r="BZ9" s="138" t="n">
        <f aca="false">Pipeline!$Q$16*Pipeline!$D$16*MIN(1,MAX(0,(76-Pipeline!$E$16+1)/MAX(Pipeline!$F$16,1)))</f>
        <v>3099.375</v>
      </c>
      <c r="CA9" s="138" t="n">
        <f aca="false">Pipeline!$Q$16*Pipeline!$D$16*MIN(1,MAX(0,(77-Pipeline!$E$16+1)/MAX(Pipeline!$F$16,1)))</f>
        <v>3099.375</v>
      </c>
      <c r="CB9" s="138" t="n">
        <f aca="false">Pipeline!$Q$16*Pipeline!$D$16*MIN(1,MAX(0,(78-Pipeline!$E$16+1)/MAX(Pipeline!$F$16,1)))</f>
        <v>3099.375</v>
      </c>
      <c r="CC9" s="138" t="n">
        <f aca="false">Pipeline!$Q$16*Pipeline!$D$16*MIN(1,MAX(0,(79-Pipeline!$E$16+1)/MAX(Pipeline!$F$16,1)))</f>
        <v>3099.375</v>
      </c>
      <c r="CD9" s="138" t="n">
        <f aca="false">Pipeline!$Q$16*Pipeline!$D$16*MIN(1,MAX(0,(80-Pipeline!$E$16+1)/MAX(Pipeline!$F$16,1)))</f>
        <v>3099.375</v>
      </c>
      <c r="CE9" s="138" t="n">
        <f aca="false">Pipeline!$Q$16*Pipeline!$D$16*MIN(1,MAX(0,(81-Pipeline!$E$16+1)/MAX(Pipeline!$F$16,1)))</f>
        <v>3099.375</v>
      </c>
      <c r="CF9" s="138" t="n">
        <f aca="false">Pipeline!$Q$16*Pipeline!$D$16*MIN(1,MAX(0,(82-Pipeline!$E$16+1)/MAX(Pipeline!$F$16,1)))</f>
        <v>3099.375</v>
      </c>
      <c r="CG9" s="138" t="n">
        <f aca="false">Pipeline!$Q$16*Pipeline!$D$16*MIN(1,MAX(0,(83-Pipeline!$E$16+1)/MAX(Pipeline!$F$16,1)))</f>
        <v>3099.375</v>
      </c>
      <c r="CH9" s="138" t="n">
        <f aca="false">Pipeline!$Q$16*Pipeline!$D$16*MIN(1,MAX(0,(84-Pipeline!$E$16+1)/MAX(Pipeline!$F$16,1)))</f>
        <v>3099.375</v>
      </c>
    </row>
    <row r="10" customFormat="false" ht="13.5" hidden="false" customHeight="true" outlineLevel="0" collapsed="false">
      <c r="A10" s="13" t="s">
        <v>693</v>
      </c>
      <c r="C10" s="138" t="n">
        <f aca="false">Pipeline!$Q$17*Pipeline!$D$17*MIN(1,MAX(0,(1-Pipeline!$E$17+1)/MAX(Pipeline!$F$17,1)))</f>
        <v>0</v>
      </c>
      <c r="D10" s="138" t="n">
        <f aca="false">Pipeline!$Q$17*Pipeline!$D$17*MIN(1,MAX(0,(2-Pipeline!$E$17+1)/MAX(Pipeline!$F$17,1)))</f>
        <v>78.3</v>
      </c>
      <c r="E10" s="138" t="n">
        <f aca="false">Pipeline!$Q$17*Pipeline!$D$17*MIN(1,MAX(0,(3-Pipeline!$E$17+1)/MAX(Pipeline!$F$17,1)))</f>
        <v>156.6</v>
      </c>
      <c r="F10" s="138" t="n">
        <f aca="false">Pipeline!$Q$17*Pipeline!$D$17*MIN(1,MAX(0,(4-Pipeline!$E$17+1)/MAX(Pipeline!$F$17,1)))</f>
        <v>234.9</v>
      </c>
      <c r="G10" s="138" t="n">
        <f aca="false">Pipeline!$Q$17*Pipeline!$D$17*MIN(1,MAX(0,(5-Pipeline!$E$17+1)/MAX(Pipeline!$F$17,1)))</f>
        <v>234.9</v>
      </c>
      <c r="H10" s="138" t="n">
        <f aca="false">Pipeline!$Q$17*Pipeline!$D$17*MIN(1,MAX(0,(6-Pipeline!$E$17+1)/MAX(Pipeline!$F$17,1)))</f>
        <v>234.9</v>
      </c>
      <c r="I10" s="138" t="n">
        <f aca="false">Pipeline!$Q$17*Pipeline!$D$17*MIN(1,MAX(0,(7-Pipeline!$E$17+1)/MAX(Pipeline!$F$17,1)))</f>
        <v>234.9</v>
      </c>
      <c r="J10" s="138" t="n">
        <f aca="false">Pipeline!$Q$17*Pipeline!$D$17*MIN(1,MAX(0,(8-Pipeline!$E$17+1)/MAX(Pipeline!$F$17,1)))</f>
        <v>234.9</v>
      </c>
      <c r="K10" s="138" t="n">
        <f aca="false">Pipeline!$Q$17*Pipeline!$D$17*MIN(1,MAX(0,(9-Pipeline!$E$17+1)/MAX(Pipeline!$F$17,1)))</f>
        <v>234.9</v>
      </c>
      <c r="L10" s="138" t="n">
        <f aca="false">Pipeline!$Q$17*Pipeline!$D$17*MIN(1,MAX(0,(10-Pipeline!$E$17+1)/MAX(Pipeline!$F$17,1)))</f>
        <v>234.9</v>
      </c>
      <c r="M10" s="138" t="n">
        <f aca="false">Pipeline!$Q$17*Pipeline!$D$17*MIN(1,MAX(0,(11-Pipeline!$E$17+1)/MAX(Pipeline!$F$17,1)))</f>
        <v>234.9</v>
      </c>
      <c r="N10" s="138" t="n">
        <f aca="false">Pipeline!$Q$17*Pipeline!$D$17*MIN(1,MAX(0,(12-Pipeline!$E$17+1)/MAX(Pipeline!$F$17,1)))</f>
        <v>234.9</v>
      </c>
      <c r="O10" s="138" t="n">
        <f aca="false">Pipeline!$Q$17*Pipeline!$D$17*MIN(1,MAX(0,(13-Pipeline!$E$17+1)/MAX(Pipeline!$F$17,1)))</f>
        <v>234.9</v>
      </c>
      <c r="P10" s="138" t="n">
        <f aca="false">Pipeline!$Q$17*Pipeline!$D$17*MIN(1,MAX(0,(14-Pipeline!$E$17+1)/MAX(Pipeline!$F$17,1)))</f>
        <v>234.9</v>
      </c>
      <c r="Q10" s="138" t="n">
        <f aca="false">Pipeline!$Q$17*Pipeline!$D$17*MIN(1,MAX(0,(15-Pipeline!$E$17+1)/MAX(Pipeline!$F$17,1)))</f>
        <v>234.9</v>
      </c>
      <c r="R10" s="138" t="n">
        <f aca="false">Pipeline!$Q$17*Pipeline!$D$17*MIN(1,MAX(0,(16-Pipeline!$E$17+1)/MAX(Pipeline!$F$17,1)))</f>
        <v>234.9</v>
      </c>
      <c r="S10" s="138" t="n">
        <f aca="false">Pipeline!$Q$17*Pipeline!$D$17*MIN(1,MAX(0,(17-Pipeline!$E$17+1)/MAX(Pipeline!$F$17,1)))</f>
        <v>234.9</v>
      </c>
      <c r="T10" s="138" t="n">
        <f aca="false">Pipeline!$Q$17*Pipeline!$D$17*MIN(1,MAX(0,(18-Pipeline!$E$17+1)/MAX(Pipeline!$F$17,1)))</f>
        <v>234.9</v>
      </c>
      <c r="U10" s="138" t="n">
        <f aca="false">Pipeline!$Q$17*Pipeline!$D$17*MIN(1,MAX(0,(19-Pipeline!$E$17+1)/MAX(Pipeline!$F$17,1)))</f>
        <v>234.9</v>
      </c>
      <c r="V10" s="138" t="n">
        <f aca="false">Pipeline!$Q$17*Pipeline!$D$17*MIN(1,MAX(0,(20-Pipeline!$E$17+1)/MAX(Pipeline!$F$17,1)))</f>
        <v>234.9</v>
      </c>
      <c r="W10" s="138" t="n">
        <f aca="false">Pipeline!$Q$17*Pipeline!$D$17*MIN(1,MAX(0,(21-Pipeline!$E$17+1)/MAX(Pipeline!$F$17,1)))</f>
        <v>234.9</v>
      </c>
      <c r="X10" s="138" t="n">
        <f aca="false">Pipeline!$Q$17*Pipeline!$D$17*MIN(1,MAX(0,(22-Pipeline!$E$17+1)/MAX(Pipeline!$F$17,1)))</f>
        <v>234.9</v>
      </c>
      <c r="Y10" s="138" t="n">
        <f aca="false">Pipeline!$Q$17*Pipeline!$D$17*MIN(1,MAX(0,(23-Pipeline!$E$17+1)/MAX(Pipeline!$F$17,1)))</f>
        <v>234.9</v>
      </c>
      <c r="Z10" s="138" t="n">
        <f aca="false">Pipeline!$Q$17*Pipeline!$D$17*MIN(1,MAX(0,(24-Pipeline!$E$17+1)/MAX(Pipeline!$F$17,1)))</f>
        <v>234.9</v>
      </c>
      <c r="AA10" s="138" t="n">
        <f aca="false">Pipeline!$Q$17*Pipeline!$D$17*MIN(1,MAX(0,(25-Pipeline!$E$17+1)/MAX(Pipeline!$F$17,1)))</f>
        <v>234.9</v>
      </c>
      <c r="AB10" s="138" t="n">
        <f aca="false">Pipeline!$Q$17*Pipeline!$D$17*MIN(1,MAX(0,(26-Pipeline!$E$17+1)/MAX(Pipeline!$F$17,1)))</f>
        <v>234.9</v>
      </c>
      <c r="AC10" s="138" t="n">
        <f aca="false">Pipeline!$Q$17*Pipeline!$D$17*MIN(1,MAX(0,(27-Pipeline!$E$17+1)/MAX(Pipeline!$F$17,1)))</f>
        <v>234.9</v>
      </c>
      <c r="AD10" s="138" t="n">
        <f aca="false">Pipeline!$Q$17*Pipeline!$D$17*MIN(1,MAX(0,(28-Pipeline!$E$17+1)/MAX(Pipeline!$F$17,1)))</f>
        <v>234.9</v>
      </c>
      <c r="AE10" s="138" t="n">
        <f aca="false">Pipeline!$Q$17*Pipeline!$D$17*MIN(1,MAX(0,(29-Pipeline!$E$17+1)/MAX(Pipeline!$F$17,1)))</f>
        <v>234.9</v>
      </c>
      <c r="AF10" s="138" t="n">
        <f aca="false">Pipeline!$Q$17*Pipeline!$D$17*MIN(1,MAX(0,(30-Pipeline!$E$17+1)/MAX(Pipeline!$F$17,1)))</f>
        <v>234.9</v>
      </c>
      <c r="AG10" s="138" t="n">
        <f aca="false">Pipeline!$Q$17*Pipeline!$D$17*MIN(1,MAX(0,(31-Pipeline!$E$17+1)/MAX(Pipeline!$F$17,1)))</f>
        <v>234.9</v>
      </c>
      <c r="AH10" s="138" t="n">
        <f aca="false">Pipeline!$Q$17*Pipeline!$D$17*MIN(1,MAX(0,(32-Pipeline!$E$17+1)/MAX(Pipeline!$F$17,1)))</f>
        <v>234.9</v>
      </c>
      <c r="AI10" s="138" t="n">
        <f aca="false">Pipeline!$Q$17*Pipeline!$D$17*MIN(1,MAX(0,(33-Pipeline!$E$17+1)/MAX(Pipeline!$F$17,1)))</f>
        <v>234.9</v>
      </c>
      <c r="AJ10" s="138" t="n">
        <f aca="false">Pipeline!$Q$17*Pipeline!$D$17*MIN(1,MAX(0,(34-Pipeline!$E$17+1)/MAX(Pipeline!$F$17,1)))</f>
        <v>234.9</v>
      </c>
      <c r="AK10" s="138" t="n">
        <f aca="false">Pipeline!$Q$17*Pipeline!$D$17*MIN(1,MAX(0,(35-Pipeline!$E$17+1)/MAX(Pipeline!$F$17,1)))</f>
        <v>234.9</v>
      </c>
      <c r="AL10" s="138" t="n">
        <f aca="false">Pipeline!$Q$17*Pipeline!$D$17*MIN(1,MAX(0,(36-Pipeline!$E$17+1)/MAX(Pipeline!$F$17,1)))</f>
        <v>234.9</v>
      </c>
      <c r="AM10" s="138" t="n">
        <f aca="false">Pipeline!$Q$17*Pipeline!$D$17*MIN(1,MAX(0,(37-Pipeline!$E$17+1)/MAX(Pipeline!$F$17,1)))</f>
        <v>234.9</v>
      </c>
      <c r="AN10" s="138" t="n">
        <f aca="false">Pipeline!$Q$17*Pipeline!$D$17*MIN(1,MAX(0,(38-Pipeline!$E$17+1)/MAX(Pipeline!$F$17,1)))</f>
        <v>234.9</v>
      </c>
      <c r="AO10" s="138" t="n">
        <f aca="false">Pipeline!$Q$17*Pipeline!$D$17*MIN(1,MAX(0,(39-Pipeline!$E$17+1)/MAX(Pipeline!$F$17,1)))</f>
        <v>234.9</v>
      </c>
      <c r="AP10" s="138" t="n">
        <f aca="false">Pipeline!$Q$17*Pipeline!$D$17*MIN(1,MAX(0,(40-Pipeline!$E$17+1)/MAX(Pipeline!$F$17,1)))</f>
        <v>234.9</v>
      </c>
      <c r="AQ10" s="138" t="n">
        <f aca="false">Pipeline!$Q$17*Pipeline!$D$17*MIN(1,MAX(0,(41-Pipeline!$E$17+1)/MAX(Pipeline!$F$17,1)))</f>
        <v>234.9</v>
      </c>
      <c r="AR10" s="138" t="n">
        <f aca="false">Pipeline!$Q$17*Pipeline!$D$17*MIN(1,MAX(0,(42-Pipeline!$E$17+1)/MAX(Pipeline!$F$17,1)))</f>
        <v>234.9</v>
      </c>
      <c r="AS10" s="138" t="n">
        <f aca="false">Pipeline!$Q$17*Pipeline!$D$17*MIN(1,MAX(0,(43-Pipeline!$E$17+1)/MAX(Pipeline!$F$17,1)))</f>
        <v>234.9</v>
      </c>
      <c r="AT10" s="138" t="n">
        <f aca="false">Pipeline!$Q$17*Pipeline!$D$17*MIN(1,MAX(0,(44-Pipeline!$E$17+1)/MAX(Pipeline!$F$17,1)))</f>
        <v>234.9</v>
      </c>
      <c r="AU10" s="138" t="n">
        <f aca="false">Pipeline!$Q$17*Pipeline!$D$17*MIN(1,MAX(0,(45-Pipeline!$E$17+1)/MAX(Pipeline!$F$17,1)))</f>
        <v>234.9</v>
      </c>
      <c r="AV10" s="138" t="n">
        <f aca="false">Pipeline!$Q$17*Pipeline!$D$17*MIN(1,MAX(0,(46-Pipeline!$E$17+1)/MAX(Pipeline!$F$17,1)))</f>
        <v>234.9</v>
      </c>
      <c r="AW10" s="138" t="n">
        <f aca="false">Pipeline!$Q$17*Pipeline!$D$17*MIN(1,MAX(0,(47-Pipeline!$E$17+1)/MAX(Pipeline!$F$17,1)))</f>
        <v>234.9</v>
      </c>
      <c r="AX10" s="138" t="n">
        <f aca="false">Pipeline!$Q$17*Pipeline!$D$17*MIN(1,MAX(0,(48-Pipeline!$E$17+1)/MAX(Pipeline!$F$17,1)))</f>
        <v>234.9</v>
      </c>
      <c r="AY10" s="138" t="n">
        <f aca="false">Pipeline!$Q$17*Pipeline!$D$17*MIN(1,MAX(0,(49-Pipeline!$E$17+1)/MAX(Pipeline!$F$17,1)))</f>
        <v>234.9</v>
      </c>
      <c r="AZ10" s="138" t="n">
        <f aca="false">Pipeline!$Q$17*Pipeline!$D$17*MIN(1,MAX(0,(50-Pipeline!$E$17+1)/MAX(Pipeline!$F$17,1)))</f>
        <v>234.9</v>
      </c>
      <c r="BA10" s="138" t="n">
        <f aca="false">Pipeline!$Q$17*Pipeline!$D$17*MIN(1,MAX(0,(51-Pipeline!$E$17+1)/MAX(Pipeline!$F$17,1)))</f>
        <v>234.9</v>
      </c>
      <c r="BB10" s="138" t="n">
        <f aca="false">Pipeline!$Q$17*Pipeline!$D$17*MIN(1,MAX(0,(52-Pipeline!$E$17+1)/MAX(Pipeline!$F$17,1)))</f>
        <v>234.9</v>
      </c>
      <c r="BC10" s="138" t="n">
        <f aca="false">Pipeline!$Q$17*Pipeline!$D$17*MIN(1,MAX(0,(53-Pipeline!$E$17+1)/MAX(Pipeline!$F$17,1)))</f>
        <v>234.9</v>
      </c>
      <c r="BD10" s="138" t="n">
        <f aca="false">Pipeline!$Q$17*Pipeline!$D$17*MIN(1,MAX(0,(54-Pipeline!$E$17+1)/MAX(Pipeline!$F$17,1)))</f>
        <v>234.9</v>
      </c>
      <c r="BE10" s="138" t="n">
        <f aca="false">Pipeline!$Q$17*Pipeline!$D$17*MIN(1,MAX(0,(55-Pipeline!$E$17+1)/MAX(Pipeline!$F$17,1)))</f>
        <v>234.9</v>
      </c>
      <c r="BF10" s="138" t="n">
        <f aca="false">Pipeline!$Q$17*Pipeline!$D$17*MIN(1,MAX(0,(56-Pipeline!$E$17+1)/MAX(Pipeline!$F$17,1)))</f>
        <v>234.9</v>
      </c>
      <c r="BG10" s="138" t="n">
        <f aca="false">Pipeline!$Q$17*Pipeline!$D$17*MIN(1,MAX(0,(57-Pipeline!$E$17+1)/MAX(Pipeline!$F$17,1)))</f>
        <v>234.9</v>
      </c>
      <c r="BH10" s="138" t="n">
        <f aca="false">Pipeline!$Q$17*Pipeline!$D$17*MIN(1,MAX(0,(58-Pipeline!$E$17+1)/MAX(Pipeline!$F$17,1)))</f>
        <v>234.9</v>
      </c>
      <c r="BI10" s="138" t="n">
        <f aca="false">Pipeline!$Q$17*Pipeline!$D$17*MIN(1,MAX(0,(59-Pipeline!$E$17+1)/MAX(Pipeline!$F$17,1)))</f>
        <v>234.9</v>
      </c>
      <c r="BJ10" s="138" t="n">
        <f aca="false">Pipeline!$Q$17*Pipeline!$D$17*MIN(1,MAX(0,(60-Pipeline!$E$17+1)/MAX(Pipeline!$F$17,1)))</f>
        <v>234.9</v>
      </c>
      <c r="BK10" s="138" t="n">
        <f aca="false">Pipeline!$Q$17*Pipeline!$D$17*MIN(1,MAX(0,(61-Pipeline!$E$17+1)/MAX(Pipeline!$F$17,1)))</f>
        <v>234.9</v>
      </c>
      <c r="BL10" s="138" t="n">
        <f aca="false">Pipeline!$Q$17*Pipeline!$D$17*MIN(1,MAX(0,(62-Pipeline!$E$17+1)/MAX(Pipeline!$F$17,1)))</f>
        <v>234.9</v>
      </c>
      <c r="BM10" s="138" t="n">
        <f aca="false">Pipeline!$Q$17*Pipeline!$D$17*MIN(1,MAX(0,(63-Pipeline!$E$17+1)/MAX(Pipeline!$F$17,1)))</f>
        <v>234.9</v>
      </c>
      <c r="BN10" s="138" t="n">
        <f aca="false">Pipeline!$Q$17*Pipeline!$D$17*MIN(1,MAX(0,(64-Pipeline!$E$17+1)/MAX(Pipeline!$F$17,1)))</f>
        <v>234.9</v>
      </c>
      <c r="BO10" s="138" t="n">
        <f aca="false">Pipeline!$Q$17*Pipeline!$D$17*MIN(1,MAX(0,(65-Pipeline!$E$17+1)/MAX(Pipeline!$F$17,1)))</f>
        <v>234.9</v>
      </c>
      <c r="BP10" s="138" t="n">
        <f aca="false">Pipeline!$Q$17*Pipeline!$D$17*MIN(1,MAX(0,(66-Pipeline!$E$17+1)/MAX(Pipeline!$F$17,1)))</f>
        <v>234.9</v>
      </c>
      <c r="BQ10" s="138" t="n">
        <f aca="false">Pipeline!$Q$17*Pipeline!$D$17*MIN(1,MAX(0,(67-Pipeline!$E$17+1)/MAX(Pipeline!$F$17,1)))</f>
        <v>234.9</v>
      </c>
      <c r="BR10" s="138" t="n">
        <f aca="false">Pipeline!$Q$17*Pipeline!$D$17*MIN(1,MAX(0,(68-Pipeline!$E$17+1)/MAX(Pipeline!$F$17,1)))</f>
        <v>234.9</v>
      </c>
      <c r="BS10" s="138" t="n">
        <f aca="false">Pipeline!$Q$17*Pipeline!$D$17*MIN(1,MAX(0,(69-Pipeline!$E$17+1)/MAX(Pipeline!$F$17,1)))</f>
        <v>234.9</v>
      </c>
      <c r="BT10" s="138" t="n">
        <f aca="false">Pipeline!$Q$17*Pipeline!$D$17*MIN(1,MAX(0,(70-Pipeline!$E$17+1)/MAX(Pipeline!$F$17,1)))</f>
        <v>234.9</v>
      </c>
      <c r="BU10" s="138" t="n">
        <f aca="false">Pipeline!$Q$17*Pipeline!$D$17*MIN(1,MAX(0,(71-Pipeline!$E$17+1)/MAX(Pipeline!$F$17,1)))</f>
        <v>234.9</v>
      </c>
      <c r="BV10" s="138" t="n">
        <f aca="false">Pipeline!$Q$17*Pipeline!$D$17*MIN(1,MAX(0,(72-Pipeline!$E$17+1)/MAX(Pipeline!$F$17,1)))</f>
        <v>234.9</v>
      </c>
      <c r="BW10" s="138" t="n">
        <f aca="false">Pipeline!$Q$17*Pipeline!$D$17*MIN(1,MAX(0,(73-Pipeline!$E$17+1)/MAX(Pipeline!$F$17,1)))</f>
        <v>234.9</v>
      </c>
      <c r="BX10" s="138" t="n">
        <f aca="false">Pipeline!$Q$17*Pipeline!$D$17*MIN(1,MAX(0,(74-Pipeline!$E$17+1)/MAX(Pipeline!$F$17,1)))</f>
        <v>234.9</v>
      </c>
      <c r="BY10" s="138" t="n">
        <f aca="false">Pipeline!$Q$17*Pipeline!$D$17*MIN(1,MAX(0,(75-Pipeline!$E$17+1)/MAX(Pipeline!$F$17,1)))</f>
        <v>234.9</v>
      </c>
      <c r="BZ10" s="138" t="n">
        <f aca="false">Pipeline!$Q$17*Pipeline!$D$17*MIN(1,MAX(0,(76-Pipeline!$E$17+1)/MAX(Pipeline!$F$17,1)))</f>
        <v>234.9</v>
      </c>
      <c r="CA10" s="138" t="n">
        <f aca="false">Pipeline!$Q$17*Pipeline!$D$17*MIN(1,MAX(0,(77-Pipeline!$E$17+1)/MAX(Pipeline!$F$17,1)))</f>
        <v>234.9</v>
      </c>
      <c r="CB10" s="138" t="n">
        <f aca="false">Pipeline!$Q$17*Pipeline!$D$17*MIN(1,MAX(0,(78-Pipeline!$E$17+1)/MAX(Pipeline!$F$17,1)))</f>
        <v>234.9</v>
      </c>
      <c r="CC10" s="138" t="n">
        <f aca="false">Pipeline!$Q$17*Pipeline!$D$17*MIN(1,MAX(0,(79-Pipeline!$E$17+1)/MAX(Pipeline!$F$17,1)))</f>
        <v>234.9</v>
      </c>
      <c r="CD10" s="138" t="n">
        <f aca="false">Pipeline!$Q$17*Pipeline!$D$17*MIN(1,MAX(0,(80-Pipeline!$E$17+1)/MAX(Pipeline!$F$17,1)))</f>
        <v>234.9</v>
      </c>
      <c r="CE10" s="138" t="n">
        <f aca="false">Pipeline!$Q$17*Pipeline!$D$17*MIN(1,MAX(0,(81-Pipeline!$E$17+1)/MAX(Pipeline!$F$17,1)))</f>
        <v>234.9</v>
      </c>
      <c r="CF10" s="138" t="n">
        <f aca="false">Pipeline!$Q$17*Pipeline!$D$17*MIN(1,MAX(0,(82-Pipeline!$E$17+1)/MAX(Pipeline!$F$17,1)))</f>
        <v>234.9</v>
      </c>
      <c r="CG10" s="138" t="n">
        <f aca="false">Pipeline!$Q$17*Pipeline!$D$17*MIN(1,MAX(0,(83-Pipeline!$E$17+1)/MAX(Pipeline!$F$17,1)))</f>
        <v>234.9</v>
      </c>
      <c r="CH10" s="138" t="n">
        <f aca="false">Pipeline!$Q$17*Pipeline!$D$17*MIN(1,MAX(0,(84-Pipeline!$E$17+1)/MAX(Pipeline!$F$17,1)))</f>
        <v>234.9</v>
      </c>
    </row>
    <row r="11" customFormat="false" ht="13.5" hidden="false" customHeight="true" outlineLevel="0" collapsed="false">
      <c r="A11" s="13" t="s">
        <v>694</v>
      </c>
      <c r="C11" s="138" t="n">
        <f aca="false">Pipeline!$Q$18*Pipeline!$D$18*MIN(1,MAX(0,(1-Pipeline!$E$18+1)/MAX(Pipeline!$F$18,1)))</f>
        <v>0</v>
      </c>
      <c r="D11" s="138" t="n">
        <f aca="false">Pipeline!$Q$18*Pipeline!$D$18*MIN(1,MAX(0,(2-Pipeline!$E$18+1)/MAX(Pipeline!$F$18,1)))</f>
        <v>0</v>
      </c>
      <c r="E11" s="138" t="n">
        <f aca="false">Pipeline!$Q$18*Pipeline!$D$18*MIN(1,MAX(0,(3-Pipeline!$E$18+1)/MAX(Pipeline!$F$18,1)))</f>
        <v>1201.6875</v>
      </c>
      <c r="F11" s="138" t="n">
        <f aca="false">Pipeline!$Q$18*Pipeline!$D$18*MIN(1,MAX(0,(4-Pipeline!$E$18+1)/MAX(Pipeline!$F$18,1)))</f>
        <v>2403.375</v>
      </c>
      <c r="G11" s="138" t="n">
        <f aca="false">Pipeline!$Q$18*Pipeline!$D$18*MIN(1,MAX(0,(5-Pipeline!$E$18+1)/MAX(Pipeline!$F$18,1)))</f>
        <v>3605.0625</v>
      </c>
      <c r="H11" s="138" t="n">
        <f aca="false">Pipeline!$Q$18*Pipeline!$D$18*MIN(1,MAX(0,(6-Pipeline!$E$18+1)/MAX(Pipeline!$F$18,1)))</f>
        <v>4806.75</v>
      </c>
      <c r="I11" s="138" t="n">
        <f aca="false">Pipeline!$Q$18*Pipeline!$D$18*MIN(1,MAX(0,(7-Pipeline!$E$18+1)/MAX(Pipeline!$F$18,1)))</f>
        <v>6008.4375</v>
      </c>
      <c r="J11" s="138" t="n">
        <f aca="false">Pipeline!$Q$18*Pipeline!$D$18*MIN(1,MAX(0,(8-Pipeline!$E$18+1)/MAX(Pipeline!$F$18,1)))</f>
        <v>7210.125</v>
      </c>
      <c r="K11" s="138" t="n">
        <f aca="false">Pipeline!$Q$18*Pipeline!$D$18*MIN(1,MAX(0,(9-Pipeline!$E$18+1)/MAX(Pipeline!$F$18,1)))</f>
        <v>8411.8125</v>
      </c>
      <c r="L11" s="138" t="n">
        <f aca="false">Pipeline!$Q$18*Pipeline!$D$18*MIN(1,MAX(0,(10-Pipeline!$E$18+1)/MAX(Pipeline!$F$18,1)))</f>
        <v>9613.5</v>
      </c>
      <c r="M11" s="138" t="n">
        <f aca="false">Pipeline!$Q$18*Pipeline!$D$18*MIN(1,MAX(0,(11-Pipeline!$E$18+1)/MAX(Pipeline!$F$18,1)))</f>
        <v>9613.5</v>
      </c>
      <c r="N11" s="138" t="n">
        <f aca="false">Pipeline!$Q$18*Pipeline!$D$18*MIN(1,MAX(0,(12-Pipeline!$E$18+1)/MAX(Pipeline!$F$18,1)))</f>
        <v>9613.5</v>
      </c>
      <c r="O11" s="138" t="n">
        <f aca="false">Pipeline!$Q$18*Pipeline!$D$18*MIN(1,MAX(0,(13-Pipeline!$E$18+1)/MAX(Pipeline!$F$18,1)))</f>
        <v>9613.5</v>
      </c>
      <c r="P11" s="138" t="n">
        <f aca="false">Pipeline!$Q$18*Pipeline!$D$18*MIN(1,MAX(0,(14-Pipeline!$E$18+1)/MAX(Pipeline!$F$18,1)))</f>
        <v>9613.5</v>
      </c>
      <c r="Q11" s="138" t="n">
        <f aca="false">Pipeline!$Q$18*Pipeline!$D$18*MIN(1,MAX(0,(15-Pipeline!$E$18+1)/MAX(Pipeline!$F$18,1)))</f>
        <v>9613.5</v>
      </c>
      <c r="R11" s="138" t="n">
        <f aca="false">Pipeline!$Q$18*Pipeline!$D$18*MIN(1,MAX(0,(16-Pipeline!$E$18+1)/MAX(Pipeline!$F$18,1)))</f>
        <v>9613.5</v>
      </c>
      <c r="S11" s="138" t="n">
        <f aca="false">Pipeline!$Q$18*Pipeline!$D$18*MIN(1,MAX(0,(17-Pipeline!$E$18+1)/MAX(Pipeline!$F$18,1)))</f>
        <v>9613.5</v>
      </c>
      <c r="T11" s="138" t="n">
        <f aca="false">Pipeline!$Q$18*Pipeline!$D$18*MIN(1,MAX(0,(18-Pipeline!$E$18+1)/MAX(Pipeline!$F$18,1)))</f>
        <v>9613.5</v>
      </c>
      <c r="U11" s="138" t="n">
        <f aca="false">Pipeline!$Q$18*Pipeline!$D$18*MIN(1,MAX(0,(19-Pipeline!$E$18+1)/MAX(Pipeline!$F$18,1)))</f>
        <v>9613.5</v>
      </c>
      <c r="V11" s="138" t="n">
        <f aca="false">Pipeline!$Q$18*Pipeline!$D$18*MIN(1,MAX(0,(20-Pipeline!$E$18+1)/MAX(Pipeline!$F$18,1)))</f>
        <v>9613.5</v>
      </c>
      <c r="W11" s="138" t="n">
        <f aca="false">Pipeline!$Q$18*Pipeline!$D$18*MIN(1,MAX(0,(21-Pipeline!$E$18+1)/MAX(Pipeline!$F$18,1)))</f>
        <v>9613.5</v>
      </c>
      <c r="X11" s="138" t="n">
        <f aca="false">Pipeline!$Q$18*Pipeline!$D$18*MIN(1,MAX(0,(22-Pipeline!$E$18+1)/MAX(Pipeline!$F$18,1)))</f>
        <v>9613.5</v>
      </c>
      <c r="Y11" s="138" t="n">
        <f aca="false">Pipeline!$Q$18*Pipeline!$D$18*MIN(1,MAX(0,(23-Pipeline!$E$18+1)/MAX(Pipeline!$F$18,1)))</f>
        <v>9613.5</v>
      </c>
      <c r="Z11" s="138" t="n">
        <f aca="false">Pipeline!$Q$18*Pipeline!$D$18*MIN(1,MAX(0,(24-Pipeline!$E$18+1)/MAX(Pipeline!$F$18,1)))</f>
        <v>9613.5</v>
      </c>
      <c r="AA11" s="138" t="n">
        <f aca="false">Pipeline!$Q$18*Pipeline!$D$18*MIN(1,MAX(0,(25-Pipeline!$E$18+1)/MAX(Pipeline!$F$18,1)))</f>
        <v>9613.5</v>
      </c>
      <c r="AB11" s="138" t="n">
        <f aca="false">Pipeline!$Q$18*Pipeline!$D$18*MIN(1,MAX(0,(26-Pipeline!$E$18+1)/MAX(Pipeline!$F$18,1)))</f>
        <v>9613.5</v>
      </c>
      <c r="AC11" s="138" t="n">
        <f aca="false">Pipeline!$Q$18*Pipeline!$D$18*MIN(1,MAX(0,(27-Pipeline!$E$18+1)/MAX(Pipeline!$F$18,1)))</f>
        <v>9613.5</v>
      </c>
      <c r="AD11" s="138" t="n">
        <f aca="false">Pipeline!$Q$18*Pipeline!$D$18*MIN(1,MAX(0,(28-Pipeline!$E$18+1)/MAX(Pipeline!$F$18,1)))</f>
        <v>9613.5</v>
      </c>
      <c r="AE11" s="138" t="n">
        <f aca="false">Pipeline!$Q$18*Pipeline!$D$18*MIN(1,MAX(0,(29-Pipeline!$E$18+1)/MAX(Pipeline!$F$18,1)))</f>
        <v>9613.5</v>
      </c>
      <c r="AF11" s="138" t="n">
        <f aca="false">Pipeline!$Q$18*Pipeline!$D$18*MIN(1,MAX(0,(30-Pipeline!$E$18+1)/MAX(Pipeline!$F$18,1)))</f>
        <v>9613.5</v>
      </c>
      <c r="AG11" s="138" t="n">
        <f aca="false">Pipeline!$Q$18*Pipeline!$D$18*MIN(1,MAX(0,(31-Pipeline!$E$18+1)/MAX(Pipeline!$F$18,1)))</f>
        <v>9613.5</v>
      </c>
      <c r="AH11" s="138" t="n">
        <f aca="false">Pipeline!$Q$18*Pipeline!$D$18*MIN(1,MAX(0,(32-Pipeline!$E$18+1)/MAX(Pipeline!$F$18,1)))</f>
        <v>9613.5</v>
      </c>
      <c r="AI11" s="138" t="n">
        <f aca="false">Pipeline!$Q$18*Pipeline!$D$18*MIN(1,MAX(0,(33-Pipeline!$E$18+1)/MAX(Pipeline!$F$18,1)))</f>
        <v>9613.5</v>
      </c>
      <c r="AJ11" s="138" t="n">
        <f aca="false">Pipeline!$Q$18*Pipeline!$D$18*MIN(1,MAX(0,(34-Pipeline!$E$18+1)/MAX(Pipeline!$F$18,1)))</f>
        <v>9613.5</v>
      </c>
      <c r="AK11" s="138" t="n">
        <f aca="false">Pipeline!$Q$18*Pipeline!$D$18*MIN(1,MAX(0,(35-Pipeline!$E$18+1)/MAX(Pipeline!$F$18,1)))</f>
        <v>9613.5</v>
      </c>
      <c r="AL11" s="138" t="n">
        <f aca="false">Pipeline!$Q$18*Pipeline!$D$18*MIN(1,MAX(0,(36-Pipeline!$E$18+1)/MAX(Pipeline!$F$18,1)))</f>
        <v>9613.5</v>
      </c>
      <c r="AM11" s="138" t="n">
        <f aca="false">Pipeline!$Q$18*Pipeline!$D$18*MIN(1,MAX(0,(37-Pipeline!$E$18+1)/MAX(Pipeline!$F$18,1)))</f>
        <v>9613.5</v>
      </c>
      <c r="AN11" s="138" t="n">
        <f aca="false">Pipeline!$Q$18*Pipeline!$D$18*MIN(1,MAX(0,(38-Pipeline!$E$18+1)/MAX(Pipeline!$F$18,1)))</f>
        <v>9613.5</v>
      </c>
      <c r="AO11" s="138" t="n">
        <f aca="false">Pipeline!$Q$18*Pipeline!$D$18*MIN(1,MAX(0,(39-Pipeline!$E$18+1)/MAX(Pipeline!$F$18,1)))</f>
        <v>9613.5</v>
      </c>
      <c r="AP11" s="138" t="n">
        <f aca="false">Pipeline!$Q$18*Pipeline!$D$18*MIN(1,MAX(0,(40-Pipeline!$E$18+1)/MAX(Pipeline!$F$18,1)))</f>
        <v>9613.5</v>
      </c>
      <c r="AQ11" s="138" t="n">
        <f aca="false">Pipeline!$Q$18*Pipeline!$D$18*MIN(1,MAX(0,(41-Pipeline!$E$18+1)/MAX(Pipeline!$F$18,1)))</f>
        <v>9613.5</v>
      </c>
      <c r="AR11" s="138" t="n">
        <f aca="false">Pipeline!$Q$18*Pipeline!$D$18*MIN(1,MAX(0,(42-Pipeline!$E$18+1)/MAX(Pipeline!$F$18,1)))</f>
        <v>9613.5</v>
      </c>
      <c r="AS11" s="138" t="n">
        <f aca="false">Pipeline!$Q$18*Pipeline!$D$18*MIN(1,MAX(0,(43-Pipeline!$E$18+1)/MAX(Pipeline!$F$18,1)))</f>
        <v>9613.5</v>
      </c>
      <c r="AT11" s="138" t="n">
        <f aca="false">Pipeline!$Q$18*Pipeline!$D$18*MIN(1,MAX(0,(44-Pipeline!$E$18+1)/MAX(Pipeline!$F$18,1)))</f>
        <v>9613.5</v>
      </c>
      <c r="AU11" s="138" t="n">
        <f aca="false">Pipeline!$Q$18*Pipeline!$D$18*MIN(1,MAX(0,(45-Pipeline!$E$18+1)/MAX(Pipeline!$F$18,1)))</f>
        <v>9613.5</v>
      </c>
      <c r="AV11" s="138" t="n">
        <f aca="false">Pipeline!$Q$18*Pipeline!$D$18*MIN(1,MAX(0,(46-Pipeline!$E$18+1)/MAX(Pipeline!$F$18,1)))</f>
        <v>9613.5</v>
      </c>
      <c r="AW11" s="138" t="n">
        <f aca="false">Pipeline!$Q$18*Pipeline!$D$18*MIN(1,MAX(0,(47-Pipeline!$E$18+1)/MAX(Pipeline!$F$18,1)))</f>
        <v>9613.5</v>
      </c>
      <c r="AX11" s="138" t="n">
        <f aca="false">Pipeline!$Q$18*Pipeline!$D$18*MIN(1,MAX(0,(48-Pipeline!$E$18+1)/MAX(Pipeline!$F$18,1)))</f>
        <v>9613.5</v>
      </c>
      <c r="AY11" s="138" t="n">
        <f aca="false">Pipeline!$Q$18*Pipeline!$D$18*MIN(1,MAX(0,(49-Pipeline!$E$18+1)/MAX(Pipeline!$F$18,1)))</f>
        <v>9613.5</v>
      </c>
      <c r="AZ11" s="138" t="n">
        <f aca="false">Pipeline!$Q$18*Pipeline!$D$18*MIN(1,MAX(0,(50-Pipeline!$E$18+1)/MAX(Pipeline!$F$18,1)))</f>
        <v>9613.5</v>
      </c>
      <c r="BA11" s="138" t="n">
        <f aca="false">Pipeline!$Q$18*Pipeline!$D$18*MIN(1,MAX(0,(51-Pipeline!$E$18+1)/MAX(Pipeline!$F$18,1)))</f>
        <v>9613.5</v>
      </c>
      <c r="BB11" s="138" t="n">
        <f aca="false">Pipeline!$Q$18*Pipeline!$D$18*MIN(1,MAX(0,(52-Pipeline!$E$18+1)/MAX(Pipeline!$F$18,1)))</f>
        <v>9613.5</v>
      </c>
      <c r="BC11" s="138" t="n">
        <f aca="false">Pipeline!$Q$18*Pipeline!$D$18*MIN(1,MAX(0,(53-Pipeline!$E$18+1)/MAX(Pipeline!$F$18,1)))</f>
        <v>9613.5</v>
      </c>
      <c r="BD11" s="138" t="n">
        <f aca="false">Pipeline!$Q$18*Pipeline!$D$18*MIN(1,MAX(0,(54-Pipeline!$E$18+1)/MAX(Pipeline!$F$18,1)))</f>
        <v>9613.5</v>
      </c>
      <c r="BE11" s="138" t="n">
        <f aca="false">Pipeline!$Q$18*Pipeline!$D$18*MIN(1,MAX(0,(55-Pipeline!$E$18+1)/MAX(Pipeline!$F$18,1)))</f>
        <v>9613.5</v>
      </c>
      <c r="BF11" s="138" t="n">
        <f aca="false">Pipeline!$Q$18*Pipeline!$D$18*MIN(1,MAX(0,(56-Pipeline!$E$18+1)/MAX(Pipeline!$F$18,1)))</f>
        <v>9613.5</v>
      </c>
      <c r="BG11" s="138" t="n">
        <f aca="false">Pipeline!$Q$18*Pipeline!$D$18*MIN(1,MAX(0,(57-Pipeline!$E$18+1)/MAX(Pipeline!$F$18,1)))</f>
        <v>9613.5</v>
      </c>
      <c r="BH11" s="138" t="n">
        <f aca="false">Pipeline!$Q$18*Pipeline!$D$18*MIN(1,MAX(0,(58-Pipeline!$E$18+1)/MAX(Pipeline!$F$18,1)))</f>
        <v>9613.5</v>
      </c>
      <c r="BI11" s="138" t="n">
        <f aca="false">Pipeline!$Q$18*Pipeline!$D$18*MIN(1,MAX(0,(59-Pipeline!$E$18+1)/MAX(Pipeline!$F$18,1)))</f>
        <v>9613.5</v>
      </c>
      <c r="BJ11" s="138" t="n">
        <f aca="false">Pipeline!$Q$18*Pipeline!$D$18*MIN(1,MAX(0,(60-Pipeline!$E$18+1)/MAX(Pipeline!$F$18,1)))</f>
        <v>9613.5</v>
      </c>
      <c r="BK11" s="138" t="n">
        <f aca="false">Pipeline!$Q$18*Pipeline!$D$18*MIN(1,MAX(0,(61-Pipeline!$E$18+1)/MAX(Pipeline!$F$18,1)))</f>
        <v>9613.5</v>
      </c>
      <c r="BL11" s="138" t="n">
        <f aca="false">Pipeline!$Q$18*Pipeline!$D$18*MIN(1,MAX(0,(62-Pipeline!$E$18+1)/MAX(Pipeline!$F$18,1)))</f>
        <v>9613.5</v>
      </c>
      <c r="BM11" s="138" t="n">
        <f aca="false">Pipeline!$Q$18*Pipeline!$D$18*MIN(1,MAX(0,(63-Pipeline!$E$18+1)/MAX(Pipeline!$F$18,1)))</f>
        <v>9613.5</v>
      </c>
      <c r="BN11" s="138" t="n">
        <f aca="false">Pipeline!$Q$18*Pipeline!$D$18*MIN(1,MAX(0,(64-Pipeline!$E$18+1)/MAX(Pipeline!$F$18,1)))</f>
        <v>9613.5</v>
      </c>
      <c r="BO11" s="138" t="n">
        <f aca="false">Pipeline!$Q$18*Pipeline!$D$18*MIN(1,MAX(0,(65-Pipeline!$E$18+1)/MAX(Pipeline!$F$18,1)))</f>
        <v>9613.5</v>
      </c>
      <c r="BP11" s="138" t="n">
        <f aca="false">Pipeline!$Q$18*Pipeline!$D$18*MIN(1,MAX(0,(66-Pipeline!$E$18+1)/MAX(Pipeline!$F$18,1)))</f>
        <v>9613.5</v>
      </c>
      <c r="BQ11" s="138" t="n">
        <f aca="false">Pipeline!$Q$18*Pipeline!$D$18*MIN(1,MAX(0,(67-Pipeline!$E$18+1)/MAX(Pipeline!$F$18,1)))</f>
        <v>9613.5</v>
      </c>
      <c r="BR11" s="138" t="n">
        <f aca="false">Pipeline!$Q$18*Pipeline!$D$18*MIN(1,MAX(0,(68-Pipeline!$E$18+1)/MAX(Pipeline!$F$18,1)))</f>
        <v>9613.5</v>
      </c>
      <c r="BS11" s="138" t="n">
        <f aca="false">Pipeline!$Q$18*Pipeline!$D$18*MIN(1,MAX(0,(69-Pipeline!$E$18+1)/MAX(Pipeline!$F$18,1)))</f>
        <v>9613.5</v>
      </c>
      <c r="BT11" s="138" t="n">
        <f aca="false">Pipeline!$Q$18*Pipeline!$D$18*MIN(1,MAX(0,(70-Pipeline!$E$18+1)/MAX(Pipeline!$F$18,1)))</f>
        <v>9613.5</v>
      </c>
      <c r="BU11" s="138" t="n">
        <f aca="false">Pipeline!$Q$18*Pipeline!$D$18*MIN(1,MAX(0,(71-Pipeline!$E$18+1)/MAX(Pipeline!$F$18,1)))</f>
        <v>9613.5</v>
      </c>
      <c r="BV11" s="138" t="n">
        <f aca="false">Pipeline!$Q$18*Pipeline!$D$18*MIN(1,MAX(0,(72-Pipeline!$E$18+1)/MAX(Pipeline!$F$18,1)))</f>
        <v>9613.5</v>
      </c>
      <c r="BW11" s="138" t="n">
        <f aca="false">Pipeline!$Q$18*Pipeline!$D$18*MIN(1,MAX(0,(73-Pipeline!$E$18+1)/MAX(Pipeline!$F$18,1)))</f>
        <v>9613.5</v>
      </c>
      <c r="BX11" s="138" t="n">
        <f aca="false">Pipeline!$Q$18*Pipeline!$D$18*MIN(1,MAX(0,(74-Pipeline!$E$18+1)/MAX(Pipeline!$F$18,1)))</f>
        <v>9613.5</v>
      </c>
      <c r="BY11" s="138" t="n">
        <f aca="false">Pipeline!$Q$18*Pipeline!$D$18*MIN(1,MAX(0,(75-Pipeline!$E$18+1)/MAX(Pipeline!$F$18,1)))</f>
        <v>9613.5</v>
      </c>
      <c r="BZ11" s="138" t="n">
        <f aca="false">Pipeline!$Q$18*Pipeline!$D$18*MIN(1,MAX(0,(76-Pipeline!$E$18+1)/MAX(Pipeline!$F$18,1)))</f>
        <v>9613.5</v>
      </c>
      <c r="CA11" s="138" t="n">
        <f aca="false">Pipeline!$Q$18*Pipeline!$D$18*MIN(1,MAX(0,(77-Pipeline!$E$18+1)/MAX(Pipeline!$F$18,1)))</f>
        <v>9613.5</v>
      </c>
      <c r="CB11" s="138" t="n">
        <f aca="false">Pipeline!$Q$18*Pipeline!$D$18*MIN(1,MAX(0,(78-Pipeline!$E$18+1)/MAX(Pipeline!$F$18,1)))</f>
        <v>9613.5</v>
      </c>
      <c r="CC11" s="138" t="n">
        <f aca="false">Pipeline!$Q$18*Pipeline!$D$18*MIN(1,MAX(0,(79-Pipeline!$E$18+1)/MAX(Pipeline!$F$18,1)))</f>
        <v>9613.5</v>
      </c>
      <c r="CD11" s="138" t="n">
        <f aca="false">Pipeline!$Q$18*Pipeline!$D$18*MIN(1,MAX(0,(80-Pipeline!$E$18+1)/MAX(Pipeline!$F$18,1)))</f>
        <v>9613.5</v>
      </c>
      <c r="CE11" s="138" t="n">
        <f aca="false">Pipeline!$Q$18*Pipeline!$D$18*MIN(1,MAX(0,(81-Pipeline!$E$18+1)/MAX(Pipeline!$F$18,1)))</f>
        <v>9613.5</v>
      </c>
      <c r="CF11" s="138" t="n">
        <f aca="false">Pipeline!$Q$18*Pipeline!$D$18*MIN(1,MAX(0,(82-Pipeline!$E$18+1)/MAX(Pipeline!$F$18,1)))</f>
        <v>9613.5</v>
      </c>
      <c r="CG11" s="138" t="n">
        <f aca="false">Pipeline!$Q$18*Pipeline!$D$18*MIN(1,MAX(0,(83-Pipeline!$E$18+1)/MAX(Pipeline!$F$18,1)))</f>
        <v>9613.5</v>
      </c>
      <c r="CH11" s="138" t="n">
        <f aca="false">Pipeline!$Q$18*Pipeline!$D$18*MIN(1,MAX(0,(84-Pipeline!$E$18+1)/MAX(Pipeline!$F$18,1)))</f>
        <v>9613.5</v>
      </c>
    </row>
    <row r="12" customFormat="false" ht="13.5" hidden="false" customHeight="true" outlineLevel="0" collapsed="false">
      <c r="A12" s="13" t="s">
        <v>695</v>
      </c>
      <c r="C12" s="138" t="n">
        <f aca="false">Pipeline!$Q$19*Pipeline!$D$19*MIN(1,MAX(0,(1-Pipeline!$E$19+1)/MAX(Pipeline!$F$19,1)))</f>
        <v>0</v>
      </c>
      <c r="D12" s="138" t="n">
        <f aca="false">Pipeline!$Q$19*Pipeline!$D$19*MIN(1,MAX(0,(2-Pipeline!$E$19+1)/MAX(Pipeline!$F$19,1)))</f>
        <v>0</v>
      </c>
      <c r="E12" s="138" t="n">
        <f aca="false">Pipeline!$Q$19*Pipeline!$D$19*MIN(1,MAX(0,(3-Pipeline!$E$19+1)/MAX(Pipeline!$F$19,1)))</f>
        <v>0</v>
      </c>
      <c r="F12" s="138" t="n">
        <f aca="false">Pipeline!$Q$19*Pipeline!$D$19*MIN(1,MAX(0,(4-Pipeline!$E$19+1)/MAX(Pipeline!$F$19,1)))</f>
        <v>0</v>
      </c>
      <c r="G12" s="138" t="n">
        <f aca="false">Pipeline!$Q$19*Pipeline!$D$19*MIN(1,MAX(0,(5-Pipeline!$E$19+1)/MAX(Pipeline!$F$19,1)))</f>
        <v>0</v>
      </c>
      <c r="H12" s="138" t="n">
        <f aca="false">Pipeline!$Q$19*Pipeline!$D$19*MIN(1,MAX(0,(6-Pipeline!$E$19+1)/MAX(Pipeline!$F$19,1)))</f>
        <v>717.75</v>
      </c>
      <c r="I12" s="138" t="n">
        <f aca="false">Pipeline!$Q$19*Pipeline!$D$19*MIN(1,MAX(0,(7-Pipeline!$E$19+1)/MAX(Pipeline!$F$19,1)))</f>
        <v>1435.5</v>
      </c>
      <c r="J12" s="138" t="n">
        <f aca="false">Pipeline!$Q$19*Pipeline!$D$19*MIN(1,MAX(0,(8-Pipeline!$E$19+1)/MAX(Pipeline!$F$19,1)))</f>
        <v>2153.25</v>
      </c>
      <c r="K12" s="138" t="n">
        <f aca="false">Pipeline!$Q$19*Pipeline!$D$19*MIN(1,MAX(0,(9-Pipeline!$E$19+1)/MAX(Pipeline!$F$19,1)))</f>
        <v>2871</v>
      </c>
      <c r="L12" s="138" t="n">
        <f aca="false">Pipeline!$Q$19*Pipeline!$D$19*MIN(1,MAX(0,(10-Pipeline!$E$19+1)/MAX(Pipeline!$F$19,1)))</f>
        <v>3588.75</v>
      </c>
      <c r="M12" s="138" t="n">
        <f aca="false">Pipeline!$Q$19*Pipeline!$D$19*MIN(1,MAX(0,(11-Pipeline!$E$19+1)/MAX(Pipeline!$F$19,1)))</f>
        <v>4306.5</v>
      </c>
      <c r="N12" s="138" t="n">
        <f aca="false">Pipeline!$Q$19*Pipeline!$D$19*MIN(1,MAX(0,(12-Pipeline!$E$19+1)/MAX(Pipeline!$F$19,1)))</f>
        <v>5024.25</v>
      </c>
      <c r="O12" s="138" t="n">
        <f aca="false">Pipeline!$Q$19*Pipeline!$D$19*MIN(1,MAX(0,(13-Pipeline!$E$19+1)/MAX(Pipeline!$F$19,1)))</f>
        <v>5742</v>
      </c>
      <c r="P12" s="138" t="n">
        <f aca="false">Pipeline!$Q$19*Pipeline!$D$19*MIN(1,MAX(0,(14-Pipeline!$E$19+1)/MAX(Pipeline!$F$19,1)))</f>
        <v>5742</v>
      </c>
      <c r="Q12" s="138" t="n">
        <f aca="false">Pipeline!$Q$19*Pipeline!$D$19*MIN(1,MAX(0,(15-Pipeline!$E$19+1)/MAX(Pipeline!$F$19,1)))</f>
        <v>5742</v>
      </c>
      <c r="R12" s="138" t="n">
        <f aca="false">Pipeline!$Q$19*Pipeline!$D$19*MIN(1,MAX(0,(16-Pipeline!$E$19+1)/MAX(Pipeline!$F$19,1)))</f>
        <v>5742</v>
      </c>
      <c r="S12" s="138" t="n">
        <f aca="false">Pipeline!$Q$19*Pipeline!$D$19*MIN(1,MAX(0,(17-Pipeline!$E$19+1)/MAX(Pipeline!$F$19,1)))</f>
        <v>5742</v>
      </c>
      <c r="T12" s="138" t="n">
        <f aca="false">Pipeline!$Q$19*Pipeline!$D$19*MIN(1,MAX(0,(18-Pipeline!$E$19+1)/MAX(Pipeline!$F$19,1)))</f>
        <v>5742</v>
      </c>
      <c r="U12" s="138" t="n">
        <f aca="false">Pipeline!$Q$19*Pipeline!$D$19*MIN(1,MAX(0,(19-Pipeline!$E$19+1)/MAX(Pipeline!$F$19,1)))</f>
        <v>5742</v>
      </c>
      <c r="V12" s="138" t="n">
        <f aca="false">Pipeline!$Q$19*Pipeline!$D$19*MIN(1,MAX(0,(20-Pipeline!$E$19+1)/MAX(Pipeline!$F$19,1)))</f>
        <v>5742</v>
      </c>
      <c r="W12" s="138" t="n">
        <f aca="false">Pipeline!$Q$19*Pipeline!$D$19*MIN(1,MAX(0,(21-Pipeline!$E$19+1)/MAX(Pipeline!$F$19,1)))</f>
        <v>5742</v>
      </c>
      <c r="X12" s="138" t="n">
        <f aca="false">Pipeline!$Q$19*Pipeline!$D$19*MIN(1,MAX(0,(22-Pipeline!$E$19+1)/MAX(Pipeline!$F$19,1)))</f>
        <v>5742</v>
      </c>
      <c r="Y12" s="138" t="n">
        <f aca="false">Pipeline!$Q$19*Pipeline!$D$19*MIN(1,MAX(0,(23-Pipeline!$E$19+1)/MAX(Pipeline!$F$19,1)))</f>
        <v>5742</v>
      </c>
      <c r="Z12" s="138" t="n">
        <f aca="false">Pipeline!$Q$19*Pipeline!$D$19*MIN(1,MAX(0,(24-Pipeline!$E$19+1)/MAX(Pipeline!$F$19,1)))</f>
        <v>5742</v>
      </c>
      <c r="AA12" s="138" t="n">
        <f aca="false">Pipeline!$Q$19*Pipeline!$D$19*MIN(1,MAX(0,(25-Pipeline!$E$19+1)/MAX(Pipeline!$F$19,1)))</f>
        <v>5742</v>
      </c>
      <c r="AB12" s="138" t="n">
        <f aca="false">Pipeline!$Q$19*Pipeline!$D$19*MIN(1,MAX(0,(26-Pipeline!$E$19+1)/MAX(Pipeline!$F$19,1)))</f>
        <v>5742</v>
      </c>
      <c r="AC12" s="138" t="n">
        <f aca="false">Pipeline!$Q$19*Pipeline!$D$19*MIN(1,MAX(0,(27-Pipeline!$E$19+1)/MAX(Pipeline!$F$19,1)))</f>
        <v>5742</v>
      </c>
      <c r="AD12" s="138" t="n">
        <f aca="false">Pipeline!$Q$19*Pipeline!$D$19*MIN(1,MAX(0,(28-Pipeline!$E$19+1)/MAX(Pipeline!$F$19,1)))</f>
        <v>5742</v>
      </c>
      <c r="AE12" s="138" t="n">
        <f aca="false">Pipeline!$Q$19*Pipeline!$D$19*MIN(1,MAX(0,(29-Pipeline!$E$19+1)/MAX(Pipeline!$F$19,1)))</f>
        <v>5742</v>
      </c>
      <c r="AF12" s="138" t="n">
        <f aca="false">Pipeline!$Q$19*Pipeline!$D$19*MIN(1,MAX(0,(30-Pipeline!$E$19+1)/MAX(Pipeline!$F$19,1)))</f>
        <v>5742</v>
      </c>
      <c r="AG12" s="138" t="n">
        <f aca="false">Pipeline!$Q$19*Pipeline!$D$19*MIN(1,MAX(0,(31-Pipeline!$E$19+1)/MAX(Pipeline!$F$19,1)))</f>
        <v>5742</v>
      </c>
      <c r="AH12" s="138" t="n">
        <f aca="false">Pipeline!$Q$19*Pipeline!$D$19*MIN(1,MAX(0,(32-Pipeline!$E$19+1)/MAX(Pipeline!$F$19,1)))</f>
        <v>5742</v>
      </c>
      <c r="AI12" s="138" t="n">
        <f aca="false">Pipeline!$Q$19*Pipeline!$D$19*MIN(1,MAX(0,(33-Pipeline!$E$19+1)/MAX(Pipeline!$F$19,1)))</f>
        <v>5742</v>
      </c>
      <c r="AJ12" s="138" t="n">
        <f aca="false">Pipeline!$Q$19*Pipeline!$D$19*MIN(1,MAX(0,(34-Pipeline!$E$19+1)/MAX(Pipeline!$F$19,1)))</f>
        <v>5742</v>
      </c>
      <c r="AK12" s="138" t="n">
        <f aca="false">Pipeline!$Q$19*Pipeline!$D$19*MIN(1,MAX(0,(35-Pipeline!$E$19+1)/MAX(Pipeline!$F$19,1)))</f>
        <v>5742</v>
      </c>
      <c r="AL12" s="138" t="n">
        <f aca="false">Pipeline!$Q$19*Pipeline!$D$19*MIN(1,MAX(0,(36-Pipeline!$E$19+1)/MAX(Pipeline!$F$19,1)))</f>
        <v>5742</v>
      </c>
      <c r="AM12" s="138" t="n">
        <f aca="false">Pipeline!$Q$19*Pipeline!$D$19*MIN(1,MAX(0,(37-Pipeline!$E$19+1)/MAX(Pipeline!$F$19,1)))</f>
        <v>5742</v>
      </c>
      <c r="AN12" s="138" t="n">
        <f aca="false">Pipeline!$Q$19*Pipeline!$D$19*MIN(1,MAX(0,(38-Pipeline!$E$19+1)/MAX(Pipeline!$F$19,1)))</f>
        <v>5742</v>
      </c>
      <c r="AO12" s="138" t="n">
        <f aca="false">Pipeline!$Q$19*Pipeline!$D$19*MIN(1,MAX(0,(39-Pipeline!$E$19+1)/MAX(Pipeline!$F$19,1)))</f>
        <v>5742</v>
      </c>
      <c r="AP12" s="138" t="n">
        <f aca="false">Pipeline!$Q$19*Pipeline!$D$19*MIN(1,MAX(0,(40-Pipeline!$E$19+1)/MAX(Pipeline!$F$19,1)))</f>
        <v>5742</v>
      </c>
      <c r="AQ12" s="138" t="n">
        <f aca="false">Pipeline!$Q$19*Pipeline!$D$19*MIN(1,MAX(0,(41-Pipeline!$E$19+1)/MAX(Pipeline!$F$19,1)))</f>
        <v>5742</v>
      </c>
      <c r="AR12" s="138" t="n">
        <f aca="false">Pipeline!$Q$19*Pipeline!$D$19*MIN(1,MAX(0,(42-Pipeline!$E$19+1)/MAX(Pipeline!$F$19,1)))</f>
        <v>5742</v>
      </c>
      <c r="AS12" s="138" t="n">
        <f aca="false">Pipeline!$Q$19*Pipeline!$D$19*MIN(1,MAX(0,(43-Pipeline!$E$19+1)/MAX(Pipeline!$F$19,1)))</f>
        <v>5742</v>
      </c>
      <c r="AT12" s="138" t="n">
        <f aca="false">Pipeline!$Q$19*Pipeline!$D$19*MIN(1,MAX(0,(44-Pipeline!$E$19+1)/MAX(Pipeline!$F$19,1)))</f>
        <v>5742</v>
      </c>
      <c r="AU12" s="138" t="n">
        <f aca="false">Pipeline!$Q$19*Pipeline!$D$19*MIN(1,MAX(0,(45-Pipeline!$E$19+1)/MAX(Pipeline!$F$19,1)))</f>
        <v>5742</v>
      </c>
      <c r="AV12" s="138" t="n">
        <f aca="false">Pipeline!$Q$19*Pipeline!$D$19*MIN(1,MAX(0,(46-Pipeline!$E$19+1)/MAX(Pipeline!$F$19,1)))</f>
        <v>5742</v>
      </c>
      <c r="AW12" s="138" t="n">
        <f aca="false">Pipeline!$Q$19*Pipeline!$D$19*MIN(1,MAX(0,(47-Pipeline!$E$19+1)/MAX(Pipeline!$F$19,1)))</f>
        <v>5742</v>
      </c>
      <c r="AX12" s="138" t="n">
        <f aca="false">Pipeline!$Q$19*Pipeline!$D$19*MIN(1,MAX(0,(48-Pipeline!$E$19+1)/MAX(Pipeline!$F$19,1)))</f>
        <v>5742</v>
      </c>
      <c r="AY12" s="138" t="n">
        <f aca="false">Pipeline!$Q$19*Pipeline!$D$19*MIN(1,MAX(0,(49-Pipeline!$E$19+1)/MAX(Pipeline!$F$19,1)))</f>
        <v>5742</v>
      </c>
      <c r="AZ12" s="138" t="n">
        <f aca="false">Pipeline!$Q$19*Pipeline!$D$19*MIN(1,MAX(0,(50-Pipeline!$E$19+1)/MAX(Pipeline!$F$19,1)))</f>
        <v>5742</v>
      </c>
      <c r="BA12" s="138" t="n">
        <f aca="false">Pipeline!$Q$19*Pipeline!$D$19*MIN(1,MAX(0,(51-Pipeline!$E$19+1)/MAX(Pipeline!$F$19,1)))</f>
        <v>5742</v>
      </c>
      <c r="BB12" s="138" t="n">
        <f aca="false">Pipeline!$Q$19*Pipeline!$D$19*MIN(1,MAX(0,(52-Pipeline!$E$19+1)/MAX(Pipeline!$F$19,1)))</f>
        <v>5742</v>
      </c>
      <c r="BC12" s="138" t="n">
        <f aca="false">Pipeline!$Q$19*Pipeline!$D$19*MIN(1,MAX(0,(53-Pipeline!$E$19+1)/MAX(Pipeline!$F$19,1)))</f>
        <v>5742</v>
      </c>
      <c r="BD12" s="138" t="n">
        <f aca="false">Pipeline!$Q$19*Pipeline!$D$19*MIN(1,MAX(0,(54-Pipeline!$E$19+1)/MAX(Pipeline!$F$19,1)))</f>
        <v>5742</v>
      </c>
      <c r="BE12" s="138" t="n">
        <f aca="false">Pipeline!$Q$19*Pipeline!$D$19*MIN(1,MAX(0,(55-Pipeline!$E$19+1)/MAX(Pipeline!$F$19,1)))</f>
        <v>5742</v>
      </c>
      <c r="BF12" s="138" t="n">
        <f aca="false">Pipeline!$Q$19*Pipeline!$D$19*MIN(1,MAX(0,(56-Pipeline!$E$19+1)/MAX(Pipeline!$F$19,1)))</f>
        <v>5742</v>
      </c>
      <c r="BG12" s="138" t="n">
        <f aca="false">Pipeline!$Q$19*Pipeline!$D$19*MIN(1,MAX(0,(57-Pipeline!$E$19+1)/MAX(Pipeline!$F$19,1)))</f>
        <v>5742</v>
      </c>
      <c r="BH12" s="138" t="n">
        <f aca="false">Pipeline!$Q$19*Pipeline!$D$19*MIN(1,MAX(0,(58-Pipeline!$E$19+1)/MAX(Pipeline!$F$19,1)))</f>
        <v>5742</v>
      </c>
      <c r="BI12" s="138" t="n">
        <f aca="false">Pipeline!$Q$19*Pipeline!$D$19*MIN(1,MAX(0,(59-Pipeline!$E$19+1)/MAX(Pipeline!$F$19,1)))</f>
        <v>5742</v>
      </c>
      <c r="BJ12" s="138" t="n">
        <f aca="false">Pipeline!$Q$19*Pipeline!$D$19*MIN(1,MAX(0,(60-Pipeline!$E$19+1)/MAX(Pipeline!$F$19,1)))</f>
        <v>5742</v>
      </c>
      <c r="BK12" s="138" t="n">
        <f aca="false">Pipeline!$Q$19*Pipeline!$D$19*MIN(1,MAX(0,(61-Pipeline!$E$19+1)/MAX(Pipeline!$F$19,1)))</f>
        <v>5742</v>
      </c>
      <c r="BL12" s="138" t="n">
        <f aca="false">Pipeline!$Q$19*Pipeline!$D$19*MIN(1,MAX(0,(62-Pipeline!$E$19+1)/MAX(Pipeline!$F$19,1)))</f>
        <v>5742</v>
      </c>
      <c r="BM12" s="138" t="n">
        <f aca="false">Pipeline!$Q$19*Pipeline!$D$19*MIN(1,MAX(0,(63-Pipeline!$E$19+1)/MAX(Pipeline!$F$19,1)))</f>
        <v>5742</v>
      </c>
      <c r="BN12" s="138" t="n">
        <f aca="false">Pipeline!$Q$19*Pipeline!$D$19*MIN(1,MAX(0,(64-Pipeline!$E$19+1)/MAX(Pipeline!$F$19,1)))</f>
        <v>5742</v>
      </c>
      <c r="BO12" s="138" t="n">
        <f aca="false">Pipeline!$Q$19*Pipeline!$D$19*MIN(1,MAX(0,(65-Pipeline!$E$19+1)/MAX(Pipeline!$F$19,1)))</f>
        <v>5742</v>
      </c>
      <c r="BP12" s="138" t="n">
        <f aca="false">Pipeline!$Q$19*Pipeline!$D$19*MIN(1,MAX(0,(66-Pipeline!$E$19+1)/MAX(Pipeline!$F$19,1)))</f>
        <v>5742</v>
      </c>
      <c r="BQ12" s="138" t="n">
        <f aca="false">Pipeline!$Q$19*Pipeline!$D$19*MIN(1,MAX(0,(67-Pipeline!$E$19+1)/MAX(Pipeline!$F$19,1)))</f>
        <v>5742</v>
      </c>
      <c r="BR12" s="138" t="n">
        <f aca="false">Pipeline!$Q$19*Pipeline!$D$19*MIN(1,MAX(0,(68-Pipeline!$E$19+1)/MAX(Pipeline!$F$19,1)))</f>
        <v>5742</v>
      </c>
      <c r="BS12" s="138" t="n">
        <f aca="false">Pipeline!$Q$19*Pipeline!$D$19*MIN(1,MAX(0,(69-Pipeline!$E$19+1)/MAX(Pipeline!$F$19,1)))</f>
        <v>5742</v>
      </c>
      <c r="BT12" s="138" t="n">
        <f aca="false">Pipeline!$Q$19*Pipeline!$D$19*MIN(1,MAX(0,(70-Pipeline!$E$19+1)/MAX(Pipeline!$F$19,1)))</f>
        <v>5742</v>
      </c>
      <c r="BU12" s="138" t="n">
        <f aca="false">Pipeline!$Q$19*Pipeline!$D$19*MIN(1,MAX(0,(71-Pipeline!$E$19+1)/MAX(Pipeline!$F$19,1)))</f>
        <v>5742</v>
      </c>
      <c r="BV12" s="138" t="n">
        <f aca="false">Pipeline!$Q$19*Pipeline!$D$19*MIN(1,MAX(0,(72-Pipeline!$E$19+1)/MAX(Pipeline!$F$19,1)))</f>
        <v>5742</v>
      </c>
      <c r="BW12" s="138" t="n">
        <f aca="false">Pipeline!$Q$19*Pipeline!$D$19*MIN(1,MAX(0,(73-Pipeline!$E$19+1)/MAX(Pipeline!$F$19,1)))</f>
        <v>5742</v>
      </c>
      <c r="BX12" s="138" t="n">
        <f aca="false">Pipeline!$Q$19*Pipeline!$D$19*MIN(1,MAX(0,(74-Pipeline!$E$19+1)/MAX(Pipeline!$F$19,1)))</f>
        <v>5742</v>
      </c>
      <c r="BY12" s="138" t="n">
        <f aca="false">Pipeline!$Q$19*Pipeline!$D$19*MIN(1,MAX(0,(75-Pipeline!$E$19+1)/MAX(Pipeline!$F$19,1)))</f>
        <v>5742</v>
      </c>
      <c r="BZ12" s="138" t="n">
        <f aca="false">Pipeline!$Q$19*Pipeline!$D$19*MIN(1,MAX(0,(76-Pipeline!$E$19+1)/MAX(Pipeline!$F$19,1)))</f>
        <v>5742</v>
      </c>
      <c r="CA12" s="138" t="n">
        <f aca="false">Pipeline!$Q$19*Pipeline!$D$19*MIN(1,MAX(0,(77-Pipeline!$E$19+1)/MAX(Pipeline!$F$19,1)))</f>
        <v>5742</v>
      </c>
      <c r="CB12" s="138" t="n">
        <f aca="false">Pipeline!$Q$19*Pipeline!$D$19*MIN(1,MAX(0,(78-Pipeline!$E$19+1)/MAX(Pipeline!$F$19,1)))</f>
        <v>5742</v>
      </c>
      <c r="CC12" s="138" t="n">
        <f aca="false">Pipeline!$Q$19*Pipeline!$D$19*MIN(1,MAX(0,(79-Pipeline!$E$19+1)/MAX(Pipeline!$F$19,1)))</f>
        <v>5742</v>
      </c>
      <c r="CD12" s="138" t="n">
        <f aca="false">Pipeline!$Q$19*Pipeline!$D$19*MIN(1,MAX(0,(80-Pipeline!$E$19+1)/MAX(Pipeline!$F$19,1)))</f>
        <v>5742</v>
      </c>
      <c r="CE12" s="138" t="n">
        <f aca="false">Pipeline!$Q$19*Pipeline!$D$19*MIN(1,MAX(0,(81-Pipeline!$E$19+1)/MAX(Pipeline!$F$19,1)))</f>
        <v>5742</v>
      </c>
      <c r="CF12" s="138" t="n">
        <f aca="false">Pipeline!$Q$19*Pipeline!$D$19*MIN(1,MAX(0,(82-Pipeline!$E$19+1)/MAX(Pipeline!$F$19,1)))</f>
        <v>5742</v>
      </c>
      <c r="CG12" s="138" t="n">
        <f aca="false">Pipeline!$Q$19*Pipeline!$D$19*MIN(1,MAX(0,(83-Pipeline!$E$19+1)/MAX(Pipeline!$F$19,1)))</f>
        <v>5742</v>
      </c>
      <c r="CH12" s="138" t="n">
        <f aca="false">Pipeline!$Q$19*Pipeline!$D$19*MIN(1,MAX(0,(84-Pipeline!$E$19+1)/MAX(Pipeline!$F$19,1)))</f>
        <v>5742</v>
      </c>
    </row>
    <row r="13" customFormat="false" ht="13.5" hidden="false" customHeight="true" outlineLevel="0" collapsed="false">
      <c r="A13" s="13" t="s">
        <v>696</v>
      </c>
      <c r="C13" s="138" t="n">
        <f aca="false">Pipeline!$Q$20*Pipeline!$D$20*MIN(1,MAX(0,(1-Pipeline!$E$20+1)/MAX(Pipeline!$F$20,1)))</f>
        <v>0</v>
      </c>
      <c r="D13" s="138" t="n">
        <f aca="false">Pipeline!$Q$20*Pipeline!$D$20*MIN(1,MAX(0,(2-Pipeline!$E$20+1)/MAX(Pipeline!$F$20,1)))</f>
        <v>0</v>
      </c>
      <c r="E13" s="138" t="n">
        <f aca="false">Pipeline!$Q$20*Pipeline!$D$20*MIN(1,MAX(0,(3-Pipeline!$E$20+1)/MAX(Pipeline!$F$20,1)))</f>
        <v>0</v>
      </c>
      <c r="F13" s="138" t="n">
        <f aca="false">Pipeline!$Q$20*Pipeline!$D$20*MIN(1,MAX(0,(4-Pipeline!$E$20+1)/MAX(Pipeline!$F$20,1)))</f>
        <v>0</v>
      </c>
      <c r="G13" s="138" t="n">
        <f aca="false">Pipeline!$Q$20*Pipeline!$D$20*MIN(1,MAX(0,(5-Pipeline!$E$20+1)/MAX(Pipeline!$F$20,1)))</f>
        <v>0</v>
      </c>
      <c r="H13" s="138" t="n">
        <f aca="false">Pipeline!$Q$20*Pipeline!$D$20*MIN(1,MAX(0,(6-Pipeline!$E$20+1)/MAX(Pipeline!$F$20,1)))</f>
        <v>0</v>
      </c>
      <c r="I13" s="138" t="n">
        <f aca="false">Pipeline!$Q$20*Pipeline!$D$20*MIN(1,MAX(0,(7-Pipeline!$E$20+1)/MAX(Pipeline!$F$20,1)))</f>
        <v>0</v>
      </c>
      <c r="J13" s="138" t="n">
        <f aca="false">Pipeline!$Q$20*Pipeline!$D$20*MIN(1,MAX(0,(8-Pipeline!$E$20+1)/MAX(Pipeline!$F$20,1)))</f>
        <v>0</v>
      </c>
      <c r="K13" s="138" t="n">
        <f aca="false">Pipeline!$Q$20*Pipeline!$D$20*MIN(1,MAX(0,(9-Pipeline!$E$20+1)/MAX(Pipeline!$F$20,1)))</f>
        <v>0</v>
      </c>
      <c r="L13" s="138" t="n">
        <f aca="false">Pipeline!$Q$20*Pipeline!$D$20*MIN(1,MAX(0,(10-Pipeline!$E$20+1)/MAX(Pipeline!$F$20,1)))</f>
        <v>0</v>
      </c>
      <c r="M13" s="138" t="n">
        <f aca="false">Pipeline!$Q$20*Pipeline!$D$20*MIN(1,MAX(0,(11-Pipeline!$E$20+1)/MAX(Pipeline!$F$20,1)))</f>
        <v>0</v>
      </c>
      <c r="N13" s="138" t="n">
        <f aca="false">Pipeline!$Q$20*Pipeline!$D$20*MIN(1,MAX(0,(12-Pipeline!$E$20+1)/MAX(Pipeline!$F$20,1)))</f>
        <v>978.75</v>
      </c>
      <c r="O13" s="138" t="n">
        <f aca="false">Pipeline!$Q$20*Pipeline!$D$20*MIN(1,MAX(0,(13-Pipeline!$E$20+1)/MAX(Pipeline!$F$20,1)))</f>
        <v>1957.5</v>
      </c>
      <c r="P13" s="138" t="n">
        <f aca="false">Pipeline!$Q$20*Pipeline!$D$20*MIN(1,MAX(0,(14-Pipeline!$E$20+1)/MAX(Pipeline!$F$20,1)))</f>
        <v>2936.25</v>
      </c>
      <c r="Q13" s="138" t="n">
        <f aca="false">Pipeline!$Q$20*Pipeline!$D$20*MIN(1,MAX(0,(15-Pipeline!$E$20+1)/MAX(Pipeline!$F$20,1)))</f>
        <v>3915</v>
      </c>
      <c r="R13" s="138" t="n">
        <f aca="false">Pipeline!$Q$20*Pipeline!$D$20*MIN(1,MAX(0,(16-Pipeline!$E$20+1)/MAX(Pipeline!$F$20,1)))</f>
        <v>4893.75</v>
      </c>
      <c r="S13" s="138" t="n">
        <f aca="false">Pipeline!$Q$20*Pipeline!$D$20*MIN(1,MAX(0,(17-Pipeline!$E$20+1)/MAX(Pipeline!$F$20,1)))</f>
        <v>5872.5</v>
      </c>
      <c r="T13" s="138" t="n">
        <f aca="false">Pipeline!$Q$20*Pipeline!$D$20*MIN(1,MAX(0,(18-Pipeline!$E$20+1)/MAX(Pipeline!$F$20,1)))</f>
        <v>6851.25</v>
      </c>
      <c r="U13" s="138" t="n">
        <f aca="false">Pipeline!$Q$20*Pipeline!$D$20*MIN(1,MAX(0,(19-Pipeline!$E$20+1)/MAX(Pipeline!$F$20,1)))</f>
        <v>7830</v>
      </c>
      <c r="V13" s="138" t="n">
        <f aca="false">Pipeline!$Q$20*Pipeline!$D$20*MIN(1,MAX(0,(20-Pipeline!$E$20+1)/MAX(Pipeline!$F$20,1)))</f>
        <v>8808.75</v>
      </c>
      <c r="W13" s="138" t="n">
        <f aca="false">Pipeline!$Q$20*Pipeline!$D$20*MIN(1,MAX(0,(21-Pipeline!$E$20+1)/MAX(Pipeline!$F$20,1)))</f>
        <v>9787.5</v>
      </c>
      <c r="X13" s="138" t="n">
        <f aca="false">Pipeline!$Q$20*Pipeline!$D$20*MIN(1,MAX(0,(22-Pipeline!$E$20+1)/MAX(Pipeline!$F$20,1)))</f>
        <v>9787.5</v>
      </c>
      <c r="Y13" s="138" t="n">
        <f aca="false">Pipeline!$Q$20*Pipeline!$D$20*MIN(1,MAX(0,(23-Pipeline!$E$20+1)/MAX(Pipeline!$F$20,1)))</f>
        <v>9787.5</v>
      </c>
      <c r="Z13" s="138" t="n">
        <f aca="false">Pipeline!$Q$20*Pipeline!$D$20*MIN(1,MAX(0,(24-Pipeline!$E$20+1)/MAX(Pipeline!$F$20,1)))</f>
        <v>9787.5</v>
      </c>
      <c r="AA13" s="138" t="n">
        <f aca="false">Pipeline!$Q$20*Pipeline!$D$20*MIN(1,MAX(0,(25-Pipeline!$E$20+1)/MAX(Pipeline!$F$20,1)))</f>
        <v>9787.5</v>
      </c>
      <c r="AB13" s="138" t="n">
        <f aca="false">Pipeline!$Q$20*Pipeline!$D$20*MIN(1,MAX(0,(26-Pipeline!$E$20+1)/MAX(Pipeline!$F$20,1)))</f>
        <v>9787.5</v>
      </c>
      <c r="AC13" s="138" t="n">
        <f aca="false">Pipeline!$Q$20*Pipeline!$D$20*MIN(1,MAX(0,(27-Pipeline!$E$20+1)/MAX(Pipeline!$F$20,1)))</f>
        <v>9787.5</v>
      </c>
      <c r="AD13" s="138" t="n">
        <f aca="false">Pipeline!$Q$20*Pipeline!$D$20*MIN(1,MAX(0,(28-Pipeline!$E$20+1)/MAX(Pipeline!$F$20,1)))</f>
        <v>9787.5</v>
      </c>
      <c r="AE13" s="138" t="n">
        <f aca="false">Pipeline!$Q$20*Pipeline!$D$20*MIN(1,MAX(0,(29-Pipeline!$E$20+1)/MAX(Pipeline!$F$20,1)))</f>
        <v>9787.5</v>
      </c>
      <c r="AF13" s="138" t="n">
        <f aca="false">Pipeline!$Q$20*Pipeline!$D$20*MIN(1,MAX(0,(30-Pipeline!$E$20+1)/MAX(Pipeline!$F$20,1)))</f>
        <v>9787.5</v>
      </c>
      <c r="AG13" s="138" t="n">
        <f aca="false">Pipeline!$Q$20*Pipeline!$D$20*MIN(1,MAX(0,(31-Pipeline!$E$20+1)/MAX(Pipeline!$F$20,1)))</f>
        <v>9787.5</v>
      </c>
      <c r="AH13" s="138" t="n">
        <f aca="false">Pipeline!$Q$20*Pipeline!$D$20*MIN(1,MAX(0,(32-Pipeline!$E$20+1)/MAX(Pipeline!$F$20,1)))</f>
        <v>9787.5</v>
      </c>
      <c r="AI13" s="138" t="n">
        <f aca="false">Pipeline!$Q$20*Pipeline!$D$20*MIN(1,MAX(0,(33-Pipeline!$E$20+1)/MAX(Pipeline!$F$20,1)))</f>
        <v>9787.5</v>
      </c>
      <c r="AJ13" s="138" t="n">
        <f aca="false">Pipeline!$Q$20*Pipeline!$D$20*MIN(1,MAX(0,(34-Pipeline!$E$20+1)/MAX(Pipeline!$F$20,1)))</f>
        <v>9787.5</v>
      </c>
      <c r="AK13" s="138" t="n">
        <f aca="false">Pipeline!$Q$20*Pipeline!$D$20*MIN(1,MAX(0,(35-Pipeline!$E$20+1)/MAX(Pipeline!$F$20,1)))</f>
        <v>9787.5</v>
      </c>
      <c r="AL13" s="138" t="n">
        <f aca="false">Pipeline!$Q$20*Pipeline!$D$20*MIN(1,MAX(0,(36-Pipeline!$E$20+1)/MAX(Pipeline!$F$20,1)))</f>
        <v>9787.5</v>
      </c>
      <c r="AM13" s="138" t="n">
        <f aca="false">Pipeline!$Q$20*Pipeline!$D$20*MIN(1,MAX(0,(37-Pipeline!$E$20+1)/MAX(Pipeline!$F$20,1)))</f>
        <v>9787.5</v>
      </c>
      <c r="AN13" s="138" t="n">
        <f aca="false">Pipeline!$Q$20*Pipeline!$D$20*MIN(1,MAX(0,(38-Pipeline!$E$20+1)/MAX(Pipeline!$F$20,1)))</f>
        <v>9787.5</v>
      </c>
      <c r="AO13" s="138" t="n">
        <f aca="false">Pipeline!$Q$20*Pipeline!$D$20*MIN(1,MAX(0,(39-Pipeline!$E$20+1)/MAX(Pipeline!$F$20,1)))</f>
        <v>9787.5</v>
      </c>
      <c r="AP13" s="138" t="n">
        <f aca="false">Pipeline!$Q$20*Pipeline!$D$20*MIN(1,MAX(0,(40-Pipeline!$E$20+1)/MAX(Pipeline!$F$20,1)))</f>
        <v>9787.5</v>
      </c>
      <c r="AQ13" s="138" t="n">
        <f aca="false">Pipeline!$Q$20*Pipeline!$D$20*MIN(1,MAX(0,(41-Pipeline!$E$20+1)/MAX(Pipeline!$F$20,1)))</f>
        <v>9787.5</v>
      </c>
      <c r="AR13" s="138" t="n">
        <f aca="false">Pipeline!$Q$20*Pipeline!$D$20*MIN(1,MAX(0,(42-Pipeline!$E$20+1)/MAX(Pipeline!$F$20,1)))</f>
        <v>9787.5</v>
      </c>
      <c r="AS13" s="138" t="n">
        <f aca="false">Pipeline!$Q$20*Pipeline!$D$20*MIN(1,MAX(0,(43-Pipeline!$E$20+1)/MAX(Pipeline!$F$20,1)))</f>
        <v>9787.5</v>
      </c>
      <c r="AT13" s="138" t="n">
        <f aca="false">Pipeline!$Q$20*Pipeline!$D$20*MIN(1,MAX(0,(44-Pipeline!$E$20+1)/MAX(Pipeline!$F$20,1)))</f>
        <v>9787.5</v>
      </c>
      <c r="AU13" s="138" t="n">
        <f aca="false">Pipeline!$Q$20*Pipeline!$D$20*MIN(1,MAX(0,(45-Pipeline!$E$20+1)/MAX(Pipeline!$F$20,1)))</f>
        <v>9787.5</v>
      </c>
      <c r="AV13" s="138" t="n">
        <f aca="false">Pipeline!$Q$20*Pipeline!$D$20*MIN(1,MAX(0,(46-Pipeline!$E$20+1)/MAX(Pipeline!$F$20,1)))</f>
        <v>9787.5</v>
      </c>
      <c r="AW13" s="138" t="n">
        <f aca="false">Pipeline!$Q$20*Pipeline!$D$20*MIN(1,MAX(0,(47-Pipeline!$E$20+1)/MAX(Pipeline!$F$20,1)))</f>
        <v>9787.5</v>
      </c>
      <c r="AX13" s="138" t="n">
        <f aca="false">Pipeline!$Q$20*Pipeline!$D$20*MIN(1,MAX(0,(48-Pipeline!$E$20+1)/MAX(Pipeline!$F$20,1)))</f>
        <v>9787.5</v>
      </c>
      <c r="AY13" s="138" t="n">
        <f aca="false">Pipeline!$Q$20*Pipeline!$D$20*MIN(1,MAX(0,(49-Pipeline!$E$20+1)/MAX(Pipeline!$F$20,1)))</f>
        <v>9787.5</v>
      </c>
      <c r="AZ13" s="138" t="n">
        <f aca="false">Pipeline!$Q$20*Pipeline!$D$20*MIN(1,MAX(0,(50-Pipeline!$E$20+1)/MAX(Pipeline!$F$20,1)))</f>
        <v>9787.5</v>
      </c>
      <c r="BA13" s="138" t="n">
        <f aca="false">Pipeline!$Q$20*Pipeline!$D$20*MIN(1,MAX(0,(51-Pipeline!$E$20+1)/MAX(Pipeline!$F$20,1)))</f>
        <v>9787.5</v>
      </c>
      <c r="BB13" s="138" t="n">
        <f aca="false">Pipeline!$Q$20*Pipeline!$D$20*MIN(1,MAX(0,(52-Pipeline!$E$20+1)/MAX(Pipeline!$F$20,1)))</f>
        <v>9787.5</v>
      </c>
      <c r="BC13" s="138" t="n">
        <f aca="false">Pipeline!$Q$20*Pipeline!$D$20*MIN(1,MAX(0,(53-Pipeline!$E$20+1)/MAX(Pipeline!$F$20,1)))</f>
        <v>9787.5</v>
      </c>
      <c r="BD13" s="138" t="n">
        <f aca="false">Pipeline!$Q$20*Pipeline!$D$20*MIN(1,MAX(0,(54-Pipeline!$E$20+1)/MAX(Pipeline!$F$20,1)))</f>
        <v>9787.5</v>
      </c>
      <c r="BE13" s="138" t="n">
        <f aca="false">Pipeline!$Q$20*Pipeline!$D$20*MIN(1,MAX(0,(55-Pipeline!$E$20+1)/MAX(Pipeline!$F$20,1)))</f>
        <v>9787.5</v>
      </c>
      <c r="BF13" s="138" t="n">
        <f aca="false">Pipeline!$Q$20*Pipeline!$D$20*MIN(1,MAX(0,(56-Pipeline!$E$20+1)/MAX(Pipeline!$F$20,1)))</f>
        <v>9787.5</v>
      </c>
      <c r="BG13" s="138" t="n">
        <f aca="false">Pipeline!$Q$20*Pipeline!$D$20*MIN(1,MAX(0,(57-Pipeline!$E$20+1)/MAX(Pipeline!$F$20,1)))</f>
        <v>9787.5</v>
      </c>
      <c r="BH13" s="138" t="n">
        <f aca="false">Pipeline!$Q$20*Pipeline!$D$20*MIN(1,MAX(0,(58-Pipeline!$E$20+1)/MAX(Pipeline!$F$20,1)))</f>
        <v>9787.5</v>
      </c>
      <c r="BI13" s="138" t="n">
        <f aca="false">Pipeline!$Q$20*Pipeline!$D$20*MIN(1,MAX(0,(59-Pipeline!$E$20+1)/MAX(Pipeline!$F$20,1)))</f>
        <v>9787.5</v>
      </c>
      <c r="BJ13" s="138" t="n">
        <f aca="false">Pipeline!$Q$20*Pipeline!$D$20*MIN(1,MAX(0,(60-Pipeline!$E$20+1)/MAX(Pipeline!$F$20,1)))</f>
        <v>9787.5</v>
      </c>
      <c r="BK13" s="138" t="n">
        <f aca="false">Pipeline!$Q$20*Pipeline!$D$20*MIN(1,MAX(0,(61-Pipeline!$E$20+1)/MAX(Pipeline!$F$20,1)))</f>
        <v>9787.5</v>
      </c>
      <c r="BL13" s="138" t="n">
        <f aca="false">Pipeline!$Q$20*Pipeline!$D$20*MIN(1,MAX(0,(62-Pipeline!$E$20+1)/MAX(Pipeline!$F$20,1)))</f>
        <v>9787.5</v>
      </c>
      <c r="BM13" s="138" t="n">
        <f aca="false">Pipeline!$Q$20*Pipeline!$D$20*MIN(1,MAX(0,(63-Pipeline!$E$20+1)/MAX(Pipeline!$F$20,1)))</f>
        <v>9787.5</v>
      </c>
      <c r="BN13" s="138" t="n">
        <f aca="false">Pipeline!$Q$20*Pipeline!$D$20*MIN(1,MAX(0,(64-Pipeline!$E$20+1)/MAX(Pipeline!$F$20,1)))</f>
        <v>9787.5</v>
      </c>
      <c r="BO13" s="138" t="n">
        <f aca="false">Pipeline!$Q$20*Pipeline!$D$20*MIN(1,MAX(0,(65-Pipeline!$E$20+1)/MAX(Pipeline!$F$20,1)))</f>
        <v>9787.5</v>
      </c>
      <c r="BP13" s="138" t="n">
        <f aca="false">Pipeline!$Q$20*Pipeline!$D$20*MIN(1,MAX(0,(66-Pipeline!$E$20+1)/MAX(Pipeline!$F$20,1)))</f>
        <v>9787.5</v>
      </c>
      <c r="BQ13" s="138" t="n">
        <f aca="false">Pipeline!$Q$20*Pipeline!$D$20*MIN(1,MAX(0,(67-Pipeline!$E$20+1)/MAX(Pipeline!$F$20,1)))</f>
        <v>9787.5</v>
      </c>
      <c r="BR13" s="138" t="n">
        <f aca="false">Pipeline!$Q$20*Pipeline!$D$20*MIN(1,MAX(0,(68-Pipeline!$E$20+1)/MAX(Pipeline!$F$20,1)))</f>
        <v>9787.5</v>
      </c>
      <c r="BS13" s="138" t="n">
        <f aca="false">Pipeline!$Q$20*Pipeline!$D$20*MIN(1,MAX(0,(69-Pipeline!$E$20+1)/MAX(Pipeline!$F$20,1)))</f>
        <v>9787.5</v>
      </c>
      <c r="BT13" s="138" t="n">
        <f aca="false">Pipeline!$Q$20*Pipeline!$D$20*MIN(1,MAX(0,(70-Pipeline!$E$20+1)/MAX(Pipeline!$F$20,1)))</f>
        <v>9787.5</v>
      </c>
      <c r="BU13" s="138" t="n">
        <f aca="false">Pipeline!$Q$20*Pipeline!$D$20*MIN(1,MAX(0,(71-Pipeline!$E$20+1)/MAX(Pipeline!$F$20,1)))</f>
        <v>9787.5</v>
      </c>
      <c r="BV13" s="138" t="n">
        <f aca="false">Pipeline!$Q$20*Pipeline!$D$20*MIN(1,MAX(0,(72-Pipeline!$E$20+1)/MAX(Pipeline!$F$20,1)))</f>
        <v>9787.5</v>
      </c>
      <c r="BW13" s="138" t="n">
        <f aca="false">Pipeline!$Q$20*Pipeline!$D$20*MIN(1,MAX(0,(73-Pipeline!$E$20+1)/MAX(Pipeline!$F$20,1)))</f>
        <v>9787.5</v>
      </c>
      <c r="BX13" s="138" t="n">
        <f aca="false">Pipeline!$Q$20*Pipeline!$D$20*MIN(1,MAX(0,(74-Pipeline!$E$20+1)/MAX(Pipeline!$F$20,1)))</f>
        <v>9787.5</v>
      </c>
      <c r="BY13" s="138" t="n">
        <f aca="false">Pipeline!$Q$20*Pipeline!$D$20*MIN(1,MAX(0,(75-Pipeline!$E$20+1)/MAX(Pipeline!$F$20,1)))</f>
        <v>9787.5</v>
      </c>
      <c r="BZ13" s="138" t="n">
        <f aca="false">Pipeline!$Q$20*Pipeline!$D$20*MIN(1,MAX(0,(76-Pipeline!$E$20+1)/MAX(Pipeline!$F$20,1)))</f>
        <v>9787.5</v>
      </c>
      <c r="CA13" s="138" t="n">
        <f aca="false">Pipeline!$Q$20*Pipeline!$D$20*MIN(1,MAX(0,(77-Pipeline!$E$20+1)/MAX(Pipeline!$F$20,1)))</f>
        <v>9787.5</v>
      </c>
      <c r="CB13" s="138" t="n">
        <f aca="false">Pipeline!$Q$20*Pipeline!$D$20*MIN(1,MAX(0,(78-Pipeline!$E$20+1)/MAX(Pipeline!$F$20,1)))</f>
        <v>9787.5</v>
      </c>
      <c r="CC13" s="138" t="n">
        <f aca="false">Pipeline!$Q$20*Pipeline!$D$20*MIN(1,MAX(0,(79-Pipeline!$E$20+1)/MAX(Pipeline!$F$20,1)))</f>
        <v>9787.5</v>
      </c>
      <c r="CD13" s="138" t="n">
        <f aca="false">Pipeline!$Q$20*Pipeline!$D$20*MIN(1,MAX(0,(80-Pipeline!$E$20+1)/MAX(Pipeline!$F$20,1)))</f>
        <v>9787.5</v>
      </c>
      <c r="CE13" s="138" t="n">
        <f aca="false">Pipeline!$Q$20*Pipeline!$D$20*MIN(1,MAX(0,(81-Pipeline!$E$20+1)/MAX(Pipeline!$F$20,1)))</f>
        <v>9787.5</v>
      </c>
      <c r="CF13" s="138" t="n">
        <f aca="false">Pipeline!$Q$20*Pipeline!$D$20*MIN(1,MAX(0,(82-Pipeline!$E$20+1)/MAX(Pipeline!$F$20,1)))</f>
        <v>9787.5</v>
      </c>
      <c r="CG13" s="138" t="n">
        <f aca="false">Pipeline!$Q$20*Pipeline!$D$20*MIN(1,MAX(0,(83-Pipeline!$E$20+1)/MAX(Pipeline!$F$20,1)))</f>
        <v>9787.5</v>
      </c>
      <c r="CH13" s="138" t="n">
        <f aca="false">Pipeline!$Q$20*Pipeline!$D$20*MIN(1,MAX(0,(84-Pipeline!$E$20+1)/MAX(Pipeline!$F$20,1)))</f>
        <v>9787.5</v>
      </c>
    </row>
    <row r="14" customFormat="false" ht="13.5" hidden="false" customHeight="true" outlineLevel="0" collapsed="false">
      <c r="A14" s="13" t="s">
        <v>697</v>
      </c>
      <c r="C14" s="138" t="n">
        <f aca="false">Pipeline!$Q$21*Pipeline!$D$21*MIN(1,MAX(0,(1-Pipeline!$E$21+1)/MAX(Pipeline!$F$21,1)))</f>
        <v>0</v>
      </c>
      <c r="D14" s="138" t="n">
        <f aca="false">Pipeline!$Q$21*Pipeline!$D$21*MIN(1,MAX(0,(2-Pipeline!$E$21+1)/MAX(Pipeline!$F$21,1)))</f>
        <v>0</v>
      </c>
      <c r="E14" s="138" t="n">
        <f aca="false">Pipeline!$Q$21*Pipeline!$D$21*MIN(1,MAX(0,(3-Pipeline!$E$21+1)/MAX(Pipeline!$F$21,1)))</f>
        <v>0</v>
      </c>
      <c r="F14" s="138" t="n">
        <f aca="false">Pipeline!$Q$21*Pipeline!$D$21*MIN(1,MAX(0,(4-Pipeline!$E$21+1)/MAX(Pipeline!$F$21,1)))</f>
        <v>0</v>
      </c>
      <c r="G14" s="138" t="n">
        <f aca="false">Pipeline!$Q$21*Pipeline!$D$21*MIN(1,MAX(0,(5-Pipeline!$E$21+1)/MAX(Pipeline!$F$21,1)))</f>
        <v>0</v>
      </c>
      <c r="H14" s="138" t="n">
        <f aca="false">Pipeline!$Q$21*Pipeline!$D$21*MIN(1,MAX(0,(6-Pipeline!$E$21+1)/MAX(Pipeline!$F$21,1)))</f>
        <v>0</v>
      </c>
      <c r="I14" s="138" t="n">
        <f aca="false">Pipeline!$Q$21*Pipeline!$D$21*MIN(1,MAX(0,(7-Pipeline!$E$21+1)/MAX(Pipeline!$F$21,1)))</f>
        <v>0</v>
      </c>
      <c r="J14" s="138" t="n">
        <f aca="false">Pipeline!$Q$21*Pipeline!$D$21*MIN(1,MAX(0,(8-Pipeline!$E$21+1)/MAX(Pipeline!$F$21,1)))</f>
        <v>0</v>
      </c>
      <c r="K14" s="138" t="n">
        <f aca="false">Pipeline!$Q$21*Pipeline!$D$21*MIN(1,MAX(0,(9-Pipeline!$E$21+1)/MAX(Pipeline!$F$21,1)))</f>
        <v>0</v>
      </c>
      <c r="L14" s="138" t="n">
        <f aca="false">Pipeline!$Q$21*Pipeline!$D$21*MIN(1,MAX(0,(10-Pipeline!$E$21+1)/MAX(Pipeline!$F$21,1)))</f>
        <v>0</v>
      </c>
      <c r="M14" s="138" t="n">
        <f aca="false">Pipeline!$Q$21*Pipeline!$D$21*MIN(1,MAX(0,(11-Pipeline!$E$21+1)/MAX(Pipeline!$F$21,1)))</f>
        <v>0</v>
      </c>
      <c r="N14" s="138" t="n">
        <f aca="false">Pipeline!$Q$21*Pipeline!$D$21*MIN(1,MAX(0,(12-Pipeline!$E$21+1)/MAX(Pipeline!$F$21,1)))</f>
        <v>0</v>
      </c>
      <c r="O14" s="138" t="n">
        <f aca="false">Pipeline!$Q$21*Pipeline!$D$21*MIN(1,MAX(0,(13-Pipeline!$E$21+1)/MAX(Pipeline!$F$21,1)))</f>
        <v>0</v>
      </c>
      <c r="P14" s="138" t="n">
        <f aca="false">Pipeline!$Q$21*Pipeline!$D$21*MIN(1,MAX(0,(14-Pipeline!$E$21+1)/MAX(Pipeline!$F$21,1)))</f>
        <v>365.4</v>
      </c>
      <c r="Q14" s="138" t="n">
        <f aca="false">Pipeline!$Q$21*Pipeline!$D$21*MIN(1,MAX(0,(15-Pipeline!$E$21+1)/MAX(Pipeline!$F$21,1)))</f>
        <v>730.8</v>
      </c>
      <c r="R14" s="138" t="n">
        <f aca="false">Pipeline!$Q$21*Pipeline!$D$21*MIN(1,MAX(0,(16-Pipeline!$E$21+1)/MAX(Pipeline!$F$21,1)))</f>
        <v>1096.2</v>
      </c>
      <c r="S14" s="138" t="n">
        <f aca="false">Pipeline!$Q$21*Pipeline!$D$21*MIN(1,MAX(0,(17-Pipeline!$E$21+1)/MAX(Pipeline!$F$21,1)))</f>
        <v>1461.6</v>
      </c>
      <c r="T14" s="138" t="n">
        <f aca="false">Pipeline!$Q$21*Pipeline!$D$21*MIN(1,MAX(0,(18-Pipeline!$E$21+1)/MAX(Pipeline!$F$21,1)))</f>
        <v>1827</v>
      </c>
      <c r="U14" s="138" t="n">
        <f aca="false">Pipeline!$Q$21*Pipeline!$D$21*MIN(1,MAX(0,(19-Pipeline!$E$21+1)/MAX(Pipeline!$F$21,1)))</f>
        <v>2192.4</v>
      </c>
      <c r="V14" s="138" t="n">
        <f aca="false">Pipeline!$Q$21*Pipeline!$D$21*MIN(1,MAX(0,(20-Pipeline!$E$21+1)/MAX(Pipeline!$F$21,1)))</f>
        <v>2557.8</v>
      </c>
      <c r="W14" s="138" t="n">
        <f aca="false">Pipeline!$Q$21*Pipeline!$D$21*MIN(1,MAX(0,(21-Pipeline!$E$21+1)/MAX(Pipeline!$F$21,1)))</f>
        <v>2923.2</v>
      </c>
      <c r="X14" s="138" t="n">
        <f aca="false">Pipeline!$Q$21*Pipeline!$D$21*MIN(1,MAX(0,(22-Pipeline!$E$21+1)/MAX(Pipeline!$F$21,1)))</f>
        <v>3288.6</v>
      </c>
      <c r="Y14" s="138" t="n">
        <f aca="false">Pipeline!$Q$21*Pipeline!$D$21*MIN(1,MAX(0,(23-Pipeline!$E$21+1)/MAX(Pipeline!$F$21,1)))</f>
        <v>3654</v>
      </c>
      <c r="Z14" s="138" t="n">
        <f aca="false">Pipeline!$Q$21*Pipeline!$D$21*MIN(1,MAX(0,(24-Pipeline!$E$21+1)/MAX(Pipeline!$F$21,1)))</f>
        <v>3654</v>
      </c>
      <c r="AA14" s="138" t="n">
        <f aca="false">Pipeline!$Q$21*Pipeline!$D$21*MIN(1,MAX(0,(25-Pipeline!$E$21+1)/MAX(Pipeline!$F$21,1)))</f>
        <v>3654</v>
      </c>
      <c r="AB14" s="138" t="n">
        <f aca="false">Pipeline!$Q$21*Pipeline!$D$21*MIN(1,MAX(0,(26-Pipeline!$E$21+1)/MAX(Pipeline!$F$21,1)))</f>
        <v>3654</v>
      </c>
      <c r="AC14" s="138" t="n">
        <f aca="false">Pipeline!$Q$21*Pipeline!$D$21*MIN(1,MAX(0,(27-Pipeline!$E$21+1)/MAX(Pipeline!$F$21,1)))</f>
        <v>3654</v>
      </c>
      <c r="AD14" s="138" t="n">
        <f aca="false">Pipeline!$Q$21*Pipeline!$D$21*MIN(1,MAX(0,(28-Pipeline!$E$21+1)/MAX(Pipeline!$F$21,1)))</f>
        <v>3654</v>
      </c>
      <c r="AE14" s="138" t="n">
        <f aca="false">Pipeline!$Q$21*Pipeline!$D$21*MIN(1,MAX(0,(29-Pipeline!$E$21+1)/MAX(Pipeline!$F$21,1)))</f>
        <v>3654</v>
      </c>
      <c r="AF14" s="138" t="n">
        <f aca="false">Pipeline!$Q$21*Pipeline!$D$21*MIN(1,MAX(0,(30-Pipeline!$E$21+1)/MAX(Pipeline!$F$21,1)))</f>
        <v>3654</v>
      </c>
      <c r="AG14" s="138" t="n">
        <f aca="false">Pipeline!$Q$21*Pipeline!$D$21*MIN(1,MAX(0,(31-Pipeline!$E$21+1)/MAX(Pipeline!$F$21,1)))</f>
        <v>3654</v>
      </c>
      <c r="AH14" s="138" t="n">
        <f aca="false">Pipeline!$Q$21*Pipeline!$D$21*MIN(1,MAX(0,(32-Pipeline!$E$21+1)/MAX(Pipeline!$F$21,1)))</f>
        <v>3654</v>
      </c>
      <c r="AI14" s="138" t="n">
        <f aca="false">Pipeline!$Q$21*Pipeline!$D$21*MIN(1,MAX(0,(33-Pipeline!$E$21+1)/MAX(Pipeline!$F$21,1)))</f>
        <v>3654</v>
      </c>
      <c r="AJ14" s="138" t="n">
        <f aca="false">Pipeline!$Q$21*Pipeline!$D$21*MIN(1,MAX(0,(34-Pipeline!$E$21+1)/MAX(Pipeline!$F$21,1)))</f>
        <v>3654</v>
      </c>
      <c r="AK14" s="138" t="n">
        <f aca="false">Pipeline!$Q$21*Pipeline!$D$21*MIN(1,MAX(0,(35-Pipeline!$E$21+1)/MAX(Pipeline!$F$21,1)))</f>
        <v>3654</v>
      </c>
      <c r="AL14" s="138" t="n">
        <f aca="false">Pipeline!$Q$21*Pipeline!$D$21*MIN(1,MAX(0,(36-Pipeline!$E$21+1)/MAX(Pipeline!$F$21,1)))</f>
        <v>3654</v>
      </c>
      <c r="AM14" s="138" t="n">
        <f aca="false">Pipeline!$Q$21*Pipeline!$D$21*MIN(1,MAX(0,(37-Pipeline!$E$21+1)/MAX(Pipeline!$F$21,1)))</f>
        <v>3654</v>
      </c>
      <c r="AN14" s="138" t="n">
        <f aca="false">Pipeline!$Q$21*Pipeline!$D$21*MIN(1,MAX(0,(38-Pipeline!$E$21+1)/MAX(Pipeline!$F$21,1)))</f>
        <v>3654</v>
      </c>
      <c r="AO14" s="138" t="n">
        <f aca="false">Pipeline!$Q$21*Pipeline!$D$21*MIN(1,MAX(0,(39-Pipeline!$E$21+1)/MAX(Pipeline!$F$21,1)))</f>
        <v>3654</v>
      </c>
      <c r="AP14" s="138" t="n">
        <f aca="false">Pipeline!$Q$21*Pipeline!$D$21*MIN(1,MAX(0,(40-Pipeline!$E$21+1)/MAX(Pipeline!$F$21,1)))</f>
        <v>3654</v>
      </c>
      <c r="AQ14" s="138" t="n">
        <f aca="false">Pipeline!$Q$21*Pipeline!$D$21*MIN(1,MAX(0,(41-Pipeline!$E$21+1)/MAX(Pipeline!$F$21,1)))</f>
        <v>3654</v>
      </c>
      <c r="AR14" s="138" t="n">
        <f aca="false">Pipeline!$Q$21*Pipeline!$D$21*MIN(1,MAX(0,(42-Pipeline!$E$21+1)/MAX(Pipeline!$F$21,1)))</f>
        <v>3654</v>
      </c>
      <c r="AS14" s="138" t="n">
        <f aca="false">Pipeline!$Q$21*Pipeline!$D$21*MIN(1,MAX(0,(43-Pipeline!$E$21+1)/MAX(Pipeline!$F$21,1)))</f>
        <v>3654</v>
      </c>
      <c r="AT14" s="138" t="n">
        <f aca="false">Pipeline!$Q$21*Pipeline!$D$21*MIN(1,MAX(0,(44-Pipeline!$E$21+1)/MAX(Pipeline!$F$21,1)))</f>
        <v>3654</v>
      </c>
      <c r="AU14" s="138" t="n">
        <f aca="false">Pipeline!$Q$21*Pipeline!$D$21*MIN(1,MAX(0,(45-Pipeline!$E$21+1)/MAX(Pipeline!$F$21,1)))</f>
        <v>3654</v>
      </c>
      <c r="AV14" s="138" t="n">
        <f aca="false">Pipeline!$Q$21*Pipeline!$D$21*MIN(1,MAX(0,(46-Pipeline!$E$21+1)/MAX(Pipeline!$F$21,1)))</f>
        <v>3654</v>
      </c>
      <c r="AW14" s="138" t="n">
        <f aca="false">Pipeline!$Q$21*Pipeline!$D$21*MIN(1,MAX(0,(47-Pipeline!$E$21+1)/MAX(Pipeline!$F$21,1)))</f>
        <v>3654</v>
      </c>
      <c r="AX14" s="138" t="n">
        <f aca="false">Pipeline!$Q$21*Pipeline!$D$21*MIN(1,MAX(0,(48-Pipeline!$E$21+1)/MAX(Pipeline!$F$21,1)))</f>
        <v>3654</v>
      </c>
      <c r="AY14" s="138" t="n">
        <f aca="false">Pipeline!$Q$21*Pipeline!$D$21*MIN(1,MAX(0,(49-Pipeline!$E$21+1)/MAX(Pipeline!$F$21,1)))</f>
        <v>3654</v>
      </c>
      <c r="AZ14" s="138" t="n">
        <f aca="false">Pipeline!$Q$21*Pipeline!$D$21*MIN(1,MAX(0,(50-Pipeline!$E$21+1)/MAX(Pipeline!$F$21,1)))</f>
        <v>3654</v>
      </c>
      <c r="BA14" s="138" t="n">
        <f aca="false">Pipeline!$Q$21*Pipeline!$D$21*MIN(1,MAX(0,(51-Pipeline!$E$21+1)/MAX(Pipeline!$F$21,1)))</f>
        <v>3654</v>
      </c>
      <c r="BB14" s="138" t="n">
        <f aca="false">Pipeline!$Q$21*Pipeline!$D$21*MIN(1,MAX(0,(52-Pipeline!$E$21+1)/MAX(Pipeline!$F$21,1)))</f>
        <v>3654</v>
      </c>
      <c r="BC14" s="138" t="n">
        <f aca="false">Pipeline!$Q$21*Pipeline!$D$21*MIN(1,MAX(0,(53-Pipeline!$E$21+1)/MAX(Pipeline!$F$21,1)))</f>
        <v>3654</v>
      </c>
      <c r="BD14" s="138" t="n">
        <f aca="false">Pipeline!$Q$21*Pipeline!$D$21*MIN(1,MAX(0,(54-Pipeline!$E$21+1)/MAX(Pipeline!$F$21,1)))</f>
        <v>3654</v>
      </c>
      <c r="BE14" s="138" t="n">
        <f aca="false">Pipeline!$Q$21*Pipeline!$D$21*MIN(1,MAX(0,(55-Pipeline!$E$21+1)/MAX(Pipeline!$F$21,1)))</f>
        <v>3654</v>
      </c>
      <c r="BF14" s="138" t="n">
        <f aca="false">Pipeline!$Q$21*Pipeline!$D$21*MIN(1,MAX(0,(56-Pipeline!$E$21+1)/MAX(Pipeline!$F$21,1)))</f>
        <v>3654</v>
      </c>
      <c r="BG14" s="138" t="n">
        <f aca="false">Pipeline!$Q$21*Pipeline!$D$21*MIN(1,MAX(0,(57-Pipeline!$E$21+1)/MAX(Pipeline!$F$21,1)))</f>
        <v>3654</v>
      </c>
      <c r="BH14" s="138" t="n">
        <f aca="false">Pipeline!$Q$21*Pipeline!$D$21*MIN(1,MAX(0,(58-Pipeline!$E$21+1)/MAX(Pipeline!$F$21,1)))</f>
        <v>3654</v>
      </c>
      <c r="BI14" s="138" t="n">
        <f aca="false">Pipeline!$Q$21*Pipeline!$D$21*MIN(1,MAX(0,(59-Pipeline!$E$21+1)/MAX(Pipeline!$F$21,1)))</f>
        <v>3654</v>
      </c>
      <c r="BJ14" s="138" t="n">
        <f aca="false">Pipeline!$Q$21*Pipeline!$D$21*MIN(1,MAX(0,(60-Pipeline!$E$21+1)/MAX(Pipeline!$F$21,1)))</f>
        <v>3654</v>
      </c>
      <c r="BK14" s="138" t="n">
        <f aca="false">Pipeline!$Q$21*Pipeline!$D$21*MIN(1,MAX(0,(61-Pipeline!$E$21+1)/MAX(Pipeline!$F$21,1)))</f>
        <v>3654</v>
      </c>
      <c r="BL14" s="138" t="n">
        <f aca="false">Pipeline!$Q$21*Pipeline!$D$21*MIN(1,MAX(0,(62-Pipeline!$E$21+1)/MAX(Pipeline!$F$21,1)))</f>
        <v>3654</v>
      </c>
      <c r="BM14" s="138" t="n">
        <f aca="false">Pipeline!$Q$21*Pipeline!$D$21*MIN(1,MAX(0,(63-Pipeline!$E$21+1)/MAX(Pipeline!$F$21,1)))</f>
        <v>3654</v>
      </c>
      <c r="BN14" s="138" t="n">
        <f aca="false">Pipeline!$Q$21*Pipeline!$D$21*MIN(1,MAX(0,(64-Pipeline!$E$21+1)/MAX(Pipeline!$F$21,1)))</f>
        <v>3654</v>
      </c>
      <c r="BO14" s="138" t="n">
        <f aca="false">Pipeline!$Q$21*Pipeline!$D$21*MIN(1,MAX(0,(65-Pipeline!$E$21+1)/MAX(Pipeline!$F$21,1)))</f>
        <v>3654</v>
      </c>
      <c r="BP14" s="138" t="n">
        <f aca="false">Pipeline!$Q$21*Pipeline!$D$21*MIN(1,MAX(0,(66-Pipeline!$E$21+1)/MAX(Pipeline!$F$21,1)))</f>
        <v>3654</v>
      </c>
      <c r="BQ14" s="138" t="n">
        <f aca="false">Pipeline!$Q$21*Pipeline!$D$21*MIN(1,MAX(0,(67-Pipeline!$E$21+1)/MAX(Pipeline!$F$21,1)))</f>
        <v>3654</v>
      </c>
      <c r="BR14" s="138" t="n">
        <f aca="false">Pipeline!$Q$21*Pipeline!$D$21*MIN(1,MAX(0,(68-Pipeline!$E$21+1)/MAX(Pipeline!$F$21,1)))</f>
        <v>3654</v>
      </c>
      <c r="BS14" s="138" t="n">
        <f aca="false">Pipeline!$Q$21*Pipeline!$D$21*MIN(1,MAX(0,(69-Pipeline!$E$21+1)/MAX(Pipeline!$F$21,1)))</f>
        <v>3654</v>
      </c>
      <c r="BT14" s="138" t="n">
        <f aca="false">Pipeline!$Q$21*Pipeline!$D$21*MIN(1,MAX(0,(70-Pipeline!$E$21+1)/MAX(Pipeline!$F$21,1)))</f>
        <v>3654</v>
      </c>
      <c r="BU14" s="138" t="n">
        <f aca="false">Pipeline!$Q$21*Pipeline!$D$21*MIN(1,MAX(0,(71-Pipeline!$E$21+1)/MAX(Pipeline!$F$21,1)))</f>
        <v>3654</v>
      </c>
      <c r="BV14" s="138" t="n">
        <f aca="false">Pipeline!$Q$21*Pipeline!$D$21*MIN(1,MAX(0,(72-Pipeline!$E$21+1)/MAX(Pipeline!$F$21,1)))</f>
        <v>3654</v>
      </c>
      <c r="BW14" s="138" t="n">
        <f aca="false">Pipeline!$Q$21*Pipeline!$D$21*MIN(1,MAX(0,(73-Pipeline!$E$21+1)/MAX(Pipeline!$F$21,1)))</f>
        <v>3654</v>
      </c>
      <c r="BX14" s="138" t="n">
        <f aca="false">Pipeline!$Q$21*Pipeline!$D$21*MIN(1,MAX(0,(74-Pipeline!$E$21+1)/MAX(Pipeline!$F$21,1)))</f>
        <v>3654</v>
      </c>
      <c r="BY14" s="138" t="n">
        <f aca="false">Pipeline!$Q$21*Pipeline!$D$21*MIN(1,MAX(0,(75-Pipeline!$E$21+1)/MAX(Pipeline!$F$21,1)))</f>
        <v>3654</v>
      </c>
      <c r="BZ14" s="138" t="n">
        <f aca="false">Pipeline!$Q$21*Pipeline!$D$21*MIN(1,MAX(0,(76-Pipeline!$E$21+1)/MAX(Pipeline!$F$21,1)))</f>
        <v>3654</v>
      </c>
      <c r="CA14" s="138" t="n">
        <f aca="false">Pipeline!$Q$21*Pipeline!$D$21*MIN(1,MAX(0,(77-Pipeline!$E$21+1)/MAX(Pipeline!$F$21,1)))</f>
        <v>3654</v>
      </c>
      <c r="CB14" s="138" t="n">
        <f aca="false">Pipeline!$Q$21*Pipeline!$D$21*MIN(1,MAX(0,(78-Pipeline!$E$21+1)/MAX(Pipeline!$F$21,1)))</f>
        <v>3654</v>
      </c>
      <c r="CC14" s="138" t="n">
        <f aca="false">Pipeline!$Q$21*Pipeline!$D$21*MIN(1,MAX(0,(79-Pipeline!$E$21+1)/MAX(Pipeline!$F$21,1)))</f>
        <v>3654</v>
      </c>
      <c r="CD14" s="138" t="n">
        <f aca="false">Pipeline!$Q$21*Pipeline!$D$21*MIN(1,MAX(0,(80-Pipeline!$E$21+1)/MAX(Pipeline!$F$21,1)))</f>
        <v>3654</v>
      </c>
      <c r="CE14" s="138" t="n">
        <f aca="false">Pipeline!$Q$21*Pipeline!$D$21*MIN(1,MAX(0,(81-Pipeline!$E$21+1)/MAX(Pipeline!$F$21,1)))</f>
        <v>3654</v>
      </c>
      <c r="CF14" s="138" t="n">
        <f aca="false">Pipeline!$Q$21*Pipeline!$D$21*MIN(1,MAX(0,(82-Pipeline!$E$21+1)/MAX(Pipeline!$F$21,1)))</f>
        <v>3654</v>
      </c>
      <c r="CG14" s="138" t="n">
        <f aca="false">Pipeline!$Q$21*Pipeline!$D$21*MIN(1,MAX(0,(83-Pipeline!$E$21+1)/MAX(Pipeline!$F$21,1)))</f>
        <v>3654</v>
      </c>
      <c r="CH14" s="138" t="n">
        <f aca="false">Pipeline!$Q$21*Pipeline!$D$21*MIN(1,MAX(0,(84-Pipeline!$E$21+1)/MAX(Pipeline!$F$21,1)))</f>
        <v>3654</v>
      </c>
    </row>
    <row r="15" customFormat="false" ht="13.5" hidden="false" customHeight="true" outlineLevel="0" collapsed="false">
      <c r="A15" s="13" t="s">
        <v>698</v>
      </c>
      <c r="C15" s="138" t="n">
        <f aca="false">Pipeline!$Q$22*Pipeline!$D$22*MIN(1,MAX(0,(1-Pipeline!$E$22+1)/MAX(Pipeline!$F$22,1)))</f>
        <v>0</v>
      </c>
      <c r="D15" s="138" t="n">
        <f aca="false">Pipeline!$Q$22*Pipeline!$D$22*MIN(1,MAX(0,(2-Pipeline!$E$22+1)/MAX(Pipeline!$F$22,1)))</f>
        <v>0</v>
      </c>
      <c r="E15" s="138" t="n">
        <f aca="false">Pipeline!$Q$22*Pipeline!$D$22*MIN(1,MAX(0,(3-Pipeline!$E$22+1)/MAX(Pipeline!$F$22,1)))</f>
        <v>0</v>
      </c>
      <c r="F15" s="138" t="n">
        <f aca="false">Pipeline!$Q$22*Pipeline!$D$22*MIN(1,MAX(0,(4-Pipeline!$E$22+1)/MAX(Pipeline!$F$22,1)))</f>
        <v>0</v>
      </c>
      <c r="G15" s="138" t="n">
        <f aca="false">Pipeline!$Q$22*Pipeline!$D$22*MIN(1,MAX(0,(5-Pipeline!$E$22+1)/MAX(Pipeline!$F$22,1)))</f>
        <v>0</v>
      </c>
      <c r="H15" s="138" t="n">
        <f aca="false">Pipeline!$Q$22*Pipeline!$D$22*MIN(1,MAX(0,(6-Pipeline!$E$22+1)/MAX(Pipeline!$F$22,1)))</f>
        <v>0</v>
      </c>
      <c r="I15" s="138" t="n">
        <f aca="false">Pipeline!$Q$22*Pipeline!$D$22*MIN(1,MAX(0,(7-Pipeline!$E$22+1)/MAX(Pipeline!$F$22,1)))</f>
        <v>0</v>
      </c>
      <c r="J15" s="138" t="n">
        <f aca="false">Pipeline!$Q$22*Pipeline!$D$22*MIN(1,MAX(0,(8-Pipeline!$E$22+1)/MAX(Pipeline!$F$22,1)))</f>
        <v>0</v>
      </c>
      <c r="K15" s="138" t="n">
        <f aca="false">Pipeline!$Q$22*Pipeline!$D$22*MIN(1,MAX(0,(9-Pipeline!$E$22+1)/MAX(Pipeline!$F$22,1)))</f>
        <v>0</v>
      </c>
      <c r="L15" s="138" t="n">
        <f aca="false">Pipeline!$Q$22*Pipeline!$D$22*MIN(1,MAX(0,(10-Pipeline!$E$22+1)/MAX(Pipeline!$F$22,1)))</f>
        <v>0</v>
      </c>
      <c r="M15" s="138" t="n">
        <f aca="false">Pipeline!$Q$22*Pipeline!$D$22*MIN(1,MAX(0,(11-Pipeline!$E$22+1)/MAX(Pipeline!$F$22,1)))</f>
        <v>0</v>
      </c>
      <c r="N15" s="138" t="n">
        <f aca="false">Pipeline!$Q$22*Pipeline!$D$22*MIN(1,MAX(0,(12-Pipeline!$E$22+1)/MAX(Pipeline!$F$22,1)))</f>
        <v>0</v>
      </c>
      <c r="O15" s="138" t="n">
        <f aca="false">Pipeline!$Q$22*Pipeline!$D$22*MIN(1,MAX(0,(13-Pipeline!$E$22+1)/MAX(Pipeline!$F$22,1)))</f>
        <v>0</v>
      </c>
      <c r="P15" s="138" t="n">
        <f aca="false">Pipeline!$Q$22*Pipeline!$D$22*MIN(1,MAX(0,(14-Pipeline!$E$22+1)/MAX(Pipeline!$F$22,1)))</f>
        <v>0</v>
      </c>
      <c r="Q15" s="138" t="n">
        <f aca="false">Pipeline!$Q$22*Pipeline!$D$22*MIN(1,MAX(0,(15-Pipeline!$E$22+1)/MAX(Pipeline!$F$22,1)))</f>
        <v>0</v>
      </c>
      <c r="R15" s="138" t="n">
        <f aca="false">Pipeline!$Q$22*Pipeline!$D$22*MIN(1,MAX(0,(16-Pipeline!$E$22+1)/MAX(Pipeline!$F$22,1)))</f>
        <v>0</v>
      </c>
      <c r="S15" s="138" t="n">
        <f aca="false">Pipeline!$Q$22*Pipeline!$D$22*MIN(1,MAX(0,(17-Pipeline!$E$22+1)/MAX(Pipeline!$F$22,1)))</f>
        <v>0</v>
      </c>
      <c r="T15" s="138" t="n">
        <f aca="false">Pipeline!$Q$22*Pipeline!$D$22*MIN(1,MAX(0,(18-Pipeline!$E$22+1)/MAX(Pipeline!$F$22,1)))</f>
        <v>0</v>
      </c>
      <c r="U15" s="138" t="n">
        <f aca="false">Pipeline!$Q$22*Pipeline!$D$22*MIN(1,MAX(0,(19-Pipeline!$E$22+1)/MAX(Pipeline!$F$22,1)))</f>
        <v>0</v>
      </c>
      <c r="V15" s="138" t="n">
        <f aca="false">Pipeline!$Q$22*Pipeline!$D$22*MIN(1,MAX(0,(20-Pipeline!$E$22+1)/MAX(Pipeline!$F$22,1)))</f>
        <v>0</v>
      </c>
      <c r="W15" s="138" t="n">
        <f aca="false">Pipeline!$Q$22*Pipeline!$D$22*MIN(1,MAX(0,(21-Pipeline!$E$22+1)/MAX(Pipeline!$F$22,1)))</f>
        <v>0</v>
      </c>
      <c r="X15" s="138" t="n">
        <f aca="false">Pipeline!$Q$22*Pipeline!$D$22*MIN(1,MAX(0,(22-Pipeline!$E$22+1)/MAX(Pipeline!$F$22,1)))</f>
        <v>0</v>
      </c>
      <c r="Y15" s="138" t="n">
        <f aca="false">Pipeline!$Q$22*Pipeline!$D$22*MIN(1,MAX(0,(23-Pipeline!$E$22+1)/MAX(Pipeline!$F$22,1)))</f>
        <v>0</v>
      </c>
      <c r="Z15" s="138" t="n">
        <f aca="false">Pipeline!$Q$22*Pipeline!$D$22*MIN(1,MAX(0,(24-Pipeline!$E$22+1)/MAX(Pipeline!$F$22,1)))</f>
        <v>0</v>
      </c>
      <c r="AA15" s="138" t="n">
        <f aca="false">Pipeline!$Q$22*Pipeline!$D$22*MIN(1,MAX(0,(25-Pipeline!$E$22+1)/MAX(Pipeline!$F$22,1)))</f>
        <v>0</v>
      </c>
      <c r="AB15" s="138" t="n">
        <f aca="false">Pipeline!$Q$22*Pipeline!$D$22*MIN(1,MAX(0,(26-Pipeline!$E$22+1)/MAX(Pipeline!$F$22,1)))</f>
        <v>0</v>
      </c>
      <c r="AC15" s="138" t="n">
        <f aca="false">Pipeline!$Q$22*Pipeline!$D$22*MIN(1,MAX(0,(27-Pipeline!$E$22+1)/MAX(Pipeline!$F$22,1)))</f>
        <v>0</v>
      </c>
      <c r="AD15" s="138" t="n">
        <f aca="false">Pipeline!$Q$22*Pipeline!$D$22*MIN(1,MAX(0,(28-Pipeline!$E$22+1)/MAX(Pipeline!$F$22,1)))</f>
        <v>0</v>
      </c>
      <c r="AE15" s="138" t="n">
        <f aca="false">Pipeline!$Q$22*Pipeline!$D$22*MIN(1,MAX(0,(29-Pipeline!$E$22+1)/MAX(Pipeline!$F$22,1)))</f>
        <v>0</v>
      </c>
      <c r="AF15" s="138" t="n">
        <f aca="false">Pipeline!$Q$22*Pipeline!$D$22*MIN(1,MAX(0,(30-Pipeline!$E$22+1)/MAX(Pipeline!$F$22,1)))</f>
        <v>0</v>
      </c>
      <c r="AG15" s="138" t="n">
        <f aca="false">Pipeline!$Q$22*Pipeline!$D$22*MIN(1,MAX(0,(31-Pipeline!$E$22+1)/MAX(Pipeline!$F$22,1)))</f>
        <v>0</v>
      </c>
      <c r="AH15" s="138" t="n">
        <f aca="false">Pipeline!$Q$22*Pipeline!$D$22*MIN(1,MAX(0,(32-Pipeline!$E$22+1)/MAX(Pipeline!$F$22,1)))</f>
        <v>0</v>
      </c>
      <c r="AI15" s="138" t="n">
        <f aca="false">Pipeline!$Q$22*Pipeline!$D$22*MIN(1,MAX(0,(33-Pipeline!$E$22+1)/MAX(Pipeline!$F$22,1)))</f>
        <v>0</v>
      </c>
      <c r="AJ15" s="138" t="n">
        <f aca="false">Pipeline!$Q$22*Pipeline!$D$22*MIN(1,MAX(0,(34-Pipeline!$E$22+1)/MAX(Pipeline!$F$22,1)))</f>
        <v>0</v>
      </c>
      <c r="AK15" s="138" t="n">
        <f aca="false">Pipeline!$Q$22*Pipeline!$D$22*MIN(1,MAX(0,(35-Pipeline!$E$22+1)/MAX(Pipeline!$F$22,1)))</f>
        <v>0</v>
      </c>
      <c r="AL15" s="138" t="n">
        <f aca="false">Pipeline!$Q$22*Pipeline!$D$22*MIN(1,MAX(0,(36-Pipeline!$E$22+1)/MAX(Pipeline!$F$22,1)))</f>
        <v>0</v>
      </c>
      <c r="AM15" s="138" t="n">
        <f aca="false">Pipeline!$Q$22*Pipeline!$D$22*MIN(1,MAX(0,(37-Pipeline!$E$22+1)/MAX(Pipeline!$F$22,1)))</f>
        <v>0</v>
      </c>
      <c r="AN15" s="138" t="n">
        <f aca="false">Pipeline!$Q$22*Pipeline!$D$22*MIN(1,MAX(0,(38-Pipeline!$E$22+1)/MAX(Pipeline!$F$22,1)))</f>
        <v>0</v>
      </c>
      <c r="AO15" s="138" t="n">
        <f aca="false">Pipeline!$Q$22*Pipeline!$D$22*MIN(1,MAX(0,(39-Pipeline!$E$22+1)/MAX(Pipeline!$F$22,1)))</f>
        <v>0</v>
      </c>
      <c r="AP15" s="138" t="n">
        <f aca="false">Pipeline!$Q$22*Pipeline!$D$22*MIN(1,MAX(0,(40-Pipeline!$E$22+1)/MAX(Pipeline!$F$22,1)))</f>
        <v>0</v>
      </c>
      <c r="AQ15" s="138" t="n">
        <f aca="false">Pipeline!$Q$22*Pipeline!$D$22*MIN(1,MAX(0,(41-Pipeline!$E$22+1)/MAX(Pipeline!$F$22,1)))</f>
        <v>0</v>
      </c>
      <c r="AR15" s="138" t="n">
        <f aca="false">Pipeline!$Q$22*Pipeline!$D$22*MIN(1,MAX(0,(42-Pipeline!$E$22+1)/MAX(Pipeline!$F$22,1)))</f>
        <v>0</v>
      </c>
      <c r="AS15" s="138" t="n">
        <f aca="false">Pipeline!$Q$22*Pipeline!$D$22*MIN(1,MAX(0,(43-Pipeline!$E$22+1)/MAX(Pipeline!$F$22,1)))</f>
        <v>0</v>
      </c>
      <c r="AT15" s="138" t="n">
        <f aca="false">Pipeline!$Q$22*Pipeline!$D$22*MIN(1,MAX(0,(44-Pipeline!$E$22+1)/MAX(Pipeline!$F$22,1)))</f>
        <v>0</v>
      </c>
      <c r="AU15" s="138" t="n">
        <f aca="false">Pipeline!$Q$22*Pipeline!$D$22*MIN(1,MAX(0,(45-Pipeline!$E$22+1)/MAX(Pipeline!$F$22,1)))</f>
        <v>0</v>
      </c>
      <c r="AV15" s="138" t="n">
        <f aca="false">Pipeline!$Q$22*Pipeline!$D$22*MIN(1,MAX(0,(46-Pipeline!$E$22+1)/MAX(Pipeline!$F$22,1)))</f>
        <v>0</v>
      </c>
      <c r="AW15" s="138" t="n">
        <f aca="false">Pipeline!$Q$22*Pipeline!$D$22*MIN(1,MAX(0,(47-Pipeline!$E$22+1)/MAX(Pipeline!$F$22,1)))</f>
        <v>0</v>
      </c>
      <c r="AX15" s="138" t="n">
        <f aca="false">Pipeline!$Q$22*Pipeline!$D$22*MIN(1,MAX(0,(48-Pipeline!$E$22+1)/MAX(Pipeline!$F$22,1)))</f>
        <v>0</v>
      </c>
      <c r="AY15" s="138" t="n">
        <f aca="false">Pipeline!$Q$22*Pipeline!$D$22*MIN(1,MAX(0,(49-Pipeline!$E$22+1)/MAX(Pipeline!$F$22,1)))</f>
        <v>0</v>
      </c>
      <c r="AZ15" s="138" t="n">
        <f aca="false">Pipeline!$Q$22*Pipeline!$D$22*MIN(1,MAX(0,(50-Pipeline!$E$22+1)/MAX(Pipeline!$F$22,1)))</f>
        <v>0</v>
      </c>
      <c r="BA15" s="138" t="n">
        <f aca="false">Pipeline!$Q$22*Pipeline!$D$22*MIN(1,MAX(0,(51-Pipeline!$E$22+1)/MAX(Pipeline!$F$22,1)))</f>
        <v>0</v>
      </c>
      <c r="BB15" s="138" t="n">
        <f aca="false">Pipeline!$Q$22*Pipeline!$D$22*MIN(1,MAX(0,(52-Pipeline!$E$22+1)/MAX(Pipeline!$F$22,1)))</f>
        <v>0</v>
      </c>
      <c r="BC15" s="138" t="n">
        <f aca="false">Pipeline!$Q$22*Pipeline!$D$22*MIN(1,MAX(0,(53-Pipeline!$E$22+1)/MAX(Pipeline!$F$22,1)))</f>
        <v>0</v>
      </c>
      <c r="BD15" s="138" t="n">
        <f aca="false">Pipeline!$Q$22*Pipeline!$D$22*MIN(1,MAX(0,(54-Pipeline!$E$22+1)/MAX(Pipeline!$F$22,1)))</f>
        <v>0</v>
      </c>
      <c r="BE15" s="138" t="n">
        <f aca="false">Pipeline!$Q$22*Pipeline!$D$22*MIN(1,MAX(0,(55-Pipeline!$E$22+1)/MAX(Pipeline!$F$22,1)))</f>
        <v>0</v>
      </c>
      <c r="BF15" s="138" t="n">
        <f aca="false">Pipeline!$Q$22*Pipeline!$D$22*MIN(1,MAX(0,(56-Pipeline!$E$22+1)/MAX(Pipeline!$F$22,1)))</f>
        <v>0</v>
      </c>
      <c r="BG15" s="138" t="n">
        <f aca="false">Pipeline!$Q$22*Pipeline!$D$22*MIN(1,MAX(0,(57-Pipeline!$E$22+1)/MAX(Pipeline!$F$22,1)))</f>
        <v>0</v>
      </c>
      <c r="BH15" s="138" t="n">
        <f aca="false">Pipeline!$Q$22*Pipeline!$D$22*MIN(1,MAX(0,(58-Pipeline!$E$22+1)/MAX(Pipeline!$F$22,1)))</f>
        <v>0</v>
      </c>
      <c r="BI15" s="138" t="n">
        <f aca="false">Pipeline!$Q$22*Pipeline!$D$22*MIN(1,MAX(0,(59-Pipeline!$E$22+1)/MAX(Pipeline!$F$22,1)))</f>
        <v>0</v>
      </c>
      <c r="BJ15" s="138" t="n">
        <f aca="false">Pipeline!$Q$22*Pipeline!$D$22*MIN(1,MAX(0,(60-Pipeline!$E$22+1)/MAX(Pipeline!$F$22,1)))</f>
        <v>0</v>
      </c>
      <c r="BK15" s="138" t="n">
        <f aca="false">Pipeline!$Q$22*Pipeline!$D$22*MIN(1,MAX(0,(61-Pipeline!$E$22+1)/MAX(Pipeline!$F$22,1)))</f>
        <v>0</v>
      </c>
      <c r="BL15" s="138" t="n">
        <f aca="false">Pipeline!$Q$22*Pipeline!$D$22*MIN(1,MAX(0,(62-Pipeline!$E$22+1)/MAX(Pipeline!$F$22,1)))</f>
        <v>0</v>
      </c>
      <c r="BM15" s="138" t="n">
        <f aca="false">Pipeline!$Q$22*Pipeline!$D$22*MIN(1,MAX(0,(63-Pipeline!$E$22+1)/MAX(Pipeline!$F$22,1)))</f>
        <v>0</v>
      </c>
      <c r="BN15" s="138" t="n">
        <f aca="false">Pipeline!$Q$22*Pipeline!$D$22*MIN(1,MAX(0,(64-Pipeline!$E$22+1)/MAX(Pipeline!$F$22,1)))</f>
        <v>0</v>
      </c>
      <c r="BO15" s="138" t="n">
        <f aca="false">Pipeline!$Q$22*Pipeline!$D$22*MIN(1,MAX(0,(65-Pipeline!$E$22+1)/MAX(Pipeline!$F$22,1)))</f>
        <v>0</v>
      </c>
      <c r="BP15" s="138" t="n">
        <f aca="false">Pipeline!$Q$22*Pipeline!$D$22*MIN(1,MAX(0,(66-Pipeline!$E$22+1)/MAX(Pipeline!$F$22,1)))</f>
        <v>0</v>
      </c>
      <c r="BQ15" s="138" t="n">
        <f aca="false">Pipeline!$Q$22*Pipeline!$D$22*MIN(1,MAX(0,(67-Pipeline!$E$22+1)/MAX(Pipeline!$F$22,1)))</f>
        <v>0</v>
      </c>
      <c r="BR15" s="138" t="n">
        <f aca="false">Pipeline!$Q$22*Pipeline!$D$22*MIN(1,MAX(0,(68-Pipeline!$E$22+1)/MAX(Pipeline!$F$22,1)))</f>
        <v>0</v>
      </c>
      <c r="BS15" s="138" t="n">
        <f aca="false">Pipeline!$Q$22*Pipeline!$D$22*MIN(1,MAX(0,(69-Pipeline!$E$22+1)/MAX(Pipeline!$F$22,1)))</f>
        <v>0</v>
      </c>
      <c r="BT15" s="138" t="n">
        <f aca="false">Pipeline!$Q$22*Pipeline!$D$22*MIN(1,MAX(0,(70-Pipeline!$E$22+1)/MAX(Pipeline!$F$22,1)))</f>
        <v>0</v>
      </c>
      <c r="BU15" s="138" t="n">
        <f aca="false">Pipeline!$Q$22*Pipeline!$D$22*MIN(1,MAX(0,(71-Pipeline!$E$22+1)/MAX(Pipeline!$F$22,1)))</f>
        <v>0</v>
      </c>
      <c r="BV15" s="138" t="n">
        <f aca="false">Pipeline!$Q$22*Pipeline!$D$22*MIN(1,MAX(0,(72-Pipeline!$E$22+1)/MAX(Pipeline!$F$22,1)))</f>
        <v>0</v>
      </c>
      <c r="BW15" s="138" t="n">
        <f aca="false">Pipeline!$Q$22*Pipeline!$D$22*MIN(1,MAX(0,(73-Pipeline!$E$22+1)/MAX(Pipeline!$F$22,1)))</f>
        <v>0</v>
      </c>
      <c r="BX15" s="138" t="n">
        <f aca="false">Pipeline!$Q$22*Pipeline!$D$22*MIN(1,MAX(0,(74-Pipeline!$E$22+1)/MAX(Pipeline!$F$22,1)))</f>
        <v>0</v>
      </c>
      <c r="BY15" s="138" t="n">
        <f aca="false">Pipeline!$Q$22*Pipeline!$D$22*MIN(1,MAX(0,(75-Pipeline!$E$22+1)/MAX(Pipeline!$F$22,1)))</f>
        <v>0</v>
      </c>
      <c r="BZ15" s="138" t="n">
        <f aca="false">Pipeline!$Q$22*Pipeline!$D$22*MIN(1,MAX(0,(76-Pipeline!$E$22+1)/MAX(Pipeline!$F$22,1)))</f>
        <v>0</v>
      </c>
      <c r="CA15" s="138" t="n">
        <f aca="false">Pipeline!$Q$22*Pipeline!$D$22*MIN(1,MAX(0,(77-Pipeline!$E$22+1)/MAX(Pipeline!$F$22,1)))</f>
        <v>0</v>
      </c>
      <c r="CB15" s="138" t="n">
        <f aca="false">Pipeline!$Q$22*Pipeline!$D$22*MIN(1,MAX(0,(78-Pipeline!$E$22+1)/MAX(Pipeline!$F$22,1)))</f>
        <v>0</v>
      </c>
      <c r="CC15" s="138" t="n">
        <f aca="false">Pipeline!$Q$22*Pipeline!$D$22*MIN(1,MAX(0,(79-Pipeline!$E$22+1)/MAX(Pipeline!$F$22,1)))</f>
        <v>0</v>
      </c>
      <c r="CD15" s="138" t="n">
        <f aca="false">Pipeline!$Q$22*Pipeline!$D$22*MIN(1,MAX(0,(80-Pipeline!$E$22+1)/MAX(Pipeline!$F$22,1)))</f>
        <v>0</v>
      </c>
      <c r="CE15" s="138" t="n">
        <f aca="false">Pipeline!$Q$22*Pipeline!$D$22*MIN(1,MAX(0,(81-Pipeline!$E$22+1)/MAX(Pipeline!$F$22,1)))</f>
        <v>0</v>
      </c>
      <c r="CF15" s="138" t="n">
        <f aca="false">Pipeline!$Q$22*Pipeline!$D$22*MIN(1,MAX(0,(82-Pipeline!$E$22+1)/MAX(Pipeline!$F$22,1)))</f>
        <v>0</v>
      </c>
      <c r="CG15" s="138" t="n">
        <f aca="false">Pipeline!$Q$22*Pipeline!$D$22*MIN(1,MAX(0,(83-Pipeline!$E$22+1)/MAX(Pipeline!$F$22,1)))</f>
        <v>0</v>
      </c>
      <c r="CH15" s="138" t="n">
        <f aca="false">Pipeline!$Q$22*Pipeline!$D$22*MIN(1,MAX(0,(84-Pipeline!$E$22+1)/MAX(Pipeline!$F$22,1)))</f>
        <v>0</v>
      </c>
    </row>
    <row r="16" customFormat="false" ht="13.5" hidden="false" customHeight="true" outlineLevel="0" collapsed="false">
      <c r="A16" s="30" t="s">
        <v>699</v>
      </c>
      <c r="C16" s="138" t="n">
        <f aca="false">SUM(C9:C15)</f>
        <v>1033.125</v>
      </c>
      <c r="D16" s="138" t="n">
        <f aca="false">SUM(D9:D15)</f>
        <v>2144.55</v>
      </c>
      <c r="E16" s="138" t="n">
        <f aca="false">SUM(E9:E15)</f>
        <v>4457.6625</v>
      </c>
      <c r="F16" s="138" t="n">
        <f aca="false">SUM(F9:F15)</f>
        <v>5737.65</v>
      </c>
      <c r="G16" s="138" t="n">
        <f aca="false">SUM(G9:G15)</f>
        <v>6939.3375</v>
      </c>
      <c r="H16" s="138" t="n">
        <f aca="false">SUM(H9:H15)</f>
        <v>8858.775</v>
      </c>
      <c r="I16" s="138" t="n">
        <f aca="false">SUM(I9:I15)</f>
        <v>10778.2125</v>
      </c>
      <c r="J16" s="138" t="n">
        <f aca="false">SUM(J9:J15)</f>
        <v>12697.65</v>
      </c>
      <c r="K16" s="138" t="n">
        <f aca="false">SUM(K9:K15)</f>
        <v>14617.0875</v>
      </c>
      <c r="L16" s="138" t="n">
        <f aca="false">SUM(L9:L15)</f>
        <v>16536.525</v>
      </c>
      <c r="M16" s="138" t="n">
        <f aca="false">SUM(M9:M15)</f>
        <v>17254.275</v>
      </c>
      <c r="N16" s="138" t="n">
        <f aca="false">SUM(N9:N15)</f>
        <v>18950.775</v>
      </c>
      <c r="O16" s="138" t="n">
        <f aca="false">SUM(O9:O15)</f>
        <v>20647.275</v>
      </c>
      <c r="P16" s="138" t="n">
        <f aca="false">SUM(P9:P15)</f>
        <v>21991.425</v>
      </c>
      <c r="Q16" s="138" t="n">
        <f aca="false">SUM(Q9:Q15)</f>
        <v>23335.575</v>
      </c>
      <c r="R16" s="138" t="n">
        <f aca="false">SUM(R9:R15)</f>
        <v>24679.725</v>
      </c>
      <c r="S16" s="138" t="n">
        <f aca="false">SUM(S9:S15)</f>
        <v>26023.875</v>
      </c>
      <c r="T16" s="138" t="n">
        <f aca="false">SUM(T9:T15)</f>
        <v>27368.025</v>
      </c>
      <c r="U16" s="138" t="n">
        <f aca="false">SUM(U9:U15)</f>
        <v>28712.175</v>
      </c>
      <c r="V16" s="138" t="n">
        <f aca="false">SUM(V9:V15)</f>
        <v>30056.325</v>
      </c>
      <c r="W16" s="138" t="n">
        <f aca="false">SUM(W9:W15)</f>
        <v>31400.475</v>
      </c>
      <c r="X16" s="138" t="n">
        <f aca="false">SUM(X9:X15)</f>
        <v>31765.875</v>
      </c>
      <c r="Y16" s="138" t="n">
        <f aca="false">SUM(Y9:Y15)</f>
        <v>32131.275</v>
      </c>
      <c r="Z16" s="138" t="n">
        <f aca="false">SUM(Z9:Z15)</f>
        <v>32131.275</v>
      </c>
      <c r="AA16" s="138" t="n">
        <f aca="false">SUM(AA9:AA15)</f>
        <v>32131.275</v>
      </c>
      <c r="AB16" s="138" t="n">
        <f aca="false">SUM(AB9:AB15)</f>
        <v>32131.275</v>
      </c>
      <c r="AC16" s="138" t="n">
        <f aca="false">SUM(AC9:AC15)</f>
        <v>32131.275</v>
      </c>
      <c r="AD16" s="138" t="n">
        <f aca="false">SUM(AD9:AD15)</f>
        <v>32131.275</v>
      </c>
      <c r="AE16" s="138" t="n">
        <f aca="false">SUM(AE9:AE15)</f>
        <v>32131.275</v>
      </c>
      <c r="AF16" s="138" t="n">
        <f aca="false">SUM(AF9:AF15)</f>
        <v>32131.275</v>
      </c>
      <c r="AG16" s="138" t="n">
        <f aca="false">SUM(AG9:AG15)</f>
        <v>32131.275</v>
      </c>
      <c r="AH16" s="138" t="n">
        <f aca="false">SUM(AH9:AH15)</f>
        <v>32131.275</v>
      </c>
      <c r="AI16" s="138" t="n">
        <f aca="false">SUM(AI9:AI15)</f>
        <v>32131.275</v>
      </c>
      <c r="AJ16" s="138" t="n">
        <f aca="false">SUM(AJ9:AJ15)</f>
        <v>32131.275</v>
      </c>
      <c r="AK16" s="138" t="n">
        <f aca="false">SUM(AK9:AK15)</f>
        <v>32131.275</v>
      </c>
      <c r="AL16" s="138" t="n">
        <f aca="false">SUM(AL9:AL15)</f>
        <v>32131.275</v>
      </c>
      <c r="AM16" s="138" t="n">
        <f aca="false">SUM(AM9:AM15)</f>
        <v>32131.275</v>
      </c>
      <c r="AN16" s="138" t="n">
        <f aca="false">SUM(AN9:AN15)</f>
        <v>32131.275</v>
      </c>
      <c r="AO16" s="138" t="n">
        <f aca="false">SUM(AO9:AO15)</f>
        <v>32131.275</v>
      </c>
      <c r="AP16" s="138" t="n">
        <f aca="false">SUM(AP9:AP15)</f>
        <v>32131.275</v>
      </c>
      <c r="AQ16" s="138" t="n">
        <f aca="false">SUM(AQ9:AQ15)</f>
        <v>32131.275</v>
      </c>
      <c r="AR16" s="138" t="n">
        <f aca="false">SUM(AR9:AR15)</f>
        <v>32131.275</v>
      </c>
      <c r="AS16" s="138" t="n">
        <f aca="false">SUM(AS9:AS15)</f>
        <v>32131.275</v>
      </c>
      <c r="AT16" s="138" t="n">
        <f aca="false">SUM(AT9:AT15)</f>
        <v>32131.275</v>
      </c>
      <c r="AU16" s="138" t="n">
        <f aca="false">SUM(AU9:AU15)</f>
        <v>32131.275</v>
      </c>
      <c r="AV16" s="138" t="n">
        <f aca="false">SUM(AV9:AV15)</f>
        <v>32131.275</v>
      </c>
      <c r="AW16" s="138" t="n">
        <f aca="false">SUM(AW9:AW15)</f>
        <v>32131.275</v>
      </c>
      <c r="AX16" s="138" t="n">
        <f aca="false">SUM(AX9:AX15)</f>
        <v>32131.275</v>
      </c>
      <c r="AY16" s="138" t="n">
        <f aca="false">SUM(AY9:AY15)</f>
        <v>32131.275</v>
      </c>
      <c r="AZ16" s="138" t="n">
        <f aca="false">SUM(AZ9:AZ15)</f>
        <v>32131.275</v>
      </c>
      <c r="BA16" s="138" t="n">
        <f aca="false">SUM(BA9:BA15)</f>
        <v>32131.275</v>
      </c>
      <c r="BB16" s="138" t="n">
        <f aca="false">SUM(BB9:BB15)</f>
        <v>32131.275</v>
      </c>
      <c r="BC16" s="138" t="n">
        <f aca="false">SUM(BC9:BC15)</f>
        <v>32131.275</v>
      </c>
      <c r="BD16" s="138" t="n">
        <f aca="false">SUM(BD9:BD15)</f>
        <v>32131.275</v>
      </c>
      <c r="BE16" s="138" t="n">
        <f aca="false">SUM(BE9:BE15)</f>
        <v>32131.275</v>
      </c>
      <c r="BF16" s="138" t="n">
        <f aca="false">SUM(BF9:BF15)</f>
        <v>32131.275</v>
      </c>
      <c r="BG16" s="138" t="n">
        <f aca="false">SUM(BG9:BG15)</f>
        <v>32131.275</v>
      </c>
      <c r="BH16" s="138" t="n">
        <f aca="false">SUM(BH9:BH15)</f>
        <v>32131.275</v>
      </c>
      <c r="BI16" s="138" t="n">
        <f aca="false">SUM(BI9:BI15)</f>
        <v>32131.275</v>
      </c>
      <c r="BJ16" s="138" t="n">
        <f aca="false">SUM(BJ9:BJ15)</f>
        <v>32131.275</v>
      </c>
      <c r="BK16" s="138" t="n">
        <f aca="false">SUM(BK9:BK15)</f>
        <v>32131.275</v>
      </c>
      <c r="BL16" s="138" t="n">
        <f aca="false">SUM(BL9:BL15)</f>
        <v>32131.275</v>
      </c>
      <c r="BM16" s="138" t="n">
        <f aca="false">SUM(BM9:BM15)</f>
        <v>32131.275</v>
      </c>
      <c r="BN16" s="138" t="n">
        <f aca="false">SUM(BN9:BN15)</f>
        <v>32131.275</v>
      </c>
      <c r="BO16" s="138" t="n">
        <f aca="false">SUM(BO9:BO15)</f>
        <v>32131.275</v>
      </c>
      <c r="BP16" s="138" t="n">
        <f aca="false">SUM(BP9:BP15)</f>
        <v>32131.275</v>
      </c>
      <c r="BQ16" s="138" t="n">
        <f aca="false">SUM(BQ9:BQ15)</f>
        <v>32131.275</v>
      </c>
      <c r="BR16" s="138" t="n">
        <f aca="false">SUM(BR9:BR15)</f>
        <v>32131.275</v>
      </c>
      <c r="BS16" s="138" t="n">
        <f aca="false">SUM(BS9:BS15)</f>
        <v>32131.275</v>
      </c>
      <c r="BT16" s="138" t="n">
        <f aca="false">SUM(BT9:BT15)</f>
        <v>32131.275</v>
      </c>
      <c r="BU16" s="138" t="n">
        <f aca="false">SUM(BU9:BU15)</f>
        <v>32131.275</v>
      </c>
      <c r="BV16" s="138" t="n">
        <f aca="false">SUM(BV9:BV15)</f>
        <v>32131.275</v>
      </c>
      <c r="BW16" s="138" t="n">
        <f aca="false">SUM(BW9:BW15)</f>
        <v>32131.275</v>
      </c>
      <c r="BX16" s="138" t="n">
        <f aca="false">SUM(BX9:BX15)</f>
        <v>32131.275</v>
      </c>
      <c r="BY16" s="138" t="n">
        <f aca="false">SUM(BY9:BY15)</f>
        <v>32131.275</v>
      </c>
      <c r="BZ16" s="138" t="n">
        <f aca="false">SUM(BZ9:BZ15)</f>
        <v>32131.275</v>
      </c>
      <c r="CA16" s="138" t="n">
        <f aca="false">SUM(CA9:CA15)</f>
        <v>32131.275</v>
      </c>
      <c r="CB16" s="138" t="n">
        <f aca="false">SUM(CB9:CB15)</f>
        <v>32131.275</v>
      </c>
      <c r="CC16" s="138" t="n">
        <f aca="false">SUM(CC9:CC15)</f>
        <v>32131.275</v>
      </c>
      <c r="CD16" s="138" t="n">
        <f aca="false">SUM(CD9:CD15)</f>
        <v>32131.275</v>
      </c>
      <c r="CE16" s="138" t="n">
        <f aca="false">SUM(CE9:CE15)</f>
        <v>32131.275</v>
      </c>
      <c r="CF16" s="138" t="n">
        <f aca="false">SUM(CF9:CF15)</f>
        <v>32131.275</v>
      </c>
      <c r="CG16" s="138" t="n">
        <f aca="false">SUM(CG9:CG15)</f>
        <v>32131.275</v>
      </c>
      <c r="CH16" s="138" t="n">
        <f aca="false">SUM(CH9:CH15)</f>
        <v>32131.275</v>
      </c>
    </row>
    <row r="17" customFormat="false" ht="13.5" hidden="false" customHeight="true" outlineLevel="0" collapsed="false">
      <c r="A17" s="13" t="s">
        <v>700</v>
      </c>
      <c r="C17" s="139" t="n">
        <f aca="false">(Pipeline!$T$16*Pipeline!$D$16*MIN(1,MAX(0,(1-Pipeline!$E$16+1)/MAX(Pipeline!$F$16,1)))+Pipeline!$T$17*Pipeline!$D$17*MIN(1,MAX(0,(1-Pipeline!$E$17+1)/MAX(Pipeline!$F$17,1)))+Pipeline!$T$18*Pipeline!$D$18*MIN(1,MAX(0,(1-Pipeline!$E$18+1)/MAX(Pipeline!$F$18,1)))+Pipeline!$T$19*Pipeline!$D$19*MIN(1,MAX(0,(1-Pipeline!$E$19+1)/MAX(Pipeline!$F$19,1)))+Pipeline!$T$20*Pipeline!$D$20*MIN(1,MAX(0,(1-Pipeline!$E$20+1)/MAX(Pipeline!$F$20,1)))+Pipeline!$T$21*Pipeline!$D$21*MIN(1,MAX(0,(1-Pipeline!$E$21+1)/MAX(Pipeline!$F$21,1)))+Pipeline!$T$22*Pipeline!$D$22*MIN(1,MAX(0,(1-Pipeline!$E$22+1)/MAX(Pipeline!$F$22,1))))/Hipótesis!$D$17</f>
        <v>102.916666666667</v>
      </c>
      <c r="D17" s="139" t="n">
        <f aca="false">(Pipeline!$T$16*Pipeline!$D$16*MIN(1,MAX(0,(2-Pipeline!$E$16+1)/MAX(Pipeline!$F$16,1)))+Pipeline!$T$17*Pipeline!$D$17*MIN(1,MAX(0,(2-Pipeline!$E$17+1)/MAX(Pipeline!$F$17,1)))+Pipeline!$T$18*Pipeline!$D$18*MIN(1,MAX(0,(2-Pipeline!$E$18+1)/MAX(Pipeline!$F$18,1)))+Pipeline!$T$19*Pipeline!$D$19*MIN(1,MAX(0,(2-Pipeline!$E$19+1)/MAX(Pipeline!$F$19,1)))+Pipeline!$T$20*Pipeline!$D$20*MIN(1,MAX(0,(2-Pipeline!$E$20+1)/MAX(Pipeline!$F$20,1)))+Pipeline!$T$21*Pipeline!$D$21*MIN(1,MAX(0,(2-Pipeline!$E$21+1)/MAX(Pipeline!$F$21,1)))+Pipeline!$T$22*Pipeline!$D$22*MIN(1,MAX(0,(2-Pipeline!$E$22+1)/MAX(Pipeline!$F$22,1))))/Hipótesis!$D$17</f>
        <v>221.186274509804</v>
      </c>
      <c r="E17" s="139" t="n">
        <f aca="false">(Pipeline!$T$16*Pipeline!$D$16*MIN(1,MAX(0,(3-Pipeline!$E$16+1)/MAX(Pipeline!$F$16,1)))+Pipeline!$T$17*Pipeline!$D$17*MIN(1,MAX(0,(3-Pipeline!$E$17+1)/MAX(Pipeline!$F$17,1)))+Pipeline!$T$18*Pipeline!$D$18*MIN(1,MAX(0,(3-Pipeline!$E$18+1)/MAX(Pipeline!$F$18,1)))+Pipeline!$T$19*Pipeline!$D$19*MIN(1,MAX(0,(3-Pipeline!$E$19+1)/MAX(Pipeline!$F$19,1)))+Pipeline!$T$20*Pipeline!$D$20*MIN(1,MAX(0,(3-Pipeline!$E$20+1)/MAX(Pipeline!$F$20,1)))+Pipeline!$T$21*Pipeline!$D$21*MIN(1,MAX(0,(3-Pipeline!$E$21+1)/MAX(Pipeline!$F$21,1)))+Pipeline!$T$22*Pipeline!$D$22*MIN(1,MAX(0,(3-Pipeline!$E$22+1)/MAX(Pipeline!$F$22,1))))/Hipótesis!$D$17</f>
        <v>538.868509903962</v>
      </c>
      <c r="F17" s="139" t="n">
        <f aca="false">(Pipeline!$T$16*Pipeline!$D$16*MIN(1,MAX(0,(4-Pipeline!$E$16+1)/MAX(Pipeline!$F$16,1)))+Pipeline!$T$17*Pipeline!$D$17*MIN(1,MAX(0,(4-Pipeline!$E$17+1)/MAX(Pipeline!$F$17,1)))+Pipeline!$T$18*Pipeline!$D$18*MIN(1,MAX(0,(4-Pipeline!$E$18+1)/MAX(Pipeline!$F$18,1)))+Pipeline!$T$19*Pipeline!$D$19*MIN(1,MAX(0,(4-Pipeline!$E$19+1)/MAX(Pipeline!$F$19,1)))+Pipeline!$T$20*Pipeline!$D$20*MIN(1,MAX(0,(4-Pipeline!$E$20+1)/MAX(Pipeline!$F$20,1)))+Pipeline!$T$21*Pipeline!$D$21*MIN(1,MAX(0,(4-Pipeline!$E$21+1)/MAX(Pipeline!$F$21,1)))+Pipeline!$T$22*Pipeline!$D$22*MIN(1,MAX(0,(4-Pipeline!$E$22+1)/MAX(Pipeline!$F$22,1))))/Hipótesis!$D$17</f>
        <v>753.634078631453</v>
      </c>
      <c r="G17" s="139" t="n">
        <f aca="false">(Pipeline!$T$16*Pipeline!$D$16*MIN(1,MAX(0,(5-Pipeline!$E$16+1)/MAX(Pipeline!$F$16,1)))+Pipeline!$T$17*Pipeline!$D$17*MIN(1,MAX(0,(5-Pipeline!$E$17+1)/MAX(Pipeline!$F$17,1)))+Pipeline!$T$18*Pipeline!$D$18*MIN(1,MAX(0,(5-Pipeline!$E$18+1)/MAX(Pipeline!$F$18,1)))+Pipeline!$T$19*Pipeline!$D$19*MIN(1,MAX(0,(5-Pipeline!$E$19+1)/MAX(Pipeline!$F$19,1)))+Pipeline!$T$20*Pipeline!$D$20*MIN(1,MAX(0,(5-Pipeline!$E$20+1)/MAX(Pipeline!$F$20,1)))+Pipeline!$T$21*Pipeline!$D$21*MIN(1,MAX(0,(5-Pipeline!$E$21+1)/MAX(Pipeline!$F$21,1)))+Pipeline!$T$22*Pipeline!$D$22*MIN(1,MAX(0,(5-Pipeline!$E$22+1)/MAX(Pipeline!$F$22,1))))/Hipótesis!$D$17</f>
        <v>953.046706182473</v>
      </c>
      <c r="H17" s="139" t="n">
        <f aca="false">(Pipeline!$T$16*Pipeline!$D$16*MIN(1,MAX(0,(6-Pipeline!$E$16+1)/MAX(Pipeline!$F$16,1)))+Pipeline!$T$17*Pipeline!$D$17*MIN(1,MAX(0,(6-Pipeline!$E$17+1)/MAX(Pipeline!$F$17,1)))+Pipeline!$T$18*Pipeline!$D$18*MIN(1,MAX(0,(6-Pipeline!$E$18+1)/MAX(Pipeline!$F$18,1)))+Pipeline!$T$19*Pipeline!$D$19*MIN(1,MAX(0,(6-Pipeline!$E$19+1)/MAX(Pipeline!$F$19,1)))+Pipeline!$T$20*Pipeline!$D$20*MIN(1,MAX(0,(6-Pipeline!$E$20+1)/MAX(Pipeline!$F$20,1)))+Pipeline!$T$21*Pipeline!$D$21*MIN(1,MAX(0,(6-Pipeline!$E$21+1)/MAX(Pipeline!$F$21,1)))+Pipeline!$T$22*Pipeline!$D$22*MIN(1,MAX(0,(6-Pipeline!$E$22+1)/MAX(Pipeline!$F$22,1))))/Hipótesis!$D$17</f>
        <v>1328.37845138055</v>
      </c>
      <c r="I17" s="139" t="n">
        <f aca="false">(Pipeline!$T$16*Pipeline!$D$16*MIN(1,MAX(0,(7-Pipeline!$E$16+1)/MAX(Pipeline!$F$16,1)))+Pipeline!$T$17*Pipeline!$D$17*MIN(1,MAX(0,(7-Pipeline!$E$17+1)/MAX(Pipeline!$F$17,1)))+Pipeline!$T$18*Pipeline!$D$18*MIN(1,MAX(0,(7-Pipeline!$E$18+1)/MAX(Pipeline!$F$18,1)))+Pipeline!$T$19*Pipeline!$D$19*MIN(1,MAX(0,(7-Pipeline!$E$19+1)/MAX(Pipeline!$F$19,1)))+Pipeline!$T$20*Pipeline!$D$20*MIN(1,MAX(0,(7-Pipeline!$E$20+1)/MAX(Pipeline!$F$20,1)))+Pipeline!$T$21*Pipeline!$D$21*MIN(1,MAX(0,(7-Pipeline!$E$21+1)/MAX(Pipeline!$F$21,1)))+Pipeline!$T$22*Pipeline!$D$22*MIN(1,MAX(0,(7-Pipeline!$E$22+1)/MAX(Pipeline!$F$22,1))))/Hipótesis!$D$17</f>
        <v>1703.71019657863</v>
      </c>
      <c r="J17" s="139" t="n">
        <f aca="false">(Pipeline!$T$16*Pipeline!$D$16*MIN(1,MAX(0,(8-Pipeline!$E$16+1)/MAX(Pipeline!$F$16,1)))+Pipeline!$T$17*Pipeline!$D$17*MIN(1,MAX(0,(8-Pipeline!$E$17+1)/MAX(Pipeline!$F$17,1)))+Pipeline!$T$18*Pipeline!$D$18*MIN(1,MAX(0,(8-Pipeline!$E$18+1)/MAX(Pipeline!$F$18,1)))+Pipeline!$T$19*Pipeline!$D$19*MIN(1,MAX(0,(8-Pipeline!$E$19+1)/MAX(Pipeline!$F$19,1)))+Pipeline!$T$20*Pipeline!$D$20*MIN(1,MAX(0,(8-Pipeline!$E$20+1)/MAX(Pipeline!$F$20,1)))+Pipeline!$T$21*Pipeline!$D$21*MIN(1,MAX(0,(8-Pipeline!$E$21+1)/MAX(Pipeline!$F$21,1)))+Pipeline!$T$22*Pipeline!$D$22*MIN(1,MAX(0,(8-Pipeline!$E$22+1)/MAX(Pipeline!$F$22,1))))/Hipótesis!$D$17</f>
        <v>2079.04194177671</v>
      </c>
      <c r="K17" s="139" t="n">
        <f aca="false">(Pipeline!$T$16*Pipeline!$D$16*MIN(1,MAX(0,(9-Pipeline!$E$16+1)/MAX(Pipeline!$F$16,1)))+Pipeline!$T$17*Pipeline!$D$17*MIN(1,MAX(0,(9-Pipeline!$E$17+1)/MAX(Pipeline!$F$17,1)))+Pipeline!$T$18*Pipeline!$D$18*MIN(1,MAX(0,(9-Pipeline!$E$18+1)/MAX(Pipeline!$F$18,1)))+Pipeline!$T$19*Pipeline!$D$19*MIN(1,MAX(0,(9-Pipeline!$E$19+1)/MAX(Pipeline!$F$19,1)))+Pipeline!$T$20*Pipeline!$D$20*MIN(1,MAX(0,(9-Pipeline!$E$20+1)/MAX(Pipeline!$F$20,1)))+Pipeline!$T$21*Pipeline!$D$21*MIN(1,MAX(0,(9-Pipeline!$E$21+1)/MAX(Pipeline!$F$21,1)))+Pipeline!$T$22*Pipeline!$D$22*MIN(1,MAX(0,(9-Pipeline!$E$22+1)/MAX(Pipeline!$F$22,1))))/Hipótesis!$D$17</f>
        <v>2454.37368697479</v>
      </c>
      <c r="L17" s="139" t="n">
        <f aca="false">(Pipeline!$T$16*Pipeline!$D$16*MIN(1,MAX(0,(10-Pipeline!$E$16+1)/MAX(Pipeline!$F$16,1)))+Pipeline!$T$17*Pipeline!$D$17*MIN(1,MAX(0,(10-Pipeline!$E$17+1)/MAX(Pipeline!$F$17,1)))+Pipeline!$T$18*Pipeline!$D$18*MIN(1,MAX(0,(10-Pipeline!$E$18+1)/MAX(Pipeline!$F$18,1)))+Pipeline!$T$19*Pipeline!$D$19*MIN(1,MAX(0,(10-Pipeline!$E$19+1)/MAX(Pipeline!$F$19,1)))+Pipeline!$T$20*Pipeline!$D$20*MIN(1,MAX(0,(10-Pipeline!$E$20+1)/MAX(Pipeline!$F$20,1)))+Pipeline!$T$21*Pipeline!$D$21*MIN(1,MAX(0,(10-Pipeline!$E$21+1)/MAX(Pipeline!$F$21,1)))+Pipeline!$T$22*Pipeline!$D$22*MIN(1,MAX(0,(10-Pipeline!$E$22+1)/MAX(Pipeline!$F$22,1))))/Hipótesis!$D$17</f>
        <v>2829.70543217287</v>
      </c>
      <c r="M17" s="139" t="n">
        <f aca="false">(Pipeline!$T$16*Pipeline!$D$16*MIN(1,MAX(0,(11-Pipeline!$E$16+1)/MAX(Pipeline!$F$16,1)))+Pipeline!$T$17*Pipeline!$D$17*MIN(1,MAX(0,(11-Pipeline!$E$17+1)/MAX(Pipeline!$F$17,1)))+Pipeline!$T$18*Pipeline!$D$18*MIN(1,MAX(0,(11-Pipeline!$E$18+1)/MAX(Pipeline!$F$18,1)))+Pipeline!$T$19*Pipeline!$D$19*MIN(1,MAX(0,(11-Pipeline!$E$19+1)/MAX(Pipeline!$F$19,1)))+Pipeline!$T$20*Pipeline!$D$20*MIN(1,MAX(0,(11-Pipeline!$E$20+1)/MAX(Pipeline!$F$20,1)))+Pipeline!$T$21*Pipeline!$D$21*MIN(1,MAX(0,(11-Pipeline!$E$21+1)/MAX(Pipeline!$F$21,1)))+Pipeline!$T$22*Pipeline!$D$22*MIN(1,MAX(0,(11-Pipeline!$E$22+1)/MAX(Pipeline!$F$22,1))))/Hipótesis!$D$17</f>
        <v>3005.62454981993</v>
      </c>
      <c r="N17" s="139" t="n">
        <f aca="false">(Pipeline!$T$16*Pipeline!$D$16*MIN(1,MAX(0,(12-Pipeline!$E$16+1)/MAX(Pipeline!$F$16,1)))+Pipeline!$T$17*Pipeline!$D$17*MIN(1,MAX(0,(12-Pipeline!$E$17+1)/MAX(Pipeline!$F$17,1)))+Pipeline!$T$18*Pipeline!$D$18*MIN(1,MAX(0,(12-Pipeline!$E$18+1)/MAX(Pipeline!$F$18,1)))+Pipeline!$T$19*Pipeline!$D$19*MIN(1,MAX(0,(12-Pipeline!$E$19+1)/MAX(Pipeline!$F$19,1)))+Pipeline!$T$20*Pipeline!$D$20*MIN(1,MAX(0,(12-Pipeline!$E$20+1)/MAX(Pipeline!$F$20,1)))+Pipeline!$T$21*Pipeline!$D$21*MIN(1,MAX(0,(12-Pipeline!$E$21+1)/MAX(Pipeline!$F$21,1)))+Pipeline!$T$22*Pipeline!$D$22*MIN(1,MAX(0,(12-Pipeline!$E$22+1)/MAX(Pipeline!$F$22,1))))/Hipótesis!$D$17</f>
        <v>3437.42602040816</v>
      </c>
      <c r="O17" s="139" t="n">
        <f aca="false">(Pipeline!$T$16*Pipeline!$D$16*MIN(1,MAX(0,(13-Pipeline!$E$16+1)/MAX(Pipeline!$F$16,1)))+Pipeline!$T$17*Pipeline!$D$17*MIN(1,MAX(0,(13-Pipeline!$E$17+1)/MAX(Pipeline!$F$17,1)))+Pipeline!$T$18*Pipeline!$D$18*MIN(1,MAX(0,(13-Pipeline!$E$18+1)/MAX(Pipeline!$F$18,1)))+Pipeline!$T$19*Pipeline!$D$19*MIN(1,MAX(0,(13-Pipeline!$E$19+1)/MAX(Pipeline!$F$19,1)))+Pipeline!$T$20*Pipeline!$D$20*MIN(1,MAX(0,(13-Pipeline!$E$20+1)/MAX(Pipeline!$F$20,1)))+Pipeline!$T$21*Pipeline!$D$21*MIN(1,MAX(0,(13-Pipeline!$E$21+1)/MAX(Pipeline!$F$21,1)))+Pipeline!$T$22*Pipeline!$D$22*MIN(1,MAX(0,(13-Pipeline!$E$22+1)/MAX(Pipeline!$F$22,1))))/Hipótesis!$D$17</f>
        <v>3869.2274909964</v>
      </c>
      <c r="P17" s="139" t="n">
        <f aca="false">(Pipeline!$T$16*Pipeline!$D$16*MIN(1,MAX(0,(14-Pipeline!$E$16+1)/MAX(Pipeline!$F$16,1)))+Pipeline!$T$17*Pipeline!$D$17*MIN(1,MAX(0,(14-Pipeline!$E$17+1)/MAX(Pipeline!$F$17,1)))+Pipeline!$T$18*Pipeline!$D$18*MIN(1,MAX(0,(14-Pipeline!$E$18+1)/MAX(Pipeline!$F$18,1)))+Pipeline!$T$19*Pipeline!$D$19*MIN(1,MAX(0,(14-Pipeline!$E$19+1)/MAX(Pipeline!$F$19,1)))+Pipeline!$T$20*Pipeline!$D$20*MIN(1,MAX(0,(14-Pipeline!$E$20+1)/MAX(Pipeline!$F$20,1)))+Pipeline!$T$21*Pipeline!$D$21*MIN(1,MAX(0,(14-Pipeline!$E$21+1)/MAX(Pipeline!$F$21,1)))+Pipeline!$T$22*Pipeline!$D$22*MIN(1,MAX(0,(14-Pipeline!$E$22+1)/MAX(Pipeline!$F$22,1))))/Hipótesis!$D$17</f>
        <v>4227.46278511405</v>
      </c>
      <c r="Q17" s="139" t="n">
        <f aca="false">(Pipeline!$T$16*Pipeline!$D$16*MIN(1,MAX(0,(15-Pipeline!$E$16+1)/MAX(Pipeline!$F$16,1)))+Pipeline!$T$17*Pipeline!$D$17*MIN(1,MAX(0,(15-Pipeline!$E$17+1)/MAX(Pipeline!$F$17,1)))+Pipeline!$T$18*Pipeline!$D$18*MIN(1,MAX(0,(15-Pipeline!$E$18+1)/MAX(Pipeline!$F$18,1)))+Pipeline!$T$19*Pipeline!$D$19*MIN(1,MAX(0,(15-Pipeline!$E$19+1)/MAX(Pipeline!$F$19,1)))+Pipeline!$T$20*Pipeline!$D$20*MIN(1,MAX(0,(15-Pipeline!$E$20+1)/MAX(Pipeline!$F$20,1)))+Pipeline!$T$21*Pipeline!$D$21*MIN(1,MAX(0,(15-Pipeline!$E$21+1)/MAX(Pipeline!$F$21,1)))+Pipeline!$T$22*Pipeline!$D$22*MIN(1,MAX(0,(15-Pipeline!$E$22+1)/MAX(Pipeline!$F$22,1))))/Hipótesis!$D$17</f>
        <v>4585.69807923169</v>
      </c>
      <c r="R17" s="139" t="n">
        <f aca="false">(Pipeline!$T$16*Pipeline!$D$16*MIN(1,MAX(0,(16-Pipeline!$E$16+1)/MAX(Pipeline!$F$16,1)))+Pipeline!$T$17*Pipeline!$D$17*MIN(1,MAX(0,(16-Pipeline!$E$17+1)/MAX(Pipeline!$F$17,1)))+Pipeline!$T$18*Pipeline!$D$18*MIN(1,MAX(0,(16-Pipeline!$E$18+1)/MAX(Pipeline!$F$18,1)))+Pipeline!$T$19*Pipeline!$D$19*MIN(1,MAX(0,(16-Pipeline!$E$19+1)/MAX(Pipeline!$F$19,1)))+Pipeline!$T$20*Pipeline!$D$20*MIN(1,MAX(0,(16-Pipeline!$E$20+1)/MAX(Pipeline!$F$20,1)))+Pipeline!$T$21*Pipeline!$D$21*MIN(1,MAX(0,(16-Pipeline!$E$21+1)/MAX(Pipeline!$F$21,1)))+Pipeline!$T$22*Pipeline!$D$22*MIN(1,MAX(0,(16-Pipeline!$E$22+1)/MAX(Pipeline!$F$22,1))))/Hipótesis!$D$17</f>
        <v>4943.93337334934</v>
      </c>
      <c r="S17" s="139" t="n">
        <f aca="false">(Pipeline!$T$16*Pipeline!$D$16*MIN(1,MAX(0,(17-Pipeline!$E$16+1)/MAX(Pipeline!$F$16,1)))+Pipeline!$T$17*Pipeline!$D$17*MIN(1,MAX(0,(17-Pipeline!$E$17+1)/MAX(Pipeline!$F$17,1)))+Pipeline!$T$18*Pipeline!$D$18*MIN(1,MAX(0,(17-Pipeline!$E$18+1)/MAX(Pipeline!$F$18,1)))+Pipeline!$T$19*Pipeline!$D$19*MIN(1,MAX(0,(17-Pipeline!$E$19+1)/MAX(Pipeline!$F$19,1)))+Pipeline!$T$20*Pipeline!$D$20*MIN(1,MAX(0,(17-Pipeline!$E$20+1)/MAX(Pipeline!$F$20,1)))+Pipeline!$T$21*Pipeline!$D$21*MIN(1,MAX(0,(17-Pipeline!$E$21+1)/MAX(Pipeline!$F$21,1)))+Pipeline!$T$22*Pipeline!$D$22*MIN(1,MAX(0,(17-Pipeline!$E$22+1)/MAX(Pipeline!$F$22,1))))/Hipótesis!$D$17</f>
        <v>5302.16866746699</v>
      </c>
      <c r="T17" s="139" t="n">
        <f aca="false">(Pipeline!$T$16*Pipeline!$D$16*MIN(1,MAX(0,(18-Pipeline!$E$16+1)/MAX(Pipeline!$F$16,1)))+Pipeline!$T$17*Pipeline!$D$17*MIN(1,MAX(0,(18-Pipeline!$E$17+1)/MAX(Pipeline!$F$17,1)))+Pipeline!$T$18*Pipeline!$D$18*MIN(1,MAX(0,(18-Pipeline!$E$18+1)/MAX(Pipeline!$F$18,1)))+Pipeline!$T$19*Pipeline!$D$19*MIN(1,MAX(0,(18-Pipeline!$E$19+1)/MAX(Pipeline!$F$19,1)))+Pipeline!$T$20*Pipeline!$D$20*MIN(1,MAX(0,(18-Pipeline!$E$20+1)/MAX(Pipeline!$F$20,1)))+Pipeline!$T$21*Pipeline!$D$21*MIN(1,MAX(0,(18-Pipeline!$E$21+1)/MAX(Pipeline!$F$21,1)))+Pipeline!$T$22*Pipeline!$D$22*MIN(1,MAX(0,(18-Pipeline!$E$22+1)/MAX(Pipeline!$F$22,1))))/Hipótesis!$D$17</f>
        <v>5660.40396158463</v>
      </c>
      <c r="U17" s="139" t="n">
        <f aca="false">(Pipeline!$T$16*Pipeline!$D$16*MIN(1,MAX(0,(19-Pipeline!$E$16+1)/MAX(Pipeline!$F$16,1)))+Pipeline!$T$17*Pipeline!$D$17*MIN(1,MAX(0,(19-Pipeline!$E$17+1)/MAX(Pipeline!$F$17,1)))+Pipeline!$T$18*Pipeline!$D$18*MIN(1,MAX(0,(19-Pipeline!$E$18+1)/MAX(Pipeline!$F$18,1)))+Pipeline!$T$19*Pipeline!$D$19*MIN(1,MAX(0,(19-Pipeline!$E$19+1)/MAX(Pipeline!$F$19,1)))+Pipeline!$T$20*Pipeline!$D$20*MIN(1,MAX(0,(19-Pipeline!$E$20+1)/MAX(Pipeline!$F$20,1)))+Pipeline!$T$21*Pipeline!$D$21*MIN(1,MAX(0,(19-Pipeline!$E$21+1)/MAX(Pipeline!$F$21,1)))+Pipeline!$T$22*Pipeline!$D$22*MIN(1,MAX(0,(19-Pipeline!$E$22+1)/MAX(Pipeline!$F$22,1))))/Hipótesis!$D$17</f>
        <v>6018.63925570228</v>
      </c>
      <c r="V17" s="139" t="n">
        <f aca="false">(Pipeline!$T$16*Pipeline!$D$16*MIN(1,MAX(0,(20-Pipeline!$E$16+1)/MAX(Pipeline!$F$16,1)))+Pipeline!$T$17*Pipeline!$D$17*MIN(1,MAX(0,(20-Pipeline!$E$17+1)/MAX(Pipeline!$F$17,1)))+Pipeline!$T$18*Pipeline!$D$18*MIN(1,MAX(0,(20-Pipeline!$E$18+1)/MAX(Pipeline!$F$18,1)))+Pipeline!$T$19*Pipeline!$D$19*MIN(1,MAX(0,(20-Pipeline!$E$19+1)/MAX(Pipeline!$F$19,1)))+Pipeline!$T$20*Pipeline!$D$20*MIN(1,MAX(0,(20-Pipeline!$E$20+1)/MAX(Pipeline!$F$20,1)))+Pipeline!$T$21*Pipeline!$D$21*MIN(1,MAX(0,(20-Pipeline!$E$21+1)/MAX(Pipeline!$F$21,1)))+Pipeline!$T$22*Pipeline!$D$22*MIN(1,MAX(0,(20-Pipeline!$E$22+1)/MAX(Pipeline!$F$22,1))))/Hipótesis!$D$17</f>
        <v>6376.87454981993</v>
      </c>
      <c r="W17" s="139" t="n">
        <f aca="false">(Pipeline!$T$16*Pipeline!$D$16*MIN(1,MAX(0,(21-Pipeline!$E$16+1)/MAX(Pipeline!$F$16,1)))+Pipeline!$T$17*Pipeline!$D$17*MIN(1,MAX(0,(21-Pipeline!$E$17+1)/MAX(Pipeline!$F$17,1)))+Pipeline!$T$18*Pipeline!$D$18*MIN(1,MAX(0,(21-Pipeline!$E$18+1)/MAX(Pipeline!$F$18,1)))+Pipeline!$T$19*Pipeline!$D$19*MIN(1,MAX(0,(21-Pipeline!$E$19+1)/MAX(Pipeline!$F$19,1)))+Pipeline!$T$20*Pipeline!$D$20*MIN(1,MAX(0,(21-Pipeline!$E$20+1)/MAX(Pipeline!$F$20,1)))+Pipeline!$T$21*Pipeline!$D$21*MIN(1,MAX(0,(21-Pipeline!$E$21+1)/MAX(Pipeline!$F$21,1)))+Pipeline!$T$22*Pipeline!$D$22*MIN(1,MAX(0,(21-Pipeline!$E$22+1)/MAX(Pipeline!$F$22,1))))/Hipótesis!$D$17</f>
        <v>6735.10984393758</v>
      </c>
      <c r="X17" s="139" t="n">
        <f aca="false">(Pipeline!$T$16*Pipeline!$D$16*MIN(1,MAX(0,(22-Pipeline!$E$16+1)/MAX(Pipeline!$F$16,1)))+Pipeline!$T$17*Pipeline!$D$17*MIN(1,MAX(0,(22-Pipeline!$E$17+1)/MAX(Pipeline!$F$17,1)))+Pipeline!$T$18*Pipeline!$D$18*MIN(1,MAX(0,(22-Pipeline!$E$18+1)/MAX(Pipeline!$F$18,1)))+Pipeline!$T$19*Pipeline!$D$19*MIN(1,MAX(0,(22-Pipeline!$E$19+1)/MAX(Pipeline!$F$19,1)))+Pipeline!$T$20*Pipeline!$D$20*MIN(1,MAX(0,(22-Pipeline!$E$20+1)/MAX(Pipeline!$F$20,1)))+Pipeline!$T$21*Pipeline!$D$21*MIN(1,MAX(0,(22-Pipeline!$E$21+1)/MAX(Pipeline!$F$21,1)))+Pipeline!$T$22*Pipeline!$D$22*MIN(1,MAX(0,(22-Pipeline!$E$22+1)/MAX(Pipeline!$F$22,1))))/Hipótesis!$D$17</f>
        <v>6837.46278511405</v>
      </c>
      <c r="Y17" s="139" t="n">
        <f aca="false">(Pipeline!$T$16*Pipeline!$D$16*MIN(1,MAX(0,(23-Pipeline!$E$16+1)/MAX(Pipeline!$F$16,1)))+Pipeline!$T$17*Pipeline!$D$17*MIN(1,MAX(0,(23-Pipeline!$E$17+1)/MAX(Pipeline!$F$17,1)))+Pipeline!$T$18*Pipeline!$D$18*MIN(1,MAX(0,(23-Pipeline!$E$18+1)/MAX(Pipeline!$F$18,1)))+Pipeline!$T$19*Pipeline!$D$19*MIN(1,MAX(0,(23-Pipeline!$E$19+1)/MAX(Pipeline!$F$19,1)))+Pipeline!$T$20*Pipeline!$D$20*MIN(1,MAX(0,(23-Pipeline!$E$20+1)/MAX(Pipeline!$F$20,1)))+Pipeline!$T$21*Pipeline!$D$21*MIN(1,MAX(0,(23-Pipeline!$E$21+1)/MAX(Pipeline!$F$21,1)))+Pipeline!$T$22*Pipeline!$D$22*MIN(1,MAX(0,(23-Pipeline!$E$22+1)/MAX(Pipeline!$F$22,1))))/Hipótesis!$D$17</f>
        <v>6939.81572629052</v>
      </c>
      <c r="Z17" s="139" t="n">
        <f aca="false">(Pipeline!$T$16*Pipeline!$D$16*MIN(1,MAX(0,(24-Pipeline!$E$16+1)/MAX(Pipeline!$F$16,1)))+Pipeline!$T$17*Pipeline!$D$17*MIN(1,MAX(0,(24-Pipeline!$E$17+1)/MAX(Pipeline!$F$17,1)))+Pipeline!$T$18*Pipeline!$D$18*MIN(1,MAX(0,(24-Pipeline!$E$18+1)/MAX(Pipeline!$F$18,1)))+Pipeline!$T$19*Pipeline!$D$19*MIN(1,MAX(0,(24-Pipeline!$E$19+1)/MAX(Pipeline!$F$19,1)))+Pipeline!$T$20*Pipeline!$D$20*MIN(1,MAX(0,(24-Pipeline!$E$20+1)/MAX(Pipeline!$F$20,1)))+Pipeline!$T$21*Pipeline!$D$21*MIN(1,MAX(0,(24-Pipeline!$E$21+1)/MAX(Pipeline!$F$21,1)))+Pipeline!$T$22*Pipeline!$D$22*MIN(1,MAX(0,(24-Pipeline!$E$22+1)/MAX(Pipeline!$F$22,1))))/Hipótesis!$D$17</f>
        <v>6939.81572629052</v>
      </c>
      <c r="AA17" s="139" t="n">
        <f aca="false">(Pipeline!$T$16*Pipeline!$D$16*MIN(1,MAX(0,(25-Pipeline!$E$16+1)/MAX(Pipeline!$F$16,1)))+Pipeline!$T$17*Pipeline!$D$17*MIN(1,MAX(0,(25-Pipeline!$E$17+1)/MAX(Pipeline!$F$17,1)))+Pipeline!$T$18*Pipeline!$D$18*MIN(1,MAX(0,(25-Pipeline!$E$18+1)/MAX(Pipeline!$F$18,1)))+Pipeline!$T$19*Pipeline!$D$19*MIN(1,MAX(0,(25-Pipeline!$E$19+1)/MAX(Pipeline!$F$19,1)))+Pipeline!$T$20*Pipeline!$D$20*MIN(1,MAX(0,(25-Pipeline!$E$20+1)/MAX(Pipeline!$F$20,1)))+Pipeline!$T$21*Pipeline!$D$21*MIN(1,MAX(0,(25-Pipeline!$E$21+1)/MAX(Pipeline!$F$21,1)))+Pipeline!$T$22*Pipeline!$D$22*MIN(1,MAX(0,(25-Pipeline!$E$22+1)/MAX(Pipeline!$F$22,1))))/Hipótesis!$D$17</f>
        <v>6939.81572629052</v>
      </c>
      <c r="AB17" s="139" t="n">
        <f aca="false">(Pipeline!$T$16*Pipeline!$D$16*MIN(1,MAX(0,(26-Pipeline!$E$16+1)/MAX(Pipeline!$F$16,1)))+Pipeline!$T$17*Pipeline!$D$17*MIN(1,MAX(0,(26-Pipeline!$E$17+1)/MAX(Pipeline!$F$17,1)))+Pipeline!$T$18*Pipeline!$D$18*MIN(1,MAX(0,(26-Pipeline!$E$18+1)/MAX(Pipeline!$F$18,1)))+Pipeline!$T$19*Pipeline!$D$19*MIN(1,MAX(0,(26-Pipeline!$E$19+1)/MAX(Pipeline!$F$19,1)))+Pipeline!$T$20*Pipeline!$D$20*MIN(1,MAX(0,(26-Pipeline!$E$20+1)/MAX(Pipeline!$F$20,1)))+Pipeline!$T$21*Pipeline!$D$21*MIN(1,MAX(0,(26-Pipeline!$E$21+1)/MAX(Pipeline!$F$21,1)))+Pipeline!$T$22*Pipeline!$D$22*MIN(1,MAX(0,(26-Pipeline!$E$22+1)/MAX(Pipeline!$F$22,1))))/Hipótesis!$D$17</f>
        <v>6939.81572629052</v>
      </c>
      <c r="AC17" s="139" t="n">
        <f aca="false">(Pipeline!$T$16*Pipeline!$D$16*MIN(1,MAX(0,(27-Pipeline!$E$16+1)/MAX(Pipeline!$F$16,1)))+Pipeline!$T$17*Pipeline!$D$17*MIN(1,MAX(0,(27-Pipeline!$E$17+1)/MAX(Pipeline!$F$17,1)))+Pipeline!$T$18*Pipeline!$D$18*MIN(1,MAX(0,(27-Pipeline!$E$18+1)/MAX(Pipeline!$F$18,1)))+Pipeline!$T$19*Pipeline!$D$19*MIN(1,MAX(0,(27-Pipeline!$E$19+1)/MAX(Pipeline!$F$19,1)))+Pipeline!$T$20*Pipeline!$D$20*MIN(1,MAX(0,(27-Pipeline!$E$20+1)/MAX(Pipeline!$F$20,1)))+Pipeline!$T$21*Pipeline!$D$21*MIN(1,MAX(0,(27-Pipeline!$E$21+1)/MAX(Pipeline!$F$21,1)))+Pipeline!$T$22*Pipeline!$D$22*MIN(1,MAX(0,(27-Pipeline!$E$22+1)/MAX(Pipeline!$F$22,1))))/Hipótesis!$D$17</f>
        <v>6939.81572629052</v>
      </c>
      <c r="AD17" s="139" t="n">
        <f aca="false">(Pipeline!$T$16*Pipeline!$D$16*MIN(1,MAX(0,(28-Pipeline!$E$16+1)/MAX(Pipeline!$F$16,1)))+Pipeline!$T$17*Pipeline!$D$17*MIN(1,MAX(0,(28-Pipeline!$E$17+1)/MAX(Pipeline!$F$17,1)))+Pipeline!$T$18*Pipeline!$D$18*MIN(1,MAX(0,(28-Pipeline!$E$18+1)/MAX(Pipeline!$F$18,1)))+Pipeline!$T$19*Pipeline!$D$19*MIN(1,MAX(0,(28-Pipeline!$E$19+1)/MAX(Pipeline!$F$19,1)))+Pipeline!$T$20*Pipeline!$D$20*MIN(1,MAX(0,(28-Pipeline!$E$20+1)/MAX(Pipeline!$F$20,1)))+Pipeline!$T$21*Pipeline!$D$21*MIN(1,MAX(0,(28-Pipeline!$E$21+1)/MAX(Pipeline!$F$21,1)))+Pipeline!$T$22*Pipeline!$D$22*MIN(1,MAX(0,(28-Pipeline!$E$22+1)/MAX(Pipeline!$F$22,1))))/Hipótesis!$D$17</f>
        <v>6939.81572629052</v>
      </c>
      <c r="AE17" s="139" t="n">
        <f aca="false">(Pipeline!$T$16*Pipeline!$D$16*MIN(1,MAX(0,(29-Pipeline!$E$16+1)/MAX(Pipeline!$F$16,1)))+Pipeline!$T$17*Pipeline!$D$17*MIN(1,MAX(0,(29-Pipeline!$E$17+1)/MAX(Pipeline!$F$17,1)))+Pipeline!$T$18*Pipeline!$D$18*MIN(1,MAX(0,(29-Pipeline!$E$18+1)/MAX(Pipeline!$F$18,1)))+Pipeline!$T$19*Pipeline!$D$19*MIN(1,MAX(0,(29-Pipeline!$E$19+1)/MAX(Pipeline!$F$19,1)))+Pipeline!$T$20*Pipeline!$D$20*MIN(1,MAX(0,(29-Pipeline!$E$20+1)/MAX(Pipeline!$F$20,1)))+Pipeline!$T$21*Pipeline!$D$21*MIN(1,MAX(0,(29-Pipeline!$E$21+1)/MAX(Pipeline!$F$21,1)))+Pipeline!$T$22*Pipeline!$D$22*MIN(1,MAX(0,(29-Pipeline!$E$22+1)/MAX(Pipeline!$F$22,1))))/Hipótesis!$D$17</f>
        <v>6939.81572629052</v>
      </c>
      <c r="AF17" s="139" t="n">
        <f aca="false">(Pipeline!$T$16*Pipeline!$D$16*MIN(1,MAX(0,(30-Pipeline!$E$16+1)/MAX(Pipeline!$F$16,1)))+Pipeline!$T$17*Pipeline!$D$17*MIN(1,MAX(0,(30-Pipeline!$E$17+1)/MAX(Pipeline!$F$17,1)))+Pipeline!$T$18*Pipeline!$D$18*MIN(1,MAX(0,(30-Pipeline!$E$18+1)/MAX(Pipeline!$F$18,1)))+Pipeline!$T$19*Pipeline!$D$19*MIN(1,MAX(0,(30-Pipeline!$E$19+1)/MAX(Pipeline!$F$19,1)))+Pipeline!$T$20*Pipeline!$D$20*MIN(1,MAX(0,(30-Pipeline!$E$20+1)/MAX(Pipeline!$F$20,1)))+Pipeline!$T$21*Pipeline!$D$21*MIN(1,MAX(0,(30-Pipeline!$E$21+1)/MAX(Pipeline!$F$21,1)))+Pipeline!$T$22*Pipeline!$D$22*MIN(1,MAX(0,(30-Pipeline!$E$22+1)/MAX(Pipeline!$F$22,1))))/Hipótesis!$D$17</f>
        <v>6939.81572629052</v>
      </c>
      <c r="AG17" s="139" t="n">
        <f aca="false">(Pipeline!$T$16*Pipeline!$D$16*MIN(1,MAX(0,(31-Pipeline!$E$16+1)/MAX(Pipeline!$F$16,1)))+Pipeline!$T$17*Pipeline!$D$17*MIN(1,MAX(0,(31-Pipeline!$E$17+1)/MAX(Pipeline!$F$17,1)))+Pipeline!$T$18*Pipeline!$D$18*MIN(1,MAX(0,(31-Pipeline!$E$18+1)/MAX(Pipeline!$F$18,1)))+Pipeline!$T$19*Pipeline!$D$19*MIN(1,MAX(0,(31-Pipeline!$E$19+1)/MAX(Pipeline!$F$19,1)))+Pipeline!$T$20*Pipeline!$D$20*MIN(1,MAX(0,(31-Pipeline!$E$20+1)/MAX(Pipeline!$F$20,1)))+Pipeline!$T$21*Pipeline!$D$21*MIN(1,MAX(0,(31-Pipeline!$E$21+1)/MAX(Pipeline!$F$21,1)))+Pipeline!$T$22*Pipeline!$D$22*MIN(1,MAX(0,(31-Pipeline!$E$22+1)/MAX(Pipeline!$F$22,1))))/Hipótesis!$D$17</f>
        <v>6939.81572629052</v>
      </c>
      <c r="AH17" s="139" t="n">
        <f aca="false">(Pipeline!$T$16*Pipeline!$D$16*MIN(1,MAX(0,(32-Pipeline!$E$16+1)/MAX(Pipeline!$F$16,1)))+Pipeline!$T$17*Pipeline!$D$17*MIN(1,MAX(0,(32-Pipeline!$E$17+1)/MAX(Pipeline!$F$17,1)))+Pipeline!$T$18*Pipeline!$D$18*MIN(1,MAX(0,(32-Pipeline!$E$18+1)/MAX(Pipeline!$F$18,1)))+Pipeline!$T$19*Pipeline!$D$19*MIN(1,MAX(0,(32-Pipeline!$E$19+1)/MAX(Pipeline!$F$19,1)))+Pipeline!$T$20*Pipeline!$D$20*MIN(1,MAX(0,(32-Pipeline!$E$20+1)/MAX(Pipeline!$F$20,1)))+Pipeline!$T$21*Pipeline!$D$21*MIN(1,MAX(0,(32-Pipeline!$E$21+1)/MAX(Pipeline!$F$21,1)))+Pipeline!$T$22*Pipeline!$D$22*MIN(1,MAX(0,(32-Pipeline!$E$22+1)/MAX(Pipeline!$F$22,1))))/Hipótesis!$D$17</f>
        <v>6939.81572629052</v>
      </c>
      <c r="AI17" s="139" t="n">
        <f aca="false">(Pipeline!$T$16*Pipeline!$D$16*MIN(1,MAX(0,(33-Pipeline!$E$16+1)/MAX(Pipeline!$F$16,1)))+Pipeline!$T$17*Pipeline!$D$17*MIN(1,MAX(0,(33-Pipeline!$E$17+1)/MAX(Pipeline!$F$17,1)))+Pipeline!$T$18*Pipeline!$D$18*MIN(1,MAX(0,(33-Pipeline!$E$18+1)/MAX(Pipeline!$F$18,1)))+Pipeline!$T$19*Pipeline!$D$19*MIN(1,MAX(0,(33-Pipeline!$E$19+1)/MAX(Pipeline!$F$19,1)))+Pipeline!$T$20*Pipeline!$D$20*MIN(1,MAX(0,(33-Pipeline!$E$20+1)/MAX(Pipeline!$F$20,1)))+Pipeline!$T$21*Pipeline!$D$21*MIN(1,MAX(0,(33-Pipeline!$E$21+1)/MAX(Pipeline!$F$21,1)))+Pipeline!$T$22*Pipeline!$D$22*MIN(1,MAX(0,(33-Pipeline!$E$22+1)/MAX(Pipeline!$F$22,1))))/Hipótesis!$D$17</f>
        <v>6939.81572629052</v>
      </c>
      <c r="AJ17" s="139" t="n">
        <f aca="false">(Pipeline!$T$16*Pipeline!$D$16*MIN(1,MAX(0,(34-Pipeline!$E$16+1)/MAX(Pipeline!$F$16,1)))+Pipeline!$T$17*Pipeline!$D$17*MIN(1,MAX(0,(34-Pipeline!$E$17+1)/MAX(Pipeline!$F$17,1)))+Pipeline!$T$18*Pipeline!$D$18*MIN(1,MAX(0,(34-Pipeline!$E$18+1)/MAX(Pipeline!$F$18,1)))+Pipeline!$T$19*Pipeline!$D$19*MIN(1,MAX(0,(34-Pipeline!$E$19+1)/MAX(Pipeline!$F$19,1)))+Pipeline!$T$20*Pipeline!$D$20*MIN(1,MAX(0,(34-Pipeline!$E$20+1)/MAX(Pipeline!$F$20,1)))+Pipeline!$T$21*Pipeline!$D$21*MIN(1,MAX(0,(34-Pipeline!$E$21+1)/MAX(Pipeline!$F$21,1)))+Pipeline!$T$22*Pipeline!$D$22*MIN(1,MAX(0,(34-Pipeline!$E$22+1)/MAX(Pipeline!$F$22,1))))/Hipótesis!$D$17</f>
        <v>6939.81572629052</v>
      </c>
      <c r="AK17" s="139" t="n">
        <f aca="false">(Pipeline!$T$16*Pipeline!$D$16*MIN(1,MAX(0,(35-Pipeline!$E$16+1)/MAX(Pipeline!$F$16,1)))+Pipeline!$T$17*Pipeline!$D$17*MIN(1,MAX(0,(35-Pipeline!$E$17+1)/MAX(Pipeline!$F$17,1)))+Pipeline!$T$18*Pipeline!$D$18*MIN(1,MAX(0,(35-Pipeline!$E$18+1)/MAX(Pipeline!$F$18,1)))+Pipeline!$T$19*Pipeline!$D$19*MIN(1,MAX(0,(35-Pipeline!$E$19+1)/MAX(Pipeline!$F$19,1)))+Pipeline!$T$20*Pipeline!$D$20*MIN(1,MAX(0,(35-Pipeline!$E$20+1)/MAX(Pipeline!$F$20,1)))+Pipeline!$T$21*Pipeline!$D$21*MIN(1,MAX(0,(35-Pipeline!$E$21+1)/MAX(Pipeline!$F$21,1)))+Pipeline!$T$22*Pipeline!$D$22*MIN(1,MAX(0,(35-Pipeline!$E$22+1)/MAX(Pipeline!$F$22,1))))/Hipótesis!$D$17</f>
        <v>6939.81572629052</v>
      </c>
      <c r="AL17" s="139" t="n">
        <f aca="false">(Pipeline!$T$16*Pipeline!$D$16*MIN(1,MAX(0,(36-Pipeline!$E$16+1)/MAX(Pipeline!$F$16,1)))+Pipeline!$T$17*Pipeline!$D$17*MIN(1,MAX(0,(36-Pipeline!$E$17+1)/MAX(Pipeline!$F$17,1)))+Pipeline!$T$18*Pipeline!$D$18*MIN(1,MAX(0,(36-Pipeline!$E$18+1)/MAX(Pipeline!$F$18,1)))+Pipeline!$T$19*Pipeline!$D$19*MIN(1,MAX(0,(36-Pipeline!$E$19+1)/MAX(Pipeline!$F$19,1)))+Pipeline!$T$20*Pipeline!$D$20*MIN(1,MAX(0,(36-Pipeline!$E$20+1)/MAX(Pipeline!$F$20,1)))+Pipeline!$T$21*Pipeline!$D$21*MIN(1,MAX(0,(36-Pipeline!$E$21+1)/MAX(Pipeline!$F$21,1)))+Pipeline!$T$22*Pipeline!$D$22*MIN(1,MAX(0,(36-Pipeline!$E$22+1)/MAX(Pipeline!$F$22,1))))/Hipótesis!$D$17</f>
        <v>6939.81572629052</v>
      </c>
      <c r="AM17" s="139" t="n">
        <f aca="false">(Pipeline!$T$16*Pipeline!$D$16*MIN(1,MAX(0,(37-Pipeline!$E$16+1)/MAX(Pipeline!$F$16,1)))+Pipeline!$T$17*Pipeline!$D$17*MIN(1,MAX(0,(37-Pipeline!$E$17+1)/MAX(Pipeline!$F$17,1)))+Pipeline!$T$18*Pipeline!$D$18*MIN(1,MAX(0,(37-Pipeline!$E$18+1)/MAX(Pipeline!$F$18,1)))+Pipeline!$T$19*Pipeline!$D$19*MIN(1,MAX(0,(37-Pipeline!$E$19+1)/MAX(Pipeline!$F$19,1)))+Pipeline!$T$20*Pipeline!$D$20*MIN(1,MAX(0,(37-Pipeline!$E$20+1)/MAX(Pipeline!$F$20,1)))+Pipeline!$T$21*Pipeline!$D$21*MIN(1,MAX(0,(37-Pipeline!$E$21+1)/MAX(Pipeline!$F$21,1)))+Pipeline!$T$22*Pipeline!$D$22*MIN(1,MAX(0,(37-Pipeline!$E$22+1)/MAX(Pipeline!$F$22,1))))/Hipótesis!$D$17</f>
        <v>6939.81572629052</v>
      </c>
      <c r="AN17" s="139" t="n">
        <f aca="false">(Pipeline!$T$16*Pipeline!$D$16*MIN(1,MAX(0,(38-Pipeline!$E$16+1)/MAX(Pipeline!$F$16,1)))+Pipeline!$T$17*Pipeline!$D$17*MIN(1,MAX(0,(38-Pipeline!$E$17+1)/MAX(Pipeline!$F$17,1)))+Pipeline!$T$18*Pipeline!$D$18*MIN(1,MAX(0,(38-Pipeline!$E$18+1)/MAX(Pipeline!$F$18,1)))+Pipeline!$T$19*Pipeline!$D$19*MIN(1,MAX(0,(38-Pipeline!$E$19+1)/MAX(Pipeline!$F$19,1)))+Pipeline!$T$20*Pipeline!$D$20*MIN(1,MAX(0,(38-Pipeline!$E$20+1)/MAX(Pipeline!$F$20,1)))+Pipeline!$T$21*Pipeline!$D$21*MIN(1,MAX(0,(38-Pipeline!$E$21+1)/MAX(Pipeline!$F$21,1)))+Pipeline!$T$22*Pipeline!$D$22*MIN(1,MAX(0,(38-Pipeline!$E$22+1)/MAX(Pipeline!$F$22,1))))/Hipótesis!$D$17</f>
        <v>6939.81572629052</v>
      </c>
      <c r="AO17" s="139" t="n">
        <f aca="false">(Pipeline!$T$16*Pipeline!$D$16*MIN(1,MAX(0,(39-Pipeline!$E$16+1)/MAX(Pipeline!$F$16,1)))+Pipeline!$T$17*Pipeline!$D$17*MIN(1,MAX(0,(39-Pipeline!$E$17+1)/MAX(Pipeline!$F$17,1)))+Pipeline!$T$18*Pipeline!$D$18*MIN(1,MAX(0,(39-Pipeline!$E$18+1)/MAX(Pipeline!$F$18,1)))+Pipeline!$T$19*Pipeline!$D$19*MIN(1,MAX(0,(39-Pipeline!$E$19+1)/MAX(Pipeline!$F$19,1)))+Pipeline!$T$20*Pipeline!$D$20*MIN(1,MAX(0,(39-Pipeline!$E$20+1)/MAX(Pipeline!$F$20,1)))+Pipeline!$T$21*Pipeline!$D$21*MIN(1,MAX(0,(39-Pipeline!$E$21+1)/MAX(Pipeline!$F$21,1)))+Pipeline!$T$22*Pipeline!$D$22*MIN(1,MAX(0,(39-Pipeline!$E$22+1)/MAX(Pipeline!$F$22,1))))/Hipótesis!$D$17</f>
        <v>6939.81572629052</v>
      </c>
      <c r="AP17" s="139" t="n">
        <f aca="false">(Pipeline!$T$16*Pipeline!$D$16*MIN(1,MAX(0,(40-Pipeline!$E$16+1)/MAX(Pipeline!$F$16,1)))+Pipeline!$T$17*Pipeline!$D$17*MIN(1,MAX(0,(40-Pipeline!$E$17+1)/MAX(Pipeline!$F$17,1)))+Pipeline!$T$18*Pipeline!$D$18*MIN(1,MAX(0,(40-Pipeline!$E$18+1)/MAX(Pipeline!$F$18,1)))+Pipeline!$T$19*Pipeline!$D$19*MIN(1,MAX(0,(40-Pipeline!$E$19+1)/MAX(Pipeline!$F$19,1)))+Pipeline!$T$20*Pipeline!$D$20*MIN(1,MAX(0,(40-Pipeline!$E$20+1)/MAX(Pipeline!$F$20,1)))+Pipeline!$T$21*Pipeline!$D$21*MIN(1,MAX(0,(40-Pipeline!$E$21+1)/MAX(Pipeline!$F$21,1)))+Pipeline!$T$22*Pipeline!$D$22*MIN(1,MAX(0,(40-Pipeline!$E$22+1)/MAX(Pipeline!$F$22,1))))/Hipótesis!$D$17</f>
        <v>6939.81572629052</v>
      </c>
      <c r="AQ17" s="139" t="n">
        <f aca="false">(Pipeline!$T$16*Pipeline!$D$16*MIN(1,MAX(0,(41-Pipeline!$E$16+1)/MAX(Pipeline!$F$16,1)))+Pipeline!$T$17*Pipeline!$D$17*MIN(1,MAX(0,(41-Pipeline!$E$17+1)/MAX(Pipeline!$F$17,1)))+Pipeline!$T$18*Pipeline!$D$18*MIN(1,MAX(0,(41-Pipeline!$E$18+1)/MAX(Pipeline!$F$18,1)))+Pipeline!$T$19*Pipeline!$D$19*MIN(1,MAX(0,(41-Pipeline!$E$19+1)/MAX(Pipeline!$F$19,1)))+Pipeline!$T$20*Pipeline!$D$20*MIN(1,MAX(0,(41-Pipeline!$E$20+1)/MAX(Pipeline!$F$20,1)))+Pipeline!$T$21*Pipeline!$D$21*MIN(1,MAX(0,(41-Pipeline!$E$21+1)/MAX(Pipeline!$F$21,1)))+Pipeline!$T$22*Pipeline!$D$22*MIN(1,MAX(0,(41-Pipeline!$E$22+1)/MAX(Pipeline!$F$22,1))))/Hipótesis!$D$17</f>
        <v>6939.81572629052</v>
      </c>
      <c r="AR17" s="139" t="n">
        <f aca="false">(Pipeline!$T$16*Pipeline!$D$16*MIN(1,MAX(0,(42-Pipeline!$E$16+1)/MAX(Pipeline!$F$16,1)))+Pipeline!$T$17*Pipeline!$D$17*MIN(1,MAX(0,(42-Pipeline!$E$17+1)/MAX(Pipeline!$F$17,1)))+Pipeline!$T$18*Pipeline!$D$18*MIN(1,MAX(0,(42-Pipeline!$E$18+1)/MAX(Pipeline!$F$18,1)))+Pipeline!$T$19*Pipeline!$D$19*MIN(1,MAX(0,(42-Pipeline!$E$19+1)/MAX(Pipeline!$F$19,1)))+Pipeline!$T$20*Pipeline!$D$20*MIN(1,MAX(0,(42-Pipeline!$E$20+1)/MAX(Pipeline!$F$20,1)))+Pipeline!$T$21*Pipeline!$D$21*MIN(1,MAX(0,(42-Pipeline!$E$21+1)/MAX(Pipeline!$F$21,1)))+Pipeline!$T$22*Pipeline!$D$22*MIN(1,MAX(0,(42-Pipeline!$E$22+1)/MAX(Pipeline!$F$22,1))))/Hipótesis!$D$17</f>
        <v>6939.81572629052</v>
      </c>
      <c r="AS17" s="139" t="n">
        <f aca="false">(Pipeline!$T$16*Pipeline!$D$16*MIN(1,MAX(0,(43-Pipeline!$E$16+1)/MAX(Pipeline!$F$16,1)))+Pipeline!$T$17*Pipeline!$D$17*MIN(1,MAX(0,(43-Pipeline!$E$17+1)/MAX(Pipeline!$F$17,1)))+Pipeline!$T$18*Pipeline!$D$18*MIN(1,MAX(0,(43-Pipeline!$E$18+1)/MAX(Pipeline!$F$18,1)))+Pipeline!$T$19*Pipeline!$D$19*MIN(1,MAX(0,(43-Pipeline!$E$19+1)/MAX(Pipeline!$F$19,1)))+Pipeline!$T$20*Pipeline!$D$20*MIN(1,MAX(0,(43-Pipeline!$E$20+1)/MAX(Pipeline!$F$20,1)))+Pipeline!$T$21*Pipeline!$D$21*MIN(1,MAX(0,(43-Pipeline!$E$21+1)/MAX(Pipeline!$F$21,1)))+Pipeline!$T$22*Pipeline!$D$22*MIN(1,MAX(0,(43-Pipeline!$E$22+1)/MAX(Pipeline!$F$22,1))))/Hipótesis!$D$17</f>
        <v>6939.81572629052</v>
      </c>
      <c r="AT17" s="139" t="n">
        <f aca="false">(Pipeline!$T$16*Pipeline!$D$16*MIN(1,MAX(0,(44-Pipeline!$E$16+1)/MAX(Pipeline!$F$16,1)))+Pipeline!$T$17*Pipeline!$D$17*MIN(1,MAX(0,(44-Pipeline!$E$17+1)/MAX(Pipeline!$F$17,1)))+Pipeline!$T$18*Pipeline!$D$18*MIN(1,MAX(0,(44-Pipeline!$E$18+1)/MAX(Pipeline!$F$18,1)))+Pipeline!$T$19*Pipeline!$D$19*MIN(1,MAX(0,(44-Pipeline!$E$19+1)/MAX(Pipeline!$F$19,1)))+Pipeline!$T$20*Pipeline!$D$20*MIN(1,MAX(0,(44-Pipeline!$E$20+1)/MAX(Pipeline!$F$20,1)))+Pipeline!$T$21*Pipeline!$D$21*MIN(1,MAX(0,(44-Pipeline!$E$21+1)/MAX(Pipeline!$F$21,1)))+Pipeline!$T$22*Pipeline!$D$22*MIN(1,MAX(0,(44-Pipeline!$E$22+1)/MAX(Pipeline!$F$22,1))))/Hipótesis!$D$17</f>
        <v>6939.81572629052</v>
      </c>
      <c r="AU17" s="139" t="n">
        <f aca="false">(Pipeline!$T$16*Pipeline!$D$16*MIN(1,MAX(0,(45-Pipeline!$E$16+1)/MAX(Pipeline!$F$16,1)))+Pipeline!$T$17*Pipeline!$D$17*MIN(1,MAX(0,(45-Pipeline!$E$17+1)/MAX(Pipeline!$F$17,1)))+Pipeline!$T$18*Pipeline!$D$18*MIN(1,MAX(0,(45-Pipeline!$E$18+1)/MAX(Pipeline!$F$18,1)))+Pipeline!$T$19*Pipeline!$D$19*MIN(1,MAX(0,(45-Pipeline!$E$19+1)/MAX(Pipeline!$F$19,1)))+Pipeline!$T$20*Pipeline!$D$20*MIN(1,MAX(0,(45-Pipeline!$E$20+1)/MAX(Pipeline!$F$20,1)))+Pipeline!$T$21*Pipeline!$D$21*MIN(1,MAX(0,(45-Pipeline!$E$21+1)/MAX(Pipeline!$F$21,1)))+Pipeline!$T$22*Pipeline!$D$22*MIN(1,MAX(0,(45-Pipeline!$E$22+1)/MAX(Pipeline!$F$22,1))))/Hipótesis!$D$17</f>
        <v>6939.81572629052</v>
      </c>
      <c r="AV17" s="139" t="n">
        <f aca="false">(Pipeline!$T$16*Pipeline!$D$16*MIN(1,MAX(0,(46-Pipeline!$E$16+1)/MAX(Pipeline!$F$16,1)))+Pipeline!$T$17*Pipeline!$D$17*MIN(1,MAX(0,(46-Pipeline!$E$17+1)/MAX(Pipeline!$F$17,1)))+Pipeline!$T$18*Pipeline!$D$18*MIN(1,MAX(0,(46-Pipeline!$E$18+1)/MAX(Pipeline!$F$18,1)))+Pipeline!$T$19*Pipeline!$D$19*MIN(1,MAX(0,(46-Pipeline!$E$19+1)/MAX(Pipeline!$F$19,1)))+Pipeline!$T$20*Pipeline!$D$20*MIN(1,MAX(0,(46-Pipeline!$E$20+1)/MAX(Pipeline!$F$20,1)))+Pipeline!$T$21*Pipeline!$D$21*MIN(1,MAX(0,(46-Pipeline!$E$21+1)/MAX(Pipeline!$F$21,1)))+Pipeline!$T$22*Pipeline!$D$22*MIN(1,MAX(0,(46-Pipeline!$E$22+1)/MAX(Pipeline!$F$22,1))))/Hipótesis!$D$17</f>
        <v>6939.81572629052</v>
      </c>
      <c r="AW17" s="139" t="n">
        <f aca="false">(Pipeline!$T$16*Pipeline!$D$16*MIN(1,MAX(0,(47-Pipeline!$E$16+1)/MAX(Pipeline!$F$16,1)))+Pipeline!$T$17*Pipeline!$D$17*MIN(1,MAX(0,(47-Pipeline!$E$17+1)/MAX(Pipeline!$F$17,1)))+Pipeline!$T$18*Pipeline!$D$18*MIN(1,MAX(0,(47-Pipeline!$E$18+1)/MAX(Pipeline!$F$18,1)))+Pipeline!$T$19*Pipeline!$D$19*MIN(1,MAX(0,(47-Pipeline!$E$19+1)/MAX(Pipeline!$F$19,1)))+Pipeline!$T$20*Pipeline!$D$20*MIN(1,MAX(0,(47-Pipeline!$E$20+1)/MAX(Pipeline!$F$20,1)))+Pipeline!$T$21*Pipeline!$D$21*MIN(1,MAX(0,(47-Pipeline!$E$21+1)/MAX(Pipeline!$F$21,1)))+Pipeline!$T$22*Pipeline!$D$22*MIN(1,MAX(0,(47-Pipeline!$E$22+1)/MAX(Pipeline!$F$22,1))))/Hipótesis!$D$17</f>
        <v>6939.81572629052</v>
      </c>
      <c r="AX17" s="139" t="n">
        <f aca="false">(Pipeline!$T$16*Pipeline!$D$16*MIN(1,MAX(0,(48-Pipeline!$E$16+1)/MAX(Pipeline!$F$16,1)))+Pipeline!$T$17*Pipeline!$D$17*MIN(1,MAX(0,(48-Pipeline!$E$17+1)/MAX(Pipeline!$F$17,1)))+Pipeline!$T$18*Pipeline!$D$18*MIN(1,MAX(0,(48-Pipeline!$E$18+1)/MAX(Pipeline!$F$18,1)))+Pipeline!$T$19*Pipeline!$D$19*MIN(1,MAX(0,(48-Pipeline!$E$19+1)/MAX(Pipeline!$F$19,1)))+Pipeline!$T$20*Pipeline!$D$20*MIN(1,MAX(0,(48-Pipeline!$E$20+1)/MAX(Pipeline!$F$20,1)))+Pipeline!$T$21*Pipeline!$D$21*MIN(1,MAX(0,(48-Pipeline!$E$21+1)/MAX(Pipeline!$F$21,1)))+Pipeline!$T$22*Pipeline!$D$22*MIN(1,MAX(0,(48-Pipeline!$E$22+1)/MAX(Pipeline!$F$22,1))))/Hipótesis!$D$17</f>
        <v>6939.81572629052</v>
      </c>
      <c r="AY17" s="139" t="n">
        <f aca="false">(Pipeline!$T$16*Pipeline!$D$16*MIN(1,MAX(0,(49-Pipeline!$E$16+1)/MAX(Pipeline!$F$16,1)))+Pipeline!$T$17*Pipeline!$D$17*MIN(1,MAX(0,(49-Pipeline!$E$17+1)/MAX(Pipeline!$F$17,1)))+Pipeline!$T$18*Pipeline!$D$18*MIN(1,MAX(0,(49-Pipeline!$E$18+1)/MAX(Pipeline!$F$18,1)))+Pipeline!$T$19*Pipeline!$D$19*MIN(1,MAX(0,(49-Pipeline!$E$19+1)/MAX(Pipeline!$F$19,1)))+Pipeline!$T$20*Pipeline!$D$20*MIN(1,MAX(0,(49-Pipeline!$E$20+1)/MAX(Pipeline!$F$20,1)))+Pipeline!$T$21*Pipeline!$D$21*MIN(1,MAX(0,(49-Pipeline!$E$21+1)/MAX(Pipeline!$F$21,1)))+Pipeline!$T$22*Pipeline!$D$22*MIN(1,MAX(0,(49-Pipeline!$E$22+1)/MAX(Pipeline!$F$22,1))))/Hipótesis!$D$17</f>
        <v>6939.81572629052</v>
      </c>
      <c r="AZ17" s="139" t="n">
        <f aca="false">(Pipeline!$T$16*Pipeline!$D$16*MIN(1,MAX(0,(50-Pipeline!$E$16+1)/MAX(Pipeline!$F$16,1)))+Pipeline!$T$17*Pipeline!$D$17*MIN(1,MAX(0,(50-Pipeline!$E$17+1)/MAX(Pipeline!$F$17,1)))+Pipeline!$T$18*Pipeline!$D$18*MIN(1,MAX(0,(50-Pipeline!$E$18+1)/MAX(Pipeline!$F$18,1)))+Pipeline!$T$19*Pipeline!$D$19*MIN(1,MAX(0,(50-Pipeline!$E$19+1)/MAX(Pipeline!$F$19,1)))+Pipeline!$T$20*Pipeline!$D$20*MIN(1,MAX(0,(50-Pipeline!$E$20+1)/MAX(Pipeline!$F$20,1)))+Pipeline!$T$21*Pipeline!$D$21*MIN(1,MAX(0,(50-Pipeline!$E$21+1)/MAX(Pipeline!$F$21,1)))+Pipeline!$T$22*Pipeline!$D$22*MIN(1,MAX(0,(50-Pipeline!$E$22+1)/MAX(Pipeline!$F$22,1))))/Hipótesis!$D$17</f>
        <v>6939.81572629052</v>
      </c>
      <c r="BA17" s="139" t="n">
        <f aca="false">(Pipeline!$T$16*Pipeline!$D$16*MIN(1,MAX(0,(51-Pipeline!$E$16+1)/MAX(Pipeline!$F$16,1)))+Pipeline!$T$17*Pipeline!$D$17*MIN(1,MAX(0,(51-Pipeline!$E$17+1)/MAX(Pipeline!$F$17,1)))+Pipeline!$T$18*Pipeline!$D$18*MIN(1,MAX(0,(51-Pipeline!$E$18+1)/MAX(Pipeline!$F$18,1)))+Pipeline!$T$19*Pipeline!$D$19*MIN(1,MAX(0,(51-Pipeline!$E$19+1)/MAX(Pipeline!$F$19,1)))+Pipeline!$T$20*Pipeline!$D$20*MIN(1,MAX(0,(51-Pipeline!$E$20+1)/MAX(Pipeline!$F$20,1)))+Pipeline!$T$21*Pipeline!$D$21*MIN(1,MAX(0,(51-Pipeline!$E$21+1)/MAX(Pipeline!$F$21,1)))+Pipeline!$T$22*Pipeline!$D$22*MIN(1,MAX(0,(51-Pipeline!$E$22+1)/MAX(Pipeline!$F$22,1))))/Hipótesis!$D$17</f>
        <v>6939.81572629052</v>
      </c>
      <c r="BB17" s="139" t="n">
        <f aca="false">(Pipeline!$T$16*Pipeline!$D$16*MIN(1,MAX(0,(52-Pipeline!$E$16+1)/MAX(Pipeline!$F$16,1)))+Pipeline!$T$17*Pipeline!$D$17*MIN(1,MAX(0,(52-Pipeline!$E$17+1)/MAX(Pipeline!$F$17,1)))+Pipeline!$T$18*Pipeline!$D$18*MIN(1,MAX(0,(52-Pipeline!$E$18+1)/MAX(Pipeline!$F$18,1)))+Pipeline!$T$19*Pipeline!$D$19*MIN(1,MAX(0,(52-Pipeline!$E$19+1)/MAX(Pipeline!$F$19,1)))+Pipeline!$T$20*Pipeline!$D$20*MIN(1,MAX(0,(52-Pipeline!$E$20+1)/MAX(Pipeline!$F$20,1)))+Pipeline!$T$21*Pipeline!$D$21*MIN(1,MAX(0,(52-Pipeline!$E$21+1)/MAX(Pipeline!$F$21,1)))+Pipeline!$T$22*Pipeline!$D$22*MIN(1,MAX(0,(52-Pipeline!$E$22+1)/MAX(Pipeline!$F$22,1))))/Hipótesis!$D$17</f>
        <v>6939.81572629052</v>
      </c>
      <c r="BC17" s="139" t="n">
        <f aca="false">(Pipeline!$T$16*Pipeline!$D$16*MIN(1,MAX(0,(53-Pipeline!$E$16+1)/MAX(Pipeline!$F$16,1)))+Pipeline!$T$17*Pipeline!$D$17*MIN(1,MAX(0,(53-Pipeline!$E$17+1)/MAX(Pipeline!$F$17,1)))+Pipeline!$T$18*Pipeline!$D$18*MIN(1,MAX(0,(53-Pipeline!$E$18+1)/MAX(Pipeline!$F$18,1)))+Pipeline!$T$19*Pipeline!$D$19*MIN(1,MAX(0,(53-Pipeline!$E$19+1)/MAX(Pipeline!$F$19,1)))+Pipeline!$T$20*Pipeline!$D$20*MIN(1,MAX(0,(53-Pipeline!$E$20+1)/MAX(Pipeline!$F$20,1)))+Pipeline!$T$21*Pipeline!$D$21*MIN(1,MAX(0,(53-Pipeline!$E$21+1)/MAX(Pipeline!$F$21,1)))+Pipeline!$T$22*Pipeline!$D$22*MIN(1,MAX(0,(53-Pipeline!$E$22+1)/MAX(Pipeline!$F$22,1))))/Hipótesis!$D$17</f>
        <v>6939.81572629052</v>
      </c>
      <c r="BD17" s="139" t="n">
        <f aca="false">(Pipeline!$T$16*Pipeline!$D$16*MIN(1,MAX(0,(54-Pipeline!$E$16+1)/MAX(Pipeline!$F$16,1)))+Pipeline!$T$17*Pipeline!$D$17*MIN(1,MAX(0,(54-Pipeline!$E$17+1)/MAX(Pipeline!$F$17,1)))+Pipeline!$T$18*Pipeline!$D$18*MIN(1,MAX(0,(54-Pipeline!$E$18+1)/MAX(Pipeline!$F$18,1)))+Pipeline!$T$19*Pipeline!$D$19*MIN(1,MAX(0,(54-Pipeline!$E$19+1)/MAX(Pipeline!$F$19,1)))+Pipeline!$T$20*Pipeline!$D$20*MIN(1,MAX(0,(54-Pipeline!$E$20+1)/MAX(Pipeline!$F$20,1)))+Pipeline!$T$21*Pipeline!$D$21*MIN(1,MAX(0,(54-Pipeline!$E$21+1)/MAX(Pipeline!$F$21,1)))+Pipeline!$T$22*Pipeline!$D$22*MIN(1,MAX(0,(54-Pipeline!$E$22+1)/MAX(Pipeline!$F$22,1))))/Hipótesis!$D$17</f>
        <v>6939.81572629052</v>
      </c>
      <c r="BE17" s="139" t="n">
        <f aca="false">(Pipeline!$T$16*Pipeline!$D$16*MIN(1,MAX(0,(55-Pipeline!$E$16+1)/MAX(Pipeline!$F$16,1)))+Pipeline!$T$17*Pipeline!$D$17*MIN(1,MAX(0,(55-Pipeline!$E$17+1)/MAX(Pipeline!$F$17,1)))+Pipeline!$T$18*Pipeline!$D$18*MIN(1,MAX(0,(55-Pipeline!$E$18+1)/MAX(Pipeline!$F$18,1)))+Pipeline!$T$19*Pipeline!$D$19*MIN(1,MAX(0,(55-Pipeline!$E$19+1)/MAX(Pipeline!$F$19,1)))+Pipeline!$T$20*Pipeline!$D$20*MIN(1,MAX(0,(55-Pipeline!$E$20+1)/MAX(Pipeline!$F$20,1)))+Pipeline!$T$21*Pipeline!$D$21*MIN(1,MAX(0,(55-Pipeline!$E$21+1)/MAX(Pipeline!$F$21,1)))+Pipeline!$T$22*Pipeline!$D$22*MIN(1,MAX(0,(55-Pipeline!$E$22+1)/MAX(Pipeline!$F$22,1))))/Hipótesis!$D$17</f>
        <v>6939.81572629052</v>
      </c>
      <c r="BF17" s="139" t="n">
        <f aca="false">(Pipeline!$T$16*Pipeline!$D$16*MIN(1,MAX(0,(56-Pipeline!$E$16+1)/MAX(Pipeline!$F$16,1)))+Pipeline!$T$17*Pipeline!$D$17*MIN(1,MAX(0,(56-Pipeline!$E$17+1)/MAX(Pipeline!$F$17,1)))+Pipeline!$T$18*Pipeline!$D$18*MIN(1,MAX(0,(56-Pipeline!$E$18+1)/MAX(Pipeline!$F$18,1)))+Pipeline!$T$19*Pipeline!$D$19*MIN(1,MAX(0,(56-Pipeline!$E$19+1)/MAX(Pipeline!$F$19,1)))+Pipeline!$T$20*Pipeline!$D$20*MIN(1,MAX(0,(56-Pipeline!$E$20+1)/MAX(Pipeline!$F$20,1)))+Pipeline!$T$21*Pipeline!$D$21*MIN(1,MAX(0,(56-Pipeline!$E$21+1)/MAX(Pipeline!$F$21,1)))+Pipeline!$T$22*Pipeline!$D$22*MIN(1,MAX(0,(56-Pipeline!$E$22+1)/MAX(Pipeline!$F$22,1))))/Hipótesis!$D$17</f>
        <v>6939.81572629052</v>
      </c>
      <c r="BG17" s="139" t="n">
        <f aca="false">(Pipeline!$T$16*Pipeline!$D$16*MIN(1,MAX(0,(57-Pipeline!$E$16+1)/MAX(Pipeline!$F$16,1)))+Pipeline!$T$17*Pipeline!$D$17*MIN(1,MAX(0,(57-Pipeline!$E$17+1)/MAX(Pipeline!$F$17,1)))+Pipeline!$T$18*Pipeline!$D$18*MIN(1,MAX(0,(57-Pipeline!$E$18+1)/MAX(Pipeline!$F$18,1)))+Pipeline!$T$19*Pipeline!$D$19*MIN(1,MAX(0,(57-Pipeline!$E$19+1)/MAX(Pipeline!$F$19,1)))+Pipeline!$T$20*Pipeline!$D$20*MIN(1,MAX(0,(57-Pipeline!$E$20+1)/MAX(Pipeline!$F$20,1)))+Pipeline!$T$21*Pipeline!$D$21*MIN(1,MAX(0,(57-Pipeline!$E$21+1)/MAX(Pipeline!$F$21,1)))+Pipeline!$T$22*Pipeline!$D$22*MIN(1,MAX(0,(57-Pipeline!$E$22+1)/MAX(Pipeline!$F$22,1))))/Hipótesis!$D$17</f>
        <v>6939.81572629052</v>
      </c>
      <c r="BH17" s="139" t="n">
        <f aca="false">(Pipeline!$T$16*Pipeline!$D$16*MIN(1,MAX(0,(58-Pipeline!$E$16+1)/MAX(Pipeline!$F$16,1)))+Pipeline!$T$17*Pipeline!$D$17*MIN(1,MAX(0,(58-Pipeline!$E$17+1)/MAX(Pipeline!$F$17,1)))+Pipeline!$T$18*Pipeline!$D$18*MIN(1,MAX(0,(58-Pipeline!$E$18+1)/MAX(Pipeline!$F$18,1)))+Pipeline!$T$19*Pipeline!$D$19*MIN(1,MAX(0,(58-Pipeline!$E$19+1)/MAX(Pipeline!$F$19,1)))+Pipeline!$T$20*Pipeline!$D$20*MIN(1,MAX(0,(58-Pipeline!$E$20+1)/MAX(Pipeline!$F$20,1)))+Pipeline!$T$21*Pipeline!$D$21*MIN(1,MAX(0,(58-Pipeline!$E$21+1)/MAX(Pipeline!$F$21,1)))+Pipeline!$T$22*Pipeline!$D$22*MIN(1,MAX(0,(58-Pipeline!$E$22+1)/MAX(Pipeline!$F$22,1))))/Hipótesis!$D$17</f>
        <v>6939.81572629052</v>
      </c>
      <c r="BI17" s="139" t="n">
        <f aca="false">(Pipeline!$T$16*Pipeline!$D$16*MIN(1,MAX(0,(59-Pipeline!$E$16+1)/MAX(Pipeline!$F$16,1)))+Pipeline!$T$17*Pipeline!$D$17*MIN(1,MAX(0,(59-Pipeline!$E$17+1)/MAX(Pipeline!$F$17,1)))+Pipeline!$T$18*Pipeline!$D$18*MIN(1,MAX(0,(59-Pipeline!$E$18+1)/MAX(Pipeline!$F$18,1)))+Pipeline!$T$19*Pipeline!$D$19*MIN(1,MAX(0,(59-Pipeline!$E$19+1)/MAX(Pipeline!$F$19,1)))+Pipeline!$T$20*Pipeline!$D$20*MIN(1,MAX(0,(59-Pipeline!$E$20+1)/MAX(Pipeline!$F$20,1)))+Pipeline!$T$21*Pipeline!$D$21*MIN(1,MAX(0,(59-Pipeline!$E$21+1)/MAX(Pipeline!$F$21,1)))+Pipeline!$T$22*Pipeline!$D$22*MIN(1,MAX(0,(59-Pipeline!$E$22+1)/MAX(Pipeline!$F$22,1))))/Hipótesis!$D$17</f>
        <v>6939.81572629052</v>
      </c>
      <c r="BJ17" s="139" t="n">
        <f aca="false">(Pipeline!$T$16*Pipeline!$D$16*MIN(1,MAX(0,(60-Pipeline!$E$16+1)/MAX(Pipeline!$F$16,1)))+Pipeline!$T$17*Pipeline!$D$17*MIN(1,MAX(0,(60-Pipeline!$E$17+1)/MAX(Pipeline!$F$17,1)))+Pipeline!$T$18*Pipeline!$D$18*MIN(1,MAX(0,(60-Pipeline!$E$18+1)/MAX(Pipeline!$F$18,1)))+Pipeline!$T$19*Pipeline!$D$19*MIN(1,MAX(0,(60-Pipeline!$E$19+1)/MAX(Pipeline!$F$19,1)))+Pipeline!$T$20*Pipeline!$D$20*MIN(1,MAX(0,(60-Pipeline!$E$20+1)/MAX(Pipeline!$F$20,1)))+Pipeline!$T$21*Pipeline!$D$21*MIN(1,MAX(0,(60-Pipeline!$E$21+1)/MAX(Pipeline!$F$21,1)))+Pipeline!$T$22*Pipeline!$D$22*MIN(1,MAX(0,(60-Pipeline!$E$22+1)/MAX(Pipeline!$F$22,1))))/Hipótesis!$D$17</f>
        <v>6939.81572629052</v>
      </c>
      <c r="BK17" s="139" t="n">
        <f aca="false">(Pipeline!$T$16*Pipeline!$D$16*MIN(1,MAX(0,(61-Pipeline!$E$16+1)/MAX(Pipeline!$F$16,1)))+Pipeline!$T$17*Pipeline!$D$17*MIN(1,MAX(0,(61-Pipeline!$E$17+1)/MAX(Pipeline!$F$17,1)))+Pipeline!$T$18*Pipeline!$D$18*MIN(1,MAX(0,(61-Pipeline!$E$18+1)/MAX(Pipeline!$F$18,1)))+Pipeline!$T$19*Pipeline!$D$19*MIN(1,MAX(0,(61-Pipeline!$E$19+1)/MAX(Pipeline!$F$19,1)))+Pipeline!$T$20*Pipeline!$D$20*MIN(1,MAX(0,(61-Pipeline!$E$20+1)/MAX(Pipeline!$F$20,1)))+Pipeline!$T$21*Pipeline!$D$21*MIN(1,MAX(0,(61-Pipeline!$E$21+1)/MAX(Pipeline!$F$21,1)))+Pipeline!$T$22*Pipeline!$D$22*MIN(1,MAX(0,(61-Pipeline!$E$22+1)/MAX(Pipeline!$F$22,1))))/Hipótesis!$D$17</f>
        <v>6939.81572629052</v>
      </c>
      <c r="BL17" s="139" t="n">
        <f aca="false">(Pipeline!$T$16*Pipeline!$D$16*MIN(1,MAX(0,(62-Pipeline!$E$16+1)/MAX(Pipeline!$F$16,1)))+Pipeline!$T$17*Pipeline!$D$17*MIN(1,MAX(0,(62-Pipeline!$E$17+1)/MAX(Pipeline!$F$17,1)))+Pipeline!$T$18*Pipeline!$D$18*MIN(1,MAX(0,(62-Pipeline!$E$18+1)/MAX(Pipeline!$F$18,1)))+Pipeline!$T$19*Pipeline!$D$19*MIN(1,MAX(0,(62-Pipeline!$E$19+1)/MAX(Pipeline!$F$19,1)))+Pipeline!$T$20*Pipeline!$D$20*MIN(1,MAX(0,(62-Pipeline!$E$20+1)/MAX(Pipeline!$F$20,1)))+Pipeline!$T$21*Pipeline!$D$21*MIN(1,MAX(0,(62-Pipeline!$E$21+1)/MAX(Pipeline!$F$21,1)))+Pipeline!$T$22*Pipeline!$D$22*MIN(1,MAX(0,(62-Pipeline!$E$22+1)/MAX(Pipeline!$F$22,1))))/Hipótesis!$D$17</f>
        <v>6939.81572629052</v>
      </c>
      <c r="BM17" s="139" t="n">
        <f aca="false">(Pipeline!$T$16*Pipeline!$D$16*MIN(1,MAX(0,(63-Pipeline!$E$16+1)/MAX(Pipeline!$F$16,1)))+Pipeline!$T$17*Pipeline!$D$17*MIN(1,MAX(0,(63-Pipeline!$E$17+1)/MAX(Pipeline!$F$17,1)))+Pipeline!$T$18*Pipeline!$D$18*MIN(1,MAX(0,(63-Pipeline!$E$18+1)/MAX(Pipeline!$F$18,1)))+Pipeline!$T$19*Pipeline!$D$19*MIN(1,MAX(0,(63-Pipeline!$E$19+1)/MAX(Pipeline!$F$19,1)))+Pipeline!$T$20*Pipeline!$D$20*MIN(1,MAX(0,(63-Pipeline!$E$20+1)/MAX(Pipeline!$F$20,1)))+Pipeline!$T$21*Pipeline!$D$21*MIN(1,MAX(0,(63-Pipeline!$E$21+1)/MAX(Pipeline!$F$21,1)))+Pipeline!$T$22*Pipeline!$D$22*MIN(1,MAX(0,(63-Pipeline!$E$22+1)/MAX(Pipeline!$F$22,1))))/Hipótesis!$D$17</f>
        <v>6939.81572629052</v>
      </c>
      <c r="BN17" s="139" t="n">
        <f aca="false">(Pipeline!$T$16*Pipeline!$D$16*MIN(1,MAX(0,(64-Pipeline!$E$16+1)/MAX(Pipeline!$F$16,1)))+Pipeline!$T$17*Pipeline!$D$17*MIN(1,MAX(0,(64-Pipeline!$E$17+1)/MAX(Pipeline!$F$17,1)))+Pipeline!$T$18*Pipeline!$D$18*MIN(1,MAX(0,(64-Pipeline!$E$18+1)/MAX(Pipeline!$F$18,1)))+Pipeline!$T$19*Pipeline!$D$19*MIN(1,MAX(0,(64-Pipeline!$E$19+1)/MAX(Pipeline!$F$19,1)))+Pipeline!$T$20*Pipeline!$D$20*MIN(1,MAX(0,(64-Pipeline!$E$20+1)/MAX(Pipeline!$F$20,1)))+Pipeline!$T$21*Pipeline!$D$21*MIN(1,MAX(0,(64-Pipeline!$E$21+1)/MAX(Pipeline!$F$21,1)))+Pipeline!$T$22*Pipeline!$D$22*MIN(1,MAX(0,(64-Pipeline!$E$22+1)/MAX(Pipeline!$F$22,1))))/Hipótesis!$D$17</f>
        <v>6939.81572629052</v>
      </c>
      <c r="BO17" s="139" t="n">
        <f aca="false">(Pipeline!$T$16*Pipeline!$D$16*MIN(1,MAX(0,(65-Pipeline!$E$16+1)/MAX(Pipeline!$F$16,1)))+Pipeline!$T$17*Pipeline!$D$17*MIN(1,MAX(0,(65-Pipeline!$E$17+1)/MAX(Pipeline!$F$17,1)))+Pipeline!$T$18*Pipeline!$D$18*MIN(1,MAX(0,(65-Pipeline!$E$18+1)/MAX(Pipeline!$F$18,1)))+Pipeline!$T$19*Pipeline!$D$19*MIN(1,MAX(0,(65-Pipeline!$E$19+1)/MAX(Pipeline!$F$19,1)))+Pipeline!$T$20*Pipeline!$D$20*MIN(1,MAX(0,(65-Pipeline!$E$20+1)/MAX(Pipeline!$F$20,1)))+Pipeline!$T$21*Pipeline!$D$21*MIN(1,MAX(0,(65-Pipeline!$E$21+1)/MAX(Pipeline!$F$21,1)))+Pipeline!$T$22*Pipeline!$D$22*MIN(1,MAX(0,(65-Pipeline!$E$22+1)/MAX(Pipeline!$F$22,1))))/Hipótesis!$D$17</f>
        <v>6939.81572629052</v>
      </c>
      <c r="BP17" s="139" t="n">
        <f aca="false">(Pipeline!$T$16*Pipeline!$D$16*MIN(1,MAX(0,(66-Pipeline!$E$16+1)/MAX(Pipeline!$F$16,1)))+Pipeline!$T$17*Pipeline!$D$17*MIN(1,MAX(0,(66-Pipeline!$E$17+1)/MAX(Pipeline!$F$17,1)))+Pipeline!$T$18*Pipeline!$D$18*MIN(1,MAX(0,(66-Pipeline!$E$18+1)/MAX(Pipeline!$F$18,1)))+Pipeline!$T$19*Pipeline!$D$19*MIN(1,MAX(0,(66-Pipeline!$E$19+1)/MAX(Pipeline!$F$19,1)))+Pipeline!$T$20*Pipeline!$D$20*MIN(1,MAX(0,(66-Pipeline!$E$20+1)/MAX(Pipeline!$F$20,1)))+Pipeline!$T$21*Pipeline!$D$21*MIN(1,MAX(0,(66-Pipeline!$E$21+1)/MAX(Pipeline!$F$21,1)))+Pipeline!$T$22*Pipeline!$D$22*MIN(1,MAX(0,(66-Pipeline!$E$22+1)/MAX(Pipeline!$F$22,1))))/Hipótesis!$D$17</f>
        <v>6939.81572629052</v>
      </c>
      <c r="BQ17" s="139" t="n">
        <f aca="false">(Pipeline!$T$16*Pipeline!$D$16*MIN(1,MAX(0,(67-Pipeline!$E$16+1)/MAX(Pipeline!$F$16,1)))+Pipeline!$T$17*Pipeline!$D$17*MIN(1,MAX(0,(67-Pipeline!$E$17+1)/MAX(Pipeline!$F$17,1)))+Pipeline!$T$18*Pipeline!$D$18*MIN(1,MAX(0,(67-Pipeline!$E$18+1)/MAX(Pipeline!$F$18,1)))+Pipeline!$T$19*Pipeline!$D$19*MIN(1,MAX(0,(67-Pipeline!$E$19+1)/MAX(Pipeline!$F$19,1)))+Pipeline!$T$20*Pipeline!$D$20*MIN(1,MAX(0,(67-Pipeline!$E$20+1)/MAX(Pipeline!$F$20,1)))+Pipeline!$T$21*Pipeline!$D$21*MIN(1,MAX(0,(67-Pipeline!$E$21+1)/MAX(Pipeline!$F$21,1)))+Pipeline!$T$22*Pipeline!$D$22*MIN(1,MAX(0,(67-Pipeline!$E$22+1)/MAX(Pipeline!$F$22,1))))/Hipótesis!$D$17</f>
        <v>6939.81572629052</v>
      </c>
      <c r="BR17" s="139" t="n">
        <f aca="false">(Pipeline!$T$16*Pipeline!$D$16*MIN(1,MAX(0,(68-Pipeline!$E$16+1)/MAX(Pipeline!$F$16,1)))+Pipeline!$T$17*Pipeline!$D$17*MIN(1,MAX(0,(68-Pipeline!$E$17+1)/MAX(Pipeline!$F$17,1)))+Pipeline!$T$18*Pipeline!$D$18*MIN(1,MAX(0,(68-Pipeline!$E$18+1)/MAX(Pipeline!$F$18,1)))+Pipeline!$T$19*Pipeline!$D$19*MIN(1,MAX(0,(68-Pipeline!$E$19+1)/MAX(Pipeline!$F$19,1)))+Pipeline!$T$20*Pipeline!$D$20*MIN(1,MAX(0,(68-Pipeline!$E$20+1)/MAX(Pipeline!$F$20,1)))+Pipeline!$T$21*Pipeline!$D$21*MIN(1,MAX(0,(68-Pipeline!$E$21+1)/MAX(Pipeline!$F$21,1)))+Pipeline!$T$22*Pipeline!$D$22*MIN(1,MAX(0,(68-Pipeline!$E$22+1)/MAX(Pipeline!$F$22,1))))/Hipótesis!$D$17</f>
        <v>6939.81572629052</v>
      </c>
      <c r="BS17" s="139" t="n">
        <f aca="false">(Pipeline!$T$16*Pipeline!$D$16*MIN(1,MAX(0,(69-Pipeline!$E$16+1)/MAX(Pipeline!$F$16,1)))+Pipeline!$T$17*Pipeline!$D$17*MIN(1,MAX(0,(69-Pipeline!$E$17+1)/MAX(Pipeline!$F$17,1)))+Pipeline!$T$18*Pipeline!$D$18*MIN(1,MAX(0,(69-Pipeline!$E$18+1)/MAX(Pipeline!$F$18,1)))+Pipeline!$T$19*Pipeline!$D$19*MIN(1,MAX(0,(69-Pipeline!$E$19+1)/MAX(Pipeline!$F$19,1)))+Pipeline!$T$20*Pipeline!$D$20*MIN(1,MAX(0,(69-Pipeline!$E$20+1)/MAX(Pipeline!$F$20,1)))+Pipeline!$T$21*Pipeline!$D$21*MIN(1,MAX(0,(69-Pipeline!$E$21+1)/MAX(Pipeline!$F$21,1)))+Pipeline!$T$22*Pipeline!$D$22*MIN(1,MAX(0,(69-Pipeline!$E$22+1)/MAX(Pipeline!$F$22,1))))/Hipótesis!$D$17</f>
        <v>6939.81572629052</v>
      </c>
      <c r="BT17" s="139" t="n">
        <f aca="false">(Pipeline!$T$16*Pipeline!$D$16*MIN(1,MAX(0,(70-Pipeline!$E$16+1)/MAX(Pipeline!$F$16,1)))+Pipeline!$T$17*Pipeline!$D$17*MIN(1,MAX(0,(70-Pipeline!$E$17+1)/MAX(Pipeline!$F$17,1)))+Pipeline!$T$18*Pipeline!$D$18*MIN(1,MAX(0,(70-Pipeline!$E$18+1)/MAX(Pipeline!$F$18,1)))+Pipeline!$T$19*Pipeline!$D$19*MIN(1,MAX(0,(70-Pipeline!$E$19+1)/MAX(Pipeline!$F$19,1)))+Pipeline!$T$20*Pipeline!$D$20*MIN(1,MAX(0,(70-Pipeline!$E$20+1)/MAX(Pipeline!$F$20,1)))+Pipeline!$T$21*Pipeline!$D$21*MIN(1,MAX(0,(70-Pipeline!$E$21+1)/MAX(Pipeline!$F$21,1)))+Pipeline!$T$22*Pipeline!$D$22*MIN(1,MAX(0,(70-Pipeline!$E$22+1)/MAX(Pipeline!$F$22,1))))/Hipótesis!$D$17</f>
        <v>6939.81572629052</v>
      </c>
      <c r="BU17" s="139" t="n">
        <f aca="false">(Pipeline!$T$16*Pipeline!$D$16*MIN(1,MAX(0,(71-Pipeline!$E$16+1)/MAX(Pipeline!$F$16,1)))+Pipeline!$T$17*Pipeline!$D$17*MIN(1,MAX(0,(71-Pipeline!$E$17+1)/MAX(Pipeline!$F$17,1)))+Pipeline!$T$18*Pipeline!$D$18*MIN(1,MAX(0,(71-Pipeline!$E$18+1)/MAX(Pipeline!$F$18,1)))+Pipeline!$T$19*Pipeline!$D$19*MIN(1,MAX(0,(71-Pipeline!$E$19+1)/MAX(Pipeline!$F$19,1)))+Pipeline!$T$20*Pipeline!$D$20*MIN(1,MAX(0,(71-Pipeline!$E$20+1)/MAX(Pipeline!$F$20,1)))+Pipeline!$T$21*Pipeline!$D$21*MIN(1,MAX(0,(71-Pipeline!$E$21+1)/MAX(Pipeline!$F$21,1)))+Pipeline!$T$22*Pipeline!$D$22*MIN(1,MAX(0,(71-Pipeline!$E$22+1)/MAX(Pipeline!$F$22,1))))/Hipótesis!$D$17</f>
        <v>6939.81572629052</v>
      </c>
      <c r="BV17" s="139" t="n">
        <f aca="false">(Pipeline!$T$16*Pipeline!$D$16*MIN(1,MAX(0,(72-Pipeline!$E$16+1)/MAX(Pipeline!$F$16,1)))+Pipeline!$T$17*Pipeline!$D$17*MIN(1,MAX(0,(72-Pipeline!$E$17+1)/MAX(Pipeline!$F$17,1)))+Pipeline!$T$18*Pipeline!$D$18*MIN(1,MAX(0,(72-Pipeline!$E$18+1)/MAX(Pipeline!$F$18,1)))+Pipeline!$T$19*Pipeline!$D$19*MIN(1,MAX(0,(72-Pipeline!$E$19+1)/MAX(Pipeline!$F$19,1)))+Pipeline!$T$20*Pipeline!$D$20*MIN(1,MAX(0,(72-Pipeline!$E$20+1)/MAX(Pipeline!$F$20,1)))+Pipeline!$T$21*Pipeline!$D$21*MIN(1,MAX(0,(72-Pipeline!$E$21+1)/MAX(Pipeline!$F$21,1)))+Pipeline!$T$22*Pipeline!$D$22*MIN(1,MAX(0,(72-Pipeline!$E$22+1)/MAX(Pipeline!$F$22,1))))/Hipótesis!$D$17</f>
        <v>6939.81572629052</v>
      </c>
      <c r="BW17" s="139" t="n">
        <f aca="false">(Pipeline!$T$16*Pipeline!$D$16*MIN(1,MAX(0,(73-Pipeline!$E$16+1)/MAX(Pipeline!$F$16,1)))+Pipeline!$T$17*Pipeline!$D$17*MIN(1,MAX(0,(73-Pipeline!$E$17+1)/MAX(Pipeline!$F$17,1)))+Pipeline!$T$18*Pipeline!$D$18*MIN(1,MAX(0,(73-Pipeline!$E$18+1)/MAX(Pipeline!$F$18,1)))+Pipeline!$T$19*Pipeline!$D$19*MIN(1,MAX(0,(73-Pipeline!$E$19+1)/MAX(Pipeline!$F$19,1)))+Pipeline!$T$20*Pipeline!$D$20*MIN(1,MAX(0,(73-Pipeline!$E$20+1)/MAX(Pipeline!$F$20,1)))+Pipeline!$T$21*Pipeline!$D$21*MIN(1,MAX(0,(73-Pipeline!$E$21+1)/MAX(Pipeline!$F$21,1)))+Pipeline!$T$22*Pipeline!$D$22*MIN(1,MAX(0,(73-Pipeline!$E$22+1)/MAX(Pipeline!$F$22,1))))/Hipótesis!$D$17</f>
        <v>6939.81572629052</v>
      </c>
      <c r="BX17" s="139" t="n">
        <f aca="false">(Pipeline!$T$16*Pipeline!$D$16*MIN(1,MAX(0,(74-Pipeline!$E$16+1)/MAX(Pipeline!$F$16,1)))+Pipeline!$T$17*Pipeline!$D$17*MIN(1,MAX(0,(74-Pipeline!$E$17+1)/MAX(Pipeline!$F$17,1)))+Pipeline!$T$18*Pipeline!$D$18*MIN(1,MAX(0,(74-Pipeline!$E$18+1)/MAX(Pipeline!$F$18,1)))+Pipeline!$T$19*Pipeline!$D$19*MIN(1,MAX(0,(74-Pipeline!$E$19+1)/MAX(Pipeline!$F$19,1)))+Pipeline!$T$20*Pipeline!$D$20*MIN(1,MAX(0,(74-Pipeline!$E$20+1)/MAX(Pipeline!$F$20,1)))+Pipeline!$T$21*Pipeline!$D$21*MIN(1,MAX(0,(74-Pipeline!$E$21+1)/MAX(Pipeline!$F$21,1)))+Pipeline!$T$22*Pipeline!$D$22*MIN(1,MAX(0,(74-Pipeline!$E$22+1)/MAX(Pipeline!$F$22,1))))/Hipótesis!$D$17</f>
        <v>6939.81572629052</v>
      </c>
      <c r="BY17" s="139" t="n">
        <f aca="false">(Pipeline!$T$16*Pipeline!$D$16*MIN(1,MAX(0,(75-Pipeline!$E$16+1)/MAX(Pipeline!$F$16,1)))+Pipeline!$T$17*Pipeline!$D$17*MIN(1,MAX(0,(75-Pipeline!$E$17+1)/MAX(Pipeline!$F$17,1)))+Pipeline!$T$18*Pipeline!$D$18*MIN(1,MAX(0,(75-Pipeline!$E$18+1)/MAX(Pipeline!$F$18,1)))+Pipeline!$T$19*Pipeline!$D$19*MIN(1,MAX(0,(75-Pipeline!$E$19+1)/MAX(Pipeline!$F$19,1)))+Pipeline!$T$20*Pipeline!$D$20*MIN(1,MAX(0,(75-Pipeline!$E$20+1)/MAX(Pipeline!$F$20,1)))+Pipeline!$T$21*Pipeline!$D$21*MIN(1,MAX(0,(75-Pipeline!$E$21+1)/MAX(Pipeline!$F$21,1)))+Pipeline!$T$22*Pipeline!$D$22*MIN(1,MAX(0,(75-Pipeline!$E$22+1)/MAX(Pipeline!$F$22,1))))/Hipótesis!$D$17</f>
        <v>6939.81572629052</v>
      </c>
      <c r="BZ17" s="139" t="n">
        <f aca="false">(Pipeline!$T$16*Pipeline!$D$16*MIN(1,MAX(0,(76-Pipeline!$E$16+1)/MAX(Pipeline!$F$16,1)))+Pipeline!$T$17*Pipeline!$D$17*MIN(1,MAX(0,(76-Pipeline!$E$17+1)/MAX(Pipeline!$F$17,1)))+Pipeline!$T$18*Pipeline!$D$18*MIN(1,MAX(0,(76-Pipeline!$E$18+1)/MAX(Pipeline!$F$18,1)))+Pipeline!$T$19*Pipeline!$D$19*MIN(1,MAX(0,(76-Pipeline!$E$19+1)/MAX(Pipeline!$F$19,1)))+Pipeline!$T$20*Pipeline!$D$20*MIN(1,MAX(0,(76-Pipeline!$E$20+1)/MAX(Pipeline!$F$20,1)))+Pipeline!$T$21*Pipeline!$D$21*MIN(1,MAX(0,(76-Pipeline!$E$21+1)/MAX(Pipeline!$F$21,1)))+Pipeline!$T$22*Pipeline!$D$22*MIN(1,MAX(0,(76-Pipeline!$E$22+1)/MAX(Pipeline!$F$22,1))))/Hipótesis!$D$17</f>
        <v>6939.81572629052</v>
      </c>
      <c r="CA17" s="139" t="n">
        <f aca="false">(Pipeline!$T$16*Pipeline!$D$16*MIN(1,MAX(0,(77-Pipeline!$E$16+1)/MAX(Pipeline!$F$16,1)))+Pipeline!$T$17*Pipeline!$D$17*MIN(1,MAX(0,(77-Pipeline!$E$17+1)/MAX(Pipeline!$F$17,1)))+Pipeline!$T$18*Pipeline!$D$18*MIN(1,MAX(0,(77-Pipeline!$E$18+1)/MAX(Pipeline!$F$18,1)))+Pipeline!$T$19*Pipeline!$D$19*MIN(1,MAX(0,(77-Pipeline!$E$19+1)/MAX(Pipeline!$F$19,1)))+Pipeline!$T$20*Pipeline!$D$20*MIN(1,MAX(0,(77-Pipeline!$E$20+1)/MAX(Pipeline!$F$20,1)))+Pipeline!$T$21*Pipeline!$D$21*MIN(1,MAX(0,(77-Pipeline!$E$21+1)/MAX(Pipeline!$F$21,1)))+Pipeline!$T$22*Pipeline!$D$22*MIN(1,MAX(0,(77-Pipeline!$E$22+1)/MAX(Pipeline!$F$22,1))))/Hipótesis!$D$17</f>
        <v>6939.81572629052</v>
      </c>
      <c r="CB17" s="139" t="n">
        <f aca="false">(Pipeline!$T$16*Pipeline!$D$16*MIN(1,MAX(0,(78-Pipeline!$E$16+1)/MAX(Pipeline!$F$16,1)))+Pipeline!$T$17*Pipeline!$D$17*MIN(1,MAX(0,(78-Pipeline!$E$17+1)/MAX(Pipeline!$F$17,1)))+Pipeline!$T$18*Pipeline!$D$18*MIN(1,MAX(0,(78-Pipeline!$E$18+1)/MAX(Pipeline!$F$18,1)))+Pipeline!$T$19*Pipeline!$D$19*MIN(1,MAX(0,(78-Pipeline!$E$19+1)/MAX(Pipeline!$F$19,1)))+Pipeline!$T$20*Pipeline!$D$20*MIN(1,MAX(0,(78-Pipeline!$E$20+1)/MAX(Pipeline!$F$20,1)))+Pipeline!$T$21*Pipeline!$D$21*MIN(1,MAX(0,(78-Pipeline!$E$21+1)/MAX(Pipeline!$F$21,1)))+Pipeline!$T$22*Pipeline!$D$22*MIN(1,MAX(0,(78-Pipeline!$E$22+1)/MAX(Pipeline!$F$22,1))))/Hipótesis!$D$17</f>
        <v>6939.81572629052</v>
      </c>
      <c r="CC17" s="139" t="n">
        <f aca="false">(Pipeline!$T$16*Pipeline!$D$16*MIN(1,MAX(0,(79-Pipeline!$E$16+1)/MAX(Pipeline!$F$16,1)))+Pipeline!$T$17*Pipeline!$D$17*MIN(1,MAX(0,(79-Pipeline!$E$17+1)/MAX(Pipeline!$F$17,1)))+Pipeline!$T$18*Pipeline!$D$18*MIN(1,MAX(0,(79-Pipeline!$E$18+1)/MAX(Pipeline!$F$18,1)))+Pipeline!$T$19*Pipeline!$D$19*MIN(1,MAX(0,(79-Pipeline!$E$19+1)/MAX(Pipeline!$F$19,1)))+Pipeline!$T$20*Pipeline!$D$20*MIN(1,MAX(0,(79-Pipeline!$E$20+1)/MAX(Pipeline!$F$20,1)))+Pipeline!$T$21*Pipeline!$D$21*MIN(1,MAX(0,(79-Pipeline!$E$21+1)/MAX(Pipeline!$F$21,1)))+Pipeline!$T$22*Pipeline!$D$22*MIN(1,MAX(0,(79-Pipeline!$E$22+1)/MAX(Pipeline!$F$22,1))))/Hipótesis!$D$17</f>
        <v>6939.81572629052</v>
      </c>
      <c r="CD17" s="139" t="n">
        <f aca="false">(Pipeline!$T$16*Pipeline!$D$16*MIN(1,MAX(0,(80-Pipeline!$E$16+1)/MAX(Pipeline!$F$16,1)))+Pipeline!$T$17*Pipeline!$D$17*MIN(1,MAX(0,(80-Pipeline!$E$17+1)/MAX(Pipeline!$F$17,1)))+Pipeline!$T$18*Pipeline!$D$18*MIN(1,MAX(0,(80-Pipeline!$E$18+1)/MAX(Pipeline!$F$18,1)))+Pipeline!$T$19*Pipeline!$D$19*MIN(1,MAX(0,(80-Pipeline!$E$19+1)/MAX(Pipeline!$F$19,1)))+Pipeline!$T$20*Pipeline!$D$20*MIN(1,MAX(0,(80-Pipeline!$E$20+1)/MAX(Pipeline!$F$20,1)))+Pipeline!$T$21*Pipeline!$D$21*MIN(1,MAX(0,(80-Pipeline!$E$21+1)/MAX(Pipeline!$F$21,1)))+Pipeline!$T$22*Pipeline!$D$22*MIN(1,MAX(0,(80-Pipeline!$E$22+1)/MAX(Pipeline!$F$22,1))))/Hipótesis!$D$17</f>
        <v>6939.81572629052</v>
      </c>
      <c r="CE17" s="139" t="n">
        <f aca="false">(Pipeline!$T$16*Pipeline!$D$16*MIN(1,MAX(0,(81-Pipeline!$E$16+1)/MAX(Pipeline!$F$16,1)))+Pipeline!$T$17*Pipeline!$D$17*MIN(1,MAX(0,(81-Pipeline!$E$17+1)/MAX(Pipeline!$F$17,1)))+Pipeline!$T$18*Pipeline!$D$18*MIN(1,MAX(0,(81-Pipeline!$E$18+1)/MAX(Pipeline!$F$18,1)))+Pipeline!$T$19*Pipeline!$D$19*MIN(1,MAX(0,(81-Pipeline!$E$19+1)/MAX(Pipeline!$F$19,1)))+Pipeline!$T$20*Pipeline!$D$20*MIN(1,MAX(0,(81-Pipeline!$E$20+1)/MAX(Pipeline!$F$20,1)))+Pipeline!$T$21*Pipeline!$D$21*MIN(1,MAX(0,(81-Pipeline!$E$21+1)/MAX(Pipeline!$F$21,1)))+Pipeline!$T$22*Pipeline!$D$22*MIN(1,MAX(0,(81-Pipeline!$E$22+1)/MAX(Pipeline!$F$22,1))))/Hipótesis!$D$17</f>
        <v>6939.81572629052</v>
      </c>
      <c r="CF17" s="139" t="n">
        <f aca="false">(Pipeline!$T$16*Pipeline!$D$16*MIN(1,MAX(0,(82-Pipeline!$E$16+1)/MAX(Pipeline!$F$16,1)))+Pipeline!$T$17*Pipeline!$D$17*MIN(1,MAX(0,(82-Pipeline!$E$17+1)/MAX(Pipeline!$F$17,1)))+Pipeline!$T$18*Pipeline!$D$18*MIN(1,MAX(0,(82-Pipeline!$E$18+1)/MAX(Pipeline!$F$18,1)))+Pipeline!$T$19*Pipeline!$D$19*MIN(1,MAX(0,(82-Pipeline!$E$19+1)/MAX(Pipeline!$F$19,1)))+Pipeline!$T$20*Pipeline!$D$20*MIN(1,MAX(0,(82-Pipeline!$E$20+1)/MAX(Pipeline!$F$20,1)))+Pipeline!$T$21*Pipeline!$D$21*MIN(1,MAX(0,(82-Pipeline!$E$21+1)/MAX(Pipeline!$F$21,1)))+Pipeline!$T$22*Pipeline!$D$22*MIN(1,MAX(0,(82-Pipeline!$E$22+1)/MAX(Pipeline!$F$22,1))))/Hipótesis!$D$17</f>
        <v>6939.81572629052</v>
      </c>
      <c r="CG17" s="139" t="n">
        <f aca="false">(Pipeline!$T$16*Pipeline!$D$16*MIN(1,MAX(0,(83-Pipeline!$E$16+1)/MAX(Pipeline!$F$16,1)))+Pipeline!$T$17*Pipeline!$D$17*MIN(1,MAX(0,(83-Pipeline!$E$17+1)/MAX(Pipeline!$F$17,1)))+Pipeline!$T$18*Pipeline!$D$18*MIN(1,MAX(0,(83-Pipeline!$E$18+1)/MAX(Pipeline!$F$18,1)))+Pipeline!$T$19*Pipeline!$D$19*MIN(1,MAX(0,(83-Pipeline!$E$19+1)/MAX(Pipeline!$F$19,1)))+Pipeline!$T$20*Pipeline!$D$20*MIN(1,MAX(0,(83-Pipeline!$E$20+1)/MAX(Pipeline!$F$20,1)))+Pipeline!$T$21*Pipeline!$D$21*MIN(1,MAX(0,(83-Pipeline!$E$21+1)/MAX(Pipeline!$F$21,1)))+Pipeline!$T$22*Pipeline!$D$22*MIN(1,MAX(0,(83-Pipeline!$E$22+1)/MAX(Pipeline!$F$22,1))))/Hipótesis!$D$17</f>
        <v>6939.81572629052</v>
      </c>
      <c r="CH17" s="139" t="n">
        <f aca="false">(Pipeline!$T$16*Pipeline!$D$16*MIN(1,MAX(0,(84-Pipeline!$E$16+1)/MAX(Pipeline!$F$16,1)))+Pipeline!$T$17*Pipeline!$D$17*MIN(1,MAX(0,(84-Pipeline!$E$17+1)/MAX(Pipeline!$F$17,1)))+Pipeline!$T$18*Pipeline!$D$18*MIN(1,MAX(0,(84-Pipeline!$E$18+1)/MAX(Pipeline!$F$18,1)))+Pipeline!$T$19*Pipeline!$D$19*MIN(1,MAX(0,(84-Pipeline!$E$19+1)/MAX(Pipeline!$F$19,1)))+Pipeline!$T$20*Pipeline!$D$20*MIN(1,MAX(0,(84-Pipeline!$E$20+1)/MAX(Pipeline!$F$20,1)))+Pipeline!$T$21*Pipeline!$D$21*MIN(1,MAX(0,(84-Pipeline!$E$21+1)/MAX(Pipeline!$F$21,1)))+Pipeline!$T$22*Pipeline!$D$22*MIN(1,MAX(0,(84-Pipeline!$E$22+1)/MAX(Pipeline!$F$22,1))))/Hipótesis!$D$17</f>
        <v>6939.81572629052</v>
      </c>
    </row>
    <row r="18" customFormat="false" ht="13.5" hidden="false" customHeight="true" outlineLevel="0" collapsed="false">
      <c r="A18" s="13" t="s">
        <v>701</v>
      </c>
      <c r="C18" s="150" t="n">
        <f aca="false">(Pipeline!$U$16*Pipeline!$D$16*MIN(1,MAX(0,(1-Pipeline!$E$16+1)/MAX(Pipeline!$F$16,1)))+Pipeline!$U$17*Pipeline!$D$17*MIN(1,MAX(0,(1-Pipeline!$E$17+1)/MAX(Pipeline!$F$17,1)))+Pipeline!$U$18*Pipeline!$D$18*MIN(1,MAX(0,(1-Pipeline!$E$18+1)/MAX(Pipeline!$F$18,1)))+Pipeline!$U$19*Pipeline!$D$19*MIN(1,MAX(0,(1-Pipeline!$E$19+1)/MAX(Pipeline!$F$19,1)))+Pipeline!$U$20*Pipeline!$D$20*MIN(1,MAX(0,(1-Pipeline!$E$20+1)/MAX(Pipeline!$F$20,1)))+Pipeline!$U$21*Pipeline!$D$21*MIN(1,MAX(0,(1-Pipeline!$E$21+1)/MAX(Pipeline!$F$21,1)))+Pipeline!$U$22*Pipeline!$D$22*MIN(1,MAX(0,(1-Pipeline!$E$22+1)/MAX(Pipeline!$F$22,1))))/Hipótesis!$D$17</f>
        <v>38.3601797063335</v>
      </c>
      <c r="D18" s="150" t="n">
        <f aca="false">(Pipeline!$U$16*Pipeline!$D$16*MIN(1,MAX(0,(2-Pipeline!$E$16+1)/MAX(Pipeline!$F$16,1)))+Pipeline!$U$17*Pipeline!$D$17*MIN(1,MAX(0,(2-Pipeline!$E$17+1)/MAX(Pipeline!$F$17,1)))+Pipeline!$U$18*Pipeline!$D$18*MIN(1,MAX(0,(2-Pipeline!$E$18+1)/MAX(Pipeline!$F$18,1)))+Pipeline!$U$19*Pipeline!$D$19*MIN(1,MAX(0,(2-Pipeline!$E$19+1)/MAX(Pipeline!$F$19,1)))+Pipeline!$U$20*Pipeline!$D$20*MIN(1,MAX(0,(2-Pipeline!$E$20+1)/MAX(Pipeline!$F$20,1)))+Pipeline!$U$21*Pipeline!$D$21*MIN(1,MAX(0,(2-Pipeline!$E$21+1)/MAX(Pipeline!$F$21,1)))+Pipeline!$U$22*Pipeline!$D$22*MIN(1,MAX(0,(2-Pipeline!$E$22+1)/MAX(Pipeline!$F$22,1))))/Hipótesis!$D$17</f>
        <v>78.5877454203246</v>
      </c>
      <c r="E18" s="150" t="n">
        <f aca="false">(Pipeline!$U$16*Pipeline!$D$16*MIN(1,MAX(0,(3-Pipeline!$E$16+1)/MAX(Pipeline!$F$16,1)))+Pipeline!$U$17*Pipeline!$D$17*MIN(1,MAX(0,(3-Pipeline!$E$17+1)/MAX(Pipeline!$F$17,1)))+Pipeline!$U$18*Pipeline!$D$18*MIN(1,MAX(0,(3-Pipeline!$E$18+1)/MAX(Pipeline!$F$18,1)))+Pipeline!$U$19*Pipeline!$D$19*MIN(1,MAX(0,(3-Pipeline!$E$19+1)/MAX(Pipeline!$F$19,1)))+Pipeline!$U$20*Pipeline!$D$20*MIN(1,MAX(0,(3-Pipeline!$E$20+1)/MAX(Pipeline!$F$20,1)))+Pipeline!$U$21*Pipeline!$D$21*MIN(1,MAX(0,(3-Pipeline!$E$21+1)/MAX(Pipeline!$F$21,1)))+Pipeline!$U$22*Pipeline!$D$22*MIN(1,MAX(0,(3-Pipeline!$E$22+1)/MAX(Pipeline!$F$22,1))))/Hipótesis!$D$17</f>
        <v>149.499906224817</v>
      </c>
      <c r="F18" s="150" t="n">
        <f aca="false">(Pipeline!$U$16*Pipeline!$D$16*MIN(1,MAX(0,(4-Pipeline!$E$16+1)/MAX(Pipeline!$F$16,1)))+Pipeline!$U$17*Pipeline!$D$17*MIN(1,MAX(0,(4-Pipeline!$E$17+1)/MAX(Pipeline!$F$17,1)))+Pipeline!$U$18*Pipeline!$D$18*MIN(1,MAX(0,(4-Pipeline!$E$18+1)/MAX(Pipeline!$F$18,1)))+Pipeline!$U$19*Pipeline!$D$19*MIN(1,MAX(0,(4-Pipeline!$E$19+1)/MAX(Pipeline!$F$19,1)))+Pipeline!$U$20*Pipeline!$D$20*MIN(1,MAX(0,(4-Pipeline!$E$20+1)/MAX(Pipeline!$F$20,1)))+Pipeline!$U$21*Pipeline!$D$21*MIN(1,MAX(0,(4-Pipeline!$E$21+1)/MAX(Pipeline!$F$21,1)))+Pipeline!$U$22*Pipeline!$D$22*MIN(1,MAX(0,(4-Pipeline!$E$22+1)/MAX(Pipeline!$F$22,1))))/Hipótesis!$D$17</f>
        <v>182.051887322976</v>
      </c>
      <c r="G18" s="150" t="n">
        <f aca="false">(Pipeline!$U$16*Pipeline!$D$16*MIN(1,MAX(0,(5-Pipeline!$E$16+1)/MAX(Pipeline!$F$16,1)))+Pipeline!$U$17*Pipeline!$D$17*MIN(1,MAX(0,(5-Pipeline!$E$17+1)/MAX(Pipeline!$F$17,1)))+Pipeline!$U$18*Pipeline!$D$18*MIN(1,MAX(0,(5-Pipeline!$E$18+1)/MAX(Pipeline!$F$18,1)))+Pipeline!$U$19*Pipeline!$D$19*MIN(1,MAX(0,(5-Pipeline!$E$19+1)/MAX(Pipeline!$F$19,1)))+Pipeline!$U$20*Pipeline!$D$20*MIN(1,MAX(0,(5-Pipeline!$E$20+1)/MAX(Pipeline!$F$20,1)))+Pipeline!$U$21*Pipeline!$D$21*MIN(1,MAX(0,(5-Pipeline!$E$21+1)/MAX(Pipeline!$F$21,1)))+Pipeline!$U$22*Pipeline!$D$22*MIN(1,MAX(0,(5-Pipeline!$E$22+1)/MAX(Pipeline!$F$22,1))))/Hipótesis!$D$17</f>
        <v>212.736482413478</v>
      </c>
      <c r="H18" s="150" t="n">
        <f aca="false">(Pipeline!$U$16*Pipeline!$D$16*MIN(1,MAX(0,(6-Pipeline!$E$16+1)/MAX(Pipeline!$F$16,1)))+Pipeline!$U$17*Pipeline!$D$17*MIN(1,MAX(0,(6-Pipeline!$E$17+1)/MAX(Pipeline!$F$17,1)))+Pipeline!$U$18*Pipeline!$D$18*MIN(1,MAX(0,(6-Pipeline!$E$18+1)/MAX(Pipeline!$F$18,1)))+Pipeline!$U$19*Pipeline!$D$19*MIN(1,MAX(0,(6-Pipeline!$E$19+1)/MAX(Pipeline!$F$19,1)))+Pipeline!$U$20*Pipeline!$D$20*MIN(1,MAX(0,(6-Pipeline!$E$20+1)/MAX(Pipeline!$F$20,1)))+Pipeline!$U$21*Pipeline!$D$21*MIN(1,MAX(0,(6-Pipeline!$E$21+1)/MAX(Pipeline!$F$21,1)))+Pipeline!$U$22*Pipeline!$D$22*MIN(1,MAX(0,(6-Pipeline!$E$22+1)/MAX(Pipeline!$F$22,1))))/Hipótesis!$D$17</f>
        <v>264.818208841722</v>
      </c>
      <c r="I18" s="150" t="n">
        <f aca="false">(Pipeline!$U$16*Pipeline!$D$16*MIN(1,MAX(0,(7-Pipeline!$E$16+1)/MAX(Pipeline!$F$16,1)))+Pipeline!$U$17*Pipeline!$D$17*MIN(1,MAX(0,(7-Pipeline!$E$17+1)/MAX(Pipeline!$F$17,1)))+Pipeline!$U$18*Pipeline!$D$18*MIN(1,MAX(0,(7-Pipeline!$E$18+1)/MAX(Pipeline!$F$18,1)))+Pipeline!$U$19*Pipeline!$D$19*MIN(1,MAX(0,(7-Pipeline!$E$19+1)/MAX(Pipeline!$F$19,1)))+Pipeline!$U$20*Pipeline!$D$20*MIN(1,MAX(0,(7-Pipeline!$E$20+1)/MAX(Pipeline!$F$20,1)))+Pipeline!$U$21*Pipeline!$D$21*MIN(1,MAX(0,(7-Pipeline!$E$21+1)/MAX(Pipeline!$F$21,1)))+Pipeline!$U$22*Pipeline!$D$22*MIN(1,MAX(0,(7-Pipeline!$E$22+1)/MAX(Pipeline!$F$22,1))))/Hipótesis!$D$17</f>
        <v>316.899935269966</v>
      </c>
      <c r="J18" s="150" t="n">
        <f aca="false">(Pipeline!$U$16*Pipeline!$D$16*MIN(1,MAX(0,(8-Pipeline!$E$16+1)/MAX(Pipeline!$F$16,1)))+Pipeline!$U$17*Pipeline!$D$17*MIN(1,MAX(0,(8-Pipeline!$E$17+1)/MAX(Pipeline!$F$17,1)))+Pipeline!$U$18*Pipeline!$D$18*MIN(1,MAX(0,(8-Pipeline!$E$18+1)/MAX(Pipeline!$F$18,1)))+Pipeline!$U$19*Pipeline!$D$19*MIN(1,MAX(0,(8-Pipeline!$E$19+1)/MAX(Pipeline!$F$19,1)))+Pipeline!$U$20*Pipeline!$D$20*MIN(1,MAX(0,(8-Pipeline!$E$20+1)/MAX(Pipeline!$F$20,1)))+Pipeline!$U$21*Pipeline!$D$21*MIN(1,MAX(0,(8-Pipeline!$E$21+1)/MAX(Pipeline!$F$21,1)))+Pipeline!$U$22*Pipeline!$D$22*MIN(1,MAX(0,(8-Pipeline!$E$22+1)/MAX(Pipeline!$F$22,1))))/Hipótesis!$D$17</f>
        <v>368.98166169821</v>
      </c>
      <c r="K18" s="150" t="n">
        <f aca="false">(Pipeline!$U$16*Pipeline!$D$16*MIN(1,MAX(0,(9-Pipeline!$E$16+1)/MAX(Pipeline!$F$16,1)))+Pipeline!$U$17*Pipeline!$D$17*MIN(1,MAX(0,(9-Pipeline!$E$17+1)/MAX(Pipeline!$F$17,1)))+Pipeline!$U$18*Pipeline!$D$18*MIN(1,MAX(0,(9-Pipeline!$E$18+1)/MAX(Pipeline!$F$18,1)))+Pipeline!$U$19*Pipeline!$D$19*MIN(1,MAX(0,(9-Pipeline!$E$19+1)/MAX(Pipeline!$F$19,1)))+Pipeline!$U$20*Pipeline!$D$20*MIN(1,MAX(0,(9-Pipeline!$E$20+1)/MAX(Pipeline!$F$20,1)))+Pipeline!$U$21*Pipeline!$D$21*MIN(1,MAX(0,(9-Pipeline!$E$21+1)/MAX(Pipeline!$F$21,1)))+Pipeline!$U$22*Pipeline!$D$22*MIN(1,MAX(0,(9-Pipeline!$E$22+1)/MAX(Pipeline!$F$22,1))))/Hipótesis!$D$17</f>
        <v>421.063388126454</v>
      </c>
      <c r="L18" s="150" t="n">
        <f aca="false">(Pipeline!$U$16*Pipeline!$D$16*MIN(1,MAX(0,(10-Pipeline!$E$16+1)/MAX(Pipeline!$F$16,1)))+Pipeline!$U$17*Pipeline!$D$17*MIN(1,MAX(0,(10-Pipeline!$E$17+1)/MAX(Pipeline!$F$17,1)))+Pipeline!$U$18*Pipeline!$D$18*MIN(1,MAX(0,(10-Pipeline!$E$18+1)/MAX(Pipeline!$F$18,1)))+Pipeline!$U$19*Pipeline!$D$19*MIN(1,MAX(0,(10-Pipeline!$E$19+1)/MAX(Pipeline!$F$19,1)))+Pipeline!$U$20*Pipeline!$D$20*MIN(1,MAX(0,(10-Pipeline!$E$20+1)/MAX(Pipeline!$F$20,1)))+Pipeline!$U$21*Pipeline!$D$21*MIN(1,MAX(0,(10-Pipeline!$E$21+1)/MAX(Pipeline!$F$21,1)))+Pipeline!$U$22*Pipeline!$D$22*MIN(1,MAX(0,(10-Pipeline!$E$22+1)/MAX(Pipeline!$F$22,1))))/Hipótesis!$D$17</f>
        <v>473.145114554698</v>
      </c>
      <c r="M18" s="150" t="n">
        <f aca="false">(Pipeline!$U$16*Pipeline!$D$16*MIN(1,MAX(0,(11-Pipeline!$E$16+1)/MAX(Pipeline!$F$16,1)))+Pipeline!$U$17*Pipeline!$D$17*MIN(1,MAX(0,(11-Pipeline!$E$17+1)/MAX(Pipeline!$F$17,1)))+Pipeline!$U$18*Pipeline!$D$18*MIN(1,MAX(0,(11-Pipeline!$E$18+1)/MAX(Pipeline!$F$18,1)))+Pipeline!$U$19*Pipeline!$D$19*MIN(1,MAX(0,(11-Pipeline!$E$19+1)/MAX(Pipeline!$F$19,1)))+Pipeline!$U$20*Pipeline!$D$20*MIN(1,MAX(0,(11-Pipeline!$E$20+1)/MAX(Pipeline!$F$20,1)))+Pipeline!$U$21*Pipeline!$D$21*MIN(1,MAX(0,(11-Pipeline!$E$21+1)/MAX(Pipeline!$F$21,1)))+Pipeline!$U$22*Pipeline!$D$22*MIN(1,MAX(0,(11-Pipeline!$E$22+1)/MAX(Pipeline!$F$22,1))))/Hipótesis!$D$17</f>
        <v>494.54224589244</v>
      </c>
      <c r="N18" s="150" t="n">
        <f aca="false">(Pipeline!$U$16*Pipeline!$D$16*MIN(1,MAX(0,(12-Pipeline!$E$16+1)/MAX(Pipeline!$F$16,1)))+Pipeline!$U$17*Pipeline!$D$17*MIN(1,MAX(0,(12-Pipeline!$E$17+1)/MAX(Pipeline!$F$17,1)))+Pipeline!$U$18*Pipeline!$D$18*MIN(1,MAX(0,(12-Pipeline!$E$18+1)/MAX(Pipeline!$F$18,1)))+Pipeline!$U$19*Pipeline!$D$19*MIN(1,MAX(0,(12-Pipeline!$E$19+1)/MAX(Pipeline!$F$19,1)))+Pipeline!$U$20*Pipeline!$D$20*MIN(1,MAX(0,(12-Pipeline!$E$20+1)/MAX(Pipeline!$F$20,1)))+Pipeline!$U$21*Pipeline!$D$21*MIN(1,MAX(0,(12-Pipeline!$E$21+1)/MAX(Pipeline!$F$21,1)))+Pipeline!$U$22*Pipeline!$D$22*MIN(1,MAX(0,(12-Pipeline!$E$22+1)/MAX(Pipeline!$F$22,1))))/Hipótesis!$D$17</f>
        <v>547.062477357807</v>
      </c>
      <c r="O18" s="150" t="n">
        <f aca="false">(Pipeline!$U$16*Pipeline!$D$16*MIN(1,MAX(0,(13-Pipeline!$E$16+1)/MAX(Pipeline!$F$16,1)))+Pipeline!$U$17*Pipeline!$D$17*MIN(1,MAX(0,(13-Pipeline!$E$17+1)/MAX(Pipeline!$F$17,1)))+Pipeline!$U$18*Pipeline!$D$18*MIN(1,MAX(0,(13-Pipeline!$E$18+1)/MAX(Pipeline!$F$18,1)))+Pipeline!$U$19*Pipeline!$D$19*MIN(1,MAX(0,(13-Pipeline!$E$19+1)/MAX(Pipeline!$F$19,1)))+Pipeline!$U$20*Pipeline!$D$20*MIN(1,MAX(0,(13-Pipeline!$E$20+1)/MAX(Pipeline!$F$20,1)))+Pipeline!$U$21*Pipeline!$D$21*MIN(1,MAX(0,(13-Pipeline!$E$21+1)/MAX(Pipeline!$F$21,1)))+Pipeline!$U$22*Pipeline!$D$22*MIN(1,MAX(0,(13-Pipeline!$E$22+1)/MAX(Pipeline!$F$22,1))))/Hipótesis!$D$17</f>
        <v>599.582708823174</v>
      </c>
      <c r="P18" s="150" t="n">
        <f aca="false">(Pipeline!$U$16*Pipeline!$D$16*MIN(1,MAX(0,(14-Pipeline!$E$16+1)/MAX(Pipeline!$F$16,1)))+Pipeline!$U$17*Pipeline!$D$17*MIN(1,MAX(0,(14-Pipeline!$E$17+1)/MAX(Pipeline!$F$17,1)))+Pipeline!$U$18*Pipeline!$D$18*MIN(1,MAX(0,(14-Pipeline!$E$18+1)/MAX(Pipeline!$F$18,1)))+Pipeline!$U$19*Pipeline!$D$19*MIN(1,MAX(0,(14-Pipeline!$E$19+1)/MAX(Pipeline!$F$19,1)))+Pipeline!$U$20*Pipeline!$D$20*MIN(1,MAX(0,(14-Pipeline!$E$20+1)/MAX(Pipeline!$F$20,1)))+Pipeline!$U$21*Pipeline!$D$21*MIN(1,MAX(0,(14-Pipeline!$E$21+1)/MAX(Pipeline!$F$21,1)))+Pipeline!$U$22*Pipeline!$D$22*MIN(1,MAX(0,(14-Pipeline!$E$22+1)/MAX(Pipeline!$F$22,1))))/Hipótesis!$D$17</f>
        <v>643.155049001849</v>
      </c>
      <c r="Q18" s="150" t="n">
        <f aca="false">(Pipeline!$U$16*Pipeline!$D$16*MIN(1,MAX(0,(15-Pipeline!$E$16+1)/MAX(Pipeline!$F$16,1)))+Pipeline!$U$17*Pipeline!$D$17*MIN(1,MAX(0,(15-Pipeline!$E$17+1)/MAX(Pipeline!$F$17,1)))+Pipeline!$U$18*Pipeline!$D$18*MIN(1,MAX(0,(15-Pipeline!$E$18+1)/MAX(Pipeline!$F$18,1)))+Pipeline!$U$19*Pipeline!$D$19*MIN(1,MAX(0,(15-Pipeline!$E$19+1)/MAX(Pipeline!$F$19,1)))+Pipeline!$U$20*Pipeline!$D$20*MIN(1,MAX(0,(15-Pipeline!$E$20+1)/MAX(Pipeline!$F$20,1)))+Pipeline!$U$21*Pipeline!$D$21*MIN(1,MAX(0,(15-Pipeline!$E$21+1)/MAX(Pipeline!$F$21,1)))+Pipeline!$U$22*Pipeline!$D$22*MIN(1,MAX(0,(15-Pipeline!$E$22+1)/MAX(Pipeline!$F$22,1))))/Hipótesis!$D$17</f>
        <v>686.727389180524</v>
      </c>
      <c r="R18" s="150" t="n">
        <f aca="false">(Pipeline!$U$16*Pipeline!$D$16*MIN(1,MAX(0,(16-Pipeline!$E$16+1)/MAX(Pipeline!$F$16,1)))+Pipeline!$U$17*Pipeline!$D$17*MIN(1,MAX(0,(16-Pipeline!$E$17+1)/MAX(Pipeline!$F$17,1)))+Pipeline!$U$18*Pipeline!$D$18*MIN(1,MAX(0,(16-Pipeline!$E$18+1)/MAX(Pipeline!$F$18,1)))+Pipeline!$U$19*Pipeline!$D$19*MIN(1,MAX(0,(16-Pipeline!$E$19+1)/MAX(Pipeline!$F$19,1)))+Pipeline!$U$20*Pipeline!$D$20*MIN(1,MAX(0,(16-Pipeline!$E$20+1)/MAX(Pipeline!$F$20,1)))+Pipeline!$U$21*Pipeline!$D$21*MIN(1,MAX(0,(16-Pipeline!$E$21+1)/MAX(Pipeline!$F$21,1)))+Pipeline!$U$22*Pipeline!$D$22*MIN(1,MAX(0,(16-Pipeline!$E$22+1)/MAX(Pipeline!$F$22,1))))/Hipótesis!$D$17</f>
        <v>730.299729359199</v>
      </c>
      <c r="S18" s="150" t="n">
        <f aca="false">(Pipeline!$U$16*Pipeline!$D$16*MIN(1,MAX(0,(17-Pipeline!$E$16+1)/MAX(Pipeline!$F$16,1)))+Pipeline!$U$17*Pipeline!$D$17*MIN(1,MAX(0,(17-Pipeline!$E$17+1)/MAX(Pipeline!$F$17,1)))+Pipeline!$U$18*Pipeline!$D$18*MIN(1,MAX(0,(17-Pipeline!$E$18+1)/MAX(Pipeline!$F$18,1)))+Pipeline!$U$19*Pipeline!$D$19*MIN(1,MAX(0,(17-Pipeline!$E$19+1)/MAX(Pipeline!$F$19,1)))+Pipeline!$U$20*Pipeline!$D$20*MIN(1,MAX(0,(17-Pipeline!$E$20+1)/MAX(Pipeline!$F$20,1)))+Pipeline!$U$21*Pipeline!$D$21*MIN(1,MAX(0,(17-Pipeline!$E$21+1)/MAX(Pipeline!$F$21,1)))+Pipeline!$U$22*Pipeline!$D$22*MIN(1,MAX(0,(17-Pipeline!$E$22+1)/MAX(Pipeline!$F$22,1))))/Hipótesis!$D$17</f>
        <v>773.872069537874</v>
      </c>
      <c r="T18" s="150" t="n">
        <f aca="false">(Pipeline!$U$16*Pipeline!$D$16*MIN(1,MAX(0,(18-Pipeline!$E$16+1)/MAX(Pipeline!$F$16,1)))+Pipeline!$U$17*Pipeline!$D$17*MIN(1,MAX(0,(18-Pipeline!$E$17+1)/MAX(Pipeline!$F$17,1)))+Pipeline!$U$18*Pipeline!$D$18*MIN(1,MAX(0,(18-Pipeline!$E$18+1)/MAX(Pipeline!$F$18,1)))+Pipeline!$U$19*Pipeline!$D$19*MIN(1,MAX(0,(18-Pipeline!$E$19+1)/MAX(Pipeline!$F$19,1)))+Pipeline!$U$20*Pipeline!$D$20*MIN(1,MAX(0,(18-Pipeline!$E$20+1)/MAX(Pipeline!$F$20,1)))+Pipeline!$U$21*Pipeline!$D$21*MIN(1,MAX(0,(18-Pipeline!$E$21+1)/MAX(Pipeline!$F$21,1)))+Pipeline!$U$22*Pipeline!$D$22*MIN(1,MAX(0,(18-Pipeline!$E$22+1)/MAX(Pipeline!$F$22,1))))/Hipótesis!$D$17</f>
        <v>817.444409716549</v>
      </c>
      <c r="U18" s="150" t="n">
        <f aca="false">(Pipeline!$U$16*Pipeline!$D$16*MIN(1,MAX(0,(19-Pipeline!$E$16+1)/MAX(Pipeline!$F$16,1)))+Pipeline!$U$17*Pipeline!$D$17*MIN(1,MAX(0,(19-Pipeline!$E$17+1)/MAX(Pipeline!$F$17,1)))+Pipeline!$U$18*Pipeline!$D$18*MIN(1,MAX(0,(19-Pipeline!$E$18+1)/MAX(Pipeline!$F$18,1)))+Pipeline!$U$19*Pipeline!$D$19*MIN(1,MAX(0,(19-Pipeline!$E$19+1)/MAX(Pipeline!$F$19,1)))+Pipeline!$U$20*Pipeline!$D$20*MIN(1,MAX(0,(19-Pipeline!$E$20+1)/MAX(Pipeline!$F$20,1)))+Pipeline!$U$21*Pipeline!$D$21*MIN(1,MAX(0,(19-Pipeline!$E$21+1)/MAX(Pipeline!$F$21,1)))+Pipeline!$U$22*Pipeline!$D$22*MIN(1,MAX(0,(19-Pipeline!$E$22+1)/MAX(Pipeline!$F$22,1))))/Hipótesis!$D$17</f>
        <v>861.016749895224</v>
      </c>
      <c r="V18" s="150" t="n">
        <f aca="false">(Pipeline!$U$16*Pipeline!$D$16*MIN(1,MAX(0,(20-Pipeline!$E$16+1)/MAX(Pipeline!$F$16,1)))+Pipeline!$U$17*Pipeline!$D$17*MIN(1,MAX(0,(20-Pipeline!$E$17+1)/MAX(Pipeline!$F$17,1)))+Pipeline!$U$18*Pipeline!$D$18*MIN(1,MAX(0,(20-Pipeline!$E$18+1)/MAX(Pipeline!$F$18,1)))+Pipeline!$U$19*Pipeline!$D$19*MIN(1,MAX(0,(20-Pipeline!$E$19+1)/MAX(Pipeline!$F$19,1)))+Pipeline!$U$20*Pipeline!$D$20*MIN(1,MAX(0,(20-Pipeline!$E$20+1)/MAX(Pipeline!$F$20,1)))+Pipeline!$U$21*Pipeline!$D$21*MIN(1,MAX(0,(20-Pipeline!$E$21+1)/MAX(Pipeline!$F$21,1)))+Pipeline!$U$22*Pipeline!$D$22*MIN(1,MAX(0,(20-Pipeline!$E$22+1)/MAX(Pipeline!$F$22,1))))/Hipótesis!$D$17</f>
        <v>904.589090073899</v>
      </c>
      <c r="W18" s="150" t="n">
        <f aca="false">(Pipeline!$U$16*Pipeline!$D$16*MIN(1,MAX(0,(21-Pipeline!$E$16+1)/MAX(Pipeline!$F$16,1)))+Pipeline!$U$17*Pipeline!$D$17*MIN(1,MAX(0,(21-Pipeline!$E$17+1)/MAX(Pipeline!$F$17,1)))+Pipeline!$U$18*Pipeline!$D$18*MIN(1,MAX(0,(21-Pipeline!$E$18+1)/MAX(Pipeline!$F$18,1)))+Pipeline!$U$19*Pipeline!$D$19*MIN(1,MAX(0,(21-Pipeline!$E$19+1)/MAX(Pipeline!$F$19,1)))+Pipeline!$U$20*Pipeline!$D$20*MIN(1,MAX(0,(21-Pipeline!$E$20+1)/MAX(Pipeline!$F$20,1)))+Pipeline!$U$21*Pipeline!$D$21*MIN(1,MAX(0,(21-Pipeline!$E$21+1)/MAX(Pipeline!$F$21,1)))+Pipeline!$U$22*Pipeline!$D$22*MIN(1,MAX(0,(21-Pipeline!$E$22+1)/MAX(Pipeline!$F$22,1))))/Hipótesis!$D$17</f>
        <v>948.161430252574</v>
      </c>
      <c r="X18" s="150" t="n">
        <f aca="false">(Pipeline!$U$16*Pipeline!$D$16*MIN(1,MAX(0,(22-Pipeline!$E$16+1)/MAX(Pipeline!$F$16,1)))+Pipeline!$U$17*Pipeline!$D$17*MIN(1,MAX(0,(22-Pipeline!$E$17+1)/MAX(Pipeline!$F$17,1)))+Pipeline!$U$18*Pipeline!$D$18*MIN(1,MAX(0,(22-Pipeline!$E$18+1)/MAX(Pipeline!$F$18,1)))+Pipeline!$U$19*Pipeline!$D$19*MIN(1,MAX(0,(22-Pipeline!$E$19+1)/MAX(Pipeline!$F$19,1)))+Pipeline!$U$20*Pipeline!$D$20*MIN(1,MAX(0,(22-Pipeline!$E$20+1)/MAX(Pipeline!$F$20,1)))+Pipeline!$U$21*Pipeline!$D$21*MIN(1,MAX(0,(22-Pipeline!$E$21+1)/MAX(Pipeline!$F$21,1)))+Pipeline!$U$22*Pipeline!$D$22*MIN(1,MAX(0,(22-Pipeline!$E$22+1)/MAX(Pipeline!$F$22,1))))/Hipótesis!$D$17</f>
        <v>960.610670303624</v>
      </c>
      <c r="Y18" s="150" t="n">
        <f aca="false">(Pipeline!$U$16*Pipeline!$D$16*MIN(1,MAX(0,(23-Pipeline!$E$16+1)/MAX(Pipeline!$F$16,1)))+Pipeline!$U$17*Pipeline!$D$17*MIN(1,MAX(0,(23-Pipeline!$E$17+1)/MAX(Pipeline!$F$17,1)))+Pipeline!$U$18*Pipeline!$D$18*MIN(1,MAX(0,(23-Pipeline!$E$18+1)/MAX(Pipeline!$F$18,1)))+Pipeline!$U$19*Pipeline!$D$19*MIN(1,MAX(0,(23-Pipeline!$E$19+1)/MAX(Pipeline!$F$19,1)))+Pipeline!$U$20*Pipeline!$D$20*MIN(1,MAX(0,(23-Pipeline!$E$20+1)/MAX(Pipeline!$F$20,1)))+Pipeline!$U$21*Pipeline!$D$21*MIN(1,MAX(0,(23-Pipeline!$E$21+1)/MAX(Pipeline!$F$21,1)))+Pipeline!$U$22*Pipeline!$D$22*MIN(1,MAX(0,(23-Pipeline!$E$22+1)/MAX(Pipeline!$F$22,1))))/Hipótesis!$D$17</f>
        <v>973.059910354674</v>
      </c>
      <c r="Z18" s="150" t="n">
        <f aca="false">(Pipeline!$U$16*Pipeline!$D$16*MIN(1,MAX(0,(24-Pipeline!$E$16+1)/MAX(Pipeline!$F$16,1)))+Pipeline!$U$17*Pipeline!$D$17*MIN(1,MAX(0,(24-Pipeline!$E$17+1)/MAX(Pipeline!$F$17,1)))+Pipeline!$U$18*Pipeline!$D$18*MIN(1,MAX(0,(24-Pipeline!$E$18+1)/MAX(Pipeline!$F$18,1)))+Pipeline!$U$19*Pipeline!$D$19*MIN(1,MAX(0,(24-Pipeline!$E$19+1)/MAX(Pipeline!$F$19,1)))+Pipeline!$U$20*Pipeline!$D$20*MIN(1,MAX(0,(24-Pipeline!$E$20+1)/MAX(Pipeline!$F$20,1)))+Pipeline!$U$21*Pipeline!$D$21*MIN(1,MAX(0,(24-Pipeline!$E$21+1)/MAX(Pipeline!$F$21,1)))+Pipeline!$U$22*Pipeline!$D$22*MIN(1,MAX(0,(24-Pipeline!$E$22+1)/MAX(Pipeline!$F$22,1))))/Hipótesis!$D$17</f>
        <v>973.059910354674</v>
      </c>
      <c r="AA18" s="150" t="n">
        <f aca="false">(Pipeline!$U$16*Pipeline!$D$16*MIN(1,MAX(0,(25-Pipeline!$E$16+1)/MAX(Pipeline!$F$16,1)))+Pipeline!$U$17*Pipeline!$D$17*MIN(1,MAX(0,(25-Pipeline!$E$17+1)/MAX(Pipeline!$F$17,1)))+Pipeline!$U$18*Pipeline!$D$18*MIN(1,MAX(0,(25-Pipeline!$E$18+1)/MAX(Pipeline!$F$18,1)))+Pipeline!$U$19*Pipeline!$D$19*MIN(1,MAX(0,(25-Pipeline!$E$19+1)/MAX(Pipeline!$F$19,1)))+Pipeline!$U$20*Pipeline!$D$20*MIN(1,MAX(0,(25-Pipeline!$E$20+1)/MAX(Pipeline!$F$20,1)))+Pipeline!$U$21*Pipeline!$D$21*MIN(1,MAX(0,(25-Pipeline!$E$21+1)/MAX(Pipeline!$F$21,1)))+Pipeline!$U$22*Pipeline!$D$22*MIN(1,MAX(0,(25-Pipeline!$E$22+1)/MAX(Pipeline!$F$22,1))))/Hipótesis!$D$17</f>
        <v>973.059910354674</v>
      </c>
      <c r="AB18" s="150" t="n">
        <f aca="false">(Pipeline!$U$16*Pipeline!$D$16*MIN(1,MAX(0,(26-Pipeline!$E$16+1)/MAX(Pipeline!$F$16,1)))+Pipeline!$U$17*Pipeline!$D$17*MIN(1,MAX(0,(26-Pipeline!$E$17+1)/MAX(Pipeline!$F$17,1)))+Pipeline!$U$18*Pipeline!$D$18*MIN(1,MAX(0,(26-Pipeline!$E$18+1)/MAX(Pipeline!$F$18,1)))+Pipeline!$U$19*Pipeline!$D$19*MIN(1,MAX(0,(26-Pipeline!$E$19+1)/MAX(Pipeline!$F$19,1)))+Pipeline!$U$20*Pipeline!$D$20*MIN(1,MAX(0,(26-Pipeline!$E$20+1)/MAX(Pipeline!$F$20,1)))+Pipeline!$U$21*Pipeline!$D$21*MIN(1,MAX(0,(26-Pipeline!$E$21+1)/MAX(Pipeline!$F$21,1)))+Pipeline!$U$22*Pipeline!$D$22*MIN(1,MAX(0,(26-Pipeline!$E$22+1)/MAX(Pipeline!$F$22,1))))/Hipótesis!$D$17</f>
        <v>973.059910354674</v>
      </c>
      <c r="AC18" s="150" t="n">
        <f aca="false">(Pipeline!$U$16*Pipeline!$D$16*MIN(1,MAX(0,(27-Pipeline!$E$16+1)/MAX(Pipeline!$F$16,1)))+Pipeline!$U$17*Pipeline!$D$17*MIN(1,MAX(0,(27-Pipeline!$E$17+1)/MAX(Pipeline!$F$17,1)))+Pipeline!$U$18*Pipeline!$D$18*MIN(1,MAX(0,(27-Pipeline!$E$18+1)/MAX(Pipeline!$F$18,1)))+Pipeline!$U$19*Pipeline!$D$19*MIN(1,MAX(0,(27-Pipeline!$E$19+1)/MAX(Pipeline!$F$19,1)))+Pipeline!$U$20*Pipeline!$D$20*MIN(1,MAX(0,(27-Pipeline!$E$20+1)/MAX(Pipeline!$F$20,1)))+Pipeline!$U$21*Pipeline!$D$21*MIN(1,MAX(0,(27-Pipeline!$E$21+1)/MAX(Pipeline!$F$21,1)))+Pipeline!$U$22*Pipeline!$D$22*MIN(1,MAX(0,(27-Pipeline!$E$22+1)/MAX(Pipeline!$F$22,1))))/Hipótesis!$D$17</f>
        <v>973.059910354674</v>
      </c>
      <c r="AD18" s="150" t="n">
        <f aca="false">(Pipeline!$U$16*Pipeline!$D$16*MIN(1,MAX(0,(28-Pipeline!$E$16+1)/MAX(Pipeline!$F$16,1)))+Pipeline!$U$17*Pipeline!$D$17*MIN(1,MAX(0,(28-Pipeline!$E$17+1)/MAX(Pipeline!$F$17,1)))+Pipeline!$U$18*Pipeline!$D$18*MIN(1,MAX(0,(28-Pipeline!$E$18+1)/MAX(Pipeline!$F$18,1)))+Pipeline!$U$19*Pipeline!$D$19*MIN(1,MAX(0,(28-Pipeline!$E$19+1)/MAX(Pipeline!$F$19,1)))+Pipeline!$U$20*Pipeline!$D$20*MIN(1,MAX(0,(28-Pipeline!$E$20+1)/MAX(Pipeline!$F$20,1)))+Pipeline!$U$21*Pipeline!$D$21*MIN(1,MAX(0,(28-Pipeline!$E$21+1)/MAX(Pipeline!$F$21,1)))+Pipeline!$U$22*Pipeline!$D$22*MIN(1,MAX(0,(28-Pipeline!$E$22+1)/MAX(Pipeline!$F$22,1))))/Hipótesis!$D$17</f>
        <v>973.059910354674</v>
      </c>
      <c r="AE18" s="150" t="n">
        <f aca="false">(Pipeline!$U$16*Pipeline!$D$16*MIN(1,MAX(0,(29-Pipeline!$E$16+1)/MAX(Pipeline!$F$16,1)))+Pipeline!$U$17*Pipeline!$D$17*MIN(1,MAX(0,(29-Pipeline!$E$17+1)/MAX(Pipeline!$F$17,1)))+Pipeline!$U$18*Pipeline!$D$18*MIN(1,MAX(0,(29-Pipeline!$E$18+1)/MAX(Pipeline!$F$18,1)))+Pipeline!$U$19*Pipeline!$D$19*MIN(1,MAX(0,(29-Pipeline!$E$19+1)/MAX(Pipeline!$F$19,1)))+Pipeline!$U$20*Pipeline!$D$20*MIN(1,MAX(0,(29-Pipeline!$E$20+1)/MAX(Pipeline!$F$20,1)))+Pipeline!$U$21*Pipeline!$D$21*MIN(1,MAX(0,(29-Pipeline!$E$21+1)/MAX(Pipeline!$F$21,1)))+Pipeline!$U$22*Pipeline!$D$22*MIN(1,MAX(0,(29-Pipeline!$E$22+1)/MAX(Pipeline!$F$22,1))))/Hipótesis!$D$17</f>
        <v>973.059910354674</v>
      </c>
      <c r="AF18" s="150" t="n">
        <f aca="false">(Pipeline!$U$16*Pipeline!$D$16*MIN(1,MAX(0,(30-Pipeline!$E$16+1)/MAX(Pipeline!$F$16,1)))+Pipeline!$U$17*Pipeline!$D$17*MIN(1,MAX(0,(30-Pipeline!$E$17+1)/MAX(Pipeline!$F$17,1)))+Pipeline!$U$18*Pipeline!$D$18*MIN(1,MAX(0,(30-Pipeline!$E$18+1)/MAX(Pipeline!$F$18,1)))+Pipeline!$U$19*Pipeline!$D$19*MIN(1,MAX(0,(30-Pipeline!$E$19+1)/MAX(Pipeline!$F$19,1)))+Pipeline!$U$20*Pipeline!$D$20*MIN(1,MAX(0,(30-Pipeline!$E$20+1)/MAX(Pipeline!$F$20,1)))+Pipeline!$U$21*Pipeline!$D$21*MIN(1,MAX(0,(30-Pipeline!$E$21+1)/MAX(Pipeline!$F$21,1)))+Pipeline!$U$22*Pipeline!$D$22*MIN(1,MAX(0,(30-Pipeline!$E$22+1)/MAX(Pipeline!$F$22,1))))/Hipótesis!$D$17</f>
        <v>973.059910354674</v>
      </c>
      <c r="AG18" s="150" t="n">
        <f aca="false">(Pipeline!$U$16*Pipeline!$D$16*MIN(1,MAX(0,(31-Pipeline!$E$16+1)/MAX(Pipeline!$F$16,1)))+Pipeline!$U$17*Pipeline!$D$17*MIN(1,MAX(0,(31-Pipeline!$E$17+1)/MAX(Pipeline!$F$17,1)))+Pipeline!$U$18*Pipeline!$D$18*MIN(1,MAX(0,(31-Pipeline!$E$18+1)/MAX(Pipeline!$F$18,1)))+Pipeline!$U$19*Pipeline!$D$19*MIN(1,MAX(0,(31-Pipeline!$E$19+1)/MAX(Pipeline!$F$19,1)))+Pipeline!$U$20*Pipeline!$D$20*MIN(1,MAX(0,(31-Pipeline!$E$20+1)/MAX(Pipeline!$F$20,1)))+Pipeline!$U$21*Pipeline!$D$21*MIN(1,MAX(0,(31-Pipeline!$E$21+1)/MAX(Pipeline!$F$21,1)))+Pipeline!$U$22*Pipeline!$D$22*MIN(1,MAX(0,(31-Pipeline!$E$22+1)/MAX(Pipeline!$F$22,1))))/Hipótesis!$D$17</f>
        <v>973.059910354674</v>
      </c>
      <c r="AH18" s="150" t="n">
        <f aca="false">(Pipeline!$U$16*Pipeline!$D$16*MIN(1,MAX(0,(32-Pipeline!$E$16+1)/MAX(Pipeline!$F$16,1)))+Pipeline!$U$17*Pipeline!$D$17*MIN(1,MAX(0,(32-Pipeline!$E$17+1)/MAX(Pipeline!$F$17,1)))+Pipeline!$U$18*Pipeline!$D$18*MIN(1,MAX(0,(32-Pipeline!$E$18+1)/MAX(Pipeline!$F$18,1)))+Pipeline!$U$19*Pipeline!$D$19*MIN(1,MAX(0,(32-Pipeline!$E$19+1)/MAX(Pipeline!$F$19,1)))+Pipeline!$U$20*Pipeline!$D$20*MIN(1,MAX(0,(32-Pipeline!$E$20+1)/MAX(Pipeline!$F$20,1)))+Pipeline!$U$21*Pipeline!$D$21*MIN(1,MAX(0,(32-Pipeline!$E$21+1)/MAX(Pipeline!$F$21,1)))+Pipeline!$U$22*Pipeline!$D$22*MIN(1,MAX(0,(32-Pipeline!$E$22+1)/MAX(Pipeline!$F$22,1))))/Hipótesis!$D$17</f>
        <v>973.059910354674</v>
      </c>
      <c r="AI18" s="150" t="n">
        <f aca="false">(Pipeline!$U$16*Pipeline!$D$16*MIN(1,MAX(0,(33-Pipeline!$E$16+1)/MAX(Pipeline!$F$16,1)))+Pipeline!$U$17*Pipeline!$D$17*MIN(1,MAX(0,(33-Pipeline!$E$17+1)/MAX(Pipeline!$F$17,1)))+Pipeline!$U$18*Pipeline!$D$18*MIN(1,MAX(0,(33-Pipeline!$E$18+1)/MAX(Pipeline!$F$18,1)))+Pipeline!$U$19*Pipeline!$D$19*MIN(1,MAX(0,(33-Pipeline!$E$19+1)/MAX(Pipeline!$F$19,1)))+Pipeline!$U$20*Pipeline!$D$20*MIN(1,MAX(0,(33-Pipeline!$E$20+1)/MAX(Pipeline!$F$20,1)))+Pipeline!$U$21*Pipeline!$D$21*MIN(1,MAX(0,(33-Pipeline!$E$21+1)/MAX(Pipeline!$F$21,1)))+Pipeline!$U$22*Pipeline!$D$22*MIN(1,MAX(0,(33-Pipeline!$E$22+1)/MAX(Pipeline!$F$22,1))))/Hipótesis!$D$17</f>
        <v>973.059910354674</v>
      </c>
      <c r="AJ18" s="150" t="n">
        <f aca="false">(Pipeline!$U$16*Pipeline!$D$16*MIN(1,MAX(0,(34-Pipeline!$E$16+1)/MAX(Pipeline!$F$16,1)))+Pipeline!$U$17*Pipeline!$D$17*MIN(1,MAX(0,(34-Pipeline!$E$17+1)/MAX(Pipeline!$F$17,1)))+Pipeline!$U$18*Pipeline!$D$18*MIN(1,MAX(0,(34-Pipeline!$E$18+1)/MAX(Pipeline!$F$18,1)))+Pipeline!$U$19*Pipeline!$D$19*MIN(1,MAX(0,(34-Pipeline!$E$19+1)/MAX(Pipeline!$F$19,1)))+Pipeline!$U$20*Pipeline!$D$20*MIN(1,MAX(0,(34-Pipeline!$E$20+1)/MAX(Pipeline!$F$20,1)))+Pipeline!$U$21*Pipeline!$D$21*MIN(1,MAX(0,(34-Pipeline!$E$21+1)/MAX(Pipeline!$F$21,1)))+Pipeline!$U$22*Pipeline!$D$22*MIN(1,MAX(0,(34-Pipeline!$E$22+1)/MAX(Pipeline!$F$22,1))))/Hipótesis!$D$17</f>
        <v>973.059910354674</v>
      </c>
      <c r="AK18" s="150" t="n">
        <f aca="false">(Pipeline!$U$16*Pipeline!$D$16*MIN(1,MAX(0,(35-Pipeline!$E$16+1)/MAX(Pipeline!$F$16,1)))+Pipeline!$U$17*Pipeline!$D$17*MIN(1,MAX(0,(35-Pipeline!$E$17+1)/MAX(Pipeline!$F$17,1)))+Pipeline!$U$18*Pipeline!$D$18*MIN(1,MAX(0,(35-Pipeline!$E$18+1)/MAX(Pipeline!$F$18,1)))+Pipeline!$U$19*Pipeline!$D$19*MIN(1,MAX(0,(35-Pipeline!$E$19+1)/MAX(Pipeline!$F$19,1)))+Pipeline!$U$20*Pipeline!$D$20*MIN(1,MAX(0,(35-Pipeline!$E$20+1)/MAX(Pipeline!$F$20,1)))+Pipeline!$U$21*Pipeline!$D$21*MIN(1,MAX(0,(35-Pipeline!$E$21+1)/MAX(Pipeline!$F$21,1)))+Pipeline!$U$22*Pipeline!$D$22*MIN(1,MAX(0,(35-Pipeline!$E$22+1)/MAX(Pipeline!$F$22,1))))/Hipótesis!$D$17</f>
        <v>973.059910354674</v>
      </c>
      <c r="AL18" s="150" t="n">
        <f aca="false">(Pipeline!$U$16*Pipeline!$D$16*MIN(1,MAX(0,(36-Pipeline!$E$16+1)/MAX(Pipeline!$F$16,1)))+Pipeline!$U$17*Pipeline!$D$17*MIN(1,MAX(0,(36-Pipeline!$E$17+1)/MAX(Pipeline!$F$17,1)))+Pipeline!$U$18*Pipeline!$D$18*MIN(1,MAX(0,(36-Pipeline!$E$18+1)/MAX(Pipeline!$F$18,1)))+Pipeline!$U$19*Pipeline!$D$19*MIN(1,MAX(0,(36-Pipeline!$E$19+1)/MAX(Pipeline!$F$19,1)))+Pipeline!$U$20*Pipeline!$D$20*MIN(1,MAX(0,(36-Pipeline!$E$20+1)/MAX(Pipeline!$F$20,1)))+Pipeline!$U$21*Pipeline!$D$21*MIN(1,MAX(0,(36-Pipeline!$E$21+1)/MAX(Pipeline!$F$21,1)))+Pipeline!$U$22*Pipeline!$D$22*MIN(1,MAX(0,(36-Pipeline!$E$22+1)/MAX(Pipeline!$F$22,1))))/Hipótesis!$D$17</f>
        <v>973.059910354674</v>
      </c>
      <c r="AM18" s="150" t="n">
        <f aca="false">(Pipeline!$U$16*Pipeline!$D$16*MIN(1,MAX(0,(37-Pipeline!$E$16+1)/MAX(Pipeline!$F$16,1)))+Pipeline!$U$17*Pipeline!$D$17*MIN(1,MAX(0,(37-Pipeline!$E$17+1)/MAX(Pipeline!$F$17,1)))+Pipeline!$U$18*Pipeline!$D$18*MIN(1,MAX(0,(37-Pipeline!$E$18+1)/MAX(Pipeline!$F$18,1)))+Pipeline!$U$19*Pipeline!$D$19*MIN(1,MAX(0,(37-Pipeline!$E$19+1)/MAX(Pipeline!$F$19,1)))+Pipeline!$U$20*Pipeline!$D$20*MIN(1,MAX(0,(37-Pipeline!$E$20+1)/MAX(Pipeline!$F$20,1)))+Pipeline!$U$21*Pipeline!$D$21*MIN(1,MAX(0,(37-Pipeline!$E$21+1)/MAX(Pipeline!$F$21,1)))+Pipeline!$U$22*Pipeline!$D$22*MIN(1,MAX(0,(37-Pipeline!$E$22+1)/MAX(Pipeline!$F$22,1))))/Hipótesis!$D$17</f>
        <v>973.059910354674</v>
      </c>
      <c r="AN18" s="150" t="n">
        <f aca="false">(Pipeline!$U$16*Pipeline!$D$16*MIN(1,MAX(0,(38-Pipeline!$E$16+1)/MAX(Pipeline!$F$16,1)))+Pipeline!$U$17*Pipeline!$D$17*MIN(1,MAX(0,(38-Pipeline!$E$17+1)/MAX(Pipeline!$F$17,1)))+Pipeline!$U$18*Pipeline!$D$18*MIN(1,MAX(0,(38-Pipeline!$E$18+1)/MAX(Pipeline!$F$18,1)))+Pipeline!$U$19*Pipeline!$D$19*MIN(1,MAX(0,(38-Pipeline!$E$19+1)/MAX(Pipeline!$F$19,1)))+Pipeline!$U$20*Pipeline!$D$20*MIN(1,MAX(0,(38-Pipeline!$E$20+1)/MAX(Pipeline!$F$20,1)))+Pipeline!$U$21*Pipeline!$D$21*MIN(1,MAX(0,(38-Pipeline!$E$21+1)/MAX(Pipeline!$F$21,1)))+Pipeline!$U$22*Pipeline!$D$22*MIN(1,MAX(0,(38-Pipeline!$E$22+1)/MAX(Pipeline!$F$22,1))))/Hipótesis!$D$17</f>
        <v>973.059910354674</v>
      </c>
      <c r="AO18" s="150" t="n">
        <f aca="false">(Pipeline!$U$16*Pipeline!$D$16*MIN(1,MAX(0,(39-Pipeline!$E$16+1)/MAX(Pipeline!$F$16,1)))+Pipeline!$U$17*Pipeline!$D$17*MIN(1,MAX(0,(39-Pipeline!$E$17+1)/MAX(Pipeline!$F$17,1)))+Pipeline!$U$18*Pipeline!$D$18*MIN(1,MAX(0,(39-Pipeline!$E$18+1)/MAX(Pipeline!$F$18,1)))+Pipeline!$U$19*Pipeline!$D$19*MIN(1,MAX(0,(39-Pipeline!$E$19+1)/MAX(Pipeline!$F$19,1)))+Pipeline!$U$20*Pipeline!$D$20*MIN(1,MAX(0,(39-Pipeline!$E$20+1)/MAX(Pipeline!$F$20,1)))+Pipeline!$U$21*Pipeline!$D$21*MIN(1,MAX(0,(39-Pipeline!$E$21+1)/MAX(Pipeline!$F$21,1)))+Pipeline!$U$22*Pipeline!$D$22*MIN(1,MAX(0,(39-Pipeline!$E$22+1)/MAX(Pipeline!$F$22,1))))/Hipótesis!$D$17</f>
        <v>973.059910354674</v>
      </c>
      <c r="AP18" s="150" t="n">
        <f aca="false">(Pipeline!$U$16*Pipeline!$D$16*MIN(1,MAX(0,(40-Pipeline!$E$16+1)/MAX(Pipeline!$F$16,1)))+Pipeline!$U$17*Pipeline!$D$17*MIN(1,MAX(0,(40-Pipeline!$E$17+1)/MAX(Pipeline!$F$17,1)))+Pipeline!$U$18*Pipeline!$D$18*MIN(1,MAX(0,(40-Pipeline!$E$18+1)/MAX(Pipeline!$F$18,1)))+Pipeline!$U$19*Pipeline!$D$19*MIN(1,MAX(0,(40-Pipeline!$E$19+1)/MAX(Pipeline!$F$19,1)))+Pipeline!$U$20*Pipeline!$D$20*MIN(1,MAX(0,(40-Pipeline!$E$20+1)/MAX(Pipeline!$F$20,1)))+Pipeline!$U$21*Pipeline!$D$21*MIN(1,MAX(0,(40-Pipeline!$E$21+1)/MAX(Pipeline!$F$21,1)))+Pipeline!$U$22*Pipeline!$D$22*MIN(1,MAX(0,(40-Pipeline!$E$22+1)/MAX(Pipeline!$F$22,1))))/Hipótesis!$D$17</f>
        <v>973.059910354674</v>
      </c>
      <c r="AQ18" s="150" t="n">
        <f aca="false">(Pipeline!$U$16*Pipeline!$D$16*MIN(1,MAX(0,(41-Pipeline!$E$16+1)/MAX(Pipeline!$F$16,1)))+Pipeline!$U$17*Pipeline!$D$17*MIN(1,MAX(0,(41-Pipeline!$E$17+1)/MAX(Pipeline!$F$17,1)))+Pipeline!$U$18*Pipeline!$D$18*MIN(1,MAX(0,(41-Pipeline!$E$18+1)/MAX(Pipeline!$F$18,1)))+Pipeline!$U$19*Pipeline!$D$19*MIN(1,MAX(0,(41-Pipeline!$E$19+1)/MAX(Pipeline!$F$19,1)))+Pipeline!$U$20*Pipeline!$D$20*MIN(1,MAX(0,(41-Pipeline!$E$20+1)/MAX(Pipeline!$F$20,1)))+Pipeline!$U$21*Pipeline!$D$21*MIN(1,MAX(0,(41-Pipeline!$E$21+1)/MAX(Pipeline!$F$21,1)))+Pipeline!$U$22*Pipeline!$D$22*MIN(1,MAX(0,(41-Pipeline!$E$22+1)/MAX(Pipeline!$F$22,1))))/Hipótesis!$D$17</f>
        <v>973.059910354674</v>
      </c>
      <c r="AR18" s="150" t="n">
        <f aca="false">(Pipeline!$U$16*Pipeline!$D$16*MIN(1,MAX(0,(42-Pipeline!$E$16+1)/MAX(Pipeline!$F$16,1)))+Pipeline!$U$17*Pipeline!$D$17*MIN(1,MAX(0,(42-Pipeline!$E$17+1)/MAX(Pipeline!$F$17,1)))+Pipeline!$U$18*Pipeline!$D$18*MIN(1,MAX(0,(42-Pipeline!$E$18+1)/MAX(Pipeline!$F$18,1)))+Pipeline!$U$19*Pipeline!$D$19*MIN(1,MAX(0,(42-Pipeline!$E$19+1)/MAX(Pipeline!$F$19,1)))+Pipeline!$U$20*Pipeline!$D$20*MIN(1,MAX(0,(42-Pipeline!$E$20+1)/MAX(Pipeline!$F$20,1)))+Pipeline!$U$21*Pipeline!$D$21*MIN(1,MAX(0,(42-Pipeline!$E$21+1)/MAX(Pipeline!$F$21,1)))+Pipeline!$U$22*Pipeline!$D$22*MIN(1,MAX(0,(42-Pipeline!$E$22+1)/MAX(Pipeline!$F$22,1))))/Hipótesis!$D$17</f>
        <v>973.059910354674</v>
      </c>
      <c r="AS18" s="150" t="n">
        <f aca="false">(Pipeline!$U$16*Pipeline!$D$16*MIN(1,MAX(0,(43-Pipeline!$E$16+1)/MAX(Pipeline!$F$16,1)))+Pipeline!$U$17*Pipeline!$D$17*MIN(1,MAX(0,(43-Pipeline!$E$17+1)/MAX(Pipeline!$F$17,1)))+Pipeline!$U$18*Pipeline!$D$18*MIN(1,MAX(0,(43-Pipeline!$E$18+1)/MAX(Pipeline!$F$18,1)))+Pipeline!$U$19*Pipeline!$D$19*MIN(1,MAX(0,(43-Pipeline!$E$19+1)/MAX(Pipeline!$F$19,1)))+Pipeline!$U$20*Pipeline!$D$20*MIN(1,MAX(0,(43-Pipeline!$E$20+1)/MAX(Pipeline!$F$20,1)))+Pipeline!$U$21*Pipeline!$D$21*MIN(1,MAX(0,(43-Pipeline!$E$21+1)/MAX(Pipeline!$F$21,1)))+Pipeline!$U$22*Pipeline!$D$22*MIN(1,MAX(0,(43-Pipeline!$E$22+1)/MAX(Pipeline!$F$22,1))))/Hipótesis!$D$17</f>
        <v>973.059910354674</v>
      </c>
      <c r="AT18" s="150" t="n">
        <f aca="false">(Pipeline!$U$16*Pipeline!$D$16*MIN(1,MAX(0,(44-Pipeline!$E$16+1)/MAX(Pipeline!$F$16,1)))+Pipeline!$U$17*Pipeline!$D$17*MIN(1,MAX(0,(44-Pipeline!$E$17+1)/MAX(Pipeline!$F$17,1)))+Pipeline!$U$18*Pipeline!$D$18*MIN(1,MAX(0,(44-Pipeline!$E$18+1)/MAX(Pipeline!$F$18,1)))+Pipeline!$U$19*Pipeline!$D$19*MIN(1,MAX(0,(44-Pipeline!$E$19+1)/MAX(Pipeline!$F$19,1)))+Pipeline!$U$20*Pipeline!$D$20*MIN(1,MAX(0,(44-Pipeline!$E$20+1)/MAX(Pipeline!$F$20,1)))+Pipeline!$U$21*Pipeline!$D$21*MIN(1,MAX(0,(44-Pipeline!$E$21+1)/MAX(Pipeline!$F$21,1)))+Pipeline!$U$22*Pipeline!$D$22*MIN(1,MAX(0,(44-Pipeline!$E$22+1)/MAX(Pipeline!$F$22,1))))/Hipótesis!$D$17</f>
        <v>973.059910354674</v>
      </c>
      <c r="AU18" s="150" t="n">
        <f aca="false">(Pipeline!$U$16*Pipeline!$D$16*MIN(1,MAX(0,(45-Pipeline!$E$16+1)/MAX(Pipeline!$F$16,1)))+Pipeline!$U$17*Pipeline!$D$17*MIN(1,MAX(0,(45-Pipeline!$E$17+1)/MAX(Pipeline!$F$17,1)))+Pipeline!$U$18*Pipeline!$D$18*MIN(1,MAX(0,(45-Pipeline!$E$18+1)/MAX(Pipeline!$F$18,1)))+Pipeline!$U$19*Pipeline!$D$19*MIN(1,MAX(0,(45-Pipeline!$E$19+1)/MAX(Pipeline!$F$19,1)))+Pipeline!$U$20*Pipeline!$D$20*MIN(1,MAX(0,(45-Pipeline!$E$20+1)/MAX(Pipeline!$F$20,1)))+Pipeline!$U$21*Pipeline!$D$21*MIN(1,MAX(0,(45-Pipeline!$E$21+1)/MAX(Pipeline!$F$21,1)))+Pipeline!$U$22*Pipeline!$D$22*MIN(1,MAX(0,(45-Pipeline!$E$22+1)/MAX(Pipeline!$F$22,1))))/Hipótesis!$D$17</f>
        <v>973.059910354674</v>
      </c>
      <c r="AV18" s="150" t="n">
        <f aca="false">(Pipeline!$U$16*Pipeline!$D$16*MIN(1,MAX(0,(46-Pipeline!$E$16+1)/MAX(Pipeline!$F$16,1)))+Pipeline!$U$17*Pipeline!$D$17*MIN(1,MAX(0,(46-Pipeline!$E$17+1)/MAX(Pipeline!$F$17,1)))+Pipeline!$U$18*Pipeline!$D$18*MIN(1,MAX(0,(46-Pipeline!$E$18+1)/MAX(Pipeline!$F$18,1)))+Pipeline!$U$19*Pipeline!$D$19*MIN(1,MAX(0,(46-Pipeline!$E$19+1)/MAX(Pipeline!$F$19,1)))+Pipeline!$U$20*Pipeline!$D$20*MIN(1,MAX(0,(46-Pipeline!$E$20+1)/MAX(Pipeline!$F$20,1)))+Pipeline!$U$21*Pipeline!$D$21*MIN(1,MAX(0,(46-Pipeline!$E$21+1)/MAX(Pipeline!$F$21,1)))+Pipeline!$U$22*Pipeline!$D$22*MIN(1,MAX(0,(46-Pipeline!$E$22+1)/MAX(Pipeline!$F$22,1))))/Hipótesis!$D$17</f>
        <v>973.059910354674</v>
      </c>
      <c r="AW18" s="150" t="n">
        <f aca="false">(Pipeline!$U$16*Pipeline!$D$16*MIN(1,MAX(0,(47-Pipeline!$E$16+1)/MAX(Pipeline!$F$16,1)))+Pipeline!$U$17*Pipeline!$D$17*MIN(1,MAX(0,(47-Pipeline!$E$17+1)/MAX(Pipeline!$F$17,1)))+Pipeline!$U$18*Pipeline!$D$18*MIN(1,MAX(0,(47-Pipeline!$E$18+1)/MAX(Pipeline!$F$18,1)))+Pipeline!$U$19*Pipeline!$D$19*MIN(1,MAX(0,(47-Pipeline!$E$19+1)/MAX(Pipeline!$F$19,1)))+Pipeline!$U$20*Pipeline!$D$20*MIN(1,MAX(0,(47-Pipeline!$E$20+1)/MAX(Pipeline!$F$20,1)))+Pipeline!$U$21*Pipeline!$D$21*MIN(1,MAX(0,(47-Pipeline!$E$21+1)/MAX(Pipeline!$F$21,1)))+Pipeline!$U$22*Pipeline!$D$22*MIN(1,MAX(0,(47-Pipeline!$E$22+1)/MAX(Pipeline!$F$22,1))))/Hipótesis!$D$17</f>
        <v>973.059910354674</v>
      </c>
      <c r="AX18" s="150" t="n">
        <f aca="false">(Pipeline!$U$16*Pipeline!$D$16*MIN(1,MAX(0,(48-Pipeline!$E$16+1)/MAX(Pipeline!$F$16,1)))+Pipeline!$U$17*Pipeline!$D$17*MIN(1,MAX(0,(48-Pipeline!$E$17+1)/MAX(Pipeline!$F$17,1)))+Pipeline!$U$18*Pipeline!$D$18*MIN(1,MAX(0,(48-Pipeline!$E$18+1)/MAX(Pipeline!$F$18,1)))+Pipeline!$U$19*Pipeline!$D$19*MIN(1,MAX(0,(48-Pipeline!$E$19+1)/MAX(Pipeline!$F$19,1)))+Pipeline!$U$20*Pipeline!$D$20*MIN(1,MAX(0,(48-Pipeline!$E$20+1)/MAX(Pipeline!$F$20,1)))+Pipeline!$U$21*Pipeline!$D$21*MIN(1,MAX(0,(48-Pipeline!$E$21+1)/MAX(Pipeline!$F$21,1)))+Pipeline!$U$22*Pipeline!$D$22*MIN(1,MAX(0,(48-Pipeline!$E$22+1)/MAX(Pipeline!$F$22,1))))/Hipótesis!$D$17</f>
        <v>973.059910354674</v>
      </c>
      <c r="AY18" s="150" t="n">
        <f aca="false">(Pipeline!$U$16*Pipeline!$D$16*MIN(1,MAX(0,(49-Pipeline!$E$16+1)/MAX(Pipeline!$F$16,1)))+Pipeline!$U$17*Pipeline!$D$17*MIN(1,MAX(0,(49-Pipeline!$E$17+1)/MAX(Pipeline!$F$17,1)))+Pipeline!$U$18*Pipeline!$D$18*MIN(1,MAX(0,(49-Pipeline!$E$18+1)/MAX(Pipeline!$F$18,1)))+Pipeline!$U$19*Pipeline!$D$19*MIN(1,MAX(0,(49-Pipeline!$E$19+1)/MAX(Pipeline!$F$19,1)))+Pipeline!$U$20*Pipeline!$D$20*MIN(1,MAX(0,(49-Pipeline!$E$20+1)/MAX(Pipeline!$F$20,1)))+Pipeline!$U$21*Pipeline!$D$21*MIN(1,MAX(0,(49-Pipeline!$E$21+1)/MAX(Pipeline!$F$21,1)))+Pipeline!$U$22*Pipeline!$D$22*MIN(1,MAX(0,(49-Pipeline!$E$22+1)/MAX(Pipeline!$F$22,1))))/Hipótesis!$D$17</f>
        <v>973.059910354674</v>
      </c>
      <c r="AZ18" s="150" t="n">
        <f aca="false">(Pipeline!$U$16*Pipeline!$D$16*MIN(1,MAX(0,(50-Pipeline!$E$16+1)/MAX(Pipeline!$F$16,1)))+Pipeline!$U$17*Pipeline!$D$17*MIN(1,MAX(0,(50-Pipeline!$E$17+1)/MAX(Pipeline!$F$17,1)))+Pipeline!$U$18*Pipeline!$D$18*MIN(1,MAX(0,(50-Pipeline!$E$18+1)/MAX(Pipeline!$F$18,1)))+Pipeline!$U$19*Pipeline!$D$19*MIN(1,MAX(0,(50-Pipeline!$E$19+1)/MAX(Pipeline!$F$19,1)))+Pipeline!$U$20*Pipeline!$D$20*MIN(1,MAX(0,(50-Pipeline!$E$20+1)/MAX(Pipeline!$F$20,1)))+Pipeline!$U$21*Pipeline!$D$21*MIN(1,MAX(0,(50-Pipeline!$E$21+1)/MAX(Pipeline!$F$21,1)))+Pipeline!$U$22*Pipeline!$D$22*MIN(1,MAX(0,(50-Pipeline!$E$22+1)/MAX(Pipeline!$F$22,1))))/Hipótesis!$D$17</f>
        <v>973.059910354674</v>
      </c>
      <c r="BA18" s="150" t="n">
        <f aca="false">(Pipeline!$U$16*Pipeline!$D$16*MIN(1,MAX(0,(51-Pipeline!$E$16+1)/MAX(Pipeline!$F$16,1)))+Pipeline!$U$17*Pipeline!$D$17*MIN(1,MAX(0,(51-Pipeline!$E$17+1)/MAX(Pipeline!$F$17,1)))+Pipeline!$U$18*Pipeline!$D$18*MIN(1,MAX(0,(51-Pipeline!$E$18+1)/MAX(Pipeline!$F$18,1)))+Pipeline!$U$19*Pipeline!$D$19*MIN(1,MAX(0,(51-Pipeline!$E$19+1)/MAX(Pipeline!$F$19,1)))+Pipeline!$U$20*Pipeline!$D$20*MIN(1,MAX(0,(51-Pipeline!$E$20+1)/MAX(Pipeline!$F$20,1)))+Pipeline!$U$21*Pipeline!$D$21*MIN(1,MAX(0,(51-Pipeline!$E$21+1)/MAX(Pipeline!$F$21,1)))+Pipeline!$U$22*Pipeline!$D$22*MIN(1,MAX(0,(51-Pipeline!$E$22+1)/MAX(Pipeline!$F$22,1))))/Hipótesis!$D$17</f>
        <v>973.059910354674</v>
      </c>
      <c r="BB18" s="150" t="n">
        <f aca="false">(Pipeline!$U$16*Pipeline!$D$16*MIN(1,MAX(0,(52-Pipeline!$E$16+1)/MAX(Pipeline!$F$16,1)))+Pipeline!$U$17*Pipeline!$D$17*MIN(1,MAX(0,(52-Pipeline!$E$17+1)/MAX(Pipeline!$F$17,1)))+Pipeline!$U$18*Pipeline!$D$18*MIN(1,MAX(0,(52-Pipeline!$E$18+1)/MAX(Pipeline!$F$18,1)))+Pipeline!$U$19*Pipeline!$D$19*MIN(1,MAX(0,(52-Pipeline!$E$19+1)/MAX(Pipeline!$F$19,1)))+Pipeline!$U$20*Pipeline!$D$20*MIN(1,MAX(0,(52-Pipeline!$E$20+1)/MAX(Pipeline!$F$20,1)))+Pipeline!$U$21*Pipeline!$D$21*MIN(1,MAX(0,(52-Pipeline!$E$21+1)/MAX(Pipeline!$F$21,1)))+Pipeline!$U$22*Pipeline!$D$22*MIN(1,MAX(0,(52-Pipeline!$E$22+1)/MAX(Pipeline!$F$22,1))))/Hipótesis!$D$17</f>
        <v>973.059910354674</v>
      </c>
      <c r="BC18" s="150" t="n">
        <f aca="false">(Pipeline!$U$16*Pipeline!$D$16*MIN(1,MAX(0,(53-Pipeline!$E$16+1)/MAX(Pipeline!$F$16,1)))+Pipeline!$U$17*Pipeline!$D$17*MIN(1,MAX(0,(53-Pipeline!$E$17+1)/MAX(Pipeline!$F$17,1)))+Pipeline!$U$18*Pipeline!$D$18*MIN(1,MAX(0,(53-Pipeline!$E$18+1)/MAX(Pipeline!$F$18,1)))+Pipeline!$U$19*Pipeline!$D$19*MIN(1,MAX(0,(53-Pipeline!$E$19+1)/MAX(Pipeline!$F$19,1)))+Pipeline!$U$20*Pipeline!$D$20*MIN(1,MAX(0,(53-Pipeline!$E$20+1)/MAX(Pipeline!$F$20,1)))+Pipeline!$U$21*Pipeline!$D$21*MIN(1,MAX(0,(53-Pipeline!$E$21+1)/MAX(Pipeline!$F$21,1)))+Pipeline!$U$22*Pipeline!$D$22*MIN(1,MAX(0,(53-Pipeline!$E$22+1)/MAX(Pipeline!$F$22,1))))/Hipótesis!$D$17</f>
        <v>973.059910354674</v>
      </c>
      <c r="BD18" s="150" t="n">
        <f aca="false">(Pipeline!$U$16*Pipeline!$D$16*MIN(1,MAX(0,(54-Pipeline!$E$16+1)/MAX(Pipeline!$F$16,1)))+Pipeline!$U$17*Pipeline!$D$17*MIN(1,MAX(0,(54-Pipeline!$E$17+1)/MAX(Pipeline!$F$17,1)))+Pipeline!$U$18*Pipeline!$D$18*MIN(1,MAX(0,(54-Pipeline!$E$18+1)/MAX(Pipeline!$F$18,1)))+Pipeline!$U$19*Pipeline!$D$19*MIN(1,MAX(0,(54-Pipeline!$E$19+1)/MAX(Pipeline!$F$19,1)))+Pipeline!$U$20*Pipeline!$D$20*MIN(1,MAX(0,(54-Pipeline!$E$20+1)/MAX(Pipeline!$F$20,1)))+Pipeline!$U$21*Pipeline!$D$21*MIN(1,MAX(0,(54-Pipeline!$E$21+1)/MAX(Pipeline!$F$21,1)))+Pipeline!$U$22*Pipeline!$D$22*MIN(1,MAX(0,(54-Pipeline!$E$22+1)/MAX(Pipeline!$F$22,1))))/Hipótesis!$D$17</f>
        <v>973.059910354674</v>
      </c>
      <c r="BE18" s="150" t="n">
        <f aca="false">(Pipeline!$U$16*Pipeline!$D$16*MIN(1,MAX(0,(55-Pipeline!$E$16+1)/MAX(Pipeline!$F$16,1)))+Pipeline!$U$17*Pipeline!$D$17*MIN(1,MAX(0,(55-Pipeline!$E$17+1)/MAX(Pipeline!$F$17,1)))+Pipeline!$U$18*Pipeline!$D$18*MIN(1,MAX(0,(55-Pipeline!$E$18+1)/MAX(Pipeline!$F$18,1)))+Pipeline!$U$19*Pipeline!$D$19*MIN(1,MAX(0,(55-Pipeline!$E$19+1)/MAX(Pipeline!$F$19,1)))+Pipeline!$U$20*Pipeline!$D$20*MIN(1,MAX(0,(55-Pipeline!$E$20+1)/MAX(Pipeline!$F$20,1)))+Pipeline!$U$21*Pipeline!$D$21*MIN(1,MAX(0,(55-Pipeline!$E$21+1)/MAX(Pipeline!$F$21,1)))+Pipeline!$U$22*Pipeline!$D$22*MIN(1,MAX(0,(55-Pipeline!$E$22+1)/MAX(Pipeline!$F$22,1))))/Hipótesis!$D$17</f>
        <v>973.059910354674</v>
      </c>
      <c r="BF18" s="150" t="n">
        <f aca="false">(Pipeline!$U$16*Pipeline!$D$16*MIN(1,MAX(0,(56-Pipeline!$E$16+1)/MAX(Pipeline!$F$16,1)))+Pipeline!$U$17*Pipeline!$D$17*MIN(1,MAX(0,(56-Pipeline!$E$17+1)/MAX(Pipeline!$F$17,1)))+Pipeline!$U$18*Pipeline!$D$18*MIN(1,MAX(0,(56-Pipeline!$E$18+1)/MAX(Pipeline!$F$18,1)))+Pipeline!$U$19*Pipeline!$D$19*MIN(1,MAX(0,(56-Pipeline!$E$19+1)/MAX(Pipeline!$F$19,1)))+Pipeline!$U$20*Pipeline!$D$20*MIN(1,MAX(0,(56-Pipeline!$E$20+1)/MAX(Pipeline!$F$20,1)))+Pipeline!$U$21*Pipeline!$D$21*MIN(1,MAX(0,(56-Pipeline!$E$21+1)/MAX(Pipeline!$F$21,1)))+Pipeline!$U$22*Pipeline!$D$22*MIN(1,MAX(0,(56-Pipeline!$E$22+1)/MAX(Pipeline!$F$22,1))))/Hipótesis!$D$17</f>
        <v>973.059910354674</v>
      </c>
      <c r="BG18" s="150" t="n">
        <f aca="false">(Pipeline!$U$16*Pipeline!$D$16*MIN(1,MAX(0,(57-Pipeline!$E$16+1)/MAX(Pipeline!$F$16,1)))+Pipeline!$U$17*Pipeline!$D$17*MIN(1,MAX(0,(57-Pipeline!$E$17+1)/MAX(Pipeline!$F$17,1)))+Pipeline!$U$18*Pipeline!$D$18*MIN(1,MAX(0,(57-Pipeline!$E$18+1)/MAX(Pipeline!$F$18,1)))+Pipeline!$U$19*Pipeline!$D$19*MIN(1,MAX(0,(57-Pipeline!$E$19+1)/MAX(Pipeline!$F$19,1)))+Pipeline!$U$20*Pipeline!$D$20*MIN(1,MAX(0,(57-Pipeline!$E$20+1)/MAX(Pipeline!$F$20,1)))+Pipeline!$U$21*Pipeline!$D$21*MIN(1,MAX(0,(57-Pipeline!$E$21+1)/MAX(Pipeline!$F$21,1)))+Pipeline!$U$22*Pipeline!$D$22*MIN(1,MAX(0,(57-Pipeline!$E$22+1)/MAX(Pipeline!$F$22,1))))/Hipótesis!$D$17</f>
        <v>973.059910354674</v>
      </c>
      <c r="BH18" s="150" t="n">
        <f aca="false">(Pipeline!$U$16*Pipeline!$D$16*MIN(1,MAX(0,(58-Pipeline!$E$16+1)/MAX(Pipeline!$F$16,1)))+Pipeline!$U$17*Pipeline!$D$17*MIN(1,MAX(0,(58-Pipeline!$E$17+1)/MAX(Pipeline!$F$17,1)))+Pipeline!$U$18*Pipeline!$D$18*MIN(1,MAX(0,(58-Pipeline!$E$18+1)/MAX(Pipeline!$F$18,1)))+Pipeline!$U$19*Pipeline!$D$19*MIN(1,MAX(0,(58-Pipeline!$E$19+1)/MAX(Pipeline!$F$19,1)))+Pipeline!$U$20*Pipeline!$D$20*MIN(1,MAX(0,(58-Pipeline!$E$20+1)/MAX(Pipeline!$F$20,1)))+Pipeline!$U$21*Pipeline!$D$21*MIN(1,MAX(0,(58-Pipeline!$E$21+1)/MAX(Pipeline!$F$21,1)))+Pipeline!$U$22*Pipeline!$D$22*MIN(1,MAX(0,(58-Pipeline!$E$22+1)/MAX(Pipeline!$F$22,1))))/Hipótesis!$D$17</f>
        <v>973.059910354674</v>
      </c>
      <c r="BI18" s="150" t="n">
        <f aca="false">(Pipeline!$U$16*Pipeline!$D$16*MIN(1,MAX(0,(59-Pipeline!$E$16+1)/MAX(Pipeline!$F$16,1)))+Pipeline!$U$17*Pipeline!$D$17*MIN(1,MAX(0,(59-Pipeline!$E$17+1)/MAX(Pipeline!$F$17,1)))+Pipeline!$U$18*Pipeline!$D$18*MIN(1,MAX(0,(59-Pipeline!$E$18+1)/MAX(Pipeline!$F$18,1)))+Pipeline!$U$19*Pipeline!$D$19*MIN(1,MAX(0,(59-Pipeline!$E$19+1)/MAX(Pipeline!$F$19,1)))+Pipeline!$U$20*Pipeline!$D$20*MIN(1,MAX(0,(59-Pipeline!$E$20+1)/MAX(Pipeline!$F$20,1)))+Pipeline!$U$21*Pipeline!$D$21*MIN(1,MAX(0,(59-Pipeline!$E$21+1)/MAX(Pipeline!$F$21,1)))+Pipeline!$U$22*Pipeline!$D$22*MIN(1,MAX(0,(59-Pipeline!$E$22+1)/MAX(Pipeline!$F$22,1))))/Hipótesis!$D$17</f>
        <v>973.059910354674</v>
      </c>
      <c r="BJ18" s="150" t="n">
        <f aca="false">(Pipeline!$U$16*Pipeline!$D$16*MIN(1,MAX(0,(60-Pipeline!$E$16+1)/MAX(Pipeline!$F$16,1)))+Pipeline!$U$17*Pipeline!$D$17*MIN(1,MAX(0,(60-Pipeline!$E$17+1)/MAX(Pipeline!$F$17,1)))+Pipeline!$U$18*Pipeline!$D$18*MIN(1,MAX(0,(60-Pipeline!$E$18+1)/MAX(Pipeline!$F$18,1)))+Pipeline!$U$19*Pipeline!$D$19*MIN(1,MAX(0,(60-Pipeline!$E$19+1)/MAX(Pipeline!$F$19,1)))+Pipeline!$U$20*Pipeline!$D$20*MIN(1,MAX(0,(60-Pipeline!$E$20+1)/MAX(Pipeline!$F$20,1)))+Pipeline!$U$21*Pipeline!$D$21*MIN(1,MAX(0,(60-Pipeline!$E$21+1)/MAX(Pipeline!$F$21,1)))+Pipeline!$U$22*Pipeline!$D$22*MIN(1,MAX(0,(60-Pipeline!$E$22+1)/MAX(Pipeline!$F$22,1))))/Hipótesis!$D$17</f>
        <v>973.059910354674</v>
      </c>
      <c r="BK18" s="150" t="n">
        <f aca="false">(Pipeline!$U$16*Pipeline!$D$16*MIN(1,MAX(0,(61-Pipeline!$E$16+1)/MAX(Pipeline!$F$16,1)))+Pipeline!$U$17*Pipeline!$D$17*MIN(1,MAX(0,(61-Pipeline!$E$17+1)/MAX(Pipeline!$F$17,1)))+Pipeline!$U$18*Pipeline!$D$18*MIN(1,MAX(0,(61-Pipeline!$E$18+1)/MAX(Pipeline!$F$18,1)))+Pipeline!$U$19*Pipeline!$D$19*MIN(1,MAX(0,(61-Pipeline!$E$19+1)/MAX(Pipeline!$F$19,1)))+Pipeline!$U$20*Pipeline!$D$20*MIN(1,MAX(0,(61-Pipeline!$E$20+1)/MAX(Pipeline!$F$20,1)))+Pipeline!$U$21*Pipeline!$D$21*MIN(1,MAX(0,(61-Pipeline!$E$21+1)/MAX(Pipeline!$F$21,1)))+Pipeline!$U$22*Pipeline!$D$22*MIN(1,MAX(0,(61-Pipeline!$E$22+1)/MAX(Pipeline!$F$22,1))))/Hipótesis!$D$17</f>
        <v>973.059910354674</v>
      </c>
      <c r="BL18" s="150" t="n">
        <f aca="false">(Pipeline!$U$16*Pipeline!$D$16*MIN(1,MAX(0,(62-Pipeline!$E$16+1)/MAX(Pipeline!$F$16,1)))+Pipeline!$U$17*Pipeline!$D$17*MIN(1,MAX(0,(62-Pipeline!$E$17+1)/MAX(Pipeline!$F$17,1)))+Pipeline!$U$18*Pipeline!$D$18*MIN(1,MAX(0,(62-Pipeline!$E$18+1)/MAX(Pipeline!$F$18,1)))+Pipeline!$U$19*Pipeline!$D$19*MIN(1,MAX(0,(62-Pipeline!$E$19+1)/MAX(Pipeline!$F$19,1)))+Pipeline!$U$20*Pipeline!$D$20*MIN(1,MAX(0,(62-Pipeline!$E$20+1)/MAX(Pipeline!$F$20,1)))+Pipeline!$U$21*Pipeline!$D$21*MIN(1,MAX(0,(62-Pipeline!$E$21+1)/MAX(Pipeline!$F$21,1)))+Pipeline!$U$22*Pipeline!$D$22*MIN(1,MAX(0,(62-Pipeline!$E$22+1)/MAX(Pipeline!$F$22,1))))/Hipótesis!$D$17</f>
        <v>973.059910354674</v>
      </c>
      <c r="BM18" s="150" t="n">
        <f aca="false">(Pipeline!$U$16*Pipeline!$D$16*MIN(1,MAX(0,(63-Pipeline!$E$16+1)/MAX(Pipeline!$F$16,1)))+Pipeline!$U$17*Pipeline!$D$17*MIN(1,MAX(0,(63-Pipeline!$E$17+1)/MAX(Pipeline!$F$17,1)))+Pipeline!$U$18*Pipeline!$D$18*MIN(1,MAX(0,(63-Pipeline!$E$18+1)/MAX(Pipeline!$F$18,1)))+Pipeline!$U$19*Pipeline!$D$19*MIN(1,MAX(0,(63-Pipeline!$E$19+1)/MAX(Pipeline!$F$19,1)))+Pipeline!$U$20*Pipeline!$D$20*MIN(1,MAX(0,(63-Pipeline!$E$20+1)/MAX(Pipeline!$F$20,1)))+Pipeline!$U$21*Pipeline!$D$21*MIN(1,MAX(0,(63-Pipeline!$E$21+1)/MAX(Pipeline!$F$21,1)))+Pipeline!$U$22*Pipeline!$D$22*MIN(1,MAX(0,(63-Pipeline!$E$22+1)/MAX(Pipeline!$F$22,1))))/Hipótesis!$D$17</f>
        <v>973.059910354674</v>
      </c>
      <c r="BN18" s="150" t="n">
        <f aca="false">(Pipeline!$U$16*Pipeline!$D$16*MIN(1,MAX(0,(64-Pipeline!$E$16+1)/MAX(Pipeline!$F$16,1)))+Pipeline!$U$17*Pipeline!$D$17*MIN(1,MAX(0,(64-Pipeline!$E$17+1)/MAX(Pipeline!$F$17,1)))+Pipeline!$U$18*Pipeline!$D$18*MIN(1,MAX(0,(64-Pipeline!$E$18+1)/MAX(Pipeline!$F$18,1)))+Pipeline!$U$19*Pipeline!$D$19*MIN(1,MAX(0,(64-Pipeline!$E$19+1)/MAX(Pipeline!$F$19,1)))+Pipeline!$U$20*Pipeline!$D$20*MIN(1,MAX(0,(64-Pipeline!$E$20+1)/MAX(Pipeline!$F$20,1)))+Pipeline!$U$21*Pipeline!$D$21*MIN(1,MAX(0,(64-Pipeline!$E$21+1)/MAX(Pipeline!$F$21,1)))+Pipeline!$U$22*Pipeline!$D$22*MIN(1,MAX(0,(64-Pipeline!$E$22+1)/MAX(Pipeline!$F$22,1))))/Hipótesis!$D$17</f>
        <v>973.059910354674</v>
      </c>
      <c r="BO18" s="150" t="n">
        <f aca="false">(Pipeline!$U$16*Pipeline!$D$16*MIN(1,MAX(0,(65-Pipeline!$E$16+1)/MAX(Pipeline!$F$16,1)))+Pipeline!$U$17*Pipeline!$D$17*MIN(1,MAX(0,(65-Pipeline!$E$17+1)/MAX(Pipeline!$F$17,1)))+Pipeline!$U$18*Pipeline!$D$18*MIN(1,MAX(0,(65-Pipeline!$E$18+1)/MAX(Pipeline!$F$18,1)))+Pipeline!$U$19*Pipeline!$D$19*MIN(1,MAX(0,(65-Pipeline!$E$19+1)/MAX(Pipeline!$F$19,1)))+Pipeline!$U$20*Pipeline!$D$20*MIN(1,MAX(0,(65-Pipeline!$E$20+1)/MAX(Pipeline!$F$20,1)))+Pipeline!$U$21*Pipeline!$D$21*MIN(1,MAX(0,(65-Pipeline!$E$21+1)/MAX(Pipeline!$F$21,1)))+Pipeline!$U$22*Pipeline!$D$22*MIN(1,MAX(0,(65-Pipeline!$E$22+1)/MAX(Pipeline!$F$22,1))))/Hipótesis!$D$17</f>
        <v>973.059910354674</v>
      </c>
      <c r="BP18" s="150" t="n">
        <f aca="false">(Pipeline!$U$16*Pipeline!$D$16*MIN(1,MAX(0,(66-Pipeline!$E$16+1)/MAX(Pipeline!$F$16,1)))+Pipeline!$U$17*Pipeline!$D$17*MIN(1,MAX(0,(66-Pipeline!$E$17+1)/MAX(Pipeline!$F$17,1)))+Pipeline!$U$18*Pipeline!$D$18*MIN(1,MAX(0,(66-Pipeline!$E$18+1)/MAX(Pipeline!$F$18,1)))+Pipeline!$U$19*Pipeline!$D$19*MIN(1,MAX(0,(66-Pipeline!$E$19+1)/MAX(Pipeline!$F$19,1)))+Pipeline!$U$20*Pipeline!$D$20*MIN(1,MAX(0,(66-Pipeline!$E$20+1)/MAX(Pipeline!$F$20,1)))+Pipeline!$U$21*Pipeline!$D$21*MIN(1,MAX(0,(66-Pipeline!$E$21+1)/MAX(Pipeline!$F$21,1)))+Pipeline!$U$22*Pipeline!$D$22*MIN(1,MAX(0,(66-Pipeline!$E$22+1)/MAX(Pipeline!$F$22,1))))/Hipótesis!$D$17</f>
        <v>973.059910354674</v>
      </c>
      <c r="BQ18" s="150" t="n">
        <f aca="false">(Pipeline!$U$16*Pipeline!$D$16*MIN(1,MAX(0,(67-Pipeline!$E$16+1)/MAX(Pipeline!$F$16,1)))+Pipeline!$U$17*Pipeline!$D$17*MIN(1,MAX(0,(67-Pipeline!$E$17+1)/MAX(Pipeline!$F$17,1)))+Pipeline!$U$18*Pipeline!$D$18*MIN(1,MAX(0,(67-Pipeline!$E$18+1)/MAX(Pipeline!$F$18,1)))+Pipeline!$U$19*Pipeline!$D$19*MIN(1,MAX(0,(67-Pipeline!$E$19+1)/MAX(Pipeline!$F$19,1)))+Pipeline!$U$20*Pipeline!$D$20*MIN(1,MAX(0,(67-Pipeline!$E$20+1)/MAX(Pipeline!$F$20,1)))+Pipeline!$U$21*Pipeline!$D$21*MIN(1,MAX(0,(67-Pipeline!$E$21+1)/MAX(Pipeline!$F$21,1)))+Pipeline!$U$22*Pipeline!$D$22*MIN(1,MAX(0,(67-Pipeline!$E$22+1)/MAX(Pipeline!$F$22,1))))/Hipótesis!$D$17</f>
        <v>973.059910354674</v>
      </c>
      <c r="BR18" s="150" t="n">
        <f aca="false">(Pipeline!$U$16*Pipeline!$D$16*MIN(1,MAX(0,(68-Pipeline!$E$16+1)/MAX(Pipeline!$F$16,1)))+Pipeline!$U$17*Pipeline!$D$17*MIN(1,MAX(0,(68-Pipeline!$E$17+1)/MAX(Pipeline!$F$17,1)))+Pipeline!$U$18*Pipeline!$D$18*MIN(1,MAX(0,(68-Pipeline!$E$18+1)/MAX(Pipeline!$F$18,1)))+Pipeline!$U$19*Pipeline!$D$19*MIN(1,MAX(0,(68-Pipeline!$E$19+1)/MAX(Pipeline!$F$19,1)))+Pipeline!$U$20*Pipeline!$D$20*MIN(1,MAX(0,(68-Pipeline!$E$20+1)/MAX(Pipeline!$F$20,1)))+Pipeline!$U$21*Pipeline!$D$21*MIN(1,MAX(0,(68-Pipeline!$E$21+1)/MAX(Pipeline!$F$21,1)))+Pipeline!$U$22*Pipeline!$D$22*MIN(1,MAX(0,(68-Pipeline!$E$22+1)/MAX(Pipeline!$F$22,1))))/Hipótesis!$D$17</f>
        <v>973.059910354674</v>
      </c>
      <c r="BS18" s="150" t="n">
        <f aca="false">(Pipeline!$U$16*Pipeline!$D$16*MIN(1,MAX(0,(69-Pipeline!$E$16+1)/MAX(Pipeline!$F$16,1)))+Pipeline!$U$17*Pipeline!$D$17*MIN(1,MAX(0,(69-Pipeline!$E$17+1)/MAX(Pipeline!$F$17,1)))+Pipeline!$U$18*Pipeline!$D$18*MIN(1,MAX(0,(69-Pipeline!$E$18+1)/MAX(Pipeline!$F$18,1)))+Pipeline!$U$19*Pipeline!$D$19*MIN(1,MAX(0,(69-Pipeline!$E$19+1)/MAX(Pipeline!$F$19,1)))+Pipeline!$U$20*Pipeline!$D$20*MIN(1,MAX(0,(69-Pipeline!$E$20+1)/MAX(Pipeline!$F$20,1)))+Pipeline!$U$21*Pipeline!$D$21*MIN(1,MAX(0,(69-Pipeline!$E$21+1)/MAX(Pipeline!$F$21,1)))+Pipeline!$U$22*Pipeline!$D$22*MIN(1,MAX(0,(69-Pipeline!$E$22+1)/MAX(Pipeline!$F$22,1))))/Hipótesis!$D$17</f>
        <v>973.059910354674</v>
      </c>
      <c r="BT18" s="150" t="n">
        <f aca="false">(Pipeline!$U$16*Pipeline!$D$16*MIN(1,MAX(0,(70-Pipeline!$E$16+1)/MAX(Pipeline!$F$16,1)))+Pipeline!$U$17*Pipeline!$D$17*MIN(1,MAX(0,(70-Pipeline!$E$17+1)/MAX(Pipeline!$F$17,1)))+Pipeline!$U$18*Pipeline!$D$18*MIN(1,MAX(0,(70-Pipeline!$E$18+1)/MAX(Pipeline!$F$18,1)))+Pipeline!$U$19*Pipeline!$D$19*MIN(1,MAX(0,(70-Pipeline!$E$19+1)/MAX(Pipeline!$F$19,1)))+Pipeline!$U$20*Pipeline!$D$20*MIN(1,MAX(0,(70-Pipeline!$E$20+1)/MAX(Pipeline!$F$20,1)))+Pipeline!$U$21*Pipeline!$D$21*MIN(1,MAX(0,(70-Pipeline!$E$21+1)/MAX(Pipeline!$F$21,1)))+Pipeline!$U$22*Pipeline!$D$22*MIN(1,MAX(0,(70-Pipeline!$E$22+1)/MAX(Pipeline!$F$22,1))))/Hipótesis!$D$17</f>
        <v>973.059910354674</v>
      </c>
      <c r="BU18" s="150" t="n">
        <f aca="false">(Pipeline!$U$16*Pipeline!$D$16*MIN(1,MAX(0,(71-Pipeline!$E$16+1)/MAX(Pipeline!$F$16,1)))+Pipeline!$U$17*Pipeline!$D$17*MIN(1,MAX(0,(71-Pipeline!$E$17+1)/MAX(Pipeline!$F$17,1)))+Pipeline!$U$18*Pipeline!$D$18*MIN(1,MAX(0,(71-Pipeline!$E$18+1)/MAX(Pipeline!$F$18,1)))+Pipeline!$U$19*Pipeline!$D$19*MIN(1,MAX(0,(71-Pipeline!$E$19+1)/MAX(Pipeline!$F$19,1)))+Pipeline!$U$20*Pipeline!$D$20*MIN(1,MAX(0,(71-Pipeline!$E$20+1)/MAX(Pipeline!$F$20,1)))+Pipeline!$U$21*Pipeline!$D$21*MIN(1,MAX(0,(71-Pipeline!$E$21+1)/MAX(Pipeline!$F$21,1)))+Pipeline!$U$22*Pipeline!$D$22*MIN(1,MAX(0,(71-Pipeline!$E$22+1)/MAX(Pipeline!$F$22,1))))/Hipótesis!$D$17</f>
        <v>973.059910354674</v>
      </c>
      <c r="BV18" s="150" t="n">
        <f aca="false">(Pipeline!$U$16*Pipeline!$D$16*MIN(1,MAX(0,(72-Pipeline!$E$16+1)/MAX(Pipeline!$F$16,1)))+Pipeline!$U$17*Pipeline!$D$17*MIN(1,MAX(0,(72-Pipeline!$E$17+1)/MAX(Pipeline!$F$17,1)))+Pipeline!$U$18*Pipeline!$D$18*MIN(1,MAX(0,(72-Pipeline!$E$18+1)/MAX(Pipeline!$F$18,1)))+Pipeline!$U$19*Pipeline!$D$19*MIN(1,MAX(0,(72-Pipeline!$E$19+1)/MAX(Pipeline!$F$19,1)))+Pipeline!$U$20*Pipeline!$D$20*MIN(1,MAX(0,(72-Pipeline!$E$20+1)/MAX(Pipeline!$F$20,1)))+Pipeline!$U$21*Pipeline!$D$21*MIN(1,MAX(0,(72-Pipeline!$E$21+1)/MAX(Pipeline!$F$21,1)))+Pipeline!$U$22*Pipeline!$D$22*MIN(1,MAX(0,(72-Pipeline!$E$22+1)/MAX(Pipeline!$F$22,1))))/Hipótesis!$D$17</f>
        <v>973.059910354674</v>
      </c>
      <c r="BW18" s="150" t="n">
        <f aca="false">(Pipeline!$U$16*Pipeline!$D$16*MIN(1,MAX(0,(73-Pipeline!$E$16+1)/MAX(Pipeline!$F$16,1)))+Pipeline!$U$17*Pipeline!$D$17*MIN(1,MAX(0,(73-Pipeline!$E$17+1)/MAX(Pipeline!$F$17,1)))+Pipeline!$U$18*Pipeline!$D$18*MIN(1,MAX(0,(73-Pipeline!$E$18+1)/MAX(Pipeline!$F$18,1)))+Pipeline!$U$19*Pipeline!$D$19*MIN(1,MAX(0,(73-Pipeline!$E$19+1)/MAX(Pipeline!$F$19,1)))+Pipeline!$U$20*Pipeline!$D$20*MIN(1,MAX(0,(73-Pipeline!$E$20+1)/MAX(Pipeline!$F$20,1)))+Pipeline!$U$21*Pipeline!$D$21*MIN(1,MAX(0,(73-Pipeline!$E$21+1)/MAX(Pipeline!$F$21,1)))+Pipeline!$U$22*Pipeline!$D$22*MIN(1,MAX(0,(73-Pipeline!$E$22+1)/MAX(Pipeline!$F$22,1))))/Hipótesis!$D$17</f>
        <v>973.059910354674</v>
      </c>
      <c r="BX18" s="150" t="n">
        <f aca="false">(Pipeline!$U$16*Pipeline!$D$16*MIN(1,MAX(0,(74-Pipeline!$E$16+1)/MAX(Pipeline!$F$16,1)))+Pipeline!$U$17*Pipeline!$D$17*MIN(1,MAX(0,(74-Pipeline!$E$17+1)/MAX(Pipeline!$F$17,1)))+Pipeline!$U$18*Pipeline!$D$18*MIN(1,MAX(0,(74-Pipeline!$E$18+1)/MAX(Pipeline!$F$18,1)))+Pipeline!$U$19*Pipeline!$D$19*MIN(1,MAX(0,(74-Pipeline!$E$19+1)/MAX(Pipeline!$F$19,1)))+Pipeline!$U$20*Pipeline!$D$20*MIN(1,MAX(0,(74-Pipeline!$E$20+1)/MAX(Pipeline!$F$20,1)))+Pipeline!$U$21*Pipeline!$D$21*MIN(1,MAX(0,(74-Pipeline!$E$21+1)/MAX(Pipeline!$F$21,1)))+Pipeline!$U$22*Pipeline!$D$22*MIN(1,MAX(0,(74-Pipeline!$E$22+1)/MAX(Pipeline!$F$22,1))))/Hipótesis!$D$17</f>
        <v>973.059910354674</v>
      </c>
      <c r="BY18" s="150" t="n">
        <f aca="false">(Pipeline!$U$16*Pipeline!$D$16*MIN(1,MAX(0,(75-Pipeline!$E$16+1)/MAX(Pipeline!$F$16,1)))+Pipeline!$U$17*Pipeline!$D$17*MIN(1,MAX(0,(75-Pipeline!$E$17+1)/MAX(Pipeline!$F$17,1)))+Pipeline!$U$18*Pipeline!$D$18*MIN(1,MAX(0,(75-Pipeline!$E$18+1)/MAX(Pipeline!$F$18,1)))+Pipeline!$U$19*Pipeline!$D$19*MIN(1,MAX(0,(75-Pipeline!$E$19+1)/MAX(Pipeline!$F$19,1)))+Pipeline!$U$20*Pipeline!$D$20*MIN(1,MAX(0,(75-Pipeline!$E$20+1)/MAX(Pipeline!$F$20,1)))+Pipeline!$U$21*Pipeline!$D$21*MIN(1,MAX(0,(75-Pipeline!$E$21+1)/MAX(Pipeline!$F$21,1)))+Pipeline!$U$22*Pipeline!$D$22*MIN(1,MAX(0,(75-Pipeline!$E$22+1)/MAX(Pipeline!$F$22,1))))/Hipótesis!$D$17</f>
        <v>973.059910354674</v>
      </c>
      <c r="BZ18" s="150" t="n">
        <f aca="false">(Pipeline!$U$16*Pipeline!$D$16*MIN(1,MAX(0,(76-Pipeline!$E$16+1)/MAX(Pipeline!$F$16,1)))+Pipeline!$U$17*Pipeline!$D$17*MIN(1,MAX(0,(76-Pipeline!$E$17+1)/MAX(Pipeline!$F$17,1)))+Pipeline!$U$18*Pipeline!$D$18*MIN(1,MAX(0,(76-Pipeline!$E$18+1)/MAX(Pipeline!$F$18,1)))+Pipeline!$U$19*Pipeline!$D$19*MIN(1,MAX(0,(76-Pipeline!$E$19+1)/MAX(Pipeline!$F$19,1)))+Pipeline!$U$20*Pipeline!$D$20*MIN(1,MAX(0,(76-Pipeline!$E$20+1)/MAX(Pipeline!$F$20,1)))+Pipeline!$U$21*Pipeline!$D$21*MIN(1,MAX(0,(76-Pipeline!$E$21+1)/MAX(Pipeline!$F$21,1)))+Pipeline!$U$22*Pipeline!$D$22*MIN(1,MAX(0,(76-Pipeline!$E$22+1)/MAX(Pipeline!$F$22,1))))/Hipótesis!$D$17</f>
        <v>973.059910354674</v>
      </c>
      <c r="CA18" s="150" t="n">
        <f aca="false">(Pipeline!$U$16*Pipeline!$D$16*MIN(1,MAX(0,(77-Pipeline!$E$16+1)/MAX(Pipeline!$F$16,1)))+Pipeline!$U$17*Pipeline!$D$17*MIN(1,MAX(0,(77-Pipeline!$E$17+1)/MAX(Pipeline!$F$17,1)))+Pipeline!$U$18*Pipeline!$D$18*MIN(1,MAX(0,(77-Pipeline!$E$18+1)/MAX(Pipeline!$F$18,1)))+Pipeline!$U$19*Pipeline!$D$19*MIN(1,MAX(0,(77-Pipeline!$E$19+1)/MAX(Pipeline!$F$19,1)))+Pipeline!$U$20*Pipeline!$D$20*MIN(1,MAX(0,(77-Pipeline!$E$20+1)/MAX(Pipeline!$F$20,1)))+Pipeline!$U$21*Pipeline!$D$21*MIN(1,MAX(0,(77-Pipeline!$E$21+1)/MAX(Pipeline!$F$21,1)))+Pipeline!$U$22*Pipeline!$D$22*MIN(1,MAX(0,(77-Pipeline!$E$22+1)/MAX(Pipeline!$F$22,1))))/Hipótesis!$D$17</f>
        <v>973.059910354674</v>
      </c>
      <c r="CB18" s="150" t="n">
        <f aca="false">(Pipeline!$U$16*Pipeline!$D$16*MIN(1,MAX(0,(78-Pipeline!$E$16+1)/MAX(Pipeline!$F$16,1)))+Pipeline!$U$17*Pipeline!$D$17*MIN(1,MAX(0,(78-Pipeline!$E$17+1)/MAX(Pipeline!$F$17,1)))+Pipeline!$U$18*Pipeline!$D$18*MIN(1,MAX(0,(78-Pipeline!$E$18+1)/MAX(Pipeline!$F$18,1)))+Pipeline!$U$19*Pipeline!$D$19*MIN(1,MAX(0,(78-Pipeline!$E$19+1)/MAX(Pipeline!$F$19,1)))+Pipeline!$U$20*Pipeline!$D$20*MIN(1,MAX(0,(78-Pipeline!$E$20+1)/MAX(Pipeline!$F$20,1)))+Pipeline!$U$21*Pipeline!$D$21*MIN(1,MAX(0,(78-Pipeline!$E$21+1)/MAX(Pipeline!$F$21,1)))+Pipeline!$U$22*Pipeline!$D$22*MIN(1,MAX(0,(78-Pipeline!$E$22+1)/MAX(Pipeline!$F$22,1))))/Hipótesis!$D$17</f>
        <v>973.059910354674</v>
      </c>
      <c r="CC18" s="150" t="n">
        <f aca="false">(Pipeline!$U$16*Pipeline!$D$16*MIN(1,MAX(0,(79-Pipeline!$E$16+1)/MAX(Pipeline!$F$16,1)))+Pipeline!$U$17*Pipeline!$D$17*MIN(1,MAX(0,(79-Pipeline!$E$17+1)/MAX(Pipeline!$F$17,1)))+Pipeline!$U$18*Pipeline!$D$18*MIN(1,MAX(0,(79-Pipeline!$E$18+1)/MAX(Pipeline!$F$18,1)))+Pipeline!$U$19*Pipeline!$D$19*MIN(1,MAX(0,(79-Pipeline!$E$19+1)/MAX(Pipeline!$F$19,1)))+Pipeline!$U$20*Pipeline!$D$20*MIN(1,MAX(0,(79-Pipeline!$E$20+1)/MAX(Pipeline!$F$20,1)))+Pipeline!$U$21*Pipeline!$D$21*MIN(1,MAX(0,(79-Pipeline!$E$21+1)/MAX(Pipeline!$F$21,1)))+Pipeline!$U$22*Pipeline!$D$22*MIN(1,MAX(0,(79-Pipeline!$E$22+1)/MAX(Pipeline!$F$22,1))))/Hipótesis!$D$17</f>
        <v>973.059910354674</v>
      </c>
      <c r="CD18" s="150" t="n">
        <f aca="false">(Pipeline!$U$16*Pipeline!$D$16*MIN(1,MAX(0,(80-Pipeline!$E$16+1)/MAX(Pipeline!$F$16,1)))+Pipeline!$U$17*Pipeline!$D$17*MIN(1,MAX(0,(80-Pipeline!$E$17+1)/MAX(Pipeline!$F$17,1)))+Pipeline!$U$18*Pipeline!$D$18*MIN(1,MAX(0,(80-Pipeline!$E$18+1)/MAX(Pipeline!$F$18,1)))+Pipeline!$U$19*Pipeline!$D$19*MIN(1,MAX(0,(80-Pipeline!$E$19+1)/MAX(Pipeline!$F$19,1)))+Pipeline!$U$20*Pipeline!$D$20*MIN(1,MAX(0,(80-Pipeline!$E$20+1)/MAX(Pipeline!$F$20,1)))+Pipeline!$U$21*Pipeline!$D$21*MIN(1,MAX(0,(80-Pipeline!$E$21+1)/MAX(Pipeline!$F$21,1)))+Pipeline!$U$22*Pipeline!$D$22*MIN(1,MAX(0,(80-Pipeline!$E$22+1)/MAX(Pipeline!$F$22,1))))/Hipótesis!$D$17</f>
        <v>973.059910354674</v>
      </c>
      <c r="CE18" s="150" t="n">
        <f aca="false">(Pipeline!$U$16*Pipeline!$D$16*MIN(1,MAX(0,(81-Pipeline!$E$16+1)/MAX(Pipeline!$F$16,1)))+Pipeline!$U$17*Pipeline!$D$17*MIN(1,MAX(0,(81-Pipeline!$E$17+1)/MAX(Pipeline!$F$17,1)))+Pipeline!$U$18*Pipeline!$D$18*MIN(1,MAX(0,(81-Pipeline!$E$18+1)/MAX(Pipeline!$F$18,1)))+Pipeline!$U$19*Pipeline!$D$19*MIN(1,MAX(0,(81-Pipeline!$E$19+1)/MAX(Pipeline!$F$19,1)))+Pipeline!$U$20*Pipeline!$D$20*MIN(1,MAX(0,(81-Pipeline!$E$20+1)/MAX(Pipeline!$F$20,1)))+Pipeline!$U$21*Pipeline!$D$21*MIN(1,MAX(0,(81-Pipeline!$E$21+1)/MAX(Pipeline!$F$21,1)))+Pipeline!$U$22*Pipeline!$D$22*MIN(1,MAX(0,(81-Pipeline!$E$22+1)/MAX(Pipeline!$F$22,1))))/Hipótesis!$D$17</f>
        <v>973.059910354674</v>
      </c>
      <c r="CF18" s="150" t="n">
        <f aca="false">(Pipeline!$U$16*Pipeline!$D$16*MIN(1,MAX(0,(82-Pipeline!$E$16+1)/MAX(Pipeline!$F$16,1)))+Pipeline!$U$17*Pipeline!$D$17*MIN(1,MAX(0,(82-Pipeline!$E$17+1)/MAX(Pipeline!$F$17,1)))+Pipeline!$U$18*Pipeline!$D$18*MIN(1,MAX(0,(82-Pipeline!$E$18+1)/MAX(Pipeline!$F$18,1)))+Pipeline!$U$19*Pipeline!$D$19*MIN(1,MAX(0,(82-Pipeline!$E$19+1)/MAX(Pipeline!$F$19,1)))+Pipeline!$U$20*Pipeline!$D$20*MIN(1,MAX(0,(82-Pipeline!$E$20+1)/MAX(Pipeline!$F$20,1)))+Pipeline!$U$21*Pipeline!$D$21*MIN(1,MAX(0,(82-Pipeline!$E$21+1)/MAX(Pipeline!$F$21,1)))+Pipeline!$U$22*Pipeline!$D$22*MIN(1,MAX(0,(82-Pipeline!$E$22+1)/MAX(Pipeline!$F$22,1))))/Hipótesis!$D$17</f>
        <v>973.059910354674</v>
      </c>
      <c r="CG18" s="150" t="n">
        <f aca="false">(Pipeline!$U$16*Pipeline!$D$16*MIN(1,MAX(0,(83-Pipeline!$E$16+1)/MAX(Pipeline!$F$16,1)))+Pipeline!$U$17*Pipeline!$D$17*MIN(1,MAX(0,(83-Pipeline!$E$17+1)/MAX(Pipeline!$F$17,1)))+Pipeline!$U$18*Pipeline!$D$18*MIN(1,MAX(0,(83-Pipeline!$E$18+1)/MAX(Pipeline!$F$18,1)))+Pipeline!$U$19*Pipeline!$D$19*MIN(1,MAX(0,(83-Pipeline!$E$19+1)/MAX(Pipeline!$F$19,1)))+Pipeline!$U$20*Pipeline!$D$20*MIN(1,MAX(0,(83-Pipeline!$E$20+1)/MAX(Pipeline!$F$20,1)))+Pipeline!$U$21*Pipeline!$D$21*MIN(1,MAX(0,(83-Pipeline!$E$21+1)/MAX(Pipeline!$F$21,1)))+Pipeline!$U$22*Pipeline!$D$22*MIN(1,MAX(0,(83-Pipeline!$E$22+1)/MAX(Pipeline!$F$22,1))))/Hipótesis!$D$17</f>
        <v>973.059910354674</v>
      </c>
      <c r="CH18" s="150" t="n">
        <f aca="false">(Pipeline!$U$16*Pipeline!$D$16*MIN(1,MAX(0,(84-Pipeline!$E$16+1)/MAX(Pipeline!$F$16,1)))+Pipeline!$U$17*Pipeline!$D$17*MIN(1,MAX(0,(84-Pipeline!$E$17+1)/MAX(Pipeline!$F$17,1)))+Pipeline!$U$18*Pipeline!$D$18*MIN(1,MAX(0,(84-Pipeline!$E$18+1)/MAX(Pipeline!$F$18,1)))+Pipeline!$U$19*Pipeline!$D$19*MIN(1,MAX(0,(84-Pipeline!$E$19+1)/MAX(Pipeline!$F$19,1)))+Pipeline!$U$20*Pipeline!$D$20*MIN(1,MAX(0,(84-Pipeline!$E$20+1)/MAX(Pipeline!$F$20,1)))+Pipeline!$U$21*Pipeline!$D$21*MIN(1,MAX(0,(84-Pipeline!$E$21+1)/MAX(Pipeline!$F$21,1)))+Pipeline!$U$22*Pipeline!$D$22*MIN(1,MAX(0,(84-Pipeline!$E$22+1)/MAX(Pipeline!$F$22,1))))/Hipótesis!$D$17</f>
        <v>973.059910354674</v>
      </c>
    </row>
    <row r="19" customFormat="false" ht="13.5" hidden="false" customHeight="true" outlineLevel="0" collapsed="false">
      <c r="A19" s="13" t="s">
        <v>702</v>
      </c>
      <c r="C19" s="138" t="n">
        <f aca="false">Pipeline!$W$16*Pipeline!$D$16*MIN(1,MAX(0,(1-Pipeline!$E$16+1)/MAX(Pipeline!$F$16,1)))+Pipeline!$W$17*Pipeline!$D$17*MIN(1,MAX(0,(1-Pipeline!$E$17+1)/MAX(Pipeline!$F$17,1)))+Pipeline!$W$18*Pipeline!$D$18*MIN(1,MAX(0,(1-Pipeline!$E$18+1)/MAX(Pipeline!$F$18,1)))+Pipeline!$W$19*Pipeline!$D$19*MIN(1,MAX(0,(1-Pipeline!$E$19+1)/MAX(Pipeline!$F$19,1)))+Pipeline!$W$20*Pipeline!$D$20*MIN(1,MAX(0,(1-Pipeline!$E$20+1)/MAX(Pipeline!$F$20,1)))+Pipeline!$W$21*Pipeline!$D$21*MIN(1,MAX(0,(1-Pipeline!$E$21+1)/MAX(Pipeline!$F$21,1)))+Pipeline!$W$22*Pipeline!$D$22*MIN(1,MAX(0,(1-Pipeline!$E$22+1)/MAX(Pipeline!$F$22,1)))</f>
        <v>136.64254338843</v>
      </c>
      <c r="D19" s="138" t="n">
        <f aca="false">Pipeline!$W$16*Pipeline!$D$16*MIN(1,MAX(0,(2-Pipeline!$E$16+1)/MAX(Pipeline!$F$16,1)))+Pipeline!$W$17*Pipeline!$D$17*MIN(1,MAX(0,(2-Pipeline!$E$17+1)/MAX(Pipeline!$F$17,1)))+Pipeline!$W$18*Pipeline!$D$18*MIN(1,MAX(0,(2-Pipeline!$E$18+1)/MAX(Pipeline!$F$18,1)))+Pipeline!$W$19*Pipeline!$D$19*MIN(1,MAX(0,(2-Pipeline!$E$19+1)/MAX(Pipeline!$F$19,1)))+Pipeline!$W$20*Pipeline!$D$20*MIN(1,MAX(0,(2-Pipeline!$E$20+1)/MAX(Pipeline!$F$20,1)))+Pipeline!$W$21*Pipeline!$D$21*MIN(1,MAX(0,(2-Pipeline!$E$21+1)/MAX(Pipeline!$F$21,1)))+Pipeline!$W$22*Pipeline!$D$22*MIN(1,MAX(0,(2-Pipeline!$E$22+1)/MAX(Pipeline!$F$22,1)))</f>
        <v>288.258822994652</v>
      </c>
      <c r="E19" s="138" t="n">
        <f aca="false">Pipeline!$W$16*Pipeline!$D$16*MIN(1,MAX(0,(3-Pipeline!$E$16+1)/MAX(Pipeline!$F$16,1)))+Pipeline!$W$17*Pipeline!$D$17*MIN(1,MAX(0,(3-Pipeline!$E$17+1)/MAX(Pipeline!$F$17,1)))+Pipeline!$W$18*Pipeline!$D$18*MIN(1,MAX(0,(3-Pipeline!$E$18+1)/MAX(Pipeline!$F$18,1)))+Pipeline!$W$19*Pipeline!$D$19*MIN(1,MAX(0,(3-Pipeline!$E$19+1)/MAX(Pipeline!$F$19,1)))+Pipeline!$W$20*Pipeline!$D$20*MIN(1,MAX(0,(3-Pipeline!$E$20+1)/MAX(Pipeline!$F$20,1)))+Pipeline!$W$21*Pipeline!$D$21*MIN(1,MAX(0,(3-Pipeline!$E$21+1)/MAX(Pipeline!$F$21,1)))+Pipeline!$W$22*Pipeline!$D$22*MIN(1,MAX(0,(3-Pipeline!$E$22+1)/MAX(Pipeline!$F$22,1)))</f>
        <v>655.025460708271</v>
      </c>
      <c r="F19" s="138" t="n">
        <f aca="false">Pipeline!$W$16*Pipeline!$D$16*MIN(1,MAX(0,(4-Pipeline!$E$16+1)/MAX(Pipeline!$F$16,1)))+Pipeline!$W$17*Pipeline!$D$17*MIN(1,MAX(0,(4-Pipeline!$E$17+1)/MAX(Pipeline!$F$17,1)))+Pipeline!$W$18*Pipeline!$D$18*MIN(1,MAX(0,(4-Pipeline!$E$18+1)/MAX(Pipeline!$F$18,1)))+Pipeline!$W$19*Pipeline!$D$19*MIN(1,MAX(0,(4-Pipeline!$E$19+1)/MAX(Pipeline!$F$19,1)))+Pipeline!$W$20*Pipeline!$D$20*MIN(1,MAX(0,(4-Pipeline!$E$20+1)/MAX(Pipeline!$F$20,1)))+Pipeline!$W$21*Pipeline!$D$21*MIN(1,MAX(0,(4-Pipeline!$E$21+1)/MAX(Pipeline!$F$21,1)))+Pipeline!$W$22*Pipeline!$D$22*MIN(1,MAX(0,(4-Pipeline!$E$22+1)/MAX(Pipeline!$F$22,1)))</f>
        <v>885.14955503346</v>
      </c>
      <c r="G19" s="138" t="n">
        <f aca="false">Pipeline!$W$16*Pipeline!$D$16*MIN(1,MAX(0,(5-Pipeline!$E$16+1)/MAX(Pipeline!$F$16,1)))+Pipeline!$W$17*Pipeline!$D$17*MIN(1,MAX(0,(5-Pipeline!$E$17+1)/MAX(Pipeline!$F$17,1)))+Pipeline!$W$18*Pipeline!$D$18*MIN(1,MAX(0,(5-Pipeline!$E$18+1)/MAX(Pipeline!$F$18,1)))+Pipeline!$W$19*Pipeline!$D$19*MIN(1,MAX(0,(5-Pipeline!$E$19+1)/MAX(Pipeline!$F$19,1)))+Pipeline!$W$20*Pipeline!$D$20*MIN(1,MAX(0,(5-Pipeline!$E$20+1)/MAX(Pipeline!$F$20,1)))+Pipeline!$W$21*Pipeline!$D$21*MIN(1,MAX(0,(5-Pipeline!$E$21+1)/MAX(Pipeline!$F$21,1)))+Pipeline!$W$22*Pipeline!$D$22*MIN(1,MAX(0,(5-Pipeline!$E$22+1)/MAX(Pipeline!$F$22,1)))</f>
        <v>1100.29991314086</v>
      </c>
      <c r="H19" s="138" t="n">
        <f aca="false">Pipeline!$W$16*Pipeline!$D$16*MIN(1,MAX(0,(6-Pipeline!$E$16+1)/MAX(Pipeline!$F$16,1)))+Pipeline!$W$17*Pipeline!$D$17*MIN(1,MAX(0,(6-Pipeline!$E$17+1)/MAX(Pipeline!$F$17,1)))+Pipeline!$W$18*Pipeline!$D$18*MIN(1,MAX(0,(6-Pipeline!$E$18+1)/MAX(Pipeline!$F$18,1)))+Pipeline!$W$19*Pipeline!$D$19*MIN(1,MAX(0,(6-Pipeline!$E$19+1)/MAX(Pipeline!$F$19,1)))+Pipeline!$W$20*Pipeline!$D$20*MIN(1,MAX(0,(6-Pipeline!$E$20+1)/MAX(Pipeline!$F$20,1)))+Pipeline!$W$21*Pipeline!$D$21*MIN(1,MAX(0,(6-Pipeline!$E$21+1)/MAX(Pipeline!$F$21,1)))+Pipeline!$W$22*Pipeline!$D$22*MIN(1,MAX(0,(6-Pipeline!$E$22+1)/MAX(Pipeline!$F$22,1)))</f>
        <v>1487.02433207713</v>
      </c>
      <c r="I19" s="138" t="n">
        <f aca="false">Pipeline!$W$16*Pipeline!$D$16*MIN(1,MAX(0,(7-Pipeline!$E$16+1)/MAX(Pipeline!$F$16,1)))+Pipeline!$W$17*Pipeline!$D$17*MIN(1,MAX(0,(7-Pipeline!$E$17+1)/MAX(Pipeline!$F$17,1)))+Pipeline!$W$18*Pipeline!$D$18*MIN(1,MAX(0,(7-Pipeline!$E$18+1)/MAX(Pipeline!$F$18,1)))+Pipeline!$W$19*Pipeline!$D$19*MIN(1,MAX(0,(7-Pipeline!$E$19+1)/MAX(Pipeline!$F$19,1)))+Pipeline!$W$20*Pipeline!$D$20*MIN(1,MAX(0,(7-Pipeline!$E$20+1)/MAX(Pipeline!$F$20,1)))+Pipeline!$W$21*Pipeline!$D$21*MIN(1,MAX(0,(7-Pipeline!$E$21+1)/MAX(Pipeline!$F$21,1)))+Pipeline!$W$22*Pipeline!$D$22*MIN(1,MAX(0,(7-Pipeline!$E$22+1)/MAX(Pipeline!$F$22,1)))</f>
        <v>1873.7487510134</v>
      </c>
      <c r="J19" s="138" t="n">
        <f aca="false">Pipeline!$W$16*Pipeline!$D$16*MIN(1,MAX(0,(8-Pipeline!$E$16+1)/MAX(Pipeline!$F$16,1)))+Pipeline!$W$17*Pipeline!$D$17*MIN(1,MAX(0,(8-Pipeline!$E$17+1)/MAX(Pipeline!$F$17,1)))+Pipeline!$W$18*Pipeline!$D$18*MIN(1,MAX(0,(8-Pipeline!$E$18+1)/MAX(Pipeline!$F$18,1)))+Pipeline!$W$19*Pipeline!$D$19*MIN(1,MAX(0,(8-Pipeline!$E$19+1)/MAX(Pipeline!$F$19,1)))+Pipeline!$W$20*Pipeline!$D$20*MIN(1,MAX(0,(8-Pipeline!$E$20+1)/MAX(Pipeline!$F$20,1)))+Pipeline!$W$21*Pipeline!$D$21*MIN(1,MAX(0,(8-Pipeline!$E$21+1)/MAX(Pipeline!$F$21,1)))+Pipeline!$W$22*Pipeline!$D$22*MIN(1,MAX(0,(8-Pipeline!$E$22+1)/MAX(Pipeline!$F$22,1)))</f>
        <v>2260.47316994967</v>
      </c>
      <c r="K19" s="138" t="n">
        <f aca="false">Pipeline!$W$16*Pipeline!$D$16*MIN(1,MAX(0,(9-Pipeline!$E$16+1)/MAX(Pipeline!$F$16,1)))+Pipeline!$W$17*Pipeline!$D$17*MIN(1,MAX(0,(9-Pipeline!$E$17+1)/MAX(Pipeline!$F$17,1)))+Pipeline!$W$18*Pipeline!$D$18*MIN(1,MAX(0,(9-Pipeline!$E$18+1)/MAX(Pipeline!$F$18,1)))+Pipeline!$W$19*Pipeline!$D$19*MIN(1,MAX(0,(9-Pipeline!$E$19+1)/MAX(Pipeline!$F$19,1)))+Pipeline!$W$20*Pipeline!$D$20*MIN(1,MAX(0,(9-Pipeline!$E$20+1)/MAX(Pipeline!$F$20,1)))+Pipeline!$W$21*Pipeline!$D$21*MIN(1,MAX(0,(9-Pipeline!$E$21+1)/MAX(Pipeline!$F$21,1)))+Pipeline!$W$22*Pipeline!$D$22*MIN(1,MAX(0,(9-Pipeline!$E$22+1)/MAX(Pipeline!$F$22,1)))</f>
        <v>2647.19758888595</v>
      </c>
      <c r="L19" s="138" t="n">
        <f aca="false">Pipeline!$W$16*Pipeline!$D$16*MIN(1,MAX(0,(10-Pipeline!$E$16+1)/MAX(Pipeline!$F$16,1)))+Pipeline!$W$17*Pipeline!$D$17*MIN(1,MAX(0,(10-Pipeline!$E$17+1)/MAX(Pipeline!$F$17,1)))+Pipeline!$W$18*Pipeline!$D$18*MIN(1,MAX(0,(10-Pipeline!$E$18+1)/MAX(Pipeline!$F$18,1)))+Pipeline!$W$19*Pipeline!$D$19*MIN(1,MAX(0,(10-Pipeline!$E$19+1)/MAX(Pipeline!$F$19,1)))+Pipeline!$W$20*Pipeline!$D$20*MIN(1,MAX(0,(10-Pipeline!$E$20+1)/MAX(Pipeline!$F$20,1)))+Pipeline!$W$21*Pipeline!$D$21*MIN(1,MAX(0,(10-Pipeline!$E$21+1)/MAX(Pipeline!$F$21,1)))+Pipeline!$W$22*Pipeline!$D$22*MIN(1,MAX(0,(10-Pipeline!$E$22+1)/MAX(Pipeline!$F$22,1)))</f>
        <v>3033.92200782222</v>
      </c>
      <c r="M19" s="138" t="n">
        <f aca="false">Pipeline!$W$16*Pipeline!$D$16*MIN(1,MAX(0,(11-Pipeline!$E$16+1)/MAX(Pipeline!$F$16,1)))+Pipeline!$W$17*Pipeline!$D$17*MIN(1,MAX(0,(11-Pipeline!$E$17+1)/MAX(Pipeline!$F$17,1)))+Pipeline!$W$18*Pipeline!$D$18*MIN(1,MAX(0,(11-Pipeline!$E$18+1)/MAX(Pipeline!$F$18,1)))+Pipeline!$W$19*Pipeline!$D$19*MIN(1,MAX(0,(11-Pipeline!$E$19+1)/MAX(Pipeline!$F$19,1)))+Pipeline!$W$20*Pipeline!$D$20*MIN(1,MAX(0,(11-Pipeline!$E$20+1)/MAX(Pipeline!$F$20,1)))+Pipeline!$W$21*Pipeline!$D$21*MIN(1,MAX(0,(11-Pipeline!$E$21+1)/MAX(Pipeline!$F$21,1)))+Pipeline!$W$22*Pipeline!$D$22*MIN(1,MAX(0,(11-Pipeline!$E$22+1)/MAX(Pipeline!$F$22,1)))</f>
        <v>3205.4960686511</v>
      </c>
      <c r="N19" s="138" t="n">
        <f aca="false">Pipeline!$W$16*Pipeline!$D$16*MIN(1,MAX(0,(12-Pipeline!$E$16+1)/MAX(Pipeline!$F$16,1)))+Pipeline!$W$17*Pipeline!$D$17*MIN(1,MAX(0,(12-Pipeline!$E$17+1)/MAX(Pipeline!$F$17,1)))+Pipeline!$W$18*Pipeline!$D$18*MIN(1,MAX(0,(12-Pipeline!$E$18+1)/MAX(Pipeline!$F$18,1)))+Pipeline!$W$19*Pipeline!$D$19*MIN(1,MAX(0,(12-Pipeline!$E$19+1)/MAX(Pipeline!$F$19,1)))+Pipeline!$W$20*Pipeline!$D$20*MIN(1,MAX(0,(12-Pipeline!$E$20+1)/MAX(Pipeline!$F$20,1)))+Pipeline!$W$21*Pipeline!$D$21*MIN(1,MAX(0,(12-Pipeline!$E$21+1)/MAX(Pipeline!$F$21,1)))+Pipeline!$W$22*Pipeline!$D$22*MIN(1,MAX(0,(12-Pipeline!$E$22+1)/MAX(Pipeline!$F$22,1)))</f>
        <v>3626.63239977652</v>
      </c>
      <c r="O19" s="138" t="n">
        <f aca="false">Pipeline!$W$16*Pipeline!$D$16*MIN(1,MAX(0,(13-Pipeline!$E$16+1)/MAX(Pipeline!$F$16,1)))+Pipeline!$W$17*Pipeline!$D$17*MIN(1,MAX(0,(13-Pipeline!$E$17+1)/MAX(Pipeline!$F$17,1)))+Pipeline!$W$18*Pipeline!$D$18*MIN(1,MAX(0,(13-Pipeline!$E$18+1)/MAX(Pipeline!$F$18,1)))+Pipeline!$W$19*Pipeline!$D$19*MIN(1,MAX(0,(13-Pipeline!$E$19+1)/MAX(Pipeline!$F$19,1)))+Pipeline!$W$20*Pipeline!$D$20*MIN(1,MAX(0,(13-Pipeline!$E$20+1)/MAX(Pipeline!$F$20,1)))+Pipeline!$W$21*Pipeline!$D$21*MIN(1,MAX(0,(13-Pipeline!$E$21+1)/MAX(Pipeline!$F$21,1)))+Pipeline!$W$22*Pipeline!$D$22*MIN(1,MAX(0,(13-Pipeline!$E$22+1)/MAX(Pipeline!$F$22,1)))</f>
        <v>4047.76873090195</v>
      </c>
      <c r="P19" s="138" t="n">
        <f aca="false">Pipeline!$W$16*Pipeline!$D$16*MIN(1,MAX(0,(14-Pipeline!$E$16+1)/MAX(Pipeline!$F$16,1)))+Pipeline!$W$17*Pipeline!$D$17*MIN(1,MAX(0,(14-Pipeline!$E$17+1)/MAX(Pipeline!$F$17,1)))+Pipeline!$W$18*Pipeline!$D$18*MIN(1,MAX(0,(14-Pipeline!$E$18+1)/MAX(Pipeline!$F$18,1)))+Pipeline!$W$19*Pipeline!$D$19*MIN(1,MAX(0,(14-Pipeline!$E$19+1)/MAX(Pipeline!$F$19,1)))+Pipeline!$W$20*Pipeline!$D$20*MIN(1,MAX(0,(14-Pipeline!$E$20+1)/MAX(Pipeline!$F$20,1)))+Pipeline!$W$21*Pipeline!$D$21*MIN(1,MAX(0,(14-Pipeline!$E$21+1)/MAX(Pipeline!$F$21,1)))+Pipeline!$W$22*Pipeline!$D$22*MIN(1,MAX(0,(14-Pipeline!$E$22+1)/MAX(Pipeline!$F$22,1)))</f>
        <v>4397.15590931712</v>
      </c>
      <c r="Q19" s="138" t="n">
        <f aca="false">Pipeline!$W$16*Pipeline!$D$16*MIN(1,MAX(0,(15-Pipeline!$E$16+1)/MAX(Pipeline!$F$16,1)))+Pipeline!$W$17*Pipeline!$D$17*MIN(1,MAX(0,(15-Pipeline!$E$17+1)/MAX(Pipeline!$F$17,1)))+Pipeline!$W$18*Pipeline!$D$18*MIN(1,MAX(0,(15-Pipeline!$E$18+1)/MAX(Pipeline!$F$18,1)))+Pipeline!$W$19*Pipeline!$D$19*MIN(1,MAX(0,(15-Pipeline!$E$19+1)/MAX(Pipeline!$F$19,1)))+Pipeline!$W$20*Pipeline!$D$20*MIN(1,MAX(0,(15-Pipeline!$E$20+1)/MAX(Pipeline!$F$20,1)))+Pipeline!$W$21*Pipeline!$D$21*MIN(1,MAX(0,(15-Pipeline!$E$21+1)/MAX(Pipeline!$F$21,1)))+Pipeline!$W$22*Pipeline!$D$22*MIN(1,MAX(0,(15-Pipeline!$E$22+1)/MAX(Pipeline!$F$22,1)))</f>
        <v>4746.54308773228</v>
      </c>
      <c r="R19" s="138" t="n">
        <f aca="false">Pipeline!$W$16*Pipeline!$D$16*MIN(1,MAX(0,(16-Pipeline!$E$16+1)/MAX(Pipeline!$F$16,1)))+Pipeline!$W$17*Pipeline!$D$17*MIN(1,MAX(0,(16-Pipeline!$E$17+1)/MAX(Pipeline!$F$17,1)))+Pipeline!$W$18*Pipeline!$D$18*MIN(1,MAX(0,(16-Pipeline!$E$18+1)/MAX(Pipeline!$F$18,1)))+Pipeline!$W$19*Pipeline!$D$19*MIN(1,MAX(0,(16-Pipeline!$E$19+1)/MAX(Pipeline!$F$19,1)))+Pipeline!$W$20*Pipeline!$D$20*MIN(1,MAX(0,(16-Pipeline!$E$20+1)/MAX(Pipeline!$F$20,1)))+Pipeline!$W$21*Pipeline!$D$21*MIN(1,MAX(0,(16-Pipeline!$E$21+1)/MAX(Pipeline!$F$21,1)))+Pipeline!$W$22*Pipeline!$D$22*MIN(1,MAX(0,(16-Pipeline!$E$22+1)/MAX(Pipeline!$F$22,1)))</f>
        <v>5095.93026614745</v>
      </c>
      <c r="S19" s="138" t="n">
        <f aca="false">Pipeline!$W$16*Pipeline!$D$16*MIN(1,MAX(0,(17-Pipeline!$E$16+1)/MAX(Pipeline!$F$16,1)))+Pipeline!$W$17*Pipeline!$D$17*MIN(1,MAX(0,(17-Pipeline!$E$17+1)/MAX(Pipeline!$F$17,1)))+Pipeline!$W$18*Pipeline!$D$18*MIN(1,MAX(0,(17-Pipeline!$E$18+1)/MAX(Pipeline!$F$18,1)))+Pipeline!$W$19*Pipeline!$D$19*MIN(1,MAX(0,(17-Pipeline!$E$19+1)/MAX(Pipeline!$F$19,1)))+Pipeline!$W$20*Pipeline!$D$20*MIN(1,MAX(0,(17-Pipeline!$E$20+1)/MAX(Pipeline!$F$20,1)))+Pipeline!$W$21*Pipeline!$D$21*MIN(1,MAX(0,(17-Pipeline!$E$21+1)/MAX(Pipeline!$F$21,1)))+Pipeline!$W$22*Pipeline!$D$22*MIN(1,MAX(0,(17-Pipeline!$E$22+1)/MAX(Pipeline!$F$22,1)))</f>
        <v>5445.31744456262</v>
      </c>
      <c r="T19" s="138" t="n">
        <f aca="false">Pipeline!$W$16*Pipeline!$D$16*MIN(1,MAX(0,(18-Pipeline!$E$16+1)/MAX(Pipeline!$F$16,1)))+Pipeline!$W$17*Pipeline!$D$17*MIN(1,MAX(0,(18-Pipeline!$E$17+1)/MAX(Pipeline!$F$17,1)))+Pipeline!$W$18*Pipeline!$D$18*MIN(1,MAX(0,(18-Pipeline!$E$18+1)/MAX(Pipeline!$F$18,1)))+Pipeline!$W$19*Pipeline!$D$19*MIN(1,MAX(0,(18-Pipeline!$E$19+1)/MAX(Pipeline!$F$19,1)))+Pipeline!$W$20*Pipeline!$D$20*MIN(1,MAX(0,(18-Pipeline!$E$20+1)/MAX(Pipeline!$F$20,1)))+Pipeline!$W$21*Pipeline!$D$21*MIN(1,MAX(0,(18-Pipeline!$E$21+1)/MAX(Pipeline!$F$21,1)))+Pipeline!$W$22*Pipeline!$D$22*MIN(1,MAX(0,(18-Pipeline!$E$22+1)/MAX(Pipeline!$F$22,1)))</f>
        <v>5794.70462297779</v>
      </c>
      <c r="U19" s="138" t="n">
        <f aca="false">Pipeline!$W$16*Pipeline!$D$16*MIN(1,MAX(0,(19-Pipeline!$E$16+1)/MAX(Pipeline!$F$16,1)))+Pipeline!$W$17*Pipeline!$D$17*MIN(1,MAX(0,(19-Pipeline!$E$17+1)/MAX(Pipeline!$F$17,1)))+Pipeline!$W$18*Pipeline!$D$18*MIN(1,MAX(0,(19-Pipeline!$E$18+1)/MAX(Pipeline!$F$18,1)))+Pipeline!$W$19*Pipeline!$D$19*MIN(1,MAX(0,(19-Pipeline!$E$19+1)/MAX(Pipeline!$F$19,1)))+Pipeline!$W$20*Pipeline!$D$20*MIN(1,MAX(0,(19-Pipeline!$E$20+1)/MAX(Pipeline!$F$20,1)))+Pipeline!$W$21*Pipeline!$D$21*MIN(1,MAX(0,(19-Pipeline!$E$21+1)/MAX(Pipeline!$F$21,1)))+Pipeline!$W$22*Pipeline!$D$22*MIN(1,MAX(0,(19-Pipeline!$E$22+1)/MAX(Pipeline!$F$22,1)))</f>
        <v>6144.09180139295</v>
      </c>
      <c r="V19" s="138" t="n">
        <f aca="false">Pipeline!$W$16*Pipeline!$D$16*MIN(1,MAX(0,(20-Pipeline!$E$16+1)/MAX(Pipeline!$F$16,1)))+Pipeline!$W$17*Pipeline!$D$17*MIN(1,MAX(0,(20-Pipeline!$E$17+1)/MAX(Pipeline!$F$17,1)))+Pipeline!$W$18*Pipeline!$D$18*MIN(1,MAX(0,(20-Pipeline!$E$18+1)/MAX(Pipeline!$F$18,1)))+Pipeline!$W$19*Pipeline!$D$19*MIN(1,MAX(0,(20-Pipeline!$E$19+1)/MAX(Pipeline!$F$19,1)))+Pipeline!$W$20*Pipeline!$D$20*MIN(1,MAX(0,(20-Pipeline!$E$20+1)/MAX(Pipeline!$F$20,1)))+Pipeline!$W$21*Pipeline!$D$21*MIN(1,MAX(0,(20-Pipeline!$E$21+1)/MAX(Pipeline!$F$21,1)))+Pipeline!$W$22*Pipeline!$D$22*MIN(1,MAX(0,(20-Pipeline!$E$22+1)/MAX(Pipeline!$F$22,1)))</f>
        <v>6493.47897980812</v>
      </c>
      <c r="W19" s="138" t="n">
        <f aca="false">Pipeline!$W$16*Pipeline!$D$16*MIN(1,MAX(0,(21-Pipeline!$E$16+1)/MAX(Pipeline!$F$16,1)))+Pipeline!$W$17*Pipeline!$D$17*MIN(1,MAX(0,(21-Pipeline!$E$17+1)/MAX(Pipeline!$F$17,1)))+Pipeline!$W$18*Pipeline!$D$18*MIN(1,MAX(0,(21-Pipeline!$E$18+1)/MAX(Pipeline!$F$18,1)))+Pipeline!$W$19*Pipeline!$D$19*MIN(1,MAX(0,(21-Pipeline!$E$19+1)/MAX(Pipeline!$F$19,1)))+Pipeline!$W$20*Pipeline!$D$20*MIN(1,MAX(0,(21-Pipeline!$E$20+1)/MAX(Pipeline!$F$20,1)))+Pipeline!$W$21*Pipeline!$D$21*MIN(1,MAX(0,(21-Pipeline!$E$21+1)/MAX(Pipeline!$F$21,1)))+Pipeline!$W$22*Pipeline!$D$22*MIN(1,MAX(0,(21-Pipeline!$E$22+1)/MAX(Pipeline!$F$22,1)))</f>
        <v>6842.86615822329</v>
      </c>
      <c r="X19" s="138" t="n">
        <f aca="false">Pipeline!$W$16*Pipeline!$D$16*MIN(1,MAX(0,(22-Pipeline!$E$16+1)/MAX(Pipeline!$F$16,1)))+Pipeline!$W$17*Pipeline!$D$17*MIN(1,MAX(0,(22-Pipeline!$E$17+1)/MAX(Pipeline!$F$17,1)))+Pipeline!$W$18*Pipeline!$D$18*MIN(1,MAX(0,(22-Pipeline!$E$18+1)/MAX(Pipeline!$F$18,1)))+Pipeline!$W$19*Pipeline!$D$19*MIN(1,MAX(0,(22-Pipeline!$E$19+1)/MAX(Pipeline!$F$19,1)))+Pipeline!$W$20*Pipeline!$D$20*MIN(1,MAX(0,(22-Pipeline!$E$20+1)/MAX(Pipeline!$F$20,1)))+Pipeline!$W$21*Pipeline!$D$21*MIN(1,MAX(0,(22-Pipeline!$E$21+1)/MAX(Pipeline!$F$21,1)))+Pipeline!$W$22*Pipeline!$D$22*MIN(1,MAX(0,(22-Pipeline!$E$22+1)/MAX(Pipeline!$F$22,1)))</f>
        <v>6942.69106634191</v>
      </c>
      <c r="Y19" s="138" t="n">
        <f aca="false">Pipeline!$W$16*Pipeline!$D$16*MIN(1,MAX(0,(23-Pipeline!$E$16+1)/MAX(Pipeline!$F$16,1)))+Pipeline!$W$17*Pipeline!$D$17*MIN(1,MAX(0,(23-Pipeline!$E$17+1)/MAX(Pipeline!$F$17,1)))+Pipeline!$W$18*Pipeline!$D$18*MIN(1,MAX(0,(23-Pipeline!$E$18+1)/MAX(Pipeline!$F$18,1)))+Pipeline!$W$19*Pipeline!$D$19*MIN(1,MAX(0,(23-Pipeline!$E$19+1)/MAX(Pipeline!$F$19,1)))+Pipeline!$W$20*Pipeline!$D$20*MIN(1,MAX(0,(23-Pipeline!$E$20+1)/MAX(Pipeline!$F$20,1)))+Pipeline!$W$21*Pipeline!$D$21*MIN(1,MAX(0,(23-Pipeline!$E$21+1)/MAX(Pipeline!$F$21,1)))+Pipeline!$W$22*Pipeline!$D$22*MIN(1,MAX(0,(23-Pipeline!$E$22+1)/MAX(Pipeline!$F$22,1)))</f>
        <v>7042.51597446053</v>
      </c>
      <c r="Z19" s="138" t="n">
        <f aca="false">Pipeline!$W$16*Pipeline!$D$16*MIN(1,MAX(0,(24-Pipeline!$E$16+1)/MAX(Pipeline!$F$16,1)))+Pipeline!$W$17*Pipeline!$D$17*MIN(1,MAX(0,(24-Pipeline!$E$17+1)/MAX(Pipeline!$F$17,1)))+Pipeline!$W$18*Pipeline!$D$18*MIN(1,MAX(0,(24-Pipeline!$E$18+1)/MAX(Pipeline!$F$18,1)))+Pipeline!$W$19*Pipeline!$D$19*MIN(1,MAX(0,(24-Pipeline!$E$19+1)/MAX(Pipeline!$F$19,1)))+Pipeline!$W$20*Pipeline!$D$20*MIN(1,MAX(0,(24-Pipeline!$E$20+1)/MAX(Pipeline!$F$20,1)))+Pipeline!$W$21*Pipeline!$D$21*MIN(1,MAX(0,(24-Pipeline!$E$21+1)/MAX(Pipeline!$F$21,1)))+Pipeline!$W$22*Pipeline!$D$22*MIN(1,MAX(0,(24-Pipeline!$E$22+1)/MAX(Pipeline!$F$22,1)))</f>
        <v>7042.51597446053</v>
      </c>
      <c r="AA19" s="138" t="n">
        <f aca="false">Pipeline!$W$16*Pipeline!$D$16*MIN(1,MAX(0,(25-Pipeline!$E$16+1)/MAX(Pipeline!$F$16,1)))+Pipeline!$W$17*Pipeline!$D$17*MIN(1,MAX(0,(25-Pipeline!$E$17+1)/MAX(Pipeline!$F$17,1)))+Pipeline!$W$18*Pipeline!$D$18*MIN(1,MAX(0,(25-Pipeline!$E$18+1)/MAX(Pipeline!$F$18,1)))+Pipeline!$W$19*Pipeline!$D$19*MIN(1,MAX(0,(25-Pipeline!$E$19+1)/MAX(Pipeline!$F$19,1)))+Pipeline!$W$20*Pipeline!$D$20*MIN(1,MAX(0,(25-Pipeline!$E$20+1)/MAX(Pipeline!$F$20,1)))+Pipeline!$W$21*Pipeline!$D$21*MIN(1,MAX(0,(25-Pipeline!$E$21+1)/MAX(Pipeline!$F$21,1)))+Pipeline!$W$22*Pipeline!$D$22*MIN(1,MAX(0,(25-Pipeline!$E$22+1)/MAX(Pipeline!$F$22,1)))</f>
        <v>7042.51597446053</v>
      </c>
      <c r="AB19" s="138" t="n">
        <f aca="false">Pipeline!$W$16*Pipeline!$D$16*MIN(1,MAX(0,(26-Pipeline!$E$16+1)/MAX(Pipeline!$F$16,1)))+Pipeline!$W$17*Pipeline!$D$17*MIN(1,MAX(0,(26-Pipeline!$E$17+1)/MAX(Pipeline!$F$17,1)))+Pipeline!$W$18*Pipeline!$D$18*MIN(1,MAX(0,(26-Pipeline!$E$18+1)/MAX(Pipeline!$F$18,1)))+Pipeline!$W$19*Pipeline!$D$19*MIN(1,MAX(0,(26-Pipeline!$E$19+1)/MAX(Pipeline!$F$19,1)))+Pipeline!$W$20*Pipeline!$D$20*MIN(1,MAX(0,(26-Pipeline!$E$20+1)/MAX(Pipeline!$F$20,1)))+Pipeline!$W$21*Pipeline!$D$21*MIN(1,MAX(0,(26-Pipeline!$E$21+1)/MAX(Pipeline!$F$21,1)))+Pipeline!$W$22*Pipeline!$D$22*MIN(1,MAX(0,(26-Pipeline!$E$22+1)/MAX(Pipeline!$F$22,1)))</f>
        <v>7042.51597446053</v>
      </c>
      <c r="AC19" s="138" t="n">
        <f aca="false">Pipeline!$W$16*Pipeline!$D$16*MIN(1,MAX(0,(27-Pipeline!$E$16+1)/MAX(Pipeline!$F$16,1)))+Pipeline!$W$17*Pipeline!$D$17*MIN(1,MAX(0,(27-Pipeline!$E$17+1)/MAX(Pipeline!$F$17,1)))+Pipeline!$W$18*Pipeline!$D$18*MIN(1,MAX(0,(27-Pipeline!$E$18+1)/MAX(Pipeline!$F$18,1)))+Pipeline!$W$19*Pipeline!$D$19*MIN(1,MAX(0,(27-Pipeline!$E$19+1)/MAX(Pipeline!$F$19,1)))+Pipeline!$W$20*Pipeline!$D$20*MIN(1,MAX(0,(27-Pipeline!$E$20+1)/MAX(Pipeline!$F$20,1)))+Pipeline!$W$21*Pipeline!$D$21*MIN(1,MAX(0,(27-Pipeline!$E$21+1)/MAX(Pipeline!$F$21,1)))+Pipeline!$W$22*Pipeline!$D$22*MIN(1,MAX(0,(27-Pipeline!$E$22+1)/MAX(Pipeline!$F$22,1)))</f>
        <v>7042.51597446053</v>
      </c>
      <c r="AD19" s="138" t="n">
        <f aca="false">Pipeline!$W$16*Pipeline!$D$16*MIN(1,MAX(0,(28-Pipeline!$E$16+1)/MAX(Pipeline!$F$16,1)))+Pipeline!$W$17*Pipeline!$D$17*MIN(1,MAX(0,(28-Pipeline!$E$17+1)/MAX(Pipeline!$F$17,1)))+Pipeline!$W$18*Pipeline!$D$18*MIN(1,MAX(0,(28-Pipeline!$E$18+1)/MAX(Pipeline!$F$18,1)))+Pipeline!$W$19*Pipeline!$D$19*MIN(1,MAX(0,(28-Pipeline!$E$19+1)/MAX(Pipeline!$F$19,1)))+Pipeline!$W$20*Pipeline!$D$20*MIN(1,MAX(0,(28-Pipeline!$E$20+1)/MAX(Pipeline!$F$20,1)))+Pipeline!$W$21*Pipeline!$D$21*MIN(1,MAX(0,(28-Pipeline!$E$21+1)/MAX(Pipeline!$F$21,1)))+Pipeline!$W$22*Pipeline!$D$22*MIN(1,MAX(0,(28-Pipeline!$E$22+1)/MAX(Pipeline!$F$22,1)))</f>
        <v>7042.51597446053</v>
      </c>
      <c r="AE19" s="138" t="n">
        <f aca="false">Pipeline!$W$16*Pipeline!$D$16*MIN(1,MAX(0,(29-Pipeline!$E$16+1)/MAX(Pipeline!$F$16,1)))+Pipeline!$W$17*Pipeline!$D$17*MIN(1,MAX(0,(29-Pipeline!$E$17+1)/MAX(Pipeline!$F$17,1)))+Pipeline!$W$18*Pipeline!$D$18*MIN(1,MAX(0,(29-Pipeline!$E$18+1)/MAX(Pipeline!$F$18,1)))+Pipeline!$W$19*Pipeline!$D$19*MIN(1,MAX(0,(29-Pipeline!$E$19+1)/MAX(Pipeline!$F$19,1)))+Pipeline!$W$20*Pipeline!$D$20*MIN(1,MAX(0,(29-Pipeline!$E$20+1)/MAX(Pipeline!$F$20,1)))+Pipeline!$W$21*Pipeline!$D$21*MIN(1,MAX(0,(29-Pipeline!$E$21+1)/MAX(Pipeline!$F$21,1)))+Pipeline!$W$22*Pipeline!$D$22*MIN(1,MAX(0,(29-Pipeline!$E$22+1)/MAX(Pipeline!$F$22,1)))</f>
        <v>7042.51597446053</v>
      </c>
      <c r="AF19" s="138" t="n">
        <f aca="false">Pipeline!$W$16*Pipeline!$D$16*MIN(1,MAX(0,(30-Pipeline!$E$16+1)/MAX(Pipeline!$F$16,1)))+Pipeline!$W$17*Pipeline!$D$17*MIN(1,MAX(0,(30-Pipeline!$E$17+1)/MAX(Pipeline!$F$17,1)))+Pipeline!$W$18*Pipeline!$D$18*MIN(1,MAX(0,(30-Pipeline!$E$18+1)/MAX(Pipeline!$F$18,1)))+Pipeline!$W$19*Pipeline!$D$19*MIN(1,MAX(0,(30-Pipeline!$E$19+1)/MAX(Pipeline!$F$19,1)))+Pipeline!$W$20*Pipeline!$D$20*MIN(1,MAX(0,(30-Pipeline!$E$20+1)/MAX(Pipeline!$F$20,1)))+Pipeline!$W$21*Pipeline!$D$21*MIN(1,MAX(0,(30-Pipeline!$E$21+1)/MAX(Pipeline!$F$21,1)))+Pipeline!$W$22*Pipeline!$D$22*MIN(1,MAX(0,(30-Pipeline!$E$22+1)/MAX(Pipeline!$F$22,1)))</f>
        <v>7042.51597446053</v>
      </c>
      <c r="AG19" s="138" t="n">
        <f aca="false">Pipeline!$W$16*Pipeline!$D$16*MIN(1,MAX(0,(31-Pipeline!$E$16+1)/MAX(Pipeline!$F$16,1)))+Pipeline!$W$17*Pipeline!$D$17*MIN(1,MAX(0,(31-Pipeline!$E$17+1)/MAX(Pipeline!$F$17,1)))+Pipeline!$W$18*Pipeline!$D$18*MIN(1,MAX(0,(31-Pipeline!$E$18+1)/MAX(Pipeline!$F$18,1)))+Pipeline!$W$19*Pipeline!$D$19*MIN(1,MAX(0,(31-Pipeline!$E$19+1)/MAX(Pipeline!$F$19,1)))+Pipeline!$W$20*Pipeline!$D$20*MIN(1,MAX(0,(31-Pipeline!$E$20+1)/MAX(Pipeline!$F$20,1)))+Pipeline!$W$21*Pipeline!$D$21*MIN(1,MAX(0,(31-Pipeline!$E$21+1)/MAX(Pipeline!$F$21,1)))+Pipeline!$W$22*Pipeline!$D$22*MIN(1,MAX(0,(31-Pipeline!$E$22+1)/MAX(Pipeline!$F$22,1)))</f>
        <v>7042.51597446053</v>
      </c>
      <c r="AH19" s="138" t="n">
        <f aca="false">Pipeline!$W$16*Pipeline!$D$16*MIN(1,MAX(0,(32-Pipeline!$E$16+1)/MAX(Pipeline!$F$16,1)))+Pipeline!$W$17*Pipeline!$D$17*MIN(1,MAX(0,(32-Pipeline!$E$17+1)/MAX(Pipeline!$F$17,1)))+Pipeline!$W$18*Pipeline!$D$18*MIN(1,MAX(0,(32-Pipeline!$E$18+1)/MAX(Pipeline!$F$18,1)))+Pipeline!$W$19*Pipeline!$D$19*MIN(1,MAX(0,(32-Pipeline!$E$19+1)/MAX(Pipeline!$F$19,1)))+Pipeline!$W$20*Pipeline!$D$20*MIN(1,MAX(0,(32-Pipeline!$E$20+1)/MAX(Pipeline!$F$20,1)))+Pipeline!$W$21*Pipeline!$D$21*MIN(1,MAX(0,(32-Pipeline!$E$21+1)/MAX(Pipeline!$F$21,1)))+Pipeline!$W$22*Pipeline!$D$22*MIN(1,MAX(0,(32-Pipeline!$E$22+1)/MAX(Pipeline!$F$22,1)))</f>
        <v>7042.51597446053</v>
      </c>
      <c r="AI19" s="138" t="n">
        <f aca="false">Pipeline!$W$16*Pipeline!$D$16*MIN(1,MAX(0,(33-Pipeline!$E$16+1)/MAX(Pipeline!$F$16,1)))+Pipeline!$W$17*Pipeline!$D$17*MIN(1,MAX(0,(33-Pipeline!$E$17+1)/MAX(Pipeline!$F$17,1)))+Pipeline!$W$18*Pipeline!$D$18*MIN(1,MAX(0,(33-Pipeline!$E$18+1)/MAX(Pipeline!$F$18,1)))+Pipeline!$W$19*Pipeline!$D$19*MIN(1,MAX(0,(33-Pipeline!$E$19+1)/MAX(Pipeline!$F$19,1)))+Pipeline!$W$20*Pipeline!$D$20*MIN(1,MAX(0,(33-Pipeline!$E$20+1)/MAX(Pipeline!$F$20,1)))+Pipeline!$W$21*Pipeline!$D$21*MIN(1,MAX(0,(33-Pipeline!$E$21+1)/MAX(Pipeline!$F$21,1)))+Pipeline!$W$22*Pipeline!$D$22*MIN(1,MAX(0,(33-Pipeline!$E$22+1)/MAX(Pipeline!$F$22,1)))</f>
        <v>7042.51597446053</v>
      </c>
      <c r="AJ19" s="138" t="n">
        <f aca="false">Pipeline!$W$16*Pipeline!$D$16*MIN(1,MAX(0,(34-Pipeline!$E$16+1)/MAX(Pipeline!$F$16,1)))+Pipeline!$W$17*Pipeline!$D$17*MIN(1,MAX(0,(34-Pipeline!$E$17+1)/MAX(Pipeline!$F$17,1)))+Pipeline!$W$18*Pipeline!$D$18*MIN(1,MAX(0,(34-Pipeline!$E$18+1)/MAX(Pipeline!$F$18,1)))+Pipeline!$W$19*Pipeline!$D$19*MIN(1,MAX(0,(34-Pipeline!$E$19+1)/MAX(Pipeline!$F$19,1)))+Pipeline!$W$20*Pipeline!$D$20*MIN(1,MAX(0,(34-Pipeline!$E$20+1)/MAX(Pipeline!$F$20,1)))+Pipeline!$W$21*Pipeline!$D$21*MIN(1,MAX(0,(34-Pipeline!$E$21+1)/MAX(Pipeline!$F$21,1)))+Pipeline!$W$22*Pipeline!$D$22*MIN(1,MAX(0,(34-Pipeline!$E$22+1)/MAX(Pipeline!$F$22,1)))</f>
        <v>7042.51597446053</v>
      </c>
      <c r="AK19" s="138" t="n">
        <f aca="false">Pipeline!$W$16*Pipeline!$D$16*MIN(1,MAX(0,(35-Pipeline!$E$16+1)/MAX(Pipeline!$F$16,1)))+Pipeline!$W$17*Pipeline!$D$17*MIN(1,MAX(0,(35-Pipeline!$E$17+1)/MAX(Pipeline!$F$17,1)))+Pipeline!$W$18*Pipeline!$D$18*MIN(1,MAX(0,(35-Pipeline!$E$18+1)/MAX(Pipeline!$F$18,1)))+Pipeline!$W$19*Pipeline!$D$19*MIN(1,MAX(0,(35-Pipeline!$E$19+1)/MAX(Pipeline!$F$19,1)))+Pipeline!$W$20*Pipeline!$D$20*MIN(1,MAX(0,(35-Pipeline!$E$20+1)/MAX(Pipeline!$F$20,1)))+Pipeline!$W$21*Pipeline!$D$21*MIN(1,MAX(0,(35-Pipeline!$E$21+1)/MAX(Pipeline!$F$21,1)))+Pipeline!$W$22*Pipeline!$D$22*MIN(1,MAX(0,(35-Pipeline!$E$22+1)/MAX(Pipeline!$F$22,1)))</f>
        <v>7042.51597446053</v>
      </c>
      <c r="AL19" s="138" t="n">
        <f aca="false">Pipeline!$W$16*Pipeline!$D$16*MIN(1,MAX(0,(36-Pipeline!$E$16+1)/MAX(Pipeline!$F$16,1)))+Pipeline!$W$17*Pipeline!$D$17*MIN(1,MAX(0,(36-Pipeline!$E$17+1)/MAX(Pipeline!$F$17,1)))+Pipeline!$W$18*Pipeline!$D$18*MIN(1,MAX(0,(36-Pipeline!$E$18+1)/MAX(Pipeline!$F$18,1)))+Pipeline!$W$19*Pipeline!$D$19*MIN(1,MAX(0,(36-Pipeline!$E$19+1)/MAX(Pipeline!$F$19,1)))+Pipeline!$W$20*Pipeline!$D$20*MIN(1,MAX(0,(36-Pipeline!$E$20+1)/MAX(Pipeline!$F$20,1)))+Pipeline!$W$21*Pipeline!$D$21*MIN(1,MAX(0,(36-Pipeline!$E$21+1)/MAX(Pipeline!$F$21,1)))+Pipeline!$W$22*Pipeline!$D$22*MIN(1,MAX(0,(36-Pipeline!$E$22+1)/MAX(Pipeline!$F$22,1)))</f>
        <v>7042.51597446053</v>
      </c>
      <c r="AM19" s="138" t="n">
        <f aca="false">Pipeline!$W$16*Pipeline!$D$16*MIN(1,MAX(0,(37-Pipeline!$E$16+1)/MAX(Pipeline!$F$16,1)))+Pipeline!$W$17*Pipeline!$D$17*MIN(1,MAX(0,(37-Pipeline!$E$17+1)/MAX(Pipeline!$F$17,1)))+Pipeline!$W$18*Pipeline!$D$18*MIN(1,MAX(0,(37-Pipeline!$E$18+1)/MAX(Pipeline!$F$18,1)))+Pipeline!$W$19*Pipeline!$D$19*MIN(1,MAX(0,(37-Pipeline!$E$19+1)/MAX(Pipeline!$F$19,1)))+Pipeline!$W$20*Pipeline!$D$20*MIN(1,MAX(0,(37-Pipeline!$E$20+1)/MAX(Pipeline!$F$20,1)))+Pipeline!$W$21*Pipeline!$D$21*MIN(1,MAX(0,(37-Pipeline!$E$21+1)/MAX(Pipeline!$F$21,1)))+Pipeline!$W$22*Pipeline!$D$22*MIN(1,MAX(0,(37-Pipeline!$E$22+1)/MAX(Pipeline!$F$22,1)))</f>
        <v>7042.51597446053</v>
      </c>
      <c r="AN19" s="138" t="n">
        <f aca="false">Pipeline!$W$16*Pipeline!$D$16*MIN(1,MAX(0,(38-Pipeline!$E$16+1)/MAX(Pipeline!$F$16,1)))+Pipeline!$W$17*Pipeline!$D$17*MIN(1,MAX(0,(38-Pipeline!$E$17+1)/MAX(Pipeline!$F$17,1)))+Pipeline!$W$18*Pipeline!$D$18*MIN(1,MAX(0,(38-Pipeline!$E$18+1)/MAX(Pipeline!$F$18,1)))+Pipeline!$W$19*Pipeline!$D$19*MIN(1,MAX(0,(38-Pipeline!$E$19+1)/MAX(Pipeline!$F$19,1)))+Pipeline!$W$20*Pipeline!$D$20*MIN(1,MAX(0,(38-Pipeline!$E$20+1)/MAX(Pipeline!$F$20,1)))+Pipeline!$W$21*Pipeline!$D$21*MIN(1,MAX(0,(38-Pipeline!$E$21+1)/MAX(Pipeline!$F$21,1)))+Pipeline!$W$22*Pipeline!$D$22*MIN(1,MAX(0,(38-Pipeline!$E$22+1)/MAX(Pipeline!$F$22,1)))</f>
        <v>7042.51597446053</v>
      </c>
      <c r="AO19" s="138" t="n">
        <f aca="false">Pipeline!$W$16*Pipeline!$D$16*MIN(1,MAX(0,(39-Pipeline!$E$16+1)/MAX(Pipeline!$F$16,1)))+Pipeline!$W$17*Pipeline!$D$17*MIN(1,MAX(0,(39-Pipeline!$E$17+1)/MAX(Pipeline!$F$17,1)))+Pipeline!$W$18*Pipeline!$D$18*MIN(1,MAX(0,(39-Pipeline!$E$18+1)/MAX(Pipeline!$F$18,1)))+Pipeline!$W$19*Pipeline!$D$19*MIN(1,MAX(0,(39-Pipeline!$E$19+1)/MAX(Pipeline!$F$19,1)))+Pipeline!$W$20*Pipeline!$D$20*MIN(1,MAX(0,(39-Pipeline!$E$20+1)/MAX(Pipeline!$F$20,1)))+Pipeline!$W$21*Pipeline!$D$21*MIN(1,MAX(0,(39-Pipeline!$E$21+1)/MAX(Pipeline!$F$21,1)))+Pipeline!$W$22*Pipeline!$D$22*MIN(1,MAX(0,(39-Pipeline!$E$22+1)/MAX(Pipeline!$F$22,1)))</f>
        <v>7042.51597446053</v>
      </c>
      <c r="AP19" s="138" t="n">
        <f aca="false">Pipeline!$W$16*Pipeline!$D$16*MIN(1,MAX(0,(40-Pipeline!$E$16+1)/MAX(Pipeline!$F$16,1)))+Pipeline!$W$17*Pipeline!$D$17*MIN(1,MAX(0,(40-Pipeline!$E$17+1)/MAX(Pipeline!$F$17,1)))+Pipeline!$W$18*Pipeline!$D$18*MIN(1,MAX(0,(40-Pipeline!$E$18+1)/MAX(Pipeline!$F$18,1)))+Pipeline!$W$19*Pipeline!$D$19*MIN(1,MAX(0,(40-Pipeline!$E$19+1)/MAX(Pipeline!$F$19,1)))+Pipeline!$W$20*Pipeline!$D$20*MIN(1,MAX(0,(40-Pipeline!$E$20+1)/MAX(Pipeline!$F$20,1)))+Pipeline!$W$21*Pipeline!$D$21*MIN(1,MAX(0,(40-Pipeline!$E$21+1)/MAX(Pipeline!$F$21,1)))+Pipeline!$W$22*Pipeline!$D$22*MIN(1,MAX(0,(40-Pipeline!$E$22+1)/MAX(Pipeline!$F$22,1)))</f>
        <v>7042.51597446053</v>
      </c>
      <c r="AQ19" s="138" t="n">
        <f aca="false">Pipeline!$W$16*Pipeline!$D$16*MIN(1,MAX(0,(41-Pipeline!$E$16+1)/MAX(Pipeline!$F$16,1)))+Pipeline!$W$17*Pipeline!$D$17*MIN(1,MAX(0,(41-Pipeline!$E$17+1)/MAX(Pipeline!$F$17,1)))+Pipeline!$W$18*Pipeline!$D$18*MIN(1,MAX(0,(41-Pipeline!$E$18+1)/MAX(Pipeline!$F$18,1)))+Pipeline!$W$19*Pipeline!$D$19*MIN(1,MAX(0,(41-Pipeline!$E$19+1)/MAX(Pipeline!$F$19,1)))+Pipeline!$W$20*Pipeline!$D$20*MIN(1,MAX(0,(41-Pipeline!$E$20+1)/MAX(Pipeline!$F$20,1)))+Pipeline!$W$21*Pipeline!$D$21*MIN(1,MAX(0,(41-Pipeline!$E$21+1)/MAX(Pipeline!$F$21,1)))+Pipeline!$W$22*Pipeline!$D$22*MIN(1,MAX(0,(41-Pipeline!$E$22+1)/MAX(Pipeline!$F$22,1)))</f>
        <v>7042.51597446053</v>
      </c>
      <c r="AR19" s="138" t="n">
        <f aca="false">Pipeline!$W$16*Pipeline!$D$16*MIN(1,MAX(0,(42-Pipeline!$E$16+1)/MAX(Pipeline!$F$16,1)))+Pipeline!$W$17*Pipeline!$D$17*MIN(1,MAX(0,(42-Pipeline!$E$17+1)/MAX(Pipeline!$F$17,1)))+Pipeline!$W$18*Pipeline!$D$18*MIN(1,MAX(0,(42-Pipeline!$E$18+1)/MAX(Pipeline!$F$18,1)))+Pipeline!$W$19*Pipeline!$D$19*MIN(1,MAX(0,(42-Pipeline!$E$19+1)/MAX(Pipeline!$F$19,1)))+Pipeline!$W$20*Pipeline!$D$20*MIN(1,MAX(0,(42-Pipeline!$E$20+1)/MAX(Pipeline!$F$20,1)))+Pipeline!$W$21*Pipeline!$D$21*MIN(1,MAX(0,(42-Pipeline!$E$21+1)/MAX(Pipeline!$F$21,1)))+Pipeline!$W$22*Pipeline!$D$22*MIN(1,MAX(0,(42-Pipeline!$E$22+1)/MAX(Pipeline!$F$22,1)))</f>
        <v>7042.51597446053</v>
      </c>
      <c r="AS19" s="138" t="n">
        <f aca="false">Pipeline!$W$16*Pipeline!$D$16*MIN(1,MAX(0,(43-Pipeline!$E$16+1)/MAX(Pipeline!$F$16,1)))+Pipeline!$W$17*Pipeline!$D$17*MIN(1,MAX(0,(43-Pipeline!$E$17+1)/MAX(Pipeline!$F$17,1)))+Pipeline!$W$18*Pipeline!$D$18*MIN(1,MAX(0,(43-Pipeline!$E$18+1)/MAX(Pipeline!$F$18,1)))+Pipeline!$W$19*Pipeline!$D$19*MIN(1,MAX(0,(43-Pipeline!$E$19+1)/MAX(Pipeline!$F$19,1)))+Pipeline!$W$20*Pipeline!$D$20*MIN(1,MAX(0,(43-Pipeline!$E$20+1)/MAX(Pipeline!$F$20,1)))+Pipeline!$W$21*Pipeline!$D$21*MIN(1,MAX(0,(43-Pipeline!$E$21+1)/MAX(Pipeline!$F$21,1)))+Pipeline!$W$22*Pipeline!$D$22*MIN(1,MAX(0,(43-Pipeline!$E$22+1)/MAX(Pipeline!$F$22,1)))</f>
        <v>7042.51597446053</v>
      </c>
      <c r="AT19" s="138" t="n">
        <f aca="false">Pipeline!$W$16*Pipeline!$D$16*MIN(1,MAX(0,(44-Pipeline!$E$16+1)/MAX(Pipeline!$F$16,1)))+Pipeline!$W$17*Pipeline!$D$17*MIN(1,MAX(0,(44-Pipeline!$E$17+1)/MAX(Pipeline!$F$17,1)))+Pipeline!$W$18*Pipeline!$D$18*MIN(1,MAX(0,(44-Pipeline!$E$18+1)/MAX(Pipeline!$F$18,1)))+Pipeline!$W$19*Pipeline!$D$19*MIN(1,MAX(0,(44-Pipeline!$E$19+1)/MAX(Pipeline!$F$19,1)))+Pipeline!$W$20*Pipeline!$D$20*MIN(1,MAX(0,(44-Pipeline!$E$20+1)/MAX(Pipeline!$F$20,1)))+Pipeline!$W$21*Pipeline!$D$21*MIN(1,MAX(0,(44-Pipeline!$E$21+1)/MAX(Pipeline!$F$21,1)))+Pipeline!$W$22*Pipeline!$D$22*MIN(1,MAX(0,(44-Pipeline!$E$22+1)/MAX(Pipeline!$F$22,1)))</f>
        <v>7042.51597446053</v>
      </c>
      <c r="AU19" s="138" t="n">
        <f aca="false">Pipeline!$W$16*Pipeline!$D$16*MIN(1,MAX(0,(45-Pipeline!$E$16+1)/MAX(Pipeline!$F$16,1)))+Pipeline!$W$17*Pipeline!$D$17*MIN(1,MAX(0,(45-Pipeline!$E$17+1)/MAX(Pipeline!$F$17,1)))+Pipeline!$W$18*Pipeline!$D$18*MIN(1,MAX(0,(45-Pipeline!$E$18+1)/MAX(Pipeline!$F$18,1)))+Pipeline!$W$19*Pipeline!$D$19*MIN(1,MAX(0,(45-Pipeline!$E$19+1)/MAX(Pipeline!$F$19,1)))+Pipeline!$W$20*Pipeline!$D$20*MIN(1,MAX(0,(45-Pipeline!$E$20+1)/MAX(Pipeline!$F$20,1)))+Pipeline!$W$21*Pipeline!$D$21*MIN(1,MAX(0,(45-Pipeline!$E$21+1)/MAX(Pipeline!$F$21,1)))+Pipeline!$W$22*Pipeline!$D$22*MIN(1,MAX(0,(45-Pipeline!$E$22+1)/MAX(Pipeline!$F$22,1)))</f>
        <v>7042.51597446053</v>
      </c>
      <c r="AV19" s="138" t="n">
        <f aca="false">Pipeline!$W$16*Pipeline!$D$16*MIN(1,MAX(0,(46-Pipeline!$E$16+1)/MAX(Pipeline!$F$16,1)))+Pipeline!$W$17*Pipeline!$D$17*MIN(1,MAX(0,(46-Pipeline!$E$17+1)/MAX(Pipeline!$F$17,1)))+Pipeline!$W$18*Pipeline!$D$18*MIN(1,MAX(0,(46-Pipeline!$E$18+1)/MAX(Pipeline!$F$18,1)))+Pipeline!$W$19*Pipeline!$D$19*MIN(1,MAX(0,(46-Pipeline!$E$19+1)/MAX(Pipeline!$F$19,1)))+Pipeline!$W$20*Pipeline!$D$20*MIN(1,MAX(0,(46-Pipeline!$E$20+1)/MAX(Pipeline!$F$20,1)))+Pipeline!$W$21*Pipeline!$D$21*MIN(1,MAX(0,(46-Pipeline!$E$21+1)/MAX(Pipeline!$F$21,1)))+Pipeline!$W$22*Pipeline!$D$22*MIN(1,MAX(0,(46-Pipeline!$E$22+1)/MAX(Pipeline!$F$22,1)))</f>
        <v>7042.51597446053</v>
      </c>
      <c r="AW19" s="138" t="n">
        <f aca="false">Pipeline!$W$16*Pipeline!$D$16*MIN(1,MAX(0,(47-Pipeline!$E$16+1)/MAX(Pipeline!$F$16,1)))+Pipeline!$W$17*Pipeline!$D$17*MIN(1,MAX(0,(47-Pipeline!$E$17+1)/MAX(Pipeline!$F$17,1)))+Pipeline!$W$18*Pipeline!$D$18*MIN(1,MAX(0,(47-Pipeline!$E$18+1)/MAX(Pipeline!$F$18,1)))+Pipeline!$W$19*Pipeline!$D$19*MIN(1,MAX(0,(47-Pipeline!$E$19+1)/MAX(Pipeline!$F$19,1)))+Pipeline!$W$20*Pipeline!$D$20*MIN(1,MAX(0,(47-Pipeline!$E$20+1)/MAX(Pipeline!$F$20,1)))+Pipeline!$W$21*Pipeline!$D$21*MIN(1,MAX(0,(47-Pipeline!$E$21+1)/MAX(Pipeline!$F$21,1)))+Pipeline!$W$22*Pipeline!$D$22*MIN(1,MAX(0,(47-Pipeline!$E$22+1)/MAX(Pipeline!$F$22,1)))</f>
        <v>7042.51597446053</v>
      </c>
      <c r="AX19" s="138" t="n">
        <f aca="false">Pipeline!$W$16*Pipeline!$D$16*MIN(1,MAX(0,(48-Pipeline!$E$16+1)/MAX(Pipeline!$F$16,1)))+Pipeline!$W$17*Pipeline!$D$17*MIN(1,MAX(0,(48-Pipeline!$E$17+1)/MAX(Pipeline!$F$17,1)))+Pipeline!$W$18*Pipeline!$D$18*MIN(1,MAX(0,(48-Pipeline!$E$18+1)/MAX(Pipeline!$F$18,1)))+Pipeline!$W$19*Pipeline!$D$19*MIN(1,MAX(0,(48-Pipeline!$E$19+1)/MAX(Pipeline!$F$19,1)))+Pipeline!$W$20*Pipeline!$D$20*MIN(1,MAX(0,(48-Pipeline!$E$20+1)/MAX(Pipeline!$F$20,1)))+Pipeline!$W$21*Pipeline!$D$21*MIN(1,MAX(0,(48-Pipeline!$E$21+1)/MAX(Pipeline!$F$21,1)))+Pipeline!$W$22*Pipeline!$D$22*MIN(1,MAX(0,(48-Pipeline!$E$22+1)/MAX(Pipeline!$F$22,1)))</f>
        <v>7042.51597446053</v>
      </c>
      <c r="AY19" s="138" t="n">
        <f aca="false">Pipeline!$W$16*Pipeline!$D$16*MIN(1,MAX(0,(49-Pipeline!$E$16+1)/MAX(Pipeline!$F$16,1)))+Pipeline!$W$17*Pipeline!$D$17*MIN(1,MAX(0,(49-Pipeline!$E$17+1)/MAX(Pipeline!$F$17,1)))+Pipeline!$W$18*Pipeline!$D$18*MIN(1,MAX(0,(49-Pipeline!$E$18+1)/MAX(Pipeline!$F$18,1)))+Pipeline!$W$19*Pipeline!$D$19*MIN(1,MAX(0,(49-Pipeline!$E$19+1)/MAX(Pipeline!$F$19,1)))+Pipeline!$W$20*Pipeline!$D$20*MIN(1,MAX(0,(49-Pipeline!$E$20+1)/MAX(Pipeline!$F$20,1)))+Pipeline!$W$21*Pipeline!$D$21*MIN(1,MAX(0,(49-Pipeline!$E$21+1)/MAX(Pipeline!$F$21,1)))+Pipeline!$W$22*Pipeline!$D$22*MIN(1,MAX(0,(49-Pipeline!$E$22+1)/MAX(Pipeline!$F$22,1)))</f>
        <v>7042.51597446053</v>
      </c>
      <c r="AZ19" s="138" t="n">
        <f aca="false">Pipeline!$W$16*Pipeline!$D$16*MIN(1,MAX(0,(50-Pipeline!$E$16+1)/MAX(Pipeline!$F$16,1)))+Pipeline!$W$17*Pipeline!$D$17*MIN(1,MAX(0,(50-Pipeline!$E$17+1)/MAX(Pipeline!$F$17,1)))+Pipeline!$W$18*Pipeline!$D$18*MIN(1,MAX(0,(50-Pipeline!$E$18+1)/MAX(Pipeline!$F$18,1)))+Pipeline!$W$19*Pipeline!$D$19*MIN(1,MAX(0,(50-Pipeline!$E$19+1)/MAX(Pipeline!$F$19,1)))+Pipeline!$W$20*Pipeline!$D$20*MIN(1,MAX(0,(50-Pipeline!$E$20+1)/MAX(Pipeline!$F$20,1)))+Pipeline!$W$21*Pipeline!$D$21*MIN(1,MAX(0,(50-Pipeline!$E$21+1)/MAX(Pipeline!$F$21,1)))+Pipeline!$W$22*Pipeline!$D$22*MIN(1,MAX(0,(50-Pipeline!$E$22+1)/MAX(Pipeline!$F$22,1)))</f>
        <v>7042.51597446053</v>
      </c>
      <c r="BA19" s="138" t="n">
        <f aca="false">Pipeline!$W$16*Pipeline!$D$16*MIN(1,MAX(0,(51-Pipeline!$E$16+1)/MAX(Pipeline!$F$16,1)))+Pipeline!$W$17*Pipeline!$D$17*MIN(1,MAX(0,(51-Pipeline!$E$17+1)/MAX(Pipeline!$F$17,1)))+Pipeline!$W$18*Pipeline!$D$18*MIN(1,MAX(0,(51-Pipeline!$E$18+1)/MAX(Pipeline!$F$18,1)))+Pipeline!$W$19*Pipeline!$D$19*MIN(1,MAX(0,(51-Pipeline!$E$19+1)/MAX(Pipeline!$F$19,1)))+Pipeline!$W$20*Pipeline!$D$20*MIN(1,MAX(0,(51-Pipeline!$E$20+1)/MAX(Pipeline!$F$20,1)))+Pipeline!$W$21*Pipeline!$D$21*MIN(1,MAX(0,(51-Pipeline!$E$21+1)/MAX(Pipeline!$F$21,1)))+Pipeline!$W$22*Pipeline!$D$22*MIN(1,MAX(0,(51-Pipeline!$E$22+1)/MAX(Pipeline!$F$22,1)))</f>
        <v>7042.51597446053</v>
      </c>
      <c r="BB19" s="138" t="n">
        <f aca="false">Pipeline!$W$16*Pipeline!$D$16*MIN(1,MAX(0,(52-Pipeline!$E$16+1)/MAX(Pipeline!$F$16,1)))+Pipeline!$W$17*Pipeline!$D$17*MIN(1,MAX(0,(52-Pipeline!$E$17+1)/MAX(Pipeline!$F$17,1)))+Pipeline!$W$18*Pipeline!$D$18*MIN(1,MAX(0,(52-Pipeline!$E$18+1)/MAX(Pipeline!$F$18,1)))+Pipeline!$W$19*Pipeline!$D$19*MIN(1,MAX(0,(52-Pipeline!$E$19+1)/MAX(Pipeline!$F$19,1)))+Pipeline!$W$20*Pipeline!$D$20*MIN(1,MAX(0,(52-Pipeline!$E$20+1)/MAX(Pipeline!$F$20,1)))+Pipeline!$W$21*Pipeline!$D$21*MIN(1,MAX(0,(52-Pipeline!$E$21+1)/MAX(Pipeline!$F$21,1)))+Pipeline!$W$22*Pipeline!$D$22*MIN(1,MAX(0,(52-Pipeline!$E$22+1)/MAX(Pipeline!$F$22,1)))</f>
        <v>7042.51597446053</v>
      </c>
      <c r="BC19" s="138" t="n">
        <f aca="false">Pipeline!$W$16*Pipeline!$D$16*MIN(1,MAX(0,(53-Pipeline!$E$16+1)/MAX(Pipeline!$F$16,1)))+Pipeline!$W$17*Pipeline!$D$17*MIN(1,MAX(0,(53-Pipeline!$E$17+1)/MAX(Pipeline!$F$17,1)))+Pipeline!$W$18*Pipeline!$D$18*MIN(1,MAX(0,(53-Pipeline!$E$18+1)/MAX(Pipeline!$F$18,1)))+Pipeline!$W$19*Pipeline!$D$19*MIN(1,MAX(0,(53-Pipeline!$E$19+1)/MAX(Pipeline!$F$19,1)))+Pipeline!$W$20*Pipeline!$D$20*MIN(1,MAX(0,(53-Pipeline!$E$20+1)/MAX(Pipeline!$F$20,1)))+Pipeline!$W$21*Pipeline!$D$21*MIN(1,MAX(0,(53-Pipeline!$E$21+1)/MAX(Pipeline!$F$21,1)))+Pipeline!$W$22*Pipeline!$D$22*MIN(1,MAX(0,(53-Pipeline!$E$22+1)/MAX(Pipeline!$F$22,1)))</f>
        <v>7042.51597446053</v>
      </c>
      <c r="BD19" s="138" t="n">
        <f aca="false">Pipeline!$W$16*Pipeline!$D$16*MIN(1,MAX(0,(54-Pipeline!$E$16+1)/MAX(Pipeline!$F$16,1)))+Pipeline!$W$17*Pipeline!$D$17*MIN(1,MAX(0,(54-Pipeline!$E$17+1)/MAX(Pipeline!$F$17,1)))+Pipeline!$W$18*Pipeline!$D$18*MIN(1,MAX(0,(54-Pipeline!$E$18+1)/MAX(Pipeline!$F$18,1)))+Pipeline!$W$19*Pipeline!$D$19*MIN(1,MAX(0,(54-Pipeline!$E$19+1)/MAX(Pipeline!$F$19,1)))+Pipeline!$W$20*Pipeline!$D$20*MIN(1,MAX(0,(54-Pipeline!$E$20+1)/MAX(Pipeline!$F$20,1)))+Pipeline!$W$21*Pipeline!$D$21*MIN(1,MAX(0,(54-Pipeline!$E$21+1)/MAX(Pipeline!$F$21,1)))+Pipeline!$W$22*Pipeline!$D$22*MIN(1,MAX(0,(54-Pipeline!$E$22+1)/MAX(Pipeline!$F$22,1)))</f>
        <v>7042.51597446053</v>
      </c>
      <c r="BE19" s="138" t="n">
        <f aca="false">Pipeline!$W$16*Pipeline!$D$16*MIN(1,MAX(0,(55-Pipeline!$E$16+1)/MAX(Pipeline!$F$16,1)))+Pipeline!$W$17*Pipeline!$D$17*MIN(1,MAX(0,(55-Pipeline!$E$17+1)/MAX(Pipeline!$F$17,1)))+Pipeline!$W$18*Pipeline!$D$18*MIN(1,MAX(0,(55-Pipeline!$E$18+1)/MAX(Pipeline!$F$18,1)))+Pipeline!$W$19*Pipeline!$D$19*MIN(1,MAX(0,(55-Pipeline!$E$19+1)/MAX(Pipeline!$F$19,1)))+Pipeline!$W$20*Pipeline!$D$20*MIN(1,MAX(0,(55-Pipeline!$E$20+1)/MAX(Pipeline!$F$20,1)))+Pipeline!$W$21*Pipeline!$D$21*MIN(1,MAX(0,(55-Pipeline!$E$21+1)/MAX(Pipeline!$F$21,1)))+Pipeline!$W$22*Pipeline!$D$22*MIN(1,MAX(0,(55-Pipeline!$E$22+1)/MAX(Pipeline!$F$22,1)))</f>
        <v>7042.51597446053</v>
      </c>
      <c r="BF19" s="138" t="n">
        <f aca="false">Pipeline!$W$16*Pipeline!$D$16*MIN(1,MAX(0,(56-Pipeline!$E$16+1)/MAX(Pipeline!$F$16,1)))+Pipeline!$W$17*Pipeline!$D$17*MIN(1,MAX(0,(56-Pipeline!$E$17+1)/MAX(Pipeline!$F$17,1)))+Pipeline!$W$18*Pipeline!$D$18*MIN(1,MAX(0,(56-Pipeline!$E$18+1)/MAX(Pipeline!$F$18,1)))+Pipeline!$W$19*Pipeline!$D$19*MIN(1,MAX(0,(56-Pipeline!$E$19+1)/MAX(Pipeline!$F$19,1)))+Pipeline!$W$20*Pipeline!$D$20*MIN(1,MAX(0,(56-Pipeline!$E$20+1)/MAX(Pipeline!$F$20,1)))+Pipeline!$W$21*Pipeline!$D$21*MIN(1,MAX(0,(56-Pipeline!$E$21+1)/MAX(Pipeline!$F$21,1)))+Pipeline!$W$22*Pipeline!$D$22*MIN(1,MAX(0,(56-Pipeline!$E$22+1)/MAX(Pipeline!$F$22,1)))</f>
        <v>7042.51597446053</v>
      </c>
      <c r="BG19" s="138" t="n">
        <f aca="false">Pipeline!$W$16*Pipeline!$D$16*MIN(1,MAX(0,(57-Pipeline!$E$16+1)/MAX(Pipeline!$F$16,1)))+Pipeline!$W$17*Pipeline!$D$17*MIN(1,MAX(0,(57-Pipeline!$E$17+1)/MAX(Pipeline!$F$17,1)))+Pipeline!$W$18*Pipeline!$D$18*MIN(1,MAX(0,(57-Pipeline!$E$18+1)/MAX(Pipeline!$F$18,1)))+Pipeline!$W$19*Pipeline!$D$19*MIN(1,MAX(0,(57-Pipeline!$E$19+1)/MAX(Pipeline!$F$19,1)))+Pipeline!$W$20*Pipeline!$D$20*MIN(1,MAX(0,(57-Pipeline!$E$20+1)/MAX(Pipeline!$F$20,1)))+Pipeline!$W$21*Pipeline!$D$21*MIN(1,MAX(0,(57-Pipeline!$E$21+1)/MAX(Pipeline!$F$21,1)))+Pipeline!$W$22*Pipeline!$D$22*MIN(1,MAX(0,(57-Pipeline!$E$22+1)/MAX(Pipeline!$F$22,1)))</f>
        <v>7042.51597446053</v>
      </c>
      <c r="BH19" s="138" t="n">
        <f aca="false">Pipeline!$W$16*Pipeline!$D$16*MIN(1,MAX(0,(58-Pipeline!$E$16+1)/MAX(Pipeline!$F$16,1)))+Pipeline!$W$17*Pipeline!$D$17*MIN(1,MAX(0,(58-Pipeline!$E$17+1)/MAX(Pipeline!$F$17,1)))+Pipeline!$W$18*Pipeline!$D$18*MIN(1,MAX(0,(58-Pipeline!$E$18+1)/MAX(Pipeline!$F$18,1)))+Pipeline!$W$19*Pipeline!$D$19*MIN(1,MAX(0,(58-Pipeline!$E$19+1)/MAX(Pipeline!$F$19,1)))+Pipeline!$W$20*Pipeline!$D$20*MIN(1,MAX(0,(58-Pipeline!$E$20+1)/MAX(Pipeline!$F$20,1)))+Pipeline!$W$21*Pipeline!$D$21*MIN(1,MAX(0,(58-Pipeline!$E$21+1)/MAX(Pipeline!$F$21,1)))+Pipeline!$W$22*Pipeline!$D$22*MIN(1,MAX(0,(58-Pipeline!$E$22+1)/MAX(Pipeline!$F$22,1)))</f>
        <v>7042.51597446053</v>
      </c>
      <c r="BI19" s="138" t="n">
        <f aca="false">Pipeline!$W$16*Pipeline!$D$16*MIN(1,MAX(0,(59-Pipeline!$E$16+1)/MAX(Pipeline!$F$16,1)))+Pipeline!$W$17*Pipeline!$D$17*MIN(1,MAX(0,(59-Pipeline!$E$17+1)/MAX(Pipeline!$F$17,1)))+Pipeline!$W$18*Pipeline!$D$18*MIN(1,MAX(0,(59-Pipeline!$E$18+1)/MAX(Pipeline!$F$18,1)))+Pipeline!$W$19*Pipeline!$D$19*MIN(1,MAX(0,(59-Pipeline!$E$19+1)/MAX(Pipeline!$F$19,1)))+Pipeline!$W$20*Pipeline!$D$20*MIN(1,MAX(0,(59-Pipeline!$E$20+1)/MAX(Pipeline!$F$20,1)))+Pipeline!$W$21*Pipeline!$D$21*MIN(1,MAX(0,(59-Pipeline!$E$21+1)/MAX(Pipeline!$F$21,1)))+Pipeline!$W$22*Pipeline!$D$22*MIN(1,MAX(0,(59-Pipeline!$E$22+1)/MAX(Pipeline!$F$22,1)))</f>
        <v>7042.51597446053</v>
      </c>
      <c r="BJ19" s="138" t="n">
        <f aca="false">Pipeline!$W$16*Pipeline!$D$16*MIN(1,MAX(0,(60-Pipeline!$E$16+1)/MAX(Pipeline!$F$16,1)))+Pipeline!$W$17*Pipeline!$D$17*MIN(1,MAX(0,(60-Pipeline!$E$17+1)/MAX(Pipeline!$F$17,1)))+Pipeline!$W$18*Pipeline!$D$18*MIN(1,MAX(0,(60-Pipeline!$E$18+1)/MAX(Pipeline!$F$18,1)))+Pipeline!$W$19*Pipeline!$D$19*MIN(1,MAX(0,(60-Pipeline!$E$19+1)/MAX(Pipeline!$F$19,1)))+Pipeline!$W$20*Pipeline!$D$20*MIN(1,MAX(0,(60-Pipeline!$E$20+1)/MAX(Pipeline!$F$20,1)))+Pipeline!$W$21*Pipeline!$D$21*MIN(1,MAX(0,(60-Pipeline!$E$21+1)/MAX(Pipeline!$F$21,1)))+Pipeline!$W$22*Pipeline!$D$22*MIN(1,MAX(0,(60-Pipeline!$E$22+1)/MAX(Pipeline!$F$22,1)))</f>
        <v>7042.51597446053</v>
      </c>
      <c r="BK19" s="138" t="n">
        <f aca="false">Pipeline!$W$16*Pipeline!$D$16*MIN(1,MAX(0,(61-Pipeline!$E$16+1)/MAX(Pipeline!$F$16,1)))+Pipeline!$W$17*Pipeline!$D$17*MIN(1,MAX(0,(61-Pipeline!$E$17+1)/MAX(Pipeline!$F$17,1)))+Pipeline!$W$18*Pipeline!$D$18*MIN(1,MAX(0,(61-Pipeline!$E$18+1)/MAX(Pipeline!$F$18,1)))+Pipeline!$W$19*Pipeline!$D$19*MIN(1,MAX(0,(61-Pipeline!$E$19+1)/MAX(Pipeline!$F$19,1)))+Pipeline!$W$20*Pipeline!$D$20*MIN(1,MAX(0,(61-Pipeline!$E$20+1)/MAX(Pipeline!$F$20,1)))+Pipeline!$W$21*Pipeline!$D$21*MIN(1,MAX(0,(61-Pipeline!$E$21+1)/MAX(Pipeline!$F$21,1)))+Pipeline!$W$22*Pipeline!$D$22*MIN(1,MAX(0,(61-Pipeline!$E$22+1)/MAX(Pipeline!$F$22,1)))</f>
        <v>7042.51597446053</v>
      </c>
      <c r="BL19" s="138" t="n">
        <f aca="false">Pipeline!$W$16*Pipeline!$D$16*MIN(1,MAX(0,(62-Pipeline!$E$16+1)/MAX(Pipeline!$F$16,1)))+Pipeline!$W$17*Pipeline!$D$17*MIN(1,MAX(0,(62-Pipeline!$E$17+1)/MAX(Pipeline!$F$17,1)))+Pipeline!$W$18*Pipeline!$D$18*MIN(1,MAX(0,(62-Pipeline!$E$18+1)/MAX(Pipeline!$F$18,1)))+Pipeline!$W$19*Pipeline!$D$19*MIN(1,MAX(0,(62-Pipeline!$E$19+1)/MAX(Pipeline!$F$19,1)))+Pipeline!$W$20*Pipeline!$D$20*MIN(1,MAX(0,(62-Pipeline!$E$20+1)/MAX(Pipeline!$F$20,1)))+Pipeline!$W$21*Pipeline!$D$21*MIN(1,MAX(0,(62-Pipeline!$E$21+1)/MAX(Pipeline!$F$21,1)))+Pipeline!$W$22*Pipeline!$D$22*MIN(1,MAX(0,(62-Pipeline!$E$22+1)/MAX(Pipeline!$F$22,1)))</f>
        <v>7042.51597446053</v>
      </c>
      <c r="BM19" s="138" t="n">
        <f aca="false">Pipeline!$W$16*Pipeline!$D$16*MIN(1,MAX(0,(63-Pipeline!$E$16+1)/MAX(Pipeline!$F$16,1)))+Pipeline!$W$17*Pipeline!$D$17*MIN(1,MAX(0,(63-Pipeline!$E$17+1)/MAX(Pipeline!$F$17,1)))+Pipeline!$W$18*Pipeline!$D$18*MIN(1,MAX(0,(63-Pipeline!$E$18+1)/MAX(Pipeline!$F$18,1)))+Pipeline!$W$19*Pipeline!$D$19*MIN(1,MAX(0,(63-Pipeline!$E$19+1)/MAX(Pipeline!$F$19,1)))+Pipeline!$W$20*Pipeline!$D$20*MIN(1,MAX(0,(63-Pipeline!$E$20+1)/MAX(Pipeline!$F$20,1)))+Pipeline!$W$21*Pipeline!$D$21*MIN(1,MAX(0,(63-Pipeline!$E$21+1)/MAX(Pipeline!$F$21,1)))+Pipeline!$W$22*Pipeline!$D$22*MIN(1,MAX(0,(63-Pipeline!$E$22+1)/MAX(Pipeline!$F$22,1)))</f>
        <v>7042.51597446053</v>
      </c>
      <c r="BN19" s="138" t="n">
        <f aca="false">Pipeline!$W$16*Pipeline!$D$16*MIN(1,MAX(0,(64-Pipeline!$E$16+1)/MAX(Pipeline!$F$16,1)))+Pipeline!$W$17*Pipeline!$D$17*MIN(1,MAX(0,(64-Pipeline!$E$17+1)/MAX(Pipeline!$F$17,1)))+Pipeline!$W$18*Pipeline!$D$18*MIN(1,MAX(0,(64-Pipeline!$E$18+1)/MAX(Pipeline!$F$18,1)))+Pipeline!$W$19*Pipeline!$D$19*MIN(1,MAX(0,(64-Pipeline!$E$19+1)/MAX(Pipeline!$F$19,1)))+Pipeline!$W$20*Pipeline!$D$20*MIN(1,MAX(0,(64-Pipeline!$E$20+1)/MAX(Pipeline!$F$20,1)))+Pipeline!$W$21*Pipeline!$D$21*MIN(1,MAX(0,(64-Pipeline!$E$21+1)/MAX(Pipeline!$F$21,1)))+Pipeline!$W$22*Pipeline!$D$22*MIN(1,MAX(0,(64-Pipeline!$E$22+1)/MAX(Pipeline!$F$22,1)))</f>
        <v>7042.51597446053</v>
      </c>
      <c r="BO19" s="138" t="n">
        <f aca="false">Pipeline!$W$16*Pipeline!$D$16*MIN(1,MAX(0,(65-Pipeline!$E$16+1)/MAX(Pipeline!$F$16,1)))+Pipeline!$W$17*Pipeline!$D$17*MIN(1,MAX(0,(65-Pipeline!$E$17+1)/MAX(Pipeline!$F$17,1)))+Pipeline!$W$18*Pipeline!$D$18*MIN(1,MAX(0,(65-Pipeline!$E$18+1)/MAX(Pipeline!$F$18,1)))+Pipeline!$W$19*Pipeline!$D$19*MIN(1,MAX(0,(65-Pipeline!$E$19+1)/MAX(Pipeline!$F$19,1)))+Pipeline!$W$20*Pipeline!$D$20*MIN(1,MAX(0,(65-Pipeline!$E$20+1)/MAX(Pipeline!$F$20,1)))+Pipeline!$W$21*Pipeline!$D$21*MIN(1,MAX(0,(65-Pipeline!$E$21+1)/MAX(Pipeline!$F$21,1)))+Pipeline!$W$22*Pipeline!$D$22*MIN(1,MAX(0,(65-Pipeline!$E$22+1)/MAX(Pipeline!$F$22,1)))</f>
        <v>7042.51597446053</v>
      </c>
      <c r="BP19" s="138" t="n">
        <f aca="false">Pipeline!$W$16*Pipeline!$D$16*MIN(1,MAX(0,(66-Pipeline!$E$16+1)/MAX(Pipeline!$F$16,1)))+Pipeline!$W$17*Pipeline!$D$17*MIN(1,MAX(0,(66-Pipeline!$E$17+1)/MAX(Pipeline!$F$17,1)))+Pipeline!$W$18*Pipeline!$D$18*MIN(1,MAX(0,(66-Pipeline!$E$18+1)/MAX(Pipeline!$F$18,1)))+Pipeline!$W$19*Pipeline!$D$19*MIN(1,MAX(0,(66-Pipeline!$E$19+1)/MAX(Pipeline!$F$19,1)))+Pipeline!$W$20*Pipeline!$D$20*MIN(1,MAX(0,(66-Pipeline!$E$20+1)/MAX(Pipeline!$F$20,1)))+Pipeline!$W$21*Pipeline!$D$21*MIN(1,MAX(0,(66-Pipeline!$E$21+1)/MAX(Pipeline!$F$21,1)))+Pipeline!$W$22*Pipeline!$D$22*MIN(1,MAX(0,(66-Pipeline!$E$22+1)/MAX(Pipeline!$F$22,1)))</f>
        <v>7042.51597446053</v>
      </c>
      <c r="BQ19" s="138" t="n">
        <f aca="false">Pipeline!$W$16*Pipeline!$D$16*MIN(1,MAX(0,(67-Pipeline!$E$16+1)/MAX(Pipeline!$F$16,1)))+Pipeline!$W$17*Pipeline!$D$17*MIN(1,MAX(0,(67-Pipeline!$E$17+1)/MAX(Pipeline!$F$17,1)))+Pipeline!$W$18*Pipeline!$D$18*MIN(1,MAX(0,(67-Pipeline!$E$18+1)/MAX(Pipeline!$F$18,1)))+Pipeline!$W$19*Pipeline!$D$19*MIN(1,MAX(0,(67-Pipeline!$E$19+1)/MAX(Pipeline!$F$19,1)))+Pipeline!$W$20*Pipeline!$D$20*MIN(1,MAX(0,(67-Pipeline!$E$20+1)/MAX(Pipeline!$F$20,1)))+Pipeline!$W$21*Pipeline!$D$21*MIN(1,MAX(0,(67-Pipeline!$E$21+1)/MAX(Pipeline!$F$21,1)))+Pipeline!$W$22*Pipeline!$D$22*MIN(1,MAX(0,(67-Pipeline!$E$22+1)/MAX(Pipeline!$F$22,1)))</f>
        <v>7042.51597446053</v>
      </c>
      <c r="BR19" s="138" t="n">
        <f aca="false">Pipeline!$W$16*Pipeline!$D$16*MIN(1,MAX(0,(68-Pipeline!$E$16+1)/MAX(Pipeline!$F$16,1)))+Pipeline!$W$17*Pipeline!$D$17*MIN(1,MAX(0,(68-Pipeline!$E$17+1)/MAX(Pipeline!$F$17,1)))+Pipeline!$W$18*Pipeline!$D$18*MIN(1,MAX(0,(68-Pipeline!$E$18+1)/MAX(Pipeline!$F$18,1)))+Pipeline!$W$19*Pipeline!$D$19*MIN(1,MAX(0,(68-Pipeline!$E$19+1)/MAX(Pipeline!$F$19,1)))+Pipeline!$W$20*Pipeline!$D$20*MIN(1,MAX(0,(68-Pipeline!$E$20+1)/MAX(Pipeline!$F$20,1)))+Pipeline!$W$21*Pipeline!$D$21*MIN(1,MAX(0,(68-Pipeline!$E$21+1)/MAX(Pipeline!$F$21,1)))+Pipeline!$W$22*Pipeline!$D$22*MIN(1,MAX(0,(68-Pipeline!$E$22+1)/MAX(Pipeline!$F$22,1)))</f>
        <v>7042.51597446053</v>
      </c>
      <c r="BS19" s="138" t="n">
        <f aca="false">Pipeline!$W$16*Pipeline!$D$16*MIN(1,MAX(0,(69-Pipeline!$E$16+1)/MAX(Pipeline!$F$16,1)))+Pipeline!$W$17*Pipeline!$D$17*MIN(1,MAX(0,(69-Pipeline!$E$17+1)/MAX(Pipeline!$F$17,1)))+Pipeline!$W$18*Pipeline!$D$18*MIN(1,MAX(0,(69-Pipeline!$E$18+1)/MAX(Pipeline!$F$18,1)))+Pipeline!$W$19*Pipeline!$D$19*MIN(1,MAX(0,(69-Pipeline!$E$19+1)/MAX(Pipeline!$F$19,1)))+Pipeline!$W$20*Pipeline!$D$20*MIN(1,MAX(0,(69-Pipeline!$E$20+1)/MAX(Pipeline!$F$20,1)))+Pipeline!$W$21*Pipeline!$D$21*MIN(1,MAX(0,(69-Pipeline!$E$21+1)/MAX(Pipeline!$F$21,1)))+Pipeline!$W$22*Pipeline!$D$22*MIN(1,MAX(0,(69-Pipeline!$E$22+1)/MAX(Pipeline!$F$22,1)))</f>
        <v>7042.51597446053</v>
      </c>
      <c r="BT19" s="138" t="n">
        <f aca="false">Pipeline!$W$16*Pipeline!$D$16*MIN(1,MAX(0,(70-Pipeline!$E$16+1)/MAX(Pipeline!$F$16,1)))+Pipeline!$W$17*Pipeline!$D$17*MIN(1,MAX(0,(70-Pipeline!$E$17+1)/MAX(Pipeline!$F$17,1)))+Pipeline!$W$18*Pipeline!$D$18*MIN(1,MAX(0,(70-Pipeline!$E$18+1)/MAX(Pipeline!$F$18,1)))+Pipeline!$W$19*Pipeline!$D$19*MIN(1,MAX(0,(70-Pipeline!$E$19+1)/MAX(Pipeline!$F$19,1)))+Pipeline!$W$20*Pipeline!$D$20*MIN(1,MAX(0,(70-Pipeline!$E$20+1)/MAX(Pipeline!$F$20,1)))+Pipeline!$W$21*Pipeline!$D$21*MIN(1,MAX(0,(70-Pipeline!$E$21+1)/MAX(Pipeline!$F$21,1)))+Pipeline!$W$22*Pipeline!$D$22*MIN(1,MAX(0,(70-Pipeline!$E$22+1)/MAX(Pipeline!$F$22,1)))</f>
        <v>7042.51597446053</v>
      </c>
      <c r="BU19" s="138" t="n">
        <f aca="false">Pipeline!$W$16*Pipeline!$D$16*MIN(1,MAX(0,(71-Pipeline!$E$16+1)/MAX(Pipeline!$F$16,1)))+Pipeline!$W$17*Pipeline!$D$17*MIN(1,MAX(0,(71-Pipeline!$E$17+1)/MAX(Pipeline!$F$17,1)))+Pipeline!$W$18*Pipeline!$D$18*MIN(1,MAX(0,(71-Pipeline!$E$18+1)/MAX(Pipeline!$F$18,1)))+Pipeline!$W$19*Pipeline!$D$19*MIN(1,MAX(0,(71-Pipeline!$E$19+1)/MAX(Pipeline!$F$19,1)))+Pipeline!$W$20*Pipeline!$D$20*MIN(1,MAX(0,(71-Pipeline!$E$20+1)/MAX(Pipeline!$F$20,1)))+Pipeline!$W$21*Pipeline!$D$21*MIN(1,MAX(0,(71-Pipeline!$E$21+1)/MAX(Pipeline!$F$21,1)))+Pipeline!$W$22*Pipeline!$D$22*MIN(1,MAX(0,(71-Pipeline!$E$22+1)/MAX(Pipeline!$F$22,1)))</f>
        <v>7042.51597446053</v>
      </c>
      <c r="BV19" s="138" t="n">
        <f aca="false">Pipeline!$W$16*Pipeline!$D$16*MIN(1,MAX(0,(72-Pipeline!$E$16+1)/MAX(Pipeline!$F$16,1)))+Pipeline!$W$17*Pipeline!$D$17*MIN(1,MAX(0,(72-Pipeline!$E$17+1)/MAX(Pipeline!$F$17,1)))+Pipeline!$W$18*Pipeline!$D$18*MIN(1,MAX(0,(72-Pipeline!$E$18+1)/MAX(Pipeline!$F$18,1)))+Pipeline!$W$19*Pipeline!$D$19*MIN(1,MAX(0,(72-Pipeline!$E$19+1)/MAX(Pipeline!$F$19,1)))+Pipeline!$W$20*Pipeline!$D$20*MIN(1,MAX(0,(72-Pipeline!$E$20+1)/MAX(Pipeline!$F$20,1)))+Pipeline!$W$21*Pipeline!$D$21*MIN(1,MAX(0,(72-Pipeline!$E$21+1)/MAX(Pipeline!$F$21,1)))+Pipeline!$W$22*Pipeline!$D$22*MIN(1,MAX(0,(72-Pipeline!$E$22+1)/MAX(Pipeline!$F$22,1)))</f>
        <v>7042.51597446053</v>
      </c>
      <c r="BW19" s="138" t="n">
        <f aca="false">Pipeline!$W$16*Pipeline!$D$16*MIN(1,MAX(0,(73-Pipeline!$E$16+1)/MAX(Pipeline!$F$16,1)))+Pipeline!$W$17*Pipeline!$D$17*MIN(1,MAX(0,(73-Pipeline!$E$17+1)/MAX(Pipeline!$F$17,1)))+Pipeline!$W$18*Pipeline!$D$18*MIN(1,MAX(0,(73-Pipeline!$E$18+1)/MAX(Pipeline!$F$18,1)))+Pipeline!$W$19*Pipeline!$D$19*MIN(1,MAX(0,(73-Pipeline!$E$19+1)/MAX(Pipeline!$F$19,1)))+Pipeline!$W$20*Pipeline!$D$20*MIN(1,MAX(0,(73-Pipeline!$E$20+1)/MAX(Pipeline!$F$20,1)))+Pipeline!$W$21*Pipeline!$D$21*MIN(1,MAX(0,(73-Pipeline!$E$21+1)/MAX(Pipeline!$F$21,1)))+Pipeline!$W$22*Pipeline!$D$22*MIN(1,MAX(0,(73-Pipeline!$E$22+1)/MAX(Pipeline!$F$22,1)))</f>
        <v>7042.51597446053</v>
      </c>
      <c r="BX19" s="138" t="n">
        <f aca="false">Pipeline!$W$16*Pipeline!$D$16*MIN(1,MAX(0,(74-Pipeline!$E$16+1)/MAX(Pipeline!$F$16,1)))+Pipeline!$W$17*Pipeline!$D$17*MIN(1,MAX(0,(74-Pipeline!$E$17+1)/MAX(Pipeline!$F$17,1)))+Pipeline!$W$18*Pipeline!$D$18*MIN(1,MAX(0,(74-Pipeline!$E$18+1)/MAX(Pipeline!$F$18,1)))+Pipeline!$W$19*Pipeline!$D$19*MIN(1,MAX(0,(74-Pipeline!$E$19+1)/MAX(Pipeline!$F$19,1)))+Pipeline!$W$20*Pipeline!$D$20*MIN(1,MAX(0,(74-Pipeline!$E$20+1)/MAX(Pipeline!$F$20,1)))+Pipeline!$W$21*Pipeline!$D$21*MIN(1,MAX(0,(74-Pipeline!$E$21+1)/MAX(Pipeline!$F$21,1)))+Pipeline!$W$22*Pipeline!$D$22*MIN(1,MAX(0,(74-Pipeline!$E$22+1)/MAX(Pipeline!$F$22,1)))</f>
        <v>7042.51597446053</v>
      </c>
      <c r="BY19" s="138" t="n">
        <f aca="false">Pipeline!$W$16*Pipeline!$D$16*MIN(1,MAX(0,(75-Pipeline!$E$16+1)/MAX(Pipeline!$F$16,1)))+Pipeline!$W$17*Pipeline!$D$17*MIN(1,MAX(0,(75-Pipeline!$E$17+1)/MAX(Pipeline!$F$17,1)))+Pipeline!$W$18*Pipeline!$D$18*MIN(1,MAX(0,(75-Pipeline!$E$18+1)/MAX(Pipeline!$F$18,1)))+Pipeline!$W$19*Pipeline!$D$19*MIN(1,MAX(0,(75-Pipeline!$E$19+1)/MAX(Pipeline!$F$19,1)))+Pipeline!$W$20*Pipeline!$D$20*MIN(1,MAX(0,(75-Pipeline!$E$20+1)/MAX(Pipeline!$F$20,1)))+Pipeline!$W$21*Pipeline!$D$21*MIN(1,MAX(0,(75-Pipeline!$E$21+1)/MAX(Pipeline!$F$21,1)))+Pipeline!$W$22*Pipeline!$D$22*MIN(1,MAX(0,(75-Pipeline!$E$22+1)/MAX(Pipeline!$F$22,1)))</f>
        <v>7042.51597446053</v>
      </c>
      <c r="BZ19" s="138" t="n">
        <f aca="false">Pipeline!$W$16*Pipeline!$D$16*MIN(1,MAX(0,(76-Pipeline!$E$16+1)/MAX(Pipeline!$F$16,1)))+Pipeline!$W$17*Pipeline!$D$17*MIN(1,MAX(0,(76-Pipeline!$E$17+1)/MAX(Pipeline!$F$17,1)))+Pipeline!$W$18*Pipeline!$D$18*MIN(1,MAX(0,(76-Pipeline!$E$18+1)/MAX(Pipeline!$F$18,1)))+Pipeline!$W$19*Pipeline!$D$19*MIN(1,MAX(0,(76-Pipeline!$E$19+1)/MAX(Pipeline!$F$19,1)))+Pipeline!$W$20*Pipeline!$D$20*MIN(1,MAX(0,(76-Pipeline!$E$20+1)/MAX(Pipeline!$F$20,1)))+Pipeline!$W$21*Pipeline!$D$21*MIN(1,MAX(0,(76-Pipeline!$E$21+1)/MAX(Pipeline!$F$21,1)))+Pipeline!$W$22*Pipeline!$D$22*MIN(1,MAX(0,(76-Pipeline!$E$22+1)/MAX(Pipeline!$F$22,1)))</f>
        <v>7042.51597446053</v>
      </c>
      <c r="CA19" s="138" t="n">
        <f aca="false">Pipeline!$W$16*Pipeline!$D$16*MIN(1,MAX(0,(77-Pipeline!$E$16+1)/MAX(Pipeline!$F$16,1)))+Pipeline!$W$17*Pipeline!$D$17*MIN(1,MAX(0,(77-Pipeline!$E$17+1)/MAX(Pipeline!$F$17,1)))+Pipeline!$W$18*Pipeline!$D$18*MIN(1,MAX(0,(77-Pipeline!$E$18+1)/MAX(Pipeline!$F$18,1)))+Pipeline!$W$19*Pipeline!$D$19*MIN(1,MAX(0,(77-Pipeline!$E$19+1)/MAX(Pipeline!$F$19,1)))+Pipeline!$W$20*Pipeline!$D$20*MIN(1,MAX(0,(77-Pipeline!$E$20+1)/MAX(Pipeline!$F$20,1)))+Pipeline!$W$21*Pipeline!$D$21*MIN(1,MAX(0,(77-Pipeline!$E$21+1)/MAX(Pipeline!$F$21,1)))+Pipeline!$W$22*Pipeline!$D$22*MIN(1,MAX(0,(77-Pipeline!$E$22+1)/MAX(Pipeline!$F$22,1)))</f>
        <v>7042.51597446053</v>
      </c>
      <c r="CB19" s="138" t="n">
        <f aca="false">Pipeline!$W$16*Pipeline!$D$16*MIN(1,MAX(0,(78-Pipeline!$E$16+1)/MAX(Pipeline!$F$16,1)))+Pipeline!$W$17*Pipeline!$D$17*MIN(1,MAX(0,(78-Pipeline!$E$17+1)/MAX(Pipeline!$F$17,1)))+Pipeline!$W$18*Pipeline!$D$18*MIN(1,MAX(0,(78-Pipeline!$E$18+1)/MAX(Pipeline!$F$18,1)))+Pipeline!$W$19*Pipeline!$D$19*MIN(1,MAX(0,(78-Pipeline!$E$19+1)/MAX(Pipeline!$F$19,1)))+Pipeline!$W$20*Pipeline!$D$20*MIN(1,MAX(0,(78-Pipeline!$E$20+1)/MAX(Pipeline!$F$20,1)))+Pipeline!$W$21*Pipeline!$D$21*MIN(1,MAX(0,(78-Pipeline!$E$21+1)/MAX(Pipeline!$F$21,1)))+Pipeline!$W$22*Pipeline!$D$22*MIN(1,MAX(0,(78-Pipeline!$E$22+1)/MAX(Pipeline!$F$22,1)))</f>
        <v>7042.51597446053</v>
      </c>
      <c r="CC19" s="138" t="n">
        <f aca="false">Pipeline!$W$16*Pipeline!$D$16*MIN(1,MAX(0,(79-Pipeline!$E$16+1)/MAX(Pipeline!$F$16,1)))+Pipeline!$W$17*Pipeline!$D$17*MIN(1,MAX(0,(79-Pipeline!$E$17+1)/MAX(Pipeline!$F$17,1)))+Pipeline!$W$18*Pipeline!$D$18*MIN(1,MAX(0,(79-Pipeline!$E$18+1)/MAX(Pipeline!$F$18,1)))+Pipeline!$W$19*Pipeline!$D$19*MIN(1,MAX(0,(79-Pipeline!$E$19+1)/MAX(Pipeline!$F$19,1)))+Pipeline!$W$20*Pipeline!$D$20*MIN(1,MAX(0,(79-Pipeline!$E$20+1)/MAX(Pipeline!$F$20,1)))+Pipeline!$W$21*Pipeline!$D$21*MIN(1,MAX(0,(79-Pipeline!$E$21+1)/MAX(Pipeline!$F$21,1)))+Pipeline!$W$22*Pipeline!$D$22*MIN(1,MAX(0,(79-Pipeline!$E$22+1)/MAX(Pipeline!$F$22,1)))</f>
        <v>7042.51597446053</v>
      </c>
      <c r="CD19" s="138" t="n">
        <f aca="false">Pipeline!$W$16*Pipeline!$D$16*MIN(1,MAX(0,(80-Pipeline!$E$16+1)/MAX(Pipeline!$F$16,1)))+Pipeline!$W$17*Pipeline!$D$17*MIN(1,MAX(0,(80-Pipeline!$E$17+1)/MAX(Pipeline!$F$17,1)))+Pipeline!$W$18*Pipeline!$D$18*MIN(1,MAX(0,(80-Pipeline!$E$18+1)/MAX(Pipeline!$F$18,1)))+Pipeline!$W$19*Pipeline!$D$19*MIN(1,MAX(0,(80-Pipeline!$E$19+1)/MAX(Pipeline!$F$19,1)))+Pipeline!$W$20*Pipeline!$D$20*MIN(1,MAX(0,(80-Pipeline!$E$20+1)/MAX(Pipeline!$F$20,1)))+Pipeline!$W$21*Pipeline!$D$21*MIN(1,MAX(0,(80-Pipeline!$E$21+1)/MAX(Pipeline!$F$21,1)))+Pipeline!$W$22*Pipeline!$D$22*MIN(1,MAX(0,(80-Pipeline!$E$22+1)/MAX(Pipeline!$F$22,1)))</f>
        <v>7042.51597446053</v>
      </c>
      <c r="CE19" s="138" t="n">
        <f aca="false">Pipeline!$W$16*Pipeline!$D$16*MIN(1,MAX(0,(81-Pipeline!$E$16+1)/MAX(Pipeline!$F$16,1)))+Pipeline!$W$17*Pipeline!$D$17*MIN(1,MAX(0,(81-Pipeline!$E$17+1)/MAX(Pipeline!$F$17,1)))+Pipeline!$W$18*Pipeline!$D$18*MIN(1,MAX(0,(81-Pipeline!$E$18+1)/MAX(Pipeline!$F$18,1)))+Pipeline!$W$19*Pipeline!$D$19*MIN(1,MAX(0,(81-Pipeline!$E$19+1)/MAX(Pipeline!$F$19,1)))+Pipeline!$W$20*Pipeline!$D$20*MIN(1,MAX(0,(81-Pipeline!$E$20+1)/MAX(Pipeline!$F$20,1)))+Pipeline!$W$21*Pipeline!$D$21*MIN(1,MAX(0,(81-Pipeline!$E$21+1)/MAX(Pipeline!$F$21,1)))+Pipeline!$W$22*Pipeline!$D$22*MIN(1,MAX(0,(81-Pipeline!$E$22+1)/MAX(Pipeline!$F$22,1)))</f>
        <v>7042.51597446053</v>
      </c>
      <c r="CF19" s="138" t="n">
        <f aca="false">Pipeline!$W$16*Pipeline!$D$16*MIN(1,MAX(0,(82-Pipeline!$E$16+1)/MAX(Pipeline!$F$16,1)))+Pipeline!$W$17*Pipeline!$D$17*MIN(1,MAX(0,(82-Pipeline!$E$17+1)/MAX(Pipeline!$F$17,1)))+Pipeline!$W$18*Pipeline!$D$18*MIN(1,MAX(0,(82-Pipeline!$E$18+1)/MAX(Pipeline!$F$18,1)))+Pipeline!$W$19*Pipeline!$D$19*MIN(1,MAX(0,(82-Pipeline!$E$19+1)/MAX(Pipeline!$F$19,1)))+Pipeline!$W$20*Pipeline!$D$20*MIN(1,MAX(0,(82-Pipeline!$E$20+1)/MAX(Pipeline!$F$20,1)))+Pipeline!$W$21*Pipeline!$D$21*MIN(1,MAX(0,(82-Pipeline!$E$21+1)/MAX(Pipeline!$F$21,1)))+Pipeline!$W$22*Pipeline!$D$22*MIN(1,MAX(0,(82-Pipeline!$E$22+1)/MAX(Pipeline!$F$22,1)))</f>
        <v>7042.51597446053</v>
      </c>
      <c r="CG19" s="138" t="n">
        <f aca="false">Pipeline!$W$16*Pipeline!$D$16*MIN(1,MAX(0,(83-Pipeline!$E$16+1)/MAX(Pipeline!$F$16,1)))+Pipeline!$W$17*Pipeline!$D$17*MIN(1,MAX(0,(83-Pipeline!$E$17+1)/MAX(Pipeline!$F$17,1)))+Pipeline!$W$18*Pipeline!$D$18*MIN(1,MAX(0,(83-Pipeline!$E$18+1)/MAX(Pipeline!$F$18,1)))+Pipeline!$W$19*Pipeline!$D$19*MIN(1,MAX(0,(83-Pipeline!$E$19+1)/MAX(Pipeline!$F$19,1)))+Pipeline!$W$20*Pipeline!$D$20*MIN(1,MAX(0,(83-Pipeline!$E$20+1)/MAX(Pipeline!$F$20,1)))+Pipeline!$W$21*Pipeline!$D$21*MIN(1,MAX(0,(83-Pipeline!$E$21+1)/MAX(Pipeline!$F$21,1)))+Pipeline!$W$22*Pipeline!$D$22*MIN(1,MAX(0,(83-Pipeline!$E$22+1)/MAX(Pipeline!$F$22,1)))</f>
        <v>7042.51597446053</v>
      </c>
      <c r="CH19" s="138" t="n">
        <f aca="false">Pipeline!$W$16*Pipeline!$D$16*MIN(1,MAX(0,(84-Pipeline!$E$16+1)/MAX(Pipeline!$F$16,1)))+Pipeline!$W$17*Pipeline!$D$17*MIN(1,MAX(0,(84-Pipeline!$E$17+1)/MAX(Pipeline!$F$17,1)))+Pipeline!$W$18*Pipeline!$D$18*MIN(1,MAX(0,(84-Pipeline!$E$18+1)/MAX(Pipeline!$F$18,1)))+Pipeline!$W$19*Pipeline!$D$19*MIN(1,MAX(0,(84-Pipeline!$E$19+1)/MAX(Pipeline!$F$19,1)))+Pipeline!$W$20*Pipeline!$D$20*MIN(1,MAX(0,(84-Pipeline!$E$20+1)/MAX(Pipeline!$F$20,1)))+Pipeline!$W$21*Pipeline!$D$21*MIN(1,MAX(0,(84-Pipeline!$E$21+1)/MAX(Pipeline!$F$21,1)))+Pipeline!$W$22*Pipeline!$D$22*MIN(1,MAX(0,(84-Pipeline!$E$22+1)/MAX(Pipeline!$F$22,1)))</f>
        <v>7042.51597446053</v>
      </c>
    </row>
    <row r="20" customFormat="false" ht="13.5" hidden="false" customHeight="true" outlineLevel="0" collapsed="false">
      <c r="A20" s="13" t="s">
        <v>703</v>
      </c>
      <c r="C20" s="150" t="n">
        <f aca="false">Pipeline!$S$16*Pipeline!$D$16*MIN(1,MAX(0,(1-Pipeline!$E$16+1)/MAX(Pipeline!$F$16,1)))+Pipeline!$S$17*Pipeline!$D$17*MIN(1,MAX(0,(1-Pipeline!$E$17+1)/MAX(Pipeline!$F$17,1)))+Pipeline!$S$18*Pipeline!$D$18*MIN(1,MAX(0,(1-Pipeline!$E$18+1)/MAX(Pipeline!$F$18,1)))+Pipeline!$S$19*Pipeline!$D$19*MIN(1,MAX(0,(1-Pipeline!$E$19+1)/MAX(Pipeline!$F$19,1)))+Pipeline!$S$20*Pipeline!$D$20*MIN(1,MAX(0,(1-Pipeline!$E$20+1)/MAX(Pipeline!$F$20,1)))+Pipeline!$S$21*Pipeline!$D$21*MIN(1,MAX(0,(1-Pipeline!$E$21+1)/MAX(Pipeline!$F$21,1)))+Pipeline!$S$22*Pipeline!$D$22*MIN(1,MAX(0,(1-Pipeline!$E$22+1)/MAX(Pipeline!$F$22,1)))</f>
        <v>12.3975</v>
      </c>
      <c r="D20" s="150" t="n">
        <f aca="false">Pipeline!$S$16*Pipeline!$D$16*MIN(1,MAX(0,(2-Pipeline!$E$16+1)/MAX(Pipeline!$F$16,1)))+Pipeline!$S$17*Pipeline!$D$17*MIN(1,MAX(0,(2-Pipeline!$E$17+1)/MAX(Pipeline!$F$17,1)))+Pipeline!$S$18*Pipeline!$D$18*MIN(1,MAX(0,(2-Pipeline!$E$18+1)/MAX(Pipeline!$F$18,1)))+Pipeline!$S$19*Pipeline!$D$19*MIN(1,MAX(0,(2-Pipeline!$E$19+1)/MAX(Pipeline!$F$19,1)))+Pipeline!$S$20*Pipeline!$D$20*MIN(1,MAX(0,(2-Pipeline!$E$20+1)/MAX(Pipeline!$F$20,1)))+Pipeline!$S$21*Pipeline!$D$21*MIN(1,MAX(0,(2-Pipeline!$E$21+1)/MAX(Pipeline!$F$21,1)))+Pipeline!$S$22*Pipeline!$D$22*MIN(1,MAX(0,(2-Pipeline!$E$22+1)/MAX(Pipeline!$F$22,1)))</f>
        <v>27.405</v>
      </c>
      <c r="E20" s="150" t="n">
        <f aca="false">Pipeline!$S$16*Pipeline!$D$16*MIN(1,MAX(0,(3-Pipeline!$E$16+1)/MAX(Pipeline!$F$16,1)))+Pipeline!$S$17*Pipeline!$D$17*MIN(1,MAX(0,(3-Pipeline!$E$17+1)/MAX(Pipeline!$F$17,1)))+Pipeline!$S$18*Pipeline!$D$18*MIN(1,MAX(0,(3-Pipeline!$E$18+1)/MAX(Pipeline!$F$18,1)))+Pipeline!$S$19*Pipeline!$D$19*MIN(1,MAX(0,(3-Pipeline!$E$19+1)/MAX(Pipeline!$F$19,1)))+Pipeline!$S$20*Pipeline!$D$20*MIN(1,MAX(0,(3-Pipeline!$E$20+1)/MAX(Pipeline!$F$20,1)))+Pipeline!$S$21*Pipeline!$D$21*MIN(1,MAX(0,(3-Pipeline!$E$21+1)/MAX(Pipeline!$F$21,1)))+Pipeline!$S$22*Pipeline!$D$22*MIN(1,MAX(0,(3-Pipeline!$E$22+1)/MAX(Pipeline!$F$22,1)))</f>
        <v>75.69</v>
      </c>
      <c r="F20" s="150" t="n">
        <f aca="false">Pipeline!$S$16*Pipeline!$D$16*MIN(1,MAX(0,(4-Pipeline!$E$16+1)/MAX(Pipeline!$F$16,1)))+Pipeline!$S$17*Pipeline!$D$17*MIN(1,MAX(0,(4-Pipeline!$E$17+1)/MAX(Pipeline!$F$17,1)))+Pipeline!$S$18*Pipeline!$D$18*MIN(1,MAX(0,(4-Pipeline!$E$18+1)/MAX(Pipeline!$F$18,1)))+Pipeline!$S$19*Pipeline!$D$19*MIN(1,MAX(0,(4-Pipeline!$E$19+1)/MAX(Pipeline!$F$19,1)))+Pipeline!$S$20*Pipeline!$D$20*MIN(1,MAX(0,(4-Pipeline!$E$20+1)/MAX(Pipeline!$F$20,1)))+Pipeline!$S$21*Pipeline!$D$21*MIN(1,MAX(0,(4-Pipeline!$E$21+1)/MAX(Pipeline!$F$21,1)))+Pipeline!$S$22*Pipeline!$D$22*MIN(1,MAX(0,(4-Pipeline!$E$22+1)/MAX(Pipeline!$F$22,1)))</f>
        <v>111.5775</v>
      </c>
      <c r="G20" s="150" t="n">
        <f aca="false">Pipeline!$S$16*Pipeline!$D$16*MIN(1,MAX(0,(5-Pipeline!$E$16+1)/MAX(Pipeline!$F$16,1)))+Pipeline!$S$17*Pipeline!$D$17*MIN(1,MAX(0,(5-Pipeline!$E$17+1)/MAX(Pipeline!$F$17,1)))+Pipeline!$S$18*Pipeline!$D$18*MIN(1,MAX(0,(5-Pipeline!$E$18+1)/MAX(Pipeline!$F$18,1)))+Pipeline!$S$19*Pipeline!$D$19*MIN(1,MAX(0,(5-Pipeline!$E$19+1)/MAX(Pipeline!$F$19,1)))+Pipeline!$S$20*Pipeline!$D$20*MIN(1,MAX(0,(5-Pipeline!$E$20+1)/MAX(Pipeline!$F$20,1)))+Pipeline!$S$21*Pipeline!$D$21*MIN(1,MAX(0,(5-Pipeline!$E$21+1)/MAX(Pipeline!$F$21,1)))+Pipeline!$S$22*Pipeline!$D$22*MIN(1,MAX(0,(5-Pipeline!$E$22+1)/MAX(Pipeline!$F$22,1)))</f>
        <v>144.855</v>
      </c>
      <c r="H20" s="150" t="n">
        <f aca="false">Pipeline!$S$16*Pipeline!$D$16*MIN(1,MAX(0,(6-Pipeline!$E$16+1)/MAX(Pipeline!$F$16,1)))+Pipeline!$S$17*Pipeline!$D$17*MIN(1,MAX(0,(6-Pipeline!$E$17+1)/MAX(Pipeline!$F$17,1)))+Pipeline!$S$18*Pipeline!$D$18*MIN(1,MAX(0,(6-Pipeline!$E$18+1)/MAX(Pipeline!$F$18,1)))+Pipeline!$S$19*Pipeline!$D$19*MIN(1,MAX(0,(6-Pipeline!$E$19+1)/MAX(Pipeline!$F$19,1)))+Pipeline!$S$20*Pipeline!$D$20*MIN(1,MAX(0,(6-Pipeline!$E$20+1)/MAX(Pipeline!$F$20,1)))+Pipeline!$S$21*Pipeline!$D$21*MIN(1,MAX(0,(6-Pipeline!$E$21+1)/MAX(Pipeline!$F$21,1)))+Pipeline!$S$22*Pipeline!$D$22*MIN(1,MAX(0,(6-Pipeline!$E$22+1)/MAX(Pipeline!$F$22,1)))</f>
        <v>208.03875</v>
      </c>
      <c r="I20" s="150" t="n">
        <f aca="false">Pipeline!$S$16*Pipeline!$D$16*MIN(1,MAX(0,(7-Pipeline!$E$16+1)/MAX(Pipeline!$F$16,1)))+Pipeline!$S$17*Pipeline!$D$17*MIN(1,MAX(0,(7-Pipeline!$E$17+1)/MAX(Pipeline!$F$17,1)))+Pipeline!$S$18*Pipeline!$D$18*MIN(1,MAX(0,(7-Pipeline!$E$18+1)/MAX(Pipeline!$F$18,1)))+Pipeline!$S$19*Pipeline!$D$19*MIN(1,MAX(0,(7-Pipeline!$E$19+1)/MAX(Pipeline!$F$19,1)))+Pipeline!$S$20*Pipeline!$D$20*MIN(1,MAX(0,(7-Pipeline!$E$20+1)/MAX(Pipeline!$F$20,1)))+Pipeline!$S$21*Pipeline!$D$21*MIN(1,MAX(0,(7-Pipeline!$E$21+1)/MAX(Pipeline!$F$21,1)))+Pipeline!$S$22*Pipeline!$D$22*MIN(1,MAX(0,(7-Pipeline!$E$22+1)/MAX(Pipeline!$F$22,1)))</f>
        <v>271.2225</v>
      </c>
      <c r="J20" s="150" t="n">
        <f aca="false">Pipeline!$S$16*Pipeline!$D$16*MIN(1,MAX(0,(8-Pipeline!$E$16+1)/MAX(Pipeline!$F$16,1)))+Pipeline!$S$17*Pipeline!$D$17*MIN(1,MAX(0,(8-Pipeline!$E$17+1)/MAX(Pipeline!$F$17,1)))+Pipeline!$S$18*Pipeline!$D$18*MIN(1,MAX(0,(8-Pipeline!$E$18+1)/MAX(Pipeline!$F$18,1)))+Pipeline!$S$19*Pipeline!$D$19*MIN(1,MAX(0,(8-Pipeline!$E$19+1)/MAX(Pipeline!$F$19,1)))+Pipeline!$S$20*Pipeline!$D$20*MIN(1,MAX(0,(8-Pipeline!$E$20+1)/MAX(Pipeline!$F$20,1)))+Pipeline!$S$21*Pipeline!$D$21*MIN(1,MAX(0,(8-Pipeline!$E$21+1)/MAX(Pipeline!$F$21,1)))+Pipeline!$S$22*Pipeline!$D$22*MIN(1,MAX(0,(8-Pipeline!$E$22+1)/MAX(Pipeline!$F$22,1)))</f>
        <v>334.40625</v>
      </c>
      <c r="K20" s="150" t="n">
        <f aca="false">Pipeline!$S$16*Pipeline!$D$16*MIN(1,MAX(0,(9-Pipeline!$E$16+1)/MAX(Pipeline!$F$16,1)))+Pipeline!$S$17*Pipeline!$D$17*MIN(1,MAX(0,(9-Pipeline!$E$17+1)/MAX(Pipeline!$F$17,1)))+Pipeline!$S$18*Pipeline!$D$18*MIN(1,MAX(0,(9-Pipeline!$E$18+1)/MAX(Pipeline!$F$18,1)))+Pipeline!$S$19*Pipeline!$D$19*MIN(1,MAX(0,(9-Pipeline!$E$19+1)/MAX(Pipeline!$F$19,1)))+Pipeline!$S$20*Pipeline!$D$20*MIN(1,MAX(0,(9-Pipeline!$E$20+1)/MAX(Pipeline!$F$20,1)))+Pipeline!$S$21*Pipeline!$D$21*MIN(1,MAX(0,(9-Pipeline!$E$21+1)/MAX(Pipeline!$F$21,1)))+Pipeline!$S$22*Pipeline!$D$22*MIN(1,MAX(0,(9-Pipeline!$E$22+1)/MAX(Pipeline!$F$22,1)))</f>
        <v>397.59</v>
      </c>
      <c r="L20" s="150" t="n">
        <f aca="false">Pipeline!$S$16*Pipeline!$D$16*MIN(1,MAX(0,(10-Pipeline!$E$16+1)/MAX(Pipeline!$F$16,1)))+Pipeline!$S$17*Pipeline!$D$17*MIN(1,MAX(0,(10-Pipeline!$E$17+1)/MAX(Pipeline!$F$17,1)))+Pipeline!$S$18*Pipeline!$D$18*MIN(1,MAX(0,(10-Pipeline!$E$18+1)/MAX(Pipeline!$F$18,1)))+Pipeline!$S$19*Pipeline!$D$19*MIN(1,MAX(0,(10-Pipeline!$E$19+1)/MAX(Pipeline!$F$19,1)))+Pipeline!$S$20*Pipeline!$D$20*MIN(1,MAX(0,(10-Pipeline!$E$20+1)/MAX(Pipeline!$F$20,1)))+Pipeline!$S$21*Pipeline!$D$21*MIN(1,MAX(0,(10-Pipeline!$E$21+1)/MAX(Pipeline!$F$21,1)))+Pipeline!$S$22*Pipeline!$D$22*MIN(1,MAX(0,(10-Pipeline!$E$22+1)/MAX(Pipeline!$F$22,1)))</f>
        <v>460.77375</v>
      </c>
      <c r="M20" s="150" t="n">
        <f aca="false">Pipeline!$S$16*Pipeline!$D$16*MIN(1,MAX(0,(11-Pipeline!$E$16+1)/MAX(Pipeline!$F$16,1)))+Pipeline!$S$17*Pipeline!$D$17*MIN(1,MAX(0,(11-Pipeline!$E$17+1)/MAX(Pipeline!$F$17,1)))+Pipeline!$S$18*Pipeline!$D$18*MIN(1,MAX(0,(11-Pipeline!$E$18+1)/MAX(Pipeline!$F$18,1)))+Pipeline!$S$19*Pipeline!$D$19*MIN(1,MAX(0,(11-Pipeline!$E$19+1)/MAX(Pipeline!$F$19,1)))+Pipeline!$S$20*Pipeline!$D$20*MIN(1,MAX(0,(11-Pipeline!$E$20+1)/MAX(Pipeline!$F$20,1)))+Pipeline!$S$21*Pipeline!$D$21*MIN(1,MAX(0,(11-Pipeline!$E$21+1)/MAX(Pipeline!$F$21,1)))+Pipeline!$S$22*Pipeline!$D$22*MIN(1,MAX(0,(11-Pipeline!$E$22+1)/MAX(Pipeline!$F$22,1)))</f>
        <v>490.68</v>
      </c>
      <c r="N20" s="150" t="n">
        <f aca="false">Pipeline!$S$16*Pipeline!$D$16*MIN(1,MAX(0,(12-Pipeline!$E$16+1)/MAX(Pipeline!$F$16,1)))+Pipeline!$S$17*Pipeline!$D$17*MIN(1,MAX(0,(12-Pipeline!$E$17+1)/MAX(Pipeline!$F$17,1)))+Pipeline!$S$18*Pipeline!$D$18*MIN(1,MAX(0,(12-Pipeline!$E$18+1)/MAX(Pipeline!$F$18,1)))+Pipeline!$S$19*Pipeline!$D$19*MIN(1,MAX(0,(12-Pipeline!$E$19+1)/MAX(Pipeline!$F$19,1)))+Pipeline!$S$20*Pipeline!$D$20*MIN(1,MAX(0,(12-Pipeline!$E$20+1)/MAX(Pipeline!$F$20,1)))+Pipeline!$S$21*Pipeline!$D$21*MIN(1,MAX(0,(12-Pipeline!$E$21+1)/MAX(Pipeline!$F$21,1)))+Pipeline!$S$22*Pipeline!$D$22*MIN(1,MAX(0,(12-Pipeline!$E$22+1)/MAX(Pipeline!$F$22,1)))</f>
        <v>564.08625</v>
      </c>
      <c r="O20" s="150" t="n">
        <f aca="false">Pipeline!$S$16*Pipeline!$D$16*MIN(1,MAX(0,(13-Pipeline!$E$16+1)/MAX(Pipeline!$F$16,1)))+Pipeline!$S$17*Pipeline!$D$17*MIN(1,MAX(0,(13-Pipeline!$E$17+1)/MAX(Pipeline!$F$17,1)))+Pipeline!$S$18*Pipeline!$D$18*MIN(1,MAX(0,(13-Pipeline!$E$18+1)/MAX(Pipeline!$F$18,1)))+Pipeline!$S$19*Pipeline!$D$19*MIN(1,MAX(0,(13-Pipeline!$E$19+1)/MAX(Pipeline!$F$19,1)))+Pipeline!$S$20*Pipeline!$D$20*MIN(1,MAX(0,(13-Pipeline!$E$20+1)/MAX(Pipeline!$F$20,1)))+Pipeline!$S$21*Pipeline!$D$21*MIN(1,MAX(0,(13-Pipeline!$E$21+1)/MAX(Pipeline!$F$21,1)))+Pipeline!$S$22*Pipeline!$D$22*MIN(1,MAX(0,(13-Pipeline!$E$22+1)/MAX(Pipeline!$F$22,1)))</f>
        <v>637.4925</v>
      </c>
      <c r="P20" s="150" t="n">
        <f aca="false">Pipeline!$S$16*Pipeline!$D$16*MIN(1,MAX(0,(14-Pipeline!$E$16+1)/MAX(Pipeline!$F$16,1)))+Pipeline!$S$17*Pipeline!$D$17*MIN(1,MAX(0,(14-Pipeline!$E$17+1)/MAX(Pipeline!$F$17,1)))+Pipeline!$S$18*Pipeline!$D$18*MIN(1,MAX(0,(14-Pipeline!$E$18+1)/MAX(Pipeline!$F$18,1)))+Pipeline!$S$19*Pipeline!$D$19*MIN(1,MAX(0,(14-Pipeline!$E$19+1)/MAX(Pipeline!$F$19,1)))+Pipeline!$S$20*Pipeline!$D$20*MIN(1,MAX(0,(14-Pipeline!$E$20+1)/MAX(Pipeline!$F$20,1)))+Pipeline!$S$21*Pipeline!$D$21*MIN(1,MAX(0,(14-Pipeline!$E$21+1)/MAX(Pipeline!$F$21,1)))+Pipeline!$S$22*Pipeline!$D$22*MIN(1,MAX(0,(14-Pipeline!$E$22+1)/MAX(Pipeline!$F$22,1)))</f>
        <v>698.3925</v>
      </c>
      <c r="Q20" s="150" t="n">
        <f aca="false">Pipeline!$S$16*Pipeline!$D$16*MIN(1,MAX(0,(15-Pipeline!$E$16+1)/MAX(Pipeline!$F$16,1)))+Pipeline!$S$17*Pipeline!$D$17*MIN(1,MAX(0,(15-Pipeline!$E$17+1)/MAX(Pipeline!$F$17,1)))+Pipeline!$S$18*Pipeline!$D$18*MIN(1,MAX(0,(15-Pipeline!$E$18+1)/MAX(Pipeline!$F$18,1)))+Pipeline!$S$19*Pipeline!$D$19*MIN(1,MAX(0,(15-Pipeline!$E$19+1)/MAX(Pipeline!$F$19,1)))+Pipeline!$S$20*Pipeline!$D$20*MIN(1,MAX(0,(15-Pipeline!$E$20+1)/MAX(Pipeline!$F$20,1)))+Pipeline!$S$21*Pipeline!$D$21*MIN(1,MAX(0,(15-Pipeline!$E$21+1)/MAX(Pipeline!$F$21,1)))+Pipeline!$S$22*Pipeline!$D$22*MIN(1,MAX(0,(15-Pipeline!$E$22+1)/MAX(Pipeline!$F$22,1)))</f>
        <v>759.2925</v>
      </c>
      <c r="R20" s="150" t="n">
        <f aca="false">Pipeline!$S$16*Pipeline!$D$16*MIN(1,MAX(0,(16-Pipeline!$E$16+1)/MAX(Pipeline!$F$16,1)))+Pipeline!$S$17*Pipeline!$D$17*MIN(1,MAX(0,(16-Pipeline!$E$17+1)/MAX(Pipeline!$F$17,1)))+Pipeline!$S$18*Pipeline!$D$18*MIN(1,MAX(0,(16-Pipeline!$E$18+1)/MAX(Pipeline!$F$18,1)))+Pipeline!$S$19*Pipeline!$D$19*MIN(1,MAX(0,(16-Pipeline!$E$19+1)/MAX(Pipeline!$F$19,1)))+Pipeline!$S$20*Pipeline!$D$20*MIN(1,MAX(0,(16-Pipeline!$E$20+1)/MAX(Pipeline!$F$20,1)))+Pipeline!$S$21*Pipeline!$D$21*MIN(1,MAX(0,(16-Pipeline!$E$21+1)/MAX(Pipeline!$F$21,1)))+Pipeline!$S$22*Pipeline!$D$22*MIN(1,MAX(0,(16-Pipeline!$E$22+1)/MAX(Pipeline!$F$22,1)))</f>
        <v>820.1925</v>
      </c>
      <c r="S20" s="150" t="n">
        <f aca="false">Pipeline!$S$16*Pipeline!$D$16*MIN(1,MAX(0,(17-Pipeline!$E$16+1)/MAX(Pipeline!$F$16,1)))+Pipeline!$S$17*Pipeline!$D$17*MIN(1,MAX(0,(17-Pipeline!$E$17+1)/MAX(Pipeline!$F$17,1)))+Pipeline!$S$18*Pipeline!$D$18*MIN(1,MAX(0,(17-Pipeline!$E$18+1)/MAX(Pipeline!$F$18,1)))+Pipeline!$S$19*Pipeline!$D$19*MIN(1,MAX(0,(17-Pipeline!$E$19+1)/MAX(Pipeline!$F$19,1)))+Pipeline!$S$20*Pipeline!$D$20*MIN(1,MAX(0,(17-Pipeline!$E$20+1)/MAX(Pipeline!$F$20,1)))+Pipeline!$S$21*Pipeline!$D$21*MIN(1,MAX(0,(17-Pipeline!$E$21+1)/MAX(Pipeline!$F$21,1)))+Pipeline!$S$22*Pipeline!$D$22*MIN(1,MAX(0,(17-Pipeline!$E$22+1)/MAX(Pipeline!$F$22,1)))</f>
        <v>881.0925</v>
      </c>
      <c r="T20" s="150" t="n">
        <f aca="false">Pipeline!$S$16*Pipeline!$D$16*MIN(1,MAX(0,(18-Pipeline!$E$16+1)/MAX(Pipeline!$F$16,1)))+Pipeline!$S$17*Pipeline!$D$17*MIN(1,MAX(0,(18-Pipeline!$E$17+1)/MAX(Pipeline!$F$17,1)))+Pipeline!$S$18*Pipeline!$D$18*MIN(1,MAX(0,(18-Pipeline!$E$18+1)/MAX(Pipeline!$F$18,1)))+Pipeline!$S$19*Pipeline!$D$19*MIN(1,MAX(0,(18-Pipeline!$E$19+1)/MAX(Pipeline!$F$19,1)))+Pipeline!$S$20*Pipeline!$D$20*MIN(1,MAX(0,(18-Pipeline!$E$20+1)/MAX(Pipeline!$F$20,1)))+Pipeline!$S$21*Pipeline!$D$21*MIN(1,MAX(0,(18-Pipeline!$E$21+1)/MAX(Pipeline!$F$21,1)))+Pipeline!$S$22*Pipeline!$D$22*MIN(1,MAX(0,(18-Pipeline!$E$22+1)/MAX(Pipeline!$F$22,1)))</f>
        <v>941.9925</v>
      </c>
      <c r="U20" s="150" t="n">
        <f aca="false">Pipeline!$S$16*Pipeline!$D$16*MIN(1,MAX(0,(19-Pipeline!$E$16+1)/MAX(Pipeline!$F$16,1)))+Pipeline!$S$17*Pipeline!$D$17*MIN(1,MAX(0,(19-Pipeline!$E$17+1)/MAX(Pipeline!$F$17,1)))+Pipeline!$S$18*Pipeline!$D$18*MIN(1,MAX(0,(19-Pipeline!$E$18+1)/MAX(Pipeline!$F$18,1)))+Pipeline!$S$19*Pipeline!$D$19*MIN(1,MAX(0,(19-Pipeline!$E$19+1)/MAX(Pipeline!$F$19,1)))+Pipeline!$S$20*Pipeline!$D$20*MIN(1,MAX(0,(19-Pipeline!$E$20+1)/MAX(Pipeline!$F$20,1)))+Pipeline!$S$21*Pipeline!$D$21*MIN(1,MAX(0,(19-Pipeline!$E$21+1)/MAX(Pipeline!$F$21,1)))+Pipeline!$S$22*Pipeline!$D$22*MIN(1,MAX(0,(19-Pipeline!$E$22+1)/MAX(Pipeline!$F$22,1)))</f>
        <v>1002.8925</v>
      </c>
      <c r="V20" s="150" t="n">
        <f aca="false">Pipeline!$S$16*Pipeline!$D$16*MIN(1,MAX(0,(20-Pipeline!$E$16+1)/MAX(Pipeline!$F$16,1)))+Pipeline!$S$17*Pipeline!$D$17*MIN(1,MAX(0,(20-Pipeline!$E$17+1)/MAX(Pipeline!$F$17,1)))+Pipeline!$S$18*Pipeline!$D$18*MIN(1,MAX(0,(20-Pipeline!$E$18+1)/MAX(Pipeline!$F$18,1)))+Pipeline!$S$19*Pipeline!$D$19*MIN(1,MAX(0,(20-Pipeline!$E$19+1)/MAX(Pipeline!$F$19,1)))+Pipeline!$S$20*Pipeline!$D$20*MIN(1,MAX(0,(20-Pipeline!$E$20+1)/MAX(Pipeline!$F$20,1)))+Pipeline!$S$21*Pipeline!$D$21*MIN(1,MAX(0,(20-Pipeline!$E$21+1)/MAX(Pipeline!$F$21,1)))+Pipeline!$S$22*Pipeline!$D$22*MIN(1,MAX(0,(20-Pipeline!$E$22+1)/MAX(Pipeline!$F$22,1)))</f>
        <v>1063.7925</v>
      </c>
      <c r="W20" s="150" t="n">
        <f aca="false">Pipeline!$S$16*Pipeline!$D$16*MIN(1,MAX(0,(21-Pipeline!$E$16+1)/MAX(Pipeline!$F$16,1)))+Pipeline!$S$17*Pipeline!$D$17*MIN(1,MAX(0,(21-Pipeline!$E$17+1)/MAX(Pipeline!$F$17,1)))+Pipeline!$S$18*Pipeline!$D$18*MIN(1,MAX(0,(21-Pipeline!$E$18+1)/MAX(Pipeline!$F$18,1)))+Pipeline!$S$19*Pipeline!$D$19*MIN(1,MAX(0,(21-Pipeline!$E$19+1)/MAX(Pipeline!$F$19,1)))+Pipeline!$S$20*Pipeline!$D$20*MIN(1,MAX(0,(21-Pipeline!$E$20+1)/MAX(Pipeline!$F$20,1)))+Pipeline!$S$21*Pipeline!$D$21*MIN(1,MAX(0,(21-Pipeline!$E$21+1)/MAX(Pipeline!$F$21,1)))+Pipeline!$S$22*Pipeline!$D$22*MIN(1,MAX(0,(21-Pipeline!$E$22+1)/MAX(Pipeline!$F$22,1)))</f>
        <v>1124.6925</v>
      </c>
      <c r="X20" s="150" t="n">
        <f aca="false">Pipeline!$S$16*Pipeline!$D$16*MIN(1,MAX(0,(22-Pipeline!$E$16+1)/MAX(Pipeline!$F$16,1)))+Pipeline!$S$17*Pipeline!$D$17*MIN(1,MAX(0,(22-Pipeline!$E$17+1)/MAX(Pipeline!$F$17,1)))+Pipeline!$S$18*Pipeline!$D$18*MIN(1,MAX(0,(22-Pipeline!$E$18+1)/MAX(Pipeline!$F$18,1)))+Pipeline!$S$19*Pipeline!$D$19*MIN(1,MAX(0,(22-Pipeline!$E$19+1)/MAX(Pipeline!$F$19,1)))+Pipeline!$S$20*Pipeline!$D$20*MIN(1,MAX(0,(22-Pipeline!$E$20+1)/MAX(Pipeline!$F$20,1)))+Pipeline!$S$21*Pipeline!$D$21*MIN(1,MAX(0,(22-Pipeline!$E$21+1)/MAX(Pipeline!$F$21,1)))+Pipeline!$S$22*Pipeline!$D$22*MIN(1,MAX(0,(22-Pipeline!$E$22+1)/MAX(Pipeline!$F$22,1)))</f>
        <v>1142.0925</v>
      </c>
      <c r="Y20" s="150" t="n">
        <f aca="false">Pipeline!$S$16*Pipeline!$D$16*MIN(1,MAX(0,(23-Pipeline!$E$16+1)/MAX(Pipeline!$F$16,1)))+Pipeline!$S$17*Pipeline!$D$17*MIN(1,MAX(0,(23-Pipeline!$E$17+1)/MAX(Pipeline!$F$17,1)))+Pipeline!$S$18*Pipeline!$D$18*MIN(1,MAX(0,(23-Pipeline!$E$18+1)/MAX(Pipeline!$F$18,1)))+Pipeline!$S$19*Pipeline!$D$19*MIN(1,MAX(0,(23-Pipeline!$E$19+1)/MAX(Pipeline!$F$19,1)))+Pipeline!$S$20*Pipeline!$D$20*MIN(1,MAX(0,(23-Pipeline!$E$20+1)/MAX(Pipeline!$F$20,1)))+Pipeline!$S$21*Pipeline!$D$21*MIN(1,MAX(0,(23-Pipeline!$E$21+1)/MAX(Pipeline!$F$21,1)))+Pipeline!$S$22*Pipeline!$D$22*MIN(1,MAX(0,(23-Pipeline!$E$22+1)/MAX(Pipeline!$F$22,1)))</f>
        <v>1159.4925</v>
      </c>
      <c r="Z20" s="150" t="n">
        <f aca="false">Pipeline!$S$16*Pipeline!$D$16*MIN(1,MAX(0,(24-Pipeline!$E$16+1)/MAX(Pipeline!$F$16,1)))+Pipeline!$S$17*Pipeline!$D$17*MIN(1,MAX(0,(24-Pipeline!$E$17+1)/MAX(Pipeline!$F$17,1)))+Pipeline!$S$18*Pipeline!$D$18*MIN(1,MAX(0,(24-Pipeline!$E$18+1)/MAX(Pipeline!$F$18,1)))+Pipeline!$S$19*Pipeline!$D$19*MIN(1,MAX(0,(24-Pipeline!$E$19+1)/MAX(Pipeline!$F$19,1)))+Pipeline!$S$20*Pipeline!$D$20*MIN(1,MAX(0,(24-Pipeline!$E$20+1)/MAX(Pipeline!$F$20,1)))+Pipeline!$S$21*Pipeline!$D$21*MIN(1,MAX(0,(24-Pipeline!$E$21+1)/MAX(Pipeline!$F$21,1)))+Pipeline!$S$22*Pipeline!$D$22*MIN(1,MAX(0,(24-Pipeline!$E$22+1)/MAX(Pipeline!$F$22,1)))</f>
        <v>1159.4925</v>
      </c>
      <c r="AA20" s="150" t="n">
        <f aca="false">Pipeline!$S$16*Pipeline!$D$16*MIN(1,MAX(0,(25-Pipeline!$E$16+1)/MAX(Pipeline!$F$16,1)))+Pipeline!$S$17*Pipeline!$D$17*MIN(1,MAX(0,(25-Pipeline!$E$17+1)/MAX(Pipeline!$F$17,1)))+Pipeline!$S$18*Pipeline!$D$18*MIN(1,MAX(0,(25-Pipeline!$E$18+1)/MAX(Pipeline!$F$18,1)))+Pipeline!$S$19*Pipeline!$D$19*MIN(1,MAX(0,(25-Pipeline!$E$19+1)/MAX(Pipeline!$F$19,1)))+Pipeline!$S$20*Pipeline!$D$20*MIN(1,MAX(0,(25-Pipeline!$E$20+1)/MAX(Pipeline!$F$20,1)))+Pipeline!$S$21*Pipeline!$D$21*MIN(1,MAX(0,(25-Pipeline!$E$21+1)/MAX(Pipeline!$F$21,1)))+Pipeline!$S$22*Pipeline!$D$22*MIN(1,MAX(0,(25-Pipeline!$E$22+1)/MAX(Pipeline!$F$22,1)))</f>
        <v>1159.4925</v>
      </c>
      <c r="AB20" s="150" t="n">
        <f aca="false">Pipeline!$S$16*Pipeline!$D$16*MIN(1,MAX(0,(26-Pipeline!$E$16+1)/MAX(Pipeline!$F$16,1)))+Pipeline!$S$17*Pipeline!$D$17*MIN(1,MAX(0,(26-Pipeline!$E$17+1)/MAX(Pipeline!$F$17,1)))+Pipeline!$S$18*Pipeline!$D$18*MIN(1,MAX(0,(26-Pipeline!$E$18+1)/MAX(Pipeline!$F$18,1)))+Pipeline!$S$19*Pipeline!$D$19*MIN(1,MAX(0,(26-Pipeline!$E$19+1)/MAX(Pipeline!$F$19,1)))+Pipeline!$S$20*Pipeline!$D$20*MIN(1,MAX(0,(26-Pipeline!$E$20+1)/MAX(Pipeline!$F$20,1)))+Pipeline!$S$21*Pipeline!$D$21*MIN(1,MAX(0,(26-Pipeline!$E$21+1)/MAX(Pipeline!$F$21,1)))+Pipeline!$S$22*Pipeline!$D$22*MIN(1,MAX(0,(26-Pipeline!$E$22+1)/MAX(Pipeline!$F$22,1)))</f>
        <v>1159.4925</v>
      </c>
      <c r="AC20" s="150" t="n">
        <f aca="false">Pipeline!$S$16*Pipeline!$D$16*MIN(1,MAX(0,(27-Pipeline!$E$16+1)/MAX(Pipeline!$F$16,1)))+Pipeline!$S$17*Pipeline!$D$17*MIN(1,MAX(0,(27-Pipeline!$E$17+1)/MAX(Pipeline!$F$17,1)))+Pipeline!$S$18*Pipeline!$D$18*MIN(1,MAX(0,(27-Pipeline!$E$18+1)/MAX(Pipeline!$F$18,1)))+Pipeline!$S$19*Pipeline!$D$19*MIN(1,MAX(0,(27-Pipeline!$E$19+1)/MAX(Pipeline!$F$19,1)))+Pipeline!$S$20*Pipeline!$D$20*MIN(1,MAX(0,(27-Pipeline!$E$20+1)/MAX(Pipeline!$F$20,1)))+Pipeline!$S$21*Pipeline!$D$21*MIN(1,MAX(0,(27-Pipeline!$E$21+1)/MAX(Pipeline!$F$21,1)))+Pipeline!$S$22*Pipeline!$D$22*MIN(1,MAX(0,(27-Pipeline!$E$22+1)/MAX(Pipeline!$F$22,1)))</f>
        <v>1159.4925</v>
      </c>
      <c r="AD20" s="150" t="n">
        <f aca="false">Pipeline!$S$16*Pipeline!$D$16*MIN(1,MAX(0,(28-Pipeline!$E$16+1)/MAX(Pipeline!$F$16,1)))+Pipeline!$S$17*Pipeline!$D$17*MIN(1,MAX(0,(28-Pipeline!$E$17+1)/MAX(Pipeline!$F$17,1)))+Pipeline!$S$18*Pipeline!$D$18*MIN(1,MAX(0,(28-Pipeline!$E$18+1)/MAX(Pipeline!$F$18,1)))+Pipeline!$S$19*Pipeline!$D$19*MIN(1,MAX(0,(28-Pipeline!$E$19+1)/MAX(Pipeline!$F$19,1)))+Pipeline!$S$20*Pipeline!$D$20*MIN(1,MAX(0,(28-Pipeline!$E$20+1)/MAX(Pipeline!$F$20,1)))+Pipeline!$S$21*Pipeline!$D$21*MIN(1,MAX(0,(28-Pipeline!$E$21+1)/MAX(Pipeline!$F$21,1)))+Pipeline!$S$22*Pipeline!$D$22*MIN(1,MAX(0,(28-Pipeline!$E$22+1)/MAX(Pipeline!$F$22,1)))</f>
        <v>1159.4925</v>
      </c>
      <c r="AE20" s="150" t="n">
        <f aca="false">Pipeline!$S$16*Pipeline!$D$16*MIN(1,MAX(0,(29-Pipeline!$E$16+1)/MAX(Pipeline!$F$16,1)))+Pipeline!$S$17*Pipeline!$D$17*MIN(1,MAX(0,(29-Pipeline!$E$17+1)/MAX(Pipeline!$F$17,1)))+Pipeline!$S$18*Pipeline!$D$18*MIN(1,MAX(0,(29-Pipeline!$E$18+1)/MAX(Pipeline!$F$18,1)))+Pipeline!$S$19*Pipeline!$D$19*MIN(1,MAX(0,(29-Pipeline!$E$19+1)/MAX(Pipeline!$F$19,1)))+Pipeline!$S$20*Pipeline!$D$20*MIN(1,MAX(0,(29-Pipeline!$E$20+1)/MAX(Pipeline!$F$20,1)))+Pipeline!$S$21*Pipeline!$D$21*MIN(1,MAX(0,(29-Pipeline!$E$21+1)/MAX(Pipeline!$F$21,1)))+Pipeline!$S$22*Pipeline!$D$22*MIN(1,MAX(0,(29-Pipeline!$E$22+1)/MAX(Pipeline!$F$22,1)))</f>
        <v>1159.4925</v>
      </c>
      <c r="AF20" s="150" t="n">
        <f aca="false">Pipeline!$S$16*Pipeline!$D$16*MIN(1,MAX(0,(30-Pipeline!$E$16+1)/MAX(Pipeline!$F$16,1)))+Pipeline!$S$17*Pipeline!$D$17*MIN(1,MAX(0,(30-Pipeline!$E$17+1)/MAX(Pipeline!$F$17,1)))+Pipeline!$S$18*Pipeline!$D$18*MIN(1,MAX(0,(30-Pipeline!$E$18+1)/MAX(Pipeline!$F$18,1)))+Pipeline!$S$19*Pipeline!$D$19*MIN(1,MAX(0,(30-Pipeline!$E$19+1)/MAX(Pipeline!$F$19,1)))+Pipeline!$S$20*Pipeline!$D$20*MIN(1,MAX(0,(30-Pipeline!$E$20+1)/MAX(Pipeline!$F$20,1)))+Pipeline!$S$21*Pipeline!$D$21*MIN(1,MAX(0,(30-Pipeline!$E$21+1)/MAX(Pipeline!$F$21,1)))+Pipeline!$S$22*Pipeline!$D$22*MIN(1,MAX(0,(30-Pipeline!$E$22+1)/MAX(Pipeline!$F$22,1)))</f>
        <v>1159.4925</v>
      </c>
      <c r="AG20" s="150" t="n">
        <f aca="false">Pipeline!$S$16*Pipeline!$D$16*MIN(1,MAX(0,(31-Pipeline!$E$16+1)/MAX(Pipeline!$F$16,1)))+Pipeline!$S$17*Pipeline!$D$17*MIN(1,MAX(0,(31-Pipeline!$E$17+1)/MAX(Pipeline!$F$17,1)))+Pipeline!$S$18*Pipeline!$D$18*MIN(1,MAX(0,(31-Pipeline!$E$18+1)/MAX(Pipeline!$F$18,1)))+Pipeline!$S$19*Pipeline!$D$19*MIN(1,MAX(0,(31-Pipeline!$E$19+1)/MAX(Pipeline!$F$19,1)))+Pipeline!$S$20*Pipeline!$D$20*MIN(1,MAX(0,(31-Pipeline!$E$20+1)/MAX(Pipeline!$F$20,1)))+Pipeline!$S$21*Pipeline!$D$21*MIN(1,MAX(0,(31-Pipeline!$E$21+1)/MAX(Pipeline!$F$21,1)))+Pipeline!$S$22*Pipeline!$D$22*MIN(1,MAX(0,(31-Pipeline!$E$22+1)/MAX(Pipeline!$F$22,1)))</f>
        <v>1159.4925</v>
      </c>
      <c r="AH20" s="150" t="n">
        <f aca="false">Pipeline!$S$16*Pipeline!$D$16*MIN(1,MAX(0,(32-Pipeline!$E$16+1)/MAX(Pipeline!$F$16,1)))+Pipeline!$S$17*Pipeline!$D$17*MIN(1,MAX(0,(32-Pipeline!$E$17+1)/MAX(Pipeline!$F$17,1)))+Pipeline!$S$18*Pipeline!$D$18*MIN(1,MAX(0,(32-Pipeline!$E$18+1)/MAX(Pipeline!$F$18,1)))+Pipeline!$S$19*Pipeline!$D$19*MIN(1,MAX(0,(32-Pipeline!$E$19+1)/MAX(Pipeline!$F$19,1)))+Pipeline!$S$20*Pipeline!$D$20*MIN(1,MAX(0,(32-Pipeline!$E$20+1)/MAX(Pipeline!$F$20,1)))+Pipeline!$S$21*Pipeline!$D$21*MIN(1,MAX(0,(32-Pipeline!$E$21+1)/MAX(Pipeline!$F$21,1)))+Pipeline!$S$22*Pipeline!$D$22*MIN(1,MAX(0,(32-Pipeline!$E$22+1)/MAX(Pipeline!$F$22,1)))</f>
        <v>1159.4925</v>
      </c>
      <c r="AI20" s="150" t="n">
        <f aca="false">Pipeline!$S$16*Pipeline!$D$16*MIN(1,MAX(0,(33-Pipeline!$E$16+1)/MAX(Pipeline!$F$16,1)))+Pipeline!$S$17*Pipeline!$D$17*MIN(1,MAX(0,(33-Pipeline!$E$17+1)/MAX(Pipeline!$F$17,1)))+Pipeline!$S$18*Pipeline!$D$18*MIN(1,MAX(0,(33-Pipeline!$E$18+1)/MAX(Pipeline!$F$18,1)))+Pipeline!$S$19*Pipeline!$D$19*MIN(1,MAX(0,(33-Pipeline!$E$19+1)/MAX(Pipeline!$F$19,1)))+Pipeline!$S$20*Pipeline!$D$20*MIN(1,MAX(0,(33-Pipeline!$E$20+1)/MAX(Pipeline!$F$20,1)))+Pipeline!$S$21*Pipeline!$D$21*MIN(1,MAX(0,(33-Pipeline!$E$21+1)/MAX(Pipeline!$F$21,1)))+Pipeline!$S$22*Pipeline!$D$22*MIN(1,MAX(0,(33-Pipeline!$E$22+1)/MAX(Pipeline!$F$22,1)))</f>
        <v>1159.4925</v>
      </c>
      <c r="AJ20" s="150" t="n">
        <f aca="false">Pipeline!$S$16*Pipeline!$D$16*MIN(1,MAX(0,(34-Pipeline!$E$16+1)/MAX(Pipeline!$F$16,1)))+Pipeline!$S$17*Pipeline!$D$17*MIN(1,MAX(0,(34-Pipeline!$E$17+1)/MAX(Pipeline!$F$17,1)))+Pipeline!$S$18*Pipeline!$D$18*MIN(1,MAX(0,(34-Pipeline!$E$18+1)/MAX(Pipeline!$F$18,1)))+Pipeline!$S$19*Pipeline!$D$19*MIN(1,MAX(0,(34-Pipeline!$E$19+1)/MAX(Pipeline!$F$19,1)))+Pipeline!$S$20*Pipeline!$D$20*MIN(1,MAX(0,(34-Pipeline!$E$20+1)/MAX(Pipeline!$F$20,1)))+Pipeline!$S$21*Pipeline!$D$21*MIN(1,MAX(0,(34-Pipeline!$E$21+1)/MAX(Pipeline!$F$21,1)))+Pipeline!$S$22*Pipeline!$D$22*MIN(1,MAX(0,(34-Pipeline!$E$22+1)/MAX(Pipeline!$F$22,1)))</f>
        <v>1159.4925</v>
      </c>
      <c r="AK20" s="150" t="n">
        <f aca="false">Pipeline!$S$16*Pipeline!$D$16*MIN(1,MAX(0,(35-Pipeline!$E$16+1)/MAX(Pipeline!$F$16,1)))+Pipeline!$S$17*Pipeline!$D$17*MIN(1,MAX(0,(35-Pipeline!$E$17+1)/MAX(Pipeline!$F$17,1)))+Pipeline!$S$18*Pipeline!$D$18*MIN(1,MAX(0,(35-Pipeline!$E$18+1)/MAX(Pipeline!$F$18,1)))+Pipeline!$S$19*Pipeline!$D$19*MIN(1,MAX(0,(35-Pipeline!$E$19+1)/MAX(Pipeline!$F$19,1)))+Pipeline!$S$20*Pipeline!$D$20*MIN(1,MAX(0,(35-Pipeline!$E$20+1)/MAX(Pipeline!$F$20,1)))+Pipeline!$S$21*Pipeline!$D$21*MIN(1,MAX(0,(35-Pipeline!$E$21+1)/MAX(Pipeline!$F$21,1)))+Pipeline!$S$22*Pipeline!$D$22*MIN(1,MAX(0,(35-Pipeline!$E$22+1)/MAX(Pipeline!$F$22,1)))</f>
        <v>1159.4925</v>
      </c>
      <c r="AL20" s="150" t="n">
        <f aca="false">Pipeline!$S$16*Pipeline!$D$16*MIN(1,MAX(0,(36-Pipeline!$E$16+1)/MAX(Pipeline!$F$16,1)))+Pipeline!$S$17*Pipeline!$D$17*MIN(1,MAX(0,(36-Pipeline!$E$17+1)/MAX(Pipeline!$F$17,1)))+Pipeline!$S$18*Pipeline!$D$18*MIN(1,MAX(0,(36-Pipeline!$E$18+1)/MAX(Pipeline!$F$18,1)))+Pipeline!$S$19*Pipeline!$D$19*MIN(1,MAX(0,(36-Pipeline!$E$19+1)/MAX(Pipeline!$F$19,1)))+Pipeline!$S$20*Pipeline!$D$20*MIN(1,MAX(0,(36-Pipeline!$E$20+1)/MAX(Pipeline!$F$20,1)))+Pipeline!$S$21*Pipeline!$D$21*MIN(1,MAX(0,(36-Pipeline!$E$21+1)/MAX(Pipeline!$F$21,1)))+Pipeline!$S$22*Pipeline!$D$22*MIN(1,MAX(0,(36-Pipeline!$E$22+1)/MAX(Pipeline!$F$22,1)))</f>
        <v>1159.4925</v>
      </c>
      <c r="AM20" s="150" t="n">
        <f aca="false">Pipeline!$S$16*Pipeline!$D$16*MIN(1,MAX(0,(37-Pipeline!$E$16+1)/MAX(Pipeline!$F$16,1)))+Pipeline!$S$17*Pipeline!$D$17*MIN(1,MAX(0,(37-Pipeline!$E$17+1)/MAX(Pipeline!$F$17,1)))+Pipeline!$S$18*Pipeline!$D$18*MIN(1,MAX(0,(37-Pipeline!$E$18+1)/MAX(Pipeline!$F$18,1)))+Pipeline!$S$19*Pipeline!$D$19*MIN(1,MAX(0,(37-Pipeline!$E$19+1)/MAX(Pipeline!$F$19,1)))+Pipeline!$S$20*Pipeline!$D$20*MIN(1,MAX(0,(37-Pipeline!$E$20+1)/MAX(Pipeline!$F$20,1)))+Pipeline!$S$21*Pipeline!$D$21*MIN(1,MAX(0,(37-Pipeline!$E$21+1)/MAX(Pipeline!$F$21,1)))+Pipeline!$S$22*Pipeline!$D$22*MIN(1,MAX(0,(37-Pipeline!$E$22+1)/MAX(Pipeline!$F$22,1)))</f>
        <v>1159.4925</v>
      </c>
      <c r="AN20" s="150" t="n">
        <f aca="false">Pipeline!$S$16*Pipeline!$D$16*MIN(1,MAX(0,(38-Pipeline!$E$16+1)/MAX(Pipeline!$F$16,1)))+Pipeline!$S$17*Pipeline!$D$17*MIN(1,MAX(0,(38-Pipeline!$E$17+1)/MAX(Pipeline!$F$17,1)))+Pipeline!$S$18*Pipeline!$D$18*MIN(1,MAX(0,(38-Pipeline!$E$18+1)/MAX(Pipeline!$F$18,1)))+Pipeline!$S$19*Pipeline!$D$19*MIN(1,MAX(0,(38-Pipeline!$E$19+1)/MAX(Pipeline!$F$19,1)))+Pipeline!$S$20*Pipeline!$D$20*MIN(1,MAX(0,(38-Pipeline!$E$20+1)/MAX(Pipeline!$F$20,1)))+Pipeline!$S$21*Pipeline!$D$21*MIN(1,MAX(0,(38-Pipeline!$E$21+1)/MAX(Pipeline!$F$21,1)))+Pipeline!$S$22*Pipeline!$D$22*MIN(1,MAX(0,(38-Pipeline!$E$22+1)/MAX(Pipeline!$F$22,1)))</f>
        <v>1159.4925</v>
      </c>
      <c r="AO20" s="150" t="n">
        <f aca="false">Pipeline!$S$16*Pipeline!$D$16*MIN(1,MAX(0,(39-Pipeline!$E$16+1)/MAX(Pipeline!$F$16,1)))+Pipeline!$S$17*Pipeline!$D$17*MIN(1,MAX(0,(39-Pipeline!$E$17+1)/MAX(Pipeline!$F$17,1)))+Pipeline!$S$18*Pipeline!$D$18*MIN(1,MAX(0,(39-Pipeline!$E$18+1)/MAX(Pipeline!$F$18,1)))+Pipeline!$S$19*Pipeline!$D$19*MIN(1,MAX(0,(39-Pipeline!$E$19+1)/MAX(Pipeline!$F$19,1)))+Pipeline!$S$20*Pipeline!$D$20*MIN(1,MAX(0,(39-Pipeline!$E$20+1)/MAX(Pipeline!$F$20,1)))+Pipeline!$S$21*Pipeline!$D$21*MIN(1,MAX(0,(39-Pipeline!$E$21+1)/MAX(Pipeline!$F$21,1)))+Pipeline!$S$22*Pipeline!$D$22*MIN(1,MAX(0,(39-Pipeline!$E$22+1)/MAX(Pipeline!$F$22,1)))</f>
        <v>1159.4925</v>
      </c>
      <c r="AP20" s="150" t="n">
        <f aca="false">Pipeline!$S$16*Pipeline!$D$16*MIN(1,MAX(0,(40-Pipeline!$E$16+1)/MAX(Pipeline!$F$16,1)))+Pipeline!$S$17*Pipeline!$D$17*MIN(1,MAX(0,(40-Pipeline!$E$17+1)/MAX(Pipeline!$F$17,1)))+Pipeline!$S$18*Pipeline!$D$18*MIN(1,MAX(0,(40-Pipeline!$E$18+1)/MAX(Pipeline!$F$18,1)))+Pipeline!$S$19*Pipeline!$D$19*MIN(1,MAX(0,(40-Pipeline!$E$19+1)/MAX(Pipeline!$F$19,1)))+Pipeline!$S$20*Pipeline!$D$20*MIN(1,MAX(0,(40-Pipeline!$E$20+1)/MAX(Pipeline!$F$20,1)))+Pipeline!$S$21*Pipeline!$D$21*MIN(1,MAX(0,(40-Pipeline!$E$21+1)/MAX(Pipeline!$F$21,1)))+Pipeline!$S$22*Pipeline!$D$22*MIN(1,MAX(0,(40-Pipeline!$E$22+1)/MAX(Pipeline!$F$22,1)))</f>
        <v>1159.4925</v>
      </c>
      <c r="AQ20" s="150" t="n">
        <f aca="false">Pipeline!$S$16*Pipeline!$D$16*MIN(1,MAX(0,(41-Pipeline!$E$16+1)/MAX(Pipeline!$F$16,1)))+Pipeline!$S$17*Pipeline!$D$17*MIN(1,MAX(0,(41-Pipeline!$E$17+1)/MAX(Pipeline!$F$17,1)))+Pipeline!$S$18*Pipeline!$D$18*MIN(1,MAX(0,(41-Pipeline!$E$18+1)/MAX(Pipeline!$F$18,1)))+Pipeline!$S$19*Pipeline!$D$19*MIN(1,MAX(0,(41-Pipeline!$E$19+1)/MAX(Pipeline!$F$19,1)))+Pipeline!$S$20*Pipeline!$D$20*MIN(1,MAX(0,(41-Pipeline!$E$20+1)/MAX(Pipeline!$F$20,1)))+Pipeline!$S$21*Pipeline!$D$21*MIN(1,MAX(0,(41-Pipeline!$E$21+1)/MAX(Pipeline!$F$21,1)))+Pipeline!$S$22*Pipeline!$D$22*MIN(1,MAX(0,(41-Pipeline!$E$22+1)/MAX(Pipeline!$F$22,1)))</f>
        <v>1159.4925</v>
      </c>
      <c r="AR20" s="150" t="n">
        <f aca="false">Pipeline!$S$16*Pipeline!$D$16*MIN(1,MAX(0,(42-Pipeline!$E$16+1)/MAX(Pipeline!$F$16,1)))+Pipeline!$S$17*Pipeline!$D$17*MIN(1,MAX(0,(42-Pipeline!$E$17+1)/MAX(Pipeline!$F$17,1)))+Pipeline!$S$18*Pipeline!$D$18*MIN(1,MAX(0,(42-Pipeline!$E$18+1)/MAX(Pipeline!$F$18,1)))+Pipeline!$S$19*Pipeline!$D$19*MIN(1,MAX(0,(42-Pipeline!$E$19+1)/MAX(Pipeline!$F$19,1)))+Pipeline!$S$20*Pipeline!$D$20*MIN(1,MAX(0,(42-Pipeline!$E$20+1)/MAX(Pipeline!$F$20,1)))+Pipeline!$S$21*Pipeline!$D$21*MIN(1,MAX(0,(42-Pipeline!$E$21+1)/MAX(Pipeline!$F$21,1)))+Pipeline!$S$22*Pipeline!$D$22*MIN(1,MAX(0,(42-Pipeline!$E$22+1)/MAX(Pipeline!$F$22,1)))</f>
        <v>1159.4925</v>
      </c>
      <c r="AS20" s="150" t="n">
        <f aca="false">Pipeline!$S$16*Pipeline!$D$16*MIN(1,MAX(0,(43-Pipeline!$E$16+1)/MAX(Pipeline!$F$16,1)))+Pipeline!$S$17*Pipeline!$D$17*MIN(1,MAX(0,(43-Pipeline!$E$17+1)/MAX(Pipeline!$F$17,1)))+Pipeline!$S$18*Pipeline!$D$18*MIN(1,MAX(0,(43-Pipeline!$E$18+1)/MAX(Pipeline!$F$18,1)))+Pipeline!$S$19*Pipeline!$D$19*MIN(1,MAX(0,(43-Pipeline!$E$19+1)/MAX(Pipeline!$F$19,1)))+Pipeline!$S$20*Pipeline!$D$20*MIN(1,MAX(0,(43-Pipeline!$E$20+1)/MAX(Pipeline!$F$20,1)))+Pipeline!$S$21*Pipeline!$D$21*MIN(1,MAX(0,(43-Pipeline!$E$21+1)/MAX(Pipeline!$F$21,1)))+Pipeline!$S$22*Pipeline!$D$22*MIN(1,MAX(0,(43-Pipeline!$E$22+1)/MAX(Pipeline!$F$22,1)))</f>
        <v>1159.4925</v>
      </c>
      <c r="AT20" s="150" t="n">
        <f aca="false">Pipeline!$S$16*Pipeline!$D$16*MIN(1,MAX(0,(44-Pipeline!$E$16+1)/MAX(Pipeline!$F$16,1)))+Pipeline!$S$17*Pipeline!$D$17*MIN(1,MAX(0,(44-Pipeline!$E$17+1)/MAX(Pipeline!$F$17,1)))+Pipeline!$S$18*Pipeline!$D$18*MIN(1,MAX(0,(44-Pipeline!$E$18+1)/MAX(Pipeline!$F$18,1)))+Pipeline!$S$19*Pipeline!$D$19*MIN(1,MAX(0,(44-Pipeline!$E$19+1)/MAX(Pipeline!$F$19,1)))+Pipeline!$S$20*Pipeline!$D$20*MIN(1,MAX(0,(44-Pipeline!$E$20+1)/MAX(Pipeline!$F$20,1)))+Pipeline!$S$21*Pipeline!$D$21*MIN(1,MAX(0,(44-Pipeline!$E$21+1)/MAX(Pipeline!$F$21,1)))+Pipeline!$S$22*Pipeline!$D$22*MIN(1,MAX(0,(44-Pipeline!$E$22+1)/MAX(Pipeline!$F$22,1)))</f>
        <v>1159.4925</v>
      </c>
      <c r="AU20" s="150" t="n">
        <f aca="false">Pipeline!$S$16*Pipeline!$D$16*MIN(1,MAX(0,(45-Pipeline!$E$16+1)/MAX(Pipeline!$F$16,1)))+Pipeline!$S$17*Pipeline!$D$17*MIN(1,MAX(0,(45-Pipeline!$E$17+1)/MAX(Pipeline!$F$17,1)))+Pipeline!$S$18*Pipeline!$D$18*MIN(1,MAX(0,(45-Pipeline!$E$18+1)/MAX(Pipeline!$F$18,1)))+Pipeline!$S$19*Pipeline!$D$19*MIN(1,MAX(0,(45-Pipeline!$E$19+1)/MAX(Pipeline!$F$19,1)))+Pipeline!$S$20*Pipeline!$D$20*MIN(1,MAX(0,(45-Pipeline!$E$20+1)/MAX(Pipeline!$F$20,1)))+Pipeline!$S$21*Pipeline!$D$21*MIN(1,MAX(0,(45-Pipeline!$E$21+1)/MAX(Pipeline!$F$21,1)))+Pipeline!$S$22*Pipeline!$D$22*MIN(1,MAX(0,(45-Pipeline!$E$22+1)/MAX(Pipeline!$F$22,1)))</f>
        <v>1159.4925</v>
      </c>
      <c r="AV20" s="150" t="n">
        <f aca="false">Pipeline!$S$16*Pipeline!$D$16*MIN(1,MAX(0,(46-Pipeline!$E$16+1)/MAX(Pipeline!$F$16,1)))+Pipeline!$S$17*Pipeline!$D$17*MIN(1,MAX(0,(46-Pipeline!$E$17+1)/MAX(Pipeline!$F$17,1)))+Pipeline!$S$18*Pipeline!$D$18*MIN(1,MAX(0,(46-Pipeline!$E$18+1)/MAX(Pipeline!$F$18,1)))+Pipeline!$S$19*Pipeline!$D$19*MIN(1,MAX(0,(46-Pipeline!$E$19+1)/MAX(Pipeline!$F$19,1)))+Pipeline!$S$20*Pipeline!$D$20*MIN(1,MAX(0,(46-Pipeline!$E$20+1)/MAX(Pipeline!$F$20,1)))+Pipeline!$S$21*Pipeline!$D$21*MIN(1,MAX(0,(46-Pipeline!$E$21+1)/MAX(Pipeline!$F$21,1)))+Pipeline!$S$22*Pipeline!$D$22*MIN(1,MAX(0,(46-Pipeline!$E$22+1)/MAX(Pipeline!$F$22,1)))</f>
        <v>1159.4925</v>
      </c>
      <c r="AW20" s="150" t="n">
        <f aca="false">Pipeline!$S$16*Pipeline!$D$16*MIN(1,MAX(0,(47-Pipeline!$E$16+1)/MAX(Pipeline!$F$16,1)))+Pipeline!$S$17*Pipeline!$D$17*MIN(1,MAX(0,(47-Pipeline!$E$17+1)/MAX(Pipeline!$F$17,1)))+Pipeline!$S$18*Pipeline!$D$18*MIN(1,MAX(0,(47-Pipeline!$E$18+1)/MAX(Pipeline!$F$18,1)))+Pipeline!$S$19*Pipeline!$D$19*MIN(1,MAX(0,(47-Pipeline!$E$19+1)/MAX(Pipeline!$F$19,1)))+Pipeline!$S$20*Pipeline!$D$20*MIN(1,MAX(0,(47-Pipeline!$E$20+1)/MAX(Pipeline!$F$20,1)))+Pipeline!$S$21*Pipeline!$D$21*MIN(1,MAX(0,(47-Pipeline!$E$21+1)/MAX(Pipeline!$F$21,1)))+Pipeline!$S$22*Pipeline!$D$22*MIN(1,MAX(0,(47-Pipeline!$E$22+1)/MAX(Pipeline!$F$22,1)))</f>
        <v>1159.4925</v>
      </c>
      <c r="AX20" s="150" t="n">
        <f aca="false">Pipeline!$S$16*Pipeline!$D$16*MIN(1,MAX(0,(48-Pipeline!$E$16+1)/MAX(Pipeline!$F$16,1)))+Pipeline!$S$17*Pipeline!$D$17*MIN(1,MAX(0,(48-Pipeline!$E$17+1)/MAX(Pipeline!$F$17,1)))+Pipeline!$S$18*Pipeline!$D$18*MIN(1,MAX(0,(48-Pipeline!$E$18+1)/MAX(Pipeline!$F$18,1)))+Pipeline!$S$19*Pipeline!$D$19*MIN(1,MAX(0,(48-Pipeline!$E$19+1)/MAX(Pipeline!$F$19,1)))+Pipeline!$S$20*Pipeline!$D$20*MIN(1,MAX(0,(48-Pipeline!$E$20+1)/MAX(Pipeline!$F$20,1)))+Pipeline!$S$21*Pipeline!$D$21*MIN(1,MAX(0,(48-Pipeline!$E$21+1)/MAX(Pipeline!$F$21,1)))+Pipeline!$S$22*Pipeline!$D$22*MIN(1,MAX(0,(48-Pipeline!$E$22+1)/MAX(Pipeline!$F$22,1)))</f>
        <v>1159.4925</v>
      </c>
      <c r="AY20" s="150" t="n">
        <f aca="false">Pipeline!$S$16*Pipeline!$D$16*MIN(1,MAX(0,(49-Pipeline!$E$16+1)/MAX(Pipeline!$F$16,1)))+Pipeline!$S$17*Pipeline!$D$17*MIN(1,MAX(0,(49-Pipeline!$E$17+1)/MAX(Pipeline!$F$17,1)))+Pipeline!$S$18*Pipeline!$D$18*MIN(1,MAX(0,(49-Pipeline!$E$18+1)/MAX(Pipeline!$F$18,1)))+Pipeline!$S$19*Pipeline!$D$19*MIN(1,MAX(0,(49-Pipeline!$E$19+1)/MAX(Pipeline!$F$19,1)))+Pipeline!$S$20*Pipeline!$D$20*MIN(1,MAX(0,(49-Pipeline!$E$20+1)/MAX(Pipeline!$F$20,1)))+Pipeline!$S$21*Pipeline!$D$21*MIN(1,MAX(0,(49-Pipeline!$E$21+1)/MAX(Pipeline!$F$21,1)))+Pipeline!$S$22*Pipeline!$D$22*MIN(1,MAX(0,(49-Pipeline!$E$22+1)/MAX(Pipeline!$F$22,1)))</f>
        <v>1159.4925</v>
      </c>
      <c r="AZ20" s="150" t="n">
        <f aca="false">Pipeline!$S$16*Pipeline!$D$16*MIN(1,MAX(0,(50-Pipeline!$E$16+1)/MAX(Pipeline!$F$16,1)))+Pipeline!$S$17*Pipeline!$D$17*MIN(1,MAX(0,(50-Pipeline!$E$17+1)/MAX(Pipeline!$F$17,1)))+Pipeline!$S$18*Pipeline!$D$18*MIN(1,MAX(0,(50-Pipeline!$E$18+1)/MAX(Pipeline!$F$18,1)))+Pipeline!$S$19*Pipeline!$D$19*MIN(1,MAX(0,(50-Pipeline!$E$19+1)/MAX(Pipeline!$F$19,1)))+Pipeline!$S$20*Pipeline!$D$20*MIN(1,MAX(0,(50-Pipeline!$E$20+1)/MAX(Pipeline!$F$20,1)))+Pipeline!$S$21*Pipeline!$D$21*MIN(1,MAX(0,(50-Pipeline!$E$21+1)/MAX(Pipeline!$F$21,1)))+Pipeline!$S$22*Pipeline!$D$22*MIN(1,MAX(0,(50-Pipeline!$E$22+1)/MAX(Pipeline!$F$22,1)))</f>
        <v>1159.4925</v>
      </c>
      <c r="BA20" s="150" t="n">
        <f aca="false">Pipeline!$S$16*Pipeline!$D$16*MIN(1,MAX(0,(51-Pipeline!$E$16+1)/MAX(Pipeline!$F$16,1)))+Pipeline!$S$17*Pipeline!$D$17*MIN(1,MAX(0,(51-Pipeline!$E$17+1)/MAX(Pipeline!$F$17,1)))+Pipeline!$S$18*Pipeline!$D$18*MIN(1,MAX(0,(51-Pipeline!$E$18+1)/MAX(Pipeline!$F$18,1)))+Pipeline!$S$19*Pipeline!$D$19*MIN(1,MAX(0,(51-Pipeline!$E$19+1)/MAX(Pipeline!$F$19,1)))+Pipeline!$S$20*Pipeline!$D$20*MIN(1,MAX(0,(51-Pipeline!$E$20+1)/MAX(Pipeline!$F$20,1)))+Pipeline!$S$21*Pipeline!$D$21*MIN(1,MAX(0,(51-Pipeline!$E$21+1)/MAX(Pipeline!$F$21,1)))+Pipeline!$S$22*Pipeline!$D$22*MIN(1,MAX(0,(51-Pipeline!$E$22+1)/MAX(Pipeline!$F$22,1)))</f>
        <v>1159.4925</v>
      </c>
      <c r="BB20" s="150" t="n">
        <f aca="false">Pipeline!$S$16*Pipeline!$D$16*MIN(1,MAX(0,(52-Pipeline!$E$16+1)/MAX(Pipeline!$F$16,1)))+Pipeline!$S$17*Pipeline!$D$17*MIN(1,MAX(0,(52-Pipeline!$E$17+1)/MAX(Pipeline!$F$17,1)))+Pipeline!$S$18*Pipeline!$D$18*MIN(1,MAX(0,(52-Pipeline!$E$18+1)/MAX(Pipeline!$F$18,1)))+Pipeline!$S$19*Pipeline!$D$19*MIN(1,MAX(0,(52-Pipeline!$E$19+1)/MAX(Pipeline!$F$19,1)))+Pipeline!$S$20*Pipeline!$D$20*MIN(1,MAX(0,(52-Pipeline!$E$20+1)/MAX(Pipeline!$F$20,1)))+Pipeline!$S$21*Pipeline!$D$21*MIN(1,MAX(0,(52-Pipeline!$E$21+1)/MAX(Pipeline!$F$21,1)))+Pipeline!$S$22*Pipeline!$D$22*MIN(1,MAX(0,(52-Pipeline!$E$22+1)/MAX(Pipeline!$F$22,1)))</f>
        <v>1159.4925</v>
      </c>
      <c r="BC20" s="150" t="n">
        <f aca="false">Pipeline!$S$16*Pipeline!$D$16*MIN(1,MAX(0,(53-Pipeline!$E$16+1)/MAX(Pipeline!$F$16,1)))+Pipeline!$S$17*Pipeline!$D$17*MIN(1,MAX(0,(53-Pipeline!$E$17+1)/MAX(Pipeline!$F$17,1)))+Pipeline!$S$18*Pipeline!$D$18*MIN(1,MAX(0,(53-Pipeline!$E$18+1)/MAX(Pipeline!$F$18,1)))+Pipeline!$S$19*Pipeline!$D$19*MIN(1,MAX(0,(53-Pipeline!$E$19+1)/MAX(Pipeline!$F$19,1)))+Pipeline!$S$20*Pipeline!$D$20*MIN(1,MAX(0,(53-Pipeline!$E$20+1)/MAX(Pipeline!$F$20,1)))+Pipeline!$S$21*Pipeline!$D$21*MIN(1,MAX(0,(53-Pipeline!$E$21+1)/MAX(Pipeline!$F$21,1)))+Pipeline!$S$22*Pipeline!$D$22*MIN(1,MAX(0,(53-Pipeline!$E$22+1)/MAX(Pipeline!$F$22,1)))</f>
        <v>1159.4925</v>
      </c>
      <c r="BD20" s="150" t="n">
        <f aca="false">Pipeline!$S$16*Pipeline!$D$16*MIN(1,MAX(0,(54-Pipeline!$E$16+1)/MAX(Pipeline!$F$16,1)))+Pipeline!$S$17*Pipeline!$D$17*MIN(1,MAX(0,(54-Pipeline!$E$17+1)/MAX(Pipeline!$F$17,1)))+Pipeline!$S$18*Pipeline!$D$18*MIN(1,MAX(0,(54-Pipeline!$E$18+1)/MAX(Pipeline!$F$18,1)))+Pipeline!$S$19*Pipeline!$D$19*MIN(1,MAX(0,(54-Pipeline!$E$19+1)/MAX(Pipeline!$F$19,1)))+Pipeline!$S$20*Pipeline!$D$20*MIN(1,MAX(0,(54-Pipeline!$E$20+1)/MAX(Pipeline!$F$20,1)))+Pipeline!$S$21*Pipeline!$D$21*MIN(1,MAX(0,(54-Pipeline!$E$21+1)/MAX(Pipeline!$F$21,1)))+Pipeline!$S$22*Pipeline!$D$22*MIN(1,MAX(0,(54-Pipeline!$E$22+1)/MAX(Pipeline!$F$22,1)))</f>
        <v>1159.4925</v>
      </c>
      <c r="BE20" s="150" t="n">
        <f aca="false">Pipeline!$S$16*Pipeline!$D$16*MIN(1,MAX(0,(55-Pipeline!$E$16+1)/MAX(Pipeline!$F$16,1)))+Pipeline!$S$17*Pipeline!$D$17*MIN(1,MAX(0,(55-Pipeline!$E$17+1)/MAX(Pipeline!$F$17,1)))+Pipeline!$S$18*Pipeline!$D$18*MIN(1,MAX(0,(55-Pipeline!$E$18+1)/MAX(Pipeline!$F$18,1)))+Pipeline!$S$19*Pipeline!$D$19*MIN(1,MAX(0,(55-Pipeline!$E$19+1)/MAX(Pipeline!$F$19,1)))+Pipeline!$S$20*Pipeline!$D$20*MIN(1,MAX(0,(55-Pipeline!$E$20+1)/MAX(Pipeline!$F$20,1)))+Pipeline!$S$21*Pipeline!$D$21*MIN(1,MAX(0,(55-Pipeline!$E$21+1)/MAX(Pipeline!$F$21,1)))+Pipeline!$S$22*Pipeline!$D$22*MIN(1,MAX(0,(55-Pipeline!$E$22+1)/MAX(Pipeline!$F$22,1)))</f>
        <v>1159.4925</v>
      </c>
      <c r="BF20" s="150" t="n">
        <f aca="false">Pipeline!$S$16*Pipeline!$D$16*MIN(1,MAX(0,(56-Pipeline!$E$16+1)/MAX(Pipeline!$F$16,1)))+Pipeline!$S$17*Pipeline!$D$17*MIN(1,MAX(0,(56-Pipeline!$E$17+1)/MAX(Pipeline!$F$17,1)))+Pipeline!$S$18*Pipeline!$D$18*MIN(1,MAX(0,(56-Pipeline!$E$18+1)/MAX(Pipeline!$F$18,1)))+Pipeline!$S$19*Pipeline!$D$19*MIN(1,MAX(0,(56-Pipeline!$E$19+1)/MAX(Pipeline!$F$19,1)))+Pipeline!$S$20*Pipeline!$D$20*MIN(1,MAX(0,(56-Pipeline!$E$20+1)/MAX(Pipeline!$F$20,1)))+Pipeline!$S$21*Pipeline!$D$21*MIN(1,MAX(0,(56-Pipeline!$E$21+1)/MAX(Pipeline!$F$21,1)))+Pipeline!$S$22*Pipeline!$D$22*MIN(1,MAX(0,(56-Pipeline!$E$22+1)/MAX(Pipeline!$F$22,1)))</f>
        <v>1159.4925</v>
      </c>
      <c r="BG20" s="150" t="n">
        <f aca="false">Pipeline!$S$16*Pipeline!$D$16*MIN(1,MAX(0,(57-Pipeline!$E$16+1)/MAX(Pipeline!$F$16,1)))+Pipeline!$S$17*Pipeline!$D$17*MIN(1,MAX(0,(57-Pipeline!$E$17+1)/MAX(Pipeline!$F$17,1)))+Pipeline!$S$18*Pipeline!$D$18*MIN(1,MAX(0,(57-Pipeline!$E$18+1)/MAX(Pipeline!$F$18,1)))+Pipeline!$S$19*Pipeline!$D$19*MIN(1,MAX(0,(57-Pipeline!$E$19+1)/MAX(Pipeline!$F$19,1)))+Pipeline!$S$20*Pipeline!$D$20*MIN(1,MAX(0,(57-Pipeline!$E$20+1)/MAX(Pipeline!$F$20,1)))+Pipeline!$S$21*Pipeline!$D$21*MIN(1,MAX(0,(57-Pipeline!$E$21+1)/MAX(Pipeline!$F$21,1)))+Pipeline!$S$22*Pipeline!$D$22*MIN(1,MAX(0,(57-Pipeline!$E$22+1)/MAX(Pipeline!$F$22,1)))</f>
        <v>1159.4925</v>
      </c>
      <c r="BH20" s="150" t="n">
        <f aca="false">Pipeline!$S$16*Pipeline!$D$16*MIN(1,MAX(0,(58-Pipeline!$E$16+1)/MAX(Pipeline!$F$16,1)))+Pipeline!$S$17*Pipeline!$D$17*MIN(1,MAX(0,(58-Pipeline!$E$17+1)/MAX(Pipeline!$F$17,1)))+Pipeline!$S$18*Pipeline!$D$18*MIN(1,MAX(0,(58-Pipeline!$E$18+1)/MAX(Pipeline!$F$18,1)))+Pipeline!$S$19*Pipeline!$D$19*MIN(1,MAX(0,(58-Pipeline!$E$19+1)/MAX(Pipeline!$F$19,1)))+Pipeline!$S$20*Pipeline!$D$20*MIN(1,MAX(0,(58-Pipeline!$E$20+1)/MAX(Pipeline!$F$20,1)))+Pipeline!$S$21*Pipeline!$D$21*MIN(1,MAX(0,(58-Pipeline!$E$21+1)/MAX(Pipeline!$F$21,1)))+Pipeline!$S$22*Pipeline!$D$22*MIN(1,MAX(0,(58-Pipeline!$E$22+1)/MAX(Pipeline!$F$22,1)))</f>
        <v>1159.4925</v>
      </c>
      <c r="BI20" s="150" t="n">
        <f aca="false">Pipeline!$S$16*Pipeline!$D$16*MIN(1,MAX(0,(59-Pipeline!$E$16+1)/MAX(Pipeline!$F$16,1)))+Pipeline!$S$17*Pipeline!$D$17*MIN(1,MAX(0,(59-Pipeline!$E$17+1)/MAX(Pipeline!$F$17,1)))+Pipeline!$S$18*Pipeline!$D$18*MIN(1,MAX(0,(59-Pipeline!$E$18+1)/MAX(Pipeline!$F$18,1)))+Pipeline!$S$19*Pipeline!$D$19*MIN(1,MAX(0,(59-Pipeline!$E$19+1)/MAX(Pipeline!$F$19,1)))+Pipeline!$S$20*Pipeline!$D$20*MIN(1,MAX(0,(59-Pipeline!$E$20+1)/MAX(Pipeline!$F$20,1)))+Pipeline!$S$21*Pipeline!$D$21*MIN(1,MAX(0,(59-Pipeline!$E$21+1)/MAX(Pipeline!$F$21,1)))+Pipeline!$S$22*Pipeline!$D$22*MIN(1,MAX(0,(59-Pipeline!$E$22+1)/MAX(Pipeline!$F$22,1)))</f>
        <v>1159.4925</v>
      </c>
      <c r="BJ20" s="150" t="n">
        <f aca="false">Pipeline!$S$16*Pipeline!$D$16*MIN(1,MAX(0,(60-Pipeline!$E$16+1)/MAX(Pipeline!$F$16,1)))+Pipeline!$S$17*Pipeline!$D$17*MIN(1,MAX(0,(60-Pipeline!$E$17+1)/MAX(Pipeline!$F$17,1)))+Pipeline!$S$18*Pipeline!$D$18*MIN(1,MAX(0,(60-Pipeline!$E$18+1)/MAX(Pipeline!$F$18,1)))+Pipeline!$S$19*Pipeline!$D$19*MIN(1,MAX(0,(60-Pipeline!$E$19+1)/MAX(Pipeline!$F$19,1)))+Pipeline!$S$20*Pipeline!$D$20*MIN(1,MAX(0,(60-Pipeline!$E$20+1)/MAX(Pipeline!$F$20,1)))+Pipeline!$S$21*Pipeline!$D$21*MIN(1,MAX(0,(60-Pipeline!$E$21+1)/MAX(Pipeline!$F$21,1)))+Pipeline!$S$22*Pipeline!$D$22*MIN(1,MAX(0,(60-Pipeline!$E$22+1)/MAX(Pipeline!$F$22,1)))</f>
        <v>1159.4925</v>
      </c>
      <c r="BK20" s="150" t="n">
        <f aca="false">Pipeline!$S$16*Pipeline!$D$16*MIN(1,MAX(0,(61-Pipeline!$E$16+1)/MAX(Pipeline!$F$16,1)))+Pipeline!$S$17*Pipeline!$D$17*MIN(1,MAX(0,(61-Pipeline!$E$17+1)/MAX(Pipeline!$F$17,1)))+Pipeline!$S$18*Pipeline!$D$18*MIN(1,MAX(0,(61-Pipeline!$E$18+1)/MAX(Pipeline!$F$18,1)))+Pipeline!$S$19*Pipeline!$D$19*MIN(1,MAX(0,(61-Pipeline!$E$19+1)/MAX(Pipeline!$F$19,1)))+Pipeline!$S$20*Pipeline!$D$20*MIN(1,MAX(0,(61-Pipeline!$E$20+1)/MAX(Pipeline!$F$20,1)))+Pipeline!$S$21*Pipeline!$D$21*MIN(1,MAX(0,(61-Pipeline!$E$21+1)/MAX(Pipeline!$F$21,1)))+Pipeline!$S$22*Pipeline!$D$22*MIN(1,MAX(0,(61-Pipeline!$E$22+1)/MAX(Pipeline!$F$22,1)))</f>
        <v>1159.4925</v>
      </c>
      <c r="BL20" s="150" t="n">
        <f aca="false">Pipeline!$S$16*Pipeline!$D$16*MIN(1,MAX(0,(62-Pipeline!$E$16+1)/MAX(Pipeline!$F$16,1)))+Pipeline!$S$17*Pipeline!$D$17*MIN(1,MAX(0,(62-Pipeline!$E$17+1)/MAX(Pipeline!$F$17,1)))+Pipeline!$S$18*Pipeline!$D$18*MIN(1,MAX(0,(62-Pipeline!$E$18+1)/MAX(Pipeline!$F$18,1)))+Pipeline!$S$19*Pipeline!$D$19*MIN(1,MAX(0,(62-Pipeline!$E$19+1)/MAX(Pipeline!$F$19,1)))+Pipeline!$S$20*Pipeline!$D$20*MIN(1,MAX(0,(62-Pipeline!$E$20+1)/MAX(Pipeline!$F$20,1)))+Pipeline!$S$21*Pipeline!$D$21*MIN(1,MAX(0,(62-Pipeline!$E$21+1)/MAX(Pipeline!$F$21,1)))+Pipeline!$S$22*Pipeline!$D$22*MIN(1,MAX(0,(62-Pipeline!$E$22+1)/MAX(Pipeline!$F$22,1)))</f>
        <v>1159.4925</v>
      </c>
      <c r="BM20" s="150" t="n">
        <f aca="false">Pipeline!$S$16*Pipeline!$D$16*MIN(1,MAX(0,(63-Pipeline!$E$16+1)/MAX(Pipeline!$F$16,1)))+Pipeline!$S$17*Pipeline!$D$17*MIN(1,MAX(0,(63-Pipeline!$E$17+1)/MAX(Pipeline!$F$17,1)))+Pipeline!$S$18*Pipeline!$D$18*MIN(1,MAX(0,(63-Pipeline!$E$18+1)/MAX(Pipeline!$F$18,1)))+Pipeline!$S$19*Pipeline!$D$19*MIN(1,MAX(0,(63-Pipeline!$E$19+1)/MAX(Pipeline!$F$19,1)))+Pipeline!$S$20*Pipeline!$D$20*MIN(1,MAX(0,(63-Pipeline!$E$20+1)/MAX(Pipeline!$F$20,1)))+Pipeline!$S$21*Pipeline!$D$21*MIN(1,MAX(0,(63-Pipeline!$E$21+1)/MAX(Pipeline!$F$21,1)))+Pipeline!$S$22*Pipeline!$D$22*MIN(1,MAX(0,(63-Pipeline!$E$22+1)/MAX(Pipeline!$F$22,1)))</f>
        <v>1159.4925</v>
      </c>
      <c r="BN20" s="150" t="n">
        <f aca="false">Pipeline!$S$16*Pipeline!$D$16*MIN(1,MAX(0,(64-Pipeline!$E$16+1)/MAX(Pipeline!$F$16,1)))+Pipeline!$S$17*Pipeline!$D$17*MIN(1,MAX(0,(64-Pipeline!$E$17+1)/MAX(Pipeline!$F$17,1)))+Pipeline!$S$18*Pipeline!$D$18*MIN(1,MAX(0,(64-Pipeline!$E$18+1)/MAX(Pipeline!$F$18,1)))+Pipeline!$S$19*Pipeline!$D$19*MIN(1,MAX(0,(64-Pipeline!$E$19+1)/MAX(Pipeline!$F$19,1)))+Pipeline!$S$20*Pipeline!$D$20*MIN(1,MAX(0,(64-Pipeline!$E$20+1)/MAX(Pipeline!$F$20,1)))+Pipeline!$S$21*Pipeline!$D$21*MIN(1,MAX(0,(64-Pipeline!$E$21+1)/MAX(Pipeline!$F$21,1)))+Pipeline!$S$22*Pipeline!$D$22*MIN(1,MAX(0,(64-Pipeline!$E$22+1)/MAX(Pipeline!$F$22,1)))</f>
        <v>1159.4925</v>
      </c>
      <c r="BO20" s="150" t="n">
        <f aca="false">Pipeline!$S$16*Pipeline!$D$16*MIN(1,MAX(0,(65-Pipeline!$E$16+1)/MAX(Pipeline!$F$16,1)))+Pipeline!$S$17*Pipeline!$D$17*MIN(1,MAX(0,(65-Pipeline!$E$17+1)/MAX(Pipeline!$F$17,1)))+Pipeline!$S$18*Pipeline!$D$18*MIN(1,MAX(0,(65-Pipeline!$E$18+1)/MAX(Pipeline!$F$18,1)))+Pipeline!$S$19*Pipeline!$D$19*MIN(1,MAX(0,(65-Pipeline!$E$19+1)/MAX(Pipeline!$F$19,1)))+Pipeline!$S$20*Pipeline!$D$20*MIN(1,MAX(0,(65-Pipeline!$E$20+1)/MAX(Pipeline!$F$20,1)))+Pipeline!$S$21*Pipeline!$D$21*MIN(1,MAX(0,(65-Pipeline!$E$21+1)/MAX(Pipeline!$F$21,1)))+Pipeline!$S$22*Pipeline!$D$22*MIN(1,MAX(0,(65-Pipeline!$E$22+1)/MAX(Pipeline!$F$22,1)))</f>
        <v>1159.4925</v>
      </c>
      <c r="BP20" s="150" t="n">
        <f aca="false">Pipeline!$S$16*Pipeline!$D$16*MIN(1,MAX(0,(66-Pipeline!$E$16+1)/MAX(Pipeline!$F$16,1)))+Pipeline!$S$17*Pipeline!$D$17*MIN(1,MAX(0,(66-Pipeline!$E$17+1)/MAX(Pipeline!$F$17,1)))+Pipeline!$S$18*Pipeline!$D$18*MIN(1,MAX(0,(66-Pipeline!$E$18+1)/MAX(Pipeline!$F$18,1)))+Pipeline!$S$19*Pipeline!$D$19*MIN(1,MAX(0,(66-Pipeline!$E$19+1)/MAX(Pipeline!$F$19,1)))+Pipeline!$S$20*Pipeline!$D$20*MIN(1,MAX(0,(66-Pipeline!$E$20+1)/MAX(Pipeline!$F$20,1)))+Pipeline!$S$21*Pipeline!$D$21*MIN(1,MAX(0,(66-Pipeline!$E$21+1)/MAX(Pipeline!$F$21,1)))+Pipeline!$S$22*Pipeline!$D$22*MIN(1,MAX(0,(66-Pipeline!$E$22+1)/MAX(Pipeline!$F$22,1)))</f>
        <v>1159.4925</v>
      </c>
      <c r="BQ20" s="150" t="n">
        <f aca="false">Pipeline!$S$16*Pipeline!$D$16*MIN(1,MAX(0,(67-Pipeline!$E$16+1)/MAX(Pipeline!$F$16,1)))+Pipeline!$S$17*Pipeline!$D$17*MIN(1,MAX(0,(67-Pipeline!$E$17+1)/MAX(Pipeline!$F$17,1)))+Pipeline!$S$18*Pipeline!$D$18*MIN(1,MAX(0,(67-Pipeline!$E$18+1)/MAX(Pipeline!$F$18,1)))+Pipeline!$S$19*Pipeline!$D$19*MIN(1,MAX(0,(67-Pipeline!$E$19+1)/MAX(Pipeline!$F$19,1)))+Pipeline!$S$20*Pipeline!$D$20*MIN(1,MAX(0,(67-Pipeline!$E$20+1)/MAX(Pipeline!$F$20,1)))+Pipeline!$S$21*Pipeline!$D$21*MIN(1,MAX(0,(67-Pipeline!$E$21+1)/MAX(Pipeline!$F$21,1)))+Pipeline!$S$22*Pipeline!$D$22*MIN(1,MAX(0,(67-Pipeline!$E$22+1)/MAX(Pipeline!$F$22,1)))</f>
        <v>1159.4925</v>
      </c>
      <c r="BR20" s="150" t="n">
        <f aca="false">Pipeline!$S$16*Pipeline!$D$16*MIN(1,MAX(0,(68-Pipeline!$E$16+1)/MAX(Pipeline!$F$16,1)))+Pipeline!$S$17*Pipeline!$D$17*MIN(1,MAX(0,(68-Pipeline!$E$17+1)/MAX(Pipeline!$F$17,1)))+Pipeline!$S$18*Pipeline!$D$18*MIN(1,MAX(0,(68-Pipeline!$E$18+1)/MAX(Pipeline!$F$18,1)))+Pipeline!$S$19*Pipeline!$D$19*MIN(1,MAX(0,(68-Pipeline!$E$19+1)/MAX(Pipeline!$F$19,1)))+Pipeline!$S$20*Pipeline!$D$20*MIN(1,MAX(0,(68-Pipeline!$E$20+1)/MAX(Pipeline!$F$20,1)))+Pipeline!$S$21*Pipeline!$D$21*MIN(1,MAX(0,(68-Pipeline!$E$21+1)/MAX(Pipeline!$F$21,1)))+Pipeline!$S$22*Pipeline!$D$22*MIN(1,MAX(0,(68-Pipeline!$E$22+1)/MAX(Pipeline!$F$22,1)))</f>
        <v>1159.4925</v>
      </c>
      <c r="BS20" s="150" t="n">
        <f aca="false">Pipeline!$S$16*Pipeline!$D$16*MIN(1,MAX(0,(69-Pipeline!$E$16+1)/MAX(Pipeline!$F$16,1)))+Pipeline!$S$17*Pipeline!$D$17*MIN(1,MAX(0,(69-Pipeline!$E$17+1)/MAX(Pipeline!$F$17,1)))+Pipeline!$S$18*Pipeline!$D$18*MIN(1,MAX(0,(69-Pipeline!$E$18+1)/MAX(Pipeline!$F$18,1)))+Pipeline!$S$19*Pipeline!$D$19*MIN(1,MAX(0,(69-Pipeline!$E$19+1)/MAX(Pipeline!$F$19,1)))+Pipeline!$S$20*Pipeline!$D$20*MIN(1,MAX(0,(69-Pipeline!$E$20+1)/MAX(Pipeline!$F$20,1)))+Pipeline!$S$21*Pipeline!$D$21*MIN(1,MAX(0,(69-Pipeline!$E$21+1)/MAX(Pipeline!$F$21,1)))+Pipeline!$S$22*Pipeline!$D$22*MIN(1,MAX(0,(69-Pipeline!$E$22+1)/MAX(Pipeline!$F$22,1)))</f>
        <v>1159.4925</v>
      </c>
      <c r="BT20" s="150" t="n">
        <f aca="false">Pipeline!$S$16*Pipeline!$D$16*MIN(1,MAX(0,(70-Pipeline!$E$16+1)/MAX(Pipeline!$F$16,1)))+Pipeline!$S$17*Pipeline!$D$17*MIN(1,MAX(0,(70-Pipeline!$E$17+1)/MAX(Pipeline!$F$17,1)))+Pipeline!$S$18*Pipeline!$D$18*MIN(1,MAX(0,(70-Pipeline!$E$18+1)/MAX(Pipeline!$F$18,1)))+Pipeline!$S$19*Pipeline!$D$19*MIN(1,MAX(0,(70-Pipeline!$E$19+1)/MAX(Pipeline!$F$19,1)))+Pipeline!$S$20*Pipeline!$D$20*MIN(1,MAX(0,(70-Pipeline!$E$20+1)/MAX(Pipeline!$F$20,1)))+Pipeline!$S$21*Pipeline!$D$21*MIN(1,MAX(0,(70-Pipeline!$E$21+1)/MAX(Pipeline!$F$21,1)))+Pipeline!$S$22*Pipeline!$D$22*MIN(1,MAX(0,(70-Pipeline!$E$22+1)/MAX(Pipeline!$F$22,1)))</f>
        <v>1159.4925</v>
      </c>
      <c r="BU20" s="150" t="n">
        <f aca="false">Pipeline!$S$16*Pipeline!$D$16*MIN(1,MAX(0,(71-Pipeline!$E$16+1)/MAX(Pipeline!$F$16,1)))+Pipeline!$S$17*Pipeline!$D$17*MIN(1,MAX(0,(71-Pipeline!$E$17+1)/MAX(Pipeline!$F$17,1)))+Pipeline!$S$18*Pipeline!$D$18*MIN(1,MAX(0,(71-Pipeline!$E$18+1)/MAX(Pipeline!$F$18,1)))+Pipeline!$S$19*Pipeline!$D$19*MIN(1,MAX(0,(71-Pipeline!$E$19+1)/MAX(Pipeline!$F$19,1)))+Pipeline!$S$20*Pipeline!$D$20*MIN(1,MAX(0,(71-Pipeline!$E$20+1)/MAX(Pipeline!$F$20,1)))+Pipeline!$S$21*Pipeline!$D$21*MIN(1,MAX(0,(71-Pipeline!$E$21+1)/MAX(Pipeline!$F$21,1)))+Pipeline!$S$22*Pipeline!$D$22*MIN(1,MAX(0,(71-Pipeline!$E$22+1)/MAX(Pipeline!$F$22,1)))</f>
        <v>1159.4925</v>
      </c>
      <c r="BV20" s="150" t="n">
        <f aca="false">Pipeline!$S$16*Pipeline!$D$16*MIN(1,MAX(0,(72-Pipeline!$E$16+1)/MAX(Pipeline!$F$16,1)))+Pipeline!$S$17*Pipeline!$D$17*MIN(1,MAX(0,(72-Pipeline!$E$17+1)/MAX(Pipeline!$F$17,1)))+Pipeline!$S$18*Pipeline!$D$18*MIN(1,MAX(0,(72-Pipeline!$E$18+1)/MAX(Pipeline!$F$18,1)))+Pipeline!$S$19*Pipeline!$D$19*MIN(1,MAX(0,(72-Pipeline!$E$19+1)/MAX(Pipeline!$F$19,1)))+Pipeline!$S$20*Pipeline!$D$20*MIN(1,MAX(0,(72-Pipeline!$E$20+1)/MAX(Pipeline!$F$20,1)))+Pipeline!$S$21*Pipeline!$D$21*MIN(1,MAX(0,(72-Pipeline!$E$21+1)/MAX(Pipeline!$F$21,1)))+Pipeline!$S$22*Pipeline!$D$22*MIN(1,MAX(0,(72-Pipeline!$E$22+1)/MAX(Pipeline!$F$22,1)))</f>
        <v>1159.4925</v>
      </c>
      <c r="BW20" s="150" t="n">
        <f aca="false">Pipeline!$S$16*Pipeline!$D$16*MIN(1,MAX(0,(73-Pipeline!$E$16+1)/MAX(Pipeline!$F$16,1)))+Pipeline!$S$17*Pipeline!$D$17*MIN(1,MAX(0,(73-Pipeline!$E$17+1)/MAX(Pipeline!$F$17,1)))+Pipeline!$S$18*Pipeline!$D$18*MIN(1,MAX(0,(73-Pipeline!$E$18+1)/MAX(Pipeline!$F$18,1)))+Pipeline!$S$19*Pipeline!$D$19*MIN(1,MAX(0,(73-Pipeline!$E$19+1)/MAX(Pipeline!$F$19,1)))+Pipeline!$S$20*Pipeline!$D$20*MIN(1,MAX(0,(73-Pipeline!$E$20+1)/MAX(Pipeline!$F$20,1)))+Pipeline!$S$21*Pipeline!$D$21*MIN(1,MAX(0,(73-Pipeline!$E$21+1)/MAX(Pipeline!$F$21,1)))+Pipeline!$S$22*Pipeline!$D$22*MIN(1,MAX(0,(73-Pipeline!$E$22+1)/MAX(Pipeline!$F$22,1)))</f>
        <v>1159.4925</v>
      </c>
      <c r="BX20" s="150" t="n">
        <f aca="false">Pipeline!$S$16*Pipeline!$D$16*MIN(1,MAX(0,(74-Pipeline!$E$16+1)/MAX(Pipeline!$F$16,1)))+Pipeline!$S$17*Pipeline!$D$17*MIN(1,MAX(0,(74-Pipeline!$E$17+1)/MAX(Pipeline!$F$17,1)))+Pipeline!$S$18*Pipeline!$D$18*MIN(1,MAX(0,(74-Pipeline!$E$18+1)/MAX(Pipeline!$F$18,1)))+Pipeline!$S$19*Pipeline!$D$19*MIN(1,MAX(0,(74-Pipeline!$E$19+1)/MAX(Pipeline!$F$19,1)))+Pipeline!$S$20*Pipeline!$D$20*MIN(1,MAX(0,(74-Pipeline!$E$20+1)/MAX(Pipeline!$F$20,1)))+Pipeline!$S$21*Pipeline!$D$21*MIN(1,MAX(0,(74-Pipeline!$E$21+1)/MAX(Pipeline!$F$21,1)))+Pipeline!$S$22*Pipeline!$D$22*MIN(1,MAX(0,(74-Pipeline!$E$22+1)/MAX(Pipeline!$F$22,1)))</f>
        <v>1159.4925</v>
      </c>
      <c r="BY20" s="150" t="n">
        <f aca="false">Pipeline!$S$16*Pipeline!$D$16*MIN(1,MAX(0,(75-Pipeline!$E$16+1)/MAX(Pipeline!$F$16,1)))+Pipeline!$S$17*Pipeline!$D$17*MIN(1,MAX(0,(75-Pipeline!$E$17+1)/MAX(Pipeline!$F$17,1)))+Pipeline!$S$18*Pipeline!$D$18*MIN(1,MAX(0,(75-Pipeline!$E$18+1)/MAX(Pipeline!$F$18,1)))+Pipeline!$S$19*Pipeline!$D$19*MIN(1,MAX(0,(75-Pipeline!$E$19+1)/MAX(Pipeline!$F$19,1)))+Pipeline!$S$20*Pipeline!$D$20*MIN(1,MAX(0,(75-Pipeline!$E$20+1)/MAX(Pipeline!$F$20,1)))+Pipeline!$S$21*Pipeline!$D$21*MIN(1,MAX(0,(75-Pipeline!$E$21+1)/MAX(Pipeline!$F$21,1)))+Pipeline!$S$22*Pipeline!$D$22*MIN(1,MAX(0,(75-Pipeline!$E$22+1)/MAX(Pipeline!$F$22,1)))</f>
        <v>1159.4925</v>
      </c>
      <c r="BZ20" s="150" t="n">
        <f aca="false">Pipeline!$S$16*Pipeline!$D$16*MIN(1,MAX(0,(76-Pipeline!$E$16+1)/MAX(Pipeline!$F$16,1)))+Pipeline!$S$17*Pipeline!$D$17*MIN(1,MAX(0,(76-Pipeline!$E$17+1)/MAX(Pipeline!$F$17,1)))+Pipeline!$S$18*Pipeline!$D$18*MIN(1,MAX(0,(76-Pipeline!$E$18+1)/MAX(Pipeline!$F$18,1)))+Pipeline!$S$19*Pipeline!$D$19*MIN(1,MAX(0,(76-Pipeline!$E$19+1)/MAX(Pipeline!$F$19,1)))+Pipeline!$S$20*Pipeline!$D$20*MIN(1,MAX(0,(76-Pipeline!$E$20+1)/MAX(Pipeline!$F$20,1)))+Pipeline!$S$21*Pipeline!$D$21*MIN(1,MAX(0,(76-Pipeline!$E$21+1)/MAX(Pipeline!$F$21,1)))+Pipeline!$S$22*Pipeline!$D$22*MIN(1,MAX(0,(76-Pipeline!$E$22+1)/MAX(Pipeline!$F$22,1)))</f>
        <v>1159.4925</v>
      </c>
      <c r="CA20" s="150" t="n">
        <f aca="false">Pipeline!$S$16*Pipeline!$D$16*MIN(1,MAX(0,(77-Pipeline!$E$16+1)/MAX(Pipeline!$F$16,1)))+Pipeline!$S$17*Pipeline!$D$17*MIN(1,MAX(0,(77-Pipeline!$E$17+1)/MAX(Pipeline!$F$17,1)))+Pipeline!$S$18*Pipeline!$D$18*MIN(1,MAX(0,(77-Pipeline!$E$18+1)/MAX(Pipeline!$F$18,1)))+Pipeline!$S$19*Pipeline!$D$19*MIN(1,MAX(0,(77-Pipeline!$E$19+1)/MAX(Pipeline!$F$19,1)))+Pipeline!$S$20*Pipeline!$D$20*MIN(1,MAX(0,(77-Pipeline!$E$20+1)/MAX(Pipeline!$F$20,1)))+Pipeline!$S$21*Pipeline!$D$21*MIN(1,MAX(0,(77-Pipeline!$E$21+1)/MAX(Pipeline!$F$21,1)))+Pipeline!$S$22*Pipeline!$D$22*MIN(1,MAX(0,(77-Pipeline!$E$22+1)/MAX(Pipeline!$F$22,1)))</f>
        <v>1159.4925</v>
      </c>
      <c r="CB20" s="150" t="n">
        <f aca="false">Pipeline!$S$16*Pipeline!$D$16*MIN(1,MAX(0,(78-Pipeline!$E$16+1)/MAX(Pipeline!$F$16,1)))+Pipeline!$S$17*Pipeline!$D$17*MIN(1,MAX(0,(78-Pipeline!$E$17+1)/MAX(Pipeline!$F$17,1)))+Pipeline!$S$18*Pipeline!$D$18*MIN(1,MAX(0,(78-Pipeline!$E$18+1)/MAX(Pipeline!$F$18,1)))+Pipeline!$S$19*Pipeline!$D$19*MIN(1,MAX(0,(78-Pipeline!$E$19+1)/MAX(Pipeline!$F$19,1)))+Pipeline!$S$20*Pipeline!$D$20*MIN(1,MAX(0,(78-Pipeline!$E$20+1)/MAX(Pipeline!$F$20,1)))+Pipeline!$S$21*Pipeline!$D$21*MIN(1,MAX(0,(78-Pipeline!$E$21+1)/MAX(Pipeline!$F$21,1)))+Pipeline!$S$22*Pipeline!$D$22*MIN(1,MAX(0,(78-Pipeline!$E$22+1)/MAX(Pipeline!$F$22,1)))</f>
        <v>1159.4925</v>
      </c>
      <c r="CC20" s="150" t="n">
        <f aca="false">Pipeline!$S$16*Pipeline!$D$16*MIN(1,MAX(0,(79-Pipeline!$E$16+1)/MAX(Pipeline!$F$16,1)))+Pipeline!$S$17*Pipeline!$D$17*MIN(1,MAX(0,(79-Pipeline!$E$17+1)/MAX(Pipeline!$F$17,1)))+Pipeline!$S$18*Pipeline!$D$18*MIN(1,MAX(0,(79-Pipeline!$E$18+1)/MAX(Pipeline!$F$18,1)))+Pipeline!$S$19*Pipeline!$D$19*MIN(1,MAX(0,(79-Pipeline!$E$19+1)/MAX(Pipeline!$F$19,1)))+Pipeline!$S$20*Pipeline!$D$20*MIN(1,MAX(0,(79-Pipeline!$E$20+1)/MAX(Pipeline!$F$20,1)))+Pipeline!$S$21*Pipeline!$D$21*MIN(1,MAX(0,(79-Pipeline!$E$21+1)/MAX(Pipeline!$F$21,1)))+Pipeline!$S$22*Pipeline!$D$22*MIN(1,MAX(0,(79-Pipeline!$E$22+1)/MAX(Pipeline!$F$22,1)))</f>
        <v>1159.4925</v>
      </c>
      <c r="CD20" s="150" t="n">
        <f aca="false">Pipeline!$S$16*Pipeline!$D$16*MIN(1,MAX(0,(80-Pipeline!$E$16+1)/MAX(Pipeline!$F$16,1)))+Pipeline!$S$17*Pipeline!$D$17*MIN(1,MAX(0,(80-Pipeline!$E$17+1)/MAX(Pipeline!$F$17,1)))+Pipeline!$S$18*Pipeline!$D$18*MIN(1,MAX(0,(80-Pipeline!$E$18+1)/MAX(Pipeline!$F$18,1)))+Pipeline!$S$19*Pipeline!$D$19*MIN(1,MAX(0,(80-Pipeline!$E$19+1)/MAX(Pipeline!$F$19,1)))+Pipeline!$S$20*Pipeline!$D$20*MIN(1,MAX(0,(80-Pipeline!$E$20+1)/MAX(Pipeline!$F$20,1)))+Pipeline!$S$21*Pipeline!$D$21*MIN(1,MAX(0,(80-Pipeline!$E$21+1)/MAX(Pipeline!$F$21,1)))+Pipeline!$S$22*Pipeline!$D$22*MIN(1,MAX(0,(80-Pipeline!$E$22+1)/MAX(Pipeline!$F$22,1)))</f>
        <v>1159.4925</v>
      </c>
      <c r="CE20" s="150" t="n">
        <f aca="false">Pipeline!$S$16*Pipeline!$D$16*MIN(1,MAX(0,(81-Pipeline!$E$16+1)/MAX(Pipeline!$F$16,1)))+Pipeline!$S$17*Pipeline!$D$17*MIN(1,MAX(0,(81-Pipeline!$E$17+1)/MAX(Pipeline!$F$17,1)))+Pipeline!$S$18*Pipeline!$D$18*MIN(1,MAX(0,(81-Pipeline!$E$18+1)/MAX(Pipeline!$F$18,1)))+Pipeline!$S$19*Pipeline!$D$19*MIN(1,MAX(0,(81-Pipeline!$E$19+1)/MAX(Pipeline!$F$19,1)))+Pipeline!$S$20*Pipeline!$D$20*MIN(1,MAX(0,(81-Pipeline!$E$20+1)/MAX(Pipeline!$F$20,1)))+Pipeline!$S$21*Pipeline!$D$21*MIN(1,MAX(0,(81-Pipeline!$E$21+1)/MAX(Pipeline!$F$21,1)))+Pipeline!$S$22*Pipeline!$D$22*MIN(1,MAX(0,(81-Pipeline!$E$22+1)/MAX(Pipeline!$F$22,1)))</f>
        <v>1159.4925</v>
      </c>
      <c r="CF20" s="150" t="n">
        <f aca="false">Pipeline!$S$16*Pipeline!$D$16*MIN(1,MAX(0,(82-Pipeline!$E$16+1)/MAX(Pipeline!$F$16,1)))+Pipeline!$S$17*Pipeline!$D$17*MIN(1,MAX(0,(82-Pipeline!$E$17+1)/MAX(Pipeline!$F$17,1)))+Pipeline!$S$18*Pipeline!$D$18*MIN(1,MAX(0,(82-Pipeline!$E$18+1)/MAX(Pipeline!$F$18,1)))+Pipeline!$S$19*Pipeline!$D$19*MIN(1,MAX(0,(82-Pipeline!$E$19+1)/MAX(Pipeline!$F$19,1)))+Pipeline!$S$20*Pipeline!$D$20*MIN(1,MAX(0,(82-Pipeline!$E$20+1)/MAX(Pipeline!$F$20,1)))+Pipeline!$S$21*Pipeline!$D$21*MIN(1,MAX(0,(82-Pipeline!$E$21+1)/MAX(Pipeline!$F$21,1)))+Pipeline!$S$22*Pipeline!$D$22*MIN(1,MAX(0,(82-Pipeline!$E$22+1)/MAX(Pipeline!$F$22,1)))</f>
        <v>1159.4925</v>
      </c>
      <c r="CG20" s="150" t="n">
        <f aca="false">Pipeline!$S$16*Pipeline!$D$16*MIN(1,MAX(0,(83-Pipeline!$E$16+1)/MAX(Pipeline!$F$16,1)))+Pipeline!$S$17*Pipeline!$D$17*MIN(1,MAX(0,(83-Pipeline!$E$17+1)/MAX(Pipeline!$F$17,1)))+Pipeline!$S$18*Pipeline!$D$18*MIN(1,MAX(0,(83-Pipeline!$E$18+1)/MAX(Pipeline!$F$18,1)))+Pipeline!$S$19*Pipeline!$D$19*MIN(1,MAX(0,(83-Pipeline!$E$19+1)/MAX(Pipeline!$F$19,1)))+Pipeline!$S$20*Pipeline!$D$20*MIN(1,MAX(0,(83-Pipeline!$E$20+1)/MAX(Pipeline!$F$20,1)))+Pipeline!$S$21*Pipeline!$D$21*MIN(1,MAX(0,(83-Pipeline!$E$21+1)/MAX(Pipeline!$F$21,1)))+Pipeline!$S$22*Pipeline!$D$22*MIN(1,MAX(0,(83-Pipeline!$E$22+1)/MAX(Pipeline!$F$22,1)))</f>
        <v>1159.4925</v>
      </c>
      <c r="CH20" s="150" t="n">
        <f aca="false">Pipeline!$S$16*Pipeline!$D$16*MIN(1,MAX(0,(84-Pipeline!$E$16+1)/MAX(Pipeline!$F$16,1)))+Pipeline!$S$17*Pipeline!$D$17*MIN(1,MAX(0,(84-Pipeline!$E$17+1)/MAX(Pipeline!$F$17,1)))+Pipeline!$S$18*Pipeline!$D$18*MIN(1,MAX(0,(84-Pipeline!$E$18+1)/MAX(Pipeline!$F$18,1)))+Pipeline!$S$19*Pipeline!$D$19*MIN(1,MAX(0,(84-Pipeline!$E$19+1)/MAX(Pipeline!$F$19,1)))+Pipeline!$S$20*Pipeline!$D$20*MIN(1,MAX(0,(84-Pipeline!$E$20+1)/MAX(Pipeline!$F$20,1)))+Pipeline!$S$21*Pipeline!$D$21*MIN(1,MAX(0,(84-Pipeline!$E$21+1)/MAX(Pipeline!$F$21,1)))+Pipeline!$S$22*Pipeline!$D$22*MIN(1,MAX(0,(84-Pipeline!$E$22+1)/MAX(Pipeline!$F$22,1)))</f>
        <v>1159.4925</v>
      </c>
    </row>
    <row r="21" customFormat="false" ht="13.5" hidden="false" customHeight="true" outlineLevel="0" collapsed="false">
      <c r="A21" s="13" t="s">
        <v>704</v>
      </c>
      <c r="C21" s="151" t="n">
        <f aca="false">IF(C18=0,1,MIN(1,C8/C18))</f>
        <v>1</v>
      </c>
      <c r="D21" s="151" t="n">
        <f aca="false">IF(D18=0,1,MIN(1,D8/D18))</f>
        <v>1</v>
      </c>
      <c r="E21" s="151" t="n">
        <f aca="false">IF(E18=0,1,MIN(1,E8/E18))</f>
        <v>1</v>
      </c>
      <c r="F21" s="151" t="n">
        <f aca="false">IF(F18=0,1,MIN(1,F8/F18))</f>
        <v>1</v>
      </c>
      <c r="G21" s="151" t="n">
        <f aca="false">IF(G18=0,1,MIN(1,G8/G18))</f>
        <v>1</v>
      </c>
      <c r="H21" s="151" t="n">
        <f aca="false">IF(H18=0,1,MIN(1,H8/H18))</f>
        <v>1</v>
      </c>
      <c r="I21" s="151" t="n">
        <f aca="false">IF(I18=0,1,MIN(1,I8/I18))</f>
        <v>1</v>
      </c>
      <c r="J21" s="151" t="n">
        <f aca="false">IF(J18=0,1,MIN(1,J8/J18))</f>
        <v>1</v>
      </c>
      <c r="K21" s="151" t="n">
        <f aca="false">IF(K18=0,1,MIN(1,K8/K18))</f>
        <v>1</v>
      </c>
      <c r="L21" s="151" t="n">
        <f aca="false">IF(L18=0,1,MIN(1,L8/L18))</f>
        <v>1</v>
      </c>
      <c r="M21" s="151" t="n">
        <f aca="false">IF(M18=0,1,MIN(1,M8/M18))</f>
        <v>1</v>
      </c>
      <c r="N21" s="151" t="n">
        <f aca="false">IF(N18=0,1,MIN(1,N8/N18))</f>
        <v>1</v>
      </c>
      <c r="O21" s="151" t="n">
        <f aca="false">IF(O18=0,1,MIN(1,O8/O18))</f>
        <v>1</v>
      </c>
      <c r="P21" s="151" t="n">
        <f aca="false">IF(P18=0,1,MIN(1,P8/P18))</f>
        <v>1</v>
      </c>
      <c r="Q21" s="151" t="n">
        <f aca="false">IF(Q18=0,1,MIN(1,Q8/Q18))</f>
        <v>1</v>
      </c>
      <c r="R21" s="151" t="n">
        <f aca="false">IF(R18=0,1,MIN(1,R8/R18))</f>
        <v>1</v>
      </c>
      <c r="S21" s="151" t="n">
        <f aca="false">IF(S18=0,1,MIN(1,S8/S18))</f>
        <v>1</v>
      </c>
      <c r="T21" s="151" t="n">
        <f aca="false">IF(T18=0,1,MIN(1,T8/T18))</f>
        <v>1</v>
      </c>
      <c r="U21" s="151" t="n">
        <f aca="false">IF(U18=0,1,MIN(1,U8/U18))</f>
        <v>1</v>
      </c>
      <c r="V21" s="151" t="n">
        <f aca="false">IF(V18=0,1,MIN(1,V8/V18))</f>
        <v>1</v>
      </c>
      <c r="W21" s="151" t="n">
        <f aca="false">IF(W18=0,1,MIN(1,W8/W18))</f>
        <v>1</v>
      </c>
      <c r="X21" s="151" t="n">
        <f aca="false">IF(X18=0,1,MIN(1,X8/X18))</f>
        <v>1</v>
      </c>
      <c r="Y21" s="151" t="n">
        <f aca="false">IF(Y18=0,1,MIN(1,Y8/Y18))</f>
        <v>1</v>
      </c>
      <c r="Z21" s="151" t="n">
        <f aca="false">IF(Z18=0,1,MIN(1,Z8/Z18))</f>
        <v>1</v>
      </c>
      <c r="AA21" s="151" t="n">
        <f aca="false">IF(AA18=0,1,MIN(1,AA8/AA18))</f>
        <v>1</v>
      </c>
      <c r="AB21" s="151" t="n">
        <f aca="false">IF(AB18=0,1,MIN(1,AB8/AB18))</f>
        <v>1</v>
      </c>
      <c r="AC21" s="151" t="n">
        <f aca="false">IF(AC18=0,1,MIN(1,AC8/AC18))</f>
        <v>1</v>
      </c>
      <c r="AD21" s="151" t="n">
        <f aca="false">IF(AD18=0,1,MIN(1,AD8/AD18))</f>
        <v>1</v>
      </c>
      <c r="AE21" s="151" t="n">
        <f aca="false">IF(AE18=0,1,MIN(1,AE8/AE18))</f>
        <v>1</v>
      </c>
      <c r="AF21" s="151" t="n">
        <f aca="false">IF(AF18=0,1,MIN(1,AF8/AF18))</f>
        <v>1</v>
      </c>
      <c r="AG21" s="151" t="n">
        <f aca="false">IF(AG18=0,1,MIN(1,AG8/AG18))</f>
        <v>1</v>
      </c>
      <c r="AH21" s="151" t="n">
        <f aca="false">IF(AH18=0,1,MIN(1,AH8/AH18))</f>
        <v>1</v>
      </c>
      <c r="AI21" s="151" t="n">
        <f aca="false">IF(AI18=0,1,MIN(1,AI8/AI18))</f>
        <v>1</v>
      </c>
      <c r="AJ21" s="151" t="n">
        <f aca="false">IF(AJ18=0,1,MIN(1,AJ8/AJ18))</f>
        <v>1</v>
      </c>
      <c r="AK21" s="151" t="n">
        <f aca="false">IF(AK18=0,1,MIN(1,AK8/AK18))</f>
        <v>1</v>
      </c>
      <c r="AL21" s="151" t="n">
        <f aca="false">IF(AL18=0,1,MIN(1,AL8/AL18))</f>
        <v>1</v>
      </c>
      <c r="AM21" s="151" t="n">
        <f aca="false">IF(AM18=0,1,MIN(1,AM8/AM18))</f>
        <v>1</v>
      </c>
      <c r="AN21" s="151" t="n">
        <f aca="false">IF(AN18=0,1,MIN(1,AN8/AN18))</f>
        <v>1</v>
      </c>
      <c r="AO21" s="151" t="n">
        <f aca="false">IF(AO18=0,1,MIN(1,AO8/AO18))</f>
        <v>1</v>
      </c>
      <c r="AP21" s="151" t="n">
        <f aca="false">IF(AP18=0,1,MIN(1,AP8/AP18))</f>
        <v>1</v>
      </c>
      <c r="AQ21" s="151" t="n">
        <f aca="false">IF(AQ18=0,1,MIN(1,AQ8/AQ18))</f>
        <v>1</v>
      </c>
      <c r="AR21" s="151" t="n">
        <f aca="false">IF(AR18=0,1,MIN(1,AR8/AR18))</f>
        <v>1</v>
      </c>
      <c r="AS21" s="151" t="n">
        <f aca="false">IF(AS18=0,1,MIN(1,AS8/AS18))</f>
        <v>1</v>
      </c>
      <c r="AT21" s="151" t="n">
        <f aca="false">IF(AT18=0,1,MIN(1,AT8/AT18))</f>
        <v>1</v>
      </c>
      <c r="AU21" s="151" t="n">
        <f aca="false">IF(AU18=0,1,MIN(1,AU8/AU18))</f>
        <v>1</v>
      </c>
      <c r="AV21" s="151" t="n">
        <f aca="false">IF(AV18=0,1,MIN(1,AV8/AV18))</f>
        <v>1</v>
      </c>
      <c r="AW21" s="151" t="n">
        <f aca="false">IF(AW18=0,1,MIN(1,AW8/AW18))</f>
        <v>1</v>
      </c>
      <c r="AX21" s="151" t="n">
        <f aca="false">IF(AX18=0,1,MIN(1,AX8/AX18))</f>
        <v>1</v>
      </c>
      <c r="AY21" s="151" t="n">
        <f aca="false">IF(AY18=0,1,MIN(1,AY8/AY18))</f>
        <v>1</v>
      </c>
      <c r="AZ21" s="151" t="n">
        <f aca="false">IF(AZ18=0,1,MIN(1,AZ8/AZ18))</f>
        <v>1</v>
      </c>
      <c r="BA21" s="151" t="n">
        <f aca="false">IF(BA18=0,1,MIN(1,BA8/BA18))</f>
        <v>1</v>
      </c>
      <c r="BB21" s="151" t="n">
        <f aca="false">IF(BB18=0,1,MIN(1,BB8/BB18))</f>
        <v>1</v>
      </c>
      <c r="BC21" s="151" t="n">
        <f aca="false">IF(BC18=0,1,MIN(1,BC8/BC18))</f>
        <v>1</v>
      </c>
      <c r="BD21" s="151" t="n">
        <f aca="false">IF(BD18=0,1,MIN(1,BD8/BD18))</f>
        <v>1</v>
      </c>
      <c r="BE21" s="151" t="n">
        <f aca="false">IF(BE18=0,1,MIN(1,BE8/BE18))</f>
        <v>1</v>
      </c>
      <c r="BF21" s="151" t="n">
        <f aca="false">IF(BF18=0,1,MIN(1,BF8/BF18))</f>
        <v>1</v>
      </c>
      <c r="BG21" s="151" t="n">
        <f aca="false">IF(BG18=0,1,MIN(1,BG8/BG18))</f>
        <v>1</v>
      </c>
      <c r="BH21" s="151" t="n">
        <f aca="false">IF(BH18=0,1,MIN(1,BH8/BH18))</f>
        <v>1</v>
      </c>
      <c r="BI21" s="151" t="n">
        <f aca="false">IF(BI18=0,1,MIN(1,BI8/BI18))</f>
        <v>1</v>
      </c>
      <c r="BJ21" s="151" t="n">
        <f aca="false">IF(BJ18=0,1,MIN(1,BJ8/BJ18))</f>
        <v>1</v>
      </c>
      <c r="BK21" s="151" t="n">
        <f aca="false">IF(BK18=0,1,MIN(1,BK8/BK18))</f>
        <v>1</v>
      </c>
      <c r="BL21" s="151" t="n">
        <f aca="false">IF(BL18=0,1,MIN(1,BL8/BL18))</f>
        <v>1</v>
      </c>
      <c r="BM21" s="151" t="n">
        <f aca="false">IF(BM18=0,1,MIN(1,BM8/BM18))</f>
        <v>1</v>
      </c>
      <c r="BN21" s="151" t="n">
        <f aca="false">IF(BN18=0,1,MIN(1,BN8/BN18))</f>
        <v>1</v>
      </c>
      <c r="BO21" s="151" t="n">
        <f aca="false">IF(BO18=0,1,MIN(1,BO8/BO18))</f>
        <v>1</v>
      </c>
      <c r="BP21" s="151" t="n">
        <f aca="false">IF(BP18=0,1,MIN(1,BP8/BP18))</f>
        <v>1</v>
      </c>
      <c r="BQ21" s="151" t="n">
        <f aca="false">IF(BQ18=0,1,MIN(1,BQ8/BQ18))</f>
        <v>1</v>
      </c>
      <c r="BR21" s="151" t="n">
        <f aca="false">IF(BR18=0,1,MIN(1,BR8/BR18))</f>
        <v>1</v>
      </c>
      <c r="BS21" s="151" t="n">
        <f aca="false">IF(BS18=0,1,MIN(1,BS8/BS18))</f>
        <v>1</v>
      </c>
      <c r="BT21" s="151" t="n">
        <f aca="false">IF(BT18=0,1,MIN(1,BT8/BT18))</f>
        <v>1</v>
      </c>
      <c r="BU21" s="151" t="n">
        <f aca="false">IF(BU18=0,1,MIN(1,BU8/BU18))</f>
        <v>1</v>
      </c>
      <c r="BV21" s="151" t="n">
        <f aca="false">IF(BV18=0,1,MIN(1,BV8/BV18))</f>
        <v>1</v>
      </c>
      <c r="BW21" s="151" t="n">
        <f aca="false">IF(BW18=0,1,MIN(1,BW8/BW18))</f>
        <v>1</v>
      </c>
      <c r="BX21" s="151" t="n">
        <f aca="false">IF(BX18=0,1,MIN(1,BX8/BX18))</f>
        <v>1</v>
      </c>
      <c r="BY21" s="151" t="n">
        <f aca="false">IF(BY18=0,1,MIN(1,BY8/BY18))</f>
        <v>1</v>
      </c>
      <c r="BZ21" s="151" t="n">
        <f aca="false">IF(BZ18=0,1,MIN(1,BZ8/BZ18))</f>
        <v>1</v>
      </c>
      <c r="CA21" s="151" t="n">
        <f aca="false">IF(CA18=0,1,MIN(1,CA8/CA18))</f>
        <v>1</v>
      </c>
      <c r="CB21" s="151" t="n">
        <f aca="false">IF(CB18=0,1,MIN(1,CB8/CB18))</f>
        <v>1</v>
      </c>
      <c r="CC21" s="151" t="n">
        <f aca="false">IF(CC18=0,1,MIN(1,CC8/CC18))</f>
        <v>1</v>
      </c>
      <c r="CD21" s="151" t="n">
        <f aca="false">IF(CD18=0,1,MIN(1,CD8/CD18))</f>
        <v>1</v>
      </c>
      <c r="CE21" s="151" t="n">
        <f aca="false">IF(CE18=0,1,MIN(1,CE8/CE18))</f>
        <v>1</v>
      </c>
      <c r="CF21" s="151" t="n">
        <f aca="false">IF(CF18=0,1,MIN(1,CF8/CF18))</f>
        <v>1</v>
      </c>
      <c r="CG21" s="151" t="n">
        <f aca="false">IF(CG18=0,1,MIN(1,CG8/CG18))</f>
        <v>1</v>
      </c>
      <c r="CH21" s="151" t="n">
        <f aca="false">IF(CH18=0,1,MIN(1,CH8/CH18))</f>
        <v>1</v>
      </c>
    </row>
    <row r="22" customFormat="false" ht="13.5" hidden="false" customHeight="true" outlineLevel="0" collapsed="false">
      <c r="A22" s="13" t="s">
        <v>705</v>
      </c>
      <c r="C22" s="151" t="n">
        <f aca="false">MIN(Hipótesis!$D$32,Hipótesis!$D$31+(Hipótesis!$D$32-Hipótesis!$D$31)*MAX(0,1-Hipótesis!$D$29)/Hipótesis!$D$33)</f>
        <v>0</v>
      </c>
      <c r="D22" s="151" t="n">
        <f aca="false">MIN(Hipótesis!$D$32,Hipótesis!$D$31+(Hipótesis!$D$32-Hipótesis!$D$31)*MAX(0,2-Hipótesis!$D$29)/Hipótesis!$D$33)</f>
        <v>0</v>
      </c>
      <c r="E22" s="151" t="n">
        <f aca="false">MIN(Hipótesis!$D$32,Hipótesis!$D$31+(Hipótesis!$D$32-Hipótesis!$D$31)*MAX(0,3-Hipótesis!$D$29)/Hipótesis!$D$33)</f>
        <v>0</v>
      </c>
      <c r="F22" s="151" t="n">
        <f aca="false">MIN(Hipótesis!$D$32,Hipótesis!$D$31+(Hipótesis!$D$32-Hipótesis!$D$31)*MAX(0,4-Hipótesis!$D$29)/Hipótesis!$D$33)</f>
        <v>0</v>
      </c>
      <c r="G22" s="151" t="n">
        <f aca="false">MIN(Hipótesis!$D$32,Hipótesis!$D$31+(Hipótesis!$D$32-Hipótesis!$D$31)*MAX(0,5-Hipótesis!$D$29)/Hipótesis!$D$33)</f>
        <v>0</v>
      </c>
      <c r="H22" s="151" t="n">
        <f aca="false">MIN(Hipótesis!$D$32,Hipótesis!$D$31+(Hipótesis!$D$32-Hipótesis!$D$31)*MAX(0,6-Hipótesis!$D$29)/Hipótesis!$D$33)</f>
        <v>0</v>
      </c>
      <c r="I22" s="151" t="n">
        <f aca="false">MIN(Hipótesis!$D$32,Hipótesis!$D$31+(Hipótesis!$D$32-Hipótesis!$D$31)*MAX(0,7-Hipótesis!$D$29)/Hipótesis!$D$33)</f>
        <v>0.0152777777777778</v>
      </c>
      <c r="J22" s="151" t="n">
        <f aca="false">MIN(Hipótesis!$D$32,Hipótesis!$D$31+(Hipótesis!$D$32-Hipótesis!$D$31)*MAX(0,8-Hipótesis!$D$29)/Hipótesis!$D$33)</f>
        <v>0.0305555555555556</v>
      </c>
      <c r="K22" s="151" t="n">
        <f aca="false">MIN(Hipótesis!$D$32,Hipótesis!$D$31+(Hipótesis!$D$32-Hipótesis!$D$31)*MAX(0,9-Hipótesis!$D$29)/Hipótesis!$D$33)</f>
        <v>0.0458333333333333</v>
      </c>
      <c r="L22" s="151" t="n">
        <f aca="false">MIN(Hipótesis!$D$32,Hipótesis!$D$31+(Hipótesis!$D$32-Hipótesis!$D$31)*MAX(0,10-Hipótesis!$D$29)/Hipótesis!$D$33)</f>
        <v>0.0611111111111111</v>
      </c>
      <c r="M22" s="151" t="n">
        <f aca="false">MIN(Hipótesis!$D$32,Hipótesis!$D$31+(Hipótesis!$D$32-Hipótesis!$D$31)*MAX(0,11-Hipótesis!$D$29)/Hipótesis!$D$33)</f>
        <v>0.0763888888888889</v>
      </c>
      <c r="N22" s="151" t="n">
        <f aca="false">MIN(Hipótesis!$D$32,Hipótesis!$D$31+(Hipótesis!$D$32-Hipótesis!$D$31)*MAX(0,12-Hipótesis!$D$29)/Hipótesis!$D$33)</f>
        <v>0.0916666666666667</v>
      </c>
      <c r="O22" s="151" t="n">
        <f aca="false">MIN(Hipótesis!$D$32,Hipótesis!$D$31+(Hipótesis!$D$32-Hipótesis!$D$31)*MAX(0,13-Hipótesis!$D$29)/Hipótesis!$D$33)</f>
        <v>0.106944444444444</v>
      </c>
      <c r="P22" s="151" t="n">
        <f aca="false">MIN(Hipótesis!$D$32,Hipótesis!$D$31+(Hipótesis!$D$32-Hipótesis!$D$31)*MAX(0,14-Hipótesis!$D$29)/Hipótesis!$D$33)</f>
        <v>0.122222222222222</v>
      </c>
      <c r="Q22" s="151" t="n">
        <f aca="false">MIN(Hipótesis!$D$32,Hipótesis!$D$31+(Hipótesis!$D$32-Hipótesis!$D$31)*MAX(0,15-Hipótesis!$D$29)/Hipótesis!$D$33)</f>
        <v>0.1375</v>
      </c>
      <c r="R22" s="151" t="n">
        <f aca="false">MIN(Hipótesis!$D$32,Hipótesis!$D$31+(Hipótesis!$D$32-Hipótesis!$D$31)*MAX(0,16-Hipótesis!$D$29)/Hipótesis!$D$33)</f>
        <v>0.152777777777778</v>
      </c>
      <c r="S22" s="151" t="n">
        <f aca="false">MIN(Hipótesis!$D$32,Hipótesis!$D$31+(Hipótesis!$D$32-Hipótesis!$D$31)*MAX(0,17-Hipótesis!$D$29)/Hipótesis!$D$33)</f>
        <v>0.168055555555556</v>
      </c>
      <c r="T22" s="151" t="n">
        <f aca="false">MIN(Hipótesis!$D$32,Hipótesis!$D$31+(Hipótesis!$D$32-Hipótesis!$D$31)*MAX(0,18-Hipótesis!$D$29)/Hipótesis!$D$33)</f>
        <v>0.183333333333333</v>
      </c>
      <c r="U22" s="151" t="n">
        <f aca="false">MIN(Hipótesis!$D$32,Hipótesis!$D$31+(Hipótesis!$D$32-Hipótesis!$D$31)*MAX(0,19-Hipótesis!$D$29)/Hipótesis!$D$33)</f>
        <v>0.198611111111111</v>
      </c>
      <c r="V22" s="151" t="n">
        <f aca="false">MIN(Hipótesis!$D$32,Hipótesis!$D$31+(Hipótesis!$D$32-Hipótesis!$D$31)*MAX(0,20-Hipótesis!$D$29)/Hipótesis!$D$33)</f>
        <v>0.213888888888889</v>
      </c>
      <c r="W22" s="151" t="n">
        <f aca="false">MIN(Hipótesis!$D$32,Hipótesis!$D$31+(Hipótesis!$D$32-Hipótesis!$D$31)*MAX(0,21-Hipótesis!$D$29)/Hipótesis!$D$33)</f>
        <v>0.229166666666667</v>
      </c>
      <c r="X22" s="151" t="n">
        <f aca="false">MIN(Hipótesis!$D$32,Hipótesis!$D$31+(Hipótesis!$D$32-Hipótesis!$D$31)*MAX(0,22-Hipótesis!$D$29)/Hipótesis!$D$33)</f>
        <v>0.244444444444444</v>
      </c>
      <c r="Y22" s="151" t="n">
        <f aca="false">MIN(Hipótesis!$D$32,Hipótesis!$D$31+(Hipótesis!$D$32-Hipótesis!$D$31)*MAX(0,23-Hipótesis!$D$29)/Hipótesis!$D$33)</f>
        <v>0.259722222222222</v>
      </c>
      <c r="Z22" s="151" t="n">
        <f aca="false">MIN(Hipótesis!$D$32,Hipótesis!$D$31+(Hipótesis!$D$32-Hipótesis!$D$31)*MAX(0,24-Hipótesis!$D$29)/Hipótesis!$D$33)</f>
        <v>0.275</v>
      </c>
      <c r="AA22" s="151" t="n">
        <f aca="false">MIN(Hipótesis!$D$32,Hipótesis!$D$31+(Hipótesis!$D$32-Hipótesis!$D$31)*MAX(0,25-Hipótesis!$D$29)/Hipótesis!$D$33)</f>
        <v>0.290277777777778</v>
      </c>
      <c r="AB22" s="151" t="n">
        <f aca="false">MIN(Hipótesis!$D$32,Hipótesis!$D$31+(Hipótesis!$D$32-Hipótesis!$D$31)*MAX(0,26-Hipótesis!$D$29)/Hipótesis!$D$33)</f>
        <v>0.305555555555556</v>
      </c>
      <c r="AC22" s="151" t="n">
        <f aca="false">MIN(Hipótesis!$D$32,Hipótesis!$D$31+(Hipótesis!$D$32-Hipótesis!$D$31)*MAX(0,27-Hipótesis!$D$29)/Hipótesis!$D$33)</f>
        <v>0.320833333333333</v>
      </c>
      <c r="AD22" s="151" t="n">
        <f aca="false">MIN(Hipótesis!$D$32,Hipótesis!$D$31+(Hipótesis!$D$32-Hipótesis!$D$31)*MAX(0,28-Hipótesis!$D$29)/Hipótesis!$D$33)</f>
        <v>0.336111111111111</v>
      </c>
      <c r="AE22" s="151" t="n">
        <f aca="false">MIN(Hipótesis!$D$32,Hipótesis!$D$31+(Hipótesis!$D$32-Hipótesis!$D$31)*MAX(0,29-Hipótesis!$D$29)/Hipótesis!$D$33)</f>
        <v>0.351388888888889</v>
      </c>
      <c r="AF22" s="151" t="n">
        <f aca="false">MIN(Hipótesis!$D$32,Hipótesis!$D$31+(Hipótesis!$D$32-Hipótesis!$D$31)*MAX(0,30-Hipótesis!$D$29)/Hipótesis!$D$33)</f>
        <v>0.366666666666667</v>
      </c>
      <c r="AG22" s="151" t="n">
        <f aca="false">MIN(Hipótesis!$D$32,Hipótesis!$D$31+(Hipótesis!$D$32-Hipótesis!$D$31)*MAX(0,31-Hipótesis!$D$29)/Hipótesis!$D$33)</f>
        <v>0.381944444444445</v>
      </c>
      <c r="AH22" s="151" t="n">
        <f aca="false">MIN(Hipótesis!$D$32,Hipótesis!$D$31+(Hipótesis!$D$32-Hipótesis!$D$31)*MAX(0,32-Hipótesis!$D$29)/Hipótesis!$D$33)</f>
        <v>0.397222222222222</v>
      </c>
      <c r="AI22" s="151" t="n">
        <f aca="false">MIN(Hipótesis!$D$32,Hipótesis!$D$31+(Hipótesis!$D$32-Hipótesis!$D$31)*MAX(0,33-Hipótesis!$D$29)/Hipótesis!$D$33)</f>
        <v>0.4125</v>
      </c>
      <c r="AJ22" s="151" t="n">
        <f aca="false">MIN(Hipótesis!$D$32,Hipótesis!$D$31+(Hipótesis!$D$32-Hipótesis!$D$31)*MAX(0,34-Hipótesis!$D$29)/Hipótesis!$D$33)</f>
        <v>0.427777777777778</v>
      </c>
      <c r="AK22" s="151" t="n">
        <f aca="false">MIN(Hipótesis!$D$32,Hipótesis!$D$31+(Hipótesis!$D$32-Hipótesis!$D$31)*MAX(0,35-Hipótesis!$D$29)/Hipótesis!$D$33)</f>
        <v>0.443055555555556</v>
      </c>
      <c r="AL22" s="151" t="n">
        <f aca="false">MIN(Hipótesis!$D$32,Hipótesis!$D$31+(Hipótesis!$D$32-Hipótesis!$D$31)*MAX(0,36-Hipótesis!$D$29)/Hipótesis!$D$33)</f>
        <v>0.458333333333333</v>
      </c>
      <c r="AM22" s="151" t="n">
        <f aca="false">MIN(Hipótesis!$D$32,Hipótesis!$D$31+(Hipótesis!$D$32-Hipótesis!$D$31)*MAX(0,37-Hipótesis!$D$29)/Hipótesis!$D$33)</f>
        <v>0.473611111111111</v>
      </c>
      <c r="AN22" s="151" t="n">
        <f aca="false">MIN(Hipótesis!$D$32,Hipótesis!$D$31+(Hipótesis!$D$32-Hipótesis!$D$31)*MAX(0,38-Hipótesis!$D$29)/Hipótesis!$D$33)</f>
        <v>0.488888888888889</v>
      </c>
      <c r="AO22" s="151" t="n">
        <f aca="false">MIN(Hipótesis!$D$32,Hipótesis!$D$31+(Hipótesis!$D$32-Hipótesis!$D$31)*MAX(0,39-Hipótesis!$D$29)/Hipótesis!$D$33)</f>
        <v>0.504166666666667</v>
      </c>
      <c r="AP22" s="151" t="n">
        <f aca="false">MIN(Hipótesis!$D$32,Hipótesis!$D$31+(Hipótesis!$D$32-Hipótesis!$D$31)*MAX(0,40-Hipótesis!$D$29)/Hipótesis!$D$33)</f>
        <v>0.519444444444445</v>
      </c>
      <c r="AQ22" s="151" t="n">
        <f aca="false">MIN(Hipótesis!$D$32,Hipótesis!$D$31+(Hipótesis!$D$32-Hipótesis!$D$31)*MAX(0,41-Hipótesis!$D$29)/Hipótesis!$D$33)</f>
        <v>0.534722222222222</v>
      </c>
      <c r="AR22" s="151" t="n">
        <f aca="false">MIN(Hipótesis!$D$32,Hipótesis!$D$31+(Hipótesis!$D$32-Hipótesis!$D$31)*MAX(0,42-Hipótesis!$D$29)/Hipótesis!$D$33)</f>
        <v>0.55</v>
      </c>
      <c r="AS22" s="151" t="n">
        <f aca="false">MIN(Hipótesis!$D$32,Hipótesis!$D$31+(Hipótesis!$D$32-Hipótesis!$D$31)*MAX(0,43-Hipótesis!$D$29)/Hipótesis!$D$33)</f>
        <v>0.55</v>
      </c>
      <c r="AT22" s="151" t="n">
        <f aca="false">MIN(Hipótesis!$D$32,Hipótesis!$D$31+(Hipótesis!$D$32-Hipótesis!$D$31)*MAX(0,44-Hipótesis!$D$29)/Hipótesis!$D$33)</f>
        <v>0.55</v>
      </c>
      <c r="AU22" s="151" t="n">
        <f aca="false">MIN(Hipótesis!$D$32,Hipótesis!$D$31+(Hipótesis!$D$32-Hipótesis!$D$31)*MAX(0,45-Hipótesis!$D$29)/Hipótesis!$D$33)</f>
        <v>0.55</v>
      </c>
      <c r="AV22" s="151" t="n">
        <f aca="false">MIN(Hipótesis!$D$32,Hipótesis!$D$31+(Hipótesis!$D$32-Hipótesis!$D$31)*MAX(0,46-Hipótesis!$D$29)/Hipótesis!$D$33)</f>
        <v>0.55</v>
      </c>
      <c r="AW22" s="151" t="n">
        <f aca="false">MIN(Hipótesis!$D$32,Hipótesis!$D$31+(Hipótesis!$D$32-Hipótesis!$D$31)*MAX(0,47-Hipótesis!$D$29)/Hipótesis!$D$33)</f>
        <v>0.55</v>
      </c>
      <c r="AX22" s="151" t="n">
        <f aca="false">MIN(Hipótesis!$D$32,Hipótesis!$D$31+(Hipótesis!$D$32-Hipótesis!$D$31)*MAX(0,48-Hipótesis!$D$29)/Hipótesis!$D$33)</f>
        <v>0.55</v>
      </c>
      <c r="AY22" s="151" t="n">
        <f aca="false">MIN(Hipótesis!$D$32,Hipótesis!$D$31+(Hipótesis!$D$32-Hipótesis!$D$31)*MAX(0,49-Hipótesis!$D$29)/Hipótesis!$D$33)</f>
        <v>0.55</v>
      </c>
      <c r="AZ22" s="151" t="n">
        <f aca="false">MIN(Hipótesis!$D$32,Hipótesis!$D$31+(Hipótesis!$D$32-Hipótesis!$D$31)*MAX(0,50-Hipótesis!$D$29)/Hipótesis!$D$33)</f>
        <v>0.55</v>
      </c>
      <c r="BA22" s="151" t="n">
        <f aca="false">MIN(Hipótesis!$D$32,Hipótesis!$D$31+(Hipótesis!$D$32-Hipótesis!$D$31)*MAX(0,51-Hipótesis!$D$29)/Hipótesis!$D$33)</f>
        <v>0.55</v>
      </c>
      <c r="BB22" s="151" t="n">
        <f aca="false">MIN(Hipótesis!$D$32,Hipótesis!$D$31+(Hipótesis!$D$32-Hipótesis!$D$31)*MAX(0,52-Hipótesis!$D$29)/Hipótesis!$D$33)</f>
        <v>0.55</v>
      </c>
      <c r="BC22" s="151" t="n">
        <f aca="false">MIN(Hipótesis!$D$32,Hipótesis!$D$31+(Hipótesis!$D$32-Hipótesis!$D$31)*MAX(0,53-Hipótesis!$D$29)/Hipótesis!$D$33)</f>
        <v>0.55</v>
      </c>
      <c r="BD22" s="151" t="n">
        <f aca="false">MIN(Hipótesis!$D$32,Hipótesis!$D$31+(Hipótesis!$D$32-Hipótesis!$D$31)*MAX(0,54-Hipótesis!$D$29)/Hipótesis!$D$33)</f>
        <v>0.55</v>
      </c>
      <c r="BE22" s="151" t="n">
        <f aca="false">MIN(Hipótesis!$D$32,Hipótesis!$D$31+(Hipótesis!$D$32-Hipótesis!$D$31)*MAX(0,55-Hipótesis!$D$29)/Hipótesis!$D$33)</f>
        <v>0.55</v>
      </c>
      <c r="BF22" s="151" t="n">
        <f aca="false">MIN(Hipótesis!$D$32,Hipótesis!$D$31+(Hipótesis!$D$32-Hipótesis!$D$31)*MAX(0,56-Hipótesis!$D$29)/Hipótesis!$D$33)</f>
        <v>0.55</v>
      </c>
      <c r="BG22" s="151" t="n">
        <f aca="false">MIN(Hipótesis!$D$32,Hipótesis!$D$31+(Hipótesis!$D$32-Hipótesis!$D$31)*MAX(0,57-Hipótesis!$D$29)/Hipótesis!$D$33)</f>
        <v>0.55</v>
      </c>
      <c r="BH22" s="151" t="n">
        <f aca="false">MIN(Hipótesis!$D$32,Hipótesis!$D$31+(Hipótesis!$D$32-Hipótesis!$D$31)*MAX(0,58-Hipótesis!$D$29)/Hipótesis!$D$33)</f>
        <v>0.55</v>
      </c>
      <c r="BI22" s="151" t="n">
        <f aca="false">MIN(Hipótesis!$D$32,Hipótesis!$D$31+(Hipótesis!$D$32-Hipótesis!$D$31)*MAX(0,59-Hipótesis!$D$29)/Hipótesis!$D$33)</f>
        <v>0.55</v>
      </c>
      <c r="BJ22" s="151" t="n">
        <f aca="false">MIN(Hipótesis!$D$32,Hipótesis!$D$31+(Hipótesis!$D$32-Hipótesis!$D$31)*MAX(0,60-Hipótesis!$D$29)/Hipótesis!$D$33)</f>
        <v>0.55</v>
      </c>
      <c r="BK22" s="151" t="n">
        <f aca="false">MIN(Hipótesis!$D$32,Hipótesis!$D$31+(Hipótesis!$D$32-Hipótesis!$D$31)*MAX(0,61-Hipótesis!$D$29)/Hipótesis!$D$33)</f>
        <v>0.55</v>
      </c>
      <c r="BL22" s="151" t="n">
        <f aca="false">MIN(Hipótesis!$D$32,Hipótesis!$D$31+(Hipótesis!$D$32-Hipótesis!$D$31)*MAX(0,62-Hipótesis!$D$29)/Hipótesis!$D$33)</f>
        <v>0.55</v>
      </c>
      <c r="BM22" s="151" t="n">
        <f aca="false">MIN(Hipótesis!$D$32,Hipótesis!$D$31+(Hipótesis!$D$32-Hipótesis!$D$31)*MAX(0,63-Hipótesis!$D$29)/Hipótesis!$D$33)</f>
        <v>0.55</v>
      </c>
      <c r="BN22" s="151" t="n">
        <f aca="false">MIN(Hipótesis!$D$32,Hipótesis!$D$31+(Hipótesis!$D$32-Hipótesis!$D$31)*MAX(0,64-Hipótesis!$D$29)/Hipótesis!$D$33)</f>
        <v>0.55</v>
      </c>
      <c r="BO22" s="151" t="n">
        <f aca="false">MIN(Hipótesis!$D$32,Hipótesis!$D$31+(Hipótesis!$D$32-Hipótesis!$D$31)*MAX(0,65-Hipótesis!$D$29)/Hipótesis!$D$33)</f>
        <v>0.55</v>
      </c>
      <c r="BP22" s="151" t="n">
        <f aca="false">MIN(Hipótesis!$D$32,Hipótesis!$D$31+(Hipótesis!$D$32-Hipótesis!$D$31)*MAX(0,66-Hipótesis!$D$29)/Hipótesis!$D$33)</f>
        <v>0.55</v>
      </c>
      <c r="BQ22" s="151" t="n">
        <f aca="false">MIN(Hipótesis!$D$32,Hipótesis!$D$31+(Hipótesis!$D$32-Hipótesis!$D$31)*MAX(0,67-Hipótesis!$D$29)/Hipótesis!$D$33)</f>
        <v>0.55</v>
      </c>
      <c r="BR22" s="151" t="n">
        <f aca="false">MIN(Hipótesis!$D$32,Hipótesis!$D$31+(Hipótesis!$D$32-Hipótesis!$D$31)*MAX(0,68-Hipótesis!$D$29)/Hipótesis!$D$33)</f>
        <v>0.55</v>
      </c>
      <c r="BS22" s="151" t="n">
        <f aca="false">MIN(Hipótesis!$D$32,Hipótesis!$D$31+(Hipótesis!$D$32-Hipótesis!$D$31)*MAX(0,69-Hipótesis!$D$29)/Hipótesis!$D$33)</f>
        <v>0.55</v>
      </c>
      <c r="BT22" s="151" t="n">
        <f aca="false">MIN(Hipótesis!$D$32,Hipótesis!$D$31+(Hipótesis!$D$32-Hipótesis!$D$31)*MAX(0,70-Hipótesis!$D$29)/Hipótesis!$D$33)</f>
        <v>0.55</v>
      </c>
      <c r="BU22" s="151" t="n">
        <f aca="false">MIN(Hipótesis!$D$32,Hipótesis!$D$31+(Hipótesis!$D$32-Hipótesis!$D$31)*MAX(0,71-Hipótesis!$D$29)/Hipótesis!$D$33)</f>
        <v>0.55</v>
      </c>
      <c r="BV22" s="151" t="n">
        <f aca="false">MIN(Hipótesis!$D$32,Hipótesis!$D$31+(Hipótesis!$D$32-Hipótesis!$D$31)*MAX(0,72-Hipótesis!$D$29)/Hipótesis!$D$33)</f>
        <v>0.55</v>
      </c>
      <c r="BW22" s="151" t="n">
        <f aca="false">MIN(Hipótesis!$D$32,Hipótesis!$D$31+(Hipótesis!$D$32-Hipótesis!$D$31)*MAX(0,73-Hipótesis!$D$29)/Hipótesis!$D$33)</f>
        <v>0.55</v>
      </c>
      <c r="BX22" s="151" t="n">
        <f aca="false">MIN(Hipótesis!$D$32,Hipótesis!$D$31+(Hipótesis!$D$32-Hipótesis!$D$31)*MAX(0,74-Hipótesis!$D$29)/Hipótesis!$D$33)</f>
        <v>0.55</v>
      </c>
      <c r="BY22" s="151" t="n">
        <f aca="false">MIN(Hipótesis!$D$32,Hipótesis!$D$31+(Hipótesis!$D$32-Hipótesis!$D$31)*MAX(0,75-Hipótesis!$D$29)/Hipótesis!$D$33)</f>
        <v>0.55</v>
      </c>
      <c r="BZ22" s="151" t="n">
        <f aca="false">MIN(Hipótesis!$D$32,Hipótesis!$D$31+(Hipótesis!$D$32-Hipótesis!$D$31)*MAX(0,76-Hipótesis!$D$29)/Hipótesis!$D$33)</f>
        <v>0.55</v>
      </c>
      <c r="CA22" s="151" t="n">
        <f aca="false">MIN(Hipótesis!$D$32,Hipótesis!$D$31+(Hipótesis!$D$32-Hipótesis!$D$31)*MAX(0,77-Hipótesis!$D$29)/Hipótesis!$D$33)</f>
        <v>0.55</v>
      </c>
      <c r="CB22" s="151" t="n">
        <f aca="false">MIN(Hipótesis!$D$32,Hipótesis!$D$31+(Hipótesis!$D$32-Hipótesis!$D$31)*MAX(0,78-Hipótesis!$D$29)/Hipótesis!$D$33)</f>
        <v>0.55</v>
      </c>
      <c r="CC22" s="151" t="n">
        <f aca="false">MIN(Hipótesis!$D$32,Hipótesis!$D$31+(Hipótesis!$D$32-Hipótesis!$D$31)*MAX(0,79-Hipótesis!$D$29)/Hipótesis!$D$33)</f>
        <v>0.55</v>
      </c>
      <c r="CD22" s="151" t="n">
        <f aca="false">MIN(Hipótesis!$D$32,Hipótesis!$D$31+(Hipótesis!$D$32-Hipótesis!$D$31)*MAX(0,80-Hipótesis!$D$29)/Hipótesis!$D$33)</f>
        <v>0.55</v>
      </c>
      <c r="CE22" s="151" t="n">
        <f aca="false">MIN(Hipótesis!$D$32,Hipótesis!$D$31+(Hipótesis!$D$32-Hipótesis!$D$31)*MAX(0,81-Hipótesis!$D$29)/Hipótesis!$D$33)</f>
        <v>0.55</v>
      </c>
      <c r="CF22" s="151" t="n">
        <f aca="false">MIN(Hipótesis!$D$32,Hipótesis!$D$31+(Hipótesis!$D$32-Hipótesis!$D$31)*MAX(0,82-Hipótesis!$D$29)/Hipótesis!$D$33)</f>
        <v>0.55</v>
      </c>
      <c r="CG22" s="151" t="n">
        <f aca="false">MIN(Hipótesis!$D$32,Hipótesis!$D$31+(Hipótesis!$D$32-Hipótesis!$D$31)*MAX(0,83-Hipótesis!$D$29)/Hipótesis!$D$33)</f>
        <v>0.55</v>
      </c>
      <c r="CH22" s="151" t="n">
        <f aca="false">MIN(Hipótesis!$D$32,Hipótesis!$D$31+(Hipótesis!$D$32-Hipótesis!$D$31)*MAX(0,84-Hipótesis!$D$29)/Hipótesis!$D$33)</f>
        <v>0.55</v>
      </c>
    </row>
    <row r="23" customFormat="false" ht="13.5" hidden="false" customHeight="true" outlineLevel="0" collapsed="false">
      <c r="A23" s="13" t="s">
        <v>706</v>
      </c>
      <c r="C23" s="139" t="n">
        <f aca="false">MAX(0,MIN(C8*C22-C177,C8-C18*C21-C178))</f>
        <v>0</v>
      </c>
      <c r="D23" s="139" t="n">
        <f aca="false">MAX(0,MIN(D8*D22-D177,D8-D18*D21-D178))</f>
        <v>0</v>
      </c>
      <c r="E23" s="139" t="n">
        <f aca="false">MAX(0,MIN(E8*E22-E177,E8-E18*E21-E178))</f>
        <v>0</v>
      </c>
      <c r="F23" s="139" t="n">
        <f aca="false">MAX(0,MIN(F8*F22-F177,F8-F18*F21-F178))</f>
        <v>0</v>
      </c>
      <c r="G23" s="139" t="n">
        <f aca="false">MAX(0,MIN(G8*G22-G177,G8-G18*G21-G178))</f>
        <v>0</v>
      </c>
      <c r="H23" s="139" t="n">
        <f aca="false">MAX(0,MIN(H8*H22-H177,H8-H18*H21-H178))</f>
        <v>0</v>
      </c>
      <c r="I23" s="139" t="n">
        <f aca="false">MAX(0,MIN(I8*I22-I177,I8-I18*I21-I178))</f>
        <v>2</v>
      </c>
      <c r="J23" s="139" t="n">
        <f aca="false">MAX(0,MIN(J8*J22-J177,J8-J18*J21-J178))</f>
        <v>40</v>
      </c>
      <c r="K23" s="139" t="n">
        <f aca="false">MAX(0,MIN(K8*K22-K177,K8-K18*K21-K178))</f>
        <v>78</v>
      </c>
      <c r="L23" s="139" t="n">
        <f aca="false">MAX(0,MIN(L8*L22-L177,L8-L18*L21-L178))</f>
        <v>116</v>
      </c>
      <c r="M23" s="139" t="n">
        <f aca="false">MAX(0,MIN(M8*M22-M177,M8-M18*M21-M178))</f>
        <v>154</v>
      </c>
      <c r="N23" s="139" t="n">
        <f aca="false">MAX(0,MIN(N8*N22-N177,N8-N18*N21-N178))</f>
        <v>192</v>
      </c>
      <c r="O23" s="139" t="n">
        <f aca="false">MAX(0,MIN(O8*O22-O177,O8-O18*O21-O178))</f>
        <v>230</v>
      </c>
      <c r="P23" s="139" t="n">
        <f aca="false">MAX(0,MIN(P8*P22-P177,P8-P18*P21-P178))</f>
        <v>268</v>
      </c>
      <c r="Q23" s="139" t="n">
        <f aca="false">MAX(0,MIN(Q8*Q22-Q177,Q8-Q18*Q21-Q178))</f>
        <v>306</v>
      </c>
      <c r="R23" s="139" t="n">
        <f aca="false">MAX(0,MIN(R8*R22-R177,R8-R18*R21-R178))</f>
        <v>344</v>
      </c>
      <c r="S23" s="139" t="n">
        <f aca="false">MAX(0,MIN(S8*S22-S177,S8-S18*S21-S178))</f>
        <v>382</v>
      </c>
      <c r="T23" s="139" t="n">
        <f aca="false">MAX(0,MIN(T8*T22-T177,T8-T18*T21-T178))</f>
        <v>420</v>
      </c>
      <c r="U23" s="139" t="n">
        <f aca="false">MAX(0,MIN(U8*U22-U177,U8-U18*U21-U178))</f>
        <v>458</v>
      </c>
      <c r="V23" s="139" t="n">
        <f aca="false">MAX(0,MIN(V8*V22-V177,V8-V18*V21-V178))</f>
        <v>496</v>
      </c>
      <c r="W23" s="139" t="n">
        <f aca="false">MAX(0,MIN(W8*W22-W177,W8-W18*W21-W178))</f>
        <v>534</v>
      </c>
      <c r="X23" s="139" t="n">
        <f aca="false">MAX(0,MIN(X8*X22-X177,X8-X18*X21-X178))</f>
        <v>572</v>
      </c>
      <c r="Y23" s="139" t="n">
        <f aca="false">MAX(0,MIN(Y8*Y22-Y177,Y8-Y18*Y21-Y178))</f>
        <v>610</v>
      </c>
      <c r="Z23" s="139" t="n">
        <f aca="false">MAX(0,MIN(Z8*Z22-Z177,Z8-Z18*Z21-Z178))</f>
        <v>648</v>
      </c>
      <c r="AA23" s="139" t="n">
        <f aca="false">MAX(0,MIN(AA8*AA22-AA177,AA8-AA18*AA21-AA178))</f>
        <v>692</v>
      </c>
      <c r="AB23" s="139" t="n">
        <f aca="false">MAX(0,MIN(AB8*AB22-AB177,AB8-AB18*AB21-AB178))</f>
        <v>736</v>
      </c>
      <c r="AC23" s="139" t="n">
        <f aca="false">MAX(0,MIN(AC8*AC22-AC177,AC8-AC18*AC21-AC178))</f>
        <v>780</v>
      </c>
      <c r="AD23" s="139" t="n">
        <f aca="false">MAX(0,MIN(AD8*AD22-AD177,AD8-AD18*AD21-AD178))</f>
        <v>824</v>
      </c>
      <c r="AE23" s="139" t="n">
        <f aca="false">MAX(0,MIN(AE8*AE22-AE177,AE8-AE18*AE21-AE178))</f>
        <v>868</v>
      </c>
      <c r="AF23" s="139" t="n">
        <f aca="false">MAX(0,MIN(AF8*AF22-AF177,AF8-AF18*AF21-AF178))</f>
        <v>912</v>
      </c>
      <c r="AG23" s="139" t="n">
        <f aca="false">MAX(0,MIN(AG8*AG22-AG177,AG8-AG18*AG21-AG178))</f>
        <v>956</v>
      </c>
      <c r="AH23" s="139" t="n">
        <f aca="false">MAX(0,MIN(AH8*AH22-AH177,AH8-AH18*AH21-AH178))</f>
        <v>1000</v>
      </c>
      <c r="AI23" s="139" t="n">
        <f aca="false">MAX(0,MIN(AI8*AI22-AI177,AI8-AI18*AI21-AI178))</f>
        <v>1044</v>
      </c>
      <c r="AJ23" s="139" t="n">
        <f aca="false">MAX(0,MIN(AJ8*AJ22-AJ177,AJ8-AJ18*AJ21-AJ178))</f>
        <v>1088</v>
      </c>
      <c r="AK23" s="139" t="n">
        <f aca="false">MAX(0,MIN(AK8*AK22-AK177,AK8-AK18*AK21-AK178))</f>
        <v>1132</v>
      </c>
      <c r="AL23" s="139" t="n">
        <f aca="false">MAX(0,MIN(AL8*AL22-AL177,AL8-AL18*AL21-AL178))</f>
        <v>1176</v>
      </c>
      <c r="AM23" s="139" t="n">
        <f aca="false">MAX(0,MIN(AM8*AM22-AM177,AM8-AM18*AM21-AM178))</f>
        <v>1220</v>
      </c>
      <c r="AN23" s="139" t="n">
        <f aca="false">MAX(0,MIN(AN8*AN22-AN177,AN8-AN18*AN21-AN178))</f>
        <v>1264</v>
      </c>
      <c r="AO23" s="139" t="n">
        <f aca="false">MAX(0,MIN(AO8*AO22-AO177,AO8-AO18*AO21-AO178))</f>
        <v>1308</v>
      </c>
      <c r="AP23" s="139" t="n">
        <f aca="false">MAX(0,MIN(AP8*AP22-AP177,AP8-AP18*AP21-AP178))</f>
        <v>1352</v>
      </c>
      <c r="AQ23" s="139" t="n">
        <f aca="false">MAX(0,MIN(AQ8*AQ22-AQ177,AQ8-AQ18*AQ21-AQ178))</f>
        <v>1396</v>
      </c>
      <c r="AR23" s="139" t="n">
        <f aca="false">MAX(0,MIN(AR8*AR22-AR177,AR8-AR18*AR21-AR178))</f>
        <v>1440</v>
      </c>
      <c r="AS23" s="139" t="n">
        <f aca="false">MAX(0,MIN(AS8*AS22-AS177,AS8-AS18*AS21-AS178))</f>
        <v>1440</v>
      </c>
      <c r="AT23" s="139" t="n">
        <f aca="false">MAX(0,MIN(AT8*AT22-AT177,AT8-AT18*AT21-AT178))</f>
        <v>1440</v>
      </c>
      <c r="AU23" s="139" t="n">
        <f aca="false">MAX(0,MIN(AU8*AU22-AU177,AU8-AU18*AU21-AU178))</f>
        <v>1440</v>
      </c>
      <c r="AV23" s="139" t="n">
        <f aca="false">MAX(0,MIN(AV8*AV22-AV177,AV8-AV18*AV21-AV178))</f>
        <v>1440</v>
      </c>
      <c r="AW23" s="139" t="n">
        <f aca="false">MAX(0,MIN(AW8*AW22-AW177,AW8-AW18*AW21-AW178))</f>
        <v>1440</v>
      </c>
      <c r="AX23" s="139" t="n">
        <f aca="false">MAX(0,MIN(AX8*AX22-AX177,AX8-AX18*AX21-AX178))</f>
        <v>1440</v>
      </c>
      <c r="AY23" s="139" t="n">
        <f aca="false">MAX(0,MIN(AY8*AY22-AY177,AY8-AY18*AY21-AY178))</f>
        <v>1440</v>
      </c>
      <c r="AZ23" s="139" t="n">
        <f aca="false">MAX(0,MIN(AZ8*AZ22-AZ177,AZ8-AZ18*AZ21-AZ178))</f>
        <v>1440</v>
      </c>
      <c r="BA23" s="139" t="n">
        <f aca="false">MAX(0,MIN(BA8*BA22-BA177,BA8-BA18*BA21-BA178))</f>
        <v>1440</v>
      </c>
      <c r="BB23" s="139" t="n">
        <f aca="false">MAX(0,MIN(BB8*BB22-BB177,BB8-BB18*BB21-BB178))</f>
        <v>1440</v>
      </c>
      <c r="BC23" s="139" t="n">
        <f aca="false">MAX(0,MIN(BC8*BC22-BC177,BC8-BC18*BC21-BC178))</f>
        <v>1440</v>
      </c>
      <c r="BD23" s="139" t="n">
        <f aca="false">MAX(0,MIN(BD8*BD22-BD177,BD8-BD18*BD21-BD178))</f>
        <v>1440</v>
      </c>
      <c r="BE23" s="139" t="n">
        <f aca="false">MAX(0,MIN(BE8*BE22-BE177,BE8-BE18*BE21-BE178))</f>
        <v>1440</v>
      </c>
      <c r="BF23" s="139" t="n">
        <f aca="false">MAX(0,MIN(BF8*BF22-BF177,BF8-BF18*BF21-BF178))</f>
        <v>1440</v>
      </c>
      <c r="BG23" s="139" t="n">
        <f aca="false">MAX(0,MIN(BG8*BG22-BG177,BG8-BG18*BG21-BG178))</f>
        <v>1440</v>
      </c>
      <c r="BH23" s="139" t="n">
        <f aca="false">MAX(0,MIN(BH8*BH22-BH177,BH8-BH18*BH21-BH178))</f>
        <v>1440</v>
      </c>
      <c r="BI23" s="139" t="n">
        <f aca="false">MAX(0,MIN(BI8*BI22-BI177,BI8-BI18*BI21-BI178))</f>
        <v>1440</v>
      </c>
      <c r="BJ23" s="139" t="n">
        <f aca="false">MAX(0,MIN(BJ8*BJ22-BJ177,BJ8-BJ18*BJ21-BJ178))</f>
        <v>1440</v>
      </c>
      <c r="BK23" s="139" t="n">
        <f aca="false">MAX(0,MIN(BK8*BK22-BK177,BK8-BK18*BK21-BK178))</f>
        <v>1440</v>
      </c>
      <c r="BL23" s="139" t="n">
        <f aca="false">MAX(0,MIN(BL8*BL22-BL177,BL8-BL18*BL21-BL178))</f>
        <v>1440</v>
      </c>
      <c r="BM23" s="139" t="n">
        <f aca="false">MAX(0,MIN(BM8*BM22-BM177,BM8-BM18*BM21-BM178))</f>
        <v>1440</v>
      </c>
      <c r="BN23" s="139" t="n">
        <f aca="false">MAX(0,MIN(BN8*BN22-BN177,BN8-BN18*BN21-BN178))</f>
        <v>1440</v>
      </c>
      <c r="BO23" s="139" t="n">
        <f aca="false">MAX(0,MIN(BO8*BO22-BO177,BO8-BO18*BO21-BO178))</f>
        <v>1440</v>
      </c>
      <c r="BP23" s="139" t="n">
        <f aca="false">MAX(0,MIN(BP8*BP22-BP177,BP8-BP18*BP21-BP178))</f>
        <v>1440</v>
      </c>
      <c r="BQ23" s="139" t="n">
        <f aca="false">MAX(0,MIN(BQ8*BQ22-BQ177,BQ8-BQ18*BQ21-BQ178))</f>
        <v>1440</v>
      </c>
      <c r="BR23" s="139" t="n">
        <f aca="false">MAX(0,MIN(BR8*BR22-BR177,BR8-BR18*BR21-BR178))</f>
        <v>1440</v>
      </c>
      <c r="BS23" s="139" t="n">
        <f aca="false">MAX(0,MIN(BS8*BS22-BS177,BS8-BS18*BS21-BS178))</f>
        <v>1440</v>
      </c>
      <c r="BT23" s="139" t="n">
        <f aca="false">MAX(0,MIN(BT8*BT22-BT177,BT8-BT18*BT21-BT178))</f>
        <v>1440</v>
      </c>
      <c r="BU23" s="139" t="n">
        <f aca="false">MAX(0,MIN(BU8*BU22-BU177,BU8-BU18*BU21-BU178))</f>
        <v>1440</v>
      </c>
      <c r="BV23" s="139" t="n">
        <f aca="false">MAX(0,MIN(BV8*BV22-BV177,BV8-BV18*BV21-BV178))</f>
        <v>1440</v>
      </c>
      <c r="BW23" s="139" t="n">
        <f aca="false">MAX(0,MIN(BW8*BW22-BW177,BW8-BW18*BW21-BW178))</f>
        <v>1440</v>
      </c>
      <c r="BX23" s="139" t="n">
        <f aca="false">MAX(0,MIN(BX8*BX22-BX177,BX8-BX18*BX21-BX178))</f>
        <v>1440</v>
      </c>
      <c r="BY23" s="139" t="n">
        <f aca="false">MAX(0,MIN(BY8*BY22-BY177,BY8-BY18*BY21-BY178))</f>
        <v>1440</v>
      </c>
      <c r="BZ23" s="139" t="n">
        <f aca="false">MAX(0,MIN(BZ8*BZ22-BZ177,BZ8-BZ18*BZ21-BZ178))</f>
        <v>1440</v>
      </c>
      <c r="CA23" s="139" t="n">
        <f aca="false">MAX(0,MIN(CA8*CA22-CA177,CA8-CA18*CA21-CA178))</f>
        <v>1440</v>
      </c>
      <c r="CB23" s="139" t="n">
        <f aca="false">MAX(0,MIN(CB8*CB22-CB177,CB8-CB18*CB21-CB178))</f>
        <v>1440</v>
      </c>
      <c r="CC23" s="139" t="n">
        <f aca="false">MAX(0,MIN(CC8*CC22-CC177,CC8-CC18*CC21-CC178))</f>
        <v>1440</v>
      </c>
      <c r="CD23" s="139" t="n">
        <f aca="false">MAX(0,MIN(CD8*CD22-CD177,CD8-CD18*CD21-CD178))</f>
        <v>1440</v>
      </c>
      <c r="CE23" s="139" t="n">
        <f aca="false">MAX(0,MIN(CE8*CE22-CE177,CE8-CE18*CE21-CE178))</f>
        <v>1440</v>
      </c>
      <c r="CF23" s="139" t="n">
        <f aca="false">MAX(0,MIN(CF8*CF22-CF177,CF8-CF18*CF21-CF178))</f>
        <v>1440</v>
      </c>
      <c r="CG23" s="139" t="n">
        <f aca="false">MAX(0,MIN(CG8*CG22-CG177,CG8-CG18*CG21-CG178))</f>
        <v>1440</v>
      </c>
      <c r="CH23" s="139" t="n">
        <f aca="false">MAX(0,MIN(CH8*CH22-CH177,CH8-CH18*CH21-CH178))</f>
        <v>1440</v>
      </c>
    </row>
    <row r="24" customFormat="false" ht="13.5" hidden="false" customHeight="true" outlineLevel="0" collapsed="false">
      <c r="A24" s="30" t="s">
        <v>707</v>
      </c>
      <c r="C24" s="139" t="n">
        <f aca="false">C18*C21+C23+C178</f>
        <v>44.3601797063335</v>
      </c>
      <c r="D24" s="139" t="n">
        <f aca="false">D18*D21+D23+D178</f>
        <v>90.5877454203246</v>
      </c>
      <c r="E24" s="139" t="n">
        <f aca="false">E18*E21+E23+E178</f>
        <v>167.499906224817</v>
      </c>
      <c r="F24" s="139" t="n">
        <f aca="false">F18*F21+F23+F178</f>
        <v>206.051887322976</v>
      </c>
      <c r="G24" s="139" t="n">
        <f aca="false">G18*G21+G23+G178</f>
        <v>217.236482413478</v>
      </c>
      <c r="H24" s="139" t="n">
        <f aca="false">H18*H21+H23+H178</f>
        <v>300.818208841722</v>
      </c>
      <c r="I24" s="139" t="n">
        <f aca="false">I18*I21+I23+I178</f>
        <v>360.899935269966</v>
      </c>
      <c r="J24" s="139" t="n">
        <f aca="false">J18*J21+J23+J178</f>
        <v>456.98166169821</v>
      </c>
      <c r="K24" s="139" t="n">
        <f aca="false">K18*K21+K23+K178</f>
        <v>553.063388126454</v>
      </c>
      <c r="L24" s="139" t="n">
        <f aca="false">L18*L21+L23+L178</f>
        <v>649.145114554698</v>
      </c>
      <c r="M24" s="139" t="n">
        <f aca="false">M18*M21+M23+M178</f>
        <v>714.54224589244</v>
      </c>
      <c r="N24" s="139" t="n">
        <f aca="false">N18*N21+N23+N178</f>
        <v>811.062477357807</v>
      </c>
      <c r="O24" s="139" t="n">
        <f aca="false">O18*O21+O23+O178</f>
        <v>907.582708823174</v>
      </c>
      <c r="P24" s="139" t="n">
        <f aca="false">P18*P21+P23+P178</f>
        <v>995.155049001849</v>
      </c>
      <c r="Q24" s="139" t="n">
        <f aca="false">Q18*Q21+Q23+Q178</f>
        <v>1082.72738918052</v>
      </c>
      <c r="R24" s="139" t="n">
        <f aca="false">R18*R21+R23+R178</f>
        <v>1170.2997293592</v>
      </c>
      <c r="S24" s="139" t="n">
        <f aca="false">S18*S21+S23+S178</f>
        <v>1171.17206953787</v>
      </c>
      <c r="T24" s="139" t="n">
        <f aca="false">T18*T21+T23+T178</f>
        <v>1345.44440971655</v>
      </c>
      <c r="U24" s="139" t="n">
        <f aca="false">U18*U21+U23+U178</f>
        <v>1433.01674989522</v>
      </c>
      <c r="V24" s="139" t="n">
        <f aca="false">V18*V21+V23+V178</f>
        <v>1520.5890900739</v>
      </c>
      <c r="W24" s="139" t="n">
        <f aca="false">W18*W21+W23+W178</f>
        <v>1608.16143025257</v>
      </c>
      <c r="X24" s="139" t="n">
        <f aca="false">X18*X21+X23+X178</f>
        <v>1664.61067030362</v>
      </c>
      <c r="Y24" s="139" t="n">
        <f aca="false">Y18*Y21+Y23+Y178</f>
        <v>1721.05991035467</v>
      </c>
      <c r="Z24" s="139" t="n">
        <f aca="false">Z18*Z21+Z23+Z178</f>
        <v>1765.05991035467</v>
      </c>
      <c r="AA24" s="139" t="n">
        <f aca="false">AA18*AA21+AA23+AA178</f>
        <v>1809.05991035467</v>
      </c>
      <c r="AB24" s="139" t="n">
        <f aca="false">AB18*AB21+AB23+AB178</f>
        <v>1853.05991035467</v>
      </c>
      <c r="AC24" s="139" t="n">
        <f aca="false">AC18*AC21+AC23+AC178</f>
        <v>1897.05991035467</v>
      </c>
      <c r="AD24" s="139" t="n">
        <f aca="false">AD18*AD21+AD23+AD178</f>
        <v>1941.05991035467</v>
      </c>
      <c r="AE24" s="139" t="n">
        <f aca="false">AE18*AE21+AE23+AE178</f>
        <v>1862.65991035467</v>
      </c>
      <c r="AF24" s="139" t="n">
        <f aca="false">AF18*AF21+AF23+AF178</f>
        <v>2029.05991035467</v>
      </c>
      <c r="AG24" s="139" t="n">
        <f aca="false">AG18*AG21+AG23+AG178</f>
        <v>2073.05991035467</v>
      </c>
      <c r="AH24" s="139" t="n">
        <f aca="false">AH18*AH21+AH23+AH178</f>
        <v>2117.05991035467</v>
      </c>
      <c r="AI24" s="139" t="n">
        <f aca="false">AI18*AI21+AI23+AI178</f>
        <v>2161.05991035467</v>
      </c>
      <c r="AJ24" s="139" t="n">
        <f aca="false">AJ18*AJ21+AJ23+AJ178</f>
        <v>2205.05991035467</v>
      </c>
      <c r="AK24" s="139" t="n">
        <f aca="false">AK18*AK21+AK23+AK178</f>
        <v>2249.05991035467</v>
      </c>
      <c r="AL24" s="139" t="n">
        <f aca="false">AL18*AL21+AL23+AL178</f>
        <v>2293.05991035467</v>
      </c>
      <c r="AM24" s="139" t="n">
        <f aca="false">AM18*AM21+AM23+AM178</f>
        <v>2337.05991035467</v>
      </c>
      <c r="AN24" s="139" t="n">
        <f aca="false">AN18*AN21+AN23+AN178</f>
        <v>2381.05991035467</v>
      </c>
      <c r="AO24" s="139" t="n">
        <f aca="false">AO18*AO21+AO23+AO178</f>
        <v>2425.05991035467</v>
      </c>
      <c r="AP24" s="139" t="n">
        <f aca="false">AP18*AP21+AP23+AP178</f>
        <v>2469.05991035467</v>
      </c>
      <c r="AQ24" s="139" t="n">
        <f aca="false">AQ18*AQ21+AQ23+AQ178</f>
        <v>2390.65991035467</v>
      </c>
      <c r="AR24" s="139" t="n">
        <f aca="false">AR18*AR21+AR23+AR178</f>
        <v>2557.05991035467</v>
      </c>
      <c r="AS24" s="139" t="n">
        <f aca="false">AS18*AS21+AS23+AS178</f>
        <v>2557.05991035467</v>
      </c>
      <c r="AT24" s="139" t="n">
        <f aca="false">AT18*AT21+AT23+AT178</f>
        <v>2557.05991035467</v>
      </c>
      <c r="AU24" s="139" t="n">
        <f aca="false">AU18*AU21+AU23+AU178</f>
        <v>2557.05991035467</v>
      </c>
      <c r="AV24" s="139" t="n">
        <f aca="false">AV18*AV21+AV23+AV178</f>
        <v>2557.05991035467</v>
      </c>
      <c r="AW24" s="139" t="n">
        <f aca="false">AW18*AW21+AW23+AW178</f>
        <v>2557.05991035467</v>
      </c>
      <c r="AX24" s="139" t="n">
        <f aca="false">AX18*AX21+AX23+AX178</f>
        <v>2557.05991035467</v>
      </c>
      <c r="AY24" s="139" t="n">
        <f aca="false">AY18*AY21+AY23+AY178</f>
        <v>2557.05991035467</v>
      </c>
      <c r="AZ24" s="139" t="n">
        <f aca="false">AZ18*AZ21+AZ23+AZ178</f>
        <v>2557.05991035467</v>
      </c>
      <c r="BA24" s="139" t="n">
        <f aca="false">BA18*BA21+BA23+BA178</f>
        <v>2557.05991035467</v>
      </c>
      <c r="BB24" s="139" t="n">
        <f aca="false">BB18*BB21+BB23+BB178</f>
        <v>2557.05991035467</v>
      </c>
      <c r="BC24" s="139" t="n">
        <f aca="false">BC18*BC21+BC23+BC178</f>
        <v>2434.65991035467</v>
      </c>
      <c r="BD24" s="139" t="n">
        <f aca="false">BD18*BD21+BD23+BD178</f>
        <v>2557.05991035467</v>
      </c>
      <c r="BE24" s="139" t="n">
        <f aca="false">BE18*BE21+BE23+BE178</f>
        <v>2557.05991035467</v>
      </c>
      <c r="BF24" s="139" t="n">
        <f aca="false">BF18*BF21+BF23+BF178</f>
        <v>2557.05991035467</v>
      </c>
      <c r="BG24" s="139" t="n">
        <f aca="false">BG18*BG21+BG23+BG178</f>
        <v>2557.05991035467</v>
      </c>
      <c r="BH24" s="139" t="n">
        <f aca="false">BH18*BH21+BH23+BH178</f>
        <v>2557.05991035467</v>
      </c>
      <c r="BI24" s="139" t="n">
        <f aca="false">BI18*BI21+BI23+BI178</f>
        <v>2557.05991035467</v>
      </c>
      <c r="BJ24" s="139" t="n">
        <f aca="false">BJ18*BJ21+BJ23+BJ178</f>
        <v>2557.05991035467</v>
      </c>
      <c r="BK24" s="139" t="n">
        <f aca="false">BK18*BK21+BK23+BK178</f>
        <v>2557.05991035467</v>
      </c>
      <c r="BL24" s="139" t="n">
        <f aca="false">BL18*BL21+BL23+BL178</f>
        <v>2557.05991035467</v>
      </c>
      <c r="BM24" s="139" t="n">
        <f aca="false">BM18*BM21+BM23+BM178</f>
        <v>2557.05991035467</v>
      </c>
      <c r="BN24" s="139" t="n">
        <f aca="false">BN18*BN21+BN23+BN178</f>
        <v>2557.05991035467</v>
      </c>
      <c r="BO24" s="139" t="n">
        <f aca="false">BO18*BO21+BO23+BO178</f>
        <v>2434.65991035467</v>
      </c>
      <c r="BP24" s="139" t="n">
        <f aca="false">BP18*BP21+BP23+BP178</f>
        <v>2557.05991035467</v>
      </c>
      <c r="BQ24" s="139" t="n">
        <f aca="false">BQ18*BQ21+BQ23+BQ178</f>
        <v>2557.05991035467</v>
      </c>
      <c r="BR24" s="139" t="n">
        <f aca="false">BR18*BR21+BR23+BR178</f>
        <v>2557.05991035467</v>
      </c>
      <c r="BS24" s="139" t="n">
        <f aca="false">BS18*BS21+BS23+BS178</f>
        <v>2557.05991035467</v>
      </c>
      <c r="BT24" s="139" t="n">
        <f aca="false">BT18*BT21+BT23+BT178</f>
        <v>2557.05991035467</v>
      </c>
      <c r="BU24" s="139" t="n">
        <f aca="false">BU18*BU21+BU23+BU178</f>
        <v>2557.05991035467</v>
      </c>
      <c r="BV24" s="139" t="n">
        <f aca="false">BV18*BV21+BV23+BV178</f>
        <v>2557.05991035467</v>
      </c>
      <c r="BW24" s="139" t="n">
        <f aca="false">BW18*BW21+BW23+BW178</f>
        <v>2557.05991035467</v>
      </c>
      <c r="BX24" s="139" t="n">
        <f aca="false">BX18*BX21+BX23+BX178</f>
        <v>2557.05991035467</v>
      </c>
      <c r="BY24" s="139" t="n">
        <f aca="false">BY18*BY21+BY23+BY178</f>
        <v>2557.05991035467</v>
      </c>
      <c r="BZ24" s="139" t="n">
        <f aca="false">BZ18*BZ21+BZ23+BZ178</f>
        <v>2557.05991035467</v>
      </c>
      <c r="CA24" s="139" t="n">
        <f aca="false">CA18*CA21+CA23+CA178</f>
        <v>2434.65991035467</v>
      </c>
      <c r="CB24" s="139" t="n">
        <f aca="false">CB18*CB21+CB23+CB178</f>
        <v>2557.05991035467</v>
      </c>
      <c r="CC24" s="139" t="n">
        <f aca="false">CC18*CC21+CC23+CC178</f>
        <v>2557.05991035467</v>
      </c>
      <c r="CD24" s="139" t="n">
        <f aca="false">CD18*CD21+CD23+CD178</f>
        <v>2557.05991035467</v>
      </c>
      <c r="CE24" s="139" t="n">
        <f aca="false">CE18*CE21+CE23+CE178</f>
        <v>2557.05991035467</v>
      </c>
      <c r="CF24" s="139" t="n">
        <f aca="false">CF18*CF21+CF23+CF178</f>
        <v>2557.05991035467</v>
      </c>
      <c r="CG24" s="139" t="n">
        <f aca="false">CG18*CG21+CG23+CG178</f>
        <v>2557.05991035467</v>
      </c>
      <c r="CH24" s="139" t="n">
        <f aca="false">CH18*CH21+CH23+CH178</f>
        <v>2557.05991035467</v>
      </c>
    </row>
    <row r="25" customFormat="false" ht="13.5" hidden="false" customHeight="true" outlineLevel="0" collapsed="false">
      <c r="A25" s="13" t="s">
        <v>708</v>
      </c>
      <c r="C25" s="151" t="n">
        <f aca="false">IFERROR(C24/C8,0)</f>
        <v>0.0462085205274308</v>
      </c>
      <c r="D25" s="151" t="n">
        <f aca="false">IFERROR(D24/D8,0)</f>
        <v>0.0629081565418921</v>
      </c>
      <c r="E25" s="151" t="n">
        <f aca="false">IFERROR(E24/E8,0)</f>
        <v>0.0872395344920924</v>
      </c>
      <c r="F25" s="151" t="n">
        <f aca="false">IFERROR(F24/F8,0)</f>
        <v>0.0858549530512402</v>
      </c>
      <c r="G25" s="151" t="n">
        <f aca="false">IFERROR(G24/G8,0)</f>
        <v>0.0754293341713466</v>
      </c>
      <c r="H25" s="151" t="n">
        <f aca="false">IFERROR(H24/H8,0)</f>
        <v>0.104450766958931</v>
      </c>
      <c r="I25" s="151" t="n">
        <f aca="false">IFERROR(I24/I8,0)</f>
        <v>0.125312477524294</v>
      </c>
      <c r="J25" s="151" t="n">
        <f aca="false">IFERROR(J24/J8,0)</f>
        <v>0.158674188089656</v>
      </c>
      <c r="K25" s="151" t="n">
        <f aca="false">IFERROR(K24/K8,0)</f>
        <v>0.192035898655019</v>
      </c>
      <c r="L25" s="151" t="n">
        <f aca="false">IFERROR(L24/L8,0)</f>
        <v>0.225397609220381</v>
      </c>
      <c r="M25" s="151" t="n">
        <f aca="false">IFERROR(M24/M8,0)</f>
        <v>0.248104946490431</v>
      </c>
      <c r="N25" s="151" t="n">
        <f aca="false">IFERROR(N24/N8,0)</f>
        <v>0.281618915749239</v>
      </c>
      <c r="O25" s="151" t="n">
        <f aca="false">IFERROR(O24/O8,0)</f>
        <v>0.315132885008047</v>
      </c>
      <c r="P25" s="151" t="n">
        <f aca="false">IFERROR(P24/P8,0)</f>
        <v>0.345539947570087</v>
      </c>
      <c r="Q25" s="151" t="n">
        <f aca="false">IFERROR(Q24/Q8,0)</f>
        <v>0.375947010132127</v>
      </c>
      <c r="R25" s="151" t="n">
        <f aca="false">IFERROR(R24/R8,0)</f>
        <v>0.406354072694166</v>
      </c>
      <c r="S25" s="151" t="n">
        <f aca="false">IFERROR(S24/S8,0)</f>
        <v>0.40665696858954</v>
      </c>
      <c r="T25" s="151" t="n">
        <f aca="false">IFERROR(T24/T8,0)</f>
        <v>0.467168197818246</v>
      </c>
      <c r="U25" s="151" t="n">
        <f aca="false">IFERROR(U24/U8,0)</f>
        <v>0.497575260380286</v>
      </c>
      <c r="V25" s="151" t="n">
        <f aca="false">IFERROR(V24/V8,0)</f>
        <v>0.527982322942326</v>
      </c>
      <c r="W25" s="151" t="n">
        <f aca="false">IFERROR(W24/W8,0)</f>
        <v>0.558389385504366</v>
      </c>
      <c r="X25" s="151" t="n">
        <f aca="false">IFERROR(X24/X8,0)</f>
        <v>0.577989816077647</v>
      </c>
      <c r="Y25" s="151" t="n">
        <f aca="false">IFERROR(Y24/Y8,0)</f>
        <v>0.597590246650929</v>
      </c>
      <c r="Z25" s="151" t="n">
        <f aca="false">IFERROR(Z24/Z8,0)</f>
        <v>0.612868024428706</v>
      </c>
      <c r="AA25" s="151" t="n">
        <f aca="false">IFERROR(AA24/AA8,0)</f>
        <v>0.628145802206484</v>
      </c>
      <c r="AB25" s="151" t="n">
        <f aca="false">IFERROR(AB24/AB8,0)</f>
        <v>0.643423579984262</v>
      </c>
      <c r="AC25" s="151" t="n">
        <f aca="false">IFERROR(AC24/AC8,0)</f>
        <v>0.65870135776204</v>
      </c>
      <c r="AD25" s="151" t="n">
        <f aca="false">IFERROR(AD24/AD8,0)</f>
        <v>0.673979135539818</v>
      </c>
      <c r="AE25" s="151" t="n">
        <f aca="false">IFERROR(AE24/AE8,0)</f>
        <v>0.646756913317595</v>
      </c>
      <c r="AF25" s="151" t="n">
        <f aca="false">IFERROR(AF24/AF8,0)</f>
        <v>0.704534691095373</v>
      </c>
      <c r="AG25" s="151" t="n">
        <f aca="false">IFERROR(AG24/AG8,0)</f>
        <v>0.719812468873151</v>
      </c>
      <c r="AH25" s="151" t="n">
        <f aca="false">IFERROR(AH24/AH8,0)</f>
        <v>0.735090246650929</v>
      </c>
      <c r="AI25" s="151" t="n">
        <f aca="false">IFERROR(AI24/AI8,0)</f>
        <v>0.750368024428706</v>
      </c>
      <c r="AJ25" s="151" t="n">
        <f aca="false">IFERROR(AJ24/AJ8,0)</f>
        <v>0.765645802206484</v>
      </c>
      <c r="AK25" s="151" t="n">
        <f aca="false">IFERROR(AK24/AK8,0)</f>
        <v>0.780923579984262</v>
      </c>
      <c r="AL25" s="151" t="n">
        <f aca="false">IFERROR(AL24/AL8,0)</f>
        <v>0.79620135776204</v>
      </c>
      <c r="AM25" s="151" t="n">
        <f aca="false">IFERROR(AM24/AM8,0)</f>
        <v>0.811479135539817</v>
      </c>
      <c r="AN25" s="151" t="n">
        <f aca="false">IFERROR(AN24/AN8,0)</f>
        <v>0.826756913317595</v>
      </c>
      <c r="AO25" s="151" t="n">
        <f aca="false">IFERROR(AO24/AO8,0)</f>
        <v>0.842034691095373</v>
      </c>
      <c r="AP25" s="151" t="n">
        <f aca="false">IFERROR(AP24/AP8,0)</f>
        <v>0.857312468873151</v>
      </c>
      <c r="AQ25" s="151" t="n">
        <f aca="false">IFERROR(AQ24/AQ8,0)</f>
        <v>0.830090246650929</v>
      </c>
      <c r="AR25" s="151" t="n">
        <f aca="false">IFERROR(AR24/AR8,0)</f>
        <v>0.887868024428707</v>
      </c>
      <c r="AS25" s="151" t="n">
        <f aca="false">IFERROR(AS24/AS8,0)</f>
        <v>0.887868024428707</v>
      </c>
      <c r="AT25" s="151" t="n">
        <f aca="false">IFERROR(AT24/AT8,0)</f>
        <v>0.887868024428707</v>
      </c>
      <c r="AU25" s="151" t="n">
        <f aca="false">IFERROR(AU24/AU8,0)</f>
        <v>0.887868024428707</v>
      </c>
      <c r="AV25" s="151" t="n">
        <f aca="false">IFERROR(AV24/AV8,0)</f>
        <v>0.887868024428707</v>
      </c>
      <c r="AW25" s="151" t="n">
        <f aca="false">IFERROR(AW24/AW8,0)</f>
        <v>0.887868024428707</v>
      </c>
      <c r="AX25" s="151" t="n">
        <f aca="false">IFERROR(AX24/AX8,0)</f>
        <v>0.887868024428707</v>
      </c>
      <c r="AY25" s="151" t="n">
        <f aca="false">IFERROR(AY24/AY8,0)</f>
        <v>0.887868024428707</v>
      </c>
      <c r="AZ25" s="151" t="n">
        <f aca="false">IFERROR(AZ24/AZ8,0)</f>
        <v>0.887868024428707</v>
      </c>
      <c r="BA25" s="151" t="n">
        <f aca="false">IFERROR(BA24/BA8,0)</f>
        <v>0.887868024428707</v>
      </c>
      <c r="BB25" s="151" t="n">
        <f aca="false">IFERROR(BB24/BB8,0)</f>
        <v>0.887868024428707</v>
      </c>
      <c r="BC25" s="151" t="n">
        <f aca="false">IFERROR(BC24/BC8,0)</f>
        <v>0.845368024428707</v>
      </c>
      <c r="BD25" s="151" t="n">
        <f aca="false">IFERROR(BD24/BD8,0)</f>
        <v>0.887868024428707</v>
      </c>
      <c r="BE25" s="151" t="n">
        <f aca="false">IFERROR(BE24/BE8,0)</f>
        <v>0.887868024428707</v>
      </c>
      <c r="BF25" s="151" t="n">
        <f aca="false">IFERROR(BF24/BF8,0)</f>
        <v>0.887868024428707</v>
      </c>
      <c r="BG25" s="151" t="n">
        <f aca="false">IFERROR(BG24/BG8,0)</f>
        <v>0.887868024428707</v>
      </c>
      <c r="BH25" s="151" t="n">
        <f aca="false">IFERROR(BH24/BH8,0)</f>
        <v>0.887868024428707</v>
      </c>
      <c r="BI25" s="151" t="n">
        <f aca="false">IFERROR(BI24/BI8,0)</f>
        <v>0.887868024428707</v>
      </c>
      <c r="BJ25" s="151" t="n">
        <f aca="false">IFERROR(BJ24/BJ8,0)</f>
        <v>0.887868024428707</v>
      </c>
      <c r="BK25" s="151" t="n">
        <f aca="false">IFERROR(BK24/BK8,0)</f>
        <v>0.887868024428707</v>
      </c>
      <c r="BL25" s="151" t="n">
        <f aca="false">IFERROR(BL24/BL8,0)</f>
        <v>0.887868024428707</v>
      </c>
      <c r="BM25" s="151" t="n">
        <f aca="false">IFERROR(BM24/BM8,0)</f>
        <v>0.887868024428707</v>
      </c>
      <c r="BN25" s="151" t="n">
        <f aca="false">IFERROR(BN24/BN8,0)</f>
        <v>0.887868024428707</v>
      </c>
      <c r="BO25" s="151" t="n">
        <f aca="false">IFERROR(BO24/BO8,0)</f>
        <v>0.845368024428707</v>
      </c>
      <c r="BP25" s="151" t="n">
        <f aca="false">IFERROR(BP24/BP8,0)</f>
        <v>0.887868024428707</v>
      </c>
      <c r="BQ25" s="151" t="n">
        <f aca="false">IFERROR(BQ24/BQ8,0)</f>
        <v>0.887868024428707</v>
      </c>
      <c r="BR25" s="151" t="n">
        <f aca="false">IFERROR(BR24/BR8,0)</f>
        <v>0.887868024428707</v>
      </c>
      <c r="BS25" s="151" t="n">
        <f aca="false">IFERROR(BS24/BS8,0)</f>
        <v>0.887868024428707</v>
      </c>
      <c r="BT25" s="151" t="n">
        <f aca="false">IFERROR(BT24/BT8,0)</f>
        <v>0.887868024428707</v>
      </c>
      <c r="BU25" s="151" t="n">
        <f aca="false">IFERROR(BU24/BU8,0)</f>
        <v>0.887868024428707</v>
      </c>
      <c r="BV25" s="151" t="n">
        <f aca="false">IFERROR(BV24/BV8,0)</f>
        <v>0.887868024428707</v>
      </c>
      <c r="BW25" s="151" t="n">
        <f aca="false">IFERROR(BW24/BW8,0)</f>
        <v>0.887868024428707</v>
      </c>
      <c r="BX25" s="151" t="n">
        <f aca="false">IFERROR(BX24/BX8,0)</f>
        <v>0.887868024428707</v>
      </c>
      <c r="BY25" s="151" t="n">
        <f aca="false">IFERROR(BY24/BY8,0)</f>
        <v>0.887868024428707</v>
      </c>
      <c r="BZ25" s="151" t="n">
        <f aca="false">IFERROR(BZ24/BZ8,0)</f>
        <v>0.887868024428707</v>
      </c>
      <c r="CA25" s="151" t="n">
        <f aca="false">IFERROR(CA24/CA8,0)</f>
        <v>0.845368024428707</v>
      </c>
      <c r="CB25" s="151" t="n">
        <f aca="false">IFERROR(CB24/CB8,0)</f>
        <v>0.887868024428707</v>
      </c>
      <c r="CC25" s="151" t="n">
        <f aca="false">IFERROR(CC24/CC8,0)</f>
        <v>0.887868024428707</v>
      </c>
      <c r="CD25" s="151" t="n">
        <f aca="false">IFERROR(CD24/CD8,0)</f>
        <v>0.887868024428707</v>
      </c>
      <c r="CE25" s="151" t="n">
        <f aca="false">IFERROR(CE24/CE8,0)</f>
        <v>0.887868024428707</v>
      </c>
      <c r="CF25" s="151" t="n">
        <f aca="false">IFERROR(CF24/CF8,0)</f>
        <v>0.887868024428707</v>
      </c>
      <c r="CG25" s="151" t="n">
        <f aca="false">IFERROR(CG24/CG8,0)</f>
        <v>0.887868024428707</v>
      </c>
      <c r="CH25" s="151" t="n">
        <f aca="false">IFERROR(CH24/CH8,0)</f>
        <v>0.887868024428707</v>
      </c>
    </row>
    <row r="26" customFormat="false" ht="13.5" hidden="false" customHeight="true" outlineLevel="0" collapsed="false">
      <c r="A26" s="13" t="s">
        <v>709</v>
      </c>
      <c r="C26" s="139" t="n">
        <f aca="false">C20*C21+C23*Hipótesis!$D$23+C181</f>
        <v>19.8556966216216</v>
      </c>
      <c r="D26" s="139" t="n">
        <f aca="false">D20*D21+D23*Hipótesis!$D$23+D181</f>
        <v>42.3213932432432</v>
      </c>
      <c r="E26" s="139" t="n">
        <f aca="false">E20*E21+E23*Hipótesis!$D$23+E181</f>
        <v>98.0645898648649</v>
      </c>
      <c r="F26" s="139" t="n">
        <f aca="false">F20*F21+F23*Hipótesis!$D$23+F181</f>
        <v>141.410286486486</v>
      </c>
      <c r="G26" s="139" t="n">
        <f aca="false">G20*G21+G23*Hipótesis!$D$23+G181</f>
        <v>150.448647466216</v>
      </c>
      <c r="H26" s="139" t="n">
        <f aca="false">H20*H21+H23*Hipótesis!$D$23+H181</f>
        <v>252.78792972973</v>
      </c>
      <c r="I26" s="139" t="n">
        <f aca="false">I20*I21+I23*Hipótesis!$D$23+I181</f>
        <v>325.915941891892</v>
      </c>
      <c r="J26" s="139" t="n">
        <f aca="false">J20*J21+J23*Hipótesis!$D$23+J181</f>
        <v>443.793133783784</v>
      </c>
      <c r="K26" s="139" t="n">
        <f aca="false">K20*K21+K23*Hipótesis!$D$23+K181</f>
        <v>561.670325675676</v>
      </c>
      <c r="L26" s="139" t="n">
        <f aca="false">L20*L21+L23*Hipótesis!$D$23+L181</f>
        <v>679.547517567568</v>
      </c>
      <c r="M26" s="139" t="n">
        <f aca="false">M20*M21+M23*Hipótesis!$D$23+M181</f>
        <v>764.147209459459</v>
      </c>
      <c r="N26" s="139" t="n">
        <f aca="false">N20*N21+N23*Hipótesis!$D$23+N181</f>
        <v>892.246901351351</v>
      </c>
      <c r="O26" s="139" t="n">
        <f aca="false">O20*O21+O23*Hipótesis!$D$23+O181</f>
        <v>1020.34659324324</v>
      </c>
      <c r="P26" s="139" t="n">
        <f aca="false">P20*P21+P23*Hipótesis!$D$23+P181</f>
        <v>1135.94003513514</v>
      </c>
      <c r="Q26" s="139" t="n">
        <f aca="false">Q20*Q21+Q23*Hipótesis!$D$23+Q181</f>
        <v>1251.53347702703</v>
      </c>
      <c r="R26" s="139" t="n">
        <f aca="false">R20*R21+R23*Hipótesis!$D$23+R181</f>
        <v>1367.12691891892</v>
      </c>
      <c r="S26" s="139" t="n">
        <f aca="false">S20*S21+S23*Hipótesis!$D$23+S181</f>
        <v>1374.94941962838</v>
      </c>
      <c r="T26" s="139" t="n">
        <f aca="false">T20*T21+T23*Hipótesis!$D$23+T181</f>
        <v>1598.3138027027</v>
      </c>
      <c r="U26" s="139" t="n">
        <f aca="false">U20*U21+U23*Hipótesis!$D$23+U181</f>
        <v>1713.90724459459</v>
      </c>
      <c r="V26" s="139" t="n">
        <f aca="false">V20*V21+V23*Hipótesis!$D$23+V181</f>
        <v>1829.50068648649</v>
      </c>
      <c r="W26" s="139" t="n">
        <f aca="false">W20*W21+W23*Hipótesis!$D$23+W181</f>
        <v>1945.09412837838</v>
      </c>
      <c r="X26" s="139" t="n">
        <f aca="false">X20*X21+X23*Hipótesis!$D$23+X181</f>
        <v>2017.18757027027</v>
      </c>
      <c r="Y26" s="139" t="n">
        <f aca="false">Y20*Y21+Y23*Hipótesis!$D$23+Y181</f>
        <v>2089.28101216216</v>
      </c>
      <c r="Z26" s="139" t="n">
        <f aca="false">Z20*Z21+Z23*Hipótesis!$D$23+Z181</f>
        <v>2143.97445405405</v>
      </c>
      <c r="AA26" s="139" t="n">
        <f aca="false">AA20*AA21+AA23*Hipótesis!$D$23+AA181</f>
        <v>2198.66789594595</v>
      </c>
      <c r="AB26" s="139" t="n">
        <f aca="false">AB20*AB21+AB23*Hipótesis!$D$23+AB181</f>
        <v>2253.36133783784</v>
      </c>
      <c r="AC26" s="139" t="n">
        <f aca="false">AC20*AC21+AC23*Hipótesis!$D$23+AC181</f>
        <v>2308.05477972973</v>
      </c>
      <c r="AD26" s="139" t="n">
        <f aca="false">AD20*AD21+AD23*Hipótesis!$D$23+AD181</f>
        <v>2362.74822162162</v>
      </c>
      <c r="AE26" s="139" t="n">
        <f aca="false">AE20*AE21+AE23*Hipótesis!$D$23+AE181</f>
        <v>2265.29445243243</v>
      </c>
      <c r="AF26" s="139" t="n">
        <f aca="false">AF20*AF21+AF23*Hipótesis!$D$23+AF181</f>
        <v>2472.13510540541</v>
      </c>
      <c r="AG26" s="139" t="n">
        <f aca="false">AG20*AG21+AG23*Hipótesis!$D$23+AG181</f>
        <v>2526.8285472973</v>
      </c>
      <c r="AH26" s="139" t="n">
        <f aca="false">AH20*AH21+AH23*Hipótesis!$D$23+AH181</f>
        <v>2581.52198918919</v>
      </c>
      <c r="AI26" s="139" t="n">
        <f aca="false">AI20*AI21+AI23*Hipótesis!$D$23+AI181</f>
        <v>2636.21543108108</v>
      </c>
      <c r="AJ26" s="139" t="n">
        <f aca="false">AJ20*AJ21+AJ23*Hipótesis!$D$23+AJ181</f>
        <v>2690.90887297297</v>
      </c>
      <c r="AK26" s="139" t="n">
        <f aca="false">AK20*AK21+AK23*Hipótesis!$D$23+AK181</f>
        <v>2745.60231486486</v>
      </c>
      <c r="AL26" s="139" t="n">
        <f aca="false">AL20*AL21+AL23*Hipótesis!$D$23+AL181</f>
        <v>2800.29575675676</v>
      </c>
      <c r="AM26" s="139" t="n">
        <f aca="false">AM20*AM21+AM23*Hipótesis!$D$23+AM181</f>
        <v>2854.98919864865</v>
      </c>
      <c r="AN26" s="139" t="n">
        <f aca="false">AN20*AN21+AN23*Hipótesis!$D$23+AN181</f>
        <v>2909.68264054054</v>
      </c>
      <c r="AO26" s="139" t="n">
        <f aca="false">AO20*AO21+AO23*Hipótesis!$D$23+AO181</f>
        <v>2964.37608243243</v>
      </c>
      <c r="AP26" s="139" t="n">
        <f aca="false">AP20*AP21+AP23*Hipótesis!$D$23+AP181</f>
        <v>3019.06952432432</v>
      </c>
      <c r="AQ26" s="139" t="n">
        <f aca="false">AQ20*AQ21+AQ23*Hipótesis!$D$23+AQ181</f>
        <v>2921.61575513514</v>
      </c>
      <c r="AR26" s="139" t="n">
        <f aca="false">AR20*AR21+AR23*Hipótesis!$D$23+AR181</f>
        <v>3128.45640810811</v>
      </c>
      <c r="AS26" s="139" t="n">
        <f aca="false">AS20*AS21+AS23*Hipótesis!$D$23+AS181</f>
        <v>3128.45640810811</v>
      </c>
      <c r="AT26" s="139" t="n">
        <f aca="false">AT20*AT21+AT23*Hipótesis!$D$23+AT181</f>
        <v>3128.45640810811</v>
      </c>
      <c r="AU26" s="139" t="n">
        <f aca="false">AU20*AU21+AU23*Hipótesis!$D$23+AU181</f>
        <v>3128.45640810811</v>
      </c>
      <c r="AV26" s="139" t="n">
        <f aca="false">AV20*AV21+AV23*Hipótesis!$D$23+AV181</f>
        <v>3128.45640810811</v>
      </c>
      <c r="AW26" s="139" t="n">
        <f aca="false">AW20*AW21+AW23*Hipótesis!$D$23+AW181</f>
        <v>3128.45640810811</v>
      </c>
      <c r="AX26" s="139" t="n">
        <f aca="false">AX20*AX21+AX23*Hipótesis!$D$23+AX181</f>
        <v>3128.45640810811</v>
      </c>
      <c r="AY26" s="139" t="n">
        <f aca="false">AY20*AY21+AY23*Hipótesis!$D$23+AY181</f>
        <v>3128.45640810811</v>
      </c>
      <c r="AZ26" s="139" t="n">
        <f aca="false">AZ20*AZ21+AZ23*Hipótesis!$D$23+AZ181</f>
        <v>3128.45640810811</v>
      </c>
      <c r="BA26" s="139" t="n">
        <f aca="false">BA20*BA21+BA23*Hipótesis!$D$23+BA181</f>
        <v>3128.45640810811</v>
      </c>
      <c r="BB26" s="139" t="n">
        <f aca="false">BB20*BB21+BB23*Hipótesis!$D$23+BB181</f>
        <v>3128.45640810811</v>
      </c>
      <c r="BC26" s="139" t="n">
        <f aca="false">BC20*BC21+BC23*Hipótesis!$D$23+BC181</f>
        <v>2976.30919702703</v>
      </c>
      <c r="BD26" s="139" t="n">
        <f aca="false">BD20*BD21+BD23*Hipótesis!$D$23+BD181</f>
        <v>3128.45640810811</v>
      </c>
      <c r="BE26" s="139" t="n">
        <f aca="false">BE20*BE21+BE23*Hipótesis!$D$23+BE181</f>
        <v>3128.45640810811</v>
      </c>
      <c r="BF26" s="139" t="n">
        <f aca="false">BF20*BF21+BF23*Hipótesis!$D$23+BF181</f>
        <v>3128.45640810811</v>
      </c>
      <c r="BG26" s="139" t="n">
        <f aca="false">BG20*BG21+BG23*Hipótesis!$D$23+BG181</f>
        <v>3128.45640810811</v>
      </c>
      <c r="BH26" s="139" t="n">
        <f aca="false">BH20*BH21+BH23*Hipótesis!$D$23+BH181</f>
        <v>3128.45640810811</v>
      </c>
      <c r="BI26" s="139" t="n">
        <f aca="false">BI20*BI21+BI23*Hipótesis!$D$23+BI181</f>
        <v>3128.45640810811</v>
      </c>
      <c r="BJ26" s="139" t="n">
        <f aca="false">BJ20*BJ21+BJ23*Hipótesis!$D$23+BJ181</f>
        <v>3128.45640810811</v>
      </c>
      <c r="BK26" s="139" t="n">
        <f aca="false">BK20*BK21+BK23*Hipótesis!$D$23+BK181</f>
        <v>3128.45640810811</v>
      </c>
      <c r="BL26" s="139" t="n">
        <f aca="false">BL20*BL21+BL23*Hipótesis!$D$23+BL181</f>
        <v>3128.45640810811</v>
      </c>
      <c r="BM26" s="139" t="n">
        <f aca="false">BM20*BM21+BM23*Hipótesis!$D$23+BM181</f>
        <v>3128.45640810811</v>
      </c>
      <c r="BN26" s="139" t="n">
        <f aca="false">BN20*BN21+BN23*Hipótesis!$D$23+BN181</f>
        <v>3128.45640810811</v>
      </c>
      <c r="BO26" s="139" t="n">
        <f aca="false">BO20*BO21+BO23*Hipótesis!$D$23+BO181</f>
        <v>2976.30919702703</v>
      </c>
      <c r="BP26" s="139" t="n">
        <f aca="false">BP20*BP21+BP23*Hipótesis!$D$23+BP181</f>
        <v>3128.45640810811</v>
      </c>
      <c r="BQ26" s="139" t="n">
        <f aca="false">BQ20*BQ21+BQ23*Hipótesis!$D$23+BQ181</f>
        <v>3128.45640810811</v>
      </c>
      <c r="BR26" s="139" t="n">
        <f aca="false">BR20*BR21+BR23*Hipótesis!$D$23+BR181</f>
        <v>3128.45640810811</v>
      </c>
      <c r="BS26" s="139" t="n">
        <f aca="false">BS20*BS21+BS23*Hipótesis!$D$23+BS181</f>
        <v>3128.45640810811</v>
      </c>
      <c r="BT26" s="139" t="n">
        <f aca="false">BT20*BT21+BT23*Hipótesis!$D$23+BT181</f>
        <v>3128.45640810811</v>
      </c>
      <c r="BU26" s="139" t="n">
        <f aca="false">BU20*BU21+BU23*Hipótesis!$D$23+BU181</f>
        <v>3128.45640810811</v>
      </c>
      <c r="BV26" s="139" t="n">
        <f aca="false">BV20*BV21+BV23*Hipótesis!$D$23+BV181</f>
        <v>3128.45640810811</v>
      </c>
      <c r="BW26" s="139" t="n">
        <f aca="false">BW20*BW21+BW23*Hipótesis!$D$23+BW181</f>
        <v>3128.45640810811</v>
      </c>
      <c r="BX26" s="139" t="n">
        <f aca="false">BX20*BX21+BX23*Hipótesis!$D$23+BX181</f>
        <v>3128.45640810811</v>
      </c>
      <c r="BY26" s="139" t="n">
        <f aca="false">BY20*BY21+BY23*Hipótesis!$D$23+BY181</f>
        <v>3128.45640810811</v>
      </c>
      <c r="BZ26" s="139" t="n">
        <f aca="false">BZ20*BZ21+BZ23*Hipótesis!$D$23+BZ181</f>
        <v>3128.45640810811</v>
      </c>
      <c r="CA26" s="139" t="n">
        <f aca="false">CA20*CA21+CA23*Hipótesis!$D$23+CA181</f>
        <v>2976.30919702703</v>
      </c>
      <c r="CB26" s="139" t="n">
        <f aca="false">CB20*CB21+CB23*Hipótesis!$D$23+CB181</f>
        <v>3128.45640810811</v>
      </c>
      <c r="CC26" s="139" t="n">
        <f aca="false">CC20*CC21+CC23*Hipótesis!$D$23+CC181</f>
        <v>3128.45640810811</v>
      </c>
      <c r="CD26" s="139" t="n">
        <f aca="false">CD20*CD21+CD23*Hipótesis!$D$23+CD181</f>
        <v>3128.45640810811</v>
      </c>
      <c r="CE26" s="139" t="n">
        <f aca="false">CE20*CE21+CE23*Hipótesis!$D$23+CE181</f>
        <v>3128.45640810811</v>
      </c>
      <c r="CF26" s="139" t="n">
        <f aca="false">CF20*CF21+CF23*Hipótesis!$D$23+CF181</f>
        <v>3128.45640810811</v>
      </c>
      <c r="CG26" s="139" t="n">
        <f aca="false">CG20*CG21+CG23*Hipótesis!$D$23+CG181</f>
        <v>3128.45640810811</v>
      </c>
      <c r="CH26" s="139" t="n">
        <f aca="false">CH20*CH21+CH23*Hipótesis!$D$23+CH181</f>
        <v>3128.45640810811</v>
      </c>
    </row>
    <row r="27" customFormat="false" ht="13.5" hidden="false" customHeight="true" outlineLevel="0" collapsed="false">
      <c r="A27" s="13" t="s">
        <v>611</v>
      </c>
      <c r="C27" s="139" t="n">
        <f aca="false">C17*C21+C23*Hipótesis!$D$24+C178*Hipótesis!$D$24</f>
        <v>144.281858558559</v>
      </c>
      <c r="D27" s="139" t="n">
        <f aca="false">D17*D21+D23*Hipótesis!$D$24+D178*Hipótesis!$D$24</f>
        <v>303.916658293588</v>
      </c>
      <c r="E27" s="139" t="n">
        <f aca="false">E17*E21+E23*Hipótesis!$D$24+E178*Hipótesis!$D$24</f>
        <v>662.964085579637</v>
      </c>
      <c r="F27" s="139" t="n">
        <f aca="false">F17*F21+F23*Hipótesis!$D$24+F178*Hipótesis!$D$24</f>
        <v>919.09484619902</v>
      </c>
      <c r="G27" s="139" t="n">
        <f aca="false">G17*G21+G23*Hipótesis!$D$24+G178*Hipótesis!$D$24</f>
        <v>984.070600101392</v>
      </c>
      <c r="H27" s="139" t="n">
        <f aca="false">H17*H21+H23*Hipótesis!$D$24+H178*Hipótesis!$D$24</f>
        <v>1576.5696027319</v>
      </c>
      <c r="I27" s="139" t="n">
        <f aca="false">I17*I21+I23*Hipótesis!$D$24+I178*Hipótesis!$D$24</f>
        <v>2007.05493711917</v>
      </c>
      <c r="J27" s="139" t="n">
        <f aca="false">J17*J21+J23*Hipótesis!$D$24+J178*Hipótesis!$D$24</f>
        <v>2685.73142285779</v>
      </c>
      <c r="K27" s="139" t="n">
        <f aca="false">K17*K21+K23*Hipótesis!$D$24+K178*Hipótesis!$D$24</f>
        <v>3364.40790859641</v>
      </c>
      <c r="L27" s="139" t="n">
        <f aca="false">L17*L21+L23*Hipótesis!$D$24+L178*Hipótesis!$D$24</f>
        <v>4043.08439433503</v>
      </c>
      <c r="M27" s="139" t="n">
        <f aca="false">M17*M21+M23*Hipótesis!$D$24+M178*Hipótesis!$D$24</f>
        <v>4522.34825252263</v>
      </c>
      <c r="N27" s="139" t="n">
        <f aca="false">N17*N21+N23*Hipótesis!$D$24+N178*Hipótesis!$D$24</f>
        <v>5257.49446365141</v>
      </c>
      <c r="O27" s="139" t="n">
        <f aca="false">O17*O21+O23*Hipótesis!$D$24+O178*Hipótesis!$D$24</f>
        <v>5992.64067478018</v>
      </c>
      <c r="P27" s="139" t="n">
        <f aca="false">P17*P21+P23*Hipótesis!$D$24+P178*Hipótesis!$D$24</f>
        <v>6654.22070943837</v>
      </c>
      <c r="Q27" s="139" t="n">
        <f aca="false">Q17*Q21+Q23*Hipótesis!$D$24+Q178*Hipótesis!$D$24</f>
        <v>7315.80074409656</v>
      </c>
      <c r="R27" s="139" t="n">
        <f aca="false">R17*R21+R23*Hipótesis!$D$24+R178*Hipótesis!$D$24</f>
        <v>7977.38077875475</v>
      </c>
      <c r="S27" s="139" t="n">
        <f aca="false">S17*S21+S23*Hipótesis!$D$24+S178*Hipótesis!$D$24</f>
        <v>8041.2337905751</v>
      </c>
      <c r="T27" s="139" t="n">
        <f aca="false">T17*T21+T23*Hipótesis!$D$24+T178*Hipótesis!$D$24</f>
        <v>9300.54084807112</v>
      </c>
      <c r="U27" s="139" t="n">
        <f aca="false">U17*U21+U23*Hipótesis!$D$24+U178*Hipótesis!$D$24</f>
        <v>9962.12088272931</v>
      </c>
      <c r="V27" s="139" t="n">
        <f aca="false">V17*V21+V23*Hipótesis!$D$24+V178*Hipótesis!$D$24</f>
        <v>10623.7009173875</v>
      </c>
      <c r="W27" s="139" t="n">
        <f aca="false">W17*W21+W23*Hipótesis!$D$24+W178*Hipótesis!$D$24</f>
        <v>11285.2809520457</v>
      </c>
      <c r="X27" s="139" t="n">
        <f aca="false">X17*X21+X23*Hipótesis!$D$24+X178*Hipótesis!$D$24</f>
        <v>11690.9786337627</v>
      </c>
      <c r="Y27" s="139" t="n">
        <f aca="false">Y17*Y21+Y23*Hipótesis!$D$24+Y178*Hipótesis!$D$24</f>
        <v>12096.6763154797</v>
      </c>
      <c r="Z27" s="139" t="n">
        <f aca="false">Z17*Z21+Z23*Hipótesis!$D$24+Z178*Hipótesis!$D$24</f>
        <v>12400.0210560202</v>
      </c>
      <c r="AA27" s="139" t="n">
        <f aca="false">AA17*AA21+AA23*Hipótesis!$D$24+AA178*Hipótesis!$D$24</f>
        <v>12703.3657965608</v>
      </c>
      <c r="AB27" s="139" t="n">
        <f aca="false">AB17*AB21+AB23*Hipótesis!$D$24+AB178*Hipótesis!$D$24</f>
        <v>13006.7105371013</v>
      </c>
      <c r="AC27" s="139" t="n">
        <f aca="false">AC17*AC21+AC23*Hipótesis!$D$24+AC178*Hipótesis!$D$24</f>
        <v>13310.0552776419</v>
      </c>
      <c r="AD27" s="139" t="n">
        <f aca="false">AD17*AD21+AD23*Hipótesis!$D$24+AD178*Hipótesis!$D$24</f>
        <v>13613.4000181824</v>
      </c>
      <c r="AE27" s="139" t="n">
        <f aca="false">AE17*AE21+AE23*Hipótesis!$D$24+AE178*Hipótesis!$D$24</f>
        <v>13072.8948441284</v>
      </c>
      <c r="AF27" s="139" t="n">
        <f aca="false">AF17*AF21+AF23*Hipótesis!$D$24+AF178*Hipótesis!$D$24</f>
        <v>14220.0894992635</v>
      </c>
      <c r="AG27" s="139" t="n">
        <f aca="false">AG17*AG21+AG23*Hipótesis!$D$24+AG178*Hipótesis!$D$24</f>
        <v>14523.434239804</v>
      </c>
      <c r="AH27" s="139" t="n">
        <f aca="false">AH17*AH21+AH23*Hipótesis!$D$24+AH178*Hipótesis!$D$24</f>
        <v>14826.7789803446</v>
      </c>
      <c r="AI27" s="139" t="n">
        <f aca="false">AI17*AI21+AI23*Hipótesis!$D$24+AI178*Hipótesis!$D$24</f>
        <v>15130.1237208851</v>
      </c>
      <c r="AJ27" s="139" t="n">
        <f aca="false">AJ17*AJ21+AJ23*Hipótesis!$D$24+AJ178*Hipótesis!$D$24</f>
        <v>15433.4684614257</v>
      </c>
      <c r="AK27" s="139" t="n">
        <f aca="false">AK17*AK21+AK23*Hipótesis!$D$24+AK178*Hipótesis!$D$24</f>
        <v>15736.8132019662</v>
      </c>
      <c r="AL27" s="139" t="n">
        <f aca="false">AL17*AL21+AL23*Hipótesis!$D$24+AL178*Hipótesis!$D$24</f>
        <v>16040.1579425067</v>
      </c>
      <c r="AM27" s="139" t="n">
        <f aca="false">AM17*AM21+AM23*Hipótesis!$D$24+AM178*Hipótesis!$D$24</f>
        <v>16343.5026830473</v>
      </c>
      <c r="AN27" s="139" t="n">
        <f aca="false">AN17*AN21+AN23*Hipótesis!$D$24+AN178*Hipótesis!$D$24</f>
        <v>16646.8474235878</v>
      </c>
      <c r="AO27" s="139" t="n">
        <f aca="false">AO17*AO21+AO23*Hipótesis!$D$24+AO178*Hipótesis!$D$24</f>
        <v>16950.1921641284</v>
      </c>
      <c r="AP27" s="139" t="n">
        <f aca="false">AP17*AP21+AP23*Hipótesis!$D$24+AP178*Hipótesis!$D$24</f>
        <v>17253.5369046689</v>
      </c>
      <c r="AQ27" s="139" t="n">
        <f aca="false">AQ17*AQ21+AQ23*Hipótesis!$D$24+AQ178*Hipótesis!$D$24</f>
        <v>16713.0317306148</v>
      </c>
      <c r="AR27" s="139" t="n">
        <f aca="false">AR17*AR21+AR23*Hipótesis!$D$24+AR178*Hipótesis!$D$24</f>
        <v>17860.22638575</v>
      </c>
      <c r="AS27" s="139" t="n">
        <f aca="false">AS17*AS21+AS23*Hipótesis!$D$24+AS178*Hipótesis!$D$24</f>
        <v>17860.22638575</v>
      </c>
      <c r="AT27" s="139" t="n">
        <f aca="false">AT17*AT21+AT23*Hipótesis!$D$24+AT178*Hipótesis!$D$24</f>
        <v>17860.22638575</v>
      </c>
      <c r="AU27" s="139" t="n">
        <f aca="false">AU17*AU21+AU23*Hipótesis!$D$24+AU178*Hipótesis!$D$24</f>
        <v>17860.22638575</v>
      </c>
      <c r="AV27" s="139" t="n">
        <f aca="false">AV17*AV21+AV23*Hipótesis!$D$24+AV178*Hipótesis!$D$24</f>
        <v>17860.22638575</v>
      </c>
      <c r="AW27" s="139" t="n">
        <f aca="false">AW17*AW21+AW23*Hipótesis!$D$24+AW178*Hipótesis!$D$24</f>
        <v>17860.22638575</v>
      </c>
      <c r="AX27" s="139" t="n">
        <f aca="false">AX17*AX21+AX23*Hipótesis!$D$24+AX178*Hipótesis!$D$24</f>
        <v>17860.22638575</v>
      </c>
      <c r="AY27" s="139" t="n">
        <f aca="false">AY17*AY21+AY23*Hipótesis!$D$24+AY178*Hipótesis!$D$24</f>
        <v>17860.22638575</v>
      </c>
      <c r="AZ27" s="139" t="n">
        <f aca="false">AZ17*AZ21+AZ23*Hipótesis!$D$24+AZ178*Hipótesis!$D$24</f>
        <v>17860.22638575</v>
      </c>
      <c r="BA27" s="139" t="n">
        <f aca="false">BA17*BA21+BA23*Hipótesis!$D$24+BA178*Hipótesis!$D$24</f>
        <v>17860.22638575</v>
      </c>
      <c r="BB27" s="139" t="n">
        <f aca="false">BB17*BB21+BB23*Hipótesis!$D$24+BB178*Hipótesis!$D$24</f>
        <v>17860.22638575</v>
      </c>
      <c r="BC27" s="139" t="n">
        <f aca="false">BC17*BC21+BC23*Hipótesis!$D$24+BC178*Hipótesis!$D$24</f>
        <v>17016.3764711554</v>
      </c>
      <c r="BD27" s="139" t="n">
        <f aca="false">BD17*BD21+BD23*Hipótesis!$D$24+BD178*Hipótesis!$D$24</f>
        <v>17860.22638575</v>
      </c>
      <c r="BE27" s="139" t="n">
        <f aca="false">BE17*BE21+BE23*Hipótesis!$D$24+BE178*Hipótesis!$D$24</f>
        <v>17860.22638575</v>
      </c>
      <c r="BF27" s="139" t="n">
        <f aca="false">BF17*BF21+BF23*Hipótesis!$D$24+BF178*Hipótesis!$D$24</f>
        <v>17860.22638575</v>
      </c>
      <c r="BG27" s="139" t="n">
        <f aca="false">BG17*BG21+BG23*Hipótesis!$D$24+BG178*Hipótesis!$D$24</f>
        <v>17860.22638575</v>
      </c>
      <c r="BH27" s="139" t="n">
        <f aca="false">BH17*BH21+BH23*Hipótesis!$D$24+BH178*Hipótesis!$D$24</f>
        <v>17860.22638575</v>
      </c>
      <c r="BI27" s="139" t="n">
        <f aca="false">BI17*BI21+BI23*Hipótesis!$D$24+BI178*Hipótesis!$D$24</f>
        <v>17860.22638575</v>
      </c>
      <c r="BJ27" s="139" t="n">
        <f aca="false">BJ17*BJ21+BJ23*Hipótesis!$D$24+BJ178*Hipótesis!$D$24</f>
        <v>17860.22638575</v>
      </c>
      <c r="BK27" s="139" t="n">
        <f aca="false">BK17*BK21+BK23*Hipótesis!$D$24+BK178*Hipótesis!$D$24</f>
        <v>17860.22638575</v>
      </c>
      <c r="BL27" s="139" t="n">
        <f aca="false">BL17*BL21+BL23*Hipótesis!$D$24+BL178*Hipótesis!$D$24</f>
        <v>17860.22638575</v>
      </c>
      <c r="BM27" s="139" t="n">
        <f aca="false">BM17*BM21+BM23*Hipótesis!$D$24+BM178*Hipótesis!$D$24</f>
        <v>17860.22638575</v>
      </c>
      <c r="BN27" s="139" t="n">
        <f aca="false">BN17*BN21+BN23*Hipótesis!$D$24+BN178*Hipótesis!$D$24</f>
        <v>17860.22638575</v>
      </c>
      <c r="BO27" s="139" t="n">
        <f aca="false">BO17*BO21+BO23*Hipótesis!$D$24+BO178*Hipótesis!$D$24</f>
        <v>17016.3764711554</v>
      </c>
      <c r="BP27" s="139" t="n">
        <f aca="false">BP17*BP21+BP23*Hipótesis!$D$24+BP178*Hipótesis!$D$24</f>
        <v>17860.22638575</v>
      </c>
      <c r="BQ27" s="139" t="n">
        <f aca="false">BQ17*BQ21+BQ23*Hipótesis!$D$24+BQ178*Hipótesis!$D$24</f>
        <v>17860.22638575</v>
      </c>
      <c r="BR27" s="139" t="n">
        <f aca="false">BR17*BR21+BR23*Hipótesis!$D$24+BR178*Hipótesis!$D$24</f>
        <v>17860.22638575</v>
      </c>
      <c r="BS27" s="139" t="n">
        <f aca="false">BS17*BS21+BS23*Hipótesis!$D$24+BS178*Hipótesis!$D$24</f>
        <v>17860.22638575</v>
      </c>
      <c r="BT27" s="139" t="n">
        <f aca="false">BT17*BT21+BT23*Hipótesis!$D$24+BT178*Hipótesis!$D$24</f>
        <v>17860.22638575</v>
      </c>
      <c r="BU27" s="139" t="n">
        <f aca="false">BU17*BU21+BU23*Hipótesis!$D$24+BU178*Hipótesis!$D$24</f>
        <v>17860.22638575</v>
      </c>
      <c r="BV27" s="139" t="n">
        <f aca="false">BV17*BV21+BV23*Hipótesis!$D$24+BV178*Hipótesis!$D$24</f>
        <v>17860.22638575</v>
      </c>
      <c r="BW27" s="139" t="n">
        <f aca="false">BW17*BW21+BW23*Hipótesis!$D$24+BW178*Hipótesis!$D$24</f>
        <v>17860.22638575</v>
      </c>
      <c r="BX27" s="139" t="n">
        <f aca="false">BX17*BX21+BX23*Hipótesis!$D$24+BX178*Hipótesis!$D$24</f>
        <v>17860.22638575</v>
      </c>
      <c r="BY27" s="139" t="n">
        <f aca="false">BY17*BY21+BY23*Hipótesis!$D$24+BY178*Hipótesis!$D$24</f>
        <v>17860.22638575</v>
      </c>
      <c r="BZ27" s="139" t="n">
        <f aca="false">BZ17*BZ21+BZ23*Hipótesis!$D$24+BZ178*Hipótesis!$D$24</f>
        <v>17860.22638575</v>
      </c>
      <c r="CA27" s="139" t="n">
        <f aca="false">CA17*CA21+CA23*Hipótesis!$D$24+CA178*Hipótesis!$D$24</f>
        <v>17016.3764711554</v>
      </c>
      <c r="CB27" s="139" t="n">
        <f aca="false">CB17*CB21+CB23*Hipótesis!$D$24+CB178*Hipótesis!$D$24</f>
        <v>17860.22638575</v>
      </c>
      <c r="CC27" s="139" t="n">
        <f aca="false">CC17*CC21+CC23*Hipótesis!$D$24+CC178*Hipótesis!$D$24</f>
        <v>17860.22638575</v>
      </c>
      <c r="CD27" s="139" t="n">
        <f aca="false">CD17*CD21+CD23*Hipótesis!$D$24+CD178*Hipótesis!$D$24</f>
        <v>17860.22638575</v>
      </c>
      <c r="CE27" s="139" t="n">
        <f aca="false">CE17*CE21+CE23*Hipótesis!$D$24+CE178*Hipótesis!$D$24</f>
        <v>17860.22638575</v>
      </c>
      <c r="CF27" s="139" t="n">
        <f aca="false">CF17*CF21+CF23*Hipótesis!$D$24+CF178*Hipótesis!$D$24</f>
        <v>17860.22638575</v>
      </c>
      <c r="CG27" s="139" t="n">
        <f aca="false">CG17*CG21+CG23*Hipótesis!$D$24+CG178*Hipótesis!$D$24</f>
        <v>17860.22638575</v>
      </c>
      <c r="CH27" s="139" t="n">
        <f aca="false">CH17*CH21+CH23*Hipótesis!$D$24+CH178*Hipótesis!$D$24</f>
        <v>17860.22638575</v>
      </c>
    </row>
    <row r="28" customFormat="false" ht="13.5" hidden="false" customHeight="true" outlineLevel="0" collapsed="false">
      <c r="A28" s="13" t="s">
        <v>710</v>
      </c>
      <c r="C28" s="139" t="n">
        <f aca="false">C27*Producto!$D$9/60</f>
        <v>7.21409292792793</v>
      </c>
      <c r="D28" s="139" t="n">
        <f aca="false">D27*Producto!$D$9/60</f>
        <v>15.1958329146794</v>
      </c>
      <c r="E28" s="139" t="n">
        <f aca="false">E27*Producto!$D$9/60</f>
        <v>33.1482042789819</v>
      </c>
      <c r="F28" s="139" t="n">
        <f aca="false">F27*Producto!$D$9/60</f>
        <v>45.954742309951</v>
      </c>
      <c r="G28" s="139" t="n">
        <f aca="false">G27*Producto!$D$9/60</f>
        <v>49.2035300050696</v>
      </c>
      <c r="H28" s="139" t="n">
        <f aca="false">H27*Producto!$D$9/60</f>
        <v>78.8284801365952</v>
      </c>
      <c r="I28" s="139" t="n">
        <f aca="false">I27*Producto!$D$9/60</f>
        <v>100.352746855959</v>
      </c>
      <c r="J28" s="139" t="n">
        <f aca="false">J27*Producto!$D$9/60</f>
        <v>134.28657114289</v>
      </c>
      <c r="K28" s="139" t="n">
        <f aca="false">K27*Producto!$D$9/60</f>
        <v>168.220395429821</v>
      </c>
      <c r="L28" s="139" t="n">
        <f aca="false">L27*Producto!$D$9/60</f>
        <v>202.154219716752</v>
      </c>
      <c r="M28" s="139" t="n">
        <f aca="false">M27*Producto!$D$9/60</f>
        <v>226.117412626132</v>
      </c>
      <c r="N28" s="139" t="n">
        <f aca="false">N27*Producto!$D$9/60</f>
        <v>262.87472318257</v>
      </c>
      <c r="O28" s="139" t="n">
        <f aca="false">O27*Producto!$D$9/60</f>
        <v>299.632033739009</v>
      </c>
      <c r="P28" s="139" t="n">
        <f aca="false">P27*Producto!$D$9/60</f>
        <v>332.711035471919</v>
      </c>
      <c r="Q28" s="139" t="n">
        <f aca="false">Q27*Producto!$D$9/60</f>
        <v>365.790037204828</v>
      </c>
      <c r="R28" s="139" t="n">
        <f aca="false">R27*Producto!$D$9/60</f>
        <v>398.869038937737</v>
      </c>
      <c r="S28" s="139" t="n">
        <f aca="false">S27*Producto!$D$9/60</f>
        <v>402.061689528755</v>
      </c>
      <c r="T28" s="139" t="n">
        <f aca="false">T27*Producto!$D$9/60</f>
        <v>465.027042403556</v>
      </c>
      <c r="U28" s="139" t="n">
        <f aca="false">U27*Producto!$D$9/60</f>
        <v>498.106044136465</v>
      </c>
      <c r="V28" s="139" t="n">
        <f aca="false">V27*Producto!$D$9/60</f>
        <v>531.185045869375</v>
      </c>
      <c r="W28" s="139" t="n">
        <f aca="false">W27*Producto!$D$9/60</f>
        <v>564.264047602284</v>
      </c>
      <c r="X28" s="139" t="n">
        <f aca="false">X27*Producto!$D$9/60</f>
        <v>584.548931688135</v>
      </c>
      <c r="Y28" s="139" t="n">
        <f aca="false">Y27*Producto!$D$9/60</f>
        <v>604.833815773985</v>
      </c>
      <c r="Z28" s="139" t="n">
        <f aca="false">Z27*Producto!$D$9/60</f>
        <v>620.001052801012</v>
      </c>
      <c r="AA28" s="139" t="n">
        <f aca="false">AA27*Producto!$D$9/60</f>
        <v>635.168289828039</v>
      </c>
      <c r="AB28" s="139" t="n">
        <f aca="false">AB27*Producto!$D$9/60</f>
        <v>650.335526855066</v>
      </c>
      <c r="AC28" s="139" t="n">
        <f aca="false">AC27*Producto!$D$9/60</f>
        <v>665.502763882093</v>
      </c>
      <c r="AD28" s="139" t="n">
        <f aca="false">AD27*Producto!$D$9/60</f>
        <v>680.67000090912</v>
      </c>
      <c r="AE28" s="139" t="n">
        <f aca="false">AE27*Producto!$D$9/60</f>
        <v>653.644742206418</v>
      </c>
      <c r="AF28" s="139" t="n">
        <f aca="false">AF27*Producto!$D$9/60</f>
        <v>711.004474963175</v>
      </c>
      <c r="AG28" s="139" t="n">
        <f aca="false">AG27*Producto!$D$9/60</f>
        <v>726.171711990202</v>
      </c>
      <c r="AH28" s="139" t="n">
        <f aca="false">AH27*Producto!$D$9/60</f>
        <v>741.338949017229</v>
      </c>
      <c r="AI28" s="139" t="n">
        <f aca="false">AI27*Producto!$D$9/60</f>
        <v>756.506186044256</v>
      </c>
      <c r="AJ28" s="139" t="n">
        <f aca="false">AJ27*Producto!$D$9/60</f>
        <v>771.673423071283</v>
      </c>
      <c r="AK28" s="139" t="n">
        <f aca="false">AK27*Producto!$D$9/60</f>
        <v>786.84066009831</v>
      </c>
      <c r="AL28" s="139" t="n">
        <f aca="false">AL27*Producto!$D$9/60</f>
        <v>802.007897125337</v>
      </c>
      <c r="AM28" s="139" t="n">
        <f aca="false">AM27*Producto!$D$9/60</f>
        <v>817.175134152364</v>
      </c>
      <c r="AN28" s="139" t="n">
        <f aca="false">AN27*Producto!$D$9/60</f>
        <v>832.342371179391</v>
      </c>
      <c r="AO28" s="139" t="n">
        <f aca="false">AO27*Producto!$D$9/60</f>
        <v>847.509608206418</v>
      </c>
      <c r="AP28" s="139" t="n">
        <f aca="false">AP27*Producto!$D$9/60</f>
        <v>862.676845233445</v>
      </c>
      <c r="AQ28" s="139" t="n">
        <f aca="false">AQ27*Producto!$D$9/60</f>
        <v>835.651586530742</v>
      </c>
      <c r="AR28" s="139" t="n">
        <f aca="false">AR27*Producto!$D$9/60</f>
        <v>893.011319287499</v>
      </c>
      <c r="AS28" s="139" t="n">
        <f aca="false">AS27*Producto!$D$9/60</f>
        <v>893.011319287499</v>
      </c>
      <c r="AT28" s="139" t="n">
        <f aca="false">AT27*Producto!$D$9/60</f>
        <v>893.011319287499</v>
      </c>
      <c r="AU28" s="139" t="n">
        <f aca="false">AU27*Producto!$D$9/60</f>
        <v>893.011319287499</v>
      </c>
      <c r="AV28" s="139" t="n">
        <f aca="false">AV27*Producto!$D$9/60</f>
        <v>893.011319287499</v>
      </c>
      <c r="AW28" s="139" t="n">
        <f aca="false">AW27*Producto!$D$9/60</f>
        <v>893.011319287499</v>
      </c>
      <c r="AX28" s="139" t="n">
        <f aca="false">AX27*Producto!$D$9/60</f>
        <v>893.011319287499</v>
      </c>
      <c r="AY28" s="139" t="n">
        <f aca="false">AY27*Producto!$D$9/60</f>
        <v>893.011319287499</v>
      </c>
      <c r="AZ28" s="139" t="n">
        <f aca="false">AZ27*Producto!$D$9/60</f>
        <v>893.011319287499</v>
      </c>
      <c r="BA28" s="139" t="n">
        <f aca="false">BA27*Producto!$D$9/60</f>
        <v>893.011319287499</v>
      </c>
      <c r="BB28" s="139" t="n">
        <f aca="false">BB27*Producto!$D$9/60</f>
        <v>893.011319287499</v>
      </c>
      <c r="BC28" s="139" t="n">
        <f aca="false">BC27*Producto!$D$9/60</f>
        <v>850.818823557769</v>
      </c>
      <c r="BD28" s="139" t="n">
        <f aca="false">BD27*Producto!$D$9/60</f>
        <v>893.011319287499</v>
      </c>
      <c r="BE28" s="139" t="n">
        <f aca="false">BE27*Producto!$D$9/60</f>
        <v>893.011319287499</v>
      </c>
      <c r="BF28" s="139" t="n">
        <f aca="false">BF27*Producto!$D$9/60</f>
        <v>893.011319287499</v>
      </c>
      <c r="BG28" s="139" t="n">
        <f aca="false">BG27*Producto!$D$9/60</f>
        <v>893.011319287499</v>
      </c>
      <c r="BH28" s="139" t="n">
        <f aca="false">BH27*Producto!$D$9/60</f>
        <v>893.011319287499</v>
      </c>
      <c r="BI28" s="139" t="n">
        <f aca="false">BI27*Producto!$D$9/60</f>
        <v>893.011319287499</v>
      </c>
      <c r="BJ28" s="139" t="n">
        <f aca="false">BJ27*Producto!$D$9/60</f>
        <v>893.011319287499</v>
      </c>
      <c r="BK28" s="139" t="n">
        <f aca="false">BK27*Producto!$D$9/60</f>
        <v>893.011319287499</v>
      </c>
      <c r="BL28" s="139" t="n">
        <f aca="false">BL27*Producto!$D$9/60</f>
        <v>893.011319287499</v>
      </c>
      <c r="BM28" s="139" t="n">
        <f aca="false">BM27*Producto!$D$9/60</f>
        <v>893.011319287499</v>
      </c>
      <c r="BN28" s="139" t="n">
        <f aca="false">BN27*Producto!$D$9/60</f>
        <v>893.011319287499</v>
      </c>
      <c r="BO28" s="139" t="n">
        <f aca="false">BO27*Producto!$D$9/60</f>
        <v>850.818823557769</v>
      </c>
      <c r="BP28" s="139" t="n">
        <f aca="false">BP27*Producto!$D$9/60</f>
        <v>893.011319287499</v>
      </c>
      <c r="BQ28" s="139" t="n">
        <f aca="false">BQ27*Producto!$D$9/60</f>
        <v>893.011319287499</v>
      </c>
      <c r="BR28" s="139" t="n">
        <f aca="false">BR27*Producto!$D$9/60</f>
        <v>893.011319287499</v>
      </c>
      <c r="BS28" s="139" t="n">
        <f aca="false">BS27*Producto!$D$9/60</f>
        <v>893.011319287499</v>
      </c>
      <c r="BT28" s="139" t="n">
        <f aca="false">BT27*Producto!$D$9/60</f>
        <v>893.011319287499</v>
      </c>
      <c r="BU28" s="139" t="n">
        <f aca="false">BU27*Producto!$D$9/60</f>
        <v>893.011319287499</v>
      </c>
      <c r="BV28" s="139" t="n">
        <f aca="false">BV27*Producto!$D$9/60</f>
        <v>893.011319287499</v>
      </c>
      <c r="BW28" s="139" t="n">
        <f aca="false">BW27*Producto!$D$9/60</f>
        <v>893.011319287499</v>
      </c>
      <c r="BX28" s="139" t="n">
        <f aca="false">BX27*Producto!$D$9/60</f>
        <v>893.011319287499</v>
      </c>
      <c r="BY28" s="139" t="n">
        <f aca="false">BY27*Producto!$D$9/60</f>
        <v>893.011319287499</v>
      </c>
      <c r="BZ28" s="139" t="n">
        <f aca="false">BZ27*Producto!$D$9/60</f>
        <v>893.011319287499</v>
      </c>
      <c r="CA28" s="139" t="n">
        <f aca="false">CA27*Producto!$D$9/60</f>
        <v>850.818823557769</v>
      </c>
      <c r="CB28" s="139" t="n">
        <f aca="false">CB27*Producto!$D$9/60</f>
        <v>893.011319287499</v>
      </c>
      <c r="CC28" s="139" t="n">
        <f aca="false">CC27*Producto!$D$9/60</f>
        <v>893.011319287499</v>
      </c>
      <c r="CD28" s="139" t="n">
        <f aca="false">CD27*Producto!$D$9/60</f>
        <v>893.011319287499</v>
      </c>
      <c r="CE28" s="139" t="n">
        <f aca="false">CE27*Producto!$D$9/60</f>
        <v>893.011319287499</v>
      </c>
      <c r="CF28" s="139" t="n">
        <f aca="false">CF27*Producto!$D$9/60</f>
        <v>893.011319287499</v>
      </c>
      <c r="CG28" s="139" t="n">
        <f aca="false">CG27*Producto!$D$9/60</f>
        <v>893.011319287499</v>
      </c>
      <c r="CH28" s="139" t="n">
        <f aca="false">CH27*Producto!$D$9/60</f>
        <v>893.011319287499</v>
      </c>
    </row>
    <row r="29" customFormat="false" ht="13.5" hidden="false" customHeight="true" outlineLevel="0" collapsed="false">
      <c r="A29" s="13" t="s">
        <v>711</v>
      </c>
      <c r="C29" s="139" t="n">
        <f aca="false">SUMPRODUCT((Hipótesis!$D$48:$D$53&lt;=1)*(Hipótesis!$B$48:$B$53)*(Hipótesis!$F$48:$F$53))</f>
        <v>320</v>
      </c>
      <c r="D29" s="139" t="n">
        <f aca="false">SUMPRODUCT((Hipótesis!$D$48:$D$53&lt;=2)*(Hipótesis!$B$48:$B$53)*(Hipótesis!$F$48:$F$53))</f>
        <v>320</v>
      </c>
      <c r="E29" s="139" t="n">
        <f aca="false">SUMPRODUCT((Hipótesis!$D$48:$D$53&lt;=3)*(Hipótesis!$B$48:$B$53)*(Hipótesis!$F$48:$F$53))</f>
        <v>320</v>
      </c>
      <c r="F29" s="139" t="n">
        <f aca="false">SUMPRODUCT((Hipótesis!$D$48:$D$53&lt;=4)*(Hipótesis!$B$48:$B$53)*(Hipótesis!$F$48:$F$53))</f>
        <v>320</v>
      </c>
      <c r="G29" s="139" t="n">
        <f aca="false">SUMPRODUCT((Hipótesis!$D$48:$D$53&lt;=5)*(Hipótesis!$B$48:$B$53)*(Hipótesis!$F$48:$F$53))</f>
        <v>320</v>
      </c>
      <c r="H29" s="139" t="n">
        <f aca="false">SUMPRODUCT((Hipótesis!$D$48:$D$53&lt;=6)*(Hipótesis!$B$48:$B$53)*(Hipótesis!$F$48:$F$53))</f>
        <v>320</v>
      </c>
      <c r="I29" s="139" t="n">
        <f aca="false">SUMPRODUCT((Hipótesis!$D$48:$D$53&lt;=7)*(Hipótesis!$B$48:$B$53)*(Hipótesis!$F$48:$F$53))</f>
        <v>320</v>
      </c>
      <c r="J29" s="139" t="n">
        <f aca="false">SUMPRODUCT((Hipótesis!$D$48:$D$53&lt;=8)*(Hipótesis!$B$48:$B$53)*(Hipótesis!$F$48:$F$53))</f>
        <v>320</v>
      </c>
      <c r="K29" s="139" t="n">
        <f aca="false">SUMPRODUCT((Hipótesis!$D$48:$D$53&lt;=9)*(Hipótesis!$B$48:$B$53)*(Hipótesis!$F$48:$F$53))</f>
        <v>320</v>
      </c>
      <c r="L29" s="139" t="n">
        <f aca="false">SUMPRODUCT((Hipótesis!$D$48:$D$53&lt;=10)*(Hipótesis!$B$48:$B$53)*(Hipótesis!$F$48:$F$53))</f>
        <v>320</v>
      </c>
      <c r="M29" s="139" t="n">
        <f aca="false">SUMPRODUCT((Hipótesis!$D$48:$D$53&lt;=11)*(Hipótesis!$B$48:$B$53)*(Hipótesis!$F$48:$F$53))</f>
        <v>320</v>
      </c>
      <c r="N29" s="139" t="n">
        <f aca="false">SUMPRODUCT((Hipótesis!$D$48:$D$53&lt;=12)*(Hipótesis!$B$48:$B$53)*(Hipótesis!$F$48:$F$53))</f>
        <v>320</v>
      </c>
      <c r="O29" s="139" t="n">
        <f aca="false">SUMPRODUCT((Hipótesis!$D$48:$D$53&lt;=13)*(Hipótesis!$B$48:$B$53)*(Hipótesis!$F$48:$F$53))</f>
        <v>320</v>
      </c>
      <c r="P29" s="139" t="n">
        <f aca="false">SUMPRODUCT((Hipótesis!$D$48:$D$53&lt;=14)*(Hipótesis!$B$48:$B$53)*(Hipótesis!$F$48:$F$53))</f>
        <v>320</v>
      </c>
      <c r="Q29" s="139" t="n">
        <f aca="false">SUMPRODUCT((Hipótesis!$D$48:$D$53&lt;=15)*(Hipótesis!$B$48:$B$53)*(Hipótesis!$F$48:$F$53))</f>
        <v>320</v>
      </c>
      <c r="R29" s="139" t="n">
        <f aca="false">SUMPRODUCT((Hipótesis!$D$48:$D$53&lt;=16)*(Hipótesis!$B$48:$B$53)*(Hipótesis!$F$48:$F$53))</f>
        <v>320</v>
      </c>
      <c r="S29" s="139" t="n">
        <f aca="false">SUMPRODUCT((Hipótesis!$D$48:$D$53&lt;=17)*(Hipótesis!$B$48:$B$53)*(Hipótesis!$F$48:$F$53))</f>
        <v>320</v>
      </c>
      <c r="T29" s="139" t="n">
        <f aca="false">SUMPRODUCT((Hipótesis!$D$48:$D$53&lt;=18)*(Hipótesis!$B$48:$B$53)*(Hipótesis!$F$48:$F$53))</f>
        <v>320</v>
      </c>
      <c r="U29" s="139" t="n">
        <f aca="false">SUMPRODUCT((Hipótesis!$D$48:$D$53&lt;=19)*(Hipótesis!$B$48:$B$53)*(Hipótesis!$F$48:$F$53))</f>
        <v>320</v>
      </c>
      <c r="V29" s="139" t="n">
        <f aca="false">SUMPRODUCT((Hipótesis!$D$48:$D$53&lt;=20)*(Hipótesis!$B$48:$B$53)*(Hipótesis!$F$48:$F$53))</f>
        <v>320</v>
      </c>
      <c r="W29" s="139" t="n">
        <f aca="false">SUMPRODUCT((Hipótesis!$D$48:$D$53&lt;=21)*(Hipótesis!$B$48:$B$53)*(Hipótesis!$F$48:$F$53))</f>
        <v>320</v>
      </c>
      <c r="X29" s="139" t="n">
        <f aca="false">SUMPRODUCT((Hipótesis!$D$48:$D$53&lt;=22)*(Hipótesis!$B$48:$B$53)*(Hipótesis!$F$48:$F$53))</f>
        <v>320</v>
      </c>
      <c r="Y29" s="139" t="n">
        <f aca="false">SUMPRODUCT((Hipótesis!$D$48:$D$53&lt;=23)*(Hipótesis!$B$48:$B$53)*(Hipótesis!$F$48:$F$53))</f>
        <v>320</v>
      </c>
      <c r="Z29" s="139" t="n">
        <f aca="false">SUMPRODUCT((Hipótesis!$D$48:$D$53&lt;=24)*(Hipótesis!$B$48:$B$53)*(Hipótesis!$F$48:$F$53))</f>
        <v>320</v>
      </c>
      <c r="AA29" s="139" t="n">
        <f aca="false">SUMPRODUCT((Hipótesis!$D$48:$D$53&lt;=25)*(Hipótesis!$B$48:$B$53)*(Hipótesis!$F$48:$F$53))</f>
        <v>320</v>
      </c>
      <c r="AB29" s="139" t="n">
        <f aca="false">SUMPRODUCT((Hipótesis!$D$48:$D$53&lt;=26)*(Hipótesis!$B$48:$B$53)*(Hipótesis!$F$48:$F$53))</f>
        <v>320</v>
      </c>
      <c r="AC29" s="139" t="n">
        <f aca="false">SUMPRODUCT((Hipótesis!$D$48:$D$53&lt;=27)*(Hipótesis!$B$48:$B$53)*(Hipótesis!$F$48:$F$53))</f>
        <v>320</v>
      </c>
      <c r="AD29" s="139" t="n">
        <f aca="false">SUMPRODUCT((Hipótesis!$D$48:$D$53&lt;=28)*(Hipótesis!$B$48:$B$53)*(Hipótesis!$F$48:$F$53))</f>
        <v>320</v>
      </c>
      <c r="AE29" s="139" t="n">
        <f aca="false">SUMPRODUCT((Hipótesis!$D$48:$D$53&lt;=29)*(Hipótesis!$B$48:$B$53)*(Hipótesis!$F$48:$F$53))</f>
        <v>320</v>
      </c>
      <c r="AF29" s="139" t="n">
        <f aca="false">SUMPRODUCT((Hipótesis!$D$48:$D$53&lt;=30)*(Hipótesis!$B$48:$B$53)*(Hipótesis!$F$48:$F$53))</f>
        <v>320</v>
      </c>
      <c r="AG29" s="139" t="n">
        <f aca="false">SUMPRODUCT((Hipótesis!$D$48:$D$53&lt;=31)*(Hipótesis!$B$48:$B$53)*(Hipótesis!$F$48:$F$53))</f>
        <v>320</v>
      </c>
      <c r="AH29" s="139" t="n">
        <f aca="false">SUMPRODUCT((Hipótesis!$D$48:$D$53&lt;=32)*(Hipótesis!$B$48:$B$53)*(Hipótesis!$F$48:$F$53))</f>
        <v>320</v>
      </c>
      <c r="AI29" s="139" t="n">
        <f aca="false">SUMPRODUCT((Hipótesis!$D$48:$D$53&lt;=33)*(Hipótesis!$B$48:$B$53)*(Hipótesis!$F$48:$F$53))</f>
        <v>320</v>
      </c>
      <c r="AJ29" s="139" t="n">
        <f aca="false">SUMPRODUCT((Hipótesis!$D$48:$D$53&lt;=34)*(Hipótesis!$B$48:$B$53)*(Hipótesis!$F$48:$F$53))</f>
        <v>320</v>
      </c>
      <c r="AK29" s="139" t="n">
        <f aca="false">SUMPRODUCT((Hipótesis!$D$48:$D$53&lt;=35)*(Hipótesis!$B$48:$B$53)*(Hipótesis!$F$48:$F$53))</f>
        <v>320</v>
      </c>
      <c r="AL29" s="139" t="n">
        <f aca="false">SUMPRODUCT((Hipótesis!$D$48:$D$53&lt;=36)*(Hipótesis!$B$48:$B$53)*(Hipótesis!$F$48:$F$53))</f>
        <v>320</v>
      </c>
      <c r="AM29" s="139" t="n">
        <f aca="false">SUMPRODUCT((Hipótesis!$D$48:$D$53&lt;=37)*(Hipótesis!$B$48:$B$53)*(Hipótesis!$F$48:$F$53))</f>
        <v>320</v>
      </c>
      <c r="AN29" s="139" t="n">
        <f aca="false">SUMPRODUCT((Hipótesis!$D$48:$D$53&lt;=38)*(Hipótesis!$B$48:$B$53)*(Hipótesis!$F$48:$F$53))</f>
        <v>320</v>
      </c>
      <c r="AO29" s="139" t="n">
        <f aca="false">SUMPRODUCT((Hipótesis!$D$48:$D$53&lt;=39)*(Hipótesis!$B$48:$B$53)*(Hipótesis!$F$48:$F$53))</f>
        <v>320</v>
      </c>
      <c r="AP29" s="139" t="n">
        <f aca="false">SUMPRODUCT((Hipótesis!$D$48:$D$53&lt;=40)*(Hipótesis!$B$48:$B$53)*(Hipótesis!$F$48:$F$53))</f>
        <v>320</v>
      </c>
      <c r="AQ29" s="139" t="n">
        <f aca="false">SUMPRODUCT((Hipótesis!$D$48:$D$53&lt;=41)*(Hipótesis!$B$48:$B$53)*(Hipótesis!$F$48:$F$53))</f>
        <v>320</v>
      </c>
      <c r="AR29" s="139" t="n">
        <f aca="false">SUMPRODUCT((Hipótesis!$D$48:$D$53&lt;=42)*(Hipótesis!$B$48:$B$53)*(Hipótesis!$F$48:$F$53))</f>
        <v>320</v>
      </c>
      <c r="AS29" s="139" t="n">
        <f aca="false">SUMPRODUCT((Hipótesis!$D$48:$D$53&lt;=43)*(Hipótesis!$B$48:$B$53)*(Hipótesis!$F$48:$F$53))</f>
        <v>320</v>
      </c>
      <c r="AT29" s="139" t="n">
        <f aca="false">SUMPRODUCT((Hipótesis!$D$48:$D$53&lt;=44)*(Hipótesis!$B$48:$B$53)*(Hipótesis!$F$48:$F$53))</f>
        <v>320</v>
      </c>
      <c r="AU29" s="139" t="n">
        <f aca="false">SUMPRODUCT((Hipótesis!$D$48:$D$53&lt;=45)*(Hipótesis!$B$48:$B$53)*(Hipótesis!$F$48:$F$53))</f>
        <v>320</v>
      </c>
      <c r="AV29" s="139" t="n">
        <f aca="false">SUMPRODUCT((Hipótesis!$D$48:$D$53&lt;=46)*(Hipótesis!$B$48:$B$53)*(Hipótesis!$F$48:$F$53))</f>
        <v>320</v>
      </c>
      <c r="AW29" s="139" t="n">
        <f aca="false">SUMPRODUCT((Hipótesis!$D$48:$D$53&lt;=47)*(Hipótesis!$B$48:$B$53)*(Hipótesis!$F$48:$F$53))</f>
        <v>320</v>
      </c>
      <c r="AX29" s="139" t="n">
        <f aca="false">SUMPRODUCT((Hipótesis!$D$48:$D$53&lt;=48)*(Hipótesis!$B$48:$B$53)*(Hipótesis!$F$48:$F$53))</f>
        <v>320</v>
      </c>
      <c r="AY29" s="139" t="n">
        <f aca="false">SUMPRODUCT((Hipótesis!$D$48:$D$53&lt;=49)*(Hipótesis!$B$48:$B$53)*(Hipótesis!$F$48:$F$53))</f>
        <v>320</v>
      </c>
      <c r="AZ29" s="139" t="n">
        <f aca="false">SUMPRODUCT((Hipótesis!$D$48:$D$53&lt;=50)*(Hipótesis!$B$48:$B$53)*(Hipótesis!$F$48:$F$53))</f>
        <v>320</v>
      </c>
      <c r="BA29" s="139" t="n">
        <f aca="false">SUMPRODUCT((Hipótesis!$D$48:$D$53&lt;=51)*(Hipótesis!$B$48:$B$53)*(Hipótesis!$F$48:$F$53))</f>
        <v>320</v>
      </c>
      <c r="BB29" s="139" t="n">
        <f aca="false">SUMPRODUCT((Hipótesis!$D$48:$D$53&lt;=52)*(Hipótesis!$B$48:$B$53)*(Hipótesis!$F$48:$F$53))</f>
        <v>320</v>
      </c>
      <c r="BC29" s="139" t="n">
        <f aca="false">SUMPRODUCT((Hipótesis!$D$48:$D$53&lt;=53)*(Hipótesis!$B$48:$B$53)*(Hipótesis!$F$48:$F$53))</f>
        <v>320</v>
      </c>
      <c r="BD29" s="139" t="n">
        <f aca="false">SUMPRODUCT((Hipótesis!$D$48:$D$53&lt;=54)*(Hipótesis!$B$48:$B$53)*(Hipótesis!$F$48:$F$53))</f>
        <v>320</v>
      </c>
      <c r="BE29" s="139" t="n">
        <f aca="false">SUMPRODUCT((Hipótesis!$D$48:$D$53&lt;=55)*(Hipótesis!$B$48:$B$53)*(Hipótesis!$F$48:$F$53))</f>
        <v>320</v>
      </c>
      <c r="BF29" s="139" t="n">
        <f aca="false">SUMPRODUCT((Hipótesis!$D$48:$D$53&lt;=56)*(Hipótesis!$B$48:$B$53)*(Hipótesis!$F$48:$F$53))</f>
        <v>320</v>
      </c>
      <c r="BG29" s="139" t="n">
        <f aca="false">SUMPRODUCT((Hipótesis!$D$48:$D$53&lt;=57)*(Hipótesis!$B$48:$B$53)*(Hipótesis!$F$48:$F$53))</f>
        <v>320</v>
      </c>
      <c r="BH29" s="139" t="n">
        <f aca="false">SUMPRODUCT((Hipótesis!$D$48:$D$53&lt;=58)*(Hipótesis!$B$48:$B$53)*(Hipótesis!$F$48:$F$53))</f>
        <v>320</v>
      </c>
      <c r="BI29" s="139" t="n">
        <f aca="false">SUMPRODUCT((Hipótesis!$D$48:$D$53&lt;=59)*(Hipótesis!$B$48:$B$53)*(Hipótesis!$F$48:$F$53))</f>
        <v>320</v>
      </c>
      <c r="BJ29" s="139" t="n">
        <f aca="false">SUMPRODUCT((Hipótesis!$D$48:$D$53&lt;=60)*(Hipótesis!$B$48:$B$53)*(Hipótesis!$F$48:$F$53))</f>
        <v>320</v>
      </c>
      <c r="BK29" s="139" t="n">
        <f aca="false">SUMPRODUCT((Hipótesis!$D$48:$D$53&lt;=61)*(Hipótesis!$B$48:$B$53)*(Hipótesis!$F$48:$F$53))</f>
        <v>320</v>
      </c>
      <c r="BL29" s="139" t="n">
        <f aca="false">SUMPRODUCT((Hipótesis!$D$48:$D$53&lt;=62)*(Hipótesis!$B$48:$B$53)*(Hipótesis!$F$48:$F$53))</f>
        <v>320</v>
      </c>
      <c r="BM29" s="139" t="n">
        <f aca="false">SUMPRODUCT((Hipótesis!$D$48:$D$53&lt;=63)*(Hipótesis!$B$48:$B$53)*(Hipótesis!$F$48:$F$53))</f>
        <v>320</v>
      </c>
      <c r="BN29" s="139" t="n">
        <f aca="false">SUMPRODUCT((Hipótesis!$D$48:$D$53&lt;=64)*(Hipótesis!$B$48:$B$53)*(Hipótesis!$F$48:$F$53))</f>
        <v>320</v>
      </c>
      <c r="BO29" s="139" t="n">
        <f aca="false">SUMPRODUCT((Hipótesis!$D$48:$D$53&lt;=65)*(Hipótesis!$B$48:$B$53)*(Hipótesis!$F$48:$F$53))</f>
        <v>320</v>
      </c>
      <c r="BP29" s="139" t="n">
        <f aca="false">SUMPRODUCT((Hipótesis!$D$48:$D$53&lt;=66)*(Hipótesis!$B$48:$B$53)*(Hipótesis!$F$48:$F$53))</f>
        <v>320</v>
      </c>
      <c r="BQ29" s="139" t="n">
        <f aca="false">SUMPRODUCT((Hipótesis!$D$48:$D$53&lt;=67)*(Hipótesis!$B$48:$B$53)*(Hipótesis!$F$48:$F$53))</f>
        <v>320</v>
      </c>
      <c r="BR29" s="139" t="n">
        <f aca="false">SUMPRODUCT((Hipótesis!$D$48:$D$53&lt;=68)*(Hipótesis!$B$48:$B$53)*(Hipótesis!$F$48:$F$53))</f>
        <v>320</v>
      </c>
      <c r="BS29" s="139" t="n">
        <f aca="false">SUMPRODUCT((Hipótesis!$D$48:$D$53&lt;=69)*(Hipótesis!$B$48:$B$53)*(Hipótesis!$F$48:$F$53))</f>
        <v>320</v>
      </c>
      <c r="BT29" s="139" t="n">
        <f aca="false">SUMPRODUCT((Hipótesis!$D$48:$D$53&lt;=70)*(Hipótesis!$B$48:$B$53)*(Hipótesis!$F$48:$F$53))</f>
        <v>320</v>
      </c>
      <c r="BU29" s="139" t="n">
        <f aca="false">SUMPRODUCT((Hipótesis!$D$48:$D$53&lt;=71)*(Hipótesis!$B$48:$B$53)*(Hipótesis!$F$48:$F$53))</f>
        <v>320</v>
      </c>
      <c r="BV29" s="139" t="n">
        <f aca="false">SUMPRODUCT((Hipótesis!$D$48:$D$53&lt;=72)*(Hipótesis!$B$48:$B$53)*(Hipótesis!$F$48:$F$53))</f>
        <v>320</v>
      </c>
      <c r="BW29" s="139" t="n">
        <f aca="false">SUMPRODUCT((Hipótesis!$D$48:$D$53&lt;=73)*(Hipótesis!$B$48:$B$53)*(Hipótesis!$F$48:$F$53))</f>
        <v>320</v>
      </c>
      <c r="BX29" s="139" t="n">
        <f aca="false">SUMPRODUCT((Hipótesis!$D$48:$D$53&lt;=74)*(Hipótesis!$B$48:$B$53)*(Hipótesis!$F$48:$F$53))</f>
        <v>320</v>
      </c>
      <c r="BY29" s="139" t="n">
        <f aca="false">SUMPRODUCT((Hipótesis!$D$48:$D$53&lt;=75)*(Hipótesis!$B$48:$B$53)*(Hipótesis!$F$48:$F$53))</f>
        <v>320</v>
      </c>
      <c r="BZ29" s="139" t="n">
        <f aca="false">SUMPRODUCT((Hipótesis!$D$48:$D$53&lt;=76)*(Hipótesis!$B$48:$B$53)*(Hipótesis!$F$48:$F$53))</f>
        <v>320</v>
      </c>
      <c r="CA29" s="139" t="n">
        <f aca="false">SUMPRODUCT((Hipótesis!$D$48:$D$53&lt;=77)*(Hipótesis!$B$48:$B$53)*(Hipótesis!$F$48:$F$53))</f>
        <v>320</v>
      </c>
      <c r="CB29" s="139" t="n">
        <f aca="false">SUMPRODUCT((Hipótesis!$D$48:$D$53&lt;=78)*(Hipótesis!$B$48:$B$53)*(Hipótesis!$F$48:$F$53))</f>
        <v>320</v>
      </c>
      <c r="CC29" s="139" t="n">
        <f aca="false">SUMPRODUCT((Hipótesis!$D$48:$D$53&lt;=79)*(Hipótesis!$B$48:$B$53)*(Hipótesis!$F$48:$F$53))</f>
        <v>320</v>
      </c>
      <c r="CD29" s="139" t="n">
        <f aca="false">SUMPRODUCT((Hipótesis!$D$48:$D$53&lt;=80)*(Hipótesis!$B$48:$B$53)*(Hipótesis!$F$48:$F$53))</f>
        <v>320</v>
      </c>
      <c r="CE29" s="139" t="n">
        <f aca="false">SUMPRODUCT((Hipótesis!$D$48:$D$53&lt;=81)*(Hipótesis!$B$48:$B$53)*(Hipótesis!$F$48:$F$53))</f>
        <v>320</v>
      </c>
      <c r="CF29" s="139" t="n">
        <f aca="false">SUMPRODUCT((Hipótesis!$D$48:$D$53&lt;=82)*(Hipótesis!$B$48:$B$53)*(Hipótesis!$F$48:$F$53))</f>
        <v>320</v>
      </c>
      <c r="CG29" s="139" t="n">
        <f aca="false">SUMPRODUCT((Hipótesis!$D$48:$D$53&lt;=83)*(Hipótesis!$B$48:$B$53)*(Hipótesis!$F$48:$F$53))</f>
        <v>320</v>
      </c>
      <c r="CH29" s="139" t="n">
        <f aca="false">SUMPRODUCT((Hipótesis!$D$48:$D$53&lt;=84)*(Hipótesis!$B$48:$B$53)*(Hipótesis!$F$48:$F$53))</f>
        <v>320</v>
      </c>
    </row>
    <row r="30" customFormat="false" ht="13.5" hidden="false" customHeight="true" outlineLevel="0" collapsed="false">
      <c r="A30" s="30" t="s">
        <v>712</v>
      </c>
      <c r="C30" s="139" t="n">
        <f aca="false">ROUNDUP(MAX(0,C28-C29)/Hipótesis!$D$63,0)</f>
        <v>0</v>
      </c>
      <c r="D30" s="139" t="n">
        <f aca="false">ROUNDUP(MAX(0,D28-D29)/Hipótesis!$D$63,0)</f>
        <v>0</v>
      </c>
      <c r="E30" s="139" t="n">
        <f aca="false">ROUNDUP(MAX(0,E28-E29)/Hipótesis!$D$63,0)</f>
        <v>0</v>
      </c>
      <c r="F30" s="139" t="n">
        <f aca="false">ROUNDUP(MAX(0,F28-F29)/Hipótesis!$D$63,0)</f>
        <v>0</v>
      </c>
      <c r="G30" s="139" t="n">
        <f aca="false">ROUNDUP(MAX(0,G28-G29)/Hipótesis!$D$63,0)</f>
        <v>0</v>
      </c>
      <c r="H30" s="139" t="n">
        <f aca="false">ROUNDUP(MAX(0,H28-H29)/Hipótesis!$D$63,0)</f>
        <v>0</v>
      </c>
      <c r="I30" s="139" t="n">
        <f aca="false">ROUNDUP(MAX(0,I28-I29)/Hipótesis!$D$63,0)</f>
        <v>0</v>
      </c>
      <c r="J30" s="139" t="n">
        <f aca="false">ROUNDUP(MAX(0,J28-J29)/Hipótesis!$D$63,0)</f>
        <v>0</v>
      </c>
      <c r="K30" s="139" t="n">
        <f aca="false">ROUNDUP(MAX(0,K28-K29)/Hipótesis!$D$63,0)</f>
        <v>0</v>
      </c>
      <c r="L30" s="139" t="n">
        <f aca="false">ROUNDUP(MAX(0,L28-L29)/Hipótesis!$D$63,0)</f>
        <v>0</v>
      </c>
      <c r="M30" s="139" t="n">
        <f aca="false">ROUNDUP(MAX(0,M28-M29)/Hipótesis!$D$63,0)</f>
        <v>0</v>
      </c>
      <c r="N30" s="139" t="n">
        <f aca="false">ROUNDUP(MAX(0,N28-N29)/Hipótesis!$D$63,0)</f>
        <v>0</v>
      </c>
      <c r="O30" s="139" t="n">
        <f aca="false">ROUNDUP(MAX(0,O28-O29)/Hipótesis!$D$63,0)</f>
        <v>0</v>
      </c>
      <c r="P30" s="139" t="n">
        <f aca="false">ROUNDUP(MAX(0,P28-P29)/Hipótesis!$D$63,0)</f>
        <v>1</v>
      </c>
      <c r="Q30" s="139" t="n">
        <f aca="false">ROUNDUP(MAX(0,Q28-Q29)/Hipótesis!$D$63,0)</f>
        <v>1</v>
      </c>
      <c r="R30" s="139" t="n">
        <f aca="false">ROUNDUP(MAX(0,R28-R29)/Hipótesis!$D$63,0)</f>
        <v>1</v>
      </c>
      <c r="S30" s="139" t="n">
        <f aca="false">ROUNDUP(MAX(0,S28-S29)/Hipótesis!$D$63,0)</f>
        <v>1</v>
      </c>
      <c r="T30" s="139" t="n">
        <f aca="false">ROUNDUP(MAX(0,T28-T29)/Hipótesis!$D$63,0)</f>
        <v>1</v>
      </c>
      <c r="U30" s="139" t="n">
        <f aca="false">ROUNDUP(MAX(0,U28-U29)/Hipótesis!$D$63,0)</f>
        <v>2</v>
      </c>
      <c r="V30" s="139" t="n">
        <f aca="false">ROUNDUP(MAX(0,V28-V29)/Hipótesis!$D$63,0)</f>
        <v>2</v>
      </c>
      <c r="W30" s="139" t="n">
        <f aca="false">ROUNDUP(MAX(0,W28-W29)/Hipótesis!$D$63,0)</f>
        <v>2</v>
      </c>
      <c r="X30" s="139" t="n">
        <f aca="false">ROUNDUP(MAX(0,X28-X29)/Hipótesis!$D$63,0)</f>
        <v>2</v>
      </c>
      <c r="Y30" s="139" t="n">
        <f aca="false">ROUNDUP(MAX(0,Y28-Y29)/Hipótesis!$D$63,0)</f>
        <v>2</v>
      </c>
      <c r="Z30" s="139" t="n">
        <f aca="false">ROUNDUP(MAX(0,Z28-Z29)/Hipótesis!$D$63,0)</f>
        <v>2</v>
      </c>
      <c r="AA30" s="139" t="n">
        <f aca="false">ROUNDUP(MAX(0,AA28-AA29)/Hipótesis!$D$63,0)</f>
        <v>2</v>
      </c>
      <c r="AB30" s="139" t="n">
        <f aca="false">ROUNDUP(MAX(0,AB28-AB29)/Hipótesis!$D$63,0)</f>
        <v>3</v>
      </c>
      <c r="AC30" s="139" t="n">
        <f aca="false">ROUNDUP(MAX(0,AC28-AC29)/Hipótesis!$D$63,0)</f>
        <v>3</v>
      </c>
      <c r="AD30" s="139" t="n">
        <f aca="false">ROUNDUP(MAX(0,AD28-AD29)/Hipótesis!$D$63,0)</f>
        <v>3</v>
      </c>
      <c r="AE30" s="139" t="n">
        <f aca="false">ROUNDUP(MAX(0,AE28-AE29)/Hipótesis!$D$63,0)</f>
        <v>3</v>
      </c>
      <c r="AF30" s="139" t="n">
        <f aca="false">ROUNDUP(MAX(0,AF28-AF29)/Hipótesis!$D$63,0)</f>
        <v>3</v>
      </c>
      <c r="AG30" s="139" t="n">
        <f aca="false">ROUNDUP(MAX(0,AG28-AG29)/Hipótesis!$D$63,0)</f>
        <v>3</v>
      </c>
      <c r="AH30" s="139" t="n">
        <f aca="false">ROUNDUP(MAX(0,AH28-AH29)/Hipótesis!$D$63,0)</f>
        <v>3</v>
      </c>
      <c r="AI30" s="139" t="n">
        <f aca="false">ROUNDUP(MAX(0,AI28-AI29)/Hipótesis!$D$63,0)</f>
        <v>3</v>
      </c>
      <c r="AJ30" s="139" t="n">
        <f aca="false">ROUNDUP(MAX(0,AJ28-AJ29)/Hipótesis!$D$63,0)</f>
        <v>3</v>
      </c>
      <c r="AK30" s="139" t="n">
        <f aca="false">ROUNDUP(MAX(0,AK28-AK29)/Hipótesis!$D$63,0)</f>
        <v>3</v>
      </c>
      <c r="AL30" s="139" t="n">
        <f aca="false">ROUNDUP(MAX(0,AL28-AL29)/Hipótesis!$D$63,0)</f>
        <v>4</v>
      </c>
      <c r="AM30" s="139" t="n">
        <f aca="false">ROUNDUP(MAX(0,AM28-AM29)/Hipótesis!$D$63,0)</f>
        <v>4</v>
      </c>
      <c r="AN30" s="139" t="n">
        <f aca="false">ROUNDUP(MAX(0,AN28-AN29)/Hipótesis!$D$63,0)</f>
        <v>4</v>
      </c>
      <c r="AO30" s="139" t="n">
        <f aca="false">ROUNDUP(MAX(0,AO28-AO29)/Hipótesis!$D$63,0)</f>
        <v>4</v>
      </c>
      <c r="AP30" s="139" t="n">
        <f aca="false">ROUNDUP(MAX(0,AP28-AP29)/Hipótesis!$D$63,0)</f>
        <v>4</v>
      </c>
      <c r="AQ30" s="139" t="n">
        <f aca="false">ROUNDUP(MAX(0,AQ28-AQ29)/Hipótesis!$D$63,0)</f>
        <v>4</v>
      </c>
      <c r="AR30" s="139" t="n">
        <f aca="false">ROUNDUP(MAX(0,AR28-AR29)/Hipótesis!$D$63,0)</f>
        <v>4</v>
      </c>
      <c r="AS30" s="139" t="n">
        <f aca="false">ROUNDUP(MAX(0,AS28-AS29)/Hipótesis!$D$63,0)</f>
        <v>4</v>
      </c>
      <c r="AT30" s="139" t="n">
        <f aca="false">ROUNDUP(MAX(0,AT28-AT29)/Hipótesis!$D$63,0)</f>
        <v>4</v>
      </c>
      <c r="AU30" s="139" t="n">
        <f aca="false">ROUNDUP(MAX(0,AU28-AU29)/Hipótesis!$D$63,0)</f>
        <v>4</v>
      </c>
      <c r="AV30" s="139" t="n">
        <f aca="false">ROUNDUP(MAX(0,AV28-AV29)/Hipótesis!$D$63,0)</f>
        <v>4</v>
      </c>
      <c r="AW30" s="139" t="n">
        <f aca="false">ROUNDUP(MAX(0,AW28-AW29)/Hipótesis!$D$63,0)</f>
        <v>4</v>
      </c>
      <c r="AX30" s="139" t="n">
        <f aca="false">ROUNDUP(MAX(0,AX28-AX29)/Hipótesis!$D$63,0)</f>
        <v>4</v>
      </c>
      <c r="AY30" s="139" t="n">
        <f aca="false">ROUNDUP(MAX(0,AY28-AY29)/Hipótesis!$D$63,0)</f>
        <v>4</v>
      </c>
      <c r="AZ30" s="139" t="n">
        <f aca="false">ROUNDUP(MAX(0,AZ28-AZ29)/Hipótesis!$D$63,0)</f>
        <v>4</v>
      </c>
      <c r="BA30" s="139" t="n">
        <f aca="false">ROUNDUP(MAX(0,BA28-BA29)/Hipótesis!$D$63,0)</f>
        <v>4</v>
      </c>
      <c r="BB30" s="139" t="n">
        <f aca="false">ROUNDUP(MAX(0,BB28-BB29)/Hipótesis!$D$63,0)</f>
        <v>4</v>
      </c>
      <c r="BC30" s="139" t="n">
        <f aca="false">ROUNDUP(MAX(0,BC28-BC29)/Hipótesis!$D$63,0)</f>
        <v>4</v>
      </c>
      <c r="BD30" s="139" t="n">
        <f aca="false">ROUNDUP(MAX(0,BD28-BD29)/Hipótesis!$D$63,0)</f>
        <v>4</v>
      </c>
      <c r="BE30" s="139" t="n">
        <f aca="false">ROUNDUP(MAX(0,BE28-BE29)/Hipótesis!$D$63,0)</f>
        <v>4</v>
      </c>
      <c r="BF30" s="139" t="n">
        <f aca="false">ROUNDUP(MAX(0,BF28-BF29)/Hipótesis!$D$63,0)</f>
        <v>4</v>
      </c>
      <c r="BG30" s="139" t="n">
        <f aca="false">ROUNDUP(MAX(0,BG28-BG29)/Hipótesis!$D$63,0)</f>
        <v>4</v>
      </c>
      <c r="BH30" s="139" t="n">
        <f aca="false">ROUNDUP(MAX(0,BH28-BH29)/Hipótesis!$D$63,0)</f>
        <v>4</v>
      </c>
      <c r="BI30" s="139" t="n">
        <f aca="false">ROUNDUP(MAX(0,BI28-BI29)/Hipótesis!$D$63,0)</f>
        <v>4</v>
      </c>
      <c r="BJ30" s="139" t="n">
        <f aca="false">ROUNDUP(MAX(0,BJ28-BJ29)/Hipótesis!$D$63,0)</f>
        <v>4</v>
      </c>
      <c r="BK30" s="139" t="n">
        <f aca="false">ROUNDUP(MAX(0,BK28-BK29)/Hipótesis!$D$63,0)</f>
        <v>4</v>
      </c>
      <c r="BL30" s="139" t="n">
        <f aca="false">ROUNDUP(MAX(0,BL28-BL29)/Hipótesis!$D$63,0)</f>
        <v>4</v>
      </c>
      <c r="BM30" s="139" t="n">
        <f aca="false">ROUNDUP(MAX(0,BM28-BM29)/Hipótesis!$D$63,0)</f>
        <v>4</v>
      </c>
      <c r="BN30" s="139" t="n">
        <f aca="false">ROUNDUP(MAX(0,BN28-BN29)/Hipótesis!$D$63,0)</f>
        <v>4</v>
      </c>
      <c r="BO30" s="139" t="n">
        <f aca="false">ROUNDUP(MAX(0,BO28-BO29)/Hipótesis!$D$63,0)</f>
        <v>4</v>
      </c>
      <c r="BP30" s="139" t="n">
        <f aca="false">ROUNDUP(MAX(0,BP28-BP29)/Hipótesis!$D$63,0)</f>
        <v>4</v>
      </c>
      <c r="BQ30" s="139" t="n">
        <f aca="false">ROUNDUP(MAX(0,BQ28-BQ29)/Hipótesis!$D$63,0)</f>
        <v>4</v>
      </c>
      <c r="BR30" s="139" t="n">
        <f aca="false">ROUNDUP(MAX(0,BR28-BR29)/Hipótesis!$D$63,0)</f>
        <v>4</v>
      </c>
      <c r="BS30" s="139" t="n">
        <f aca="false">ROUNDUP(MAX(0,BS28-BS29)/Hipótesis!$D$63,0)</f>
        <v>4</v>
      </c>
      <c r="BT30" s="139" t="n">
        <f aca="false">ROUNDUP(MAX(0,BT28-BT29)/Hipótesis!$D$63,0)</f>
        <v>4</v>
      </c>
      <c r="BU30" s="139" t="n">
        <f aca="false">ROUNDUP(MAX(0,BU28-BU29)/Hipótesis!$D$63,0)</f>
        <v>4</v>
      </c>
      <c r="BV30" s="139" t="n">
        <f aca="false">ROUNDUP(MAX(0,BV28-BV29)/Hipótesis!$D$63,0)</f>
        <v>4</v>
      </c>
      <c r="BW30" s="139" t="n">
        <f aca="false">ROUNDUP(MAX(0,BW28-BW29)/Hipótesis!$D$63,0)</f>
        <v>4</v>
      </c>
      <c r="BX30" s="139" t="n">
        <f aca="false">ROUNDUP(MAX(0,BX28-BX29)/Hipótesis!$D$63,0)</f>
        <v>4</v>
      </c>
      <c r="BY30" s="139" t="n">
        <f aca="false">ROUNDUP(MAX(0,BY28-BY29)/Hipótesis!$D$63,0)</f>
        <v>4</v>
      </c>
      <c r="BZ30" s="139" t="n">
        <f aca="false">ROUNDUP(MAX(0,BZ28-BZ29)/Hipótesis!$D$63,0)</f>
        <v>4</v>
      </c>
      <c r="CA30" s="139" t="n">
        <f aca="false">ROUNDUP(MAX(0,CA28-CA29)/Hipótesis!$D$63,0)</f>
        <v>4</v>
      </c>
      <c r="CB30" s="139" t="n">
        <f aca="false">ROUNDUP(MAX(0,CB28-CB29)/Hipótesis!$D$63,0)</f>
        <v>4</v>
      </c>
      <c r="CC30" s="139" t="n">
        <f aca="false">ROUNDUP(MAX(0,CC28-CC29)/Hipótesis!$D$63,0)</f>
        <v>4</v>
      </c>
      <c r="CD30" s="139" t="n">
        <f aca="false">ROUNDUP(MAX(0,CD28-CD29)/Hipótesis!$D$63,0)</f>
        <v>4</v>
      </c>
      <c r="CE30" s="139" t="n">
        <f aca="false">ROUNDUP(MAX(0,CE28-CE29)/Hipótesis!$D$63,0)</f>
        <v>4</v>
      </c>
      <c r="CF30" s="139" t="n">
        <f aca="false">ROUNDUP(MAX(0,CF28-CF29)/Hipótesis!$D$63,0)</f>
        <v>4</v>
      </c>
      <c r="CG30" s="139" t="n">
        <f aca="false">ROUNDUP(MAX(0,CG28-CG29)/Hipótesis!$D$63,0)</f>
        <v>4</v>
      </c>
      <c r="CH30" s="139" t="n">
        <f aca="false">ROUNDUP(MAX(0,CH28-CH29)/Hipótesis!$D$63,0)</f>
        <v>4</v>
      </c>
    </row>
    <row r="31" customFormat="false" ht="13.5" hidden="false" customHeight="true" outlineLevel="0" collapsed="false">
      <c r="A31" s="30" t="s">
        <v>713</v>
      </c>
      <c r="C31" s="139" t="n">
        <f aca="false">SUMPRODUCT((Hipótesis!$D$48:$D$53&lt;=1)*(Hipótesis!$B$48:$B$53))+C30</f>
        <v>4</v>
      </c>
      <c r="D31" s="139" t="n">
        <f aca="false">SUMPRODUCT((Hipótesis!$D$48:$D$53&lt;=2)*(Hipótesis!$B$48:$B$53))+D30</f>
        <v>4</v>
      </c>
      <c r="E31" s="139" t="n">
        <f aca="false">SUMPRODUCT((Hipótesis!$D$48:$D$53&lt;=3)*(Hipótesis!$B$48:$B$53))+E30</f>
        <v>4</v>
      </c>
      <c r="F31" s="139" t="n">
        <f aca="false">SUMPRODUCT((Hipótesis!$D$48:$D$53&lt;=4)*(Hipótesis!$B$48:$B$53))+F30</f>
        <v>4</v>
      </c>
      <c r="G31" s="139" t="n">
        <f aca="false">SUMPRODUCT((Hipótesis!$D$48:$D$53&lt;=5)*(Hipótesis!$B$48:$B$53))+G30</f>
        <v>4</v>
      </c>
      <c r="H31" s="139" t="n">
        <f aca="false">SUMPRODUCT((Hipótesis!$D$48:$D$53&lt;=6)*(Hipótesis!$B$48:$B$53))+H30</f>
        <v>4</v>
      </c>
      <c r="I31" s="139" t="n">
        <f aca="false">SUMPRODUCT((Hipótesis!$D$48:$D$53&lt;=7)*(Hipótesis!$B$48:$B$53))+I30</f>
        <v>4</v>
      </c>
      <c r="J31" s="139" t="n">
        <f aca="false">SUMPRODUCT((Hipótesis!$D$48:$D$53&lt;=8)*(Hipótesis!$B$48:$B$53))+J30</f>
        <v>4</v>
      </c>
      <c r="K31" s="139" t="n">
        <f aca="false">SUMPRODUCT((Hipótesis!$D$48:$D$53&lt;=9)*(Hipótesis!$B$48:$B$53))+K30</f>
        <v>4</v>
      </c>
      <c r="L31" s="139" t="n">
        <f aca="false">SUMPRODUCT((Hipótesis!$D$48:$D$53&lt;=10)*(Hipótesis!$B$48:$B$53))+L30</f>
        <v>4</v>
      </c>
      <c r="M31" s="139" t="n">
        <f aca="false">SUMPRODUCT((Hipótesis!$D$48:$D$53&lt;=11)*(Hipótesis!$B$48:$B$53))+M30</f>
        <v>4</v>
      </c>
      <c r="N31" s="139" t="n">
        <f aca="false">SUMPRODUCT((Hipótesis!$D$48:$D$53&lt;=12)*(Hipótesis!$B$48:$B$53))+N30</f>
        <v>4</v>
      </c>
      <c r="O31" s="139" t="n">
        <f aca="false">SUMPRODUCT((Hipótesis!$D$48:$D$53&lt;=13)*(Hipótesis!$B$48:$B$53))+O30</f>
        <v>4</v>
      </c>
      <c r="P31" s="139" t="n">
        <f aca="false">SUMPRODUCT((Hipótesis!$D$48:$D$53&lt;=14)*(Hipótesis!$B$48:$B$53))+P30</f>
        <v>5</v>
      </c>
      <c r="Q31" s="139" t="n">
        <f aca="false">SUMPRODUCT((Hipótesis!$D$48:$D$53&lt;=15)*(Hipótesis!$B$48:$B$53))+Q30</f>
        <v>5</v>
      </c>
      <c r="R31" s="139" t="n">
        <f aca="false">SUMPRODUCT((Hipótesis!$D$48:$D$53&lt;=16)*(Hipótesis!$B$48:$B$53))+R30</f>
        <v>5</v>
      </c>
      <c r="S31" s="139" t="n">
        <f aca="false">SUMPRODUCT((Hipótesis!$D$48:$D$53&lt;=17)*(Hipótesis!$B$48:$B$53))+S30</f>
        <v>5</v>
      </c>
      <c r="T31" s="139" t="n">
        <f aca="false">SUMPRODUCT((Hipótesis!$D$48:$D$53&lt;=18)*(Hipótesis!$B$48:$B$53))+T30</f>
        <v>5</v>
      </c>
      <c r="U31" s="139" t="n">
        <f aca="false">SUMPRODUCT((Hipótesis!$D$48:$D$53&lt;=19)*(Hipótesis!$B$48:$B$53))+U30</f>
        <v>6</v>
      </c>
      <c r="V31" s="139" t="n">
        <f aca="false">SUMPRODUCT((Hipótesis!$D$48:$D$53&lt;=20)*(Hipótesis!$B$48:$B$53))+V30</f>
        <v>7</v>
      </c>
      <c r="W31" s="139" t="n">
        <f aca="false">SUMPRODUCT((Hipótesis!$D$48:$D$53&lt;=21)*(Hipótesis!$B$48:$B$53))+W30</f>
        <v>7</v>
      </c>
      <c r="X31" s="139" t="n">
        <f aca="false">SUMPRODUCT((Hipótesis!$D$48:$D$53&lt;=22)*(Hipótesis!$B$48:$B$53))+X30</f>
        <v>7</v>
      </c>
      <c r="Y31" s="139" t="n">
        <f aca="false">SUMPRODUCT((Hipótesis!$D$48:$D$53&lt;=23)*(Hipótesis!$B$48:$B$53))+Y30</f>
        <v>7</v>
      </c>
      <c r="Z31" s="139" t="n">
        <f aca="false">SUMPRODUCT((Hipótesis!$D$48:$D$53&lt;=24)*(Hipótesis!$B$48:$B$53))+Z30</f>
        <v>7</v>
      </c>
      <c r="AA31" s="139" t="n">
        <f aca="false">SUMPRODUCT((Hipótesis!$D$48:$D$53&lt;=25)*(Hipótesis!$B$48:$B$53))+AA30</f>
        <v>7</v>
      </c>
      <c r="AB31" s="139" t="n">
        <f aca="false">SUMPRODUCT((Hipótesis!$D$48:$D$53&lt;=26)*(Hipótesis!$B$48:$B$53))+AB30</f>
        <v>8</v>
      </c>
      <c r="AC31" s="139" t="n">
        <f aca="false">SUMPRODUCT((Hipótesis!$D$48:$D$53&lt;=27)*(Hipótesis!$B$48:$B$53))+AC30</f>
        <v>8</v>
      </c>
      <c r="AD31" s="139" t="n">
        <f aca="false">SUMPRODUCT((Hipótesis!$D$48:$D$53&lt;=28)*(Hipótesis!$B$48:$B$53))+AD30</f>
        <v>8</v>
      </c>
      <c r="AE31" s="139" t="n">
        <f aca="false">SUMPRODUCT((Hipótesis!$D$48:$D$53&lt;=29)*(Hipótesis!$B$48:$B$53))+AE30</f>
        <v>8</v>
      </c>
      <c r="AF31" s="139" t="n">
        <f aca="false">SUMPRODUCT((Hipótesis!$D$48:$D$53&lt;=30)*(Hipótesis!$B$48:$B$53))+AF30</f>
        <v>8</v>
      </c>
      <c r="AG31" s="139" t="n">
        <f aca="false">SUMPRODUCT((Hipótesis!$D$48:$D$53&lt;=31)*(Hipótesis!$B$48:$B$53))+AG30</f>
        <v>8</v>
      </c>
      <c r="AH31" s="139" t="n">
        <f aca="false">SUMPRODUCT((Hipótesis!$D$48:$D$53&lt;=32)*(Hipótesis!$B$48:$B$53))+AH30</f>
        <v>8</v>
      </c>
      <c r="AI31" s="139" t="n">
        <f aca="false">SUMPRODUCT((Hipótesis!$D$48:$D$53&lt;=33)*(Hipótesis!$B$48:$B$53))+AI30</f>
        <v>8</v>
      </c>
      <c r="AJ31" s="139" t="n">
        <f aca="false">SUMPRODUCT((Hipótesis!$D$48:$D$53&lt;=34)*(Hipótesis!$B$48:$B$53))+AJ30</f>
        <v>8</v>
      </c>
      <c r="AK31" s="139" t="n">
        <f aca="false">SUMPRODUCT((Hipótesis!$D$48:$D$53&lt;=35)*(Hipótesis!$B$48:$B$53))+AK30</f>
        <v>8</v>
      </c>
      <c r="AL31" s="139" t="n">
        <f aca="false">SUMPRODUCT((Hipótesis!$D$48:$D$53&lt;=36)*(Hipótesis!$B$48:$B$53))+AL30</f>
        <v>9</v>
      </c>
      <c r="AM31" s="139" t="n">
        <f aca="false">SUMPRODUCT((Hipótesis!$D$48:$D$53&lt;=37)*(Hipótesis!$B$48:$B$53))+AM30</f>
        <v>9</v>
      </c>
      <c r="AN31" s="139" t="n">
        <f aca="false">SUMPRODUCT((Hipótesis!$D$48:$D$53&lt;=38)*(Hipótesis!$B$48:$B$53))+AN30</f>
        <v>9</v>
      </c>
      <c r="AO31" s="139" t="n">
        <f aca="false">SUMPRODUCT((Hipótesis!$D$48:$D$53&lt;=39)*(Hipótesis!$B$48:$B$53))+AO30</f>
        <v>9</v>
      </c>
      <c r="AP31" s="139" t="n">
        <f aca="false">SUMPRODUCT((Hipótesis!$D$48:$D$53&lt;=40)*(Hipótesis!$B$48:$B$53))+AP30</f>
        <v>9</v>
      </c>
      <c r="AQ31" s="139" t="n">
        <f aca="false">SUMPRODUCT((Hipótesis!$D$48:$D$53&lt;=41)*(Hipótesis!$B$48:$B$53))+AQ30</f>
        <v>9</v>
      </c>
      <c r="AR31" s="139" t="n">
        <f aca="false">SUMPRODUCT((Hipótesis!$D$48:$D$53&lt;=42)*(Hipótesis!$B$48:$B$53))+AR30</f>
        <v>9</v>
      </c>
      <c r="AS31" s="139" t="n">
        <f aca="false">SUMPRODUCT((Hipótesis!$D$48:$D$53&lt;=43)*(Hipótesis!$B$48:$B$53))+AS30</f>
        <v>9</v>
      </c>
      <c r="AT31" s="139" t="n">
        <f aca="false">SUMPRODUCT((Hipótesis!$D$48:$D$53&lt;=44)*(Hipótesis!$B$48:$B$53))+AT30</f>
        <v>9</v>
      </c>
      <c r="AU31" s="139" t="n">
        <f aca="false">SUMPRODUCT((Hipótesis!$D$48:$D$53&lt;=45)*(Hipótesis!$B$48:$B$53))+AU30</f>
        <v>9</v>
      </c>
      <c r="AV31" s="139" t="n">
        <f aca="false">SUMPRODUCT((Hipótesis!$D$48:$D$53&lt;=46)*(Hipótesis!$B$48:$B$53))+AV30</f>
        <v>9</v>
      </c>
      <c r="AW31" s="139" t="n">
        <f aca="false">SUMPRODUCT((Hipótesis!$D$48:$D$53&lt;=47)*(Hipótesis!$B$48:$B$53))+AW30</f>
        <v>9</v>
      </c>
      <c r="AX31" s="139" t="n">
        <f aca="false">SUMPRODUCT((Hipótesis!$D$48:$D$53&lt;=48)*(Hipótesis!$B$48:$B$53))+AX30</f>
        <v>9</v>
      </c>
      <c r="AY31" s="139" t="n">
        <f aca="false">SUMPRODUCT((Hipótesis!$D$48:$D$53&lt;=49)*(Hipótesis!$B$48:$B$53))+AY30</f>
        <v>9</v>
      </c>
      <c r="AZ31" s="139" t="n">
        <f aca="false">SUMPRODUCT((Hipótesis!$D$48:$D$53&lt;=50)*(Hipótesis!$B$48:$B$53))+AZ30</f>
        <v>9</v>
      </c>
      <c r="BA31" s="139" t="n">
        <f aca="false">SUMPRODUCT((Hipótesis!$D$48:$D$53&lt;=51)*(Hipótesis!$B$48:$B$53))+BA30</f>
        <v>9</v>
      </c>
      <c r="BB31" s="139" t="n">
        <f aca="false">SUMPRODUCT((Hipótesis!$D$48:$D$53&lt;=52)*(Hipótesis!$B$48:$B$53))+BB30</f>
        <v>9</v>
      </c>
      <c r="BC31" s="139" t="n">
        <f aca="false">SUMPRODUCT((Hipótesis!$D$48:$D$53&lt;=53)*(Hipótesis!$B$48:$B$53))+BC30</f>
        <v>9</v>
      </c>
      <c r="BD31" s="139" t="n">
        <f aca="false">SUMPRODUCT((Hipótesis!$D$48:$D$53&lt;=54)*(Hipótesis!$B$48:$B$53))+BD30</f>
        <v>9</v>
      </c>
      <c r="BE31" s="139" t="n">
        <f aca="false">SUMPRODUCT((Hipótesis!$D$48:$D$53&lt;=55)*(Hipótesis!$B$48:$B$53))+BE30</f>
        <v>9</v>
      </c>
      <c r="BF31" s="139" t="n">
        <f aca="false">SUMPRODUCT((Hipótesis!$D$48:$D$53&lt;=56)*(Hipótesis!$B$48:$B$53))+BF30</f>
        <v>9</v>
      </c>
      <c r="BG31" s="139" t="n">
        <f aca="false">SUMPRODUCT((Hipótesis!$D$48:$D$53&lt;=57)*(Hipótesis!$B$48:$B$53))+BG30</f>
        <v>9</v>
      </c>
      <c r="BH31" s="139" t="n">
        <f aca="false">SUMPRODUCT((Hipótesis!$D$48:$D$53&lt;=58)*(Hipótesis!$B$48:$B$53))+BH30</f>
        <v>9</v>
      </c>
      <c r="BI31" s="139" t="n">
        <f aca="false">SUMPRODUCT((Hipótesis!$D$48:$D$53&lt;=59)*(Hipótesis!$B$48:$B$53))+BI30</f>
        <v>9</v>
      </c>
      <c r="BJ31" s="139" t="n">
        <f aca="false">SUMPRODUCT((Hipótesis!$D$48:$D$53&lt;=60)*(Hipótesis!$B$48:$B$53))+BJ30</f>
        <v>9</v>
      </c>
      <c r="BK31" s="139" t="n">
        <f aca="false">SUMPRODUCT((Hipótesis!$D$48:$D$53&lt;=61)*(Hipótesis!$B$48:$B$53))+BK30</f>
        <v>9</v>
      </c>
      <c r="BL31" s="139" t="n">
        <f aca="false">SUMPRODUCT((Hipótesis!$D$48:$D$53&lt;=62)*(Hipótesis!$B$48:$B$53))+BL30</f>
        <v>9</v>
      </c>
      <c r="BM31" s="139" t="n">
        <f aca="false">SUMPRODUCT((Hipótesis!$D$48:$D$53&lt;=63)*(Hipótesis!$B$48:$B$53))+BM30</f>
        <v>9</v>
      </c>
      <c r="BN31" s="139" t="n">
        <f aca="false">SUMPRODUCT((Hipótesis!$D$48:$D$53&lt;=64)*(Hipótesis!$B$48:$B$53))+BN30</f>
        <v>9</v>
      </c>
      <c r="BO31" s="139" t="n">
        <f aca="false">SUMPRODUCT((Hipótesis!$D$48:$D$53&lt;=65)*(Hipótesis!$B$48:$B$53))+BO30</f>
        <v>9</v>
      </c>
      <c r="BP31" s="139" t="n">
        <f aca="false">SUMPRODUCT((Hipótesis!$D$48:$D$53&lt;=66)*(Hipótesis!$B$48:$B$53))+BP30</f>
        <v>9</v>
      </c>
      <c r="BQ31" s="139" t="n">
        <f aca="false">SUMPRODUCT((Hipótesis!$D$48:$D$53&lt;=67)*(Hipótesis!$B$48:$B$53))+BQ30</f>
        <v>9</v>
      </c>
      <c r="BR31" s="139" t="n">
        <f aca="false">SUMPRODUCT((Hipótesis!$D$48:$D$53&lt;=68)*(Hipótesis!$B$48:$B$53))+BR30</f>
        <v>9</v>
      </c>
      <c r="BS31" s="139" t="n">
        <f aca="false">SUMPRODUCT((Hipótesis!$D$48:$D$53&lt;=69)*(Hipótesis!$B$48:$B$53))+BS30</f>
        <v>9</v>
      </c>
      <c r="BT31" s="139" t="n">
        <f aca="false">SUMPRODUCT((Hipótesis!$D$48:$D$53&lt;=70)*(Hipótesis!$B$48:$B$53))+BT30</f>
        <v>9</v>
      </c>
      <c r="BU31" s="139" t="n">
        <f aca="false">SUMPRODUCT((Hipótesis!$D$48:$D$53&lt;=71)*(Hipótesis!$B$48:$B$53))+BU30</f>
        <v>9</v>
      </c>
      <c r="BV31" s="139" t="n">
        <f aca="false">SUMPRODUCT((Hipótesis!$D$48:$D$53&lt;=72)*(Hipótesis!$B$48:$B$53))+BV30</f>
        <v>9</v>
      </c>
      <c r="BW31" s="139" t="n">
        <f aca="false">SUMPRODUCT((Hipótesis!$D$48:$D$53&lt;=73)*(Hipótesis!$B$48:$B$53))+BW30</f>
        <v>9</v>
      </c>
      <c r="BX31" s="139" t="n">
        <f aca="false">SUMPRODUCT((Hipótesis!$D$48:$D$53&lt;=74)*(Hipótesis!$B$48:$B$53))+BX30</f>
        <v>9</v>
      </c>
      <c r="BY31" s="139" t="n">
        <f aca="false">SUMPRODUCT((Hipótesis!$D$48:$D$53&lt;=75)*(Hipótesis!$B$48:$B$53))+BY30</f>
        <v>9</v>
      </c>
      <c r="BZ31" s="139" t="n">
        <f aca="false">SUMPRODUCT((Hipótesis!$D$48:$D$53&lt;=76)*(Hipótesis!$B$48:$B$53))+BZ30</f>
        <v>9</v>
      </c>
      <c r="CA31" s="139" t="n">
        <f aca="false">SUMPRODUCT((Hipótesis!$D$48:$D$53&lt;=77)*(Hipótesis!$B$48:$B$53))+CA30</f>
        <v>9</v>
      </c>
      <c r="CB31" s="139" t="n">
        <f aca="false">SUMPRODUCT((Hipótesis!$D$48:$D$53&lt;=78)*(Hipótesis!$B$48:$B$53))+CB30</f>
        <v>9</v>
      </c>
      <c r="CC31" s="139" t="n">
        <f aca="false">SUMPRODUCT((Hipótesis!$D$48:$D$53&lt;=79)*(Hipótesis!$B$48:$B$53))+CC30</f>
        <v>9</v>
      </c>
      <c r="CD31" s="139" t="n">
        <f aca="false">SUMPRODUCT((Hipótesis!$D$48:$D$53&lt;=80)*(Hipótesis!$B$48:$B$53))+CD30</f>
        <v>9</v>
      </c>
      <c r="CE31" s="139" t="n">
        <f aca="false">SUMPRODUCT((Hipótesis!$D$48:$D$53&lt;=81)*(Hipótesis!$B$48:$B$53))+CE30</f>
        <v>9</v>
      </c>
      <c r="CF31" s="139" t="n">
        <f aca="false">SUMPRODUCT((Hipótesis!$D$48:$D$53&lt;=82)*(Hipótesis!$B$48:$B$53))+CF30</f>
        <v>9</v>
      </c>
      <c r="CG31" s="139" t="n">
        <f aca="false">SUMPRODUCT((Hipótesis!$D$48:$D$53&lt;=83)*(Hipótesis!$B$48:$B$53))+CG30</f>
        <v>9</v>
      </c>
      <c r="CH31" s="139" t="n">
        <f aca="false">SUMPRODUCT((Hipótesis!$D$48:$D$53&lt;=84)*(Hipótesis!$B$48:$B$53))+CH30</f>
        <v>9</v>
      </c>
    </row>
    <row r="32" customFormat="false" ht="13.5" hidden="false" customHeight="true" outlineLevel="0" collapsed="false"/>
    <row r="33" customFormat="false" ht="12.75" hidden="false" customHeight="true" outlineLevel="0" collapsed="false">
      <c r="A33" s="10" t="s">
        <v>714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</row>
    <row r="34" customFormat="false" ht="13.5" hidden="false" customHeight="true" outlineLevel="0" collapsed="false">
      <c r="A34" s="13" t="s">
        <v>715</v>
      </c>
      <c r="C34" s="138" t="n">
        <f aca="false">C186</f>
        <v>1033.125</v>
      </c>
      <c r="D34" s="138" t="n">
        <f aca="false">D186</f>
        <v>2144.55</v>
      </c>
      <c r="E34" s="138" t="n">
        <f aca="false">E186</f>
        <v>4457.6625</v>
      </c>
      <c r="F34" s="138" t="n">
        <f aca="false">F186</f>
        <v>5737.65</v>
      </c>
      <c r="G34" s="138" t="n">
        <f aca="false">G186</f>
        <v>6939.3375</v>
      </c>
      <c r="H34" s="138" t="n">
        <f aca="false">H186</f>
        <v>8858.775</v>
      </c>
      <c r="I34" s="138" t="n">
        <f aca="false">I186</f>
        <v>10892.763632027</v>
      </c>
      <c r="J34" s="138" t="n">
        <f aca="false">J186</f>
        <v>14988.6726405405</v>
      </c>
      <c r="K34" s="138" t="n">
        <f aca="false">K186</f>
        <v>19084.5816490541</v>
      </c>
      <c r="L34" s="138" t="n">
        <f aca="false">L186</f>
        <v>23180.4906575676</v>
      </c>
      <c r="M34" s="138" t="n">
        <f aca="false">M186</f>
        <v>26074.7121660811</v>
      </c>
      <c r="N34" s="138" t="n">
        <f aca="false">N186</f>
        <v>29947.6836745946</v>
      </c>
      <c r="O34" s="138" t="n">
        <f aca="false">O186</f>
        <v>33820.6551831081</v>
      </c>
      <c r="P34" s="138" t="n">
        <f aca="false">P186</f>
        <v>37341.2766916216</v>
      </c>
      <c r="Q34" s="138" t="n">
        <f aca="false">Q186</f>
        <v>40861.8982001351</v>
      </c>
      <c r="R34" s="138" t="n">
        <f aca="false">R186</f>
        <v>44382.5197086487</v>
      </c>
      <c r="S34" s="138" t="n">
        <f aca="false">S186</f>
        <v>47903.1412171622</v>
      </c>
      <c r="T34" s="138" t="n">
        <f aca="false">T186</f>
        <v>51423.7627256757</v>
      </c>
      <c r="U34" s="138" t="n">
        <f aca="false">U186</f>
        <v>54944.3842341892</v>
      </c>
      <c r="V34" s="138" t="n">
        <f aca="false">V186</f>
        <v>58465.0057427027</v>
      </c>
      <c r="W34" s="138" t="n">
        <f aca="false">W186</f>
        <v>61985.6272512162</v>
      </c>
      <c r="X34" s="138" t="n">
        <f aca="false">X186</f>
        <v>64527.4987597297</v>
      </c>
      <c r="Y34" s="138" t="n">
        <f aca="false">Y186</f>
        <v>67069.3702682433</v>
      </c>
      <c r="Z34" s="138" t="n">
        <f aca="false">Z186</f>
        <v>69245.8417767568</v>
      </c>
      <c r="AA34" s="138" t="n">
        <f aca="false">AA186</f>
        <v>71765.9666813514</v>
      </c>
      <c r="AB34" s="138" t="n">
        <f aca="false">AB186</f>
        <v>74286.091585946</v>
      </c>
      <c r="AC34" s="138" t="n">
        <f aca="false">AC186</f>
        <v>76806.2164905406</v>
      </c>
      <c r="AD34" s="138" t="n">
        <f aca="false">AD186</f>
        <v>79326.3413951351</v>
      </c>
      <c r="AE34" s="138" t="n">
        <f aca="false">AE186</f>
        <v>81846.4662997297</v>
      </c>
      <c r="AF34" s="138" t="n">
        <f aca="false">AF186</f>
        <v>84366.5912043243</v>
      </c>
      <c r="AG34" s="138" t="n">
        <f aca="false">AG186</f>
        <v>86886.7161089189</v>
      </c>
      <c r="AH34" s="138" t="n">
        <f aca="false">AH186</f>
        <v>89406.8410135135</v>
      </c>
      <c r="AI34" s="138" t="n">
        <f aca="false">AI186</f>
        <v>91926.9659181081</v>
      </c>
      <c r="AJ34" s="138" t="n">
        <f aca="false">AJ186</f>
        <v>94447.0908227027</v>
      </c>
      <c r="AK34" s="138" t="n">
        <f aca="false">AK186</f>
        <v>96967.2157272973</v>
      </c>
      <c r="AL34" s="138" t="n">
        <f aca="false">AL186</f>
        <v>99487.3406318919</v>
      </c>
      <c r="AM34" s="138" t="n">
        <f aca="false">AM186</f>
        <v>102007.465536486</v>
      </c>
      <c r="AN34" s="138" t="n">
        <f aca="false">AN186</f>
        <v>104527.590441081</v>
      </c>
      <c r="AO34" s="138" t="n">
        <f aca="false">AO186</f>
        <v>107047.715345676</v>
      </c>
      <c r="AP34" s="138" t="n">
        <f aca="false">AP186</f>
        <v>109567.84025027</v>
      </c>
      <c r="AQ34" s="138" t="n">
        <f aca="false">AQ186</f>
        <v>112087.965154865</v>
      </c>
      <c r="AR34" s="138" t="n">
        <f aca="false">AR186</f>
        <v>114608.090059459</v>
      </c>
      <c r="AS34" s="138" t="n">
        <f aca="false">AS186</f>
        <v>114608.090059459</v>
      </c>
      <c r="AT34" s="138" t="n">
        <f aca="false">AT186</f>
        <v>114608.090059459</v>
      </c>
      <c r="AU34" s="138" t="n">
        <f aca="false">AU186</f>
        <v>114608.090059459</v>
      </c>
      <c r="AV34" s="138" t="n">
        <f aca="false">AV186</f>
        <v>114608.090059459</v>
      </c>
      <c r="AW34" s="138" t="n">
        <f aca="false">AW186</f>
        <v>114608.090059459</v>
      </c>
      <c r="AX34" s="138" t="n">
        <f aca="false">AX186</f>
        <v>114608.090059459</v>
      </c>
      <c r="AY34" s="138" t="n">
        <f aca="false">AY186</f>
        <v>114608.090059459</v>
      </c>
      <c r="AZ34" s="138" t="n">
        <f aca="false">AZ186</f>
        <v>114608.090059459</v>
      </c>
      <c r="BA34" s="138" t="n">
        <f aca="false">BA186</f>
        <v>114608.090059459</v>
      </c>
      <c r="BB34" s="138" t="n">
        <f aca="false">BB186</f>
        <v>114608.090059459</v>
      </c>
      <c r="BC34" s="138" t="n">
        <f aca="false">BC186</f>
        <v>114608.090059459</v>
      </c>
      <c r="BD34" s="138" t="n">
        <f aca="false">BD186</f>
        <v>114608.090059459</v>
      </c>
      <c r="BE34" s="138" t="n">
        <f aca="false">BE186</f>
        <v>114608.090059459</v>
      </c>
      <c r="BF34" s="138" t="n">
        <f aca="false">BF186</f>
        <v>114608.090059459</v>
      </c>
      <c r="BG34" s="138" t="n">
        <f aca="false">BG186</f>
        <v>114608.090059459</v>
      </c>
      <c r="BH34" s="138" t="n">
        <f aca="false">BH186</f>
        <v>114608.090059459</v>
      </c>
      <c r="BI34" s="138" t="n">
        <f aca="false">BI186</f>
        <v>114608.090059459</v>
      </c>
      <c r="BJ34" s="138" t="n">
        <f aca="false">BJ186</f>
        <v>114608.090059459</v>
      </c>
      <c r="BK34" s="138" t="n">
        <f aca="false">BK186</f>
        <v>114608.090059459</v>
      </c>
      <c r="BL34" s="138" t="n">
        <f aca="false">BL186</f>
        <v>114608.090059459</v>
      </c>
      <c r="BM34" s="138" t="n">
        <f aca="false">BM186</f>
        <v>114608.090059459</v>
      </c>
      <c r="BN34" s="138" t="n">
        <f aca="false">BN186</f>
        <v>114608.090059459</v>
      </c>
      <c r="BO34" s="138" t="n">
        <f aca="false">BO186</f>
        <v>114608.090059459</v>
      </c>
      <c r="BP34" s="138" t="n">
        <f aca="false">BP186</f>
        <v>114608.090059459</v>
      </c>
      <c r="BQ34" s="138" t="n">
        <f aca="false">BQ186</f>
        <v>114608.090059459</v>
      </c>
      <c r="BR34" s="138" t="n">
        <f aca="false">BR186</f>
        <v>114608.090059459</v>
      </c>
      <c r="BS34" s="138" t="n">
        <f aca="false">BS186</f>
        <v>114608.090059459</v>
      </c>
      <c r="BT34" s="138" t="n">
        <f aca="false">BT186</f>
        <v>114608.090059459</v>
      </c>
      <c r="BU34" s="138" t="n">
        <f aca="false">BU186</f>
        <v>114608.090059459</v>
      </c>
      <c r="BV34" s="138" t="n">
        <f aca="false">BV186</f>
        <v>114608.090059459</v>
      </c>
      <c r="BW34" s="138" t="n">
        <f aca="false">BW186</f>
        <v>114608.090059459</v>
      </c>
      <c r="BX34" s="138" t="n">
        <f aca="false">BX186</f>
        <v>114608.090059459</v>
      </c>
      <c r="BY34" s="138" t="n">
        <f aca="false">BY186</f>
        <v>114608.090059459</v>
      </c>
      <c r="BZ34" s="138" t="n">
        <f aca="false">BZ186</f>
        <v>114608.090059459</v>
      </c>
      <c r="CA34" s="138" t="n">
        <f aca="false">CA186</f>
        <v>114608.090059459</v>
      </c>
      <c r="CB34" s="138" t="n">
        <f aca="false">CB186</f>
        <v>114608.090059459</v>
      </c>
      <c r="CC34" s="138" t="n">
        <f aca="false">CC186</f>
        <v>114608.090059459</v>
      </c>
      <c r="CD34" s="138" t="n">
        <f aca="false">CD186</f>
        <v>114608.090059459</v>
      </c>
      <c r="CE34" s="138" t="n">
        <f aca="false">CE186</f>
        <v>114608.090059459</v>
      </c>
      <c r="CF34" s="138" t="n">
        <f aca="false">CF186</f>
        <v>114608.090059459</v>
      </c>
      <c r="CG34" s="138" t="n">
        <f aca="false">CG186</f>
        <v>114608.090059459</v>
      </c>
      <c r="CH34" s="138" t="n">
        <f aca="false">CH186</f>
        <v>114608.090059459</v>
      </c>
    </row>
    <row r="35" customFormat="false" ht="13.5" hidden="false" customHeight="true" outlineLevel="0" collapsed="false">
      <c r="A35" s="13" t="s">
        <v>716</v>
      </c>
      <c r="C35" s="138" t="n">
        <f aca="false">C190</f>
        <v>1289.06287337838</v>
      </c>
      <c r="D35" s="138" t="n">
        <f aca="false">D190</f>
        <v>2578.12574675676</v>
      </c>
      <c r="E35" s="138" t="n">
        <f aca="false">E190</f>
        <v>3867.18862013514</v>
      </c>
      <c r="F35" s="138" t="n">
        <f aca="false">F190</f>
        <v>5156.25149351351</v>
      </c>
      <c r="G35" s="138" t="n">
        <f aca="false">G190</f>
        <v>966.797155033784</v>
      </c>
      <c r="H35" s="138" t="n">
        <f aca="false">H190</f>
        <v>7734.37724027027</v>
      </c>
      <c r="I35" s="138" t="n">
        <f aca="false">I190</f>
        <v>9023.44011364865</v>
      </c>
      <c r="J35" s="138" t="n">
        <f aca="false">J190</f>
        <v>10312.502987027</v>
      </c>
      <c r="K35" s="138" t="n">
        <f aca="false">K190</f>
        <v>11601.5658604054</v>
      </c>
      <c r="L35" s="138" t="n">
        <f aca="false">L190</f>
        <v>12890.6287337838</v>
      </c>
      <c r="M35" s="138" t="n">
        <f aca="false">M190</f>
        <v>14179.6916071622</v>
      </c>
      <c r="N35" s="138" t="n">
        <f aca="false">N190</f>
        <v>15468.7544805405</v>
      </c>
      <c r="O35" s="138" t="n">
        <f aca="false">O190</f>
        <v>16757.8173539189</v>
      </c>
      <c r="P35" s="138" t="n">
        <f aca="false">P190</f>
        <v>18046.8802272973</v>
      </c>
      <c r="Q35" s="138" t="n">
        <f aca="false">Q190</f>
        <v>19335.9431006757</v>
      </c>
      <c r="R35" s="138" t="n">
        <f aca="false">R190</f>
        <v>20625.0059740541</v>
      </c>
      <c r="S35" s="138" t="n">
        <f aca="false">S190</f>
        <v>3287.11032711487</v>
      </c>
      <c r="T35" s="138" t="n">
        <f aca="false">T190</f>
        <v>23203.1317208108</v>
      </c>
      <c r="U35" s="138" t="n">
        <f aca="false">U190</f>
        <v>24492.1945941892</v>
      </c>
      <c r="V35" s="138" t="n">
        <f aca="false">V190</f>
        <v>25781.2574675676</v>
      </c>
      <c r="W35" s="138" t="n">
        <f aca="false">W190</f>
        <v>27070.320340946</v>
      </c>
      <c r="X35" s="138" t="n">
        <f aca="false">X190</f>
        <v>28359.3832143243</v>
      </c>
      <c r="Y35" s="138" t="n">
        <f aca="false">Y190</f>
        <v>29648.4460877027</v>
      </c>
      <c r="Z35" s="138" t="n">
        <f aca="false">Z190</f>
        <v>30937.5089610811</v>
      </c>
      <c r="AA35" s="138" t="n">
        <f aca="false">AA190</f>
        <v>30937.5089610811</v>
      </c>
      <c r="AB35" s="138" t="n">
        <f aca="false">AB190</f>
        <v>30937.5089610811</v>
      </c>
      <c r="AC35" s="138" t="n">
        <f aca="false">AC190</f>
        <v>30937.5089610811</v>
      </c>
      <c r="AD35" s="138" t="n">
        <f aca="false">AD190</f>
        <v>30937.5089610811</v>
      </c>
      <c r="AE35" s="138" t="n">
        <f aca="false">AE190</f>
        <v>4640.62634416216</v>
      </c>
      <c r="AF35" s="138" t="n">
        <f aca="false">AF190</f>
        <v>30937.5089610811</v>
      </c>
      <c r="AG35" s="138" t="n">
        <f aca="false">AG190</f>
        <v>30937.5089610811</v>
      </c>
      <c r="AH35" s="138" t="n">
        <f aca="false">AH190</f>
        <v>30937.5089610811</v>
      </c>
      <c r="AI35" s="138" t="n">
        <f aca="false">AI190</f>
        <v>30937.5089610811</v>
      </c>
      <c r="AJ35" s="138" t="n">
        <f aca="false">AJ190</f>
        <v>30937.5089610811</v>
      </c>
      <c r="AK35" s="138" t="n">
        <f aca="false">AK190</f>
        <v>30937.5089610811</v>
      </c>
      <c r="AL35" s="138" t="n">
        <f aca="false">AL190</f>
        <v>30937.5089610811</v>
      </c>
      <c r="AM35" s="138" t="n">
        <f aca="false">AM190</f>
        <v>30937.5089610811</v>
      </c>
      <c r="AN35" s="138" t="n">
        <f aca="false">AN190</f>
        <v>30937.5089610811</v>
      </c>
      <c r="AO35" s="138" t="n">
        <f aca="false">AO190</f>
        <v>30937.5089610811</v>
      </c>
      <c r="AP35" s="138" t="n">
        <f aca="false">AP190</f>
        <v>30937.5089610811</v>
      </c>
      <c r="AQ35" s="138" t="n">
        <f aca="false">AQ190</f>
        <v>4640.62634416216</v>
      </c>
      <c r="AR35" s="138" t="n">
        <f aca="false">AR190</f>
        <v>30937.5089610811</v>
      </c>
      <c r="AS35" s="138" t="n">
        <f aca="false">AS190</f>
        <v>30937.5089610811</v>
      </c>
      <c r="AT35" s="138" t="n">
        <f aca="false">AT190</f>
        <v>30937.5089610811</v>
      </c>
      <c r="AU35" s="138" t="n">
        <f aca="false">AU190</f>
        <v>30937.5089610811</v>
      </c>
      <c r="AV35" s="138" t="n">
        <f aca="false">AV190</f>
        <v>30937.5089610811</v>
      </c>
      <c r="AW35" s="138" t="n">
        <f aca="false">AW190</f>
        <v>30937.5089610811</v>
      </c>
      <c r="AX35" s="138" t="n">
        <f aca="false">AX190</f>
        <v>30937.5089610811</v>
      </c>
      <c r="AY35" s="138" t="n">
        <f aca="false">AY190</f>
        <v>30937.5089610811</v>
      </c>
      <c r="AZ35" s="138" t="n">
        <f aca="false">AZ190</f>
        <v>30937.5089610811</v>
      </c>
      <c r="BA35" s="138" t="n">
        <f aca="false">BA190</f>
        <v>30937.5089610811</v>
      </c>
      <c r="BB35" s="138" t="n">
        <f aca="false">BB190</f>
        <v>30937.5089610811</v>
      </c>
      <c r="BC35" s="138" t="n">
        <f aca="false">BC190</f>
        <v>4640.62634416216</v>
      </c>
      <c r="BD35" s="138" t="n">
        <f aca="false">BD190</f>
        <v>30937.5089610811</v>
      </c>
      <c r="BE35" s="138" t="n">
        <f aca="false">BE190</f>
        <v>30937.5089610811</v>
      </c>
      <c r="BF35" s="138" t="n">
        <f aca="false">BF190</f>
        <v>30937.5089610811</v>
      </c>
      <c r="BG35" s="138" t="n">
        <f aca="false">BG190</f>
        <v>30937.5089610811</v>
      </c>
      <c r="BH35" s="138" t="n">
        <f aca="false">BH190</f>
        <v>30937.5089610811</v>
      </c>
      <c r="BI35" s="138" t="n">
        <f aca="false">BI190</f>
        <v>30937.5089610811</v>
      </c>
      <c r="BJ35" s="138" t="n">
        <f aca="false">BJ190</f>
        <v>30937.5089610811</v>
      </c>
      <c r="BK35" s="138" t="n">
        <f aca="false">BK190</f>
        <v>30937.5089610811</v>
      </c>
      <c r="BL35" s="138" t="n">
        <f aca="false">BL190</f>
        <v>30937.5089610811</v>
      </c>
      <c r="BM35" s="138" t="n">
        <f aca="false">BM190</f>
        <v>30937.5089610811</v>
      </c>
      <c r="BN35" s="138" t="n">
        <f aca="false">BN190</f>
        <v>30937.5089610811</v>
      </c>
      <c r="BO35" s="138" t="n">
        <f aca="false">BO190</f>
        <v>4640.62634416216</v>
      </c>
      <c r="BP35" s="138" t="n">
        <f aca="false">BP190</f>
        <v>30937.5089610811</v>
      </c>
      <c r="BQ35" s="138" t="n">
        <f aca="false">BQ190</f>
        <v>30937.5089610811</v>
      </c>
      <c r="BR35" s="138" t="n">
        <f aca="false">BR190</f>
        <v>30937.5089610811</v>
      </c>
      <c r="BS35" s="138" t="n">
        <f aca="false">BS190</f>
        <v>30937.5089610811</v>
      </c>
      <c r="BT35" s="138" t="n">
        <f aca="false">BT190</f>
        <v>30937.5089610811</v>
      </c>
      <c r="BU35" s="138" t="n">
        <f aca="false">BU190</f>
        <v>30937.5089610811</v>
      </c>
      <c r="BV35" s="138" t="n">
        <f aca="false">BV190</f>
        <v>30937.5089610811</v>
      </c>
      <c r="BW35" s="138" t="n">
        <f aca="false">BW190</f>
        <v>30937.5089610811</v>
      </c>
      <c r="BX35" s="138" t="n">
        <f aca="false">BX190</f>
        <v>30937.5089610811</v>
      </c>
      <c r="BY35" s="138" t="n">
        <f aca="false">BY190</f>
        <v>30937.5089610811</v>
      </c>
      <c r="BZ35" s="138" t="n">
        <f aca="false">BZ190</f>
        <v>30937.5089610811</v>
      </c>
      <c r="CA35" s="138" t="n">
        <f aca="false">CA190</f>
        <v>4640.62634416216</v>
      </c>
      <c r="CB35" s="138" t="n">
        <f aca="false">CB190</f>
        <v>30937.5089610811</v>
      </c>
      <c r="CC35" s="138" t="n">
        <f aca="false">CC190</f>
        <v>30937.5089610811</v>
      </c>
      <c r="CD35" s="138" t="n">
        <f aca="false">CD190</f>
        <v>30937.5089610811</v>
      </c>
      <c r="CE35" s="138" t="n">
        <f aca="false">CE190</f>
        <v>30937.5089610811</v>
      </c>
      <c r="CF35" s="138" t="n">
        <f aca="false">CF190</f>
        <v>30937.5089610811</v>
      </c>
      <c r="CG35" s="138" t="n">
        <f aca="false">CG190</f>
        <v>30937.5089610811</v>
      </c>
      <c r="CH35" s="138" t="n">
        <f aca="false">CH190</f>
        <v>30937.5089610811</v>
      </c>
    </row>
    <row r="36" customFormat="false" ht="13.5" hidden="false" customHeight="true" outlineLevel="0" collapsed="false">
      <c r="A36" s="30" t="s">
        <v>717</v>
      </c>
      <c r="C36" s="138" t="n">
        <f aca="false">C34+C35</f>
        <v>2322.18787337838</v>
      </c>
      <c r="D36" s="138" t="n">
        <f aca="false">D34+D35</f>
        <v>4722.67574675676</v>
      </c>
      <c r="E36" s="138" t="n">
        <f aca="false">E34+E35</f>
        <v>8324.85112013514</v>
      </c>
      <c r="F36" s="138" t="n">
        <f aca="false">F34+F35</f>
        <v>10893.9014935135</v>
      </c>
      <c r="G36" s="138" t="n">
        <f aca="false">G34+G35</f>
        <v>7906.13465503378</v>
      </c>
      <c r="H36" s="138" t="n">
        <f aca="false">H34+H35</f>
        <v>16593.1522402703</v>
      </c>
      <c r="I36" s="138" t="n">
        <f aca="false">I34+I35</f>
        <v>19916.2037456757</v>
      </c>
      <c r="J36" s="138" t="n">
        <f aca="false">J34+J35</f>
        <v>25301.1756275676</v>
      </c>
      <c r="K36" s="138" t="n">
        <f aca="false">K34+K35</f>
        <v>30686.1475094595</v>
      </c>
      <c r="L36" s="138" t="n">
        <f aca="false">L34+L35</f>
        <v>36071.1193913514</v>
      </c>
      <c r="M36" s="138" t="n">
        <f aca="false">M34+M35</f>
        <v>40254.4037732433</v>
      </c>
      <c r="N36" s="138" t="n">
        <f aca="false">N34+N35</f>
        <v>45416.4381551351</v>
      </c>
      <c r="O36" s="138" t="n">
        <f aca="false">O34+O35</f>
        <v>50578.472537027</v>
      </c>
      <c r="P36" s="138" t="n">
        <f aca="false">P34+P35</f>
        <v>55388.1569189189</v>
      </c>
      <c r="Q36" s="138" t="n">
        <f aca="false">Q34+Q35</f>
        <v>60197.8413008108</v>
      </c>
      <c r="R36" s="138" t="n">
        <f aca="false">R34+R35</f>
        <v>65007.5256827027</v>
      </c>
      <c r="S36" s="138" t="n">
        <f aca="false">S34+S35</f>
        <v>51190.251544277</v>
      </c>
      <c r="T36" s="138" t="n">
        <f aca="false">T34+T35</f>
        <v>74626.8944464865</v>
      </c>
      <c r="U36" s="138" t="n">
        <f aca="false">U34+U35</f>
        <v>79436.5788283784</v>
      </c>
      <c r="V36" s="138" t="n">
        <f aca="false">V34+V35</f>
        <v>84246.2632102703</v>
      </c>
      <c r="W36" s="138" t="n">
        <f aca="false">W34+W35</f>
        <v>89055.9475921622</v>
      </c>
      <c r="X36" s="138" t="n">
        <f aca="false">X34+X35</f>
        <v>92886.8819740541</v>
      </c>
      <c r="Y36" s="138" t="n">
        <f aca="false">Y34+Y35</f>
        <v>96717.816355946</v>
      </c>
      <c r="Z36" s="138" t="n">
        <f aca="false">Z34+Z35</f>
        <v>100183.350737838</v>
      </c>
      <c r="AA36" s="138" t="n">
        <f aca="false">AA34+AA35</f>
        <v>102703.475642432</v>
      </c>
      <c r="AB36" s="138" t="n">
        <f aca="false">AB34+AB35</f>
        <v>105223.600547027</v>
      </c>
      <c r="AC36" s="138" t="n">
        <f aca="false">AC34+AC35</f>
        <v>107743.725451622</v>
      </c>
      <c r="AD36" s="138" t="n">
        <f aca="false">AD34+AD35</f>
        <v>110263.850356216</v>
      </c>
      <c r="AE36" s="138" t="n">
        <f aca="false">AE34+AE35</f>
        <v>86487.0926438919</v>
      </c>
      <c r="AF36" s="138" t="n">
        <f aca="false">AF34+AF35</f>
        <v>115304.100165405</v>
      </c>
      <c r="AG36" s="138" t="n">
        <f aca="false">AG34+AG35</f>
        <v>117824.22507</v>
      </c>
      <c r="AH36" s="138" t="n">
        <f aca="false">AH34+AH35</f>
        <v>120344.349974595</v>
      </c>
      <c r="AI36" s="138" t="n">
        <f aca="false">AI34+AI35</f>
        <v>122864.474879189</v>
      </c>
      <c r="AJ36" s="138" t="n">
        <f aca="false">AJ34+AJ35</f>
        <v>125384.599783784</v>
      </c>
      <c r="AK36" s="138" t="n">
        <f aca="false">AK34+AK35</f>
        <v>127904.724688378</v>
      </c>
      <c r="AL36" s="138" t="n">
        <f aca="false">AL34+AL35</f>
        <v>130424.849592973</v>
      </c>
      <c r="AM36" s="138" t="n">
        <f aca="false">AM34+AM35</f>
        <v>132944.974497568</v>
      </c>
      <c r="AN36" s="138" t="n">
        <f aca="false">AN34+AN35</f>
        <v>135465.099402162</v>
      </c>
      <c r="AO36" s="138" t="n">
        <f aca="false">AO34+AO35</f>
        <v>137985.224306757</v>
      </c>
      <c r="AP36" s="138" t="n">
        <f aca="false">AP34+AP35</f>
        <v>140505.349211351</v>
      </c>
      <c r="AQ36" s="138" t="n">
        <f aca="false">AQ34+AQ35</f>
        <v>116728.591499027</v>
      </c>
      <c r="AR36" s="138" t="n">
        <f aca="false">AR34+AR35</f>
        <v>145545.599020541</v>
      </c>
      <c r="AS36" s="138" t="n">
        <f aca="false">AS34+AS35</f>
        <v>145545.599020541</v>
      </c>
      <c r="AT36" s="138" t="n">
        <f aca="false">AT34+AT35</f>
        <v>145545.599020541</v>
      </c>
      <c r="AU36" s="138" t="n">
        <f aca="false">AU34+AU35</f>
        <v>145545.599020541</v>
      </c>
      <c r="AV36" s="138" t="n">
        <f aca="false">AV34+AV35</f>
        <v>145545.599020541</v>
      </c>
      <c r="AW36" s="138" t="n">
        <f aca="false">AW34+AW35</f>
        <v>145545.599020541</v>
      </c>
      <c r="AX36" s="138" t="n">
        <f aca="false">AX34+AX35</f>
        <v>145545.599020541</v>
      </c>
      <c r="AY36" s="138" t="n">
        <f aca="false">AY34+AY35</f>
        <v>145545.599020541</v>
      </c>
      <c r="AZ36" s="138" t="n">
        <f aca="false">AZ34+AZ35</f>
        <v>145545.599020541</v>
      </c>
      <c r="BA36" s="138" t="n">
        <f aca="false">BA34+BA35</f>
        <v>145545.599020541</v>
      </c>
      <c r="BB36" s="138" t="n">
        <f aca="false">BB34+BB35</f>
        <v>145545.599020541</v>
      </c>
      <c r="BC36" s="138" t="n">
        <f aca="false">BC34+BC35</f>
        <v>119248.716403622</v>
      </c>
      <c r="BD36" s="138" t="n">
        <f aca="false">BD34+BD35</f>
        <v>145545.599020541</v>
      </c>
      <c r="BE36" s="138" t="n">
        <f aca="false">BE34+BE35</f>
        <v>145545.599020541</v>
      </c>
      <c r="BF36" s="138" t="n">
        <f aca="false">BF34+BF35</f>
        <v>145545.599020541</v>
      </c>
      <c r="BG36" s="138" t="n">
        <f aca="false">BG34+BG35</f>
        <v>145545.599020541</v>
      </c>
      <c r="BH36" s="138" t="n">
        <f aca="false">BH34+BH35</f>
        <v>145545.599020541</v>
      </c>
      <c r="BI36" s="138" t="n">
        <f aca="false">BI34+BI35</f>
        <v>145545.599020541</v>
      </c>
      <c r="BJ36" s="138" t="n">
        <f aca="false">BJ34+BJ35</f>
        <v>145545.599020541</v>
      </c>
      <c r="BK36" s="138" t="n">
        <f aca="false">BK34+BK35</f>
        <v>145545.599020541</v>
      </c>
      <c r="BL36" s="138" t="n">
        <f aca="false">BL34+BL35</f>
        <v>145545.599020541</v>
      </c>
      <c r="BM36" s="138" t="n">
        <f aca="false">BM34+BM35</f>
        <v>145545.599020541</v>
      </c>
      <c r="BN36" s="138" t="n">
        <f aca="false">BN34+BN35</f>
        <v>145545.599020541</v>
      </c>
      <c r="BO36" s="138" t="n">
        <f aca="false">BO34+BO35</f>
        <v>119248.716403622</v>
      </c>
      <c r="BP36" s="138" t="n">
        <f aca="false">BP34+BP35</f>
        <v>145545.599020541</v>
      </c>
      <c r="BQ36" s="138" t="n">
        <f aca="false">BQ34+BQ35</f>
        <v>145545.599020541</v>
      </c>
      <c r="BR36" s="138" t="n">
        <f aca="false">BR34+BR35</f>
        <v>145545.599020541</v>
      </c>
      <c r="BS36" s="138" t="n">
        <f aca="false">BS34+BS35</f>
        <v>145545.599020541</v>
      </c>
      <c r="BT36" s="138" t="n">
        <f aca="false">BT34+BT35</f>
        <v>145545.599020541</v>
      </c>
      <c r="BU36" s="138" t="n">
        <f aca="false">BU34+BU35</f>
        <v>145545.599020541</v>
      </c>
      <c r="BV36" s="138" t="n">
        <f aca="false">BV34+BV35</f>
        <v>145545.599020541</v>
      </c>
      <c r="BW36" s="138" t="n">
        <f aca="false">BW34+BW35</f>
        <v>145545.599020541</v>
      </c>
      <c r="BX36" s="138" t="n">
        <f aca="false">BX34+BX35</f>
        <v>145545.599020541</v>
      </c>
      <c r="BY36" s="138" t="n">
        <f aca="false">BY34+BY35</f>
        <v>145545.599020541</v>
      </c>
      <c r="BZ36" s="138" t="n">
        <f aca="false">BZ34+BZ35</f>
        <v>145545.599020541</v>
      </c>
      <c r="CA36" s="138" t="n">
        <f aca="false">CA34+CA35</f>
        <v>119248.716403622</v>
      </c>
      <c r="CB36" s="138" t="n">
        <f aca="false">CB34+CB35</f>
        <v>145545.599020541</v>
      </c>
      <c r="CC36" s="138" t="n">
        <f aca="false">CC34+CC35</f>
        <v>145545.599020541</v>
      </c>
      <c r="CD36" s="138" t="n">
        <f aca="false">CD34+CD35</f>
        <v>145545.599020541</v>
      </c>
      <c r="CE36" s="138" t="n">
        <f aca="false">CE34+CE35</f>
        <v>145545.599020541</v>
      </c>
      <c r="CF36" s="138" t="n">
        <f aca="false">CF34+CF35</f>
        <v>145545.599020541</v>
      </c>
      <c r="CG36" s="138" t="n">
        <f aca="false">CG34+CG35</f>
        <v>145545.599020541</v>
      </c>
      <c r="CH36" s="138" t="n">
        <f aca="false">CH34+CH35</f>
        <v>145545.599020541</v>
      </c>
    </row>
    <row r="37" customFormat="false" ht="13.5" hidden="false" customHeight="true" outlineLevel="0" collapsed="false">
      <c r="A37" s="13" t="s">
        <v>718</v>
      </c>
      <c r="C37" s="138" t="n">
        <f aca="false">C192+C193</f>
        <v>-232.218787337838</v>
      </c>
      <c r="D37" s="138" t="n">
        <f aca="false">D192+D193</f>
        <v>-472.267574675676</v>
      </c>
      <c r="E37" s="138" t="n">
        <f aca="false">E192+E193</f>
        <v>-832.485112013514</v>
      </c>
      <c r="F37" s="138" t="n">
        <f aca="false">F192+F193</f>
        <v>-1089.39014935135</v>
      </c>
      <c r="G37" s="138" t="n">
        <f aca="false">G192+G193</f>
        <v>-790.613465503378</v>
      </c>
      <c r="H37" s="138" t="n">
        <f aca="false">H192+H193</f>
        <v>-1659.31522402703</v>
      </c>
      <c r="I37" s="138" t="n">
        <f aca="false">I192+I193</f>
        <v>-1991.62037456757</v>
      </c>
      <c r="J37" s="138" t="n">
        <f aca="false">J192+J193</f>
        <v>-2530.11756275676</v>
      </c>
      <c r="K37" s="138" t="n">
        <f aca="false">K192+K193</f>
        <v>-3068.61475094595</v>
      </c>
      <c r="L37" s="138" t="n">
        <f aca="false">L192+L193</f>
        <v>-3607.11193913514</v>
      </c>
      <c r="M37" s="138" t="n">
        <f aca="false">M192+M193</f>
        <v>-4025.44037732433</v>
      </c>
      <c r="N37" s="138" t="n">
        <f aca="false">N192+N193</f>
        <v>-4541.64381551351</v>
      </c>
      <c r="O37" s="138" t="n">
        <f aca="false">O192+O193</f>
        <v>-5057.8472537027</v>
      </c>
      <c r="P37" s="138" t="n">
        <f aca="false">P192+P193</f>
        <v>-5538.81569189189</v>
      </c>
      <c r="Q37" s="138" t="n">
        <f aca="false">Q192+Q193</f>
        <v>-6019.78413008108</v>
      </c>
      <c r="R37" s="138" t="n">
        <f aca="false">R192+R193</f>
        <v>-6500.75256827027</v>
      </c>
      <c r="S37" s="138" t="n">
        <f aca="false">S192+S193</f>
        <v>-5119.0251544277</v>
      </c>
      <c r="T37" s="138" t="n">
        <f aca="false">T192+T193</f>
        <v>-7462.68944464865</v>
      </c>
      <c r="U37" s="138" t="n">
        <f aca="false">U192+U193</f>
        <v>-7943.65788283784</v>
      </c>
      <c r="V37" s="138" t="n">
        <f aca="false">V192+V193</f>
        <v>-8424.62632102703</v>
      </c>
      <c r="W37" s="138" t="n">
        <f aca="false">W192+W193</f>
        <v>-8905.59475921622</v>
      </c>
      <c r="X37" s="138" t="n">
        <f aca="false">X192+X193</f>
        <v>-9288.68819740541</v>
      </c>
      <c r="Y37" s="138" t="n">
        <f aca="false">Y192+Y193</f>
        <v>-9671.7816355946</v>
      </c>
      <c r="Z37" s="138" t="n">
        <f aca="false">Z192+Z193</f>
        <v>-10018.3350737838</v>
      </c>
      <c r="AA37" s="138" t="n">
        <f aca="false">AA192+AA193</f>
        <v>-10270.3475642432</v>
      </c>
      <c r="AB37" s="138" t="n">
        <f aca="false">AB192+AB193</f>
        <v>-10522.3600547027</v>
      </c>
      <c r="AC37" s="138" t="n">
        <f aca="false">AC192+AC193</f>
        <v>-10774.3725451622</v>
      </c>
      <c r="AD37" s="138" t="n">
        <f aca="false">AD192+AD193</f>
        <v>-11026.3850356216</v>
      </c>
      <c r="AE37" s="138" t="n">
        <f aca="false">AE192+AE193</f>
        <v>-8648.70926438919</v>
      </c>
      <c r="AF37" s="138" t="n">
        <f aca="false">AF192+AF193</f>
        <v>-11530.4100165405</v>
      </c>
      <c r="AG37" s="138" t="n">
        <f aca="false">AG192+AG193</f>
        <v>-11782.422507</v>
      </c>
      <c r="AH37" s="138" t="n">
        <f aca="false">AH192+AH193</f>
        <v>-12034.4349974595</v>
      </c>
      <c r="AI37" s="138" t="n">
        <f aca="false">AI192+AI193</f>
        <v>-12286.4474879189</v>
      </c>
      <c r="AJ37" s="138" t="n">
        <f aca="false">AJ192+AJ193</f>
        <v>-12538.4599783784</v>
      </c>
      <c r="AK37" s="138" t="n">
        <f aca="false">AK192+AK193</f>
        <v>-12790.4724688378</v>
      </c>
      <c r="AL37" s="138" t="n">
        <f aca="false">AL192+AL193</f>
        <v>-13042.4849592973</v>
      </c>
      <c r="AM37" s="138" t="n">
        <f aca="false">AM192+AM193</f>
        <v>-13294.4974497568</v>
      </c>
      <c r="AN37" s="138" t="n">
        <f aca="false">AN192+AN193</f>
        <v>-13546.5099402162</v>
      </c>
      <c r="AO37" s="138" t="n">
        <f aca="false">AO192+AO193</f>
        <v>-13798.5224306757</v>
      </c>
      <c r="AP37" s="138" t="n">
        <f aca="false">AP192+AP193</f>
        <v>-14050.5349211351</v>
      </c>
      <c r="AQ37" s="138" t="n">
        <f aca="false">AQ192+AQ193</f>
        <v>-11672.8591499027</v>
      </c>
      <c r="AR37" s="138" t="n">
        <f aca="false">AR192+AR193</f>
        <v>-14554.5599020541</v>
      </c>
      <c r="AS37" s="138" t="n">
        <f aca="false">AS192+AS193</f>
        <v>-14554.5599020541</v>
      </c>
      <c r="AT37" s="138" t="n">
        <f aca="false">AT192+AT193</f>
        <v>-14554.5599020541</v>
      </c>
      <c r="AU37" s="138" t="n">
        <f aca="false">AU192+AU193</f>
        <v>-14554.5599020541</v>
      </c>
      <c r="AV37" s="138" t="n">
        <f aca="false">AV192+AV193</f>
        <v>-14554.5599020541</v>
      </c>
      <c r="AW37" s="138" t="n">
        <f aca="false">AW192+AW193</f>
        <v>-14554.5599020541</v>
      </c>
      <c r="AX37" s="138" t="n">
        <f aca="false">AX192+AX193</f>
        <v>-14554.5599020541</v>
      </c>
      <c r="AY37" s="138" t="n">
        <f aca="false">AY192+AY193</f>
        <v>-14554.5599020541</v>
      </c>
      <c r="AZ37" s="138" t="n">
        <f aca="false">AZ192+AZ193</f>
        <v>-14554.5599020541</v>
      </c>
      <c r="BA37" s="138" t="n">
        <f aca="false">BA192+BA193</f>
        <v>-14554.5599020541</v>
      </c>
      <c r="BB37" s="138" t="n">
        <f aca="false">BB192+BB193</f>
        <v>-14554.5599020541</v>
      </c>
      <c r="BC37" s="138" t="n">
        <f aca="false">BC192+BC193</f>
        <v>-11924.8716403622</v>
      </c>
      <c r="BD37" s="138" t="n">
        <f aca="false">BD192+BD193</f>
        <v>-14554.5599020541</v>
      </c>
      <c r="BE37" s="138" t="n">
        <f aca="false">BE192+BE193</f>
        <v>-14554.5599020541</v>
      </c>
      <c r="BF37" s="138" t="n">
        <f aca="false">BF192+BF193</f>
        <v>-14554.5599020541</v>
      </c>
      <c r="BG37" s="138" t="n">
        <f aca="false">BG192+BG193</f>
        <v>-14554.5599020541</v>
      </c>
      <c r="BH37" s="138" t="n">
        <f aca="false">BH192+BH193</f>
        <v>-14554.5599020541</v>
      </c>
      <c r="BI37" s="138" t="n">
        <f aca="false">BI192+BI193</f>
        <v>-14554.5599020541</v>
      </c>
      <c r="BJ37" s="138" t="n">
        <f aca="false">BJ192+BJ193</f>
        <v>-14554.5599020541</v>
      </c>
      <c r="BK37" s="138" t="n">
        <f aca="false">BK192+BK193</f>
        <v>-14554.5599020541</v>
      </c>
      <c r="BL37" s="138" t="n">
        <f aca="false">BL192+BL193</f>
        <v>-14554.5599020541</v>
      </c>
      <c r="BM37" s="138" t="n">
        <f aca="false">BM192+BM193</f>
        <v>-14554.5599020541</v>
      </c>
      <c r="BN37" s="138" t="n">
        <f aca="false">BN192+BN193</f>
        <v>-14554.5599020541</v>
      </c>
      <c r="BO37" s="138" t="n">
        <f aca="false">BO192+BO193</f>
        <v>-11924.8716403622</v>
      </c>
      <c r="BP37" s="138" t="n">
        <f aca="false">BP192+BP193</f>
        <v>-14554.5599020541</v>
      </c>
      <c r="BQ37" s="138" t="n">
        <f aca="false">BQ192+BQ193</f>
        <v>-14554.5599020541</v>
      </c>
      <c r="BR37" s="138" t="n">
        <f aca="false">BR192+BR193</f>
        <v>-14554.5599020541</v>
      </c>
      <c r="BS37" s="138" t="n">
        <f aca="false">BS192+BS193</f>
        <v>-14554.5599020541</v>
      </c>
      <c r="BT37" s="138" t="n">
        <f aca="false">BT192+BT193</f>
        <v>-14554.5599020541</v>
      </c>
      <c r="BU37" s="138" t="n">
        <f aca="false">BU192+BU193</f>
        <v>-14554.5599020541</v>
      </c>
      <c r="BV37" s="138" t="n">
        <f aca="false">BV192+BV193</f>
        <v>-14554.5599020541</v>
      </c>
      <c r="BW37" s="138" t="n">
        <f aca="false">BW192+BW193</f>
        <v>-14554.5599020541</v>
      </c>
      <c r="BX37" s="138" t="n">
        <f aca="false">BX192+BX193</f>
        <v>-14554.5599020541</v>
      </c>
      <c r="BY37" s="138" t="n">
        <f aca="false">BY192+BY193</f>
        <v>-14554.5599020541</v>
      </c>
      <c r="BZ37" s="138" t="n">
        <f aca="false">BZ192+BZ193</f>
        <v>-14554.5599020541</v>
      </c>
      <c r="CA37" s="138" t="n">
        <f aca="false">CA192+CA193</f>
        <v>-11924.8716403622</v>
      </c>
      <c r="CB37" s="138" t="n">
        <f aca="false">CB192+CB193</f>
        <v>-14554.5599020541</v>
      </c>
      <c r="CC37" s="138" t="n">
        <f aca="false">CC192+CC193</f>
        <v>-14554.5599020541</v>
      </c>
      <c r="CD37" s="138" t="n">
        <f aca="false">CD192+CD193</f>
        <v>-14554.5599020541</v>
      </c>
      <c r="CE37" s="138" t="n">
        <f aca="false">CE192+CE193</f>
        <v>-14554.5599020541</v>
      </c>
      <c r="CF37" s="138" t="n">
        <f aca="false">CF192+CF193</f>
        <v>-14554.5599020541</v>
      </c>
      <c r="CG37" s="138" t="n">
        <f aca="false">CG192+CG193</f>
        <v>-14554.5599020541</v>
      </c>
      <c r="CH37" s="138" t="n">
        <f aca="false">CH192+CH193</f>
        <v>-14554.5599020541</v>
      </c>
    </row>
    <row r="38" customFormat="false" ht="13.5" hidden="false" customHeight="true" outlineLevel="0" collapsed="false">
      <c r="A38" s="30" t="s">
        <v>719</v>
      </c>
      <c r="C38" s="138" t="n">
        <f aca="false">C36+C37</f>
        <v>2089.96908604054</v>
      </c>
      <c r="D38" s="138" t="n">
        <f aca="false">D36+D37</f>
        <v>4250.40817208108</v>
      </c>
      <c r="E38" s="138" t="n">
        <f aca="false">E36+E37</f>
        <v>7492.36600812162</v>
      </c>
      <c r="F38" s="138" t="n">
        <f aca="false">F36+F37</f>
        <v>9804.51134416216</v>
      </c>
      <c r="G38" s="138" t="n">
        <f aca="false">G36+G37</f>
        <v>7115.52118953041</v>
      </c>
      <c r="H38" s="138" t="n">
        <f aca="false">H36+H37</f>
        <v>14933.8370162432</v>
      </c>
      <c r="I38" s="138" t="n">
        <f aca="false">I36+I37</f>
        <v>17924.5833711081</v>
      </c>
      <c r="J38" s="138" t="n">
        <f aca="false">J36+J37</f>
        <v>22771.0580648108</v>
      </c>
      <c r="K38" s="138" t="n">
        <f aca="false">K36+K37</f>
        <v>27617.5327585135</v>
      </c>
      <c r="L38" s="138" t="n">
        <f aca="false">L36+L37</f>
        <v>32464.0074522162</v>
      </c>
      <c r="M38" s="138" t="n">
        <f aca="false">M36+M37</f>
        <v>36228.9633959189</v>
      </c>
      <c r="N38" s="138" t="n">
        <f aca="false">N36+N37</f>
        <v>40874.7943396216</v>
      </c>
      <c r="O38" s="138" t="n">
        <f aca="false">O36+O37</f>
        <v>45520.6252833243</v>
      </c>
      <c r="P38" s="138" t="n">
        <f aca="false">P36+P37</f>
        <v>49849.341227027</v>
      </c>
      <c r="Q38" s="138" t="n">
        <f aca="false">Q36+Q37</f>
        <v>54178.0571707297</v>
      </c>
      <c r="R38" s="138" t="n">
        <f aca="false">R36+R37</f>
        <v>58506.7731144324</v>
      </c>
      <c r="S38" s="138" t="n">
        <f aca="false">S36+S37</f>
        <v>46071.2263898493</v>
      </c>
      <c r="T38" s="138" t="n">
        <f aca="false">T36+T37</f>
        <v>67164.2050018378</v>
      </c>
      <c r="U38" s="138" t="n">
        <f aca="false">U36+U37</f>
        <v>71492.9209455405</v>
      </c>
      <c r="V38" s="138" t="n">
        <f aca="false">V36+V37</f>
        <v>75821.6368892433</v>
      </c>
      <c r="W38" s="138" t="n">
        <f aca="false">W36+W37</f>
        <v>80150.352832946</v>
      </c>
      <c r="X38" s="138" t="n">
        <f aca="false">X36+X37</f>
        <v>83598.1937766487</v>
      </c>
      <c r="Y38" s="138" t="n">
        <f aca="false">Y36+Y37</f>
        <v>87046.0347203514</v>
      </c>
      <c r="Z38" s="138" t="n">
        <f aca="false">Z36+Z37</f>
        <v>90165.0156640541</v>
      </c>
      <c r="AA38" s="138" t="n">
        <f aca="false">AA36+AA37</f>
        <v>92433.1280781892</v>
      </c>
      <c r="AB38" s="138" t="n">
        <f aca="false">AB36+AB37</f>
        <v>94701.2404923243</v>
      </c>
      <c r="AC38" s="138" t="n">
        <f aca="false">AC36+AC37</f>
        <v>96969.3529064595</v>
      </c>
      <c r="AD38" s="138" t="n">
        <f aca="false">AD36+AD37</f>
        <v>99237.4653205946</v>
      </c>
      <c r="AE38" s="138" t="n">
        <f aca="false">AE36+AE37</f>
        <v>77838.3833795027</v>
      </c>
      <c r="AF38" s="138" t="n">
        <f aca="false">AF36+AF37</f>
        <v>103773.690148865</v>
      </c>
      <c r="AG38" s="138" t="n">
        <f aca="false">AG36+AG37</f>
        <v>106041.802563</v>
      </c>
      <c r="AH38" s="138" t="n">
        <f aca="false">AH36+AH37</f>
        <v>108309.914977135</v>
      </c>
      <c r="AI38" s="138" t="n">
        <f aca="false">AI36+AI37</f>
        <v>110578.02739127</v>
      </c>
      <c r="AJ38" s="138" t="n">
        <f aca="false">AJ36+AJ37</f>
        <v>112846.139805405</v>
      </c>
      <c r="AK38" s="138" t="n">
        <f aca="false">AK36+AK37</f>
        <v>115114.252219541</v>
      </c>
      <c r="AL38" s="138" t="n">
        <f aca="false">AL36+AL37</f>
        <v>117382.364633676</v>
      </c>
      <c r="AM38" s="138" t="n">
        <f aca="false">AM36+AM37</f>
        <v>119650.477047811</v>
      </c>
      <c r="AN38" s="138" t="n">
        <f aca="false">AN36+AN37</f>
        <v>121918.589461946</v>
      </c>
      <c r="AO38" s="138" t="n">
        <f aca="false">AO36+AO37</f>
        <v>124186.701876081</v>
      </c>
      <c r="AP38" s="138" t="n">
        <f aca="false">AP36+AP37</f>
        <v>126454.814290216</v>
      </c>
      <c r="AQ38" s="138" t="n">
        <f aca="false">AQ36+AQ37</f>
        <v>105055.732349124</v>
      </c>
      <c r="AR38" s="138" t="n">
        <f aca="false">AR36+AR37</f>
        <v>130991.039118487</v>
      </c>
      <c r="AS38" s="138" t="n">
        <f aca="false">AS36+AS37</f>
        <v>130991.039118487</v>
      </c>
      <c r="AT38" s="138" t="n">
        <f aca="false">AT36+AT37</f>
        <v>130991.039118487</v>
      </c>
      <c r="AU38" s="138" t="n">
        <f aca="false">AU36+AU37</f>
        <v>130991.039118487</v>
      </c>
      <c r="AV38" s="138" t="n">
        <f aca="false">AV36+AV37</f>
        <v>130991.039118487</v>
      </c>
      <c r="AW38" s="138" t="n">
        <f aca="false">AW36+AW37</f>
        <v>130991.039118487</v>
      </c>
      <c r="AX38" s="138" t="n">
        <f aca="false">AX36+AX37</f>
        <v>130991.039118487</v>
      </c>
      <c r="AY38" s="138" t="n">
        <f aca="false">AY36+AY37</f>
        <v>130991.039118487</v>
      </c>
      <c r="AZ38" s="138" t="n">
        <f aca="false">AZ36+AZ37</f>
        <v>130991.039118487</v>
      </c>
      <c r="BA38" s="138" t="n">
        <f aca="false">BA36+BA37</f>
        <v>130991.039118487</v>
      </c>
      <c r="BB38" s="138" t="n">
        <f aca="false">BB36+BB37</f>
        <v>130991.039118487</v>
      </c>
      <c r="BC38" s="138" t="n">
        <f aca="false">BC36+BC37</f>
        <v>107323.844763259</v>
      </c>
      <c r="BD38" s="138" t="n">
        <f aca="false">BD36+BD37</f>
        <v>130991.039118487</v>
      </c>
      <c r="BE38" s="138" t="n">
        <f aca="false">BE36+BE37</f>
        <v>130991.039118487</v>
      </c>
      <c r="BF38" s="138" t="n">
        <f aca="false">BF36+BF37</f>
        <v>130991.039118487</v>
      </c>
      <c r="BG38" s="138" t="n">
        <f aca="false">BG36+BG37</f>
        <v>130991.039118487</v>
      </c>
      <c r="BH38" s="138" t="n">
        <f aca="false">BH36+BH37</f>
        <v>130991.039118487</v>
      </c>
      <c r="BI38" s="138" t="n">
        <f aca="false">BI36+BI37</f>
        <v>130991.039118487</v>
      </c>
      <c r="BJ38" s="138" t="n">
        <f aca="false">BJ36+BJ37</f>
        <v>130991.039118487</v>
      </c>
      <c r="BK38" s="138" t="n">
        <f aca="false">BK36+BK37</f>
        <v>130991.039118487</v>
      </c>
      <c r="BL38" s="138" t="n">
        <f aca="false">BL36+BL37</f>
        <v>130991.039118487</v>
      </c>
      <c r="BM38" s="138" t="n">
        <f aca="false">BM36+BM37</f>
        <v>130991.039118487</v>
      </c>
      <c r="BN38" s="138" t="n">
        <f aca="false">BN36+BN37</f>
        <v>130991.039118487</v>
      </c>
      <c r="BO38" s="138" t="n">
        <f aca="false">BO36+BO37</f>
        <v>107323.844763259</v>
      </c>
      <c r="BP38" s="138" t="n">
        <f aca="false">BP36+BP37</f>
        <v>130991.039118487</v>
      </c>
      <c r="BQ38" s="138" t="n">
        <f aca="false">BQ36+BQ37</f>
        <v>130991.039118487</v>
      </c>
      <c r="BR38" s="138" t="n">
        <f aca="false">BR36+BR37</f>
        <v>130991.039118487</v>
      </c>
      <c r="BS38" s="138" t="n">
        <f aca="false">BS36+BS37</f>
        <v>130991.039118487</v>
      </c>
      <c r="BT38" s="138" t="n">
        <f aca="false">BT36+BT37</f>
        <v>130991.039118487</v>
      </c>
      <c r="BU38" s="138" t="n">
        <f aca="false">BU36+BU37</f>
        <v>130991.039118487</v>
      </c>
      <c r="BV38" s="138" t="n">
        <f aca="false">BV36+BV37</f>
        <v>130991.039118487</v>
      </c>
      <c r="BW38" s="138" t="n">
        <f aca="false">BW36+BW37</f>
        <v>130991.039118487</v>
      </c>
      <c r="BX38" s="138" t="n">
        <f aca="false">BX36+BX37</f>
        <v>130991.039118487</v>
      </c>
      <c r="BY38" s="138" t="n">
        <f aca="false">BY36+BY37</f>
        <v>130991.039118487</v>
      </c>
      <c r="BZ38" s="138" t="n">
        <f aca="false">BZ36+BZ37</f>
        <v>130991.039118487</v>
      </c>
      <c r="CA38" s="138" t="n">
        <f aca="false">CA36+CA37</f>
        <v>107323.844763259</v>
      </c>
      <c r="CB38" s="138" t="n">
        <f aca="false">CB36+CB37</f>
        <v>130991.039118487</v>
      </c>
      <c r="CC38" s="138" t="n">
        <f aca="false">CC36+CC37</f>
        <v>130991.039118487</v>
      </c>
      <c r="CD38" s="138" t="n">
        <f aca="false">CD36+CD37</f>
        <v>130991.039118487</v>
      </c>
      <c r="CE38" s="138" t="n">
        <f aca="false">CE36+CE37</f>
        <v>130991.039118487</v>
      </c>
      <c r="CF38" s="138" t="n">
        <f aca="false">CF36+CF37</f>
        <v>130991.039118487</v>
      </c>
      <c r="CG38" s="138" t="n">
        <f aca="false">CG36+CG37</f>
        <v>130991.039118487</v>
      </c>
      <c r="CH38" s="138" t="n">
        <f aca="false">CH36+CH37</f>
        <v>130991.039118487</v>
      </c>
    </row>
    <row r="39" customFormat="false" ht="13.5" hidden="false" customHeight="true" outlineLevel="0" collapsed="false">
      <c r="A39" s="13" t="s">
        <v>720</v>
      </c>
      <c r="C39" s="138" t="n">
        <f aca="false">C194+C195</f>
        <v>-200.135291643458</v>
      </c>
      <c r="D39" s="138" t="n">
        <f aca="false">D194+D195</f>
        <v>-415.244319504708</v>
      </c>
      <c r="E39" s="138" t="n">
        <f aca="false">E194+E195</f>
        <v>-845.503705473355</v>
      </c>
      <c r="F39" s="138" t="n">
        <f aca="false">F194+F195</f>
        <v>-1139.12054805357</v>
      </c>
      <c r="G39" s="138" t="n">
        <f aca="false">G194+G195</f>
        <v>-1147.91947433213</v>
      </c>
      <c r="H39" s="138" t="n">
        <f aca="false">H194+H195</f>
        <v>-1867.9808216073</v>
      </c>
      <c r="I39" s="138" t="n">
        <f aca="false">I194+I195</f>
        <v>-2337.52140949397</v>
      </c>
      <c r="J39" s="138" t="n">
        <f aca="false">J194+J195</f>
        <v>-3154.88356989729</v>
      </c>
      <c r="K39" s="138" t="n">
        <f aca="false">K194+K195</f>
        <v>-3972.24573030062</v>
      </c>
      <c r="L39" s="138" t="n">
        <f aca="false">L194+L195</f>
        <v>-4789.60789070394</v>
      </c>
      <c r="M39" s="138" t="n">
        <f aca="false">M194+M195</f>
        <v>-5391.81969299987</v>
      </c>
      <c r="N39" s="138" t="n">
        <f aca="false">N194+N195</f>
        <v>-6243.59376559235</v>
      </c>
      <c r="O39" s="138" t="n">
        <f aca="false">O194+O195</f>
        <v>-7095.36783818482</v>
      </c>
      <c r="P39" s="138" t="n">
        <f aca="false">P194+P195</f>
        <v>-7875.39275806704</v>
      </c>
      <c r="Q39" s="138" t="n">
        <f aca="false">Q194+Q195</f>
        <v>-8655.41767794926</v>
      </c>
      <c r="R39" s="138" t="n">
        <f aca="false">R194+R195</f>
        <v>-9435.44259783148</v>
      </c>
      <c r="S39" s="138" t="n">
        <f aca="false">S194+S195</f>
        <v>-9297.99730542855</v>
      </c>
      <c r="T39" s="138" t="n">
        <f aca="false">T194+T195</f>
        <v>-10995.4924375959</v>
      </c>
      <c r="U39" s="138" t="n">
        <f aca="false">U194+U195</f>
        <v>-11775.5173574781</v>
      </c>
      <c r="V39" s="138" t="n">
        <f aca="false">V194+V195</f>
        <v>-12555.5422773604</v>
      </c>
      <c r="W39" s="138" t="n">
        <f aca="false">W194+W195</f>
        <v>-13335.5671972426</v>
      </c>
      <c r="X39" s="138" t="n">
        <f aca="false">X194+X195</f>
        <v>-13866.0298468282</v>
      </c>
      <c r="Y39" s="138" t="n">
        <f aca="false">Y194+Y195</f>
        <v>-14396.4924964139</v>
      </c>
      <c r="Z39" s="138" t="n">
        <f aca="false">Z194+Z195</f>
        <v>-14827.130237881</v>
      </c>
      <c r="AA39" s="138" t="n">
        <f aca="false">AA194+AA195</f>
        <v>-15252.2454931791</v>
      </c>
      <c r="AB39" s="138" t="n">
        <f aca="false">AB194+AB195</f>
        <v>-15677.3607484772</v>
      </c>
      <c r="AC39" s="138" t="n">
        <f aca="false">AC194+AC195</f>
        <v>-16102.4760037754</v>
      </c>
      <c r="AD39" s="138" t="n">
        <f aca="false">AD194+AD195</f>
        <v>-16527.5912590735</v>
      </c>
      <c r="AE39" s="138" t="n">
        <f aca="false">AE194+AE195</f>
        <v>-15657.4544499691</v>
      </c>
      <c r="AF39" s="138" t="n">
        <f aca="false">AF194+AF195</f>
        <v>-17377.8217696698</v>
      </c>
      <c r="AG39" s="138" t="n">
        <f aca="false">AG194+AG195</f>
        <v>-17802.9370249679</v>
      </c>
      <c r="AH39" s="138" t="n">
        <f aca="false">AH194+AH195</f>
        <v>-18228.052280266</v>
      </c>
      <c r="AI39" s="138" t="n">
        <f aca="false">AI194+AI195</f>
        <v>-18653.1675355642</v>
      </c>
      <c r="AJ39" s="138" t="n">
        <f aca="false">AJ194+AJ195</f>
        <v>-19078.2827908623</v>
      </c>
      <c r="AK39" s="138" t="n">
        <f aca="false">AK194+AK195</f>
        <v>-19503.3980461604</v>
      </c>
      <c r="AL39" s="138" t="n">
        <f aca="false">AL194+AL195</f>
        <v>-19928.5133014586</v>
      </c>
      <c r="AM39" s="138" t="n">
        <f aca="false">AM194+AM195</f>
        <v>-20353.6285567567</v>
      </c>
      <c r="AN39" s="138" t="n">
        <f aca="false">AN194+AN195</f>
        <v>-20778.7438120548</v>
      </c>
      <c r="AO39" s="138" t="n">
        <f aca="false">AO194+AO195</f>
        <v>-21203.859067353</v>
      </c>
      <c r="AP39" s="138" t="n">
        <f aca="false">AP194+AP195</f>
        <v>-21628.9743226511</v>
      </c>
      <c r="AQ39" s="138" t="n">
        <f aca="false">AQ194+AQ195</f>
        <v>-20758.8375135467</v>
      </c>
      <c r="AR39" s="138" t="n">
        <f aca="false">AR194+AR195</f>
        <v>-22479.2048332474</v>
      </c>
      <c r="AS39" s="138" t="n">
        <f aca="false">AS194+AS195</f>
        <v>-22479.2048332474</v>
      </c>
      <c r="AT39" s="138" t="n">
        <f aca="false">AT194+AT195</f>
        <v>-22479.2048332474</v>
      </c>
      <c r="AU39" s="138" t="n">
        <f aca="false">AU194+AU195</f>
        <v>-22479.2048332474</v>
      </c>
      <c r="AV39" s="138" t="n">
        <f aca="false">AV194+AV195</f>
        <v>-22479.2048332474</v>
      </c>
      <c r="AW39" s="138" t="n">
        <f aca="false">AW194+AW195</f>
        <v>-22479.2048332474</v>
      </c>
      <c r="AX39" s="138" t="n">
        <f aca="false">AX194+AX195</f>
        <v>-22479.2048332474</v>
      </c>
      <c r="AY39" s="138" t="n">
        <f aca="false">AY194+AY195</f>
        <v>-22479.2048332474</v>
      </c>
      <c r="AZ39" s="138" t="n">
        <f aca="false">AZ194+AZ195</f>
        <v>-22479.2048332474</v>
      </c>
      <c r="BA39" s="138" t="n">
        <f aca="false">BA194+BA195</f>
        <v>-22479.2048332474</v>
      </c>
      <c r="BB39" s="138" t="n">
        <f aca="false">BB194+BB195</f>
        <v>-22479.2048332474</v>
      </c>
      <c r="BC39" s="138" t="n">
        <f aca="false">BC194+BC195</f>
        <v>-21183.9527688448</v>
      </c>
      <c r="BD39" s="138" t="n">
        <f aca="false">BD194+BD195</f>
        <v>-22479.2048332474</v>
      </c>
      <c r="BE39" s="138" t="n">
        <f aca="false">BE194+BE195</f>
        <v>-22479.2048332474</v>
      </c>
      <c r="BF39" s="138" t="n">
        <f aca="false">BF194+BF195</f>
        <v>-22479.2048332474</v>
      </c>
      <c r="BG39" s="138" t="n">
        <f aca="false">BG194+BG195</f>
        <v>-22479.2048332474</v>
      </c>
      <c r="BH39" s="138" t="n">
        <f aca="false">BH194+BH195</f>
        <v>-22479.2048332474</v>
      </c>
      <c r="BI39" s="138" t="n">
        <f aca="false">BI194+BI195</f>
        <v>-22479.2048332474</v>
      </c>
      <c r="BJ39" s="138" t="n">
        <f aca="false">BJ194+BJ195</f>
        <v>-22479.2048332474</v>
      </c>
      <c r="BK39" s="138" t="n">
        <f aca="false">BK194+BK195</f>
        <v>-22479.2048332474</v>
      </c>
      <c r="BL39" s="138" t="n">
        <f aca="false">BL194+BL195</f>
        <v>-22479.2048332474</v>
      </c>
      <c r="BM39" s="138" t="n">
        <f aca="false">BM194+BM195</f>
        <v>-22479.2048332474</v>
      </c>
      <c r="BN39" s="138" t="n">
        <f aca="false">BN194+BN195</f>
        <v>-22479.2048332474</v>
      </c>
      <c r="BO39" s="138" t="n">
        <f aca="false">BO194+BO195</f>
        <v>-21183.9527688448</v>
      </c>
      <c r="BP39" s="138" t="n">
        <f aca="false">BP194+BP195</f>
        <v>-22479.2048332474</v>
      </c>
      <c r="BQ39" s="138" t="n">
        <f aca="false">BQ194+BQ195</f>
        <v>-22479.2048332474</v>
      </c>
      <c r="BR39" s="138" t="n">
        <f aca="false">BR194+BR195</f>
        <v>-22479.2048332474</v>
      </c>
      <c r="BS39" s="138" t="n">
        <f aca="false">BS194+BS195</f>
        <v>-22479.2048332474</v>
      </c>
      <c r="BT39" s="138" t="n">
        <f aca="false">BT194+BT195</f>
        <v>-22479.2048332474</v>
      </c>
      <c r="BU39" s="138" t="n">
        <f aca="false">BU194+BU195</f>
        <v>-22479.2048332474</v>
      </c>
      <c r="BV39" s="138" t="n">
        <f aca="false">BV194+BV195</f>
        <v>-22479.2048332474</v>
      </c>
      <c r="BW39" s="138" t="n">
        <f aca="false">BW194+BW195</f>
        <v>-22479.2048332474</v>
      </c>
      <c r="BX39" s="138" t="n">
        <f aca="false">BX194+BX195</f>
        <v>-22479.2048332474</v>
      </c>
      <c r="BY39" s="138" t="n">
        <f aca="false">BY194+BY195</f>
        <v>-22479.2048332474</v>
      </c>
      <c r="BZ39" s="138" t="n">
        <f aca="false">BZ194+BZ195</f>
        <v>-22479.2048332474</v>
      </c>
      <c r="CA39" s="138" t="n">
        <f aca="false">CA194+CA195</f>
        <v>-21183.9527688448</v>
      </c>
      <c r="CB39" s="138" t="n">
        <f aca="false">CB194+CB195</f>
        <v>-22479.2048332474</v>
      </c>
      <c r="CC39" s="138" t="n">
        <f aca="false">CC194+CC195</f>
        <v>-22479.2048332474</v>
      </c>
      <c r="CD39" s="138" t="n">
        <f aca="false">CD194+CD195</f>
        <v>-22479.2048332474</v>
      </c>
      <c r="CE39" s="138" t="n">
        <f aca="false">CE194+CE195</f>
        <v>-22479.2048332474</v>
      </c>
      <c r="CF39" s="138" t="n">
        <f aca="false">CF194+CF195</f>
        <v>-22479.2048332474</v>
      </c>
      <c r="CG39" s="138" t="n">
        <f aca="false">CG194+CG195</f>
        <v>-22479.2048332474</v>
      </c>
      <c r="CH39" s="138" t="n">
        <f aca="false">CH194+CH195</f>
        <v>-22479.2048332474</v>
      </c>
    </row>
    <row r="40" customFormat="false" ht="13.5" hidden="false" customHeight="true" outlineLevel="0" collapsed="false">
      <c r="A40" s="64" t="s">
        <v>721</v>
      </c>
      <c r="C40" s="99" t="n">
        <f aca="false">C38+C39</f>
        <v>1889.83379439708</v>
      </c>
      <c r="D40" s="99" t="n">
        <f aca="false">D38+D39</f>
        <v>3835.16385257637</v>
      </c>
      <c r="E40" s="99" t="n">
        <f aca="false">E38+E39</f>
        <v>6646.86230264827</v>
      </c>
      <c r="F40" s="99" t="n">
        <f aca="false">F38+F39</f>
        <v>8665.39079610859</v>
      </c>
      <c r="G40" s="99" t="n">
        <f aca="false">G38+G39</f>
        <v>5967.60171519828</v>
      </c>
      <c r="H40" s="99" t="n">
        <f aca="false">H38+H39</f>
        <v>13065.8561946359</v>
      </c>
      <c r="I40" s="99" t="n">
        <f aca="false">I38+I39</f>
        <v>15587.0619616141</v>
      </c>
      <c r="J40" s="99" t="n">
        <f aca="false">J38+J39</f>
        <v>19616.1744949135</v>
      </c>
      <c r="K40" s="99" t="n">
        <f aca="false">K38+K39</f>
        <v>23645.2870282129</v>
      </c>
      <c r="L40" s="99" t="n">
        <f aca="false">L38+L39</f>
        <v>27674.3995615123</v>
      </c>
      <c r="M40" s="99" t="n">
        <f aca="false">M38+M39</f>
        <v>30837.1437029191</v>
      </c>
      <c r="N40" s="99" t="n">
        <f aca="false">N38+N39</f>
        <v>34631.2005740293</v>
      </c>
      <c r="O40" s="99" t="n">
        <f aca="false">O38+O39</f>
        <v>38425.2574451395</v>
      </c>
      <c r="P40" s="99" t="n">
        <f aca="false">P38+P39</f>
        <v>41973.94846896</v>
      </c>
      <c r="Q40" s="99" t="n">
        <f aca="false">Q38+Q39</f>
        <v>45522.6394927805</v>
      </c>
      <c r="R40" s="99" t="n">
        <f aca="false">R38+R39</f>
        <v>49071.330516601</v>
      </c>
      <c r="S40" s="99" t="n">
        <f aca="false">S38+S39</f>
        <v>36773.2290844208</v>
      </c>
      <c r="T40" s="99" t="n">
        <f aca="false">T38+T39</f>
        <v>56168.7125642419</v>
      </c>
      <c r="U40" s="99" t="n">
        <f aca="false">U38+U39</f>
        <v>59717.4035880624</v>
      </c>
      <c r="V40" s="99" t="n">
        <f aca="false">V38+V39</f>
        <v>63266.0946118829</v>
      </c>
      <c r="W40" s="99" t="n">
        <f aca="false">W38+W39</f>
        <v>66814.7856357034</v>
      </c>
      <c r="X40" s="99" t="n">
        <f aca="false">X38+X39</f>
        <v>69732.1639298204</v>
      </c>
      <c r="Y40" s="99" t="n">
        <f aca="false">Y38+Y39</f>
        <v>72649.5422239374</v>
      </c>
      <c r="Z40" s="99" t="n">
        <f aca="false">Z38+Z39</f>
        <v>75337.8854261731</v>
      </c>
      <c r="AA40" s="99" t="n">
        <f aca="false">AA38+AA39</f>
        <v>77180.8825850101</v>
      </c>
      <c r="AB40" s="99" t="n">
        <f aca="false">AB38+AB39</f>
        <v>79023.8797438471</v>
      </c>
      <c r="AC40" s="99" t="n">
        <f aca="false">AC38+AC39</f>
        <v>80866.8769026841</v>
      </c>
      <c r="AD40" s="99" t="n">
        <f aca="false">AD38+AD39</f>
        <v>82709.8740615211</v>
      </c>
      <c r="AE40" s="99" t="n">
        <f aca="false">AE38+AE39</f>
        <v>62180.9289295336</v>
      </c>
      <c r="AF40" s="99" t="n">
        <f aca="false">AF38+AF39</f>
        <v>86395.8683791951</v>
      </c>
      <c r="AG40" s="99" t="n">
        <f aca="false">AG38+AG39</f>
        <v>88238.8655380321</v>
      </c>
      <c r="AH40" s="99" t="n">
        <f aca="false">AH38+AH39</f>
        <v>90081.8626968691</v>
      </c>
      <c r="AI40" s="99" t="n">
        <f aca="false">AI38+AI39</f>
        <v>91924.8598557061</v>
      </c>
      <c r="AJ40" s="99" t="n">
        <f aca="false">AJ38+AJ39</f>
        <v>93767.8570145431</v>
      </c>
      <c r="AK40" s="99" t="n">
        <f aca="false">AK38+AK39</f>
        <v>95610.8541733801</v>
      </c>
      <c r="AL40" s="99" t="n">
        <f aca="false">AL38+AL39</f>
        <v>97453.8513322171</v>
      </c>
      <c r="AM40" s="99" t="n">
        <f aca="false">AM38+AM39</f>
        <v>99296.8484910541</v>
      </c>
      <c r="AN40" s="99" t="n">
        <f aca="false">AN38+AN39</f>
        <v>101139.845649891</v>
      </c>
      <c r="AO40" s="99" t="n">
        <f aca="false">AO38+AO39</f>
        <v>102982.842808728</v>
      </c>
      <c r="AP40" s="99" t="n">
        <f aca="false">AP38+AP39</f>
        <v>104825.839967565</v>
      </c>
      <c r="AQ40" s="99" t="n">
        <f aca="false">AQ38+AQ39</f>
        <v>84296.8948355777</v>
      </c>
      <c r="AR40" s="99" t="n">
        <f aca="false">AR38+AR39</f>
        <v>108511.834285239</v>
      </c>
      <c r="AS40" s="99" t="n">
        <f aca="false">AS38+AS39</f>
        <v>108511.834285239</v>
      </c>
      <c r="AT40" s="99" t="n">
        <f aca="false">AT38+AT39</f>
        <v>108511.834285239</v>
      </c>
      <c r="AU40" s="99" t="n">
        <f aca="false">AU38+AU39</f>
        <v>108511.834285239</v>
      </c>
      <c r="AV40" s="99" t="n">
        <f aca="false">AV38+AV39</f>
        <v>108511.834285239</v>
      </c>
      <c r="AW40" s="99" t="n">
        <f aca="false">AW38+AW39</f>
        <v>108511.834285239</v>
      </c>
      <c r="AX40" s="99" t="n">
        <f aca="false">AX38+AX39</f>
        <v>108511.834285239</v>
      </c>
      <c r="AY40" s="99" t="n">
        <f aca="false">AY38+AY39</f>
        <v>108511.834285239</v>
      </c>
      <c r="AZ40" s="99" t="n">
        <f aca="false">AZ38+AZ39</f>
        <v>108511.834285239</v>
      </c>
      <c r="BA40" s="99" t="n">
        <f aca="false">BA38+BA39</f>
        <v>108511.834285239</v>
      </c>
      <c r="BB40" s="99" t="n">
        <f aca="false">BB38+BB39</f>
        <v>108511.834285239</v>
      </c>
      <c r="BC40" s="99" t="n">
        <f aca="false">BC38+BC39</f>
        <v>86139.8919944147</v>
      </c>
      <c r="BD40" s="99" t="n">
        <f aca="false">BD38+BD39</f>
        <v>108511.834285239</v>
      </c>
      <c r="BE40" s="99" t="n">
        <f aca="false">BE38+BE39</f>
        <v>108511.834285239</v>
      </c>
      <c r="BF40" s="99" t="n">
        <f aca="false">BF38+BF39</f>
        <v>108511.834285239</v>
      </c>
      <c r="BG40" s="99" t="n">
        <f aca="false">BG38+BG39</f>
        <v>108511.834285239</v>
      </c>
      <c r="BH40" s="99" t="n">
        <f aca="false">BH38+BH39</f>
        <v>108511.834285239</v>
      </c>
      <c r="BI40" s="99" t="n">
        <f aca="false">BI38+BI39</f>
        <v>108511.834285239</v>
      </c>
      <c r="BJ40" s="99" t="n">
        <f aca="false">BJ38+BJ39</f>
        <v>108511.834285239</v>
      </c>
      <c r="BK40" s="99" t="n">
        <f aca="false">BK38+BK39</f>
        <v>108511.834285239</v>
      </c>
      <c r="BL40" s="99" t="n">
        <f aca="false">BL38+BL39</f>
        <v>108511.834285239</v>
      </c>
      <c r="BM40" s="99" t="n">
        <f aca="false">BM38+BM39</f>
        <v>108511.834285239</v>
      </c>
      <c r="BN40" s="99" t="n">
        <f aca="false">BN38+BN39</f>
        <v>108511.834285239</v>
      </c>
      <c r="BO40" s="99" t="n">
        <f aca="false">BO38+BO39</f>
        <v>86139.8919944147</v>
      </c>
      <c r="BP40" s="99" t="n">
        <f aca="false">BP38+BP39</f>
        <v>108511.834285239</v>
      </c>
      <c r="BQ40" s="99" t="n">
        <f aca="false">BQ38+BQ39</f>
        <v>108511.834285239</v>
      </c>
      <c r="BR40" s="99" t="n">
        <f aca="false">BR38+BR39</f>
        <v>108511.834285239</v>
      </c>
      <c r="BS40" s="99" t="n">
        <f aca="false">BS38+BS39</f>
        <v>108511.834285239</v>
      </c>
      <c r="BT40" s="99" t="n">
        <f aca="false">BT38+BT39</f>
        <v>108511.834285239</v>
      </c>
      <c r="BU40" s="99" t="n">
        <f aca="false">BU38+BU39</f>
        <v>108511.834285239</v>
      </c>
      <c r="BV40" s="99" t="n">
        <f aca="false">BV38+BV39</f>
        <v>108511.834285239</v>
      </c>
      <c r="BW40" s="99" t="n">
        <f aca="false">BW38+BW39</f>
        <v>108511.834285239</v>
      </c>
      <c r="BX40" s="99" t="n">
        <f aca="false">BX38+BX39</f>
        <v>108511.834285239</v>
      </c>
      <c r="BY40" s="99" t="n">
        <f aca="false">BY38+BY39</f>
        <v>108511.834285239</v>
      </c>
      <c r="BZ40" s="99" t="n">
        <f aca="false">BZ38+BZ39</f>
        <v>108511.834285239</v>
      </c>
      <c r="CA40" s="99" t="n">
        <f aca="false">CA38+CA39</f>
        <v>86139.8919944147</v>
      </c>
      <c r="CB40" s="99" t="n">
        <f aca="false">CB38+CB39</f>
        <v>108511.834285239</v>
      </c>
      <c r="CC40" s="99" t="n">
        <f aca="false">CC38+CC39</f>
        <v>108511.834285239</v>
      </c>
      <c r="CD40" s="99" t="n">
        <f aca="false">CD38+CD39</f>
        <v>108511.834285239</v>
      </c>
      <c r="CE40" s="99" t="n">
        <f aca="false">CE38+CE39</f>
        <v>108511.834285239</v>
      </c>
      <c r="CF40" s="99" t="n">
        <f aca="false">CF38+CF39</f>
        <v>108511.834285239</v>
      </c>
      <c r="CG40" s="99" t="n">
        <f aca="false">CG38+CG39</f>
        <v>108511.834285239</v>
      </c>
      <c r="CH40" s="99" t="n">
        <f aca="false">CH38+CH39</f>
        <v>108511.834285239</v>
      </c>
    </row>
    <row r="41" customFormat="false" ht="13.5" hidden="false" customHeight="true" outlineLevel="0" collapsed="false">
      <c r="A41" s="13" t="s">
        <v>722</v>
      </c>
      <c r="C41" s="151" t="n">
        <f aca="false">IFERROR(C40/C38,0)</f>
        <v>0.904240070831567</v>
      </c>
      <c r="D41" s="151" t="n">
        <f aca="false">IFERROR(D40/D38,0)</f>
        <v>0.902304836925486</v>
      </c>
      <c r="E41" s="151" t="n">
        <f aca="false">IFERROR(E40/E38,0)</f>
        <v>0.887151307803591</v>
      </c>
      <c r="F41" s="151" t="n">
        <f aca="false">IFERROR(F40/F38,0)</f>
        <v>0.88381669334986</v>
      </c>
      <c r="G41" s="151" t="n">
        <f aca="false">IFERROR(G40/G38,0)</f>
        <v>0.838673873106984</v>
      </c>
      <c r="H41" s="151" t="n">
        <f aca="false">IFERROR(H40/H38,0)</f>
        <v>0.87491621747475</v>
      </c>
      <c r="I41" s="151" t="n">
        <f aca="false">IFERROR(I40/I38,0)</f>
        <v>0.869591311491138</v>
      </c>
      <c r="J41" s="151" t="n">
        <f aca="false">IFERROR(J40/J38,0)</f>
        <v>0.861452043162953</v>
      </c>
      <c r="K41" s="151" t="n">
        <f aca="false">IFERROR(K40/K38,0)</f>
        <v>0.856169420888037</v>
      </c>
      <c r="L41" s="151" t="n">
        <f aca="false">IFERROR(L40/L38,0)</f>
        <v>0.852464058919597</v>
      </c>
      <c r="M41" s="151" t="n">
        <f aca="false">IFERROR(M40/M38,0)</f>
        <v>0.851173779550998</v>
      </c>
      <c r="N41" s="151" t="n">
        <f aca="false">IFERROR(N40/N38,0)</f>
        <v>0.847250760120885</v>
      </c>
      <c r="O41" s="151" t="n">
        <f aca="false">IFERROR(O40/O38,0)</f>
        <v>0.844128506714865</v>
      </c>
      <c r="P41" s="151" t="n">
        <f aca="false">IFERROR(P40/P38,0)</f>
        <v>0.842016111663333</v>
      </c>
      <c r="Q41" s="151" t="n">
        <f aca="false">IFERROR(Q40/Q38,0)</f>
        <v>0.840241268698992</v>
      </c>
      <c r="R41" s="151" t="n">
        <f aca="false">IFERROR(R40/R38,0)</f>
        <v>0.838729054850165</v>
      </c>
      <c r="S41" s="151" t="n">
        <f aca="false">IFERROR(S40/S38,0)</f>
        <v>0.798182118558122</v>
      </c>
      <c r="T41" s="151" t="n">
        <f aca="false">IFERROR(T40/T38,0)</f>
        <v>0.836289397942028</v>
      </c>
      <c r="U41" s="151" t="n">
        <f aca="false">IFERROR(U40/U38,0)</f>
        <v>0.835291142091563</v>
      </c>
      <c r="V41" s="151" t="n">
        <f aca="false">IFERROR(V40/V38,0)</f>
        <v>0.834406868639608</v>
      </c>
      <c r="W41" s="151" t="n">
        <f aca="false">IFERROR(W40/W38,0)</f>
        <v>0.833618109891078</v>
      </c>
      <c r="X41" s="151" t="n">
        <f aca="false">IFERROR(X40/X38,0)</f>
        <v>0.834134815354092</v>
      </c>
      <c r="Y41" s="151" t="n">
        <f aca="false">IFERROR(Y40/Y38,0)</f>
        <v>0.834610588033506</v>
      </c>
      <c r="Z41" s="151" t="n">
        <f aca="false">IFERROR(Z40/Z38,0)</f>
        <v>0.835555618454885</v>
      </c>
      <c r="AA41" s="151" t="n">
        <f aca="false">IFERROR(AA40/AA38,0)</f>
        <v>0.834991568387935</v>
      </c>
      <c r="AB41" s="151" t="n">
        <f aca="false">IFERROR(AB40/AB38,0)</f>
        <v>0.83445453653009</v>
      </c>
      <c r="AC41" s="151" t="n">
        <f aca="false">IFERROR(AC40/AC38,0)</f>
        <v>0.833942627014244</v>
      </c>
      <c r="AD41" s="151" t="n">
        <f aca="false">IFERROR(AD40/AD38,0)</f>
        <v>0.833454117296529</v>
      </c>
      <c r="AE41" s="151" t="n">
        <f aca="false">IFERROR(AE40/AE38,0)</f>
        <v>0.798846613069662</v>
      </c>
      <c r="AF41" s="151" t="n">
        <f aca="false">IFERROR(AF40/AF38,0)</f>
        <v>0.832541160049903</v>
      </c>
      <c r="AG41" s="151" t="n">
        <f aca="false">IFERROR(AG40/AG38,0)</f>
        <v>0.832113972087648</v>
      </c>
      <c r="AH41" s="151" t="n">
        <f aca="false">IFERROR(AH40/AH38,0)</f>
        <v>0.831704675568122</v>
      </c>
      <c r="AI41" s="151" t="n">
        <f aca="false">IFERROR(AI40/AI38,0)</f>
        <v>0.831312169554611</v>
      </c>
      <c r="AJ41" s="151" t="n">
        <f aca="false">IFERROR(AJ40/AJ38,0)</f>
        <v>0.830935441622005</v>
      </c>
      <c r="AK41" s="151" t="n">
        <f aca="false">IFERROR(AK40/AK38,0)</f>
        <v>0.830573559137018</v>
      </c>
      <c r="AL41" s="151" t="n">
        <f aca="false">IFERROR(AL40/AL38,0)</f>
        <v>0.830225661549322</v>
      </c>
      <c r="AM41" s="151" t="n">
        <f aca="false">IFERROR(AM40/AM38,0)</f>
        <v>0.829890953559478</v>
      </c>
      <c r="AN41" s="151" t="n">
        <f aca="false">IFERROR(AN40/AN38,0)</f>
        <v>0.829568699049455</v>
      </c>
      <c r="AO41" s="151" t="n">
        <f aca="false">IFERROR(AO40/AO38,0)</f>
        <v>0.829258215678269</v>
      </c>
      <c r="AP41" s="151" t="n">
        <f aca="false">IFERROR(AP40/AP38,0)</f>
        <v>0.828958870059212</v>
      </c>
      <c r="AQ41" s="151" t="n">
        <f aca="false">IFERROR(AQ40/AQ38,0)</f>
        <v>0.802401667673304</v>
      </c>
      <c r="AR41" s="151" t="n">
        <f aca="false">IFERROR(AR40/AR38,0)</f>
        <v>0.828391277872725</v>
      </c>
      <c r="AS41" s="151" t="n">
        <f aca="false">IFERROR(AS40/AS38,0)</f>
        <v>0.828391277872725</v>
      </c>
      <c r="AT41" s="151" t="n">
        <f aca="false">IFERROR(AT40/AT38,0)</f>
        <v>0.828391277872725</v>
      </c>
      <c r="AU41" s="151" t="n">
        <f aca="false">IFERROR(AU40/AU38,0)</f>
        <v>0.828391277872725</v>
      </c>
      <c r="AV41" s="151" t="n">
        <f aca="false">IFERROR(AV40/AV38,0)</f>
        <v>0.828391277872725</v>
      </c>
      <c r="AW41" s="151" t="n">
        <f aca="false">IFERROR(AW40/AW38,0)</f>
        <v>0.828391277872725</v>
      </c>
      <c r="AX41" s="151" t="n">
        <f aca="false">IFERROR(AX40/AX38,0)</f>
        <v>0.828391277872725</v>
      </c>
      <c r="AY41" s="151" t="n">
        <f aca="false">IFERROR(AY40/AY38,0)</f>
        <v>0.828391277872725</v>
      </c>
      <c r="AZ41" s="151" t="n">
        <f aca="false">IFERROR(AZ40/AZ38,0)</f>
        <v>0.828391277872725</v>
      </c>
      <c r="BA41" s="151" t="n">
        <f aca="false">IFERROR(BA40/BA38,0)</f>
        <v>0.828391277872725</v>
      </c>
      <c r="BB41" s="151" t="n">
        <f aca="false">IFERROR(BB40/BB38,0)</f>
        <v>0.828391277872725</v>
      </c>
      <c r="BC41" s="151" t="n">
        <f aca="false">IFERROR(BC40/BC38,0)</f>
        <v>0.802616531157885</v>
      </c>
      <c r="BD41" s="151" t="n">
        <f aca="false">IFERROR(BD40/BD38,0)</f>
        <v>0.828391277872725</v>
      </c>
      <c r="BE41" s="151" t="n">
        <f aca="false">IFERROR(BE40/BE38,0)</f>
        <v>0.828391277872725</v>
      </c>
      <c r="BF41" s="151" t="n">
        <f aca="false">IFERROR(BF40/BF38,0)</f>
        <v>0.828391277872725</v>
      </c>
      <c r="BG41" s="151" t="n">
        <f aca="false">IFERROR(BG40/BG38,0)</f>
        <v>0.828391277872725</v>
      </c>
      <c r="BH41" s="151" t="n">
        <f aca="false">IFERROR(BH40/BH38,0)</f>
        <v>0.828391277872725</v>
      </c>
      <c r="BI41" s="151" t="n">
        <f aca="false">IFERROR(BI40/BI38,0)</f>
        <v>0.828391277872725</v>
      </c>
      <c r="BJ41" s="151" t="n">
        <f aca="false">IFERROR(BJ40/BJ38,0)</f>
        <v>0.828391277872725</v>
      </c>
      <c r="BK41" s="151" t="n">
        <f aca="false">IFERROR(BK40/BK38,0)</f>
        <v>0.828391277872725</v>
      </c>
      <c r="BL41" s="151" t="n">
        <f aca="false">IFERROR(BL40/BL38,0)</f>
        <v>0.828391277872725</v>
      </c>
      <c r="BM41" s="151" t="n">
        <f aca="false">IFERROR(BM40/BM38,0)</f>
        <v>0.828391277872725</v>
      </c>
      <c r="BN41" s="151" t="n">
        <f aca="false">IFERROR(BN40/BN38,0)</f>
        <v>0.828391277872725</v>
      </c>
      <c r="BO41" s="151" t="n">
        <f aca="false">IFERROR(BO40/BO38,0)</f>
        <v>0.802616531157885</v>
      </c>
      <c r="BP41" s="151" t="n">
        <f aca="false">IFERROR(BP40/BP38,0)</f>
        <v>0.828391277872725</v>
      </c>
      <c r="BQ41" s="151" t="n">
        <f aca="false">IFERROR(BQ40/BQ38,0)</f>
        <v>0.828391277872725</v>
      </c>
      <c r="BR41" s="151" t="n">
        <f aca="false">IFERROR(BR40/BR38,0)</f>
        <v>0.828391277872725</v>
      </c>
      <c r="BS41" s="151" t="n">
        <f aca="false">IFERROR(BS40/BS38,0)</f>
        <v>0.828391277872725</v>
      </c>
      <c r="BT41" s="151" t="n">
        <f aca="false">IFERROR(BT40/BT38,0)</f>
        <v>0.828391277872725</v>
      </c>
      <c r="BU41" s="151" t="n">
        <f aca="false">IFERROR(BU40/BU38,0)</f>
        <v>0.828391277872725</v>
      </c>
      <c r="BV41" s="151" t="n">
        <f aca="false">IFERROR(BV40/BV38,0)</f>
        <v>0.828391277872725</v>
      </c>
      <c r="BW41" s="151" t="n">
        <f aca="false">IFERROR(BW40/BW38,0)</f>
        <v>0.828391277872725</v>
      </c>
      <c r="BX41" s="151" t="n">
        <f aca="false">IFERROR(BX40/BX38,0)</f>
        <v>0.828391277872725</v>
      </c>
      <c r="BY41" s="151" t="n">
        <f aca="false">IFERROR(BY40/BY38,0)</f>
        <v>0.828391277872725</v>
      </c>
      <c r="BZ41" s="151" t="n">
        <f aca="false">IFERROR(BZ40/BZ38,0)</f>
        <v>0.828391277872725</v>
      </c>
      <c r="CA41" s="151" t="n">
        <f aca="false">IFERROR(CA40/CA38,0)</f>
        <v>0.802616531157885</v>
      </c>
      <c r="CB41" s="151" t="n">
        <f aca="false">IFERROR(CB40/CB38,0)</f>
        <v>0.828391277872725</v>
      </c>
      <c r="CC41" s="151" t="n">
        <f aca="false">IFERROR(CC40/CC38,0)</f>
        <v>0.828391277872725</v>
      </c>
      <c r="CD41" s="151" t="n">
        <f aca="false">IFERROR(CD40/CD38,0)</f>
        <v>0.828391277872725</v>
      </c>
      <c r="CE41" s="151" t="n">
        <f aca="false">IFERROR(CE40/CE38,0)</f>
        <v>0.828391277872725</v>
      </c>
      <c r="CF41" s="151" t="n">
        <f aca="false">IFERROR(CF40/CF38,0)</f>
        <v>0.828391277872725</v>
      </c>
      <c r="CG41" s="151" t="n">
        <f aca="false">IFERROR(CG40/CG38,0)</f>
        <v>0.828391277872725</v>
      </c>
      <c r="CH41" s="151" t="n">
        <f aca="false">IFERROR(CH40/CH38,0)</f>
        <v>0.828391277872725</v>
      </c>
    </row>
    <row r="42" customFormat="false" ht="13.5" hidden="false" customHeight="true" outlineLevel="0" collapsed="false">
      <c r="A42" s="13" t="s">
        <v>723</v>
      </c>
      <c r="C42" s="138" t="n">
        <f aca="false">-Hipótesis!$D$36</f>
        <v>-2000</v>
      </c>
      <c r="D42" s="138" t="n">
        <f aca="false">-Hipótesis!$D$36</f>
        <v>-2000</v>
      </c>
      <c r="E42" s="138" t="n">
        <f aca="false">-Hipótesis!$D$36</f>
        <v>-2000</v>
      </c>
      <c r="F42" s="138" t="n">
        <f aca="false">-Hipótesis!$D$36</f>
        <v>-2000</v>
      </c>
      <c r="G42" s="138" t="n">
        <f aca="false">-Hipótesis!$D$36</f>
        <v>-2000</v>
      </c>
      <c r="H42" s="138" t="n">
        <f aca="false">-Hipótesis!$D$36</f>
        <v>-2000</v>
      </c>
      <c r="I42" s="138" t="n">
        <f aca="false">-Hipótesis!$D$36</f>
        <v>-2000</v>
      </c>
      <c r="J42" s="138" t="n">
        <f aca="false">-Hipótesis!$D$36</f>
        <v>-2000</v>
      </c>
      <c r="K42" s="138" t="n">
        <f aca="false">-Hipótesis!$D$36</f>
        <v>-2000</v>
      </c>
      <c r="L42" s="138" t="n">
        <f aca="false">-Hipótesis!$D$36</f>
        <v>-2000</v>
      </c>
      <c r="M42" s="138" t="n">
        <f aca="false">-Hipótesis!$D$36</f>
        <v>-2000</v>
      </c>
      <c r="N42" s="138" t="n">
        <f aca="false">-Hipótesis!$D$36</f>
        <v>-2000</v>
      </c>
      <c r="O42" s="138" t="n">
        <f aca="false">-Hipótesis!$D$36</f>
        <v>-2000</v>
      </c>
      <c r="P42" s="138" t="n">
        <f aca="false">-Hipótesis!$D$36</f>
        <v>-2000</v>
      </c>
      <c r="Q42" s="138" t="n">
        <f aca="false">-Hipótesis!$D$36</f>
        <v>-2000</v>
      </c>
      <c r="R42" s="138" t="n">
        <f aca="false">-Hipótesis!$D$36</f>
        <v>-2000</v>
      </c>
      <c r="S42" s="138" t="n">
        <f aca="false">-Hipótesis!$D$36</f>
        <v>-2000</v>
      </c>
      <c r="T42" s="138" t="n">
        <f aca="false">-Hipótesis!$D$36</f>
        <v>-2000</v>
      </c>
      <c r="U42" s="138" t="n">
        <f aca="false">-Hipótesis!$D$36</f>
        <v>-2000</v>
      </c>
      <c r="V42" s="138" t="n">
        <f aca="false">-Hipótesis!$D$36</f>
        <v>-2000</v>
      </c>
      <c r="W42" s="138" t="n">
        <f aca="false">-Hipótesis!$D$36</f>
        <v>-2000</v>
      </c>
      <c r="X42" s="138" t="n">
        <f aca="false">-Hipótesis!$D$36</f>
        <v>-2000</v>
      </c>
      <c r="Y42" s="138" t="n">
        <f aca="false">-Hipótesis!$D$36</f>
        <v>-2000</v>
      </c>
      <c r="Z42" s="138" t="n">
        <f aca="false">-Hipótesis!$D$36</f>
        <v>-2000</v>
      </c>
      <c r="AA42" s="138" t="n">
        <f aca="false">-Hipótesis!$D$36</f>
        <v>-2000</v>
      </c>
      <c r="AB42" s="138" t="n">
        <f aca="false">-Hipótesis!$D$36</f>
        <v>-2000</v>
      </c>
      <c r="AC42" s="138" t="n">
        <f aca="false">-Hipótesis!$D$36</f>
        <v>-2000</v>
      </c>
      <c r="AD42" s="138" t="n">
        <f aca="false">-Hipótesis!$D$36</f>
        <v>-2000</v>
      </c>
      <c r="AE42" s="138" t="n">
        <f aca="false">-Hipótesis!$D$36</f>
        <v>-2000</v>
      </c>
      <c r="AF42" s="138" t="n">
        <f aca="false">-Hipótesis!$D$36</f>
        <v>-2000</v>
      </c>
      <c r="AG42" s="138" t="n">
        <f aca="false">-Hipótesis!$D$36</f>
        <v>-2000</v>
      </c>
      <c r="AH42" s="138" t="n">
        <f aca="false">-Hipótesis!$D$36</f>
        <v>-2000</v>
      </c>
      <c r="AI42" s="138" t="n">
        <f aca="false">-Hipótesis!$D$36</f>
        <v>-2000</v>
      </c>
      <c r="AJ42" s="138" t="n">
        <f aca="false">-Hipótesis!$D$36</f>
        <v>-2000</v>
      </c>
      <c r="AK42" s="138" t="n">
        <f aca="false">-Hipótesis!$D$36</f>
        <v>-2000</v>
      </c>
      <c r="AL42" s="138" t="n">
        <f aca="false">-Hipótesis!$D$36</f>
        <v>-2000</v>
      </c>
      <c r="AM42" s="138" t="n">
        <f aca="false">-Hipótesis!$D$36</f>
        <v>-2000</v>
      </c>
      <c r="AN42" s="138" t="n">
        <f aca="false">-Hipótesis!$D$36</f>
        <v>-2000</v>
      </c>
      <c r="AO42" s="138" t="n">
        <f aca="false">-Hipótesis!$D$36</f>
        <v>-2000</v>
      </c>
      <c r="AP42" s="138" t="n">
        <f aca="false">-Hipótesis!$D$36</f>
        <v>-2000</v>
      </c>
      <c r="AQ42" s="138" t="n">
        <f aca="false">-Hipótesis!$D$36</f>
        <v>-2000</v>
      </c>
      <c r="AR42" s="138" t="n">
        <f aca="false">-Hipótesis!$D$36</f>
        <v>-2000</v>
      </c>
      <c r="AS42" s="138" t="n">
        <f aca="false">-Hipótesis!$D$36</f>
        <v>-2000</v>
      </c>
      <c r="AT42" s="138" t="n">
        <f aca="false">-Hipótesis!$D$36</f>
        <v>-2000</v>
      </c>
      <c r="AU42" s="138" t="n">
        <f aca="false">-Hipótesis!$D$36</f>
        <v>-2000</v>
      </c>
      <c r="AV42" s="138" t="n">
        <f aca="false">-Hipótesis!$D$36</f>
        <v>-2000</v>
      </c>
      <c r="AW42" s="138" t="n">
        <f aca="false">-Hipótesis!$D$36</f>
        <v>-2000</v>
      </c>
      <c r="AX42" s="138" t="n">
        <f aca="false">-Hipótesis!$D$36</f>
        <v>-2000</v>
      </c>
      <c r="AY42" s="138" t="n">
        <f aca="false">-Hipótesis!$D$36</f>
        <v>-2000</v>
      </c>
      <c r="AZ42" s="138" t="n">
        <f aca="false">-Hipótesis!$D$36</f>
        <v>-2000</v>
      </c>
      <c r="BA42" s="138" t="n">
        <f aca="false">-Hipótesis!$D$36</f>
        <v>-2000</v>
      </c>
      <c r="BB42" s="138" t="n">
        <f aca="false">-Hipótesis!$D$36</f>
        <v>-2000</v>
      </c>
      <c r="BC42" s="138" t="n">
        <f aca="false">-Hipótesis!$D$36</f>
        <v>-2000</v>
      </c>
      <c r="BD42" s="138" t="n">
        <f aca="false">-Hipótesis!$D$36</f>
        <v>-2000</v>
      </c>
      <c r="BE42" s="138" t="n">
        <f aca="false">-Hipótesis!$D$36</f>
        <v>-2000</v>
      </c>
      <c r="BF42" s="138" t="n">
        <f aca="false">-Hipótesis!$D$36</f>
        <v>-2000</v>
      </c>
      <c r="BG42" s="138" t="n">
        <f aca="false">-Hipótesis!$D$36</f>
        <v>-2000</v>
      </c>
      <c r="BH42" s="138" t="n">
        <f aca="false">-Hipótesis!$D$36</f>
        <v>-2000</v>
      </c>
      <c r="BI42" s="138" t="n">
        <f aca="false">-Hipótesis!$D$36</f>
        <v>-2000</v>
      </c>
      <c r="BJ42" s="138" t="n">
        <f aca="false">-Hipótesis!$D$36</f>
        <v>-2000</v>
      </c>
      <c r="BK42" s="138" t="n">
        <f aca="false">-Hipótesis!$D$36</f>
        <v>-2000</v>
      </c>
      <c r="BL42" s="138" t="n">
        <f aca="false">-Hipótesis!$D$36</f>
        <v>-2000</v>
      </c>
      <c r="BM42" s="138" t="n">
        <f aca="false">-Hipótesis!$D$36</f>
        <v>-2000</v>
      </c>
      <c r="BN42" s="138" t="n">
        <f aca="false">-Hipótesis!$D$36</f>
        <v>-2000</v>
      </c>
      <c r="BO42" s="138" t="n">
        <f aca="false">-Hipótesis!$D$36</f>
        <v>-2000</v>
      </c>
      <c r="BP42" s="138" t="n">
        <f aca="false">-Hipótesis!$D$36</f>
        <v>-2000</v>
      </c>
      <c r="BQ42" s="138" t="n">
        <f aca="false">-Hipótesis!$D$36</f>
        <v>-2000</v>
      </c>
      <c r="BR42" s="138" t="n">
        <f aca="false">-Hipótesis!$D$36</f>
        <v>-2000</v>
      </c>
      <c r="BS42" s="138" t="n">
        <f aca="false">-Hipótesis!$D$36</f>
        <v>-2000</v>
      </c>
      <c r="BT42" s="138" t="n">
        <f aca="false">-Hipótesis!$D$36</f>
        <v>-2000</v>
      </c>
      <c r="BU42" s="138" t="n">
        <f aca="false">-Hipótesis!$D$36</f>
        <v>-2000</v>
      </c>
      <c r="BV42" s="138" t="n">
        <f aca="false">-Hipótesis!$D$36</f>
        <v>-2000</v>
      </c>
      <c r="BW42" s="138" t="n">
        <f aca="false">-Hipótesis!$D$36</f>
        <v>-2000</v>
      </c>
      <c r="BX42" s="138" t="n">
        <f aca="false">-Hipótesis!$D$36</f>
        <v>-2000</v>
      </c>
      <c r="BY42" s="138" t="n">
        <f aca="false">-Hipótesis!$D$36</f>
        <v>-2000</v>
      </c>
      <c r="BZ42" s="138" t="n">
        <f aca="false">-Hipótesis!$D$36</f>
        <v>-2000</v>
      </c>
      <c r="CA42" s="138" t="n">
        <f aca="false">-Hipótesis!$D$36</f>
        <v>-2000</v>
      </c>
      <c r="CB42" s="138" t="n">
        <f aca="false">-Hipótesis!$D$36</f>
        <v>-2000</v>
      </c>
      <c r="CC42" s="138" t="n">
        <f aca="false">-Hipótesis!$D$36</f>
        <v>-2000</v>
      </c>
      <c r="CD42" s="138" t="n">
        <f aca="false">-Hipótesis!$D$36</f>
        <v>-2000</v>
      </c>
      <c r="CE42" s="138" t="n">
        <f aca="false">-Hipótesis!$D$36</f>
        <v>-2000</v>
      </c>
      <c r="CF42" s="138" t="n">
        <f aca="false">-Hipótesis!$D$36</f>
        <v>-2000</v>
      </c>
      <c r="CG42" s="138" t="n">
        <f aca="false">-Hipótesis!$D$36</f>
        <v>-2000</v>
      </c>
      <c r="CH42" s="138" t="n">
        <f aca="false">-Hipótesis!$D$36</f>
        <v>-2000</v>
      </c>
    </row>
    <row r="43" customFormat="false" ht="13.5" hidden="false" customHeight="true" outlineLevel="0" collapsed="false">
      <c r="A43" s="13" t="s">
        <v>724</v>
      </c>
      <c r="C43" s="138" t="n">
        <f aca="false">-(Hipótesis!$D$37+C24*Hipótesis!$D$38)</f>
        <v>-1024.39809883848</v>
      </c>
      <c r="D43" s="138" t="n">
        <f aca="false">-(Hipótesis!$D$37+D24*Hipótesis!$D$38)</f>
        <v>-1049.82325998118</v>
      </c>
      <c r="E43" s="138" t="n">
        <f aca="false">-(Hipótesis!$D$37+E24*Hipótesis!$D$38)</f>
        <v>-1092.12494842365</v>
      </c>
      <c r="F43" s="138" t="n">
        <f aca="false">-(Hipótesis!$D$37+F24*Hipótesis!$D$38)</f>
        <v>-1113.32853802764</v>
      </c>
      <c r="G43" s="138" t="n">
        <f aca="false">-(Hipótesis!$D$37+G24*Hipótesis!$D$38)</f>
        <v>-1119.48006532741</v>
      </c>
      <c r="H43" s="138" t="n">
        <f aca="false">-(Hipótesis!$D$37+H24*Hipótesis!$D$38)</f>
        <v>-1165.45001486295</v>
      </c>
      <c r="I43" s="138" t="n">
        <f aca="false">-(Hipótesis!$D$37+I24*Hipótesis!$D$38)</f>
        <v>-1198.49496439848</v>
      </c>
      <c r="J43" s="138" t="n">
        <f aca="false">-(Hipótesis!$D$37+J24*Hipótesis!$D$38)</f>
        <v>-1251.33991393402</v>
      </c>
      <c r="K43" s="138" t="n">
        <f aca="false">-(Hipótesis!$D$37+K24*Hipótesis!$D$38)</f>
        <v>-1304.18486346955</v>
      </c>
      <c r="L43" s="138" t="n">
        <f aca="false">-(Hipótesis!$D$37+L24*Hipótesis!$D$38)</f>
        <v>-1357.02981300508</v>
      </c>
      <c r="M43" s="138" t="n">
        <f aca="false">-(Hipótesis!$D$37+M24*Hipótesis!$D$38)</f>
        <v>-1392.99823524084</v>
      </c>
      <c r="N43" s="138" t="n">
        <f aca="false">-(Hipótesis!$D$37+N24*Hipótesis!$D$38)</f>
        <v>-1446.08436254679</v>
      </c>
      <c r="O43" s="138" t="n">
        <f aca="false">-(Hipótesis!$D$37+O24*Hipótesis!$D$38)</f>
        <v>-1499.17048985275</v>
      </c>
      <c r="P43" s="138" t="n">
        <f aca="false">-(Hipótesis!$D$37+P24*Hipótesis!$D$38)</f>
        <v>-1547.33527695102</v>
      </c>
      <c r="Q43" s="138" t="n">
        <f aca="false">-(Hipótesis!$D$37+Q24*Hipótesis!$D$38)</f>
        <v>-1595.50006404929</v>
      </c>
      <c r="R43" s="138" t="n">
        <f aca="false">-(Hipótesis!$D$37+R24*Hipótesis!$D$38)</f>
        <v>-1643.66485114756</v>
      </c>
      <c r="S43" s="138" t="n">
        <f aca="false">-(Hipótesis!$D$37+S24*Hipótesis!$D$38)</f>
        <v>-1644.14463824583</v>
      </c>
      <c r="T43" s="138" t="n">
        <f aca="false">-(Hipótesis!$D$37+T24*Hipótesis!$D$38)</f>
        <v>-1739.9944253441</v>
      </c>
      <c r="U43" s="138" t="n">
        <f aca="false">-(Hipótesis!$D$37+U24*Hipótesis!$D$38)</f>
        <v>-1788.15921244237</v>
      </c>
      <c r="V43" s="138" t="n">
        <f aca="false">-(Hipótesis!$D$37+V24*Hipótesis!$D$38)</f>
        <v>-1836.32399954064</v>
      </c>
      <c r="W43" s="138" t="n">
        <f aca="false">-(Hipótesis!$D$37+W24*Hipótesis!$D$38)</f>
        <v>-1884.48878663892</v>
      </c>
      <c r="X43" s="138" t="n">
        <f aca="false">-(Hipótesis!$D$37+X24*Hipótesis!$D$38)</f>
        <v>-1915.53586866699</v>
      </c>
      <c r="Y43" s="138" t="n">
        <f aca="false">-(Hipótesis!$D$37+Y24*Hipótesis!$D$38)</f>
        <v>-1946.58295069507</v>
      </c>
      <c r="Z43" s="138" t="n">
        <f aca="false">-(Hipótesis!$D$37+Z24*Hipótesis!$D$38)</f>
        <v>-1970.78295069507</v>
      </c>
      <c r="AA43" s="138" t="n">
        <f aca="false">-(Hipótesis!$D$37+AA24*Hipótesis!$D$38)</f>
        <v>-1994.98295069507</v>
      </c>
      <c r="AB43" s="138" t="n">
        <f aca="false">-(Hipótesis!$D$37+AB24*Hipótesis!$D$38)</f>
        <v>-2019.18295069507</v>
      </c>
      <c r="AC43" s="138" t="n">
        <f aca="false">-(Hipótesis!$D$37+AC24*Hipótesis!$D$38)</f>
        <v>-2043.38295069507</v>
      </c>
      <c r="AD43" s="138" t="n">
        <f aca="false">-(Hipótesis!$D$37+AD24*Hipótesis!$D$38)</f>
        <v>-2067.58295069507</v>
      </c>
      <c r="AE43" s="138" t="n">
        <f aca="false">-(Hipótesis!$D$37+AE24*Hipótesis!$D$38)</f>
        <v>-2024.46295069507</v>
      </c>
      <c r="AF43" s="138" t="n">
        <f aca="false">-(Hipótesis!$D$37+AF24*Hipótesis!$D$38)</f>
        <v>-2115.98295069507</v>
      </c>
      <c r="AG43" s="138" t="n">
        <f aca="false">-(Hipótesis!$D$37+AG24*Hipótesis!$D$38)</f>
        <v>-2140.18295069507</v>
      </c>
      <c r="AH43" s="138" t="n">
        <f aca="false">-(Hipótesis!$D$37+AH24*Hipótesis!$D$38)</f>
        <v>-2164.38295069507</v>
      </c>
      <c r="AI43" s="138" t="n">
        <f aca="false">-(Hipótesis!$D$37+AI24*Hipótesis!$D$38)</f>
        <v>-2188.58295069507</v>
      </c>
      <c r="AJ43" s="138" t="n">
        <f aca="false">-(Hipótesis!$D$37+AJ24*Hipótesis!$D$38)</f>
        <v>-2212.78295069507</v>
      </c>
      <c r="AK43" s="138" t="n">
        <f aca="false">-(Hipótesis!$D$37+AK24*Hipótesis!$D$38)</f>
        <v>-2236.98295069507</v>
      </c>
      <c r="AL43" s="138" t="n">
        <f aca="false">-(Hipótesis!$D$37+AL24*Hipótesis!$D$38)</f>
        <v>-2261.18295069507</v>
      </c>
      <c r="AM43" s="138" t="n">
        <f aca="false">-(Hipótesis!$D$37+AM24*Hipótesis!$D$38)</f>
        <v>-2285.38295069507</v>
      </c>
      <c r="AN43" s="138" t="n">
        <f aca="false">-(Hipótesis!$D$37+AN24*Hipótesis!$D$38)</f>
        <v>-2309.58295069507</v>
      </c>
      <c r="AO43" s="138" t="n">
        <f aca="false">-(Hipótesis!$D$37+AO24*Hipótesis!$D$38)</f>
        <v>-2333.78295069507</v>
      </c>
      <c r="AP43" s="138" t="n">
        <f aca="false">-(Hipótesis!$D$37+AP24*Hipótesis!$D$38)</f>
        <v>-2357.98295069507</v>
      </c>
      <c r="AQ43" s="138" t="n">
        <f aca="false">-(Hipótesis!$D$37+AQ24*Hipótesis!$D$38)</f>
        <v>-2314.86295069507</v>
      </c>
      <c r="AR43" s="138" t="n">
        <f aca="false">-(Hipótesis!$D$37+AR24*Hipótesis!$D$38)</f>
        <v>-2406.38295069507</v>
      </c>
      <c r="AS43" s="138" t="n">
        <f aca="false">-(Hipótesis!$D$37+AS24*Hipótesis!$D$38)</f>
        <v>-2406.38295069507</v>
      </c>
      <c r="AT43" s="138" t="n">
        <f aca="false">-(Hipótesis!$D$37+AT24*Hipótesis!$D$38)</f>
        <v>-2406.38295069507</v>
      </c>
      <c r="AU43" s="138" t="n">
        <f aca="false">-(Hipótesis!$D$37+AU24*Hipótesis!$D$38)</f>
        <v>-2406.38295069507</v>
      </c>
      <c r="AV43" s="138" t="n">
        <f aca="false">-(Hipótesis!$D$37+AV24*Hipótesis!$D$38)</f>
        <v>-2406.38295069507</v>
      </c>
      <c r="AW43" s="138" t="n">
        <f aca="false">-(Hipótesis!$D$37+AW24*Hipótesis!$D$38)</f>
        <v>-2406.38295069507</v>
      </c>
      <c r="AX43" s="138" t="n">
        <f aca="false">-(Hipótesis!$D$37+AX24*Hipótesis!$D$38)</f>
        <v>-2406.38295069507</v>
      </c>
      <c r="AY43" s="138" t="n">
        <f aca="false">-(Hipótesis!$D$37+AY24*Hipótesis!$D$38)</f>
        <v>-2406.38295069507</v>
      </c>
      <c r="AZ43" s="138" t="n">
        <f aca="false">-(Hipótesis!$D$37+AZ24*Hipótesis!$D$38)</f>
        <v>-2406.38295069507</v>
      </c>
      <c r="BA43" s="138" t="n">
        <f aca="false">-(Hipótesis!$D$37+BA24*Hipótesis!$D$38)</f>
        <v>-2406.38295069507</v>
      </c>
      <c r="BB43" s="138" t="n">
        <f aca="false">-(Hipótesis!$D$37+BB24*Hipótesis!$D$38)</f>
        <v>-2406.38295069507</v>
      </c>
      <c r="BC43" s="138" t="n">
        <f aca="false">-(Hipótesis!$D$37+BC24*Hipótesis!$D$38)</f>
        <v>-2339.06295069507</v>
      </c>
      <c r="BD43" s="138" t="n">
        <f aca="false">-(Hipótesis!$D$37+BD24*Hipótesis!$D$38)</f>
        <v>-2406.38295069507</v>
      </c>
      <c r="BE43" s="138" t="n">
        <f aca="false">-(Hipótesis!$D$37+BE24*Hipótesis!$D$38)</f>
        <v>-2406.38295069507</v>
      </c>
      <c r="BF43" s="138" t="n">
        <f aca="false">-(Hipótesis!$D$37+BF24*Hipótesis!$D$38)</f>
        <v>-2406.38295069507</v>
      </c>
      <c r="BG43" s="138" t="n">
        <f aca="false">-(Hipótesis!$D$37+BG24*Hipótesis!$D$38)</f>
        <v>-2406.38295069507</v>
      </c>
      <c r="BH43" s="138" t="n">
        <f aca="false">-(Hipótesis!$D$37+BH24*Hipótesis!$D$38)</f>
        <v>-2406.38295069507</v>
      </c>
      <c r="BI43" s="138" t="n">
        <f aca="false">-(Hipótesis!$D$37+BI24*Hipótesis!$D$38)</f>
        <v>-2406.38295069507</v>
      </c>
      <c r="BJ43" s="138" t="n">
        <f aca="false">-(Hipótesis!$D$37+BJ24*Hipótesis!$D$38)</f>
        <v>-2406.38295069507</v>
      </c>
      <c r="BK43" s="138" t="n">
        <f aca="false">-(Hipótesis!$D$37+BK24*Hipótesis!$D$38)</f>
        <v>-2406.38295069507</v>
      </c>
      <c r="BL43" s="138" t="n">
        <f aca="false">-(Hipótesis!$D$37+BL24*Hipótesis!$D$38)</f>
        <v>-2406.38295069507</v>
      </c>
      <c r="BM43" s="138" t="n">
        <f aca="false">-(Hipótesis!$D$37+BM24*Hipótesis!$D$38)</f>
        <v>-2406.38295069507</v>
      </c>
      <c r="BN43" s="138" t="n">
        <f aca="false">-(Hipótesis!$D$37+BN24*Hipótesis!$D$38)</f>
        <v>-2406.38295069507</v>
      </c>
      <c r="BO43" s="138" t="n">
        <f aca="false">-(Hipótesis!$D$37+BO24*Hipótesis!$D$38)</f>
        <v>-2339.06295069507</v>
      </c>
      <c r="BP43" s="138" t="n">
        <f aca="false">-(Hipótesis!$D$37+BP24*Hipótesis!$D$38)</f>
        <v>-2406.38295069507</v>
      </c>
      <c r="BQ43" s="138" t="n">
        <f aca="false">-(Hipótesis!$D$37+BQ24*Hipótesis!$D$38)</f>
        <v>-2406.38295069507</v>
      </c>
      <c r="BR43" s="138" t="n">
        <f aca="false">-(Hipótesis!$D$37+BR24*Hipótesis!$D$38)</f>
        <v>-2406.38295069507</v>
      </c>
      <c r="BS43" s="138" t="n">
        <f aca="false">-(Hipótesis!$D$37+BS24*Hipótesis!$D$38)</f>
        <v>-2406.38295069507</v>
      </c>
      <c r="BT43" s="138" t="n">
        <f aca="false">-(Hipótesis!$D$37+BT24*Hipótesis!$D$38)</f>
        <v>-2406.38295069507</v>
      </c>
      <c r="BU43" s="138" t="n">
        <f aca="false">-(Hipótesis!$D$37+BU24*Hipótesis!$D$38)</f>
        <v>-2406.38295069507</v>
      </c>
      <c r="BV43" s="138" t="n">
        <f aca="false">-(Hipótesis!$D$37+BV24*Hipótesis!$D$38)</f>
        <v>-2406.38295069507</v>
      </c>
      <c r="BW43" s="138" t="n">
        <f aca="false">-(Hipótesis!$D$37+BW24*Hipótesis!$D$38)</f>
        <v>-2406.38295069507</v>
      </c>
      <c r="BX43" s="138" t="n">
        <f aca="false">-(Hipótesis!$D$37+BX24*Hipótesis!$D$38)</f>
        <v>-2406.38295069507</v>
      </c>
      <c r="BY43" s="138" t="n">
        <f aca="false">-(Hipótesis!$D$37+BY24*Hipótesis!$D$38)</f>
        <v>-2406.38295069507</v>
      </c>
      <c r="BZ43" s="138" t="n">
        <f aca="false">-(Hipótesis!$D$37+BZ24*Hipótesis!$D$38)</f>
        <v>-2406.38295069507</v>
      </c>
      <c r="CA43" s="138" t="n">
        <f aca="false">-(Hipótesis!$D$37+CA24*Hipótesis!$D$38)</f>
        <v>-2339.06295069507</v>
      </c>
      <c r="CB43" s="138" t="n">
        <f aca="false">-(Hipótesis!$D$37+CB24*Hipótesis!$D$38)</f>
        <v>-2406.38295069507</v>
      </c>
      <c r="CC43" s="138" t="n">
        <f aca="false">-(Hipótesis!$D$37+CC24*Hipótesis!$D$38)</f>
        <v>-2406.38295069507</v>
      </c>
      <c r="CD43" s="138" t="n">
        <f aca="false">-(Hipótesis!$D$37+CD24*Hipótesis!$D$38)</f>
        <v>-2406.38295069507</v>
      </c>
      <c r="CE43" s="138" t="n">
        <f aca="false">-(Hipótesis!$D$37+CE24*Hipótesis!$D$38)</f>
        <v>-2406.38295069507</v>
      </c>
      <c r="CF43" s="138" t="n">
        <f aca="false">-(Hipótesis!$D$37+CF24*Hipótesis!$D$38)</f>
        <v>-2406.38295069507</v>
      </c>
      <c r="CG43" s="138" t="n">
        <f aca="false">-(Hipótesis!$D$37+CG24*Hipótesis!$D$38)</f>
        <v>-2406.38295069507</v>
      </c>
      <c r="CH43" s="138" t="n">
        <f aca="false">-(Hipótesis!$D$37+CH24*Hipótesis!$D$38)</f>
        <v>-2406.38295069507</v>
      </c>
    </row>
    <row r="44" customFormat="false" ht="13.5" hidden="false" customHeight="true" outlineLevel="0" collapsed="false">
      <c r="A44" s="13" t="s">
        <v>725</v>
      </c>
      <c r="C44" s="138" t="n">
        <f aca="false">-IF(AND(1&gt;=Hipótesis!$D$48,Hipótesis!$B$48=1),IF(Hipótesis!$G$48=1,Hipótesis!$C$44,Hipótesis!$C$48*(1+Hipótesis!$D$45)^0)*(1+Hipótesis!$D$42),0)</f>
        <v>-2904</v>
      </c>
      <c r="D44" s="138" t="n">
        <f aca="false">-IF(AND(2&gt;=Hipótesis!$D$48,Hipótesis!$B$48=1),IF(Hipótesis!$G$48=1,Hipótesis!$C$44,Hipótesis!$C$48*(1+Hipótesis!$D$45)^0)*(1+Hipótesis!$D$42),0)</f>
        <v>-2904</v>
      </c>
      <c r="E44" s="138" t="n">
        <f aca="false">-IF(AND(3&gt;=Hipótesis!$D$48,Hipótesis!$B$48=1),IF(Hipótesis!$G$48=1,Hipótesis!$C$44,Hipótesis!$C$48*(1+Hipótesis!$D$45)^0)*(1+Hipótesis!$D$42),0)</f>
        <v>-2904</v>
      </c>
      <c r="F44" s="138" t="n">
        <f aca="false">-IF(AND(4&gt;=Hipótesis!$D$48,Hipótesis!$B$48=1),IF(Hipótesis!$G$48=1,Hipótesis!$C$44,Hipótesis!$C$48*(1+Hipótesis!$D$45)^0)*(1+Hipótesis!$D$42),0)</f>
        <v>-2904</v>
      </c>
      <c r="G44" s="138" t="n">
        <f aca="false">-IF(AND(5&gt;=Hipótesis!$D$48,Hipótesis!$B$48=1),IF(Hipótesis!$G$48=1,Hipótesis!$C$44,Hipótesis!$C$48*(1+Hipótesis!$D$45)^0)*(1+Hipótesis!$D$42),0)</f>
        <v>-2904</v>
      </c>
      <c r="H44" s="138" t="n">
        <f aca="false">-IF(AND(6&gt;=Hipótesis!$D$48,Hipótesis!$B$48=1),IF(Hipótesis!$G$48=1,Hipótesis!$C$44,Hipótesis!$C$48*(1+Hipótesis!$D$45)^0)*(1+Hipótesis!$D$42),0)</f>
        <v>-2904</v>
      </c>
      <c r="I44" s="138" t="n">
        <f aca="false">-IF(AND(7&gt;=Hipótesis!$D$48,Hipótesis!$B$48=1),IF(Hipótesis!$G$48=1,Hipótesis!$C$44,Hipótesis!$C$48*(1+Hipótesis!$D$45)^0)*(1+Hipótesis!$D$42),0)</f>
        <v>-2904</v>
      </c>
      <c r="J44" s="138" t="n">
        <f aca="false">-IF(AND(8&gt;=Hipótesis!$D$48,Hipótesis!$B$48=1),IF(Hipótesis!$G$48=1,Hipótesis!$C$44,Hipótesis!$C$48*(1+Hipótesis!$D$45)^0)*(1+Hipótesis!$D$42),0)</f>
        <v>-2904</v>
      </c>
      <c r="K44" s="138" t="n">
        <f aca="false">-IF(AND(9&gt;=Hipótesis!$D$48,Hipótesis!$B$48=1),IF(Hipótesis!$G$48=1,Hipótesis!$C$44,Hipótesis!$C$48*(1+Hipótesis!$D$45)^0)*(1+Hipótesis!$D$42),0)</f>
        <v>-2904</v>
      </c>
      <c r="L44" s="138" t="n">
        <f aca="false">-IF(AND(10&gt;=Hipótesis!$D$48,Hipótesis!$B$48=1),IF(Hipótesis!$G$48=1,Hipótesis!$C$44,Hipótesis!$C$48*(1+Hipótesis!$D$45)^0)*(1+Hipótesis!$D$42),0)</f>
        <v>-2904</v>
      </c>
      <c r="M44" s="138" t="n">
        <f aca="false">-IF(AND(11&gt;=Hipótesis!$D$48,Hipótesis!$B$48=1),IF(Hipótesis!$G$48=1,Hipótesis!$C$44,Hipótesis!$C$48*(1+Hipótesis!$D$45)^0)*(1+Hipótesis!$D$42),0)</f>
        <v>-2904</v>
      </c>
      <c r="N44" s="138" t="n">
        <f aca="false">-IF(AND(12&gt;=Hipótesis!$D$48,Hipótesis!$B$48=1),IF(Hipótesis!$G$48=1,Hipótesis!$C$44,Hipótesis!$C$48*(1+Hipótesis!$D$45)^0)*(1+Hipótesis!$D$42),0)</f>
        <v>-2904</v>
      </c>
      <c r="O44" s="138" t="n">
        <f aca="false">-IF(AND(13&gt;=Hipótesis!$D$48,Hipótesis!$B$48=1),IF(Hipótesis!$G$48=1,Hipótesis!$D$44,Hipótesis!$C$48*(1+Hipótesis!$D$45)^1)*(1+Hipótesis!$D$42),0)</f>
        <v>-4620</v>
      </c>
      <c r="P44" s="138" t="n">
        <f aca="false">-IF(AND(14&gt;=Hipótesis!$D$48,Hipótesis!$B$48=1),IF(Hipótesis!$G$48=1,Hipótesis!$D$44,Hipótesis!$C$48*(1+Hipótesis!$D$45)^1)*(1+Hipótesis!$D$42),0)</f>
        <v>-4620</v>
      </c>
      <c r="Q44" s="138" t="n">
        <f aca="false">-IF(AND(15&gt;=Hipótesis!$D$48,Hipótesis!$B$48=1),IF(Hipótesis!$G$48=1,Hipótesis!$D$44,Hipótesis!$C$48*(1+Hipótesis!$D$45)^1)*(1+Hipótesis!$D$42),0)</f>
        <v>-4620</v>
      </c>
      <c r="R44" s="138" t="n">
        <f aca="false">-IF(AND(16&gt;=Hipótesis!$D$48,Hipótesis!$B$48=1),IF(Hipótesis!$G$48=1,Hipótesis!$D$44,Hipótesis!$C$48*(1+Hipótesis!$D$45)^1)*(1+Hipótesis!$D$42),0)</f>
        <v>-4620</v>
      </c>
      <c r="S44" s="138" t="n">
        <f aca="false">-IF(AND(17&gt;=Hipótesis!$D$48,Hipótesis!$B$48=1),IF(Hipótesis!$G$48=1,Hipótesis!$D$44,Hipótesis!$C$48*(1+Hipótesis!$D$45)^1)*(1+Hipótesis!$D$42),0)</f>
        <v>-4620</v>
      </c>
      <c r="T44" s="138" t="n">
        <f aca="false">-IF(AND(18&gt;=Hipótesis!$D$48,Hipótesis!$B$48=1),IF(Hipótesis!$G$48=1,Hipótesis!$D$44,Hipótesis!$C$48*(1+Hipótesis!$D$45)^1)*(1+Hipótesis!$D$42),0)</f>
        <v>-4620</v>
      </c>
      <c r="U44" s="138" t="n">
        <f aca="false">-IF(AND(19&gt;=Hipótesis!$D$48,Hipótesis!$B$48=1),IF(Hipótesis!$G$48=1,Hipótesis!$D$44,Hipótesis!$C$48*(1+Hipótesis!$D$45)^1)*(1+Hipótesis!$D$42),0)</f>
        <v>-4620</v>
      </c>
      <c r="V44" s="138" t="n">
        <f aca="false">-IF(AND(20&gt;=Hipótesis!$D$48,Hipótesis!$B$48=1),IF(Hipótesis!$G$48=1,Hipótesis!$D$44,Hipótesis!$C$48*(1+Hipótesis!$D$45)^1)*(1+Hipótesis!$D$42),0)</f>
        <v>-4620</v>
      </c>
      <c r="W44" s="138" t="n">
        <f aca="false">-IF(AND(21&gt;=Hipótesis!$D$48,Hipótesis!$B$48=1),IF(Hipótesis!$G$48=1,Hipótesis!$D$44,Hipótesis!$C$48*(1+Hipótesis!$D$45)^1)*(1+Hipótesis!$D$42),0)</f>
        <v>-4620</v>
      </c>
      <c r="X44" s="138" t="n">
        <f aca="false">-IF(AND(22&gt;=Hipótesis!$D$48,Hipótesis!$B$48=1),IF(Hipótesis!$G$48=1,Hipótesis!$D$44,Hipótesis!$C$48*(1+Hipótesis!$D$45)^1)*(1+Hipótesis!$D$42),0)</f>
        <v>-4620</v>
      </c>
      <c r="Y44" s="138" t="n">
        <f aca="false">-IF(AND(23&gt;=Hipótesis!$D$48,Hipótesis!$B$48=1),IF(Hipótesis!$G$48=1,Hipótesis!$D$44,Hipótesis!$C$48*(1+Hipótesis!$D$45)^1)*(1+Hipótesis!$D$42),0)</f>
        <v>-4620</v>
      </c>
      <c r="Z44" s="138" t="n">
        <f aca="false">-IF(AND(24&gt;=Hipótesis!$D$48,Hipótesis!$B$48=1),IF(Hipótesis!$G$48=1,Hipótesis!$D$44,Hipótesis!$C$48*(1+Hipótesis!$D$45)^1)*(1+Hipótesis!$D$42),0)</f>
        <v>-4620</v>
      </c>
      <c r="AA44" s="138" t="n">
        <f aca="false">-IF(AND(25&gt;=Hipótesis!$D$48,Hipótesis!$B$48=1),IF(Hipótesis!$G$48=1,Hipótesis!$E$44,Hipótesis!$C$48*(1+Hipótesis!$D$45)^2)*(1+Hipótesis!$D$42),0)</f>
        <v>-5280</v>
      </c>
      <c r="AB44" s="138" t="n">
        <f aca="false">-IF(AND(26&gt;=Hipótesis!$D$48,Hipótesis!$B$48=1),IF(Hipótesis!$G$48=1,Hipótesis!$E$44,Hipótesis!$C$48*(1+Hipótesis!$D$45)^2)*(1+Hipótesis!$D$42),0)</f>
        <v>-5280</v>
      </c>
      <c r="AC44" s="138" t="n">
        <f aca="false">-IF(AND(27&gt;=Hipótesis!$D$48,Hipótesis!$B$48=1),IF(Hipótesis!$G$48=1,Hipótesis!$E$44,Hipótesis!$C$48*(1+Hipótesis!$D$45)^2)*(1+Hipótesis!$D$42),0)</f>
        <v>-5280</v>
      </c>
      <c r="AD44" s="138" t="n">
        <f aca="false">-IF(AND(28&gt;=Hipótesis!$D$48,Hipótesis!$B$48=1),IF(Hipótesis!$G$48=1,Hipótesis!$E$44,Hipótesis!$C$48*(1+Hipótesis!$D$45)^2)*(1+Hipótesis!$D$42),0)</f>
        <v>-5280</v>
      </c>
      <c r="AE44" s="138" t="n">
        <f aca="false">-IF(AND(29&gt;=Hipótesis!$D$48,Hipótesis!$B$48=1),IF(Hipótesis!$G$48=1,Hipótesis!$E$44,Hipótesis!$C$48*(1+Hipótesis!$D$45)^2)*(1+Hipótesis!$D$42),0)</f>
        <v>-5280</v>
      </c>
      <c r="AF44" s="138" t="n">
        <f aca="false">-IF(AND(30&gt;=Hipótesis!$D$48,Hipótesis!$B$48=1),IF(Hipótesis!$G$48=1,Hipótesis!$E$44,Hipótesis!$C$48*(1+Hipótesis!$D$45)^2)*(1+Hipótesis!$D$42),0)</f>
        <v>-5280</v>
      </c>
      <c r="AG44" s="138" t="n">
        <f aca="false">-IF(AND(31&gt;=Hipótesis!$D$48,Hipótesis!$B$48=1),IF(Hipótesis!$G$48=1,Hipótesis!$E$44,Hipótesis!$C$48*(1+Hipótesis!$D$45)^2)*(1+Hipótesis!$D$42),0)</f>
        <v>-5280</v>
      </c>
      <c r="AH44" s="138" t="n">
        <f aca="false">-IF(AND(32&gt;=Hipótesis!$D$48,Hipótesis!$B$48=1),IF(Hipótesis!$G$48=1,Hipótesis!$E$44,Hipótesis!$C$48*(1+Hipótesis!$D$45)^2)*(1+Hipótesis!$D$42),0)</f>
        <v>-5280</v>
      </c>
      <c r="AI44" s="138" t="n">
        <f aca="false">-IF(AND(33&gt;=Hipótesis!$D$48,Hipótesis!$B$48=1),IF(Hipótesis!$G$48=1,Hipótesis!$E$44,Hipótesis!$C$48*(1+Hipótesis!$D$45)^2)*(1+Hipótesis!$D$42),0)</f>
        <v>-5280</v>
      </c>
      <c r="AJ44" s="138" t="n">
        <f aca="false">-IF(AND(34&gt;=Hipótesis!$D$48,Hipótesis!$B$48=1),IF(Hipótesis!$G$48=1,Hipótesis!$E$44,Hipótesis!$C$48*(1+Hipótesis!$D$45)^2)*(1+Hipótesis!$D$42),0)</f>
        <v>-5280</v>
      </c>
      <c r="AK44" s="138" t="n">
        <f aca="false">-IF(AND(35&gt;=Hipótesis!$D$48,Hipótesis!$B$48=1),IF(Hipótesis!$G$48=1,Hipótesis!$E$44,Hipótesis!$C$48*(1+Hipótesis!$D$45)^2)*(1+Hipótesis!$D$42),0)</f>
        <v>-5280</v>
      </c>
      <c r="AL44" s="138" t="n">
        <f aca="false">-IF(AND(36&gt;=Hipótesis!$D$48,Hipótesis!$B$48=1),IF(Hipótesis!$G$48=1,Hipótesis!$E$44,Hipótesis!$C$48*(1+Hipótesis!$D$45)^2)*(1+Hipótesis!$D$42),0)</f>
        <v>-5280</v>
      </c>
      <c r="AM44" s="138" t="n">
        <f aca="false">-IF(AND(37&gt;=Hipótesis!$D$48,Hipótesis!$B$48=1),IF(Hipótesis!$G$48=1,Hipótesis!$F$44,Hipótesis!$C$48*(1+Hipótesis!$D$45)^3)*(1+Hipótesis!$D$42),0)</f>
        <v>-5940</v>
      </c>
      <c r="AN44" s="138" t="n">
        <f aca="false">-IF(AND(38&gt;=Hipótesis!$D$48,Hipótesis!$B$48=1),IF(Hipótesis!$G$48=1,Hipótesis!$F$44,Hipótesis!$C$48*(1+Hipótesis!$D$45)^3)*(1+Hipótesis!$D$42),0)</f>
        <v>-5940</v>
      </c>
      <c r="AO44" s="138" t="n">
        <f aca="false">-IF(AND(39&gt;=Hipótesis!$D$48,Hipótesis!$B$48=1),IF(Hipótesis!$G$48=1,Hipótesis!$F$44,Hipótesis!$C$48*(1+Hipótesis!$D$45)^3)*(1+Hipótesis!$D$42),0)</f>
        <v>-5940</v>
      </c>
      <c r="AP44" s="138" t="n">
        <f aca="false">-IF(AND(40&gt;=Hipótesis!$D$48,Hipótesis!$B$48=1),IF(Hipótesis!$G$48=1,Hipótesis!$F$44,Hipótesis!$C$48*(1+Hipótesis!$D$45)^3)*(1+Hipótesis!$D$42),0)</f>
        <v>-5940</v>
      </c>
      <c r="AQ44" s="138" t="n">
        <f aca="false">-IF(AND(41&gt;=Hipótesis!$D$48,Hipótesis!$B$48=1),IF(Hipótesis!$G$48=1,Hipótesis!$F$44,Hipótesis!$C$48*(1+Hipótesis!$D$45)^3)*(1+Hipótesis!$D$42),0)</f>
        <v>-5940</v>
      </c>
      <c r="AR44" s="138" t="n">
        <f aca="false">-IF(AND(42&gt;=Hipótesis!$D$48,Hipótesis!$B$48=1),IF(Hipótesis!$G$48=1,Hipótesis!$F$44,Hipótesis!$C$48*(1+Hipótesis!$D$45)^3)*(1+Hipótesis!$D$42),0)</f>
        <v>-5940</v>
      </c>
      <c r="AS44" s="138" t="n">
        <f aca="false">-IF(AND(43&gt;=Hipótesis!$D$48,Hipótesis!$B$48=1),IF(Hipótesis!$G$48=1,Hipótesis!$F$44,Hipótesis!$C$48*(1+Hipótesis!$D$45)^3)*(1+Hipótesis!$D$42),0)</f>
        <v>-5940</v>
      </c>
      <c r="AT44" s="138" t="n">
        <f aca="false">-IF(AND(44&gt;=Hipótesis!$D$48,Hipótesis!$B$48=1),IF(Hipótesis!$G$48=1,Hipótesis!$F$44,Hipótesis!$C$48*(1+Hipótesis!$D$45)^3)*(1+Hipótesis!$D$42),0)</f>
        <v>-5940</v>
      </c>
      <c r="AU44" s="138" t="n">
        <f aca="false">-IF(AND(45&gt;=Hipótesis!$D$48,Hipótesis!$B$48=1),IF(Hipótesis!$G$48=1,Hipótesis!$F$44,Hipótesis!$C$48*(1+Hipótesis!$D$45)^3)*(1+Hipótesis!$D$42),0)</f>
        <v>-5940</v>
      </c>
      <c r="AV44" s="138" t="n">
        <f aca="false">-IF(AND(46&gt;=Hipótesis!$D$48,Hipótesis!$B$48=1),IF(Hipótesis!$G$48=1,Hipótesis!$F$44,Hipótesis!$C$48*(1+Hipótesis!$D$45)^3)*(1+Hipótesis!$D$42),0)</f>
        <v>-5940</v>
      </c>
      <c r="AW44" s="138" t="n">
        <f aca="false">-IF(AND(47&gt;=Hipótesis!$D$48,Hipótesis!$B$48=1),IF(Hipótesis!$G$48=1,Hipótesis!$F$44,Hipótesis!$C$48*(1+Hipótesis!$D$45)^3)*(1+Hipótesis!$D$42),0)</f>
        <v>-5940</v>
      </c>
      <c r="AX44" s="138" t="n">
        <f aca="false">-IF(AND(48&gt;=Hipótesis!$D$48,Hipótesis!$B$48=1),IF(Hipótesis!$G$48=1,Hipótesis!$F$44,Hipótesis!$C$48*(1+Hipótesis!$D$45)^3)*(1+Hipótesis!$D$42),0)</f>
        <v>-5940</v>
      </c>
      <c r="AY44" s="138" t="n">
        <f aca="false">-IF(AND(49&gt;=Hipótesis!$D$48,Hipótesis!$B$48=1),IF(Hipótesis!$G$48=1,Hipótesis!$G$44,Hipótesis!$C$48*(1+Hipótesis!$D$45)^4)*(1+Hipótesis!$D$42),0)</f>
        <v>-6600</v>
      </c>
      <c r="AZ44" s="138" t="n">
        <f aca="false">-IF(AND(50&gt;=Hipótesis!$D$48,Hipótesis!$B$48=1),IF(Hipótesis!$G$48=1,Hipótesis!$G$44,Hipótesis!$C$48*(1+Hipótesis!$D$45)^4)*(1+Hipótesis!$D$42),0)</f>
        <v>-6600</v>
      </c>
      <c r="BA44" s="138" t="n">
        <f aca="false">-IF(AND(51&gt;=Hipótesis!$D$48,Hipótesis!$B$48=1),IF(Hipótesis!$G$48=1,Hipótesis!$G$44,Hipótesis!$C$48*(1+Hipótesis!$D$45)^4)*(1+Hipótesis!$D$42),0)</f>
        <v>-6600</v>
      </c>
      <c r="BB44" s="138" t="n">
        <f aca="false">-IF(AND(52&gt;=Hipótesis!$D$48,Hipótesis!$B$48=1),IF(Hipótesis!$G$48=1,Hipótesis!$G$44,Hipótesis!$C$48*(1+Hipótesis!$D$45)^4)*(1+Hipótesis!$D$42),0)</f>
        <v>-6600</v>
      </c>
      <c r="BC44" s="138" t="n">
        <f aca="false">-IF(AND(53&gt;=Hipótesis!$D$48,Hipótesis!$B$48=1),IF(Hipótesis!$G$48=1,Hipótesis!$G$44,Hipótesis!$C$48*(1+Hipótesis!$D$45)^4)*(1+Hipótesis!$D$42),0)</f>
        <v>-6600</v>
      </c>
      <c r="BD44" s="138" t="n">
        <f aca="false">-IF(AND(54&gt;=Hipótesis!$D$48,Hipótesis!$B$48=1),IF(Hipótesis!$G$48=1,Hipótesis!$G$44,Hipótesis!$C$48*(1+Hipótesis!$D$45)^4)*(1+Hipótesis!$D$42),0)</f>
        <v>-6600</v>
      </c>
      <c r="BE44" s="138" t="n">
        <f aca="false">-IF(AND(55&gt;=Hipótesis!$D$48,Hipótesis!$B$48=1),IF(Hipótesis!$G$48=1,Hipótesis!$G$44,Hipótesis!$C$48*(1+Hipótesis!$D$45)^4)*(1+Hipótesis!$D$42),0)</f>
        <v>-6600</v>
      </c>
      <c r="BF44" s="138" t="n">
        <f aca="false">-IF(AND(56&gt;=Hipótesis!$D$48,Hipótesis!$B$48=1),IF(Hipótesis!$G$48=1,Hipótesis!$G$44,Hipótesis!$C$48*(1+Hipótesis!$D$45)^4)*(1+Hipótesis!$D$42),0)</f>
        <v>-6600</v>
      </c>
      <c r="BG44" s="138" t="n">
        <f aca="false">-IF(AND(57&gt;=Hipótesis!$D$48,Hipótesis!$B$48=1),IF(Hipótesis!$G$48=1,Hipótesis!$G$44,Hipótesis!$C$48*(1+Hipótesis!$D$45)^4)*(1+Hipótesis!$D$42),0)</f>
        <v>-6600</v>
      </c>
      <c r="BH44" s="138" t="n">
        <f aca="false">-IF(AND(58&gt;=Hipótesis!$D$48,Hipótesis!$B$48=1),IF(Hipótesis!$G$48=1,Hipótesis!$G$44,Hipótesis!$C$48*(1+Hipótesis!$D$45)^4)*(1+Hipótesis!$D$42),0)</f>
        <v>-6600</v>
      </c>
      <c r="BI44" s="138" t="n">
        <f aca="false">-IF(AND(59&gt;=Hipótesis!$D$48,Hipótesis!$B$48=1),IF(Hipótesis!$G$48=1,Hipótesis!$G$44,Hipótesis!$C$48*(1+Hipótesis!$D$45)^4)*(1+Hipótesis!$D$42),0)</f>
        <v>-6600</v>
      </c>
      <c r="BJ44" s="138" t="n">
        <f aca="false">-IF(AND(60&gt;=Hipótesis!$D$48,Hipótesis!$B$48=1),IF(Hipótesis!$G$48=1,Hipótesis!$G$44,Hipótesis!$C$48*(1+Hipótesis!$D$45)^4)*(1+Hipótesis!$D$42),0)</f>
        <v>-6600</v>
      </c>
      <c r="BK44" s="138" t="n">
        <f aca="false">-IF(AND(61&gt;=Hipótesis!$D$48,Hipótesis!$B$48=1),IF(Hipótesis!$G$48=1,Hipótesis!$H$44,Hipótesis!$C$48*(1+Hipótesis!$D$45)^5)*(1+Hipótesis!$D$42),0)</f>
        <v>-7260</v>
      </c>
      <c r="BL44" s="138" t="n">
        <f aca="false">-IF(AND(62&gt;=Hipótesis!$D$48,Hipótesis!$B$48=1),IF(Hipótesis!$G$48=1,Hipótesis!$H$44,Hipótesis!$C$48*(1+Hipótesis!$D$45)^5)*(1+Hipótesis!$D$42),0)</f>
        <v>-7260</v>
      </c>
      <c r="BM44" s="138" t="n">
        <f aca="false">-IF(AND(63&gt;=Hipótesis!$D$48,Hipótesis!$B$48=1),IF(Hipótesis!$G$48=1,Hipótesis!$H$44,Hipótesis!$C$48*(1+Hipótesis!$D$45)^5)*(1+Hipótesis!$D$42),0)</f>
        <v>-7260</v>
      </c>
      <c r="BN44" s="138" t="n">
        <f aca="false">-IF(AND(64&gt;=Hipótesis!$D$48,Hipótesis!$B$48=1),IF(Hipótesis!$G$48=1,Hipótesis!$H$44,Hipótesis!$C$48*(1+Hipótesis!$D$45)^5)*(1+Hipótesis!$D$42),0)</f>
        <v>-7260</v>
      </c>
      <c r="BO44" s="138" t="n">
        <f aca="false">-IF(AND(65&gt;=Hipótesis!$D$48,Hipótesis!$B$48=1),IF(Hipótesis!$G$48=1,Hipótesis!$H$44,Hipótesis!$C$48*(1+Hipótesis!$D$45)^5)*(1+Hipótesis!$D$42),0)</f>
        <v>-7260</v>
      </c>
      <c r="BP44" s="138" t="n">
        <f aca="false">-IF(AND(66&gt;=Hipótesis!$D$48,Hipótesis!$B$48=1),IF(Hipótesis!$G$48=1,Hipótesis!$H$44,Hipótesis!$C$48*(1+Hipótesis!$D$45)^5)*(1+Hipótesis!$D$42),0)</f>
        <v>-7260</v>
      </c>
      <c r="BQ44" s="138" t="n">
        <f aca="false">-IF(AND(67&gt;=Hipótesis!$D$48,Hipótesis!$B$48=1),IF(Hipótesis!$G$48=1,Hipótesis!$H$44,Hipótesis!$C$48*(1+Hipótesis!$D$45)^5)*(1+Hipótesis!$D$42),0)</f>
        <v>-7260</v>
      </c>
      <c r="BR44" s="138" t="n">
        <f aca="false">-IF(AND(68&gt;=Hipótesis!$D$48,Hipótesis!$B$48=1),IF(Hipótesis!$G$48=1,Hipótesis!$H$44,Hipótesis!$C$48*(1+Hipótesis!$D$45)^5)*(1+Hipótesis!$D$42),0)</f>
        <v>-7260</v>
      </c>
      <c r="BS44" s="138" t="n">
        <f aca="false">-IF(AND(69&gt;=Hipótesis!$D$48,Hipótesis!$B$48=1),IF(Hipótesis!$G$48=1,Hipótesis!$H$44,Hipótesis!$C$48*(1+Hipótesis!$D$45)^5)*(1+Hipótesis!$D$42),0)</f>
        <v>-7260</v>
      </c>
      <c r="BT44" s="138" t="n">
        <f aca="false">-IF(AND(70&gt;=Hipótesis!$D$48,Hipótesis!$B$48=1),IF(Hipótesis!$G$48=1,Hipótesis!$H$44,Hipótesis!$C$48*(1+Hipótesis!$D$45)^5)*(1+Hipótesis!$D$42),0)</f>
        <v>-7260</v>
      </c>
      <c r="BU44" s="138" t="n">
        <f aca="false">-IF(AND(71&gt;=Hipótesis!$D$48,Hipótesis!$B$48=1),IF(Hipótesis!$G$48=1,Hipótesis!$H$44,Hipótesis!$C$48*(1+Hipótesis!$D$45)^5)*(1+Hipótesis!$D$42),0)</f>
        <v>-7260</v>
      </c>
      <c r="BV44" s="138" t="n">
        <f aca="false">-IF(AND(72&gt;=Hipótesis!$D$48,Hipótesis!$B$48=1),IF(Hipótesis!$G$48=1,Hipótesis!$H$44,Hipótesis!$C$48*(1+Hipótesis!$D$45)^5)*(1+Hipótesis!$D$42),0)</f>
        <v>-7260</v>
      </c>
      <c r="BW44" s="138" t="n">
        <f aca="false">-IF(AND(73&gt;=Hipótesis!$D$48,Hipótesis!$B$48=1),IF(Hipótesis!$G$48=1,Hipótesis!$I$44,Hipótesis!$C$48*(1+Hipótesis!$D$45)^6)*(1+Hipótesis!$D$42),0)</f>
        <v>-7920</v>
      </c>
      <c r="BX44" s="138" t="n">
        <f aca="false">-IF(AND(74&gt;=Hipótesis!$D$48,Hipótesis!$B$48=1),IF(Hipótesis!$G$48=1,Hipótesis!$I$44,Hipótesis!$C$48*(1+Hipótesis!$D$45)^6)*(1+Hipótesis!$D$42),0)</f>
        <v>-7920</v>
      </c>
      <c r="BY44" s="138" t="n">
        <f aca="false">-IF(AND(75&gt;=Hipótesis!$D$48,Hipótesis!$B$48=1),IF(Hipótesis!$G$48=1,Hipótesis!$I$44,Hipótesis!$C$48*(1+Hipótesis!$D$45)^6)*(1+Hipótesis!$D$42),0)</f>
        <v>-7920</v>
      </c>
      <c r="BZ44" s="138" t="n">
        <f aca="false">-IF(AND(76&gt;=Hipótesis!$D$48,Hipótesis!$B$48=1),IF(Hipótesis!$G$48=1,Hipótesis!$I$44,Hipótesis!$C$48*(1+Hipótesis!$D$45)^6)*(1+Hipótesis!$D$42),0)</f>
        <v>-7920</v>
      </c>
      <c r="CA44" s="138" t="n">
        <f aca="false">-IF(AND(77&gt;=Hipótesis!$D$48,Hipótesis!$B$48=1),IF(Hipótesis!$G$48=1,Hipótesis!$I$44,Hipótesis!$C$48*(1+Hipótesis!$D$45)^6)*(1+Hipótesis!$D$42),0)</f>
        <v>-7920</v>
      </c>
      <c r="CB44" s="138" t="n">
        <f aca="false">-IF(AND(78&gt;=Hipótesis!$D$48,Hipótesis!$B$48=1),IF(Hipótesis!$G$48=1,Hipótesis!$I$44,Hipótesis!$C$48*(1+Hipótesis!$D$45)^6)*(1+Hipótesis!$D$42),0)</f>
        <v>-7920</v>
      </c>
      <c r="CC44" s="138" t="n">
        <f aca="false">-IF(AND(79&gt;=Hipótesis!$D$48,Hipótesis!$B$48=1),IF(Hipótesis!$G$48=1,Hipótesis!$I$44,Hipótesis!$C$48*(1+Hipótesis!$D$45)^6)*(1+Hipótesis!$D$42),0)</f>
        <v>-7920</v>
      </c>
      <c r="CD44" s="138" t="n">
        <f aca="false">-IF(AND(80&gt;=Hipótesis!$D$48,Hipótesis!$B$48=1),IF(Hipótesis!$G$48=1,Hipótesis!$I$44,Hipótesis!$C$48*(1+Hipótesis!$D$45)^6)*(1+Hipótesis!$D$42),0)</f>
        <v>-7920</v>
      </c>
      <c r="CE44" s="138" t="n">
        <f aca="false">-IF(AND(81&gt;=Hipótesis!$D$48,Hipótesis!$B$48=1),IF(Hipótesis!$G$48=1,Hipótesis!$I$44,Hipótesis!$C$48*(1+Hipótesis!$D$45)^6)*(1+Hipótesis!$D$42),0)</f>
        <v>-7920</v>
      </c>
      <c r="CF44" s="138" t="n">
        <f aca="false">-IF(AND(82&gt;=Hipótesis!$D$48,Hipótesis!$B$48=1),IF(Hipótesis!$G$48=1,Hipótesis!$I$44,Hipótesis!$C$48*(1+Hipótesis!$D$45)^6)*(1+Hipótesis!$D$42),0)</f>
        <v>-7920</v>
      </c>
      <c r="CG44" s="138" t="n">
        <f aca="false">-IF(AND(83&gt;=Hipótesis!$D$48,Hipótesis!$B$48=1),IF(Hipótesis!$G$48=1,Hipótesis!$I$44,Hipótesis!$C$48*(1+Hipótesis!$D$45)^6)*(1+Hipótesis!$D$42),0)</f>
        <v>-7920</v>
      </c>
      <c r="CH44" s="138" t="n">
        <f aca="false">-IF(AND(84&gt;=Hipótesis!$D$48,Hipótesis!$B$48=1),IF(Hipótesis!$G$48=1,Hipótesis!$I$44,Hipótesis!$C$48*(1+Hipótesis!$D$45)^6)*(1+Hipótesis!$D$42),0)</f>
        <v>-7920</v>
      </c>
    </row>
    <row r="45" customFormat="false" ht="13.5" hidden="false" customHeight="true" outlineLevel="0" collapsed="false">
      <c r="A45" s="13" t="s">
        <v>726</v>
      </c>
      <c r="C45" s="138" t="n">
        <f aca="false">-IF(AND(1&gt;=Hipótesis!$D$49,Hipótesis!$B$49=1),IF(Hipótesis!$G$49=1,Hipótesis!$C$44,Hipótesis!$C$49*(1+Hipótesis!$D$45)^0)*(1+Hipótesis!$D$42),0)</f>
        <v>-2904</v>
      </c>
      <c r="D45" s="138" t="n">
        <f aca="false">-IF(AND(2&gt;=Hipótesis!$D$49,Hipótesis!$B$49=1),IF(Hipótesis!$G$49=1,Hipótesis!$C$44,Hipótesis!$C$49*(1+Hipótesis!$D$45)^0)*(1+Hipótesis!$D$42),0)</f>
        <v>-2904</v>
      </c>
      <c r="E45" s="138" t="n">
        <f aca="false">-IF(AND(3&gt;=Hipótesis!$D$49,Hipótesis!$B$49=1),IF(Hipótesis!$G$49=1,Hipótesis!$C$44,Hipótesis!$C$49*(1+Hipótesis!$D$45)^0)*(1+Hipótesis!$D$42),0)</f>
        <v>-2904</v>
      </c>
      <c r="F45" s="138" t="n">
        <f aca="false">-IF(AND(4&gt;=Hipótesis!$D$49,Hipótesis!$B$49=1),IF(Hipótesis!$G$49=1,Hipótesis!$C$44,Hipótesis!$C$49*(1+Hipótesis!$D$45)^0)*(1+Hipótesis!$D$42),0)</f>
        <v>-2904</v>
      </c>
      <c r="G45" s="138" t="n">
        <f aca="false">-IF(AND(5&gt;=Hipótesis!$D$49,Hipótesis!$B$49=1),IF(Hipótesis!$G$49=1,Hipótesis!$C$44,Hipótesis!$C$49*(1+Hipótesis!$D$45)^0)*(1+Hipótesis!$D$42),0)</f>
        <v>-2904</v>
      </c>
      <c r="H45" s="138" t="n">
        <f aca="false">-IF(AND(6&gt;=Hipótesis!$D$49,Hipótesis!$B$49=1),IF(Hipótesis!$G$49=1,Hipótesis!$C$44,Hipótesis!$C$49*(1+Hipótesis!$D$45)^0)*(1+Hipótesis!$D$42),0)</f>
        <v>-2904</v>
      </c>
      <c r="I45" s="138" t="n">
        <f aca="false">-IF(AND(7&gt;=Hipótesis!$D$49,Hipótesis!$B$49=1),IF(Hipótesis!$G$49=1,Hipótesis!$C$44,Hipótesis!$C$49*(1+Hipótesis!$D$45)^0)*(1+Hipótesis!$D$42),0)</f>
        <v>-2904</v>
      </c>
      <c r="J45" s="138" t="n">
        <f aca="false">-IF(AND(8&gt;=Hipótesis!$D$49,Hipótesis!$B$49=1),IF(Hipótesis!$G$49=1,Hipótesis!$C$44,Hipótesis!$C$49*(1+Hipótesis!$D$45)^0)*(1+Hipótesis!$D$42),0)</f>
        <v>-2904</v>
      </c>
      <c r="K45" s="138" t="n">
        <f aca="false">-IF(AND(9&gt;=Hipótesis!$D$49,Hipótesis!$B$49=1),IF(Hipótesis!$G$49=1,Hipótesis!$C$44,Hipótesis!$C$49*(1+Hipótesis!$D$45)^0)*(1+Hipótesis!$D$42),0)</f>
        <v>-2904</v>
      </c>
      <c r="L45" s="138" t="n">
        <f aca="false">-IF(AND(10&gt;=Hipótesis!$D$49,Hipótesis!$B$49=1),IF(Hipótesis!$G$49=1,Hipótesis!$C$44,Hipótesis!$C$49*(1+Hipótesis!$D$45)^0)*(1+Hipótesis!$D$42),0)</f>
        <v>-2904</v>
      </c>
      <c r="M45" s="138" t="n">
        <f aca="false">-IF(AND(11&gt;=Hipótesis!$D$49,Hipótesis!$B$49=1),IF(Hipótesis!$G$49=1,Hipótesis!$C$44,Hipótesis!$C$49*(1+Hipótesis!$D$45)^0)*(1+Hipótesis!$D$42),0)</f>
        <v>-2904</v>
      </c>
      <c r="N45" s="138" t="n">
        <f aca="false">-IF(AND(12&gt;=Hipótesis!$D$49,Hipótesis!$B$49=1),IF(Hipótesis!$G$49=1,Hipótesis!$C$44,Hipótesis!$C$49*(1+Hipótesis!$D$45)^0)*(1+Hipótesis!$D$42),0)</f>
        <v>-2904</v>
      </c>
      <c r="O45" s="138" t="n">
        <f aca="false">-IF(AND(13&gt;=Hipótesis!$D$49,Hipótesis!$B$49=1),IF(Hipótesis!$G$49=1,Hipótesis!$D$44,Hipótesis!$C$49*(1+Hipótesis!$D$45)^1)*(1+Hipótesis!$D$42),0)</f>
        <v>-4620</v>
      </c>
      <c r="P45" s="138" t="n">
        <f aca="false">-IF(AND(14&gt;=Hipótesis!$D$49,Hipótesis!$B$49=1),IF(Hipótesis!$G$49=1,Hipótesis!$D$44,Hipótesis!$C$49*(1+Hipótesis!$D$45)^1)*(1+Hipótesis!$D$42),0)</f>
        <v>-4620</v>
      </c>
      <c r="Q45" s="138" t="n">
        <f aca="false">-IF(AND(15&gt;=Hipótesis!$D$49,Hipótesis!$B$49=1),IF(Hipótesis!$G$49=1,Hipótesis!$D$44,Hipótesis!$C$49*(1+Hipótesis!$D$45)^1)*(1+Hipótesis!$D$42),0)</f>
        <v>-4620</v>
      </c>
      <c r="R45" s="138" t="n">
        <f aca="false">-IF(AND(16&gt;=Hipótesis!$D$49,Hipótesis!$B$49=1),IF(Hipótesis!$G$49=1,Hipótesis!$D$44,Hipótesis!$C$49*(1+Hipótesis!$D$45)^1)*(1+Hipótesis!$D$42),0)</f>
        <v>-4620</v>
      </c>
      <c r="S45" s="138" t="n">
        <f aca="false">-IF(AND(17&gt;=Hipótesis!$D$49,Hipótesis!$B$49=1),IF(Hipótesis!$G$49=1,Hipótesis!$D$44,Hipótesis!$C$49*(1+Hipótesis!$D$45)^1)*(1+Hipótesis!$D$42),0)</f>
        <v>-4620</v>
      </c>
      <c r="T45" s="138" t="n">
        <f aca="false">-IF(AND(18&gt;=Hipótesis!$D$49,Hipótesis!$B$49=1),IF(Hipótesis!$G$49=1,Hipótesis!$D$44,Hipótesis!$C$49*(1+Hipótesis!$D$45)^1)*(1+Hipótesis!$D$42),0)</f>
        <v>-4620</v>
      </c>
      <c r="U45" s="138" t="n">
        <f aca="false">-IF(AND(19&gt;=Hipótesis!$D$49,Hipótesis!$B$49=1),IF(Hipótesis!$G$49=1,Hipótesis!$D$44,Hipótesis!$C$49*(1+Hipótesis!$D$45)^1)*(1+Hipótesis!$D$42),0)</f>
        <v>-4620</v>
      </c>
      <c r="V45" s="138" t="n">
        <f aca="false">-IF(AND(20&gt;=Hipótesis!$D$49,Hipótesis!$B$49=1),IF(Hipótesis!$G$49=1,Hipótesis!$D$44,Hipótesis!$C$49*(1+Hipótesis!$D$45)^1)*(1+Hipótesis!$D$42),0)</f>
        <v>-4620</v>
      </c>
      <c r="W45" s="138" t="n">
        <f aca="false">-IF(AND(21&gt;=Hipótesis!$D$49,Hipótesis!$B$49=1),IF(Hipótesis!$G$49=1,Hipótesis!$D$44,Hipótesis!$C$49*(1+Hipótesis!$D$45)^1)*(1+Hipótesis!$D$42),0)</f>
        <v>-4620</v>
      </c>
      <c r="X45" s="138" t="n">
        <f aca="false">-IF(AND(22&gt;=Hipótesis!$D$49,Hipótesis!$B$49=1),IF(Hipótesis!$G$49=1,Hipótesis!$D$44,Hipótesis!$C$49*(1+Hipótesis!$D$45)^1)*(1+Hipótesis!$D$42),0)</f>
        <v>-4620</v>
      </c>
      <c r="Y45" s="138" t="n">
        <f aca="false">-IF(AND(23&gt;=Hipótesis!$D$49,Hipótesis!$B$49=1),IF(Hipótesis!$G$49=1,Hipótesis!$D$44,Hipótesis!$C$49*(1+Hipótesis!$D$45)^1)*(1+Hipótesis!$D$42),0)</f>
        <v>-4620</v>
      </c>
      <c r="Z45" s="138" t="n">
        <f aca="false">-IF(AND(24&gt;=Hipótesis!$D$49,Hipótesis!$B$49=1),IF(Hipótesis!$G$49=1,Hipótesis!$D$44,Hipótesis!$C$49*(1+Hipótesis!$D$45)^1)*(1+Hipótesis!$D$42),0)</f>
        <v>-4620</v>
      </c>
      <c r="AA45" s="138" t="n">
        <f aca="false">-IF(AND(25&gt;=Hipótesis!$D$49,Hipótesis!$B$49=1),IF(Hipótesis!$G$49=1,Hipótesis!$E$44,Hipótesis!$C$49*(1+Hipótesis!$D$45)^2)*(1+Hipótesis!$D$42),0)</f>
        <v>-5280</v>
      </c>
      <c r="AB45" s="138" t="n">
        <f aca="false">-IF(AND(26&gt;=Hipótesis!$D$49,Hipótesis!$B$49=1),IF(Hipótesis!$G$49=1,Hipótesis!$E$44,Hipótesis!$C$49*(1+Hipótesis!$D$45)^2)*(1+Hipótesis!$D$42),0)</f>
        <v>-5280</v>
      </c>
      <c r="AC45" s="138" t="n">
        <f aca="false">-IF(AND(27&gt;=Hipótesis!$D$49,Hipótesis!$B$49=1),IF(Hipótesis!$G$49=1,Hipótesis!$E$44,Hipótesis!$C$49*(1+Hipótesis!$D$45)^2)*(1+Hipótesis!$D$42),0)</f>
        <v>-5280</v>
      </c>
      <c r="AD45" s="138" t="n">
        <f aca="false">-IF(AND(28&gt;=Hipótesis!$D$49,Hipótesis!$B$49=1),IF(Hipótesis!$G$49=1,Hipótesis!$E$44,Hipótesis!$C$49*(1+Hipótesis!$D$45)^2)*(1+Hipótesis!$D$42),0)</f>
        <v>-5280</v>
      </c>
      <c r="AE45" s="138" t="n">
        <f aca="false">-IF(AND(29&gt;=Hipótesis!$D$49,Hipótesis!$B$49=1),IF(Hipótesis!$G$49=1,Hipótesis!$E$44,Hipótesis!$C$49*(1+Hipótesis!$D$45)^2)*(1+Hipótesis!$D$42),0)</f>
        <v>-5280</v>
      </c>
      <c r="AF45" s="138" t="n">
        <f aca="false">-IF(AND(30&gt;=Hipótesis!$D$49,Hipótesis!$B$49=1),IF(Hipótesis!$G$49=1,Hipótesis!$E$44,Hipótesis!$C$49*(1+Hipótesis!$D$45)^2)*(1+Hipótesis!$D$42),0)</f>
        <v>-5280</v>
      </c>
      <c r="AG45" s="138" t="n">
        <f aca="false">-IF(AND(31&gt;=Hipótesis!$D$49,Hipótesis!$B$49=1),IF(Hipótesis!$G$49=1,Hipótesis!$E$44,Hipótesis!$C$49*(1+Hipótesis!$D$45)^2)*(1+Hipótesis!$D$42),0)</f>
        <v>-5280</v>
      </c>
      <c r="AH45" s="138" t="n">
        <f aca="false">-IF(AND(32&gt;=Hipótesis!$D$49,Hipótesis!$B$49=1),IF(Hipótesis!$G$49=1,Hipótesis!$E$44,Hipótesis!$C$49*(1+Hipótesis!$D$45)^2)*(1+Hipótesis!$D$42),0)</f>
        <v>-5280</v>
      </c>
      <c r="AI45" s="138" t="n">
        <f aca="false">-IF(AND(33&gt;=Hipótesis!$D$49,Hipótesis!$B$49=1),IF(Hipótesis!$G$49=1,Hipótesis!$E$44,Hipótesis!$C$49*(1+Hipótesis!$D$45)^2)*(1+Hipótesis!$D$42),0)</f>
        <v>-5280</v>
      </c>
      <c r="AJ45" s="138" t="n">
        <f aca="false">-IF(AND(34&gt;=Hipótesis!$D$49,Hipótesis!$B$49=1),IF(Hipótesis!$G$49=1,Hipótesis!$E$44,Hipótesis!$C$49*(1+Hipótesis!$D$45)^2)*(1+Hipótesis!$D$42),0)</f>
        <v>-5280</v>
      </c>
      <c r="AK45" s="138" t="n">
        <f aca="false">-IF(AND(35&gt;=Hipótesis!$D$49,Hipótesis!$B$49=1),IF(Hipótesis!$G$49=1,Hipótesis!$E$44,Hipótesis!$C$49*(1+Hipótesis!$D$45)^2)*(1+Hipótesis!$D$42),0)</f>
        <v>-5280</v>
      </c>
      <c r="AL45" s="138" t="n">
        <f aca="false">-IF(AND(36&gt;=Hipótesis!$D$49,Hipótesis!$B$49=1),IF(Hipótesis!$G$49=1,Hipótesis!$E$44,Hipótesis!$C$49*(1+Hipótesis!$D$45)^2)*(1+Hipótesis!$D$42),0)</f>
        <v>-5280</v>
      </c>
      <c r="AM45" s="138" t="n">
        <f aca="false">-IF(AND(37&gt;=Hipótesis!$D$49,Hipótesis!$B$49=1),IF(Hipótesis!$G$49=1,Hipótesis!$F$44,Hipótesis!$C$49*(1+Hipótesis!$D$45)^3)*(1+Hipótesis!$D$42),0)</f>
        <v>-5940</v>
      </c>
      <c r="AN45" s="138" t="n">
        <f aca="false">-IF(AND(38&gt;=Hipótesis!$D$49,Hipótesis!$B$49=1),IF(Hipótesis!$G$49=1,Hipótesis!$F$44,Hipótesis!$C$49*(1+Hipótesis!$D$45)^3)*(1+Hipótesis!$D$42),0)</f>
        <v>-5940</v>
      </c>
      <c r="AO45" s="138" t="n">
        <f aca="false">-IF(AND(39&gt;=Hipótesis!$D$49,Hipótesis!$B$49=1),IF(Hipótesis!$G$49=1,Hipótesis!$F$44,Hipótesis!$C$49*(1+Hipótesis!$D$45)^3)*(1+Hipótesis!$D$42),0)</f>
        <v>-5940</v>
      </c>
      <c r="AP45" s="138" t="n">
        <f aca="false">-IF(AND(40&gt;=Hipótesis!$D$49,Hipótesis!$B$49=1),IF(Hipótesis!$G$49=1,Hipótesis!$F$44,Hipótesis!$C$49*(1+Hipótesis!$D$45)^3)*(1+Hipótesis!$D$42),0)</f>
        <v>-5940</v>
      </c>
      <c r="AQ45" s="138" t="n">
        <f aca="false">-IF(AND(41&gt;=Hipótesis!$D$49,Hipótesis!$B$49=1),IF(Hipótesis!$G$49=1,Hipótesis!$F$44,Hipótesis!$C$49*(1+Hipótesis!$D$45)^3)*(1+Hipótesis!$D$42),0)</f>
        <v>-5940</v>
      </c>
      <c r="AR45" s="138" t="n">
        <f aca="false">-IF(AND(42&gt;=Hipótesis!$D$49,Hipótesis!$B$49=1),IF(Hipótesis!$G$49=1,Hipótesis!$F$44,Hipótesis!$C$49*(1+Hipótesis!$D$45)^3)*(1+Hipótesis!$D$42),0)</f>
        <v>-5940</v>
      </c>
      <c r="AS45" s="138" t="n">
        <f aca="false">-IF(AND(43&gt;=Hipótesis!$D$49,Hipótesis!$B$49=1),IF(Hipótesis!$G$49=1,Hipótesis!$F$44,Hipótesis!$C$49*(1+Hipótesis!$D$45)^3)*(1+Hipótesis!$D$42),0)</f>
        <v>-5940</v>
      </c>
      <c r="AT45" s="138" t="n">
        <f aca="false">-IF(AND(44&gt;=Hipótesis!$D$49,Hipótesis!$B$49=1),IF(Hipótesis!$G$49=1,Hipótesis!$F$44,Hipótesis!$C$49*(1+Hipótesis!$D$45)^3)*(1+Hipótesis!$D$42),0)</f>
        <v>-5940</v>
      </c>
      <c r="AU45" s="138" t="n">
        <f aca="false">-IF(AND(45&gt;=Hipótesis!$D$49,Hipótesis!$B$49=1),IF(Hipótesis!$G$49=1,Hipótesis!$F$44,Hipótesis!$C$49*(1+Hipótesis!$D$45)^3)*(1+Hipótesis!$D$42),0)</f>
        <v>-5940</v>
      </c>
      <c r="AV45" s="138" t="n">
        <f aca="false">-IF(AND(46&gt;=Hipótesis!$D$49,Hipótesis!$B$49=1),IF(Hipótesis!$G$49=1,Hipótesis!$F$44,Hipótesis!$C$49*(1+Hipótesis!$D$45)^3)*(1+Hipótesis!$D$42),0)</f>
        <v>-5940</v>
      </c>
      <c r="AW45" s="138" t="n">
        <f aca="false">-IF(AND(47&gt;=Hipótesis!$D$49,Hipótesis!$B$49=1),IF(Hipótesis!$G$49=1,Hipótesis!$F$44,Hipótesis!$C$49*(1+Hipótesis!$D$45)^3)*(1+Hipótesis!$D$42),0)</f>
        <v>-5940</v>
      </c>
      <c r="AX45" s="138" t="n">
        <f aca="false">-IF(AND(48&gt;=Hipótesis!$D$49,Hipótesis!$B$49=1),IF(Hipótesis!$G$49=1,Hipótesis!$F$44,Hipótesis!$C$49*(1+Hipótesis!$D$45)^3)*(1+Hipótesis!$D$42),0)</f>
        <v>-5940</v>
      </c>
      <c r="AY45" s="138" t="n">
        <f aca="false">-IF(AND(49&gt;=Hipótesis!$D$49,Hipótesis!$B$49=1),IF(Hipótesis!$G$49=1,Hipótesis!$G$44,Hipótesis!$C$49*(1+Hipótesis!$D$45)^4)*(1+Hipótesis!$D$42),0)</f>
        <v>-6600</v>
      </c>
      <c r="AZ45" s="138" t="n">
        <f aca="false">-IF(AND(50&gt;=Hipótesis!$D$49,Hipótesis!$B$49=1),IF(Hipótesis!$G$49=1,Hipótesis!$G$44,Hipótesis!$C$49*(1+Hipótesis!$D$45)^4)*(1+Hipótesis!$D$42),0)</f>
        <v>-6600</v>
      </c>
      <c r="BA45" s="138" t="n">
        <f aca="false">-IF(AND(51&gt;=Hipótesis!$D$49,Hipótesis!$B$49=1),IF(Hipótesis!$G$49=1,Hipótesis!$G$44,Hipótesis!$C$49*(1+Hipótesis!$D$45)^4)*(1+Hipótesis!$D$42),0)</f>
        <v>-6600</v>
      </c>
      <c r="BB45" s="138" t="n">
        <f aca="false">-IF(AND(52&gt;=Hipótesis!$D$49,Hipótesis!$B$49=1),IF(Hipótesis!$G$49=1,Hipótesis!$G$44,Hipótesis!$C$49*(1+Hipótesis!$D$45)^4)*(1+Hipótesis!$D$42),0)</f>
        <v>-6600</v>
      </c>
      <c r="BC45" s="138" t="n">
        <f aca="false">-IF(AND(53&gt;=Hipótesis!$D$49,Hipótesis!$B$49=1),IF(Hipótesis!$G$49=1,Hipótesis!$G$44,Hipótesis!$C$49*(1+Hipótesis!$D$45)^4)*(1+Hipótesis!$D$42),0)</f>
        <v>-6600</v>
      </c>
      <c r="BD45" s="138" t="n">
        <f aca="false">-IF(AND(54&gt;=Hipótesis!$D$49,Hipótesis!$B$49=1),IF(Hipótesis!$G$49=1,Hipótesis!$G$44,Hipótesis!$C$49*(1+Hipótesis!$D$45)^4)*(1+Hipótesis!$D$42),0)</f>
        <v>-6600</v>
      </c>
      <c r="BE45" s="138" t="n">
        <f aca="false">-IF(AND(55&gt;=Hipótesis!$D$49,Hipótesis!$B$49=1),IF(Hipótesis!$G$49=1,Hipótesis!$G$44,Hipótesis!$C$49*(1+Hipótesis!$D$45)^4)*(1+Hipótesis!$D$42),0)</f>
        <v>-6600</v>
      </c>
      <c r="BF45" s="138" t="n">
        <f aca="false">-IF(AND(56&gt;=Hipótesis!$D$49,Hipótesis!$B$49=1),IF(Hipótesis!$G$49=1,Hipótesis!$G$44,Hipótesis!$C$49*(1+Hipótesis!$D$45)^4)*(1+Hipótesis!$D$42),0)</f>
        <v>-6600</v>
      </c>
      <c r="BG45" s="138" t="n">
        <f aca="false">-IF(AND(57&gt;=Hipótesis!$D$49,Hipótesis!$B$49=1),IF(Hipótesis!$G$49=1,Hipótesis!$G$44,Hipótesis!$C$49*(1+Hipótesis!$D$45)^4)*(1+Hipótesis!$D$42),0)</f>
        <v>-6600</v>
      </c>
      <c r="BH45" s="138" t="n">
        <f aca="false">-IF(AND(58&gt;=Hipótesis!$D$49,Hipótesis!$B$49=1),IF(Hipótesis!$G$49=1,Hipótesis!$G$44,Hipótesis!$C$49*(1+Hipótesis!$D$45)^4)*(1+Hipótesis!$D$42),0)</f>
        <v>-6600</v>
      </c>
      <c r="BI45" s="138" t="n">
        <f aca="false">-IF(AND(59&gt;=Hipótesis!$D$49,Hipótesis!$B$49=1),IF(Hipótesis!$G$49=1,Hipótesis!$G$44,Hipótesis!$C$49*(1+Hipótesis!$D$45)^4)*(1+Hipótesis!$D$42),0)</f>
        <v>-6600</v>
      </c>
      <c r="BJ45" s="138" t="n">
        <f aca="false">-IF(AND(60&gt;=Hipótesis!$D$49,Hipótesis!$B$49=1),IF(Hipótesis!$G$49=1,Hipótesis!$G$44,Hipótesis!$C$49*(1+Hipótesis!$D$45)^4)*(1+Hipótesis!$D$42),0)</f>
        <v>-6600</v>
      </c>
      <c r="BK45" s="138" t="n">
        <f aca="false">-IF(AND(61&gt;=Hipótesis!$D$49,Hipótesis!$B$49=1),IF(Hipótesis!$G$49=1,Hipótesis!$H$44,Hipótesis!$C$49*(1+Hipótesis!$D$45)^5)*(1+Hipótesis!$D$42),0)</f>
        <v>-7260</v>
      </c>
      <c r="BL45" s="138" t="n">
        <f aca="false">-IF(AND(62&gt;=Hipótesis!$D$49,Hipótesis!$B$49=1),IF(Hipótesis!$G$49=1,Hipótesis!$H$44,Hipótesis!$C$49*(1+Hipótesis!$D$45)^5)*(1+Hipótesis!$D$42),0)</f>
        <v>-7260</v>
      </c>
      <c r="BM45" s="138" t="n">
        <f aca="false">-IF(AND(63&gt;=Hipótesis!$D$49,Hipótesis!$B$49=1),IF(Hipótesis!$G$49=1,Hipótesis!$H$44,Hipótesis!$C$49*(1+Hipótesis!$D$45)^5)*(1+Hipótesis!$D$42),0)</f>
        <v>-7260</v>
      </c>
      <c r="BN45" s="138" t="n">
        <f aca="false">-IF(AND(64&gt;=Hipótesis!$D$49,Hipótesis!$B$49=1),IF(Hipótesis!$G$49=1,Hipótesis!$H$44,Hipótesis!$C$49*(1+Hipótesis!$D$45)^5)*(1+Hipótesis!$D$42),0)</f>
        <v>-7260</v>
      </c>
      <c r="BO45" s="138" t="n">
        <f aca="false">-IF(AND(65&gt;=Hipótesis!$D$49,Hipótesis!$B$49=1),IF(Hipótesis!$G$49=1,Hipótesis!$H$44,Hipótesis!$C$49*(1+Hipótesis!$D$45)^5)*(1+Hipótesis!$D$42),0)</f>
        <v>-7260</v>
      </c>
      <c r="BP45" s="138" t="n">
        <f aca="false">-IF(AND(66&gt;=Hipótesis!$D$49,Hipótesis!$B$49=1),IF(Hipótesis!$G$49=1,Hipótesis!$H$44,Hipótesis!$C$49*(1+Hipótesis!$D$45)^5)*(1+Hipótesis!$D$42),0)</f>
        <v>-7260</v>
      </c>
      <c r="BQ45" s="138" t="n">
        <f aca="false">-IF(AND(67&gt;=Hipótesis!$D$49,Hipótesis!$B$49=1),IF(Hipótesis!$G$49=1,Hipótesis!$H$44,Hipótesis!$C$49*(1+Hipótesis!$D$45)^5)*(1+Hipótesis!$D$42),0)</f>
        <v>-7260</v>
      </c>
      <c r="BR45" s="138" t="n">
        <f aca="false">-IF(AND(68&gt;=Hipótesis!$D$49,Hipótesis!$B$49=1),IF(Hipótesis!$G$49=1,Hipótesis!$H$44,Hipótesis!$C$49*(1+Hipótesis!$D$45)^5)*(1+Hipótesis!$D$42),0)</f>
        <v>-7260</v>
      </c>
      <c r="BS45" s="138" t="n">
        <f aca="false">-IF(AND(69&gt;=Hipótesis!$D$49,Hipótesis!$B$49=1),IF(Hipótesis!$G$49=1,Hipótesis!$H$44,Hipótesis!$C$49*(1+Hipótesis!$D$45)^5)*(1+Hipótesis!$D$42),0)</f>
        <v>-7260</v>
      </c>
      <c r="BT45" s="138" t="n">
        <f aca="false">-IF(AND(70&gt;=Hipótesis!$D$49,Hipótesis!$B$49=1),IF(Hipótesis!$G$49=1,Hipótesis!$H$44,Hipótesis!$C$49*(1+Hipótesis!$D$45)^5)*(1+Hipótesis!$D$42),0)</f>
        <v>-7260</v>
      </c>
      <c r="BU45" s="138" t="n">
        <f aca="false">-IF(AND(71&gt;=Hipótesis!$D$49,Hipótesis!$B$49=1),IF(Hipótesis!$G$49=1,Hipótesis!$H$44,Hipótesis!$C$49*(1+Hipótesis!$D$45)^5)*(1+Hipótesis!$D$42),0)</f>
        <v>-7260</v>
      </c>
      <c r="BV45" s="138" t="n">
        <f aca="false">-IF(AND(72&gt;=Hipótesis!$D$49,Hipótesis!$B$49=1),IF(Hipótesis!$G$49=1,Hipótesis!$H$44,Hipótesis!$C$49*(1+Hipótesis!$D$45)^5)*(1+Hipótesis!$D$42),0)</f>
        <v>-7260</v>
      </c>
      <c r="BW45" s="138" t="n">
        <f aca="false">-IF(AND(73&gt;=Hipótesis!$D$49,Hipótesis!$B$49=1),IF(Hipótesis!$G$49=1,Hipótesis!$I$44,Hipótesis!$C$49*(1+Hipótesis!$D$45)^6)*(1+Hipótesis!$D$42),0)</f>
        <v>-7920</v>
      </c>
      <c r="BX45" s="138" t="n">
        <f aca="false">-IF(AND(74&gt;=Hipótesis!$D$49,Hipótesis!$B$49=1),IF(Hipótesis!$G$49=1,Hipótesis!$I$44,Hipótesis!$C$49*(1+Hipótesis!$D$45)^6)*(1+Hipótesis!$D$42),0)</f>
        <v>-7920</v>
      </c>
      <c r="BY45" s="138" t="n">
        <f aca="false">-IF(AND(75&gt;=Hipótesis!$D$49,Hipótesis!$B$49=1),IF(Hipótesis!$G$49=1,Hipótesis!$I$44,Hipótesis!$C$49*(1+Hipótesis!$D$45)^6)*(1+Hipótesis!$D$42),0)</f>
        <v>-7920</v>
      </c>
      <c r="BZ45" s="138" t="n">
        <f aca="false">-IF(AND(76&gt;=Hipótesis!$D$49,Hipótesis!$B$49=1),IF(Hipótesis!$G$49=1,Hipótesis!$I$44,Hipótesis!$C$49*(1+Hipótesis!$D$45)^6)*(1+Hipótesis!$D$42),0)</f>
        <v>-7920</v>
      </c>
      <c r="CA45" s="138" t="n">
        <f aca="false">-IF(AND(77&gt;=Hipótesis!$D$49,Hipótesis!$B$49=1),IF(Hipótesis!$G$49=1,Hipótesis!$I$44,Hipótesis!$C$49*(1+Hipótesis!$D$45)^6)*(1+Hipótesis!$D$42),0)</f>
        <v>-7920</v>
      </c>
      <c r="CB45" s="138" t="n">
        <f aca="false">-IF(AND(78&gt;=Hipótesis!$D$49,Hipótesis!$B$49=1),IF(Hipótesis!$G$49=1,Hipótesis!$I$44,Hipótesis!$C$49*(1+Hipótesis!$D$45)^6)*(1+Hipótesis!$D$42),0)</f>
        <v>-7920</v>
      </c>
      <c r="CC45" s="138" t="n">
        <f aca="false">-IF(AND(79&gt;=Hipótesis!$D$49,Hipótesis!$B$49=1),IF(Hipótesis!$G$49=1,Hipótesis!$I$44,Hipótesis!$C$49*(1+Hipótesis!$D$45)^6)*(1+Hipótesis!$D$42),0)</f>
        <v>-7920</v>
      </c>
      <c r="CD45" s="138" t="n">
        <f aca="false">-IF(AND(80&gt;=Hipótesis!$D$49,Hipótesis!$B$49=1),IF(Hipótesis!$G$49=1,Hipótesis!$I$44,Hipótesis!$C$49*(1+Hipótesis!$D$45)^6)*(1+Hipótesis!$D$42),0)</f>
        <v>-7920</v>
      </c>
      <c r="CE45" s="138" t="n">
        <f aca="false">-IF(AND(81&gt;=Hipótesis!$D$49,Hipótesis!$B$49=1),IF(Hipótesis!$G$49=1,Hipótesis!$I$44,Hipótesis!$C$49*(1+Hipótesis!$D$45)^6)*(1+Hipótesis!$D$42),0)</f>
        <v>-7920</v>
      </c>
      <c r="CF45" s="138" t="n">
        <f aca="false">-IF(AND(82&gt;=Hipótesis!$D$49,Hipótesis!$B$49=1),IF(Hipótesis!$G$49=1,Hipótesis!$I$44,Hipótesis!$C$49*(1+Hipótesis!$D$45)^6)*(1+Hipótesis!$D$42),0)</f>
        <v>-7920</v>
      </c>
      <c r="CG45" s="138" t="n">
        <f aca="false">-IF(AND(83&gt;=Hipótesis!$D$49,Hipótesis!$B$49=1),IF(Hipótesis!$G$49=1,Hipótesis!$I$44,Hipótesis!$C$49*(1+Hipótesis!$D$45)^6)*(1+Hipótesis!$D$42),0)</f>
        <v>-7920</v>
      </c>
      <c r="CH45" s="138" t="n">
        <f aca="false">-IF(AND(84&gt;=Hipótesis!$D$49,Hipótesis!$B$49=1),IF(Hipótesis!$G$49=1,Hipótesis!$I$44,Hipótesis!$C$49*(1+Hipótesis!$D$45)^6)*(1+Hipótesis!$D$42),0)</f>
        <v>-7920</v>
      </c>
    </row>
    <row r="46" customFormat="false" ht="13.5" hidden="false" customHeight="true" outlineLevel="0" collapsed="false">
      <c r="A46" s="13" t="s">
        <v>727</v>
      </c>
      <c r="C46" s="138" t="n">
        <f aca="false">-IF(AND(1&gt;=Hipótesis!$D$50,Hipótesis!$B$50=1),IF(Hipótesis!$G$50=1,Hipótesis!$C$44,Hipótesis!$C$50*(1+Hipótesis!$D$45)^0)*(1+Hipótesis!$D$42),0)</f>
        <v>-2904</v>
      </c>
      <c r="D46" s="138" t="n">
        <f aca="false">-IF(AND(2&gt;=Hipótesis!$D$50,Hipótesis!$B$50=1),IF(Hipótesis!$G$50=1,Hipótesis!$C$44,Hipótesis!$C$50*(1+Hipótesis!$D$45)^0)*(1+Hipótesis!$D$42),0)</f>
        <v>-2904</v>
      </c>
      <c r="E46" s="138" t="n">
        <f aca="false">-IF(AND(3&gt;=Hipótesis!$D$50,Hipótesis!$B$50=1),IF(Hipótesis!$G$50=1,Hipótesis!$C$44,Hipótesis!$C$50*(1+Hipótesis!$D$45)^0)*(1+Hipótesis!$D$42),0)</f>
        <v>-2904</v>
      </c>
      <c r="F46" s="138" t="n">
        <f aca="false">-IF(AND(4&gt;=Hipótesis!$D$50,Hipótesis!$B$50=1),IF(Hipótesis!$G$50=1,Hipótesis!$C$44,Hipótesis!$C$50*(1+Hipótesis!$D$45)^0)*(1+Hipótesis!$D$42),0)</f>
        <v>-2904</v>
      </c>
      <c r="G46" s="138" t="n">
        <f aca="false">-IF(AND(5&gt;=Hipótesis!$D$50,Hipótesis!$B$50=1),IF(Hipótesis!$G$50=1,Hipótesis!$C$44,Hipótesis!$C$50*(1+Hipótesis!$D$45)^0)*(1+Hipótesis!$D$42),0)</f>
        <v>-2904</v>
      </c>
      <c r="H46" s="138" t="n">
        <f aca="false">-IF(AND(6&gt;=Hipótesis!$D$50,Hipótesis!$B$50=1),IF(Hipótesis!$G$50=1,Hipótesis!$C$44,Hipótesis!$C$50*(1+Hipótesis!$D$45)^0)*(1+Hipótesis!$D$42),0)</f>
        <v>-2904</v>
      </c>
      <c r="I46" s="138" t="n">
        <f aca="false">-IF(AND(7&gt;=Hipótesis!$D$50,Hipótesis!$B$50=1),IF(Hipótesis!$G$50=1,Hipótesis!$C$44,Hipótesis!$C$50*(1+Hipótesis!$D$45)^0)*(1+Hipótesis!$D$42),0)</f>
        <v>-2904</v>
      </c>
      <c r="J46" s="138" t="n">
        <f aca="false">-IF(AND(8&gt;=Hipótesis!$D$50,Hipótesis!$B$50=1),IF(Hipótesis!$G$50=1,Hipótesis!$C$44,Hipótesis!$C$50*(1+Hipótesis!$D$45)^0)*(1+Hipótesis!$D$42),0)</f>
        <v>-2904</v>
      </c>
      <c r="K46" s="138" t="n">
        <f aca="false">-IF(AND(9&gt;=Hipótesis!$D$50,Hipótesis!$B$50=1),IF(Hipótesis!$G$50=1,Hipótesis!$C$44,Hipótesis!$C$50*(1+Hipótesis!$D$45)^0)*(1+Hipótesis!$D$42),0)</f>
        <v>-2904</v>
      </c>
      <c r="L46" s="138" t="n">
        <f aca="false">-IF(AND(10&gt;=Hipótesis!$D$50,Hipótesis!$B$50=1),IF(Hipótesis!$G$50=1,Hipótesis!$C$44,Hipótesis!$C$50*(1+Hipótesis!$D$45)^0)*(1+Hipótesis!$D$42),0)</f>
        <v>-2904</v>
      </c>
      <c r="M46" s="138" t="n">
        <f aca="false">-IF(AND(11&gt;=Hipótesis!$D$50,Hipótesis!$B$50=1),IF(Hipótesis!$G$50=1,Hipótesis!$C$44,Hipótesis!$C$50*(1+Hipótesis!$D$45)^0)*(1+Hipótesis!$D$42),0)</f>
        <v>-2904</v>
      </c>
      <c r="N46" s="138" t="n">
        <f aca="false">-IF(AND(12&gt;=Hipótesis!$D$50,Hipótesis!$B$50=1),IF(Hipótesis!$G$50=1,Hipótesis!$C$44,Hipótesis!$C$50*(1+Hipótesis!$D$45)^0)*(1+Hipótesis!$D$42),0)</f>
        <v>-2904</v>
      </c>
      <c r="O46" s="138" t="n">
        <f aca="false">-IF(AND(13&gt;=Hipótesis!$D$50,Hipótesis!$B$50=1),IF(Hipótesis!$G$50=1,Hipótesis!$D$44,Hipótesis!$C$50*(1+Hipótesis!$D$45)^1)*(1+Hipótesis!$D$42),0)</f>
        <v>-4620</v>
      </c>
      <c r="P46" s="138" t="n">
        <f aca="false">-IF(AND(14&gt;=Hipótesis!$D$50,Hipótesis!$B$50=1),IF(Hipótesis!$G$50=1,Hipótesis!$D$44,Hipótesis!$C$50*(1+Hipótesis!$D$45)^1)*(1+Hipótesis!$D$42),0)</f>
        <v>-4620</v>
      </c>
      <c r="Q46" s="138" t="n">
        <f aca="false">-IF(AND(15&gt;=Hipótesis!$D$50,Hipótesis!$B$50=1),IF(Hipótesis!$G$50=1,Hipótesis!$D$44,Hipótesis!$C$50*(1+Hipótesis!$D$45)^1)*(1+Hipótesis!$D$42),0)</f>
        <v>-4620</v>
      </c>
      <c r="R46" s="138" t="n">
        <f aca="false">-IF(AND(16&gt;=Hipótesis!$D$50,Hipótesis!$B$50=1),IF(Hipótesis!$G$50=1,Hipótesis!$D$44,Hipótesis!$C$50*(1+Hipótesis!$D$45)^1)*(1+Hipótesis!$D$42),0)</f>
        <v>-4620</v>
      </c>
      <c r="S46" s="138" t="n">
        <f aca="false">-IF(AND(17&gt;=Hipótesis!$D$50,Hipótesis!$B$50=1),IF(Hipótesis!$G$50=1,Hipótesis!$D$44,Hipótesis!$C$50*(1+Hipótesis!$D$45)^1)*(1+Hipótesis!$D$42),0)</f>
        <v>-4620</v>
      </c>
      <c r="T46" s="138" t="n">
        <f aca="false">-IF(AND(18&gt;=Hipótesis!$D$50,Hipótesis!$B$50=1),IF(Hipótesis!$G$50=1,Hipótesis!$D$44,Hipótesis!$C$50*(1+Hipótesis!$D$45)^1)*(1+Hipótesis!$D$42),0)</f>
        <v>-4620</v>
      </c>
      <c r="U46" s="138" t="n">
        <f aca="false">-IF(AND(19&gt;=Hipótesis!$D$50,Hipótesis!$B$50=1),IF(Hipótesis!$G$50=1,Hipótesis!$D$44,Hipótesis!$C$50*(1+Hipótesis!$D$45)^1)*(1+Hipótesis!$D$42),0)</f>
        <v>-4620</v>
      </c>
      <c r="V46" s="138" t="n">
        <f aca="false">-IF(AND(20&gt;=Hipótesis!$D$50,Hipótesis!$B$50=1),IF(Hipótesis!$G$50=1,Hipótesis!$D$44,Hipótesis!$C$50*(1+Hipótesis!$D$45)^1)*(1+Hipótesis!$D$42),0)</f>
        <v>-4620</v>
      </c>
      <c r="W46" s="138" t="n">
        <f aca="false">-IF(AND(21&gt;=Hipótesis!$D$50,Hipótesis!$B$50=1),IF(Hipótesis!$G$50=1,Hipótesis!$D$44,Hipótesis!$C$50*(1+Hipótesis!$D$45)^1)*(1+Hipótesis!$D$42),0)</f>
        <v>-4620</v>
      </c>
      <c r="X46" s="138" t="n">
        <f aca="false">-IF(AND(22&gt;=Hipótesis!$D$50,Hipótesis!$B$50=1),IF(Hipótesis!$G$50=1,Hipótesis!$D$44,Hipótesis!$C$50*(1+Hipótesis!$D$45)^1)*(1+Hipótesis!$D$42),0)</f>
        <v>-4620</v>
      </c>
      <c r="Y46" s="138" t="n">
        <f aca="false">-IF(AND(23&gt;=Hipótesis!$D$50,Hipótesis!$B$50=1),IF(Hipótesis!$G$50=1,Hipótesis!$D$44,Hipótesis!$C$50*(1+Hipótesis!$D$45)^1)*(1+Hipótesis!$D$42),0)</f>
        <v>-4620</v>
      </c>
      <c r="Z46" s="138" t="n">
        <f aca="false">-IF(AND(24&gt;=Hipótesis!$D$50,Hipótesis!$B$50=1),IF(Hipótesis!$G$50=1,Hipótesis!$D$44,Hipótesis!$C$50*(1+Hipótesis!$D$45)^1)*(1+Hipótesis!$D$42),0)</f>
        <v>-4620</v>
      </c>
      <c r="AA46" s="138" t="n">
        <f aca="false">-IF(AND(25&gt;=Hipótesis!$D$50,Hipótesis!$B$50=1),IF(Hipótesis!$G$50=1,Hipótesis!$E$44,Hipótesis!$C$50*(1+Hipótesis!$D$45)^2)*(1+Hipótesis!$D$42),0)</f>
        <v>-5280</v>
      </c>
      <c r="AB46" s="138" t="n">
        <f aca="false">-IF(AND(26&gt;=Hipótesis!$D$50,Hipótesis!$B$50=1),IF(Hipótesis!$G$50=1,Hipótesis!$E$44,Hipótesis!$C$50*(1+Hipótesis!$D$45)^2)*(1+Hipótesis!$D$42),0)</f>
        <v>-5280</v>
      </c>
      <c r="AC46" s="138" t="n">
        <f aca="false">-IF(AND(27&gt;=Hipótesis!$D$50,Hipótesis!$B$50=1),IF(Hipótesis!$G$50=1,Hipótesis!$E$44,Hipótesis!$C$50*(1+Hipótesis!$D$45)^2)*(1+Hipótesis!$D$42),0)</f>
        <v>-5280</v>
      </c>
      <c r="AD46" s="138" t="n">
        <f aca="false">-IF(AND(28&gt;=Hipótesis!$D$50,Hipótesis!$B$50=1),IF(Hipótesis!$G$50=1,Hipótesis!$E$44,Hipótesis!$C$50*(1+Hipótesis!$D$45)^2)*(1+Hipótesis!$D$42),0)</f>
        <v>-5280</v>
      </c>
      <c r="AE46" s="138" t="n">
        <f aca="false">-IF(AND(29&gt;=Hipótesis!$D$50,Hipótesis!$B$50=1),IF(Hipótesis!$G$50=1,Hipótesis!$E$44,Hipótesis!$C$50*(1+Hipótesis!$D$45)^2)*(1+Hipótesis!$D$42),0)</f>
        <v>-5280</v>
      </c>
      <c r="AF46" s="138" t="n">
        <f aca="false">-IF(AND(30&gt;=Hipótesis!$D$50,Hipótesis!$B$50=1),IF(Hipótesis!$G$50=1,Hipótesis!$E$44,Hipótesis!$C$50*(1+Hipótesis!$D$45)^2)*(1+Hipótesis!$D$42),0)</f>
        <v>-5280</v>
      </c>
      <c r="AG46" s="138" t="n">
        <f aca="false">-IF(AND(31&gt;=Hipótesis!$D$50,Hipótesis!$B$50=1),IF(Hipótesis!$G$50=1,Hipótesis!$E$44,Hipótesis!$C$50*(1+Hipótesis!$D$45)^2)*(1+Hipótesis!$D$42),0)</f>
        <v>-5280</v>
      </c>
      <c r="AH46" s="138" t="n">
        <f aca="false">-IF(AND(32&gt;=Hipótesis!$D$50,Hipótesis!$B$50=1),IF(Hipótesis!$G$50=1,Hipótesis!$E$44,Hipótesis!$C$50*(1+Hipótesis!$D$45)^2)*(1+Hipótesis!$D$42),0)</f>
        <v>-5280</v>
      </c>
      <c r="AI46" s="138" t="n">
        <f aca="false">-IF(AND(33&gt;=Hipótesis!$D$50,Hipótesis!$B$50=1),IF(Hipótesis!$G$50=1,Hipótesis!$E$44,Hipótesis!$C$50*(1+Hipótesis!$D$45)^2)*(1+Hipótesis!$D$42),0)</f>
        <v>-5280</v>
      </c>
      <c r="AJ46" s="138" t="n">
        <f aca="false">-IF(AND(34&gt;=Hipótesis!$D$50,Hipótesis!$B$50=1),IF(Hipótesis!$G$50=1,Hipótesis!$E$44,Hipótesis!$C$50*(1+Hipótesis!$D$45)^2)*(1+Hipótesis!$D$42),0)</f>
        <v>-5280</v>
      </c>
      <c r="AK46" s="138" t="n">
        <f aca="false">-IF(AND(35&gt;=Hipótesis!$D$50,Hipótesis!$B$50=1),IF(Hipótesis!$G$50=1,Hipótesis!$E$44,Hipótesis!$C$50*(1+Hipótesis!$D$45)^2)*(1+Hipótesis!$D$42),0)</f>
        <v>-5280</v>
      </c>
      <c r="AL46" s="138" t="n">
        <f aca="false">-IF(AND(36&gt;=Hipótesis!$D$50,Hipótesis!$B$50=1),IF(Hipótesis!$G$50=1,Hipótesis!$E$44,Hipótesis!$C$50*(1+Hipótesis!$D$45)^2)*(1+Hipótesis!$D$42),0)</f>
        <v>-5280</v>
      </c>
      <c r="AM46" s="138" t="n">
        <f aca="false">-IF(AND(37&gt;=Hipótesis!$D$50,Hipótesis!$B$50=1),IF(Hipótesis!$G$50=1,Hipótesis!$F$44,Hipótesis!$C$50*(1+Hipótesis!$D$45)^3)*(1+Hipótesis!$D$42),0)</f>
        <v>-5940</v>
      </c>
      <c r="AN46" s="138" t="n">
        <f aca="false">-IF(AND(38&gt;=Hipótesis!$D$50,Hipótesis!$B$50=1),IF(Hipótesis!$G$50=1,Hipótesis!$F$44,Hipótesis!$C$50*(1+Hipótesis!$D$45)^3)*(1+Hipótesis!$D$42),0)</f>
        <v>-5940</v>
      </c>
      <c r="AO46" s="138" t="n">
        <f aca="false">-IF(AND(39&gt;=Hipótesis!$D$50,Hipótesis!$B$50=1),IF(Hipótesis!$G$50=1,Hipótesis!$F$44,Hipótesis!$C$50*(1+Hipótesis!$D$45)^3)*(1+Hipótesis!$D$42),0)</f>
        <v>-5940</v>
      </c>
      <c r="AP46" s="138" t="n">
        <f aca="false">-IF(AND(40&gt;=Hipótesis!$D$50,Hipótesis!$B$50=1),IF(Hipótesis!$G$50=1,Hipótesis!$F$44,Hipótesis!$C$50*(1+Hipótesis!$D$45)^3)*(1+Hipótesis!$D$42),0)</f>
        <v>-5940</v>
      </c>
      <c r="AQ46" s="138" t="n">
        <f aca="false">-IF(AND(41&gt;=Hipótesis!$D$50,Hipótesis!$B$50=1),IF(Hipótesis!$G$50=1,Hipótesis!$F$44,Hipótesis!$C$50*(1+Hipótesis!$D$45)^3)*(1+Hipótesis!$D$42),0)</f>
        <v>-5940</v>
      </c>
      <c r="AR46" s="138" t="n">
        <f aca="false">-IF(AND(42&gt;=Hipótesis!$D$50,Hipótesis!$B$50=1),IF(Hipótesis!$G$50=1,Hipótesis!$F$44,Hipótesis!$C$50*(1+Hipótesis!$D$45)^3)*(1+Hipótesis!$D$42),0)</f>
        <v>-5940</v>
      </c>
      <c r="AS46" s="138" t="n">
        <f aca="false">-IF(AND(43&gt;=Hipótesis!$D$50,Hipótesis!$B$50=1),IF(Hipótesis!$G$50=1,Hipótesis!$F$44,Hipótesis!$C$50*(1+Hipótesis!$D$45)^3)*(1+Hipótesis!$D$42),0)</f>
        <v>-5940</v>
      </c>
      <c r="AT46" s="138" t="n">
        <f aca="false">-IF(AND(44&gt;=Hipótesis!$D$50,Hipótesis!$B$50=1),IF(Hipótesis!$G$50=1,Hipótesis!$F$44,Hipótesis!$C$50*(1+Hipótesis!$D$45)^3)*(1+Hipótesis!$D$42),0)</f>
        <v>-5940</v>
      </c>
      <c r="AU46" s="138" t="n">
        <f aca="false">-IF(AND(45&gt;=Hipótesis!$D$50,Hipótesis!$B$50=1),IF(Hipótesis!$G$50=1,Hipótesis!$F$44,Hipótesis!$C$50*(1+Hipótesis!$D$45)^3)*(1+Hipótesis!$D$42),0)</f>
        <v>-5940</v>
      </c>
      <c r="AV46" s="138" t="n">
        <f aca="false">-IF(AND(46&gt;=Hipótesis!$D$50,Hipótesis!$B$50=1),IF(Hipótesis!$G$50=1,Hipótesis!$F$44,Hipótesis!$C$50*(1+Hipótesis!$D$45)^3)*(1+Hipótesis!$D$42),0)</f>
        <v>-5940</v>
      </c>
      <c r="AW46" s="138" t="n">
        <f aca="false">-IF(AND(47&gt;=Hipótesis!$D$50,Hipótesis!$B$50=1),IF(Hipótesis!$G$50=1,Hipótesis!$F$44,Hipótesis!$C$50*(1+Hipótesis!$D$45)^3)*(1+Hipótesis!$D$42),0)</f>
        <v>-5940</v>
      </c>
      <c r="AX46" s="138" t="n">
        <f aca="false">-IF(AND(48&gt;=Hipótesis!$D$50,Hipótesis!$B$50=1),IF(Hipótesis!$G$50=1,Hipótesis!$F$44,Hipótesis!$C$50*(1+Hipótesis!$D$45)^3)*(1+Hipótesis!$D$42),0)</f>
        <v>-5940</v>
      </c>
      <c r="AY46" s="138" t="n">
        <f aca="false">-IF(AND(49&gt;=Hipótesis!$D$50,Hipótesis!$B$50=1),IF(Hipótesis!$G$50=1,Hipótesis!$G$44,Hipótesis!$C$50*(1+Hipótesis!$D$45)^4)*(1+Hipótesis!$D$42),0)</f>
        <v>-6600</v>
      </c>
      <c r="AZ46" s="138" t="n">
        <f aca="false">-IF(AND(50&gt;=Hipótesis!$D$50,Hipótesis!$B$50=1),IF(Hipótesis!$G$50=1,Hipótesis!$G$44,Hipótesis!$C$50*(1+Hipótesis!$D$45)^4)*(1+Hipótesis!$D$42),0)</f>
        <v>-6600</v>
      </c>
      <c r="BA46" s="138" t="n">
        <f aca="false">-IF(AND(51&gt;=Hipótesis!$D$50,Hipótesis!$B$50=1),IF(Hipótesis!$G$50=1,Hipótesis!$G$44,Hipótesis!$C$50*(1+Hipótesis!$D$45)^4)*(1+Hipótesis!$D$42),0)</f>
        <v>-6600</v>
      </c>
      <c r="BB46" s="138" t="n">
        <f aca="false">-IF(AND(52&gt;=Hipótesis!$D$50,Hipótesis!$B$50=1),IF(Hipótesis!$G$50=1,Hipótesis!$G$44,Hipótesis!$C$50*(1+Hipótesis!$D$45)^4)*(1+Hipótesis!$D$42),0)</f>
        <v>-6600</v>
      </c>
      <c r="BC46" s="138" t="n">
        <f aca="false">-IF(AND(53&gt;=Hipótesis!$D$50,Hipótesis!$B$50=1),IF(Hipótesis!$G$50=1,Hipótesis!$G$44,Hipótesis!$C$50*(1+Hipótesis!$D$45)^4)*(1+Hipótesis!$D$42),0)</f>
        <v>-6600</v>
      </c>
      <c r="BD46" s="138" t="n">
        <f aca="false">-IF(AND(54&gt;=Hipótesis!$D$50,Hipótesis!$B$50=1),IF(Hipótesis!$G$50=1,Hipótesis!$G$44,Hipótesis!$C$50*(1+Hipótesis!$D$45)^4)*(1+Hipótesis!$D$42),0)</f>
        <v>-6600</v>
      </c>
      <c r="BE46" s="138" t="n">
        <f aca="false">-IF(AND(55&gt;=Hipótesis!$D$50,Hipótesis!$B$50=1),IF(Hipótesis!$G$50=1,Hipótesis!$G$44,Hipótesis!$C$50*(1+Hipótesis!$D$45)^4)*(1+Hipótesis!$D$42),0)</f>
        <v>-6600</v>
      </c>
      <c r="BF46" s="138" t="n">
        <f aca="false">-IF(AND(56&gt;=Hipótesis!$D$50,Hipótesis!$B$50=1),IF(Hipótesis!$G$50=1,Hipótesis!$G$44,Hipótesis!$C$50*(1+Hipótesis!$D$45)^4)*(1+Hipótesis!$D$42),0)</f>
        <v>-6600</v>
      </c>
      <c r="BG46" s="138" t="n">
        <f aca="false">-IF(AND(57&gt;=Hipótesis!$D$50,Hipótesis!$B$50=1),IF(Hipótesis!$G$50=1,Hipótesis!$G$44,Hipótesis!$C$50*(1+Hipótesis!$D$45)^4)*(1+Hipótesis!$D$42),0)</f>
        <v>-6600</v>
      </c>
      <c r="BH46" s="138" t="n">
        <f aca="false">-IF(AND(58&gt;=Hipótesis!$D$50,Hipótesis!$B$50=1),IF(Hipótesis!$G$50=1,Hipótesis!$G$44,Hipótesis!$C$50*(1+Hipótesis!$D$45)^4)*(1+Hipótesis!$D$42),0)</f>
        <v>-6600</v>
      </c>
      <c r="BI46" s="138" t="n">
        <f aca="false">-IF(AND(59&gt;=Hipótesis!$D$50,Hipótesis!$B$50=1),IF(Hipótesis!$G$50=1,Hipótesis!$G$44,Hipótesis!$C$50*(1+Hipótesis!$D$45)^4)*(1+Hipótesis!$D$42),0)</f>
        <v>-6600</v>
      </c>
      <c r="BJ46" s="138" t="n">
        <f aca="false">-IF(AND(60&gt;=Hipótesis!$D$50,Hipótesis!$B$50=1),IF(Hipótesis!$G$50=1,Hipótesis!$G$44,Hipótesis!$C$50*(1+Hipótesis!$D$45)^4)*(1+Hipótesis!$D$42),0)</f>
        <v>-6600</v>
      </c>
      <c r="BK46" s="138" t="n">
        <f aca="false">-IF(AND(61&gt;=Hipótesis!$D$50,Hipótesis!$B$50=1),IF(Hipótesis!$G$50=1,Hipótesis!$H$44,Hipótesis!$C$50*(1+Hipótesis!$D$45)^5)*(1+Hipótesis!$D$42),0)</f>
        <v>-7260</v>
      </c>
      <c r="BL46" s="138" t="n">
        <f aca="false">-IF(AND(62&gt;=Hipótesis!$D$50,Hipótesis!$B$50=1),IF(Hipótesis!$G$50=1,Hipótesis!$H$44,Hipótesis!$C$50*(1+Hipótesis!$D$45)^5)*(1+Hipótesis!$D$42),0)</f>
        <v>-7260</v>
      </c>
      <c r="BM46" s="138" t="n">
        <f aca="false">-IF(AND(63&gt;=Hipótesis!$D$50,Hipótesis!$B$50=1),IF(Hipótesis!$G$50=1,Hipótesis!$H$44,Hipótesis!$C$50*(1+Hipótesis!$D$45)^5)*(1+Hipótesis!$D$42),0)</f>
        <v>-7260</v>
      </c>
      <c r="BN46" s="138" t="n">
        <f aca="false">-IF(AND(64&gt;=Hipótesis!$D$50,Hipótesis!$B$50=1),IF(Hipótesis!$G$50=1,Hipótesis!$H$44,Hipótesis!$C$50*(1+Hipótesis!$D$45)^5)*(1+Hipótesis!$D$42),0)</f>
        <v>-7260</v>
      </c>
      <c r="BO46" s="138" t="n">
        <f aca="false">-IF(AND(65&gt;=Hipótesis!$D$50,Hipótesis!$B$50=1),IF(Hipótesis!$G$50=1,Hipótesis!$H$44,Hipótesis!$C$50*(1+Hipótesis!$D$45)^5)*(1+Hipótesis!$D$42),0)</f>
        <v>-7260</v>
      </c>
      <c r="BP46" s="138" t="n">
        <f aca="false">-IF(AND(66&gt;=Hipótesis!$D$50,Hipótesis!$B$50=1),IF(Hipótesis!$G$50=1,Hipótesis!$H$44,Hipótesis!$C$50*(1+Hipótesis!$D$45)^5)*(1+Hipótesis!$D$42),0)</f>
        <v>-7260</v>
      </c>
      <c r="BQ46" s="138" t="n">
        <f aca="false">-IF(AND(67&gt;=Hipótesis!$D$50,Hipótesis!$B$50=1),IF(Hipótesis!$G$50=1,Hipótesis!$H$44,Hipótesis!$C$50*(1+Hipótesis!$D$45)^5)*(1+Hipótesis!$D$42),0)</f>
        <v>-7260</v>
      </c>
      <c r="BR46" s="138" t="n">
        <f aca="false">-IF(AND(68&gt;=Hipótesis!$D$50,Hipótesis!$B$50=1),IF(Hipótesis!$G$50=1,Hipótesis!$H$44,Hipótesis!$C$50*(1+Hipótesis!$D$45)^5)*(1+Hipótesis!$D$42),0)</f>
        <v>-7260</v>
      </c>
      <c r="BS46" s="138" t="n">
        <f aca="false">-IF(AND(69&gt;=Hipótesis!$D$50,Hipótesis!$B$50=1),IF(Hipótesis!$G$50=1,Hipótesis!$H$44,Hipótesis!$C$50*(1+Hipótesis!$D$45)^5)*(1+Hipótesis!$D$42),0)</f>
        <v>-7260</v>
      </c>
      <c r="BT46" s="138" t="n">
        <f aca="false">-IF(AND(70&gt;=Hipótesis!$D$50,Hipótesis!$B$50=1),IF(Hipótesis!$G$50=1,Hipótesis!$H$44,Hipótesis!$C$50*(1+Hipótesis!$D$45)^5)*(1+Hipótesis!$D$42),0)</f>
        <v>-7260</v>
      </c>
      <c r="BU46" s="138" t="n">
        <f aca="false">-IF(AND(71&gt;=Hipótesis!$D$50,Hipótesis!$B$50=1),IF(Hipótesis!$G$50=1,Hipótesis!$H$44,Hipótesis!$C$50*(1+Hipótesis!$D$45)^5)*(1+Hipótesis!$D$42),0)</f>
        <v>-7260</v>
      </c>
      <c r="BV46" s="138" t="n">
        <f aca="false">-IF(AND(72&gt;=Hipótesis!$D$50,Hipótesis!$B$50=1),IF(Hipótesis!$G$50=1,Hipótesis!$H$44,Hipótesis!$C$50*(1+Hipótesis!$D$45)^5)*(1+Hipótesis!$D$42),0)</f>
        <v>-7260</v>
      </c>
      <c r="BW46" s="138" t="n">
        <f aca="false">-IF(AND(73&gt;=Hipótesis!$D$50,Hipótesis!$B$50=1),IF(Hipótesis!$G$50=1,Hipótesis!$I$44,Hipótesis!$C$50*(1+Hipótesis!$D$45)^6)*(1+Hipótesis!$D$42),0)</f>
        <v>-7920</v>
      </c>
      <c r="BX46" s="138" t="n">
        <f aca="false">-IF(AND(74&gt;=Hipótesis!$D$50,Hipótesis!$B$50=1),IF(Hipótesis!$G$50=1,Hipótesis!$I$44,Hipótesis!$C$50*(1+Hipótesis!$D$45)^6)*(1+Hipótesis!$D$42),0)</f>
        <v>-7920</v>
      </c>
      <c r="BY46" s="138" t="n">
        <f aca="false">-IF(AND(75&gt;=Hipótesis!$D$50,Hipótesis!$B$50=1),IF(Hipótesis!$G$50=1,Hipótesis!$I$44,Hipótesis!$C$50*(1+Hipótesis!$D$45)^6)*(1+Hipótesis!$D$42),0)</f>
        <v>-7920</v>
      </c>
      <c r="BZ46" s="138" t="n">
        <f aca="false">-IF(AND(76&gt;=Hipótesis!$D$50,Hipótesis!$B$50=1),IF(Hipótesis!$G$50=1,Hipótesis!$I$44,Hipótesis!$C$50*(1+Hipótesis!$D$45)^6)*(1+Hipótesis!$D$42),0)</f>
        <v>-7920</v>
      </c>
      <c r="CA46" s="138" t="n">
        <f aca="false">-IF(AND(77&gt;=Hipótesis!$D$50,Hipótesis!$B$50=1),IF(Hipótesis!$G$50=1,Hipótesis!$I$44,Hipótesis!$C$50*(1+Hipótesis!$D$45)^6)*(1+Hipótesis!$D$42),0)</f>
        <v>-7920</v>
      </c>
      <c r="CB46" s="138" t="n">
        <f aca="false">-IF(AND(78&gt;=Hipótesis!$D$50,Hipótesis!$B$50=1),IF(Hipótesis!$G$50=1,Hipótesis!$I$44,Hipótesis!$C$50*(1+Hipótesis!$D$45)^6)*(1+Hipótesis!$D$42),0)</f>
        <v>-7920</v>
      </c>
      <c r="CC46" s="138" t="n">
        <f aca="false">-IF(AND(79&gt;=Hipótesis!$D$50,Hipótesis!$B$50=1),IF(Hipótesis!$G$50=1,Hipótesis!$I$44,Hipótesis!$C$50*(1+Hipótesis!$D$45)^6)*(1+Hipótesis!$D$42),0)</f>
        <v>-7920</v>
      </c>
      <c r="CD46" s="138" t="n">
        <f aca="false">-IF(AND(80&gt;=Hipótesis!$D$50,Hipótesis!$B$50=1),IF(Hipótesis!$G$50=1,Hipótesis!$I$44,Hipótesis!$C$50*(1+Hipótesis!$D$45)^6)*(1+Hipótesis!$D$42),0)</f>
        <v>-7920</v>
      </c>
      <c r="CE46" s="138" t="n">
        <f aca="false">-IF(AND(81&gt;=Hipótesis!$D$50,Hipótesis!$B$50=1),IF(Hipótesis!$G$50=1,Hipótesis!$I$44,Hipótesis!$C$50*(1+Hipótesis!$D$45)^6)*(1+Hipótesis!$D$42),0)</f>
        <v>-7920</v>
      </c>
      <c r="CF46" s="138" t="n">
        <f aca="false">-IF(AND(82&gt;=Hipótesis!$D$50,Hipótesis!$B$50=1),IF(Hipótesis!$G$50=1,Hipótesis!$I$44,Hipótesis!$C$50*(1+Hipótesis!$D$45)^6)*(1+Hipótesis!$D$42),0)</f>
        <v>-7920</v>
      </c>
      <c r="CG46" s="138" t="n">
        <f aca="false">-IF(AND(83&gt;=Hipótesis!$D$50,Hipótesis!$B$50=1),IF(Hipótesis!$G$50=1,Hipótesis!$I$44,Hipótesis!$C$50*(1+Hipótesis!$D$45)^6)*(1+Hipótesis!$D$42),0)</f>
        <v>-7920</v>
      </c>
      <c r="CH46" s="138" t="n">
        <f aca="false">-IF(AND(84&gt;=Hipótesis!$D$50,Hipótesis!$B$50=1),IF(Hipótesis!$G$50=1,Hipótesis!$I$44,Hipótesis!$C$50*(1+Hipótesis!$D$45)^6)*(1+Hipótesis!$D$42),0)</f>
        <v>-7920</v>
      </c>
    </row>
    <row r="47" customFormat="false" ht="13.5" hidden="false" customHeight="true" outlineLevel="0" collapsed="false">
      <c r="A47" s="13" t="s">
        <v>728</v>
      </c>
      <c r="C47" s="138" t="n">
        <f aca="false">-IF(AND(1&gt;=Hipótesis!$D$51,Hipótesis!$B$51=1),IF(Hipótesis!$G$51=1,Hipótesis!$C$44,Hipótesis!$C$51*(1+Hipótesis!$D$45)^0)*(1+Hipótesis!$D$42),0)</f>
        <v>-2640</v>
      </c>
      <c r="D47" s="138" t="n">
        <f aca="false">-IF(AND(2&gt;=Hipótesis!$D$51,Hipótesis!$B$51=1),IF(Hipótesis!$G$51=1,Hipótesis!$C$44,Hipótesis!$C$51*(1+Hipótesis!$D$45)^0)*(1+Hipótesis!$D$42),0)</f>
        <v>-2640</v>
      </c>
      <c r="E47" s="138" t="n">
        <f aca="false">-IF(AND(3&gt;=Hipótesis!$D$51,Hipótesis!$B$51=1),IF(Hipótesis!$G$51=1,Hipótesis!$C$44,Hipótesis!$C$51*(1+Hipótesis!$D$45)^0)*(1+Hipótesis!$D$42),0)</f>
        <v>-2640</v>
      </c>
      <c r="F47" s="138" t="n">
        <f aca="false">-IF(AND(4&gt;=Hipótesis!$D$51,Hipótesis!$B$51=1),IF(Hipótesis!$G$51=1,Hipótesis!$C$44,Hipótesis!$C$51*(1+Hipótesis!$D$45)^0)*(1+Hipótesis!$D$42),0)</f>
        <v>-2640</v>
      </c>
      <c r="G47" s="138" t="n">
        <f aca="false">-IF(AND(5&gt;=Hipótesis!$D$51,Hipótesis!$B$51=1),IF(Hipótesis!$G$51=1,Hipótesis!$C$44,Hipótesis!$C$51*(1+Hipótesis!$D$45)^0)*(1+Hipótesis!$D$42),0)</f>
        <v>-2640</v>
      </c>
      <c r="H47" s="138" t="n">
        <f aca="false">-IF(AND(6&gt;=Hipótesis!$D$51,Hipótesis!$B$51=1),IF(Hipótesis!$G$51=1,Hipótesis!$C$44,Hipótesis!$C$51*(1+Hipótesis!$D$45)^0)*(1+Hipótesis!$D$42),0)</f>
        <v>-2640</v>
      </c>
      <c r="I47" s="138" t="n">
        <f aca="false">-IF(AND(7&gt;=Hipótesis!$D$51,Hipótesis!$B$51=1),IF(Hipótesis!$G$51=1,Hipótesis!$C$44,Hipótesis!$C$51*(1+Hipótesis!$D$45)^0)*(1+Hipótesis!$D$42),0)</f>
        <v>-2640</v>
      </c>
      <c r="J47" s="138" t="n">
        <f aca="false">-IF(AND(8&gt;=Hipótesis!$D$51,Hipótesis!$B$51=1),IF(Hipótesis!$G$51=1,Hipótesis!$C$44,Hipótesis!$C$51*(1+Hipótesis!$D$45)^0)*(1+Hipótesis!$D$42),0)</f>
        <v>-2640</v>
      </c>
      <c r="K47" s="138" t="n">
        <f aca="false">-IF(AND(9&gt;=Hipótesis!$D$51,Hipótesis!$B$51=1),IF(Hipótesis!$G$51=1,Hipótesis!$C$44,Hipótesis!$C$51*(1+Hipótesis!$D$45)^0)*(1+Hipótesis!$D$42),0)</f>
        <v>-2640</v>
      </c>
      <c r="L47" s="138" t="n">
        <f aca="false">-IF(AND(10&gt;=Hipótesis!$D$51,Hipótesis!$B$51=1),IF(Hipótesis!$G$51=1,Hipótesis!$C$44,Hipótesis!$C$51*(1+Hipótesis!$D$45)^0)*(1+Hipótesis!$D$42),0)</f>
        <v>-2640</v>
      </c>
      <c r="M47" s="138" t="n">
        <f aca="false">-IF(AND(11&gt;=Hipótesis!$D$51,Hipótesis!$B$51=1),IF(Hipótesis!$G$51=1,Hipótesis!$C$44,Hipótesis!$C$51*(1+Hipótesis!$D$45)^0)*(1+Hipótesis!$D$42),0)</f>
        <v>-2640</v>
      </c>
      <c r="N47" s="138" t="n">
        <f aca="false">-IF(AND(12&gt;=Hipótesis!$D$51,Hipótesis!$B$51=1),IF(Hipótesis!$G$51=1,Hipótesis!$C$44,Hipótesis!$C$51*(1+Hipótesis!$D$45)^0)*(1+Hipótesis!$D$42),0)</f>
        <v>-2640</v>
      </c>
      <c r="O47" s="138" t="n">
        <f aca="false">-IF(AND(13&gt;=Hipótesis!$D$51,Hipótesis!$B$51=1),IF(Hipótesis!$G$51=1,Hipótesis!$D$44,Hipótesis!$C$51*(1+Hipótesis!$D$45)^1)*(1+Hipótesis!$D$42),0)</f>
        <v>-2719.2</v>
      </c>
      <c r="P47" s="138" t="n">
        <f aca="false">-IF(AND(14&gt;=Hipótesis!$D$51,Hipótesis!$B$51=1),IF(Hipótesis!$G$51=1,Hipótesis!$D$44,Hipótesis!$C$51*(1+Hipótesis!$D$45)^1)*(1+Hipótesis!$D$42),0)</f>
        <v>-2719.2</v>
      </c>
      <c r="Q47" s="138" t="n">
        <f aca="false">-IF(AND(15&gt;=Hipótesis!$D$51,Hipótesis!$B$51=1),IF(Hipótesis!$G$51=1,Hipótesis!$D$44,Hipótesis!$C$51*(1+Hipótesis!$D$45)^1)*(1+Hipótesis!$D$42),0)</f>
        <v>-2719.2</v>
      </c>
      <c r="R47" s="138" t="n">
        <f aca="false">-IF(AND(16&gt;=Hipótesis!$D$51,Hipótesis!$B$51=1),IF(Hipótesis!$G$51=1,Hipótesis!$D$44,Hipótesis!$C$51*(1+Hipótesis!$D$45)^1)*(1+Hipótesis!$D$42),0)</f>
        <v>-2719.2</v>
      </c>
      <c r="S47" s="138" t="n">
        <f aca="false">-IF(AND(17&gt;=Hipótesis!$D$51,Hipótesis!$B$51=1),IF(Hipótesis!$G$51=1,Hipótesis!$D$44,Hipótesis!$C$51*(1+Hipótesis!$D$45)^1)*(1+Hipótesis!$D$42),0)</f>
        <v>-2719.2</v>
      </c>
      <c r="T47" s="138" t="n">
        <f aca="false">-IF(AND(18&gt;=Hipótesis!$D$51,Hipótesis!$B$51=1),IF(Hipótesis!$G$51=1,Hipótesis!$D$44,Hipótesis!$C$51*(1+Hipótesis!$D$45)^1)*(1+Hipótesis!$D$42),0)</f>
        <v>-2719.2</v>
      </c>
      <c r="U47" s="138" t="n">
        <f aca="false">-IF(AND(19&gt;=Hipótesis!$D$51,Hipótesis!$B$51=1),IF(Hipótesis!$G$51=1,Hipótesis!$D$44,Hipótesis!$C$51*(1+Hipótesis!$D$45)^1)*(1+Hipótesis!$D$42),0)</f>
        <v>-2719.2</v>
      </c>
      <c r="V47" s="138" t="n">
        <f aca="false">-IF(AND(20&gt;=Hipótesis!$D$51,Hipótesis!$B$51=1),IF(Hipótesis!$G$51=1,Hipótesis!$D$44,Hipótesis!$C$51*(1+Hipótesis!$D$45)^1)*(1+Hipótesis!$D$42),0)</f>
        <v>-2719.2</v>
      </c>
      <c r="W47" s="138" t="n">
        <f aca="false">-IF(AND(21&gt;=Hipótesis!$D$51,Hipótesis!$B$51=1),IF(Hipótesis!$G$51=1,Hipótesis!$D$44,Hipótesis!$C$51*(1+Hipótesis!$D$45)^1)*(1+Hipótesis!$D$42),0)</f>
        <v>-2719.2</v>
      </c>
      <c r="X47" s="138" t="n">
        <f aca="false">-IF(AND(22&gt;=Hipótesis!$D$51,Hipótesis!$B$51=1),IF(Hipótesis!$G$51=1,Hipótesis!$D$44,Hipótesis!$C$51*(1+Hipótesis!$D$45)^1)*(1+Hipótesis!$D$42),0)</f>
        <v>-2719.2</v>
      </c>
      <c r="Y47" s="138" t="n">
        <f aca="false">-IF(AND(23&gt;=Hipótesis!$D$51,Hipótesis!$B$51=1),IF(Hipótesis!$G$51=1,Hipótesis!$D$44,Hipótesis!$C$51*(1+Hipótesis!$D$45)^1)*(1+Hipótesis!$D$42),0)</f>
        <v>-2719.2</v>
      </c>
      <c r="Z47" s="138" t="n">
        <f aca="false">-IF(AND(24&gt;=Hipótesis!$D$51,Hipótesis!$B$51=1),IF(Hipótesis!$G$51=1,Hipótesis!$D$44,Hipótesis!$C$51*(1+Hipótesis!$D$45)^1)*(1+Hipótesis!$D$42),0)</f>
        <v>-2719.2</v>
      </c>
      <c r="AA47" s="138" t="n">
        <f aca="false">-IF(AND(25&gt;=Hipótesis!$D$51,Hipótesis!$B$51=1),IF(Hipótesis!$G$51=1,Hipótesis!$E$44,Hipótesis!$C$51*(1+Hipótesis!$D$45)^2)*(1+Hipótesis!$D$42),0)</f>
        <v>-2800.776</v>
      </c>
      <c r="AB47" s="138" t="n">
        <f aca="false">-IF(AND(26&gt;=Hipótesis!$D$51,Hipótesis!$B$51=1),IF(Hipótesis!$G$51=1,Hipótesis!$E$44,Hipótesis!$C$51*(1+Hipótesis!$D$45)^2)*(1+Hipótesis!$D$42),0)</f>
        <v>-2800.776</v>
      </c>
      <c r="AC47" s="138" t="n">
        <f aca="false">-IF(AND(27&gt;=Hipótesis!$D$51,Hipótesis!$B$51=1),IF(Hipótesis!$G$51=1,Hipótesis!$E$44,Hipótesis!$C$51*(1+Hipótesis!$D$45)^2)*(1+Hipótesis!$D$42),0)</f>
        <v>-2800.776</v>
      </c>
      <c r="AD47" s="138" t="n">
        <f aca="false">-IF(AND(28&gt;=Hipótesis!$D$51,Hipótesis!$B$51=1),IF(Hipótesis!$G$51=1,Hipótesis!$E$44,Hipótesis!$C$51*(1+Hipótesis!$D$45)^2)*(1+Hipótesis!$D$42),0)</f>
        <v>-2800.776</v>
      </c>
      <c r="AE47" s="138" t="n">
        <f aca="false">-IF(AND(29&gt;=Hipótesis!$D$51,Hipótesis!$B$51=1),IF(Hipótesis!$G$51=1,Hipótesis!$E$44,Hipótesis!$C$51*(1+Hipótesis!$D$45)^2)*(1+Hipótesis!$D$42),0)</f>
        <v>-2800.776</v>
      </c>
      <c r="AF47" s="138" t="n">
        <f aca="false">-IF(AND(30&gt;=Hipótesis!$D$51,Hipótesis!$B$51=1),IF(Hipótesis!$G$51=1,Hipótesis!$E$44,Hipótesis!$C$51*(1+Hipótesis!$D$45)^2)*(1+Hipótesis!$D$42),0)</f>
        <v>-2800.776</v>
      </c>
      <c r="AG47" s="138" t="n">
        <f aca="false">-IF(AND(31&gt;=Hipótesis!$D$51,Hipótesis!$B$51=1),IF(Hipótesis!$G$51=1,Hipótesis!$E$44,Hipótesis!$C$51*(1+Hipótesis!$D$45)^2)*(1+Hipótesis!$D$42),0)</f>
        <v>-2800.776</v>
      </c>
      <c r="AH47" s="138" t="n">
        <f aca="false">-IF(AND(32&gt;=Hipótesis!$D$51,Hipótesis!$B$51=1),IF(Hipótesis!$G$51=1,Hipótesis!$E$44,Hipótesis!$C$51*(1+Hipótesis!$D$45)^2)*(1+Hipótesis!$D$42),0)</f>
        <v>-2800.776</v>
      </c>
      <c r="AI47" s="138" t="n">
        <f aca="false">-IF(AND(33&gt;=Hipótesis!$D$51,Hipótesis!$B$51=1),IF(Hipótesis!$G$51=1,Hipótesis!$E$44,Hipótesis!$C$51*(1+Hipótesis!$D$45)^2)*(1+Hipótesis!$D$42),0)</f>
        <v>-2800.776</v>
      </c>
      <c r="AJ47" s="138" t="n">
        <f aca="false">-IF(AND(34&gt;=Hipótesis!$D$51,Hipótesis!$B$51=1),IF(Hipótesis!$G$51=1,Hipótesis!$E$44,Hipótesis!$C$51*(1+Hipótesis!$D$45)^2)*(1+Hipótesis!$D$42),0)</f>
        <v>-2800.776</v>
      </c>
      <c r="AK47" s="138" t="n">
        <f aca="false">-IF(AND(35&gt;=Hipótesis!$D$51,Hipótesis!$B$51=1),IF(Hipótesis!$G$51=1,Hipótesis!$E$44,Hipótesis!$C$51*(1+Hipótesis!$D$45)^2)*(1+Hipótesis!$D$42),0)</f>
        <v>-2800.776</v>
      </c>
      <c r="AL47" s="138" t="n">
        <f aca="false">-IF(AND(36&gt;=Hipótesis!$D$51,Hipótesis!$B$51=1),IF(Hipótesis!$G$51=1,Hipótesis!$E$44,Hipótesis!$C$51*(1+Hipótesis!$D$45)^2)*(1+Hipótesis!$D$42),0)</f>
        <v>-2800.776</v>
      </c>
      <c r="AM47" s="138" t="n">
        <f aca="false">-IF(AND(37&gt;=Hipótesis!$D$51,Hipótesis!$B$51=1),IF(Hipótesis!$G$51=1,Hipótesis!$F$44,Hipótesis!$C$51*(1+Hipótesis!$D$45)^3)*(1+Hipótesis!$D$42),0)</f>
        <v>-2884.79928</v>
      </c>
      <c r="AN47" s="138" t="n">
        <f aca="false">-IF(AND(38&gt;=Hipótesis!$D$51,Hipótesis!$B$51=1),IF(Hipótesis!$G$51=1,Hipótesis!$F$44,Hipótesis!$C$51*(1+Hipótesis!$D$45)^3)*(1+Hipótesis!$D$42),0)</f>
        <v>-2884.79928</v>
      </c>
      <c r="AO47" s="138" t="n">
        <f aca="false">-IF(AND(39&gt;=Hipótesis!$D$51,Hipótesis!$B$51=1),IF(Hipótesis!$G$51=1,Hipótesis!$F$44,Hipótesis!$C$51*(1+Hipótesis!$D$45)^3)*(1+Hipótesis!$D$42),0)</f>
        <v>-2884.79928</v>
      </c>
      <c r="AP47" s="138" t="n">
        <f aca="false">-IF(AND(40&gt;=Hipótesis!$D$51,Hipótesis!$B$51=1),IF(Hipótesis!$G$51=1,Hipótesis!$F$44,Hipótesis!$C$51*(1+Hipótesis!$D$45)^3)*(1+Hipótesis!$D$42),0)</f>
        <v>-2884.79928</v>
      </c>
      <c r="AQ47" s="138" t="n">
        <f aca="false">-IF(AND(41&gt;=Hipótesis!$D$51,Hipótesis!$B$51=1),IF(Hipótesis!$G$51=1,Hipótesis!$F$44,Hipótesis!$C$51*(1+Hipótesis!$D$45)^3)*(1+Hipótesis!$D$42),0)</f>
        <v>-2884.79928</v>
      </c>
      <c r="AR47" s="138" t="n">
        <f aca="false">-IF(AND(42&gt;=Hipótesis!$D$51,Hipótesis!$B$51=1),IF(Hipótesis!$G$51=1,Hipótesis!$F$44,Hipótesis!$C$51*(1+Hipótesis!$D$45)^3)*(1+Hipótesis!$D$42),0)</f>
        <v>-2884.79928</v>
      </c>
      <c r="AS47" s="138" t="n">
        <f aca="false">-IF(AND(43&gt;=Hipótesis!$D$51,Hipótesis!$B$51=1),IF(Hipótesis!$G$51=1,Hipótesis!$F$44,Hipótesis!$C$51*(1+Hipótesis!$D$45)^3)*(1+Hipótesis!$D$42),0)</f>
        <v>-2884.79928</v>
      </c>
      <c r="AT47" s="138" t="n">
        <f aca="false">-IF(AND(44&gt;=Hipótesis!$D$51,Hipótesis!$B$51=1),IF(Hipótesis!$G$51=1,Hipótesis!$F$44,Hipótesis!$C$51*(1+Hipótesis!$D$45)^3)*(1+Hipótesis!$D$42),0)</f>
        <v>-2884.79928</v>
      </c>
      <c r="AU47" s="138" t="n">
        <f aca="false">-IF(AND(45&gt;=Hipótesis!$D$51,Hipótesis!$B$51=1),IF(Hipótesis!$G$51=1,Hipótesis!$F$44,Hipótesis!$C$51*(1+Hipótesis!$D$45)^3)*(1+Hipótesis!$D$42),0)</f>
        <v>-2884.79928</v>
      </c>
      <c r="AV47" s="138" t="n">
        <f aca="false">-IF(AND(46&gt;=Hipótesis!$D$51,Hipótesis!$B$51=1),IF(Hipótesis!$G$51=1,Hipótesis!$F$44,Hipótesis!$C$51*(1+Hipótesis!$D$45)^3)*(1+Hipótesis!$D$42),0)</f>
        <v>-2884.79928</v>
      </c>
      <c r="AW47" s="138" t="n">
        <f aca="false">-IF(AND(47&gt;=Hipótesis!$D$51,Hipótesis!$B$51=1),IF(Hipótesis!$G$51=1,Hipótesis!$F$44,Hipótesis!$C$51*(1+Hipótesis!$D$45)^3)*(1+Hipótesis!$D$42),0)</f>
        <v>-2884.79928</v>
      </c>
      <c r="AX47" s="138" t="n">
        <f aca="false">-IF(AND(48&gt;=Hipótesis!$D$51,Hipótesis!$B$51=1),IF(Hipótesis!$G$51=1,Hipótesis!$F$44,Hipótesis!$C$51*(1+Hipótesis!$D$45)^3)*(1+Hipótesis!$D$42),0)</f>
        <v>-2884.79928</v>
      </c>
      <c r="AY47" s="138" t="n">
        <f aca="false">-IF(AND(49&gt;=Hipótesis!$D$51,Hipótesis!$B$51=1),IF(Hipótesis!$G$51=1,Hipótesis!$G$44,Hipótesis!$C$51*(1+Hipótesis!$D$45)^4)*(1+Hipótesis!$D$42),0)</f>
        <v>-2971.3432584</v>
      </c>
      <c r="AZ47" s="138" t="n">
        <f aca="false">-IF(AND(50&gt;=Hipótesis!$D$51,Hipótesis!$B$51=1),IF(Hipótesis!$G$51=1,Hipótesis!$G$44,Hipótesis!$C$51*(1+Hipótesis!$D$45)^4)*(1+Hipótesis!$D$42),0)</f>
        <v>-2971.3432584</v>
      </c>
      <c r="BA47" s="138" t="n">
        <f aca="false">-IF(AND(51&gt;=Hipótesis!$D$51,Hipótesis!$B$51=1),IF(Hipótesis!$G$51=1,Hipótesis!$G$44,Hipótesis!$C$51*(1+Hipótesis!$D$45)^4)*(1+Hipótesis!$D$42),0)</f>
        <v>-2971.3432584</v>
      </c>
      <c r="BB47" s="138" t="n">
        <f aca="false">-IF(AND(52&gt;=Hipótesis!$D$51,Hipótesis!$B$51=1),IF(Hipótesis!$G$51=1,Hipótesis!$G$44,Hipótesis!$C$51*(1+Hipótesis!$D$45)^4)*(1+Hipótesis!$D$42),0)</f>
        <v>-2971.3432584</v>
      </c>
      <c r="BC47" s="138" t="n">
        <f aca="false">-IF(AND(53&gt;=Hipótesis!$D$51,Hipótesis!$B$51=1),IF(Hipótesis!$G$51=1,Hipótesis!$G$44,Hipótesis!$C$51*(1+Hipótesis!$D$45)^4)*(1+Hipótesis!$D$42),0)</f>
        <v>-2971.3432584</v>
      </c>
      <c r="BD47" s="138" t="n">
        <f aca="false">-IF(AND(54&gt;=Hipótesis!$D$51,Hipótesis!$B$51=1),IF(Hipótesis!$G$51=1,Hipótesis!$G$44,Hipótesis!$C$51*(1+Hipótesis!$D$45)^4)*(1+Hipótesis!$D$42),0)</f>
        <v>-2971.3432584</v>
      </c>
      <c r="BE47" s="138" t="n">
        <f aca="false">-IF(AND(55&gt;=Hipótesis!$D$51,Hipótesis!$B$51=1),IF(Hipótesis!$G$51=1,Hipótesis!$G$44,Hipótesis!$C$51*(1+Hipótesis!$D$45)^4)*(1+Hipótesis!$D$42),0)</f>
        <v>-2971.3432584</v>
      </c>
      <c r="BF47" s="138" t="n">
        <f aca="false">-IF(AND(56&gt;=Hipótesis!$D$51,Hipótesis!$B$51=1),IF(Hipótesis!$G$51=1,Hipótesis!$G$44,Hipótesis!$C$51*(1+Hipótesis!$D$45)^4)*(1+Hipótesis!$D$42),0)</f>
        <v>-2971.3432584</v>
      </c>
      <c r="BG47" s="138" t="n">
        <f aca="false">-IF(AND(57&gt;=Hipótesis!$D$51,Hipótesis!$B$51=1),IF(Hipótesis!$G$51=1,Hipótesis!$G$44,Hipótesis!$C$51*(1+Hipótesis!$D$45)^4)*(1+Hipótesis!$D$42),0)</f>
        <v>-2971.3432584</v>
      </c>
      <c r="BH47" s="138" t="n">
        <f aca="false">-IF(AND(58&gt;=Hipótesis!$D$51,Hipótesis!$B$51=1),IF(Hipótesis!$G$51=1,Hipótesis!$G$44,Hipótesis!$C$51*(1+Hipótesis!$D$45)^4)*(1+Hipótesis!$D$42),0)</f>
        <v>-2971.3432584</v>
      </c>
      <c r="BI47" s="138" t="n">
        <f aca="false">-IF(AND(59&gt;=Hipótesis!$D$51,Hipótesis!$B$51=1),IF(Hipótesis!$G$51=1,Hipótesis!$G$44,Hipótesis!$C$51*(1+Hipótesis!$D$45)^4)*(1+Hipótesis!$D$42),0)</f>
        <v>-2971.3432584</v>
      </c>
      <c r="BJ47" s="138" t="n">
        <f aca="false">-IF(AND(60&gt;=Hipótesis!$D$51,Hipótesis!$B$51=1),IF(Hipótesis!$G$51=1,Hipótesis!$G$44,Hipótesis!$C$51*(1+Hipótesis!$D$45)^4)*(1+Hipótesis!$D$42),0)</f>
        <v>-2971.3432584</v>
      </c>
      <c r="BK47" s="138" t="n">
        <f aca="false">-IF(AND(61&gt;=Hipótesis!$D$51,Hipótesis!$B$51=1),IF(Hipótesis!$G$51=1,Hipótesis!$H$44,Hipótesis!$C$51*(1+Hipótesis!$D$45)^5)*(1+Hipótesis!$D$42),0)</f>
        <v>-3060.483556152</v>
      </c>
      <c r="BL47" s="138" t="n">
        <f aca="false">-IF(AND(62&gt;=Hipótesis!$D$51,Hipótesis!$B$51=1),IF(Hipótesis!$G$51=1,Hipótesis!$H$44,Hipótesis!$C$51*(1+Hipótesis!$D$45)^5)*(1+Hipótesis!$D$42),0)</f>
        <v>-3060.483556152</v>
      </c>
      <c r="BM47" s="138" t="n">
        <f aca="false">-IF(AND(63&gt;=Hipótesis!$D$51,Hipótesis!$B$51=1),IF(Hipótesis!$G$51=1,Hipótesis!$H$44,Hipótesis!$C$51*(1+Hipótesis!$D$45)^5)*(1+Hipótesis!$D$42),0)</f>
        <v>-3060.483556152</v>
      </c>
      <c r="BN47" s="138" t="n">
        <f aca="false">-IF(AND(64&gt;=Hipótesis!$D$51,Hipótesis!$B$51=1),IF(Hipótesis!$G$51=1,Hipótesis!$H$44,Hipótesis!$C$51*(1+Hipótesis!$D$45)^5)*(1+Hipótesis!$D$42),0)</f>
        <v>-3060.483556152</v>
      </c>
      <c r="BO47" s="138" t="n">
        <f aca="false">-IF(AND(65&gt;=Hipótesis!$D$51,Hipótesis!$B$51=1),IF(Hipótesis!$G$51=1,Hipótesis!$H$44,Hipótesis!$C$51*(1+Hipótesis!$D$45)^5)*(1+Hipótesis!$D$42),0)</f>
        <v>-3060.483556152</v>
      </c>
      <c r="BP47" s="138" t="n">
        <f aca="false">-IF(AND(66&gt;=Hipótesis!$D$51,Hipótesis!$B$51=1),IF(Hipótesis!$G$51=1,Hipótesis!$H$44,Hipótesis!$C$51*(1+Hipótesis!$D$45)^5)*(1+Hipótesis!$D$42),0)</f>
        <v>-3060.483556152</v>
      </c>
      <c r="BQ47" s="138" t="n">
        <f aca="false">-IF(AND(67&gt;=Hipótesis!$D$51,Hipótesis!$B$51=1),IF(Hipótesis!$G$51=1,Hipótesis!$H$44,Hipótesis!$C$51*(1+Hipótesis!$D$45)^5)*(1+Hipótesis!$D$42),0)</f>
        <v>-3060.483556152</v>
      </c>
      <c r="BR47" s="138" t="n">
        <f aca="false">-IF(AND(68&gt;=Hipótesis!$D$51,Hipótesis!$B$51=1),IF(Hipótesis!$G$51=1,Hipótesis!$H$44,Hipótesis!$C$51*(1+Hipótesis!$D$45)^5)*(1+Hipótesis!$D$42),0)</f>
        <v>-3060.483556152</v>
      </c>
      <c r="BS47" s="138" t="n">
        <f aca="false">-IF(AND(69&gt;=Hipótesis!$D$51,Hipótesis!$B$51=1),IF(Hipótesis!$G$51=1,Hipótesis!$H$44,Hipótesis!$C$51*(1+Hipótesis!$D$45)^5)*(1+Hipótesis!$D$42),0)</f>
        <v>-3060.483556152</v>
      </c>
      <c r="BT47" s="138" t="n">
        <f aca="false">-IF(AND(70&gt;=Hipótesis!$D$51,Hipótesis!$B$51=1),IF(Hipótesis!$G$51=1,Hipótesis!$H$44,Hipótesis!$C$51*(1+Hipótesis!$D$45)^5)*(1+Hipótesis!$D$42),0)</f>
        <v>-3060.483556152</v>
      </c>
      <c r="BU47" s="138" t="n">
        <f aca="false">-IF(AND(71&gt;=Hipótesis!$D$51,Hipótesis!$B$51=1),IF(Hipótesis!$G$51=1,Hipótesis!$H$44,Hipótesis!$C$51*(1+Hipótesis!$D$45)^5)*(1+Hipótesis!$D$42),0)</f>
        <v>-3060.483556152</v>
      </c>
      <c r="BV47" s="138" t="n">
        <f aca="false">-IF(AND(72&gt;=Hipótesis!$D$51,Hipótesis!$B$51=1),IF(Hipótesis!$G$51=1,Hipótesis!$H$44,Hipótesis!$C$51*(1+Hipótesis!$D$45)^5)*(1+Hipótesis!$D$42),0)</f>
        <v>-3060.483556152</v>
      </c>
      <c r="BW47" s="138" t="n">
        <f aca="false">-IF(AND(73&gt;=Hipótesis!$D$51,Hipótesis!$B$51=1),IF(Hipótesis!$G$51=1,Hipótesis!$I$44,Hipótesis!$C$51*(1+Hipótesis!$D$45)^6)*(1+Hipótesis!$D$42),0)</f>
        <v>-3152.29806283656</v>
      </c>
      <c r="BX47" s="138" t="n">
        <f aca="false">-IF(AND(74&gt;=Hipótesis!$D$51,Hipótesis!$B$51=1),IF(Hipótesis!$G$51=1,Hipótesis!$I$44,Hipótesis!$C$51*(1+Hipótesis!$D$45)^6)*(1+Hipótesis!$D$42),0)</f>
        <v>-3152.29806283656</v>
      </c>
      <c r="BY47" s="138" t="n">
        <f aca="false">-IF(AND(75&gt;=Hipótesis!$D$51,Hipótesis!$B$51=1),IF(Hipótesis!$G$51=1,Hipótesis!$I$44,Hipótesis!$C$51*(1+Hipótesis!$D$45)^6)*(1+Hipótesis!$D$42),0)</f>
        <v>-3152.29806283656</v>
      </c>
      <c r="BZ47" s="138" t="n">
        <f aca="false">-IF(AND(76&gt;=Hipótesis!$D$51,Hipótesis!$B$51=1),IF(Hipótesis!$G$51=1,Hipótesis!$I$44,Hipótesis!$C$51*(1+Hipótesis!$D$45)^6)*(1+Hipótesis!$D$42),0)</f>
        <v>-3152.29806283656</v>
      </c>
      <c r="CA47" s="138" t="n">
        <f aca="false">-IF(AND(77&gt;=Hipótesis!$D$51,Hipótesis!$B$51=1),IF(Hipótesis!$G$51=1,Hipótesis!$I$44,Hipótesis!$C$51*(1+Hipótesis!$D$45)^6)*(1+Hipótesis!$D$42),0)</f>
        <v>-3152.29806283656</v>
      </c>
      <c r="CB47" s="138" t="n">
        <f aca="false">-IF(AND(78&gt;=Hipótesis!$D$51,Hipótesis!$B$51=1),IF(Hipótesis!$G$51=1,Hipótesis!$I$44,Hipótesis!$C$51*(1+Hipótesis!$D$45)^6)*(1+Hipótesis!$D$42),0)</f>
        <v>-3152.29806283656</v>
      </c>
      <c r="CC47" s="138" t="n">
        <f aca="false">-IF(AND(79&gt;=Hipótesis!$D$51,Hipótesis!$B$51=1),IF(Hipótesis!$G$51=1,Hipótesis!$I$44,Hipótesis!$C$51*(1+Hipótesis!$D$45)^6)*(1+Hipótesis!$D$42),0)</f>
        <v>-3152.29806283656</v>
      </c>
      <c r="CD47" s="138" t="n">
        <f aca="false">-IF(AND(80&gt;=Hipótesis!$D$51,Hipótesis!$B$51=1),IF(Hipótesis!$G$51=1,Hipótesis!$I$44,Hipótesis!$C$51*(1+Hipótesis!$D$45)^6)*(1+Hipótesis!$D$42),0)</f>
        <v>-3152.29806283656</v>
      </c>
      <c r="CE47" s="138" t="n">
        <f aca="false">-IF(AND(81&gt;=Hipótesis!$D$51,Hipótesis!$B$51=1),IF(Hipótesis!$G$51=1,Hipótesis!$I$44,Hipótesis!$C$51*(1+Hipótesis!$D$45)^6)*(1+Hipótesis!$D$42),0)</f>
        <v>-3152.29806283656</v>
      </c>
      <c r="CF47" s="138" t="n">
        <f aca="false">-IF(AND(82&gt;=Hipótesis!$D$51,Hipótesis!$B$51=1),IF(Hipótesis!$G$51=1,Hipótesis!$I$44,Hipótesis!$C$51*(1+Hipótesis!$D$45)^6)*(1+Hipótesis!$D$42),0)</f>
        <v>-3152.29806283656</v>
      </c>
      <c r="CG47" s="138" t="n">
        <f aca="false">-IF(AND(83&gt;=Hipótesis!$D$51,Hipótesis!$B$51=1),IF(Hipótesis!$G$51=1,Hipótesis!$I$44,Hipótesis!$C$51*(1+Hipótesis!$D$45)^6)*(1+Hipótesis!$D$42),0)</f>
        <v>-3152.29806283656</v>
      </c>
      <c r="CH47" s="138" t="n">
        <f aca="false">-IF(AND(84&gt;=Hipótesis!$D$51,Hipótesis!$B$51=1),IF(Hipótesis!$G$51=1,Hipótesis!$I$44,Hipótesis!$C$51*(1+Hipótesis!$D$45)^6)*(1+Hipótesis!$D$42),0)</f>
        <v>-3152.29806283656</v>
      </c>
    </row>
    <row r="48" customFormat="false" ht="13.5" hidden="false" customHeight="true" outlineLevel="0" collapsed="false">
      <c r="A48" s="13" t="s">
        <v>729</v>
      </c>
      <c r="C48" s="138" t="n">
        <f aca="false">-IF(AND(1&gt;=Hipótesis!$D$52,Hipótesis!$B$52=1),IF(Hipótesis!$G$52=1,Hipótesis!$C$44,Hipótesis!$C$52*(1+Hipótesis!$D$45)^0)*(1+Hipótesis!$D$42),0)</f>
        <v>-0</v>
      </c>
      <c r="D48" s="138" t="n">
        <f aca="false">-IF(AND(2&gt;=Hipótesis!$D$52,Hipótesis!$B$52=1),IF(Hipótesis!$G$52=1,Hipótesis!$C$44,Hipótesis!$C$52*(1+Hipótesis!$D$45)^0)*(1+Hipótesis!$D$42),0)</f>
        <v>-0</v>
      </c>
      <c r="E48" s="138" t="n">
        <f aca="false">-IF(AND(3&gt;=Hipótesis!$D$52,Hipótesis!$B$52=1),IF(Hipótesis!$G$52=1,Hipótesis!$C$44,Hipótesis!$C$52*(1+Hipótesis!$D$45)^0)*(1+Hipótesis!$D$42),0)</f>
        <v>-0</v>
      </c>
      <c r="F48" s="138" t="n">
        <f aca="false">-IF(AND(4&gt;=Hipótesis!$D$52,Hipótesis!$B$52=1),IF(Hipótesis!$G$52=1,Hipótesis!$C$44,Hipótesis!$C$52*(1+Hipótesis!$D$45)^0)*(1+Hipótesis!$D$42),0)</f>
        <v>-0</v>
      </c>
      <c r="G48" s="138" t="n">
        <f aca="false">-IF(AND(5&gt;=Hipótesis!$D$52,Hipótesis!$B$52=1),IF(Hipótesis!$G$52=1,Hipótesis!$C$44,Hipótesis!$C$52*(1+Hipótesis!$D$45)^0)*(1+Hipótesis!$D$42),0)</f>
        <v>-0</v>
      </c>
      <c r="H48" s="138" t="n">
        <f aca="false">-IF(AND(6&gt;=Hipótesis!$D$52,Hipótesis!$B$52=1),IF(Hipótesis!$G$52=1,Hipótesis!$C$44,Hipótesis!$C$52*(1+Hipótesis!$D$45)^0)*(1+Hipótesis!$D$42),0)</f>
        <v>-0</v>
      </c>
      <c r="I48" s="138" t="n">
        <f aca="false">-IF(AND(7&gt;=Hipótesis!$D$52,Hipótesis!$B$52=1),IF(Hipótesis!$G$52=1,Hipótesis!$C$44,Hipótesis!$C$52*(1+Hipótesis!$D$45)^0)*(1+Hipótesis!$D$42),0)</f>
        <v>-0</v>
      </c>
      <c r="J48" s="138" t="n">
        <f aca="false">-IF(AND(8&gt;=Hipótesis!$D$52,Hipótesis!$B$52=1),IF(Hipótesis!$G$52=1,Hipótesis!$C$44,Hipótesis!$C$52*(1+Hipótesis!$D$45)^0)*(1+Hipótesis!$D$42),0)</f>
        <v>-0</v>
      </c>
      <c r="K48" s="138" t="n">
        <f aca="false">-IF(AND(9&gt;=Hipótesis!$D$52,Hipótesis!$B$52=1),IF(Hipótesis!$G$52=1,Hipótesis!$C$44,Hipótesis!$C$52*(1+Hipótesis!$D$45)^0)*(1+Hipótesis!$D$42),0)</f>
        <v>-0</v>
      </c>
      <c r="L48" s="138" t="n">
        <f aca="false">-IF(AND(10&gt;=Hipótesis!$D$52,Hipótesis!$B$52=1),IF(Hipótesis!$G$52=1,Hipótesis!$C$44,Hipótesis!$C$52*(1+Hipótesis!$D$45)^0)*(1+Hipótesis!$D$42),0)</f>
        <v>-0</v>
      </c>
      <c r="M48" s="138" t="n">
        <f aca="false">-IF(AND(11&gt;=Hipótesis!$D$52,Hipótesis!$B$52=1),IF(Hipótesis!$G$52=1,Hipótesis!$C$44,Hipótesis!$C$52*(1+Hipótesis!$D$45)^0)*(1+Hipótesis!$D$42),0)</f>
        <v>-0</v>
      </c>
      <c r="N48" s="138" t="n">
        <f aca="false">-IF(AND(12&gt;=Hipótesis!$D$52,Hipótesis!$B$52=1),IF(Hipótesis!$G$52=1,Hipótesis!$C$44,Hipótesis!$C$52*(1+Hipótesis!$D$45)^0)*(1+Hipótesis!$D$42),0)</f>
        <v>-0</v>
      </c>
      <c r="O48" s="138" t="n">
        <f aca="false">-IF(AND(13&gt;=Hipótesis!$D$52,Hipótesis!$B$52=1),IF(Hipótesis!$G$52=1,Hipótesis!$D$44,Hipótesis!$C$52*(1+Hipótesis!$D$45)^1)*(1+Hipótesis!$D$42),0)</f>
        <v>-0</v>
      </c>
      <c r="P48" s="138" t="n">
        <f aca="false">-IF(AND(14&gt;=Hipótesis!$D$52,Hipótesis!$B$52=1),IF(Hipótesis!$G$52=1,Hipótesis!$D$44,Hipótesis!$C$52*(1+Hipótesis!$D$45)^1)*(1+Hipótesis!$D$42),0)</f>
        <v>-0</v>
      </c>
      <c r="Q48" s="138" t="n">
        <f aca="false">-IF(AND(15&gt;=Hipótesis!$D$52,Hipótesis!$B$52=1),IF(Hipótesis!$G$52=1,Hipótesis!$D$44,Hipótesis!$C$52*(1+Hipótesis!$D$45)^1)*(1+Hipótesis!$D$42),0)</f>
        <v>-0</v>
      </c>
      <c r="R48" s="138" t="n">
        <f aca="false">-IF(AND(16&gt;=Hipótesis!$D$52,Hipótesis!$B$52=1),IF(Hipótesis!$G$52=1,Hipótesis!$D$44,Hipótesis!$C$52*(1+Hipótesis!$D$45)^1)*(1+Hipótesis!$D$42),0)</f>
        <v>-0</v>
      </c>
      <c r="S48" s="138" t="n">
        <f aca="false">-IF(AND(17&gt;=Hipótesis!$D$52,Hipótesis!$B$52=1),IF(Hipótesis!$G$52=1,Hipótesis!$D$44,Hipótesis!$C$52*(1+Hipótesis!$D$45)^1)*(1+Hipótesis!$D$42),0)</f>
        <v>-0</v>
      </c>
      <c r="T48" s="138" t="n">
        <f aca="false">-IF(AND(18&gt;=Hipótesis!$D$52,Hipótesis!$B$52=1),IF(Hipótesis!$G$52=1,Hipótesis!$D$44,Hipótesis!$C$52*(1+Hipótesis!$D$45)^1)*(1+Hipótesis!$D$42),0)</f>
        <v>-0</v>
      </c>
      <c r="U48" s="138" t="n">
        <f aca="false">-IF(AND(19&gt;=Hipótesis!$D$52,Hipótesis!$B$52=1),IF(Hipótesis!$G$52=1,Hipótesis!$D$44,Hipótesis!$C$52*(1+Hipótesis!$D$45)^1)*(1+Hipótesis!$D$42),0)</f>
        <v>-0</v>
      </c>
      <c r="V48" s="138" t="n">
        <f aca="false">-IF(AND(20&gt;=Hipótesis!$D$52,Hipótesis!$B$52=1),IF(Hipótesis!$G$52=1,Hipótesis!$D$44,Hipótesis!$C$52*(1+Hipótesis!$D$45)^1)*(1+Hipótesis!$D$42),0)</f>
        <v>-2719.2</v>
      </c>
      <c r="W48" s="138" t="n">
        <f aca="false">-IF(AND(21&gt;=Hipótesis!$D$52,Hipótesis!$B$52=1),IF(Hipótesis!$G$52=1,Hipótesis!$D$44,Hipótesis!$C$52*(1+Hipótesis!$D$45)^1)*(1+Hipótesis!$D$42),0)</f>
        <v>-2719.2</v>
      </c>
      <c r="X48" s="138" t="n">
        <f aca="false">-IF(AND(22&gt;=Hipótesis!$D$52,Hipótesis!$B$52=1),IF(Hipótesis!$G$52=1,Hipótesis!$D$44,Hipótesis!$C$52*(1+Hipótesis!$D$45)^1)*(1+Hipótesis!$D$42),0)</f>
        <v>-2719.2</v>
      </c>
      <c r="Y48" s="138" t="n">
        <f aca="false">-IF(AND(23&gt;=Hipótesis!$D$52,Hipótesis!$B$52=1),IF(Hipótesis!$G$52=1,Hipótesis!$D$44,Hipótesis!$C$52*(1+Hipótesis!$D$45)^1)*(1+Hipótesis!$D$42),0)</f>
        <v>-2719.2</v>
      </c>
      <c r="Z48" s="138" t="n">
        <f aca="false">-IF(AND(24&gt;=Hipótesis!$D$52,Hipótesis!$B$52=1),IF(Hipótesis!$G$52=1,Hipótesis!$D$44,Hipótesis!$C$52*(1+Hipótesis!$D$45)^1)*(1+Hipótesis!$D$42),0)</f>
        <v>-2719.2</v>
      </c>
      <c r="AA48" s="138" t="n">
        <f aca="false">-IF(AND(25&gt;=Hipótesis!$D$52,Hipótesis!$B$52=1),IF(Hipótesis!$G$52=1,Hipótesis!$E$44,Hipótesis!$C$52*(1+Hipótesis!$D$45)^2)*(1+Hipótesis!$D$42),0)</f>
        <v>-2800.776</v>
      </c>
      <c r="AB48" s="138" t="n">
        <f aca="false">-IF(AND(26&gt;=Hipótesis!$D$52,Hipótesis!$B$52=1),IF(Hipótesis!$G$52=1,Hipótesis!$E$44,Hipótesis!$C$52*(1+Hipótesis!$D$45)^2)*(1+Hipótesis!$D$42),0)</f>
        <v>-2800.776</v>
      </c>
      <c r="AC48" s="138" t="n">
        <f aca="false">-IF(AND(27&gt;=Hipótesis!$D$52,Hipótesis!$B$52=1),IF(Hipótesis!$G$52=1,Hipótesis!$E$44,Hipótesis!$C$52*(1+Hipótesis!$D$45)^2)*(1+Hipótesis!$D$42),0)</f>
        <v>-2800.776</v>
      </c>
      <c r="AD48" s="138" t="n">
        <f aca="false">-IF(AND(28&gt;=Hipótesis!$D$52,Hipótesis!$B$52=1),IF(Hipótesis!$G$52=1,Hipótesis!$E$44,Hipótesis!$C$52*(1+Hipótesis!$D$45)^2)*(1+Hipótesis!$D$42),0)</f>
        <v>-2800.776</v>
      </c>
      <c r="AE48" s="138" t="n">
        <f aca="false">-IF(AND(29&gt;=Hipótesis!$D$52,Hipótesis!$B$52=1),IF(Hipótesis!$G$52=1,Hipótesis!$E$44,Hipótesis!$C$52*(1+Hipótesis!$D$45)^2)*(1+Hipótesis!$D$42),0)</f>
        <v>-2800.776</v>
      </c>
      <c r="AF48" s="138" t="n">
        <f aca="false">-IF(AND(30&gt;=Hipótesis!$D$52,Hipótesis!$B$52=1),IF(Hipótesis!$G$52=1,Hipótesis!$E$44,Hipótesis!$C$52*(1+Hipótesis!$D$45)^2)*(1+Hipótesis!$D$42),0)</f>
        <v>-2800.776</v>
      </c>
      <c r="AG48" s="138" t="n">
        <f aca="false">-IF(AND(31&gt;=Hipótesis!$D$52,Hipótesis!$B$52=1),IF(Hipótesis!$G$52=1,Hipótesis!$E$44,Hipótesis!$C$52*(1+Hipótesis!$D$45)^2)*(1+Hipótesis!$D$42),0)</f>
        <v>-2800.776</v>
      </c>
      <c r="AH48" s="138" t="n">
        <f aca="false">-IF(AND(32&gt;=Hipótesis!$D$52,Hipótesis!$B$52=1),IF(Hipótesis!$G$52=1,Hipótesis!$E$44,Hipótesis!$C$52*(1+Hipótesis!$D$45)^2)*(1+Hipótesis!$D$42),0)</f>
        <v>-2800.776</v>
      </c>
      <c r="AI48" s="138" t="n">
        <f aca="false">-IF(AND(33&gt;=Hipótesis!$D$52,Hipótesis!$B$52=1),IF(Hipótesis!$G$52=1,Hipótesis!$E$44,Hipótesis!$C$52*(1+Hipótesis!$D$45)^2)*(1+Hipótesis!$D$42),0)</f>
        <v>-2800.776</v>
      </c>
      <c r="AJ48" s="138" t="n">
        <f aca="false">-IF(AND(34&gt;=Hipótesis!$D$52,Hipótesis!$B$52=1),IF(Hipótesis!$G$52=1,Hipótesis!$E$44,Hipótesis!$C$52*(1+Hipótesis!$D$45)^2)*(1+Hipótesis!$D$42),0)</f>
        <v>-2800.776</v>
      </c>
      <c r="AK48" s="138" t="n">
        <f aca="false">-IF(AND(35&gt;=Hipótesis!$D$52,Hipótesis!$B$52=1),IF(Hipótesis!$G$52=1,Hipótesis!$E$44,Hipótesis!$C$52*(1+Hipótesis!$D$45)^2)*(1+Hipótesis!$D$42),0)</f>
        <v>-2800.776</v>
      </c>
      <c r="AL48" s="138" t="n">
        <f aca="false">-IF(AND(36&gt;=Hipótesis!$D$52,Hipótesis!$B$52=1),IF(Hipótesis!$G$52=1,Hipótesis!$E$44,Hipótesis!$C$52*(1+Hipótesis!$D$45)^2)*(1+Hipótesis!$D$42),0)</f>
        <v>-2800.776</v>
      </c>
      <c r="AM48" s="138" t="n">
        <f aca="false">-IF(AND(37&gt;=Hipótesis!$D$52,Hipótesis!$B$52=1),IF(Hipótesis!$G$52=1,Hipótesis!$F$44,Hipótesis!$C$52*(1+Hipótesis!$D$45)^3)*(1+Hipótesis!$D$42),0)</f>
        <v>-2884.79928</v>
      </c>
      <c r="AN48" s="138" t="n">
        <f aca="false">-IF(AND(38&gt;=Hipótesis!$D$52,Hipótesis!$B$52=1),IF(Hipótesis!$G$52=1,Hipótesis!$F$44,Hipótesis!$C$52*(1+Hipótesis!$D$45)^3)*(1+Hipótesis!$D$42),0)</f>
        <v>-2884.79928</v>
      </c>
      <c r="AO48" s="138" t="n">
        <f aca="false">-IF(AND(39&gt;=Hipótesis!$D$52,Hipótesis!$B$52=1),IF(Hipótesis!$G$52=1,Hipótesis!$F$44,Hipótesis!$C$52*(1+Hipótesis!$D$45)^3)*(1+Hipótesis!$D$42),0)</f>
        <v>-2884.79928</v>
      </c>
      <c r="AP48" s="138" t="n">
        <f aca="false">-IF(AND(40&gt;=Hipótesis!$D$52,Hipótesis!$B$52=1),IF(Hipótesis!$G$52=1,Hipótesis!$F$44,Hipótesis!$C$52*(1+Hipótesis!$D$45)^3)*(1+Hipótesis!$D$42),0)</f>
        <v>-2884.79928</v>
      </c>
      <c r="AQ48" s="138" t="n">
        <f aca="false">-IF(AND(41&gt;=Hipótesis!$D$52,Hipótesis!$B$52=1),IF(Hipótesis!$G$52=1,Hipótesis!$F$44,Hipótesis!$C$52*(1+Hipótesis!$D$45)^3)*(1+Hipótesis!$D$42),0)</f>
        <v>-2884.79928</v>
      </c>
      <c r="AR48" s="138" t="n">
        <f aca="false">-IF(AND(42&gt;=Hipótesis!$D$52,Hipótesis!$B$52=1),IF(Hipótesis!$G$52=1,Hipótesis!$F$44,Hipótesis!$C$52*(1+Hipótesis!$D$45)^3)*(1+Hipótesis!$D$42),0)</f>
        <v>-2884.79928</v>
      </c>
      <c r="AS48" s="138" t="n">
        <f aca="false">-IF(AND(43&gt;=Hipótesis!$D$52,Hipótesis!$B$52=1),IF(Hipótesis!$G$52=1,Hipótesis!$F$44,Hipótesis!$C$52*(1+Hipótesis!$D$45)^3)*(1+Hipótesis!$D$42),0)</f>
        <v>-2884.79928</v>
      </c>
      <c r="AT48" s="138" t="n">
        <f aca="false">-IF(AND(44&gt;=Hipótesis!$D$52,Hipótesis!$B$52=1),IF(Hipótesis!$G$52=1,Hipótesis!$F$44,Hipótesis!$C$52*(1+Hipótesis!$D$45)^3)*(1+Hipótesis!$D$42),0)</f>
        <v>-2884.79928</v>
      </c>
      <c r="AU48" s="138" t="n">
        <f aca="false">-IF(AND(45&gt;=Hipótesis!$D$52,Hipótesis!$B$52=1),IF(Hipótesis!$G$52=1,Hipótesis!$F$44,Hipótesis!$C$52*(1+Hipótesis!$D$45)^3)*(1+Hipótesis!$D$42),0)</f>
        <v>-2884.79928</v>
      </c>
      <c r="AV48" s="138" t="n">
        <f aca="false">-IF(AND(46&gt;=Hipótesis!$D$52,Hipótesis!$B$52=1),IF(Hipótesis!$G$52=1,Hipótesis!$F$44,Hipótesis!$C$52*(1+Hipótesis!$D$45)^3)*(1+Hipótesis!$D$42),0)</f>
        <v>-2884.79928</v>
      </c>
      <c r="AW48" s="138" t="n">
        <f aca="false">-IF(AND(47&gt;=Hipótesis!$D$52,Hipótesis!$B$52=1),IF(Hipótesis!$G$52=1,Hipótesis!$F$44,Hipótesis!$C$52*(1+Hipótesis!$D$45)^3)*(1+Hipótesis!$D$42),0)</f>
        <v>-2884.79928</v>
      </c>
      <c r="AX48" s="138" t="n">
        <f aca="false">-IF(AND(48&gt;=Hipótesis!$D$52,Hipótesis!$B$52=1),IF(Hipótesis!$G$52=1,Hipótesis!$F$44,Hipótesis!$C$52*(1+Hipótesis!$D$45)^3)*(1+Hipótesis!$D$42),0)</f>
        <v>-2884.79928</v>
      </c>
      <c r="AY48" s="138" t="n">
        <f aca="false">-IF(AND(49&gt;=Hipótesis!$D$52,Hipótesis!$B$52=1),IF(Hipótesis!$G$52=1,Hipótesis!$G$44,Hipótesis!$C$52*(1+Hipótesis!$D$45)^4)*(1+Hipótesis!$D$42),0)</f>
        <v>-2971.3432584</v>
      </c>
      <c r="AZ48" s="138" t="n">
        <f aca="false">-IF(AND(50&gt;=Hipótesis!$D$52,Hipótesis!$B$52=1),IF(Hipótesis!$G$52=1,Hipótesis!$G$44,Hipótesis!$C$52*(1+Hipótesis!$D$45)^4)*(1+Hipótesis!$D$42),0)</f>
        <v>-2971.3432584</v>
      </c>
      <c r="BA48" s="138" t="n">
        <f aca="false">-IF(AND(51&gt;=Hipótesis!$D$52,Hipótesis!$B$52=1),IF(Hipótesis!$G$52=1,Hipótesis!$G$44,Hipótesis!$C$52*(1+Hipótesis!$D$45)^4)*(1+Hipótesis!$D$42),0)</f>
        <v>-2971.3432584</v>
      </c>
      <c r="BB48" s="138" t="n">
        <f aca="false">-IF(AND(52&gt;=Hipótesis!$D$52,Hipótesis!$B$52=1),IF(Hipótesis!$G$52=1,Hipótesis!$G$44,Hipótesis!$C$52*(1+Hipótesis!$D$45)^4)*(1+Hipótesis!$D$42),0)</f>
        <v>-2971.3432584</v>
      </c>
      <c r="BC48" s="138" t="n">
        <f aca="false">-IF(AND(53&gt;=Hipótesis!$D$52,Hipótesis!$B$52=1),IF(Hipótesis!$G$52=1,Hipótesis!$G$44,Hipótesis!$C$52*(1+Hipótesis!$D$45)^4)*(1+Hipótesis!$D$42),0)</f>
        <v>-2971.3432584</v>
      </c>
      <c r="BD48" s="138" t="n">
        <f aca="false">-IF(AND(54&gt;=Hipótesis!$D$52,Hipótesis!$B$52=1),IF(Hipótesis!$G$52=1,Hipótesis!$G$44,Hipótesis!$C$52*(1+Hipótesis!$D$45)^4)*(1+Hipótesis!$D$42),0)</f>
        <v>-2971.3432584</v>
      </c>
      <c r="BE48" s="138" t="n">
        <f aca="false">-IF(AND(55&gt;=Hipótesis!$D$52,Hipótesis!$B$52=1),IF(Hipótesis!$G$52=1,Hipótesis!$G$44,Hipótesis!$C$52*(1+Hipótesis!$D$45)^4)*(1+Hipótesis!$D$42),0)</f>
        <v>-2971.3432584</v>
      </c>
      <c r="BF48" s="138" t="n">
        <f aca="false">-IF(AND(56&gt;=Hipótesis!$D$52,Hipótesis!$B$52=1),IF(Hipótesis!$G$52=1,Hipótesis!$G$44,Hipótesis!$C$52*(1+Hipótesis!$D$45)^4)*(1+Hipótesis!$D$42),0)</f>
        <v>-2971.3432584</v>
      </c>
      <c r="BG48" s="138" t="n">
        <f aca="false">-IF(AND(57&gt;=Hipótesis!$D$52,Hipótesis!$B$52=1),IF(Hipótesis!$G$52=1,Hipótesis!$G$44,Hipótesis!$C$52*(1+Hipótesis!$D$45)^4)*(1+Hipótesis!$D$42),0)</f>
        <v>-2971.3432584</v>
      </c>
      <c r="BH48" s="138" t="n">
        <f aca="false">-IF(AND(58&gt;=Hipótesis!$D$52,Hipótesis!$B$52=1),IF(Hipótesis!$G$52=1,Hipótesis!$G$44,Hipótesis!$C$52*(1+Hipótesis!$D$45)^4)*(1+Hipótesis!$D$42),0)</f>
        <v>-2971.3432584</v>
      </c>
      <c r="BI48" s="138" t="n">
        <f aca="false">-IF(AND(59&gt;=Hipótesis!$D$52,Hipótesis!$B$52=1),IF(Hipótesis!$G$52=1,Hipótesis!$G$44,Hipótesis!$C$52*(1+Hipótesis!$D$45)^4)*(1+Hipótesis!$D$42),0)</f>
        <v>-2971.3432584</v>
      </c>
      <c r="BJ48" s="138" t="n">
        <f aca="false">-IF(AND(60&gt;=Hipótesis!$D$52,Hipótesis!$B$52=1),IF(Hipótesis!$G$52=1,Hipótesis!$G$44,Hipótesis!$C$52*(1+Hipótesis!$D$45)^4)*(1+Hipótesis!$D$42),0)</f>
        <v>-2971.3432584</v>
      </c>
      <c r="BK48" s="138" t="n">
        <f aca="false">-IF(AND(61&gt;=Hipótesis!$D$52,Hipótesis!$B$52=1),IF(Hipótesis!$G$52=1,Hipótesis!$H$44,Hipótesis!$C$52*(1+Hipótesis!$D$45)^5)*(1+Hipótesis!$D$42),0)</f>
        <v>-3060.483556152</v>
      </c>
      <c r="BL48" s="138" t="n">
        <f aca="false">-IF(AND(62&gt;=Hipótesis!$D$52,Hipótesis!$B$52=1),IF(Hipótesis!$G$52=1,Hipótesis!$H$44,Hipótesis!$C$52*(1+Hipótesis!$D$45)^5)*(1+Hipótesis!$D$42),0)</f>
        <v>-3060.483556152</v>
      </c>
      <c r="BM48" s="138" t="n">
        <f aca="false">-IF(AND(63&gt;=Hipótesis!$D$52,Hipótesis!$B$52=1),IF(Hipótesis!$G$52=1,Hipótesis!$H$44,Hipótesis!$C$52*(1+Hipótesis!$D$45)^5)*(1+Hipótesis!$D$42),0)</f>
        <v>-3060.483556152</v>
      </c>
      <c r="BN48" s="138" t="n">
        <f aca="false">-IF(AND(64&gt;=Hipótesis!$D$52,Hipótesis!$B$52=1),IF(Hipótesis!$G$52=1,Hipótesis!$H$44,Hipótesis!$C$52*(1+Hipótesis!$D$45)^5)*(1+Hipótesis!$D$42),0)</f>
        <v>-3060.483556152</v>
      </c>
      <c r="BO48" s="138" t="n">
        <f aca="false">-IF(AND(65&gt;=Hipótesis!$D$52,Hipótesis!$B$52=1),IF(Hipótesis!$G$52=1,Hipótesis!$H$44,Hipótesis!$C$52*(1+Hipótesis!$D$45)^5)*(1+Hipótesis!$D$42),0)</f>
        <v>-3060.483556152</v>
      </c>
      <c r="BP48" s="138" t="n">
        <f aca="false">-IF(AND(66&gt;=Hipótesis!$D$52,Hipótesis!$B$52=1),IF(Hipótesis!$G$52=1,Hipótesis!$H$44,Hipótesis!$C$52*(1+Hipótesis!$D$45)^5)*(1+Hipótesis!$D$42),0)</f>
        <v>-3060.483556152</v>
      </c>
      <c r="BQ48" s="138" t="n">
        <f aca="false">-IF(AND(67&gt;=Hipótesis!$D$52,Hipótesis!$B$52=1),IF(Hipótesis!$G$52=1,Hipótesis!$H$44,Hipótesis!$C$52*(1+Hipótesis!$D$45)^5)*(1+Hipótesis!$D$42),0)</f>
        <v>-3060.483556152</v>
      </c>
      <c r="BR48" s="138" t="n">
        <f aca="false">-IF(AND(68&gt;=Hipótesis!$D$52,Hipótesis!$B$52=1),IF(Hipótesis!$G$52=1,Hipótesis!$H$44,Hipótesis!$C$52*(1+Hipótesis!$D$45)^5)*(1+Hipótesis!$D$42),0)</f>
        <v>-3060.483556152</v>
      </c>
      <c r="BS48" s="138" t="n">
        <f aca="false">-IF(AND(69&gt;=Hipótesis!$D$52,Hipótesis!$B$52=1),IF(Hipótesis!$G$52=1,Hipótesis!$H$44,Hipótesis!$C$52*(1+Hipótesis!$D$45)^5)*(1+Hipótesis!$D$42),0)</f>
        <v>-3060.483556152</v>
      </c>
      <c r="BT48" s="138" t="n">
        <f aca="false">-IF(AND(70&gt;=Hipótesis!$D$52,Hipótesis!$B$52=1),IF(Hipótesis!$G$52=1,Hipótesis!$H$44,Hipótesis!$C$52*(1+Hipótesis!$D$45)^5)*(1+Hipótesis!$D$42),0)</f>
        <v>-3060.483556152</v>
      </c>
      <c r="BU48" s="138" t="n">
        <f aca="false">-IF(AND(71&gt;=Hipótesis!$D$52,Hipótesis!$B$52=1),IF(Hipótesis!$G$52=1,Hipótesis!$H$44,Hipótesis!$C$52*(1+Hipótesis!$D$45)^5)*(1+Hipótesis!$D$42),0)</f>
        <v>-3060.483556152</v>
      </c>
      <c r="BV48" s="138" t="n">
        <f aca="false">-IF(AND(72&gt;=Hipótesis!$D$52,Hipótesis!$B$52=1),IF(Hipótesis!$G$52=1,Hipótesis!$H$44,Hipótesis!$C$52*(1+Hipótesis!$D$45)^5)*(1+Hipótesis!$D$42),0)</f>
        <v>-3060.483556152</v>
      </c>
      <c r="BW48" s="138" t="n">
        <f aca="false">-IF(AND(73&gt;=Hipótesis!$D$52,Hipótesis!$B$52=1),IF(Hipótesis!$G$52=1,Hipótesis!$I$44,Hipótesis!$C$52*(1+Hipótesis!$D$45)^6)*(1+Hipótesis!$D$42),0)</f>
        <v>-3152.29806283656</v>
      </c>
      <c r="BX48" s="138" t="n">
        <f aca="false">-IF(AND(74&gt;=Hipótesis!$D$52,Hipótesis!$B$52=1),IF(Hipótesis!$G$52=1,Hipótesis!$I$44,Hipótesis!$C$52*(1+Hipótesis!$D$45)^6)*(1+Hipótesis!$D$42),0)</f>
        <v>-3152.29806283656</v>
      </c>
      <c r="BY48" s="138" t="n">
        <f aca="false">-IF(AND(75&gt;=Hipótesis!$D$52,Hipótesis!$B$52=1),IF(Hipótesis!$G$52=1,Hipótesis!$I$44,Hipótesis!$C$52*(1+Hipótesis!$D$45)^6)*(1+Hipótesis!$D$42),0)</f>
        <v>-3152.29806283656</v>
      </c>
      <c r="BZ48" s="138" t="n">
        <f aca="false">-IF(AND(76&gt;=Hipótesis!$D$52,Hipótesis!$B$52=1),IF(Hipótesis!$G$52=1,Hipótesis!$I$44,Hipótesis!$C$52*(1+Hipótesis!$D$45)^6)*(1+Hipótesis!$D$42),0)</f>
        <v>-3152.29806283656</v>
      </c>
      <c r="CA48" s="138" t="n">
        <f aca="false">-IF(AND(77&gt;=Hipótesis!$D$52,Hipótesis!$B$52=1),IF(Hipótesis!$G$52=1,Hipótesis!$I$44,Hipótesis!$C$52*(1+Hipótesis!$D$45)^6)*(1+Hipótesis!$D$42),0)</f>
        <v>-3152.29806283656</v>
      </c>
      <c r="CB48" s="138" t="n">
        <f aca="false">-IF(AND(78&gt;=Hipótesis!$D$52,Hipótesis!$B$52=1),IF(Hipótesis!$G$52=1,Hipótesis!$I$44,Hipótesis!$C$52*(1+Hipótesis!$D$45)^6)*(1+Hipótesis!$D$42),0)</f>
        <v>-3152.29806283656</v>
      </c>
      <c r="CC48" s="138" t="n">
        <f aca="false">-IF(AND(79&gt;=Hipótesis!$D$52,Hipótesis!$B$52=1),IF(Hipótesis!$G$52=1,Hipótesis!$I$44,Hipótesis!$C$52*(1+Hipótesis!$D$45)^6)*(1+Hipótesis!$D$42),0)</f>
        <v>-3152.29806283656</v>
      </c>
      <c r="CD48" s="138" t="n">
        <f aca="false">-IF(AND(80&gt;=Hipótesis!$D$52,Hipótesis!$B$52=1),IF(Hipótesis!$G$52=1,Hipótesis!$I$44,Hipótesis!$C$52*(1+Hipótesis!$D$45)^6)*(1+Hipótesis!$D$42),0)</f>
        <v>-3152.29806283656</v>
      </c>
      <c r="CE48" s="138" t="n">
        <f aca="false">-IF(AND(81&gt;=Hipótesis!$D$52,Hipótesis!$B$52=1),IF(Hipótesis!$G$52=1,Hipótesis!$I$44,Hipótesis!$C$52*(1+Hipótesis!$D$45)^6)*(1+Hipótesis!$D$42),0)</f>
        <v>-3152.29806283656</v>
      </c>
      <c r="CF48" s="138" t="n">
        <f aca="false">-IF(AND(82&gt;=Hipótesis!$D$52,Hipótesis!$B$52=1),IF(Hipótesis!$G$52=1,Hipótesis!$I$44,Hipótesis!$C$52*(1+Hipótesis!$D$45)^6)*(1+Hipótesis!$D$42),0)</f>
        <v>-3152.29806283656</v>
      </c>
      <c r="CG48" s="138" t="n">
        <f aca="false">-IF(AND(83&gt;=Hipótesis!$D$52,Hipótesis!$B$52=1),IF(Hipótesis!$G$52=1,Hipótesis!$I$44,Hipótesis!$C$52*(1+Hipótesis!$D$45)^6)*(1+Hipótesis!$D$42),0)</f>
        <v>-3152.29806283656</v>
      </c>
      <c r="CH48" s="138" t="n">
        <f aca="false">-IF(AND(84&gt;=Hipótesis!$D$52,Hipótesis!$B$52=1),IF(Hipótesis!$G$52=1,Hipótesis!$I$44,Hipótesis!$C$52*(1+Hipótesis!$D$45)^6)*(1+Hipótesis!$D$42),0)</f>
        <v>-3152.29806283656</v>
      </c>
    </row>
    <row r="49" customFormat="false" ht="13.5" hidden="false" customHeight="true" outlineLevel="0" collapsed="false">
      <c r="A49" s="13" t="s">
        <v>730</v>
      </c>
      <c r="C49" s="138" t="n">
        <f aca="false">-IF(AND(1&gt;=Hipótesis!$D$53,Hipótesis!$B$53=1),IF(Hipótesis!$G$53=1,Hipótesis!$C$44,Hipótesis!$C$53*(1+Hipótesis!$D$45)^0)*(1+Hipótesis!$D$42),0)</f>
        <v>-0</v>
      </c>
      <c r="D49" s="138" t="n">
        <f aca="false">-IF(AND(2&gt;=Hipótesis!$D$53,Hipótesis!$B$53=1),IF(Hipótesis!$G$53=1,Hipótesis!$C$44,Hipótesis!$C$53*(1+Hipótesis!$D$45)^0)*(1+Hipótesis!$D$42),0)</f>
        <v>-0</v>
      </c>
      <c r="E49" s="138" t="n">
        <f aca="false">-IF(AND(3&gt;=Hipótesis!$D$53,Hipótesis!$B$53=1),IF(Hipótesis!$G$53=1,Hipótesis!$C$44,Hipótesis!$C$53*(1+Hipótesis!$D$45)^0)*(1+Hipótesis!$D$42),0)</f>
        <v>-0</v>
      </c>
      <c r="F49" s="138" t="n">
        <f aca="false">-IF(AND(4&gt;=Hipótesis!$D$53,Hipótesis!$B$53=1),IF(Hipótesis!$G$53=1,Hipótesis!$C$44,Hipótesis!$C$53*(1+Hipótesis!$D$45)^0)*(1+Hipótesis!$D$42),0)</f>
        <v>-0</v>
      </c>
      <c r="G49" s="138" t="n">
        <f aca="false">-IF(AND(5&gt;=Hipótesis!$D$53,Hipótesis!$B$53=1),IF(Hipótesis!$G$53=1,Hipótesis!$C$44,Hipótesis!$C$53*(1+Hipótesis!$D$45)^0)*(1+Hipótesis!$D$42),0)</f>
        <v>-0</v>
      </c>
      <c r="H49" s="138" t="n">
        <f aca="false">-IF(AND(6&gt;=Hipótesis!$D$53,Hipótesis!$B$53=1),IF(Hipótesis!$G$53=1,Hipótesis!$C$44,Hipótesis!$C$53*(1+Hipótesis!$D$45)^0)*(1+Hipótesis!$D$42),0)</f>
        <v>-0</v>
      </c>
      <c r="I49" s="138" t="n">
        <f aca="false">-IF(AND(7&gt;=Hipótesis!$D$53,Hipótesis!$B$53=1),IF(Hipótesis!$G$53=1,Hipótesis!$C$44,Hipótesis!$C$53*(1+Hipótesis!$D$45)^0)*(1+Hipótesis!$D$42),0)</f>
        <v>-0</v>
      </c>
      <c r="J49" s="138" t="n">
        <f aca="false">-IF(AND(8&gt;=Hipótesis!$D$53,Hipótesis!$B$53=1),IF(Hipótesis!$G$53=1,Hipótesis!$C$44,Hipótesis!$C$53*(1+Hipótesis!$D$45)^0)*(1+Hipótesis!$D$42),0)</f>
        <v>-0</v>
      </c>
      <c r="K49" s="138" t="n">
        <f aca="false">-IF(AND(9&gt;=Hipótesis!$D$53,Hipótesis!$B$53=1),IF(Hipótesis!$G$53=1,Hipótesis!$C$44,Hipótesis!$C$53*(1+Hipótesis!$D$45)^0)*(1+Hipótesis!$D$42),0)</f>
        <v>-0</v>
      </c>
      <c r="L49" s="138" t="n">
        <f aca="false">-IF(AND(10&gt;=Hipótesis!$D$53,Hipótesis!$B$53=1),IF(Hipótesis!$G$53=1,Hipótesis!$C$44,Hipótesis!$C$53*(1+Hipótesis!$D$45)^0)*(1+Hipótesis!$D$42),0)</f>
        <v>-0</v>
      </c>
      <c r="M49" s="138" t="n">
        <f aca="false">-IF(AND(11&gt;=Hipótesis!$D$53,Hipótesis!$B$53=1),IF(Hipótesis!$G$53=1,Hipótesis!$C$44,Hipótesis!$C$53*(1+Hipótesis!$D$45)^0)*(1+Hipótesis!$D$42),0)</f>
        <v>-0</v>
      </c>
      <c r="N49" s="138" t="n">
        <f aca="false">-IF(AND(12&gt;=Hipótesis!$D$53,Hipótesis!$B$53=1),IF(Hipótesis!$G$53=1,Hipótesis!$C$44,Hipótesis!$C$53*(1+Hipótesis!$D$45)^0)*(1+Hipótesis!$D$42),0)</f>
        <v>-0</v>
      </c>
      <c r="O49" s="138" t="n">
        <f aca="false">-IF(AND(13&gt;=Hipótesis!$D$53,Hipótesis!$B$53=1),IF(Hipótesis!$G$53=1,Hipótesis!$D$44,Hipótesis!$C$53*(1+Hipótesis!$D$45)^1)*(1+Hipótesis!$D$42),0)</f>
        <v>-0</v>
      </c>
      <c r="P49" s="138" t="n">
        <f aca="false">-IF(AND(14&gt;=Hipótesis!$D$53,Hipótesis!$B$53=1),IF(Hipótesis!$G$53=1,Hipótesis!$D$44,Hipótesis!$C$53*(1+Hipótesis!$D$45)^1)*(1+Hipótesis!$D$42),0)</f>
        <v>-0</v>
      </c>
      <c r="Q49" s="138" t="n">
        <f aca="false">-IF(AND(15&gt;=Hipótesis!$D$53,Hipótesis!$B$53=1),IF(Hipótesis!$G$53=1,Hipótesis!$D$44,Hipótesis!$C$53*(1+Hipótesis!$D$45)^1)*(1+Hipótesis!$D$42),0)</f>
        <v>-0</v>
      </c>
      <c r="R49" s="138" t="n">
        <f aca="false">-IF(AND(16&gt;=Hipótesis!$D$53,Hipótesis!$B$53=1),IF(Hipótesis!$G$53=1,Hipótesis!$D$44,Hipótesis!$C$53*(1+Hipótesis!$D$45)^1)*(1+Hipótesis!$D$42),0)</f>
        <v>-0</v>
      </c>
      <c r="S49" s="138" t="n">
        <f aca="false">-IF(AND(17&gt;=Hipótesis!$D$53,Hipótesis!$B$53=1),IF(Hipótesis!$G$53=1,Hipótesis!$D$44,Hipótesis!$C$53*(1+Hipótesis!$D$45)^1)*(1+Hipótesis!$D$42),0)</f>
        <v>-0</v>
      </c>
      <c r="T49" s="138" t="n">
        <f aca="false">-IF(AND(18&gt;=Hipótesis!$D$53,Hipótesis!$B$53=1),IF(Hipótesis!$G$53=1,Hipótesis!$D$44,Hipótesis!$C$53*(1+Hipótesis!$D$45)^1)*(1+Hipótesis!$D$42),0)</f>
        <v>-0</v>
      </c>
      <c r="U49" s="138" t="n">
        <f aca="false">-IF(AND(19&gt;=Hipótesis!$D$53,Hipótesis!$B$53=1),IF(Hipótesis!$G$53=1,Hipótesis!$D$44,Hipótesis!$C$53*(1+Hipótesis!$D$45)^1)*(1+Hipótesis!$D$42),0)</f>
        <v>-0</v>
      </c>
      <c r="V49" s="138" t="n">
        <f aca="false">-IF(AND(20&gt;=Hipótesis!$D$53,Hipótesis!$B$53=1),IF(Hipótesis!$G$53=1,Hipótesis!$D$44,Hipótesis!$C$53*(1+Hipótesis!$D$45)^1)*(1+Hipótesis!$D$42),0)</f>
        <v>-0</v>
      </c>
      <c r="W49" s="138" t="n">
        <f aca="false">-IF(AND(21&gt;=Hipótesis!$D$53,Hipótesis!$B$53=1),IF(Hipótesis!$G$53=1,Hipótesis!$D$44,Hipótesis!$C$53*(1+Hipótesis!$D$45)^1)*(1+Hipótesis!$D$42),0)</f>
        <v>-0</v>
      </c>
      <c r="X49" s="138" t="n">
        <f aca="false">-IF(AND(22&gt;=Hipótesis!$D$53,Hipótesis!$B$53=1),IF(Hipótesis!$G$53=1,Hipótesis!$D$44,Hipótesis!$C$53*(1+Hipótesis!$D$45)^1)*(1+Hipótesis!$D$42),0)</f>
        <v>-0</v>
      </c>
      <c r="Y49" s="138" t="n">
        <f aca="false">-IF(AND(23&gt;=Hipótesis!$D$53,Hipótesis!$B$53=1),IF(Hipótesis!$G$53=1,Hipótesis!$D$44,Hipótesis!$C$53*(1+Hipótesis!$D$45)^1)*(1+Hipótesis!$D$42),0)</f>
        <v>-0</v>
      </c>
      <c r="Z49" s="138" t="n">
        <f aca="false">-IF(AND(24&gt;=Hipótesis!$D$53,Hipótesis!$B$53=1),IF(Hipótesis!$G$53=1,Hipótesis!$D$44,Hipótesis!$C$53*(1+Hipótesis!$D$45)^1)*(1+Hipótesis!$D$42),0)</f>
        <v>-0</v>
      </c>
      <c r="AA49" s="138" t="n">
        <f aca="false">-IF(AND(25&gt;=Hipótesis!$D$53,Hipótesis!$B$53=1),IF(Hipótesis!$G$53=1,Hipótesis!$E$44,Hipótesis!$C$53*(1+Hipótesis!$D$45)^2)*(1+Hipótesis!$D$42),0)</f>
        <v>-0</v>
      </c>
      <c r="AB49" s="138" t="n">
        <f aca="false">-IF(AND(26&gt;=Hipótesis!$D$53,Hipótesis!$B$53=1),IF(Hipótesis!$G$53=1,Hipótesis!$E$44,Hipótesis!$C$53*(1+Hipótesis!$D$45)^2)*(1+Hipótesis!$D$42),0)</f>
        <v>-0</v>
      </c>
      <c r="AC49" s="138" t="n">
        <f aca="false">-IF(AND(27&gt;=Hipótesis!$D$53,Hipótesis!$B$53=1),IF(Hipótesis!$G$53=1,Hipótesis!$E$44,Hipótesis!$C$53*(1+Hipótesis!$D$45)^2)*(1+Hipótesis!$D$42),0)</f>
        <v>-0</v>
      </c>
      <c r="AD49" s="138" t="n">
        <f aca="false">-IF(AND(28&gt;=Hipótesis!$D$53,Hipótesis!$B$53=1),IF(Hipótesis!$G$53=1,Hipótesis!$E$44,Hipótesis!$C$53*(1+Hipótesis!$D$45)^2)*(1+Hipótesis!$D$42),0)</f>
        <v>-0</v>
      </c>
      <c r="AE49" s="138" t="n">
        <f aca="false">-IF(AND(29&gt;=Hipótesis!$D$53,Hipótesis!$B$53=1),IF(Hipótesis!$G$53=1,Hipótesis!$E$44,Hipótesis!$C$53*(1+Hipótesis!$D$45)^2)*(1+Hipótesis!$D$42),0)</f>
        <v>-0</v>
      </c>
      <c r="AF49" s="138" t="n">
        <f aca="false">-IF(AND(30&gt;=Hipótesis!$D$53,Hipótesis!$B$53=1),IF(Hipótesis!$G$53=1,Hipótesis!$E$44,Hipótesis!$C$53*(1+Hipótesis!$D$45)^2)*(1+Hipótesis!$D$42),0)</f>
        <v>-0</v>
      </c>
      <c r="AG49" s="138" t="n">
        <f aca="false">-IF(AND(31&gt;=Hipótesis!$D$53,Hipótesis!$B$53=1),IF(Hipótesis!$G$53=1,Hipótesis!$E$44,Hipótesis!$C$53*(1+Hipótesis!$D$45)^2)*(1+Hipótesis!$D$42),0)</f>
        <v>-0</v>
      </c>
      <c r="AH49" s="138" t="n">
        <f aca="false">-IF(AND(32&gt;=Hipótesis!$D$53,Hipótesis!$B$53=1),IF(Hipótesis!$G$53=1,Hipótesis!$E$44,Hipótesis!$C$53*(1+Hipótesis!$D$45)^2)*(1+Hipótesis!$D$42),0)</f>
        <v>-0</v>
      </c>
      <c r="AI49" s="138" t="n">
        <f aca="false">-IF(AND(33&gt;=Hipótesis!$D$53,Hipótesis!$B$53=1),IF(Hipótesis!$G$53=1,Hipótesis!$E$44,Hipótesis!$C$53*(1+Hipótesis!$D$45)^2)*(1+Hipótesis!$D$42),0)</f>
        <v>-0</v>
      </c>
      <c r="AJ49" s="138" t="n">
        <f aca="false">-IF(AND(34&gt;=Hipótesis!$D$53,Hipótesis!$B$53=1),IF(Hipótesis!$G$53=1,Hipótesis!$E$44,Hipótesis!$C$53*(1+Hipótesis!$D$45)^2)*(1+Hipótesis!$D$42),0)</f>
        <v>-0</v>
      </c>
      <c r="AK49" s="138" t="n">
        <f aca="false">-IF(AND(35&gt;=Hipótesis!$D$53,Hipótesis!$B$53=1),IF(Hipótesis!$G$53=1,Hipótesis!$E$44,Hipótesis!$C$53*(1+Hipótesis!$D$45)^2)*(1+Hipótesis!$D$42),0)</f>
        <v>-0</v>
      </c>
      <c r="AL49" s="138" t="n">
        <f aca="false">-IF(AND(36&gt;=Hipótesis!$D$53,Hipótesis!$B$53=1),IF(Hipótesis!$G$53=1,Hipótesis!$E$44,Hipótesis!$C$53*(1+Hipótesis!$D$45)^2)*(1+Hipótesis!$D$42),0)</f>
        <v>-0</v>
      </c>
      <c r="AM49" s="138" t="n">
        <f aca="false">-IF(AND(37&gt;=Hipótesis!$D$53,Hipótesis!$B$53=1),IF(Hipótesis!$G$53=1,Hipótesis!$F$44,Hipótesis!$C$53*(1+Hipótesis!$D$45)^3)*(1+Hipótesis!$D$42),0)</f>
        <v>-0</v>
      </c>
      <c r="AN49" s="138" t="n">
        <f aca="false">-IF(AND(38&gt;=Hipótesis!$D$53,Hipótesis!$B$53=1),IF(Hipótesis!$G$53=1,Hipótesis!$F$44,Hipótesis!$C$53*(1+Hipótesis!$D$45)^3)*(1+Hipótesis!$D$42),0)</f>
        <v>-0</v>
      </c>
      <c r="AO49" s="138" t="n">
        <f aca="false">-IF(AND(39&gt;=Hipótesis!$D$53,Hipótesis!$B$53=1),IF(Hipótesis!$G$53=1,Hipótesis!$F$44,Hipótesis!$C$53*(1+Hipótesis!$D$45)^3)*(1+Hipótesis!$D$42),0)</f>
        <v>-0</v>
      </c>
      <c r="AP49" s="138" t="n">
        <f aca="false">-IF(AND(40&gt;=Hipótesis!$D$53,Hipótesis!$B$53=1),IF(Hipótesis!$G$53=1,Hipótesis!$F$44,Hipótesis!$C$53*(1+Hipótesis!$D$45)^3)*(1+Hipótesis!$D$42),0)</f>
        <v>-0</v>
      </c>
      <c r="AQ49" s="138" t="n">
        <f aca="false">-IF(AND(41&gt;=Hipótesis!$D$53,Hipótesis!$B$53=1),IF(Hipótesis!$G$53=1,Hipótesis!$F$44,Hipótesis!$C$53*(1+Hipótesis!$D$45)^3)*(1+Hipótesis!$D$42),0)</f>
        <v>-0</v>
      </c>
      <c r="AR49" s="138" t="n">
        <f aca="false">-IF(AND(42&gt;=Hipótesis!$D$53,Hipótesis!$B$53=1),IF(Hipótesis!$G$53=1,Hipótesis!$F$44,Hipótesis!$C$53*(1+Hipótesis!$D$45)^3)*(1+Hipótesis!$D$42),0)</f>
        <v>-0</v>
      </c>
      <c r="AS49" s="138" t="n">
        <f aca="false">-IF(AND(43&gt;=Hipótesis!$D$53,Hipótesis!$B$53=1),IF(Hipótesis!$G$53=1,Hipótesis!$F$44,Hipótesis!$C$53*(1+Hipótesis!$D$45)^3)*(1+Hipótesis!$D$42),0)</f>
        <v>-0</v>
      </c>
      <c r="AT49" s="138" t="n">
        <f aca="false">-IF(AND(44&gt;=Hipótesis!$D$53,Hipótesis!$B$53=1),IF(Hipótesis!$G$53=1,Hipótesis!$F$44,Hipótesis!$C$53*(1+Hipótesis!$D$45)^3)*(1+Hipótesis!$D$42),0)</f>
        <v>-0</v>
      </c>
      <c r="AU49" s="138" t="n">
        <f aca="false">-IF(AND(45&gt;=Hipótesis!$D$53,Hipótesis!$B$53=1),IF(Hipótesis!$G$53=1,Hipótesis!$F$44,Hipótesis!$C$53*(1+Hipótesis!$D$45)^3)*(1+Hipótesis!$D$42),0)</f>
        <v>-0</v>
      </c>
      <c r="AV49" s="138" t="n">
        <f aca="false">-IF(AND(46&gt;=Hipótesis!$D$53,Hipótesis!$B$53=1),IF(Hipótesis!$G$53=1,Hipótesis!$F$44,Hipótesis!$C$53*(1+Hipótesis!$D$45)^3)*(1+Hipótesis!$D$42),0)</f>
        <v>-0</v>
      </c>
      <c r="AW49" s="138" t="n">
        <f aca="false">-IF(AND(47&gt;=Hipótesis!$D$53,Hipótesis!$B$53=1),IF(Hipótesis!$G$53=1,Hipótesis!$F$44,Hipótesis!$C$53*(1+Hipótesis!$D$45)^3)*(1+Hipótesis!$D$42),0)</f>
        <v>-0</v>
      </c>
      <c r="AX49" s="138" t="n">
        <f aca="false">-IF(AND(48&gt;=Hipótesis!$D$53,Hipótesis!$B$53=1),IF(Hipótesis!$G$53=1,Hipótesis!$F$44,Hipótesis!$C$53*(1+Hipótesis!$D$45)^3)*(1+Hipótesis!$D$42),0)</f>
        <v>-0</v>
      </c>
      <c r="AY49" s="138" t="n">
        <f aca="false">-IF(AND(49&gt;=Hipótesis!$D$53,Hipótesis!$B$53=1),IF(Hipótesis!$G$53=1,Hipótesis!$G$44,Hipótesis!$C$53*(1+Hipótesis!$D$45)^4)*(1+Hipótesis!$D$42),0)</f>
        <v>-0</v>
      </c>
      <c r="AZ49" s="138" t="n">
        <f aca="false">-IF(AND(50&gt;=Hipótesis!$D$53,Hipótesis!$B$53=1),IF(Hipótesis!$G$53=1,Hipótesis!$G$44,Hipótesis!$C$53*(1+Hipótesis!$D$45)^4)*(1+Hipótesis!$D$42),0)</f>
        <v>-0</v>
      </c>
      <c r="BA49" s="138" t="n">
        <f aca="false">-IF(AND(51&gt;=Hipótesis!$D$53,Hipótesis!$B$53=1),IF(Hipótesis!$G$53=1,Hipótesis!$G$44,Hipótesis!$C$53*(1+Hipótesis!$D$45)^4)*(1+Hipótesis!$D$42),0)</f>
        <v>-0</v>
      </c>
      <c r="BB49" s="138" t="n">
        <f aca="false">-IF(AND(52&gt;=Hipótesis!$D$53,Hipótesis!$B$53=1),IF(Hipótesis!$G$53=1,Hipótesis!$G$44,Hipótesis!$C$53*(1+Hipótesis!$D$45)^4)*(1+Hipótesis!$D$42),0)</f>
        <v>-0</v>
      </c>
      <c r="BC49" s="138" t="n">
        <f aca="false">-IF(AND(53&gt;=Hipótesis!$D$53,Hipótesis!$B$53=1),IF(Hipótesis!$G$53=1,Hipótesis!$G$44,Hipótesis!$C$53*(1+Hipótesis!$D$45)^4)*(1+Hipótesis!$D$42),0)</f>
        <v>-0</v>
      </c>
      <c r="BD49" s="138" t="n">
        <f aca="false">-IF(AND(54&gt;=Hipótesis!$D$53,Hipótesis!$B$53=1),IF(Hipótesis!$G$53=1,Hipótesis!$G$44,Hipótesis!$C$53*(1+Hipótesis!$D$45)^4)*(1+Hipótesis!$D$42),0)</f>
        <v>-0</v>
      </c>
      <c r="BE49" s="138" t="n">
        <f aca="false">-IF(AND(55&gt;=Hipótesis!$D$53,Hipótesis!$B$53=1),IF(Hipótesis!$G$53=1,Hipótesis!$G$44,Hipótesis!$C$53*(1+Hipótesis!$D$45)^4)*(1+Hipótesis!$D$42),0)</f>
        <v>-0</v>
      </c>
      <c r="BF49" s="138" t="n">
        <f aca="false">-IF(AND(56&gt;=Hipótesis!$D$53,Hipótesis!$B$53=1),IF(Hipótesis!$G$53=1,Hipótesis!$G$44,Hipótesis!$C$53*(1+Hipótesis!$D$45)^4)*(1+Hipótesis!$D$42),0)</f>
        <v>-0</v>
      </c>
      <c r="BG49" s="138" t="n">
        <f aca="false">-IF(AND(57&gt;=Hipótesis!$D$53,Hipótesis!$B$53=1),IF(Hipótesis!$G$53=1,Hipótesis!$G$44,Hipótesis!$C$53*(1+Hipótesis!$D$45)^4)*(1+Hipótesis!$D$42),0)</f>
        <v>-0</v>
      </c>
      <c r="BH49" s="138" t="n">
        <f aca="false">-IF(AND(58&gt;=Hipótesis!$D$53,Hipótesis!$B$53=1),IF(Hipótesis!$G$53=1,Hipótesis!$G$44,Hipótesis!$C$53*(1+Hipótesis!$D$45)^4)*(1+Hipótesis!$D$42),0)</f>
        <v>-0</v>
      </c>
      <c r="BI49" s="138" t="n">
        <f aca="false">-IF(AND(59&gt;=Hipótesis!$D$53,Hipótesis!$B$53=1),IF(Hipótesis!$G$53=1,Hipótesis!$G$44,Hipótesis!$C$53*(1+Hipótesis!$D$45)^4)*(1+Hipótesis!$D$42),0)</f>
        <v>-0</v>
      </c>
      <c r="BJ49" s="138" t="n">
        <f aca="false">-IF(AND(60&gt;=Hipótesis!$D$53,Hipótesis!$B$53=1),IF(Hipótesis!$G$53=1,Hipótesis!$G$44,Hipótesis!$C$53*(1+Hipótesis!$D$45)^4)*(1+Hipótesis!$D$42),0)</f>
        <v>-0</v>
      </c>
      <c r="BK49" s="138" t="n">
        <f aca="false">-IF(AND(61&gt;=Hipótesis!$D$53,Hipótesis!$B$53=1),IF(Hipótesis!$G$53=1,Hipótesis!$H$44,Hipótesis!$C$53*(1+Hipótesis!$D$45)^5)*(1+Hipótesis!$D$42),0)</f>
        <v>-0</v>
      </c>
      <c r="BL49" s="138" t="n">
        <f aca="false">-IF(AND(62&gt;=Hipótesis!$D$53,Hipótesis!$B$53=1),IF(Hipótesis!$G$53=1,Hipótesis!$H$44,Hipótesis!$C$53*(1+Hipótesis!$D$45)^5)*(1+Hipótesis!$D$42),0)</f>
        <v>-0</v>
      </c>
      <c r="BM49" s="138" t="n">
        <f aca="false">-IF(AND(63&gt;=Hipótesis!$D$53,Hipótesis!$B$53=1),IF(Hipótesis!$G$53=1,Hipótesis!$H$44,Hipótesis!$C$53*(1+Hipótesis!$D$45)^5)*(1+Hipótesis!$D$42),0)</f>
        <v>-0</v>
      </c>
      <c r="BN49" s="138" t="n">
        <f aca="false">-IF(AND(64&gt;=Hipótesis!$D$53,Hipótesis!$B$53=1),IF(Hipótesis!$G$53=1,Hipótesis!$H$44,Hipótesis!$C$53*(1+Hipótesis!$D$45)^5)*(1+Hipótesis!$D$42),0)</f>
        <v>-0</v>
      </c>
      <c r="BO49" s="138" t="n">
        <f aca="false">-IF(AND(65&gt;=Hipótesis!$D$53,Hipótesis!$B$53=1),IF(Hipótesis!$G$53=1,Hipótesis!$H$44,Hipótesis!$C$53*(1+Hipótesis!$D$45)^5)*(1+Hipótesis!$D$42),0)</f>
        <v>-0</v>
      </c>
      <c r="BP49" s="138" t="n">
        <f aca="false">-IF(AND(66&gt;=Hipótesis!$D$53,Hipótesis!$B$53=1),IF(Hipótesis!$G$53=1,Hipótesis!$H$44,Hipótesis!$C$53*(1+Hipótesis!$D$45)^5)*(1+Hipótesis!$D$42),0)</f>
        <v>-0</v>
      </c>
      <c r="BQ49" s="138" t="n">
        <f aca="false">-IF(AND(67&gt;=Hipótesis!$D$53,Hipótesis!$B$53=1),IF(Hipótesis!$G$53=1,Hipótesis!$H$44,Hipótesis!$C$53*(1+Hipótesis!$D$45)^5)*(1+Hipótesis!$D$42),0)</f>
        <v>-0</v>
      </c>
      <c r="BR49" s="138" t="n">
        <f aca="false">-IF(AND(68&gt;=Hipótesis!$D$53,Hipótesis!$B$53=1),IF(Hipótesis!$G$53=1,Hipótesis!$H$44,Hipótesis!$C$53*(1+Hipótesis!$D$45)^5)*(1+Hipótesis!$D$42),0)</f>
        <v>-0</v>
      </c>
      <c r="BS49" s="138" t="n">
        <f aca="false">-IF(AND(69&gt;=Hipótesis!$D$53,Hipótesis!$B$53=1),IF(Hipótesis!$G$53=1,Hipótesis!$H$44,Hipótesis!$C$53*(1+Hipótesis!$D$45)^5)*(1+Hipótesis!$D$42),0)</f>
        <v>-0</v>
      </c>
      <c r="BT49" s="138" t="n">
        <f aca="false">-IF(AND(70&gt;=Hipótesis!$D$53,Hipótesis!$B$53=1),IF(Hipótesis!$G$53=1,Hipótesis!$H$44,Hipótesis!$C$53*(1+Hipótesis!$D$45)^5)*(1+Hipótesis!$D$42),0)</f>
        <v>-0</v>
      </c>
      <c r="BU49" s="138" t="n">
        <f aca="false">-IF(AND(71&gt;=Hipótesis!$D$53,Hipótesis!$B$53=1),IF(Hipótesis!$G$53=1,Hipótesis!$H$44,Hipótesis!$C$53*(1+Hipótesis!$D$45)^5)*(1+Hipótesis!$D$42),0)</f>
        <v>-0</v>
      </c>
      <c r="BV49" s="138" t="n">
        <f aca="false">-IF(AND(72&gt;=Hipótesis!$D$53,Hipótesis!$B$53=1),IF(Hipótesis!$G$53=1,Hipótesis!$H$44,Hipótesis!$C$53*(1+Hipótesis!$D$45)^5)*(1+Hipótesis!$D$42),0)</f>
        <v>-0</v>
      </c>
      <c r="BW49" s="138" t="n">
        <f aca="false">-IF(AND(73&gt;=Hipótesis!$D$53,Hipótesis!$B$53=1),IF(Hipótesis!$G$53=1,Hipótesis!$I$44,Hipótesis!$C$53*(1+Hipótesis!$D$45)^6)*(1+Hipótesis!$D$42),0)</f>
        <v>-0</v>
      </c>
      <c r="BX49" s="138" t="n">
        <f aca="false">-IF(AND(74&gt;=Hipótesis!$D$53,Hipótesis!$B$53=1),IF(Hipótesis!$G$53=1,Hipótesis!$I$44,Hipótesis!$C$53*(1+Hipótesis!$D$45)^6)*(1+Hipótesis!$D$42),0)</f>
        <v>-0</v>
      </c>
      <c r="BY49" s="138" t="n">
        <f aca="false">-IF(AND(75&gt;=Hipótesis!$D$53,Hipótesis!$B$53=1),IF(Hipótesis!$G$53=1,Hipótesis!$I$44,Hipótesis!$C$53*(1+Hipótesis!$D$45)^6)*(1+Hipótesis!$D$42),0)</f>
        <v>-0</v>
      </c>
      <c r="BZ49" s="138" t="n">
        <f aca="false">-IF(AND(76&gt;=Hipótesis!$D$53,Hipótesis!$B$53=1),IF(Hipótesis!$G$53=1,Hipótesis!$I$44,Hipótesis!$C$53*(1+Hipótesis!$D$45)^6)*(1+Hipótesis!$D$42),0)</f>
        <v>-0</v>
      </c>
      <c r="CA49" s="138" t="n">
        <f aca="false">-IF(AND(77&gt;=Hipótesis!$D$53,Hipótesis!$B$53=1),IF(Hipótesis!$G$53=1,Hipótesis!$I$44,Hipótesis!$C$53*(1+Hipótesis!$D$45)^6)*(1+Hipótesis!$D$42),0)</f>
        <v>-0</v>
      </c>
      <c r="CB49" s="138" t="n">
        <f aca="false">-IF(AND(78&gt;=Hipótesis!$D$53,Hipótesis!$B$53=1),IF(Hipótesis!$G$53=1,Hipótesis!$I$44,Hipótesis!$C$53*(1+Hipótesis!$D$45)^6)*(1+Hipótesis!$D$42),0)</f>
        <v>-0</v>
      </c>
      <c r="CC49" s="138" t="n">
        <f aca="false">-IF(AND(79&gt;=Hipótesis!$D$53,Hipótesis!$B$53=1),IF(Hipótesis!$G$53=1,Hipótesis!$I$44,Hipótesis!$C$53*(1+Hipótesis!$D$45)^6)*(1+Hipótesis!$D$42),0)</f>
        <v>-0</v>
      </c>
      <c r="CD49" s="138" t="n">
        <f aca="false">-IF(AND(80&gt;=Hipótesis!$D$53,Hipótesis!$B$53=1),IF(Hipótesis!$G$53=1,Hipótesis!$I$44,Hipótesis!$C$53*(1+Hipótesis!$D$45)^6)*(1+Hipótesis!$D$42),0)</f>
        <v>-0</v>
      </c>
      <c r="CE49" s="138" t="n">
        <f aca="false">-IF(AND(81&gt;=Hipótesis!$D$53,Hipótesis!$B$53=1),IF(Hipótesis!$G$53=1,Hipótesis!$I$44,Hipótesis!$C$53*(1+Hipótesis!$D$45)^6)*(1+Hipótesis!$D$42),0)</f>
        <v>-0</v>
      </c>
      <c r="CF49" s="138" t="n">
        <f aca="false">-IF(AND(82&gt;=Hipótesis!$D$53,Hipótesis!$B$53=1),IF(Hipótesis!$G$53=1,Hipótesis!$I$44,Hipótesis!$C$53*(1+Hipótesis!$D$45)^6)*(1+Hipótesis!$D$42),0)</f>
        <v>-0</v>
      </c>
      <c r="CG49" s="138" t="n">
        <f aca="false">-IF(AND(83&gt;=Hipótesis!$D$53,Hipótesis!$B$53=1),IF(Hipótesis!$G$53=1,Hipótesis!$I$44,Hipótesis!$C$53*(1+Hipótesis!$D$45)^6)*(1+Hipótesis!$D$42),0)</f>
        <v>-0</v>
      </c>
      <c r="CH49" s="138" t="n">
        <f aca="false">-IF(AND(84&gt;=Hipótesis!$D$53,Hipótesis!$B$53=1),IF(Hipótesis!$G$53=1,Hipótesis!$I$44,Hipótesis!$C$53*(1+Hipótesis!$D$45)^6)*(1+Hipótesis!$D$42),0)</f>
        <v>-0</v>
      </c>
    </row>
    <row r="50" customFormat="false" ht="13.5" hidden="false" customHeight="true" outlineLevel="0" collapsed="false">
      <c r="A50" s="30" t="s">
        <v>731</v>
      </c>
      <c r="C50" s="138" t="n">
        <f aca="false">-C30*Hipótesis!$D$61*(1+Hipótesis!$D$45)^0*(1+Hipótesis!$D$42)</f>
        <v>-0</v>
      </c>
      <c r="D50" s="138" t="n">
        <f aca="false">-D30*Hipótesis!$D$61*(1+Hipótesis!$D$45)^0*(1+Hipótesis!$D$42)</f>
        <v>-0</v>
      </c>
      <c r="E50" s="138" t="n">
        <f aca="false">-E30*Hipótesis!$D$61*(1+Hipótesis!$D$45)^0*(1+Hipótesis!$D$42)</f>
        <v>-0</v>
      </c>
      <c r="F50" s="138" t="n">
        <f aca="false">-F30*Hipótesis!$D$61*(1+Hipótesis!$D$45)^0*(1+Hipótesis!$D$42)</f>
        <v>-0</v>
      </c>
      <c r="G50" s="138" t="n">
        <f aca="false">-G30*Hipótesis!$D$61*(1+Hipótesis!$D$45)^0*(1+Hipótesis!$D$42)</f>
        <v>-0</v>
      </c>
      <c r="H50" s="138" t="n">
        <f aca="false">-H30*Hipótesis!$D$61*(1+Hipótesis!$D$45)^0*(1+Hipótesis!$D$42)</f>
        <v>-0</v>
      </c>
      <c r="I50" s="138" t="n">
        <f aca="false">-I30*Hipótesis!$D$61*(1+Hipótesis!$D$45)^0*(1+Hipótesis!$D$42)</f>
        <v>-0</v>
      </c>
      <c r="J50" s="138" t="n">
        <f aca="false">-J30*Hipótesis!$D$61*(1+Hipótesis!$D$45)^0*(1+Hipótesis!$D$42)</f>
        <v>-0</v>
      </c>
      <c r="K50" s="138" t="n">
        <f aca="false">-K30*Hipótesis!$D$61*(1+Hipótesis!$D$45)^0*(1+Hipótesis!$D$42)</f>
        <v>-0</v>
      </c>
      <c r="L50" s="138" t="n">
        <f aca="false">-L30*Hipótesis!$D$61*(1+Hipótesis!$D$45)^0*(1+Hipótesis!$D$42)</f>
        <v>-0</v>
      </c>
      <c r="M50" s="138" t="n">
        <f aca="false">-M30*Hipótesis!$D$61*(1+Hipótesis!$D$45)^0*(1+Hipótesis!$D$42)</f>
        <v>-0</v>
      </c>
      <c r="N50" s="138" t="n">
        <f aca="false">-N30*Hipótesis!$D$61*(1+Hipótesis!$D$45)^0*(1+Hipótesis!$D$42)</f>
        <v>-0</v>
      </c>
      <c r="O50" s="138" t="n">
        <f aca="false">-O30*Hipótesis!$D$61*(1+Hipótesis!$D$45)^1*(1+Hipótesis!$D$42)</f>
        <v>-0</v>
      </c>
      <c r="P50" s="138" t="n">
        <f aca="false">-P30*Hipótesis!$D$61*(1+Hipótesis!$D$45)^1*(1+Hipótesis!$D$42)</f>
        <v>-2311.32</v>
      </c>
      <c r="Q50" s="138" t="n">
        <f aca="false">-Q30*Hipótesis!$D$61*(1+Hipótesis!$D$45)^1*(1+Hipótesis!$D$42)</f>
        <v>-2311.32</v>
      </c>
      <c r="R50" s="138" t="n">
        <f aca="false">-R30*Hipótesis!$D$61*(1+Hipótesis!$D$45)^1*(1+Hipótesis!$D$42)</f>
        <v>-2311.32</v>
      </c>
      <c r="S50" s="138" t="n">
        <f aca="false">-S30*Hipótesis!$D$61*(1+Hipótesis!$D$45)^1*(1+Hipótesis!$D$42)</f>
        <v>-2311.32</v>
      </c>
      <c r="T50" s="138" t="n">
        <f aca="false">-T30*Hipótesis!$D$61*(1+Hipótesis!$D$45)^1*(1+Hipótesis!$D$42)</f>
        <v>-2311.32</v>
      </c>
      <c r="U50" s="138" t="n">
        <f aca="false">-U30*Hipótesis!$D$61*(1+Hipótesis!$D$45)^1*(1+Hipótesis!$D$42)</f>
        <v>-4622.64</v>
      </c>
      <c r="V50" s="138" t="n">
        <f aca="false">-V30*Hipótesis!$D$61*(1+Hipótesis!$D$45)^1*(1+Hipótesis!$D$42)</f>
        <v>-4622.64</v>
      </c>
      <c r="W50" s="138" t="n">
        <f aca="false">-W30*Hipótesis!$D$61*(1+Hipótesis!$D$45)^1*(1+Hipótesis!$D$42)</f>
        <v>-4622.64</v>
      </c>
      <c r="X50" s="138" t="n">
        <f aca="false">-X30*Hipótesis!$D$61*(1+Hipótesis!$D$45)^1*(1+Hipótesis!$D$42)</f>
        <v>-4622.64</v>
      </c>
      <c r="Y50" s="138" t="n">
        <f aca="false">-Y30*Hipótesis!$D$61*(1+Hipótesis!$D$45)^1*(1+Hipótesis!$D$42)</f>
        <v>-4622.64</v>
      </c>
      <c r="Z50" s="138" t="n">
        <f aca="false">-Z30*Hipótesis!$D$61*(1+Hipótesis!$D$45)^1*(1+Hipótesis!$D$42)</f>
        <v>-4622.64</v>
      </c>
      <c r="AA50" s="138" t="n">
        <f aca="false">-AA30*Hipótesis!$D$61*(1+Hipótesis!$D$45)^2*(1+Hipótesis!$D$42)</f>
        <v>-4761.3192</v>
      </c>
      <c r="AB50" s="138" t="n">
        <f aca="false">-AB30*Hipótesis!$D$61*(1+Hipótesis!$D$45)^2*(1+Hipótesis!$D$42)</f>
        <v>-7141.9788</v>
      </c>
      <c r="AC50" s="138" t="n">
        <f aca="false">-AC30*Hipótesis!$D$61*(1+Hipótesis!$D$45)^2*(1+Hipótesis!$D$42)</f>
        <v>-7141.9788</v>
      </c>
      <c r="AD50" s="138" t="n">
        <f aca="false">-AD30*Hipótesis!$D$61*(1+Hipótesis!$D$45)^2*(1+Hipótesis!$D$42)</f>
        <v>-7141.9788</v>
      </c>
      <c r="AE50" s="138" t="n">
        <f aca="false">-AE30*Hipótesis!$D$61*(1+Hipótesis!$D$45)^2*(1+Hipótesis!$D$42)</f>
        <v>-7141.9788</v>
      </c>
      <c r="AF50" s="138" t="n">
        <f aca="false">-AF30*Hipótesis!$D$61*(1+Hipótesis!$D$45)^2*(1+Hipótesis!$D$42)</f>
        <v>-7141.9788</v>
      </c>
      <c r="AG50" s="138" t="n">
        <f aca="false">-AG30*Hipótesis!$D$61*(1+Hipótesis!$D$45)^2*(1+Hipótesis!$D$42)</f>
        <v>-7141.9788</v>
      </c>
      <c r="AH50" s="138" t="n">
        <f aca="false">-AH30*Hipótesis!$D$61*(1+Hipótesis!$D$45)^2*(1+Hipótesis!$D$42)</f>
        <v>-7141.9788</v>
      </c>
      <c r="AI50" s="138" t="n">
        <f aca="false">-AI30*Hipótesis!$D$61*(1+Hipótesis!$D$45)^2*(1+Hipótesis!$D$42)</f>
        <v>-7141.9788</v>
      </c>
      <c r="AJ50" s="138" t="n">
        <f aca="false">-AJ30*Hipótesis!$D$61*(1+Hipótesis!$D$45)^2*(1+Hipótesis!$D$42)</f>
        <v>-7141.9788</v>
      </c>
      <c r="AK50" s="138" t="n">
        <f aca="false">-AK30*Hipótesis!$D$61*(1+Hipótesis!$D$45)^2*(1+Hipótesis!$D$42)</f>
        <v>-7141.9788</v>
      </c>
      <c r="AL50" s="138" t="n">
        <f aca="false">-AL30*Hipótesis!$D$61*(1+Hipótesis!$D$45)^2*(1+Hipótesis!$D$42)</f>
        <v>-9522.6384</v>
      </c>
      <c r="AM50" s="138" t="n">
        <f aca="false">-AM30*Hipótesis!$D$61*(1+Hipótesis!$D$45)^3*(1+Hipótesis!$D$42)</f>
        <v>-9808.317552</v>
      </c>
      <c r="AN50" s="138" t="n">
        <f aca="false">-AN30*Hipótesis!$D$61*(1+Hipótesis!$D$45)^3*(1+Hipótesis!$D$42)</f>
        <v>-9808.317552</v>
      </c>
      <c r="AO50" s="138" t="n">
        <f aca="false">-AO30*Hipótesis!$D$61*(1+Hipótesis!$D$45)^3*(1+Hipótesis!$D$42)</f>
        <v>-9808.317552</v>
      </c>
      <c r="AP50" s="138" t="n">
        <f aca="false">-AP30*Hipótesis!$D$61*(1+Hipótesis!$D$45)^3*(1+Hipótesis!$D$42)</f>
        <v>-9808.317552</v>
      </c>
      <c r="AQ50" s="138" t="n">
        <f aca="false">-AQ30*Hipótesis!$D$61*(1+Hipótesis!$D$45)^3*(1+Hipótesis!$D$42)</f>
        <v>-9808.317552</v>
      </c>
      <c r="AR50" s="138" t="n">
        <f aca="false">-AR30*Hipótesis!$D$61*(1+Hipótesis!$D$45)^3*(1+Hipótesis!$D$42)</f>
        <v>-9808.317552</v>
      </c>
      <c r="AS50" s="138" t="n">
        <f aca="false">-AS30*Hipótesis!$D$61*(1+Hipótesis!$D$45)^3*(1+Hipótesis!$D$42)</f>
        <v>-9808.317552</v>
      </c>
      <c r="AT50" s="138" t="n">
        <f aca="false">-AT30*Hipótesis!$D$61*(1+Hipótesis!$D$45)^3*(1+Hipótesis!$D$42)</f>
        <v>-9808.317552</v>
      </c>
      <c r="AU50" s="138" t="n">
        <f aca="false">-AU30*Hipótesis!$D$61*(1+Hipótesis!$D$45)^3*(1+Hipótesis!$D$42)</f>
        <v>-9808.317552</v>
      </c>
      <c r="AV50" s="138" t="n">
        <f aca="false">-AV30*Hipótesis!$D$61*(1+Hipótesis!$D$45)^3*(1+Hipótesis!$D$42)</f>
        <v>-9808.317552</v>
      </c>
      <c r="AW50" s="138" t="n">
        <f aca="false">-AW30*Hipótesis!$D$61*(1+Hipótesis!$D$45)^3*(1+Hipótesis!$D$42)</f>
        <v>-9808.317552</v>
      </c>
      <c r="AX50" s="138" t="n">
        <f aca="false">-AX30*Hipótesis!$D$61*(1+Hipótesis!$D$45)^3*(1+Hipótesis!$D$42)</f>
        <v>-9808.317552</v>
      </c>
      <c r="AY50" s="138" t="n">
        <f aca="false">-AY30*Hipótesis!$D$61*(1+Hipótesis!$D$45)^4*(1+Hipótesis!$D$42)</f>
        <v>-10102.56707856</v>
      </c>
      <c r="AZ50" s="138" t="n">
        <f aca="false">-AZ30*Hipótesis!$D$61*(1+Hipótesis!$D$45)^4*(1+Hipótesis!$D$42)</f>
        <v>-10102.56707856</v>
      </c>
      <c r="BA50" s="138" t="n">
        <f aca="false">-BA30*Hipótesis!$D$61*(1+Hipótesis!$D$45)^4*(1+Hipótesis!$D$42)</f>
        <v>-10102.56707856</v>
      </c>
      <c r="BB50" s="138" t="n">
        <f aca="false">-BB30*Hipótesis!$D$61*(1+Hipótesis!$D$45)^4*(1+Hipótesis!$D$42)</f>
        <v>-10102.56707856</v>
      </c>
      <c r="BC50" s="138" t="n">
        <f aca="false">-BC30*Hipótesis!$D$61*(1+Hipótesis!$D$45)^4*(1+Hipótesis!$D$42)</f>
        <v>-10102.56707856</v>
      </c>
      <c r="BD50" s="138" t="n">
        <f aca="false">-BD30*Hipótesis!$D$61*(1+Hipótesis!$D$45)^4*(1+Hipótesis!$D$42)</f>
        <v>-10102.56707856</v>
      </c>
      <c r="BE50" s="138" t="n">
        <f aca="false">-BE30*Hipótesis!$D$61*(1+Hipótesis!$D$45)^4*(1+Hipótesis!$D$42)</f>
        <v>-10102.56707856</v>
      </c>
      <c r="BF50" s="138" t="n">
        <f aca="false">-BF30*Hipótesis!$D$61*(1+Hipótesis!$D$45)^4*(1+Hipótesis!$D$42)</f>
        <v>-10102.56707856</v>
      </c>
      <c r="BG50" s="138" t="n">
        <f aca="false">-BG30*Hipótesis!$D$61*(1+Hipótesis!$D$45)^4*(1+Hipótesis!$D$42)</f>
        <v>-10102.56707856</v>
      </c>
      <c r="BH50" s="138" t="n">
        <f aca="false">-BH30*Hipótesis!$D$61*(1+Hipótesis!$D$45)^4*(1+Hipótesis!$D$42)</f>
        <v>-10102.56707856</v>
      </c>
      <c r="BI50" s="138" t="n">
        <f aca="false">-BI30*Hipótesis!$D$61*(1+Hipótesis!$D$45)^4*(1+Hipótesis!$D$42)</f>
        <v>-10102.56707856</v>
      </c>
      <c r="BJ50" s="138" t="n">
        <f aca="false">-BJ30*Hipótesis!$D$61*(1+Hipótesis!$D$45)^4*(1+Hipótesis!$D$42)</f>
        <v>-10102.56707856</v>
      </c>
      <c r="BK50" s="138" t="n">
        <f aca="false">-BK30*Hipótesis!$D$61*(1+Hipótesis!$D$45)^5*(1+Hipótesis!$D$42)</f>
        <v>-10405.6440909168</v>
      </c>
      <c r="BL50" s="138" t="n">
        <f aca="false">-BL30*Hipótesis!$D$61*(1+Hipótesis!$D$45)^5*(1+Hipótesis!$D$42)</f>
        <v>-10405.6440909168</v>
      </c>
      <c r="BM50" s="138" t="n">
        <f aca="false">-BM30*Hipótesis!$D$61*(1+Hipótesis!$D$45)^5*(1+Hipótesis!$D$42)</f>
        <v>-10405.6440909168</v>
      </c>
      <c r="BN50" s="138" t="n">
        <f aca="false">-BN30*Hipótesis!$D$61*(1+Hipótesis!$D$45)^5*(1+Hipótesis!$D$42)</f>
        <v>-10405.6440909168</v>
      </c>
      <c r="BO50" s="138" t="n">
        <f aca="false">-BO30*Hipótesis!$D$61*(1+Hipótesis!$D$45)^5*(1+Hipótesis!$D$42)</f>
        <v>-10405.6440909168</v>
      </c>
      <c r="BP50" s="138" t="n">
        <f aca="false">-BP30*Hipótesis!$D$61*(1+Hipótesis!$D$45)^5*(1+Hipótesis!$D$42)</f>
        <v>-10405.6440909168</v>
      </c>
      <c r="BQ50" s="138" t="n">
        <f aca="false">-BQ30*Hipótesis!$D$61*(1+Hipótesis!$D$45)^5*(1+Hipótesis!$D$42)</f>
        <v>-10405.6440909168</v>
      </c>
      <c r="BR50" s="138" t="n">
        <f aca="false">-BR30*Hipótesis!$D$61*(1+Hipótesis!$D$45)^5*(1+Hipótesis!$D$42)</f>
        <v>-10405.6440909168</v>
      </c>
      <c r="BS50" s="138" t="n">
        <f aca="false">-BS30*Hipótesis!$D$61*(1+Hipótesis!$D$45)^5*(1+Hipótesis!$D$42)</f>
        <v>-10405.6440909168</v>
      </c>
      <c r="BT50" s="138" t="n">
        <f aca="false">-BT30*Hipótesis!$D$61*(1+Hipótesis!$D$45)^5*(1+Hipótesis!$D$42)</f>
        <v>-10405.6440909168</v>
      </c>
      <c r="BU50" s="138" t="n">
        <f aca="false">-BU30*Hipótesis!$D$61*(1+Hipótesis!$D$45)^5*(1+Hipótesis!$D$42)</f>
        <v>-10405.6440909168</v>
      </c>
      <c r="BV50" s="138" t="n">
        <f aca="false">-BV30*Hipótesis!$D$61*(1+Hipótesis!$D$45)^5*(1+Hipótesis!$D$42)</f>
        <v>-10405.6440909168</v>
      </c>
      <c r="BW50" s="138" t="n">
        <f aca="false">-BW30*Hipótesis!$D$61*(1+Hipótesis!$D$45)^6*(1+Hipótesis!$D$42)</f>
        <v>-10717.8134136443</v>
      </c>
      <c r="BX50" s="138" t="n">
        <f aca="false">-BX30*Hipótesis!$D$61*(1+Hipótesis!$D$45)^6*(1+Hipótesis!$D$42)</f>
        <v>-10717.8134136443</v>
      </c>
      <c r="BY50" s="138" t="n">
        <f aca="false">-BY30*Hipótesis!$D$61*(1+Hipótesis!$D$45)^6*(1+Hipótesis!$D$42)</f>
        <v>-10717.8134136443</v>
      </c>
      <c r="BZ50" s="138" t="n">
        <f aca="false">-BZ30*Hipótesis!$D$61*(1+Hipótesis!$D$45)^6*(1+Hipótesis!$D$42)</f>
        <v>-10717.8134136443</v>
      </c>
      <c r="CA50" s="138" t="n">
        <f aca="false">-CA30*Hipótesis!$D$61*(1+Hipótesis!$D$45)^6*(1+Hipótesis!$D$42)</f>
        <v>-10717.8134136443</v>
      </c>
      <c r="CB50" s="138" t="n">
        <f aca="false">-CB30*Hipótesis!$D$61*(1+Hipótesis!$D$45)^6*(1+Hipótesis!$D$42)</f>
        <v>-10717.8134136443</v>
      </c>
      <c r="CC50" s="138" t="n">
        <f aca="false">-CC30*Hipótesis!$D$61*(1+Hipótesis!$D$45)^6*(1+Hipótesis!$D$42)</f>
        <v>-10717.8134136443</v>
      </c>
      <c r="CD50" s="138" t="n">
        <f aca="false">-CD30*Hipótesis!$D$61*(1+Hipótesis!$D$45)^6*(1+Hipótesis!$D$42)</f>
        <v>-10717.8134136443</v>
      </c>
      <c r="CE50" s="138" t="n">
        <f aca="false">-CE30*Hipótesis!$D$61*(1+Hipótesis!$D$45)^6*(1+Hipótesis!$D$42)</f>
        <v>-10717.8134136443</v>
      </c>
      <c r="CF50" s="138" t="n">
        <f aca="false">-CF30*Hipótesis!$D$61*(1+Hipótesis!$D$45)^6*(1+Hipótesis!$D$42)</f>
        <v>-10717.8134136443</v>
      </c>
      <c r="CG50" s="138" t="n">
        <f aca="false">-CG30*Hipótesis!$D$61*(1+Hipótesis!$D$45)^6*(1+Hipótesis!$D$42)</f>
        <v>-10717.8134136443</v>
      </c>
      <c r="CH50" s="138" t="n">
        <f aca="false">-CH30*Hipótesis!$D$61*(1+Hipótesis!$D$45)^6*(1+Hipótesis!$D$42)</f>
        <v>-10717.8134136443</v>
      </c>
    </row>
    <row r="51" customFormat="false" ht="13.5" hidden="false" customHeight="true" outlineLevel="0" collapsed="false">
      <c r="A51" s="30" t="s">
        <v>732</v>
      </c>
      <c r="C51" s="138" t="n">
        <f aca="false">SUM(C44:C49)+C50</f>
        <v>-11352</v>
      </c>
      <c r="D51" s="138" t="n">
        <f aca="false">SUM(D44:D49)+D50</f>
        <v>-11352</v>
      </c>
      <c r="E51" s="138" t="n">
        <f aca="false">SUM(E44:E49)+E50</f>
        <v>-11352</v>
      </c>
      <c r="F51" s="138" t="n">
        <f aca="false">SUM(F44:F49)+F50</f>
        <v>-11352</v>
      </c>
      <c r="G51" s="138" t="n">
        <f aca="false">SUM(G44:G49)+G50</f>
        <v>-11352</v>
      </c>
      <c r="H51" s="138" t="n">
        <f aca="false">SUM(H44:H49)+H50</f>
        <v>-11352</v>
      </c>
      <c r="I51" s="138" t="n">
        <f aca="false">SUM(I44:I49)+I50</f>
        <v>-11352</v>
      </c>
      <c r="J51" s="138" t="n">
        <f aca="false">SUM(J44:J49)+J50</f>
        <v>-11352</v>
      </c>
      <c r="K51" s="138" t="n">
        <f aca="false">SUM(K44:K49)+K50</f>
        <v>-11352</v>
      </c>
      <c r="L51" s="138" t="n">
        <f aca="false">SUM(L44:L49)+L50</f>
        <v>-11352</v>
      </c>
      <c r="M51" s="138" t="n">
        <f aca="false">SUM(M44:M49)+M50</f>
        <v>-11352</v>
      </c>
      <c r="N51" s="138" t="n">
        <f aca="false">SUM(N44:N49)+N50</f>
        <v>-11352</v>
      </c>
      <c r="O51" s="138" t="n">
        <f aca="false">SUM(O44:O49)+O50</f>
        <v>-16579.2</v>
      </c>
      <c r="P51" s="138" t="n">
        <f aca="false">SUM(P44:P49)+P50</f>
        <v>-18890.52</v>
      </c>
      <c r="Q51" s="138" t="n">
        <f aca="false">SUM(Q44:Q49)+Q50</f>
        <v>-18890.52</v>
      </c>
      <c r="R51" s="138" t="n">
        <f aca="false">SUM(R44:R49)+R50</f>
        <v>-18890.52</v>
      </c>
      <c r="S51" s="138" t="n">
        <f aca="false">SUM(S44:S49)+S50</f>
        <v>-18890.52</v>
      </c>
      <c r="T51" s="138" t="n">
        <f aca="false">SUM(T44:T49)+T50</f>
        <v>-18890.52</v>
      </c>
      <c r="U51" s="138" t="n">
        <f aca="false">SUM(U44:U49)+U50</f>
        <v>-21201.84</v>
      </c>
      <c r="V51" s="138" t="n">
        <f aca="false">SUM(V44:V49)+V50</f>
        <v>-23921.04</v>
      </c>
      <c r="W51" s="138" t="n">
        <f aca="false">SUM(W44:W49)+W50</f>
        <v>-23921.04</v>
      </c>
      <c r="X51" s="138" t="n">
        <f aca="false">SUM(X44:X49)+X50</f>
        <v>-23921.04</v>
      </c>
      <c r="Y51" s="138" t="n">
        <f aca="false">SUM(Y44:Y49)+Y50</f>
        <v>-23921.04</v>
      </c>
      <c r="Z51" s="138" t="n">
        <f aca="false">SUM(Z44:Z49)+Z50</f>
        <v>-23921.04</v>
      </c>
      <c r="AA51" s="138" t="n">
        <f aca="false">SUM(AA44:AA49)+AA50</f>
        <v>-26202.8712</v>
      </c>
      <c r="AB51" s="138" t="n">
        <f aca="false">SUM(AB44:AB49)+AB50</f>
        <v>-28583.5308</v>
      </c>
      <c r="AC51" s="138" t="n">
        <f aca="false">SUM(AC44:AC49)+AC50</f>
        <v>-28583.5308</v>
      </c>
      <c r="AD51" s="138" t="n">
        <f aca="false">SUM(AD44:AD49)+AD50</f>
        <v>-28583.5308</v>
      </c>
      <c r="AE51" s="138" t="n">
        <f aca="false">SUM(AE44:AE49)+AE50</f>
        <v>-28583.5308</v>
      </c>
      <c r="AF51" s="138" t="n">
        <f aca="false">SUM(AF44:AF49)+AF50</f>
        <v>-28583.5308</v>
      </c>
      <c r="AG51" s="138" t="n">
        <f aca="false">SUM(AG44:AG49)+AG50</f>
        <v>-28583.5308</v>
      </c>
      <c r="AH51" s="138" t="n">
        <f aca="false">SUM(AH44:AH49)+AH50</f>
        <v>-28583.5308</v>
      </c>
      <c r="AI51" s="138" t="n">
        <f aca="false">SUM(AI44:AI49)+AI50</f>
        <v>-28583.5308</v>
      </c>
      <c r="AJ51" s="138" t="n">
        <f aca="false">SUM(AJ44:AJ49)+AJ50</f>
        <v>-28583.5308</v>
      </c>
      <c r="AK51" s="138" t="n">
        <f aca="false">SUM(AK44:AK49)+AK50</f>
        <v>-28583.5308</v>
      </c>
      <c r="AL51" s="138" t="n">
        <f aca="false">SUM(AL44:AL49)+AL50</f>
        <v>-30964.1904</v>
      </c>
      <c r="AM51" s="138" t="n">
        <f aca="false">SUM(AM44:AM49)+AM50</f>
        <v>-33397.916112</v>
      </c>
      <c r="AN51" s="138" t="n">
        <f aca="false">SUM(AN44:AN49)+AN50</f>
        <v>-33397.916112</v>
      </c>
      <c r="AO51" s="138" t="n">
        <f aca="false">SUM(AO44:AO49)+AO50</f>
        <v>-33397.916112</v>
      </c>
      <c r="AP51" s="138" t="n">
        <f aca="false">SUM(AP44:AP49)+AP50</f>
        <v>-33397.916112</v>
      </c>
      <c r="AQ51" s="138" t="n">
        <f aca="false">SUM(AQ44:AQ49)+AQ50</f>
        <v>-33397.916112</v>
      </c>
      <c r="AR51" s="138" t="n">
        <f aca="false">SUM(AR44:AR49)+AR50</f>
        <v>-33397.916112</v>
      </c>
      <c r="AS51" s="138" t="n">
        <f aca="false">SUM(AS44:AS49)+AS50</f>
        <v>-33397.916112</v>
      </c>
      <c r="AT51" s="138" t="n">
        <f aca="false">SUM(AT44:AT49)+AT50</f>
        <v>-33397.916112</v>
      </c>
      <c r="AU51" s="138" t="n">
        <f aca="false">SUM(AU44:AU49)+AU50</f>
        <v>-33397.916112</v>
      </c>
      <c r="AV51" s="138" t="n">
        <f aca="false">SUM(AV44:AV49)+AV50</f>
        <v>-33397.916112</v>
      </c>
      <c r="AW51" s="138" t="n">
        <f aca="false">SUM(AW44:AW49)+AW50</f>
        <v>-33397.916112</v>
      </c>
      <c r="AX51" s="138" t="n">
        <f aca="false">SUM(AX44:AX49)+AX50</f>
        <v>-33397.916112</v>
      </c>
      <c r="AY51" s="138" t="n">
        <f aca="false">SUM(AY44:AY49)+AY50</f>
        <v>-35845.25359536</v>
      </c>
      <c r="AZ51" s="138" t="n">
        <f aca="false">SUM(AZ44:AZ49)+AZ50</f>
        <v>-35845.25359536</v>
      </c>
      <c r="BA51" s="138" t="n">
        <f aca="false">SUM(BA44:BA49)+BA50</f>
        <v>-35845.25359536</v>
      </c>
      <c r="BB51" s="138" t="n">
        <f aca="false">SUM(BB44:BB49)+BB50</f>
        <v>-35845.25359536</v>
      </c>
      <c r="BC51" s="138" t="n">
        <f aca="false">SUM(BC44:BC49)+BC50</f>
        <v>-35845.25359536</v>
      </c>
      <c r="BD51" s="138" t="n">
        <f aca="false">SUM(BD44:BD49)+BD50</f>
        <v>-35845.25359536</v>
      </c>
      <c r="BE51" s="138" t="n">
        <f aca="false">SUM(BE44:BE49)+BE50</f>
        <v>-35845.25359536</v>
      </c>
      <c r="BF51" s="138" t="n">
        <f aca="false">SUM(BF44:BF49)+BF50</f>
        <v>-35845.25359536</v>
      </c>
      <c r="BG51" s="138" t="n">
        <f aca="false">SUM(BG44:BG49)+BG50</f>
        <v>-35845.25359536</v>
      </c>
      <c r="BH51" s="138" t="n">
        <f aca="false">SUM(BH44:BH49)+BH50</f>
        <v>-35845.25359536</v>
      </c>
      <c r="BI51" s="138" t="n">
        <f aca="false">SUM(BI44:BI49)+BI50</f>
        <v>-35845.25359536</v>
      </c>
      <c r="BJ51" s="138" t="n">
        <f aca="false">SUM(BJ44:BJ49)+BJ50</f>
        <v>-35845.25359536</v>
      </c>
      <c r="BK51" s="138" t="n">
        <f aca="false">SUM(BK44:BK49)+BK50</f>
        <v>-38306.6112032208</v>
      </c>
      <c r="BL51" s="138" t="n">
        <f aca="false">SUM(BL44:BL49)+BL50</f>
        <v>-38306.6112032208</v>
      </c>
      <c r="BM51" s="138" t="n">
        <f aca="false">SUM(BM44:BM49)+BM50</f>
        <v>-38306.6112032208</v>
      </c>
      <c r="BN51" s="138" t="n">
        <f aca="false">SUM(BN44:BN49)+BN50</f>
        <v>-38306.6112032208</v>
      </c>
      <c r="BO51" s="138" t="n">
        <f aca="false">SUM(BO44:BO49)+BO50</f>
        <v>-38306.6112032208</v>
      </c>
      <c r="BP51" s="138" t="n">
        <f aca="false">SUM(BP44:BP49)+BP50</f>
        <v>-38306.6112032208</v>
      </c>
      <c r="BQ51" s="138" t="n">
        <f aca="false">SUM(BQ44:BQ49)+BQ50</f>
        <v>-38306.6112032208</v>
      </c>
      <c r="BR51" s="138" t="n">
        <f aca="false">SUM(BR44:BR49)+BR50</f>
        <v>-38306.6112032208</v>
      </c>
      <c r="BS51" s="138" t="n">
        <f aca="false">SUM(BS44:BS49)+BS50</f>
        <v>-38306.6112032208</v>
      </c>
      <c r="BT51" s="138" t="n">
        <f aca="false">SUM(BT44:BT49)+BT50</f>
        <v>-38306.6112032208</v>
      </c>
      <c r="BU51" s="138" t="n">
        <f aca="false">SUM(BU44:BU49)+BU50</f>
        <v>-38306.6112032208</v>
      </c>
      <c r="BV51" s="138" t="n">
        <f aca="false">SUM(BV44:BV49)+BV50</f>
        <v>-38306.6112032208</v>
      </c>
      <c r="BW51" s="138" t="n">
        <f aca="false">SUM(BW44:BW49)+BW50</f>
        <v>-40782.4095393174</v>
      </c>
      <c r="BX51" s="138" t="n">
        <f aca="false">SUM(BX44:BX49)+BX50</f>
        <v>-40782.4095393174</v>
      </c>
      <c r="BY51" s="138" t="n">
        <f aca="false">SUM(BY44:BY49)+BY50</f>
        <v>-40782.4095393174</v>
      </c>
      <c r="BZ51" s="138" t="n">
        <f aca="false">SUM(BZ44:BZ49)+BZ50</f>
        <v>-40782.4095393174</v>
      </c>
      <c r="CA51" s="138" t="n">
        <f aca="false">SUM(CA44:CA49)+CA50</f>
        <v>-40782.4095393174</v>
      </c>
      <c r="CB51" s="138" t="n">
        <f aca="false">SUM(CB44:CB49)+CB50</f>
        <v>-40782.4095393174</v>
      </c>
      <c r="CC51" s="138" t="n">
        <f aca="false">SUM(CC44:CC49)+CC50</f>
        <v>-40782.4095393174</v>
      </c>
      <c r="CD51" s="138" t="n">
        <f aca="false">SUM(CD44:CD49)+CD50</f>
        <v>-40782.4095393174</v>
      </c>
      <c r="CE51" s="138" t="n">
        <f aca="false">SUM(CE44:CE49)+CE50</f>
        <v>-40782.4095393174</v>
      </c>
      <c r="CF51" s="138" t="n">
        <f aca="false">SUM(CF44:CF49)+CF50</f>
        <v>-40782.4095393174</v>
      </c>
      <c r="CG51" s="138" t="n">
        <f aca="false">SUM(CG44:CG49)+CG50</f>
        <v>-40782.4095393174</v>
      </c>
      <c r="CH51" s="138" t="n">
        <f aca="false">SUM(CH44:CH49)+CH50</f>
        <v>-40782.4095393174</v>
      </c>
    </row>
    <row r="52" customFormat="false" ht="13.5" hidden="false" customHeight="true" outlineLevel="0" collapsed="false">
      <c r="A52" s="13" t="s">
        <v>733</v>
      </c>
      <c r="C52" s="138" t="n">
        <f aca="false">C211+C207</f>
        <v>-1988.19288827815</v>
      </c>
      <c r="D52" s="138" t="n">
        <f aca="false">D211+D207</f>
        <v>-2036.31719197721</v>
      </c>
      <c r="E52" s="138" t="n">
        <f aca="false">E211+E207</f>
        <v>-2097.27329229283</v>
      </c>
      <c r="F52" s="138" t="n">
        <f aca="false">F211+F207</f>
        <v>-2153.44891935914</v>
      </c>
      <c r="G52" s="138" t="n">
        <f aca="false">G211+G207</f>
        <v>-2028.68411713193</v>
      </c>
      <c r="H52" s="138" t="n">
        <f aca="false">H211+H207</f>
        <v>-2275.3191860145</v>
      </c>
      <c r="I52" s="138" t="n">
        <f aca="false">I211+I207</f>
        <v>-2342.97886734529</v>
      </c>
      <c r="J52" s="138" t="n">
        <f aca="false">J211+J207</f>
        <v>-2442.80948014929</v>
      </c>
      <c r="K52" s="138" t="n">
        <f aca="false">K211+K207</f>
        <v>-2629.58889246741</v>
      </c>
      <c r="L52" s="138" t="n">
        <f aca="false">L211+L207</f>
        <v>-2816.36830478552</v>
      </c>
      <c r="M52" s="138" t="n">
        <f aca="false">M211+M207</f>
        <v>-2990.31592048709</v>
      </c>
      <c r="N52" s="138" t="n">
        <f aca="false">N211+N207</f>
        <v>-3181.03712653709</v>
      </c>
      <c r="O52" s="138" t="n">
        <f aca="false">O211+O207</f>
        <v>-3371.75833258709</v>
      </c>
      <c r="P52" s="138" t="n">
        <f aca="false">P211+P207</f>
        <v>-3557.65713141192</v>
      </c>
      <c r="Q52" s="138" t="n">
        <f aca="false">Q211+Q207</f>
        <v>-3743.55593023675</v>
      </c>
      <c r="R52" s="138" t="n">
        <f aca="false">R211+R207</f>
        <v>-3929.45472906157</v>
      </c>
      <c r="S52" s="138" t="n">
        <f aca="false">S211+S207</f>
        <v>-2571.88210811097</v>
      </c>
      <c r="T52" s="138" t="n">
        <f aca="false">T211+T207</f>
        <v>-4301.25232671123</v>
      </c>
      <c r="U52" s="138" t="n">
        <f aca="false">U211+U207</f>
        <v>-4487.15112553605</v>
      </c>
      <c r="V52" s="138" t="n">
        <f aca="false">V211+V207</f>
        <v>-4673.04992436088</v>
      </c>
      <c r="W52" s="138" t="n">
        <f aca="false">W211+W207</f>
        <v>-4858.9487231857</v>
      </c>
      <c r="X52" s="138" t="n">
        <f aca="false">X211+X207</f>
        <v>-5028.07393166209</v>
      </c>
      <c r="Y52" s="138" t="n">
        <f aca="false">Y211+Y207</f>
        <v>-5197.19914013848</v>
      </c>
      <c r="Z52" s="138" t="n">
        <f aca="false">Z211+Z207</f>
        <v>-5359.61491247549</v>
      </c>
      <c r="AA52" s="138" t="n">
        <f aca="false">AA211+AA207</f>
        <v>-5380.7046915339</v>
      </c>
      <c r="AB52" s="138" t="n">
        <f aca="false">AB211+AB207</f>
        <v>-5401.79447059231</v>
      </c>
      <c r="AC52" s="138" t="n">
        <f aca="false">AC211+AC207</f>
        <v>-5422.88424965071</v>
      </c>
      <c r="AD52" s="138" t="n">
        <f aca="false">AD211+AD207</f>
        <v>-5443.97402870912</v>
      </c>
      <c r="AE52" s="138" t="n">
        <f aca="false">AE211+AE207</f>
        <v>-2956.63356808456</v>
      </c>
      <c r="AF52" s="138" t="n">
        <f aca="false">AF211+AF207</f>
        <v>-5486.15358682593</v>
      </c>
      <c r="AG52" s="138" t="n">
        <f aca="false">AG211+AG207</f>
        <v>-5507.24336588434</v>
      </c>
      <c r="AH52" s="138" t="n">
        <f aca="false">AH211+AH207</f>
        <v>-5528.33314494274</v>
      </c>
      <c r="AI52" s="138" t="n">
        <f aca="false">AI211+AI207</f>
        <v>-5549.42292400115</v>
      </c>
      <c r="AJ52" s="138" t="n">
        <f aca="false">AJ211+AJ207</f>
        <v>-5570.51270305956</v>
      </c>
      <c r="AK52" s="138" t="n">
        <f aca="false">AK211+AK207</f>
        <v>-5591.60248211796</v>
      </c>
      <c r="AL52" s="138" t="n">
        <f aca="false">AL211+AL207</f>
        <v>-5612.69226117637</v>
      </c>
      <c r="AM52" s="138" t="n">
        <f aca="false">AM211+AM207</f>
        <v>-5633.78204023477</v>
      </c>
      <c r="AN52" s="138" t="n">
        <f aca="false">AN211+AN207</f>
        <v>-5654.87181929318</v>
      </c>
      <c r="AO52" s="138" t="n">
        <f aca="false">AO211+AO207</f>
        <v>-5675.96159835159</v>
      </c>
      <c r="AP52" s="138" t="n">
        <f aca="false">AP211+AP207</f>
        <v>-5697.05137740999</v>
      </c>
      <c r="AQ52" s="138" t="n">
        <f aca="false">AQ211+AQ207</f>
        <v>-3209.71091678543</v>
      </c>
      <c r="AR52" s="138" t="n">
        <f aca="false">AR211+AR207</f>
        <v>-5739.2309355268</v>
      </c>
      <c r="AS52" s="138" t="n">
        <f aca="false">AS211+AS207</f>
        <v>-5739.2309355268</v>
      </c>
      <c r="AT52" s="138" t="n">
        <f aca="false">AT211+AT207</f>
        <v>-5739.2309355268</v>
      </c>
      <c r="AU52" s="138" t="n">
        <f aca="false">AU211+AU207</f>
        <v>-5739.2309355268</v>
      </c>
      <c r="AV52" s="138" t="n">
        <f aca="false">AV211+AV207</f>
        <v>-5739.2309355268</v>
      </c>
      <c r="AW52" s="138" t="n">
        <f aca="false">AW211+AW207</f>
        <v>-5739.2309355268</v>
      </c>
      <c r="AX52" s="138" t="n">
        <f aca="false">AX211+AX207</f>
        <v>-5739.2309355268</v>
      </c>
      <c r="AY52" s="138" t="n">
        <f aca="false">AY211+AY207</f>
        <v>-5739.2309355268</v>
      </c>
      <c r="AZ52" s="138" t="n">
        <f aca="false">AZ211+AZ207</f>
        <v>-5739.2309355268</v>
      </c>
      <c r="BA52" s="138" t="n">
        <f aca="false">BA211+BA207</f>
        <v>-5739.2309355268</v>
      </c>
      <c r="BB52" s="138" t="n">
        <f aca="false">BB211+BB207</f>
        <v>-5739.2309355268</v>
      </c>
      <c r="BC52" s="138" t="n">
        <f aca="false">BC211+BC207</f>
        <v>-3230.80069584384</v>
      </c>
      <c r="BD52" s="138" t="n">
        <f aca="false">BD211+BD207</f>
        <v>-5739.2309355268</v>
      </c>
      <c r="BE52" s="138" t="n">
        <f aca="false">BE211+BE207</f>
        <v>-5739.2309355268</v>
      </c>
      <c r="BF52" s="138" t="n">
        <f aca="false">BF211+BF207</f>
        <v>-5739.2309355268</v>
      </c>
      <c r="BG52" s="138" t="n">
        <f aca="false">BG211+BG207</f>
        <v>-5739.2309355268</v>
      </c>
      <c r="BH52" s="138" t="n">
        <f aca="false">BH211+BH207</f>
        <v>-5739.2309355268</v>
      </c>
      <c r="BI52" s="138" t="n">
        <f aca="false">BI211+BI207</f>
        <v>-5739.2309355268</v>
      </c>
      <c r="BJ52" s="138" t="n">
        <f aca="false">BJ211+BJ207</f>
        <v>-5739.2309355268</v>
      </c>
      <c r="BK52" s="138" t="n">
        <f aca="false">BK211+BK207</f>
        <v>-5739.2309355268</v>
      </c>
      <c r="BL52" s="138" t="n">
        <f aca="false">BL211+BL207</f>
        <v>-5739.2309355268</v>
      </c>
      <c r="BM52" s="138" t="n">
        <f aca="false">BM211+BM207</f>
        <v>-5739.2309355268</v>
      </c>
      <c r="BN52" s="138" t="n">
        <f aca="false">BN211+BN207</f>
        <v>-5739.2309355268</v>
      </c>
      <c r="BO52" s="138" t="n">
        <f aca="false">BO211+BO207</f>
        <v>-3230.80069584384</v>
      </c>
      <c r="BP52" s="138" t="n">
        <f aca="false">BP211+BP207</f>
        <v>-5739.2309355268</v>
      </c>
      <c r="BQ52" s="138" t="n">
        <f aca="false">BQ211+BQ207</f>
        <v>-5739.2309355268</v>
      </c>
      <c r="BR52" s="138" t="n">
        <f aca="false">BR211+BR207</f>
        <v>-5739.2309355268</v>
      </c>
      <c r="BS52" s="138" t="n">
        <f aca="false">BS211+BS207</f>
        <v>-5739.2309355268</v>
      </c>
      <c r="BT52" s="138" t="n">
        <f aca="false">BT211+BT207</f>
        <v>-5739.2309355268</v>
      </c>
      <c r="BU52" s="138" t="n">
        <f aca="false">BU211+BU207</f>
        <v>-5739.2309355268</v>
      </c>
      <c r="BV52" s="138" t="n">
        <f aca="false">BV211+BV207</f>
        <v>-5739.2309355268</v>
      </c>
      <c r="BW52" s="138" t="n">
        <f aca="false">BW211+BW207</f>
        <v>-5739.2309355268</v>
      </c>
      <c r="BX52" s="138" t="n">
        <f aca="false">BX211+BX207</f>
        <v>-5739.2309355268</v>
      </c>
      <c r="BY52" s="138" t="n">
        <f aca="false">BY211+BY207</f>
        <v>-5739.2309355268</v>
      </c>
      <c r="BZ52" s="138" t="n">
        <f aca="false">BZ211+BZ207</f>
        <v>-5739.2309355268</v>
      </c>
      <c r="CA52" s="138" t="n">
        <f aca="false">CA211+CA207</f>
        <v>-3230.80069584384</v>
      </c>
      <c r="CB52" s="138" t="n">
        <f aca="false">CB211+CB207</f>
        <v>-5739.2309355268</v>
      </c>
      <c r="CC52" s="138" t="n">
        <f aca="false">CC211+CC207</f>
        <v>-5739.2309355268</v>
      </c>
      <c r="CD52" s="138" t="n">
        <f aca="false">CD211+CD207</f>
        <v>-5739.2309355268</v>
      </c>
      <c r="CE52" s="138" t="n">
        <f aca="false">CE211+CE207</f>
        <v>-5739.2309355268</v>
      </c>
      <c r="CF52" s="138" t="n">
        <f aca="false">CF211+CF207</f>
        <v>-5739.2309355268</v>
      </c>
      <c r="CG52" s="138" t="n">
        <f aca="false">CG211+CG207</f>
        <v>-5739.2309355268</v>
      </c>
      <c r="CH52" s="138" t="n">
        <f aca="false">CH211+CH207</f>
        <v>-5739.2309355268</v>
      </c>
    </row>
    <row r="53" customFormat="false" ht="13.5" hidden="false" customHeight="true" outlineLevel="0" collapsed="false">
      <c r="A53" s="13" t="s">
        <v>734</v>
      </c>
      <c r="C53" s="138" t="n">
        <f aca="false">-Hipótesis!$D$39</f>
        <v>-800</v>
      </c>
      <c r="D53" s="138" t="n">
        <f aca="false">-Hipótesis!$D$39</f>
        <v>-800</v>
      </c>
      <c r="E53" s="138" t="n">
        <f aca="false">-Hipótesis!$D$39</f>
        <v>-800</v>
      </c>
      <c r="F53" s="138" t="n">
        <f aca="false">-Hipótesis!$D$39</f>
        <v>-800</v>
      </c>
      <c r="G53" s="138" t="n">
        <f aca="false">-Hipótesis!$D$39</f>
        <v>-800</v>
      </c>
      <c r="H53" s="138" t="n">
        <f aca="false">-Hipótesis!$D$39</f>
        <v>-800</v>
      </c>
      <c r="I53" s="138" t="n">
        <f aca="false">-Hipótesis!$D$39</f>
        <v>-800</v>
      </c>
      <c r="J53" s="138" t="n">
        <f aca="false">-Hipótesis!$D$39</f>
        <v>-800</v>
      </c>
      <c r="K53" s="138" t="n">
        <f aca="false">-Hipótesis!$D$39</f>
        <v>-800</v>
      </c>
      <c r="L53" s="138" t="n">
        <f aca="false">-Hipótesis!$D$39</f>
        <v>-800</v>
      </c>
      <c r="M53" s="138" t="n">
        <f aca="false">-Hipótesis!$D$39</f>
        <v>-800</v>
      </c>
      <c r="N53" s="138" t="n">
        <f aca="false">-Hipótesis!$D$39</f>
        <v>-800</v>
      </c>
      <c r="O53" s="138" t="n">
        <f aca="false">-Hipótesis!$D$39</f>
        <v>-800</v>
      </c>
      <c r="P53" s="138" t="n">
        <f aca="false">-Hipótesis!$D$39</f>
        <v>-800</v>
      </c>
      <c r="Q53" s="138" t="n">
        <f aca="false">-Hipótesis!$D$39</f>
        <v>-800</v>
      </c>
      <c r="R53" s="138" t="n">
        <f aca="false">-Hipótesis!$D$39</f>
        <v>-800</v>
      </c>
      <c r="S53" s="138" t="n">
        <f aca="false">-Hipótesis!$D$39</f>
        <v>-800</v>
      </c>
      <c r="T53" s="138" t="n">
        <f aca="false">-Hipótesis!$D$39</f>
        <v>-800</v>
      </c>
      <c r="U53" s="138" t="n">
        <f aca="false">-Hipótesis!$D$39</f>
        <v>-800</v>
      </c>
      <c r="V53" s="138" t="n">
        <f aca="false">-Hipótesis!$D$39</f>
        <v>-800</v>
      </c>
      <c r="W53" s="138" t="n">
        <f aca="false">-Hipótesis!$D$39</f>
        <v>-800</v>
      </c>
      <c r="X53" s="138" t="n">
        <f aca="false">-Hipótesis!$D$39</f>
        <v>-800</v>
      </c>
      <c r="Y53" s="138" t="n">
        <f aca="false">-Hipótesis!$D$39</f>
        <v>-800</v>
      </c>
      <c r="Z53" s="138" t="n">
        <f aca="false">-Hipótesis!$D$39</f>
        <v>-800</v>
      </c>
      <c r="AA53" s="138" t="n">
        <f aca="false">-Hipótesis!$D$39</f>
        <v>-800</v>
      </c>
      <c r="AB53" s="138" t="n">
        <f aca="false">-Hipótesis!$D$39</f>
        <v>-800</v>
      </c>
      <c r="AC53" s="138" t="n">
        <f aca="false">-Hipótesis!$D$39</f>
        <v>-800</v>
      </c>
      <c r="AD53" s="138" t="n">
        <f aca="false">-Hipótesis!$D$39</f>
        <v>-800</v>
      </c>
      <c r="AE53" s="138" t="n">
        <f aca="false">-Hipótesis!$D$39</f>
        <v>-800</v>
      </c>
      <c r="AF53" s="138" t="n">
        <f aca="false">-Hipótesis!$D$39</f>
        <v>-800</v>
      </c>
      <c r="AG53" s="138" t="n">
        <f aca="false">-Hipótesis!$D$39</f>
        <v>-800</v>
      </c>
      <c r="AH53" s="138" t="n">
        <f aca="false">-Hipótesis!$D$39</f>
        <v>-800</v>
      </c>
      <c r="AI53" s="138" t="n">
        <f aca="false">-Hipótesis!$D$39</f>
        <v>-800</v>
      </c>
      <c r="AJ53" s="138" t="n">
        <f aca="false">-Hipótesis!$D$39</f>
        <v>-800</v>
      </c>
      <c r="AK53" s="138" t="n">
        <f aca="false">-Hipótesis!$D$39</f>
        <v>-800</v>
      </c>
      <c r="AL53" s="138" t="n">
        <f aca="false">-Hipótesis!$D$39</f>
        <v>-800</v>
      </c>
      <c r="AM53" s="138" t="n">
        <f aca="false">-Hipótesis!$D$39</f>
        <v>-800</v>
      </c>
      <c r="AN53" s="138" t="n">
        <f aca="false">-Hipótesis!$D$39</f>
        <v>-800</v>
      </c>
      <c r="AO53" s="138" t="n">
        <f aca="false">-Hipótesis!$D$39</f>
        <v>-800</v>
      </c>
      <c r="AP53" s="138" t="n">
        <f aca="false">-Hipótesis!$D$39</f>
        <v>-800</v>
      </c>
      <c r="AQ53" s="138" t="n">
        <f aca="false">-Hipótesis!$D$39</f>
        <v>-800</v>
      </c>
      <c r="AR53" s="138" t="n">
        <f aca="false">-Hipótesis!$D$39</f>
        <v>-800</v>
      </c>
      <c r="AS53" s="138" t="n">
        <f aca="false">-Hipótesis!$D$39</f>
        <v>-800</v>
      </c>
      <c r="AT53" s="138" t="n">
        <f aca="false">-Hipótesis!$D$39</f>
        <v>-800</v>
      </c>
      <c r="AU53" s="138" t="n">
        <f aca="false">-Hipótesis!$D$39</f>
        <v>-800</v>
      </c>
      <c r="AV53" s="138" t="n">
        <f aca="false">-Hipótesis!$D$39</f>
        <v>-800</v>
      </c>
      <c r="AW53" s="138" t="n">
        <f aca="false">-Hipótesis!$D$39</f>
        <v>-800</v>
      </c>
      <c r="AX53" s="138" t="n">
        <f aca="false">-Hipótesis!$D$39</f>
        <v>-800</v>
      </c>
      <c r="AY53" s="138" t="n">
        <f aca="false">-Hipótesis!$D$39</f>
        <v>-800</v>
      </c>
      <c r="AZ53" s="138" t="n">
        <f aca="false">-Hipótesis!$D$39</f>
        <v>-800</v>
      </c>
      <c r="BA53" s="138" t="n">
        <f aca="false">-Hipótesis!$D$39</f>
        <v>-800</v>
      </c>
      <c r="BB53" s="138" t="n">
        <f aca="false">-Hipótesis!$D$39</f>
        <v>-800</v>
      </c>
      <c r="BC53" s="138" t="n">
        <f aca="false">-Hipótesis!$D$39</f>
        <v>-800</v>
      </c>
      <c r="BD53" s="138" t="n">
        <f aca="false">-Hipótesis!$D$39</f>
        <v>-800</v>
      </c>
      <c r="BE53" s="138" t="n">
        <f aca="false">-Hipótesis!$D$39</f>
        <v>-800</v>
      </c>
      <c r="BF53" s="138" t="n">
        <f aca="false">-Hipótesis!$D$39</f>
        <v>-800</v>
      </c>
      <c r="BG53" s="138" t="n">
        <f aca="false">-Hipótesis!$D$39</f>
        <v>-800</v>
      </c>
      <c r="BH53" s="138" t="n">
        <f aca="false">-Hipótesis!$D$39</f>
        <v>-800</v>
      </c>
      <c r="BI53" s="138" t="n">
        <f aca="false">-Hipótesis!$D$39</f>
        <v>-800</v>
      </c>
      <c r="BJ53" s="138" t="n">
        <f aca="false">-Hipótesis!$D$39</f>
        <v>-800</v>
      </c>
      <c r="BK53" s="138" t="n">
        <f aca="false">-Hipótesis!$D$39</f>
        <v>-800</v>
      </c>
      <c r="BL53" s="138" t="n">
        <f aca="false">-Hipótesis!$D$39</f>
        <v>-800</v>
      </c>
      <c r="BM53" s="138" t="n">
        <f aca="false">-Hipótesis!$D$39</f>
        <v>-800</v>
      </c>
      <c r="BN53" s="138" t="n">
        <f aca="false">-Hipótesis!$D$39</f>
        <v>-800</v>
      </c>
      <c r="BO53" s="138" t="n">
        <f aca="false">-Hipótesis!$D$39</f>
        <v>-800</v>
      </c>
      <c r="BP53" s="138" t="n">
        <f aca="false">-Hipótesis!$D$39</f>
        <v>-800</v>
      </c>
      <c r="BQ53" s="138" t="n">
        <f aca="false">-Hipótesis!$D$39</f>
        <v>-800</v>
      </c>
      <c r="BR53" s="138" t="n">
        <f aca="false">-Hipótesis!$D$39</f>
        <v>-800</v>
      </c>
      <c r="BS53" s="138" t="n">
        <f aca="false">-Hipótesis!$D$39</f>
        <v>-800</v>
      </c>
      <c r="BT53" s="138" t="n">
        <f aca="false">-Hipótesis!$D$39</f>
        <v>-800</v>
      </c>
      <c r="BU53" s="138" t="n">
        <f aca="false">-Hipótesis!$D$39</f>
        <v>-800</v>
      </c>
      <c r="BV53" s="138" t="n">
        <f aca="false">-Hipótesis!$D$39</f>
        <v>-800</v>
      </c>
      <c r="BW53" s="138" t="n">
        <f aca="false">-Hipótesis!$D$39</f>
        <v>-800</v>
      </c>
      <c r="BX53" s="138" t="n">
        <f aca="false">-Hipótesis!$D$39</f>
        <v>-800</v>
      </c>
      <c r="BY53" s="138" t="n">
        <f aca="false">-Hipótesis!$D$39</f>
        <v>-800</v>
      </c>
      <c r="BZ53" s="138" t="n">
        <f aca="false">-Hipótesis!$D$39</f>
        <v>-800</v>
      </c>
      <c r="CA53" s="138" t="n">
        <f aca="false">-Hipótesis!$D$39</f>
        <v>-800</v>
      </c>
      <c r="CB53" s="138" t="n">
        <f aca="false">-Hipótesis!$D$39</f>
        <v>-800</v>
      </c>
      <c r="CC53" s="138" t="n">
        <f aca="false">-Hipótesis!$D$39</f>
        <v>-800</v>
      </c>
      <c r="CD53" s="138" t="n">
        <f aca="false">-Hipótesis!$D$39</f>
        <v>-800</v>
      </c>
      <c r="CE53" s="138" t="n">
        <f aca="false">-Hipótesis!$D$39</f>
        <v>-800</v>
      </c>
      <c r="CF53" s="138" t="n">
        <f aca="false">-Hipótesis!$D$39</f>
        <v>-800</v>
      </c>
      <c r="CG53" s="138" t="n">
        <f aca="false">-Hipótesis!$D$39</f>
        <v>-800</v>
      </c>
      <c r="CH53" s="138" t="n">
        <f aca="false">-Hipótesis!$D$39</f>
        <v>-800</v>
      </c>
    </row>
    <row r="54" customFormat="false" ht="13.5" hidden="false" customHeight="true" outlineLevel="0" collapsed="false">
      <c r="A54" s="13" t="s">
        <v>735</v>
      </c>
      <c r="C54" s="138" t="n">
        <f aca="false">-Hipótesis!$D$40+C209</f>
        <v>-705.101841033907</v>
      </c>
      <c r="D54" s="138" t="n">
        <f aca="false">-Hipótesis!$D$40+D209</f>
        <v>-708.178368649415</v>
      </c>
      <c r="E54" s="138" t="n">
        <f aca="false">-Hipótesis!$D$40+E209</f>
        <v>-711.254896264924</v>
      </c>
      <c r="F54" s="138" t="n">
        <f aca="false">-Hipótesis!$D$40+F209</f>
        <v>-714.331423880433</v>
      </c>
      <c r="G54" s="138" t="n">
        <f aca="false">-Hipótesis!$D$40+G209</f>
        <v>-717.407951495941</v>
      </c>
      <c r="H54" s="138" t="n">
        <f aca="false">-Hipótesis!$D$40+H209</f>
        <v>-720.48447911145</v>
      </c>
      <c r="I54" s="138" t="n">
        <f aca="false">-Hipótesis!$D$40+I209</f>
        <v>-723.561006726958</v>
      </c>
      <c r="J54" s="138" t="n">
        <f aca="false">-Hipótesis!$D$40+J209</f>
        <v>-726.637534342467</v>
      </c>
      <c r="K54" s="138" t="n">
        <f aca="false">-Hipótesis!$D$40+K209</f>
        <v>-729.714061957975</v>
      </c>
      <c r="L54" s="138" t="n">
        <f aca="false">-Hipótesis!$D$40+L209</f>
        <v>-732.790589573484</v>
      </c>
      <c r="M54" s="138" t="n">
        <f aca="false">-Hipótesis!$D$40+M209</f>
        <v>-735.867117188992</v>
      </c>
      <c r="N54" s="138" t="n">
        <f aca="false">-Hipótesis!$D$40+N209</f>
        <v>-738.943644804502</v>
      </c>
      <c r="O54" s="138" t="n">
        <f aca="false">-Hipótesis!$D$40+O209</f>
        <v>-742.02017242001</v>
      </c>
      <c r="P54" s="138" t="n">
        <f aca="false">-Hipótesis!$D$40+P209</f>
        <v>-745.096700035518</v>
      </c>
      <c r="Q54" s="138" t="n">
        <f aca="false">-Hipótesis!$D$40+Q209</f>
        <v>-748.173227651027</v>
      </c>
      <c r="R54" s="138" t="n">
        <f aca="false">-Hipótesis!$D$40+R209</f>
        <v>-751.249755266536</v>
      </c>
      <c r="S54" s="138" t="n">
        <f aca="false">-Hipótesis!$D$40+S209</f>
        <v>-754.326282882044</v>
      </c>
      <c r="T54" s="138" t="n">
        <f aca="false">-Hipótesis!$D$40+T209</f>
        <v>-757.402810497553</v>
      </c>
      <c r="U54" s="138" t="n">
        <f aca="false">-Hipótesis!$D$40+U209</f>
        <v>-760.479338113062</v>
      </c>
      <c r="V54" s="138" t="n">
        <f aca="false">-Hipótesis!$D$40+V209</f>
        <v>-763.55586572857</v>
      </c>
      <c r="W54" s="138" t="n">
        <f aca="false">-Hipótesis!$D$40+W209</f>
        <v>-766.632393344079</v>
      </c>
      <c r="X54" s="138" t="n">
        <f aca="false">-Hipótesis!$D$40+X209</f>
        <v>-769.708920959587</v>
      </c>
      <c r="Y54" s="138" t="n">
        <f aca="false">-Hipótesis!$D$40+Y209</f>
        <v>-772.785448575097</v>
      </c>
      <c r="Z54" s="138" t="n">
        <f aca="false">-Hipótesis!$D$40+Z209</f>
        <v>-775.861976190604</v>
      </c>
      <c r="AA54" s="138" t="n">
        <f aca="false">-Hipótesis!$D$40+AA209</f>
        <v>-573.836662772206</v>
      </c>
      <c r="AB54" s="138" t="n">
        <f aca="false">-Hipótesis!$D$40+AB209</f>
        <v>-573.836662772206</v>
      </c>
      <c r="AC54" s="138" t="n">
        <f aca="false">-Hipótesis!$D$40+AC209</f>
        <v>-573.836662772206</v>
      </c>
      <c r="AD54" s="138" t="n">
        <f aca="false">-Hipótesis!$D$40+AD209</f>
        <v>-573.836662772206</v>
      </c>
      <c r="AE54" s="138" t="n">
        <f aca="false">-Hipótesis!$D$40+AE209</f>
        <v>-573.836662772206</v>
      </c>
      <c r="AF54" s="138" t="n">
        <f aca="false">-Hipótesis!$D$40+AF209</f>
        <v>-573.836662772206</v>
      </c>
      <c r="AG54" s="138" t="n">
        <f aca="false">-Hipótesis!$D$40+AG209</f>
        <v>-573.836662772206</v>
      </c>
      <c r="AH54" s="138" t="n">
        <f aca="false">-Hipótesis!$D$40+AH209</f>
        <v>-573.836662772206</v>
      </c>
      <c r="AI54" s="138" t="n">
        <f aca="false">-Hipótesis!$D$40+AI209</f>
        <v>-573.836662772206</v>
      </c>
      <c r="AJ54" s="138" t="n">
        <f aca="false">-Hipótesis!$D$40+AJ209</f>
        <v>-573.836662772206</v>
      </c>
      <c r="AK54" s="138" t="n">
        <f aca="false">-Hipótesis!$D$40+AK209</f>
        <v>-573.836662772206</v>
      </c>
      <c r="AL54" s="138" t="n">
        <f aca="false">-Hipótesis!$D$40+AL209</f>
        <v>-573.836662772206</v>
      </c>
      <c r="AM54" s="138" t="n">
        <f aca="false">-Hipótesis!$D$40+AM209</f>
        <v>-573.836662772206</v>
      </c>
      <c r="AN54" s="138" t="n">
        <f aca="false">-Hipótesis!$D$40+AN209</f>
        <v>-573.836662772206</v>
      </c>
      <c r="AO54" s="138" t="n">
        <f aca="false">-Hipótesis!$D$40+AO209</f>
        <v>-573.836662772206</v>
      </c>
      <c r="AP54" s="138" t="n">
        <f aca="false">-Hipótesis!$D$40+AP209</f>
        <v>-573.836662772206</v>
      </c>
      <c r="AQ54" s="138" t="n">
        <f aca="false">-Hipótesis!$D$40+AQ209</f>
        <v>-573.836662772206</v>
      </c>
      <c r="AR54" s="138" t="n">
        <f aca="false">-Hipótesis!$D$40+AR209</f>
        <v>-573.836662772206</v>
      </c>
      <c r="AS54" s="138" t="n">
        <f aca="false">-Hipótesis!$D$40+AS209</f>
        <v>-573.836662772206</v>
      </c>
      <c r="AT54" s="138" t="n">
        <f aca="false">-Hipótesis!$D$40+AT209</f>
        <v>-573.836662772206</v>
      </c>
      <c r="AU54" s="138" t="n">
        <f aca="false">-Hipótesis!$D$40+AU209</f>
        <v>-573.836662772206</v>
      </c>
      <c r="AV54" s="138" t="n">
        <f aca="false">-Hipótesis!$D$40+AV209</f>
        <v>-573.836662772206</v>
      </c>
      <c r="AW54" s="138" t="n">
        <f aca="false">-Hipótesis!$D$40+AW209</f>
        <v>-573.836662772206</v>
      </c>
      <c r="AX54" s="138" t="n">
        <f aca="false">-Hipótesis!$D$40+AX209</f>
        <v>-573.836662772206</v>
      </c>
      <c r="AY54" s="138" t="n">
        <f aca="false">-Hipótesis!$D$40+AY209</f>
        <v>-573.836662772206</v>
      </c>
      <c r="AZ54" s="138" t="n">
        <f aca="false">-Hipótesis!$D$40+AZ209</f>
        <v>-573.836662772206</v>
      </c>
      <c r="BA54" s="138" t="n">
        <f aca="false">-Hipótesis!$D$40+BA209</f>
        <v>-573.836662772206</v>
      </c>
      <c r="BB54" s="138" t="n">
        <f aca="false">-Hipótesis!$D$40+BB209</f>
        <v>-573.836662772206</v>
      </c>
      <c r="BC54" s="138" t="n">
        <f aca="false">-Hipótesis!$D$40+BC209</f>
        <v>-573.836662772206</v>
      </c>
      <c r="BD54" s="138" t="n">
        <f aca="false">-Hipótesis!$D$40+BD209</f>
        <v>-573.836662772206</v>
      </c>
      <c r="BE54" s="138" t="n">
        <f aca="false">-Hipótesis!$D$40+BE209</f>
        <v>-573.836662772206</v>
      </c>
      <c r="BF54" s="138" t="n">
        <f aca="false">-Hipótesis!$D$40+BF209</f>
        <v>-573.836662772206</v>
      </c>
      <c r="BG54" s="138" t="n">
        <f aca="false">-Hipótesis!$D$40+BG209</f>
        <v>-573.836662772206</v>
      </c>
      <c r="BH54" s="138" t="n">
        <f aca="false">-Hipótesis!$D$40+BH209</f>
        <v>-573.836662772206</v>
      </c>
      <c r="BI54" s="138" t="n">
        <f aca="false">-Hipótesis!$D$40+BI209</f>
        <v>-573.836662772206</v>
      </c>
      <c r="BJ54" s="138" t="n">
        <f aca="false">-Hipótesis!$D$40+BJ209</f>
        <v>-573.836662772206</v>
      </c>
      <c r="BK54" s="138" t="n">
        <f aca="false">-Hipótesis!$D$40+BK209</f>
        <v>-573.836662772206</v>
      </c>
      <c r="BL54" s="138" t="n">
        <f aca="false">-Hipótesis!$D$40+BL209</f>
        <v>-573.836662772206</v>
      </c>
      <c r="BM54" s="138" t="n">
        <f aca="false">-Hipótesis!$D$40+BM209</f>
        <v>-573.836662772206</v>
      </c>
      <c r="BN54" s="138" t="n">
        <f aca="false">-Hipótesis!$D$40+BN209</f>
        <v>-573.836662772206</v>
      </c>
      <c r="BO54" s="138" t="n">
        <f aca="false">-Hipótesis!$D$40+BO209</f>
        <v>-573.836662772206</v>
      </c>
      <c r="BP54" s="138" t="n">
        <f aca="false">-Hipótesis!$D$40+BP209</f>
        <v>-573.836662772206</v>
      </c>
      <c r="BQ54" s="138" t="n">
        <f aca="false">-Hipótesis!$D$40+BQ209</f>
        <v>-573.836662772206</v>
      </c>
      <c r="BR54" s="138" t="n">
        <f aca="false">-Hipótesis!$D$40+BR209</f>
        <v>-573.836662772206</v>
      </c>
      <c r="BS54" s="138" t="n">
        <f aca="false">-Hipótesis!$D$40+BS209</f>
        <v>-573.836662772206</v>
      </c>
      <c r="BT54" s="138" t="n">
        <f aca="false">-Hipótesis!$D$40+BT209</f>
        <v>-573.836662772206</v>
      </c>
      <c r="BU54" s="138" t="n">
        <f aca="false">-Hipótesis!$D$40+BU209</f>
        <v>-573.836662772206</v>
      </c>
      <c r="BV54" s="138" t="n">
        <f aca="false">-Hipótesis!$D$40+BV209</f>
        <v>-573.836662772206</v>
      </c>
      <c r="BW54" s="138" t="n">
        <f aca="false">-Hipótesis!$D$40+BW209</f>
        <v>-573.836662772206</v>
      </c>
      <c r="BX54" s="138" t="n">
        <f aca="false">-Hipótesis!$D$40+BX209</f>
        <v>-573.836662772206</v>
      </c>
      <c r="BY54" s="138" t="n">
        <f aca="false">-Hipótesis!$D$40+BY209</f>
        <v>-573.836662772206</v>
      </c>
      <c r="BZ54" s="138" t="n">
        <f aca="false">-Hipótesis!$D$40+BZ209</f>
        <v>-573.836662772206</v>
      </c>
      <c r="CA54" s="138" t="n">
        <f aca="false">-Hipótesis!$D$40+CA209</f>
        <v>-573.836662772206</v>
      </c>
      <c r="CB54" s="138" t="n">
        <f aca="false">-Hipótesis!$D$40+CB209</f>
        <v>-573.836662772206</v>
      </c>
      <c r="CC54" s="138" t="n">
        <f aca="false">-Hipótesis!$D$40+CC209</f>
        <v>-573.836662772206</v>
      </c>
      <c r="CD54" s="138" t="n">
        <f aca="false">-Hipótesis!$D$40+CD209</f>
        <v>-573.836662772206</v>
      </c>
      <c r="CE54" s="138" t="n">
        <f aca="false">-Hipótesis!$D$40+CE209</f>
        <v>-573.836662772206</v>
      </c>
      <c r="CF54" s="138" t="n">
        <f aca="false">-Hipótesis!$D$40+CF209</f>
        <v>-573.836662772206</v>
      </c>
      <c r="CG54" s="138" t="n">
        <f aca="false">-Hipótesis!$D$40+CG209</f>
        <v>-573.836662772206</v>
      </c>
      <c r="CH54" s="138" t="n">
        <f aca="false">-Hipótesis!$D$40+CH209</f>
        <v>-573.836662772206</v>
      </c>
    </row>
    <row r="55" customFormat="false" ht="13.5" hidden="false" customHeight="true" outlineLevel="0" collapsed="false">
      <c r="A55" s="30" t="s">
        <v>736</v>
      </c>
      <c r="C55" s="138" t="n">
        <f aca="false">C42+C43+C51+C52+C53+C54</f>
        <v>-17869.6928281505</v>
      </c>
      <c r="D55" s="138" t="n">
        <f aca="false">D42+D43+D51+D52+D53+D54</f>
        <v>-17946.3188206078</v>
      </c>
      <c r="E55" s="138" t="n">
        <f aca="false">E42+E43+E51+E52+E53+E54</f>
        <v>-18052.6531369814</v>
      </c>
      <c r="F55" s="138" t="n">
        <f aca="false">F42+F43+F51+F52+F53+F54</f>
        <v>-18133.1088812672</v>
      </c>
      <c r="G55" s="138" t="n">
        <f aca="false">G42+G43+G51+G52+G53+G54</f>
        <v>-18017.5721339553</v>
      </c>
      <c r="H55" s="138" t="n">
        <f aca="false">H42+H43+H51+H52+H53+H54</f>
        <v>-18313.2536799889</v>
      </c>
      <c r="I55" s="138" t="n">
        <f aca="false">I42+I43+I51+I52+I53+I54</f>
        <v>-18417.0348384707</v>
      </c>
      <c r="J55" s="138" t="n">
        <f aca="false">J42+J43+J51+J52+J53+J54</f>
        <v>-18572.7869284258</v>
      </c>
      <c r="K55" s="138" t="n">
        <f aca="false">K42+K43+K51+K52+K53+K54</f>
        <v>-18815.4878178949</v>
      </c>
      <c r="L55" s="138" t="n">
        <f aca="false">L42+L43+L51+L52+L53+L54</f>
        <v>-19058.1887073641</v>
      </c>
      <c r="M55" s="138" t="n">
        <f aca="false">M42+M43+M51+M52+M53+M54</f>
        <v>-19271.1812729169</v>
      </c>
      <c r="N55" s="138" t="n">
        <f aca="false">N42+N43+N51+N52+N53+N54</f>
        <v>-19518.0651338884</v>
      </c>
      <c r="O55" s="138" t="n">
        <f aca="false">O42+O43+O51+O52+O53+O54</f>
        <v>-24992.1489948598</v>
      </c>
      <c r="P55" s="138" t="n">
        <f aca="false">P42+P43+P51+P52+P53+P54</f>
        <v>-27540.6091083985</v>
      </c>
      <c r="Q55" s="138" t="n">
        <f aca="false">Q42+Q43+Q51+Q52+Q53+Q54</f>
        <v>-27777.7492219371</v>
      </c>
      <c r="R55" s="138" t="n">
        <f aca="false">R42+R43+R51+R52+R53+R54</f>
        <v>-28014.8893354757</v>
      </c>
      <c r="S55" s="138" t="n">
        <f aca="false">S42+S43+S51+S52+S53+S54</f>
        <v>-26660.8730292388</v>
      </c>
      <c r="T55" s="138" t="n">
        <f aca="false">T42+T43+T51+T52+T53+T54</f>
        <v>-28489.1695625529</v>
      </c>
      <c r="U55" s="138" t="n">
        <f aca="false">U42+U43+U51+U52+U53+U54</f>
        <v>-31037.6296760915</v>
      </c>
      <c r="V55" s="138" t="n">
        <f aca="false">V42+V43+V51+V52+V53+V54</f>
        <v>-33993.9697896301</v>
      </c>
      <c r="W55" s="138" t="n">
        <f aca="false">W42+W43+W51+W52+W53+W54</f>
        <v>-34231.1099031687</v>
      </c>
      <c r="X55" s="138" t="n">
        <f aca="false">X42+X43+X51+X52+X53+X54</f>
        <v>-34434.3587212887</v>
      </c>
      <c r="Y55" s="138" t="n">
        <f aca="false">Y42+Y43+Y51+Y52+Y53+Y54</f>
        <v>-34637.6075394086</v>
      </c>
      <c r="Z55" s="138" t="n">
        <f aca="false">Z42+Z43+Z51+Z52+Z53+Z54</f>
        <v>-34827.2998393612</v>
      </c>
      <c r="AA55" s="138" t="n">
        <f aca="false">AA42+AA43+AA51+AA52+AA53+AA54</f>
        <v>-36952.3955050012</v>
      </c>
      <c r="AB55" s="138" t="n">
        <f aca="false">AB42+AB43+AB51+AB52+AB53+AB54</f>
        <v>-39378.3448840596</v>
      </c>
      <c r="AC55" s="138" t="n">
        <f aca="false">AC42+AC43+AC51+AC52+AC53+AC54</f>
        <v>-39423.634663118</v>
      </c>
      <c r="AD55" s="138" t="n">
        <f aca="false">AD42+AD43+AD51+AD52+AD53+AD54</f>
        <v>-39468.9244421764</v>
      </c>
      <c r="AE55" s="138" t="n">
        <f aca="false">AE42+AE43+AE51+AE52+AE53+AE54</f>
        <v>-36938.4639815518</v>
      </c>
      <c r="AF55" s="138" t="n">
        <f aca="false">AF42+AF43+AF51+AF52+AF53+AF54</f>
        <v>-39559.5040002932</v>
      </c>
      <c r="AG55" s="138" t="n">
        <f aca="false">AG42+AG43+AG51+AG52+AG53+AG54</f>
        <v>-39604.7937793516</v>
      </c>
      <c r="AH55" s="138" t="n">
        <f aca="false">AH42+AH43+AH51+AH52+AH53+AH54</f>
        <v>-39650.08355841</v>
      </c>
      <c r="AI55" s="138" t="n">
        <f aca="false">AI42+AI43+AI51+AI52+AI53+AI54</f>
        <v>-39695.3733374684</v>
      </c>
      <c r="AJ55" s="138" t="n">
        <f aca="false">AJ42+AJ43+AJ51+AJ52+AJ53+AJ54</f>
        <v>-39740.6631165268</v>
      </c>
      <c r="AK55" s="138" t="n">
        <f aca="false">AK42+AK43+AK51+AK52+AK53+AK54</f>
        <v>-39785.9528955852</v>
      </c>
      <c r="AL55" s="138" t="n">
        <f aca="false">AL42+AL43+AL51+AL52+AL53+AL54</f>
        <v>-42211.9022746436</v>
      </c>
      <c r="AM55" s="138" t="n">
        <f aca="false">AM42+AM43+AM51+AM52+AM53+AM54</f>
        <v>-44690.9177657021</v>
      </c>
      <c r="AN55" s="138" t="n">
        <f aca="false">AN42+AN43+AN51+AN52+AN53+AN54</f>
        <v>-44736.2075447605</v>
      </c>
      <c r="AO55" s="138" t="n">
        <f aca="false">AO42+AO43+AO51+AO52+AO53+AO54</f>
        <v>-44781.4973238189</v>
      </c>
      <c r="AP55" s="138" t="n">
        <f aca="false">AP42+AP43+AP51+AP52+AP53+AP54</f>
        <v>-44826.7871028773</v>
      </c>
      <c r="AQ55" s="138" t="n">
        <f aca="false">AQ42+AQ43+AQ51+AQ52+AQ53+AQ54</f>
        <v>-42296.3266422527</v>
      </c>
      <c r="AR55" s="138" t="n">
        <f aca="false">AR42+AR43+AR51+AR52+AR53+AR54</f>
        <v>-44917.3666609941</v>
      </c>
      <c r="AS55" s="138" t="n">
        <f aca="false">AS42+AS43+AS51+AS52+AS53+AS54</f>
        <v>-44917.3666609941</v>
      </c>
      <c r="AT55" s="138" t="n">
        <f aca="false">AT42+AT43+AT51+AT52+AT53+AT54</f>
        <v>-44917.3666609941</v>
      </c>
      <c r="AU55" s="138" t="n">
        <f aca="false">AU42+AU43+AU51+AU52+AU53+AU54</f>
        <v>-44917.3666609941</v>
      </c>
      <c r="AV55" s="138" t="n">
        <f aca="false">AV42+AV43+AV51+AV52+AV53+AV54</f>
        <v>-44917.3666609941</v>
      </c>
      <c r="AW55" s="138" t="n">
        <f aca="false">AW42+AW43+AW51+AW52+AW53+AW54</f>
        <v>-44917.3666609941</v>
      </c>
      <c r="AX55" s="138" t="n">
        <f aca="false">AX42+AX43+AX51+AX52+AX53+AX54</f>
        <v>-44917.3666609941</v>
      </c>
      <c r="AY55" s="138" t="n">
        <f aca="false">AY42+AY43+AY51+AY52+AY53+AY54</f>
        <v>-47364.7041443541</v>
      </c>
      <c r="AZ55" s="138" t="n">
        <f aca="false">AZ42+AZ43+AZ51+AZ52+AZ53+AZ54</f>
        <v>-47364.7041443541</v>
      </c>
      <c r="BA55" s="138" t="n">
        <f aca="false">BA42+BA43+BA51+BA52+BA53+BA54</f>
        <v>-47364.7041443541</v>
      </c>
      <c r="BB55" s="138" t="n">
        <f aca="false">BB42+BB43+BB51+BB52+BB53+BB54</f>
        <v>-47364.7041443541</v>
      </c>
      <c r="BC55" s="138" t="n">
        <f aca="false">BC42+BC43+BC51+BC52+BC53+BC54</f>
        <v>-44788.9539046711</v>
      </c>
      <c r="BD55" s="138" t="n">
        <f aca="false">BD42+BD43+BD51+BD52+BD53+BD54</f>
        <v>-47364.7041443541</v>
      </c>
      <c r="BE55" s="138" t="n">
        <f aca="false">BE42+BE43+BE51+BE52+BE53+BE54</f>
        <v>-47364.7041443541</v>
      </c>
      <c r="BF55" s="138" t="n">
        <f aca="false">BF42+BF43+BF51+BF52+BF53+BF54</f>
        <v>-47364.7041443541</v>
      </c>
      <c r="BG55" s="138" t="n">
        <f aca="false">BG42+BG43+BG51+BG52+BG53+BG54</f>
        <v>-47364.7041443541</v>
      </c>
      <c r="BH55" s="138" t="n">
        <f aca="false">BH42+BH43+BH51+BH52+BH53+BH54</f>
        <v>-47364.7041443541</v>
      </c>
      <c r="BI55" s="138" t="n">
        <f aca="false">BI42+BI43+BI51+BI52+BI53+BI54</f>
        <v>-47364.7041443541</v>
      </c>
      <c r="BJ55" s="138" t="n">
        <f aca="false">BJ42+BJ43+BJ51+BJ52+BJ53+BJ54</f>
        <v>-47364.7041443541</v>
      </c>
      <c r="BK55" s="138" t="n">
        <f aca="false">BK42+BK43+BK51+BK52+BK53+BK54</f>
        <v>-49826.0617522149</v>
      </c>
      <c r="BL55" s="138" t="n">
        <f aca="false">BL42+BL43+BL51+BL52+BL53+BL54</f>
        <v>-49826.0617522149</v>
      </c>
      <c r="BM55" s="138" t="n">
        <f aca="false">BM42+BM43+BM51+BM52+BM53+BM54</f>
        <v>-49826.0617522149</v>
      </c>
      <c r="BN55" s="138" t="n">
        <f aca="false">BN42+BN43+BN51+BN52+BN53+BN54</f>
        <v>-49826.0617522149</v>
      </c>
      <c r="BO55" s="138" t="n">
        <f aca="false">BO42+BO43+BO51+BO52+BO53+BO54</f>
        <v>-47250.3115125319</v>
      </c>
      <c r="BP55" s="138" t="n">
        <f aca="false">BP42+BP43+BP51+BP52+BP53+BP54</f>
        <v>-49826.0617522149</v>
      </c>
      <c r="BQ55" s="138" t="n">
        <f aca="false">BQ42+BQ43+BQ51+BQ52+BQ53+BQ54</f>
        <v>-49826.0617522149</v>
      </c>
      <c r="BR55" s="138" t="n">
        <f aca="false">BR42+BR43+BR51+BR52+BR53+BR54</f>
        <v>-49826.0617522149</v>
      </c>
      <c r="BS55" s="138" t="n">
        <f aca="false">BS42+BS43+BS51+BS52+BS53+BS54</f>
        <v>-49826.0617522149</v>
      </c>
      <c r="BT55" s="138" t="n">
        <f aca="false">BT42+BT43+BT51+BT52+BT53+BT54</f>
        <v>-49826.0617522149</v>
      </c>
      <c r="BU55" s="138" t="n">
        <f aca="false">BU42+BU43+BU51+BU52+BU53+BU54</f>
        <v>-49826.0617522149</v>
      </c>
      <c r="BV55" s="138" t="n">
        <f aca="false">BV42+BV43+BV51+BV52+BV53+BV54</f>
        <v>-49826.0617522149</v>
      </c>
      <c r="BW55" s="138" t="n">
        <f aca="false">BW42+BW43+BW51+BW52+BW53+BW54</f>
        <v>-52301.8600883115</v>
      </c>
      <c r="BX55" s="138" t="n">
        <f aca="false">BX42+BX43+BX51+BX52+BX53+BX54</f>
        <v>-52301.8600883115</v>
      </c>
      <c r="BY55" s="138" t="n">
        <f aca="false">BY42+BY43+BY51+BY52+BY53+BY54</f>
        <v>-52301.8600883115</v>
      </c>
      <c r="BZ55" s="138" t="n">
        <f aca="false">BZ42+BZ43+BZ51+BZ52+BZ53+BZ54</f>
        <v>-52301.8600883115</v>
      </c>
      <c r="CA55" s="138" t="n">
        <f aca="false">CA42+CA43+CA51+CA52+CA53+CA54</f>
        <v>-49726.1098486286</v>
      </c>
      <c r="CB55" s="138" t="n">
        <f aca="false">CB42+CB43+CB51+CB52+CB53+CB54</f>
        <v>-52301.8600883115</v>
      </c>
      <c r="CC55" s="138" t="n">
        <f aca="false">CC42+CC43+CC51+CC52+CC53+CC54</f>
        <v>-52301.8600883115</v>
      </c>
      <c r="CD55" s="138" t="n">
        <f aca="false">CD42+CD43+CD51+CD52+CD53+CD54</f>
        <v>-52301.8600883115</v>
      </c>
      <c r="CE55" s="138" t="n">
        <f aca="false">CE42+CE43+CE51+CE52+CE53+CE54</f>
        <v>-52301.8600883115</v>
      </c>
      <c r="CF55" s="138" t="n">
        <f aca="false">CF42+CF43+CF51+CF52+CF53+CF54</f>
        <v>-52301.8600883115</v>
      </c>
      <c r="CG55" s="138" t="n">
        <f aca="false">CG42+CG43+CG51+CG52+CG53+CG54</f>
        <v>-52301.8600883115</v>
      </c>
      <c r="CH55" s="138" t="n">
        <f aca="false">CH42+CH43+CH51+CH52+CH53+CH54</f>
        <v>-52301.8600883115</v>
      </c>
    </row>
    <row r="56" customFormat="false" ht="13.5" hidden="false" customHeight="true" outlineLevel="0" collapsed="false">
      <c r="A56" s="64" t="s">
        <v>737</v>
      </c>
      <c r="C56" s="99" t="n">
        <f aca="false">C40+C55</f>
        <v>-15979.8590337535</v>
      </c>
      <c r="D56" s="99" t="n">
        <f aca="false">D40+D55</f>
        <v>-14111.1549680314</v>
      </c>
      <c r="E56" s="99" t="n">
        <f aca="false">E40+E55</f>
        <v>-11405.7908343331</v>
      </c>
      <c r="F56" s="99" t="n">
        <f aca="false">F40+F55</f>
        <v>-9467.71808515862</v>
      </c>
      <c r="G56" s="99" t="n">
        <f aca="false">G40+G55</f>
        <v>-12049.970418757</v>
      </c>
      <c r="H56" s="99" t="n">
        <f aca="false">H40+H55</f>
        <v>-5247.39748535294</v>
      </c>
      <c r="I56" s="99" t="n">
        <f aca="false">I40+I55</f>
        <v>-2829.97287685658</v>
      </c>
      <c r="J56" s="99" t="n">
        <f aca="false">J40+J55</f>
        <v>1043.38756648775</v>
      </c>
      <c r="K56" s="99" t="n">
        <f aca="false">K40+K55</f>
        <v>4829.79921031797</v>
      </c>
      <c r="L56" s="99" t="n">
        <f aca="false">L40+L55</f>
        <v>8616.21085414819</v>
      </c>
      <c r="M56" s="99" t="n">
        <f aca="false">M40+M55</f>
        <v>11565.9624300021</v>
      </c>
      <c r="N56" s="99" t="n">
        <f aca="false">N40+N55</f>
        <v>15113.1354401409</v>
      </c>
      <c r="O56" s="99" t="n">
        <f aca="false">O40+O55</f>
        <v>13433.1084502797</v>
      </c>
      <c r="P56" s="99" t="n">
        <f aca="false">P40+P55</f>
        <v>14433.3393605615</v>
      </c>
      <c r="Q56" s="99" t="n">
        <f aca="false">Q40+Q55</f>
        <v>17744.8902708434</v>
      </c>
      <c r="R56" s="99" t="n">
        <f aca="false">R40+R55</f>
        <v>21056.4411811253</v>
      </c>
      <c r="S56" s="99" t="n">
        <f aca="false">S40+S55</f>
        <v>10112.3560551819</v>
      </c>
      <c r="T56" s="99" t="n">
        <f aca="false">T40+T55</f>
        <v>27679.543001689</v>
      </c>
      <c r="U56" s="99" t="n">
        <f aca="false">U40+U55</f>
        <v>28679.7739119709</v>
      </c>
      <c r="V56" s="99" t="n">
        <f aca="false">V40+V55</f>
        <v>29272.1248222528</v>
      </c>
      <c r="W56" s="99" t="n">
        <f aca="false">W40+W55</f>
        <v>32583.6757325347</v>
      </c>
      <c r="X56" s="99" t="n">
        <f aca="false">X40+X55</f>
        <v>35297.8052085317</v>
      </c>
      <c r="Y56" s="99" t="n">
        <f aca="false">Y40+Y55</f>
        <v>38011.9346845288</v>
      </c>
      <c r="Z56" s="99" t="n">
        <f aca="false">Z40+Z55</f>
        <v>40510.5855868119</v>
      </c>
      <c r="AA56" s="99" t="n">
        <f aca="false">AA40+AA55</f>
        <v>40228.4870800089</v>
      </c>
      <c r="AB56" s="99" t="n">
        <f aca="false">AB40+AB55</f>
        <v>39645.5348597875</v>
      </c>
      <c r="AC56" s="99" t="n">
        <f aca="false">AC40+AC55</f>
        <v>41443.2422395661</v>
      </c>
      <c r="AD56" s="99" t="n">
        <f aca="false">AD40+AD55</f>
        <v>43240.9496193447</v>
      </c>
      <c r="AE56" s="99" t="n">
        <f aca="false">AE40+AE55</f>
        <v>25242.4649479818</v>
      </c>
      <c r="AF56" s="99" t="n">
        <f aca="false">AF40+AF55</f>
        <v>46836.3643789019</v>
      </c>
      <c r="AG56" s="99" t="n">
        <f aca="false">AG40+AG55</f>
        <v>48634.0717586805</v>
      </c>
      <c r="AH56" s="99" t="n">
        <f aca="false">AH40+AH55</f>
        <v>50431.7791384591</v>
      </c>
      <c r="AI56" s="99" t="n">
        <f aca="false">AI40+AI55</f>
        <v>52229.4865182377</v>
      </c>
      <c r="AJ56" s="99" t="n">
        <f aca="false">AJ40+AJ55</f>
        <v>54027.1938980163</v>
      </c>
      <c r="AK56" s="99" t="n">
        <f aca="false">AK40+AK55</f>
        <v>55824.9012777949</v>
      </c>
      <c r="AL56" s="99" t="n">
        <f aca="false">AL40+AL55</f>
        <v>55241.9490575735</v>
      </c>
      <c r="AM56" s="99" t="n">
        <f aca="false">AM40+AM55</f>
        <v>54605.9307253521</v>
      </c>
      <c r="AN56" s="99" t="n">
        <f aca="false">AN40+AN55</f>
        <v>56403.6381051307</v>
      </c>
      <c r="AO56" s="99" t="n">
        <f aca="false">AO40+AO55</f>
        <v>58201.3454849093</v>
      </c>
      <c r="AP56" s="99" t="n">
        <f aca="false">AP40+AP55</f>
        <v>59999.0528646879</v>
      </c>
      <c r="AQ56" s="99" t="n">
        <f aca="false">AQ40+AQ55</f>
        <v>42000.568193325</v>
      </c>
      <c r="AR56" s="99" t="n">
        <f aca="false">AR40+AR55</f>
        <v>63594.4676242451</v>
      </c>
      <c r="AS56" s="99" t="n">
        <f aca="false">AS40+AS55</f>
        <v>63594.4676242451</v>
      </c>
      <c r="AT56" s="99" t="n">
        <f aca="false">AT40+AT55</f>
        <v>63594.4676242451</v>
      </c>
      <c r="AU56" s="99" t="n">
        <f aca="false">AU40+AU55</f>
        <v>63594.4676242451</v>
      </c>
      <c r="AV56" s="99" t="n">
        <f aca="false">AV40+AV55</f>
        <v>63594.4676242451</v>
      </c>
      <c r="AW56" s="99" t="n">
        <f aca="false">AW40+AW55</f>
        <v>63594.4676242451</v>
      </c>
      <c r="AX56" s="99" t="n">
        <f aca="false">AX40+AX55</f>
        <v>63594.4676242451</v>
      </c>
      <c r="AY56" s="99" t="n">
        <f aca="false">AY40+AY55</f>
        <v>61147.1301408851</v>
      </c>
      <c r="AZ56" s="99" t="n">
        <f aca="false">AZ40+AZ55</f>
        <v>61147.1301408851</v>
      </c>
      <c r="BA56" s="99" t="n">
        <f aca="false">BA40+BA55</f>
        <v>61147.1301408851</v>
      </c>
      <c r="BB56" s="99" t="n">
        <f aca="false">BB40+BB55</f>
        <v>61147.1301408851</v>
      </c>
      <c r="BC56" s="99" t="n">
        <f aca="false">BC40+BC55</f>
        <v>41350.9380897436</v>
      </c>
      <c r="BD56" s="99" t="n">
        <f aca="false">BD40+BD55</f>
        <v>61147.1301408851</v>
      </c>
      <c r="BE56" s="99" t="n">
        <f aca="false">BE40+BE55</f>
        <v>61147.1301408851</v>
      </c>
      <c r="BF56" s="99" t="n">
        <f aca="false">BF40+BF55</f>
        <v>61147.1301408851</v>
      </c>
      <c r="BG56" s="99" t="n">
        <f aca="false">BG40+BG55</f>
        <v>61147.1301408851</v>
      </c>
      <c r="BH56" s="99" t="n">
        <f aca="false">BH40+BH55</f>
        <v>61147.1301408851</v>
      </c>
      <c r="BI56" s="99" t="n">
        <f aca="false">BI40+BI55</f>
        <v>61147.1301408851</v>
      </c>
      <c r="BJ56" s="99" t="n">
        <f aca="false">BJ40+BJ55</f>
        <v>61147.1301408851</v>
      </c>
      <c r="BK56" s="99" t="n">
        <f aca="false">BK40+BK55</f>
        <v>58685.7725330243</v>
      </c>
      <c r="BL56" s="99" t="n">
        <f aca="false">BL40+BL55</f>
        <v>58685.7725330243</v>
      </c>
      <c r="BM56" s="99" t="n">
        <f aca="false">BM40+BM55</f>
        <v>58685.7725330243</v>
      </c>
      <c r="BN56" s="99" t="n">
        <f aca="false">BN40+BN55</f>
        <v>58685.7725330243</v>
      </c>
      <c r="BO56" s="99" t="n">
        <f aca="false">BO40+BO55</f>
        <v>38889.5804818828</v>
      </c>
      <c r="BP56" s="99" t="n">
        <f aca="false">BP40+BP55</f>
        <v>58685.7725330243</v>
      </c>
      <c r="BQ56" s="99" t="n">
        <f aca="false">BQ40+BQ55</f>
        <v>58685.7725330243</v>
      </c>
      <c r="BR56" s="99" t="n">
        <f aca="false">BR40+BR55</f>
        <v>58685.7725330243</v>
      </c>
      <c r="BS56" s="99" t="n">
        <f aca="false">BS40+BS55</f>
        <v>58685.7725330243</v>
      </c>
      <c r="BT56" s="99" t="n">
        <f aca="false">BT40+BT55</f>
        <v>58685.7725330243</v>
      </c>
      <c r="BU56" s="99" t="n">
        <f aca="false">BU40+BU55</f>
        <v>58685.7725330243</v>
      </c>
      <c r="BV56" s="99" t="n">
        <f aca="false">BV40+BV55</f>
        <v>58685.7725330243</v>
      </c>
      <c r="BW56" s="99" t="n">
        <f aca="false">BW40+BW55</f>
        <v>56209.9741969276</v>
      </c>
      <c r="BX56" s="99" t="n">
        <f aca="false">BX40+BX55</f>
        <v>56209.9741969276</v>
      </c>
      <c r="BY56" s="99" t="n">
        <f aca="false">BY40+BY55</f>
        <v>56209.9741969276</v>
      </c>
      <c r="BZ56" s="99" t="n">
        <f aca="false">BZ40+BZ55</f>
        <v>56209.9741969276</v>
      </c>
      <c r="CA56" s="99" t="n">
        <f aca="false">CA40+CA55</f>
        <v>36413.7821457861</v>
      </c>
      <c r="CB56" s="99" t="n">
        <f aca="false">CB40+CB55</f>
        <v>56209.9741969276</v>
      </c>
      <c r="CC56" s="99" t="n">
        <f aca="false">CC40+CC55</f>
        <v>56209.9741969276</v>
      </c>
      <c r="CD56" s="99" t="n">
        <f aca="false">CD40+CD55</f>
        <v>56209.9741969276</v>
      </c>
      <c r="CE56" s="99" t="n">
        <f aca="false">CE40+CE55</f>
        <v>56209.9741969276</v>
      </c>
      <c r="CF56" s="99" t="n">
        <f aca="false">CF40+CF55</f>
        <v>56209.9741969276</v>
      </c>
      <c r="CG56" s="99" t="n">
        <f aca="false">CG40+CG55</f>
        <v>56209.9741969276</v>
      </c>
      <c r="CH56" s="99" t="n">
        <f aca="false">CH40+CH55</f>
        <v>56209.9741969276</v>
      </c>
    </row>
    <row r="57" customFormat="false" ht="13.5" hidden="false" customHeight="true" outlineLevel="0" collapsed="false">
      <c r="A57" s="13" t="s">
        <v>50</v>
      </c>
      <c r="C57" s="151" t="n">
        <f aca="false">IFERROR(C56/C38,0)</f>
        <v>-7.64597866087455</v>
      </c>
      <c r="D57" s="151" t="n">
        <f aca="false">IFERROR(D56/D38,0)</f>
        <v>-3.31995290728098</v>
      </c>
      <c r="E57" s="151" t="n">
        <f aca="false">IFERROR(E56/E38,0)</f>
        <v>-1.52232163003908</v>
      </c>
      <c r="F57" s="151" t="n">
        <f aca="false">IFERROR(F56/F38,0)</f>
        <v>-0.965649154029071</v>
      </c>
      <c r="G57" s="151" t="n">
        <f aca="false">IFERROR(G56/G38,0)</f>
        <v>-1.69347685120902</v>
      </c>
      <c r="H57" s="151" t="n">
        <f aca="false">IFERROR(H56/H38,0)</f>
        <v>-0.351376372974036</v>
      </c>
      <c r="I57" s="151" t="n">
        <f aca="false">IFERROR(I56/I38,0)</f>
        <v>-0.157882212281603</v>
      </c>
      <c r="J57" s="151" t="n">
        <f aca="false">IFERROR(J56/J38,0)</f>
        <v>0.0458207766858293</v>
      </c>
      <c r="K57" s="151" t="n">
        <f aca="false">IFERROR(K56/K38,0)</f>
        <v>0.174881632351069</v>
      </c>
      <c r="L57" s="151" t="n">
        <f aca="false">IFERROR(L56/L38,0)</f>
        <v>0.265408109791448</v>
      </c>
      <c r="M57" s="151" t="n">
        <f aca="false">IFERROR(M56/M38,0)</f>
        <v>0.319246297599147</v>
      </c>
      <c r="N57" s="151" t="n">
        <f aca="false">IFERROR(N56/N38,0)</f>
        <v>0.369742176916377</v>
      </c>
      <c r="O57" s="151" t="n">
        <f aca="false">IFERROR(O56/O38,0)</f>
        <v>0.29509938333823</v>
      </c>
      <c r="P57" s="151" t="n">
        <f aca="false">IFERROR(P56/P38,0)</f>
        <v>0.289539219682529</v>
      </c>
      <c r="Q57" s="151" t="n">
        <f aca="false">IFERROR(Q56/Q38,0)</f>
        <v>0.327529099371808</v>
      </c>
      <c r="R57" s="151" t="n">
        <f aca="false">IFERROR(R56/R38,0)</f>
        <v>0.359897496652932</v>
      </c>
      <c r="S57" s="151" t="n">
        <f aca="false">IFERROR(S56/S38,0)</f>
        <v>0.219493962882871</v>
      </c>
      <c r="T57" s="151" t="n">
        <f aca="false">IFERROR(T56/T38,0)</f>
        <v>0.412117481341909</v>
      </c>
      <c r="U57" s="151" t="n">
        <f aca="false">IFERROR(U56/U38,0)</f>
        <v>0.401155436547594</v>
      </c>
      <c r="V57" s="151" t="n">
        <f aca="false">IFERROR(V56/V38,0)</f>
        <v>0.38606558791407</v>
      </c>
      <c r="W57" s="151" t="n">
        <f aca="false">IFERROR(W56/W38,0)</f>
        <v>0.406531906359133</v>
      </c>
      <c r="X57" s="151" t="n">
        <f aca="false">IFERROR(X56/X38,0)</f>
        <v>0.422231672885634</v>
      </c>
      <c r="Y57" s="151" t="n">
        <f aca="false">IFERROR(Y56/Y38,0)</f>
        <v>0.436687722842837</v>
      </c>
      <c r="Z57" s="151" t="n">
        <f aca="false">IFERROR(Z56/Z38,0)</f>
        <v>0.449293834071414</v>
      </c>
      <c r="AA57" s="151" t="n">
        <f aca="false">IFERROR(AA56/AA38,0)</f>
        <v>0.435217198816204</v>
      </c>
      <c r="AB57" s="151" t="n">
        <f aca="false">IFERROR(AB56/AB38,0)</f>
        <v>0.418637967714909</v>
      </c>
      <c r="AC57" s="151" t="n">
        <f aca="false">IFERROR(AC56/AC38,0)</f>
        <v>0.427384952022356</v>
      </c>
      <c r="AD57" s="151" t="n">
        <f aca="false">IFERROR(AD56/AD38,0)</f>
        <v>0.435732104600327</v>
      </c>
      <c r="AE57" s="151" t="n">
        <f aca="false">IFERROR(AE56/AE38,0)</f>
        <v>0.324293283750661</v>
      </c>
      <c r="AF57" s="151" t="n">
        <f aca="false">IFERROR(AF56/AF38,0)</f>
        <v>0.451331780836881</v>
      </c>
      <c r="AG57" s="151" t="n">
        <f aca="false">IFERROR(AG56/AG38,0)</f>
        <v>0.458631130207229</v>
      </c>
      <c r="AH57" s="151" t="n">
        <f aca="false">IFERROR(AH56/AH38,0)</f>
        <v>0.465624768970648</v>
      </c>
      <c r="AI57" s="151" t="n">
        <f aca="false">IFERROR(AI56/AI38,0)</f>
        <v>0.472331508803538</v>
      </c>
      <c r="AJ57" s="151" t="n">
        <f aca="false">IFERROR(AJ56/AJ38,0)</f>
        <v>0.47876864898686</v>
      </c>
      <c r="AK57" s="151" t="n">
        <f aca="false">IFERROR(AK56/AK38,0)</f>
        <v>0.484952125400843</v>
      </c>
      <c r="AL57" s="151" t="n">
        <f aca="false">IFERROR(AL56/AL38,0)</f>
        <v>0.470615404877652</v>
      </c>
      <c r="AM57" s="151" t="n">
        <f aca="false">IFERROR(AM56/AM38,0)</f>
        <v>0.456378713003645</v>
      </c>
      <c r="AN57" s="151" t="n">
        <f aca="false">IFERROR(AN56/AN38,0)</f>
        <v>0.462633617679244</v>
      </c>
      <c r="AO57" s="151" t="n">
        <f aca="false">IFERROR(AO56/AO38,0)</f>
        <v>0.468660046572338</v>
      </c>
      <c r="AP57" s="151" t="n">
        <f aca="false">IFERROR(AP56/AP38,0)</f>
        <v>0.474470293610087</v>
      </c>
      <c r="AQ57" s="151" t="n">
        <f aca="false">IFERROR(AQ56/AQ38,0)</f>
        <v>0.399793207416302</v>
      </c>
      <c r="AR57" s="151" t="n">
        <f aca="false">IFERROR(AR56/AR38,0)</f>
        <v>0.485487160436382</v>
      </c>
      <c r="AS57" s="151" t="n">
        <f aca="false">IFERROR(AS56/AS38,0)</f>
        <v>0.485487160436382</v>
      </c>
      <c r="AT57" s="151" t="n">
        <f aca="false">IFERROR(AT56/AT38,0)</f>
        <v>0.485487160436382</v>
      </c>
      <c r="AU57" s="151" t="n">
        <f aca="false">IFERROR(AU56/AU38,0)</f>
        <v>0.485487160436382</v>
      </c>
      <c r="AV57" s="151" t="n">
        <f aca="false">IFERROR(AV56/AV38,0)</f>
        <v>0.485487160436382</v>
      </c>
      <c r="AW57" s="151" t="n">
        <f aca="false">IFERROR(AW56/AW38,0)</f>
        <v>0.485487160436382</v>
      </c>
      <c r="AX57" s="151" t="n">
        <f aca="false">IFERROR(AX56/AX38,0)</f>
        <v>0.485487160436382</v>
      </c>
      <c r="AY57" s="151" t="n">
        <f aca="false">IFERROR(AY56/AY38,0)</f>
        <v>0.466803916912019</v>
      </c>
      <c r="AZ57" s="151" t="n">
        <f aca="false">IFERROR(AZ56/AZ38,0)</f>
        <v>0.466803916912019</v>
      </c>
      <c r="BA57" s="151" t="n">
        <f aca="false">IFERROR(BA56/BA38,0)</f>
        <v>0.466803916912019</v>
      </c>
      <c r="BB57" s="151" t="n">
        <f aca="false">IFERROR(BB56/BB38,0)</f>
        <v>0.466803916912019</v>
      </c>
      <c r="BC57" s="151" t="n">
        <f aca="false">IFERROR(BC56/BC38,0)</f>
        <v>0.385291248006979</v>
      </c>
      <c r="BD57" s="151" t="n">
        <f aca="false">IFERROR(BD56/BD38,0)</f>
        <v>0.466803916912019</v>
      </c>
      <c r="BE57" s="151" t="n">
        <f aca="false">IFERROR(BE56/BE38,0)</f>
        <v>0.466803916912019</v>
      </c>
      <c r="BF57" s="151" t="n">
        <f aca="false">IFERROR(BF56/BF38,0)</f>
        <v>0.466803916912019</v>
      </c>
      <c r="BG57" s="151" t="n">
        <f aca="false">IFERROR(BG56/BG38,0)</f>
        <v>0.466803916912019</v>
      </c>
      <c r="BH57" s="151" t="n">
        <f aca="false">IFERROR(BH56/BH38,0)</f>
        <v>0.466803916912019</v>
      </c>
      <c r="BI57" s="151" t="n">
        <f aca="false">IFERROR(BI56/BI38,0)</f>
        <v>0.466803916912019</v>
      </c>
      <c r="BJ57" s="151" t="n">
        <f aca="false">IFERROR(BJ56/BJ38,0)</f>
        <v>0.466803916912019</v>
      </c>
      <c r="BK57" s="151" t="n">
        <f aca="false">IFERROR(BK56/BK38,0)</f>
        <v>0.44801364221518</v>
      </c>
      <c r="BL57" s="151" t="n">
        <f aca="false">IFERROR(BL56/BL38,0)</f>
        <v>0.44801364221518</v>
      </c>
      <c r="BM57" s="151" t="n">
        <f aca="false">IFERROR(BM56/BM38,0)</f>
        <v>0.44801364221518</v>
      </c>
      <c r="BN57" s="151" t="n">
        <f aca="false">IFERROR(BN56/BN38,0)</f>
        <v>0.44801364221518</v>
      </c>
      <c r="BO57" s="151" t="n">
        <f aca="false">IFERROR(BO56/BO38,0)</f>
        <v>0.362357317403858</v>
      </c>
      <c r="BP57" s="151" t="n">
        <f aca="false">IFERROR(BP56/BP38,0)</f>
        <v>0.44801364221518</v>
      </c>
      <c r="BQ57" s="151" t="n">
        <f aca="false">IFERROR(BQ56/BQ38,0)</f>
        <v>0.44801364221518</v>
      </c>
      <c r="BR57" s="151" t="n">
        <f aca="false">IFERROR(BR56/BR38,0)</f>
        <v>0.44801364221518</v>
      </c>
      <c r="BS57" s="151" t="n">
        <f aca="false">IFERROR(BS56/BS38,0)</f>
        <v>0.44801364221518</v>
      </c>
      <c r="BT57" s="151" t="n">
        <f aca="false">IFERROR(BT56/BT38,0)</f>
        <v>0.44801364221518</v>
      </c>
      <c r="BU57" s="151" t="n">
        <f aca="false">IFERROR(BU56/BU38,0)</f>
        <v>0.44801364221518</v>
      </c>
      <c r="BV57" s="151" t="n">
        <f aca="false">IFERROR(BV56/BV38,0)</f>
        <v>0.44801364221518</v>
      </c>
      <c r="BW57" s="151" t="n">
        <f aca="false">IFERROR(BW56/BW38,0)</f>
        <v>0.42911312541069</v>
      </c>
      <c r="BX57" s="151" t="n">
        <f aca="false">IFERROR(BX56/BX38,0)</f>
        <v>0.42911312541069</v>
      </c>
      <c r="BY57" s="151" t="n">
        <f aca="false">IFERROR(BY56/BY38,0)</f>
        <v>0.42911312541069</v>
      </c>
      <c r="BZ57" s="151" t="n">
        <f aca="false">IFERROR(BZ56/BZ38,0)</f>
        <v>0.42911312541069</v>
      </c>
      <c r="CA57" s="151" t="n">
        <f aca="false">IFERROR(CA56/CA38,0)</f>
        <v>0.339288833959588</v>
      </c>
      <c r="CB57" s="151" t="n">
        <f aca="false">IFERROR(CB56/CB38,0)</f>
        <v>0.42911312541069</v>
      </c>
      <c r="CC57" s="151" t="n">
        <f aca="false">IFERROR(CC56/CC38,0)</f>
        <v>0.42911312541069</v>
      </c>
      <c r="CD57" s="151" t="n">
        <f aca="false">IFERROR(CD56/CD38,0)</f>
        <v>0.42911312541069</v>
      </c>
      <c r="CE57" s="151" t="n">
        <f aca="false">IFERROR(CE56/CE38,0)</f>
        <v>0.42911312541069</v>
      </c>
      <c r="CF57" s="151" t="n">
        <f aca="false">IFERROR(CF56/CF38,0)</f>
        <v>0.42911312541069</v>
      </c>
      <c r="CG57" s="151" t="n">
        <f aca="false">IFERROR(CG56/CG38,0)</f>
        <v>0.42911312541069</v>
      </c>
      <c r="CH57" s="151" t="n">
        <f aca="false">IFERROR(CH56/CH38,0)</f>
        <v>0.42911312541069</v>
      </c>
    </row>
    <row r="58" customFormat="false" ht="13.5" hidden="false" customHeight="true" outlineLevel="0" collapsed="false">
      <c r="A58" s="13" t="s">
        <v>738</v>
      </c>
      <c r="C58" s="138" t="n">
        <f aca="false">-(CAPEX!$F$22)/(Hipótesis!$D$86*12)</f>
        <v>-1226.66666666667</v>
      </c>
      <c r="D58" s="138" t="n">
        <f aca="false">-(CAPEX!$F$22)/(Hipótesis!$D$86*12)</f>
        <v>-1226.66666666667</v>
      </c>
      <c r="E58" s="138" t="n">
        <f aca="false">-(CAPEX!$F$22)/(Hipótesis!$D$86*12)</f>
        <v>-1226.66666666667</v>
      </c>
      <c r="F58" s="138" t="n">
        <f aca="false">-(CAPEX!$F$22)/(Hipótesis!$D$86*12)</f>
        <v>-1226.66666666667</v>
      </c>
      <c r="G58" s="138" t="n">
        <f aca="false">-(CAPEX!$F$22)/(Hipótesis!$D$86*12)</f>
        <v>-1226.66666666667</v>
      </c>
      <c r="H58" s="138" t="n">
        <f aca="false">-(CAPEX!$F$22)/(Hipótesis!$D$86*12)</f>
        <v>-1226.66666666667</v>
      </c>
      <c r="I58" s="138" t="n">
        <f aca="false">-(CAPEX!$F$22)/(Hipótesis!$D$86*12)</f>
        <v>-1226.66666666667</v>
      </c>
      <c r="J58" s="138" t="n">
        <f aca="false">-(CAPEX!$F$22)/(Hipótesis!$D$86*12)</f>
        <v>-1226.66666666667</v>
      </c>
      <c r="K58" s="138" t="n">
        <f aca="false">-(CAPEX!$F$22)/(Hipótesis!$D$86*12)</f>
        <v>-1226.66666666667</v>
      </c>
      <c r="L58" s="138" t="n">
        <f aca="false">-(CAPEX!$F$22)/(Hipótesis!$D$86*12)</f>
        <v>-1226.66666666667</v>
      </c>
      <c r="M58" s="138" t="n">
        <f aca="false">-(CAPEX!$F$22)/(Hipótesis!$D$86*12)</f>
        <v>-1226.66666666667</v>
      </c>
      <c r="N58" s="138" t="n">
        <f aca="false">-(CAPEX!$F$22)/(Hipótesis!$D$86*12)</f>
        <v>-1226.66666666667</v>
      </c>
      <c r="O58" s="138" t="n">
        <f aca="false">-(CAPEX!$F$22)/(Hipótesis!$D$86*12)</f>
        <v>-1226.66666666667</v>
      </c>
      <c r="P58" s="138" t="n">
        <f aca="false">-(CAPEX!$F$22)/(Hipótesis!$D$86*12)</f>
        <v>-1226.66666666667</v>
      </c>
      <c r="Q58" s="138" t="n">
        <f aca="false">-(CAPEX!$F$22)/(Hipótesis!$D$86*12)</f>
        <v>-1226.66666666667</v>
      </c>
      <c r="R58" s="138" t="n">
        <f aca="false">-(CAPEX!$F$22)/(Hipótesis!$D$86*12)</f>
        <v>-1226.66666666667</v>
      </c>
      <c r="S58" s="138" t="n">
        <f aca="false">-(CAPEX!$F$22)/(Hipótesis!$D$86*12)</f>
        <v>-1226.66666666667</v>
      </c>
      <c r="T58" s="138" t="n">
        <f aca="false">-(CAPEX!$F$22)/(Hipótesis!$D$86*12)</f>
        <v>-1226.66666666667</v>
      </c>
      <c r="U58" s="138" t="n">
        <f aca="false">-(CAPEX!$F$22)/(Hipótesis!$D$86*12)</f>
        <v>-1226.66666666667</v>
      </c>
      <c r="V58" s="138" t="n">
        <f aca="false">-(CAPEX!$F$22)/(Hipótesis!$D$86*12)</f>
        <v>-1226.66666666667</v>
      </c>
      <c r="W58" s="138" t="n">
        <f aca="false">-(CAPEX!$F$22)/(Hipótesis!$D$86*12)</f>
        <v>-1226.66666666667</v>
      </c>
      <c r="X58" s="138" t="n">
        <f aca="false">-(CAPEX!$F$22)/(Hipótesis!$D$86*12)</f>
        <v>-1226.66666666667</v>
      </c>
      <c r="Y58" s="138" t="n">
        <f aca="false">-(CAPEX!$F$22)/(Hipótesis!$D$86*12)</f>
        <v>-1226.66666666667</v>
      </c>
      <c r="Z58" s="138" t="n">
        <f aca="false">-(CAPEX!$F$22)/(Hipótesis!$D$86*12)</f>
        <v>-1226.66666666667</v>
      </c>
      <c r="AA58" s="138" t="n">
        <f aca="false">-(CAPEX!$F$22)/(Hipótesis!$D$86*12)</f>
        <v>-1226.66666666667</v>
      </c>
      <c r="AB58" s="138" t="n">
        <f aca="false">-(CAPEX!$F$22)/(Hipótesis!$D$86*12)</f>
        <v>-1226.66666666667</v>
      </c>
      <c r="AC58" s="138" t="n">
        <f aca="false">-(CAPEX!$F$22)/(Hipótesis!$D$86*12)</f>
        <v>-1226.66666666667</v>
      </c>
      <c r="AD58" s="138" t="n">
        <f aca="false">-(CAPEX!$F$22)/(Hipótesis!$D$86*12)</f>
        <v>-1226.66666666667</v>
      </c>
      <c r="AE58" s="138" t="n">
        <f aca="false">-(CAPEX!$F$22)/(Hipótesis!$D$86*12)</f>
        <v>-1226.66666666667</v>
      </c>
      <c r="AF58" s="138" t="n">
        <f aca="false">-(CAPEX!$F$22)/(Hipótesis!$D$86*12)</f>
        <v>-1226.66666666667</v>
      </c>
      <c r="AG58" s="138" t="n">
        <f aca="false">-(CAPEX!$F$22)/(Hipótesis!$D$86*12)</f>
        <v>-1226.66666666667</v>
      </c>
      <c r="AH58" s="138" t="n">
        <f aca="false">-(CAPEX!$F$22)/(Hipótesis!$D$86*12)</f>
        <v>-1226.66666666667</v>
      </c>
      <c r="AI58" s="138" t="n">
        <f aca="false">-(CAPEX!$F$22)/(Hipótesis!$D$86*12)</f>
        <v>-1226.66666666667</v>
      </c>
      <c r="AJ58" s="138" t="n">
        <f aca="false">-(CAPEX!$F$22)/(Hipótesis!$D$86*12)</f>
        <v>-1226.66666666667</v>
      </c>
      <c r="AK58" s="138" t="n">
        <f aca="false">-(CAPEX!$F$22)/(Hipótesis!$D$86*12)</f>
        <v>-1226.66666666667</v>
      </c>
      <c r="AL58" s="138" t="n">
        <f aca="false">-(CAPEX!$F$22)/(Hipótesis!$D$86*12)</f>
        <v>-1226.66666666667</v>
      </c>
      <c r="AM58" s="138" t="n">
        <f aca="false">-(CAPEX!$F$22)/(Hipótesis!$D$86*12)</f>
        <v>-1226.66666666667</v>
      </c>
      <c r="AN58" s="138" t="n">
        <f aca="false">-(CAPEX!$F$22)/(Hipótesis!$D$86*12)</f>
        <v>-1226.66666666667</v>
      </c>
      <c r="AO58" s="138" t="n">
        <f aca="false">-(CAPEX!$F$22)/(Hipótesis!$D$86*12)</f>
        <v>-1226.66666666667</v>
      </c>
      <c r="AP58" s="138" t="n">
        <f aca="false">-(CAPEX!$F$22)/(Hipótesis!$D$86*12)</f>
        <v>-1226.66666666667</v>
      </c>
      <c r="AQ58" s="138" t="n">
        <f aca="false">-(CAPEX!$F$22)/(Hipótesis!$D$86*12)</f>
        <v>-1226.66666666667</v>
      </c>
      <c r="AR58" s="138" t="n">
        <f aca="false">-(CAPEX!$F$22)/(Hipótesis!$D$86*12)</f>
        <v>-1226.66666666667</v>
      </c>
      <c r="AS58" s="138" t="n">
        <f aca="false">-(CAPEX!$F$22)/(Hipótesis!$D$86*12)</f>
        <v>-1226.66666666667</v>
      </c>
      <c r="AT58" s="138" t="n">
        <f aca="false">-(CAPEX!$F$22)/(Hipótesis!$D$86*12)</f>
        <v>-1226.66666666667</v>
      </c>
      <c r="AU58" s="138" t="n">
        <f aca="false">-(CAPEX!$F$22)/(Hipótesis!$D$86*12)</f>
        <v>-1226.66666666667</v>
      </c>
      <c r="AV58" s="138" t="n">
        <f aca="false">-(CAPEX!$F$22)/(Hipótesis!$D$86*12)</f>
        <v>-1226.66666666667</v>
      </c>
      <c r="AW58" s="138" t="n">
        <f aca="false">-(CAPEX!$F$22)/(Hipótesis!$D$86*12)</f>
        <v>-1226.66666666667</v>
      </c>
      <c r="AX58" s="138" t="n">
        <f aca="false">-(CAPEX!$F$22)/(Hipótesis!$D$86*12)</f>
        <v>-1226.66666666667</v>
      </c>
      <c r="AY58" s="138" t="n">
        <f aca="false">-(CAPEX!$F$22)/(Hipótesis!$D$86*12)</f>
        <v>-1226.66666666667</v>
      </c>
      <c r="AZ58" s="138" t="n">
        <f aca="false">-(CAPEX!$F$22)/(Hipótesis!$D$86*12)</f>
        <v>-1226.66666666667</v>
      </c>
      <c r="BA58" s="138" t="n">
        <f aca="false">-(CAPEX!$F$22)/(Hipótesis!$D$86*12)</f>
        <v>-1226.66666666667</v>
      </c>
      <c r="BB58" s="138" t="n">
        <f aca="false">-(CAPEX!$F$22)/(Hipótesis!$D$86*12)</f>
        <v>-1226.66666666667</v>
      </c>
      <c r="BC58" s="138" t="n">
        <f aca="false">-(CAPEX!$F$22)/(Hipótesis!$D$86*12)</f>
        <v>-1226.66666666667</v>
      </c>
      <c r="BD58" s="138" t="n">
        <f aca="false">-(CAPEX!$F$22)/(Hipótesis!$D$86*12)</f>
        <v>-1226.66666666667</v>
      </c>
      <c r="BE58" s="138" t="n">
        <f aca="false">-(CAPEX!$F$22)/(Hipótesis!$D$86*12)</f>
        <v>-1226.66666666667</v>
      </c>
      <c r="BF58" s="138" t="n">
        <f aca="false">-(CAPEX!$F$22)/(Hipótesis!$D$86*12)</f>
        <v>-1226.66666666667</v>
      </c>
      <c r="BG58" s="138" t="n">
        <f aca="false">-(CAPEX!$F$22)/(Hipótesis!$D$86*12)</f>
        <v>-1226.66666666667</v>
      </c>
      <c r="BH58" s="138" t="n">
        <f aca="false">-(CAPEX!$F$22)/(Hipótesis!$D$86*12)</f>
        <v>-1226.66666666667</v>
      </c>
      <c r="BI58" s="138" t="n">
        <f aca="false">-(CAPEX!$F$22)/(Hipótesis!$D$86*12)</f>
        <v>-1226.66666666667</v>
      </c>
      <c r="BJ58" s="138" t="n">
        <f aca="false">-(CAPEX!$F$22)/(Hipótesis!$D$86*12)</f>
        <v>-1226.66666666667</v>
      </c>
      <c r="BK58" s="138" t="n">
        <f aca="false">-(CAPEX!$F$22)/(Hipótesis!$D$86*12)</f>
        <v>-1226.66666666667</v>
      </c>
      <c r="BL58" s="138" t="n">
        <f aca="false">-(CAPEX!$F$22)/(Hipótesis!$D$86*12)</f>
        <v>-1226.66666666667</v>
      </c>
      <c r="BM58" s="138" t="n">
        <f aca="false">-(CAPEX!$F$22)/(Hipótesis!$D$86*12)</f>
        <v>-1226.66666666667</v>
      </c>
      <c r="BN58" s="138" t="n">
        <f aca="false">-(CAPEX!$F$22)/(Hipótesis!$D$86*12)</f>
        <v>-1226.66666666667</v>
      </c>
      <c r="BO58" s="138" t="n">
        <f aca="false">-(CAPEX!$F$22)/(Hipótesis!$D$86*12)</f>
        <v>-1226.66666666667</v>
      </c>
      <c r="BP58" s="138" t="n">
        <f aca="false">-(CAPEX!$F$22)/(Hipótesis!$D$86*12)</f>
        <v>-1226.66666666667</v>
      </c>
      <c r="BQ58" s="138" t="n">
        <f aca="false">-(CAPEX!$F$22)/(Hipótesis!$D$86*12)</f>
        <v>-1226.66666666667</v>
      </c>
      <c r="BR58" s="138" t="n">
        <f aca="false">-(CAPEX!$F$22)/(Hipótesis!$D$86*12)</f>
        <v>-1226.66666666667</v>
      </c>
      <c r="BS58" s="138" t="n">
        <f aca="false">-(CAPEX!$F$22)/(Hipótesis!$D$86*12)</f>
        <v>-1226.66666666667</v>
      </c>
      <c r="BT58" s="138" t="n">
        <f aca="false">-(CAPEX!$F$22)/(Hipótesis!$D$86*12)</f>
        <v>-1226.66666666667</v>
      </c>
      <c r="BU58" s="138" t="n">
        <f aca="false">-(CAPEX!$F$22)/(Hipótesis!$D$86*12)</f>
        <v>-1226.66666666667</v>
      </c>
      <c r="BV58" s="138" t="n">
        <f aca="false">-(CAPEX!$F$22)/(Hipótesis!$D$86*12)</f>
        <v>-1226.66666666667</v>
      </c>
      <c r="BW58" s="138" t="n">
        <f aca="false">-(CAPEX!$F$22)/(Hipótesis!$D$86*12)</f>
        <v>-1226.66666666667</v>
      </c>
      <c r="BX58" s="138" t="n">
        <f aca="false">-(CAPEX!$F$22)/(Hipótesis!$D$86*12)</f>
        <v>-1226.66666666667</v>
      </c>
      <c r="BY58" s="138" t="n">
        <f aca="false">-(CAPEX!$F$22)/(Hipótesis!$D$86*12)</f>
        <v>-1226.66666666667</v>
      </c>
      <c r="BZ58" s="138" t="n">
        <f aca="false">-(CAPEX!$F$22)/(Hipótesis!$D$86*12)</f>
        <v>-1226.66666666667</v>
      </c>
      <c r="CA58" s="138" t="n">
        <f aca="false">-(CAPEX!$F$22)/(Hipótesis!$D$86*12)</f>
        <v>-1226.66666666667</v>
      </c>
      <c r="CB58" s="138" t="n">
        <f aca="false">-(CAPEX!$F$22)/(Hipótesis!$D$86*12)</f>
        <v>-1226.66666666667</v>
      </c>
      <c r="CC58" s="138" t="n">
        <f aca="false">-(CAPEX!$F$22)/(Hipótesis!$D$86*12)</f>
        <v>-1226.66666666667</v>
      </c>
      <c r="CD58" s="138" t="n">
        <f aca="false">-(CAPEX!$F$22)/(Hipótesis!$D$86*12)</f>
        <v>-1226.66666666667</v>
      </c>
      <c r="CE58" s="138" t="n">
        <f aca="false">-(CAPEX!$F$22)/(Hipótesis!$D$86*12)</f>
        <v>-1226.66666666667</v>
      </c>
      <c r="CF58" s="138" t="n">
        <f aca="false">-(CAPEX!$F$22)/(Hipótesis!$D$86*12)</f>
        <v>-1226.66666666667</v>
      </c>
      <c r="CG58" s="138" t="n">
        <f aca="false">-(CAPEX!$F$22)/(Hipótesis!$D$86*12)</f>
        <v>-1226.66666666667</v>
      </c>
      <c r="CH58" s="138" t="n">
        <f aca="false">-(CAPEX!$F$22)/(Hipótesis!$D$86*12)</f>
        <v>-1226.66666666667</v>
      </c>
    </row>
    <row r="59" customFormat="false" ht="13.5" hidden="false" customHeight="true" outlineLevel="0" collapsed="false">
      <c r="A59" s="30" t="s">
        <v>739</v>
      </c>
      <c r="C59" s="138" t="n">
        <f aca="false">C56+C58</f>
        <v>-17206.5257004201</v>
      </c>
      <c r="D59" s="138" t="n">
        <f aca="false">D56+D58</f>
        <v>-15337.8216346981</v>
      </c>
      <c r="E59" s="138" t="n">
        <f aca="false">E56+E58</f>
        <v>-12632.4575009998</v>
      </c>
      <c r="F59" s="138" t="n">
        <f aca="false">F56+F58</f>
        <v>-10694.3847518253</v>
      </c>
      <c r="G59" s="138" t="n">
        <f aca="false">G56+G58</f>
        <v>-13276.6370854237</v>
      </c>
      <c r="H59" s="138" t="n">
        <f aca="false">H56+H58</f>
        <v>-6474.06415201961</v>
      </c>
      <c r="I59" s="138" t="n">
        <f aca="false">I56+I58</f>
        <v>-4056.63954352325</v>
      </c>
      <c r="J59" s="138" t="n">
        <f aca="false">J56+J58</f>
        <v>-183.279100178918</v>
      </c>
      <c r="K59" s="138" t="n">
        <f aca="false">K56+K58</f>
        <v>3603.1325436513</v>
      </c>
      <c r="L59" s="138" t="n">
        <f aca="false">L56+L58</f>
        <v>7389.54418748152</v>
      </c>
      <c r="M59" s="138" t="n">
        <f aca="false">M56+M58</f>
        <v>10339.2957633355</v>
      </c>
      <c r="N59" s="138" t="n">
        <f aca="false">N56+N58</f>
        <v>13886.4687734742</v>
      </c>
      <c r="O59" s="138" t="n">
        <f aca="false">O56+O58</f>
        <v>12206.441783613</v>
      </c>
      <c r="P59" s="138" t="n">
        <f aca="false">P56+P58</f>
        <v>13206.6726938949</v>
      </c>
      <c r="Q59" s="138" t="n">
        <f aca="false">Q56+Q58</f>
        <v>16518.2236041767</v>
      </c>
      <c r="R59" s="138" t="n">
        <f aca="false">R56+R58</f>
        <v>19829.7745144586</v>
      </c>
      <c r="S59" s="138" t="n">
        <f aca="false">S56+S58</f>
        <v>8885.68938851527</v>
      </c>
      <c r="T59" s="138" t="n">
        <f aca="false">T56+T58</f>
        <v>26452.8763350224</v>
      </c>
      <c r="U59" s="138" t="n">
        <f aca="false">U56+U58</f>
        <v>27453.1072453042</v>
      </c>
      <c r="V59" s="138" t="n">
        <f aca="false">V56+V58</f>
        <v>28045.4581555861</v>
      </c>
      <c r="W59" s="138" t="n">
        <f aca="false">W56+W58</f>
        <v>31357.009065868</v>
      </c>
      <c r="X59" s="138" t="n">
        <f aca="false">X56+X58</f>
        <v>34071.1385418651</v>
      </c>
      <c r="Y59" s="138" t="n">
        <f aca="false">Y56+Y58</f>
        <v>36785.2680178621</v>
      </c>
      <c r="Z59" s="138" t="n">
        <f aca="false">Z56+Z58</f>
        <v>39283.9189201452</v>
      </c>
      <c r="AA59" s="138" t="n">
        <f aca="false">AA56+AA58</f>
        <v>39001.8204133423</v>
      </c>
      <c r="AB59" s="138" t="n">
        <f aca="false">AB56+AB58</f>
        <v>38418.8681931209</v>
      </c>
      <c r="AC59" s="138" t="n">
        <f aca="false">AC56+AC58</f>
        <v>40216.5755728995</v>
      </c>
      <c r="AD59" s="138" t="n">
        <f aca="false">AD56+AD58</f>
        <v>42014.282952678</v>
      </c>
      <c r="AE59" s="138" t="n">
        <f aca="false">AE56+AE58</f>
        <v>24015.7982813151</v>
      </c>
      <c r="AF59" s="138" t="n">
        <f aca="false">AF56+AF58</f>
        <v>45609.6977122352</v>
      </c>
      <c r="AG59" s="138" t="n">
        <f aca="false">AG56+AG58</f>
        <v>47407.4050920138</v>
      </c>
      <c r="AH59" s="138" t="n">
        <f aca="false">AH56+AH58</f>
        <v>49205.1124717924</v>
      </c>
      <c r="AI59" s="138" t="n">
        <f aca="false">AI56+AI58</f>
        <v>51002.819851571</v>
      </c>
      <c r="AJ59" s="138" t="n">
        <f aca="false">AJ56+AJ58</f>
        <v>52800.5272313496</v>
      </c>
      <c r="AK59" s="138" t="n">
        <f aca="false">AK56+AK58</f>
        <v>54598.2346111282</v>
      </c>
      <c r="AL59" s="138" t="n">
        <f aca="false">AL56+AL58</f>
        <v>54015.2823909068</v>
      </c>
      <c r="AM59" s="138" t="n">
        <f aca="false">AM56+AM58</f>
        <v>53379.2640586854</v>
      </c>
      <c r="AN59" s="138" t="n">
        <f aca="false">AN56+AN58</f>
        <v>55176.971438464</v>
      </c>
      <c r="AO59" s="138" t="n">
        <f aca="false">AO56+AO58</f>
        <v>56974.6788182426</v>
      </c>
      <c r="AP59" s="138" t="n">
        <f aca="false">AP56+AP58</f>
        <v>58772.3861980212</v>
      </c>
      <c r="AQ59" s="138" t="n">
        <f aca="false">AQ56+AQ58</f>
        <v>40773.9015266583</v>
      </c>
      <c r="AR59" s="138" t="n">
        <f aca="false">AR56+AR58</f>
        <v>62367.8009575784</v>
      </c>
      <c r="AS59" s="138" t="n">
        <f aca="false">AS56+AS58</f>
        <v>62367.8009575784</v>
      </c>
      <c r="AT59" s="138" t="n">
        <f aca="false">AT56+AT58</f>
        <v>62367.8009575784</v>
      </c>
      <c r="AU59" s="138" t="n">
        <f aca="false">AU56+AU58</f>
        <v>62367.8009575784</v>
      </c>
      <c r="AV59" s="138" t="n">
        <f aca="false">AV56+AV58</f>
        <v>62367.8009575784</v>
      </c>
      <c r="AW59" s="138" t="n">
        <f aca="false">AW56+AW58</f>
        <v>62367.8009575784</v>
      </c>
      <c r="AX59" s="138" t="n">
        <f aca="false">AX56+AX58</f>
        <v>62367.8009575784</v>
      </c>
      <c r="AY59" s="138" t="n">
        <f aca="false">AY56+AY58</f>
        <v>59920.4634742184</v>
      </c>
      <c r="AZ59" s="138" t="n">
        <f aca="false">AZ56+AZ58</f>
        <v>59920.4634742184</v>
      </c>
      <c r="BA59" s="138" t="n">
        <f aca="false">BA56+BA58</f>
        <v>59920.4634742184</v>
      </c>
      <c r="BB59" s="138" t="n">
        <f aca="false">BB56+BB58</f>
        <v>59920.4634742184</v>
      </c>
      <c r="BC59" s="138" t="n">
        <f aca="false">BC56+BC58</f>
        <v>40124.2714230769</v>
      </c>
      <c r="BD59" s="138" t="n">
        <f aca="false">BD56+BD58</f>
        <v>59920.4634742184</v>
      </c>
      <c r="BE59" s="138" t="n">
        <f aca="false">BE56+BE58</f>
        <v>59920.4634742184</v>
      </c>
      <c r="BF59" s="138" t="n">
        <f aca="false">BF56+BF58</f>
        <v>59920.4634742184</v>
      </c>
      <c r="BG59" s="138" t="n">
        <f aca="false">BG56+BG58</f>
        <v>59920.4634742184</v>
      </c>
      <c r="BH59" s="138" t="n">
        <f aca="false">BH56+BH58</f>
        <v>59920.4634742184</v>
      </c>
      <c r="BI59" s="138" t="n">
        <f aca="false">BI56+BI58</f>
        <v>59920.4634742184</v>
      </c>
      <c r="BJ59" s="138" t="n">
        <f aca="false">BJ56+BJ58</f>
        <v>59920.4634742184</v>
      </c>
      <c r="BK59" s="138" t="n">
        <f aca="false">BK56+BK58</f>
        <v>57459.1058663576</v>
      </c>
      <c r="BL59" s="138" t="n">
        <f aca="false">BL56+BL58</f>
        <v>57459.1058663576</v>
      </c>
      <c r="BM59" s="138" t="n">
        <f aca="false">BM56+BM58</f>
        <v>57459.1058663576</v>
      </c>
      <c r="BN59" s="138" t="n">
        <f aca="false">BN56+BN58</f>
        <v>57459.1058663576</v>
      </c>
      <c r="BO59" s="138" t="n">
        <f aca="false">BO56+BO58</f>
        <v>37662.9138152161</v>
      </c>
      <c r="BP59" s="138" t="n">
        <f aca="false">BP56+BP58</f>
        <v>57459.1058663576</v>
      </c>
      <c r="BQ59" s="138" t="n">
        <f aca="false">BQ56+BQ58</f>
        <v>57459.1058663576</v>
      </c>
      <c r="BR59" s="138" t="n">
        <f aca="false">BR56+BR58</f>
        <v>57459.1058663576</v>
      </c>
      <c r="BS59" s="138" t="n">
        <f aca="false">BS56+BS58</f>
        <v>57459.1058663576</v>
      </c>
      <c r="BT59" s="138" t="n">
        <f aca="false">BT56+BT58</f>
        <v>57459.1058663576</v>
      </c>
      <c r="BU59" s="138" t="n">
        <f aca="false">BU56+BU58</f>
        <v>57459.1058663576</v>
      </c>
      <c r="BV59" s="138" t="n">
        <f aca="false">BV56+BV58</f>
        <v>57459.1058663576</v>
      </c>
      <c r="BW59" s="138" t="n">
        <f aca="false">BW56+BW58</f>
        <v>54983.307530261</v>
      </c>
      <c r="BX59" s="138" t="n">
        <f aca="false">BX56+BX58</f>
        <v>54983.307530261</v>
      </c>
      <c r="BY59" s="138" t="n">
        <f aca="false">BY56+BY58</f>
        <v>54983.307530261</v>
      </c>
      <c r="BZ59" s="138" t="n">
        <f aca="false">BZ56+BZ58</f>
        <v>54983.307530261</v>
      </c>
      <c r="CA59" s="138" t="n">
        <f aca="false">CA56+CA58</f>
        <v>35187.1154791195</v>
      </c>
      <c r="CB59" s="138" t="n">
        <f aca="false">CB56+CB58</f>
        <v>54983.307530261</v>
      </c>
      <c r="CC59" s="138" t="n">
        <f aca="false">CC56+CC58</f>
        <v>54983.307530261</v>
      </c>
      <c r="CD59" s="138" t="n">
        <f aca="false">CD56+CD58</f>
        <v>54983.307530261</v>
      </c>
      <c r="CE59" s="138" t="n">
        <f aca="false">CE56+CE58</f>
        <v>54983.307530261</v>
      </c>
      <c r="CF59" s="138" t="n">
        <f aca="false">CF56+CF58</f>
        <v>54983.307530261</v>
      </c>
      <c r="CG59" s="138" t="n">
        <f aca="false">CG56+CG58</f>
        <v>54983.307530261</v>
      </c>
      <c r="CH59" s="138" t="n">
        <f aca="false">CH56+CH58</f>
        <v>54983.307530261</v>
      </c>
    </row>
    <row r="60" customFormat="false" ht="13.5" hidden="false" customHeight="true" outlineLevel="0" collapsed="false">
      <c r="A60" s="13" t="s">
        <v>740</v>
      </c>
      <c r="C60" s="138" t="n">
        <f aca="false">-(C91+C98+C103+C77+C212*Hipótesis!$D$73*Hipótesis!$D$74/12)</f>
        <v>-336.820130208333</v>
      </c>
      <c r="D60" s="138" t="n">
        <f aca="false">-(D91+D98+D103+D77+D212*Hipótesis!$D$73*Hipótesis!$D$74/12)</f>
        <v>-340.571189583333</v>
      </c>
      <c r="E60" s="138" t="n">
        <f aca="false">-(E91+E98+E103+E77+E212*Hipótesis!$D$73*Hipótesis!$D$74/12)</f>
        <v>-348.377944270833</v>
      </c>
      <c r="F60" s="138" t="n">
        <f aca="false">-(F91+F98+F103+F77+F212*Hipótesis!$D$73*Hipótesis!$D$74/12)</f>
        <v>-352.697902083333</v>
      </c>
      <c r="G60" s="138" t="n">
        <f aca="false">-(G91+G98+G103+G77+G212*Hipótesis!$D$73*Hipótesis!$D$74/12)</f>
        <v>-356.753597395833</v>
      </c>
      <c r="H60" s="138" t="n">
        <f aca="false">-(H91+H98+H103+H77+H212*Hipótesis!$D$73*Hipótesis!$D$74/12)</f>
        <v>-363.231698958333</v>
      </c>
      <c r="I60" s="138" t="n">
        <f aca="false">-(I91+I98+I103+I77+I212*Hipótesis!$D$73*Hipótesis!$D$74/12)</f>
        <v>-370.096410591425</v>
      </c>
      <c r="J60" s="138" t="n">
        <f aca="false">-(J91+J98+J103+J77+J212*Hipótesis!$D$73*Hipótesis!$D$74/12)</f>
        <v>-432.734036702956</v>
      </c>
      <c r="K60" s="138" t="n">
        <f aca="false">-(K91+K98+K103+K77+K212*Hipótesis!$D$73*Hipótesis!$D$74/12)</f>
        <v>-553.517276522617</v>
      </c>
      <c r="L60" s="138" t="n">
        <f aca="false">-(L91+L98+L103+L77+L212*Hipótesis!$D$73*Hipótesis!$D$74/12)</f>
        <v>-655.303927150078</v>
      </c>
      <c r="M60" s="138" t="n">
        <f aca="false">-(M91+M98+M103+M77+M212*Hipótesis!$D$73*Hipótesis!$D$74/12)</f>
        <v>-717.654593399526</v>
      </c>
      <c r="N60" s="138" t="n">
        <f aca="false">-(N91+N98+N103+N77+N212*Hipótesis!$D$73*Hipótesis!$D$74/12)</f>
        <v>-778.627489386708</v>
      </c>
      <c r="O60" s="138" t="n">
        <f aca="false">-(O91+O98+O103+O77+O212*Hipótesis!$D$73*Hipótesis!$D$74/12)</f>
        <v>-722.3591176473</v>
      </c>
      <c r="P60" s="138" t="n">
        <f aca="false">-(P91+P98+P103+P77+P212*Hipótesis!$D$73*Hipótesis!$D$74/12)</f>
        <v>-748.026929378787</v>
      </c>
      <c r="Q60" s="138" t="n">
        <f aca="false">-(Q91+Q98+Q103+Q77+Q212*Hipótesis!$D$73*Hipótesis!$D$74/12)</f>
        <v>-826.140045175658</v>
      </c>
      <c r="R60" s="138" t="n">
        <f aca="false">-(R91+R98+R103+R77+R212*Hipótesis!$D$73*Hipótesis!$D$74/12)</f>
        <v>-904.253160972528</v>
      </c>
      <c r="S60" s="138" t="n">
        <f aca="false">-(S91+S98+S103+S77+S212*Hipótesis!$D$73*Hipótesis!$D$74/12)</f>
        <v>-697.253556044894</v>
      </c>
      <c r="T60" s="138" t="n">
        <f aca="false">-(T91+T98+T103+T77+T212*Hipótesis!$D$73*Hipótesis!$D$74/12)</f>
        <v>-1060.47939256627</v>
      </c>
      <c r="U60" s="138" t="n">
        <f aca="false">-(U91+U98+U103+U77+U212*Hipótesis!$D$73*Hipótesis!$D$74/12)</f>
        <v>-1092.36610836314</v>
      </c>
      <c r="V60" s="138" t="n">
        <f aca="false">-(V91+V98+V103+V77+V212*Hipótesis!$D$73*Hipótesis!$D$74/12)</f>
        <v>-1116.09522416001</v>
      </c>
      <c r="W60" s="138" t="n">
        <f aca="false">-(W91+W98+W103+W77+W212*Hipótesis!$D$73*Hipótesis!$D$74/12)</f>
        <v>-1194.20833995688</v>
      </c>
      <c r="X60" s="138" t="n">
        <f aca="false">-(X91+X98+X103+X77+X212*Hipótesis!$D$73*Hipótesis!$D$74/12)</f>
        <v>-1257.06974581806</v>
      </c>
      <c r="Y60" s="138" t="n">
        <f aca="false">-(Y91+Y98+Y103+Y77+Y212*Hipótesis!$D$73*Hipótesis!$D$74/12)</f>
        <v>-1319.93115167923</v>
      </c>
      <c r="Z60" s="138" t="n">
        <f aca="false">-(Z91+Z98+Z103+Z77+Z212*Hipótesis!$D$73*Hipótesis!$D$74/12)</f>
        <v>-1377.24976106613</v>
      </c>
      <c r="AA60" s="138" t="n">
        <f aca="false">-(AA91+AA98+AA103+AA77+AA212*Hipótesis!$D$73*Hipótesis!$D$74/12)</f>
        <v>-1380.11321248307</v>
      </c>
      <c r="AB60" s="138" t="n">
        <f aca="false">-(AB91+AB98+AB103+AB77+AB212*Hipótesis!$D$73*Hipótesis!$D$74/12)</f>
        <v>-1371.4040340761</v>
      </c>
      <c r="AC60" s="138" t="n">
        <f aca="false">-(AC91+AC98+AC103+AC77+AC212*Hipótesis!$D$73*Hipótesis!$D$74/12)</f>
        <v>-1410.30804766912</v>
      </c>
      <c r="AD60" s="138" t="n">
        <f aca="false">-(AD91+AD98+AD103+AD77+AD212*Hipótesis!$D$73*Hipótesis!$D$74/12)</f>
        <v>-1449.21206126214</v>
      </c>
      <c r="AE60" s="138" t="n">
        <f aca="false">-(AE91+AE98+AE103+AE77+AE212*Hipótesis!$D$73*Hipótesis!$D$74/12)</f>
        <v>-1092.19223383234</v>
      </c>
      <c r="AF60" s="138" t="n">
        <f aca="false">-(AF91+AF98+AF103+AF77+AF212*Hipótesis!$D$73*Hipótesis!$D$74/12)</f>
        <v>-1527.02008844819</v>
      </c>
      <c r="AG60" s="138" t="n">
        <f aca="false">-(AG91+AG98+AG103+AG77+AG212*Hipótesis!$D$73*Hipótesis!$D$74/12)</f>
        <v>-1565.92410204121</v>
      </c>
      <c r="AH60" s="138" t="n">
        <f aca="false">-(AH91+AH98+AH103+AH77+AH212*Hipótesis!$D$73*Hipótesis!$D$74/12)</f>
        <v>-1604.82811563423</v>
      </c>
      <c r="AI60" s="138" t="n">
        <f aca="false">-(AI91+AI98+AI103+AI77+AI212*Hipótesis!$D$73*Hipótesis!$D$74/12)</f>
        <v>-1643.73212922726</v>
      </c>
      <c r="AJ60" s="138" t="n">
        <f aca="false">-(AJ91+AJ98+AJ103+AJ77+AJ212*Hipótesis!$D$73*Hipótesis!$D$74/12)</f>
        <v>-1682.63614282028</v>
      </c>
      <c r="AK60" s="138" t="n">
        <f aca="false">-(AK91+AK98+AK103+AK77+AK212*Hipótesis!$D$73*Hipótesis!$D$74/12)</f>
        <v>-1721.5401564133</v>
      </c>
      <c r="AL60" s="138" t="n">
        <f aca="false">-(AL91+AL98+AL103+AL77+AL212*Hipótesis!$D$73*Hipótesis!$D$74/12)</f>
        <v>-1712.83097800633</v>
      </c>
      <c r="AM60" s="138" t="n">
        <f aca="false">-(AM91+AM98+AM103+AM77+AM212*Hipótesis!$D$73*Hipótesis!$D$74/12)</f>
        <v>-1703.06047735935</v>
      </c>
      <c r="AN60" s="138" t="n">
        <f aca="false">-(AN91+AN98+AN103+AN77+AN212*Hipótesis!$D$73*Hipótesis!$D$74/12)</f>
        <v>-1741.96449095237</v>
      </c>
      <c r="AO60" s="138" t="n">
        <f aca="false">-(AO91+AO98+AO103+AO77+AO212*Hipótesis!$D$73*Hipótesis!$D$74/12)</f>
        <v>-1780.8685045454</v>
      </c>
      <c r="AP60" s="138" t="n">
        <f aca="false">-(AP91+AP98+AP103+AP77+AP212*Hipótesis!$D$73*Hipótesis!$D$74/12)</f>
        <v>-1819.77251813842</v>
      </c>
      <c r="AQ60" s="138" t="n">
        <f aca="false">-(AQ91+AQ98+AQ103+AQ77+AQ212*Hipótesis!$D$73*Hipótesis!$D$74/12)</f>
        <v>-1462.75269070861</v>
      </c>
      <c r="AR60" s="138" t="n">
        <f aca="false">-(AR91+AR98+AR103+AR77+AR212*Hipótesis!$D$73*Hipótesis!$D$74/12)</f>
        <v>-1897.58054532447</v>
      </c>
      <c r="AS60" s="138" t="n">
        <f aca="false">-(AS91+AS98+AS103+AS77+AS212*Hipótesis!$D$73*Hipótesis!$D$74/12)</f>
        <v>-1892.02498976891</v>
      </c>
      <c r="AT60" s="138" t="n">
        <f aca="false">-(AT91+AT98+AT103+AT77+AT212*Hipótesis!$D$73*Hipótesis!$D$74/12)</f>
        <v>-1886.46943421335</v>
      </c>
      <c r="AU60" s="138" t="n">
        <f aca="false">-(AU91+AU98+AU103+AU77+AU212*Hipótesis!$D$73*Hipótesis!$D$74/12)</f>
        <v>-1880.9138786578</v>
      </c>
      <c r="AV60" s="138" t="n">
        <f aca="false">-(AV91+AV98+AV103+AV77+AV212*Hipótesis!$D$73*Hipótesis!$D$74/12)</f>
        <v>-1875.35832310224</v>
      </c>
      <c r="AW60" s="138" t="n">
        <f aca="false">-(AW91+AW98+AW103+AW77+AW212*Hipótesis!$D$73*Hipótesis!$D$74/12)</f>
        <v>-1869.80276754669</v>
      </c>
      <c r="AX60" s="138" t="n">
        <f aca="false">-(AX91+AX98+AX103+AX77+AX212*Hipótesis!$D$73*Hipótesis!$D$74/12)</f>
        <v>-1864.24721199113</v>
      </c>
      <c r="AY60" s="138" t="n">
        <f aca="false">-(AY91+AY98+AY103+AY77+AY212*Hipótesis!$D$73*Hipótesis!$D$74/12)</f>
        <v>-1809.74490676838</v>
      </c>
      <c r="AZ60" s="138" t="n">
        <f aca="false">-(AZ91+AZ98+AZ103+AZ77+AZ212*Hipótesis!$D$73*Hipótesis!$D$74/12)</f>
        <v>-1804.18935121282</v>
      </c>
      <c r="BA60" s="138" t="n">
        <f aca="false">-(BA91+BA98+BA103+BA77+BA212*Hipótesis!$D$73*Hipótesis!$D$74/12)</f>
        <v>-1798.63379565727</v>
      </c>
      <c r="BB60" s="138" t="n">
        <f aca="false">-(BB91+BB98+BB103+BB77+BB212*Hipótesis!$D$73*Hipótesis!$D$74/12)</f>
        <v>-1793.07824010171</v>
      </c>
      <c r="BC60" s="138" t="n">
        <f aca="false">-(BC91+BC98+BC103+BC77+BC212*Hipótesis!$D$73*Hipótesis!$D$74/12)</f>
        <v>-1391.59884352332</v>
      </c>
      <c r="BD60" s="138" t="n">
        <f aca="false">-(BD91+BD98+BD103+BD77+BD212*Hipótesis!$D$73*Hipótesis!$D$74/12)</f>
        <v>-1781.9671289906</v>
      </c>
      <c r="BE60" s="138" t="n">
        <f aca="false">-(BE91+BE98+BE103+BE77+BE212*Hipótesis!$D$73*Hipótesis!$D$74/12)</f>
        <v>-1776.41157343504</v>
      </c>
      <c r="BF60" s="138" t="n">
        <f aca="false">-(BF91+BF98+BF103+BF77+BF212*Hipótesis!$D$73*Hipótesis!$D$74/12)</f>
        <v>-1770.85601787949</v>
      </c>
      <c r="BG60" s="138" t="n">
        <f aca="false">-(BG91+BG98+BG103+BG77+BG212*Hipótesis!$D$73*Hipótesis!$D$74/12)</f>
        <v>-1765.30046232393</v>
      </c>
      <c r="BH60" s="138" t="n">
        <f aca="false">-(BH91+BH98+BH103+BH77+BH212*Hipótesis!$D$73*Hipótesis!$D$74/12)</f>
        <v>-1759.74490676838</v>
      </c>
      <c r="BI60" s="138" t="n">
        <f aca="false">-(BI91+BI98+BI103+BI77+BI212*Hipótesis!$D$73*Hipótesis!$D$74/12)</f>
        <v>-1754.18935121282</v>
      </c>
      <c r="BJ60" s="138" t="n">
        <f aca="false">-(BJ91+BJ98+BJ103+BJ77+BJ212*Hipótesis!$D$73*Hipótesis!$D$74/12)</f>
        <v>-1748.63379565727</v>
      </c>
      <c r="BK60" s="138" t="n">
        <f aca="false">-(BK91+BK98+BK103+BK77+BK212*Hipótesis!$D$73*Hipótesis!$D$74/12)</f>
        <v>-1693.85108794449</v>
      </c>
      <c r="BL60" s="138" t="n">
        <f aca="false">-(BL91+BL98+BL103+BL77+BL212*Hipótesis!$D$73*Hipótesis!$D$74/12)</f>
        <v>-1688.29553238894</v>
      </c>
      <c r="BM60" s="138" t="n">
        <f aca="false">-(BM91+BM98+BM103+BM77+BM212*Hipótesis!$D$73*Hipótesis!$D$74/12)</f>
        <v>-1682.73997683338</v>
      </c>
      <c r="BN60" s="138" t="n">
        <f aca="false">-(BN91+BN98+BN103+BN77+BN212*Hipótesis!$D$73*Hipótesis!$D$74/12)</f>
        <v>-1677.18442127783</v>
      </c>
      <c r="BO60" s="138" t="n">
        <f aca="false">-(BO91+BO98+BO103+BO77+BO212*Hipótesis!$D$73*Hipótesis!$D$74/12)</f>
        <v>-1275.70502469944</v>
      </c>
      <c r="BP60" s="138" t="n">
        <f aca="false">-(BP91+BP98+BP103+BP77+BP212*Hipótesis!$D$73*Hipótesis!$D$74/12)</f>
        <v>-1666.07331016672</v>
      </c>
      <c r="BQ60" s="138" t="n">
        <f aca="false">-(BQ91+BQ98+BQ103+BQ77+BQ212*Hipótesis!$D$73*Hipótesis!$D$74/12)</f>
        <v>-1660.51775461116</v>
      </c>
      <c r="BR60" s="138" t="n">
        <f aca="false">-(BR91+BR98+BR103+BR77+BR212*Hipótesis!$D$73*Hipótesis!$D$74/12)</f>
        <v>-1654.96219905561</v>
      </c>
      <c r="BS60" s="138" t="n">
        <f aca="false">-(BS91+BS98+BS103+BS77+BS212*Hipótesis!$D$73*Hipótesis!$D$74/12)</f>
        <v>-1649.40664350005</v>
      </c>
      <c r="BT60" s="138" t="n">
        <f aca="false">-(BT91+BT98+BT103+BT77+BT212*Hipótesis!$D$73*Hipótesis!$D$74/12)</f>
        <v>-1643.85108794449</v>
      </c>
      <c r="BU60" s="138" t="n">
        <f aca="false">-(BU91+BU98+BU103+BU77+BU212*Hipótesis!$D$73*Hipótesis!$D$74/12)</f>
        <v>-1638.29553238894</v>
      </c>
      <c r="BV60" s="138" t="n">
        <f aca="false">-(BV91+BV98+BV103+BV77+BV212*Hipótesis!$D$73*Hipótesis!$D$74/12)</f>
        <v>-1632.73997683338</v>
      </c>
      <c r="BW60" s="138" t="n">
        <f aca="false">-(BW91+BW98+BW103+BW77+BW212*Hipótesis!$D$73*Hipótesis!$D$74/12)</f>
        <v>-1577.6684545559</v>
      </c>
      <c r="BX60" s="138" t="n">
        <f aca="false">-(BX91+BX98+BX103+BX77+BX212*Hipótesis!$D$73*Hipótesis!$D$74/12)</f>
        <v>-1572.11289900034</v>
      </c>
      <c r="BY60" s="138" t="n">
        <f aca="false">-(BY91+BY98+BY103+BY77+BY212*Hipótesis!$D$73*Hipótesis!$D$74/12)</f>
        <v>-1566.55734344478</v>
      </c>
      <c r="BZ60" s="138" t="n">
        <f aca="false">-(BZ91+BZ98+BZ103+BZ77+BZ212*Hipótesis!$D$73*Hipótesis!$D$74/12)</f>
        <v>-1561.00178788923</v>
      </c>
      <c r="CA60" s="138" t="n">
        <f aca="false">-(CA91+CA98+CA103+CA77+CA212*Hipótesis!$D$73*Hipótesis!$D$74/12)</f>
        <v>-1159.52239131084</v>
      </c>
      <c r="CB60" s="138" t="n">
        <f aca="false">-(CB91+CB98+CB103+CB77+CB212*Hipótesis!$D$73*Hipótesis!$D$74/12)</f>
        <v>-1549.89067677812</v>
      </c>
      <c r="CC60" s="138" t="n">
        <f aca="false">-(CC91+CC98+CC103+CC77+CC212*Hipótesis!$D$73*Hipótesis!$D$74/12)</f>
        <v>-1544.33512122256</v>
      </c>
      <c r="CD60" s="138" t="n">
        <f aca="false">-(CD91+CD98+CD103+CD77+CD212*Hipótesis!$D$73*Hipótesis!$D$74/12)</f>
        <v>-1538.77956566701</v>
      </c>
      <c r="CE60" s="138" t="n">
        <f aca="false">-(CE91+CE98+CE103+CE77+CE212*Hipótesis!$D$73*Hipótesis!$D$74/12)</f>
        <v>-1533.22401011145</v>
      </c>
      <c r="CF60" s="138" t="n">
        <f aca="false">-(CF91+CF98+CF103+CF77+CF212*Hipótesis!$D$73*Hipótesis!$D$74/12)</f>
        <v>-1527.6684545559</v>
      </c>
      <c r="CG60" s="138" t="n">
        <f aca="false">-(CG91+CG98+CG103+CG77+CG212*Hipótesis!$D$73*Hipótesis!$D$74/12)</f>
        <v>-1522.11289900034</v>
      </c>
      <c r="CH60" s="138" t="n">
        <f aca="false">-(CH91+CH98+CH103+CH77+CH212*Hipótesis!$D$73*Hipótesis!$D$74/12)</f>
        <v>-1516.55734344478</v>
      </c>
    </row>
    <row r="61" customFormat="false" ht="13.5" hidden="false" customHeight="true" outlineLevel="0" collapsed="false">
      <c r="A61" s="30" t="s">
        <v>741</v>
      </c>
      <c r="C61" s="138" t="n">
        <f aca="false">C59+C60</f>
        <v>-17543.3458306285</v>
      </c>
      <c r="D61" s="138" t="n">
        <f aca="false">D59+D60</f>
        <v>-15678.3928242814</v>
      </c>
      <c r="E61" s="138" t="n">
        <f aca="false">E59+E60</f>
        <v>-12980.8354452706</v>
      </c>
      <c r="F61" s="138" t="n">
        <f aca="false">F59+F60</f>
        <v>-11047.0826539086</v>
      </c>
      <c r="G61" s="138" t="n">
        <f aca="false">G59+G60</f>
        <v>-13633.3906828195</v>
      </c>
      <c r="H61" s="138" t="n">
        <f aca="false">H59+H60</f>
        <v>-6837.29585097794</v>
      </c>
      <c r="I61" s="138" t="n">
        <f aca="false">I59+I60</f>
        <v>-4426.73595411468</v>
      </c>
      <c r="J61" s="138" t="n">
        <f aca="false">J59+J60</f>
        <v>-616.013136881874</v>
      </c>
      <c r="K61" s="138" t="n">
        <f aca="false">K59+K60</f>
        <v>3049.61526712868</v>
      </c>
      <c r="L61" s="138" t="n">
        <f aca="false">L59+L60</f>
        <v>6734.24026033144</v>
      </c>
      <c r="M61" s="138" t="n">
        <f aca="false">M59+M60</f>
        <v>9621.64116993594</v>
      </c>
      <c r="N61" s="138" t="n">
        <f aca="false">N59+N60</f>
        <v>13107.8412840875</v>
      </c>
      <c r="O61" s="138" t="n">
        <f aca="false">O59+O60</f>
        <v>11484.0826659657</v>
      </c>
      <c r="P61" s="138" t="n">
        <f aca="false">P59+P60</f>
        <v>12458.6457645161</v>
      </c>
      <c r="Q61" s="138" t="n">
        <f aca="false">Q59+Q60</f>
        <v>15692.0835590011</v>
      </c>
      <c r="R61" s="138" t="n">
        <f aca="false">R59+R60</f>
        <v>18925.5213534861</v>
      </c>
      <c r="S61" s="138" t="n">
        <f aca="false">S59+S60</f>
        <v>8188.43583247038</v>
      </c>
      <c r="T61" s="138" t="n">
        <f aca="false">T59+T60</f>
        <v>25392.3969424561</v>
      </c>
      <c r="U61" s="138" t="n">
        <f aca="false">U59+U60</f>
        <v>26360.7411369411</v>
      </c>
      <c r="V61" s="138" t="n">
        <f aca="false">V59+V60</f>
        <v>26929.3629314261</v>
      </c>
      <c r="W61" s="138" t="n">
        <f aca="false">W59+W60</f>
        <v>30162.8007259111</v>
      </c>
      <c r="X61" s="138" t="n">
        <f aca="false">X59+X60</f>
        <v>32814.068796047</v>
      </c>
      <c r="Y61" s="138" t="n">
        <f aca="false">Y59+Y60</f>
        <v>35465.3368661829</v>
      </c>
      <c r="Z61" s="138" t="n">
        <f aca="false">Z59+Z60</f>
        <v>37906.6691590791</v>
      </c>
      <c r="AA61" s="138" t="n">
        <f aca="false">AA59+AA60</f>
        <v>37621.7072008592</v>
      </c>
      <c r="AB61" s="138" t="n">
        <f aca="false">AB59+AB60</f>
        <v>37047.4641590448</v>
      </c>
      <c r="AC61" s="138" t="n">
        <f aca="false">AC59+AC60</f>
        <v>38806.2675252303</v>
      </c>
      <c r="AD61" s="138" t="n">
        <f aca="false">AD59+AD60</f>
        <v>40565.0708914159</v>
      </c>
      <c r="AE61" s="138" t="n">
        <f aca="false">AE59+AE60</f>
        <v>22923.6060474828</v>
      </c>
      <c r="AF61" s="138" t="n">
        <f aca="false">AF59+AF60</f>
        <v>44082.6776237871</v>
      </c>
      <c r="AG61" s="138" t="n">
        <f aca="false">AG59+AG60</f>
        <v>45841.4809899726</v>
      </c>
      <c r="AH61" s="138" t="n">
        <f aca="false">AH59+AH60</f>
        <v>47600.2843561582</v>
      </c>
      <c r="AI61" s="138" t="n">
        <f aca="false">AI59+AI60</f>
        <v>49359.0877223438</v>
      </c>
      <c r="AJ61" s="138" t="n">
        <f aca="false">AJ59+AJ60</f>
        <v>51117.8910885293</v>
      </c>
      <c r="AK61" s="138" t="n">
        <f aca="false">AK59+AK60</f>
        <v>52876.6944547149</v>
      </c>
      <c r="AL61" s="138" t="n">
        <f aca="false">AL59+AL60</f>
        <v>52302.4514129005</v>
      </c>
      <c r="AM61" s="138" t="n">
        <f aca="false">AM59+AM60</f>
        <v>51676.2035813261</v>
      </c>
      <c r="AN61" s="138" t="n">
        <f aca="false">AN59+AN60</f>
        <v>53435.0069475116</v>
      </c>
      <c r="AO61" s="138" t="n">
        <f aca="false">AO59+AO60</f>
        <v>55193.8103136972</v>
      </c>
      <c r="AP61" s="138" t="n">
        <f aca="false">AP59+AP60</f>
        <v>56952.6136798828</v>
      </c>
      <c r="AQ61" s="138" t="n">
        <f aca="false">AQ59+AQ60</f>
        <v>39311.1488359497</v>
      </c>
      <c r="AR61" s="138" t="n">
        <f aca="false">AR59+AR60</f>
        <v>60470.2204122539</v>
      </c>
      <c r="AS61" s="138" t="n">
        <f aca="false">AS59+AS60</f>
        <v>60475.7759678095</v>
      </c>
      <c r="AT61" s="138" t="n">
        <f aca="false">AT59+AT60</f>
        <v>60481.3315233651</v>
      </c>
      <c r="AU61" s="138" t="n">
        <f aca="false">AU59+AU60</f>
        <v>60486.8870789206</v>
      </c>
      <c r="AV61" s="138" t="n">
        <f aca="false">AV59+AV60</f>
        <v>60492.4426344762</v>
      </c>
      <c r="AW61" s="138" t="n">
        <f aca="false">AW59+AW60</f>
        <v>60497.9981900317</v>
      </c>
      <c r="AX61" s="138" t="n">
        <f aca="false">AX59+AX60</f>
        <v>60503.5537455873</v>
      </c>
      <c r="AY61" s="138" t="n">
        <f aca="false">AY59+AY60</f>
        <v>58110.71856745</v>
      </c>
      <c r="AZ61" s="138" t="n">
        <f aca="false">AZ59+AZ60</f>
        <v>58116.2741230056</v>
      </c>
      <c r="BA61" s="138" t="n">
        <f aca="false">BA59+BA60</f>
        <v>58121.8296785611</v>
      </c>
      <c r="BB61" s="138" t="n">
        <f aca="false">BB59+BB60</f>
        <v>58127.3852341167</v>
      </c>
      <c r="BC61" s="138" t="n">
        <f aca="false">BC59+BC60</f>
        <v>38732.6725795536</v>
      </c>
      <c r="BD61" s="138" t="n">
        <f aca="false">BD59+BD60</f>
        <v>58138.4963452278</v>
      </c>
      <c r="BE61" s="138" t="n">
        <f aca="false">BE59+BE60</f>
        <v>58144.0519007834</v>
      </c>
      <c r="BF61" s="138" t="n">
        <f aca="false">BF59+BF60</f>
        <v>58149.6074563389</v>
      </c>
      <c r="BG61" s="138" t="n">
        <f aca="false">BG59+BG60</f>
        <v>58155.1630118945</v>
      </c>
      <c r="BH61" s="138" t="n">
        <f aca="false">BH59+BH60</f>
        <v>58160.71856745</v>
      </c>
      <c r="BI61" s="138" t="n">
        <f aca="false">BI59+BI60</f>
        <v>58166.2741230056</v>
      </c>
      <c r="BJ61" s="138" t="n">
        <f aca="false">BJ59+BJ60</f>
        <v>58171.8296785611</v>
      </c>
      <c r="BK61" s="138" t="n">
        <f aca="false">BK59+BK60</f>
        <v>55765.2547784131</v>
      </c>
      <c r="BL61" s="138" t="n">
        <f aca="false">BL59+BL60</f>
        <v>55770.8103339687</v>
      </c>
      <c r="BM61" s="138" t="n">
        <f aca="false">BM59+BM60</f>
        <v>55776.3658895242</v>
      </c>
      <c r="BN61" s="138" t="n">
        <f aca="false">BN59+BN60</f>
        <v>55781.9214450798</v>
      </c>
      <c r="BO61" s="138" t="n">
        <f aca="false">BO59+BO60</f>
        <v>36387.2087905167</v>
      </c>
      <c r="BP61" s="138" t="n">
        <f aca="false">BP59+BP60</f>
        <v>55793.0325561909</v>
      </c>
      <c r="BQ61" s="138" t="n">
        <f aca="false">BQ59+BQ60</f>
        <v>55798.5881117464</v>
      </c>
      <c r="BR61" s="138" t="n">
        <f aca="false">BR59+BR60</f>
        <v>55804.143667302</v>
      </c>
      <c r="BS61" s="138" t="n">
        <f aca="false">BS59+BS60</f>
        <v>55809.6992228576</v>
      </c>
      <c r="BT61" s="138" t="n">
        <f aca="false">BT59+BT60</f>
        <v>55815.2547784131</v>
      </c>
      <c r="BU61" s="138" t="n">
        <f aca="false">BU59+BU60</f>
        <v>55820.8103339687</v>
      </c>
      <c r="BV61" s="138" t="n">
        <f aca="false">BV59+BV60</f>
        <v>55826.3658895242</v>
      </c>
      <c r="BW61" s="138" t="n">
        <f aca="false">BW59+BW60</f>
        <v>53405.6390757051</v>
      </c>
      <c r="BX61" s="138" t="n">
        <f aca="false">BX59+BX60</f>
        <v>53411.1946312606</v>
      </c>
      <c r="BY61" s="138" t="n">
        <f aca="false">BY59+BY60</f>
        <v>53416.7501868162</v>
      </c>
      <c r="BZ61" s="138" t="n">
        <f aca="false">BZ59+BZ60</f>
        <v>53422.3057423718</v>
      </c>
      <c r="CA61" s="138" t="n">
        <f aca="false">CA59+CA60</f>
        <v>34027.5930878086</v>
      </c>
      <c r="CB61" s="138" t="n">
        <f aca="false">CB59+CB60</f>
        <v>53433.4168534829</v>
      </c>
      <c r="CC61" s="138" t="n">
        <f aca="false">CC59+CC60</f>
        <v>53438.9724090384</v>
      </c>
      <c r="CD61" s="138" t="n">
        <f aca="false">CD59+CD60</f>
        <v>53444.527964594</v>
      </c>
      <c r="CE61" s="138" t="n">
        <f aca="false">CE59+CE60</f>
        <v>53450.0835201495</v>
      </c>
      <c r="CF61" s="138" t="n">
        <f aca="false">CF59+CF60</f>
        <v>53455.6390757051</v>
      </c>
      <c r="CG61" s="138" t="n">
        <f aca="false">CG59+CG60</f>
        <v>53461.1946312606</v>
      </c>
      <c r="CH61" s="138" t="n">
        <f aca="false">CH59+CH60</f>
        <v>53466.7501868162</v>
      </c>
    </row>
    <row r="62" customFormat="false" ht="13.5" hidden="false" customHeight="true" outlineLevel="0" collapsed="false">
      <c r="A62" s="13" t="s">
        <v>742</v>
      </c>
      <c r="C62" s="138" t="n">
        <f aca="false">-IF(1&lt;Hipótesis!$D$89,Hipótesis!$D$87,Hipótesis!$D$88)*MAX(0,C61)</f>
        <v>-0</v>
      </c>
      <c r="D62" s="138" t="n">
        <f aca="false">-IF(1&lt;Hipótesis!$D$89,Hipótesis!$D$87,Hipótesis!$D$88)*MAX(0,D61)</f>
        <v>-0</v>
      </c>
      <c r="E62" s="138" t="n">
        <f aca="false">-IF(1&lt;Hipótesis!$D$89,Hipótesis!$D$87,Hipótesis!$D$88)*MAX(0,E61)</f>
        <v>-0</v>
      </c>
      <c r="F62" s="138" t="n">
        <f aca="false">-IF(1&lt;Hipótesis!$D$89,Hipótesis!$D$87,Hipótesis!$D$88)*MAX(0,F61)</f>
        <v>-0</v>
      </c>
      <c r="G62" s="138" t="n">
        <f aca="false">-IF(1&lt;Hipótesis!$D$89,Hipótesis!$D$87,Hipótesis!$D$88)*MAX(0,G61)</f>
        <v>-0</v>
      </c>
      <c r="H62" s="138" t="n">
        <f aca="false">-IF(1&lt;Hipótesis!$D$89,Hipótesis!$D$87,Hipótesis!$D$88)*MAX(0,H61)</f>
        <v>-0</v>
      </c>
      <c r="I62" s="138" t="n">
        <f aca="false">-IF(1&lt;Hipótesis!$D$89,Hipótesis!$D$87,Hipótesis!$D$88)*MAX(0,I61)</f>
        <v>-0</v>
      </c>
      <c r="J62" s="138" t="n">
        <f aca="false">-IF(1&lt;Hipótesis!$D$89,Hipótesis!$D$87,Hipótesis!$D$88)*MAX(0,J61)</f>
        <v>-0</v>
      </c>
      <c r="K62" s="138" t="n">
        <f aca="false">-IF(1&lt;Hipótesis!$D$89,Hipótesis!$D$87,Hipótesis!$D$88)*MAX(0,K61)</f>
        <v>-457.442290069303</v>
      </c>
      <c r="L62" s="138" t="n">
        <f aca="false">-IF(1&lt;Hipótesis!$D$89,Hipótesis!$D$87,Hipótesis!$D$88)*MAX(0,L61)</f>
        <v>-1010.13603904972</v>
      </c>
      <c r="M62" s="138" t="n">
        <f aca="false">-IF(1&lt;Hipótesis!$D$89,Hipótesis!$D$87,Hipótesis!$D$88)*MAX(0,M61)</f>
        <v>-1443.24617549039</v>
      </c>
      <c r="N62" s="138" t="n">
        <f aca="false">-IF(1&lt;Hipótesis!$D$89,Hipótesis!$D$87,Hipótesis!$D$88)*MAX(0,N61)</f>
        <v>-1966.17619261313</v>
      </c>
      <c r="O62" s="138" t="n">
        <f aca="false">-IF(2&lt;Hipótesis!$D$89,Hipótesis!$D$87,Hipótesis!$D$88)*MAX(0,O61)</f>
        <v>-1722.61239989485</v>
      </c>
      <c r="P62" s="138" t="n">
        <f aca="false">-IF(2&lt;Hipótesis!$D$89,Hipótesis!$D$87,Hipótesis!$D$88)*MAX(0,P61)</f>
        <v>-1868.79686467741</v>
      </c>
      <c r="Q62" s="138" t="n">
        <f aca="false">-IF(2&lt;Hipótesis!$D$89,Hipótesis!$D$87,Hipótesis!$D$88)*MAX(0,Q61)</f>
        <v>-2353.81253385016</v>
      </c>
      <c r="R62" s="138" t="n">
        <f aca="false">-IF(2&lt;Hipótesis!$D$89,Hipótesis!$D$87,Hipótesis!$D$88)*MAX(0,R61)</f>
        <v>-2838.82820302291</v>
      </c>
      <c r="S62" s="138" t="n">
        <f aca="false">-IF(2&lt;Hipótesis!$D$89,Hipótesis!$D$87,Hipótesis!$D$88)*MAX(0,S61)</f>
        <v>-1228.26537487056</v>
      </c>
      <c r="T62" s="138" t="n">
        <f aca="false">-IF(2&lt;Hipótesis!$D$89,Hipótesis!$D$87,Hipótesis!$D$88)*MAX(0,T61)</f>
        <v>-3808.85954136841</v>
      </c>
      <c r="U62" s="138" t="n">
        <f aca="false">-IF(2&lt;Hipótesis!$D$89,Hipótesis!$D$87,Hipótesis!$D$88)*MAX(0,U61)</f>
        <v>-3954.11117054117</v>
      </c>
      <c r="V62" s="138" t="n">
        <f aca="false">-IF(2&lt;Hipótesis!$D$89,Hipótesis!$D$87,Hipótesis!$D$88)*MAX(0,V61)</f>
        <v>-4039.40443971392</v>
      </c>
      <c r="W62" s="138" t="n">
        <f aca="false">-IF(2&lt;Hipótesis!$D$89,Hipótesis!$D$87,Hipótesis!$D$88)*MAX(0,W61)</f>
        <v>-4524.42010888667</v>
      </c>
      <c r="X62" s="138" t="n">
        <f aca="false">-IF(2&lt;Hipótesis!$D$89,Hipótesis!$D$87,Hipótesis!$D$88)*MAX(0,X61)</f>
        <v>-4922.11031940705</v>
      </c>
      <c r="Y62" s="138" t="n">
        <f aca="false">-IF(2&lt;Hipótesis!$D$89,Hipótesis!$D$87,Hipótesis!$D$88)*MAX(0,Y61)</f>
        <v>-5319.80052992743</v>
      </c>
      <c r="Z62" s="138" t="n">
        <f aca="false">-IF(2&lt;Hipótesis!$D$89,Hipótesis!$D$87,Hipótesis!$D$88)*MAX(0,Z61)</f>
        <v>-5686.00037386187</v>
      </c>
      <c r="AA62" s="138" t="n">
        <f aca="false">-IF(3&lt;Hipótesis!$D$89,Hipótesis!$D$87,Hipótesis!$D$88)*MAX(0,AA61)</f>
        <v>-5643.25608012888</v>
      </c>
      <c r="AB62" s="138" t="n">
        <f aca="false">-IF(3&lt;Hipótesis!$D$89,Hipótesis!$D$87,Hipótesis!$D$88)*MAX(0,AB61)</f>
        <v>-5557.11962385671</v>
      </c>
      <c r="AC62" s="138" t="n">
        <f aca="false">-IF(3&lt;Hipótesis!$D$89,Hipótesis!$D$87,Hipótesis!$D$88)*MAX(0,AC61)</f>
        <v>-5820.94012878455</v>
      </c>
      <c r="AD62" s="138" t="n">
        <f aca="false">-IF(3&lt;Hipótesis!$D$89,Hipótesis!$D$87,Hipótesis!$D$88)*MAX(0,AD61)</f>
        <v>-6084.76063371238</v>
      </c>
      <c r="AE62" s="138" t="n">
        <f aca="false">-IF(3&lt;Hipótesis!$D$89,Hipótesis!$D$87,Hipótesis!$D$88)*MAX(0,AE61)</f>
        <v>-3438.54090712242</v>
      </c>
      <c r="AF62" s="138" t="n">
        <f aca="false">-IF(3&lt;Hipótesis!$D$89,Hipótesis!$D$87,Hipótesis!$D$88)*MAX(0,AF61)</f>
        <v>-6612.40164356806</v>
      </c>
      <c r="AG62" s="138" t="n">
        <f aca="false">-IF(3&lt;Hipótesis!$D$89,Hipótesis!$D$87,Hipótesis!$D$88)*MAX(0,AG61)</f>
        <v>-6876.22214849589</v>
      </c>
      <c r="AH62" s="138" t="n">
        <f aca="false">-IF(3&lt;Hipótesis!$D$89,Hipótesis!$D$87,Hipótesis!$D$88)*MAX(0,AH61)</f>
        <v>-7140.04265342373</v>
      </c>
      <c r="AI62" s="138" t="n">
        <f aca="false">-IF(3&lt;Hipótesis!$D$89,Hipótesis!$D$87,Hipótesis!$D$88)*MAX(0,AI61)</f>
        <v>-7403.86315835156</v>
      </c>
      <c r="AJ62" s="138" t="n">
        <f aca="false">-IF(3&lt;Hipótesis!$D$89,Hipótesis!$D$87,Hipótesis!$D$88)*MAX(0,AJ61)</f>
        <v>-7667.6836632794</v>
      </c>
      <c r="AK62" s="138" t="n">
        <f aca="false">-IF(3&lt;Hipótesis!$D$89,Hipótesis!$D$87,Hipótesis!$D$88)*MAX(0,AK61)</f>
        <v>-7931.50416820724</v>
      </c>
      <c r="AL62" s="138" t="n">
        <f aca="false">-IF(3&lt;Hipótesis!$D$89,Hipótesis!$D$87,Hipótesis!$D$88)*MAX(0,AL61)</f>
        <v>-7845.36771193507</v>
      </c>
      <c r="AM62" s="138" t="n">
        <f aca="false">-IF(4&lt;Hipótesis!$D$89,Hipótesis!$D$87,Hipótesis!$D$88)*MAX(0,AM61)</f>
        <v>-12919.0508953315</v>
      </c>
      <c r="AN62" s="138" t="n">
        <f aca="false">-IF(4&lt;Hipótesis!$D$89,Hipótesis!$D$87,Hipótesis!$D$88)*MAX(0,AN61)</f>
        <v>-13358.7517368779</v>
      </c>
      <c r="AO62" s="138" t="n">
        <f aca="false">-IF(4&lt;Hipótesis!$D$89,Hipótesis!$D$87,Hipótesis!$D$88)*MAX(0,AO61)</f>
        <v>-13798.4525784243</v>
      </c>
      <c r="AP62" s="138" t="n">
        <f aca="false">-IF(4&lt;Hipótesis!$D$89,Hipótesis!$D$87,Hipótesis!$D$88)*MAX(0,AP61)</f>
        <v>-14238.1534199707</v>
      </c>
      <c r="AQ62" s="138" t="n">
        <f aca="false">-IF(4&lt;Hipótesis!$D$89,Hipótesis!$D$87,Hipótesis!$D$88)*MAX(0,AQ61)</f>
        <v>-9827.78720898742</v>
      </c>
      <c r="AR62" s="138" t="n">
        <f aca="false">-IF(4&lt;Hipótesis!$D$89,Hipótesis!$D$87,Hipótesis!$D$88)*MAX(0,AR61)</f>
        <v>-15117.5551030635</v>
      </c>
      <c r="AS62" s="138" t="n">
        <f aca="false">-IF(4&lt;Hipótesis!$D$89,Hipótesis!$D$87,Hipótesis!$D$88)*MAX(0,AS61)</f>
        <v>-15118.9439919524</v>
      </c>
      <c r="AT62" s="138" t="n">
        <f aca="false">-IF(4&lt;Hipótesis!$D$89,Hipótesis!$D$87,Hipótesis!$D$88)*MAX(0,AT61)</f>
        <v>-15120.3328808413</v>
      </c>
      <c r="AU62" s="138" t="n">
        <f aca="false">-IF(4&lt;Hipótesis!$D$89,Hipótesis!$D$87,Hipótesis!$D$88)*MAX(0,AU61)</f>
        <v>-15121.7217697302</v>
      </c>
      <c r="AV62" s="138" t="n">
        <f aca="false">-IF(4&lt;Hipótesis!$D$89,Hipótesis!$D$87,Hipótesis!$D$88)*MAX(0,AV61)</f>
        <v>-15123.110658619</v>
      </c>
      <c r="AW62" s="138" t="n">
        <f aca="false">-IF(4&lt;Hipótesis!$D$89,Hipótesis!$D$87,Hipótesis!$D$88)*MAX(0,AW61)</f>
        <v>-15124.4995475079</v>
      </c>
      <c r="AX62" s="138" t="n">
        <f aca="false">-IF(4&lt;Hipótesis!$D$89,Hipótesis!$D$87,Hipótesis!$D$88)*MAX(0,AX61)</f>
        <v>-15125.8884363968</v>
      </c>
      <c r="AY62" s="138" t="n">
        <f aca="false">-IF(5&lt;Hipótesis!$D$89,Hipótesis!$D$87,Hipótesis!$D$88)*MAX(0,AY61)</f>
        <v>-14527.6796418625</v>
      </c>
      <c r="AZ62" s="138" t="n">
        <f aca="false">-IF(5&lt;Hipótesis!$D$89,Hipótesis!$D$87,Hipótesis!$D$88)*MAX(0,AZ61)</f>
        <v>-14529.0685307514</v>
      </c>
      <c r="BA62" s="138" t="n">
        <f aca="false">-IF(5&lt;Hipótesis!$D$89,Hipótesis!$D$87,Hipótesis!$D$88)*MAX(0,BA61)</f>
        <v>-14530.4574196403</v>
      </c>
      <c r="BB62" s="138" t="n">
        <f aca="false">-IF(5&lt;Hipótesis!$D$89,Hipótesis!$D$87,Hipótesis!$D$88)*MAX(0,BB61)</f>
        <v>-14531.8463085292</v>
      </c>
      <c r="BC62" s="138" t="n">
        <f aca="false">-IF(5&lt;Hipótesis!$D$89,Hipótesis!$D$87,Hipótesis!$D$88)*MAX(0,BC61)</f>
        <v>-9683.16814488839</v>
      </c>
      <c r="BD62" s="138" t="n">
        <f aca="false">-IF(5&lt;Hipótesis!$D$89,Hipótesis!$D$87,Hipótesis!$D$88)*MAX(0,BD61)</f>
        <v>-14534.624086307</v>
      </c>
      <c r="BE62" s="138" t="n">
        <f aca="false">-IF(5&lt;Hipótesis!$D$89,Hipótesis!$D$87,Hipótesis!$D$88)*MAX(0,BE61)</f>
        <v>-14536.0129751958</v>
      </c>
      <c r="BF62" s="138" t="n">
        <f aca="false">-IF(5&lt;Hipótesis!$D$89,Hipótesis!$D$87,Hipótesis!$D$88)*MAX(0,BF61)</f>
        <v>-14537.4018640847</v>
      </c>
      <c r="BG62" s="138" t="n">
        <f aca="false">-IF(5&lt;Hipótesis!$D$89,Hipótesis!$D$87,Hipótesis!$D$88)*MAX(0,BG61)</f>
        <v>-14538.7907529736</v>
      </c>
      <c r="BH62" s="138" t="n">
        <f aca="false">-IF(5&lt;Hipótesis!$D$89,Hipótesis!$D$87,Hipótesis!$D$88)*MAX(0,BH61)</f>
        <v>-14540.1796418625</v>
      </c>
      <c r="BI62" s="138" t="n">
        <f aca="false">-IF(5&lt;Hipótesis!$D$89,Hipótesis!$D$87,Hipótesis!$D$88)*MAX(0,BI61)</f>
        <v>-14541.5685307514</v>
      </c>
      <c r="BJ62" s="138" t="n">
        <f aca="false">-IF(5&lt;Hipótesis!$D$89,Hipótesis!$D$87,Hipótesis!$D$88)*MAX(0,BJ61)</f>
        <v>-14542.9574196403</v>
      </c>
      <c r="BK62" s="138" t="n">
        <f aca="false">-IF(6&lt;Hipótesis!$D$89,Hipótesis!$D$87,Hipótesis!$D$88)*MAX(0,BK61)</f>
        <v>-13941.3136946033</v>
      </c>
      <c r="BL62" s="138" t="n">
        <f aca="false">-IF(6&lt;Hipótesis!$D$89,Hipótesis!$D$87,Hipótesis!$D$88)*MAX(0,BL61)</f>
        <v>-13942.7025834922</v>
      </c>
      <c r="BM62" s="138" t="n">
        <f aca="false">-IF(6&lt;Hipótesis!$D$89,Hipótesis!$D$87,Hipótesis!$D$88)*MAX(0,BM61)</f>
        <v>-13944.0914723811</v>
      </c>
      <c r="BN62" s="138" t="n">
        <f aca="false">-IF(6&lt;Hipótesis!$D$89,Hipótesis!$D$87,Hipótesis!$D$88)*MAX(0,BN61)</f>
        <v>-13945.4803612699</v>
      </c>
      <c r="BO62" s="138" t="n">
        <f aca="false">-IF(6&lt;Hipótesis!$D$89,Hipótesis!$D$87,Hipótesis!$D$88)*MAX(0,BO61)</f>
        <v>-9096.80219762916</v>
      </c>
      <c r="BP62" s="138" t="n">
        <f aca="false">-IF(6&lt;Hipótesis!$D$89,Hipótesis!$D$87,Hipótesis!$D$88)*MAX(0,BP61)</f>
        <v>-13948.2581390477</v>
      </c>
      <c r="BQ62" s="138" t="n">
        <f aca="false">-IF(6&lt;Hipótesis!$D$89,Hipótesis!$D$87,Hipótesis!$D$88)*MAX(0,BQ61)</f>
        <v>-13949.6470279366</v>
      </c>
      <c r="BR62" s="138" t="n">
        <f aca="false">-IF(6&lt;Hipótesis!$D$89,Hipótesis!$D$87,Hipótesis!$D$88)*MAX(0,BR61)</f>
        <v>-13951.0359168255</v>
      </c>
      <c r="BS62" s="138" t="n">
        <f aca="false">-IF(6&lt;Hipótesis!$D$89,Hipótesis!$D$87,Hipótesis!$D$88)*MAX(0,BS61)</f>
        <v>-13952.4248057144</v>
      </c>
      <c r="BT62" s="138" t="n">
        <f aca="false">-IF(6&lt;Hipótesis!$D$89,Hipótesis!$D$87,Hipótesis!$D$88)*MAX(0,BT61)</f>
        <v>-13953.8136946033</v>
      </c>
      <c r="BU62" s="138" t="n">
        <f aca="false">-IF(6&lt;Hipótesis!$D$89,Hipótesis!$D$87,Hipótesis!$D$88)*MAX(0,BU61)</f>
        <v>-13955.2025834922</v>
      </c>
      <c r="BV62" s="138" t="n">
        <f aca="false">-IF(6&lt;Hipótesis!$D$89,Hipótesis!$D$87,Hipótesis!$D$88)*MAX(0,BV61)</f>
        <v>-13956.5914723811</v>
      </c>
      <c r="BW62" s="138" t="n">
        <f aca="false">-IF(7&lt;Hipótesis!$D$89,Hipótesis!$D$87,Hipótesis!$D$88)*MAX(0,BW61)</f>
        <v>-13351.4097689263</v>
      </c>
      <c r="BX62" s="138" t="n">
        <f aca="false">-IF(7&lt;Hipótesis!$D$89,Hipótesis!$D$87,Hipótesis!$D$88)*MAX(0,BX61)</f>
        <v>-13352.7986578152</v>
      </c>
      <c r="BY62" s="138" t="n">
        <f aca="false">-IF(7&lt;Hipótesis!$D$89,Hipótesis!$D$87,Hipótesis!$D$88)*MAX(0,BY61)</f>
        <v>-13354.187546704</v>
      </c>
      <c r="BZ62" s="138" t="n">
        <f aca="false">-IF(7&lt;Hipótesis!$D$89,Hipótesis!$D$87,Hipótesis!$D$88)*MAX(0,BZ61)</f>
        <v>-13355.5764355929</v>
      </c>
      <c r="CA62" s="138" t="n">
        <f aca="false">-IF(7&lt;Hipótesis!$D$89,Hipótesis!$D$87,Hipótesis!$D$88)*MAX(0,CA61)</f>
        <v>-8506.89827195216</v>
      </c>
      <c r="CB62" s="138" t="n">
        <f aca="false">-IF(7&lt;Hipótesis!$D$89,Hipótesis!$D$87,Hipótesis!$D$88)*MAX(0,CB61)</f>
        <v>-13358.3542133707</v>
      </c>
      <c r="CC62" s="138" t="n">
        <f aca="false">-IF(7&lt;Hipótesis!$D$89,Hipótesis!$D$87,Hipótesis!$D$88)*MAX(0,CC61)</f>
        <v>-13359.7431022596</v>
      </c>
      <c r="CD62" s="138" t="n">
        <f aca="false">-IF(7&lt;Hipótesis!$D$89,Hipótesis!$D$87,Hipótesis!$D$88)*MAX(0,CD61)</f>
        <v>-13361.1319911485</v>
      </c>
      <c r="CE62" s="138" t="n">
        <f aca="false">-IF(7&lt;Hipótesis!$D$89,Hipótesis!$D$87,Hipótesis!$D$88)*MAX(0,CE61)</f>
        <v>-13362.5208800374</v>
      </c>
      <c r="CF62" s="138" t="n">
        <f aca="false">-IF(7&lt;Hipótesis!$D$89,Hipótesis!$D$87,Hipótesis!$D$88)*MAX(0,CF61)</f>
        <v>-13363.9097689263</v>
      </c>
      <c r="CG62" s="138" t="n">
        <f aca="false">-IF(7&lt;Hipótesis!$D$89,Hipótesis!$D$87,Hipótesis!$D$88)*MAX(0,CG61)</f>
        <v>-13365.2986578152</v>
      </c>
      <c r="CH62" s="138" t="n">
        <f aca="false">-IF(7&lt;Hipótesis!$D$89,Hipótesis!$D$87,Hipótesis!$D$88)*MAX(0,CH61)</f>
        <v>-13366.687546704</v>
      </c>
    </row>
    <row r="63" customFormat="false" ht="13.5" hidden="false" customHeight="true" outlineLevel="0" collapsed="false">
      <c r="A63" s="30" t="s">
        <v>743</v>
      </c>
      <c r="C63" s="138" t="n">
        <f aca="false">C61+C62</f>
        <v>-17543.3458306285</v>
      </c>
      <c r="D63" s="138" t="n">
        <f aca="false">D61+D62</f>
        <v>-15678.3928242814</v>
      </c>
      <c r="E63" s="138" t="n">
        <f aca="false">E61+E62</f>
        <v>-12980.8354452706</v>
      </c>
      <c r="F63" s="138" t="n">
        <f aca="false">F61+F62</f>
        <v>-11047.0826539086</v>
      </c>
      <c r="G63" s="138" t="n">
        <f aca="false">G61+G62</f>
        <v>-13633.3906828195</v>
      </c>
      <c r="H63" s="138" t="n">
        <f aca="false">H61+H62</f>
        <v>-6837.29585097794</v>
      </c>
      <c r="I63" s="138" t="n">
        <f aca="false">I61+I62</f>
        <v>-4426.73595411468</v>
      </c>
      <c r="J63" s="138" t="n">
        <f aca="false">J61+J62</f>
        <v>-616.013136881874</v>
      </c>
      <c r="K63" s="138" t="n">
        <f aca="false">K61+K62</f>
        <v>2592.17297705938</v>
      </c>
      <c r="L63" s="138" t="n">
        <f aca="false">L61+L62</f>
        <v>5724.10422128173</v>
      </c>
      <c r="M63" s="138" t="n">
        <f aca="false">M61+M62</f>
        <v>8178.39499444555</v>
      </c>
      <c r="N63" s="138" t="n">
        <f aca="false">N61+N62</f>
        <v>11141.6650914744</v>
      </c>
      <c r="O63" s="138" t="n">
        <f aca="false">O61+O62</f>
        <v>9761.47026607084</v>
      </c>
      <c r="P63" s="138" t="n">
        <f aca="false">P61+P62</f>
        <v>10589.8488998387</v>
      </c>
      <c r="Q63" s="138" t="n">
        <f aca="false">Q61+Q62</f>
        <v>13338.2710251509</v>
      </c>
      <c r="R63" s="138" t="n">
        <f aca="false">R61+R62</f>
        <v>16086.6931504632</v>
      </c>
      <c r="S63" s="138" t="n">
        <f aca="false">S61+S62</f>
        <v>6960.17045759982</v>
      </c>
      <c r="T63" s="138" t="n">
        <f aca="false">T61+T62</f>
        <v>21583.5374010877</v>
      </c>
      <c r="U63" s="138" t="n">
        <f aca="false">U61+U62</f>
        <v>22406.6299663999</v>
      </c>
      <c r="V63" s="138" t="n">
        <f aca="false">V61+V62</f>
        <v>22889.9584917122</v>
      </c>
      <c r="W63" s="138" t="n">
        <f aca="false">W61+W62</f>
        <v>25638.3806170245</v>
      </c>
      <c r="X63" s="138" t="n">
        <f aca="false">X61+X62</f>
        <v>27891.95847664</v>
      </c>
      <c r="Y63" s="138" t="n">
        <f aca="false">Y61+Y62</f>
        <v>30145.5363362555</v>
      </c>
      <c r="Z63" s="138" t="n">
        <f aca="false">Z61+Z62</f>
        <v>32220.6687852172</v>
      </c>
      <c r="AA63" s="138" t="n">
        <f aca="false">AA61+AA62</f>
        <v>31978.4511207303</v>
      </c>
      <c r="AB63" s="138" t="n">
        <f aca="false">AB61+AB62</f>
        <v>31490.344535188</v>
      </c>
      <c r="AC63" s="138" t="n">
        <f aca="false">AC61+AC62</f>
        <v>32985.3273964458</v>
      </c>
      <c r="AD63" s="138" t="n">
        <f aca="false">AD61+AD62</f>
        <v>34480.3102577035</v>
      </c>
      <c r="AE63" s="138" t="n">
        <f aca="false">AE61+AE62</f>
        <v>19485.0651403604</v>
      </c>
      <c r="AF63" s="138" t="n">
        <f aca="false">AF61+AF62</f>
        <v>37470.275980219</v>
      </c>
      <c r="AG63" s="138" t="n">
        <f aca="false">AG61+AG62</f>
        <v>38965.2588414767</v>
      </c>
      <c r="AH63" s="138" t="n">
        <f aca="false">AH61+AH62</f>
        <v>40460.2417027345</v>
      </c>
      <c r="AI63" s="138" t="n">
        <f aca="false">AI61+AI62</f>
        <v>41955.2245639922</v>
      </c>
      <c r="AJ63" s="138" t="n">
        <f aca="false">AJ61+AJ62</f>
        <v>43450.2074252499</v>
      </c>
      <c r="AK63" s="138" t="n">
        <f aca="false">AK61+AK62</f>
        <v>44945.1902865077</v>
      </c>
      <c r="AL63" s="138" t="n">
        <f aca="false">AL61+AL62</f>
        <v>44457.0837009654</v>
      </c>
      <c r="AM63" s="138" t="n">
        <f aca="false">AM61+AM62</f>
        <v>38757.1526859945</v>
      </c>
      <c r="AN63" s="138" t="n">
        <f aca="false">AN61+AN62</f>
        <v>40076.2552106337</v>
      </c>
      <c r="AO63" s="138" t="n">
        <f aca="false">AO61+AO62</f>
        <v>41395.3577352729</v>
      </c>
      <c r="AP63" s="138" t="n">
        <f aca="false">AP61+AP62</f>
        <v>42714.4602599121</v>
      </c>
      <c r="AQ63" s="138" t="n">
        <f aca="false">AQ61+AQ62</f>
        <v>29483.3616269623</v>
      </c>
      <c r="AR63" s="138" t="n">
        <f aca="false">AR61+AR62</f>
        <v>45352.6653091905</v>
      </c>
      <c r="AS63" s="138" t="n">
        <f aca="false">AS61+AS62</f>
        <v>45356.8319758571</v>
      </c>
      <c r="AT63" s="138" t="n">
        <f aca="false">AT61+AT62</f>
        <v>45360.9986425238</v>
      </c>
      <c r="AU63" s="138" t="n">
        <f aca="false">AU61+AU62</f>
        <v>45365.1653091905</v>
      </c>
      <c r="AV63" s="138" t="n">
        <f aca="false">AV61+AV62</f>
        <v>45369.3319758571</v>
      </c>
      <c r="AW63" s="138" t="n">
        <f aca="false">AW61+AW62</f>
        <v>45373.4986425238</v>
      </c>
      <c r="AX63" s="138" t="n">
        <f aca="false">AX61+AX62</f>
        <v>45377.6653091905</v>
      </c>
      <c r="AY63" s="138" t="n">
        <f aca="false">AY61+AY62</f>
        <v>43583.0389255875</v>
      </c>
      <c r="AZ63" s="138" t="n">
        <f aca="false">AZ61+AZ62</f>
        <v>43587.2055922542</v>
      </c>
      <c r="BA63" s="138" t="n">
        <f aca="false">BA61+BA62</f>
        <v>43591.3722589209</v>
      </c>
      <c r="BB63" s="138" t="n">
        <f aca="false">BB61+BB62</f>
        <v>43595.5389255875</v>
      </c>
      <c r="BC63" s="138" t="n">
        <f aca="false">BC61+BC62</f>
        <v>29049.5044346652</v>
      </c>
      <c r="BD63" s="138" t="n">
        <f aca="false">BD61+BD62</f>
        <v>43603.8722589209</v>
      </c>
      <c r="BE63" s="138" t="n">
        <f aca="false">BE61+BE62</f>
        <v>43608.0389255875</v>
      </c>
      <c r="BF63" s="138" t="n">
        <f aca="false">BF61+BF62</f>
        <v>43612.2055922542</v>
      </c>
      <c r="BG63" s="138" t="n">
        <f aca="false">BG61+BG62</f>
        <v>43616.3722589209</v>
      </c>
      <c r="BH63" s="138" t="n">
        <f aca="false">BH61+BH62</f>
        <v>43620.5389255875</v>
      </c>
      <c r="BI63" s="138" t="n">
        <f aca="false">BI61+BI62</f>
        <v>43624.7055922542</v>
      </c>
      <c r="BJ63" s="138" t="n">
        <f aca="false">BJ61+BJ62</f>
        <v>43628.8722589209</v>
      </c>
      <c r="BK63" s="138" t="n">
        <f aca="false">BK61+BK62</f>
        <v>41823.9410838098</v>
      </c>
      <c r="BL63" s="138" t="n">
        <f aca="false">BL61+BL62</f>
        <v>41828.1077504765</v>
      </c>
      <c r="BM63" s="138" t="n">
        <f aca="false">BM61+BM62</f>
        <v>41832.2744171432</v>
      </c>
      <c r="BN63" s="138" t="n">
        <f aca="false">BN61+BN62</f>
        <v>41836.4410838098</v>
      </c>
      <c r="BO63" s="138" t="n">
        <f aca="false">BO61+BO62</f>
        <v>27290.4065928875</v>
      </c>
      <c r="BP63" s="138" t="n">
        <f aca="false">BP61+BP62</f>
        <v>41844.7744171432</v>
      </c>
      <c r="BQ63" s="138" t="n">
        <f aca="false">BQ61+BQ62</f>
        <v>41848.9410838098</v>
      </c>
      <c r="BR63" s="138" t="n">
        <f aca="false">BR61+BR62</f>
        <v>41853.1077504765</v>
      </c>
      <c r="BS63" s="138" t="n">
        <f aca="false">BS61+BS62</f>
        <v>41857.2744171432</v>
      </c>
      <c r="BT63" s="138" t="n">
        <f aca="false">BT61+BT62</f>
        <v>41861.4410838098</v>
      </c>
      <c r="BU63" s="138" t="n">
        <f aca="false">BU61+BU62</f>
        <v>41865.6077504765</v>
      </c>
      <c r="BV63" s="138" t="n">
        <f aca="false">BV61+BV62</f>
        <v>41869.7744171432</v>
      </c>
      <c r="BW63" s="138" t="n">
        <f aca="false">BW61+BW62</f>
        <v>40054.2293067788</v>
      </c>
      <c r="BX63" s="138" t="n">
        <f aca="false">BX61+BX62</f>
        <v>40058.3959734455</v>
      </c>
      <c r="BY63" s="138" t="n">
        <f aca="false">BY61+BY62</f>
        <v>40062.5626401121</v>
      </c>
      <c r="BZ63" s="138" t="n">
        <f aca="false">BZ61+BZ62</f>
        <v>40066.7293067788</v>
      </c>
      <c r="CA63" s="138" t="n">
        <f aca="false">CA61+CA62</f>
        <v>25520.6948158565</v>
      </c>
      <c r="CB63" s="138" t="n">
        <f aca="false">CB61+CB62</f>
        <v>40075.0626401122</v>
      </c>
      <c r="CC63" s="138" t="n">
        <f aca="false">CC61+CC62</f>
        <v>40079.2293067788</v>
      </c>
      <c r="CD63" s="138" t="n">
        <f aca="false">CD61+CD62</f>
        <v>40083.3959734455</v>
      </c>
      <c r="CE63" s="138" t="n">
        <f aca="false">CE61+CE62</f>
        <v>40087.5626401122</v>
      </c>
      <c r="CF63" s="138" t="n">
        <f aca="false">CF61+CF62</f>
        <v>40091.7293067788</v>
      </c>
      <c r="CG63" s="138" t="n">
        <f aca="false">CG61+CG62</f>
        <v>40095.8959734455</v>
      </c>
      <c r="CH63" s="138" t="n">
        <f aca="false">CH61+CH62</f>
        <v>40100.0626401121</v>
      </c>
    </row>
    <row r="64" customFormat="false" ht="13.5" hidden="false" customHeight="true" outlineLevel="0" collapsed="false"/>
    <row r="65" customFormat="false" ht="12.75" hidden="false" customHeight="true" outlineLevel="0" collapsed="false">
      <c r="A65" s="10" t="s">
        <v>744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</row>
    <row r="66" customFormat="false" ht="13.5" hidden="false" customHeight="true" outlineLevel="0" collapsed="false">
      <c r="A66" s="13" t="s">
        <v>737</v>
      </c>
      <c r="C66" s="138" t="n">
        <f aca="false">C56</f>
        <v>-15979.8590337535</v>
      </c>
      <c r="D66" s="138" t="n">
        <f aca="false">D56</f>
        <v>-14111.1549680314</v>
      </c>
      <c r="E66" s="138" t="n">
        <f aca="false">E56</f>
        <v>-11405.7908343331</v>
      </c>
      <c r="F66" s="138" t="n">
        <f aca="false">F56</f>
        <v>-9467.71808515862</v>
      </c>
      <c r="G66" s="138" t="n">
        <f aca="false">G56</f>
        <v>-12049.970418757</v>
      </c>
      <c r="H66" s="138" t="n">
        <f aca="false">H56</f>
        <v>-5247.39748535294</v>
      </c>
      <c r="I66" s="138" t="n">
        <f aca="false">I56</f>
        <v>-2829.97287685658</v>
      </c>
      <c r="J66" s="138" t="n">
        <f aca="false">J56</f>
        <v>1043.38756648775</v>
      </c>
      <c r="K66" s="138" t="n">
        <f aca="false">K56</f>
        <v>4829.79921031797</v>
      </c>
      <c r="L66" s="138" t="n">
        <f aca="false">L56</f>
        <v>8616.21085414819</v>
      </c>
      <c r="M66" s="138" t="n">
        <f aca="false">M56</f>
        <v>11565.9624300021</v>
      </c>
      <c r="N66" s="138" t="n">
        <f aca="false">N56</f>
        <v>15113.1354401409</v>
      </c>
      <c r="O66" s="138" t="n">
        <f aca="false">O56</f>
        <v>13433.1084502797</v>
      </c>
      <c r="P66" s="138" t="n">
        <f aca="false">P56</f>
        <v>14433.3393605615</v>
      </c>
      <c r="Q66" s="138" t="n">
        <f aca="false">Q56</f>
        <v>17744.8902708434</v>
      </c>
      <c r="R66" s="138" t="n">
        <f aca="false">R56</f>
        <v>21056.4411811253</v>
      </c>
      <c r="S66" s="138" t="n">
        <f aca="false">S56</f>
        <v>10112.3560551819</v>
      </c>
      <c r="T66" s="138" t="n">
        <f aca="false">T56</f>
        <v>27679.543001689</v>
      </c>
      <c r="U66" s="138" t="n">
        <f aca="false">U56</f>
        <v>28679.7739119709</v>
      </c>
      <c r="V66" s="138" t="n">
        <f aca="false">V56</f>
        <v>29272.1248222528</v>
      </c>
      <c r="W66" s="138" t="n">
        <f aca="false">W56</f>
        <v>32583.6757325347</v>
      </c>
      <c r="X66" s="138" t="n">
        <f aca="false">X56</f>
        <v>35297.8052085317</v>
      </c>
      <c r="Y66" s="138" t="n">
        <f aca="false">Y56</f>
        <v>38011.9346845288</v>
      </c>
      <c r="Z66" s="138" t="n">
        <f aca="false">Z56</f>
        <v>40510.5855868119</v>
      </c>
      <c r="AA66" s="138" t="n">
        <f aca="false">AA56</f>
        <v>40228.4870800089</v>
      </c>
      <c r="AB66" s="138" t="n">
        <f aca="false">AB56</f>
        <v>39645.5348597875</v>
      </c>
      <c r="AC66" s="138" t="n">
        <f aca="false">AC56</f>
        <v>41443.2422395661</v>
      </c>
      <c r="AD66" s="138" t="n">
        <f aca="false">AD56</f>
        <v>43240.9496193447</v>
      </c>
      <c r="AE66" s="138" t="n">
        <f aca="false">AE56</f>
        <v>25242.4649479818</v>
      </c>
      <c r="AF66" s="138" t="n">
        <f aca="false">AF56</f>
        <v>46836.3643789019</v>
      </c>
      <c r="AG66" s="138" t="n">
        <f aca="false">AG56</f>
        <v>48634.0717586805</v>
      </c>
      <c r="AH66" s="138" t="n">
        <f aca="false">AH56</f>
        <v>50431.7791384591</v>
      </c>
      <c r="AI66" s="138" t="n">
        <f aca="false">AI56</f>
        <v>52229.4865182377</v>
      </c>
      <c r="AJ66" s="138" t="n">
        <f aca="false">AJ56</f>
        <v>54027.1938980163</v>
      </c>
      <c r="AK66" s="138" t="n">
        <f aca="false">AK56</f>
        <v>55824.9012777949</v>
      </c>
      <c r="AL66" s="138" t="n">
        <f aca="false">AL56</f>
        <v>55241.9490575735</v>
      </c>
      <c r="AM66" s="138" t="n">
        <f aca="false">AM56</f>
        <v>54605.9307253521</v>
      </c>
      <c r="AN66" s="138" t="n">
        <f aca="false">AN56</f>
        <v>56403.6381051307</v>
      </c>
      <c r="AO66" s="138" t="n">
        <f aca="false">AO56</f>
        <v>58201.3454849093</v>
      </c>
      <c r="AP66" s="138" t="n">
        <f aca="false">AP56</f>
        <v>59999.0528646879</v>
      </c>
      <c r="AQ66" s="138" t="n">
        <f aca="false">AQ56</f>
        <v>42000.568193325</v>
      </c>
      <c r="AR66" s="138" t="n">
        <f aca="false">AR56</f>
        <v>63594.4676242451</v>
      </c>
      <c r="AS66" s="138" t="n">
        <f aca="false">AS56</f>
        <v>63594.4676242451</v>
      </c>
      <c r="AT66" s="138" t="n">
        <f aca="false">AT56</f>
        <v>63594.4676242451</v>
      </c>
      <c r="AU66" s="138" t="n">
        <f aca="false">AU56</f>
        <v>63594.4676242451</v>
      </c>
      <c r="AV66" s="138" t="n">
        <f aca="false">AV56</f>
        <v>63594.4676242451</v>
      </c>
      <c r="AW66" s="138" t="n">
        <f aca="false">AW56</f>
        <v>63594.4676242451</v>
      </c>
      <c r="AX66" s="138" t="n">
        <f aca="false">AX56</f>
        <v>63594.4676242451</v>
      </c>
      <c r="AY66" s="138" t="n">
        <f aca="false">AY56</f>
        <v>61147.1301408851</v>
      </c>
      <c r="AZ66" s="138" t="n">
        <f aca="false">AZ56</f>
        <v>61147.1301408851</v>
      </c>
      <c r="BA66" s="138" t="n">
        <f aca="false">BA56</f>
        <v>61147.1301408851</v>
      </c>
      <c r="BB66" s="138" t="n">
        <f aca="false">BB56</f>
        <v>61147.1301408851</v>
      </c>
      <c r="BC66" s="138" t="n">
        <f aca="false">BC56</f>
        <v>41350.9380897436</v>
      </c>
      <c r="BD66" s="138" t="n">
        <f aca="false">BD56</f>
        <v>61147.1301408851</v>
      </c>
      <c r="BE66" s="138" t="n">
        <f aca="false">BE56</f>
        <v>61147.1301408851</v>
      </c>
      <c r="BF66" s="138" t="n">
        <f aca="false">BF56</f>
        <v>61147.1301408851</v>
      </c>
      <c r="BG66" s="138" t="n">
        <f aca="false">BG56</f>
        <v>61147.1301408851</v>
      </c>
      <c r="BH66" s="138" t="n">
        <f aca="false">BH56</f>
        <v>61147.1301408851</v>
      </c>
      <c r="BI66" s="138" t="n">
        <f aca="false">BI56</f>
        <v>61147.1301408851</v>
      </c>
      <c r="BJ66" s="138" t="n">
        <f aca="false">BJ56</f>
        <v>61147.1301408851</v>
      </c>
      <c r="BK66" s="138" t="n">
        <f aca="false">BK56</f>
        <v>58685.7725330243</v>
      </c>
      <c r="BL66" s="138" t="n">
        <f aca="false">BL56</f>
        <v>58685.7725330243</v>
      </c>
      <c r="BM66" s="138" t="n">
        <f aca="false">BM56</f>
        <v>58685.7725330243</v>
      </c>
      <c r="BN66" s="138" t="n">
        <f aca="false">BN56</f>
        <v>58685.7725330243</v>
      </c>
      <c r="BO66" s="138" t="n">
        <f aca="false">BO56</f>
        <v>38889.5804818828</v>
      </c>
      <c r="BP66" s="138" t="n">
        <f aca="false">BP56</f>
        <v>58685.7725330243</v>
      </c>
      <c r="BQ66" s="138" t="n">
        <f aca="false">BQ56</f>
        <v>58685.7725330243</v>
      </c>
      <c r="BR66" s="138" t="n">
        <f aca="false">BR56</f>
        <v>58685.7725330243</v>
      </c>
      <c r="BS66" s="138" t="n">
        <f aca="false">BS56</f>
        <v>58685.7725330243</v>
      </c>
      <c r="BT66" s="138" t="n">
        <f aca="false">BT56</f>
        <v>58685.7725330243</v>
      </c>
      <c r="BU66" s="138" t="n">
        <f aca="false">BU56</f>
        <v>58685.7725330243</v>
      </c>
      <c r="BV66" s="138" t="n">
        <f aca="false">BV56</f>
        <v>58685.7725330243</v>
      </c>
      <c r="BW66" s="138" t="n">
        <f aca="false">BW56</f>
        <v>56209.9741969276</v>
      </c>
      <c r="BX66" s="138" t="n">
        <f aca="false">BX56</f>
        <v>56209.9741969276</v>
      </c>
      <c r="BY66" s="138" t="n">
        <f aca="false">BY56</f>
        <v>56209.9741969276</v>
      </c>
      <c r="BZ66" s="138" t="n">
        <f aca="false">BZ56</f>
        <v>56209.9741969276</v>
      </c>
      <c r="CA66" s="138" t="n">
        <f aca="false">CA56</f>
        <v>36413.7821457861</v>
      </c>
      <c r="CB66" s="138" t="n">
        <f aca="false">CB56</f>
        <v>56209.9741969276</v>
      </c>
      <c r="CC66" s="138" t="n">
        <f aca="false">CC56</f>
        <v>56209.9741969276</v>
      </c>
      <c r="CD66" s="138" t="n">
        <f aca="false">CD56</f>
        <v>56209.9741969276</v>
      </c>
      <c r="CE66" s="138" t="n">
        <f aca="false">CE56</f>
        <v>56209.9741969276</v>
      </c>
      <c r="CF66" s="138" t="n">
        <f aca="false">CF56</f>
        <v>56209.9741969276</v>
      </c>
      <c r="CG66" s="138" t="n">
        <f aca="false">CG56</f>
        <v>56209.9741969276</v>
      </c>
      <c r="CH66" s="138" t="n">
        <f aca="false">CH56</f>
        <v>56209.9741969276</v>
      </c>
    </row>
    <row r="67" customFormat="false" ht="13.5" hidden="false" customHeight="true" outlineLevel="0" collapsed="false">
      <c r="A67" s="13" t="s">
        <v>745</v>
      </c>
      <c r="C67" s="138" t="n">
        <f aca="false">C62</f>
        <v>-0</v>
      </c>
      <c r="D67" s="138" t="n">
        <f aca="false">D62</f>
        <v>-0</v>
      </c>
      <c r="E67" s="138" t="n">
        <f aca="false">E62</f>
        <v>-0</v>
      </c>
      <c r="F67" s="138" t="n">
        <f aca="false">F62</f>
        <v>-0</v>
      </c>
      <c r="G67" s="138" t="n">
        <f aca="false">G62</f>
        <v>-0</v>
      </c>
      <c r="H67" s="138" t="n">
        <f aca="false">H62</f>
        <v>-0</v>
      </c>
      <c r="I67" s="138" t="n">
        <f aca="false">I62</f>
        <v>-0</v>
      </c>
      <c r="J67" s="138" t="n">
        <f aca="false">J62</f>
        <v>-0</v>
      </c>
      <c r="K67" s="138" t="n">
        <f aca="false">K62</f>
        <v>-457.442290069303</v>
      </c>
      <c r="L67" s="138" t="n">
        <f aca="false">L62</f>
        <v>-1010.13603904972</v>
      </c>
      <c r="M67" s="138" t="n">
        <f aca="false">M62</f>
        <v>-1443.24617549039</v>
      </c>
      <c r="N67" s="138" t="n">
        <f aca="false">N62</f>
        <v>-1966.17619261313</v>
      </c>
      <c r="O67" s="138" t="n">
        <f aca="false">O62</f>
        <v>-1722.61239989485</v>
      </c>
      <c r="P67" s="138" t="n">
        <f aca="false">P62</f>
        <v>-1868.79686467741</v>
      </c>
      <c r="Q67" s="138" t="n">
        <f aca="false">Q62</f>
        <v>-2353.81253385016</v>
      </c>
      <c r="R67" s="138" t="n">
        <f aca="false">R62</f>
        <v>-2838.82820302291</v>
      </c>
      <c r="S67" s="138" t="n">
        <f aca="false">S62</f>
        <v>-1228.26537487056</v>
      </c>
      <c r="T67" s="138" t="n">
        <f aca="false">T62</f>
        <v>-3808.85954136841</v>
      </c>
      <c r="U67" s="138" t="n">
        <f aca="false">U62</f>
        <v>-3954.11117054117</v>
      </c>
      <c r="V67" s="138" t="n">
        <f aca="false">V62</f>
        <v>-4039.40443971392</v>
      </c>
      <c r="W67" s="138" t="n">
        <f aca="false">W62</f>
        <v>-4524.42010888667</v>
      </c>
      <c r="X67" s="138" t="n">
        <f aca="false">X62</f>
        <v>-4922.11031940705</v>
      </c>
      <c r="Y67" s="138" t="n">
        <f aca="false">Y62</f>
        <v>-5319.80052992743</v>
      </c>
      <c r="Z67" s="138" t="n">
        <f aca="false">Z62</f>
        <v>-5686.00037386187</v>
      </c>
      <c r="AA67" s="138" t="n">
        <f aca="false">AA62</f>
        <v>-5643.25608012888</v>
      </c>
      <c r="AB67" s="138" t="n">
        <f aca="false">AB62</f>
        <v>-5557.11962385671</v>
      </c>
      <c r="AC67" s="138" t="n">
        <f aca="false">AC62</f>
        <v>-5820.94012878455</v>
      </c>
      <c r="AD67" s="138" t="n">
        <f aca="false">AD62</f>
        <v>-6084.76063371238</v>
      </c>
      <c r="AE67" s="138" t="n">
        <f aca="false">AE62</f>
        <v>-3438.54090712242</v>
      </c>
      <c r="AF67" s="138" t="n">
        <f aca="false">AF62</f>
        <v>-6612.40164356806</v>
      </c>
      <c r="AG67" s="138" t="n">
        <f aca="false">AG62</f>
        <v>-6876.22214849589</v>
      </c>
      <c r="AH67" s="138" t="n">
        <f aca="false">AH62</f>
        <v>-7140.04265342373</v>
      </c>
      <c r="AI67" s="138" t="n">
        <f aca="false">AI62</f>
        <v>-7403.86315835156</v>
      </c>
      <c r="AJ67" s="138" t="n">
        <f aca="false">AJ62</f>
        <v>-7667.6836632794</v>
      </c>
      <c r="AK67" s="138" t="n">
        <f aca="false">AK62</f>
        <v>-7931.50416820724</v>
      </c>
      <c r="AL67" s="138" t="n">
        <f aca="false">AL62</f>
        <v>-7845.36771193507</v>
      </c>
      <c r="AM67" s="138" t="n">
        <f aca="false">AM62</f>
        <v>-12919.0508953315</v>
      </c>
      <c r="AN67" s="138" t="n">
        <f aca="false">AN62</f>
        <v>-13358.7517368779</v>
      </c>
      <c r="AO67" s="138" t="n">
        <f aca="false">AO62</f>
        <v>-13798.4525784243</v>
      </c>
      <c r="AP67" s="138" t="n">
        <f aca="false">AP62</f>
        <v>-14238.1534199707</v>
      </c>
      <c r="AQ67" s="138" t="n">
        <f aca="false">AQ62</f>
        <v>-9827.78720898742</v>
      </c>
      <c r="AR67" s="138" t="n">
        <f aca="false">AR62</f>
        <v>-15117.5551030635</v>
      </c>
      <c r="AS67" s="138" t="n">
        <f aca="false">AS62</f>
        <v>-15118.9439919524</v>
      </c>
      <c r="AT67" s="138" t="n">
        <f aca="false">AT62</f>
        <v>-15120.3328808413</v>
      </c>
      <c r="AU67" s="138" t="n">
        <f aca="false">AU62</f>
        <v>-15121.7217697302</v>
      </c>
      <c r="AV67" s="138" t="n">
        <f aca="false">AV62</f>
        <v>-15123.110658619</v>
      </c>
      <c r="AW67" s="138" t="n">
        <f aca="false">AW62</f>
        <v>-15124.4995475079</v>
      </c>
      <c r="AX67" s="138" t="n">
        <f aca="false">AX62</f>
        <v>-15125.8884363968</v>
      </c>
      <c r="AY67" s="138" t="n">
        <f aca="false">AY62</f>
        <v>-14527.6796418625</v>
      </c>
      <c r="AZ67" s="138" t="n">
        <f aca="false">AZ62</f>
        <v>-14529.0685307514</v>
      </c>
      <c r="BA67" s="138" t="n">
        <f aca="false">BA62</f>
        <v>-14530.4574196403</v>
      </c>
      <c r="BB67" s="138" t="n">
        <f aca="false">BB62</f>
        <v>-14531.8463085292</v>
      </c>
      <c r="BC67" s="138" t="n">
        <f aca="false">BC62</f>
        <v>-9683.16814488839</v>
      </c>
      <c r="BD67" s="138" t="n">
        <f aca="false">BD62</f>
        <v>-14534.624086307</v>
      </c>
      <c r="BE67" s="138" t="n">
        <f aca="false">BE62</f>
        <v>-14536.0129751958</v>
      </c>
      <c r="BF67" s="138" t="n">
        <f aca="false">BF62</f>
        <v>-14537.4018640847</v>
      </c>
      <c r="BG67" s="138" t="n">
        <f aca="false">BG62</f>
        <v>-14538.7907529736</v>
      </c>
      <c r="BH67" s="138" t="n">
        <f aca="false">BH62</f>
        <v>-14540.1796418625</v>
      </c>
      <c r="BI67" s="138" t="n">
        <f aca="false">BI62</f>
        <v>-14541.5685307514</v>
      </c>
      <c r="BJ67" s="138" t="n">
        <f aca="false">BJ62</f>
        <v>-14542.9574196403</v>
      </c>
      <c r="BK67" s="138" t="n">
        <f aca="false">BK62</f>
        <v>-13941.3136946033</v>
      </c>
      <c r="BL67" s="138" t="n">
        <f aca="false">BL62</f>
        <v>-13942.7025834922</v>
      </c>
      <c r="BM67" s="138" t="n">
        <f aca="false">BM62</f>
        <v>-13944.0914723811</v>
      </c>
      <c r="BN67" s="138" t="n">
        <f aca="false">BN62</f>
        <v>-13945.4803612699</v>
      </c>
      <c r="BO67" s="138" t="n">
        <f aca="false">BO62</f>
        <v>-9096.80219762916</v>
      </c>
      <c r="BP67" s="138" t="n">
        <f aca="false">BP62</f>
        <v>-13948.2581390477</v>
      </c>
      <c r="BQ67" s="138" t="n">
        <f aca="false">BQ62</f>
        <v>-13949.6470279366</v>
      </c>
      <c r="BR67" s="138" t="n">
        <f aca="false">BR62</f>
        <v>-13951.0359168255</v>
      </c>
      <c r="BS67" s="138" t="n">
        <f aca="false">BS62</f>
        <v>-13952.4248057144</v>
      </c>
      <c r="BT67" s="138" t="n">
        <f aca="false">BT62</f>
        <v>-13953.8136946033</v>
      </c>
      <c r="BU67" s="138" t="n">
        <f aca="false">BU62</f>
        <v>-13955.2025834922</v>
      </c>
      <c r="BV67" s="138" t="n">
        <f aca="false">BV62</f>
        <v>-13956.5914723811</v>
      </c>
      <c r="BW67" s="138" t="n">
        <f aca="false">BW62</f>
        <v>-13351.4097689263</v>
      </c>
      <c r="BX67" s="138" t="n">
        <f aca="false">BX62</f>
        <v>-13352.7986578152</v>
      </c>
      <c r="BY67" s="138" t="n">
        <f aca="false">BY62</f>
        <v>-13354.187546704</v>
      </c>
      <c r="BZ67" s="138" t="n">
        <f aca="false">BZ62</f>
        <v>-13355.5764355929</v>
      </c>
      <c r="CA67" s="138" t="n">
        <f aca="false">CA62</f>
        <v>-8506.89827195216</v>
      </c>
      <c r="CB67" s="138" t="n">
        <f aca="false">CB62</f>
        <v>-13358.3542133707</v>
      </c>
      <c r="CC67" s="138" t="n">
        <f aca="false">CC62</f>
        <v>-13359.7431022596</v>
      </c>
      <c r="CD67" s="138" t="n">
        <f aca="false">CD62</f>
        <v>-13361.1319911485</v>
      </c>
      <c r="CE67" s="138" t="n">
        <f aca="false">CE62</f>
        <v>-13362.5208800374</v>
      </c>
      <c r="CF67" s="138" t="n">
        <f aca="false">CF62</f>
        <v>-13363.9097689263</v>
      </c>
      <c r="CG67" s="138" t="n">
        <f aca="false">CG62</f>
        <v>-13365.2986578152</v>
      </c>
      <c r="CH67" s="138" t="n">
        <f aca="false">CH62</f>
        <v>-13366.687546704</v>
      </c>
    </row>
    <row r="68" customFormat="false" ht="13.5" hidden="false" customHeight="true" outlineLevel="0" collapsed="false">
      <c r="A68" s="13" t="s">
        <v>746</v>
      </c>
      <c r="C68" s="139" t="n">
        <f aca="false">C212+C213</f>
        <v>2089.96908604054</v>
      </c>
      <c r="D68" s="139" t="n">
        <f aca="false">D212+D213</f>
        <v>4250.40817208108</v>
      </c>
      <c r="E68" s="139" t="n">
        <f aca="false">E212+E213</f>
        <v>7492.36600812162</v>
      </c>
      <c r="F68" s="139" t="n">
        <f aca="false">F212+F213</f>
        <v>9804.51134416216</v>
      </c>
      <c r="G68" s="139" t="n">
        <f aca="false">G212+G213</f>
        <v>7115.5211895304</v>
      </c>
      <c r="H68" s="139" t="n">
        <f aca="false">H212+H213</f>
        <v>14933.8370162432</v>
      </c>
      <c r="I68" s="139" t="n">
        <f aca="false">I212+I213</f>
        <v>17924.5833711081</v>
      </c>
      <c r="J68" s="139" t="n">
        <f aca="false">J212+J213</f>
        <v>22771.0580648108</v>
      </c>
      <c r="K68" s="139" t="n">
        <f aca="false">K212+K213</f>
        <v>27617.5327585135</v>
      </c>
      <c r="L68" s="139" t="n">
        <f aca="false">L212+L213</f>
        <v>32464.0074522162</v>
      </c>
      <c r="M68" s="139" t="n">
        <f aca="false">M212+M213</f>
        <v>36228.9633959189</v>
      </c>
      <c r="N68" s="139" t="n">
        <f aca="false">N212+N213</f>
        <v>40874.7943396216</v>
      </c>
      <c r="O68" s="139" t="n">
        <f aca="false">O212+O213</f>
        <v>45520.6252833243</v>
      </c>
      <c r="P68" s="139" t="n">
        <f aca="false">P212+P213</f>
        <v>49849.341227027</v>
      </c>
      <c r="Q68" s="139" t="n">
        <f aca="false">Q212+Q213</f>
        <v>54178.0571707297</v>
      </c>
      <c r="R68" s="139" t="n">
        <f aca="false">R212+R213</f>
        <v>58506.7731144325</v>
      </c>
      <c r="S68" s="139" t="n">
        <f aca="false">S212+S213</f>
        <v>46071.2263898493</v>
      </c>
      <c r="T68" s="139" t="n">
        <f aca="false">T212+T213</f>
        <v>67164.2050018378</v>
      </c>
      <c r="U68" s="139" t="n">
        <f aca="false">U212+U213</f>
        <v>71492.9209455405</v>
      </c>
      <c r="V68" s="139" t="n">
        <f aca="false">V212+V213</f>
        <v>75821.6368892433</v>
      </c>
      <c r="W68" s="139" t="n">
        <f aca="false">W212+W213</f>
        <v>80150.352832946</v>
      </c>
      <c r="X68" s="139" t="n">
        <f aca="false">X212+X213</f>
        <v>83598.1937766487</v>
      </c>
      <c r="Y68" s="139" t="n">
        <f aca="false">Y212+Y213</f>
        <v>87046.0347203514</v>
      </c>
      <c r="Z68" s="139" t="n">
        <f aca="false">Z212+Z213</f>
        <v>90165.0156640541</v>
      </c>
      <c r="AA68" s="139" t="n">
        <f aca="false">AA212+AA213</f>
        <v>92433.1280781892</v>
      </c>
      <c r="AB68" s="139" t="n">
        <f aca="false">AB212+AB213</f>
        <v>94701.2404923243</v>
      </c>
      <c r="AC68" s="139" t="n">
        <f aca="false">AC212+AC213</f>
        <v>96969.3529064595</v>
      </c>
      <c r="AD68" s="139" t="n">
        <f aca="false">AD212+AD213</f>
        <v>99237.4653205946</v>
      </c>
      <c r="AE68" s="139" t="n">
        <f aca="false">AE212+AE213</f>
        <v>77838.3833795027</v>
      </c>
      <c r="AF68" s="139" t="n">
        <f aca="false">AF212+AF213</f>
        <v>103773.690148865</v>
      </c>
      <c r="AG68" s="139" t="n">
        <f aca="false">AG212+AG213</f>
        <v>106041.802563</v>
      </c>
      <c r="AH68" s="139" t="n">
        <f aca="false">AH212+AH213</f>
        <v>108309.914977135</v>
      </c>
      <c r="AI68" s="139" t="n">
        <f aca="false">AI212+AI213</f>
        <v>110578.02739127</v>
      </c>
      <c r="AJ68" s="139" t="n">
        <f aca="false">AJ212+AJ213</f>
        <v>112846.139805405</v>
      </c>
      <c r="AK68" s="139" t="n">
        <f aca="false">AK212+AK213</f>
        <v>115114.252219541</v>
      </c>
      <c r="AL68" s="139" t="n">
        <f aca="false">AL212+AL213</f>
        <v>117382.364633676</v>
      </c>
      <c r="AM68" s="139" t="n">
        <f aca="false">AM212+AM213</f>
        <v>119650.477047811</v>
      </c>
      <c r="AN68" s="139" t="n">
        <f aca="false">AN212+AN213</f>
        <v>121918.589461946</v>
      </c>
      <c r="AO68" s="139" t="n">
        <f aca="false">AO212+AO213</f>
        <v>124186.701876081</v>
      </c>
      <c r="AP68" s="139" t="n">
        <f aca="false">AP212+AP213</f>
        <v>126454.814290216</v>
      </c>
      <c r="AQ68" s="139" t="n">
        <f aca="false">AQ212+AQ213</f>
        <v>105055.732349124</v>
      </c>
      <c r="AR68" s="139" t="n">
        <f aca="false">AR212+AR213</f>
        <v>130991.039118487</v>
      </c>
      <c r="AS68" s="139" t="n">
        <f aca="false">AS212+AS213</f>
        <v>130991.039118487</v>
      </c>
      <c r="AT68" s="139" t="n">
        <f aca="false">AT212+AT213</f>
        <v>130991.039118487</v>
      </c>
      <c r="AU68" s="139" t="n">
        <f aca="false">AU212+AU213</f>
        <v>130991.039118487</v>
      </c>
      <c r="AV68" s="139" t="n">
        <f aca="false">AV212+AV213</f>
        <v>130991.039118487</v>
      </c>
      <c r="AW68" s="139" t="n">
        <f aca="false">AW212+AW213</f>
        <v>130991.039118487</v>
      </c>
      <c r="AX68" s="139" t="n">
        <f aca="false">AX212+AX213</f>
        <v>130991.039118487</v>
      </c>
      <c r="AY68" s="139" t="n">
        <f aca="false">AY212+AY213</f>
        <v>130991.039118487</v>
      </c>
      <c r="AZ68" s="139" t="n">
        <f aca="false">AZ212+AZ213</f>
        <v>130991.039118487</v>
      </c>
      <c r="BA68" s="139" t="n">
        <f aca="false">BA212+BA213</f>
        <v>130991.039118487</v>
      </c>
      <c r="BB68" s="139" t="n">
        <f aca="false">BB212+BB213</f>
        <v>130991.039118487</v>
      </c>
      <c r="BC68" s="139" t="n">
        <f aca="false">BC212+BC213</f>
        <v>107323.844763259</v>
      </c>
      <c r="BD68" s="139" t="n">
        <f aca="false">BD212+BD213</f>
        <v>130991.039118487</v>
      </c>
      <c r="BE68" s="139" t="n">
        <f aca="false">BE212+BE213</f>
        <v>130991.039118487</v>
      </c>
      <c r="BF68" s="139" t="n">
        <f aca="false">BF212+BF213</f>
        <v>130991.039118487</v>
      </c>
      <c r="BG68" s="139" t="n">
        <f aca="false">BG212+BG213</f>
        <v>130991.039118487</v>
      </c>
      <c r="BH68" s="139" t="n">
        <f aca="false">BH212+BH213</f>
        <v>130991.039118487</v>
      </c>
      <c r="BI68" s="139" t="n">
        <f aca="false">BI212+BI213</f>
        <v>130991.039118487</v>
      </c>
      <c r="BJ68" s="139" t="n">
        <f aca="false">BJ212+BJ213</f>
        <v>130991.039118487</v>
      </c>
      <c r="BK68" s="139" t="n">
        <f aca="false">BK212+BK213</f>
        <v>130991.039118487</v>
      </c>
      <c r="BL68" s="139" t="n">
        <f aca="false">BL212+BL213</f>
        <v>130991.039118487</v>
      </c>
      <c r="BM68" s="139" t="n">
        <f aca="false">BM212+BM213</f>
        <v>130991.039118487</v>
      </c>
      <c r="BN68" s="139" t="n">
        <f aca="false">BN212+BN213</f>
        <v>130991.039118487</v>
      </c>
      <c r="BO68" s="139" t="n">
        <f aca="false">BO212+BO213</f>
        <v>107323.844763259</v>
      </c>
      <c r="BP68" s="139" t="n">
        <f aca="false">BP212+BP213</f>
        <v>130991.039118487</v>
      </c>
      <c r="BQ68" s="139" t="n">
        <f aca="false">BQ212+BQ213</f>
        <v>130991.039118487</v>
      </c>
      <c r="BR68" s="139" t="n">
        <f aca="false">BR212+BR213</f>
        <v>130991.039118487</v>
      </c>
      <c r="BS68" s="139" t="n">
        <f aca="false">BS212+BS213</f>
        <v>130991.039118487</v>
      </c>
      <c r="BT68" s="139" t="n">
        <f aca="false">BT212+BT213</f>
        <v>130991.039118487</v>
      </c>
      <c r="BU68" s="139" t="n">
        <f aca="false">BU212+BU213</f>
        <v>130991.039118487</v>
      </c>
      <c r="BV68" s="139" t="n">
        <f aca="false">BV212+BV213</f>
        <v>130991.039118487</v>
      </c>
      <c r="BW68" s="139" t="n">
        <f aca="false">BW212+BW213</f>
        <v>130991.039118487</v>
      </c>
      <c r="BX68" s="139" t="n">
        <f aca="false">BX212+BX213</f>
        <v>130991.039118487</v>
      </c>
      <c r="BY68" s="139" t="n">
        <f aca="false">BY212+BY213</f>
        <v>130991.039118487</v>
      </c>
      <c r="BZ68" s="139" t="n">
        <f aca="false">BZ212+BZ213</f>
        <v>130991.039118487</v>
      </c>
      <c r="CA68" s="139" t="n">
        <f aca="false">CA212+CA213</f>
        <v>107323.844763259</v>
      </c>
      <c r="CB68" s="139" t="n">
        <f aca="false">CB212+CB213</f>
        <v>130991.039118487</v>
      </c>
      <c r="CC68" s="139" t="n">
        <f aca="false">CC212+CC213</f>
        <v>130991.039118487</v>
      </c>
      <c r="CD68" s="139" t="n">
        <f aca="false">CD212+CD213</f>
        <v>130991.039118487</v>
      </c>
      <c r="CE68" s="139" t="n">
        <f aca="false">CE212+CE213</f>
        <v>130991.039118487</v>
      </c>
      <c r="CF68" s="139" t="n">
        <f aca="false">CF212+CF213</f>
        <v>130991.039118487</v>
      </c>
      <c r="CG68" s="139" t="n">
        <f aca="false">CG212+CG213</f>
        <v>130991.039118487</v>
      </c>
      <c r="CH68" s="139" t="n">
        <f aca="false">CH212+CH213</f>
        <v>130991.039118487</v>
      </c>
    </row>
    <row r="69" customFormat="false" ht="13.5" hidden="false" customHeight="true" outlineLevel="0" collapsed="false">
      <c r="A69" s="13" t="s">
        <v>747</v>
      </c>
      <c r="C69" s="139" t="n">
        <f aca="false">-C39*Hipótesis!$D$67/30</f>
        <v>200.135291643458</v>
      </c>
      <c r="D69" s="139" t="n">
        <f aca="false">-D39*Hipótesis!$D$67/30</f>
        <v>415.244319504708</v>
      </c>
      <c r="E69" s="139" t="n">
        <f aca="false">-E39*Hipótesis!$D$67/30</f>
        <v>845.503705473355</v>
      </c>
      <c r="F69" s="139" t="n">
        <f aca="false">-F39*Hipótesis!$D$67/30</f>
        <v>1139.12054805357</v>
      </c>
      <c r="G69" s="139" t="n">
        <f aca="false">-G39*Hipótesis!$D$67/30</f>
        <v>1147.91947433213</v>
      </c>
      <c r="H69" s="139" t="n">
        <f aca="false">-H39*Hipótesis!$D$67/30</f>
        <v>1867.9808216073</v>
      </c>
      <c r="I69" s="139" t="n">
        <f aca="false">-I39*Hipótesis!$D$67/30</f>
        <v>2337.52140949397</v>
      </c>
      <c r="J69" s="139" t="n">
        <f aca="false">-J39*Hipótesis!$D$67/30</f>
        <v>3154.88356989729</v>
      </c>
      <c r="K69" s="139" t="n">
        <f aca="false">-K39*Hipótesis!$D$67/30</f>
        <v>3972.24573030062</v>
      </c>
      <c r="L69" s="139" t="n">
        <f aca="false">-L39*Hipótesis!$D$67/30</f>
        <v>4789.60789070394</v>
      </c>
      <c r="M69" s="139" t="n">
        <f aca="false">-M39*Hipótesis!$D$67/30</f>
        <v>5391.81969299987</v>
      </c>
      <c r="N69" s="139" t="n">
        <f aca="false">-N39*Hipótesis!$D$67/30</f>
        <v>6243.59376559235</v>
      </c>
      <c r="O69" s="139" t="n">
        <f aca="false">-O39*Hipótesis!$D$67/30</f>
        <v>7095.36783818482</v>
      </c>
      <c r="P69" s="139" t="n">
        <f aca="false">-P39*Hipótesis!$D$67/30</f>
        <v>7875.39275806704</v>
      </c>
      <c r="Q69" s="139" t="n">
        <f aca="false">-Q39*Hipótesis!$D$67/30</f>
        <v>8655.41767794926</v>
      </c>
      <c r="R69" s="139" t="n">
        <f aca="false">-R39*Hipótesis!$D$67/30</f>
        <v>9435.44259783148</v>
      </c>
      <c r="S69" s="139" t="n">
        <f aca="false">-S39*Hipótesis!$D$67/30</f>
        <v>9297.99730542855</v>
      </c>
      <c r="T69" s="139" t="n">
        <f aca="false">-T39*Hipótesis!$D$67/30</f>
        <v>10995.4924375959</v>
      </c>
      <c r="U69" s="139" t="n">
        <f aca="false">-U39*Hipótesis!$D$67/30</f>
        <v>11775.5173574781</v>
      </c>
      <c r="V69" s="139" t="n">
        <f aca="false">-V39*Hipótesis!$D$67/30</f>
        <v>12555.5422773604</v>
      </c>
      <c r="W69" s="139" t="n">
        <f aca="false">-W39*Hipótesis!$D$67/30</f>
        <v>13335.5671972426</v>
      </c>
      <c r="X69" s="139" t="n">
        <f aca="false">-X39*Hipótesis!$D$67/30</f>
        <v>13866.0298468282</v>
      </c>
      <c r="Y69" s="139" t="n">
        <f aca="false">-Y39*Hipótesis!$D$67/30</f>
        <v>14396.4924964139</v>
      </c>
      <c r="Z69" s="139" t="n">
        <f aca="false">-Z39*Hipótesis!$D$67/30</f>
        <v>14827.130237881</v>
      </c>
      <c r="AA69" s="139" t="n">
        <f aca="false">-AA39*Hipótesis!$D$67/30</f>
        <v>15252.2454931791</v>
      </c>
      <c r="AB69" s="139" t="n">
        <f aca="false">-AB39*Hipótesis!$D$67/30</f>
        <v>15677.3607484772</v>
      </c>
      <c r="AC69" s="139" t="n">
        <f aca="false">-AC39*Hipótesis!$D$67/30</f>
        <v>16102.4760037754</v>
      </c>
      <c r="AD69" s="139" t="n">
        <f aca="false">-AD39*Hipótesis!$D$67/30</f>
        <v>16527.5912590735</v>
      </c>
      <c r="AE69" s="139" t="n">
        <f aca="false">-AE39*Hipótesis!$D$67/30</f>
        <v>15657.4544499691</v>
      </c>
      <c r="AF69" s="139" t="n">
        <f aca="false">-AF39*Hipótesis!$D$67/30</f>
        <v>17377.8217696698</v>
      </c>
      <c r="AG69" s="139" t="n">
        <f aca="false">-AG39*Hipótesis!$D$67/30</f>
        <v>17802.9370249679</v>
      </c>
      <c r="AH69" s="139" t="n">
        <f aca="false">-AH39*Hipótesis!$D$67/30</f>
        <v>18228.052280266</v>
      </c>
      <c r="AI69" s="139" t="n">
        <f aca="false">-AI39*Hipótesis!$D$67/30</f>
        <v>18653.1675355642</v>
      </c>
      <c r="AJ69" s="139" t="n">
        <f aca="false">-AJ39*Hipótesis!$D$67/30</f>
        <v>19078.2827908623</v>
      </c>
      <c r="AK69" s="139" t="n">
        <f aca="false">-AK39*Hipótesis!$D$67/30</f>
        <v>19503.3980461604</v>
      </c>
      <c r="AL69" s="139" t="n">
        <f aca="false">-AL39*Hipótesis!$D$67/30</f>
        <v>19928.5133014586</v>
      </c>
      <c r="AM69" s="139" t="n">
        <f aca="false">-AM39*Hipótesis!$D$67/30</f>
        <v>20353.6285567567</v>
      </c>
      <c r="AN69" s="139" t="n">
        <f aca="false">-AN39*Hipótesis!$D$67/30</f>
        <v>20778.7438120548</v>
      </c>
      <c r="AO69" s="139" t="n">
        <f aca="false">-AO39*Hipótesis!$D$67/30</f>
        <v>21203.859067353</v>
      </c>
      <c r="AP69" s="139" t="n">
        <f aca="false">-AP39*Hipótesis!$D$67/30</f>
        <v>21628.9743226511</v>
      </c>
      <c r="AQ69" s="139" t="n">
        <f aca="false">-AQ39*Hipótesis!$D$67/30</f>
        <v>20758.8375135467</v>
      </c>
      <c r="AR69" s="139" t="n">
        <f aca="false">-AR39*Hipótesis!$D$67/30</f>
        <v>22479.2048332474</v>
      </c>
      <c r="AS69" s="139" t="n">
        <f aca="false">-AS39*Hipótesis!$D$67/30</f>
        <v>22479.2048332474</v>
      </c>
      <c r="AT69" s="139" t="n">
        <f aca="false">-AT39*Hipótesis!$D$67/30</f>
        <v>22479.2048332474</v>
      </c>
      <c r="AU69" s="139" t="n">
        <f aca="false">-AU39*Hipótesis!$D$67/30</f>
        <v>22479.2048332474</v>
      </c>
      <c r="AV69" s="139" t="n">
        <f aca="false">-AV39*Hipótesis!$D$67/30</f>
        <v>22479.2048332474</v>
      </c>
      <c r="AW69" s="139" t="n">
        <f aca="false">-AW39*Hipótesis!$D$67/30</f>
        <v>22479.2048332474</v>
      </c>
      <c r="AX69" s="139" t="n">
        <f aca="false">-AX39*Hipótesis!$D$67/30</f>
        <v>22479.2048332474</v>
      </c>
      <c r="AY69" s="139" t="n">
        <f aca="false">-AY39*Hipótesis!$D$67/30</f>
        <v>22479.2048332474</v>
      </c>
      <c r="AZ69" s="139" t="n">
        <f aca="false">-AZ39*Hipótesis!$D$67/30</f>
        <v>22479.2048332474</v>
      </c>
      <c r="BA69" s="139" t="n">
        <f aca="false">-BA39*Hipótesis!$D$67/30</f>
        <v>22479.2048332474</v>
      </c>
      <c r="BB69" s="139" t="n">
        <f aca="false">-BB39*Hipótesis!$D$67/30</f>
        <v>22479.2048332474</v>
      </c>
      <c r="BC69" s="139" t="n">
        <f aca="false">-BC39*Hipótesis!$D$67/30</f>
        <v>21183.9527688448</v>
      </c>
      <c r="BD69" s="139" t="n">
        <f aca="false">-BD39*Hipótesis!$D$67/30</f>
        <v>22479.2048332474</v>
      </c>
      <c r="BE69" s="139" t="n">
        <f aca="false">-BE39*Hipótesis!$D$67/30</f>
        <v>22479.2048332474</v>
      </c>
      <c r="BF69" s="139" t="n">
        <f aca="false">-BF39*Hipótesis!$D$67/30</f>
        <v>22479.2048332474</v>
      </c>
      <c r="BG69" s="139" t="n">
        <f aca="false">-BG39*Hipótesis!$D$67/30</f>
        <v>22479.2048332474</v>
      </c>
      <c r="BH69" s="139" t="n">
        <f aca="false">-BH39*Hipótesis!$D$67/30</f>
        <v>22479.2048332474</v>
      </c>
      <c r="BI69" s="139" t="n">
        <f aca="false">-BI39*Hipótesis!$D$67/30</f>
        <v>22479.2048332474</v>
      </c>
      <c r="BJ69" s="139" t="n">
        <f aca="false">-BJ39*Hipótesis!$D$67/30</f>
        <v>22479.2048332474</v>
      </c>
      <c r="BK69" s="139" t="n">
        <f aca="false">-BK39*Hipótesis!$D$67/30</f>
        <v>22479.2048332474</v>
      </c>
      <c r="BL69" s="139" t="n">
        <f aca="false">-BL39*Hipótesis!$D$67/30</f>
        <v>22479.2048332474</v>
      </c>
      <c r="BM69" s="139" t="n">
        <f aca="false">-BM39*Hipótesis!$D$67/30</f>
        <v>22479.2048332474</v>
      </c>
      <c r="BN69" s="139" t="n">
        <f aca="false">-BN39*Hipótesis!$D$67/30</f>
        <v>22479.2048332474</v>
      </c>
      <c r="BO69" s="139" t="n">
        <f aca="false">-BO39*Hipótesis!$D$67/30</f>
        <v>21183.9527688448</v>
      </c>
      <c r="BP69" s="139" t="n">
        <f aca="false">-BP39*Hipótesis!$D$67/30</f>
        <v>22479.2048332474</v>
      </c>
      <c r="BQ69" s="139" t="n">
        <f aca="false">-BQ39*Hipótesis!$D$67/30</f>
        <v>22479.2048332474</v>
      </c>
      <c r="BR69" s="139" t="n">
        <f aca="false">-BR39*Hipótesis!$D$67/30</f>
        <v>22479.2048332474</v>
      </c>
      <c r="BS69" s="139" t="n">
        <f aca="false">-BS39*Hipótesis!$D$67/30</f>
        <v>22479.2048332474</v>
      </c>
      <c r="BT69" s="139" t="n">
        <f aca="false">-BT39*Hipótesis!$D$67/30</f>
        <v>22479.2048332474</v>
      </c>
      <c r="BU69" s="139" t="n">
        <f aca="false">-BU39*Hipótesis!$D$67/30</f>
        <v>22479.2048332474</v>
      </c>
      <c r="BV69" s="139" t="n">
        <f aca="false">-BV39*Hipótesis!$D$67/30</f>
        <v>22479.2048332474</v>
      </c>
      <c r="BW69" s="139" t="n">
        <f aca="false">-BW39*Hipótesis!$D$67/30</f>
        <v>22479.2048332474</v>
      </c>
      <c r="BX69" s="139" t="n">
        <f aca="false">-BX39*Hipótesis!$D$67/30</f>
        <v>22479.2048332474</v>
      </c>
      <c r="BY69" s="139" t="n">
        <f aca="false">-BY39*Hipótesis!$D$67/30</f>
        <v>22479.2048332474</v>
      </c>
      <c r="BZ69" s="139" t="n">
        <f aca="false">-BZ39*Hipótesis!$D$67/30</f>
        <v>22479.2048332474</v>
      </c>
      <c r="CA69" s="139" t="n">
        <f aca="false">-CA39*Hipótesis!$D$67/30</f>
        <v>21183.9527688448</v>
      </c>
      <c r="CB69" s="139" t="n">
        <f aca="false">-CB39*Hipótesis!$D$67/30</f>
        <v>22479.2048332474</v>
      </c>
      <c r="CC69" s="139" t="n">
        <f aca="false">-CC39*Hipótesis!$D$67/30</f>
        <v>22479.2048332474</v>
      </c>
      <c r="CD69" s="139" t="n">
        <f aca="false">-CD39*Hipótesis!$D$67/30</f>
        <v>22479.2048332474</v>
      </c>
      <c r="CE69" s="139" t="n">
        <f aca="false">-CE39*Hipótesis!$D$67/30</f>
        <v>22479.2048332474</v>
      </c>
      <c r="CF69" s="139" t="n">
        <f aca="false">-CF39*Hipótesis!$D$67/30</f>
        <v>22479.2048332474</v>
      </c>
      <c r="CG69" s="139" t="n">
        <f aca="false">-CG39*Hipótesis!$D$67/30</f>
        <v>22479.2048332474</v>
      </c>
      <c r="CH69" s="139" t="n">
        <f aca="false">-CH39*Hipótesis!$D$67/30</f>
        <v>22479.2048332474</v>
      </c>
    </row>
    <row r="70" customFormat="false" ht="13.5" hidden="false" customHeight="true" outlineLevel="0" collapsed="false">
      <c r="A70" s="30" t="s">
        <v>748</v>
      </c>
      <c r="C70" s="139" t="n">
        <f aca="false">C212*(1-Hipótesis!$D$73)+C213-C69</f>
        <v>1331.94629439708</v>
      </c>
      <c r="D70" s="139" t="n">
        <f aca="false">D212*(1-Hipótesis!$D$73)+D213-D69</f>
        <v>2677.10685257637</v>
      </c>
      <c r="E70" s="139" t="n">
        <f aca="false">E212*(1-Hipótesis!$D$73)+E213-E69</f>
        <v>4239.72455264827</v>
      </c>
      <c r="F70" s="139" t="n">
        <f aca="false">F212*(1-Hipótesis!$D$73)+F213-F69</f>
        <v>5567.05979610859</v>
      </c>
      <c r="G70" s="139" t="n">
        <f aca="false">G212*(1-Hipótesis!$D$73)+G213-G69</f>
        <v>2220.35946519828</v>
      </c>
      <c r="H70" s="139" t="n">
        <f aca="false">H212*(1-Hipótesis!$D$73)+H213-H69</f>
        <v>8282.11769463595</v>
      </c>
      <c r="I70" s="139" t="n">
        <f aca="false">I212*(1-Hipótesis!$D$73)+I213-I69</f>
        <v>9704.96960031955</v>
      </c>
      <c r="J70" s="139" t="n">
        <f aca="false">J212*(1-Hipótesis!$D$73)+J213-J69</f>
        <v>11522.2912690216</v>
      </c>
      <c r="K70" s="139" t="n">
        <f aca="false">K212*(1-Hipótesis!$D$73)+K213-K69</f>
        <v>13339.6129377237</v>
      </c>
      <c r="L70" s="139" t="n">
        <f aca="false">L212*(1-Hipótesis!$D$73)+L213-L69</f>
        <v>15156.9346064258</v>
      </c>
      <c r="M70" s="139" t="n">
        <f aca="false">M212*(1-Hipótesis!$D$73)+M213-M69</f>
        <v>16756.7991332353</v>
      </c>
      <c r="N70" s="139" t="n">
        <f aca="false">N212*(1-Hipótesis!$D$73)+N213-N69</f>
        <v>18459.4513897482</v>
      </c>
      <c r="O70" s="139" t="n">
        <f aca="false">O212*(1-Hipótesis!$D$73)+O213-O69</f>
        <v>20162.1036462611</v>
      </c>
      <c r="P70" s="139" t="n">
        <f aca="false">P212*(1-Hipótesis!$D$73)+P213-P69</f>
        <v>21809.6590554843</v>
      </c>
      <c r="Q70" s="139" t="n">
        <f aca="false">Q212*(1-Hipótesis!$D$73)+Q213-Q69</f>
        <v>23457.2144647075</v>
      </c>
      <c r="R70" s="139" t="n">
        <f aca="false">R212*(1-Hipótesis!$D$73)+R213-R69</f>
        <v>25104.7698739307</v>
      </c>
      <c r="S70" s="139" t="n">
        <f aca="false">S212*(1-Hipótesis!$D$73)+S213-S69</f>
        <v>10905.5328271532</v>
      </c>
      <c r="T70" s="139" t="n">
        <f aca="false">T212*(1-Hipótesis!$D$73)+T213-T69</f>
        <v>28399.8806923771</v>
      </c>
      <c r="U70" s="139" t="n">
        <f aca="false">U212*(1-Hipótesis!$D$73)+U213-U69</f>
        <v>30047.4361016002</v>
      </c>
      <c r="V70" s="139" t="n">
        <f aca="false">V212*(1-Hipótesis!$D$73)+V213-V69</f>
        <v>31694.9915108234</v>
      </c>
      <c r="W70" s="139" t="n">
        <f aca="false">W212*(1-Hipótesis!$D$73)+W213-W69</f>
        <v>33342.5469200466</v>
      </c>
      <c r="X70" s="139" t="n">
        <f aca="false">X212*(1-Hipótesis!$D$73)+X213-X69</f>
        <v>34887.3145995664</v>
      </c>
      <c r="Y70" s="139" t="n">
        <f aca="false">Y212*(1-Hipótesis!$D$73)+Y213-Y69</f>
        <v>36432.0822790861</v>
      </c>
      <c r="Z70" s="139" t="n">
        <f aca="false">Z212*(1-Hipótesis!$D$73)+Z213-Z69</f>
        <v>37945.1308667244</v>
      </c>
      <c r="AA70" s="139" t="n">
        <f aca="false">AA212*(1-Hipótesis!$D$73)+AA213-AA69</f>
        <v>38427.2605770804</v>
      </c>
      <c r="AB70" s="139" t="n">
        <f aca="false">AB212*(1-Hipótesis!$D$73)+AB213-AB69</f>
        <v>38909.3902874363</v>
      </c>
      <c r="AC70" s="139" t="n">
        <f aca="false">AC212*(1-Hipótesis!$D$73)+AC213-AC69</f>
        <v>39391.5199977922</v>
      </c>
      <c r="AD70" s="139" t="n">
        <f aca="false">AD212*(1-Hipótesis!$D$73)+AD213-AD69</f>
        <v>39873.6497081481</v>
      </c>
      <c r="AE70" s="139" t="n">
        <f aca="false">AE212*(1-Hipótesis!$D$73)+AE213-AE69</f>
        <v>17983.8371276796</v>
      </c>
      <c r="AF70" s="139" t="n">
        <f aca="false">AF212*(1-Hipótesis!$D$73)+AF213-AF69</f>
        <v>40837.90912886</v>
      </c>
      <c r="AG70" s="139" t="n">
        <f aca="false">AG212*(1-Hipótesis!$D$73)+AG213-AG69</f>
        <v>41320.0388392159</v>
      </c>
      <c r="AH70" s="139" t="n">
        <f aca="false">AH212*(1-Hipótesis!$D$73)+AH213-AH69</f>
        <v>41802.1685495718</v>
      </c>
      <c r="AI70" s="139" t="n">
        <f aca="false">AI212*(1-Hipótesis!$D$73)+AI213-AI69</f>
        <v>42284.2982599277</v>
      </c>
      <c r="AJ70" s="139" t="n">
        <f aca="false">AJ212*(1-Hipótesis!$D$73)+AJ213-AJ69</f>
        <v>42766.4279702837</v>
      </c>
      <c r="AK70" s="139" t="n">
        <f aca="false">AK212*(1-Hipótesis!$D$73)+AK213-AK69</f>
        <v>43248.5576806396</v>
      </c>
      <c r="AL70" s="139" t="n">
        <f aca="false">AL212*(1-Hipótesis!$D$73)+AL213-AL69</f>
        <v>43730.6873909955</v>
      </c>
      <c r="AM70" s="139" t="n">
        <f aca="false">AM212*(1-Hipótesis!$D$73)+AM213-AM69</f>
        <v>44212.8171013514</v>
      </c>
      <c r="AN70" s="139" t="n">
        <f aca="false">AN212*(1-Hipótesis!$D$73)+AN213-AN69</f>
        <v>44694.9468117073</v>
      </c>
      <c r="AO70" s="139" t="n">
        <f aca="false">AO212*(1-Hipótesis!$D$73)+AO213-AO69</f>
        <v>45177.0765220633</v>
      </c>
      <c r="AP70" s="139" t="n">
        <f aca="false">AP212*(1-Hipótesis!$D$73)+AP213-AP69</f>
        <v>45659.2062324192</v>
      </c>
      <c r="AQ70" s="139" t="n">
        <f aca="false">AQ212*(1-Hipótesis!$D$73)+AQ213-AQ69</f>
        <v>23769.3936519507</v>
      </c>
      <c r="AR70" s="139" t="n">
        <f aca="false">AR212*(1-Hipótesis!$D$73)+AR213-AR69</f>
        <v>46623.465653131</v>
      </c>
      <c r="AS70" s="139" t="n">
        <f aca="false">AS212*(1-Hipótesis!$D$73)+AS213-AS69</f>
        <v>46623.465653131</v>
      </c>
      <c r="AT70" s="139" t="n">
        <f aca="false">AT212*(1-Hipótesis!$D$73)+AT213-AT69</f>
        <v>46623.465653131</v>
      </c>
      <c r="AU70" s="139" t="n">
        <f aca="false">AU212*(1-Hipótesis!$D$73)+AU213-AU69</f>
        <v>46623.465653131</v>
      </c>
      <c r="AV70" s="139" t="n">
        <f aca="false">AV212*(1-Hipótesis!$D$73)+AV213-AV69</f>
        <v>46623.465653131</v>
      </c>
      <c r="AW70" s="139" t="n">
        <f aca="false">AW212*(1-Hipótesis!$D$73)+AW213-AW69</f>
        <v>46623.465653131</v>
      </c>
      <c r="AX70" s="139" t="n">
        <f aca="false">AX212*(1-Hipótesis!$D$73)+AX213-AX69</f>
        <v>46623.465653131</v>
      </c>
      <c r="AY70" s="139" t="n">
        <f aca="false">AY212*(1-Hipótesis!$D$73)+AY213-AY69</f>
        <v>46623.465653131</v>
      </c>
      <c r="AZ70" s="139" t="n">
        <f aca="false">AZ212*(1-Hipótesis!$D$73)+AZ213-AZ69</f>
        <v>46623.465653131</v>
      </c>
      <c r="BA70" s="139" t="n">
        <f aca="false">BA212*(1-Hipótesis!$D$73)+BA213-BA69</f>
        <v>46623.465653131</v>
      </c>
      <c r="BB70" s="139" t="n">
        <f aca="false">BB212*(1-Hipótesis!$D$73)+BB213-BB69</f>
        <v>46623.465653131</v>
      </c>
      <c r="BC70" s="139" t="n">
        <f aca="false">BC212*(1-Hipótesis!$D$73)+BC213-BC69</f>
        <v>24251.5233623066</v>
      </c>
      <c r="BD70" s="139" t="n">
        <f aca="false">BD212*(1-Hipótesis!$D$73)+BD213-BD69</f>
        <v>46623.465653131</v>
      </c>
      <c r="BE70" s="139" t="n">
        <f aca="false">BE212*(1-Hipótesis!$D$73)+BE213-BE69</f>
        <v>46623.465653131</v>
      </c>
      <c r="BF70" s="139" t="n">
        <f aca="false">BF212*(1-Hipótesis!$D$73)+BF213-BF69</f>
        <v>46623.465653131</v>
      </c>
      <c r="BG70" s="139" t="n">
        <f aca="false">BG212*(1-Hipótesis!$D$73)+BG213-BG69</f>
        <v>46623.465653131</v>
      </c>
      <c r="BH70" s="139" t="n">
        <f aca="false">BH212*(1-Hipótesis!$D$73)+BH213-BH69</f>
        <v>46623.465653131</v>
      </c>
      <c r="BI70" s="139" t="n">
        <f aca="false">BI212*(1-Hipótesis!$D$73)+BI213-BI69</f>
        <v>46623.465653131</v>
      </c>
      <c r="BJ70" s="139" t="n">
        <f aca="false">BJ212*(1-Hipótesis!$D$73)+BJ213-BJ69</f>
        <v>46623.465653131</v>
      </c>
      <c r="BK70" s="139" t="n">
        <f aca="false">BK212*(1-Hipótesis!$D$73)+BK213-BK69</f>
        <v>46623.465653131</v>
      </c>
      <c r="BL70" s="139" t="n">
        <f aca="false">BL212*(1-Hipótesis!$D$73)+BL213-BL69</f>
        <v>46623.465653131</v>
      </c>
      <c r="BM70" s="139" t="n">
        <f aca="false">BM212*(1-Hipótesis!$D$73)+BM213-BM69</f>
        <v>46623.465653131</v>
      </c>
      <c r="BN70" s="139" t="n">
        <f aca="false">BN212*(1-Hipótesis!$D$73)+BN213-BN69</f>
        <v>46623.465653131</v>
      </c>
      <c r="BO70" s="139" t="n">
        <f aca="false">BO212*(1-Hipótesis!$D$73)+BO213-BO69</f>
        <v>24251.5233623066</v>
      </c>
      <c r="BP70" s="139" t="n">
        <f aca="false">BP212*(1-Hipótesis!$D$73)+BP213-BP69</f>
        <v>46623.465653131</v>
      </c>
      <c r="BQ70" s="139" t="n">
        <f aca="false">BQ212*(1-Hipótesis!$D$73)+BQ213-BQ69</f>
        <v>46623.465653131</v>
      </c>
      <c r="BR70" s="139" t="n">
        <f aca="false">BR212*(1-Hipótesis!$D$73)+BR213-BR69</f>
        <v>46623.465653131</v>
      </c>
      <c r="BS70" s="139" t="n">
        <f aca="false">BS212*(1-Hipótesis!$D$73)+BS213-BS69</f>
        <v>46623.465653131</v>
      </c>
      <c r="BT70" s="139" t="n">
        <f aca="false">BT212*(1-Hipótesis!$D$73)+BT213-BT69</f>
        <v>46623.465653131</v>
      </c>
      <c r="BU70" s="139" t="n">
        <f aca="false">BU212*(1-Hipótesis!$D$73)+BU213-BU69</f>
        <v>46623.465653131</v>
      </c>
      <c r="BV70" s="139" t="n">
        <f aca="false">BV212*(1-Hipótesis!$D$73)+BV213-BV69</f>
        <v>46623.465653131</v>
      </c>
      <c r="BW70" s="139" t="n">
        <f aca="false">BW212*(1-Hipótesis!$D$73)+BW213-BW69</f>
        <v>46623.465653131</v>
      </c>
      <c r="BX70" s="139" t="n">
        <f aca="false">BX212*(1-Hipótesis!$D$73)+BX213-BX69</f>
        <v>46623.465653131</v>
      </c>
      <c r="BY70" s="139" t="n">
        <f aca="false">BY212*(1-Hipótesis!$D$73)+BY213-BY69</f>
        <v>46623.465653131</v>
      </c>
      <c r="BZ70" s="139" t="n">
        <f aca="false">BZ212*(1-Hipótesis!$D$73)+BZ213-BZ69</f>
        <v>46623.465653131</v>
      </c>
      <c r="CA70" s="139" t="n">
        <f aca="false">CA212*(1-Hipótesis!$D$73)+CA213-CA69</f>
        <v>24251.5233623066</v>
      </c>
      <c r="CB70" s="139" t="n">
        <f aca="false">CB212*(1-Hipótesis!$D$73)+CB213-CB69</f>
        <v>46623.465653131</v>
      </c>
      <c r="CC70" s="139" t="n">
        <f aca="false">CC212*(1-Hipótesis!$D$73)+CC213-CC69</f>
        <v>46623.465653131</v>
      </c>
      <c r="CD70" s="139" t="n">
        <f aca="false">CD212*(1-Hipótesis!$D$73)+CD213-CD69</f>
        <v>46623.465653131</v>
      </c>
      <c r="CE70" s="139" t="n">
        <f aca="false">CE212*(1-Hipótesis!$D$73)+CE213-CE69</f>
        <v>46623.465653131</v>
      </c>
      <c r="CF70" s="139" t="n">
        <f aca="false">CF212*(1-Hipótesis!$D$73)+CF213-CF69</f>
        <v>46623.465653131</v>
      </c>
      <c r="CG70" s="139" t="n">
        <f aca="false">CG212*(1-Hipótesis!$D$73)+CG213-CG69</f>
        <v>46623.465653131</v>
      </c>
      <c r="CH70" s="139" t="n">
        <f aca="false">CH212*(1-Hipótesis!$D$73)+CH213-CH69</f>
        <v>46623.465653131</v>
      </c>
    </row>
    <row r="71" customFormat="false" ht="13.5" hidden="false" customHeight="true" outlineLevel="0" collapsed="false">
      <c r="A71" s="13" t="s">
        <v>749</v>
      </c>
      <c r="C71" s="138" t="n">
        <f aca="false">-C70</f>
        <v>-1331.94629439708</v>
      </c>
      <c r="D71" s="138" t="n">
        <f aca="false">-(D70-C70)</f>
        <v>-1345.16055817929</v>
      </c>
      <c r="E71" s="138" t="n">
        <f aca="false">-(E70-D70)</f>
        <v>-1562.61770007189</v>
      </c>
      <c r="F71" s="138" t="n">
        <f aca="false">-(F70-E70)</f>
        <v>-1327.33524346032</v>
      </c>
      <c r="G71" s="138" t="n">
        <f aca="false">-(G70-F70)</f>
        <v>3346.70033091031</v>
      </c>
      <c r="H71" s="138" t="n">
        <f aca="false">-(H70-G70)</f>
        <v>-6061.75822943767</v>
      </c>
      <c r="I71" s="138" t="n">
        <f aca="false">-(I70-H70)</f>
        <v>-1422.8519056836</v>
      </c>
      <c r="J71" s="138" t="n">
        <f aca="false">-(J70-I70)</f>
        <v>-1817.32166870208</v>
      </c>
      <c r="K71" s="138" t="n">
        <f aca="false">-(K70-J70)</f>
        <v>-1817.32166870208</v>
      </c>
      <c r="L71" s="138" t="n">
        <f aca="false">-(L70-K70)</f>
        <v>-1817.32166870208</v>
      </c>
      <c r="M71" s="138" t="n">
        <f aca="false">-(M70-L70)</f>
        <v>-1599.86452680948</v>
      </c>
      <c r="N71" s="138" t="n">
        <f aca="false">-(N70-M70)</f>
        <v>-1702.65225651293</v>
      </c>
      <c r="O71" s="138" t="n">
        <f aca="false">-(O70-N70)</f>
        <v>-1702.65225651293</v>
      </c>
      <c r="P71" s="138" t="n">
        <f aca="false">-(P70-O70)</f>
        <v>-1647.55540922318</v>
      </c>
      <c r="Q71" s="138" t="n">
        <f aca="false">-(Q70-P70)</f>
        <v>-1647.55540922319</v>
      </c>
      <c r="R71" s="138" t="n">
        <f aca="false">-(R70-Q70)</f>
        <v>-1647.5554092232</v>
      </c>
      <c r="S71" s="138" t="n">
        <f aca="false">-(S70-R70)</f>
        <v>14199.2370467775</v>
      </c>
      <c r="T71" s="138" t="n">
        <f aca="false">-(T70-S70)</f>
        <v>-17494.3478652238</v>
      </c>
      <c r="U71" s="138" t="n">
        <f aca="false">-(U70-T70)</f>
        <v>-1647.55540922319</v>
      </c>
      <c r="V71" s="138" t="n">
        <f aca="false">-(V70-U70)</f>
        <v>-1647.55540922319</v>
      </c>
      <c r="W71" s="138" t="n">
        <f aca="false">-(W70-V70)</f>
        <v>-1647.55540922319</v>
      </c>
      <c r="X71" s="138" t="n">
        <f aca="false">-(X70-W70)</f>
        <v>-1544.76767951973</v>
      </c>
      <c r="Y71" s="138" t="n">
        <f aca="false">-(Y70-X70)</f>
        <v>-1544.76767951973</v>
      </c>
      <c r="Z71" s="138" t="n">
        <f aca="false">-(Z70-Y70)</f>
        <v>-1513.04858763835</v>
      </c>
      <c r="AA71" s="138" t="n">
        <f aca="false">-(AA70-Z70)</f>
        <v>-482.129710355926</v>
      </c>
      <c r="AB71" s="138" t="n">
        <f aca="false">-(AB70-AA70)</f>
        <v>-482.129710355919</v>
      </c>
      <c r="AC71" s="138" t="n">
        <f aca="false">-(AC70-AB70)</f>
        <v>-482.129710355919</v>
      </c>
      <c r="AD71" s="138" t="n">
        <f aca="false">-(AD70-AC70)</f>
        <v>-482.129710355926</v>
      </c>
      <c r="AE71" s="138" t="n">
        <f aca="false">-(AE70-AD70)</f>
        <v>21889.8125804685</v>
      </c>
      <c r="AF71" s="138" t="n">
        <f aca="false">-(AF70-AE70)</f>
        <v>-22854.0720011804</v>
      </c>
      <c r="AG71" s="138" t="n">
        <f aca="false">-(AG70-AF70)</f>
        <v>-482.129710355919</v>
      </c>
      <c r="AH71" s="138" t="n">
        <f aca="false">-(AH70-AG70)</f>
        <v>-482.129710355934</v>
      </c>
      <c r="AI71" s="138" t="n">
        <f aca="false">-(AI70-AH70)</f>
        <v>-482.129710355905</v>
      </c>
      <c r="AJ71" s="138" t="n">
        <f aca="false">-(AJ70-AI70)</f>
        <v>-482.129710355934</v>
      </c>
      <c r="AK71" s="138" t="n">
        <f aca="false">-(AK70-AJ70)</f>
        <v>-482.129710355912</v>
      </c>
      <c r="AL71" s="138" t="n">
        <f aca="false">-(AL70-AK70)</f>
        <v>-482.129710355926</v>
      </c>
      <c r="AM71" s="138" t="n">
        <f aca="false">-(AM70-AL70)</f>
        <v>-482.129710355912</v>
      </c>
      <c r="AN71" s="138" t="n">
        <f aca="false">-(AN70-AM70)</f>
        <v>-482.129710355926</v>
      </c>
      <c r="AO71" s="138" t="n">
        <f aca="false">-(AO70-AN70)</f>
        <v>-482.129710355919</v>
      </c>
      <c r="AP71" s="138" t="n">
        <f aca="false">-(AP70-AO70)</f>
        <v>-482.129710355934</v>
      </c>
      <c r="AQ71" s="138" t="n">
        <f aca="false">-(AQ70-AP70)</f>
        <v>21889.8125804685</v>
      </c>
      <c r="AR71" s="138" t="n">
        <f aca="false">-(AR70-AQ70)</f>
        <v>-22854.0720011804</v>
      </c>
      <c r="AS71" s="138" t="n">
        <f aca="false">-(AS70-AR70)</f>
        <v>-0</v>
      </c>
      <c r="AT71" s="138" t="n">
        <f aca="false">-(AT70-AS70)</f>
        <v>-0</v>
      </c>
      <c r="AU71" s="138" t="n">
        <f aca="false">-(AU70-AT70)</f>
        <v>-0</v>
      </c>
      <c r="AV71" s="138" t="n">
        <f aca="false">-(AV70-AU70)</f>
        <v>-0</v>
      </c>
      <c r="AW71" s="138" t="n">
        <f aca="false">-(AW70-AV70)</f>
        <v>-0</v>
      </c>
      <c r="AX71" s="138" t="n">
        <f aca="false">-(AX70-AW70)</f>
        <v>-0</v>
      </c>
      <c r="AY71" s="138" t="n">
        <f aca="false">-(AY70-AX70)</f>
        <v>-0</v>
      </c>
      <c r="AZ71" s="138" t="n">
        <f aca="false">-(AZ70-AY70)</f>
        <v>-0</v>
      </c>
      <c r="BA71" s="138" t="n">
        <f aca="false">-(BA70-AZ70)</f>
        <v>-0</v>
      </c>
      <c r="BB71" s="138" t="n">
        <f aca="false">-(BB70-BA70)</f>
        <v>-0</v>
      </c>
      <c r="BC71" s="138" t="n">
        <f aca="false">-(BC70-BB70)</f>
        <v>22371.9422908245</v>
      </c>
      <c r="BD71" s="138" t="n">
        <f aca="false">-(BD70-BC70)</f>
        <v>-22371.9422908245</v>
      </c>
      <c r="BE71" s="138" t="n">
        <f aca="false">-(BE70-BD70)</f>
        <v>-0</v>
      </c>
      <c r="BF71" s="138" t="n">
        <f aca="false">-(BF70-BE70)</f>
        <v>-0</v>
      </c>
      <c r="BG71" s="138" t="n">
        <f aca="false">-(BG70-BF70)</f>
        <v>-0</v>
      </c>
      <c r="BH71" s="138" t="n">
        <f aca="false">-(BH70-BG70)</f>
        <v>-0</v>
      </c>
      <c r="BI71" s="138" t="n">
        <f aca="false">-(BI70-BH70)</f>
        <v>-0</v>
      </c>
      <c r="BJ71" s="138" t="n">
        <f aca="false">-(BJ70-BI70)</f>
        <v>-0</v>
      </c>
      <c r="BK71" s="138" t="n">
        <f aca="false">-(BK70-BJ70)</f>
        <v>-0</v>
      </c>
      <c r="BL71" s="138" t="n">
        <f aca="false">-(BL70-BK70)</f>
        <v>-0</v>
      </c>
      <c r="BM71" s="138" t="n">
        <f aca="false">-(BM70-BL70)</f>
        <v>-0</v>
      </c>
      <c r="BN71" s="138" t="n">
        <f aca="false">-(BN70-BM70)</f>
        <v>-0</v>
      </c>
      <c r="BO71" s="138" t="n">
        <f aca="false">-(BO70-BN70)</f>
        <v>22371.9422908245</v>
      </c>
      <c r="BP71" s="138" t="n">
        <f aca="false">-(BP70-BO70)</f>
        <v>-22371.9422908245</v>
      </c>
      <c r="BQ71" s="138" t="n">
        <f aca="false">-(BQ70-BP70)</f>
        <v>-0</v>
      </c>
      <c r="BR71" s="138" t="n">
        <f aca="false">-(BR70-BQ70)</f>
        <v>-0</v>
      </c>
      <c r="BS71" s="138" t="n">
        <f aca="false">-(BS70-BR70)</f>
        <v>-0</v>
      </c>
      <c r="BT71" s="138" t="n">
        <f aca="false">-(BT70-BS70)</f>
        <v>-0</v>
      </c>
      <c r="BU71" s="138" t="n">
        <f aca="false">-(BU70-BT70)</f>
        <v>-0</v>
      </c>
      <c r="BV71" s="138" t="n">
        <f aca="false">-(BV70-BU70)</f>
        <v>-0</v>
      </c>
      <c r="BW71" s="138" t="n">
        <f aca="false">-(BW70-BV70)</f>
        <v>-0</v>
      </c>
      <c r="BX71" s="138" t="n">
        <f aca="false">-(BX70-BW70)</f>
        <v>-0</v>
      </c>
      <c r="BY71" s="138" t="n">
        <f aca="false">-(BY70-BX70)</f>
        <v>-0</v>
      </c>
      <c r="BZ71" s="138" t="n">
        <f aca="false">-(BZ70-BY70)</f>
        <v>-0</v>
      </c>
      <c r="CA71" s="138" t="n">
        <f aca="false">-(CA70-BZ70)</f>
        <v>22371.9422908245</v>
      </c>
      <c r="CB71" s="138" t="n">
        <f aca="false">-(CB70-CA70)</f>
        <v>-22371.9422908245</v>
      </c>
      <c r="CC71" s="138" t="n">
        <f aca="false">-(CC70-CB70)</f>
        <v>-0</v>
      </c>
      <c r="CD71" s="138" t="n">
        <f aca="false">-(CD70-CC70)</f>
        <v>-0</v>
      </c>
      <c r="CE71" s="138" t="n">
        <f aca="false">-(CE70-CD70)</f>
        <v>-0</v>
      </c>
      <c r="CF71" s="138" t="n">
        <f aca="false">-(CF70-CE70)</f>
        <v>-0</v>
      </c>
      <c r="CG71" s="138" t="n">
        <f aca="false">-(CG70-CF70)</f>
        <v>-0</v>
      </c>
      <c r="CH71" s="138" t="n">
        <f aca="false">-(CH70-CG70)</f>
        <v>-0</v>
      </c>
    </row>
    <row r="72" customFormat="false" ht="13.5" hidden="false" customHeight="true" outlineLevel="0" collapsed="false">
      <c r="A72" s="13" t="s">
        <v>750</v>
      </c>
      <c r="C72" s="138" t="n">
        <f aca="false">-CAPEX!$F$22*CAPEX!$C$29-CAPEX!$F$50</f>
        <v>-35912</v>
      </c>
      <c r="D72" s="138" t="n">
        <f aca="false">-CAPEX!$F$22*CAPEX!$D$29</f>
        <v>-14425.6</v>
      </c>
      <c r="E72" s="138" t="n">
        <f aca="false">-CAPEX!$F$22*CAPEX!$E$29</f>
        <v>-10304</v>
      </c>
      <c r="F72" s="138" t="n">
        <f aca="false">-CAPEX!$F$22*CAPEX!$F$29</f>
        <v>-9273.6</v>
      </c>
      <c r="G72" s="138" t="n">
        <f aca="false">-CAPEX!$F$22*CAPEX!$G$29</f>
        <v>-8243.2</v>
      </c>
      <c r="H72" s="138" t="n">
        <f aca="false">-CAPEX!$F$22*CAPEX!$H$29</f>
        <v>-7212.8</v>
      </c>
      <c r="I72" s="138" t="n">
        <f aca="false">-CAPEX!$F$22*CAPEX!$I$29</f>
        <v>-6182.4</v>
      </c>
      <c r="J72" s="138" t="n">
        <f aca="false">-CAPEX!$F$22*CAPEX!$J$29</f>
        <v>-5152</v>
      </c>
      <c r="K72" s="138" t="n">
        <f aca="false">-CAPEX!$F$22*CAPEX!$K$29</f>
        <v>-4121.6</v>
      </c>
      <c r="L72" s="138" t="n">
        <f aca="false">-CAPEX!$F$22*CAPEX!$L$29</f>
        <v>-3091.2</v>
      </c>
      <c r="M72" s="138" t="n">
        <f aca="false">-CAPEX!$F$22*CAPEX!$M$29</f>
        <v>-2060.8</v>
      </c>
      <c r="N72" s="138" t="n">
        <f aca="false">-CAPEX!$F$22*CAPEX!$N$29</f>
        <v>-2060.8</v>
      </c>
      <c r="O72" s="138" t="n">
        <f aca="false">0</f>
        <v>0</v>
      </c>
      <c r="P72" s="138" t="n">
        <f aca="false">0</f>
        <v>0</v>
      </c>
      <c r="Q72" s="138" t="n">
        <f aca="false">0</f>
        <v>0</v>
      </c>
      <c r="R72" s="138" t="n">
        <f aca="false">0</f>
        <v>0</v>
      </c>
      <c r="S72" s="138" t="n">
        <f aca="false">0</f>
        <v>0</v>
      </c>
      <c r="T72" s="138" t="n">
        <f aca="false">0</f>
        <v>0</v>
      </c>
      <c r="U72" s="138" t="n">
        <f aca="false">0</f>
        <v>0</v>
      </c>
      <c r="V72" s="138" t="n">
        <f aca="false">0</f>
        <v>0</v>
      </c>
      <c r="W72" s="138" t="n">
        <f aca="false">0</f>
        <v>0</v>
      </c>
      <c r="X72" s="138" t="n">
        <f aca="false">0</f>
        <v>0</v>
      </c>
      <c r="Y72" s="138" t="n">
        <f aca="false">0</f>
        <v>0</v>
      </c>
      <c r="Z72" s="138" t="n">
        <f aca="false">0</f>
        <v>0</v>
      </c>
      <c r="AA72" s="138" t="n">
        <f aca="false">0</f>
        <v>0</v>
      </c>
      <c r="AB72" s="138" t="n">
        <f aca="false">0</f>
        <v>0</v>
      </c>
      <c r="AC72" s="138" t="n">
        <f aca="false">0</f>
        <v>0</v>
      </c>
      <c r="AD72" s="138" t="n">
        <f aca="false">0</f>
        <v>0</v>
      </c>
      <c r="AE72" s="138" t="n">
        <f aca="false">0</f>
        <v>0</v>
      </c>
      <c r="AF72" s="138" t="n">
        <f aca="false">0</f>
        <v>0</v>
      </c>
      <c r="AG72" s="138" t="n">
        <f aca="false">0</f>
        <v>0</v>
      </c>
      <c r="AH72" s="138" t="n">
        <f aca="false">0</f>
        <v>0</v>
      </c>
      <c r="AI72" s="138" t="n">
        <f aca="false">0</f>
        <v>0</v>
      </c>
      <c r="AJ72" s="138" t="n">
        <f aca="false">0</f>
        <v>0</v>
      </c>
      <c r="AK72" s="138" t="n">
        <f aca="false">0</f>
        <v>0</v>
      </c>
      <c r="AL72" s="138" t="n">
        <f aca="false">0</f>
        <v>0</v>
      </c>
      <c r="AM72" s="138" t="n">
        <f aca="false">0</f>
        <v>0</v>
      </c>
      <c r="AN72" s="138" t="n">
        <f aca="false">0</f>
        <v>0</v>
      </c>
      <c r="AO72" s="138" t="n">
        <f aca="false">0</f>
        <v>0</v>
      </c>
      <c r="AP72" s="138" t="n">
        <f aca="false">0</f>
        <v>0</v>
      </c>
      <c r="AQ72" s="138" t="n">
        <f aca="false">0</f>
        <v>0</v>
      </c>
      <c r="AR72" s="138" t="n">
        <f aca="false">0</f>
        <v>0</v>
      </c>
      <c r="AS72" s="138" t="n">
        <f aca="false">0</f>
        <v>0</v>
      </c>
      <c r="AT72" s="138" t="n">
        <f aca="false">0</f>
        <v>0</v>
      </c>
      <c r="AU72" s="138" t="n">
        <f aca="false">0</f>
        <v>0</v>
      </c>
      <c r="AV72" s="138" t="n">
        <f aca="false">0</f>
        <v>0</v>
      </c>
      <c r="AW72" s="138" t="n">
        <f aca="false">0</f>
        <v>0</v>
      </c>
      <c r="AX72" s="138" t="n">
        <f aca="false">0</f>
        <v>0</v>
      </c>
      <c r="AY72" s="138" t="n">
        <f aca="false">0</f>
        <v>0</v>
      </c>
      <c r="AZ72" s="138" t="n">
        <f aca="false">0</f>
        <v>0</v>
      </c>
      <c r="BA72" s="138" t="n">
        <f aca="false">0</f>
        <v>0</v>
      </c>
      <c r="BB72" s="138" t="n">
        <f aca="false">0</f>
        <v>0</v>
      </c>
      <c r="BC72" s="138" t="n">
        <f aca="false">0</f>
        <v>0</v>
      </c>
      <c r="BD72" s="138" t="n">
        <f aca="false">0</f>
        <v>0</v>
      </c>
      <c r="BE72" s="138" t="n">
        <f aca="false">0</f>
        <v>0</v>
      </c>
      <c r="BF72" s="138" t="n">
        <f aca="false">0</f>
        <v>0</v>
      </c>
      <c r="BG72" s="138" t="n">
        <f aca="false">0</f>
        <v>0</v>
      </c>
      <c r="BH72" s="138" t="n">
        <f aca="false">0</f>
        <v>0</v>
      </c>
      <c r="BI72" s="138" t="n">
        <f aca="false">0</f>
        <v>0</v>
      </c>
      <c r="BJ72" s="138" t="n">
        <f aca="false">0</f>
        <v>0</v>
      </c>
      <c r="BK72" s="138" t="n">
        <f aca="false">0</f>
        <v>0</v>
      </c>
      <c r="BL72" s="138" t="n">
        <f aca="false">0</f>
        <v>0</v>
      </c>
      <c r="BM72" s="138" t="n">
        <f aca="false">0</f>
        <v>0</v>
      </c>
      <c r="BN72" s="138" t="n">
        <f aca="false">0</f>
        <v>0</v>
      </c>
      <c r="BO72" s="138" t="n">
        <f aca="false">0</f>
        <v>0</v>
      </c>
      <c r="BP72" s="138" t="n">
        <f aca="false">0</f>
        <v>0</v>
      </c>
      <c r="BQ72" s="138" t="n">
        <f aca="false">0</f>
        <v>0</v>
      </c>
      <c r="BR72" s="138" t="n">
        <f aca="false">0</f>
        <v>0</v>
      </c>
      <c r="BS72" s="138" t="n">
        <f aca="false">0</f>
        <v>0</v>
      </c>
      <c r="BT72" s="138" t="n">
        <f aca="false">0</f>
        <v>0</v>
      </c>
      <c r="BU72" s="138" t="n">
        <f aca="false">0</f>
        <v>0</v>
      </c>
      <c r="BV72" s="138" t="n">
        <f aca="false">0</f>
        <v>0</v>
      </c>
      <c r="BW72" s="138" t="n">
        <f aca="false">0</f>
        <v>0</v>
      </c>
      <c r="BX72" s="138" t="n">
        <f aca="false">0</f>
        <v>0</v>
      </c>
      <c r="BY72" s="138" t="n">
        <f aca="false">0</f>
        <v>0</v>
      </c>
      <c r="BZ72" s="138" t="n">
        <f aca="false">0</f>
        <v>0</v>
      </c>
      <c r="CA72" s="138" t="n">
        <f aca="false">0</f>
        <v>0</v>
      </c>
      <c r="CB72" s="138" t="n">
        <f aca="false">0</f>
        <v>0</v>
      </c>
      <c r="CC72" s="138" t="n">
        <f aca="false">0</f>
        <v>0</v>
      </c>
      <c r="CD72" s="138" t="n">
        <f aca="false">0</f>
        <v>0</v>
      </c>
      <c r="CE72" s="138" t="n">
        <f aca="false">0</f>
        <v>0</v>
      </c>
      <c r="CF72" s="138" t="n">
        <f aca="false">0</f>
        <v>0</v>
      </c>
      <c r="CG72" s="138" t="n">
        <f aca="false">0</f>
        <v>0</v>
      </c>
      <c r="CH72" s="138" t="n">
        <f aca="false">0</f>
        <v>0</v>
      </c>
    </row>
    <row r="73" customFormat="false" ht="13.5" hidden="false" customHeight="true" outlineLevel="0" collapsed="false">
      <c r="A73" s="13" t="s">
        <v>751</v>
      </c>
      <c r="C73" s="138" t="n">
        <f aca="false">-C36*Hipótesis!$D$68</f>
        <v>-46.4437574675676</v>
      </c>
      <c r="D73" s="138" t="n">
        <f aca="false">-D36*Hipótesis!$D$68</f>
        <v>-94.4535149351351</v>
      </c>
      <c r="E73" s="138" t="n">
        <f aca="false">-E36*Hipótesis!$D$68</f>
        <v>-166.497022402703</v>
      </c>
      <c r="F73" s="138" t="n">
        <f aca="false">-F36*Hipótesis!$D$68</f>
        <v>-217.87802987027</v>
      </c>
      <c r="G73" s="138" t="n">
        <f aca="false">-G36*Hipótesis!$D$68</f>
        <v>-158.122693100676</v>
      </c>
      <c r="H73" s="138" t="n">
        <f aca="false">-H36*Hipótesis!$D$68</f>
        <v>-331.863044805405</v>
      </c>
      <c r="I73" s="138" t="n">
        <f aca="false">-I36*Hipótesis!$D$68</f>
        <v>-398.324074913513</v>
      </c>
      <c r="J73" s="138" t="n">
        <f aca="false">-J36*Hipótesis!$D$68</f>
        <v>-506.023512551351</v>
      </c>
      <c r="K73" s="138" t="n">
        <f aca="false">-K36*Hipótesis!$D$68</f>
        <v>-613.722950189189</v>
      </c>
      <c r="L73" s="138" t="n">
        <f aca="false">-L36*Hipótesis!$D$68</f>
        <v>-721.422387827027</v>
      </c>
      <c r="M73" s="138" t="n">
        <f aca="false">-M36*Hipótesis!$D$68</f>
        <v>-805.088075464865</v>
      </c>
      <c r="N73" s="138" t="n">
        <f aca="false">-N36*Hipótesis!$D$68</f>
        <v>-908.328763102703</v>
      </c>
      <c r="O73" s="138" t="n">
        <f aca="false">-O36*Hipótesis!$D$68</f>
        <v>-1011.56945074054</v>
      </c>
      <c r="P73" s="138" t="n">
        <f aca="false">-P36*Hipótesis!$D$68</f>
        <v>-1107.76313837838</v>
      </c>
      <c r="Q73" s="138" t="n">
        <f aca="false">-Q36*Hipótesis!$D$68</f>
        <v>-1203.95682601622</v>
      </c>
      <c r="R73" s="138" t="n">
        <f aca="false">-R36*Hipótesis!$D$68</f>
        <v>-1300.15051365405</v>
      </c>
      <c r="S73" s="138" t="n">
        <f aca="false">-S36*Hipótesis!$D$68</f>
        <v>-1023.80503088554</v>
      </c>
      <c r="T73" s="138" t="n">
        <f aca="false">-T36*Hipótesis!$D$68</f>
        <v>-1492.53788892973</v>
      </c>
      <c r="U73" s="138" t="n">
        <f aca="false">-U36*Hipótesis!$D$68</f>
        <v>-1588.73157656757</v>
      </c>
      <c r="V73" s="138" t="n">
        <f aca="false">-V36*Hipótesis!$D$68</f>
        <v>-1684.92526420541</v>
      </c>
      <c r="W73" s="138" t="n">
        <f aca="false">-W36*Hipótesis!$D$68</f>
        <v>-1781.11895184324</v>
      </c>
      <c r="X73" s="138" t="n">
        <f aca="false">-X36*Hipótesis!$D$68</f>
        <v>-1857.73763948108</v>
      </c>
      <c r="Y73" s="138" t="n">
        <f aca="false">-Y36*Hipótesis!$D$68</f>
        <v>-1934.35632711892</v>
      </c>
      <c r="Z73" s="138" t="n">
        <f aca="false">-Z36*Hipótesis!$D$68</f>
        <v>-2003.66701475676</v>
      </c>
      <c r="AA73" s="138" t="n">
        <f aca="false">-AA36*Hipótesis!$D$68</f>
        <v>-2054.06951284865</v>
      </c>
      <c r="AB73" s="138" t="n">
        <f aca="false">-AB36*Hipótesis!$D$68</f>
        <v>-2104.47201094054</v>
      </c>
      <c r="AC73" s="138" t="n">
        <f aca="false">-AC36*Hipótesis!$D$68</f>
        <v>-2154.87450903243</v>
      </c>
      <c r="AD73" s="138" t="n">
        <f aca="false">-AD36*Hipótesis!$D$68</f>
        <v>-2205.27700712432</v>
      </c>
      <c r="AE73" s="138" t="n">
        <f aca="false">-AE36*Hipótesis!$D$68</f>
        <v>-1729.74185287784</v>
      </c>
      <c r="AF73" s="138" t="n">
        <f aca="false">-AF36*Hipótesis!$D$68</f>
        <v>-2306.08200330811</v>
      </c>
      <c r="AG73" s="138" t="n">
        <f aca="false">-AG36*Hipótesis!$D$68</f>
        <v>-2356.4845014</v>
      </c>
      <c r="AH73" s="138" t="n">
        <f aca="false">-AH36*Hipótesis!$D$68</f>
        <v>-2406.88699949189</v>
      </c>
      <c r="AI73" s="138" t="n">
        <f aca="false">-AI36*Hipótesis!$D$68</f>
        <v>-2457.28949758378</v>
      </c>
      <c r="AJ73" s="138" t="n">
        <f aca="false">-AJ36*Hipótesis!$D$68</f>
        <v>-2507.69199567568</v>
      </c>
      <c r="AK73" s="138" t="n">
        <f aca="false">-AK36*Hipótesis!$D$68</f>
        <v>-2558.09449376757</v>
      </c>
      <c r="AL73" s="138" t="n">
        <f aca="false">-AL36*Hipótesis!$D$68</f>
        <v>-2608.49699185946</v>
      </c>
      <c r="AM73" s="138" t="n">
        <f aca="false">-AM36*Hipótesis!$D$68</f>
        <v>-2658.89948995135</v>
      </c>
      <c r="AN73" s="138" t="n">
        <f aca="false">-AN36*Hipótesis!$D$68</f>
        <v>-2709.30198804324</v>
      </c>
      <c r="AO73" s="138" t="n">
        <f aca="false">-AO36*Hipótesis!$D$68</f>
        <v>-2759.70448613514</v>
      </c>
      <c r="AP73" s="138" t="n">
        <f aca="false">-AP36*Hipótesis!$D$68</f>
        <v>-2810.10698422703</v>
      </c>
      <c r="AQ73" s="138" t="n">
        <f aca="false">-AQ36*Hipótesis!$D$68</f>
        <v>-2334.57182998054</v>
      </c>
      <c r="AR73" s="138" t="n">
        <f aca="false">-AR36*Hipótesis!$D$68</f>
        <v>-2910.91198041081</v>
      </c>
      <c r="AS73" s="138" t="n">
        <f aca="false">-AS36*Hipótesis!$D$68</f>
        <v>-2910.91198041081</v>
      </c>
      <c r="AT73" s="138" t="n">
        <f aca="false">-AT36*Hipótesis!$D$68</f>
        <v>-2910.91198041081</v>
      </c>
      <c r="AU73" s="138" t="n">
        <f aca="false">-AU36*Hipótesis!$D$68</f>
        <v>-2910.91198041081</v>
      </c>
      <c r="AV73" s="138" t="n">
        <f aca="false">-AV36*Hipótesis!$D$68</f>
        <v>-2910.91198041081</v>
      </c>
      <c r="AW73" s="138" t="n">
        <f aca="false">-AW36*Hipótesis!$D$68</f>
        <v>-2910.91198041081</v>
      </c>
      <c r="AX73" s="138" t="n">
        <f aca="false">-AX36*Hipótesis!$D$68</f>
        <v>-2910.91198041081</v>
      </c>
      <c r="AY73" s="138" t="n">
        <f aca="false">-AY36*Hipótesis!$D$68</f>
        <v>-2910.91198041081</v>
      </c>
      <c r="AZ73" s="138" t="n">
        <f aca="false">-AZ36*Hipótesis!$D$68</f>
        <v>-2910.91198041081</v>
      </c>
      <c r="BA73" s="138" t="n">
        <f aca="false">-BA36*Hipótesis!$D$68</f>
        <v>-2910.91198041081</v>
      </c>
      <c r="BB73" s="138" t="n">
        <f aca="false">-BB36*Hipótesis!$D$68</f>
        <v>-2910.91198041081</v>
      </c>
      <c r="BC73" s="138" t="n">
        <f aca="false">-BC36*Hipótesis!$D$68</f>
        <v>-2384.97432807243</v>
      </c>
      <c r="BD73" s="138" t="n">
        <f aca="false">-BD36*Hipótesis!$D$68</f>
        <v>-2910.91198041081</v>
      </c>
      <c r="BE73" s="138" t="n">
        <f aca="false">-BE36*Hipótesis!$D$68</f>
        <v>-2910.91198041081</v>
      </c>
      <c r="BF73" s="138" t="n">
        <f aca="false">-BF36*Hipótesis!$D$68</f>
        <v>-2910.91198041081</v>
      </c>
      <c r="BG73" s="138" t="n">
        <f aca="false">-BG36*Hipótesis!$D$68</f>
        <v>-2910.91198041081</v>
      </c>
      <c r="BH73" s="138" t="n">
        <f aca="false">-BH36*Hipótesis!$D$68</f>
        <v>-2910.91198041081</v>
      </c>
      <c r="BI73" s="138" t="n">
        <f aca="false">-BI36*Hipótesis!$D$68</f>
        <v>-2910.91198041081</v>
      </c>
      <c r="BJ73" s="138" t="n">
        <f aca="false">-BJ36*Hipótesis!$D$68</f>
        <v>-2910.91198041081</v>
      </c>
      <c r="BK73" s="138" t="n">
        <f aca="false">-BK36*Hipótesis!$D$68</f>
        <v>-2910.91198041081</v>
      </c>
      <c r="BL73" s="138" t="n">
        <f aca="false">-BL36*Hipótesis!$D$68</f>
        <v>-2910.91198041081</v>
      </c>
      <c r="BM73" s="138" t="n">
        <f aca="false">-BM36*Hipótesis!$D$68</f>
        <v>-2910.91198041081</v>
      </c>
      <c r="BN73" s="138" t="n">
        <f aca="false">-BN36*Hipótesis!$D$68</f>
        <v>-2910.91198041081</v>
      </c>
      <c r="BO73" s="138" t="n">
        <f aca="false">-BO36*Hipótesis!$D$68</f>
        <v>-2384.97432807243</v>
      </c>
      <c r="BP73" s="138" t="n">
        <f aca="false">-BP36*Hipótesis!$D$68</f>
        <v>-2910.91198041081</v>
      </c>
      <c r="BQ73" s="138" t="n">
        <f aca="false">-BQ36*Hipótesis!$D$68</f>
        <v>-2910.91198041081</v>
      </c>
      <c r="BR73" s="138" t="n">
        <f aca="false">-BR36*Hipótesis!$D$68</f>
        <v>-2910.91198041081</v>
      </c>
      <c r="BS73" s="138" t="n">
        <f aca="false">-BS36*Hipótesis!$D$68</f>
        <v>-2910.91198041081</v>
      </c>
      <c r="BT73" s="138" t="n">
        <f aca="false">-BT36*Hipótesis!$D$68</f>
        <v>-2910.91198041081</v>
      </c>
      <c r="BU73" s="138" t="n">
        <f aca="false">-BU36*Hipótesis!$D$68</f>
        <v>-2910.91198041081</v>
      </c>
      <c r="BV73" s="138" t="n">
        <f aca="false">-BV36*Hipótesis!$D$68</f>
        <v>-2910.91198041081</v>
      </c>
      <c r="BW73" s="138" t="n">
        <f aca="false">-BW36*Hipótesis!$D$68</f>
        <v>-2910.91198041081</v>
      </c>
      <c r="BX73" s="138" t="n">
        <f aca="false">-BX36*Hipótesis!$D$68</f>
        <v>-2910.91198041081</v>
      </c>
      <c r="BY73" s="138" t="n">
        <f aca="false">-BY36*Hipótesis!$D$68</f>
        <v>-2910.91198041081</v>
      </c>
      <c r="BZ73" s="138" t="n">
        <f aca="false">-BZ36*Hipótesis!$D$68</f>
        <v>-2910.91198041081</v>
      </c>
      <c r="CA73" s="138" t="n">
        <f aca="false">-CA36*Hipótesis!$D$68</f>
        <v>-2384.97432807243</v>
      </c>
      <c r="CB73" s="138" t="n">
        <f aca="false">-CB36*Hipótesis!$D$68</f>
        <v>-2910.91198041081</v>
      </c>
      <c r="CC73" s="138" t="n">
        <f aca="false">-CC36*Hipótesis!$D$68</f>
        <v>-2910.91198041081</v>
      </c>
      <c r="CD73" s="138" t="n">
        <f aca="false">-CD36*Hipótesis!$D$68</f>
        <v>-2910.91198041081</v>
      </c>
      <c r="CE73" s="138" t="n">
        <f aca="false">-CE36*Hipótesis!$D$68</f>
        <v>-2910.91198041081</v>
      </c>
      <c r="CF73" s="138" t="n">
        <f aca="false">-CF36*Hipótesis!$D$68</f>
        <v>-2910.91198041081</v>
      </c>
      <c r="CG73" s="138" t="n">
        <f aca="false">-CG36*Hipótesis!$D$68</f>
        <v>-2910.91198041081</v>
      </c>
      <c r="CH73" s="138" t="n">
        <f aca="false">-CH36*Hipótesis!$D$68</f>
        <v>-2910.91198041081</v>
      </c>
    </row>
    <row r="74" customFormat="false" ht="13.5" hidden="false" customHeight="true" outlineLevel="0" collapsed="false">
      <c r="A74" s="30" t="s">
        <v>752</v>
      </c>
      <c r="C74" s="138" t="n">
        <f aca="false">C66+C67+C71+C72+C73</f>
        <v>-53270.2490856181</v>
      </c>
      <c r="D74" s="138" t="n">
        <f aca="false">D66+D67+D71+D72+D73</f>
        <v>-29976.3690411459</v>
      </c>
      <c r="E74" s="138" t="n">
        <f aca="false">E66+E67+E71+E72+E73</f>
        <v>-23438.9055568077</v>
      </c>
      <c r="F74" s="138" t="n">
        <f aca="false">F66+F67+F71+F72+F73</f>
        <v>-20286.5313584892</v>
      </c>
      <c r="G74" s="138" t="n">
        <f aca="false">G66+G67+G71+G72+G73</f>
        <v>-17104.5927809474</v>
      </c>
      <c r="H74" s="138" t="n">
        <f aca="false">H66+H67+H71+H72+H73</f>
        <v>-18853.818759596</v>
      </c>
      <c r="I74" s="138" t="n">
        <f aca="false">I66+I67+I71+I72+I73</f>
        <v>-10833.5488574537</v>
      </c>
      <c r="J74" s="138" t="n">
        <f aca="false">J66+J67+J71+J72+J73</f>
        <v>-6431.95761476569</v>
      </c>
      <c r="K74" s="138" t="n">
        <f aca="false">K66+K67+K71+K72+K73</f>
        <v>-2180.2876986426</v>
      </c>
      <c r="L74" s="138" t="n">
        <f aca="false">L66+L67+L71+L72+L73</f>
        <v>1976.13075856936</v>
      </c>
      <c r="M74" s="138" t="n">
        <f aca="false">M66+M67+M71+M72+M73</f>
        <v>5656.9636522374</v>
      </c>
      <c r="N74" s="138" t="n">
        <f aca="false">N66+N67+N71+N72+N73</f>
        <v>8475.17822791213</v>
      </c>
      <c r="O74" s="138" t="n">
        <f aca="false">O66+O67+O71+O72+O73</f>
        <v>8996.27434313133</v>
      </c>
      <c r="P74" s="138" t="n">
        <f aca="false">P66+P67+P71+P72+P73</f>
        <v>9809.22394828256</v>
      </c>
      <c r="Q74" s="138" t="n">
        <f aca="false">Q66+Q67+Q71+Q72+Q73</f>
        <v>12539.5655017538</v>
      </c>
      <c r="R74" s="138" t="n">
        <f aca="false">R66+R67+R71+R72+R73</f>
        <v>15269.9070552251</v>
      </c>
      <c r="S74" s="138" t="n">
        <f aca="false">S66+S67+S71+S72+S73</f>
        <v>22059.5226962033</v>
      </c>
      <c r="T74" s="138" t="n">
        <f aca="false">T66+T67+T71+T72+T73</f>
        <v>4883.79770616704</v>
      </c>
      <c r="U74" s="138" t="n">
        <f aca="false">U66+U67+U71+U72+U73</f>
        <v>21489.375755639</v>
      </c>
      <c r="V74" s="138" t="n">
        <f aca="false">V66+V67+V71+V72+V73</f>
        <v>21900.2397091103</v>
      </c>
      <c r="W74" s="138" t="n">
        <f aca="false">W66+W67+W71+W72+W73</f>
        <v>24630.5812625816</v>
      </c>
      <c r="X74" s="138" t="n">
        <f aca="false">X66+X67+X71+X72+X73</f>
        <v>26973.1895701239</v>
      </c>
      <c r="Y74" s="138" t="n">
        <f aca="false">Y66+Y67+Y71+Y72+Y73</f>
        <v>29213.0101479627</v>
      </c>
      <c r="Z74" s="138" t="n">
        <f aca="false">Z66+Z67+Z71+Z72+Z73</f>
        <v>31307.8696105549</v>
      </c>
      <c r="AA74" s="138" t="n">
        <f aca="false">AA66+AA67+AA71+AA72+AA73</f>
        <v>32049.0317766755</v>
      </c>
      <c r="AB74" s="138" t="n">
        <f aca="false">AB66+AB67+AB71+AB72+AB73</f>
        <v>31501.8135146343</v>
      </c>
      <c r="AC74" s="138" t="n">
        <f aca="false">AC66+AC67+AC71+AC72+AC73</f>
        <v>32985.2978913932</v>
      </c>
      <c r="AD74" s="138" t="n">
        <f aca="false">AD66+AD67+AD71+AD72+AD73</f>
        <v>34468.7822681521</v>
      </c>
      <c r="AE74" s="138" t="n">
        <f aca="false">AE66+AE67+AE71+AE72+AE73</f>
        <v>41963.9947684501</v>
      </c>
      <c r="AF74" s="138" t="n">
        <f aca="false">AF66+AF67+AF71+AF72+AF73</f>
        <v>15063.8087308454</v>
      </c>
      <c r="AG74" s="138" t="n">
        <f aca="false">AG66+AG67+AG71+AG72+AG73</f>
        <v>38919.2353984287</v>
      </c>
      <c r="AH74" s="138" t="n">
        <f aca="false">AH66+AH67+AH71+AH72+AH73</f>
        <v>40402.7197751875</v>
      </c>
      <c r="AI74" s="138" t="n">
        <f aca="false">AI66+AI67+AI71+AI72+AI73</f>
        <v>41886.2041519464</v>
      </c>
      <c r="AJ74" s="138" t="n">
        <f aca="false">AJ66+AJ67+AJ71+AJ72+AJ73</f>
        <v>43369.6885287053</v>
      </c>
      <c r="AK74" s="138" t="n">
        <f aca="false">AK66+AK67+AK71+AK72+AK73</f>
        <v>44853.1729054642</v>
      </c>
      <c r="AL74" s="138" t="n">
        <f aca="false">AL66+AL67+AL71+AL72+AL73</f>
        <v>44305.954643423</v>
      </c>
      <c r="AM74" s="138" t="n">
        <f aca="false">AM66+AM67+AM71+AM72+AM73</f>
        <v>38545.8506297133</v>
      </c>
      <c r="AN74" s="138" t="n">
        <f aca="false">AN66+AN67+AN71+AN72+AN73</f>
        <v>39853.4546698536</v>
      </c>
      <c r="AO74" s="138" t="n">
        <f aca="false">AO66+AO67+AO71+AO72+AO73</f>
        <v>41161.0587099939</v>
      </c>
      <c r="AP74" s="138" t="n">
        <f aca="false">AP66+AP67+AP71+AP72+AP73</f>
        <v>42468.6627501342</v>
      </c>
      <c r="AQ74" s="138" t="n">
        <f aca="false">AQ66+AQ67+AQ71+AQ72+AQ73</f>
        <v>51728.0217348255</v>
      </c>
      <c r="AR74" s="138" t="n">
        <f aca="false">AR66+AR67+AR71+AR72+AR73</f>
        <v>22711.9285395904</v>
      </c>
      <c r="AS74" s="138" t="n">
        <f aca="false">AS66+AS67+AS71+AS72+AS73</f>
        <v>45564.6116518819</v>
      </c>
      <c r="AT74" s="138" t="n">
        <f aca="false">AT66+AT67+AT71+AT72+AT73</f>
        <v>45563.222762993</v>
      </c>
      <c r="AU74" s="138" t="n">
        <f aca="false">AU66+AU67+AU71+AU72+AU73</f>
        <v>45561.8338741041</v>
      </c>
      <c r="AV74" s="138" t="n">
        <f aca="false">AV66+AV67+AV71+AV72+AV73</f>
        <v>45560.4449852152</v>
      </c>
      <c r="AW74" s="138" t="n">
        <f aca="false">AW66+AW67+AW71+AW72+AW73</f>
        <v>45559.0560963263</v>
      </c>
      <c r="AX74" s="138" t="n">
        <f aca="false">AX66+AX67+AX71+AX72+AX73</f>
        <v>45557.6672074374</v>
      </c>
      <c r="AY74" s="138" t="n">
        <f aca="false">AY66+AY67+AY71+AY72+AY73</f>
        <v>43708.5385186117</v>
      </c>
      <c r="AZ74" s="138" t="n">
        <f aca="false">AZ66+AZ67+AZ71+AZ72+AZ73</f>
        <v>43707.1496297229</v>
      </c>
      <c r="BA74" s="138" t="n">
        <f aca="false">BA66+BA67+BA71+BA72+BA73</f>
        <v>43705.760740834</v>
      </c>
      <c r="BB74" s="138" t="n">
        <f aca="false">BB66+BB67+BB71+BB72+BB73</f>
        <v>43704.3718519451</v>
      </c>
      <c r="BC74" s="138" t="n">
        <f aca="false">BC66+BC67+BC71+BC72+BC73</f>
        <v>51654.7379076072</v>
      </c>
      <c r="BD74" s="138" t="n">
        <f aca="false">BD66+BD67+BD71+BD72+BD73</f>
        <v>21329.6517833428</v>
      </c>
      <c r="BE74" s="138" t="n">
        <f aca="false">BE66+BE67+BE71+BE72+BE73</f>
        <v>43700.2051852784</v>
      </c>
      <c r="BF74" s="138" t="n">
        <f aca="false">BF66+BF67+BF71+BF72+BF73</f>
        <v>43698.8162963895</v>
      </c>
      <c r="BG74" s="138" t="n">
        <f aca="false">BG66+BG67+BG71+BG72+BG73</f>
        <v>43697.4274075006</v>
      </c>
      <c r="BH74" s="138" t="n">
        <f aca="false">BH66+BH67+BH71+BH72+BH73</f>
        <v>43696.0385186117</v>
      </c>
      <c r="BI74" s="138" t="n">
        <f aca="false">BI66+BI67+BI71+BI72+BI73</f>
        <v>43694.6496297229</v>
      </c>
      <c r="BJ74" s="138" t="n">
        <f aca="false">BJ66+BJ67+BJ71+BJ72+BJ73</f>
        <v>43693.260740834</v>
      </c>
      <c r="BK74" s="138" t="n">
        <f aca="false">BK66+BK67+BK71+BK72+BK73</f>
        <v>41833.5468580102</v>
      </c>
      <c r="BL74" s="138" t="n">
        <f aca="false">BL66+BL67+BL71+BL72+BL73</f>
        <v>41832.1579691213</v>
      </c>
      <c r="BM74" s="138" t="n">
        <f aca="false">BM66+BM67+BM71+BM72+BM73</f>
        <v>41830.7690802324</v>
      </c>
      <c r="BN74" s="138" t="n">
        <f aca="false">BN66+BN67+BN71+BN72+BN73</f>
        <v>41829.3801913435</v>
      </c>
      <c r="BO74" s="138" t="n">
        <f aca="false">BO66+BO67+BO71+BO72+BO73</f>
        <v>49779.7462470056</v>
      </c>
      <c r="BP74" s="138" t="n">
        <f aca="false">BP66+BP67+BP71+BP72+BP73</f>
        <v>19454.6601227413</v>
      </c>
      <c r="BQ74" s="138" t="n">
        <f aca="false">BQ66+BQ67+BQ71+BQ72+BQ73</f>
        <v>41825.2135246768</v>
      </c>
      <c r="BR74" s="138" t="n">
        <f aca="false">BR66+BR67+BR71+BR72+BR73</f>
        <v>41823.824635788</v>
      </c>
      <c r="BS74" s="138" t="n">
        <f aca="false">BS66+BS67+BS71+BS72+BS73</f>
        <v>41822.4357468991</v>
      </c>
      <c r="BT74" s="138" t="n">
        <f aca="false">BT66+BT67+BT71+BT72+BT73</f>
        <v>41821.0468580102</v>
      </c>
      <c r="BU74" s="138" t="n">
        <f aca="false">BU66+BU67+BU71+BU72+BU73</f>
        <v>41819.6579691213</v>
      </c>
      <c r="BV74" s="138" t="n">
        <f aca="false">BV66+BV67+BV71+BV72+BV73</f>
        <v>41818.2690802324</v>
      </c>
      <c r="BW74" s="138" t="n">
        <f aca="false">BW66+BW67+BW71+BW72+BW73</f>
        <v>39947.6524475906</v>
      </c>
      <c r="BX74" s="138" t="n">
        <f aca="false">BX66+BX67+BX71+BX72+BX73</f>
        <v>39946.2635587017</v>
      </c>
      <c r="BY74" s="138" t="n">
        <f aca="false">BY66+BY67+BY71+BY72+BY73</f>
        <v>39944.8746698128</v>
      </c>
      <c r="BZ74" s="138" t="n">
        <f aca="false">BZ66+BZ67+BZ71+BZ72+BZ73</f>
        <v>39943.4857809239</v>
      </c>
      <c r="CA74" s="138" t="n">
        <f aca="false">CA66+CA67+CA71+CA72+CA73</f>
        <v>47893.851836586</v>
      </c>
      <c r="CB74" s="138" t="n">
        <f aca="false">CB66+CB67+CB71+CB72+CB73</f>
        <v>17568.7657123217</v>
      </c>
      <c r="CC74" s="138" t="n">
        <f aca="false">CC66+CC67+CC71+CC72+CC73</f>
        <v>39939.3191142572</v>
      </c>
      <c r="CD74" s="138" t="n">
        <f aca="false">CD66+CD67+CD71+CD72+CD73</f>
        <v>39937.9302253683</v>
      </c>
      <c r="CE74" s="138" t="n">
        <f aca="false">CE66+CE67+CE71+CE72+CE73</f>
        <v>39936.5413364795</v>
      </c>
      <c r="CF74" s="138" t="n">
        <f aca="false">CF66+CF67+CF71+CF72+CF73</f>
        <v>39935.1524475906</v>
      </c>
      <c r="CG74" s="138" t="n">
        <f aca="false">CG66+CG67+CG71+CG72+CG73</f>
        <v>39933.7635587017</v>
      </c>
      <c r="CH74" s="138" t="n">
        <f aca="false">CH66+CH67+CH71+CH72+CH73</f>
        <v>39932.3746698128</v>
      </c>
    </row>
    <row r="75" customFormat="false" ht="13.5" hidden="false" customHeight="true" outlineLevel="0" collapsed="false">
      <c r="A75" s="13" t="s">
        <v>753</v>
      </c>
      <c r="C75" s="138" t="n">
        <f aca="false">Hipótesis!$D$122</f>
        <v>200000</v>
      </c>
      <c r="D75" s="138" t="n">
        <f aca="false">0</f>
        <v>0</v>
      </c>
      <c r="E75" s="138" t="n">
        <f aca="false">0</f>
        <v>0</v>
      </c>
      <c r="F75" s="138" t="n">
        <f aca="false">0</f>
        <v>0</v>
      </c>
      <c r="G75" s="138" t="n">
        <f aca="false">0</f>
        <v>0</v>
      </c>
      <c r="H75" s="138" t="n">
        <f aca="false">0</f>
        <v>0</v>
      </c>
      <c r="I75" s="138" t="n">
        <f aca="false">0</f>
        <v>0</v>
      </c>
      <c r="J75" s="138" t="n">
        <f aca="false">0</f>
        <v>0</v>
      </c>
      <c r="K75" s="138" t="n">
        <f aca="false">0</f>
        <v>0</v>
      </c>
      <c r="L75" s="138" t="n">
        <f aca="false">0</f>
        <v>0</v>
      </c>
      <c r="M75" s="138" t="n">
        <f aca="false">0</f>
        <v>0</v>
      </c>
      <c r="N75" s="138" t="n">
        <f aca="false">0</f>
        <v>0</v>
      </c>
      <c r="O75" s="138" t="n">
        <f aca="false">0</f>
        <v>0</v>
      </c>
      <c r="P75" s="138" t="n">
        <f aca="false">0</f>
        <v>0</v>
      </c>
      <c r="Q75" s="138" t="n">
        <f aca="false">0</f>
        <v>0</v>
      </c>
      <c r="R75" s="138" t="n">
        <f aca="false">0</f>
        <v>0</v>
      </c>
      <c r="S75" s="138" t="n">
        <f aca="false">0</f>
        <v>0</v>
      </c>
      <c r="T75" s="138" t="n">
        <f aca="false">0</f>
        <v>0</v>
      </c>
      <c r="U75" s="138" t="n">
        <f aca="false">0</f>
        <v>0</v>
      </c>
      <c r="V75" s="138" t="n">
        <f aca="false">0</f>
        <v>0</v>
      </c>
      <c r="W75" s="138" t="n">
        <f aca="false">0</f>
        <v>0</v>
      </c>
      <c r="X75" s="138" t="n">
        <f aca="false">0</f>
        <v>0</v>
      </c>
      <c r="Y75" s="138" t="n">
        <f aca="false">0</f>
        <v>0</v>
      </c>
      <c r="Z75" s="138" t="n">
        <f aca="false">0</f>
        <v>0</v>
      </c>
      <c r="AA75" s="138" t="n">
        <f aca="false">0</f>
        <v>0</v>
      </c>
      <c r="AB75" s="138" t="n">
        <f aca="false">0</f>
        <v>0</v>
      </c>
      <c r="AC75" s="138" t="n">
        <f aca="false">0</f>
        <v>0</v>
      </c>
      <c r="AD75" s="138" t="n">
        <f aca="false">0</f>
        <v>0</v>
      </c>
      <c r="AE75" s="138" t="n">
        <f aca="false">0</f>
        <v>0</v>
      </c>
      <c r="AF75" s="138" t="n">
        <f aca="false">0</f>
        <v>0</v>
      </c>
      <c r="AG75" s="138" t="n">
        <f aca="false">0</f>
        <v>0</v>
      </c>
      <c r="AH75" s="138" t="n">
        <f aca="false">0</f>
        <v>0</v>
      </c>
      <c r="AI75" s="138" t="n">
        <f aca="false">0</f>
        <v>0</v>
      </c>
      <c r="AJ75" s="138" t="n">
        <f aca="false">0</f>
        <v>0</v>
      </c>
      <c r="AK75" s="138" t="n">
        <f aca="false">0</f>
        <v>0</v>
      </c>
      <c r="AL75" s="138" t="n">
        <f aca="false">0</f>
        <v>0</v>
      </c>
      <c r="AM75" s="138" t="n">
        <f aca="false">0</f>
        <v>0</v>
      </c>
      <c r="AN75" s="138" t="n">
        <f aca="false">0</f>
        <v>0</v>
      </c>
      <c r="AO75" s="138" t="n">
        <f aca="false">0</f>
        <v>0</v>
      </c>
      <c r="AP75" s="138" t="n">
        <f aca="false">0</f>
        <v>0</v>
      </c>
      <c r="AQ75" s="138" t="n">
        <f aca="false">0</f>
        <v>0</v>
      </c>
      <c r="AR75" s="138" t="n">
        <f aca="false">0</f>
        <v>0</v>
      </c>
      <c r="AS75" s="138" t="n">
        <f aca="false">0</f>
        <v>0</v>
      </c>
      <c r="AT75" s="138" t="n">
        <f aca="false">0</f>
        <v>0</v>
      </c>
      <c r="AU75" s="138" t="n">
        <f aca="false">0</f>
        <v>0</v>
      </c>
      <c r="AV75" s="138" t="n">
        <f aca="false">0</f>
        <v>0</v>
      </c>
      <c r="AW75" s="138" t="n">
        <f aca="false">0</f>
        <v>0</v>
      </c>
      <c r="AX75" s="138" t="n">
        <f aca="false">0</f>
        <v>0</v>
      </c>
      <c r="AY75" s="138" t="n">
        <f aca="false">0</f>
        <v>0</v>
      </c>
      <c r="AZ75" s="138" t="n">
        <f aca="false">0</f>
        <v>0</v>
      </c>
      <c r="BA75" s="138" t="n">
        <f aca="false">0</f>
        <v>0</v>
      </c>
      <c r="BB75" s="138" t="n">
        <f aca="false">0</f>
        <v>0</v>
      </c>
      <c r="BC75" s="138" t="n">
        <f aca="false">0</f>
        <v>0</v>
      </c>
      <c r="BD75" s="138" t="n">
        <f aca="false">0</f>
        <v>0</v>
      </c>
      <c r="BE75" s="138" t="n">
        <f aca="false">0</f>
        <v>0</v>
      </c>
      <c r="BF75" s="138" t="n">
        <f aca="false">0</f>
        <v>0</v>
      </c>
      <c r="BG75" s="138" t="n">
        <f aca="false">0</f>
        <v>0</v>
      </c>
      <c r="BH75" s="138" t="n">
        <f aca="false">0</f>
        <v>0</v>
      </c>
      <c r="BI75" s="138" t="n">
        <f aca="false">0</f>
        <v>0</v>
      </c>
      <c r="BJ75" s="138" t="n">
        <f aca="false">0</f>
        <v>0</v>
      </c>
      <c r="BK75" s="138" t="n">
        <f aca="false">0</f>
        <v>0</v>
      </c>
      <c r="BL75" s="138" t="n">
        <f aca="false">0</f>
        <v>0</v>
      </c>
      <c r="BM75" s="138" t="n">
        <f aca="false">0</f>
        <v>0</v>
      </c>
      <c r="BN75" s="138" t="n">
        <f aca="false">0</f>
        <v>0</v>
      </c>
      <c r="BO75" s="138" t="n">
        <f aca="false">0</f>
        <v>0</v>
      </c>
      <c r="BP75" s="138" t="n">
        <f aca="false">0</f>
        <v>0</v>
      </c>
      <c r="BQ75" s="138" t="n">
        <f aca="false">0</f>
        <v>0</v>
      </c>
      <c r="BR75" s="138" t="n">
        <f aca="false">0</f>
        <v>0</v>
      </c>
      <c r="BS75" s="138" t="n">
        <f aca="false">0</f>
        <v>0</v>
      </c>
      <c r="BT75" s="138" t="n">
        <f aca="false">0</f>
        <v>0</v>
      </c>
      <c r="BU75" s="138" t="n">
        <f aca="false">0</f>
        <v>0</v>
      </c>
      <c r="BV75" s="138" t="n">
        <f aca="false">0</f>
        <v>0</v>
      </c>
      <c r="BW75" s="138" t="n">
        <f aca="false">0</f>
        <v>0</v>
      </c>
      <c r="BX75" s="138" t="n">
        <f aca="false">0</f>
        <v>0</v>
      </c>
      <c r="BY75" s="138" t="n">
        <f aca="false">0</f>
        <v>0</v>
      </c>
      <c r="BZ75" s="138" t="n">
        <f aca="false">0</f>
        <v>0</v>
      </c>
      <c r="CA75" s="138" t="n">
        <f aca="false">0</f>
        <v>0</v>
      </c>
      <c r="CB75" s="138" t="n">
        <f aca="false">0</f>
        <v>0</v>
      </c>
      <c r="CC75" s="138" t="n">
        <f aca="false">0</f>
        <v>0</v>
      </c>
      <c r="CD75" s="138" t="n">
        <f aca="false">0</f>
        <v>0</v>
      </c>
      <c r="CE75" s="138" t="n">
        <f aca="false">0</f>
        <v>0</v>
      </c>
      <c r="CF75" s="138" t="n">
        <f aca="false">0</f>
        <v>0</v>
      </c>
      <c r="CG75" s="138" t="n">
        <f aca="false">0</f>
        <v>0</v>
      </c>
      <c r="CH75" s="138" t="n">
        <f aca="false">0</f>
        <v>0</v>
      </c>
    </row>
    <row r="76" customFormat="false" ht="13.5" hidden="false" customHeight="true" outlineLevel="0" collapsed="false">
      <c r="A76" s="13" t="s">
        <v>754</v>
      </c>
      <c r="C76" s="138" t="n">
        <f aca="false">-C106</f>
        <v>-333.333333333333</v>
      </c>
      <c r="D76" s="138" t="n">
        <f aca="false">-D106</f>
        <v>-333.333333333333</v>
      </c>
      <c r="E76" s="138" t="n">
        <f aca="false">-E106</f>
        <v>-333.333333333333</v>
      </c>
      <c r="F76" s="138" t="n">
        <f aca="false">-F106</f>
        <v>-333.333333333333</v>
      </c>
      <c r="G76" s="138" t="n">
        <f aca="false">-G106</f>
        <v>-333.333333333333</v>
      </c>
      <c r="H76" s="138" t="n">
        <f aca="false">-H106</f>
        <v>-333.333333333333</v>
      </c>
      <c r="I76" s="138" t="n">
        <f aca="false">-I106</f>
        <v>-333.333333333333</v>
      </c>
      <c r="J76" s="138" t="n">
        <f aca="false">-J106</f>
        <v>-354.201084663088</v>
      </c>
      <c r="K76" s="138" t="n">
        <f aca="false">-K106</f>
        <v>-429.929317539693</v>
      </c>
      <c r="L76" s="138" t="n">
        <f aca="false">-L106</f>
        <v>-505.657550416297</v>
      </c>
      <c r="M76" s="138" t="n">
        <f aca="false">-M106</f>
        <v>-564.652581933376</v>
      </c>
      <c r="N76" s="138" t="n">
        <f aca="false">-N106</f>
        <v>-635.596042136151</v>
      </c>
      <c r="O76" s="138" t="n">
        <f aca="false">-O106</f>
        <v>-601.995502338927</v>
      </c>
      <c r="P76" s="138" t="n">
        <f aca="false">-P106</f>
        <v>-622.000120544564</v>
      </c>
      <c r="Q76" s="138" t="n">
        <f aca="false">-Q106</f>
        <v>-688.231138750202</v>
      </c>
      <c r="R76" s="138" t="n">
        <f aca="false">-R106</f>
        <v>-754.462156955839</v>
      </c>
      <c r="S76" s="138" t="n">
        <f aca="false">-S106</f>
        <v>-535.580454436972</v>
      </c>
      <c r="T76" s="138" t="n">
        <f aca="false">-T106</f>
        <v>-886.924193367114</v>
      </c>
      <c r="U76" s="138" t="n">
        <f aca="false">-U106</f>
        <v>-906.928811572752</v>
      </c>
      <c r="V76" s="138" t="n">
        <f aca="false">-V106</f>
        <v>-918.775829778389</v>
      </c>
      <c r="W76" s="138" t="n">
        <f aca="false">-W106</f>
        <v>-985.006847984027</v>
      </c>
      <c r="X76" s="138" t="n">
        <f aca="false">-X106</f>
        <v>-1039.28943750397</v>
      </c>
      <c r="Y76" s="138" t="n">
        <f aca="false">-Y106</f>
        <v>-1093.57202702391</v>
      </c>
      <c r="Z76" s="138" t="n">
        <f aca="false">-Z106</f>
        <v>-1143.54504506957</v>
      </c>
      <c r="AA76" s="138" t="n">
        <f aca="false">-AA106</f>
        <v>-2804.56974160018</v>
      </c>
      <c r="AB76" s="138" t="n">
        <f aca="false">-AB106</f>
        <v>-2787.35514164019</v>
      </c>
      <c r="AC76" s="138" t="n">
        <f aca="false">-AC106</f>
        <v>-2817.75373368021</v>
      </c>
      <c r="AD76" s="138" t="n">
        <f aca="false">-AD106</f>
        <v>-2848.15232572023</v>
      </c>
      <c r="AE76" s="138" t="n">
        <f aca="false">-AE106</f>
        <v>-2482.62707673741</v>
      </c>
      <c r="AF76" s="138" t="n">
        <f aca="false">-AF106</f>
        <v>-2908.94950980026</v>
      </c>
      <c r="AG76" s="138" t="n">
        <f aca="false">-AG106</f>
        <v>-2939.34810184028</v>
      </c>
      <c r="AH76" s="138" t="n">
        <f aca="false">-AH106</f>
        <v>-2969.74669388029</v>
      </c>
      <c r="AI76" s="138" t="n">
        <f aca="false">-AI106</f>
        <v>-3000.14528592031</v>
      </c>
      <c r="AJ76" s="138" t="n">
        <f aca="false">-AJ106</f>
        <v>-3030.54387796033</v>
      </c>
      <c r="AK76" s="138" t="n">
        <f aca="false">-AK106</f>
        <v>-3060.94247000034</v>
      </c>
      <c r="AL76" s="138" t="n">
        <f aca="false">-AL106</f>
        <v>-3043.72787004036</v>
      </c>
      <c r="AM76" s="138" t="n">
        <f aca="false">-AM106</f>
        <v>-3025.45194784037</v>
      </c>
      <c r="AN76" s="138" t="n">
        <f aca="false">-AN106</f>
        <v>-3055.85053988039</v>
      </c>
      <c r="AO76" s="138" t="n">
        <f aca="false">-AO106</f>
        <v>-3086.24913192041</v>
      </c>
      <c r="AP76" s="138" t="n">
        <f aca="false">-AP106</f>
        <v>-3116.64772396042</v>
      </c>
      <c r="AQ76" s="138" t="n">
        <f aca="false">-AQ106</f>
        <v>-2751.12247497761</v>
      </c>
      <c r="AR76" s="138" t="n">
        <f aca="false">-AR106</f>
        <v>-3177.44490804046</v>
      </c>
      <c r="AS76" s="138" t="n">
        <f aca="false">-AS106</f>
        <v>-3171.8893524849</v>
      </c>
      <c r="AT76" s="138" t="n">
        <f aca="false">-AT106</f>
        <v>-3166.33379692935</v>
      </c>
      <c r="AU76" s="138" t="n">
        <f aca="false">-AU106</f>
        <v>-3160.77824137379</v>
      </c>
      <c r="AV76" s="138" t="n">
        <f aca="false">-AV106</f>
        <v>-3155.22268581824</v>
      </c>
      <c r="AW76" s="138" t="n">
        <f aca="false">-AW106</f>
        <v>-3149.66713026268</v>
      </c>
      <c r="AX76" s="138" t="n">
        <f aca="false">-AX106</f>
        <v>-3144.11157470712</v>
      </c>
      <c r="AY76" s="138" t="n">
        <f aca="false">-AY106</f>
        <v>-3089.60926948437</v>
      </c>
      <c r="AZ76" s="138" t="n">
        <f aca="false">-AZ106</f>
        <v>-3084.05371392881</v>
      </c>
      <c r="BA76" s="138" t="n">
        <f aca="false">-BA106</f>
        <v>-3078.49815837326</v>
      </c>
      <c r="BB76" s="138" t="n">
        <f aca="false">-BB106</f>
        <v>-3072.9426028177</v>
      </c>
      <c r="BC76" s="138" t="n">
        <f aca="false">-BC106</f>
        <v>-2671.46320623932</v>
      </c>
      <c r="BD76" s="138" t="n">
        <f aca="false">-BD106</f>
        <v>-3061.83149170659</v>
      </c>
      <c r="BE76" s="138" t="n">
        <f aca="false">-BE106</f>
        <v>-3056.27593615103</v>
      </c>
      <c r="BF76" s="138" t="n">
        <f aca="false">-BF106</f>
        <v>-3050.72038059548</v>
      </c>
      <c r="BG76" s="138" t="n">
        <f aca="false">-BG106</f>
        <v>-3045.16482503992</v>
      </c>
      <c r="BH76" s="138" t="n">
        <f aca="false">-BH106</f>
        <v>-3039.60926948437</v>
      </c>
      <c r="BI76" s="138" t="n">
        <f aca="false">-BI106</f>
        <v>-3034.05371392881</v>
      </c>
      <c r="BJ76" s="138" t="n">
        <f aca="false">-BJ106</f>
        <v>-3028.49815837326</v>
      </c>
      <c r="BK76" s="138" t="n">
        <f aca="false">-BK106</f>
        <v>-2973.71545066048</v>
      </c>
      <c r="BL76" s="138" t="n">
        <f aca="false">-BL106</f>
        <v>-2968.15989510493</v>
      </c>
      <c r="BM76" s="138" t="n">
        <f aca="false">-BM106</f>
        <v>-2962.60433954937</v>
      </c>
      <c r="BN76" s="138" t="n">
        <f aca="false">-BN106</f>
        <v>-2957.04878399382</v>
      </c>
      <c r="BO76" s="138" t="n">
        <f aca="false">-BO106</f>
        <v>-2555.56938741543</v>
      </c>
      <c r="BP76" s="138" t="n">
        <f aca="false">-BP106</f>
        <v>-2945.93767288271</v>
      </c>
      <c r="BQ76" s="138" t="n">
        <f aca="false">-BQ106</f>
        <v>-2940.38211732715</v>
      </c>
      <c r="BR76" s="138" t="n">
        <f aca="false">-BR106</f>
        <v>-2934.8265617716</v>
      </c>
      <c r="BS76" s="138" t="n">
        <f aca="false">-BS106</f>
        <v>-2929.27100621604</v>
      </c>
      <c r="BT76" s="138" t="n">
        <f aca="false">-BT106</f>
        <v>-2923.71545066049</v>
      </c>
      <c r="BU76" s="138" t="n">
        <f aca="false">-BU106</f>
        <v>-2918.15989510493</v>
      </c>
      <c r="BV76" s="138" t="n">
        <f aca="false">-BV106</f>
        <v>-2912.60433954937</v>
      </c>
      <c r="BW76" s="138" t="n">
        <f aca="false">-BW106</f>
        <v>-2857.53281727189</v>
      </c>
      <c r="BX76" s="138" t="n">
        <f aca="false">-BX106</f>
        <v>-2851.97726171633</v>
      </c>
      <c r="BY76" s="138" t="n">
        <f aca="false">-BY106</f>
        <v>-2846.42170616078</v>
      </c>
      <c r="BZ76" s="138" t="n">
        <f aca="false">-BZ106</f>
        <v>-2840.86615060522</v>
      </c>
      <c r="CA76" s="138" t="n">
        <f aca="false">-CA106</f>
        <v>-2439.38675402683</v>
      </c>
      <c r="CB76" s="138" t="n">
        <f aca="false">-CB106</f>
        <v>-2829.75503949411</v>
      </c>
      <c r="CC76" s="138" t="n">
        <f aca="false">-CC106</f>
        <v>-2824.19948393855</v>
      </c>
      <c r="CD76" s="138" t="n">
        <f aca="false">-CD106</f>
        <v>-2818.643928383</v>
      </c>
      <c r="CE76" s="138" t="n">
        <f aca="false">-CE106</f>
        <v>-2813.08837282744</v>
      </c>
      <c r="CF76" s="138" t="n">
        <f aca="false">-CF106</f>
        <v>-2807.53281727189</v>
      </c>
      <c r="CG76" s="138" t="n">
        <f aca="false">-CG106</f>
        <v>-2801.97726171633</v>
      </c>
      <c r="CH76" s="138" t="n">
        <f aca="false">-CH106</f>
        <v>-2796.42170616072</v>
      </c>
    </row>
    <row r="77" customFormat="false" ht="13.5" hidden="false" customHeight="true" outlineLevel="0" collapsed="false">
      <c r="A77" s="13" t="s">
        <v>755</v>
      </c>
      <c r="C77" s="138" t="n">
        <f aca="false">0</f>
        <v>0</v>
      </c>
      <c r="D77" s="138" t="n">
        <f aca="false">C81*Hipótesis!$D$71/12</f>
        <v>-0</v>
      </c>
      <c r="E77" s="138" t="n">
        <f aca="false">D81*Hipótesis!$D$71/12</f>
        <v>0</v>
      </c>
      <c r="F77" s="138" t="n">
        <f aca="false">E81*Hipótesis!$D$71/12</f>
        <v>0</v>
      </c>
      <c r="G77" s="138" t="n">
        <f aca="false">F81*Hipótesis!$D$71/12</f>
        <v>0</v>
      </c>
      <c r="H77" s="138" t="n">
        <f aca="false">G81*Hipótesis!$D$71/12</f>
        <v>0</v>
      </c>
      <c r="I77" s="138" t="n">
        <f aca="false">H81*Hipótesis!$D$71/12</f>
        <v>0</v>
      </c>
      <c r="J77" s="138" t="n">
        <f aca="false">I81*Hipótesis!$D$71/12</f>
        <v>27.9461818780437</v>
      </c>
      <c r="K77" s="138" t="n">
        <f aca="false">J81*Hipótesis!$D$71/12</f>
        <v>59.1774959173666</v>
      </c>
      <c r="L77" s="138" t="n">
        <f aca="false">K81*Hipótesis!$D$71/12</f>
        <v>71.4122207644901</v>
      </c>
      <c r="M77" s="138" t="n">
        <f aca="false">L81*Hipótesis!$D$71/12</f>
        <v>64.9998579056258</v>
      </c>
      <c r="N77" s="138" t="n">
        <f aca="false">M81*Hipótesis!$D$71/12</f>
        <v>41.9580148487998</v>
      </c>
      <c r="O77" s="138" t="n">
        <f aca="false">N81*Hipótesis!$D$71/12</f>
        <v>6.21890406538355</v>
      </c>
      <c r="P77" s="138" t="n">
        <f aca="false">O81*Hipótesis!$D$71/12</f>
        <v>0</v>
      </c>
      <c r="Q77" s="138" t="n">
        <f aca="false">P81*Hipótesis!$D$71/12</f>
        <v>0</v>
      </c>
      <c r="R77" s="138" t="n">
        <f aca="false">Q81*Hipótesis!$D$71/12</f>
        <v>0</v>
      </c>
      <c r="S77" s="138" t="n">
        <f aca="false">R81*Hipótesis!$D$71/12</f>
        <v>0</v>
      </c>
      <c r="T77" s="138" t="n">
        <f aca="false">S81*Hipótesis!$D$71/12</f>
        <v>0</v>
      </c>
      <c r="U77" s="138" t="n">
        <f aca="false">T81*Hipótesis!$D$71/12</f>
        <v>0</v>
      </c>
      <c r="V77" s="138" t="n">
        <f aca="false">U81*Hipótesis!$D$71/12</f>
        <v>0</v>
      </c>
      <c r="W77" s="138" t="n">
        <f aca="false">V81*Hipótesis!$D$71/12</f>
        <v>0</v>
      </c>
      <c r="X77" s="138" t="n">
        <f aca="false">W81*Hipótesis!$D$71/12</f>
        <v>0</v>
      </c>
      <c r="Y77" s="138" t="n">
        <f aca="false">X81*Hipótesis!$D$71/12</f>
        <v>0</v>
      </c>
      <c r="Z77" s="138" t="n">
        <f aca="false">Y81*Hipótesis!$D$71/12</f>
        <v>0</v>
      </c>
      <c r="AA77" s="138" t="n">
        <f aca="false">Z81*Hipótesis!$D$71/12</f>
        <v>0</v>
      </c>
      <c r="AB77" s="138" t="n">
        <f aca="false">AA81*Hipótesis!$D$71/12</f>
        <v>0</v>
      </c>
      <c r="AC77" s="138" t="n">
        <f aca="false">AB81*Hipótesis!$D$71/12</f>
        <v>0</v>
      </c>
      <c r="AD77" s="138" t="n">
        <f aca="false">AC81*Hipótesis!$D$71/12</f>
        <v>0</v>
      </c>
      <c r="AE77" s="138" t="n">
        <f aca="false">AD81*Hipótesis!$D$71/12</f>
        <v>0</v>
      </c>
      <c r="AF77" s="138" t="n">
        <f aca="false">AE81*Hipótesis!$D$71/12</f>
        <v>0</v>
      </c>
      <c r="AG77" s="138" t="n">
        <f aca="false">AF81*Hipótesis!$D$71/12</f>
        <v>0</v>
      </c>
      <c r="AH77" s="138" t="n">
        <f aca="false">AG81*Hipótesis!$D$71/12</f>
        <v>0</v>
      </c>
      <c r="AI77" s="138" t="n">
        <f aca="false">AH81*Hipótesis!$D$71/12</f>
        <v>0</v>
      </c>
      <c r="AJ77" s="138" t="n">
        <f aca="false">AI81*Hipótesis!$D$71/12</f>
        <v>0</v>
      </c>
      <c r="AK77" s="138" t="n">
        <f aca="false">AJ81*Hipótesis!$D$71/12</f>
        <v>0</v>
      </c>
      <c r="AL77" s="138" t="n">
        <f aca="false">AK81*Hipótesis!$D$71/12</f>
        <v>0</v>
      </c>
      <c r="AM77" s="138" t="n">
        <f aca="false">AL81*Hipótesis!$D$71/12</f>
        <v>0</v>
      </c>
      <c r="AN77" s="138" t="n">
        <f aca="false">AM81*Hipótesis!$D$71/12</f>
        <v>0</v>
      </c>
      <c r="AO77" s="138" t="n">
        <f aca="false">AN81*Hipótesis!$D$71/12</f>
        <v>0</v>
      </c>
      <c r="AP77" s="138" t="n">
        <f aca="false">AO81*Hipótesis!$D$71/12</f>
        <v>0</v>
      </c>
      <c r="AQ77" s="138" t="n">
        <f aca="false">AP81*Hipótesis!$D$71/12</f>
        <v>0</v>
      </c>
      <c r="AR77" s="138" t="n">
        <f aca="false">AQ81*Hipótesis!$D$71/12</f>
        <v>0</v>
      </c>
      <c r="AS77" s="138" t="n">
        <f aca="false">AR81*Hipótesis!$D$71/12</f>
        <v>0</v>
      </c>
      <c r="AT77" s="138" t="n">
        <f aca="false">AS81*Hipótesis!$D$71/12</f>
        <v>0</v>
      </c>
      <c r="AU77" s="138" t="n">
        <f aca="false">AT81*Hipótesis!$D$71/12</f>
        <v>0</v>
      </c>
      <c r="AV77" s="138" t="n">
        <f aca="false">AU81*Hipótesis!$D$71/12</f>
        <v>0</v>
      </c>
      <c r="AW77" s="138" t="n">
        <f aca="false">AV81*Hipótesis!$D$71/12</f>
        <v>0</v>
      </c>
      <c r="AX77" s="138" t="n">
        <f aca="false">AW81*Hipótesis!$D$71/12</f>
        <v>0</v>
      </c>
      <c r="AY77" s="138" t="n">
        <f aca="false">AX81*Hipótesis!$D$71/12</f>
        <v>0</v>
      </c>
      <c r="AZ77" s="138" t="n">
        <f aca="false">AY81*Hipótesis!$D$71/12</f>
        <v>0</v>
      </c>
      <c r="BA77" s="138" t="n">
        <f aca="false">AZ81*Hipótesis!$D$71/12</f>
        <v>0</v>
      </c>
      <c r="BB77" s="138" t="n">
        <f aca="false">BA81*Hipótesis!$D$71/12</f>
        <v>0</v>
      </c>
      <c r="BC77" s="138" t="n">
        <f aca="false">BB81*Hipótesis!$D$71/12</f>
        <v>0</v>
      </c>
      <c r="BD77" s="138" t="n">
        <f aca="false">BC81*Hipótesis!$D$71/12</f>
        <v>0</v>
      </c>
      <c r="BE77" s="138" t="n">
        <f aca="false">BD81*Hipótesis!$D$71/12</f>
        <v>0</v>
      </c>
      <c r="BF77" s="138" t="n">
        <f aca="false">BE81*Hipótesis!$D$71/12</f>
        <v>0</v>
      </c>
      <c r="BG77" s="138" t="n">
        <f aca="false">BF81*Hipótesis!$D$71/12</f>
        <v>0</v>
      </c>
      <c r="BH77" s="138" t="n">
        <f aca="false">BG81*Hipótesis!$D$71/12</f>
        <v>0</v>
      </c>
      <c r="BI77" s="138" t="n">
        <f aca="false">BH81*Hipótesis!$D$71/12</f>
        <v>0</v>
      </c>
      <c r="BJ77" s="138" t="n">
        <f aca="false">BI81*Hipótesis!$D$71/12</f>
        <v>0</v>
      </c>
      <c r="BK77" s="138" t="n">
        <f aca="false">BJ81*Hipótesis!$D$71/12</f>
        <v>0</v>
      </c>
      <c r="BL77" s="138" t="n">
        <f aca="false">BK81*Hipótesis!$D$71/12</f>
        <v>0</v>
      </c>
      <c r="BM77" s="138" t="n">
        <f aca="false">BL81*Hipótesis!$D$71/12</f>
        <v>0</v>
      </c>
      <c r="BN77" s="138" t="n">
        <f aca="false">BM81*Hipótesis!$D$71/12</f>
        <v>0</v>
      </c>
      <c r="BO77" s="138" t="n">
        <f aca="false">BN81*Hipótesis!$D$71/12</f>
        <v>0</v>
      </c>
      <c r="BP77" s="138" t="n">
        <f aca="false">BO81*Hipótesis!$D$71/12</f>
        <v>0</v>
      </c>
      <c r="BQ77" s="138" t="n">
        <f aca="false">BP81*Hipótesis!$D$71/12</f>
        <v>0</v>
      </c>
      <c r="BR77" s="138" t="n">
        <f aca="false">BQ81*Hipótesis!$D$71/12</f>
        <v>0</v>
      </c>
      <c r="BS77" s="138" t="n">
        <f aca="false">BR81*Hipótesis!$D$71/12</f>
        <v>0</v>
      </c>
      <c r="BT77" s="138" t="n">
        <f aca="false">BS81*Hipótesis!$D$71/12</f>
        <v>0</v>
      </c>
      <c r="BU77" s="138" t="n">
        <f aca="false">BT81*Hipótesis!$D$71/12</f>
        <v>0</v>
      </c>
      <c r="BV77" s="138" t="n">
        <f aca="false">BU81*Hipótesis!$D$71/12</f>
        <v>0</v>
      </c>
      <c r="BW77" s="138" t="n">
        <f aca="false">BV81*Hipótesis!$D$71/12</f>
        <v>0</v>
      </c>
      <c r="BX77" s="138" t="n">
        <f aca="false">BW81*Hipótesis!$D$71/12</f>
        <v>0</v>
      </c>
      <c r="BY77" s="138" t="n">
        <f aca="false">BX81*Hipótesis!$D$71/12</f>
        <v>0</v>
      </c>
      <c r="BZ77" s="138" t="n">
        <f aca="false">BY81*Hipótesis!$D$71/12</f>
        <v>0</v>
      </c>
      <c r="CA77" s="138" t="n">
        <f aca="false">BZ81*Hipótesis!$D$71/12</f>
        <v>0</v>
      </c>
      <c r="CB77" s="138" t="n">
        <f aca="false">CA81*Hipótesis!$D$71/12</f>
        <v>0</v>
      </c>
      <c r="CC77" s="138" t="n">
        <f aca="false">CB81*Hipótesis!$D$71/12</f>
        <v>0</v>
      </c>
      <c r="CD77" s="138" t="n">
        <f aca="false">CC81*Hipótesis!$D$71/12</f>
        <v>0</v>
      </c>
      <c r="CE77" s="138" t="n">
        <f aca="false">CD81*Hipótesis!$D$71/12</f>
        <v>0</v>
      </c>
      <c r="CF77" s="138" t="n">
        <f aca="false">CE81*Hipótesis!$D$71/12</f>
        <v>0</v>
      </c>
      <c r="CG77" s="138" t="n">
        <f aca="false">CF81*Hipótesis!$D$71/12</f>
        <v>0</v>
      </c>
      <c r="CH77" s="138" t="n">
        <f aca="false">CG81*Hipótesis!$D$71/12</f>
        <v>0</v>
      </c>
    </row>
    <row r="78" customFormat="false" ht="13.5" hidden="false" customHeight="true" outlineLevel="0" collapsed="false">
      <c r="A78" s="30" t="s">
        <v>756</v>
      </c>
      <c r="C78" s="138" t="n">
        <f aca="false">C74+C75+C76-C77</f>
        <v>146396.417581049</v>
      </c>
      <c r="D78" s="138" t="n">
        <f aca="false">D74+D75+D76-D77</f>
        <v>-30309.7023744792</v>
      </c>
      <c r="E78" s="138" t="n">
        <f aca="false">E74+E75+E76-E77</f>
        <v>-23772.2388901411</v>
      </c>
      <c r="F78" s="138" t="n">
        <f aca="false">F74+F75+F76-F77</f>
        <v>-20619.8646918225</v>
      </c>
      <c r="G78" s="138" t="n">
        <f aca="false">G74+G75+G76-G77</f>
        <v>-17437.9261142807</v>
      </c>
      <c r="H78" s="138" t="n">
        <f aca="false">H74+H75+H76-H77</f>
        <v>-19187.1520929294</v>
      </c>
      <c r="I78" s="138" t="n">
        <f aca="false">I74+I75+I76-I77</f>
        <v>-11166.882190787</v>
      </c>
      <c r="J78" s="138" t="n">
        <f aca="false">J74+J75+J76-J77</f>
        <v>-6814.10488130682</v>
      </c>
      <c r="K78" s="138" t="n">
        <f aca="false">K74+K75+K76-K77</f>
        <v>-2669.39451209966</v>
      </c>
      <c r="L78" s="138" t="n">
        <f aca="false">L74+L75+L76-L77</f>
        <v>1399.06098738857</v>
      </c>
      <c r="M78" s="138" t="n">
        <f aca="false">M74+M75+M76-M77</f>
        <v>5027.3112123984</v>
      </c>
      <c r="N78" s="138" t="n">
        <f aca="false">N74+N75+N76-N77</f>
        <v>7797.62417092718</v>
      </c>
      <c r="O78" s="138" t="n">
        <f aca="false">O74+O75+O76-O77</f>
        <v>8388.05993672702</v>
      </c>
      <c r="P78" s="138" t="n">
        <f aca="false">P74+P75+P76-P77</f>
        <v>9187.22382773799</v>
      </c>
      <c r="Q78" s="138" t="n">
        <f aca="false">Q74+Q75+Q76-Q77</f>
        <v>11851.3343630036</v>
      </c>
      <c r="R78" s="138" t="n">
        <f aca="false">R74+R75+R76-R77</f>
        <v>14515.4448982693</v>
      </c>
      <c r="S78" s="138" t="n">
        <f aca="false">S74+S75+S76-S77</f>
        <v>21523.9422417664</v>
      </c>
      <c r="T78" s="138" t="n">
        <f aca="false">T74+T75+T76-T77</f>
        <v>3996.87351279993</v>
      </c>
      <c r="U78" s="138" t="n">
        <f aca="false">U74+U75+U76-U77</f>
        <v>20582.4469440662</v>
      </c>
      <c r="V78" s="138" t="n">
        <f aca="false">V74+V75+V76-V77</f>
        <v>20981.4638793319</v>
      </c>
      <c r="W78" s="138" t="n">
        <f aca="false">W74+W75+W76-W77</f>
        <v>23645.5744145976</v>
      </c>
      <c r="X78" s="138" t="n">
        <f aca="false">X74+X75+X76-X77</f>
        <v>25933.9001326199</v>
      </c>
      <c r="Y78" s="138" t="n">
        <f aca="false">Y74+Y75+Y76-Y77</f>
        <v>28119.4381209388</v>
      </c>
      <c r="Z78" s="138" t="n">
        <f aca="false">Z74+Z75+Z76-Z77</f>
        <v>30164.3245654854</v>
      </c>
      <c r="AA78" s="138" t="n">
        <f aca="false">AA74+AA75+AA76-AA77</f>
        <v>29244.4620350753</v>
      </c>
      <c r="AB78" s="138" t="n">
        <f aca="false">AB74+AB75+AB76-AB77</f>
        <v>28714.4583729941</v>
      </c>
      <c r="AC78" s="138" t="n">
        <f aca="false">AC74+AC75+AC76-AC77</f>
        <v>30167.544157713</v>
      </c>
      <c r="AD78" s="138" t="n">
        <f aca="false">AD74+AD75+AD76-AD77</f>
        <v>31620.6299424318</v>
      </c>
      <c r="AE78" s="138" t="n">
        <f aca="false">AE74+AE75+AE76-AE77</f>
        <v>39481.3676917127</v>
      </c>
      <c r="AF78" s="138" t="n">
        <f aca="false">AF74+AF75+AF76-AF77</f>
        <v>12154.8592210451</v>
      </c>
      <c r="AG78" s="138" t="n">
        <f aca="false">AG74+AG75+AG76-AG77</f>
        <v>35979.8872965884</v>
      </c>
      <c r="AH78" s="138" t="n">
        <f aca="false">AH74+AH75+AH76-AH77</f>
        <v>37432.9730813072</v>
      </c>
      <c r="AI78" s="138" t="n">
        <f aca="false">AI74+AI75+AI76-AI77</f>
        <v>38886.0588660261</v>
      </c>
      <c r="AJ78" s="138" t="n">
        <f aca="false">AJ74+AJ75+AJ76-AJ77</f>
        <v>40339.144650745</v>
      </c>
      <c r="AK78" s="138" t="n">
        <f aca="false">AK74+AK75+AK76-AK77</f>
        <v>41792.2304354638</v>
      </c>
      <c r="AL78" s="138" t="n">
        <f aca="false">AL74+AL75+AL76-AL77</f>
        <v>41262.2267733827</v>
      </c>
      <c r="AM78" s="138" t="n">
        <f aca="false">AM74+AM75+AM76-AM77</f>
        <v>35520.3986818729</v>
      </c>
      <c r="AN78" s="138" t="n">
        <f aca="false">AN74+AN75+AN76-AN77</f>
        <v>36797.6041299732</v>
      </c>
      <c r="AO78" s="138" t="n">
        <f aca="false">AO74+AO75+AO76-AO77</f>
        <v>38074.8095780735</v>
      </c>
      <c r="AP78" s="138" t="n">
        <f aca="false">AP74+AP75+AP76-AP77</f>
        <v>39352.0150261738</v>
      </c>
      <c r="AQ78" s="138" t="n">
        <f aca="false">AQ74+AQ75+AQ76-AQ77</f>
        <v>48976.8992598479</v>
      </c>
      <c r="AR78" s="138" t="n">
        <f aca="false">AR74+AR75+AR76-AR77</f>
        <v>19534.4836315499</v>
      </c>
      <c r="AS78" s="138" t="n">
        <f aca="false">AS74+AS75+AS76-AS77</f>
        <v>42392.722299397</v>
      </c>
      <c r="AT78" s="138" t="n">
        <f aca="false">AT74+AT75+AT76-AT77</f>
        <v>42396.8889660637</v>
      </c>
      <c r="AU78" s="138" t="n">
        <f aca="false">AU74+AU75+AU76-AU77</f>
        <v>42401.0556327303</v>
      </c>
      <c r="AV78" s="138" t="n">
        <f aca="false">AV74+AV75+AV76-AV77</f>
        <v>42405.222299397</v>
      </c>
      <c r="AW78" s="138" t="n">
        <f aca="false">AW74+AW75+AW76-AW77</f>
        <v>42409.3889660637</v>
      </c>
      <c r="AX78" s="138" t="n">
        <f aca="false">AX74+AX75+AX76-AX77</f>
        <v>42413.5556327303</v>
      </c>
      <c r="AY78" s="138" t="n">
        <f aca="false">AY74+AY75+AY76-AY77</f>
        <v>40618.9292491274</v>
      </c>
      <c r="AZ78" s="138" t="n">
        <f aca="false">AZ74+AZ75+AZ76-AZ77</f>
        <v>40623.095915794</v>
      </c>
      <c r="BA78" s="138" t="n">
        <f aca="false">BA74+BA75+BA76-BA77</f>
        <v>40627.2625824607</v>
      </c>
      <c r="BB78" s="138" t="n">
        <f aca="false">BB74+BB75+BB76-BB77</f>
        <v>40631.4292491274</v>
      </c>
      <c r="BC78" s="138" t="n">
        <f aca="false">BC74+BC75+BC76-BC77</f>
        <v>48983.2747013679</v>
      </c>
      <c r="BD78" s="138" t="n">
        <f aca="false">BD74+BD75+BD76-BD77</f>
        <v>18267.8202916362</v>
      </c>
      <c r="BE78" s="138" t="n">
        <f aca="false">BE74+BE75+BE76-BE77</f>
        <v>40643.9292491274</v>
      </c>
      <c r="BF78" s="138" t="n">
        <f aca="false">BF74+BF75+BF76-BF77</f>
        <v>40648.095915794</v>
      </c>
      <c r="BG78" s="138" t="n">
        <f aca="false">BG74+BG75+BG76-BG77</f>
        <v>40652.2625824607</v>
      </c>
      <c r="BH78" s="138" t="n">
        <f aca="false">BH74+BH75+BH76-BH77</f>
        <v>40656.4292491274</v>
      </c>
      <c r="BI78" s="138" t="n">
        <f aca="false">BI74+BI75+BI76-BI77</f>
        <v>40660.595915794</v>
      </c>
      <c r="BJ78" s="138" t="n">
        <f aca="false">BJ74+BJ75+BJ76-BJ77</f>
        <v>40664.7625824607</v>
      </c>
      <c r="BK78" s="138" t="n">
        <f aca="false">BK74+BK75+BK76-BK77</f>
        <v>38859.8314073497</v>
      </c>
      <c r="BL78" s="138" t="n">
        <f aca="false">BL74+BL75+BL76-BL77</f>
        <v>38863.9980740164</v>
      </c>
      <c r="BM78" s="138" t="n">
        <f aca="false">BM74+BM75+BM76-BM77</f>
        <v>38868.164740683</v>
      </c>
      <c r="BN78" s="138" t="n">
        <f aca="false">BN74+BN75+BN76-BN77</f>
        <v>38872.3314073497</v>
      </c>
      <c r="BO78" s="138" t="n">
        <f aca="false">BO74+BO75+BO76-BO77</f>
        <v>47224.1768595902</v>
      </c>
      <c r="BP78" s="138" t="n">
        <f aca="false">BP74+BP75+BP76-BP77</f>
        <v>16508.7224498586</v>
      </c>
      <c r="BQ78" s="138" t="n">
        <f aca="false">BQ74+BQ75+BQ76-BQ77</f>
        <v>38884.8314073497</v>
      </c>
      <c r="BR78" s="138" t="n">
        <f aca="false">BR74+BR75+BR76-BR77</f>
        <v>38888.9980740164</v>
      </c>
      <c r="BS78" s="138" t="n">
        <f aca="false">BS74+BS75+BS76-BS77</f>
        <v>38893.164740683</v>
      </c>
      <c r="BT78" s="138" t="n">
        <f aca="false">BT74+BT75+BT76-BT77</f>
        <v>38897.3314073497</v>
      </c>
      <c r="BU78" s="138" t="n">
        <f aca="false">BU74+BU75+BU76-BU77</f>
        <v>38901.4980740164</v>
      </c>
      <c r="BV78" s="138" t="n">
        <f aca="false">BV74+BV75+BV76-BV77</f>
        <v>38905.664740683</v>
      </c>
      <c r="BW78" s="138" t="n">
        <f aca="false">BW74+BW75+BW76-BW77</f>
        <v>37090.1196303187</v>
      </c>
      <c r="BX78" s="138" t="n">
        <f aca="false">BX74+BX75+BX76-BX77</f>
        <v>37094.2862969853</v>
      </c>
      <c r="BY78" s="138" t="n">
        <f aca="false">BY74+BY75+BY76-BY77</f>
        <v>37098.452963652</v>
      </c>
      <c r="BZ78" s="138" t="n">
        <f aca="false">BZ74+BZ75+BZ76-BZ77</f>
        <v>37102.6196303187</v>
      </c>
      <c r="CA78" s="138" t="n">
        <f aca="false">CA74+CA75+CA76-CA77</f>
        <v>45454.4650825592</v>
      </c>
      <c r="CB78" s="138" t="n">
        <f aca="false">CB74+CB75+CB76-CB77</f>
        <v>14739.0106728275</v>
      </c>
      <c r="CC78" s="138" t="n">
        <f aca="false">CC74+CC75+CC76-CC77</f>
        <v>37115.1196303187</v>
      </c>
      <c r="CD78" s="138" t="n">
        <f aca="false">CD74+CD75+CD76-CD77</f>
        <v>37119.2862969853</v>
      </c>
      <c r="CE78" s="138" t="n">
        <f aca="false">CE74+CE75+CE76-CE77</f>
        <v>37123.452963652</v>
      </c>
      <c r="CF78" s="138" t="n">
        <f aca="false">CF74+CF75+CF76-CF77</f>
        <v>37127.6196303187</v>
      </c>
      <c r="CG78" s="138" t="n">
        <f aca="false">CG74+CG75+CG76-CG77</f>
        <v>37131.7862969853</v>
      </c>
      <c r="CH78" s="138" t="n">
        <f aca="false">CH74+CH75+CH76-CH77</f>
        <v>37135.9529636521</v>
      </c>
    </row>
    <row r="79" customFormat="false" ht="13.5" hidden="false" customHeight="true" outlineLevel="0" collapsed="false">
      <c r="A79" s="13" t="s">
        <v>757</v>
      </c>
      <c r="C79" s="138" t="n">
        <f aca="false">C78</f>
        <v>146396.417581049</v>
      </c>
      <c r="D79" s="138" t="n">
        <f aca="false">C86+D78</f>
        <v>116086.715206569</v>
      </c>
      <c r="E79" s="138" t="n">
        <f aca="false">D86+E78</f>
        <v>92314.4763164283</v>
      </c>
      <c r="F79" s="138" t="n">
        <f aca="false">E86+F78</f>
        <v>71694.6116246057</v>
      </c>
      <c r="G79" s="138" t="n">
        <f aca="false">F86+G78</f>
        <v>54256.685510325</v>
      </c>
      <c r="H79" s="138" t="n">
        <f aca="false">G86+H78</f>
        <v>35069.5334173957</v>
      </c>
      <c r="I79" s="138" t="n">
        <f aca="false">H86+I78</f>
        <v>23902.6512266086</v>
      </c>
      <c r="J79" s="138" t="n">
        <f aca="false">I86+J78</f>
        <v>23185.8951186932</v>
      </c>
      <c r="K79" s="138" t="n">
        <f aca="false">J86+K78</f>
        <v>27330.6054879003</v>
      </c>
      <c r="L79" s="138" t="n">
        <f aca="false">K86+L78</f>
        <v>31399.0609873886</v>
      </c>
      <c r="M79" s="138" t="n">
        <f aca="false">L86+M78</f>
        <v>35027.3112123984</v>
      </c>
      <c r="N79" s="138" t="n">
        <f aca="false">M86+N78</f>
        <v>37797.6241709272</v>
      </c>
      <c r="O79" s="138" t="n">
        <f aca="false">N86+O78</f>
        <v>38388.059936727</v>
      </c>
      <c r="P79" s="138" t="n">
        <f aca="false">O86+P78</f>
        <v>46218.4319683813</v>
      </c>
      <c r="Q79" s="138" t="n">
        <f aca="false">P86+Q78</f>
        <v>58069.766331385</v>
      </c>
      <c r="R79" s="138" t="n">
        <f aca="false">Q86+R78</f>
        <v>72585.2112296543</v>
      </c>
      <c r="S79" s="138" t="n">
        <f aca="false">R86+S78</f>
        <v>94109.1534714206</v>
      </c>
      <c r="T79" s="138" t="n">
        <f aca="false">S86+T78</f>
        <v>98106.0269842205</v>
      </c>
      <c r="U79" s="138" t="n">
        <f aca="false">T86+U78</f>
        <v>118688.473928287</v>
      </c>
      <c r="V79" s="138" t="n">
        <f aca="false">U86+V78</f>
        <v>139669.937807619</v>
      </c>
      <c r="W79" s="138" t="n">
        <f aca="false">V86+W78</f>
        <v>163315.512222216</v>
      </c>
      <c r="X79" s="138" t="n">
        <f aca="false">W86+X78</f>
        <v>189249.412354836</v>
      </c>
      <c r="Y79" s="138" t="n">
        <f aca="false">X86+Y78</f>
        <v>217368.850475775</v>
      </c>
      <c r="Z79" s="138" t="n">
        <f aca="false">Y86+Z78</f>
        <v>247533.17504126</v>
      </c>
      <c r="AA79" s="138" t="n">
        <f aca="false">Z86+AA78</f>
        <v>276777.637076336</v>
      </c>
      <c r="AB79" s="138" t="n">
        <f aca="false">AA86+AB78</f>
        <v>305492.09544933</v>
      </c>
      <c r="AC79" s="138" t="n">
        <f aca="false">AB86+AC78</f>
        <v>335659.639607043</v>
      </c>
      <c r="AD79" s="138" t="n">
        <f aca="false">AC86+AD78</f>
        <v>367280.269549475</v>
      </c>
      <c r="AE79" s="138" t="n">
        <f aca="false">AD86+AE78</f>
        <v>406761.637241187</v>
      </c>
      <c r="AF79" s="138" t="n">
        <f aca="false">AE86+AF78</f>
        <v>418916.496462232</v>
      </c>
      <c r="AG79" s="138" t="n">
        <f aca="false">AF86+AG78</f>
        <v>454896.383758821</v>
      </c>
      <c r="AH79" s="138" t="n">
        <f aca="false">AG86+AH78</f>
        <v>492329.356840128</v>
      </c>
      <c r="AI79" s="138" t="n">
        <f aca="false">AH86+AI78</f>
        <v>531215.415706154</v>
      </c>
      <c r="AJ79" s="138" t="n">
        <f aca="false">AI86+AJ78</f>
        <v>571554.560356899</v>
      </c>
      <c r="AK79" s="138" t="n">
        <f aca="false">AJ86+AK78</f>
        <v>613346.790792363</v>
      </c>
      <c r="AL79" s="138" t="n">
        <f aca="false">AK86+AL78</f>
        <v>654609.017565746</v>
      </c>
      <c r="AM79" s="138" t="n">
        <f aca="false">AL86+AM78</f>
        <v>690129.416247618</v>
      </c>
      <c r="AN79" s="138" t="n">
        <f aca="false">AM86+AN78</f>
        <v>726927.020377592</v>
      </c>
      <c r="AO79" s="138" t="n">
        <f aca="false">AN86+AO78</f>
        <v>765001.829955665</v>
      </c>
      <c r="AP79" s="138" t="n">
        <f aca="false">AO86+AP78</f>
        <v>804353.844981839</v>
      </c>
      <c r="AQ79" s="138" t="n">
        <f aca="false">AP86+AQ78</f>
        <v>853330.744241687</v>
      </c>
      <c r="AR79" s="138" t="n">
        <f aca="false">AQ86+AR78</f>
        <v>872865.227873237</v>
      </c>
      <c r="AS79" s="138" t="n">
        <f aca="false">AR86+AS78</f>
        <v>915257.950172634</v>
      </c>
      <c r="AT79" s="138" t="n">
        <f aca="false">AS86+AT78</f>
        <v>957654.839138697</v>
      </c>
      <c r="AU79" s="138" t="n">
        <f aca="false">AT86+AU78</f>
        <v>1000055.89477143</v>
      </c>
      <c r="AV79" s="138" t="n">
        <f aca="false">AU86+AV78</f>
        <v>1042461.11707082</v>
      </c>
      <c r="AW79" s="138" t="n">
        <f aca="false">AV86+AW78</f>
        <v>1084870.50603689</v>
      </c>
      <c r="AX79" s="138" t="n">
        <f aca="false">AW86+AX78</f>
        <v>1127284.06166962</v>
      </c>
      <c r="AY79" s="138" t="n">
        <f aca="false">AX86+AY78</f>
        <v>963909.893045503</v>
      </c>
      <c r="AZ79" s="138" t="n">
        <f aca="false">AY86+AZ78</f>
        <v>1004532.9889613</v>
      </c>
      <c r="BA79" s="138" t="n">
        <f aca="false">AZ86+BA78</f>
        <v>1045160.25154376</v>
      </c>
      <c r="BB79" s="138" t="n">
        <f aca="false">BA86+BB78</f>
        <v>1085791.68079288</v>
      </c>
      <c r="BC79" s="138" t="n">
        <f aca="false">BB86+BC78</f>
        <v>1134774.95549425</v>
      </c>
      <c r="BD79" s="138" t="n">
        <f aca="false">BC86+BD78</f>
        <v>1153042.77578589</v>
      </c>
      <c r="BE79" s="138" t="n">
        <f aca="false">BD86+BE78</f>
        <v>1193686.70503502</v>
      </c>
      <c r="BF79" s="138" t="n">
        <f aca="false">BE86+BF78</f>
        <v>1234334.80095081</v>
      </c>
      <c r="BG79" s="138" t="n">
        <f aca="false">BF86+BG78</f>
        <v>1274987.06353327</v>
      </c>
      <c r="BH79" s="138" t="n">
        <f aca="false">BG86+BH78</f>
        <v>1315643.4927824</v>
      </c>
      <c r="BI79" s="138" t="n">
        <f aca="false">BH86+BI78</f>
        <v>1356304.08869819</v>
      </c>
      <c r="BJ79" s="138" t="n">
        <f aca="false">BI86+BJ78</f>
        <v>1396968.85128065</v>
      </c>
      <c r="BK79" s="138" t="n">
        <f aca="false">BJ86+BK78</f>
        <v>1232340.17630822</v>
      </c>
      <c r="BL79" s="138" t="n">
        <f aca="false">BK86+BL78</f>
        <v>1271204.17438224</v>
      </c>
      <c r="BM79" s="138" t="n">
        <f aca="false">BL86+BM78</f>
        <v>1310072.33912292</v>
      </c>
      <c r="BN79" s="138" t="n">
        <f aca="false">BM86+BN78</f>
        <v>1348944.67053027</v>
      </c>
      <c r="BO79" s="138" t="n">
        <f aca="false">BN86+BO78</f>
        <v>1396168.84738986</v>
      </c>
      <c r="BP79" s="138" t="n">
        <f aca="false">BO86+BP78</f>
        <v>1412677.56983972</v>
      </c>
      <c r="BQ79" s="138" t="n">
        <f aca="false">BP86+BQ78</f>
        <v>1451562.40124707</v>
      </c>
      <c r="BR79" s="138" t="n">
        <f aca="false">BQ86+BR78</f>
        <v>1490451.39932108</v>
      </c>
      <c r="BS79" s="138" t="n">
        <f aca="false">BR86+BS78</f>
        <v>1529344.56406177</v>
      </c>
      <c r="BT79" s="138" t="n">
        <f aca="false">BS86+BT78</f>
        <v>1568241.89546912</v>
      </c>
      <c r="BU79" s="138" t="n">
        <f aca="false">BT86+BU78</f>
        <v>1607143.39354313</v>
      </c>
      <c r="BV79" s="138" t="n">
        <f aca="false">BU86+BV78</f>
        <v>1646049.05828381</v>
      </c>
      <c r="BW79" s="138" t="n">
        <f aca="false">BV86+BW78</f>
        <v>1488094.34117488</v>
      </c>
      <c r="BX79" s="138" t="n">
        <f aca="false">BW86+BX78</f>
        <v>1525188.62747187</v>
      </c>
      <c r="BY79" s="138" t="n">
        <f aca="false">BX86+BY78</f>
        <v>1562287.08043552</v>
      </c>
      <c r="BZ79" s="138" t="n">
        <f aca="false">BY86+BZ78</f>
        <v>1599389.70006584</v>
      </c>
      <c r="CA79" s="138" t="n">
        <f aca="false">BZ86+CA78</f>
        <v>1644844.1651484</v>
      </c>
      <c r="CB79" s="138" t="n">
        <f aca="false">CA86+CB78</f>
        <v>1659583.17582122</v>
      </c>
      <c r="CC79" s="138" t="n">
        <f aca="false">CB86+CC78</f>
        <v>1696698.29545154</v>
      </c>
      <c r="CD79" s="138" t="n">
        <f aca="false">CC86+CD78</f>
        <v>1733817.58174853</v>
      </c>
      <c r="CE79" s="138" t="n">
        <f aca="false">CD86+CE78</f>
        <v>1770941.03471218</v>
      </c>
      <c r="CF79" s="138" t="n">
        <f aca="false">CE86+CF78</f>
        <v>1808068.6543425</v>
      </c>
      <c r="CG79" s="138" t="n">
        <f aca="false">CF86+CG78</f>
        <v>1845200.44063948</v>
      </c>
      <c r="CH79" s="138" t="n">
        <f aca="false">CG86+CH78</f>
        <v>1882336.39360314</v>
      </c>
    </row>
    <row r="80" customFormat="false" ht="13.5" hidden="false" customHeight="true" outlineLevel="0" collapsed="false">
      <c r="A80" s="30" t="s">
        <v>758</v>
      </c>
      <c r="C80" s="138" t="n">
        <f aca="false">IF(C79&lt;Hipótesis!$D$72,MIN(Hipótesis!$D$70-0,Hipótesis!$D$72-C79),-MIN(0,MAX(0,C79-Hipótesis!$D$72)))</f>
        <v>-0</v>
      </c>
      <c r="D80" s="138" t="n">
        <f aca="false">IF(D79&lt;Hipótesis!$D$72,MIN(Hipótesis!$D$70-C81,Hipótesis!$D$72-D79),-MIN(C81,MAX(0,D79-Hipótesis!$D$72)))</f>
        <v>0</v>
      </c>
      <c r="E80" s="138" t="n">
        <f aca="false">IF(E79&lt;Hipótesis!$D$72,MIN(Hipótesis!$D$70-D81,Hipótesis!$D$72-E79),-MIN(D81,MAX(0,E79-Hipótesis!$D$72)))</f>
        <v>-0</v>
      </c>
      <c r="F80" s="138" t="n">
        <f aca="false">IF(F79&lt;Hipótesis!$D$72,MIN(Hipótesis!$D$70-E81,Hipótesis!$D$72-F79),-MIN(E81,MAX(0,F79-Hipótesis!$D$72)))</f>
        <v>-0</v>
      </c>
      <c r="G80" s="138" t="n">
        <f aca="false">IF(G79&lt;Hipótesis!$D$72,MIN(Hipótesis!$D$70-F81,Hipótesis!$D$72-G79),-MIN(F81,MAX(0,G79-Hipótesis!$D$72)))</f>
        <v>-0</v>
      </c>
      <c r="H80" s="138" t="n">
        <f aca="false">IF(H79&lt;Hipótesis!$D$72,MIN(Hipótesis!$D$70-G81,Hipótesis!$D$72-H79),-MIN(G81,MAX(0,H79-Hipótesis!$D$72)))</f>
        <v>-0</v>
      </c>
      <c r="I80" s="138" t="n">
        <f aca="false">IF(I79&lt;Hipótesis!$D$72,MIN(Hipótesis!$D$70-H81,Hipótesis!$D$72-I79),-MIN(H81,MAX(0,I79-Hipótesis!$D$72)))</f>
        <v>6097.34877339136</v>
      </c>
      <c r="J80" s="138" t="n">
        <f aca="false">IF(J79&lt;Hipótesis!$D$72,MIN(Hipótesis!$D$70-I81,Hipótesis!$D$72-J79),-MIN(I81,MAX(0,J79-Hipótesis!$D$72)))</f>
        <v>6814.10488130682</v>
      </c>
      <c r="K80" s="138" t="n">
        <f aca="false">IF(K79&lt;Hipótesis!$D$72,MIN(Hipótesis!$D$70-J81,Hipótesis!$D$72-K79),-MIN(J81,MAX(0,K79-Hipótesis!$D$72)))</f>
        <v>2669.39451209966</v>
      </c>
      <c r="L80" s="138" t="n">
        <f aca="false">IF(L79&lt;Hipótesis!$D$72,MIN(Hipótesis!$D$70-K81,Hipótesis!$D$72-L79),-MIN(K81,MAX(0,L79-Hipótesis!$D$72)))</f>
        <v>-1399.06098738857</v>
      </c>
      <c r="M80" s="138" t="n">
        <f aca="false">IF(M79&lt;Hipótesis!$D$72,MIN(Hipótesis!$D$70-L81,Hipótesis!$D$72-M79),-MIN(L81,MAX(0,M79-Hipótesis!$D$72)))</f>
        <v>-5027.3112123984</v>
      </c>
      <c r="N80" s="138" t="n">
        <f aca="false">IF(N79&lt;Hipótesis!$D$72,MIN(Hipótesis!$D$70-M81,Hipótesis!$D$72-N79),-MIN(M81,MAX(0,N79-Hipótesis!$D$72)))</f>
        <v>-7797.62417092718</v>
      </c>
      <c r="O80" s="138" t="n">
        <f aca="false">IF(O79&lt;Hipótesis!$D$72,MIN(Hipótesis!$D$70-N81,Hipótesis!$D$72-O79),-MIN(N81,MAX(0,O79-Hipótesis!$D$72)))</f>
        <v>-1356.85179608368</v>
      </c>
      <c r="P80" s="138" t="n">
        <f aca="false">IF(P79&lt;Hipótesis!$D$72,MIN(Hipótesis!$D$70-O81,Hipótesis!$D$72-P79),-MIN(O81,MAX(0,P79-Hipótesis!$D$72)))</f>
        <v>-0</v>
      </c>
      <c r="Q80" s="138" t="n">
        <f aca="false">IF(Q79&lt;Hipótesis!$D$72,MIN(Hipótesis!$D$70-P81,Hipótesis!$D$72-Q79),-MIN(P81,MAX(0,Q79-Hipótesis!$D$72)))</f>
        <v>-0</v>
      </c>
      <c r="R80" s="138" t="n">
        <f aca="false">IF(R79&lt;Hipótesis!$D$72,MIN(Hipótesis!$D$70-Q81,Hipótesis!$D$72-R79),-MIN(Q81,MAX(0,R79-Hipótesis!$D$72)))</f>
        <v>-0</v>
      </c>
      <c r="S80" s="138" t="n">
        <f aca="false">IF(S79&lt;Hipótesis!$D$72,MIN(Hipótesis!$D$70-R81,Hipótesis!$D$72-S79),-MIN(R81,MAX(0,S79-Hipótesis!$D$72)))</f>
        <v>-0</v>
      </c>
      <c r="T80" s="138" t="n">
        <f aca="false">IF(T79&lt;Hipótesis!$D$72,MIN(Hipótesis!$D$70-S81,Hipótesis!$D$72-T79),-MIN(S81,MAX(0,T79-Hipótesis!$D$72)))</f>
        <v>-0</v>
      </c>
      <c r="U80" s="138" t="n">
        <f aca="false">IF(U79&lt;Hipótesis!$D$72,MIN(Hipótesis!$D$70-T81,Hipótesis!$D$72-U79),-MIN(T81,MAX(0,U79-Hipótesis!$D$72)))</f>
        <v>-0</v>
      </c>
      <c r="V80" s="138" t="n">
        <f aca="false">IF(V79&lt;Hipótesis!$D$72,MIN(Hipótesis!$D$70-U81,Hipótesis!$D$72-V79),-MIN(U81,MAX(0,V79-Hipótesis!$D$72)))</f>
        <v>-0</v>
      </c>
      <c r="W80" s="138" t="n">
        <f aca="false">IF(W79&lt;Hipótesis!$D$72,MIN(Hipótesis!$D$70-V81,Hipótesis!$D$72-W79),-MIN(V81,MAX(0,W79-Hipótesis!$D$72)))</f>
        <v>-0</v>
      </c>
      <c r="X80" s="138" t="n">
        <f aca="false">IF(X79&lt;Hipótesis!$D$72,MIN(Hipótesis!$D$70-W81,Hipótesis!$D$72-X79),-MIN(W81,MAX(0,X79-Hipótesis!$D$72)))</f>
        <v>-0</v>
      </c>
      <c r="Y80" s="138" t="n">
        <f aca="false">IF(Y79&lt;Hipótesis!$D$72,MIN(Hipótesis!$D$70-X81,Hipótesis!$D$72-Y79),-MIN(X81,MAX(0,Y79-Hipótesis!$D$72)))</f>
        <v>-0</v>
      </c>
      <c r="Z80" s="138" t="n">
        <f aca="false">IF(Z79&lt;Hipótesis!$D$72,MIN(Hipótesis!$D$70-Y81,Hipótesis!$D$72-Z79),-MIN(Y81,MAX(0,Z79-Hipótesis!$D$72)))</f>
        <v>-0</v>
      </c>
      <c r="AA80" s="138" t="n">
        <f aca="false">IF(AA79&lt;Hipótesis!$D$72,MIN(Hipótesis!$D$70-Z81,Hipótesis!$D$72-AA79),-MIN(Z81,MAX(0,AA79-Hipótesis!$D$72)))</f>
        <v>-0</v>
      </c>
      <c r="AB80" s="138" t="n">
        <f aca="false">IF(AB79&lt;Hipótesis!$D$72,MIN(Hipótesis!$D$70-AA81,Hipótesis!$D$72-AB79),-MIN(AA81,MAX(0,AB79-Hipótesis!$D$72)))</f>
        <v>-0</v>
      </c>
      <c r="AC80" s="138" t="n">
        <f aca="false">IF(AC79&lt;Hipótesis!$D$72,MIN(Hipótesis!$D$70-AB81,Hipótesis!$D$72-AC79),-MIN(AB81,MAX(0,AC79-Hipótesis!$D$72)))</f>
        <v>-0</v>
      </c>
      <c r="AD80" s="138" t="n">
        <f aca="false">IF(AD79&lt;Hipótesis!$D$72,MIN(Hipótesis!$D$70-AC81,Hipótesis!$D$72-AD79),-MIN(AC81,MAX(0,AD79-Hipótesis!$D$72)))</f>
        <v>-0</v>
      </c>
      <c r="AE80" s="138" t="n">
        <f aca="false">IF(AE79&lt;Hipótesis!$D$72,MIN(Hipótesis!$D$70-AD81,Hipótesis!$D$72-AE79),-MIN(AD81,MAX(0,AE79-Hipótesis!$D$72)))</f>
        <v>-0</v>
      </c>
      <c r="AF80" s="138" t="n">
        <f aca="false">IF(AF79&lt;Hipótesis!$D$72,MIN(Hipótesis!$D$70-AE81,Hipótesis!$D$72-AF79),-MIN(AE81,MAX(0,AF79-Hipótesis!$D$72)))</f>
        <v>-0</v>
      </c>
      <c r="AG80" s="138" t="n">
        <f aca="false">IF(AG79&lt;Hipótesis!$D$72,MIN(Hipótesis!$D$70-AF81,Hipótesis!$D$72-AG79),-MIN(AF81,MAX(0,AG79-Hipótesis!$D$72)))</f>
        <v>-0</v>
      </c>
      <c r="AH80" s="138" t="n">
        <f aca="false">IF(AH79&lt;Hipótesis!$D$72,MIN(Hipótesis!$D$70-AG81,Hipótesis!$D$72-AH79),-MIN(AG81,MAX(0,AH79-Hipótesis!$D$72)))</f>
        <v>-0</v>
      </c>
      <c r="AI80" s="138" t="n">
        <f aca="false">IF(AI79&lt;Hipótesis!$D$72,MIN(Hipótesis!$D$70-AH81,Hipótesis!$D$72-AI79),-MIN(AH81,MAX(0,AI79-Hipótesis!$D$72)))</f>
        <v>-0</v>
      </c>
      <c r="AJ80" s="138" t="n">
        <f aca="false">IF(AJ79&lt;Hipótesis!$D$72,MIN(Hipótesis!$D$70-AI81,Hipótesis!$D$72-AJ79),-MIN(AI81,MAX(0,AJ79-Hipótesis!$D$72)))</f>
        <v>-0</v>
      </c>
      <c r="AK80" s="138" t="n">
        <f aca="false">IF(AK79&lt;Hipótesis!$D$72,MIN(Hipótesis!$D$70-AJ81,Hipótesis!$D$72-AK79),-MIN(AJ81,MAX(0,AK79-Hipótesis!$D$72)))</f>
        <v>-0</v>
      </c>
      <c r="AL80" s="138" t="n">
        <f aca="false">IF(AL79&lt;Hipótesis!$D$72,MIN(Hipótesis!$D$70-AK81,Hipótesis!$D$72-AL79),-MIN(AK81,MAX(0,AL79-Hipótesis!$D$72)))</f>
        <v>-0</v>
      </c>
      <c r="AM80" s="138" t="n">
        <f aca="false">IF(AM79&lt;Hipótesis!$D$72,MIN(Hipótesis!$D$70-AL81,Hipótesis!$D$72-AM79),-MIN(AL81,MAX(0,AM79-Hipótesis!$D$72)))</f>
        <v>-0</v>
      </c>
      <c r="AN80" s="138" t="n">
        <f aca="false">IF(AN79&lt;Hipótesis!$D$72,MIN(Hipótesis!$D$70-AM81,Hipótesis!$D$72-AN79),-MIN(AM81,MAX(0,AN79-Hipótesis!$D$72)))</f>
        <v>-0</v>
      </c>
      <c r="AO80" s="138" t="n">
        <f aca="false">IF(AO79&lt;Hipótesis!$D$72,MIN(Hipótesis!$D$70-AN81,Hipótesis!$D$72-AO79),-MIN(AN81,MAX(0,AO79-Hipótesis!$D$72)))</f>
        <v>-0</v>
      </c>
      <c r="AP80" s="138" t="n">
        <f aca="false">IF(AP79&lt;Hipótesis!$D$72,MIN(Hipótesis!$D$70-AO81,Hipótesis!$D$72-AP79),-MIN(AO81,MAX(0,AP79-Hipótesis!$D$72)))</f>
        <v>-0</v>
      </c>
      <c r="AQ80" s="138" t="n">
        <f aca="false">IF(AQ79&lt;Hipótesis!$D$72,MIN(Hipótesis!$D$70-AP81,Hipótesis!$D$72-AQ79),-MIN(AP81,MAX(0,AQ79-Hipótesis!$D$72)))</f>
        <v>-0</v>
      </c>
      <c r="AR80" s="138" t="n">
        <f aca="false">IF(AR79&lt;Hipótesis!$D$72,MIN(Hipótesis!$D$70-AQ81,Hipótesis!$D$72-AR79),-MIN(AQ81,MAX(0,AR79-Hipótesis!$D$72)))</f>
        <v>-0</v>
      </c>
      <c r="AS80" s="138" t="n">
        <f aca="false">IF(AS79&lt;Hipótesis!$D$72,MIN(Hipótesis!$D$70-AR81,Hipótesis!$D$72-AS79),-MIN(AR81,MAX(0,AS79-Hipótesis!$D$72)))</f>
        <v>-0</v>
      </c>
      <c r="AT80" s="138" t="n">
        <f aca="false">IF(AT79&lt;Hipótesis!$D$72,MIN(Hipótesis!$D$70-AS81,Hipótesis!$D$72-AT79),-MIN(AS81,MAX(0,AT79-Hipótesis!$D$72)))</f>
        <v>-0</v>
      </c>
      <c r="AU80" s="138" t="n">
        <f aca="false">IF(AU79&lt;Hipótesis!$D$72,MIN(Hipótesis!$D$70-AT81,Hipótesis!$D$72-AU79),-MIN(AT81,MAX(0,AU79-Hipótesis!$D$72)))</f>
        <v>-0</v>
      </c>
      <c r="AV80" s="138" t="n">
        <f aca="false">IF(AV79&lt;Hipótesis!$D$72,MIN(Hipótesis!$D$70-AU81,Hipótesis!$D$72-AV79),-MIN(AU81,MAX(0,AV79-Hipótesis!$D$72)))</f>
        <v>-0</v>
      </c>
      <c r="AW80" s="138" t="n">
        <f aca="false">IF(AW79&lt;Hipótesis!$D$72,MIN(Hipótesis!$D$70-AV81,Hipótesis!$D$72-AW79),-MIN(AV81,MAX(0,AW79-Hipótesis!$D$72)))</f>
        <v>-0</v>
      </c>
      <c r="AX80" s="138" t="n">
        <f aca="false">IF(AX79&lt;Hipótesis!$D$72,MIN(Hipótesis!$D$70-AW81,Hipótesis!$D$72-AX79),-MIN(AW81,MAX(0,AX79-Hipótesis!$D$72)))</f>
        <v>-0</v>
      </c>
      <c r="AY80" s="138" t="n">
        <f aca="false">IF(AY79&lt;Hipótesis!$D$72,MIN(Hipótesis!$D$70-AX81,Hipótesis!$D$72-AY79),-MIN(AX81,MAX(0,AY79-Hipótesis!$D$72)))</f>
        <v>-0</v>
      </c>
      <c r="AZ80" s="138" t="n">
        <f aca="false">IF(AZ79&lt;Hipótesis!$D$72,MIN(Hipótesis!$D$70-AY81,Hipótesis!$D$72-AZ79),-MIN(AY81,MAX(0,AZ79-Hipótesis!$D$72)))</f>
        <v>-0</v>
      </c>
      <c r="BA80" s="138" t="n">
        <f aca="false">IF(BA79&lt;Hipótesis!$D$72,MIN(Hipótesis!$D$70-AZ81,Hipótesis!$D$72-BA79),-MIN(AZ81,MAX(0,BA79-Hipótesis!$D$72)))</f>
        <v>-0</v>
      </c>
      <c r="BB80" s="138" t="n">
        <f aca="false">IF(BB79&lt;Hipótesis!$D$72,MIN(Hipótesis!$D$70-BA81,Hipótesis!$D$72-BB79),-MIN(BA81,MAX(0,BB79-Hipótesis!$D$72)))</f>
        <v>-0</v>
      </c>
      <c r="BC80" s="138" t="n">
        <f aca="false">IF(BC79&lt;Hipótesis!$D$72,MIN(Hipótesis!$D$70-BB81,Hipótesis!$D$72-BC79),-MIN(BB81,MAX(0,BC79-Hipótesis!$D$72)))</f>
        <v>-0</v>
      </c>
      <c r="BD80" s="138" t="n">
        <f aca="false">IF(BD79&lt;Hipótesis!$D$72,MIN(Hipótesis!$D$70-BC81,Hipótesis!$D$72-BD79),-MIN(BC81,MAX(0,BD79-Hipótesis!$D$72)))</f>
        <v>-0</v>
      </c>
      <c r="BE80" s="138" t="n">
        <f aca="false">IF(BE79&lt;Hipótesis!$D$72,MIN(Hipótesis!$D$70-BD81,Hipótesis!$D$72-BE79),-MIN(BD81,MAX(0,BE79-Hipótesis!$D$72)))</f>
        <v>-0</v>
      </c>
      <c r="BF80" s="138" t="n">
        <f aca="false">IF(BF79&lt;Hipótesis!$D$72,MIN(Hipótesis!$D$70-BE81,Hipótesis!$D$72-BF79),-MIN(BE81,MAX(0,BF79-Hipótesis!$D$72)))</f>
        <v>-0</v>
      </c>
      <c r="BG80" s="138" t="n">
        <f aca="false">IF(BG79&lt;Hipótesis!$D$72,MIN(Hipótesis!$D$70-BF81,Hipótesis!$D$72-BG79),-MIN(BF81,MAX(0,BG79-Hipótesis!$D$72)))</f>
        <v>-0</v>
      </c>
      <c r="BH80" s="138" t="n">
        <f aca="false">IF(BH79&lt;Hipótesis!$D$72,MIN(Hipótesis!$D$70-BG81,Hipótesis!$D$72-BH79),-MIN(BG81,MAX(0,BH79-Hipótesis!$D$72)))</f>
        <v>-0</v>
      </c>
      <c r="BI80" s="138" t="n">
        <f aca="false">IF(BI79&lt;Hipótesis!$D$72,MIN(Hipótesis!$D$70-BH81,Hipótesis!$D$72-BI79),-MIN(BH81,MAX(0,BI79-Hipótesis!$D$72)))</f>
        <v>-0</v>
      </c>
      <c r="BJ80" s="138" t="n">
        <f aca="false">IF(BJ79&lt;Hipótesis!$D$72,MIN(Hipótesis!$D$70-BI81,Hipótesis!$D$72-BJ79),-MIN(BI81,MAX(0,BJ79-Hipótesis!$D$72)))</f>
        <v>-0</v>
      </c>
      <c r="BK80" s="138" t="n">
        <f aca="false">IF(BK79&lt;Hipótesis!$D$72,MIN(Hipótesis!$D$70-BJ81,Hipótesis!$D$72-BK79),-MIN(BJ81,MAX(0,BK79-Hipótesis!$D$72)))</f>
        <v>-0</v>
      </c>
      <c r="BL80" s="138" t="n">
        <f aca="false">IF(BL79&lt;Hipótesis!$D$72,MIN(Hipótesis!$D$70-BK81,Hipótesis!$D$72-BL79),-MIN(BK81,MAX(0,BL79-Hipótesis!$D$72)))</f>
        <v>-0</v>
      </c>
      <c r="BM80" s="138" t="n">
        <f aca="false">IF(BM79&lt;Hipótesis!$D$72,MIN(Hipótesis!$D$70-BL81,Hipótesis!$D$72-BM79),-MIN(BL81,MAX(0,BM79-Hipótesis!$D$72)))</f>
        <v>-0</v>
      </c>
      <c r="BN80" s="138" t="n">
        <f aca="false">IF(BN79&lt;Hipótesis!$D$72,MIN(Hipótesis!$D$70-BM81,Hipótesis!$D$72-BN79),-MIN(BM81,MAX(0,BN79-Hipótesis!$D$72)))</f>
        <v>-0</v>
      </c>
      <c r="BO80" s="138" t="n">
        <f aca="false">IF(BO79&lt;Hipótesis!$D$72,MIN(Hipótesis!$D$70-BN81,Hipótesis!$D$72-BO79),-MIN(BN81,MAX(0,BO79-Hipótesis!$D$72)))</f>
        <v>-0</v>
      </c>
      <c r="BP80" s="138" t="n">
        <f aca="false">IF(BP79&lt;Hipótesis!$D$72,MIN(Hipótesis!$D$70-BO81,Hipótesis!$D$72-BP79),-MIN(BO81,MAX(0,BP79-Hipótesis!$D$72)))</f>
        <v>-0</v>
      </c>
      <c r="BQ80" s="138" t="n">
        <f aca="false">IF(BQ79&lt;Hipótesis!$D$72,MIN(Hipótesis!$D$70-BP81,Hipótesis!$D$72-BQ79),-MIN(BP81,MAX(0,BQ79-Hipótesis!$D$72)))</f>
        <v>-0</v>
      </c>
      <c r="BR80" s="138" t="n">
        <f aca="false">IF(BR79&lt;Hipótesis!$D$72,MIN(Hipótesis!$D$70-BQ81,Hipótesis!$D$72-BR79),-MIN(BQ81,MAX(0,BR79-Hipótesis!$D$72)))</f>
        <v>-0</v>
      </c>
      <c r="BS80" s="138" t="n">
        <f aca="false">IF(BS79&lt;Hipótesis!$D$72,MIN(Hipótesis!$D$70-BR81,Hipótesis!$D$72-BS79),-MIN(BR81,MAX(0,BS79-Hipótesis!$D$72)))</f>
        <v>-0</v>
      </c>
      <c r="BT80" s="138" t="n">
        <f aca="false">IF(BT79&lt;Hipótesis!$D$72,MIN(Hipótesis!$D$70-BS81,Hipótesis!$D$72-BT79),-MIN(BS81,MAX(0,BT79-Hipótesis!$D$72)))</f>
        <v>-0</v>
      </c>
      <c r="BU80" s="138" t="n">
        <f aca="false">IF(BU79&lt;Hipótesis!$D$72,MIN(Hipótesis!$D$70-BT81,Hipótesis!$D$72-BU79),-MIN(BT81,MAX(0,BU79-Hipótesis!$D$72)))</f>
        <v>-0</v>
      </c>
      <c r="BV80" s="138" t="n">
        <f aca="false">IF(BV79&lt;Hipótesis!$D$72,MIN(Hipótesis!$D$70-BU81,Hipótesis!$D$72-BV79),-MIN(BU81,MAX(0,BV79-Hipótesis!$D$72)))</f>
        <v>-0</v>
      </c>
      <c r="BW80" s="138" t="n">
        <f aca="false">IF(BW79&lt;Hipótesis!$D$72,MIN(Hipótesis!$D$70-BV81,Hipótesis!$D$72-BW79),-MIN(BV81,MAX(0,BW79-Hipótesis!$D$72)))</f>
        <v>-0</v>
      </c>
      <c r="BX80" s="138" t="n">
        <f aca="false">IF(BX79&lt;Hipótesis!$D$72,MIN(Hipótesis!$D$70-BW81,Hipótesis!$D$72-BX79),-MIN(BW81,MAX(0,BX79-Hipótesis!$D$72)))</f>
        <v>-0</v>
      </c>
      <c r="BY80" s="138" t="n">
        <f aca="false">IF(BY79&lt;Hipótesis!$D$72,MIN(Hipótesis!$D$70-BX81,Hipótesis!$D$72-BY79),-MIN(BX81,MAX(0,BY79-Hipótesis!$D$72)))</f>
        <v>-0</v>
      </c>
      <c r="BZ80" s="138" t="n">
        <f aca="false">IF(BZ79&lt;Hipótesis!$D$72,MIN(Hipótesis!$D$70-BY81,Hipótesis!$D$72-BZ79),-MIN(BY81,MAX(0,BZ79-Hipótesis!$D$72)))</f>
        <v>-0</v>
      </c>
      <c r="CA80" s="138" t="n">
        <f aca="false">IF(CA79&lt;Hipótesis!$D$72,MIN(Hipótesis!$D$70-BZ81,Hipótesis!$D$72-CA79),-MIN(BZ81,MAX(0,CA79-Hipótesis!$D$72)))</f>
        <v>-0</v>
      </c>
      <c r="CB80" s="138" t="n">
        <f aca="false">IF(CB79&lt;Hipótesis!$D$72,MIN(Hipótesis!$D$70-CA81,Hipótesis!$D$72-CB79),-MIN(CA81,MAX(0,CB79-Hipótesis!$D$72)))</f>
        <v>-0</v>
      </c>
      <c r="CC80" s="138" t="n">
        <f aca="false">IF(CC79&lt;Hipótesis!$D$72,MIN(Hipótesis!$D$70-CB81,Hipótesis!$D$72-CC79),-MIN(CB81,MAX(0,CC79-Hipótesis!$D$72)))</f>
        <v>-0</v>
      </c>
      <c r="CD80" s="138" t="n">
        <f aca="false">IF(CD79&lt;Hipótesis!$D$72,MIN(Hipótesis!$D$70-CC81,Hipótesis!$D$72-CD79),-MIN(CC81,MAX(0,CD79-Hipótesis!$D$72)))</f>
        <v>-0</v>
      </c>
      <c r="CE80" s="138" t="n">
        <f aca="false">IF(CE79&lt;Hipótesis!$D$72,MIN(Hipótesis!$D$70-CD81,Hipótesis!$D$72-CE79),-MIN(CD81,MAX(0,CE79-Hipótesis!$D$72)))</f>
        <v>-0</v>
      </c>
      <c r="CF80" s="138" t="n">
        <f aca="false">IF(CF79&lt;Hipótesis!$D$72,MIN(Hipótesis!$D$70-CE81,Hipótesis!$D$72-CF79),-MIN(CE81,MAX(0,CF79-Hipótesis!$D$72)))</f>
        <v>-0</v>
      </c>
      <c r="CG80" s="138" t="n">
        <f aca="false">IF(CG79&lt;Hipótesis!$D$72,MIN(Hipótesis!$D$70-CF81,Hipótesis!$D$72-CG79),-MIN(CF81,MAX(0,CG79-Hipótesis!$D$72)))</f>
        <v>-0</v>
      </c>
      <c r="CH80" s="138" t="n">
        <f aca="false">IF(CH79&lt;Hipótesis!$D$72,MIN(Hipótesis!$D$70-CG81,Hipótesis!$D$72-CH79),-MIN(CG81,MAX(0,CH79-Hipótesis!$D$72)))</f>
        <v>-0</v>
      </c>
    </row>
    <row r="81" customFormat="false" ht="13.5" hidden="false" customHeight="true" outlineLevel="0" collapsed="false">
      <c r="A81" s="64" t="s">
        <v>759</v>
      </c>
      <c r="C81" s="99" t="n">
        <f aca="false">C80</f>
        <v>-0</v>
      </c>
      <c r="D81" s="99" t="n">
        <f aca="false">C81+D80</f>
        <v>0</v>
      </c>
      <c r="E81" s="99" t="n">
        <f aca="false">D81+E80</f>
        <v>0</v>
      </c>
      <c r="F81" s="99" t="n">
        <f aca="false">E81+F80</f>
        <v>0</v>
      </c>
      <c r="G81" s="99" t="n">
        <f aca="false">F81+G80</f>
        <v>0</v>
      </c>
      <c r="H81" s="99" t="n">
        <f aca="false">G81+H80</f>
        <v>0</v>
      </c>
      <c r="I81" s="99" t="n">
        <f aca="false">H81+I80</f>
        <v>6097.34877339136</v>
      </c>
      <c r="J81" s="99" t="n">
        <f aca="false">I81+J80</f>
        <v>12911.4536546982</v>
      </c>
      <c r="K81" s="99" t="n">
        <f aca="false">J81+K80</f>
        <v>15580.8481667978</v>
      </c>
      <c r="L81" s="99" t="n">
        <f aca="false">K81+L80</f>
        <v>14181.7871794093</v>
      </c>
      <c r="M81" s="99" t="n">
        <f aca="false">L81+M80</f>
        <v>9154.47596701086</v>
      </c>
      <c r="N81" s="99" t="n">
        <f aca="false">M81+N80</f>
        <v>1356.85179608368</v>
      </c>
      <c r="O81" s="99" t="n">
        <f aca="false">N81+O80</f>
        <v>0</v>
      </c>
      <c r="P81" s="99" t="n">
        <f aca="false">O81+P80</f>
        <v>0</v>
      </c>
      <c r="Q81" s="99" t="n">
        <f aca="false">P81+Q80</f>
        <v>0</v>
      </c>
      <c r="R81" s="99" t="n">
        <f aca="false">Q81+R80</f>
        <v>0</v>
      </c>
      <c r="S81" s="99" t="n">
        <f aca="false">R81+S80</f>
        <v>0</v>
      </c>
      <c r="T81" s="99" t="n">
        <f aca="false">S81+T80</f>
        <v>0</v>
      </c>
      <c r="U81" s="99" t="n">
        <f aca="false">T81+U80</f>
        <v>0</v>
      </c>
      <c r="V81" s="99" t="n">
        <f aca="false">U81+V80</f>
        <v>0</v>
      </c>
      <c r="W81" s="99" t="n">
        <f aca="false">V81+W80</f>
        <v>0</v>
      </c>
      <c r="X81" s="99" t="n">
        <f aca="false">W81+X80</f>
        <v>0</v>
      </c>
      <c r="Y81" s="99" t="n">
        <f aca="false">X81+Y80</f>
        <v>0</v>
      </c>
      <c r="Z81" s="99" t="n">
        <f aca="false">Y81+Z80</f>
        <v>0</v>
      </c>
      <c r="AA81" s="99" t="n">
        <f aca="false">Z81+AA80</f>
        <v>0</v>
      </c>
      <c r="AB81" s="99" t="n">
        <f aca="false">AA81+AB80</f>
        <v>0</v>
      </c>
      <c r="AC81" s="99" t="n">
        <f aca="false">AB81+AC80</f>
        <v>0</v>
      </c>
      <c r="AD81" s="99" t="n">
        <f aca="false">AC81+AD80</f>
        <v>0</v>
      </c>
      <c r="AE81" s="99" t="n">
        <f aca="false">AD81+AE80</f>
        <v>0</v>
      </c>
      <c r="AF81" s="99" t="n">
        <f aca="false">AE81+AF80</f>
        <v>0</v>
      </c>
      <c r="AG81" s="99" t="n">
        <f aca="false">AF81+AG80</f>
        <v>0</v>
      </c>
      <c r="AH81" s="99" t="n">
        <f aca="false">AG81+AH80</f>
        <v>0</v>
      </c>
      <c r="AI81" s="99" t="n">
        <f aca="false">AH81+AI80</f>
        <v>0</v>
      </c>
      <c r="AJ81" s="99" t="n">
        <f aca="false">AI81+AJ80</f>
        <v>0</v>
      </c>
      <c r="AK81" s="99" t="n">
        <f aca="false">AJ81+AK80</f>
        <v>0</v>
      </c>
      <c r="AL81" s="99" t="n">
        <f aca="false">AK81+AL80</f>
        <v>0</v>
      </c>
      <c r="AM81" s="99" t="n">
        <f aca="false">AL81+AM80</f>
        <v>0</v>
      </c>
      <c r="AN81" s="99" t="n">
        <f aca="false">AM81+AN80</f>
        <v>0</v>
      </c>
      <c r="AO81" s="99" t="n">
        <f aca="false">AN81+AO80</f>
        <v>0</v>
      </c>
      <c r="AP81" s="99" t="n">
        <f aca="false">AO81+AP80</f>
        <v>0</v>
      </c>
      <c r="AQ81" s="99" t="n">
        <f aca="false">AP81+AQ80</f>
        <v>0</v>
      </c>
      <c r="AR81" s="99" t="n">
        <f aca="false">AQ81+AR80</f>
        <v>0</v>
      </c>
      <c r="AS81" s="99" t="n">
        <f aca="false">AR81+AS80</f>
        <v>0</v>
      </c>
      <c r="AT81" s="99" t="n">
        <f aca="false">AS81+AT80</f>
        <v>0</v>
      </c>
      <c r="AU81" s="99" t="n">
        <f aca="false">AT81+AU80</f>
        <v>0</v>
      </c>
      <c r="AV81" s="99" t="n">
        <f aca="false">AU81+AV80</f>
        <v>0</v>
      </c>
      <c r="AW81" s="99" t="n">
        <f aca="false">AV81+AW80</f>
        <v>0</v>
      </c>
      <c r="AX81" s="99" t="n">
        <f aca="false">AW81+AX80</f>
        <v>0</v>
      </c>
      <c r="AY81" s="99" t="n">
        <f aca="false">AX81+AY80</f>
        <v>0</v>
      </c>
      <c r="AZ81" s="99" t="n">
        <f aca="false">AY81+AZ80</f>
        <v>0</v>
      </c>
      <c r="BA81" s="99" t="n">
        <f aca="false">AZ81+BA80</f>
        <v>0</v>
      </c>
      <c r="BB81" s="99" t="n">
        <f aca="false">BA81+BB80</f>
        <v>0</v>
      </c>
      <c r="BC81" s="99" t="n">
        <f aca="false">BB81+BC80</f>
        <v>0</v>
      </c>
      <c r="BD81" s="99" t="n">
        <f aca="false">BC81+BD80</f>
        <v>0</v>
      </c>
      <c r="BE81" s="99" t="n">
        <f aca="false">BD81+BE80</f>
        <v>0</v>
      </c>
      <c r="BF81" s="99" t="n">
        <f aca="false">BE81+BF80</f>
        <v>0</v>
      </c>
      <c r="BG81" s="99" t="n">
        <f aca="false">BF81+BG80</f>
        <v>0</v>
      </c>
      <c r="BH81" s="99" t="n">
        <f aca="false">BG81+BH80</f>
        <v>0</v>
      </c>
      <c r="BI81" s="99" t="n">
        <f aca="false">BH81+BI80</f>
        <v>0</v>
      </c>
      <c r="BJ81" s="99" t="n">
        <f aca="false">BI81+BJ80</f>
        <v>0</v>
      </c>
      <c r="BK81" s="99" t="n">
        <f aca="false">BJ81+BK80</f>
        <v>0</v>
      </c>
      <c r="BL81" s="99" t="n">
        <f aca="false">BK81+BL80</f>
        <v>0</v>
      </c>
      <c r="BM81" s="99" t="n">
        <f aca="false">BL81+BM80</f>
        <v>0</v>
      </c>
      <c r="BN81" s="99" t="n">
        <f aca="false">BM81+BN80</f>
        <v>0</v>
      </c>
      <c r="BO81" s="99" t="n">
        <f aca="false">BN81+BO80</f>
        <v>0</v>
      </c>
      <c r="BP81" s="99" t="n">
        <f aca="false">BO81+BP80</f>
        <v>0</v>
      </c>
      <c r="BQ81" s="99" t="n">
        <f aca="false">BP81+BQ80</f>
        <v>0</v>
      </c>
      <c r="BR81" s="99" t="n">
        <f aca="false">BQ81+BR80</f>
        <v>0</v>
      </c>
      <c r="BS81" s="99" t="n">
        <f aca="false">BR81+BS80</f>
        <v>0</v>
      </c>
      <c r="BT81" s="99" t="n">
        <f aca="false">BS81+BT80</f>
        <v>0</v>
      </c>
      <c r="BU81" s="99" t="n">
        <f aca="false">BT81+BU80</f>
        <v>0</v>
      </c>
      <c r="BV81" s="99" t="n">
        <f aca="false">BU81+BV80</f>
        <v>0</v>
      </c>
      <c r="BW81" s="99" t="n">
        <f aca="false">BV81+BW80</f>
        <v>0</v>
      </c>
      <c r="BX81" s="99" t="n">
        <f aca="false">BW81+BX80</f>
        <v>0</v>
      </c>
      <c r="BY81" s="99" t="n">
        <f aca="false">BX81+BY80</f>
        <v>0</v>
      </c>
      <c r="BZ81" s="99" t="n">
        <f aca="false">BY81+BZ80</f>
        <v>0</v>
      </c>
      <c r="CA81" s="99" t="n">
        <f aca="false">BZ81+CA80</f>
        <v>0</v>
      </c>
      <c r="CB81" s="99" t="n">
        <f aca="false">CA81+CB80</f>
        <v>0</v>
      </c>
      <c r="CC81" s="99" t="n">
        <f aca="false">CB81+CC80</f>
        <v>0</v>
      </c>
      <c r="CD81" s="99" t="n">
        <f aca="false">CC81+CD80</f>
        <v>0</v>
      </c>
      <c r="CE81" s="99" t="n">
        <f aca="false">CD81+CE80</f>
        <v>0</v>
      </c>
      <c r="CF81" s="99" t="n">
        <f aca="false">CE81+CF80</f>
        <v>0</v>
      </c>
      <c r="CG81" s="99" t="n">
        <f aca="false">CF81+CG80</f>
        <v>0</v>
      </c>
      <c r="CH81" s="99" t="n">
        <f aca="false">CG81+CH80</f>
        <v>0</v>
      </c>
    </row>
    <row r="82" customFormat="false" ht="13.5" hidden="false" customHeight="true" outlineLevel="0" collapsed="false">
      <c r="A82" s="13" t="s">
        <v>760</v>
      </c>
      <c r="C82" s="138" t="n">
        <f aca="false">C79+C80</f>
        <v>146396.417581049</v>
      </c>
      <c r="D82" s="138" t="n">
        <f aca="false">D79+D80</f>
        <v>116086.715206569</v>
      </c>
      <c r="E82" s="138" t="n">
        <f aca="false">E79+E80</f>
        <v>92314.4763164283</v>
      </c>
      <c r="F82" s="138" t="n">
        <f aca="false">F79+F80</f>
        <v>71694.6116246057</v>
      </c>
      <c r="G82" s="138" t="n">
        <f aca="false">G79+G80</f>
        <v>54256.685510325</v>
      </c>
      <c r="H82" s="138" t="n">
        <f aca="false">H79+H80</f>
        <v>35069.5334173957</v>
      </c>
      <c r="I82" s="138" t="n">
        <f aca="false">I79+I80</f>
        <v>30000</v>
      </c>
      <c r="J82" s="138" t="n">
        <f aca="false">J79+J80</f>
        <v>30000</v>
      </c>
      <c r="K82" s="138" t="n">
        <f aca="false">K79+K80</f>
        <v>30000</v>
      </c>
      <c r="L82" s="138" t="n">
        <f aca="false">L79+L80</f>
        <v>30000</v>
      </c>
      <c r="M82" s="138" t="n">
        <f aca="false">M79+M80</f>
        <v>30000</v>
      </c>
      <c r="N82" s="138" t="n">
        <f aca="false">N79+N80</f>
        <v>30000</v>
      </c>
      <c r="O82" s="138" t="n">
        <f aca="false">O79+O80</f>
        <v>37031.2081406433</v>
      </c>
      <c r="P82" s="138" t="n">
        <f aca="false">P79+P80</f>
        <v>46218.4319683813</v>
      </c>
      <c r="Q82" s="138" t="n">
        <f aca="false">Q79+Q80</f>
        <v>58069.766331385</v>
      </c>
      <c r="R82" s="138" t="n">
        <f aca="false">R79+R80</f>
        <v>72585.2112296543</v>
      </c>
      <c r="S82" s="138" t="n">
        <f aca="false">S79+S80</f>
        <v>94109.1534714206</v>
      </c>
      <c r="T82" s="138" t="n">
        <f aca="false">T79+T80</f>
        <v>98106.0269842205</v>
      </c>
      <c r="U82" s="138" t="n">
        <f aca="false">U79+U80</f>
        <v>118688.473928287</v>
      </c>
      <c r="V82" s="138" t="n">
        <f aca="false">V79+V80</f>
        <v>139669.937807619</v>
      </c>
      <c r="W82" s="138" t="n">
        <f aca="false">W79+W80</f>
        <v>163315.512222216</v>
      </c>
      <c r="X82" s="138" t="n">
        <f aca="false">X79+X80</f>
        <v>189249.412354836</v>
      </c>
      <c r="Y82" s="138" t="n">
        <f aca="false">Y79+Y80</f>
        <v>217368.850475775</v>
      </c>
      <c r="Z82" s="138" t="n">
        <f aca="false">Z79+Z80</f>
        <v>247533.17504126</v>
      </c>
      <c r="AA82" s="138" t="n">
        <f aca="false">AA79+AA80</f>
        <v>276777.637076336</v>
      </c>
      <c r="AB82" s="138" t="n">
        <f aca="false">AB79+AB80</f>
        <v>305492.09544933</v>
      </c>
      <c r="AC82" s="138" t="n">
        <f aca="false">AC79+AC80</f>
        <v>335659.639607043</v>
      </c>
      <c r="AD82" s="138" t="n">
        <f aca="false">AD79+AD80</f>
        <v>367280.269549475</v>
      </c>
      <c r="AE82" s="138" t="n">
        <f aca="false">AE79+AE80</f>
        <v>406761.637241187</v>
      </c>
      <c r="AF82" s="138" t="n">
        <f aca="false">AF79+AF80</f>
        <v>418916.496462232</v>
      </c>
      <c r="AG82" s="138" t="n">
        <f aca="false">AG79+AG80</f>
        <v>454896.383758821</v>
      </c>
      <c r="AH82" s="138" t="n">
        <f aca="false">AH79+AH80</f>
        <v>492329.356840128</v>
      </c>
      <c r="AI82" s="138" t="n">
        <f aca="false">AI79+AI80</f>
        <v>531215.415706154</v>
      </c>
      <c r="AJ82" s="138" t="n">
        <f aca="false">AJ79+AJ80</f>
        <v>571554.560356899</v>
      </c>
      <c r="AK82" s="138" t="n">
        <f aca="false">AK79+AK80</f>
        <v>613346.790792363</v>
      </c>
      <c r="AL82" s="138" t="n">
        <f aca="false">AL79+AL80</f>
        <v>654609.017565746</v>
      </c>
      <c r="AM82" s="138" t="n">
        <f aca="false">AM79+AM80</f>
        <v>690129.416247618</v>
      </c>
      <c r="AN82" s="138" t="n">
        <f aca="false">AN79+AN80</f>
        <v>726927.020377592</v>
      </c>
      <c r="AO82" s="138" t="n">
        <f aca="false">AO79+AO80</f>
        <v>765001.829955665</v>
      </c>
      <c r="AP82" s="138" t="n">
        <f aca="false">AP79+AP80</f>
        <v>804353.844981839</v>
      </c>
      <c r="AQ82" s="138" t="n">
        <f aca="false">AQ79+AQ80</f>
        <v>853330.744241687</v>
      </c>
      <c r="AR82" s="138" t="n">
        <f aca="false">AR79+AR80</f>
        <v>872865.227873237</v>
      </c>
      <c r="AS82" s="138" t="n">
        <f aca="false">AS79+AS80</f>
        <v>915257.950172634</v>
      </c>
      <c r="AT82" s="138" t="n">
        <f aca="false">AT79+AT80</f>
        <v>957654.839138697</v>
      </c>
      <c r="AU82" s="138" t="n">
        <f aca="false">AU79+AU80</f>
        <v>1000055.89477143</v>
      </c>
      <c r="AV82" s="138" t="n">
        <f aca="false">AV79+AV80</f>
        <v>1042461.11707082</v>
      </c>
      <c r="AW82" s="138" t="n">
        <f aca="false">AW79+AW80</f>
        <v>1084870.50603689</v>
      </c>
      <c r="AX82" s="138" t="n">
        <f aca="false">AX79+AX80</f>
        <v>1127284.06166962</v>
      </c>
      <c r="AY82" s="138" t="n">
        <f aca="false">AY79+AY80</f>
        <v>963909.893045503</v>
      </c>
      <c r="AZ82" s="138" t="n">
        <f aca="false">AZ79+AZ80</f>
        <v>1004532.9889613</v>
      </c>
      <c r="BA82" s="138" t="n">
        <f aca="false">BA79+BA80</f>
        <v>1045160.25154376</v>
      </c>
      <c r="BB82" s="138" t="n">
        <f aca="false">BB79+BB80</f>
        <v>1085791.68079288</v>
      </c>
      <c r="BC82" s="138" t="n">
        <f aca="false">BC79+BC80</f>
        <v>1134774.95549425</v>
      </c>
      <c r="BD82" s="138" t="n">
        <f aca="false">BD79+BD80</f>
        <v>1153042.77578589</v>
      </c>
      <c r="BE82" s="138" t="n">
        <f aca="false">BE79+BE80</f>
        <v>1193686.70503502</v>
      </c>
      <c r="BF82" s="138" t="n">
        <f aca="false">BF79+BF80</f>
        <v>1234334.80095081</v>
      </c>
      <c r="BG82" s="138" t="n">
        <f aca="false">BG79+BG80</f>
        <v>1274987.06353327</v>
      </c>
      <c r="BH82" s="138" t="n">
        <f aca="false">BH79+BH80</f>
        <v>1315643.4927824</v>
      </c>
      <c r="BI82" s="138" t="n">
        <f aca="false">BI79+BI80</f>
        <v>1356304.08869819</v>
      </c>
      <c r="BJ82" s="138" t="n">
        <f aca="false">BJ79+BJ80</f>
        <v>1396968.85128065</v>
      </c>
      <c r="BK82" s="138" t="n">
        <f aca="false">BK79+BK80</f>
        <v>1232340.17630822</v>
      </c>
      <c r="BL82" s="138" t="n">
        <f aca="false">BL79+BL80</f>
        <v>1271204.17438224</v>
      </c>
      <c r="BM82" s="138" t="n">
        <f aca="false">BM79+BM80</f>
        <v>1310072.33912292</v>
      </c>
      <c r="BN82" s="138" t="n">
        <f aca="false">BN79+BN80</f>
        <v>1348944.67053027</v>
      </c>
      <c r="BO82" s="138" t="n">
        <f aca="false">BO79+BO80</f>
        <v>1396168.84738986</v>
      </c>
      <c r="BP82" s="138" t="n">
        <f aca="false">BP79+BP80</f>
        <v>1412677.56983972</v>
      </c>
      <c r="BQ82" s="138" t="n">
        <f aca="false">BQ79+BQ80</f>
        <v>1451562.40124707</v>
      </c>
      <c r="BR82" s="138" t="n">
        <f aca="false">BR79+BR80</f>
        <v>1490451.39932108</v>
      </c>
      <c r="BS82" s="138" t="n">
        <f aca="false">BS79+BS80</f>
        <v>1529344.56406177</v>
      </c>
      <c r="BT82" s="138" t="n">
        <f aca="false">BT79+BT80</f>
        <v>1568241.89546912</v>
      </c>
      <c r="BU82" s="138" t="n">
        <f aca="false">BU79+BU80</f>
        <v>1607143.39354313</v>
      </c>
      <c r="BV82" s="138" t="n">
        <f aca="false">BV79+BV80</f>
        <v>1646049.05828381</v>
      </c>
      <c r="BW82" s="138" t="n">
        <f aca="false">BW79+BW80</f>
        <v>1488094.34117488</v>
      </c>
      <c r="BX82" s="138" t="n">
        <f aca="false">BX79+BX80</f>
        <v>1525188.62747187</v>
      </c>
      <c r="BY82" s="138" t="n">
        <f aca="false">BY79+BY80</f>
        <v>1562287.08043552</v>
      </c>
      <c r="BZ82" s="138" t="n">
        <f aca="false">BZ79+BZ80</f>
        <v>1599389.70006584</v>
      </c>
      <c r="CA82" s="138" t="n">
        <f aca="false">CA79+CA80</f>
        <v>1644844.1651484</v>
      </c>
      <c r="CB82" s="138" t="n">
        <f aca="false">CB79+CB80</f>
        <v>1659583.17582122</v>
      </c>
      <c r="CC82" s="138" t="n">
        <f aca="false">CC79+CC80</f>
        <v>1696698.29545154</v>
      </c>
      <c r="CD82" s="138" t="n">
        <f aca="false">CD79+CD80</f>
        <v>1733817.58174853</v>
      </c>
      <c r="CE82" s="138" t="n">
        <f aca="false">CE79+CE80</f>
        <v>1770941.03471218</v>
      </c>
      <c r="CF82" s="138" t="n">
        <f aca="false">CF79+CF80</f>
        <v>1808068.6543425</v>
      </c>
      <c r="CG82" s="138" t="n">
        <f aca="false">CG79+CG80</f>
        <v>1845200.44063948</v>
      </c>
      <c r="CH82" s="138" t="n">
        <f aca="false">CH79+CH80</f>
        <v>1882336.39360314</v>
      </c>
    </row>
    <row r="83" customFormat="false" ht="13.5" hidden="false" customHeight="true" outlineLevel="0" collapsed="false">
      <c r="A83" s="13" t="s">
        <v>761</v>
      </c>
      <c r="C83" s="138" t="n">
        <f aca="false">-IF(AND(1&gt;=Hipótesis!$D$76,MOD(1,12)=0,C81=0),MIN(Hipótesis!$D$77*MAX(0,SUM(C63:C63)),MAX(0,C82-Hipótesis!$D$80)),0)</f>
        <v>-0</v>
      </c>
      <c r="D83" s="138" t="n">
        <f aca="false">-IF(AND(2&gt;=Hipótesis!$D$76,MOD(2,12)=0,D81=0),MIN(Hipótesis!$D$77*MAX(0,SUM(C63:D63)),MAX(0,D82-Hipótesis!$D$80)),0)</f>
        <v>-0</v>
      </c>
      <c r="E83" s="138" t="n">
        <f aca="false">-IF(AND(3&gt;=Hipótesis!$D$76,MOD(3,12)=0,E81=0),MIN(Hipótesis!$D$77*MAX(0,SUM(C63:E63)),MAX(0,E82-Hipótesis!$D$80)),0)</f>
        <v>-0</v>
      </c>
      <c r="F83" s="138" t="n">
        <f aca="false">-IF(AND(4&gt;=Hipótesis!$D$76,MOD(4,12)=0,F81=0),MIN(Hipótesis!$D$77*MAX(0,SUM(C63:F63)),MAX(0,F82-Hipótesis!$D$80)),0)</f>
        <v>-0</v>
      </c>
      <c r="G83" s="138" t="n">
        <f aca="false">-IF(AND(5&gt;=Hipótesis!$D$76,MOD(5,12)=0,G81=0),MIN(Hipótesis!$D$77*MAX(0,SUM(C63:G63)),MAX(0,G82-Hipótesis!$D$80)),0)</f>
        <v>-0</v>
      </c>
      <c r="H83" s="138" t="n">
        <f aca="false">-IF(AND(6&gt;=Hipótesis!$D$76,MOD(6,12)=0,H81=0),MIN(Hipótesis!$D$77*MAX(0,SUM(C63:H63)),MAX(0,H82-Hipótesis!$D$80)),0)</f>
        <v>-0</v>
      </c>
      <c r="I83" s="138" t="n">
        <f aca="false">-IF(AND(7&gt;=Hipótesis!$D$76,MOD(7,12)=0,I81=0),MIN(Hipótesis!$D$77*MAX(0,SUM(C63:I63)),MAX(0,I82-Hipótesis!$D$80)),0)</f>
        <v>-0</v>
      </c>
      <c r="J83" s="138" t="n">
        <f aca="false">-IF(AND(8&gt;=Hipótesis!$D$76,MOD(8,12)=0,J81=0),MIN(Hipótesis!$D$77*MAX(0,SUM(C63:J63)),MAX(0,J82-Hipótesis!$D$80)),0)</f>
        <v>-0</v>
      </c>
      <c r="K83" s="138" t="n">
        <f aca="false">-IF(AND(9&gt;=Hipótesis!$D$76,MOD(9,12)=0,K81=0),MIN(Hipótesis!$D$77*MAX(0,SUM(C63:K63)),MAX(0,K82-Hipótesis!$D$80)),0)</f>
        <v>-0</v>
      </c>
      <c r="L83" s="138" t="n">
        <f aca="false">-IF(AND(10&gt;=Hipótesis!$D$76,MOD(10,12)=0,L81=0),MIN(Hipótesis!$D$77*MAX(0,SUM(C63:L63)),MAX(0,L82-Hipótesis!$D$80)),0)</f>
        <v>-0</v>
      </c>
      <c r="M83" s="138" t="n">
        <f aca="false">-IF(AND(11&gt;=Hipótesis!$D$76,MOD(11,12)=0,M81=0),MIN(Hipótesis!$D$77*MAX(0,SUM(C63:M63)),MAX(0,M82-Hipótesis!$D$80)),0)</f>
        <v>-0</v>
      </c>
      <c r="N83" s="138" t="n">
        <f aca="false">-IF(AND(12&gt;=Hipótesis!$D$76,MOD(12,12)=0,N81=0),MIN(Hipótesis!$D$77*MAX(0,SUM(C63:N63)),MAX(0,N82-Hipótesis!$D$80)),0)</f>
        <v>-0</v>
      </c>
      <c r="O83" s="138" t="n">
        <f aca="false">-IF(AND(13&gt;=Hipótesis!$D$76,MOD(13,12)=0,O81=0),MIN(Hipótesis!$D$77*MAX(0,SUM(D63:O63)),MAX(0,O82-Hipótesis!$D$80)),0)</f>
        <v>-0</v>
      </c>
      <c r="P83" s="138" t="n">
        <f aca="false">-IF(AND(14&gt;=Hipótesis!$D$76,MOD(14,12)=0,P81=0),MIN(Hipótesis!$D$77*MAX(0,SUM(E63:P63)),MAX(0,P82-Hipótesis!$D$80)),0)</f>
        <v>-0</v>
      </c>
      <c r="Q83" s="138" t="n">
        <f aca="false">-IF(AND(15&gt;=Hipótesis!$D$76,MOD(15,12)=0,Q81=0),MIN(Hipótesis!$D$77*MAX(0,SUM(F63:Q63)),MAX(0,Q82-Hipótesis!$D$80)),0)</f>
        <v>-0</v>
      </c>
      <c r="R83" s="138" t="n">
        <f aca="false">-IF(AND(16&gt;=Hipótesis!$D$76,MOD(16,12)=0,R81=0),MIN(Hipótesis!$D$77*MAX(0,SUM(G63:R63)),MAX(0,R82-Hipótesis!$D$80)),0)</f>
        <v>-0</v>
      </c>
      <c r="S83" s="138" t="n">
        <f aca="false">-IF(AND(17&gt;=Hipótesis!$D$76,MOD(17,12)=0,S81=0),MIN(Hipótesis!$D$77*MAX(0,SUM(H63:S63)),MAX(0,S82-Hipótesis!$D$80)),0)</f>
        <v>-0</v>
      </c>
      <c r="T83" s="138" t="n">
        <f aca="false">-IF(AND(18&gt;=Hipótesis!$D$76,MOD(18,12)=0,T81=0),MIN(Hipótesis!$D$77*MAX(0,SUM(I63:T63)),MAX(0,T82-Hipótesis!$D$80)),0)</f>
        <v>-0</v>
      </c>
      <c r="U83" s="138" t="n">
        <f aca="false">-IF(AND(19&gt;=Hipótesis!$D$76,MOD(19,12)=0,U81=0),MIN(Hipótesis!$D$77*MAX(0,SUM(J63:U63)),MAX(0,U82-Hipótesis!$D$80)),0)</f>
        <v>-0</v>
      </c>
      <c r="V83" s="138" t="n">
        <f aca="false">-IF(AND(20&gt;=Hipótesis!$D$76,MOD(20,12)=0,V81=0),MIN(Hipótesis!$D$77*MAX(0,SUM(K63:V63)),MAX(0,V82-Hipótesis!$D$80)),0)</f>
        <v>-0</v>
      </c>
      <c r="W83" s="138" t="n">
        <f aca="false">-IF(AND(21&gt;=Hipótesis!$D$76,MOD(21,12)=0,W81=0),MIN(Hipótesis!$D$77*MAX(0,SUM(L63:W63)),MAX(0,W82-Hipótesis!$D$80)),0)</f>
        <v>-0</v>
      </c>
      <c r="X83" s="138" t="n">
        <f aca="false">-IF(AND(22&gt;=Hipótesis!$D$76,MOD(22,12)=0,X81=0),MIN(Hipótesis!$D$77*MAX(0,SUM(M63:X63)),MAX(0,X82-Hipótesis!$D$80)),0)</f>
        <v>-0</v>
      </c>
      <c r="Y83" s="138" t="n">
        <f aca="false">-IF(AND(23&gt;=Hipótesis!$D$76,MOD(23,12)=0,Y81=0),MIN(Hipótesis!$D$77*MAX(0,SUM(N63:Y63)),MAX(0,Y82-Hipótesis!$D$80)),0)</f>
        <v>-0</v>
      </c>
      <c r="Z83" s="138" t="n">
        <f aca="false">-IF(AND(24&gt;=Hipótesis!$D$76,MOD(24,12)=0,Z81=0),MIN(Hipótesis!$D$77*MAX(0,SUM(O63:Z63)),MAX(0,Z82-Hipótesis!$D$80)),0)</f>
        <v>-0</v>
      </c>
      <c r="AA83" s="138" t="n">
        <f aca="false">-IF(AND(25&gt;=Hipótesis!$D$76,MOD(25,12)=0,AA81=0),MIN(Hipótesis!$D$77*MAX(0,SUM(P63:AA63)),MAX(0,AA82-Hipótesis!$D$80)),0)</f>
        <v>-0</v>
      </c>
      <c r="AB83" s="138" t="n">
        <f aca="false">-IF(AND(26&gt;=Hipótesis!$D$76,MOD(26,12)=0,AB81=0),MIN(Hipótesis!$D$77*MAX(0,SUM(Q63:AB63)),MAX(0,AB82-Hipótesis!$D$80)),0)</f>
        <v>-0</v>
      </c>
      <c r="AC83" s="138" t="n">
        <f aca="false">-IF(AND(27&gt;=Hipótesis!$D$76,MOD(27,12)=0,AC81=0),MIN(Hipótesis!$D$77*MAX(0,SUM(R63:AC63)),MAX(0,AC82-Hipótesis!$D$80)),0)</f>
        <v>-0</v>
      </c>
      <c r="AD83" s="138" t="n">
        <f aca="false">-IF(AND(28&gt;=Hipótesis!$D$76,MOD(28,12)=0,AD81=0),MIN(Hipótesis!$D$77*MAX(0,SUM(S63:AD63)),MAX(0,AD82-Hipótesis!$D$80)),0)</f>
        <v>-0</v>
      </c>
      <c r="AE83" s="138" t="n">
        <f aca="false">-IF(AND(29&gt;=Hipótesis!$D$76,MOD(29,12)=0,AE81=0),MIN(Hipótesis!$D$77*MAX(0,SUM(T63:AE63)),MAX(0,AE82-Hipótesis!$D$80)),0)</f>
        <v>-0</v>
      </c>
      <c r="AF83" s="138" t="n">
        <f aca="false">-IF(AND(30&gt;=Hipótesis!$D$76,MOD(30,12)=0,AF81=0),MIN(Hipótesis!$D$77*MAX(0,SUM(U63:AF63)),MAX(0,AF82-Hipótesis!$D$80)),0)</f>
        <v>-0</v>
      </c>
      <c r="AG83" s="138" t="n">
        <f aca="false">-IF(AND(31&gt;=Hipótesis!$D$76,MOD(31,12)=0,AG81=0),MIN(Hipótesis!$D$77*MAX(0,SUM(V63:AG63)),MAX(0,AG82-Hipótesis!$D$80)),0)</f>
        <v>-0</v>
      </c>
      <c r="AH83" s="138" t="n">
        <f aca="false">-IF(AND(32&gt;=Hipótesis!$D$76,MOD(32,12)=0,AH81=0),MIN(Hipótesis!$D$77*MAX(0,SUM(W63:AH63)),MAX(0,AH82-Hipótesis!$D$80)),0)</f>
        <v>-0</v>
      </c>
      <c r="AI83" s="138" t="n">
        <f aca="false">-IF(AND(33&gt;=Hipótesis!$D$76,MOD(33,12)=0,AI81=0),MIN(Hipótesis!$D$77*MAX(0,SUM(X63:AI63)),MAX(0,AI82-Hipótesis!$D$80)),0)</f>
        <v>-0</v>
      </c>
      <c r="AJ83" s="138" t="n">
        <f aca="false">-IF(AND(34&gt;=Hipótesis!$D$76,MOD(34,12)=0,AJ81=0),MIN(Hipótesis!$D$77*MAX(0,SUM(Y63:AJ63)),MAX(0,AJ82-Hipótesis!$D$80)),0)</f>
        <v>-0</v>
      </c>
      <c r="AK83" s="138" t="n">
        <f aca="false">-IF(AND(35&gt;=Hipótesis!$D$76,MOD(35,12)=0,AK81=0),MIN(Hipótesis!$D$77*MAX(0,SUM(Z63:AK63)),MAX(0,AK82-Hipótesis!$D$80)),0)</f>
        <v>-0</v>
      </c>
      <c r="AL83" s="138" t="n">
        <f aca="false">-IF(AND(36&gt;=Hipótesis!$D$76,MOD(36,12)=0,AL81=0),MIN(Hipótesis!$D$77*MAX(0,SUM(AA63:AL63)),MAX(0,AL82-Hipótesis!$D$80)),0)</f>
        <v>-0</v>
      </c>
      <c r="AM83" s="138" t="n">
        <f aca="false">-IF(AND(37&gt;=Hipótesis!$D$76,MOD(37,12)=0,AM81=0),MIN(Hipótesis!$D$77*MAX(0,SUM(AB63:AM63)),MAX(0,AM82-Hipótesis!$D$80)),0)</f>
        <v>-0</v>
      </c>
      <c r="AN83" s="138" t="n">
        <f aca="false">-IF(AND(38&gt;=Hipótesis!$D$76,MOD(38,12)=0,AN81=0),MIN(Hipótesis!$D$77*MAX(0,SUM(AC63:AN63)),MAX(0,AN82-Hipótesis!$D$80)),0)</f>
        <v>-0</v>
      </c>
      <c r="AO83" s="138" t="n">
        <f aca="false">-IF(AND(39&gt;=Hipótesis!$D$76,MOD(39,12)=0,AO81=0),MIN(Hipótesis!$D$77*MAX(0,SUM(AD63:AO63)),MAX(0,AO82-Hipótesis!$D$80)),0)</f>
        <v>-0</v>
      </c>
      <c r="AP83" s="138" t="n">
        <f aca="false">-IF(AND(40&gt;=Hipótesis!$D$76,MOD(40,12)=0,AP81=0),MIN(Hipótesis!$D$77*MAX(0,SUM(AE63:AP63)),MAX(0,AP82-Hipótesis!$D$80)),0)</f>
        <v>-0</v>
      </c>
      <c r="AQ83" s="138" t="n">
        <f aca="false">-IF(AND(41&gt;=Hipótesis!$D$76,MOD(41,12)=0,AQ81=0),MIN(Hipótesis!$D$77*MAX(0,SUM(AF63:AQ63)),MAX(0,AQ82-Hipótesis!$D$80)),0)</f>
        <v>-0</v>
      </c>
      <c r="AR83" s="138" t="n">
        <f aca="false">-IF(AND(42&gt;=Hipótesis!$D$76,MOD(42,12)=0,AR81=0),MIN(Hipótesis!$D$77*MAX(0,SUM(AG63:AR63)),MAX(0,AR82-Hipótesis!$D$80)),0)</f>
        <v>-0</v>
      </c>
      <c r="AS83" s="138" t="n">
        <f aca="false">-IF(AND(43&gt;=Hipótesis!$D$76,MOD(43,12)=0,AS81=0),MIN(Hipótesis!$D$77*MAX(0,SUM(AH63:AS63)),MAX(0,AS82-Hipótesis!$D$80)),0)</f>
        <v>-0</v>
      </c>
      <c r="AT83" s="138" t="n">
        <f aca="false">-IF(AND(44&gt;=Hipótesis!$D$76,MOD(44,12)=0,AT81=0),MIN(Hipótesis!$D$77*MAX(0,SUM(AI63:AT63)),MAX(0,AT82-Hipótesis!$D$80)),0)</f>
        <v>-0</v>
      </c>
      <c r="AU83" s="138" t="n">
        <f aca="false">-IF(AND(45&gt;=Hipótesis!$D$76,MOD(45,12)=0,AU81=0),MIN(Hipótesis!$D$77*MAX(0,SUM(AJ63:AU63)),MAX(0,AU82-Hipótesis!$D$80)),0)</f>
        <v>-0</v>
      </c>
      <c r="AV83" s="138" t="n">
        <f aca="false">-IF(AND(46&gt;=Hipótesis!$D$76,MOD(46,12)=0,AV81=0),MIN(Hipótesis!$D$77*MAX(0,SUM(AK63:AV63)),MAX(0,AV82-Hipótesis!$D$80)),0)</f>
        <v>-0</v>
      </c>
      <c r="AW83" s="138" t="n">
        <f aca="false">-IF(AND(47&gt;=Hipótesis!$D$76,MOD(47,12)=0,AW81=0),MIN(Hipótesis!$D$77*MAX(0,SUM(AL63:AW63)),MAX(0,AW82-Hipótesis!$D$80)),0)</f>
        <v>-0</v>
      </c>
      <c r="AX83" s="138" t="n">
        <f aca="false">-IF(AND(48&gt;=Hipótesis!$D$76,MOD(48,12)=0,AX81=0),MIN(Hipótesis!$D$77*MAX(0,SUM(AM63:AX63)),MAX(0,AX82-Hipótesis!$D$80)),0)</f>
        <v>-203993.097873244</v>
      </c>
      <c r="AY83" s="138" t="n">
        <f aca="false">-IF(AND(49&gt;=Hipótesis!$D$76,MOD(49,12)=0,AY81=0),MIN(Hipótesis!$D$77*MAX(0,SUM(AN63:AY63)),MAX(0,AY82-Hipótesis!$D$80)),0)</f>
        <v>-0</v>
      </c>
      <c r="AZ83" s="138" t="n">
        <f aca="false">-IF(AND(50&gt;=Hipótesis!$D$76,MOD(50,12)=0,AZ81=0),MIN(Hipótesis!$D$77*MAX(0,SUM(AO63:AZ63)),MAX(0,AZ82-Hipótesis!$D$80)),0)</f>
        <v>-0</v>
      </c>
      <c r="BA83" s="138" t="n">
        <f aca="false">-IF(AND(51&gt;=Hipótesis!$D$76,MOD(51,12)=0,BA81=0),MIN(Hipótesis!$D$77*MAX(0,SUM(AP63:BA63)),MAX(0,BA82-Hipótesis!$D$80)),0)</f>
        <v>-0</v>
      </c>
      <c r="BB83" s="138" t="n">
        <f aca="false">-IF(AND(52&gt;=Hipótesis!$D$76,MOD(52,12)=0,BB81=0),MIN(Hipótesis!$D$77*MAX(0,SUM(AQ63:BB63)),MAX(0,BB82-Hipótesis!$D$80)),0)</f>
        <v>-0</v>
      </c>
      <c r="BC83" s="138" t="n">
        <f aca="false">-IF(AND(53&gt;=Hipótesis!$D$76,MOD(53,12)=0,BC81=0),MIN(Hipótesis!$D$77*MAX(0,SUM(AR63:BC63)),MAX(0,BC82-Hipótesis!$D$80)),0)</f>
        <v>-0</v>
      </c>
      <c r="BD83" s="138" t="n">
        <f aca="false">-IF(AND(54&gt;=Hipótesis!$D$76,MOD(54,12)=0,BD81=0),MIN(Hipótesis!$D$77*MAX(0,SUM(AS63:BD63)),MAX(0,BD82-Hipótesis!$D$80)),0)</f>
        <v>-0</v>
      </c>
      <c r="BE83" s="138" t="n">
        <f aca="false">-IF(AND(55&gt;=Hipótesis!$D$76,MOD(55,12)=0,BE81=0),MIN(Hipótesis!$D$77*MAX(0,SUM(AT63:BE63)),MAX(0,BE82-Hipótesis!$D$80)),0)</f>
        <v>-0</v>
      </c>
      <c r="BF83" s="138" t="n">
        <f aca="false">-IF(AND(56&gt;=Hipótesis!$D$76,MOD(56,12)=0,BF81=0),MIN(Hipótesis!$D$77*MAX(0,SUM(AU63:BF63)),MAX(0,BF82-Hipótesis!$D$80)),0)</f>
        <v>-0</v>
      </c>
      <c r="BG83" s="138" t="n">
        <f aca="false">-IF(AND(57&gt;=Hipótesis!$D$76,MOD(57,12)=0,BG81=0),MIN(Hipótesis!$D$77*MAX(0,SUM(AV63:BG63)),MAX(0,BG82-Hipótesis!$D$80)),0)</f>
        <v>-0</v>
      </c>
      <c r="BH83" s="138" t="n">
        <f aca="false">-IF(AND(58&gt;=Hipótesis!$D$76,MOD(58,12)=0,BH81=0),MIN(Hipótesis!$D$77*MAX(0,SUM(AW63:BH63)),MAX(0,BH82-Hipótesis!$D$80)),0)</f>
        <v>-0</v>
      </c>
      <c r="BI83" s="138" t="n">
        <f aca="false">-IF(AND(59&gt;=Hipótesis!$D$76,MOD(59,12)=0,BI81=0),MIN(Hipótesis!$D$77*MAX(0,SUM(AX63:BI63)),MAX(0,BI82-Hipótesis!$D$80)),0)</f>
        <v>-0</v>
      </c>
      <c r="BJ83" s="138" t="n">
        <f aca="false">-IF(AND(60&gt;=Hipótesis!$D$76,MOD(60,12)=0,BJ81=0),MIN(Hipótesis!$D$77*MAX(0,SUM(AY63:BJ63)),MAX(0,BJ82-Hipótesis!$D$80)),0)</f>
        <v>-203488.506379785</v>
      </c>
      <c r="BK83" s="138" t="n">
        <f aca="false">-IF(AND(61&gt;=Hipótesis!$D$76,MOD(61,12)=0,BK81=0),MIN(Hipótesis!$D$77*MAX(0,SUM(AZ63:BK63)),MAX(0,BK82-Hipótesis!$D$80)),0)</f>
        <v>-0</v>
      </c>
      <c r="BL83" s="138" t="n">
        <f aca="false">-IF(AND(62&gt;=Hipótesis!$D$76,MOD(62,12)=0,BL81=0),MIN(Hipótesis!$D$77*MAX(0,SUM(BA63:BL63)),MAX(0,BL82-Hipótesis!$D$80)),0)</f>
        <v>-0</v>
      </c>
      <c r="BM83" s="138" t="n">
        <f aca="false">-IF(AND(63&gt;=Hipótesis!$D$76,MOD(63,12)=0,BM81=0),MIN(Hipótesis!$D$77*MAX(0,SUM(BB63:BM63)),MAX(0,BM82-Hipótesis!$D$80)),0)</f>
        <v>-0</v>
      </c>
      <c r="BN83" s="138" t="n">
        <f aca="false">-IF(AND(64&gt;=Hipótesis!$D$76,MOD(64,12)=0,BN81=0),MIN(Hipótesis!$D$77*MAX(0,SUM(BC63:BN63)),MAX(0,BN82-Hipótesis!$D$80)),0)</f>
        <v>-0</v>
      </c>
      <c r="BO83" s="138" t="n">
        <f aca="false">-IF(AND(65&gt;=Hipótesis!$D$76,MOD(65,12)=0,BO81=0),MIN(Hipótesis!$D$77*MAX(0,SUM(BD63:BO63)),MAX(0,BO82-Hipótesis!$D$80)),0)</f>
        <v>-0</v>
      </c>
      <c r="BP83" s="138" t="n">
        <f aca="false">-IF(AND(66&gt;=Hipótesis!$D$76,MOD(66,12)=0,BP81=0),MIN(Hipótesis!$D$77*MAX(0,SUM(BE63:BP63)),MAX(0,BP82-Hipótesis!$D$80)),0)</f>
        <v>-0</v>
      </c>
      <c r="BQ83" s="138" t="n">
        <f aca="false">-IF(AND(67&gt;=Hipótesis!$D$76,MOD(67,12)=0,BQ81=0),MIN(Hipótesis!$D$77*MAX(0,SUM(BF63:BQ63)),MAX(0,BQ82-Hipótesis!$D$80)),0)</f>
        <v>-0</v>
      </c>
      <c r="BR83" s="138" t="n">
        <f aca="false">-IF(AND(68&gt;=Hipótesis!$D$76,MOD(68,12)=0,BR81=0),MIN(Hipótesis!$D$77*MAX(0,SUM(BG63:BR63)),MAX(0,BR82-Hipótesis!$D$80)),0)</f>
        <v>-0</v>
      </c>
      <c r="BS83" s="138" t="n">
        <f aca="false">-IF(AND(69&gt;=Hipótesis!$D$76,MOD(69,12)=0,BS81=0),MIN(Hipótesis!$D$77*MAX(0,SUM(BH63:BS63)),MAX(0,BS82-Hipótesis!$D$80)),0)</f>
        <v>-0</v>
      </c>
      <c r="BT83" s="138" t="n">
        <f aca="false">-IF(AND(70&gt;=Hipótesis!$D$76,MOD(70,12)=0,BT81=0),MIN(Hipótesis!$D$77*MAX(0,SUM(BI63:BT63)),MAX(0,BT82-Hipótesis!$D$80)),0)</f>
        <v>-0</v>
      </c>
      <c r="BU83" s="138" t="n">
        <f aca="false">-IF(AND(71&gt;=Hipótesis!$D$76,MOD(71,12)=0,BU81=0),MIN(Hipótesis!$D$77*MAX(0,SUM(BJ63:BU63)),MAX(0,BU82-Hipótesis!$D$80)),0)</f>
        <v>-0</v>
      </c>
      <c r="BV83" s="138" t="n">
        <f aca="false">-IF(AND(72&gt;=Hipótesis!$D$76,MOD(72,12)=0,BV81=0),MIN(Hipótesis!$D$77*MAX(0,SUM(BK63:BV63)),MAX(0,BV82-Hipótesis!$D$80)),0)</f>
        <v>-195044.836739252</v>
      </c>
      <c r="BW83" s="138" t="n">
        <f aca="false">-IF(AND(73&gt;=Hipótesis!$D$76,MOD(73,12)=0,BW81=0),MIN(Hipótesis!$D$77*MAX(0,SUM(BL63:BW63)),MAX(0,BW82-Hipótesis!$D$80)),0)</f>
        <v>-0</v>
      </c>
      <c r="BX83" s="138" t="n">
        <f aca="false">-IF(AND(74&gt;=Hipótesis!$D$76,MOD(74,12)=0,BX81=0),MIN(Hipótesis!$D$77*MAX(0,SUM(BM63:BX63)),MAX(0,BX82-Hipótesis!$D$80)),0)</f>
        <v>-0</v>
      </c>
      <c r="BY83" s="138" t="n">
        <f aca="false">-IF(AND(75&gt;=Hipótesis!$D$76,MOD(75,12)=0,BY81=0),MIN(Hipótesis!$D$77*MAX(0,SUM(BN63:BY63)),MAX(0,BY82-Hipótesis!$D$80)),0)</f>
        <v>-0</v>
      </c>
      <c r="BZ83" s="138" t="n">
        <f aca="false">-IF(AND(76&gt;=Hipótesis!$D$76,MOD(76,12)=0,BZ81=0),MIN(Hipótesis!$D$77*MAX(0,SUM(BO63:BZ63)),MAX(0,BZ82-Hipótesis!$D$80)),0)</f>
        <v>-0</v>
      </c>
      <c r="CA83" s="138" t="n">
        <f aca="false">-IF(AND(77&gt;=Hipótesis!$D$76,MOD(77,12)=0,CA81=0),MIN(Hipótesis!$D$77*MAX(0,SUM(BP63:CA63)),MAX(0,CA82-Hipótesis!$D$80)),0)</f>
        <v>-0</v>
      </c>
      <c r="CB83" s="138" t="n">
        <f aca="false">-IF(AND(78&gt;=Hipótesis!$D$76,MOD(78,12)=0,CB81=0),MIN(Hipótesis!$D$77*MAX(0,SUM(BQ63:CB63)),MAX(0,CB82-Hipótesis!$D$80)),0)</f>
        <v>-0</v>
      </c>
      <c r="CC83" s="138" t="n">
        <f aca="false">-IF(AND(79&gt;=Hipótesis!$D$76,MOD(79,12)=0,CC81=0),MIN(Hipótesis!$D$77*MAX(0,SUM(BR63:CC63)),MAX(0,CC82-Hipótesis!$D$80)),0)</f>
        <v>-0</v>
      </c>
      <c r="CD83" s="138" t="n">
        <f aca="false">-IF(AND(80&gt;=Hipótesis!$D$76,MOD(80,12)=0,CD81=0),MIN(Hipótesis!$D$77*MAX(0,SUM(BS63:CD63)),MAX(0,CD82-Hipótesis!$D$80)),0)</f>
        <v>-0</v>
      </c>
      <c r="CE83" s="138" t="n">
        <f aca="false">-IF(AND(81&gt;=Hipótesis!$D$76,MOD(81,12)=0,CE81=0),MIN(Hipótesis!$D$77*MAX(0,SUM(BT63:CE63)),MAX(0,CE82-Hipótesis!$D$80)),0)</f>
        <v>-0</v>
      </c>
      <c r="CF83" s="138" t="n">
        <f aca="false">-IF(AND(82&gt;=Hipótesis!$D$76,MOD(82,12)=0,CF81=0),MIN(Hipótesis!$D$77*MAX(0,SUM(BU63:CF63)),MAX(0,CF82-Hipótesis!$D$80)),0)</f>
        <v>-0</v>
      </c>
      <c r="CG83" s="138" t="n">
        <f aca="false">-IF(AND(83&gt;=Hipótesis!$D$76,MOD(83,12)=0,CG81=0),MIN(Hipótesis!$D$77*MAX(0,SUM(BV63:CG63)),MAX(0,CG82-Hipótesis!$D$80)),0)</f>
        <v>-0</v>
      </c>
      <c r="CH83" s="138" t="n">
        <f aca="false">-IF(AND(84&gt;=Hipótesis!$D$76,MOD(84,12)=0,CH81=0),MIN(Hipótesis!$D$77*MAX(0,SUM(BW63:CH63)),MAX(0,CH82-Hipótesis!$D$80)),0)</f>
        <v>-186550.220209503</v>
      </c>
    </row>
    <row r="84" customFormat="false" ht="13.5" hidden="false" customHeight="true" outlineLevel="0" collapsed="false">
      <c r="A84" s="30" t="s">
        <v>762</v>
      </c>
      <c r="C84" s="138" t="n">
        <f aca="false">-IF(AND(1&gt;=Hipótesis!$D$78,MOD(1,12)=0,C96=0,C89=0,C101=0,C81=0),MIN(Hipótesis!$D$79*MAX(0,C112),MAX(0,C82+C83-Hipótesis!$D$80)),0)</f>
        <v>-0</v>
      </c>
      <c r="D84" s="138" t="n">
        <f aca="false">-IF(AND(2&gt;=Hipótesis!$D$78,MOD(2,12)=0,D96=0,D89=0,D101=0,D81=0),MIN(Hipótesis!$D$79*MAX(0,D112),MAX(0,D82+D83-Hipótesis!$D$80)),0)</f>
        <v>-0</v>
      </c>
      <c r="E84" s="138" t="n">
        <f aca="false">-IF(AND(3&gt;=Hipótesis!$D$78,MOD(3,12)=0,E96=0,E89=0,E101=0,E81=0),MIN(Hipótesis!$D$79*MAX(0,E112),MAX(0,E82+E83-Hipótesis!$D$80)),0)</f>
        <v>-0</v>
      </c>
      <c r="F84" s="138" t="n">
        <f aca="false">-IF(AND(4&gt;=Hipótesis!$D$78,MOD(4,12)=0,F96=0,F89=0,F101=0,F81=0),MIN(Hipótesis!$D$79*MAX(0,F112),MAX(0,F82+F83-Hipótesis!$D$80)),0)</f>
        <v>-0</v>
      </c>
      <c r="G84" s="138" t="n">
        <f aca="false">-IF(AND(5&gt;=Hipótesis!$D$78,MOD(5,12)=0,G96=0,G89=0,G101=0,G81=0),MIN(Hipótesis!$D$79*MAX(0,G112),MAX(0,G82+G83-Hipótesis!$D$80)),0)</f>
        <v>-0</v>
      </c>
      <c r="H84" s="138" t="n">
        <f aca="false">-IF(AND(6&gt;=Hipótesis!$D$78,MOD(6,12)=0,H96=0,H89=0,H101=0,H81=0),MIN(Hipótesis!$D$79*MAX(0,H112),MAX(0,H82+H83-Hipótesis!$D$80)),0)</f>
        <v>-0</v>
      </c>
      <c r="I84" s="138" t="n">
        <f aca="false">-IF(AND(7&gt;=Hipótesis!$D$78,MOD(7,12)=0,I96=0,I89=0,I101=0,I81=0),MIN(Hipótesis!$D$79*MAX(0,I112),MAX(0,I82+I83-Hipótesis!$D$80)),0)</f>
        <v>-0</v>
      </c>
      <c r="J84" s="138" t="n">
        <f aca="false">-IF(AND(8&gt;=Hipótesis!$D$78,MOD(8,12)=0,J96=0,J89=0,J101=0,J81=0),MIN(Hipótesis!$D$79*MAX(0,J112),MAX(0,J82+J83-Hipótesis!$D$80)),0)</f>
        <v>-0</v>
      </c>
      <c r="K84" s="138" t="n">
        <f aca="false">-IF(AND(9&gt;=Hipótesis!$D$78,MOD(9,12)=0,K96=0,K89=0,K101=0,K81=0),MIN(Hipótesis!$D$79*MAX(0,K112),MAX(0,K82+K83-Hipótesis!$D$80)),0)</f>
        <v>-0</v>
      </c>
      <c r="L84" s="138" t="n">
        <f aca="false">-IF(AND(10&gt;=Hipótesis!$D$78,MOD(10,12)=0,L96=0,L89=0,L101=0,L81=0),MIN(Hipótesis!$D$79*MAX(0,L112),MAX(0,L82+L83-Hipótesis!$D$80)),0)</f>
        <v>-0</v>
      </c>
      <c r="M84" s="138" t="n">
        <f aca="false">-IF(AND(11&gt;=Hipótesis!$D$78,MOD(11,12)=0,M96=0,M89=0,M101=0,M81=0),MIN(Hipótesis!$D$79*MAX(0,M112),MAX(0,M82+M83-Hipótesis!$D$80)),0)</f>
        <v>-0</v>
      </c>
      <c r="N84" s="138" t="n">
        <f aca="false">-IF(AND(12&gt;=Hipótesis!$D$78,MOD(12,12)=0,N96=0,N89=0,N101=0,N81=0),MIN(Hipótesis!$D$79*MAX(0,N112),MAX(0,N82+N83-Hipótesis!$D$80)),0)</f>
        <v>-0</v>
      </c>
      <c r="O84" s="138" t="n">
        <f aca="false">-IF(AND(13&gt;=Hipótesis!$D$78,MOD(13,12)=0,O96=0,O89=0,O101=0,O81=0),MIN(Hipótesis!$D$79*MAX(0,O112),MAX(0,O82+O83-Hipótesis!$D$80)),0)</f>
        <v>-0</v>
      </c>
      <c r="P84" s="138" t="n">
        <f aca="false">-IF(AND(14&gt;=Hipótesis!$D$78,MOD(14,12)=0,P96=0,P89=0,P101=0,P81=0),MIN(Hipótesis!$D$79*MAX(0,P112),MAX(0,P82+P83-Hipótesis!$D$80)),0)</f>
        <v>-0</v>
      </c>
      <c r="Q84" s="138" t="n">
        <f aca="false">-IF(AND(15&gt;=Hipótesis!$D$78,MOD(15,12)=0,Q96=0,Q89=0,Q101=0,Q81=0),MIN(Hipótesis!$D$79*MAX(0,Q112),MAX(0,Q82+Q83-Hipótesis!$D$80)),0)</f>
        <v>-0</v>
      </c>
      <c r="R84" s="138" t="n">
        <f aca="false">-IF(AND(16&gt;=Hipótesis!$D$78,MOD(16,12)=0,R96=0,R89=0,R101=0,R81=0),MIN(Hipótesis!$D$79*MAX(0,R112),MAX(0,R82+R83-Hipótesis!$D$80)),0)</f>
        <v>-0</v>
      </c>
      <c r="S84" s="138" t="n">
        <f aca="false">-IF(AND(17&gt;=Hipótesis!$D$78,MOD(17,12)=0,S96=0,S89=0,S101=0,S81=0),MIN(Hipótesis!$D$79*MAX(0,S112),MAX(0,S82+S83-Hipótesis!$D$80)),0)</f>
        <v>-0</v>
      </c>
      <c r="T84" s="138" t="n">
        <f aca="false">-IF(AND(18&gt;=Hipótesis!$D$78,MOD(18,12)=0,T96=0,T89=0,T101=0,T81=0),MIN(Hipótesis!$D$79*MAX(0,T112),MAX(0,T82+T83-Hipótesis!$D$80)),0)</f>
        <v>-0</v>
      </c>
      <c r="U84" s="138" t="n">
        <f aca="false">-IF(AND(19&gt;=Hipótesis!$D$78,MOD(19,12)=0,U96=0,U89=0,U101=0,U81=0),MIN(Hipótesis!$D$79*MAX(0,U112),MAX(0,U82+U83-Hipótesis!$D$80)),0)</f>
        <v>-0</v>
      </c>
      <c r="V84" s="138" t="n">
        <f aca="false">-IF(AND(20&gt;=Hipótesis!$D$78,MOD(20,12)=0,V96=0,V89=0,V101=0,V81=0),MIN(Hipótesis!$D$79*MAX(0,V112),MAX(0,V82+V83-Hipótesis!$D$80)),0)</f>
        <v>-0</v>
      </c>
      <c r="W84" s="138" t="n">
        <f aca="false">-IF(AND(21&gt;=Hipótesis!$D$78,MOD(21,12)=0,W96=0,W89=0,W101=0,W81=0),MIN(Hipótesis!$D$79*MAX(0,W112),MAX(0,W82+W83-Hipótesis!$D$80)),0)</f>
        <v>-0</v>
      </c>
      <c r="X84" s="138" t="n">
        <f aca="false">-IF(AND(22&gt;=Hipótesis!$D$78,MOD(22,12)=0,X96=0,X89=0,X101=0,X81=0),MIN(Hipótesis!$D$79*MAX(0,X112),MAX(0,X82+X83-Hipótesis!$D$80)),0)</f>
        <v>-0</v>
      </c>
      <c r="Y84" s="138" t="n">
        <f aca="false">-IF(AND(23&gt;=Hipótesis!$D$78,MOD(23,12)=0,Y96=0,Y89=0,Y101=0,Y81=0),MIN(Hipótesis!$D$79*MAX(0,Y112),MAX(0,Y82+Y83-Hipótesis!$D$80)),0)</f>
        <v>-0</v>
      </c>
      <c r="Z84" s="138" t="n">
        <f aca="false">-IF(AND(24&gt;=Hipótesis!$D$78,MOD(24,12)=0,Z96=0,Z89=0,Z101=0,Z81=0),MIN(Hipótesis!$D$79*MAX(0,Z112),MAX(0,Z82+Z83-Hipótesis!$D$80)),0)</f>
        <v>-0</v>
      </c>
      <c r="AA84" s="138" t="n">
        <f aca="false">-IF(AND(25&gt;=Hipótesis!$D$78,MOD(25,12)=0,AA96=0,AA89=0,AA101=0,AA81=0),MIN(Hipótesis!$D$79*MAX(0,AA112),MAX(0,AA82+AA83-Hipótesis!$D$80)),0)</f>
        <v>-0</v>
      </c>
      <c r="AB84" s="138" t="n">
        <f aca="false">-IF(AND(26&gt;=Hipótesis!$D$78,MOD(26,12)=0,AB96=0,AB89=0,AB101=0,AB81=0),MIN(Hipótesis!$D$79*MAX(0,AB112),MAX(0,AB82+AB83-Hipótesis!$D$80)),0)</f>
        <v>-0</v>
      </c>
      <c r="AC84" s="138" t="n">
        <f aca="false">-IF(AND(27&gt;=Hipótesis!$D$78,MOD(27,12)=0,AC96=0,AC89=0,AC101=0,AC81=0),MIN(Hipótesis!$D$79*MAX(0,AC112),MAX(0,AC82+AC83-Hipótesis!$D$80)),0)</f>
        <v>-0</v>
      </c>
      <c r="AD84" s="138" t="n">
        <f aca="false">-IF(AND(28&gt;=Hipótesis!$D$78,MOD(28,12)=0,AD96=0,AD89=0,AD101=0,AD81=0),MIN(Hipótesis!$D$79*MAX(0,AD112),MAX(0,AD82+AD83-Hipótesis!$D$80)),0)</f>
        <v>-0</v>
      </c>
      <c r="AE84" s="138" t="n">
        <f aca="false">-IF(AND(29&gt;=Hipótesis!$D$78,MOD(29,12)=0,AE96=0,AE89=0,AE101=0,AE81=0),MIN(Hipótesis!$D$79*MAX(0,AE112),MAX(0,AE82+AE83-Hipótesis!$D$80)),0)</f>
        <v>-0</v>
      </c>
      <c r="AF84" s="138" t="n">
        <f aca="false">-IF(AND(30&gt;=Hipótesis!$D$78,MOD(30,12)=0,AF96=0,AF89=0,AF101=0,AF81=0),MIN(Hipótesis!$D$79*MAX(0,AF112),MAX(0,AF82+AF83-Hipótesis!$D$80)),0)</f>
        <v>-0</v>
      </c>
      <c r="AG84" s="138" t="n">
        <f aca="false">-IF(AND(31&gt;=Hipótesis!$D$78,MOD(31,12)=0,AG96=0,AG89=0,AG101=0,AG81=0),MIN(Hipótesis!$D$79*MAX(0,AG112),MAX(0,AG82+AG83-Hipótesis!$D$80)),0)</f>
        <v>-0</v>
      </c>
      <c r="AH84" s="138" t="n">
        <f aca="false">-IF(AND(32&gt;=Hipótesis!$D$78,MOD(32,12)=0,AH96=0,AH89=0,AH101=0,AH81=0),MIN(Hipótesis!$D$79*MAX(0,AH112),MAX(0,AH82+AH83-Hipótesis!$D$80)),0)</f>
        <v>-0</v>
      </c>
      <c r="AI84" s="138" t="n">
        <f aca="false">-IF(AND(33&gt;=Hipótesis!$D$78,MOD(33,12)=0,AI96=0,AI89=0,AI101=0,AI81=0),MIN(Hipótesis!$D$79*MAX(0,AI112),MAX(0,AI82+AI83-Hipótesis!$D$80)),0)</f>
        <v>-0</v>
      </c>
      <c r="AJ84" s="138" t="n">
        <f aca="false">-IF(AND(34&gt;=Hipótesis!$D$78,MOD(34,12)=0,AJ96=0,AJ89=0,AJ101=0,AJ81=0),MIN(Hipótesis!$D$79*MAX(0,AJ112),MAX(0,AJ82+AJ83-Hipótesis!$D$80)),0)</f>
        <v>-0</v>
      </c>
      <c r="AK84" s="138" t="n">
        <f aca="false">-IF(AND(35&gt;=Hipótesis!$D$78,MOD(35,12)=0,AK96=0,AK89=0,AK101=0,AK81=0),MIN(Hipótesis!$D$79*MAX(0,AK112),MAX(0,AK82+AK83-Hipótesis!$D$80)),0)</f>
        <v>-0</v>
      </c>
      <c r="AL84" s="138" t="n">
        <f aca="false">-IF(AND(36&gt;=Hipótesis!$D$78,MOD(36,12)=0,AL96=0,AL89=0,AL101=0,AL81=0),MIN(Hipótesis!$D$79*MAX(0,AL112),MAX(0,AL82+AL83-Hipótesis!$D$80)),0)</f>
        <v>-0</v>
      </c>
      <c r="AM84" s="138" t="n">
        <f aca="false">-IF(AND(37&gt;=Hipótesis!$D$78,MOD(37,12)=0,AM96=0,AM89=0,AM101=0,AM81=0),MIN(Hipótesis!$D$79*MAX(0,AM112),MAX(0,AM82+AM83-Hipótesis!$D$80)),0)</f>
        <v>-0</v>
      </c>
      <c r="AN84" s="138" t="n">
        <f aca="false">-IF(AND(38&gt;=Hipótesis!$D$78,MOD(38,12)=0,AN96=0,AN89=0,AN101=0,AN81=0),MIN(Hipótesis!$D$79*MAX(0,AN112),MAX(0,AN82+AN83-Hipótesis!$D$80)),0)</f>
        <v>-0</v>
      </c>
      <c r="AO84" s="138" t="n">
        <f aca="false">-IF(AND(39&gt;=Hipótesis!$D$78,MOD(39,12)=0,AO96=0,AO89=0,AO101=0,AO81=0),MIN(Hipótesis!$D$79*MAX(0,AO112),MAX(0,AO82+AO83-Hipótesis!$D$80)),0)</f>
        <v>-0</v>
      </c>
      <c r="AP84" s="138" t="n">
        <f aca="false">-IF(AND(40&gt;=Hipótesis!$D$78,MOD(40,12)=0,AP96=0,AP89=0,AP101=0,AP81=0),MIN(Hipótesis!$D$79*MAX(0,AP112),MAX(0,AP82+AP83-Hipótesis!$D$80)),0)</f>
        <v>-0</v>
      </c>
      <c r="AQ84" s="138" t="n">
        <f aca="false">-IF(AND(41&gt;=Hipótesis!$D$78,MOD(41,12)=0,AQ96=0,AQ89=0,AQ101=0,AQ81=0),MIN(Hipótesis!$D$79*MAX(0,AQ112),MAX(0,AQ82+AQ83-Hipótesis!$D$80)),0)</f>
        <v>-0</v>
      </c>
      <c r="AR84" s="138" t="n">
        <f aca="false">-IF(AND(42&gt;=Hipótesis!$D$78,MOD(42,12)=0,AR96=0,AR89=0,AR101=0,AR81=0),MIN(Hipótesis!$D$79*MAX(0,AR112),MAX(0,AR82+AR83-Hipótesis!$D$80)),0)</f>
        <v>-0</v>
      </c>
      <c r="AS84" s="138" t="n">
        <f aca="false">-IF(AND(43&gt;=Hipótesis!$D$78,MOD(43,12)=0,AS96=0,AS89=0,AS101=0,AS81=0),MIN(Hipótesis!$D$79*MAX(0,AS112),MAX(0,AS82+AS83-Hipótesis!$D$80)),0)</f>
        <v>-0</v>
      </c>
      <c r="AT84" s="138" t="n">
        <f aca="false">-IF(AND(44&gt;=Hipótesis!$D$78,MOD(44,12)=0,AT96=0,AT89=0,AT101=0,AT81=0),MIN(Hipótesis!$D$79*MAX(0,AT112),MAX(0,AT82+AT83-Hipótesis!$D$80)),0)</f>
        <v>-0</v>
      </c>
      <c r="AU84" s="138" t="n">
        <f aca="false">-IF(AND(45&gt;=Hipótesis!$D$78,MOD(45,12)=0,AU96=0,AU89=0,AU101=0,AU81=0),MIN(Hipótesis!$D$79*MAX(0,AU112),MAX(0,AU82+AU83-Hipótesis!$D$80)),0)</f>
        <v>-0</v>
      </c>
      <c r="AV84" s="138" t="n">
        <f aca="false">-IF(AND(46&gt;=Hipótesis!$D$78,MOD(46,12)=0,AV96=0,AV89=0,AV101=0,AV81=0),MIN(Hipótesis!$D$79*MAX(0,AV112),MAX(0,AV82+AV83-Hipótesis!$D$80)),0)</f>
        <v>-0</v>
      </c>
      <c r="AW84" s="138" t="n">
        <f aca="false">-IF(AND(47&gt;=Hipótesis!$D$78,MOD(47,12)=0,AW96=0,AW89=0,AW101=0,AW81=0),MIN(Hipótesis!$D$79*MAX(0,AW112),MAX(0,AW82+AW83-Hipótesis!$D$80)),0)</f>
        <v>-0</v>
      </c>
      <c r="AX84" s="138" t="n">
        <f aca="false">-IF(AND(48&gt;=Hipótesis!$D$78,MOD(48,12)=0,AX96=0,AX89=0,AX101=0,AX81=0),MIN(Hipótesis!$D$79*MAX(0,AX112),MAX(0,AX82+AX83-Hipótesis!$D$80)),0)</f>
        <v>-0</v>
      </c>
      <c r="AY84" s="138" t="n">
        <f aca="false">-IF(AND(49&gt;=Hipótesis!$D$78,MOD(49,12)=0,AY96=0,AY89=0,AY101=0,AY81=0),MIN(Hipótesis!$D$79*MAX(0,AY112),MAX(0,AY82+AY83-Hipótesis!$D$80)),0)</f>
        <v>-0</v>
      </c>
      <c r="AZ84" s="138" t="n">
        <f aca="false">-IF(AND(50&gt;=Hipótesis!$D$78,MOD(50,12)=0,AZ96=0,AZ89=0,AZ101=0,AZ81=0),MIN(Hipótesis!$D$79*MAX(0,AZ112),MAX(0,AZ82+AZ83-Hipótesis!$D$80)),0)</f>
        <v>-0</v>
      </c>
      <c r="BA84" s="138" t="n">
        <f aca="false">-IF(AND(51&gt;=Hipótesis!$D$78,MOD(51,12)=0,BA96=0,BA89=0,BA101=0,BA81=0),MIN(Hipótesis!$D$79*MAX(0,BA112),MAX(0,BA82+BA83-Hipótesis!$D$80)),0)</f>
        <v>-0</v>
      </c>
      <c r="BB84" s="138" t="n">
        <f aca="false">-IF(AND(52&gt;=Hipótesis!$D$78,MOD(52,12)=0,BB96=0,BB89=0,BB101=0,BB81=0),MIN(Hipótesis!$D$79*MAX(0,BB112),MAX(0,BB82+BB83-Hipótesis!$D$80)),0)</f>
        <v>-0</v>
      </c>
      <c r="BC84" s="138" t="n">
        <f aca="false">-IF(AND(53&gt;=Hipótesis!$D$78,MOD(53,12)=0,BC96=0,BC89=0,BC101=0,BC81=0),MIN(Hipótesis!$D$79*MAX(0,BC112),MAX(0,BC82+BC83-Hipótesis!$D$80)),0)</f>
        <v>-0</v>
      </c>
      <c r="BD84" s="138" t="n">
        <f aca="false">-IF(AND(54&gt;=Hipótesis!$D$78,MOD(54,12)=0,BD96=0,BD89=0,BD101=0,BD81=0),MIN(Hipótesis!$D$79*MAX(0,BD112),MAX(0,BD82+BD83-Hipótesis!$D$80)),0)</f>
        <v>-0</v>
      </c>
      <c r="BE84" s="138" t="n">
        <f aca="false">-IF(AND(55&gt;=Hipótesis!$D$78,MOD(55,12)=0,BE96=0,BE89=0,BE101=0,BE81=0),MIN(Hipótesis!$D$79*MAX(0,BE112),MAX(0,BE82+BE83-Hipótesis!$D$80)),0)</f>
        <v>-0</v>
      </c>
      <c r="BF84" s="138" t="n">
        <f aca="false">-IF(AND(56&gt;=Hipótesis!$D$78,MOD(56,12)=0,BF96=0,BF89=0,BF101=0,BF81=0),MIN(Hipótesis!$D$79*MAX(0,BF112),MAX(0,BF82+BF83-Hipótesis!$D$80)),0)</f>
        <v>-0</v>
      </c>
      <c r="BG84" s="138" t="n">
        <f aca="false">-IF(AND(57&gt;=Hipótesis!$D$78,MOD(57,12)=0,BG96=0,BG89=0,BG101=0,BG81=0),MIN(Hipótesis!$D$79*MAX(0,BG112),MAX(0,BG82+BG83-Hipótesis!$D$80)),0)</f>
        <v>-0</v>
      </c>
      <c r="BH84" s="138" t="n">
        <f aca="false">-IF(AND(58&gt;=Hipótesis!$D$78,MOD(58,12)=0,BH96=0,BH89=0,BH101=0,BH81=0),MIN(Hipótesis!$D$79*MAX(0,BH112),MAX(0,BH82+BH83-Hipótesis!$D$80)),0)</f>
        <v>-0</v>
      </c>
      <c r="BI84" s="138" t="n">
        <f aca="false">-IF(AND(59&gt;=Hipótesis!$D$78,MOD(59,12)=0,BI96=0,BI89=0,BI101=0,BI81=0),MIN(Hipótesis!$D$79*MAX(0,BI112),MAX(0,BI82+BI83-Hipótesis!$D$80)),0)</f>
        <v>-0</v>
      </c>
      <c r="BJ84" s="138" t="n">
        <f aca="false">-IF(AND(60&gt;=Hipótesis!$D$78,MOD(60,12)=0,BJ96=0,BJ89=0,BJ101=0,BJ81=0),MIN(Hipótesis!$D$79*MAX(0,BJ112),MAX(0,BJ82+BJ83-Hipótesis!$D$80)),0)</f>
        <v>-0</v>
      </c>
      <c r="BK84" s="138" t="n">
        <f aca="false">-IF(AND(61&gt;=Hipótesis!$D$78,MOD(61,12)=0,BK96=0,BK89=0,BK101=0,BK81=0),MIN(Hipótesis!$D$79*MAX(0,BK112),MAX(0,BK82+BK83-Hipótesis!$D$80)),0)</f>
        <v>-0</v>
      </c>
      <c r="BL84" s="138" t="n">
        <f aca="false">-IF(AND(62&gt;=Hipótesis!$D$78,MOD(62,12)=0,BL96=0,BL89=0,BL101=0,BL81=0),MIN(Hipótesis!$D$79*MAX(0,BL112),MAX(0,BL82+BL83-Hipótesis!$D$80)),0)</f>
        <v>-0</v>
      </c>
      <c r="BM84" s="138" t="n">
        <f aca="false">-IF(AND(63&gt;=Hipótesis!$D$78,MOD(63,12)=0,BM96=0,BM89=0,BM101=0,BM81=0),MIN(Hipótesis!$D$79*MAX(0,BM112),MAX(0,BM82+BM83-Hipótesis!$D$80)),0)</f>
        <v>-0</v>
      </c>
      <c r="BN84" s="138" t="n">
        <f aca="false">-IF(AND(64&gt;=Hipótesis!$D$78,MOD(64,12)=0,BN96=0,BN89=0,BN101=0,BN81=0),MIN(Hipótesis!$D$79*MAX(0,BN112),MAX(0,BN82+BN83-Hipótesis!$D$80)),0)</f>
        <v>-0</v>
      </c>
      <c r="BO84" s="138" t="n">
        <f aca="false">-IF(AND(65&gt;=Hipótesis!$D$78,MOD(65,12)=0,BO96=0,BO89=0,BO101=0,BO81=0),MIN(Hipótesis!$D$79*MAX(0,BO112),MAX(0,BO82+BO83-Hipótesis!$D$80)),0)</f>
        <v>-0</v>
      </c>
      <c r="BP84" s="138" t="n">
        <f aca="false">-IF(AND(66&gt;=Hipótesis!$D$78,MOD(66,12)=0,BP96=0,BP89=0,BP101=0,BP81=0),MIN(Hipótesis!$D$79*MAX(0,BP112),MAX(0,BP82+BP83-Hipótesis!$D$80)),0)</f>
        <v>-0</v>
      </c>
      <c r="BQ84" s="138" t="n">
        <f aca="false">-IF(AND(67&gt;=Hipótesis!$D$78,MOD(67,12)=0,BQ96=0,BQ89=0,BQ101=0,BQ81=0),MIN(Hipótesis!$D$79*MAX(0,BQ112),MAX(0,BQ82+BQ83-Hipótesis!$D$80)),0)</f>
        <v>-0</v>
      </c>
      <c r="BR84" s="138" t="n">
        <f aca="false">-IF(AND(68&gt;=Hipótesis!$D$78,MOD(68,12)=0,BR96=0,BR89=0,BR101=0,BR81=0),MIN(Hipótesis!$D$79*MAX(0,BR112),MAX(0,BR82+BR83-Hipótesis!$D$80)),0)</f>
        <v>-0</v>
      </c>
      <c r="BS84" s="138" t="n">
        <f aca="false">-IF(AND(69&gt;=Hipótesis!$D$78,MOD(69,12)=0,BS96=0,BS89=0,BS101=0,BS81=0),MIN(Hipótesis!$D$79*MAX(0,BS112),MAX(0,BS82+BS83-Hipótesis!$D$80)),0)</f>
        <v>-0</v>
      </c>
      <c r="BT84" s="138" t="n">
        <f aca="false">-IF(AND(70&gt;=Hipótesis!$D$78,MOD(70,12)=0,BT96=0,BT89=0,BT101=0,BT81=0),MIN(Hipótesis!$D$79*MAX(0,BT112),MAX(0,BT82+BT83-Hipótesis!$D$80)),0)</f>
        <v>-0</v>
      </c>
      <c r="BU84" s="138" t="n">
        <f aca="false">-IF(AND(71&gt;=Hipótesis!$D$78,MOD(71,12)=0,BU96=0,BU89=0,BU101=0,BU81=0),MIN(Hipótesis!$D$79*MAX(0,BU112),MAX(0,BU82+BU83-Hipótesis!$D$80)),0)</f>
        <v>-0</v>
      </c>
      <c r="BV84" s="138" t="n">
        <f aca="false">-IF(AND(72&gt;=Hipótesis!$D$78,MOD(72,12)=0,BV96=0,BV89=0,BV101=0,BV81=0),MIN(Hipótesis!$D$79*MAX(0,BV112),MAX(0,BV82+BV83-Hipótesis!$D$80)),0)</f>
        <v>-0</v>
      </c>
      <c r="BW84" s="138" t="n">
        <f aca="false">-IF(AND(73&gt;=Hipótesis!$D$78,MOD(73,12)=0,BW96=0,BW89=0,BW101=0,BW81=0),MIN(Hipótesis!$D$79*MAX(0,BW112),MAX(0,BW82+BW83-Hipótesis!$D$80)),0)</f>
        <v>-0</v>
      </c>
      <c r="BX84" s="138" t="n">
        <f aca="false">-IF(AND(74&gt;=Hipótesis!$D$78,MOD(74,12)=0,BX96=0,BX89=0,BX101=0,BX81=0),MIN(Hipótesis!$D$79*MAX(0,BX112),MAX(0,BX82+BX83-Hipótesis!$D$80)),0)</f>
        <v>-0</v>
      </c>
      <c r="BY84" s="138" t="n">
        <f aca="false">-IF(AND(75&gt;=Hipótesis!$D$78,MOD(75,12)=0,BY96=0,BY89=0,BY101=0,BY81=0),MIN(Hipótesis!$D$79*MAX(0,BY112),MAX(0,BY82+BY83-Hipótesis!$D$80)),0)</f>
        <v>-0</v>
      </c>
      <c r="BZ84" s="138" t="n">
        <f aca="false">-IF(AND(76&gt;=Hipótesis!$D$78,MOD(76,12)=0,BZ96=0,BZ89=0,BZ101=0,BZ81=0),MIN(Hipótesis!$D$79*MAX(0,BZ112),MAX(0,BZ82+BZ83-Hipótesis!$D$80)),0)</f>
        <v>-0</v>
      </c>
      <c r="CA84" s="138" t="n">
        <f aca="false">-IF(AND(77&gt;=Hipótesis!$D$78,MOD(77,12)=0,CA96=0,CA89=0,CA101=0,CA81=0),MIN(Hipótesis!$D$79*MAX(0,CA112),MAX(0,CA82+CA83-Hipótesis!$D$80)),0)</f>
        <v>-0</v>
      </c>
      <c r="CB84" s="138" t="n">
        <f aca="false">-IF(AND(78&gt;=Hipótesis!$D$78,MOD(78,12)=0,CB96=0,CB89=0,CB101=0,CB81=0),MIN(Hipótesis!$D$79*MAX(0,CB112),MAX(0,CB82+CB83-Hipótesis!$D$80)),0)</f>
        <v>-0</v>
      </c>
      <c r="CC84" s="138" t="n">
        <f aca="false">-IF(AND(79&gt;=Hipótesis!$D$78,MOD(79,12)=0,CC96=0,CC89=0,CC101=0,CC81=0),MIN(Hipótesis!$D$79*MAX(0,CC112),MAX(0,CC82+CC83-Hipótesis!$D$80)),0)</f>
        <v>-0</v>
      </c>
      <c r="CD84" s="138" t="n">
        <f aca="false">-IF(AND(80&gt;=Hipótesis!$D$78,MOD(80,12)=0,CD96=0,CD89=0,CD101=0,CD81=0),MIN(Hipótesis!$D$79*MAX(0,CD112),MAX(0,CD82+CD83-Hipótesis!$D$80)),0)</f>
        <v>-0</v>
      </c>
      <c r="CE84" s="138" t="n">
        <f aca="false">-IF(AND(81&gt;=Hipótesis!$D$78,MOD(81,12)=0,CE96=0,CE89=0,CE101=0,CE81=0),MIN(Hipótesis!$D$79*MAX(0,CE112),MAX(0,CE82+CE83-Hipótesis!$D$80)),0)</f>
        <v>-0</v>
      </c>
      <c r="CF84" s="138" t="n">
        <f aca="false">-IF(AND(82&gt;=Hipótesis!$D$78,MOD(82,12)=0,CF96=0,CF89=0,CF101=0,CF81=0),MIN(Hipótesis!$D$79*MAX(0,CF112),MAX(0,CF82+CF83-Hipótesis!$D$80)),0)</f>
        <v>-0</v>
      </c>
      <c r="CG84" s="138" t="n">
        <f aca="false">-IF(AND(83&gt;=Hipótesis!$D$78,MOD(83,12)=0,CG96=0,CG89=0,CG101=0,CG81=0),MIN(Hipótesis!$D$79*MAX(0,CG112),MAX(0,CG82+CG83-Hipótesis!$D$80)),0)</f>
        <v>-0</v>
      </c>
      <c r="CH84" s="138" t="n">
        <f aca="false">-IF(AND(84&gt;=Hipótesis!$D$78,MOD(84,12)=0,CH96=0,CH89=0,CH101=0,CH81=0),MIN(Hipótesis!$D$79*MAX(0,CH112),MAX(0,CH82+CH83-Hipótesis!$D$80)),0)</f>
        <v>-0</v>
      </c>
    </row>
    <row r="85" customFormat="false" ht="13.5" hidden="false" customHeight="true" outlineLevel="0" collapsed="false">
      <c r="A85" s="30" t="s">
        <v>763</v>
      </c>
      <c r="C85" s="138" t="n">
        <f aca="false">C78+C80+C83+C84</f>
        <v>146396.417581049</v>
      </c>
      <c r="D85" s="138" t="n">
        <f aca="false">D78+D80+D83+D84</f>
        <v>-30309.7023744792</v>
      </c>
      <c r="E85" s="138" t="n">
        <f aca="false">E78+E80+E83+E84</f>
        <v>-23772.2388901411</v>
      </c>
      <c r="F85" s="138" t="n">
        <f aca="false">F78+F80+F83+F84</f>
        <v>-20619.8646918225</v>
      </c>
      <c r="G85" s="138" t="n">
        <f aca="false">G78+G80+G83+G84</f>
        <v>-17437.9261142807</v>
      </c>
      <c r="H85" s="138" t="n">
        <f aca="false">H78+H80+H83+H84</f>
        <v>-19187.1520929294</v>
      </c>
      <c r="I85" s="138" t="n">
        <f aca="false">I78+I80+I83+I84</f>
        <v>-5069.53341739567</v>
      </c>
      <c r="J85" s="138" t="n">
        <f aca="false">J78+J80+J83+J84</f>
        <v>0</v>
      </c>
      <c r="K85" s="138" t="n">
        <f aca="false">K78+K80+K83+K84</f>
        <v>0</v>
      </c>
      <c r="L85" s="138" t="n">
        <f aca="false">L78+L80+L83+L84</f>
        <v>0</v>
      </c>
      <c r="M85" s="138" t="n">
        <f aca="false">M78+M80+M83+M84</f>
        <v>0</v>
      </c>
      <c r="N85" s="138" t="n">
        <f aca="false">N78+N80+N83+N84</f>
        <v>0</v>
      </c>
      <c r="O85" s="138" t="n">
        <f aca="false">O78+O80+O83+O84</f>
        <v>7031.20814064334</v>
      </c>
      <c r="P85" s="138" t="n">
        <f aca="false">P78+P80+P83+P84</f>
        <v>9187.22382773799</v>
      </c>
      <c r="Q85" s="138" t="n">
        <f aca="false">Q78+Q80+Q83+Q84</f>
        <v>11851.3343630036</v>
      </c>
      <c r="R85" s="138" t="n">
        <f aca="false">R78+R80+R83+R84</f>
        <v>14515.4448982693</v>
      </c>
      <c r="S85" s="138" t="n">
        <f aca="false">S78+S80+S83+S84</f>
        <v>21523.9422417664</v>
      </c>
      <c r="T85" s="138" t="n">
        <f aca="false">T78+T80+T83+T84</f>
        <v>3996.87351279993</v>
      </c>
      <c r="U85" s="138" t="n">
        <f aca="false">U78+U80+U83+U84</f>
        <v>20582.4469440662</v>
      </c>
      <c r="V85" s="138" t="n">
        <f aca="false">V78+V80+V83+V84</f>
        <v>20981.4638793319</v>
      </c>
      <c r="W85" s="138" t="n">
        <f aca="false">W78+W80+W83+W84</f>
        <v>23645.5744145976</v>
      </c>
      <c r="X85" s="138" t="n">
        <f aca="false">X78+X80+X83+X84</f>
        <v>25933.9001326199</v>
      </c>
      <c r="Y85" s="138" t="n">
        <f aca="false">Y78+Y80+Y83+Y84</f>
        <v>28119.4381209388</v>
      </c>
      <c r="Z85" s="138" t="n">
        <f aca="false">Z78+Z80+Z83+Z84</f>
        <v>30164.3245654854</v>
      </c>
      <c r="AA85" s="138" t="n">
        <f aca="false">AA78+AA80+AA83+AA84</f>
        <v>29244.4620350753</v>
      </c>
      <c r="AB85" s="138" t="n">
        <f aca="false">AB78+AB80+AB83+AB84</f>
        <v>28714.4583729941</v>
      </c>
      <c r="AC85" s="138" t="n">
        <f aca="false">AC78+AC80+AC83+AC84</f>
        <v>30167.544157713</v>
      </c>
      <c r="AD85" s="138" t="n">
        <f aca="false">AD78+AD80+AD83+AD84</f>
        <v>31620.6299424318</v>
      </c>
      <c r="AE85" s="138" t="n">
        <f aca="false">AE78+AE80+AE83+AE84</f>
        <v>39481.3676917127</v>
      </c>
      <c r="AF85" s="138" t="n">
        <f aca="false">AF78+AF80+AF83+AF84</f>
        <v>12154.8592210451</v>
      </c>
      <c r="AG85" s="138" t="n">
        <f aca="false">AG78+AG80+AG83+AG84</f>
        <v>35979.8872965884</v>
      </c>
      <c r="AH85" s="138" t="n">
        <f aca="false">AH78+AH80+AH83+AH84</f>
        <v>37432.9730813072</v>
      </c>
      <c r="AI85" s="138" t="n">
        <f aca="false">AI78+AI80+AI83+AI84</f>
        <v>38886.0588660261</v>
      </c>
      <c r="AJ85" s="138" t="n">
        <f aca="false">AJ78+AJ80+AJ83+AJ84</f>
        <v>40339.144650745</v>
      </c>
      <c r="AK85" s="138" t="n">
        <f aca="false">AK78+AK80+AK83+AK84</f>
        <v>41792.2304354638</v>
      </c>
      <c r="AL85" s="138" t="n">
        <f aca="false">AL78+AL80+AL83+AL84</f>
        <v>41262.2267733827</v>
      </c>
      <c r="AM85" s="138" t="n">
        <f aca="false">AM78+AM80+AM83+AM84</f>
        <v>35520.3986818729</v>
      </c>
      <c r="AN85" s="138" t="n">
        <f aca="false">AN78+AN80+AN83+AN84</f>
        <v>36797.6041299732</v>
      </c>
      <c r="AO85" s="138" t="n">
        <f aca="false">AO78+AO80+AO83+AO84</f>
        <v>38074.8095780735</v>
      </c>
      <c r="AP85" s="138" t="n">
        <f aca="false">AP78+AP80+AP83+AP84</f>
        <v>39352.0150261738</v>
      </c>
      <c r="AQ85" s="138" t="n">
        <f aca="false">AQ78+AQ80+AQ83+AQ84</f>
        <v>48976.8992598479</v>
      </c>
      <c r="AR85" s="138" t="n">
        <f aca="false">AR78+AR80+AR83+AR84</f>
        <v>19534.4836315499</v>
      </c>
      <c r="AS85" s="138" t="n">
        <f aca="false">AS78+AS80+AS83+AS84</f>
        <v>42392.722299397</v>
      </c>
      <c r="AT85" s="138" t="n">
        <f aca="false">AT78+AT80+AT83+AT84</f>
        <v>42396.8889660637</v>
      </c>
      <c r="AU85" s="138" t="n">
        <f aca="false">AU78+AU80+AU83+AU84</f>
        <v>42401.0556327303</v>
      </c>
      <c r="AV85" s="138" t="n">
        <f aca="false">AV78+AV80+AV83+AV84</f>
        <v>42405.222299397</v>
      </c>
      <c r="AW85" s="138" t="n">
        <f aca="false">AW78+AW80+AW83+AW84</f>
        <v>42409.3889660637</v>
      </c>
      <c r="AX85" s="138" t="n">
        <f aca="false">AX78+AX80+AX83+AX84</f>
        <v>-161579.542240513</v>
      </c>
      <c r="AY85" s="138" t="n">
        <f aca="false">AY78+AY80+AY83+AY84</f>
        <v>40618.9292491274</v>
      </c>
      <c r="AZ85" s="138" t="n">
        <f aca="false">AZ78+AZ80+AZ83+AZ84</f>
        <v>40623.095915794</v>
      </c>
      <c r="BA85" s="138" t="n">
        <f aca="false">BA78+BA80+BA83+BA84</f>
        <v>40627.2625824607</v>
      </c>
      <c r="BB85" s="138" t="n">
        <f aca="false">BB78+BB80+BB83+BB84</f>
        <v>40631.4292491274</v>
      </c>
      <c r="BC85" s="138" t="n">
        <f aca="false">BC78+BC80+BC83+BC84</f>
        <v>48983.2747013679</v>
      </c>
      <c r="BD85" s="138" t="n">
        <f aca="false">BD78+BD80+BD83+BD84</f>
        <v>18267.8202916362</v>
      </c>
      <c r="BE85" s="138" t="n">
        <f aca="false">BE78+BE80+BE83+BE84</f>
        <v>40643.9292491274</v>
      </c>
      <c r="BF85" s="138" t="n">
        <f aca="false">BF78+BF80+BF83+BF84</f>
        <v>40648.095915794</v>
      </c>
      <c r="BG85" s="138" t="n">
        <f aca="false">BG78+BG80+BG83+BG84</f>
        <v>40652.2625824607</v>
      </c>
      <c r="BH85" s="138" t="n">
        <f aca="false">BH78+BH80+BH83+BH84</f>
        <v>40656.4292491274</v>
      </c>
      <c r="BI85" s="138" t="n">
        <f aca="false">BI78+BI80+BI83+BI84</f>
        <v>40660.595915794</v>
      </c>
      <c r="BJ85" s="138" t="n">
        <f aca="false">BJ78+BJ80+BJ83+BJ84</f>
        <v>-162823.743797324</v>
      </c>
      <c r="BK85" s="138" t="n">
        <f aca="false">BK78+BK80+BK83+BK84</f>
        <v>38859.8314073497</v>
      </c>
      <c r="BL85" s="138" t="n">
        <f aca="false">BL78+BL80+BL83+BL84</f>
        <v>38863.9980740164</v>
      </c>
      <c r="BM85" s="138" t="n">
        <f aca="false">BM78+BM80+BM83+BM84</f>
        <v>38868.164740683</v>
      </c>
      <c r="BN85" s="138" t="n">
        <f aca="false">BN78+BN80+BN83+BN84</f>
        <v>38872.3314073497</v>
      </c>
      <c r="BO85" s="138" t="n">
        <f aca="false">BO78+BO80+BO83+BO84</f>
        <v>47224.1768595902</v>
      </c>
      <c r="BP85" s="138" t="n">
        <f aca="false">BP78+BP80+BP83+BP84</f>
        <v>16508.7224498586</v>
      </c>
      <c r="BQ85" s="138" t="n">
        <f aca="false">BQ78+BQ80+BQ83+BQ84</f>
        <v>38884.8314073497</v>
      </c>
      <c r="BR85" s="138" t="n">
        <f aca="false">BR78+BR80+BR83+BR84</f>
        <v>38888.9980740164</v>
      </c>
      <c r="BS85" s="138" t="n">
        <f aca="false">BS78+BS80+BS83+BS84</f>
        <v>38893.164740683</v>
      </c>
      <c r="BT85" s="138" t="n">
        <f aca="false">BT78+BT80+BT83+BT84</f>
        <v>38897.3314073497</v>
      </c>
      <c r="BU85" s="138" t="n">
        <f aca="false">BU78+BU80+BU83+BU84</f>
        <v>38901.4980740164</v>
      </c>
      <c r="BV85" s="138" t="n">
        <f aca="false">BV78+BV80+BV83+BV84</f>
        <v>-156139.171998569</v>
      </c>
      <c r="BW85" s="138" t="n">
        <f aca="false">BW78+BW80+BW83+BW84</f>
        <v>37090.1196303187</v>
      </c>
      <c r="BX85" s="138" t="n">
        <f aca="false">BX78+BX80+BX83+BX84</f>
        <v>37094.2862969853</v>
      </c>
      <c r="BY85" s="138" t="n">
        <f aca="false">BY78+BY80+BY83+BY84</f>
        <v>37098.452963652</v>
      </c>
      <c r="BZ85" s="138" t="n">
        <f aca="false">BZ78+BZ80+BZ83+BZ84</f>
        <v>37102.6196303187</v>
      </c>
      <c r="CA85" s="138" t="n">
        <f aca="false">CA78+CA80+CA83+CA84</f>
        <v>45454.4650825592</v>
      </c>
      <c r="CB85" s="138" t="n">
        <f aca="false">CB78+CB80+CB83+CB84</f>
        <v>14739.0106728275</v>
      </c>
      <c r="CC85" s="138" t="n">
        <f aca="false">CC78+CC80+CC83+CC84</f>
        <v>37115.1196303187</v>
      </c>
      <c r="CD85" s="138" t="n">
        <f aca="false">CD78+CD80+CD83+CD84</f>
        <v>37119.2862969853</v>
      </c>
      <c r="CE85" s="138" t="n">
        <f aca="false">CE78+CE80+CE83+CE84</f>
        <v>37123.452963652</v>
      </c>
      <c r="CF85" s="138" t="n">
        <f aca="false">CF78+CF80+CF83+CF84</f>
        <v>37127.6196303187</v>
      </c>
      <c r="CG85" s="138" t="n">
        <f aca="false">CG78+CG80+CG83+CG84</f>
        <v>37131.7862969853</v>
      </c>
      <c r="CH85" s="138" t="n">
        <f aca="false">CH78+CH80+CH83+CH84</f>
        <v>-149414.267245851</v>
      </c>
    </row>
    <row r="86" customFormat="false" ht="13.5" hidden="false" customHeight="true" outlineLevel="0" collapsed="false">
      <c r="A86" s="64" t="s">
        <v>764</v>
      </c>
      <c r="C86" s="99" t="n">
        <f aca="false">C85</f>
        <v>146396.417581049</v>
      </c>
      <c r="D86" s="99" t="n">
        <f aca="false">C86+D85</f>
        <v>116086.715206569</v>
      </c>
      <c r="E86" s="99" t="n">
        <f aca="false">D86+E85</f>
        <v>92314.4763164283</v>
      </c>
      <c r="F86" s="99" t="n">
        <f aca="false">E86+F85</f>
        <v>71694.6116246057</v>
      </c>
      <c r="G86" s="99" t="n">
        <f aca="false">F86+G85</f>
        <v>54256.685510325</v>
      </c>
      <c r="H86" s="99" t="n">
        <f aca="false">G86+H85</f>
        <v>35069.5334173957</v>
      </c>
      <c r="I86" s="99" t="n">
        <f aca="false">H86+I85</f>
        <v>30000</v>
      </c>
      <c r="J86" s="99" t="n">
        <f aca="false">I86+J85</f>
        <v>30000</v>
      </c>
      <c r="K86" s="99" t="n">
        <f aca="false">J86+K85</f>
        <v>30000</v>
      </c>
      <c r="L86" s="99" t="n">
        <f aca="false">K86+L85</f>
        <v>30000</v>
      </c>
      <c r="M86" s="99" t="n">
        <f aca="false">L86+M85</f>
        <v>30000</v>
      </c>
      <c r="N86" s="99" t="n">
        <f aca="false">M86+N85</f>
        <v>30000</v>
      </c>
      <c r="O86" s="99" t="n">
        <f aca="false">N86+O85</f>
        <v>37031.2081406433</v>
      </c>
      <c r="P86" s="99" t="n">
        <f aca="false">O86+P85</f>
        <v>46218.4319683813</v>
      </c>
      <c r="Q86" s="99" t="n">
        <f aca="false">P86+Q85</f>
        <v>58069.766331385</v>
      </c>
      <c r="R86" s="99" t="n">
        <f aca="false">Q86+R85</f>
        <v>72585.2112296543</v>
      </c>
      <c r="S86" s="99" t="n">
        <f aca="false">R86+S85</f>
        <v>94109.1534714206</v>
      </c>
      <c r="T86" s="99" t="n">
        <f aca="false">S86+T85</f>
        <v>98106.0269842205</v>
      </c>
      <c r="U86" s="99" t="n">
        <f aca="false">T86+U85</f>
        <v>118688.473928287</v>
      </c>
      <c r="V86" s="99" t="n">
        <f aca="false">U86+V85</f>
        <v>139669.937807619</v>
      </c>
      <c r="W86" s="99" t="n">
        <f aca="false">V86+W85</f>
        <v>163315.512222216</v>
      </c>
      <c r="X86" s="99" t="n">
        <f aca="false">W86+X85</f>
        <v>189249.412354836</v>
      </c>
      <c r="Y86" s="99" t="n">
        <f aca="false">X86+Y85</f>
        <v>217368.850475775</v>
      </c>
      <c r="Z86" s="99" t="n">
        <f aca="false">Y86+Z85</f>
        <v>247533.17504126</v>
      </c>
      <c r="AA86" s="99" t="n">
        <f aca="false">Z86+AA85</f>
        <v>276777.637076336</v>
      </c>
      <c r="AB86" s="99" t="n">
        <f aca="false">AA86+AB85</f>
        <v>305492.09544933</v>
      </c>
      <c r="AC86" s="99" t="n">
        <f aca="false">AB86+AC85</f>
        <v>335659.639607043</v>
      </c>
      <c r="AD86" s="99" t="n">
        <f aca="false">AC86+AD85</f>
        <v>367280.269549475</v>
      </c>
      <c r="AE86" s="99" t="n">
        <f aca="false">AD86+AE85</f>
        <v>406761.637241187</v>
      </c>
      <c r="AF86" s="99" t="n">
        <f aca="false">AE86+AF85</f>
        <v>418916.496462232</v>
      </c>
      <c r="AG86" s="99" t="n">
        <f aca="false">AF86+AG85</f>
        <v>454896.383758821</v>
      </c>
      <c r="AH86" s="99" t="n">
        <f aca="false">AG86+AH85</f>
        <v>492329.356840128</v>
      </c>
      <c r="AI86" s="99" t="n">
        <f aca="false">AH86+AI85</f>
        <v>531215.415706154</v>
      </c>
      <c r="AJ86" s="99" t="n">
        <f aca="false">AI86+AJ85</f>
        <v>571554.560356899</v>
      </c>
      <c r="AK86" s="99" t="n">
        <f aca="false">AJ86+AK85</f>
        <v>613346.790792363</v>
      </c>
      <c r="AL86" s="99" t="n">
        <f aca="false">AK86+AL85</f>
        <v>654609.017565746</v>
      </c>
      <c r="AM86" s="99" t="n">
        <f aca="false">AL86+AM85</f>
        <v>690129.416247618</v>
      </c>
      <c r="AN86" s="99" t="n">
        <f aca="false">AM86+AN85</f>
        <v>726927.020377592</v>
      </c>
      <c r="AO86" s="99" t="n">
        <f aca="false">AN86+AO85</f>
        <v>765001.829955665</v>
      </c>
      <c r="AP86" s="99" t="n">
        <f aca="false">AO86+AP85</f>
        <v>804353.844981839</v>
      </c>
      <c r="AQ86" s="99" t="n">
        <f aca="false">AP86+AQ85</f>
        <v>853330.744241687</v>
      </c>
      <c r="AR86" s="99" t="n">
        <f aca="false">AQ86+AR85</f>
        <v>872865.227873237</v>
      </c>
      <c r="AS86" s="99" t="n">
        <f aca="false">AR86+AS85</f>
        <v>915257.950172634</v>
      </c>
      <c r="AT86" s="99" t="n">
        <f aca="false">AS86+AT85</f>
        <v>957654.839138697</v>
      </c>
      <c r="AU86" s="99" t="n">
        <f aca="false">AT86+AU85</f>
        <v>1000055.89477143</v>
      </c>
      <c r="AV86" s="99" t="n">
        <f aca="false">AU86+AV85</f>
        <v>1042461.11707082</v>
      </c>
      <c r="AW86" s="99" t="n">
        <f aca="false">AV86+AW85</f>
        <v>1084870.50603689</v>
      </c>
      <c r="AX86" s="99" t="n">
        <f aca="false">AW86+AX85</f>
        <v>923290.963796375</v>
      </c>
      <c r="AY86" s="99" t="n">
        <f aca="false">AX86+AY85</f>
        <v>963909.893045503</v>
      </c>
      <c r="AZ86" s="99" t="n">
        <f aca="false">AY86+AZ85</f>
        <v>1004532.9889613</v>
      </c>
      <c r="BA86" s="99" t="n">
        <f aca="false">AZ86+BA85</f>
        <v>1045160.25154376</v>
      </c>
      <c r="BB86" s="99" t="n">
        <f aca="false">BA86+BB85</f>
        <v>1085791.68079288</v>
      </c>
      <c r="BC86" s="99" t="n">
        <f aca="false">BB86+BC85</f>
        <v>1134774.95549425</v>
      </c>
      <c r="BD86" s="99" t="n">
        <f aca="false">BC86+BD85</f>
        <v>1153042.77578589</v>
      </c>
      <c r="BE86" s="99" t="n">
        <f aca="false">BD86+BE85</f>
        <v>1193686.70503502</v>
      </c>
      <c r="BF86" s="99" t="n">
        <f aca="false">BE86+BF85</f>
        <v>1234334.80095081</v>
      </c>
      <c r="BG86" s="99" t="n">
        <f aca="false">BF86+BG85</f>
        <v>1274987.06353327</v>
      </c>
      <c r="BH86" s="99" t="n">
        <f aca="false">BG86+BH85</f>
        <v>1315643.4927824</v>
      </c>
      <c r="BI86" s="99" t="n">
        <f aca="false">BH86+BI85</f>
        <v>1356304.08869819</v>
      </c>
      <c r="BJ86" s="99" t="n">
        <f aca="false">BI86+BJ85</f>
        <v>1193480.34490087</v>
      </c>
      <c r="BK86" s="99" t="n">
        <f aca="false">BJ86+BK85</f>
        <v>1232340.17630822</v>
      </c>
      <c r="BL86" s="99" t="n">
        <f aca="false">BK86+BL85</f>
        <v>1271204.17438224</v>
      </c>
      <c r="BM86" s="99" t="n">
        <f aca="false">BL86+BM85</f>
        <v>1310072.33912292</v>
      </c>
      <c r="BN86" s="99" t="n">
        <f aca="false">BM86+BN85</f>
        <v>1348944.67053027</v>
      </c>
      <c r="BO86" s="99" t="n">
        <f aca="false">BN86+BO85</f>
        <v>1396168.84738986</v>
      </c>
      <c r="BP86" s="99" t="n">
        <f aca="false">BO86+BP85</f>
        <v>1412677.56983972</v>
      </c>
      <c r="BQ86" s="99" t="n">
        <f aca="false">BP86+BQ85</f>
        <v>1451562.40124707</v>
      </c>
      <c r="BR86" s="99" t="n">
        <f aca="false">BQ86+BR85</f>
        <v>1490451.39932108</v>
      </c>
      <c r="BS86" s="99" t="n">
        <f aca="false">BR86+BS85</f>
        <v>1529344.56406177</v>
      </c>
      <c r="BT86" s="99" t="n">
        <f aca="false">BS86+BT85</f>
        <v>1568241.89546912</v>
      </c>
      <c r="BU86" s="99" t="n">
        <f aca="false">BT86+BU85</f>
        <v>1607143.39354313</v>
      </c>
      <c r="BV86" s="99" t="n">
        <f aca="false">BU86+BV85</f>
        <v>1451004.22154456</v>
      </c>
      <c r="BW86" s="99" t="n">
        <f aca="false">BV86+BW85</f>
        <v>1488094.34117488</v>
      </c>
      <c r="BX86" s="99" t="n">
        <f aca="false">BW86+BX85</f>
        <v>1525188.62747187</v>
      </c>
      <c r="BY86" s="99" t="n">
        <f aca="false">BX86+BY85</f>
        <v>1562287.08043552</v>
      </c>
      <c r="BZ86" s="99" t="n">
        <f aca="false">BY86+BZ85</f>
        <v>1599389.70006584</v>
      </c>
      <c r="CA86" s="99" t="n">
        <f aca="false">BZ86+CA85</f>
        <v>1644844.1651484</v>
      </c>
      <c r="CB86" s="99" t="n">
        <f aca="false">CA86+CB85</f>
        <v>1659583.17582122</v>
      </c>
      <c r="CC86" s="99" t="n">
        <f aca="false">CB86+CC85</f>
        <v>1696698.29545154</v>
      </c>
      <c r="CD86" s="99" t="n">
        <f aca="false">CC86+CD85</f>
        <v>1733817.58174853</v>
      </c>
      <c r="CE86" s="99" t="n">
        <f aca="false">CD86+CE85</f>
        <v>1770941.03471218</v>
      </c>
      <c r="CF86" s="99" t="n">
        <f aca="false">CE86+CF85</f>
        <v>1808068.6543425</v>
      </c>
      <c r="CG86" s="99" t="n">
        <f aca="false">CF86+CG85</f>
        <v>1845200.44063948</v>
      </c>
      <c r="CH86" s="99" t="n">
        <f aca="false">CG86+CH85</f>
        <v>1695786.17339363</v>
      </c>
    </row>
    <row r="87" customFormat="false" ht="13.5" hidden="false" customHeight="true" outlineLevel="0" collapsed="false"/>
    <row r="88" customFormat="false" ht="12.75" hidden="false" customHeight="true" outlineLevel="0" collapsed="false">
      <c r="A88" s="10" t="s">
        <v>765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</row>
    <row r="89" customFormat="false" ht="13.5" hidden="false" customHeight="true" outlineLevel="0" collapsed="false">
      <c r="A89" s="13" t="s">
        <v>766</v>
      </c>
      <c r="C89" s="138" t="n">
        <f aca="false">IF(Hipótesis!$D$94=5,0,Hipótesis!$D$93)</f>
        <v>0</v>
      </c>
      <c r="D89" s="138" t="n">
        <f aca="false">C89-C90</f>
        <v>0</v>
      </c>
      <c r="E89" s="138" t="n">
        <f aca="false">D89-D90</f>
        <v>0</v>
      </c>
      <c r="F89" s="138" t="n">
        <f aca="false">E89-E90</f>
        <v>0</v>
      </c>
      <c r="G89" s="138" t="n">
        <f aca="false">F89-F90</f>
        <v>0</v>
      </c>
      <c r="H89" s="138" t="n">
        <f aca="false">G89-G90</f>
        <v>0</v>
      </c>
      <c r="I89" s="138" t="n">
        <f aca="false">H89-H90</f>
        <v>0</v>
      </c>
      <c r="J89" s="138" t="n">
        <f aca="false">I89-I90</f>
        <v>0</v>
      </c>
      <c r="K89" s="138" t="n">
        <f aca="false">J89-J90</f>
        <v>0</v>
      </c>
      <c r="L89" s="138" t="n">
        <f aca="false">K89-K90</f>
        <v>0</v>
      </c>
      <c r="M89" s="138" t="n">
        <f aca="false">L89-L90</f>
        <v>0</v>
      </c>
      <c r="N89" s="138" t="n">
        <f aca="false">M89-M90</f>
        <v>0</v>
      </c>
      <c r="O89" s="138" t="n">
        <f aca="false">N89-N90</f>
        <v>0</v>
      </c>
      <c r="P89" s="138" t="n">
        <f aca="false">O89-O90</f>
        <v>0</v>
      </c>
      <c r="Q89" s="138" t="n">
        <f aca="false">P89-P90</f>
        <v>0</v>
      </c>
      <c r="R89" s="138" t="n">
        <f aca="false">Q89-Q90</f>
        <v>0</v>
      </c>
      <c r="S89" s="138" t="n">
        <f aca="false">R89-R90</f>
        <v>0</v>
      </c>
      <c r="T89" s="138" t="n">
        <f aca="false">S89-S90</f>
        <v>0</v>
      </c>
      <c r="U89" s="138" t="n">
        <f aca="false">T89-T90</f>
        <v>0</v>
      </c>
      <c r="V89" s="138" t="n">
        <f aca="false">U89-U90</f>
        <v>0</v>
      </c>
      <c r="W89" s="138" t="n">
        <f aca="false">V89-V90</f>
        <v>0</v>
      </c>
      <c r="X89" s="138" t="n">
        <f aca="false">W89-W90</f>
        <v>0</v>
      </c>
      <c r="Y89" s="138" t="n">
        <f aca="false">X89-X90</f>
        <v>0</v>
      </c>
      <c r="Z89" s="138" t="n">
        <f aca="false">Y89-Y90</f>
        <v>0</v>
      </c>
      <c r="AA89" s="138" t="n">
        <f aca="false">Z89-Z90</f>
        <v>0</v>
      </c>
      <c r="AB89" s="138" t="n">
        <f aca="false">AA89-AA90</f>
        <v>0</v>
      </c>
      <c r="AC89" s="138" t="n">
        <f aca="false">AB89-AB90</f>
        <v>0</v>
      </c>
      <c r="AD89" s="138" t="n">
        <f aca="false">AC89-AC90</f>
        <v>0</v>
      </c>
      <c r="AE89" s="138" t="n">
        <f aca="false">AD89-AD90</f>
        <v>0</v>
      </c>
      <c r="AF89" s="138" t="n">
        <f aca="false">AE89-AE90</f>
        <v>0</v>
      </c>
      <c r="AG89" s="138" t="n">
        <f aca="false">AF89-AF90</f>
        <v>0</v>
      </c>
      <c r="AH89" s="138" t="n">
        <f aca="false">AG89-AG90</f>
        <v>0</v>
      </c>
      <c r="AI89" s="138" t="n">
        <f aca="false">AH89-AH90</f>
        <v>0</v>
      </c>
      <c r="AJ89" s="138" t="n">
        <f aca="false">AI89-AI90</f>
        <v>0</v>
      </c>
      <c r="AK89" s="138" t="n">
        <f aca="false">AJ89-AJ90</f>
        <v>0</v>
      </c>
      <c r="AL89" s="138" t="n">
        <f aca="false">AK89-AK90</f>
        <v>0</v>
      </c>
      <c r="AM89" s="138" t="n">
        <f aca="false">AL89-AL90</f>
        <v>0</v>
      </c>
      <c r="AN89" s="138" t="n">
        <f aca="false">AM89-AM90</f>
        <v>0</v>
      </c>
      <c r="AO89" s="138" t="n">
        <f aca="false">AN89-AN90</f>
        <v>0</v>
      </c>
      <c r="AP89" s="138" t="n">
        <f aca="false">AO89-AO90</f>
        <v>0</v>
      </c>
      <c r="AQ89" s="138" t="n">
        <f aca="false">AP89-AP90</f>
        <v>0</v>
      </c>
      <c r="AR89" s="138" t="n">
        <f aca="false">AQ89-AQ90</f>
        <v>0</v>
      </c>
      <c r="AS89" s="138" t="n">
        <f aca="false">AR89-AR90</f>
        <v>0</v>
      </c>
      <c r="AT89" s="138" t="n">
        <f aca="false">AS89-AS90</f>
        <v>0</v>
      </c>
      <c r="AU89" s="138" t="n">
        <f aca="false">AT89-AT90</f>
        <v>0</v>
      </c>
      <c r="AV89" s="138" t="n">
        <f aca="false">AU89-AU90</f>
        <v>0</v>
      </c>
      <c r="AW89" s="138" t="n">
        <f aca="false">AV89-AV90</f>
        <v>0</v>
      </c>
      <c r="AX89" s="138" t="n">
        <f aca="false">AW89-AW90</f>
        <v>0</v>
      </c>
      <c r="AY89" s="138" t="n">
        <f aca="false">AX89-AX90</f>
        <v>0</v>
      </c>
      <c r="AZ89" s="138" t="n">
        <f aca="false">AY89-AY90</f>
        <v>0</v>
      </c>
      <c r="BA89" s="138" t="n">
        <f aca="false">AZ89-AZ90</f>
        <v>0</v>
      </c>
      <c r="BB89" s="138" t="n">
        <f aca="false">BA89-BA90</f>
        <v>0</v>
      </c>
      <c r="BC89" s="138" t="n">
        <f aca="false">BB89-BB90</f>
        <v>0</v>
      </c>
      <c r="BD89" s="138" t="n">
        <f aca="false">BC89-BC90</f>
        <v>0</v>
      </c>
      <c r="BE89" s="138" t="n">
        <f aca="false">BD89-BD90</f>
        <v>0</v>
      </c>
      <c r="BF89" s="138" t="n">
        <f aca="false">BE89-BE90</f>
        <v>0</v>
      </c>
      <c r="BG89" s="138" t="n">
        <f aca="false">BF89-BF90</f>
        <v>0</v>
      </c>
      <c r="BH89" s="138" t="n">
        <f aca="false">BG89-BG90</f>
        <v>0</v>
      </c>
      <c r="BI89" s="138" t="n">
        <f aca="false">BH89-BH90</f>
        <v>0</v>
      </c>
      <c r="BJ89" s="138" t="n">
        <f aca="false">BI89-BI90</f>
        <v>0</v>
      </c>
      <c r="BK89" s="138" t="n">
        <f aca="false">BJ89-BJ90</f>
        <v>0</v>
      </c>
      <c r="BL89" s="138" t="n">
        <f aca="false">BK89-BK90</f>
        <v>0</v>
      </c>
      <c r="BM89" s="138" t="n">
        <f aca="false">BL89-BL90</f>
        <v>0</v>
      </c>
      <c r="BN89" s="138" t="n">
        <f aca="false">BM89-BM90</f>
        <v>0</v>
      </c>
      <c r="BO89" s="138" t="n">
        <f aca="false">BN89-BN90</f>
        <v>0</v>
      </c>
      <c r="BP89" s="138" t="n">
        <f aca="false">BO89-BO90</f>
        <v>0</v>
      </c>
      <c r="BQ89" s="138" t="n">
        <f aca="false">BP89-BP90</f>
        <v>0</v>
      </c>
      <c r="BR89" s="138" t="n">
        <f aca="false">BQ89-BQ90</f>
        <v>0</v>
      </c>
      <c r="BS89" s="138" t="n">
        <f aca="false">BR89-BR90</f>
        <v>0</v>
      </c>
      <c r="BT89" s="138" t="n">
        <f aca="false">BS89-BS90</f>
        <v>0</v>
      </c>
      <c r="BU89" s="138" t="n">
        <f aca="false">BT89-BT90</f>
        <v>0</v>
      </c>
      <c r="BV89" s="138" t="n">
        <f aca="false">BU89-BU90</f>
        <v>0</v>
      </c>
      <c r="BW89" s="138" t="n">
        <f aca="false">BV89-BV90</f>
        <v>0</v>
      </c>
      <c r="BX89" s="138" t="n">
        <f aca="false">BW89-BW90</f>
        <v>0</v>
      </c>
      <c r="BY89" s="138" t="n">
        <f aca="false">BX89-BX90</f>
        <v>0</v>
      </c>
      <c r="BZ89" s="138" t="n">
        <f aca="false">BY89-BY90</f>
        <v>0</v>
      </c>
      <c r="CA89" s="138" t="n">
        <f aca="false">BZ89-BZ90</f>
        <v>0</v>
      </c>
      <c r="CB89" s="138" t="n">
        <f aca="false">CA89-CA90</f>
        <v>0</v>
      </c>
      <c r="CC89" s="138" t="n">
        <f aca="false">CB89-CB90</f>
        <v>0</v>
      </c>
      <c r="CD89" s="138" t="n">
        <f aca="false">CC89-CC90</f>
        <v>0</v>
      </c>
      <c r="CE89" s="138" t="n">
        <f aca="false">CD89-CD90</f>
        <v>0</v>
      </c>
      <c r="CF89" s="138" t="n">
        <f aca="false">CE89-CE90</f>
        <v>0</v>
      </c>
      <c r="CG89" s="138" t="n">
        <f aca="false">CF89-CF90</f>
        <v>0</v>
      </c>
      <c r="CH89" s="138" t="n">
        <f aca="false">CG89-CG90</f>
        <v>0</v>
      </c>
    </row>
    <row r="90" customFormat="false" ht="13.5" hidden="false" customHeight="true" outlineLevel="0" collapsed="false">
      <c r="A90" s="13" t="s">
        <v>767</v>
      </c>
      <c r="C90" s="138" t="n">
        <f aca="false">IF(1&lt;=Hipótesis!$D$97,0,IF(C89&gt;0,MIN(C89,Hipótesis!$D$93/MAX(Hipótesis!$D$96-Hipótesis!$D$97,1)),0))</f>
        <v>0</v>
      </c>
      <c r="D90" s="138" t="n">
        <f aca="false">IF(2&lt;=Hipótesis!$D$97,0,IF(D89&gt;0,MIN(D89,Hipótesis!$D$93/MAX(Hipótesis!$D$96-Hipótesis!$D$97,1)),0))</f>
        <v>0</v>
      </c>
      <c r="E90" s="138" t="n">
        <f aca="false">IF(3&lt;=Hipótesis!$D$97,0,IF(E89&gt;0,MIN(E89,Hipótesis!$D$93/MAX(Hipótesis!$D$96-Hipótesis!$D$97,1)),0))</f>
        <v>0</v>
      </c>
      <c r="F90" s="138" t="n">
        <f aca="false">IF(4&lt;=Hipótesis!$D$97,0,IF(F89&gt;0,MIN(F89,Hipótesis!$D$93/MAX(Hipótesis!$D$96-Hipótesis!$D$97,1)),0))</f>
        <v>0</v>
      </c>
      <c r="G90" s="138" t="n">
        <f aca="false">IF(5&lt;=Hipótesis!$D$97,0,IF(G89&gt;0,MIN(G89,Hipótesis!$D$93/MAX(Hipótesis!$D$96-Hipótesis!$D$97,1)),0))</f>
        <v>0</v>
      </c>
      <c r="H90" s="138" t="n">
        <f aca="false">IF(6&lt;=Hipótesis!$D$97,0,IF(H89&gt;0,MIN(H89,Hipótesis!$D$93/MAX(Hipótesis!$D$96-Hipótesis!$D$97,1)),0))</f>
        <v>0</v>
      </c>
      <c r="I90" s="138" t="n">
        <f aca="false">IF(7&lt;=Hipótesis!$D$97,0,IF(I89&gt;0,MIN(I89,Hipótesis!$D$93/MAX(Hipótesis!$D$96-Hipótesis!$D$97,1)),0))</f>
        <v>0</v>
      </c>
      <c r="J90" s="138" t="n">
        <f aca="false">IF(8&lt;=Hipótesis!$D$97,0,IF(J89&gt;0,MIN(J89,Hipótesis!$D$93/MAX(Hipótesis!$D$96-Hipótesis!$D$97,1)),0))</f>
        <v>0</v>
      </c>
      <c r="K90" s="138" t="n">
        <f aca="false">IF(9&lt;=Hipótesis!$D$97,0,IF(K89&gt;0,MIN(K89,Hipótesis!$D$93/MAX(Hipótesis!$D$96-Hipótesis!$D$97,1)),0))</f>
        <v>0</v>
      </c>
      <c r="L90" s="138" t="n">
        <f aca="false">IF(10&lt;=Hipótesis!$D$97,0,IF(L89&gt;0,MIN(L89,Hipótesis!$D$93/MAX(Hipótesis!$D$96-Hipótesis!$D$97,1)),0))</f>
        <v>0</v>
      </c>
      <c r="M90" s="138" t="n">
        <f aca="false">IF(11&lt;=Hipótesis!$D$97,0,IF(M89&gt;0,MIN(M89,Hipótesis!$D$93/MAX(Hipótesis!$D$96-Hipótesis!$D$97,1)),0))</f>
        <v>0</v>
      </c>
      <c r="N90" s="138" t="n">
        <f aca="false">IF(12&lt;=Hipótesis!$D$97,0,IF(N89&gt;0,MIN(N89,Hipótesis!$D$93/MAX(Hipótesis!$D$96-Hipótesis!$D$97,1)),0))</f>
        <v>0</v>
      </c>
      <c r="O90" s="138" t="n">
        <f aca="false">IF(13&lt;=Hipótesis!$D$97,0,IF(O89&gt;0,MIN(O89,Hipótesis!$D$93/MAX(Hipótesis!$D$96-Hipótesis!$D$97,1)),0))</f>
        <v>0</v>
      </c>
      <c r="P90" s="138" t="n">
        <f aca="false">IF(14&lt;=Hipótesis!$D$97,0,IF(P89&gt;0,MIN(P89,Hipótesis!$D$93/MAX(Hipótesis!$D$96-Hipótesis!$D$97,1)),0))</f>
        <v>0</v>
      </c>
      <c r="Q90" s="138" t="n">
        <f aca="false">IF(15&lt;=Hipótesis!$D$97,0,IF(Q89&gt;0,MIN(Q89,Hipótesis!$D$93/MAX(Hipótesis!$D$96-Hipótesis!$D$97,1)),0))</f>
        <v>0</v>
      </c>
      <c r="R90" s="138" t="n">
        <f aca="false">IF(16&lt;=Hipótesis!$D$97,0,IF(R89&gt;0,MIN(R89,Hipótesis!$D$93/MAX(Hipótesis!$D$96-Hipótesis!$D$97,1)),0))</f>
        <v>0</v>
      </c>
      <c r="S90" s="138" t="n">
        <f aca="false">IF(17&lt;=Hipótesis!$D$97,0,IF(S89&gt;0,MIN(S89,Hipótesis!$D$93/MAX(Hipótesis!$D$96-Hipótesis!$D$97,1)),0))</f>
        <v>0</v>
      </c>
      <c r="T90" s="138" t="n">
        <f aca="false">IF(18&lt;=Hipótesis!$D$97,0,IF(T89&gt;0,MIN(T89,Hipótesis!$D$93/MAX(Hipótesis!$D$96-Hipótesis!$D$97,1)),0))</f>
        <v>0</v>
      </c>
      <c r="U90" s="138" t="n">
        <f aca="false">IF(19&lt;=Hipótesis!$D$97,0,IF(U89&gt;0,MIN(U89,Hipótesis!$D$93/MAX(Hipótesis!$D$96-Hipótesis!$D$97,1)),0))</f>
        <v>0</v>
      </c>
      <c r="V90" s="138" t="n">
        <f aca="false">IF(20&lt;=Hipótesis!$D$97,0,IF(V89&gt;0,MIN(V89,Hipótesis!$D$93/MAX(Hipótesis!$D$96-Hipótesis!$D$97,1)),0))</f>
        <v>0</v>
      </c>
      <c r="W90" s="138" t="n">
        <f aca="false">IF(21&lt;=Hipótesis!$D$97,0,IF(W89&gt;0,MIN(W89,Hipótesis!$D$93/MAX(Hipótesis!$D$96-Hipótesis!$D$97,1)),0))</f>
        <v>0</v>
      </c>
      <c r="X90" s="138" t="n">
        <f aca="false">IF(22&lt;=Hipótesis!$D$97,0,IF(X89&gt;0,MIN(X89,Hipótesis!$D$93/MAX(Hipótesis!$D$96-Hipótesis!$D$97,1)),0))</f>
        <v>0</v>
      </c>
      <c r="Y90" s="138" t="n">
        <f aca="false">IF(23&lt;=Hipótesis!$D$97,0,IF(Y89&gt;0,MIN(Y89,Hipótesis!$D$93/MAX(Hipótesis!$D$96-Hipótesis!$D$97,1)),0))</f>
        <v>0</v>
      </c>
      <c r="Z90" s="138" t="n">
        <f aca="false">IF(24&lt;=Hipótesis!$D$97,0,IF(Z89&gt;0,MIN(Z89,Hipótesis!$D$93/MAX(Hipótesis!$D$96-Hipótesis!$D$97,1)),0))</f>
        <v>0</v>
      </c>
      <c r="AA90" s="138" t="n">
        <f aca="false">IF(25&lt;=Hipótesis!$D$97,0,IF(AA89&gt;0,MIN(AA89,Hipótesis!$D$93/MAX(Hipótesis!$D$96-Hipótesis!$D$97,1)),0))</f>
        <v>0</v>
      </c>
      <c r="AB90" s="138" t="n">
        <f aca="false">IF(26&lt;=Hipótesis!$D$97,0,IF(AB89&gt;0,MIN(AB89,Hipótesis!$D$93/MAX(Hipótesis!$D$96-Hipótesis!$D$97,1)),0))</f>
        <v>0</v>
      </c>
      <c r="AC90" s="138" t="n">
        <f aca="false">IF(27&lt;=Hipótesis!$D$97,0,IF(AC89&gt;0,MIN(AC89,Hipótesis!$D$93/MAX(Hipótesis!$D$96-Hipótesis!$D$97,1)),0))</f>
        <v>0</v>
      </c>
      <c r="AD90" s="138" t="n">
        <f aca="false">IF(28&lt;=Hipótesis!$D$97,0,IF(AD89&gt;0,MIN(AD89,Hipótesis!$D$93/MAX(Hipótesis!$D$96-Hipótesis!$D$97,1)),0))</f>
        <v>0</v>
      </c>
      <c r="AE90" s="138" t="n">
        <f aca="false">IF(29&lt;=Hipótesis!$D$97,0,IF(AE89&gt;0,MIN(AE89,Hipótesis!$D$93/MAX(Hipótesis!$D$96-Hipótesis!$D$97,1)),0))</f>
        <v>0</v>
      </c>
      <c r="AF90" s="138" t="n">
        <f aca="false">IF(30&lt;=Hipótesis!$D$97,0,IF(AF89&gt;0,MIN(AF89,Hipótesis!$D$93/MAX(Hipótesis!$D$96-Hipótesis!$D$97,1)),0))</f>
        <v>0</v>
      </c>
      <c r="AG90" s="138" t="n">
        <f aca="false">IF(31&lt;=Hipótesis!$D$97,0,IF(AG89&gt;0,MIN(AG89,Hipótesis!$D$93/MAX(Hipótesis!$D$96-Hipótesis!$D$97,1)),0))</f>
        <v>0</v>
      </c>
      <c r="AH90" s="138" t="n">
        <f aca="false">IF(32&lt;=Hipótesis!$D$97,0,IF(AH89&gt;0,MIN(AH89,Hipótesis!$D$93/MAX(Hipótesis!$D$96-Hipótesis!$D$97,1)),0))</f>
        <v>0</v>
      </c>
      <c r="AI90" s="138" t="n">
        <f aca="false">IF(33&lt;=Hipótesis!$D$97,0,IF(AI89&gt;0,MIN(AI89,Hipótesis!$D$93/MAX(Hipótesis!$D$96-Hipótesis!$D$97,1)),0))</f>
        <v>0</v>
      </c>
      <c r="AJ90" s="138" t="n">
        <f aca="false">IF(34&lt;=Hipótesis!$D$97,0,IF(AJ89&gt;0,MIN(AJ89,Hipótesis!$D$93/MAX(Hipótesis!$D$96-Hipótesis!$D$97,1)),0))</f>
        <v>0</v>
      </c>
      <c r="AK90" s="138" t="n">
        <f aca="false">IF(35&lt;=Hipótesis!$D$97,0,IF(AK89&gt;0,MIN(AK89,Hipótesis!$D$93/MAX(Hipótesis!$D$96-Hipótesis!$D$97,1)),0))</f>
        <v>0</v>
      </c>
      <c r="AL90" s="138" t="n">
        <f aca="false">IF(36&lt;=Hipótesis!$D$97,0,IF(AL89&gt;0,MIN(AL89,Hipótesis!$D$93/MAX(Hipótesis!$D$96-Hipótesis!$D$97,1)),0))</f>
        <v>0</v>
      </c>
      <c r="AM90" s="138" t="n">
        <f aca="false">IF(37&lt;=Hipótesis!$D$97,0,IF(AM89&gt;0,MIN(AM89,Hipótesis!$D$93/MAX(Hipótesis!$D$96-Hipótesis!$D$97,1)),0))</f>
        <v>0</v>
      </c>
      <c r="AN90" s="138" t="n">
        <f aca="false">IF(38&lt;=Hipótesis!$D$97,0,IF(AN89&gt;0,MIN(AN89,Hipótesis!$D$93/MAX(Hipótesis!$D$96-Hipótesis!$D$97,1)),0))</f>
        <v>0</v>
      </c>
      <c r="AO90" s="138" t="n">
        <f aca="false">IF(39&lt;=Hipótesis!$D$97,0,IF(AO89&gt;0,MIN(AO89,Hipótesis!$D$93/MAX(Hipótesis!$D$96-Hipótesis!$D$97,1)),0))</f>
        <v>0</v>
      </c>
      <c r="AP90" s="138" t="n">
        <f aca="false">IF(40&lt;=Hipótesis!$D$97,0,IF(AP89&gt;0,MIN(AP89,Hipótesis!$D$93/MAX(Hipótesis!$D$96-Hipótesis!$D$97,1)),0))</f>
        <v>0</v>
      </c>
      <c r="AQ90" s="138" t="n">
        <f aca="false">IF(41&lt;=Hipótesis!$D$97,0,IF(AQ89&gt;0,MIN(AQ89,Hipótesis!$D$93/MAX(Hipótesis!$D$96-Hipótesis!$D$97,1)),0))</f>
        <v>0</v>
      </c>
      <c r="AR90" s="138" t="n">
        <f aca="false">IF(42&lt;=Hipótesis!$D$97,0,IF(AR89&gt;0,MIN(AR89,Hipótesis!$D$93/MAX(Hipótesis!$D$96-Hipótesis!$D$97,1)),0))</f>
        <v>0</v>
      </c>
      <c r="AS90" s="138" t="n">
        <f aca="false">IF(43&lt;=Hipótesis!$D$97,0,IF(AS89&gt;0,MIN(AS89,Hipótesis!$D$93/MAX(Hipótesis!$D$96-Hipótesis!$D$97,1)),0))</f>
        <v>0</v>
      </c>
      <c r="AT90" s="138" t="n">
        <f aca="false">IF(44&lt;=Hipótesis!$D$97,0,IF(AT89&gt;0,MIN(AT89,Hipótesis!$D$93/MAX(Hipótesis!$D$96-Hipótesis!$D$97,1)),0))</f>
        <v>0</v>
      </c>
      <c r="AU90" s="138" t="n">
        <f aca="false">IF(45&lt;=Hipótesis!$D$97,0,IF(AU89&gt;0,MIN(AU89,Hipótesis!$D$93/MAX(Hipótesis!$D$96-Hipótesis!$D$97,1)),0))</f>
        <v>0</v>
      </c>
      <c r="AV90" s="138" t="n">
        <f aca="false">IF(46&lt;=Hipótesis!$D$97,0,IF(AV89&gt;0,MIN(AV89,Hipótesis!$D$93/MAX(Hipótesis!$D$96-Hipótesis!$D$97,1)),0))</f>
        <v>0</v>
      </c>
      <c r="AW90" s="138" t="n">
        <f aca="false">IF(47&lt;=Hipótesis!$D$97,0,IF(AW89&gt;0,MIN(AW89,Hipótesis!$D$93/MAX(Hipótesis!$D$96-Hipótesis!$D$97,1)),0))</f>
        <v>0</v>
      </c>
      <c r="AX90" s="138" t="n">
        <f aca="false">IF(48&lt;=Hipótesis!$D$97,0,IF(AX89&gt;0,MIN(AX89,Hipótesis!$D$93/MAX(Hipótesis!$D$96-Hipótesis!$D$97,1)),0))</f>
        <v>0</v>
      </c>
      <c r="AY90" s="138" t="n">
        <f aca="false">IF(49&lt;=Hipótesis!$D$97,0,IF(AY89&gt;0,MIN(AY89,Hipótesis!$D$93/MAX(Hipótesis!$D$96-Hipótesis!$D$97,1)),0))</f>
        <v>0</v>
      </c>
      <c r="AZ90" s="138" t="n">
        <f aca="false">IF(50&lt;=Hipótesis!$D$97,0,IF(AZ89&gt;0,MIN(AZ89,Hipótesis!$D$93/MAX(Hipótesis!$D$96-Hipótesis!$D$97,1)),0))</f>
        <v>0</v>
      </c>
      <c r="BA90" s="138" t="n">
        <f aca="false">IF(51&lt;=Hipótesis!$D$97,0,IF(BA89&gt;0,MIN(BA89,Hipótesis!$D$93/MAX(Hipótesis!$D$96-Hipótesis!$D$97,1)),0))</f>
        <v>0</v>
      </c>
      <c r="BB90" s="138" t="n">
        <f aca="false">IF(52&lt;=Hipótesis!$D$97,0,IF(BB89&gt;0,MIN(BB89,Hipótesis!$D$93/MAX(Hipótesis!$D$96-Hipótesis!$D$97,1)),0))</f>
        <v>0</v>
      </c>
      <c r="BC90" s="138" t="n">
        <f aca="false">IF(53&lt;=Hipótesis!$D$97,0,IF(BC89&gt;0,MIN(BC89,Hipótesis!$D$93/MAX(Hipótesis!$D$96-Hipótesis!$D$97,1)),0))</f>
        <v>0</v>
      </c>
      <c r="BD90" s="138" t="n">
        <f aca="false">IF(54&lt;=Hipótesis!$D$97,0,IF(BD89&gt;0,MIN(BD89,Hipótesis!$D$93/MAX(Hipótesis!$D$96-Hipótesis!$D$97,1)),0))</f>
        <v>0</v>
      </c>
      <c r="BE90" s="138" t="n">
        <f aca="false">IF(55&lt;=Hipótesis!$D$97,0,IF(BE89&gt;0,MIN(BE89,Hipótesis!$D$93/MAX(Hipótesis!$D$96-Hipótesis!$D$97,1)),0))</f>
        <v>0</v>
      </c>
      <c r="BF90" s="138" t="n">
        <f aca="false">IF(56&lt;=Hipótesis!$D$97,0,IF(BF89&gt;0,MIN(BF89,Hipótesis!$D$93/MAX(Hipótesis!$D$96-Hipótesis!$D$97,1)),0))</f>
        <v>0</v>
      </c>
      <c r="BG90" s="138" t="n">
        <f aca="false">IF(57&lt;=Hipótesis!$D$97,0,IF(BG89&gt;0,MIN(BG89,Hipótesis!$D$93/MAX(Hipótesis!$D$96-Hipótesis!$D$97,1)),0))</f>
        <v>0</v>
      </c>
      <c r="BH90" s="138" t="n">
        <f aca="false">IF(58&lt;=Hipótesis!$D$97,0,IF(BH89&gt;0,MIN(BH89,Hipótesis!$D$93/MAX(Hipótesis!$D$96-Hipótesis!$D$97,1)),0))</f>
        <v>0</v>
      </c>
      <c r="BI90" s="138" t="n">
        <f aca="false">IF(59&lt;=Hipótesis!$D$97,0,IF(BI89&gt;0,MIN(BI89,Hipótesis!$D$93/MAX(Hipótesis!$D$96-Hipótesis!$D$97,1)),0))</f>
        <v>0</v>
      </c>
      <c r="BJ90" s="138" t="n">
        <f aca="false">IF(60&lt;=Hipótesis!$D$97,0,IF(BJ89&gt;0,MIN(BJ89,Hipótesis!$D$93/MAX(Hipótesis!$D$96-Hipótesis!$D$97,1)),0))</f>
        <v>0</v>
      </c>
      <c r="BK90" s="138" t="n">
        <f aca="false">IF(61&lt;=Hipótesis!$D$97,0,IF(BK89&gt;0,MIN(BK89,Hipótesis!$D$93/MAX(Hipótesis!$D$96-Hipótesis!$D$97,1)),0))</f>
        <v>0</v>
      </c>
      <c r="BL90" s="138" t="n">
        <f aca="false">IF(62&lt;=Hipótesis!$D$97,0,IF(BL89&gt;0,MIN(BL89,Hipótesis!$D$93/MAX(Hipótesis!$D$96-Hipótesis!$D$97,1)),0))</f>
        <v>0</v>
      </c>
      <c r="BM90" s="138" t="n">
        <f aca="false">IF(63&lt;=Hipótesis!$D$97,0,IF(BM89&gt;0,MIN(BM89,Hipótesis!$D$93/MAX(Hipótesis!$D$96-Hipótesis!$D$97,1)),0))</f>
        <v>0</v>
      </c>
      <c r="BN90" s="138" t="n">
        <f aca="false">IF(64&lt;=Hipótesis!$D$97,0,IF(BN89&gt;0,MIN(BN89,Hipótesis!$D$93/MAX(Hipótesis!$D$96-Hipótesis!$D$97,1)),0))</f>
        <v>0</v>
      </c>
      <c r="BO90" s="138" t="n">
        <f aca="false">IF(65&lt;=Hipótesis!$D$97,0,IF(BO89&gt;0,MIN(BO89,Hipótesis!$D$93/MAX(Hipótesis!$D$96-Hipótesis!$D$97,1)),0))</f>
        <v>0</v>
      </c>
      <c r="BP90" s="138" t="n">
        <f aca="false">IF(66&lt;=Hipótesis!$D$97,0,IF(BP89&gt;0,MIN(BP89,Hipótesis!$D$93/MAX(Hipótesis!$D$96-Hipótesis!$D$97,1)),0))</f>
        <v>0</v>
      </c>
      <c r="BQ90" s="138" t="n">
        <f aca="false">IF(67&lt;=Hipótesis!$D$97,0,IF(BQ89&gt;0,MIN(BQ89,Hipótesis!$D$93/MAX(Hipótesis!$D$96-Hipótesis!$D$97,1)),0))</f>
        <v>0</v>
      </c>
      <c r="BR90" s="138" t="n">
        <f aca="false">IF(68&lt;=Hipótesis!$D$97,0,IF(BR89&gt;0,MIN(BR89,Hipótesis!$D$93/MAX(Hipótesis!$D$96-Hipótesis!$D$97,1)),0))</f>
        <v>0</v>
      </c>
      <c r="BS90" s="138" t="n">
        <f aca="false">IF(69&lt;=Hipótesis!$D$97,0,IF(BS89&gt;0,MIN(BS89,Hipótesis!$D$93/MAX(Hipótesis!$D$96-Hipótesis!$D$97,1)),0))</f>
        <v>0</v>
      </c>
      <c r="BT90" s="138" t="n">
        <f aca="false">IF(70&lt;=Hipótesis!$D$97,0,IF(BT89&gt;0,MIN(BT89,Hipótesis!$D$93/MAX(Hipótesis!$D$96-Hipótesis!$D$97,1)),0))</f>
        <v>0</v>
      </c>
      <c r="BU90" s="138" t="n">
        <f aca="false">IF(71&lt;=Hipótesis!$D$97,0,IF(BU89&gt;0,MIN(BU89,Hipótesis!$D$93/MAX(Hipótesis!$D$96-Hipótesis!$D$97,1)),0))</f>
        <v>0</v>
      </c>
      <c r="BV90" s="138" t="n">
        <f aca="false">IF(72&lt;=Hipótesis!$D$97,0,IF(BV89&gt;0,MIN(BV89,Hipótesis!$D$93/MAX(Hipótesis!$D$96-Hipótesis!$D$97,1)),0))</f>
        <v>0</v>
      </c>
      <c r="BW90" s="138" t="n">
        <f aca="false">IF(73&lt;=Hipótesis!$D$97,0,IF(BW89&gt;0,MIN(BW89,Hipótesis!$D$93/MAX(Hipótesis!$D$96-Hipótesis!$D$97,1)),0))</f>
        <v>0</v>
      </c>
      <c r="BX90" s="138" t="n">
        <f aca="false">IF(74&lt;=Hipótesis!$D$97,0,IF(BX89&gt;0,MIN(BX89,Hipótesis!$D$93/MAX(Hipótesis!$D$96-Hipótesis!$D$97,1)),0))</f>
        <v>0</v>
      </c>
      <c r="BY90" s="138" t="n">
        <f aca="false">IF(75&lt;=Hipótesis!$D$97,0,IF(BY89&gt;0,MIN(BY89,Hipótesis!$D$93/MAX(Hipótesis!$D$96-Hipótesis!$D$97,1)),0))</f>
        <v>0</v>
      </c>
      <c r="BZ90" s="138" t="n">
        <f aca="false">IF(76&lt;=Hipótesis!$D$97,0,IF(BZ89&gt;0,MIN(BZ89,Hipótesis!$D$93/MAX(Hipótesis!$D$96-Hipótesis!$D$97,1)),0))</f>
        <v>0</v>
      </c>
      <c r="CA90" s="138" t="n">
        <f aca="false">IF(77&lt;=Hipótesis!$D$97,0,IF(CA89&gt;0,MIN(CA89,Hipótesis!$D$93/MAX(Hipótesis!$D$96-Hipótesis!$D$97,1)),0))</f>
        <v>0</v>
      </c>
      <c r="CB90" s="138" t="n">
        <f aca="false">IF(78&lt;=Hipótesis!$D$97,0,IF(CB89&gt;0,MIN(CB89,Hipótesis!$D$93/MAX(Hipótesis!$D$96-Hipótesis!$D$97,1)),0))</f>
        <v>0</v>
      </c>
      <c r="CC90" s="138" t="n">
        <f aca="false">IF(79&lt;=Hipótesis!$D$97,0,IF(CC89&gt;0,MIN(CC89,Hipótesis!$D$93/MAX(Hipótesis!$D$96-Hipótesis!$D$97,1)),0))</f>
        <v>0</v>
      </c>
      <c r="CD90" s="138" t="n">
        <f aca="false">IF(80&lt;=Hipótesis!$D$97,0,IF(CD89&gt;0,MIN(CD89,Hipótesis!$D$93/MAX(Hipótesis!$D$96-Hipótesis!$D$97,1)),0))</f>
        <v>0</v>
      </c>
      <c r="CE90" s="138" t="n">
        <f aca="false">IF(81&lt;=Hipótesis!$D$97,0,IF(CE89&gt;0,MIN(CE89,Hipótesis!$D$93/MAX(Hipótesis!$D$96-Hipótesis!$D$97,1)),0))</f>
        <v>0</v>
      </c>
      <c r="CF90" s="138" t="n">
        <f aca="false">IF(82&lt;=Hipótesis!$D$97,0,IF(CF89&gt;0,MIN(CF89,Hipótesis!$D$93/MAX(Hipótesis!$D$96-Hipótesis!$D$97,1)),0))</f>
        <v>0</v>
      </c>
      <c r="CG90" s="138" t="n">
        <f aca="false">IF(83&lt;=Hipótesis!$D$97,0,IF(CG89&gt;0,MIN(CG89,Hipótesis!$D$93/MAX(Hipótesis!$D$96-Hipótesis!$D$97,1)),0))</f>
        <v>0</v>
      </c>
      <c r="CH90" s="138" t="n">
        <f aca="false">IF(84&lt;=Hipótesis!$D$97,0,IF(CH89&gt;0,MIN(CH89,Hipótesis!$D$93/MAX(Hipótesis!$D$96-Hipótesis!$D$97,1)),0))</f>
        <v>0</v>
      </c>
    </row>
    <row r="91" customFormat="false" ht="13.5" hidden="false" customHeight="true" outlineLevel="0" collapsed="false">
      <c r="A91" s="13" t="s">
        <v>768</v>
      </c>
      <c r="C91" s="138" t="n">
        <f aca="false">C89*Hipótesis!$D$95/12</f>
        <v>0</v>
      </c>
      <c r="D91" s="138" t="n">
        <f aca="false">D89*Hipótesis!$D$95/12</f>
        <v>0</v>
      </c>
      <c r="E91" s="138" t="n">
        <f aca="false">E89*Hipótesis!$D$95/12</f>
        <v>0</v>
      </c>
      <c r="F91" s="138" t="n">
        <f aca="false">F89*Hipótesis!$D$95/12</f>
        <v>0</v>
      </c>
      <c r="G91" s="138" t="n">
        <f aca="false">G89*Hipótesis!$D$95/12</f>
        <v>0</v>
      </c>
      <c r="H91" s="138" t="n">
        <f aca="false">H89*Hipótesis!$D$95/12</f>
        <v>0</v>
      </c>
      <c r="I91" s="138" t="n">
        <f aca="false">I89*Hipótesis!$D$95/12</f>
        <v>0</v>
      </c>
      <c r="J91" s="138" t="n">
        <f aca="false">J89*Hipótesis!$D$95/12</f>
        <v>0</v>
      </c>
      <c r="K91" s="138" t="n">
        <f aca="false">K89*Hipótesis!$D$95/12</f>
        <v>0</v>
      </c>
      <c r="L91" s="138" t="n">
        <f aca="false">L89*Hipótesis!$D$95/12</f>
        <v>0</v>
      </c>
      <c r="M91" s="138" t="n">
        <f aca="false">M89*Hipótesis!$D$95/12</f>
        <v>0</v>
      </c>
      <c r="N91" s="138" t="n">
        <f aca="false">N89*Hipótesis!$D$95/12</f>
        <v>0</v>
      </c>
      <c r="O91" s="138" t="n">
        <f aca="false">O89*Hipótesis!$D$95/12</f>
        <v>0</v>
      </c>
      <c r="P91" s="138" t="n">
        <f aca="false">P89*Hipótesis!$D$95/12</f>
        <v>0</v>
      </c>
      <c r="Q91" s="138" t="n">
        <f aca="false">Q89*Hipótesis!$D$95/12</f>
        <v>0</v>
      </c>
      <c r="R91" s="138" t="n">
        <f aca="false">R89*Hipótesis!$D$95/12</f>
        <v>0</v>
      </c>
      <c r="S91" s="138" t="n">
        <f aca="false">S89*Hipótesis!$D$95/12</f>
        <v>0</v>
      </c>
      <c r="T91" s="138" t="n">
        <f aca="false">T89*Hipótesis!$D$95/12</f>
        <v>0</v>
      </c>
      <c r="U91" s="138" t="n">
        <f aca="false">U89*Hipótesis!$D$95/12</f>
        <v>0</v>
      </c>
      <c r="V91" s="138" t="n">
        <f aca="false">V89*Hipótesis!$D$95/12</f>
        <v>0</v>
      </c>
      <c r="W91" s="138" t="n">
        <f aca="false">W89*Hipótesis!$D$95/12</f>
        <v>0</v>
      </c>
      <c r="X91" s="138" t="n">
        <f aca="false">X89*Hipótesis!$D$95/12</f>
        <v>0</v>
      </c>
      <c r="Y91" s="138" t="n">
        <f aca="false">Y89*Hipótesis!$D$95/12</f>
        <v>0</v>
      </c>
      <c r="Z91" s="138" t="n">
        <f aca="false">Z89*Hipótesis!$D$95/12</f>
        <v>0</v>
      </c>
      <c r="AA91" s="138" t="n">
        <f aca="false">AA89*Hipótesis!$D$95/12</f>
        <v>0</v>
      </c>
      <c r="AB91" s="138" t="n">
        <f aca="false">AB89*Hipótesis!$D$95/12</f>
        <v>0</v>
      </c>
      <c r="AC91" s="138" t="n">
        <f aca="false">AC89*Hipótesis!$D$95/12</f>
        <v>0</v>
      </c>
      <c r="AD91" s="138" t="n">
        <f aca="false">AD89*Hipótesis!$D$95/12</f>
        <v>0</v>
      </c>
      <c r="AE91" s="138" t="n">
        <f aca="false">AE89*Hipótesis!$D$95/12</f>
        <v>0</v>
      </c>
      <c r="AF91" s="138" t="n">
        <f aca="false">AF89*Hipótesis!$D$95/12</f>
        <v>0</v>
      </c>
      <c r="AG91" s="138" t="n">
        <f aca="false">AG89*Hipótesis!$D$95/12</f>
        <v>0</v>
      </c>
      <c r="AH91" s="138" t="n">
        <f aca="false">AH89*Hipótesis!$D$95/12</f>
        <v>0</v>
      </c>
      <c r="AI91" s="138" t="n">
        <f aca="false">AI89*Hipótesis!$D$95/12</f>
        <v>0</v>
      </c>
      <c r="AJ91" s="138" t="n">
        <f aca="false">AJ89*Hipótesis!$D$95/12</f>
        <v>0</v>
      </c>
      <c r="AK91" s="138" t="n">
        <f aca="false">AK89*Hipótesis!$D$95/12</f>
        <v>0</v>
      </c>
      <c r="AL91" s="138" t="n">
        <f aca="false">AL89*Hipótesis!$D$95/12</f>
        <v>0</v>
      </c>
      <c r="AM91" s="138" t="n">
        <f aca="false">AM89*Hipótesis!$D$95/12</f>
        <v>0</v>
      </c>
      <c r="AN91" s="138" t="n">
        <f aca="false">AN89*Hipótesis!$D$95/12</f>
        <v>0</v>
      </c>
      <c r="AO91" s="138" t="n">
        <f aca="false">AO89*Hipótesis!$D$95/12</f>
        <v>0</v>
      </c>
      <c r="AP91" s="138" t="n">
        <f aca="false">AP89*Hipótesis!$D$95/12</f>
        <v>0</v>
      </c>
      <c r="AQ91" s="138" t="n">
        <f aca="false">AQ89*Hipótesis!$D$95/12</f>
        <v>0</v>
      </c>
      <c r="AR91" s="138" t="n">
        <f aca="false">AR89*Hipótesis!$D$95/12</f>
        <v>0</v>
      </c>
      <c r="AS91" s="138" t="n">
        <f aca="false">AS89*Hipótesis!$D$95/12</f>
        <v>0</v>
      </c>
      <c r="AT91" s="138" t="n">
        <f aca="false">AT89*Hipótesis!$D$95/12</f>
        <v>0</v>
      </c>
      <c r="AU91" s="138" t="n">
        <f aca="false">AU89*Hipótesis!$D$95/12</f>
        <v>0</v>
      </c>
      <c r="AV91" s="138" t="n">
        <f aca="false">AV89*Hipótesis!$D$95/12</f>
        <v>0</v>
      </c>
      <c r="AW91" s="138" t="n">
        <f aca="false">AW89*Hipótesis!$D$95/12</f>
        <v>0</v>
      </c>
      <c r="AX91" s="138" t="n">
        <f aca="false">AX89*Hipótesis!$D$95/12</f>
        <v>0</v>
      </c>
      <c r="AY91" s="138" t="n">
        <f aca="false">AY89*Hipótesis!$D$95/12</f>
        <v>0</v>
      </c>
      <c r="AZ91" s="138" t="n">
        <f aca="false">AZ89*Hipótesis!$D$95/12</f>
        <v>0</v>
      </c>
      <c r="BA91" s="138" t="n">
        <f aca="false">BA89*Hipótesis!$D$95/12</f>
        <v>0</v>
      </c>
      <c r="BB91" s="138" t="n">
        <f aca="false">BB89*Hipótesis!$D$95/12</f>
        <v>0</v>
      </c>
      <c r="BC91" s="138" t="n">
        <f aca="false">BC89*Hipótesis!$D$95/12</f>
        <v>0</v>
      </c>
      <c r="BD91" s="138" t="n">
        <f aca="false">BD89*Hipótesis!$D$95/12</f>
        <v>0</v>
      </c>
      <c r="BE91" s="138" t="n">
        <f aca="false">BE89*Hipótesis!$D$95/12</f>
        <v>0</v>
      </c>
      <c r="BF91" s="138" t="n">
        <f aca="false">BF89*Hipótesis!$D$95/12</f>
        <v>0</v>
      </c>
      <c r="BG91" s="138" t="n">
        <f aca="false">BG89*Hipótesis!$D$95/12</f>
        <v>0</v>
      </c>
      <c r="BH91" s="138" t="n">
        <f aca="false">BH89*Hipótesis!$D$95/12</f>
        <v>0</v>
      </c>
      <c r="BI91" s="138" t="n">
        <f aca="false">BI89*Hipótesis!$D$95/12</f>
        <v>0</v>
      </c>
      <c r="BJ91" s="138" t="n">
        <f aca="false">BJ89*Hipótesis!$D$95/12</f>
        <v>0</v>
      </c>
      <c r="BK91" s="138" t="n">
        <f aca="false">BK89*Hipótesis!$D$95/12</f>
        <v>0</v>
      </c>
      <c r="BL91" s="138" t="n">
        <f aca="false">BL89*Hipótesis!$D$95/12</f>
        <v>0</v>
      </c>
      <c r="BM91" s="138" t="n">
        <f aca="false">BM89*Hipótesis!$D$95/12</f>
        <v>0</v>
      </c>
      <c r="BN91" s="138" t="n">
        <f aca="false">BN89*Hipótesis!$D$95/12</f>
        <v>0</v>
      </c>
      <c r="BO91" s="138" t="n">
        <f aca="false">BO89*Hipótesis!$D$95/12</f>
        <v>0</v>
      </c>
      <c r="BP91" s="138" t="n">
        <f aca="false">BP89*Hipótesis!$D$95/12</f>
        <v>0</v>
      </c>
      <c r="BQ91" s="138" t="n">
        <f aca="false">BQ89*Hipótesis!$D$95/12</f>
        <v>0</v>
      </c>
      <c r="BR91" s="138" t="n">
        <f aca="false">BR89*Hipótesis!$D$95/12</f>
        <v>0</v>
      </c>
      <c r="BS91" s="138" t="n">
        <f aca="false">BS89*Hipótesis!$D$95/12</f>
        <v>0</v>
      </c>
      <c r="BT91" s="138" t="n">
        <f aca="false">BT89*Hipótesis!$D$95/12</f>
        <v>0</v>
      </c>
      <c r="BU91" s="138" t="n">
        <f aca="false">BU89*Hipótesis!$D$95/12</f>
        <v>0</v>
      </c>
      <c r="BV91" s="138" t="n">
        <f aca="false">BV89*Hipótesis!$D$95/12</f>
        <v>0</v>
      </c>
      <c r="BW91" s="138" t="n">
        <f aca="false">BW89*Hipótesis!$D$95/12</f>
        <v>0</v>
      </c>
      <c r="BX91" s="138" t="n">
        <f aca="false">BX89*Hipótesis!$D$95/12</f>
        <v>0</v>
      </c>
      <c r="BY91" s="138" t="n">
        <f aca="false">BY89*Hipótesis!$D$95/12</f>
        <v>0</v>
      </c>
      <c r="BZ91" s="138" t="n">
        <f aca="false">BZ89*Hipótesis!$D$95/12</f>
        <v>0</v>
      </c>
      <c r="CA91" s="138" t="n">
        <f aca="false">CA89*Hipótesis!$D$95/12</f>
        <v>0</v>
      </c>
      <c r="CB91" s="138" t="n">
        <f aca="false">CB89*Hipótesis!$D$95/12</f>
        <v>0</v>
      </c>
      <c r="CC91" s="138" t="n">
        <f aca="false">CC89*Hipótesis!$D$95/12</f>
        <v>0</v>
      </c>
      <c r="CD91" s="138" t="n">
        <f aca="false">CD89*Hipótesis!$D$95/12</f>
        <v>0</v>
      </c>
      <c r="CE91" s="138" t="n">
        <f aca="false">CE89*Hipótesis!$D$95/12</f>
        <v>0</v>
      </c>
      <c r="CF91" s="138" t="n">
        <f aca="false">CF89*Hipótesis!$D$95/12</f>
        <v>0</v>
      </c>
      <c r="CG91" s="138" t="n">
        <f aca="false">CG89*Hipótesis!$D$95/12</f>
        <v>0</v>
      </c>
      <c r="CH91" s="138" t="n">
        <f aca="false">CH89*Hipótesis!$D$95/12</f>
        <v>0</v>
      </c>
    </row>
    <row r="92" customFormat="false" ht="13.5" hidden="false" customHeight="true" outlineLevel="0" collapsed="false">
      <c r="A92" s="13" t="s">
        <v>769</v>
      </c>
      <c r="C92" s="138" t="n">
        <f aca="false">IF(Hipótesis!$D$94=5,0,IF(Hipótesis!$D$94=1,C90+C91,IF(Hipótesis!$D$94=2,C90+C91+IF(C89&gt;0,Hipótesis!$D$98*MAX(0,C56),0),IF(Hipótesis!$D$94=3,Hipótesis!$D$99*MAX(0,C56),Hipótesis!$D$100*C36))))</f>
        <v>0</v>
      </c>
      <c r="D92" s="138" t="n">
        <f aca="false">IF(Hipótesis!$D$94=5,0,IF(Hipótesis!$D$94=1,D90+D91,IF(Hipótesis!$D$94=2,D90+D91+IF(D89&gt;0,Hipótesis!$D$98*MAX(0,D56),0),IF(Hipótesis!$D$94=3,Hipótesis!$D$99*MAX(0,D56),Hipótesis!$D$100*D36))))</f>
        <v>0</v>
      </c>
      <c r="E92" s="138" t="n">
        <f aca="false">IF(Hipótesis!$D$94=5,0,IF(Hipótesis!$D$94=1,E90+E91,IF(Hipótesis!$D$94=2,E90+E91+IF(E89&gt;0,Hipótesis!$D$98*MAX(0,E56),0),IF(Hipótesis!$D$94=3,Hipótesis!$D$99*MAX(0,E56),Hipótesis!$D$100*E36))))</f>
        <v>0</v>
      </c>
      <c r="F92" s="138" t="n">
        <f aca="false">IF(Hipótesis!$D$94=5,0,IF(Hipótesis!$D$94=1,F90+F91,IF(Hipótesis!$D$94=2,F90+F91+IF(F89&gt;0,Hipótesis!$D$98*MAX(0,F56),0),IF(Hipótesis!$D$94=3,Hipótesis!$D$99*MAX(0,F56),Hipótesis!$D$100*F36))))</f>
        <v>0</v>
      </c>
      <c r="G92" s="138" t="n">
        <f aca="false">IF(Hipótesis!$D$94=5,0,IF(Hipótesis!$D$94=1,G90+G91,IF(Hipótesis!$D$94=2,G90+G91+IF(G89&gt;0,Hipótesis!$D$98*MAX(0,G56),0),IF(Hipótesis!$D$94=3,Hipótesis!$D$99*MAX(0,G56),Hipótesis!$D$100*G36))))</f>
        <v>0</v>
      </c>
      <c r="H92" s="138" t="n">
        <f aca="false">IF(Hipótesis!$D$94=5,0,IF(Hipótesis!$D$94=1,H90+H91,IF(Hipótesis!$D$94=2,H90+H91+IF(H89&gt;0,Hipótesis!$D$98*MAX(0,H56),0),IF(Hipótesis!$D$94=3,Hipótesis!$D$99*MAX(0,H56),Hipótesis!$D$100*H36))))</f>
        <v>0</v>
      </c>
      <c r="I92" s="138" t="n">
        <f aca="false">IF(Hipótesis!$D$94=5,0,IF(Hipótesis!$D$94=1,I90+I91,IF(Hipótesis!$D$94=2,I90+I91+IF(I89&gt;0,Hipótesis!$D$98*MAX(0,I56),0),IF(Hipótesis!$D$94=3,Hipótesis!$D$99*MAX(0,I56),Hipótesis!$D$100*I36))))</f>
        <v>0</v>
      </c>
      <c r="J92" s="138" t="n">
        <f aca="false">IF(Hipótesis!$D$94=5,0,IF(Hipótesis!$D$94=1,J90+J91,IF(Hipótesis!$D$94=2,J90+J91+IF(J89&gt;0,Hipótesis!$D$98*MAX(0,J56),0),IF(Hipótesis!$D$94=3,Hipótesis!$D$99*MAX(0,J56),Hipótesis!$D$100*J36))))</f>
        <v>0</v>
      </c>
      <c r="K92" s="138" t="n">
        <f aca="false">IF(Hipótesis!$D$94=5,0,IF(Hipótesis!$D$94=1,K90+K91,IF(Hipótesis!$D$94=2,K90+K91+IF(K89&gt;0,Hipótesis!$D$98*MAX(0,K56),0),IF(Hipótesis!$D$94=3,Hipótesis!$D$99*MAX(0,K56),Hipótesis!$D$100*K36))))</f>
        <v>0</v>
      </c>
      <c r="L92" s="138" t="n">
        <f aca="false">IF(Hipótesis!$D$94=5,0,IF(Hipótesis!$D$94=1,L90+L91,IF(Hipótesis!$D$94=2,L90+L91+IF(L89&gt;0,Hipótesis!$D$98*MAX(0,L56),0),IF(Hipótesis!$D$94=3,Hipótesis!$D$99*MAX(0,L56),Hipótesis!$D$100*L36))))</f>
        <v>0</v>
      </c>
      <c r="M92" s="138" t="n">
        <f aca="false">IF(Hipótesis!$D$94=5,0,IF(Hipótesis!$D$94=1,M90+M91,IF(Hipótesis!$D$94=2,M90+M91+IF(M89&gt;0,Hipótesis!$D$98*MAX(0,M56),0),IF(Hipótesis!$D$94=3,Hipótesis!$D$99*MAX(0,M56),Hipótesis!$D$100*M36))))</f>
        <v>0</v>
      </c>
      <c r="N92" s="138" t="n">
        <f aca="false">IF(Hipótesis!$D$94=5,0,IF(Hipótesis!$D$94=1,N90+N91,IF(Hipótesis!$D$94=2,N90+N91+IF(N89&gt;0,Hipótesis!$D$98*MAX(0,N56),0),IF(Hipótesis!$D$94=3,Hipótesis!$D$99*MAX(0,N56),Hipótesis!$D$100*N36))))</f>
        <v>0</v>
      </c>
      <c r="O92" s="138" t="n">
        <f aca="false">IF(Hipótesis!$D$94=5,0,IF(Hipótesis!$D$94=1,O90+O91,IF(Hipótesis!$D$94=2,O90+O91+IF(O89&gt;0,Hipótesis!$D$98*MAX(0,O56),0),IF(Hipótesis!$D$94=3,Hipótesis!$D$99*MAX(0,O56),Hipótesis!$D$100*O36))))</f>
        <v>0</v>
      </c>
      <c r="P92" s="138" t="n">
        <f aca="false">IF(Hipótesis!$D$94=5,0,IF(Hipótesis!$D$94=1,P90+P91,IF(Hipótesis!$D$94=2,P90+P91+IF(P89&gt;0,Hipótesis!$D$98*MAX(0,P56),0),IF(Hipótesis!$D$94=3,Hipótesis!$D$99*MAX(0,P56),Hipótesis!$D$100*P36))))</f>
        <v>0</v>
      </c>
      <c r="Q92" s="138" t="n">
        <f aca="false">IF(Hipótesis!$D$94=5,0,IF(Hipótesis!$D$94=1,Q90+Q91,IF(Hipótesis!$D$94=2,Q90+Q91+IF(Q89&gt;0,Hipótesis!$D$98*MAX(0,Q56),0),IF(Hipótesis!$D$94=3,Hipótesis!$D$99*MAX(0,Q56),Hipótesis!$D$100*Q36))))</f>
        <v>0</v>
      </c>
      <c r="R92" s="138" t="n">
        <f aca="false">IF(Hipótesis!$D$94=5,0,IF(Hipótesis!$D$94=1,R90+R91,IF(Hipótesis!$D$94=2,R90+R91+IF(R89&gt;0,Hipótesis!$D$98*MAX(0,R56),0),IF(Hipótesis!$D$94=3,Hipótesis!$D$99*MAX(0,R56),Hipótesis!$D$100*R36))))</f>
        <v>0</v>
      </c>
      <c r="S92" s="138" t="n">
        <f aca="false">IF(Hipótesis!$D$94=5,0,IF(Hipótesis!$D$94=1,S90+S91,IF(Hipótesis!$D$94=2,S90+S91+IF(S89&gt;0,Hipótesis!$D$98*MAX(0,S56),0),IF(Hipótesis!$D$94=3,Hipótesis!$D$99*MAX(0,S56),Hipótesis!$D$100*S36))))</f>
        <v>0</v>
      </c>
      <c r="T92" s="138" t="n">
        <f aca="false">IF(Hipótesis!$D$94=5,0,IF(Hipótesis!$D$94=1,T90+T91,IF(Hipótesis!$D$94=2,T90+T91+IF(T89&gt;0,Hipótesis!$D$98*MAX(0,T56),0),IF(Hipótesis!$D$94=3,Hipótesis!$D$99*MAX(0,T56),Hipótesis!$D$100*T36))))</f>
        <v>0</v>
      </c>
      <c r="U92" s="138" t="n">
        <f aca="false">IF(Hipótesis!$D$94=5,0,IF(Hipótesis!$D$94=1,U90+U91,IF(Hipótesis!$D$94=2,U90+U91+IF(U89&gt;0,Hipótesis!$D$98*MAX(0,U56),0),IF(Hipótesis!$D$94=3,Hipótesis!$D$99*MAX(0,U56),Hipótesis!$D$100*U36))))</f>
        <v>0</v>
      </c>
      <c r="V92" s="138" t="n">
        <f aca="false">IF(Hipótesis!$D$94=5,0,IF(Hipótesis!$D$94=1,V90+V91,IF(Hipótesis!$D$94=2,V90+V91+IF(V89&gt;0,Hipótesis!$D$98*MAX(0,V56),0),IF(Hipótesis!$D$94=3,Hipótesis!$D$99*MAX(0,V56),Hipótesis!$D$100*V36))))</f>
        <v>0</v>
      </c>
      <c r="W92" s="138" t="n">
        <f aca="false">IF(Hipótesis!$D$94=5,0,IF(Hipótesis!$D$94=1,W90+W91,IF(Hipótesis!$D$94=2,W90+W91+IF(W89&gt;0,Hipótesis!$D$98*MAX(0,W56),0),IF(Hipótesis!$D$94=3,Hipótesis!$D$99*MAX(0,W56),Hipótesis!$D$100*W36))))</f>
        <v>0</v>
      </c>
      <c r="X92" s="138" t="n">
        <f aca="false">IF(Hipótesis!$D$94=5,0,IF(Hipótesis!$D$94=1,X90+X91,IF(Hipótesis!$D$94=2,X90+X91+IF(X89&gt;0,Hipótesis!$D$98*MAX(0,X56),0),IF(Hipótesis!$D$94=3,Hipótesis!$D$99*MAX(0,X56),Hipótesis!$D$100*X36))))</f>
        <v>0</v>
      </c>
      <c r="Y92" s="138" t="n">
        <f aca="false">IF(Hipótesis!$D$94=5,0,IF(Hipótesis!$D$94=1,Y90+Y91,IF(Hipótesis!$D$94=2,Y90+Y91+IF(Y89&gt;0,Hipótesis!$D$98*MAX(0,Y56),0),IF(Hipótesis!$D$94=3,Hipótesis!$D$99*MAX(0,Y56),Hipótesis!$D$100*Y36))))</f>
        <v>0</v>
      </c>
      <c r="Z92" s="138" t="n">
        <f aca="false">IF(Hipótesis!$D$94=5,0,IF(Hipótesis!$D$94=1,Z90+Z91,IF(Hipótesis!$D$94=2,Z90+Z91+IF(Z89&gt;0,Hipótesis!$D$98*MAX(0,Z56),0),IF(Hipótesis!$D$94=3,Hipótesis!$D$99*MAX(0,Z56),Hipótesis!$D$100*Z36))))</f>
        <v>0</v>
      </c>
      <c r="AA92" s="138" t="n">
        <f aca="false">IF(Hipótesis!$D$94=5,0,IF(Hipótesis!$D$94=1,AA90+AA91,IF(Hipótesis!$D$94=2,AA90+AA91+IF(AA89&gt;0,Hipótesis!$D$98*MAX(0,AA56),0),IF(Hipótesis!$D$94=3,Hipótesis!$D$99*MAX(0,AA56),Hipótesis!$D$100*AA36))))</f>
        <v>0</v>
      </c>
      <c r="AB92" s="138" t="n">
        <f aca="false">IF(Hipótesis!$D$94=5,0,IF(Hipótesis!$D$94=1,AB90+AB91,IF(Hipótesis!$D$94=2,AB90+AB91+IF(AB89&gt;0,Hipótesis!$D$98*MAX(0,AB56),0),IF(Hipótesis!$D$94=3,Hipótesis!$D$99*MAX(0,AB56),Hipótesis!$D$100*AB36))))</f>
        <v>0</v>
      </c>
      <c r="AC92" s="138" t="n">
        <f aca="false">IF(Hipótesis!$D$94=5,0,IF(Hipótesis!$D$94=1,AC90+AC91,IF(Hipótesis!$D$94=2,AC90+AC91+IF(AC89&gt;0,Hipótesis!$D$98*MAX(0,AC56),0),IF(Hipótesis!$D$94=3,Hipótesis!$D$99*MAX(0,AC56),Hipótesis!$D$100*AC36))))</f>
        <v>0</v>
      </c>
      <c r="AD92" s="138" t="n">
        <f aca="false">IF(Hipótesis!$D$94=5,0,IF(Hipótesis!$D$94=1,AD90+AD91,IF(Hipótesis!$D$94=2,AD90+AD91+IF(AD89&gt;0,Hipótesis!$D$98*MAX(0,AD56),0),IF(Hipótesis!$D$94=3,Hipótesis!$D$99*MAX(0,AD56),Hipótesis!$D$100*AD36))))</f>
        <v>0</v>
      </c>
      <c r="AE92" s="138" t="n">
        <f aca="false">IF(Hipótesis!$D$94=5,0,IF(Hipótesis!$D$94=1,AE90+AE91,IF(Hipótesis!$D$94=2,AE90+AE91+IF(AE89&gt;0,Hipótesis!$D$98*MAX(0,AE56),0),IF(Hipótesis!$D$94=3,Hipótesis!$D$99*MAX(0,AE56),Hipótesis!$D$100*AE36))))</f>
        <v>0</v>
      </c>
      <c r="AF92" s="138" t="n">
        <f aca="false">IF(Hipótesis!$D$94=5,0,IF(Hipótesis!$D$94=1,AF90+AF91,IF(Hipótesis!$D$94=2,AF90+AF91+IF(AF89&gt;0,Hipótesis!$D$98*MAX(0,AF56),0),IF(Hipótesis!$D$94=3,Hipótesis!$D$99*MAX(0,AF56),Hipótesis!$D$100*AF36))))</f>
        <v>0</v>
      </c>
      <c r="AG92" s="138" t="n">
        <f aca="false">IF(Hipótesis!$D$94=5,0,IF(Hipótesis!$D$94=1,AG90+AG91,IF(Hipótesis!$D$94=2,AG90+AG91+IF(AG89&gt;0,Hipótesis!$D$98*MAX(0,AG56),0),IF(Hipótesis!$D$94=3,Hipótesis!$D$99*MAX(0,AG56),Hipótesis!$D$100*AG36))))</f>
        <v>0</v>
      </c>
      <c r="AH92" s="138" t="n">
        <f aca="false">IF(Hipótesis!$D$94=5,0,IF(Hipótesis!$D$94=1,AH90+AH91,IF(Hipótesis!$D$94=2,AH90+AH91+IF(AH89&gt;0,Hipótesis!$D$98*MAX(0,AH56),0),IF(Hipótesis!$D$94=3,Hipótesis!$D$99*MAX(0,AH56),Hipótesis!$D$100*AH36))))</f>
        <v>0</v>
      </c>
      <c r="AI92" s="138" t="n">
        <f aca="false">IF(Hipótesis!$D$94=5,0,IF(Hipótesis!$D$94=1,AI90+AI91,IF(Hipótesis!$D$94=2,AI90+AI91+IF(AI89&gt;0,Hipótesis!$D$98*MAX(0,AI56),0),IF(Hipótesis!$D$94=3,Hipótesis!$D$99*MAX(0,AI56),Hipótesis!$D$100*AI36))))</f>
        <v>0</v>
      </c>
      <c r="AJ92" s="138" t="n">
        <f aca="false">IF(Hipótesis!$D$94=5,0,IF(Hipótesis!$D$94=1,AJ90+AJ91,IF(Hipótesis!$D$94=2,AJ90+AJ91+IF(AJ89&gt;0,Hipótesis!$D$98*MAX(0,AJ56),0),IF(Hipótesis!$D$94=3,Hipótesis!$D$99*MAX(0,AJ56),Hipótesis!$D$100*AJ36))))</f>
        <v>0</v>
      </c>
      <c r="AK92" s="138" t="n">
        <f aca="false">IF(Hipótesis!$D$94=5,0,IF(Hipótesis!$D$94=1,AK90+AK91,IF(Hipótesis!$D$94=2,AK90+AK91+IF(AK89&gt;0,Hipótesis!$D$98*MAX(0,AK56),0),IF(Hipótesis!$D$94=3,Hipótesis!$D$99*MAX(0,AK56),Hipótesis!$D$100*AK36))))</f>
        <v>0</v>
      </c>
      <c r="AL92" s="138" t="n">
        <f aca="false">IF(Hipótesis!$D$94=5,0,IF(Hipótesis!$D$94=1,AL90+AL91,IF(Hipótesis!$D$94=2,AL90+AL91+IF(AL89&gt;0,Hipótesis!$D$98*MAX(0,AL56),0),IF(Hipótesis!$D$94=3,Hipótesis!$D$99*MAX(0,AL56),Hipótesis!$D$100*AL36))))</f>
        <v>0</v>
      </c>
      <c r="AM92" s="138" t="n">
        <f aca="false">IF(Hipótesis!$D$94=5,0,IF(Hipótesis!$D$94=1,AM90+AM91,IF(Hipótesis!$D$94=2,AM90+AM91+IF(AM89&gt;0,Hipótesis!$D$98*MAX(0,AM56),0),IF(Hipótesis!$D$94=3,Hipótesis!$D$99*MAX(0,AM56),Hipótesis!$D$100*AM36))))</f>
        <v>0</v>
      </c>
      <c r="AN92" s="138" t="n">
        <f aca="false">IF(Hipótesis!$D$94=5,0,IF(Hipótesis!$D$94=1,AN90+AN91,IF(Hipótesis!$D$94=2,AN90+AN91+IF(AN89&gt;0,Hipótesis!$D$98*MAX(0,AN56),0),IF(Hipótesis!$D$94=3,Hipótesis!$D$99*MAX(0,AN56),Hipótesis!$D$100*AN36))))</f>
        <v>0</v>
      </c>
      <c r="AO92" s="138" t="n">
        <f aca="false">IF(Hipótesis!$D$94=5,0,IF(Hipótesis!$D$94=1,AO90+AO91,IF(Hipótesis!$D$94=2,AO90+AO91+IF(AO89&gt;0,Hipótesis!$D$98*MAX(0,AO56),0),IF(Hipótesis!$D$94=3,Hipótesis!$D$99*MAX(0,AO56),Hipótesis!$D$100*AO36))))</f>
        <v>0</v>
      </c>
      <c r="AP92" s="138" t="n">
        <f aca="false">IF(Hipótesis!$D$94=5,0,IF(Hipótesis!$D$94=1,AP90+AP91,IF(Hipótesis!$D$94=2,AP90+AP91+IF(AP89&gt;0,Hipótesis!$D$98*MAX(0,AP56),0),IF(Hipótesis!$D$94=3,Hipótesis!$D$99*MAX(0,AP56),Hipótesis!$D$100*AP36))))</f>
        <v>0</v>
      </c>
      <c r="AQ92" s="138" t="n">
        <f aca="false">IF(Hipótesis!$D$94=5,0,IF(Hipótesis!$D$94=1,AQ90+AQ91,IF(Hipótesis!$D$94=2,AQ90+AQ91+IF(AQ89&gt;0,Hipótesis!$D$98*MAX(0,AQ56),0),IF(Hipótesis!$D$94=3,Hipótesis!$D$99*MAX(0,AQ56),Hipótesis!$D$100*AQ36))))</f>
        <v>0</v>
      </c>
      <c r="AR92" s="138" t="n">
        <f aca="false">IF(Hipótesis!$D$94=5,0,IF(Hipótesis!$D$94=1,AR90+AR91,IF(Hipótesis!$D$94=2,AR90+AR91+IF(AR89&gt;0,Hipótesis!$D$98*MAX(0,AR56),0),IF(Hipótesis!$D$94=3,Hipótesis!$D$99*MAX(0,AR56),Hipótesis!$D$100*AR36))))</f>
        <v>0</v>
      </c>
      <c r="AS92" s="138" t="n">
        <f aca="false">IF(Hipótesis!$D$94=5,0,IF(Hipótesis!$D$94=1,AS90+AS91,IF(Hipótesis!$D$94=2,AS90+AS91+IF(AS89&gt;0,Hipótesis!$D$98*MAX(0,AS56),0),IF(Hipótesis!$D$94=3,Hipótesis!$D$99*MAX(0,AS56),Hipótesis!$D$100*AS36))))</f>
        <v>0</v>
      </c>
      <c r="AT92" s="138" t="n">
        <f aca="false">IF(Hipótesis!$D$94=5,0,IF(Hipótesis!$D$94=1,AT90+AT91,IF(Hipótesis!$D$94=2,AT90+AT91+IF(AT89&gt;0,Hipótesis!$D$98*MAX(0,AT56),0),IF(Hipótesis!$D$94=3,Hipótesis!$D$99*MAX(0,AT56),Hipótesis!$D$100*AT36))))</f>
        <v>0</v>
      </c>
      <c r="AU92" s="138" t="n">
        <f aca="false">IF(Hipótesis!$D$94=5,0,IF(Hipótesis!$D$94=1,AU90+AU91,IF(Hipótesis!$D$94=2,AU90+AU91+IF(AU89&gt;0,Hipótesis!$D$98*MAX(0,AU56),0),IF(Hipótesis!$D$94=3,Hipótesis!$D$99*MAX(0,AU56),Hipótesis!$D$100*AU36))))</f>
        <v>0</v>
      </c>
      <c r="AV92" s="138" t="n">
        <f aca="false">IF(Hipótesis!$D$94=5,0,IF(Hipótesis!$D$94=1,AV90+AV91,IF(Hipótesis!$D$94=2,AV90+AV91+IF(AV89&gt;0,Hipótesis!$D$98*MAX(0,AV56),0),IF(Hipótesis!$D$94=3,Hipótesis!$D$99*MAX(0,AV56),Hipótesis!$D$100*AV36))))</f>
        <v>0</v>
      </c>
      <c r="AW92" s="138" t="n">
        <f aca="false">IF(Hipótesis!$D$94=5,0,IF(Hipótesis!$D$94=1,AW90+AW91,IF(Hipótesis!$D$94=2,AW90+AW91+IF(AW89&gt;0,Hipótesis!$D$98*MAX(0,AW56),0),IF(Hipótesis!$D$94=3,Hipótesis!$D$99*MAX(0,AW56),Hipótesis!$D$100*AW36))))</f>
        <v>0</v>
      </c>
      <c r="AX92" s="138" t="n">
        <f aca="false">IF(Hipótesis!$D$94=5,0,IF(Hipótesis!$D$94=1,AX90+AX91,IF(Hipótesis!$D$94=2,AX90+AX91+IF(AX89&gt;0,Hipótesis!$D$98*MAX(0,AX56),0),IF(Hipótesis!$D$94=3,Hipótesis!$D$99*MAX(0,AX56),Hipótesis!$D$100*AX36))))</f>
        <v>0</v>
      </c>
      <c r="AY92" s="138" t="n">
        <f aca="false">IF(Hipótesis!$D$94=5,0,IF(Hipótesis!$D$94=1,AY90+AY91,IF(Hipótesis!$D$94=2,AY90+AY91+IF(AY89&gt;0,Hipótesis!$D$98*MAX(0,AY56),0),IF(Hipótesis!$D$94=3,Hipótesis!$D$99*MAX(0,AY56),Hipótesis!$D$100*AY36))))</f>
        <v>0</v>
      </c>
      <c r="AZ92" s="138" t="n">
        <f aca="false">IF(Hipótesis!$D$94=5,0,IF(Hipótesis!$D$94=1,AZ90+AZ91,IF(Hipótesis!$D$94=2,AZ90+AZ91+IF(AZ89&gt;0,Hipótesis!$D$98*MAX(0,AZ56),0),IF(Hipótesis!$D$94=3,Hipótesis!$D$99*MAX(0,AZ56),Hipótesis!$D$100*AZ36))))</f>
        <v>0</v>
      </c>
      <c r="BA92" s="138" t="n">
        <f aca="false">IF(Hipótesis!$D$94=5,0,IF(Hipótesis!$D$94=1,BA90+BA91,IF(Hipótesis!$D$94=2,BA90+BA91+IF(BA89&gt;0,Hipótesis!$D$98*MAX(0,BA56),0),IF(Hipótesis!$D$94=3,Hipótesis!$D$99*MAX(0,BA56),Hipótesis!$D$100*BA36))))</f>
        <v>0</v>
      </c>
      <c r="BB92" s="138" t="n">
        <f aca="false">IF(Hipótesis!$D$94=5,0,IF(Hipótesis!$D$94=1,BB90+BB91,IF(Hipótesis!$D$94=2,BB90+BB91+IF(BB89&gt;0,Hipótesis!$D$98*MAX(0,BB56),0),IF(Hipótesis!$D$94=3,Hipótesis!$D$99*MAX(0,BB56),Hipótesis!$D$100*BB36))))</f>
        <v>0</v>
      </c>
      <c r="BC92" s="138" t="n">
        <f aca="false">IF(Hipótesis!$D$94=5,0,IF(Hipótesis!$D$94=1,BC90+BC91,IF(Hipótesis!$D$94=2,BC90+BC91+IF(BC89&gt;0,Hipótesis!$D$98*MAX(0,BC56),0),IF(Hipótesis!$D$94=3,Hipótesis!$D$99*MAX(0,BC56),Hipótesis!$D$100*BC36))))</f>
        <v>0</v>
      </c>
      <c r="BD92" s="138" t="n">
        <f aca="false">IF(Hipótesis!$D$94=5,0,IF(Hipótesis!$D$94=1,BD90+BD91,IF(Hipótesis!$D$94=2,BD90+BD91+IF(BD89&gt;0,Hipótesis!$D$98*MAX(0,BD56),0),IF(Hipótesis!$D$94=3,Hipótesis!$D$99*MAX(0,BD56),Hipótesis!$D$100*BD36))))</f>
        <v>0</v>
      </c>
      <c r="BE92" s="138" t="n">
        <f aca="false">IF(Hipótesis!$D$94=5,0,IF(Hipótesis!$D$94=1,BE90+BE91,IF(Hipótesis!$D$94=2,BE90+BE91+IF(BE89&gt;0,Hipótesis!$D$98*MAX(0,BE56),0),IF(Hipótesis!$D$94=3,Hipótesis!$D$99*MAX(0,BE56),Hipótesis!$D$100*BE36))))</f>
        <v>0</v>
      </c>
      <c r="BF92" s="138" t="n">
        <f aca="false">IF(Hipótesis!$D$94=5,0,IF(Hipótesis!$D$94=1,BF90+BF91,IF(Hipótesis!$D$94=2,BF90+BF91+IF(BF89&gt;0,Hipótesis!$D$98*MAX(0,BF56),0),IF(Hipótesis!$D$94=3,Hipótesis!$D$99*MAX(0,BF56),Hipótesis!$D$100*BF36))))</f>
        <v>0</v>
      </c>
      <c r="BG92" s="138" t="n">
        <f aca="false">IF(Hipótesis!$D$94=5,0,IF(Hipótesis!$D$94=1,BG90+BG91,IF(Hipótesis!$D$94=2,BG90+BG91+IF(BG89&gt;0,Hipótesis!$D$98*MAX(0,BG56),0),IF(Hipótesis!$D$94=3,Hipótesis!$D$99*MAX(0,BG56),Hipótesis!$D$100*BG36))))</f>
        <v>0</v>
      </c>
      <c r="BH92" s="138" t="n">
        <f aca="false">IF(Hipótesis!$D$94=5,0,IF(Hipótesis!$D$94=1,BH90+BH91,IF(Hipótesis!$D$94=2,BH90+BH91+IF(BH89&gt;0,Hipótesis!$D$98*MAX(0,BH56),0),IF(Hipótesis!$D$94=3,Hipótesis!$D$99*MAX(0,BH56),Hipótesis!$D$100*BH36))))</f>
        <v>0</v>
      </c>
      <c r="BI92" s="138" t="n">
        <f aca="false">IF(Hipótesis!$D$94=5,0,IF(Hipótesis!$D$94=1,BI90+BI91,IF(Hipótesis!$D$94=2,BI90+BI91+IF(BI89&gt;0,Hipótesis!$D$98*MAX(0,BI56),0),IF(Hipótesis!$D$94=3,Hipótesis!$D$99*MAX(0,BI56),Hipótesis!$D$100*BI36))))</f>
        <v>0</v>
      </c>
      <c r="BJ92" s="138" t="n">
        <f aca="false">IF(Hipótesis!$D$94=5,0,IF(Hipótesis!$D$94=1,BJ90+BJ91,IF(Hipótesis!$D$94=2,BJ90+BJ91+IF(BJ89&gt;0,Hipótesis!$D$98*MAX(0,BJ56),0),IF(Hipótesis!$D$94=3,Hipótesis!$D$99*MAX(0,BJ56),Hipótesis!$D$100*BJ36))))</f>
        <v>0</v>
      </c>
      <c r="BK92" s="138" t="n">
        <f aca="false">IF(Hipótesis!$D$94=5,0,IF(Hipótesis!$D$94=1,BK90+BK91,IF(Hipótesis!$D$94=2,BK90+BK91+IF(BK89&gt;0,Hipótesis!$D$98*MAX(0,BK56),0),IF(Hipótesis!$D$94=3,Hipótesis!$D$99*MAX(0,BK56),Hipótesis!$D$100*BK36))))</f>
        <v>0</v>
      </c>
      <c r="BL92" s="138" t="n">
        <f aca="false">IF(Hipótesis!$D$94=5,0,IF(Hipótesis!$D$94=1,BL90+BL91,IF(Hipótesis!$D$94=2,BL90+BL91+IF(BL89&gt;0,Hipótesis!$D$98*MAX(0,BL56),0),IF(Hipótesis!$D$94=3,Hipótesis!$D$99*MAX(0,BL56),Hipótesis!$D$100*BL36))))</f>
        <v>0</v>
      </c>
      <c r="BM92" s="138" t="n">
        <f aca="false">IF(Hipótesis!$D$94=5,0,IF(Hipótesis!$D$94=1,BM90+BM91,IF(Hipótesis!$D$94=2,BM90+BM91+IF(BM89&gt;0,Hipótesis!$D$98*MAX(0,BM56),0),IF(Hipótesis!$D$94=3,Hipótesis!$D$99*MAX(0,BM56),Hipótesis!$D$100*BM36))))</f>
        <v>0</v>
      </c>
      <c r="BN92" s="138" t="n">
        <f aca="false">IF(Hipótesis!$D$94=5,0,IF(Hipótesis!$D$94=1,BN90+BN91,IF(Hipótesis!$D$94=2,BN90+BN91+IF(BN89&gt;0,Hipótesis!$D$98*MAX(0,BN56),0),IF(Hipótesis!$D$94=3,Hipótesis!$D$99*MAX(0,BN56),Hipótesis!$D$100*BN36))))</f>
        <v>0</v>
      </c>
      <c r="BO92" s="138" t="n">
        <f aca="false">IF(Hipótesis!$D$94=5,0,IF(Hipótesis!$D$94=1,BO90+BO91,IF(Hipótesis!$D$94=2,BO90+BO91+IF(BO89&gt;0,Hipótesis!$D$98*MAX(0,BO56),0),IF(Hipótesis!$D$94=3,Hipótesis!$D$99*MAX(0,BO56),Hipótesis!$D$100*BO36))))</f>
        <v>0</v>
      </c>
      <c r="BP92" s="138" t="n">
        <f aca="false">IF(Hipótesis!$D$94=5,0,IF(Hipótesis!$D$94=1,BP90+BP91,IF(Hipótesis!$D$94=2,BP90+BP91+IF(BP89&gt;0,Hipótesis!$D$98*MAX(0,BP56),0),IF(Hipótesis!$D$94=3,Hipótesis!$D$99*MAX(0,BP56),Hipótesis!$D$100*BP36))))</f>
        <v>0</v>
      </c>
      <c r="BQ92" s="138" t="n">
        <f aca="false">IF(Hipótesis!$D$94=5,0,IF(Hipótesis!$D$94=1,BQ90+BQ91,IF(Hipótesis!$D$94=2,BQ90+BQ91+IF(BQ89&gt;0,Hipótesis!$D$98*MAX(0,BQ56),0),IF(Hipótesis!$D$94=3,Hipótesis!$D$99*MAX(0,BQ56),Hipótesis!$D$100*BQ36))))</f>
        <v>0</v>
      </c>
      <c r="BR92" s="138" t="n">
        <f aca="false">IF(Hipótesis!$D$94=5,0,IF(Hipótesis!$D$94=1,BR90+BR91,IF(Hipótesis!$D$94=2,BR90+BR91+IF(BR89&gt;0,Hipótesis!$D$98*MAX(0,BR56),0),IF(Hipótesis!$D$94=3,Hipótesis!$D$99*MAX(0,BR56),Hipótesis!$D$100*BR36))))</f>
        <v>0</v>
      </c>
      <c r="BS92" s="138" t="n">
        <f aca="false">IF(Hipótesis!$D$94=5,0,IF(Hipótesis!$D$94=1,BS90+BS91,IF(Hipótesis!$D$94=2,BS90+BS91+IF(BS89&gt;0,Hipótesis!$D$98*MAX(0,BS56),0),IF(Hipótesis!$D$94=3,Hipótesis!$D$99*MAX(0,BS56),Hipótesis!$D$100*BS36))))</f>
        <v>0</v>
      </c>
      <c r="BT92" s="138" t="n">
        <f aca="false">IF(Hipótesis!$D$94=5,0,IF(Hipótesis!$D$94=1,BT90+BT91,IF(Hipótesis!$D$94=2,BT90+BT91+IF(BT89&gt;0,Hipótesis!$D$98*MAX(0,BT56),0),IF(Hipótesis!$D$94=3,Hipótesis!$D$99*MAX(0,BT56),Hipótesis!$D$100*BT36))))</f>
        <v>0</v>
      </c>
      <c r="BU92" s="138" t="n">
        <f aca="false">IF(Hipótesis!$D$94=5,0,IF(Hipótesis!$D$94=1,BU90+BU91,IF(Hipótesis!$D$94=2,BU90+BU91+IF(BU89&gt;0,Hipótesis!$D$98*MAX(0,BU56),0),IF(Hipótesis!$D$94=3,Hipótesis!$D$99*MAX(0,BU56),Hipótesis!$D$100*BU36))))</f>
        <v>0</v>
      </c>
      <c r="BV92" s="138" t="n">
        <f aca="false">IF(Hipótesis!$D$94=5,0,IF(Hipótesis!$D$94=1,BV90+BV91,IF(Hipótesis!$D$94=2,BV90+BV91+IF(BV89&gt;0,Hipótesis!$D$98*MAX(0,BV56),0),IF(Hipótesis!$D$94=3,Hipótesis!$D$99*MAX(0,BV56),Hipótesis!$D$100*BV36))))</f>
        <v>0</v>
      </c>
      <c r="BW92" s="138" t="n">
        <f aca="false">IF(Hipótesis!$D$94=5,0,IF(Hipótesis!$D$94=1,BW90+BW91,IF(Hipótesis!$D$94=2,BW90+BW91+IF(BW89&gt;0,Hipótesis!$D$98*MAX(0,BW56),0),IF(Hipótesis!$D$94=3,Hipótesis!$D$99*MAX(0,BW56),Hipótesis!$D$100*BW36))))</f>
        <v>0</v>
      </c>
      <c r="BX92" s="138" t="n">
        <f aca="false">IF(Hipótesis!$D$94=5,0,IF(Hipótesis!$D$94=1,BX90+BX91,IF(Hipótesis!$D$94=2,BX90+BX91+IF(BX89&gt;0,Hipótesis!$D$98*MAX(0,BX56),0),IF(Hipótesis!$D$94=3,Hipótesis!$D$99*MAX(0,BX56),Hipótesis!$D$100*BX36))))</f>
        <v>0</v>
      </c>
      <c r="BY92" s="138" t="n">
        <f aca="false">IF(Hipótesis!$D$94=5,0,IF(Hipótesis!$D$94=1,BY90+BY91,IF(Hipótesis!$D$94=2,BY90+BY91+IF(BY89&gt;0,Hipótesis!$D$98*MAX(0,BY56),0),IF(Hipótesis!$D$94=3,Hipótesis!$D$99*MAX(0,BY56),Hipótesis!$D$100*BY36))))</f>
        <v>0</v>
      </c>
      <c r="BZ92" s="138" t="n">
        <f aca="false">IF(Hipótesis!$D$94=5,0,IF(Hipótesis!$D$94=1,BZ90+BZ91,IF(Hipótesis!$D$94=2,BZ90+BZ91+IF(BZ89&gt;0,Hipótesis!$D$98*MAX(0,BZ56),0),IF(Hipótesis!$D$94=3,Hipótesis!$D$99*MAX(0,BZ56),Hipótesis!$D$100*BZ36))))</f>
        <v>0</v>
      </c>
      <c r="CA92" s="138" t="n">
        <f aca="false">IF(Hipótesis!$D$94=5,0,IF(Hipótesis!$D$94=1,CA90+CA91,IF(Hipótesis!$D$94=2,CA90+CA91+IF(CA89&gt;0,Hipótesis!$D$98*MAX(0,CA56),0),IF(Hipótesis!$D$94=3,Hipótesis!$D$99*MAX(0,CA56),Hipótesis!$D$100*CA36))))</f>
        <v>0</v>
      </c>
      <c r="CB92" s="138" t="n">
        <f aca="false">IF(Hipótesis!$D$94=5,0,IF(Hipótesis!$D$94=1,CB90+CB91,IF(Hipótesis!$D$94=2,CB90+CB91+IF(CB89&gt;0,Hipótesis!$D$98*MAX(0,CB56),0),IF(Hipótesis!$D$94=3,Hipótesis!$D$99*MAX(0,CB56),Hipótesis!$D$100*CB36))))</f>
        <v>0</v>
      </c>
      <c r="CC92" s="138" t="n">
        <f aca="false">IF(Hipótesis!$D$94=5,0,IF(Hipótesis!$D$94=1,CC90+CC91,IF(Hipótesis!$D$94=2,CC90+CC91+IF(CC89&gt;0,Hipótesis!$D$98*MAX(0,CC56),0),IF(Hipótesis!$D$94=3,Hipótesis!$D$99*MAX(0,CC56),Hipótesis!$D$100*CC36))))</f>
        <v>0</v>
      </c>
      <c r="CD92" s="138" t="n">
        <f aca="false">IF(Hipótesis!$D$94=5,0,IF(Hipótesis!$D$94=1,CD90+CD91,IF(Hipótesis!$D$94=2,CD90+CD91+IF(CD89&gt;0,Hipótesis!$D$98*MAX(0,CD56),0),IF(Hipótesis!$D$94=3,Hipótesis!$D$99*MAX(0,CD56),Hipótesis!$D$100*CD36))))</f>
        <v>0</v>
      </c>
      <c r="CE92" s="138" t="n">
        <f aca="false">IF(Hipótesis!$D$94=5,0,IF(Hipótesis!$D$94=1,CE90+CE91,IF(Hipótesis!$D$94=2,CE90+CE91+IF(CE89&gt;0,Hipótesis!$D$98*MAX(0,CE56),0),IF(Hipótesis!$D$94=3,Hipótesis!$D$99*MAX(0,CE56),Hipótesis!$D$100*CE36))))</f>
        <v>0</v>
      </c>
      <c r="CF92" s="138" t="n">
        <f aca="false">IF(Hipótesis!$D$94=5,0,IF(Hipótesis!$D$94=1,CF90+CF91,IF(Hipótesis!$D$94=2,CF90+CF91+IF(CF89&gt;0,Hipótesis!$D$98*MAX(0,CF56),0),IF(Hipótesis!$D$94=3,Hipótesis!$D$99*MAX(0,CF56),Hipótesis!$D$100*CF36))))</f>
        <v>0</v>
      </c>
      <c r="CG92" s="138" t="n">
        <f aca="false">IF(Hipótesis!$D$94=5,0,IF(Hipótesis!$D$94=1,CG90+CG91,IF(Hipótesis!$D$94=2,CG90+CG91+IF(CG89&gt;0,Hipótesis!$D$98*MAX(0,CG56),0),IF(Hipótesis!$D$94=3,Hipótesis!$D$99*MAX(0,CG56),Hipótesis!$D$100*CG36))))</f>
        <v>0</v>
      </c>
      <c r="CH92" s="138" t="n">
        <f aca="false">IF(Hipótesis!$D$94=5,0,IF(Hipótesis!$D$94=1,CH90+CH91,IF(Hipótesis!$D$94=2,CH90+CH91+IF(CH89&gt;0,Hipótesis!$D$98*MAX(0,CH56),0),IF(Hipótesis!$D$94=3,Hipótesis!$D$99*MAX(0,CH56),Hipótesis!$D$100*CH36))))</f>
        <v>0</v>
      </c>
    </row>
    <row r="93" customFormat="false" ht="13.5" hidden="false" customHeight="true" outlineLevel="0" collapsed="false">
      <c r="A93" s="13" t="s">
        <v>770</v>
      </c>
      <c r="C93" s="138" t="n">
        <f aca="false">IF(Hipótesis!$D$94&lt;=2,C92,MIN(C92,MAX(0,Hipótesis!$D$101*Hipótesis!$D$93-0)))</f>
        <v>0</v>
      </c>
      <c r="D93" s="138" t="n">
        <f aca="false">IF(Hipótesis!$D$94&lt;=2,D92,MIN(D92,MAX(0,Hipótesis!$D$101*Hipótesis!$D$93-C94)))</f>
        <v>0</v>
      </c>
      <c r="E93" s="138" t="n">
        <f aca="false">IF(Hipótesis!$D$94&lt;=2,E92,MIN(E92,MAX(0,Hipótesis!$D$101*Hipótesis!$D$93-D94)))</f>
        <v>0</v>
      </c>
      <c r="F93" s="138" t="n">
        <f aca="false">IF(Hipótesis!$D$94&lt;=2,F92,MIN(F92,MAX(0,Hipótesis!$D$101*Hipótesis!$D$93-E94)))</f>
        <v>0</v>
      </c>
      <c r="G93" s="138" t="n">
        <f aca="false">IF(Hipótesis!$D$94&lt;=2,G92,MIN(G92,MAX(0,Hipótesis!$D$101*Hipótesis!$D$93-F94)))</f>
        <v>0</v>
      </c>
      <c r="H93" s="138" t="n">
        <f aca="false">IF(Hipótesis!$D$94&lt;=2,H92,MIN(H92,MAX(0,Hipótesis!$D$101*Hipótesis!$D$93-G94)))</f>
        <v>0</v>
      </c>
      <c r="I93" s="138" t="n">
        <f aca="false">IF(Hipótesis!$D$94&lt;=2,I92,MIN(I92,MAX(0,Hipótesis!$D$101*Hipótesis!$D$93-H94)))</f>
        <v>0</v>
      </c>
      <c r="J93" s="138" t="n">
        <f aca="false">IF(Hipótesis!$D$94&lt;=2,J92,MIN(J92,MAX(0,Hipótesis!$D$101*Hipótesis!$D$93-I94)))</f>
        <v>0</v>
      </c>
      <c r="K93" s="138" t="n">
        <f aca="false">IF(Hipótesis!$D$94&lt;=2,K92,MIN(K92,MAX(0,Hipótesis!$D$101*Hipótesis!$D$93-J94)))</f>
        <v>0</v>
      </c>
      <c r="L93" s="138" t="n">
        <f aca="false">IF(Hipótesis!$D$94&lt;=2,L92,MIN(L92,MAX(0,Hipótesis!$D$101*Hipótesis!$D$93-K94)))</f>
        <v>0</v>
      </c>
      <c r="M93" s="138" t="n">
        <f aca="false">IF(Hipótesis!$D$94&lt;=2,M92,MIN(M92,MAX(0,Hipótesis!$D$101*Hipótesis!$D$93-L94)))</f>
        <v>0</v>
      </c>
      <c r="N93" s="138" t="n">
        <f aca="false">IF(Hipótesis!$D$94&lt;=2,N92,MIN(N92,MAX(0,Hipótesis!$D$101*Hipótesis!$D$93-M94)))</f>
        <v>0</v>
      </c>
      <c r="O93" s="138" t="n">
        <f aca="false">IF(Hipótesis!$D$94&lt;=2,O92,MIN(O92,MAX(0,Hipótesis!$D$101*Hipótesis!$D$93-N94)))</f>
        <v>0</v>
      </c>
      <c r="P93" s="138" t="n">
        <f aca="false">IF(Hipótesis!$D$94&lt;=2,P92,MIN(P92,MAX(0,Hipótesis!$D$101*Hipótesis!$D$93-O94)))</f>
        <v>0</v>
      </c>
      <c r="Q93" s="138" t="n">
        <f aca="false">IF(Hipótesis!$D$94&lt;=2,Q92,MIN(Q92,MAX(0,Hipótesis!$D$101*Hipótesis!$D$93-P94)))</f>
        <v>0</v>
      </c>
      <c r="R93" s="138" t="n">
        <f aca="false">IF(Hipótesis!$D$94&lt;=2,R92,MIN(R92,MAX(0,Hipótesis!$D$101*Hipótesis!$D$93-Q94)))</f>
        <v>0</v>
      </c>
      <c r="S93" s="138" t="n">
        <f aca="false">IF(Hipótesis!$D$94&lt;=2,S92,MIN(S92,MAX(0,Hipótesis!$D$101*Hipótesis!$D$93-R94)))</f>
        <v>0</v>
      </c>
      <c r="T93" s="138" t="n">
        <f aca="false">IF(Hipótesis!$D$94&lt;=2,T92,MIN(T92,MAX(0,Hipótesis!$D$101*Hipótesis!$D$93-S94)))</f>
        <v>0</v>
      </c>
      <c r="U93" s="138" t="n">
        <f aca="false">IF(Hipótesis!$D$94&lt;=2,U92,MIN(U92,MAX(0,Hipótesis!$D$101*Hipótesis!$D$93-T94)))</f>
        <v>0</v>
      </c>
      <c r="V93" s="138" t="n">
        <f aca="false">IF(Hipótesis!$D$94&lt;=2,V92,MIN(V92,MAX(0,Hipótesis!$D$101*Hipótesis!$D$93-U94)))</f>
        <v>0</v>
      </c>
      <c r="W93" s="138" t="n">
        <f aca="false">IF(Hipótesis!$D$94&lt;=2,W92,MIN(W92,MAX(0,Hipótesis!$D$101*Hipótesis!$D$93-V94)))</f>
        <v>0</v>
      </c>
      <c r="X93" s="138" t="n">
        <f aca="false">IF(Hipótesis!$D$94&lt;=2,X92,MIN(X92,MAX(0,Hipótesis!$D$101*Hipótesis!$D$93-W94)))</f>
        <v>0</v>
      </c>
      <c r="Y93" s="138" t="n">
        <f aca="false">IF(Hipótesis!$D$94&lt;=2,Y92,MIN(Y92,MAX(0,Hipótesis!$D$101*Hipótesis!$D$93-X94)))</f>
        <v>0</v>
      </c>
      <c r="Z93" s="138" t="n">
        <f aca="false">IF(Hipótesis!$D$94&lt;=2,Z92,MIN(Z92,MAX(0,Hipótesis!$D$101*Hipótesis!$D$93-Y94)))</f>
        <v>0</v>
      </c>
      <c r="AA93" s="138" t="n">
        <f aca="false">IF(Hipótesis!$D$94&lt;=2,AA92,MIN(AA92,MAX(0,Hipótesis!$D$101*Hipótesis!$D$93-Z94)))</f>
        <v>0</v>
      </c>
      <c r="AB93" s="138" t="n">
        <f aca="false">IF(Hipótesis!$D$94&lt;=2,AB92,MIN(AB92,MAX(0,Hipótesis!$D$101*Hipótesis!$D$93-AA94)))</f>
        <v>0</v>
      </c>
      <c r="AC93" s="138" t="n">
        <f aca="false">IF(Hipótesis!$D$94&lt;=2,AC92,MIN(AC92,MAX(0,Hipótesis!$D$101*Hipótesis!$D$93-AB94)))</f>
        <v>0</v>
      </c>
      <c r="AD93" s="138" t="n">
        <f aca="false">IF(Hipótesis!$D$94&lt;=2,AD92,MIN(AD92,MAX(0,Hipótesis!$D$101*Hipótesis!$D$93-AC94)))</f>
        <v>0</v>
      </c>
      <c r="AE93" s="138" t="n">
        <f aca="false">IF(Hipótesis!$D$94&lt;=2,AE92,MIN(AE92,MAX(0,Hipótesis!$D$101*Hipótesis!$D$93-AD94)))</f>
        <v>0</v>
      </c>
      <c r="AF93" s="138" t="n">
        <f aca="false">IF(Hipótesis!$D$94&lt;=2,AF92,MIN(AF92,MAX(0,Hipótesis!$D$101*Hipótesis!$D$93-AE94)))</f>
        <v>0</v>
      </c>
      <c r="AG93" s="138" t="n">
        <f aca="false">IF(Hipótesis!$D$94&lt;=2,AG92,MIN(AG92,MAX(0,Hipótesis!$D$101*Hipótesis!$D$93-AF94)))</f>
        <v>0</v>
      </c>
      <c r="AH93" s="138" t="n">
        <f aca="false">IF(Hipótesis!$D$94&lt;=2,AH92,MIN(AH92,MAX(0,Hipótesis!$D$101*Hipótesis!$D$93-AG94)))</f>
        <v>0</v>
      </c>
      <c r="AI93" s="138" t="n">
        <f aca="false">IF(Hipótesis!$D$94&lt;=2,AI92,MIN(AI92,MAX(0,Hipótesis!$D$101*Hipótesis!$D$93-AH94)))</f>
        <v>0</v>
      </c>
      <c r="AJ93" s="138" t="n">
        <f aca="false">IF(Hipótesis!$D$94&lt;=2,AJ92,MIN(AJ92,MAX(0,Hipótesis!$D$101*Hipótesis!$D$93-AI94)))</f>
        <v>0</v>
      </c>
      <c r="AK93" s="138" t="n">
        <f aca="false">IF(Hipótesis!$D$94&lt;=2,AK92,MIN(AK92,MAX(0,Hipótesis!$D$101*Hipótesis!$D$93-AJ94)))</f>
        <v>0</v>
      </c>
      <c r="AL93" s="138" t="n">
        <f aca="false">IF(Hipótesis!$D$94&lt;=2,AL92,MIN(AL92,MAX(0,Hipótesis!$D$101*Hipótesis!$D$93-AK94)))</f>
        <v>0</v>
      </c>
      <c r="AM93" s="138" t="n">
        <f aca="false">IF(Hipótesis!$D$94&lt;=2,AM92,MIN(AM92,MAX(0,Hipótesis!$D$101*Hipótesis!$D$93-AL94)))</f>
        <v>0</v>
      </c>
      <c r="AN93" s="138" t="n">
        <f aca="false">IF(Hipótesis!$D$94&lt;=2,AN92,MIN(AN92,MAX(0,Hipótesis!$D$101*Hipótesis!$D$93-AM94)))</f>
        <v>0</v>
      </c>
      <c r="AO93" s="138" t="n">
        <f aca="false">IF(Hipótesis!$D$94&lt;=2,AO92,MIN(AO92,MAX(0,Hipótesis!$D$101*Hipótesis!$D$93-AN94)))</f>
        <v>0</v>
      </c>
      <c r="AP93" s="138" t="n">
        <f aca="false">IF(Hipótesis!$D$94&lt;=2,AP92,MIN(AP92,MAX(0,Hipótesis!$D$101*Hipótesis!$D$93-AO94)))</f>
        <v>0</v>
      </c>
      <c r="AQ93" s="138" t="n">
        <f aca="false">IF(Hipótesis!$D$94&lt;=2,AQ92,MIN(AQ92,MAX(0,Hipótesis!$D$101*Hipótesis!$D$93-AP94)))</f>
        <v>0</v>
      </c>
      <c r="AR93" s="138" t="n">
        <f aca="false">IF(Hipótesis!$D$94&lt;=2,AR92,MIN(AR92,MAX(0,Hipótesis!$D$101*Hipótesis!$D$93-AQ94)))</f>
        <v>0</v>
      </c>
      <c r="AS93" s="138" t="n">
        <f aca="false">IF(Hipótesis!$D$94&lt;=2,AS92,MIN(AS92,MAX(0,Hipótesis!$D$101*Hipótesis!$D$93-AR94)))</f>
        <v>0</v>
      </c>
      <c r="AT93" s="138" t="n">
        <f aca="false">IF(Hipótesis!$D$94&lt;=2,AT92,MIN(AT92,MAX(0,Hipótesis!$D$101*Hipótesis!$D$93-AS94)))</f>
        <v>0</v>
      </c>
      <c r="AU93" s="138" t="n">
        <f aca="false">IF(Hipótesis!$D$94&lt;=2,AU92,MIN(AU92,MAX(0,Hipótesis!$D$101*Hipótesis!$D$93-AT94)))</f>
        <v>0</v>
      </c>
      <c r="AV93" s="138" t="n">
        <f aca="false">IF(Hipótesis!$D$94&lt;=2,AV92,MIN(AV92,MAX(0,Hipótesis!$D$101*Hipótesis!$D$93-AU94)))</f>
        <v>0</v>
      </c>
      <c r="AW93" s="138" t="n">
        <f aca="false">IF(Hipótesis!$D$94&lt;=2,AW92,MIN(AW92,MAX(0,Hipótesis!$D$101*Hipótesis!$D$93-AV94)))</f>
        <v>0</v>
      </c>
      <c r="AX93" s="138" t="n">
        <f aca="false">IF(Hipótesis!$D$94&lt;=2,AX92,MIN(AX92,MAX(0,Hipótesis!$D$101*Hipótesis!$D$93-AW94)))</f>
        <v>0</v>
      </c>
      <c r="AY93" s="138" t="n">
        <f aca="false">IF(Hipótesis!$D$94&lt;=2,AY92,MIN(AY92,MAX(0,Hipótesis!$D$101*Hipótesis!$D$93-AX94)))</f>
        <v>0</v>
      </c>
      <c r="AZ93" s="138" t="n">
        <f aca="false">IF(Hipótesis!$D$94&lt;=2,AZ92,MIN(AZ92,MAX(0,Hipótesis!$D$101*Hipótesis!$D$93-AY94)))</f>
        <v>0</v>
      </c>
      <c r="BA93" s="138" t="n">
        <f aca="false">IF(Hipótesis!$D$94&lt;=2,BA92,MIN(BA92,MAX(0,Hipótesis!$D$101*Hipótesis!$D$93-AZ94)))</f>
        <v>0</v>
      </c>
      <c r="BB93" s="138" t="n">
        <f aca="false">IF(Hipótesis!$D$94&lt;=2,BB92,MIN(BB92,MAX(0,Hipótesis!$D$101*Hipótesis!$D$93-BA94)))</f>
        <v>0</v>
      </c>
      <c r="BC93" s="138" t="n">
        <f aca="false">IF(Hipótesis!$D$94&lt;=2,BC92,MIN(BC92,MAX(0,Hipótesis!$D$101*Hipótesis!$D$93-BB94)))</f>
        <v>0</v>
      </c>
      <c r="BD93" s="138" t="n">
        <f aca="false">IF(Hipótesis!$D$94&lt;=2,BD92,MIN(BD92,MAX(0,Hipótesis!$D$101*Hipótesis!$D$93-BC94)))</f>
        <v>0</v>
      </c>
      <c r="BE93" s="138" t="n">
        <f aca="false">IF(Hipótesis!$D$94&lt;=2,BE92,MIN(BE92,MAX(0,Hipótesis!$D$101*Hipótesis!$D$93-BD94)))</f>
        <v>0</v>
      </c>
      <c r="BF93" s="138" t="n">
        <f aca="false">IF(Hipótesis!$D$94&lt;=2,BF92,MIN(BF92,MAX(0,Hipótesis!$D$101*Hipótesis!$D$93-BE94)))</f>
        <v>0</v>
      </c>
      <c r="BG93" s="138" t="n">
        <f aca="false">IF(Hipótesis!$D$94&lt;=2,BG92,MIN(BG92,MAX(0,Hipótesis!$D$101*Hipótesis!$D$93-BF94)))</f>
        <v>0</v>
      </c>
      <c r="BH93" s="138" t="n">
        <f aca="false">IF(Hipótesis!$D$94&lt;=2,BH92,MIN(BH92,MAX(0,Hipótesis!$D$101*Hipótesis!$D$93-BG94)))</f>
        <v>0</v>
      </c>
      <c r="BI93" s="138" t="n">
        <f aca="false">IF(Hipótesis!$D$94&lt;=2,BI92,MIN(BI92,MAX(0,Hipótesis!$D$101*Hipótesis!$D$93-BH94)))</f>
        <v>0</v>
      </c>
      <c r="BJ93" s="138" t="n">
        <f aca="false">IF(Hipótesis!$D$94&lt;=2,BJ92,MIN(BJ92,MAX(0,Hipótesis!$D$101*Hipótesis!$D$93-BI94)))</f>
        <v>0</v>
      </c>
      <c r="BK93" s="138" t="n">
        <f aca="false">IF(Hipótesis!$D$94&lt;=2,BK92,MIN(BK92,MAX(0,Hipótesis!$D$101*Hipótesis!$D$93-BJ94)))</f>
        <v>0</v>
      </c>
      <c r="BL93" s="138" t="n">
        <f aca="false">IF(Hipótesis!$D$94&lt;=2,BL92,MIN(BL92,MAX(0,Hipótesis!$D$101*Hipótesis!$D$93-BK94)))</f>
        <v>0</v>
      </c>
      <c r="BM93" s="138" t="n">
        <f aca="false">IF(Hipótesis!$D$94&lt;=2,BM92,MIN(BM92,MAX(0,Hipótesis!$D$101*Hipótesis!$D$93-BL94)))</f>
        <v>0</v>
      </c>
      <c r="BN93" s="138" t="n">
        <f aca="false">IF(Hipótesis!$D$94&lt;=2,BN92,MIN(BN92,MAX(0,Hipótesis!$D$101*Hipótesis!$D$93-BM94)))</f>
        <v>0</v>
      </c>
      <c r="BO93" s="138" t="n">
        <f aca="false">IF(Hipótesis!$D$94&lt;=2,BO92,MIN(BO92,MAX(0,Hipótesis!$D$101*Hipótesis!$D$93-BN94)))</f>
        <v>0</v>
      </c>
      <c r="BP93" s="138" t="n">
        <f aca="false">IF(Hipótesis!$D$94&lt;=2,BP92,MIN(BP92,MAX(0,Hipótesis!$D$101*Hipótesis!$D$93-BO94)))</f>
        <v>0</v>
      </c>
      <c r="BQ93" s="138" t="n">
        <f aca="false">IF(Hipótesis!$D$94&lt;=2,BQ92,MIN(BQ92,MAX(0,Hipótesis!$D$101*Hipótesis!$D$93-BP94)))</f>
        <v>0</v>
      </c>
      <c r="BR93" s="138" t="n">
        <f aca="false">IF(Hipótesis!$D$94&lt;=2,BR92,MIN(BR92,MAX(0,Hipótesis!$D$101*Hipótesis!$D$93-BQ94)))</f>
        <v>0</v>
      </c>
      <c r="BS93" s="138" t="n">
        <f aca="false">IF(Hipótesis!$D$94&lt;=2,BS92,MIN(BS92,MAX(0,Hipótesis!$D$101*Hipótesis!$D$93-BR94)))</f>
        <v>0</v>
      </c>
      <c r="BT93" s="138" t="n">
        <f aca="false">IF(Hipótesis!$D$94&lt;=2,BT92,MIN(BT92,MAX(0,Hipótesis!$D$101*Hipótesis!$D$93-BS94)))</f>
        <v>0</v>
      </c>
      <c r="BU93" s="138" t="n">
        <f aca="false">IF(Hipótesis!$D$94&lt;=2,BU92,MIN(BU92,MAX(0,Hipótesis!$D$101*Hipótesis!$D$93-BT94)))</f>
        <v>0</v>
      </c>
      <c r="BV93" s="138" t="n">
        <f aca="false">IF(Hipótesis!$D$94&lt;=2,BV92,MIN(BV92,MAX(0,Hipótesis!$D$101*Hipótesis!$D$93-BU94)))</f>
        <v>0</v>
      </c>
      <c r="BW93" s="138" t="n">
        <f aca="false">IF(Hipótesis!$D$94&lt;=2,BW92,MIN(BW92,MAX(0,Hipótesis!$D$101*Hipótesis!$D$93-BV94)))</f>
        <v>0</v>
      </c>
      <c r="BX93" s="138" t="n">
        <f aca="false">IF(Hipótesis!$D$94&lt;=2,BX92,MIN(BX92,MAX(0,Hipótesis!$D$101*Hipótesis!$D$93-BW94)))</f>
        <v>0</v>
      </c>
      <c r="BY93" s="138" t="n">
        <f aca="false">IF(Hipótesis!$D$94&lt;=2,BY92,MIN(BY92,MAX(0,Hipótesis!$D$101*Hipótesis!$D$93-BX94)))</f>
        <v>0</v>
      </c>
      <c r="BZ93" s="138" t="n">
        <f aca="false">IF(Hipótesis!$D$94&lt;=2,BZ92,MIN(BZ92,MAX(0,Hipótesis!$D$101*Hipótesis!$D$93-BY94)))</f>
        <v>0</v>
      </c>
      <c r="CA93" s="138" t="n">
        <f aca="false">IF(Hipótesis!$D$94&lt;=2,CA92,MIN(CA92,MAX(0,Hipótesis!$D$101*Hipótesis!$D$93-BZ94)))</f>
        <v>0</v>
      </c>
      <c r="CB93" s="138" t="n">
        <f aca="false">IF(Hipótesis!$D$94&lt;=2,CB92,MIN(CB92,MAX(0,Hipótesis!$D$101*Hipótesis!$D$93-CA94)))</f>
        <v>0</v>
      </c>
      <c r="CC93" s="138" t="n">
        <f aca="false">IF(Hipótesis!$D$94&lt;=2,CC92,MIN(CC92,MAX(0,Hipótesis!$D$101*Hipótesis!$D$93-CB94)))</f>
        <v>0</v>
      </c>
      <c r="CD93" s="138" t="n">
        <f aca="false">IF(Hipótesis!$D$94&lt;=2,CD92,MIN(CD92,MAX(0,Hipótesis!$D$101*Hipótesis!$D$93-CC94)))</f>
        <v>0</v>
      </c>
      <c r="CE93" s="138" t="n">
        <f aca="false">IF(Hipótesis!$D$94&lt;=2,CE92,MIN(CE92,MAX(0,Hipótesis!$D$101*Hipótesis!$D$93-CD94)))</f>
        <v>0</v>
      </c>
      <c r="CF93" s="138" t="n">
        <f aca="false">IF(Hipótesis!$D$94&lt;=2,CF92,MIN(CF92,MAX(0,Hipótesis!$D$101*Hipótesis!$D$93-CE94)))</f>
        <v>0</v>
      </c>
      <c r="CG93" s="138" t="n">
        <f aca="false">IF(Hipótesis!$D$94&lt;=2,CG92,MIN(CG92,MAX(0,Hipótesis!$D$101*Hipótesis!$D$93-CF94)))</f>
        <v>0</v>
      </c>
      <c r="CH93" s="138" t="n">
        <f aca="false">IF(Hipótesis!$D$94&lt;=2,CH92,MIN(CH92,MAX(0,Hipótesis!$D$101*Hipótesis!$D$93-CG94)))</f>
        <v>0</v>
      </c>
    </row>
    <row r="94" customFormat="false" ht="13.5" hidden="false" customHeight="true" outlineLevel="0" collapsed="false">
      <c r="A94" s="13" t="s">
        <v>771</v>
      </c>
      <c r="C94" s="138" t="n">
        <f aca="false">C121</f>
        <v>0</v>
      </c>
      <c r="D94" s="138" t="n">
        <f aca="false">C94+D121</f>
        <v>0</v>
      </c>
      <c r="E94" s="138" t="n">
        <f aca="false">D94+E121</f>
        <v>0</v>
      </c>
      <c r="F94" s="138" t="n">
        <f aca="false">E94+F121</f>
        <v>0</v>
      </c>
      <c r="G94" s="138" t="n">
        <f aca="false">F94+G121</f>
        <v>0</v>
      </c>
      <c r="H94" s="138" t="n">
        <f aca="false">G94+H121</f>
        <v>0</v>
      </c>
      <c r="I94" s="138" t="n">
        <f aca="false">H94+I121</f>
        <v>0</v>
      </c>
      <c r="J94" s="138" t="n">
        <f aca="false">I94+J121</f>
        <v>0</v>
      </c>
      <c r="K94" s="138" t="n">
        <f aca="false">J94+K121</f>
        <v>0</v>
      </c>
      <c r="L94" s="138" t="n">
        <f aca="false">K94+L121</f>
        <v>0</v>
      </c>
      <c r="M94" s="138" t="n">
        <f aca="false">L94+M121</f>
        <v>0</v>
      </c>
      <c r="N94" s="138" t="n">
        <f aca="false">M94+N121</f>
        <v>0</v>
      </c>
      <c r="O94" s="138" t="n">
        <f aca="false">N94+O121</f>
        <v>0</v>
      </c>
      <c r="P94" s="138" t="n">
        <f aca="false">O94+P121</f>
        <v>0</v>
      </c>
      <c r="Q94" s="138" t="n">
        <f aca="false">P94+Q121</f>
        <v>0</v>
      </c>
      <c r="R94" s="138" t="n">
        <f aca="false">Q94+R121</f>
        <v>0</v>
      </c>
      <c r="S94" s="138" t="n">
        <f aca="false">R94+S121</f>
        <v>0</v>
      </c>
      <c r="T94" s="138" t="n">
        <f aca="false">S94+T121</f>
        <v>0</v>
      </c>
      <c r="U94" s="138" t="n">
        <f aca="false">T94+U121</f>
        <v>0</v>
      </c>
      <c r="V94" s="138" t="n">
        <f aca="false">U94+V121</f>
        <v>0</v>
      </c>
      <c r="W94" s="138" t="n">
        <f aca="false">V94+W121</f>
        <v>0</v>
      </c>
      <c r="X94" s="138" t="n">
        <f aca="false">W94+X121</f>
        <v>0</v>
      </c>
      <c r="Y94" s="138" t="n">
        <f aca="false">X94+Y121</f>
        <v>0</v>
      </c>
      <c r="Z94" s="138" t="n">
        <f aca="false">Y94+Z121</f>
        <v>0</v>
      </c>
      <c r="AA94" s="138" t="n">
        <f aca="false">Z94+AA121</f>
        <v>0</v>
      </c>
      <c r="AB94" s="138" t="n">
        <f aca="false">AA94+AB121</f>
        <v>0</v>
      </c>
      <c r="AC94" s="138" t="n">
        <f aca="false">AB94+AC121</f>
        <v>0</v>
      </c>
      <c r="AD94" s="138" t="n">
        <f aca="false">AC94+AD121</f>
        <v>0</v>
      </c>
      <c r="AE94" s="138" t="n">
        <f aca="false">AD94+AE121</f>
        <v>0</v>
      </c>
      <c r="AF94" s="138" t="n">
        <f aca="false">AE94+AF121</f>
        <v>0</v>
      </c>
      <c r="AG94" s="138" t="n">
        <f aca="false">AF94+AG121</f>
        <v>0</v>
      </c>
      <c r="AH94" s="138" t="n">
        <f aca="false">AG94+AH121</f>
        <v>0</v>
      </c>
      <c r="AI94" s="138" t="n">
        <f aca="false">AH94+AI121</f>
        <v>0</v>
      </c>
      <c r="AJ94" s="138" t="n">
        <f aca="false">AI94+AJ121</f>
        <v>0</v>
      </c>
      <c r="AK94" s="138" t="n">
        <f aca="false">AJ94+AK121</f>
        <v>0</v>
      </c>
      <c r="AL94" s="138" t="n">
        <f aca="false">AK94+AL121</f>
        <v>0</v>
      </c>
      <c r="AM94" s="138" t="n">
        <f aca="false">AL94+AM121</f>
        <v>0</v>
      </c>
      <c r="AN94" s="138" t="n">
        <f aca="false">AM94+AN121</f>
        <v>0</v>
      </c>
      <c r="AO94" s="138" t="n">
        <f aca="false">AN94+AO121</f>
        <v>0</v>
      </c>
      <c r="AP94" s="138" t="n">
        <f aca="false">AO94+AP121</f>
        <v>0</v>
      </c>
      <c r="AQ94" s="138" t="n">
        <f aca="false">AP94+AQ121</f>
        <v>0</v>
      </c>
      <c r="AR94" s="138" t="n">
        <f aca="false">AQ94+AR121</f>
        <v>0</v>
      </c>
      <c r="AS94" s="138" t="n">
        <f aca="false">AR94+AS121</f>
        <v>0</v>
      </c>
      <c r="AT94" s="138" t="n">
        <f aca="false">AS94+AT121</f>
        <v>0</v>
      </c>
      <c r="AU94" s="138" t="n">
        <f aca="false">AT94+AU121</f>
        <v>0</v>
      </c>
      <c r="AV94" s="138" t="n">
        <f aca="false">AU94+AV121</f>
        <v>0</v>
      </c>
      <c r="AW94" s="138" t="n">
        <f aca="false">AV94+AW121</f>
        <v>0</v>
      </c>
      <c r="AX94" s="138" t="n">
        <f aca="false">AW94+AX121</f>
        <v>515985.514958843</v>
      </c>
      <c r="AY94" s="138" t="n">
        <f aca="false">AX94+AY121</f>
        <v>515985.514958843</v>
      </c>
      <c r="AZ94" s="138" t="n">
        <f aca="false">AY94+AZ121</f>
        <v>515985.514958843</v>
      </c>
      <c r="BA94" s="138" t="n">
        <f aca="false">AZ94+BA121</f>
        <v>515985.514958843</v>
      </c>
      <c r="BB94" s="138" t="n">
        <f aca="false">BA94+BB121</f>
        <v>515985.514958843</v>
      </c>
      <c r="BC94" s="138" t="n">
        <f aca="false">BB94+BC121</f>
        <v>515985.514958843</v>
      </c>
      <c r="BD94" s="138" t="n">
        <f aca="false">BC94+BD121</f>
        <v>515985.514958843</v>
      </c>
      <c r="BE94" s="138" t="n">
        <f aca="false">BD94+BE121</f>
        <v>515985.514958843</v>
      </c>
      <c r="BF94" s="138" t="n">
        <f aca="false">BE94+BF121</f>
        <v>515985.514958843</v>
      </c>
      <c r="BG94" s="138" t="n">
        <f aca="false">BF94+BG121</f>
        <v>515985.514958843</v>
      </c>
      <c r="BH94" s="138" t="n">
        <f aca="false">BG94+BH121</f>
        <v>515985.514958843</v>
      </c>
      <c r="BI94" s="138" t="n">
        <f aca="false">BH94+BI121</f>
        <v>515985.514958843</v>
      </c>
      <c r="BJ94" s="138" t="n">
        <f aca="false">BI94+BJ121</f>
        <v>515985.514958843</v>
      </c>
      <c r="BK94" s="138" t="n">
        <f aca="false">BJ94+BK121</f>
        <v>515985.514958843</v>
      </c>
      <c r="BL94" s="138" t="n">
        <f aca="false">BK94+BL121</f>
        <v>515985.514958843</v>
      </c>
      <c r="BM94" s="138" t="n">
        <f aca="false">BL94+BM121</f>
        <v>515985.514958843</v>
      </c>
      <c r="BN94" s="138" t="n">
        <f aca="false">BM94+BN121</f>
        <v>515985.514958843</v>
      </c>
      <c r="BO94" s="138" t="n">
        <f aca="false">BN94+BO121</f>
        <v>515985.514958843</v>
      </c>
      <c r="BP94" s="138" t="n">
        <f aca="false">BO94+BP121</f>
        <v>515985.514958843</v>
      </c>
      <c r="BQ94" s="138" t="n">
        <f aca="false">BP94+BQ121</f>
        <v>515985.514958843</v>
      </c>
      <c r="BR94" s="138" t="n">
        <f aca="false">BQ94+BR121</f>
        <v>515985.514958843</v>
      </c>
      <c r="BS94" s="138" t="n">
        <f aca="false">BR94+BS121</f>
        <v>515985.514958843</v>
      </c>
      <c r="BT94" s="138" t="n">
        <f aca="false">BS94+BT121</f>
        <v>515985.514958843</v>
      </c>
      <c r="BU94" s="138" t="n">
        <f aca="false">BT94+BU121</f>
        <v>515985.514958843</v>
      </c>
      <c r="BV94" s="138" t="n">
        <f aca="false">BU94+BV121</f>
        <v>515985.514958843</v>
      </c>
      <c r="BW94" s="138" t="n">
        <f aca="false">BV94+BW121</f>
        <v>515985.514958843</v>
      </c>
      <c r="BX94" s="138" t="n">
        <f aca="false">BW94+BX121</f>
        <v>515985.514958843</v>
      </c>
      <c r="BY94" s="138" t="n">
        <f aca="false">BX94+BY121</f>
        <v>515985.514958843</v>
      </c>
      <c r="BZ94" s="138" t="n">
        <f aca="false">BY94+BZ121</f>
        <v>515985.514958843</v>
      </c>
      <c r="CA94" s="138" t="n">
        <f aca="false">BZ94+CA121</f>
        <v>515985.514958843</v>
      </c>
      <c r="CB94" s="138" t="n">
        <f aca="false">CA94+CB121</f>
        <v>515985.514958843</v>
      </c>
      <c r="CC94" s="138" t="n">
        <f aca="false">CB94+CC121</f>
        <v>515985.514958843</v>
      </c>
      <c r="CD94" s="138" t="n">
        <f aca="false">CC94+CD121</f>
        <v>515985.514958843</v>
      </c>
      <c r="CE94" s="138" t="n">
        <f aca="false">CD94+CE121</f>
        <v>515985.514958843</v>
      </c>
      <c r="CF94" s="138" t="n">
        <f aca="false">CE94+CF121</f>
        <v>515985.514958843</v>
      </c>
      <c r="CG94" s="138" t="n">
        <f aca="false">CF94+CG121</f>
        <v>515985.514958843</v>
      </c>
      <c r="CH94" s="138" t="n">
        <f aca="false">CG94+CH121</f>
        <v>515985.514958843</v>
      </c>
    </row>
    <row r="95" customFormat="false" ht="13.5" hidden="false" customHeight="true" outlineLevel="0" collapsed="false"/>
    <row r="96" customFormat="false" ht="13.5" hidden="false" customHeight="true" outlineLevel="0" collapsed="false">
      <c r="A96" s="13" t="s">
        <v>772</v>
      </c>
      <c r="C96" s="138" t="n">
        <f aca="false">Hipótesis!$D$105</f>
        <v>100000</v>
      </c>
      <c r="D96" s="138" t="n">
        <f aca="false">C96-C97</f>
        <v>100000</v>
      </c>
      <c r="E96" s="138" t="n">
        <f aca="false">D96-D97</f>
        <v>100000</v>
      </c>
      <c r="F96" s="138" t="n">
        <f aca="false">E96-E97</f>
        <v>100000</v>
      </c>
      <c r="G96" s="138" t="n">
        <f aca="false">F96-F97</f>
        <v>100000</v>
      </c>
      <c r="H96" s="138" t="n">
        <f aca="false">G96-G97</f>
        <v>100000</v>
      </c>
      <c r="I96" s="138" t="n">
        <f aca="false">H96-H97</f>
        <v>100000</v>
      </c>
      <c r="J96" s="138" t="n">
        <f aca="false">I96-I97</f>
        <v>100000</v>
      </c>
      <c r="K96" s="138" t="n">
        <f aca="false">J96-J97</f>
        <v>100000</v>
      </c>
      <c r="L96" s="138" t="n">
        <f aca="false">K96-K97</f>
        <v>100000</v>
      </c>
      <c r="M96" s="138" t="n">
        <f aca="false">L96-L97</f>
        <v>100000</v>
      </c>
      <c r="N96" s="138" t="n">
        <f aca="false">M96-M97</f>
        <v>100000</v>
      </c>
      <c r="O96" s="138" t="n">
        <f aca="false">N96-N97</f>
        <v>100000</v>
      </c>
      <c r="P96" s="138" t="n">
        <f aca="false">O96-O97</f>
        <v>100000</v>
      </c>
      <c r="Q96" s="138" t="n">
        <f aca="false">P96-P97</f>
        <v>100000</v>
      </c>
      <c r="R96" s="138" t="n">
        <f aca="false">Q96-Q97</f>
        <v>100000</v>
      </c>
      <c r="S96" s="138" t="n">
        <f aca="false">R96-R97</f>
        <v>100000</v>
      </c>
      <c r="T96" s="138" t="n">
        <f aca="false">S96-S97</f>
        <v>100000</v>
      </c>
      <c r="U96" s="138" t="n">
        <f aca="false">T96-T97</f>
        <v>100000</v>
      </c>
      <c r="V96" s="138" t="n">
        <f aca="false">U96-U97</f>
        <v>100000</v>
      </c>
      <c r="W96" s="138" t="n">
        <f aca="false">V96-V97</f>
        <v>100000</v>
      </c>
      <c r="X96" s="138" t="n">
        <f aca="false">W96-W97</f>
        <v>100000</v>
      </c>
      <c r="Y96" s="138" t="n">
        <f aca="false">X96-X97</f>
        <v>100000</v>
      </c>
      <c r="Z96" s="138" t="n">
        <f aca="false">Y96-Y97</f>
        <v>100000</v>
      </c>
      <c r="AA96" s="138" t="n">
        <f aca="false">Z96-Z97</f>
        <v>100000</v>
      </c>
      <c r="AB96" s="138" t="n">
        <f aca="false">AA96-AA97</f>
        <v>98333.3333333333</v>
      </c>
      <c r="AC96" s="138" t="n">
        <f aca="false">AB96-AB97</f>
        <v>96666.6666666667</v>
      </c>
      <c r="AD96" s="138" t="n">
        <f aca="false">AC96-AC97</f>
        <v>95000</v>
      </c>
      <c r="AE96" s="138" t="n">
        <f aca="false">AD96-AD97</f>
        <v>93333.3333333333</v>
      </c>
      <c r="AF96" s="138" t="n">
        <f aca="false">AE96-AE97</f>
        <v>91666.6666666666</v>
      </c>
      <c r="AG96" s="138" t="n">
        <f aca="false">AF96-AF97</f>
        <v>90000</v>
      </c>
      <c r="AH96" s="138" t="n">
        <f aca="false">AG96-AG97</f>
        <v>88333.3333333333</v>
      </c>
      <c r="AI96" s="138" t="n">
        <f aca="false">AH96-AH97</f>
        <v>86666.6666666666</v>
      </c>
      <c r="AJ96" s="138" t="n">
        <f aca="false">AI96-AI97</f>
        <v>85000</v>
      </c>
      <c r="AK96" s="138" t="n">
        <f aca="false">AJ96-AJ97</f>
        <v>83333.3333333333</v>
      </c>
      <c r="AL96" s="138" t="n">
        <f aca="false">AK96-AK97</f>
        <v>81666.6666666666</v>
      </c>
      <c r="AM96" s="138" t="n">
        <f aca="false">AL96-AL97</f>
        <v>79999.9999999999</v>
      </c>
      <c r="AN96" s="138" t="n">
        <f aca="false">AM96-AM97</f>
        <v>78333.3333333333</v>
      </c>
      <c r="AO96" s="138" t="n">
        <f aca="false">AN96-AN97</f>
        <v>76666.6666666666</v>
      </c>
      <c r="AP96" s="138" t="n">
        <f aca="false">AO96-AO97</f>
        <v>74999.9999999999</v>
      </c>
      <c r="AQ96" s="138" t="n">
        <f aca="false">AP96-AP97</f>
        <v>73333.3333333333</v>
      </c>
      <c r="AR96" s="138" t="n">
        <f aca="false">AQ96-AQ97</f>
        <v>71666.6666666666</v>
      </c>
      <c r="AS96" s="138" t="n">
        <f aca="false">AR96-AR97</f>
        <v>69999.9999999999</v>
      </c>
      <c r="AT96" s="138" t="n">
        <f aca="false">AS96-AS97</f>
        <v>68333.3333333332</v>
      </c>
      <c r="AU96" s="138" t="n">
        <f aca="false">AT96-AT97</f>
        <v>66666.6666666666</v>
      </c>
      <c r="AV96" s="138" t="n">
        <f aca="false">AU96-AU97</f>
        <v>64999.9999999999</v>
      </c>
      <c r="AW96" s="138" t="n">
        <f aca="false">AV96-AV97</f>
        <v>63333.3333333332</v>
      </c>
      <c r="AX96" s="138" t="n">
        <f aca="false">AW96-AW97</f>
        <v>61666.6666666666</v>
      </c>
      <c r="AY96" s="138" t="n">
        <f aca="false">AX96-AX97</f>
        <v>59999.9999999999</v>
      </c>
      <c r="AZ96" s="138" t="n">
        <f aca="false">AY96-AY97</f>
        <v>58333.3333333333</v>
      </c>
      <c r="BA96" s="138" t="n">
        <f aca="false">AZ96-AZ97</f>
        <v>56666.6666666666</v>
      </c>
      <c r="BB96" s="138" t="n">
        <f aca="false">BA96-BA97</f>
        <v>54999.9999999999</v>
      </c>
      <c r="BC96" s="138" t="n">
        <f aca="false">BB96-BB97</f>
        <v>53333.3333333333</v>
      </c>
      <c r="BD96" s="138" t="n">
        <f aca="false">BC96-BC97</f>
        <v>51666.6666666666</v>
      </c>
      <c r="BE96" s="138" t="n">
        <f aca="false">BD96-BD97</f>
        <v>49999.9999999999</v>
      </c>
      <c r="BF96" s="138" t="n">
        <f aca="false">BE96-BE97</f>
        <v>48333.3333333333</v>
      </c>
      <c r="BG96" s="138" t="n">
        <f aca="false">BF96-BF97</f>
        <v>46666.6666666666</v>
      </c>
      <c r="BH96" s="138" t="n">
        <f aca="false">BG96-BG97</f>
        <v>44999.9999999999</v>
      </c>
      <c r="BI96" s="138" t="n">
        <f aca="false">BH96-BH97</f>
        <v>43333.3333333333</v>
      </c>
      <c r="BJ96" s="138" t="n">
        <f aca="false">BI96-BI97</f>
        <v>41666.6666666666</v>
      </c>
      <c r="BK96" s="138" t="n">
        <f aca="false">BJ96-BJ97</f>
        <v>39999.9999999999</v>
      </c>
      <c r="BL96" s="138" t="n">
        <f aca="false">BK96-BK97</f>
        <v>38333.3333333333</v>
      </c>
      <c r="BM96" s="138" t="n">
        <f aca="false">BL96-BL97</f>
        <v>36666.6666666666</v>
      </c>
      <c r="BN96" s="138" t="n">
        <f aca="false">BM96-BM97</f>
        <v>35000</v>
      </c>
      <c r="BO96" s="138" t="n">
        <f aca="false">BN96-BN97</f>
        <v>33333.3333333333</v>
      </c>
      <c r="BP96" s="138" t="n">
        <f aca="false">BO96-BO97</f>
        <v>31666.6666666666</v>
      </c>
      <c r="BQ96" s="138" t="n">
        <f aca="false">BP96-BP97</f>
        <v>30000</v>
      </c>
      <c r="BR96" s="138" t="n">
        <f aca="false">BQ96-BQ97</f>
        <v>28333.3333333333</v>
      </c>
      <c r="BS96" s="138" t="n">
        <f aca="false">BR96-BR97</f>
        <v>26666.6666666666</v>
      </c>
      <c r="BT96" s="138" t="n">
        <f aca="false">BS96-BS97</f>
        <v>24999.9999999999</v>
      </c>
      <c r="BU96" s="138" t="n">
        <f aca="false">BT96-BT97</f>
        <v>23333.3333333333</v>
      </c>
      <c r="BV96" s="138" t="n">
        <f aca="false">BU96-BU97</f>
        <v>21666.6666666666</v>
      </c>
      <c r="BW96" s="138" t="n">
        <f aca="false">BV96-BV97</f>
        <v>19999.9999999999</v>
      </c>
      <c r="BX96" s="138" t="n">
        <f aca="false">BW96-BW97</f>
        <v>18333.3333333333</v>
      </c>
      <c r="BY96" s="138" t="n">
        <f aca="false">BX96-BX97</f>
        <v>16666.6666666666</v>
      </c>
      <c r="BZ96" s="138" t="n">
        <f aca="false">BY96-BY97</f>
        <v>14999.9999999999</v>
      </c>
      <c r="CA96" s="138" t="n">
        <f aca="false">BZ96-BZ97</f>
        <v>13333.3333333333</v>
      </c>
      <c r="CB96" s="138" t="n">
        <f aca="false">CA96-CA97</f>
        <v>11666.6666666666</v>
      </c>
      <c r="CC96" s="138" t="n">
        <f aca="false">CB96-CB97</f>
        <v>9999.99999999994</v>
      </c>
      <c r="CD96" s="138" t="n">
        <f aca="false">CC96-CC97</f>
        <v>8333.33333333328</v>
      </c>
      <c r="CE96" s="138" t="n">
        <f aca="false">CD96-CD97</f>
        <v>6666.66666666661</v>
      </c>
      <c r="CF96" s="138" t="n">
        <f aca="false">CE96-CE97</f>
        <v>4999.99999999994</v>
      </c>
      <c r="CG96" s="138" t="n">
        <f aca="false">CF96-CF97</f>
        <v>3333.33333333328</v>
      </c>
      <c r="CH96" s="138" t="n">
        <f aca="false">CG96-CG97</f>
        <v>1666.66666666661</v>
      </c>
    </row>
    <row r="97" customFormat="false" ht="13.5" hidden="false" customHeight="true" outlineLevel="0" collapsed="false">
      <c r="A97" s="13" t="s">
        <v>773</v>
      </c>
      <c r="C97" s="138" t="n">
        <f aca="false">IF(1&lt;=Hipótesis!$D$109,0,IF(C96&gt;0,MIN(C96,Hipótesis!$D$105/MAX(Hipótesis!$D$108-Hipótesis!$D$109,1)),0))</f>
        <v>0</v>
      </c>
      <c r="D97" s="138" t="n">
        <f aca="false">IF(2&lt;=Hipótesis!$D$109,0,IF(D96&gt;0,MIN(D96,Hipótesis!$D$105/MAX(Hipótesis!$D$108-Hipótesis!$D$109,1)),0))</f>
        <v>0</v>
      </c>
      <c r="E97" s="138" t="n">
        <f aca="false">IF(3&lt;=Hipótesis!$D$109,0,IF(E96&gt;0,MIN(E96,Hipótesis!$D$105/MAX(Hipótesis!$D$108-Hipótesis!$D$109,1)),0))</f>
        <v>0</v>
      </c>
      <c r="F97" s="138" t="n">
        <f aca="false">IF(4&lt;=Hipótesis!$D$109,0,IF(F96&gt;0,MIN(F96,Hipótesis!$D$105/MAX(Hipótesis!$D$108-Hipótesis!$D$109,1)),0))</f>
        <v>0</v>
      </c>
      <c r="G97" s="138" t="n">
        <f aca="false">IF(5&lt;=Hipótesis!$D$109,0,IF(G96&gt;0,MIN(G96,Hipótesis!$D$105/MAX(Hipótesis!$D$108-Hipótesis!$D$109,1)),0))</f>
        <v>0</v>
      </c>
      <c r="H97" s="138" t="n">
        <f aca="false">IF(6&lt;=Hipótesis!$D$109,0,IF(H96&gt;0,MIN(H96,Hipótesis!$D$105/MAX(Hipótesis!$D$108-Hipótesis!$D$109,1)),0))</f>
        <v>0</v>
      </c>
      <c r="I97" s="138" t="n">
        <f aca="false">IF(7&lt;=Hipótesis!$D$109,0,IF(I96&gt;0,MIN(I96,Hipótesis!$D$105/MAX(Hipótesis!$D$108-Hipótesis!$D$109,1)),0))</f>
        <v>0</v>
      </c>
      <c r="J97" s="138" t="n">
        <f aca="false">IF(8&lt;=Hipótesis!$D$109,0,IF(J96&gt;0,MIN(J96,Hipótesis!$D$105/MAX(Hipótesis!$D$108-Hipótesis!$D$109,1)),0))</f>
        <v>0</v>
      </c>
      <c r="K97" s="138" t="n">
        <f aca="false">IF(9&lt;=Hipótesis!$D$109,0,IF(K96&gt;0,MIN(K96,Hipótesis!$D$105/MAX(Hipótesis!$D$108-Hipótesis!$D$109,1)),0))</f>
        <v>0</v>
      </c>
      <c r="L97" s="138" t="n">
        <f aca="false">IF(10&lt;=Hipótesis!$D$109,0,IF(L96&gt;0,MIN(L96,Hipótesis!$D$105/MAX(Hipótesis!$D$108-Hipótesis!$D$109,1)),0))</f>
        <v>0</v>
      </c>
      <c r="M97" s="138" t="n">
        <f aca="false">IF(11&lt;=Hipótesis!$D$109,0,IF(M96&gt;0,MIN(M96,Hipótesis!$D$105/MAX(Hipótesis!$D$108-Hipótesis!$D$109,1)),0))</f>
        <v>0</v>
      </c>
      <c r="N97" s="138" t="n">
        <f aca="false">IF(12&lt;=Hipótesis!$D$109,0,IF(N96&gt;0,MIN(N96,Hipótesis!$D$105/MAX(Hipótesis!$D$108-Hipótesis!$D$109,1)),0))</f>
        <v>0</v>
      </c>
      <c r="O97" s="138" t="n">
        <f aca="false">IF(13&lt;=Hipótesis!$D$109,0,IF(O96&gt;0,MIN(O96,Hipótesis!$D$105/MAX(Hipótesis!$D$108-Hipótesis!$D$109,1)),0))</f>
        <v>0</v>
      </c>
      <c r="P97" s="138" t="n">
        <f aca="false">IF(14&lt;=Hipótesis!$D$109,0,IF(P96&gt;0,MIN(P96,Hipótesis!$D$105/MAX(Hipótesis!$D$108-Hipótesis!$D$109,1)),0))</f>
        <v>0</v>
      </c>
      <c r="Q97" s="138" t="n">
        <f aca="false">IF(15&lt;=Hipótesis!$D$109,0,IF(Q96&gt;0,MIN(Q96,Hipótesis!$D$105/MAX(Hipótesis!$D$108-Hipótesis!$D$109,1)),0))</f>
        <v>0</v>
      </c>
      <c r="R97" s="138" t="n">
        <f aca="false">IF(16&lt;=Hipótesis!$D$109,0,IF(R96&gt;0,MIN(R96,Hipótesis!$D$105/MAX(Hipótesis!$D$108-Hipótesis!$D$109,1)),0))</f>
        <v>0</v>
      </c>
      <c r="S97" s="138" t="n">
        <f aca="false">IF(17&lt;=Hipótesis!$D$109,0,IF(S96&gt;0,MIN(S96,Hipótesis!$D$105/MAX(Hipótesis!$D$108-Hipótesis!$D$109,1)),0))</f>
        <v>0</v>
      </c>
      <c r="T97" s="138" t="n">
        <f aca="false">IF(18&lt;=Hipótesis!$D$109,0,IF(T96&gt;0,MIN(T96,Hipótesis!$D$105/MAX(Hipótesis!$D$108-Hipótesis!$D$109,1)),0))</f>
        <v>0</v>
      </c>
      <c r="U97" s="138" t="n">
        <f aca="false">IF(19&lt;=Hipótesis!$D$109,0,IF(U96&gt;0,MIN(U96,Hipótesis!$D$105/MAX(Hipótesis!$D$108-Hipótesis!$D$109,1)),0))</f>
        <v>0</v>
      </c>
      <c r="V97" s="138" t="n">
        <f aca="false">IF(20&lt;=Hipótesis!$D$109,0,IF(V96&gt;0,MIN(V96,Hipótesis!$D$105/MAX(Hipótesis!$D$108-Hipótesis!$D$109,1)),0))</f>
        <v>0</v>
      </c>
      <c r="W97" s="138" t="n">
        <f aca="false">IF(21&lt;=Hipótesis!$D$109,0,IF(W96&gt;0,MIN(W96,Hipótesis!$D$105/MAX(Hipótesis!$D$108-Hipótesis!$D$109,1)),0))</f>
        <v>0</v>
      </c>
      <c r="X97" s="138" t="n">
        <f aca="false">IF(22&lt;=Hipótesis!$D$109,0,IF(X96&gt;0,MIN(X96,Hipótesis!$D$105/MAX(Hipótesis!$D$108-Hipótesis!$D$109,1)),0))</f>
        <v>0</v>
      </c>
      <c r="Y97" s="138" t="n">
        <f aca="false">IF(23&lt;=Hipótesis!$D$109,0,IF(Y96&gt;0,MIN(Y96,Hipótesis!$D$105/MAX(Hipótesis!$D$108-Hipótesis!$D$109,1)),0))</f>
        <v>0</v>
      </c>
      <c r="Z97" s="138" t="n">
        <f aca="false">IF(24&lt;=Hipótesis!$D$109,0,IF(Z96&gt;0,MIN(Z96,Hipótesis!$D$105/MAX(Hipótesis!$D$108-Hipótesis!$D$109,1)),0))</f>
        <v>0</v>
      </c>
      <c r="AA97" s="138" t="n">
        <f aca="false">IF(25&lt;=Hipótesis!$D$109,0,IF(AA96&gt;0,MIN(AA96,Hipótesis!$D$105/MAX(Hipótesis!$D$108-Hipótesis!$D$109,1)),0))</f>
        <v>1666.66666666667</v>
      </c>
      <c r="AB97" s="138" t="n">
        <f aca="false">IF(26&lt;=Hipótesis!$D$109,0,IF(AB96&gt;0,MIN(AB96,Hipótesis!$D$105/MAX(Hipótesis!$D$108-Hipótesis!$D$109,1)),0))</f>
        <v>1666.66666666667</v>
      </c>
      <c r="AC97" s="138" t="n">
        <f aca="false">IF(27&lt;=Hipótesis!$D$109,0,IF(AC96&gt;0,MIN(AC96,Hipótesis!$D$105/MAX(Hipótesis!$D$108-Hipótesis!$D$109,1)),0))</f>
        <v>1666.66666666667</v>
      </c>
      <c r="AD97" s="138" t="n">
        <f aca="false">IF(28&lt;=Hipótesis!$D$109,0,IF(AD96&gt;0,MIN(AD96,Hipótesis!$D$105/MAX(Hipótesis!$D$108-Hipótesis!$D$109,1)),0))</f>
        <v>1666.66666666667</v>
      </c>
      <c r="AE97" s="138" t="n">
        <f aca="false">IF(29&lt;=Hipótesis!$D$109,0,IF(AE96&gt;0,MIN(AE96,Hipótesis!$D$105/MAX(Hipótesis!$D$108-Hipótesis!$D$109,1)),0))</f>
        <v>1666.66666666667</v>
      </c>
      <c r="AF97" s="138" t="n">
        <f aca="false">IF(30&lt;=Hipótesis!$D$109,0,IF(AF96&gt;0,MIN(AF96,Hipótesis!$D$105/MAX(Hipótesis!$D$108-Hipótesis!$D$109,1)),0))</f>
        <v>1666.66666666667</v>
      </c>
      <c r="AG97" s="138" t="n">
        <f aca="false">IF(31&lt;=Hipótesis!$D$109,0,IF(AG96&gt;0,MIN(AG96,Hipótesis!$D$105/MAX(Hipótesis!$D$108-Hipótesis!$D$109,1)),0))</f>
        <v>1666.66666666667</v>
      </c>
      <c r="AH97" s="138" t="n">
        <f aca="false">IF(32&lt;=Hipótesis!$D$109,0,IF(AH96&gt;0,MIN(AH96,Hipótesis!$D$105/MAX(Hipótesis!$D$108-Hipótesis!$D$109,1)),0))</f>
        <v>1666.66666666667</v>
      </c>
      <c r="AI97" s="138" t="n">
        <f aca="false">IF(33&lt;=Hipótesis!$D$109,0,IF(AI96&gt;0,MIN(AI96,Hipótesis!$D$105/MAX(Hipótesis!$D$108-Hipótesis!$D$109,1)),0))</f>
        <v>1666.66666666667</v>
      </c>
      <c r="AJ97" s="138" t="n">
        <f aca="false">IF(34&lt;=Hipótesis!$D$109,0,IF(AJ96&gt;0,MIN(AJ96,Hipótesis!$D$105/MAX(Hipótesis!$D$108-Hipótesis!$D$109,1)),0))</f>
        <v>1666.66666666667</v>
      </c>
      <c r="AK97" s="138" t="n">
        <f aca="false">IF(35&lt;=Hipótesis!$D$109,0,IF(AK96&gt;0,MIN(AK96,Hipótesis!$D$105/MAX(Hipótesis!$D$108-Hipótesis!$D$109,1)),0))</f>
        <v>1666.66666666667</v>
      </c>
      <c r="AL97" s="138" t="n">
        <f aca="false">IF(36&lt;=Hipótesis!$D$109,0,IF(AL96&gt;0,MIN(AL96,Hipótesis!$D$105/MAX(Hipótesis!$D$108-Hipótesis!$D$109,1)),0))</f>
        <v>1666.66666666667</v>
      </c>
      <c r="AM97" s="138" t="n">
        <f aca="false">IF(37&lt;=Hipótesis!$D$109,0,IF(AM96&gt;0,MIN(AM96,Hipótesis!$D$105/MAX(Hipótesis!$D$108-Hipótesis!$D$109,1)),0))</f>
        <v>1666.66666666667</v>
      </c>
      <c r="AN97" s="138" t="n">
        <f aca="false">IF(38&lt;=Hipótesis!$D$109,0,IF(AN96&gt;0,MIN(AN96,Hipótesis!$D$105/MAX(Hipótesis!$D$108-Hipótesis!$D$109,1)),0))</f>
        <v>1666.66666666667</v>
      </c>
      <c r="AO97" s="138" t="n">
        <f aca="false">IF(39&lt;=Hipótesis!$D$109,0,IF(AO96&gt;0,MIN(AO96,Hipótesis!$D$105/MAX(Hipótesis!$D$108-Hipótesis!$D$109,1)),0))</f>
        <v>1666.66666666667</v>
      </c>
      <c r="AP97" s="138" t="n">
        <f aca="false">IF(40&lt;=Hipótesis!$D$109,0,IF(AP96&gt;0,MIN(AP96,Hipótesis!$D$105/MAX(Hipótesis!$D$108-Hipótesis!$D$109,1)),0))</f>
        <v>1666.66666666667</v>
      </c>
      <c r="AQ97" s="138" t="n">
        <f aca="false">IF(41&lt;=Hipótesis!$D$109,0,IF(AQ96&gt;0,MIN(AQ96,Hipótesis!$D$105/MAX(Hipótesis!$D$108-Hipótesis!$D$109,1)),0))</f>
        <v>1666.66666666667</v>
      </c>
      <c r="AR97" s="138" t="n">
        <f aca="false">IF(42&lt;=Hipótesis!$D$109,0,IF(AR96&gt;0,MIN(AR96,Hipótesis!$D$105/MAX(Hipótesis!$D$108-Hipótesis!$D$109,1)),0))</f>
        <v>1666.66666666667</v>
      </c>
      <c r="AS97" s="138" t="n">
        <f aca="false">IF(43&lt;=Hipótesis!$D$109,0,IF(AS96&gt;0,MIN(AS96,Hipótesis!$D$105/MAX(Hipótesis!$D$108-Hipótesis!$D$109,1)),0))</f>
        <v>1666.66666666667</v>
      </c>
      <c r="AT97" s="138" t="n">
        <f aca="false">IF(44&lt;=Hipótesis!$D$109,0,IF(AT96&gt;0,MIN(AT96,Hipótesis!$D$105/MAX(Hipótesis!$D$108-Hipótesis!$D$109,1)),0))</f>
        <v>1666.66666666667</v>
      </c>
      <c r="AU97" s="138" t="n">
        <f aca="false">IF(45&lt;=Hipótesis!$D$109,0,IF(AU96&gt;0,MIN(AU96,Hipótesis!$D$105/MAX(Hipótesis!$D$108-Hipótesis!$D$109,1)),0))</f>
        <v>1666.66666666667</v>
      </c>
      <c r="AV97" s="138" t="n">
        <f aca="false">IF(46&lt;=Hipótesis!$D$109,0,IF(AV96&gt;0,MIN(AV96,Hipótesis!$D$105/MAX(Hipótesis!$D$108-Hipótesis!$D$109,1)),0))</f>
        <v>1666.66666666667</v>
      </c>
      <c r="AW97" s="138" t="n">
        <f aca="false">IF(47&lt;=Hipótesis!$D$109,0,IF(AW96&gt;0,MIN(AW96,Hipótesis!$D$105/MAX(Hipótesis!$D$108-Hipótesis!$D$109,1)),0))</f>
        <v>1666.66666666667</v>
      </c>
      <c r="AX97" s="138" t="n">
        <f aca="false">IF(48&lt;=Hipótesis!$D$109,0,IF(AX96&gt;0,MIN(AX96,Hipótesis!$D$105/MAX(Hipótesis!$D$108-Hipótesis!$D$109,1)),0))</f>
        <v>1666.66666666667</v>
      </c>
      <c r="AY97" s="138" t="n">
        <f aca="false">IF(49&lt;=Hipótesis!$D$109,0,IF(AY96&gt;0,MIN(AY96,Hipótesis!$D$105/MAX(Hipótesis!$D$108-Hipótesis!$D$109,1)),0))</f>
        <v>1666.66666666667</v>
      </c>
      <c r="AZ97" s="138" t="n">
        <f aca="false">IF(50&lt;=Hipótesis!$D$109,0,IF(AZ96&gt;0,MIN(AZ96,Hipótesis!$D$105/MAX(Hipótesis!$D$108-Hipótesis!$D$109,1)),0))</f>
        <v>1666.66666666667</v>
      </c>
      <c r="BA97" s="138" t="n">
        <f aca="false">IF(51&lt;=Hipótesis!$D$109,0,IF(BA96&gt;0,MIN(BA96,Hipótesis!$D$105/MAX(Hipótesis!$D$108-Hipótesis!$D$109,1)),0))</f>
        <v>1666.66666666667</v>
      </c>
      <c r="BB97" s="138" t="n">
        <f aca="false">IF(52&lt;=Hipótesis!$D$109,0,IF(BB96&gt;0,MIN(BB96,Hipótesis!$D$105/MAX(Hipótesis!$D$108-Hipótesis!$D$109,1)),0))</f>
        <v>1666.66666666667</v>
      </c>
      <c r="BC97" s="138" t="n">
        <f aca="false">IF(53&lt;=Hipótesis!$D$109,0,IF(BC96&gt;0,MIN(BC96,Hipótesis!$D$105/MAX(Hipótesis!$D$108-Hipótesis!$D$109,1)),0))</f>
        <v>1666.66666666667</v>
      </c>
      <c r="BD97" s="138" t="n">
        <f aca="false">IF(54&lt;=Hipótesis!$D$109,0,IF(BD96&gt;0,MIN(BD96,Hipótesis!$D$105/MAX(Hipótesis!$D$108-Hipótesis!$D$109,1)),0))</f>
        <v>1666.66666666667</v>
      </c>
      <c r="BE97" s="138" t="n">
        <f aca="false">IF(55&lt;=Hipótesis!$D$109,0,IF(BE96&gt;0,MIN(BE96,Hipótesis!$D$105/MAX(Hipótesis!$D$108-Hipótesis!$D$109,1)),0))</f>
        <v>1666.66666666667</v>
      </c>
      <c r="BF97" s="138" t="n">
        <f aca="false">IF(56&lt;=Hipótesis!$D$109,0,IF(BF96&gt;0,MIN(BF96,Hipótesis!$D$105/MAX(Hipótesis!$D$108-Hipótesis!$D$109,1)),0))</f>
        <v>1666.66666666667</v>
      </c>
      <c r="BG97" s="138" t="n">
        <f aca="false">IF(57&lt;=Hipótesis!$D$109,0,IF(BG96&gt;0,MIN(BG96,Hipótesis!$D$105/MAX(Hipótesis!$D$108-Hipótesis!$D$109,1)),0))</f>
        <v>1666.66666666667</v>
      </c>
      <c r="BH97" s="138" t="n">
        <f aca="false">IF(58&lt;=Hipótesis!$D$109,0,IF(BH96&gt;0,MIN(BH96,Hipótesis!$D$105/MAX(Hipótesis!$D$108-Hipótesis!$D$109,1)),0))</f>
        <v>1666.66666666667</v>
      </c>
      <c r="BI97" s="138" t="n">
        <f aca="false">IF(59&lt;=Hipótesis!$D$109,0,IF(BI96&gt;0,MIN(BI96,Hipótesis!$D$105/MAX(Hipótesis!$D$108-Hipótesis!$D$109,1)),0))</f>
        <v>1666.66666666667</v>
      </c>
      <c r="BJ97" s="138" t="n">
        <f aca="false">IF(60&lt;=Hipótesis!$D$109,0,IF(BJ96&gt;0,MIN(BJ96,Hipótesis!$D$105/MAX(Hipótesis!$D$108-Hipótesis!$D$109,1)),0))</f>
        <v>1666.66666666667</v>
      </c>
      <c r="BK97" s="138" t="n">
        <f aca="false">IF(61&lt;=Hipótesis!$D$109,0,IF(BK96&gt;0,MIN(BK96,Hipótesis!$D$105/MAX(Hipótesis!$D$108-Hipótesis!$D$109,1)),0))</f>
        <v>1666.66666666667</v>
      </c>
      <c r="BL97" s="138" t="n">
        <f aca="false">IF(62&lt;=Hipótesis!$D$109,0,IF(BL96&gt;0,MIN(BL96,Hipótesis!$D$105/MAX(Hipótesis!$D$108-Hipótesis!$D$109,1)),0))</f>
        <v>1666.66666666667</v>
      </c>
      <c r="BM97" s="138" t="n">
        <f aca="false">IF(63&lt;=Hipótesis!$D$109,0,IF(BM96&gt;0,MIN(BM96,Hipótesis!$D$105/MAX(Hipótesis!$D$108-Hipótesis!$D$109,1)),0))</f>
        <v>1666.66666666667</v>
      </c>
      <c r="BN97" s="138" t="n">
        <f aca="false">IF(64&lt;=Hipótesis!$D$109,0,IF(BN96&gt;0,MIN(BN96,Hipótesis!$D$105/MAX(Hipótesis!$D$108-Hipótesis!$D$109,1)),0))</f>
        <v>1666.66666666667</v>
      </c>
      <c r="BO97" s="138" t="n">
        <f aca="false">IF(65&lt;=Hipótesis!$D$109,0,IF(BO96&gt;0,MIN(BO96,Hipótesis!$D$105/MAX(Hipótesis!$D$108-Hipótesis!$D$109,1)),0))</f>
        <v>1666.66666666667</v>
      </c>
      <c r="BP97" s="138" t="n">
        <f aca="false">IF(66&lt;=Hipótesis!$D$109,0,IF(BP96&gt;0,MIN(BP96,Hipótesis!$D$105/MAX(Hipótesis!$D$108-Hipótesis!$D$109,1)),0))</f>
        <v>1666.66666666667</v>
      </c>
      <c r="BQ97" s="138" t="n">
        <f aca="false">IF(67&lt;=Hipótesis!$D$109,0,IF(BQ96&gt;0,MIN(BQ96,Hipótesis!$D$105/MAX(Hipótesis!$D$108-Hipótesis!$D$109,1)),0))</f>
        <v>1666.66666666667</v>
      </c>
      <c r="BR97" s="138" t="n">
        <f aca="false">IF(68&lt;=Hipótesis!$D$109,0,IF(BR96&gt;0,MIN(BR96,Hipótesis!$D$105/MAX(Hipótesis!$D$108-Hipótesis!$D$109,1)),0))</f>
        <v>1666.66666666667</v>
      </c>
      <c r="BS97" s="138" t="n">
        <f aca="false">IF(69&lt;=Hipótesis!$D$109,0,IF(BS96&gt;0,MIN(BS96,Hipótesis!$D$105/MAX(Hipótesis!$D$108-Hipótesis!$D$109,1)),0))</f>
        <v>1666.66666666667</v>
      </c>
      <c r="BT97" s="138" t="n">
        <f aca="false">IF(70&lt;=Hipótesis!$D$109,0,IF(BT96&gt;0,MIN(BT96,Hipótesis!$D$105/MAX(Hipótesis!$D$108-Hipótesis!$D$109,1)),0))</f>
        <v>1666.66666666667</v>
      </c>
      <c r="BU97" s="138" t="n">
        <f aca="false">IF(71&lt;=Hipótesis!$D$109,0,IF(BU96&gt;0,MIN(BU96,Hipótesis!$D$105/MAX(Hipótesis!$D$108-Hipótesis!$D$109,1)),0))</f>
        <v>1666.66666666667</v>
      </c>
      <c r="BV97" s="138" t="n">
        <f aca="false">IF(72&lt;=Hipótesis!$D$109,0,IF(BV96&gt;0,MIN(BV96,Hipótesis!$D$105/MAX(Hipótesis!$D$108-Hipótesis!$D$109,1)),0))</f>
        <v>1666.66666666667</v>
      </c>
      <c r="BW97" s="138" t="n">
        <f aca="false">IF(73&lt;=Hipótesis!$D$109,0,IF(BW96&gt;0,MIN(BW96,Hipótesis!$D$105/MAX(Hipótesis!$D$108-Hipótesis!$D$109,1)),0))</f>
        <v>1666.66666666667</v>
      </c>
      <c r="BX97" s="138" t="n">
        <f aca="false">IF(74&lt;=Hipótesis!$D$109,0,IF(BX96&gt;0,MIN(BX96,Hipótesis!$D$105/MAX(Hipótesis!$D$108-Hipótesis!$D$109,1)),0))</f>
        <v>1666.66666666667</v>
      </c>
      <c r="BY97" s="138" t="n">
        <f aca="false">IF(75&lt;=Hipótesis!$D$109,0,IF(BY96&gt;0,MIN(BY96,Hipótesis!$D$105/MAX(Hipótesis!$D$108-Hipótesis!$D$109,1)),0))</f>
        <v>1666.66666666667</v>
      </c>
      <c r="BZ97" s="138" t="n">
        <f aca="false">IF(76&lt;=Hipótesis!$D$109,0,IF(BZ96&gt;0,MIN(BZ96,Hipótesis!$D$105/MAX(Hipótesis!$D$108-Hipótesis!$D$109,1)),0))</f>
        <v>1666.66666666667</v>
      </c>
      <c r="CA97" s="138" t="n">
        <f aca="false">IF(77&lt;=Hipótesis!$D$109,0,IF(CA96&gt;0,MIN(CA96,Hipótesis!$D$105/MAX(Hipótesis!$D$108-Hipótesis!$D$109,1)),0))</f>
        <v>1666.66666666667</v>
      </c>
      <c r="CB97" s="138" t="n">
        <f aca="false">IF(78&lt;=Hipótesis!$D$109,0,IF(CB96&gt;0,MIN(CB96,Hipótesis!$D$105/MAX(Hipótesis!$D$108-Hipótesis!$D$109,1)),0))</f>
        <v>1666.66666666667</v>
      </c>
      <c r="CC97" s="138" t="n">
        <f aca="false">IF(79&lt;=Hipótesis!$D$109,0,IF(CC96&gt;0,MIN(CC96,Hipótesis!$D$105/MAX(Hipótesis!$D$108-Hipótesis!$D$109,1)),0))</f>
        <v>1666.66666666667</v>
      </c>
      <c r="CD97" s="138" t="n">
        <f aca="false">IF(80&lt;=Hipótesis!$D$109,0,IF(CD96&gt;0,MIN(CD96,Hipótesis!$D$105/MAX(Hipótesis!$D$108-Hipótesis!$D$109,1)),0))</f>
        <v>1666.66666666667</v>
      </c>
      <c r="CE97" s="138" t="n">
        <f aca="false">IF(81&lt;=Hipótesis!$D$109,0,IF(CE96&gt;0,MIN(CE96,Hipótesis!$D$105/MAX(Hipótesis!$D$108-Hipótesis!$D$109,1)),0))</f>
        <v>1666.66666666667</v>
      </c>
      <c r="CF97" s="138" t="n">
        <f aca="false">IF(82&lt;=Hipótesis!$D$109,0,IF(CF96&gt;0,MIN(CF96,Hipótesis!$D$105/MAX(Hipótesis!$D$108-Hipótesis!$D$109,1)),0))</f>
        <v>1666.66666666667</v>
      </c>
      <c r="CG97" s="138" t="n">
        <f aca="false">IF(83&lt;=Hipótesis!$D$109,0,IF(CG96&gt;0,MIN(CG96,Hipótesis!$D$105/MAX(Hipótesis!$D$108-Hipótesis!$D$109,1)),0))</f>
        <v>1666.66666666667</v>
      </c>
      <c r="CH97" s="138" t="n">
        <f aca="false">IF(84&lt;=Hipótesis!$D$109,0,IF(CH96&gt;0,MIN(CH96,Hipótesis!$D$105/MAX(Hipótesis!$D$108-Hipótesis!$D$109,1)),0))</f>
        <v>1666.66666666661</v>
      </c>
    </row>
    <row r="98" customFormat="false" ht="13.5" hidden="false" customHeight="true" outlineLevel="0" collapsed="false">
      <c r="A98" s="13" t="s">
        <v>774</v>
      </c>
      <c r="C98" s="138" t="n">
        <f aca="false">C96*Hipótesis!$D$106/12+IF(C96&gt;0,Hipótesis!$D$107*MAX(0,C56),0)</f>
        <v>333.333333333333</v>
      </c>
      <c r="D98" s="138" t="n">
        <f aca="false">D96*Hipótesis!$D$106/12+IF(D96&gt;0,Hipótesis!$D$107*MAX(0,D56),0)</f>
        <v>333.333333333333</v>
      </c>
      <c r="E98" s="138" t="n">
        <f aca="false">E96*Hipótesis!$D$106/12+IF(E96&gt;0,Hipótesis!$D$107*MAX(0,E56),0)</f>
        <v>333.333333333333</v>
      </c>
      <c r="F98" s="138" t="n">
        <f aca="false">F96*Hipótesis!$D$106/12+IF(F96&gt;0,Hipótesis!$D$107*MAX(0,F56),0)</f>
        <v>333.333333333333</v>
      </c>
      <c r="G98" s="138" t="n">
        <f aca="false">G96*Hipótesis!$D$106/12+IF(G96&gt;0,Hipótesis!$D$107*MAX(0,G56),0)</f>
        <v>333.333333333333</v>
      </c>
      <c r="H98" s="138" t="n">
        <f aca="false">H96*Hipótesis!$D$106/12+IF(H96&gt;0,Hipótesis!$D$107*MAX(0,H56),0)</f>
        <v>333.333333333333</v>
      </c>
      <c r="I98" s="138" t="n">
        <f aca="false">I96*Hipótesis!$D$106/12+IF(I96&gt;0,Hipótesis!$D$107*MAX(0,I56),0)</f>
        <v>333.333333333333</v>
      </c>
      <c r="J98" s="138" t="n">
        <f aca="false">J96*Hipótesis!$D$106/12+IF(J96&gt;0,Hipótesis!$D$107*MAX(0,J56),0)</f>
        <v>354.201084663088</v>
      </c>
      <c r="K98" s="138" t="n">
        <f aca="false">K96*Hipótesis!$D$106/12+IF(K96&gt;0,Hipótesis!$D$107*MAX(0,K56),0)</f>
        <v>429.929317539693</v>
      </c>
      <c r="L98" s="138" t="n">
        <f aca="false">L96*Hipótesis!$D$106/12+IF(L96&gt;0,Hipótesis!$D$107*MAX(0,L56),0)</f>
        <v>505.657550416297</v>
      </c>
      <c r="M98" s="138" t="n">
        <f aca="false">M96*Hipótesis!$D$106/12+IF(M96&gt;0,Hipótesis!$D$107*MAX(0,M56),0)</f>
        <v>564.652581933376</v>
      </c>
      <c r="N98" s="138" t="n">
        <f aca="false">N96*Hipótesis!$D$106/12+IF(N96&gt;0,Hipótesis!$D$107*MAX(0,N56),0)</f>
        <v>635.596042136151</v>
      </c>
      <c r="O98" s="138" t="n">
        <f aca="false">O96*Hipótesis!$D$106/12+IF(O96&gt;0,Hipótesis!$D$107*MAX(0,O56),0)</f>
        <v>601.995502338927</v>
      </c>
      <c r="P98" s="138" t="n">
        <f aca="false">P96*Hipótesis!$D$106/12+IF(P96&gt;0,Hipótesis!$D$107*MAX(0,P56),0)</f>
        <v>622.000120544564</v>
      </c>
      <c r="Q98" s="138" t="n">
        <f aca="false">Q96*Hipótesis!$D$106/12+IF(Q96&gt;0,Hipótesis!$D$107*MAX(0,Q56),0)</f>
        <v>688.231138750202</v>
      </c>
      <c r="R98" s="138" t="n">
        <f aca="false">R96*Hipótesis!$D$106/12+IF(R96&gt;0,Hipótesis!$D$107*MAX(0,R56),0)</f>
        <v>754.462156955839</v>
      </c>
      <c r="S98" s="138" t="n">
        <f aca="false">S96*Hipótesis!$D$106/12+IF(S96&gt;0,Hipótesis!$D$107*MAX(0,S56),0)</f>
        <v>535.580454436972</v>
      </c>
      <c r="T98" s="138" t="n">
        <f aca="false">T96*Hipótesis!$D$106/12+IF(T96&gt;0,Hipótesis!$D$107*MAX(0,T56),0)</f>
        <v>886.924193367114</v>
      </c>
      <c r="U98" s="138" t="n">
        <f aca="false">U96*Hipótesis!$D$106/12+IF(U96&gt;0,Hipótesis!$D$107*MAX(0,U56),0)</f>
        <v>906.928811572752</v>
      </c>
      <c r="V98" s="138" t="n">
        <f aca="false">V96*Hipótesis!$D$106/12+IF(V96&gt;0,Hipótesis!$D$107*MAX(0,V56),0)</f>
        <v>918.775829778389</v>
      </c>
      <c r="W98" s="138" t="n">
        <f aca="false">W96*Hipótesis!$D$106/12+IF(W96&gt;0,Hipótesis!$D$107*MAX(0,W56),0)</f>
        <v>985.006847984027</v>
      </c>
      <c r="X98" s="138" t="n">
        <f aca="false">X96*Hipótesis!$D$106/12+IF(X96&gt;0,Hipótesis!$D$107*MAX(0,X56),0)</f>
        <v>1039.28943750397</v>
      </c>
      <c r="Y98" s="138" t="n">
        <f aca="false">Y96*Hipótesis!$D$106/12+IF(Y96&gt;0,Hipótesis!$D$107*MAX(0,Y56),0)</f>
        <v>1093.57202702391</v>
      </c>
      <c r="Z98" s="138" t="n">
        <f aca="false">Z96*Hipótesis!$D$106/12+IF(Z96&gt;0,Hipótesis!$D$107*MAX(0,Z56),0)</f>
        <v>1143.54504506957</v>
      </c>
      <c r="AA98" s="138" t="n">
        <f aca="false">AA96*Hipótesis!$D$106/12+IF(AA96&gt;0,Hipótesis!$D$107*MAX(0,AA56),0)</f>
        <v>1137.90307493351</v>
      </c>
      <c r="AB98" s="138" t="n">
        <f aca="false">AB96*Hipótesis!$D$106/12+IF(AB96&gt;0,Hipótesis!$D$107*MAX(0,AB56),0)</f>
        <v>1120.68847497353</v>
      </c>
      <c r="AC98" s="138" t="n">
        <f aca="false">AC96*Hipótesis!$D$106/12+IF(AC96&gt;0,Hipótesis!$D$107*MAX(0,AC56),0)</f>
        <v>1151.08706701354</v>
      </c>
      <c r="AD98" s="138" t="n">
        <f aca="false">AD96*Hipótesis!$D$106/12+IF(AD96&gt;0,Hipótesis!$D$107*MAX(0,AD56),0)</f>
        <v>1181.48565905356</v>
      </c>
      <c r="AE98" s="138" t="n">
        <f aca="false">AE96*Hipótesis!$D$106/12+IF(AE96&gt;0,Hipótesis!$D$107*MAX(0,AE56),0)</f>
        <v>815.960410070747</v>
      </c>
      <c r="AF98" s="138" t="n">
        <f aca="false">AF96*Hipótesis!$D$106/12+IF(AF96&gt;0,Hipótesis!$D$107*MAX(0,AF56),0)</f>
        <v>1242.28284313359</v>
      </c>
      <c r="AG98" s="138" t="n">
        <f aca="false">AG96*Hipótesis!$D$106/12+IF(AG96&gt;0,Hipótesis!$D$107*MAX(0,AG56),0)</f>
        <v>1272.68143517361</v>
      </c>
      <c r="AH98" s="138" t="n">
        <f aca="false">AH96*Hipótesis!$D$106/12+IF(AH96&gt;0,Hipótesis!$D$107*MAX(0,AH56),0)</f>
        <v>1303.08002721363</v>
      </c>
      <c r="AI98" s="138" t="n">
        <f aca="false">AI96*Hipótesis!$D$106/12+IF(AI96&gt;0,Hipótesis!$D$107*MAX(0,AI56),0)</f>
        <v>1333.47861925364</v>
      </c>
      <c r="AJ98" s="138" t="n">
        <f aca="false">AJ96*Hipótesis!$D$106/12+IF(AJ96&gt;0,Hipótesis!$D$107*MAX(0,AJ56),0)</f>
        <v>1363.87721129366</v>
      </c>
      <c r="AK98" s="138" t="n">
        <f aca="false">AK96*Hipótesis!$D$106/12+IF(AK96&gt;0,Hipótesis!$D$107*MAX(0,AK56),0)</f>
        <v>1394.27580333368</v>
      </c>
      <c r="AL98" s="138" t="n">
        <f aca="false">AL96*Hipótesis!$D$106/12+IF(AL96&gt;0,Hipótesis!$D$107*MAX(0,AL56),0)</f>
        <v>1377.06120337369</v>
      </c>
      <c r="AM98" s="138" t="n">
        <f aca="false">AM96*Hipótesis!$D$106/12+IF(AM96&gt;0,Hipótesis!$D$107*MAX(0,AM56),0)</f>
        <v>1358.78528117371</v>
      </c>
      <c r="AN98" s="138" t="n">
        <f aca="false">AN96*Hipótesis!$D$106/12+IF(AN96&gt;0,Hipótesis!$D$107*MAX(0,AN56),0)</f>
        <v>1389.18387321372</v>
      </c>
      <c r="AO98" s="138" t="n">
        <f aca="false">AO96*Hipótesis!$D$106/12+IF(AO96&gt;0,Hipótesis!$D$107*MAX(0,AO56),0)</f>
        <v>1419.58246525374</v>
      </c>
      <c r="AP98" s="138" t="n">
        <f aca="false">AP96*Hipótesis!$D$106/12+IF(AP96&gt;0,Hipótesis!$D$107*MAX(0,AP56),0)</f>
        <v>1449.98105729376</v>
      </c>
      <c r="AQ98" s="138" t="n">
        <f aca="false">AQ96*Hipótesis!$D$106/12+IF(AQ96&gt;0,Hipótesis!$D$107*MAX(0,AQ56),0)</f>
        <v>1084.45580831094</v>
      </c>
      <c r="AR98" s="138" t="n">
        <f aca="false">AR96*Hipótesis!$D$106/12+IF(AR96&gt;0,Hipótesis!$D$107*MAX(0,AR56),0)</f>
        <v>1510.77824137379</v>
      </c>
      <c r="AS98" s="138" t="n">
        <f aca="false">AS96*Hipótesis!$D$106/12+IF(AS96&gt;0,Hipótesis!$D$107*MAX(0,AS56),0)</f>
        <v>1505.22268581823</v>
      </c>
      <c r="AT98" s="138" t="n">
        <f aca="false">AT96*Hipótesis!$D$106/12+IF(AT96&gt;0,Hipótesis!$D$107*MAX(0,AT56),0)</f>
        <v>1499.66713026268</v>
      </c>
      <c r="AU98" s="138" t="n">
        <f aca="false">AU96*Hipótesis!$D$106/12+IF(AU96&gt;0,Hipótesis!$D$107*MAX(0,AU56),0)</f>
        <v>1494.11157470712</v>
      </c>
      <c r="AV98" s="138" t="n">
        <f aca="false">AV96*Hipótesis!$D$106/12+IF(AV96&gt;0,Hipótesis!$D$107*MAX(0,AV56),0)</f>
        <v>1488.55601915157</v>
      </c>
      <c r="AW98" s="138" t="n">
        <f aca="false">AW96*Hipótesis!$D$106/12+IF(AW96&gt;0,Hipótesis!$D$107*MAX(0,AW56),0)</f>
        <v>1483.00046359601</v>
      </c>
      <c r="AX98" s="138" t="n">
        <f aca="false">AX96*Hipótesis!$D$106/12+IF(AX96&gt;0,Hipótesis!$D$107*MAX(0,AX56),0)</f>
        <v>1477.44490804046</v>
      </c>
      <c r="AY98" s="138" t="n">
        <f aca="false">AY96*Hipótesis!$D$106/12+IF(AY96&gt;0,Hipótesis!$D$107*MAX(0,AY56),0)</f>
        <v>1422.9426028177</v>
      </c>
      <c r="AZ98" s="138" t="n">
        <f aca="false">AZ96*Hipótesis!$D$106/12+IF(AZ96&gt;0,Hipótesis!$D$107*MAX(0,AZ56),0)</f>
        <v>1417.38704726215</v>
      </c>
      <c r="BA98" s="138" t="n">
        <f aca="false">BA96*Hipótesis!$D$106/12+IF(BA96&gt;0,Hipótesis!$D$107*MAX(0,BA56),0)</f>
        <v>1411.83149170659</v>
      </c>
      <c r="BB98" s="138" t="n">
        <f aca="false">BB96*Hipótesis!$D$106/12+IF(BB96&gt;0,Hipótesis!$D$107*MAX(0,BB56),0)</f>
        <v>1406.27593615103</v>
      </c>
      <c r="BC98" s="138" t="n">
        <f aca="false">BC96*Hipótesis!$D$106/12+IF(BC96&gt;0,Hipótesis!$D$107*MAX(0,BC56),0)</f>
        <v>1004.79653957265</v>
      </c>
      <c r="BD98" s="138" t="n">
        <f aca="false">BD96*Hipótesis!$D$106/12+IF(BD96&gt;0,Hipótesis!$D$107*MAX(0,BD56),0)</f>
        <v>1395.16482503992</v>
      </c>
      <c r="BE98" s="138" t="n">
        <f aca="false">BE96*Hipótesis!$D$106/12+IF(BE96&gt;0,Hipótesis!$D$107*MAX(0,BE56),0)</f>
        <v>1389.60926948437</v>
      </c>
      <c r="BF98" s="138" t="n">
        <f aca="false">BF96*Hipótesis!$D$106/12+IF(BF96&gt;0,Hipótesis!$D$107*MAX(0,BF56),0)</f>
        <v>1384.05371392881</v>
      </c>
      <c r="BG98" s="138" t="n">
        <f aca="false">BG96*Hipótesis!$D$106/12+IF(BG96&gt;0,Hipótesis!$D$107*MAX(0,BG56),0)</f>
        <v>1378.49815837326</v>
      </c>
      <c r="BH98" s="138" t="n">
        <f aca="false">BH96*Hipótesis!$D$106/12+IF(BH96&gt;0,Hipótesis!$D$107*MAX(0,BH56),0)</f>
        <v>1372.9426028177</v>
      </c>
      <c r="BI98" s="138" t="n">
        <f aca="false">BI96*Hipótesis!$D$106/12+IF(BI96&gt;0,Hipótesis!$D$107*MAX(0,BI56),0)</f>
        <v>1367.38704726215</v>
      </c>
      <c r="BJ98" s="138" t="n">
        <f aca="false">BJ96*Hipótesis!$D$106/12+IF(BJ96&gt;0,Hipótesis!$D$107*MAX(0,BJ56),0)</f>
        <v>1361.83149170659</v>
      </c>
      <c r="BK98" s="138" t="n">
        <f aca="false">BK96*Hipótesis!$D$106/12+IF(BK96&gt;0,Hipótesis!$D$107*MAX(0,BK56),0)</f>
        <v>1307.04878399382</v>
      </c>
      <c r="BL98" s="138" t="n">
        <f aca="false">BL96*Hipótesis!$D$106/12+IF(BL96&gt;0,Hipótesis!$D$107*MAX(0,BL56),0)</f>
        <v>1301.49322843826</v>
      </c>
      <c r="BM98" s="138" t="n">
        <f aca="false">BM96*Hipótesis!$D$106/12+IF(BM96&gt;0,Hipótesis!$D$107*MAX(0,BM56),0)</f>
        <v>1295.93767288271</v>
      </c>
      <c r="BN98" s="138" t="n">
        <f aca="false">BN96*Hipótesis!$D$106/12+IF(BN96&gt;0,Hipótesis!$D$107*MAX(0,BN56),0)</f>
        <v>1290.38211732715</v>
      </c>
      <c r="BO98" s="138" t="n">
        <f aca="false">BO96*Hipótesis!$D$106/12+IF(BO96&gt;0,Hipótesis!$D$107*MAX(0,BO56),0)</f>
        <v>888.902720748766</v>
      </c>
      <c r="BP98" s="138" t="n">
        <f aca="false">BP96*Hipótesis!$D$106/12+IF(BP96&gt;0,Hipótesis!$D$107*MAX(0,BP56),0)</f>
        <v>1279.27100621604</v>
      </c>
      <c r="BQ98" s="138" t="n">
        <f aca="false">BQ96*Hipótesis!$D$106/12+IF(BQ96&gt;0,Hipótesis!$D$107*MAX(0,BQ56),0)</f>
        <v>1273.71545066049</v>
      </c>
      <c r="BR98" s="138" t="n">
        <f aca="false">BR96*Hipótesis!$D$106/12+IF(BR96&gt;0,Hipótesis!$D$107*MAX(0,BR56),0)</f>
        <v>1268.15989510493</v>
      </c>
      <c r="BS98" s="138" t="n">
        <f aca="false">BS96*Hipótesis!$D$106/12+IF(BS96&gt;0,Hipótesis!$D$107*MAX(0,BS56),0)</f>
        <v>1262.60433954937</v>
      </c>
      <c r="BT98" s="138" t="n">
        <f aca="false">BT96*Hipótesis!$D$106/12+IF(BT96&gt;0,Hipótesis!$D$107*MAX(0,BT56),0)</f>
        <v>1257.04878399382</v>
      </c>
      <c r="BU98" s="138" t="n">
        <f aca="false">BU96*Hipótesis!$D$106/12+IF(BU96&gt;0,Hipótesis!$D$107*MAX(0,BU56),0)</f>
        <v>1251.49322843826</v>
      </c>
      <c r="BV98" s="138" t="n">
        <f aca="false">BV96*Hipótesis!$D$106/12+IF(BV96&gt;0,Hipótesis!$D$107*MAX(0,BV56),0)</f>
        <v>1245.93767288271</v>
      </c>
      <c r="BW98" s="138" t="n">
        <f aca="false">BW96*Hipótesis!$D$106/12+IF(BW96&gt;0,Hipótesis!$D$107*MAX(0,BW56),0)</f>
        <v>1190.86615060522</v>
      </c>
      <c r="BX98" s="138" t="n">
        <f aca="false">BX96*Hipótesis!$D$106/12+IF(BX96&gt;0,Hipótesis!$D$107*MAX(0,BX56),0)</f>
        <v>1185.31059504966</v>
      </c>
      <c r="BY98" s="138" t="n">
        <f aca="false">BY96*Hipótesis!$D$106/12+IF(BY96&gt;0,Hipótesis!$D$107*MAX(0,BY56),0)</f>
        <v>1179.75503949411</v>
      </c>
      <c r="BZ98" s="138" t="n">
        <f aca="false">BZ96*Hipótesis!$D$106/12+IF(BZ96&gt;0,Hipótesis!$D$107*MAX(0,BZ56),0)</f>
        <v>1174.19948393855</v>
      </c>
      <c r="CA98" s="138" t="n">
        <f aca="false">CA96*Hipótesis!$D$106/12+IF(CA96&gt;0,Hipótesis!$D$107*MAX(0,CA56),0)</f>
        <v>772.720087360167</v>
      </c>
      <c r="CB98" s="138" t="n">
        <f aca="false">CB96*Hipótesis!$D$106/12+IF(CB96&gt;0,Hipótesis!$D$107*MAX(0,CB56),0)</f>
        <v>1163.08837282744</v>
      </c>
      <c r="CC98" s="138" t="n">
        <f aca="false">CC96*Hipótesis!$D$106/12+IF(CC96&gt;0,Hipótesis!$D$107*MAX(0,CC56),0)</f>
        <v>1157.53281727189</v>
      </c>
      <c r="CD98" s="138" t="n">
        <f aca="false">CD96*Hipótesis!$D$106/12+IF(CD96&gt;0,Hipótesis!$D$107*MAX(0,CD56),0)</f>
        <v>1151.97726171633</v>
      </c>
      <c r="CE98" s="138" t="n">
        <f aca="false">CE96*Hipótesis!$D$106/12+IF(CE96&gt;0,Hipótesis!$D$107*MAX(0,CE56),0)</f>
        <v>1146.42170616077</v>
      </c>
      <c r="CF98" s="138" t="n">
        <f aca="false">CF96*Hipótesis!$D$106/12+IF(CF96&gt;0,Hipótesis!$D$107*MAX(0,CF56),0)</f>
        <v>1140.86615060522</v>
      </c>
      <c r="CG98" s="138" t="n">
        <f aca="false">CG96*Hipótesis!$D$106/12+IF(CG96&gt;0,Hipótesis!$D$107*MAX(0,CG56),0)</f>
        <v>1135.31059504966</v>
      </c>
      <c r="CH98" s="138" t="n">
        <f aca="false">CH96*Hipótesis!$D$106/12+IF(CH96&gt;0,Hipótesis!$D$107*MAX(0,CH56),0)</f>
        <v>1129.75503949411</v>
      </c>
    </row>
    <row r="99" customFormat="false" ht="13.5" hidden="false" customHeight="true" outlineLevel="0" collapsed="false">
      <c r="A99" s="13" t="s">
        <v>775</v>
      </c>
      <c r="C99" s="138" t="n">
        <f aca="false">C97+C98</f>
        <v>333.333333333333</v>
      </c>
      <c r="D99" s="138" t="n">
        <f aca="false">D97+D98</f>
        <v>333.333333333333</v>
      </c>
      <c r="E99" s="138" t="n">
        <f aca="false">E97+E98</f>
        <v>333.333333333333</v>
      </c>
      <c r="F99" s="138" t="n">
        <f aca="false">F97+F98</f>
        <v>333.333333333333</v>
      </c>
      <c r="G99" s="138" t="n">
        <f aca="false">G97+G98</f>
        <v>333.333333333333</v>
      </c>
      <c r="H99" s="138" t="n">
        <f aca="false">H97+H98</f>
        <v>333.333333333333</v>
      </c>
      <c r="I99" s="138" t="n">
        <f aca="false">I97+I98</f>
        <v>333.333333333333</v>
      </c>
      <c r="J99" s="138" t="n">
        <f aca="false">J97+J98</f>
        <v>354.201084663088</v>
      </c>
      <c r="K99" s="138" t="n">
        <f aca="false">K97+K98</f>
        <v>429.929317539693</v>
      </c>
      <c r="L99" s="138" t="n">
        <f aca="false">L97+L98</f>
        <v>505.657550416297</v>
      </c>
      <c r="M99" s="138" t="n">
        <f aca="false">M97+M98</f>
        <v>564.652581933376</v>
      </c>
      <c r="N99" s="138" t="n">
        <f aca="false">N97+N98</f>
        <v>635.596042136151</v>
      </c>
      <c r="O99" s="138" t="n">
        <f aca="false">O97+O98</f>
        <v>601.995502338927</v>
      </c>
      <c r="P99" s="138" t="n">
        <f aca="false">P97+P98</f>
        <v>622.000120544564</v>
      </c>
      <c r="Q99" s="138" t="n">
        <f aca="false">Q97+Q98</f>
        <v>688.231138750202</v>
      </c>
      <c r="R99" s="138" t="n">
        <f aca="false">R97+R98</f>
        <v>754.462156955839</v>
      </c>
      <c r="S99" s="138" t="n">
        <f aca="false">S97+S98</f>
        <v>535.580454436972</v>
      </c>
      <c r="T99" s="138" t="n">
        <f aca="false">T97+T98</f>
        <v>886.924193367114</v>
      </c>
      <c r="U99" s="138" t="n">
        <f aca="false">U97+U98</f>
        <v>906.928811572752</v>
      </c>
      <c r="V99" s="138" t="n">
        <f aca="false">V97+V98</f>
        <v>918.775829778389</v>
      </c>
      <c r="W99" s="138" t="n">
        <f aca="false">W97+W98</f>
        <v>985.006847984027</v>
      </c>
      <c r="X99" s="138" t="n">
        <f aca="false">X97+X98</f>
        <v>1039.28943750397</v>
      </c>
      <c r="Y99" s="138" t="n">
        <f aca="false">Y97+Y98</f>
        <v>1093.57202702391</v>
      </c>
      <c r="Z99" s="138" t="n">
        <f aca="false">Z97+Z98</f>
        <v>1143.54504506957</v>
      </c>
      <c r="AA99" s="138" t="n">
        <f aca="false">AA97+AA98</f>
        <v>2804.56974160018</v>
      </c>
      <c r="AB99" s="138" t="n">
        <f aca="false">AB97+AB98</f>
        <v>2787.35514164019</v>
      </c>
      <c r="AC99" s="138" t="n">
        <f aca="false">AC97+AC98</f>
        <v>2817.75373368021</v>
      </c>
      <c r="AD99" s="138" t="n">
        <f aca="false">AD97+AD98</f>
        <v>2848.15232572023</v>
      </c>
      <c r="AE99" s="138" t="n">
        <f aca="false">AE97+AE98</f>
        <v>2482.62707673741</v>
      </c>
      <c r="AF99" s="138" t="n">
        <f aca="false">AF97+AF98</f>
        <v>2908.94950980026</v>
      </c>
      <c r="AG99" s="138" t="n">
        <f aca="false">AG97+AG98</f>
        <v>2939.34810184028</v>
      </c>
      <c r="AH99" s="138" t="n">
        <f aca="false">AH97+AH98</f>
        <v>2969.74669388029</v>
      </c>
      <c r="AI99" s="138" t="n">
        <f aca="false">AI97+AI98</f>
        <v>3000.14528592031</v>
      </c>
      <c r="AJ99" s="138" t="n">
        <f aca="false">AJ97+AJ98</f>
        <v>3030.54387796033</v>
      </c>
      <c r="AK99" s="138" t="n">
        <f aca="false">AK97+AK98</f>
        <v>3060.94247000034</v>
      </c>
      <c r="AL99" s="138" t="n">
        <f aca="false">AL97+AL98</f>
        <v>3043.72787004036</v>
      </c>
      <c r="AM99" s="138" t="n">
        <f aca="false">AM97+AM98</f>
        <v>3025.45194784037</v>
      </c>
      <c r="AN99" s="138" t="n">
        <f aca="false">AN97+AN98</f>
        <v>3055.85053988039</v>
      </c>
      <c r="AO99" s="138" t="n">
        <f aca="false">AO97+AO98</f>
        <v>3086.24913192041</v>
      </c>
      <c r="AP99" s="138" t="n">
        <f aca="false">AP97+AP98</f>
        <v>3116.64772396042</v>
      </c>
      <c r="AQ99" s="138" t="n">
        <f aca="false">AQ97+AQ98</f>
        <v>2751.12247497761</v>
      </c>
      <c r="AR99" s="138" t="n">
        <f aca="false">AR97+AR98</f>
        <v>3177.44490804046</v>
      </c>
      <c r="AS99" s="138" t="n">
        <f aca="false">AS97+AS98</f>
        <v>3171.8893524849</v>
      </c>
      <c r="AT99" s="138" t="n">
        <f aca="false">AT97+AT98</f>
        <v>3166.33379692935</v>
      </c>
      <c r="AU99" s="138" t="n">
        <f aca="false">AU97+AU98</f>
        <v>3160.77824137379</v>
      </c>
      <c r="AV99" s="138" t="n">
        <f aca="false">AV97+AV98</f>
        <v>3155.22268581824</v>
      </c>
      <c r="AW99" s="138" t="n">
        <f aca="false">AW97+AW98</f>
        <v>3149.66713026268</v>
      </c>
      <c r="AX99" s="138" t="n">
        <f aca="false">AX97+AX98</f>
        <v>3144.11157470712</v>
      </c>
      <c r="AY99" s="138" t="n">
        <f aca="false">AY97+AY98</f>
        <v>3089.60926948437</v>
      </c>
      <c r="AZ99" s="138" t="n">
        <f aca="false">AZ97+AZ98</f>
        <v>3084.05371392881</v>
      </c>
      <c r="BA99" s="138" t="n">
        <f aca="false">BA97+BA98</f>
        <v>3078.49815837326</v>
      </c>
      <c r="BB99" s="138" t="n">
        <f aca="false">BB97+BB98</f>
        <v>3072.9426028177</v>
      </c>
      <c r="BC99" s="138" t="n">
        <f aca="false">BC97+BC98</f>
        <v>2671.46320623932</v>
      </c>
      <c r="BD99" s="138" t="n">
        <f aca="false">BD97+BD98</f>
        <v>3061.83149170659</v>
      </c>
      <c r="BE99" s="138" t="n">
        <f aca="false">BE97+BE98</f>
        <v>3056.27593615103</v>
      </c>
      <c r="BF99" s="138" t="n">
        <f aca="false">BF97+BF98</f>
        <v>3050.72038059548</v>
      </c>
      <c r="BG99" s="138" t="n">
        <f aca="false">BG97+BG98</f>
        <v>3045.16482503992</v>
      </c>
      <c r="BH99" s="138" t="n">
        <f aca="false">BH97+BH98</f>
        <v>3039.60926948437</v>
      </c>
      <c r="BI99" s="138" t="n">
        <f aca="false">BI97+BI98</f>
        <v>3034.05371392881</v>
      </c>
      <c r="BJ99" s="138" t="n">
        <f aca="false">BJ97+BJ98</f>
        <v>3028.49815837326</v>
      </c>
      <c r="BK99" s="138" t="n">
        <f aca="false">BK97+BK98</f>
        <v>2973.71545066048</v>
      </c>
      <c r="BL99" s="138" t="n">
        <f aca="false">BL97+BL98</f>
        <v>2968.15989510493</v>
      </c>
      <c r="BM99" s="138" t="n">
        <f aca="false">BM97+BM98</f>
        <v>2962.60433954937</v>
      </c>
      <c r="BN99" s="138" t="n">
        <f aca="false">BN97+BN98</f>
        <v>2957.04878399382</v>
      </c>
      <c r="BO99" s="138" t="n">
        <f aca="false">BO97+BO98</f>
        <v>2555.56938741543</v>
      </c>
      <c r="BP99" s="138" t="n">
        <f aca="false">BP97+BP98</f>
        <v>2945.93767288271</v>
      </c>
      <c r="BQ99" s="138" t="n">
        <f aca="false">BQ97+BQ98</f>
        <v>2940.38211732715</v>
      </c>
      <c r="BR99" s="138" t="n">
        <f aca="false">BR97+BR98</f>
        <v>2934.8265617716</v>
      </c>
      <c r="BS99" s="138" t="n">
        <f aca="false">BS97+BS98</f>
        <v>2929.27100621604</v>
      </c>
      <c r="BT99" s="138" t="n">
        <f aca="false">BT97+BT98</f>
        <v>2923.71545066049</v>
      </c>
      <c r="BU99" s="138" t="n">
        <f aca="false">BU97+BU98</f>
        <v>2918.15989510493</v>
      </c>
      <c r="BV99" s="138" t="n">
        <f aca="false">BV97+BV98</f>
        <v>2912.60433954937</v>
      </c>
      <c r="BW99" s="138" t="n">
        <f aca="false">BW97+BW98</f>
        <v>2857.53281727189</v>
      </c>
      <c r="BX99" s="138" t="n">
        <f aca="false">BX97+BX98</f>
        <v>2851.97726171633</v>
      </c>
      <c r="BY99" s="138" t="n">
        <f aca="false">BY97+BY98</f>
        <v>2846.42170616078</v>
      </c>
      <c r="BZ99" s="138" t="n">
        <f aca="false">BZ97+BZ98</f>
        <v>2840.86615060522</v>
      </c>
      <c r="CA99" s="138" t="n">
        <f aca="false">CA97+CA98</f>
        <v>2439.38675402683</v>
      </c>
      <c r="CB99" s="138" t="n">
        <f aca="false">CB97+CB98</f>
        <v>2829.75503949411</v>
      </c>
      <c r="CC99" s="138" t="n">
        <f aca="false">CC97+CC98</f>
        <v>2824.19948393855</v>
      </c>
      <c r="CD99" s="138" t="n">
        <f aca="false">CD97+CD98</f>
        <v>2818.643928383</v>
      </c>
      <c r="CE99" s="138" t="n">
        <f aca="false">CE97+CE98</f>
        <v>2813.08837282744</v>
      </c>
      <c r="CF99" s="138" t="n">
        <f aca="false">CF97+CF98</f>
        <v>2807.53281727189</v>
      </c>
      <c r="CG99" s="138" t="n">
        <f aca="false">CG97+CG98</f>
        <v>2801.97726171633</v>
      </c>
      <c r="CH99" s="138" t="n">
        <f aca="false">CH97+CH98</f>
        <v>2796.42170616072</v>
      </c>
    </row>
    <row r="100" customFormat="false" ht="13.5" hidden="false" customHeight="true" outlineLevel="0" collapsed="false"/>
    <row r="101" customFormat="false" ht="13.5" hidden="false" customHeight="true" outlineLevel="0" collapsed="false">
      <c r="A101" s="13" t="s">
        <v>776</v>
      </c>
      <c r="C101" s="138" t="n">
        <f aca="false">Hipótesis!$D$113*(1-Hipótesis!$D$117)</f>
        <v>0</v>
      </c>
      <c r="D101" s="138" t="n">
        <f aca="false">C101-C102</f>
        <v>0</v>
      </c>
      <c r="E101" s="138" t="n">
        <f aca="false">D101-D102</f>
        <v>0</v>
      </c>
      <c r="F101" s="138" t="n">
        <f aca="false">E101-E102</f>
        <v>0</v>
      </c>
      <c r="G101" s="138" t="n">
        <f aca="false">F101-F102</f>
        <v>0</v>
      </c>
      <c r="H101" s="138" t="n">
        <f aca="false">G101-G102</f>
        <v>0</v>
      </c>
      <c r="I101" s="138" t="n">
        <f aca="false">H101-H102</f>
        <v>0</v>
      </c>
      <c r="J101" s="138" t="n">
        <f aca="false">I101-I102</f>
        <v>0</v>
      </c>
      <c r="K101" s="138" t="n">
        <f aca="false">J101-J102</f>
        <v>0</v>
      </c>
      <c r="L101" s="138" t="n">
        <f aca="false">K101-K102</f>
        <v>0</v>
      </c>
      <c r="M101" s="138" t="n">
        <f aca="false">L101-L102</f>
        <v>0</v>
      </c>
      <c r="N101" s="138" t="n">
        <f aca="false">M101-M102</f>
        <v>0</v>
      </c>
      <c r="O101" s="138" t="n">
        <f aca="false">N101-N102</f>
        <v>0</v>
      </c>
      <c r="P101" s="138" t="n">
        <f aca="false">O101-O102</f>
        <v>0</v>
      </c>
      <c r="Q101" s="138" t="n">
        <f aca="false">P101-P102</f>
        <v>0</v>
      </c>
      <c r="R101" s="138" t="n">
        <f aca="false">Q101-Q102</f>
        <v>0</v>
      </c>
      <c r="S101" s="138" t="n">
        <f aca="false">R101-R102</f>
        <v>0</v>
      </c>
      <c r="T101" s="138" t="n">
        <f aca="false">S101-S102</f>
        <v>0</v>
      </c>
      <c r="U101" s="138" t="n">
        <f aca="false">T101-T102</f>
        <v>0</v>
      </c>
      <c r="V101" s="138" t="n">
        <f aca="false">U101-U102</f>
        <v>0</v>
      </c>
      <c r="W101" s="138" t="n">
        <f aca="false">V101-V102</f>
        <v>0</v>
      </c>
      <c r="X101" s="138" t="n">
        <f aca="false">W101-W102</f>
        <v>0</v>
      </c>
      <c r="Y101" s="138" t="n">
        <f aca="false">X101-X102</f>
        <v>0</v>
      </c>
      <c r="Z101" s="138" t="n">
        <f aca="false">Y101-Y102</f>
        <v>0</v>
      </c>
      <c r="AA101" s="138" t="n">
        <f aca="false">Z101-Z102</f>
        <v>0</v>
      </c>
      <c r="AB101" s="138" t="n">
        <f aca="false">AA101-AA102</f>
        <v>0</v>
      </c>
      <c r="AC101" s="138" t="n">
        <f aca="false">AB101-AB102</f>
        <v>0</v>
      </c>
      <c r="AD101" s="138" t="n">
        <f aca="false">AC101-AC102</f>
        <v>0</v>
      </c>
      <c r="AE101" s="138" t="n">
        <f aca="false">AD101-AD102</f>
        <v>0</v>
      </c>
      <c r="AF101" s="138" t="n">
        <f aca="false">AE101-AE102</f>
        <v>0</v>
      </c>
      <c r="AG101" s="138" t="n">
        <f aca="false">AF101-AF102</f>
        <v>0</v>
      </c>
      <c r="AH101" s="138" t="n">
        <f aca="false">AG101-AG102</f>
        <v>0</v>
      </c>
      <c r="AI101" s="138" t="n">
        <f aca="false">AH101-AH102</f>
        <v>0</v>
      </c>
      <c r="AJ101" s="138" t="n">
        <f aca="false">AI101-AI102</f>
        <v>0</v>
      </c>
      <c r="AK101" s="138" t="n">
        <f aca="false">AJ101-AJ102</f>
        <v>0</v>
      </c>
      <c r="AL101" s="138" t="n">
        <f aca="false">AK101-AK102</f>
        <v>0</v>
      </c>
      <c r="AM101" s="138" t="n">
        <f aca="false">AL101-AL102</f>
        <v>0</v>
      </c>
      <c r="AN101" s="138" t="n">
        <f aca="false">AM101-AM102</f>
        <v>0</v>
      </c>
      <c r="AO101" s="138" t="n">
        <f aca="false">AN101-AN102</f>
        <v>0</v>
      </c>
      <c r="AP101" s="138" t="n">
        <f aca="false">AO101-AO102</f>
        <v>0</v>
      </c>
      <c r="AQ101" s="138" t="n">
        <f aca="false">AP101-AP102</f>
        <v>0</v>
      </c>
      <c r="AR101" s="138" t="n">
        <f aca="false">AQ101-AQ102</f>
        <v>0</v>
      </c>
      <c r="AS101" s="138" t="n">
        <f aca="false">AR101-AR102</f>
        <v>0</v>
      </c>
      <c r="AT101" s="138" t="n">
        <f aca="false">AS101-AS102</f>
        <v>0</v>
      </c>
      <c r="AU101" s="138" t="n">
        <f aca="false">AT101-AT102</f>
        <v>0</v>
      </c>
      <c r="AV101" s="138" t="n">
        <f aca="false">AU101-AU102</f>
        <v>0</v>
      </c>
      <c r="AW101" s="138" t="n">
        <f aca="false">AV101-AV102</f>
        <v>0</v>
      </c>
      <c r="AX101" s="138" t="n">
        <f aca="false">AW101-AW102</f>
        <v>0</v>
      </c>
      <c r="AY101" s="138" t="n">
        <f aca="false">AX101-AX102</f>
        <v>0</v>
      </c>
      <c r="AZ101" s="138" t="n">
        <f aca="false">AY101-AY102</f>
        <v>0</v>
      </c>
      <c r="BA101" s="138" t="n">
        <f aca="false">AZ101-AZ102</f>
        <v>0</v>
      </c>
      <c r="BB101" s="138" t="n">
        <f aca="false">BA101-BA102</f>
        <v>0</v>
      </c>
      <c r="BC101" s="138" t="n">
        <f aca="false">BB101-BB102</f>
        <v>0</v>
      </c>
      <c r="BD101" s="138" t="n">
        <f aca="false">BC101-BC102</f>
        <v>0</v>
      </c>
      <c r="BE101" s="138" t="n">
        <f aca="false">BD101-BD102</f>
        <v>0</v>
      </c>
      <c r="BF101" s="138" t="n">
        <f aca="false">BE101-BE102</f>
        <v>0</v>
      </c>
      <c r="BG101" s="138" t="n">
        <f aca="false">BF101-BF102</f>
        <v>0</v>
      </c>
      <c r="BH101" s="138" t="n">
        <f aca="false">BG101-BG102</f>
        <v>0</v>
      </c>
      <c r="BI101" s="138" t="n">
        <f aca="false">BH101-BH102</f>
        <v>0</v>
      </c>
      <c r="BJ101" s="138" t="n">
        <f aca="false">BI101-BI102</f>
        <v>0</v>
      </c>
      <c r="BK101" s="138" t="n">
        <f aca="false">BJ101-BJ102</f>
        <v>0</v>
      </c>
      <c r="BL101" s="138" t="n">
        <f aca="false">BK101-BK102</f>
        <v>0</v>
      </c>
      <c r="BM101" s="138" t="n">
        <f aca="false">BL101-BL102</f>
        <v>0</v>
      </c>
      <c r="BN101" s="138" t="n">
        <f aca="false">BM101-BM102</f>
        <v>0</v>
      </c>
      <c r="BO101" s="138" t="n">
        <f aca="false">BN101-BN102</f>
        <v>0</v>
      </c>
      <c r="BP101" s="138" t="n">
        <f aca="false">BO101-BO102</f>
        <v>0</v>
      </c>
      <c r="BQ101" s="138" t="n">
        <f aca="false">BP101-BP102</f>
        <v>0</v>
      </c>
      <c r="BR101" s="138" t="n">
        <f aca="false">BQ101-BQ102</f>
        <v>0</v>
      </c>
      <c r="BS101" s="138" t="n">
        <f aca="false">BR101-BR102</f>
        <v>0</v>
      </c>
      <c r="BT101" s="138" t="n">
        <f aca="false">BS101-BS102</f>
        <v>0</v>
      </c>
      <c r="BU101" s="138" t="n">
        <f aca="false">BT101-BT102</f>
        <v>0</v>
      </c>
      <c r="BV101" s="138" t="n">
        <f aca="false">BU101-BU102</f>
        <v>0</v>
      </c>
      <c r="BW101" s="138" t="n">
        <f aca="false">BV101-BV102</f>
        <v>0</v>
      </c>
      <c r="BX101" s="138" t="n">
        <f aca="false">BW101-BW102</f>
        <v>0</v>
      </c>
      <c r="BY101" s="138" t="n">
        <f aca="false">BX101-BX102</f>
        <v>0</v>
      </c>
      <c r="BZ101" s="138" t="n">
        <f aca="false">BY101-BY102</f>
        <v>0</v>
      </c>
      <c r="CA101" s="138" t="n">
        <f aca="false">BZ101-BZ102</f>
        <v>0</v>
      </c>
      <c r="CB101" s="138" t="n">
        <f aca="false">CA101-CA102</f>
        <v>0</v>
      </c>
      <c r="CC101" s="138" t="n">
        <f aca="false">CB101-CB102</f>
        <v>0</v>
      </c>
      <c r="CD101" s="138" t="n">
        <f aca="false">CC101-CC102</f>
        <v>0</v>
      </c>
      <c r="CE101" s="138" t="n">
        <f aca="false">CD101-CD102</f>
        <v>0</v>
      </c>
      <c r="CF101" s="138" t="n">
        <f aca="false">CE101-CE102</f>
        <v>0</v>
      </c>
      <c r="CG101" s="138" t="n">
        <f aca="false">CF101-CF102</f>
        <v>0</v>
      </c>
      <c r="CH101" s="138" t="n">
        <f aca="false">CG101-CG102</f>
        <v>0</v>
      </c>
    </row>
    <row r="102" customFormat="false" ht="13.5" hidden="false" customHeight="true" outlineLevel="0" collapsed="false">
      <c r="A102" s="13" t="s">
        <v>777</v>
      </c>
      <c r="C102" s="138" t="n">
        <f aca="false">IF(1&lt;=Hipótesis!$D$116,0,IF(C101&gt;0,MIN(C101,Hipótesis!$D$113*(1-Hipótesis!$D$117)/MAX(Hipótesis!$D$115-Hipótesis!$D$116,1)),0))</f>
        <v>0</v>
      </c>
      <c r="D102" s="138" t="n">
        <f aca="false">IF(2&lt;=Hipótesis!$D$116,0,IF(D101&gt;0,MIN(D101,Hipótesis!$D$113*(1-Hipótesis!$D$117)/MAX(Hipótesis!$D$115-Hipótesis!$D$116,1)),0))</f>
        <v>0</v>
      </c>
      <c r="E102" s="138" t="n">
        <f aca="false">IF(3&lt;=Hipótesis!$D$116,0,IF(E101&gt;0,MIN(E101,Hipótesis!$D$113*(1-Hipótesis!$D$117)/MAX(Hipótesis!$D$115-Hipótesis!$D$116,1)),0))</f>
        <v>0</v>
      </c>
      <c r="F102" s="138" t="n">
        <f aca="false">IF(4&lt;=Hipótesis!$D$116,0,IF(F101&gt;0,MIN(F101,Hipótesis!$D$113*(1-Hipótesis!$D$117)/MAX(Hipótesis!$D$115-Hipótesis!$D$116,1)),0))</f>
        <v>0</v>
      </c>
      <c r="G102" s="138" t="n">
        <f aca="false">IF(5&lt;=Hipótesis!$D$116,0,IF(G101&gt;0,MIN(G101,Hipótesis!$D$113*(1-Hipótesis!$D$117)/MAX(Hipótesis!$D$115-Hipótesis!$D$116,1)),0))</f>
        <v>0</v>
      </c>
      <c r="H102" s="138" t="n">
        <f aca="false">IF(6&lt;=Hipótesis!$D$116,0,IF(H101&gt;0,MIN(H101,Hipótesis!$D$113*(1-Hipótesis!$D$117)/MAX(Hipótesis!$D$115-Hipótesis!$D$116,1)),0))</f>
        <v>0</v>
      </c>
      <c r="I102" s="138" t="n">
        <f aca="false">IF(7&lt;=Hipótesis!$D$116,0,IF(I101&gt;0,MIN(I101,Hipótesis!$D$113*(1-Hipótesis!$D$117)/MAX(Hipótesis!$D$115-Hipótesis!$D$116,1)),0))</f>
        <v>0</v>
      </c>
      <c r="J102" s="138" t="n">
        <f aca="false">IF(8&lt;=Hipótesis!$D$116,0,IF(J101&gt;0,MIN(J101,Hipótesis!$D$113*(1-Hipótesis!$D$117)/MAX(Hipótesis!$D$115-Hipótesis!$D$116,1)),0))</f>
        <v>0</v>
      </c>
      <c r="K102" s="138" t="n">
        <f aca="false">IF(9&lt;=Hipótesis!$D$116,0,IF(K101&gt;0,MIN(K101,Hipótesis!$D$113*(1-Hipótesis!$D$117)/MAX(Hipótesis!$D$115-Hipótesis!$D$116,1)),0))</f>
        <v>0</v>
      </c>
      <c r="L102" s="138" t="n">
        <f aca="false">IF(10&lt;=Hipótesis!$D$116,0,IF(L101&gt;0,MIN(L101,Hipótesis!$D$113*(1-Hipótesis!$D$117)/MAX(Hipótesis!$D$115-Hipótesis!$D$116,1)),0))</f>
        <v>0</v>
      </c>
      <c r="M102" s="138" t="n">
        <f aca="false">IF(11&lt;=Hipótesis!$D$116,0,IF(M101&gt;0,MIN(M101,Hipótesis!$D$113*(1-Hipótesis!$D$117)/MAX(Hipótesis!$D$115-Hipótesis!$D$116,1)),0))</f>
        <v>0</v>
      </c>
      <c r="N102" s="138" t="n">
        <f aca="false">IF(12&lt;=Hipótesis!$D$116,0,IF(N101&gt;0,MIN(N101,Hipótesis!$D$113*(1-Hipótesis!$D$117)/MAX(Hipótesis!$D$115-Hipótesis!$D$116,1)),0))</f>
        <v>0</v>
      </c>
      <c r="O102" s="138" t="n">
        <f aca="false">IF(13&lt;=Hipótesis!$D$116,0,IF(O101&gt;0,MIN(O101,Hipótesis!$D$113*(1-Hipótesis!$D$117)/MAX(Hipótesis!$D$115-Hipótesis!$D$116,1)),0))</f>
        <v>0</v>
      </c>
      <c r="P102" s="138" t="n">
        <f aca="false">IF(14&lt;=Hipótesis!$D$116,0,IF(P101&gt;0,MIN(P101,Hipótesis!$D$113*(1-Hipótesis!$D$117)/MAX(Hipótesis!$D$115-Hipótesis!$D$116,1)),0))</f>
        <v>0</v>
      </c>
      <c r="Q102" s="138" t="n">
        <f aca="false">IF(15&lt;=Hipótesis!$D$116,0,IF(Q101&gt;0,MIN(Q101,Hipótesis!$D$113*(1-Hipótesis!$D$117)/MAX(Hipótesis!$D$115-Hipótesis!$D$116,1)),0))</f>
        <v>0</v>
      </c>
      <c r="R102" s="138" t="n">
        <f aca="false">IF(16&lt;=Hipótesis!$D$116,0,IF(R101&gt;0,MIN(R101,Hipótesis!$D$113*(1-Hipótesis!$D$117)/MAX(Hipótesis!$D$115-Hipótesis!$D$116,1)),0))</f>
        <v>0</v>
      </c>
      <c r="S102" s="138" t="n">
        <f aca="false">IF(17&lt;=Hipótesis!$D$116,0,IF(S101&gt;0,MIN(S101,Hipótesis!$D$113*(1-Hipótesis!$D$117)/MAX(Hipótesis!$D$115-Hipótesis!$D$116,1)),0))</f>
        <v>0</v>
      </c>
      <c r="T102" s="138" t="n">
        <f aca="false">IF(18&lt;=Hipótesis!$D$116,0,IF(T101&gt;0,MIN(T101,Hipótesis!$D$113*(1-Hipótesis!$D$117)/MAX(Hipótesis!$D$115-Hipótesis!$D$116,1)),0))</f>
        <v>0</v>
      </c>
      <c r="U102" s="138" t="n">
        <f aca="false">IF(19&lt;=Hipótesis!$D$116,0,IF(U101&gt;0,MIN(U101,Hipótesis!$D$113*(1-Hipótesis!$D$117)/MAX(Hipótesis!$D$115-Hipótesis!$D$116,1)),0))</f>
        <v>0</v>
      </c>
      <c r="V102" s="138" t="n">
        <f aca="false">IF(20&lt;=Hipótesis!$D$116,0,IF(V101&gt;0,MIN(V101,Hipótesis!$D$113*(1-Hipótesis!$D$117)/MAX(Hipótesis!$D$115-Hipótesis!$D$116,1)),0))</f>
        <v>0</v>
      </c>
      <c r="W102" s="138" t="n">
        <f aca="false">IF(21&lt;=Hipótesis!$D$116,0,IF(W101&gt;0,MIN(W101,Hipótesis!$D$113*(1-Hipótesis!$D$117)/MAX(Hipótesis!$D$115-Hipótesis!$D$116,1)),0))</f>
        <v>0</v>
      </c>
      <c r="X102" s="138" t="n">
        <f aca="false">IF(22&lt;=Hipótesis!$D$116,0,IF(X101&gt;0,MIN(X101,Hipótesis!$D$113*(1-Hipótesis!$D$117)/MAX(Hipótesis!$D$115-Hipótesis!$D$116,1)),0))</f>
        <v>0</v>
      </c>
      <c r="Y102" s="138" t="n">
        <f aca="false">IF(23&lt;=Hipótesis!$D$116,0,IF(Y101&gt;0,MIN(Y101,Hipótesis!$D$113*(1-Hipótesis!$D$117)/MAX(Hipótesis!$D$115-Hipótesis!$D$116,1)),0))</f>
        <v>0</v>
      </c>
      <c r="Z102" s="138" t="n">
        <f aca="false">IF(24&lt;=Hipótesis!$D$116,0,IF(Z101&gt;0,MIN(Z101,Hipótesis!$D$113*(1-Hipótesis!$D$117)/MAX(Hipótesis!$D$115-Hipótesis!$D$116,1)),0))</f>
        <v>0</v>
      </c>
      <c r="AA102" s="138" t="n">
        <f aca="false">IF(25&lt;=Hipótesis!$D$116,0,IF(AA101&gt;0,MIN(AA101,Hipótesis!$D$113*(1-Hipótesis!$D$117)/MAX(Hipótesis!$D$115-Hipótesis!$D$116,1)),0))</f>
        <v>0</v>
      </c>
      <c r="AB102" s="138" t="n">
        <f aca="false">IF(26&lt;=Hipótesis!$D$116,0,IF(AB101&gt;0,MIN(AB101,Hipótesis!$D$113*(1-Hipótesis!$D$117)/MAX(Hipótesis!$D$115-Hipótesis!$D$116,1)),0))</f>
        <v>0</v>
      </c>
      <c r="AC102" s="138" t="n">
        <f aca="false">IF(27&lt;=Hipótesis!$D$116,0,IF(AC101&gt;0,MIN(AC101,Hipótesis!$D$113*(1-Hipótesis!$D$117)/MAX(Hipótesis!$D$115-Hipótesis!$D$116,1)),0))</f>
        <v>0</v>
      </c>
      <c r="AD102" s="138" t="n">
        <f aca="false">IF(28&lt;=Hipótesis!$D$116,0,IF(AD101&gt;0,MIN(AD101,Hipótesis!$D$113*(1-Hipótesis!$D$117)/MAX(Hipótesis!$D$115-Hipótesis!$D$116,1)),0))</f>
        <v>0</v>
      </c>
      <c r="AE102" s="138" t="n">
        <f aca="false">IF(29&lt;=Hipótesis!$D$116,0,IF(AE101&gt;0,MIN(AE101,Hipótesis!$D$113*(1-Hipótesis!$D$117)/MAX(Hipótesis!$D$115-Hipótesis!$D$116,1)),0))</f>
        <v>0</v>
      </c>
      <c r="AF102" s="138" t="n">
        <f aca="false">IF(30&lt;=Hipótesis!$D$116,0,IF(AF101&gt;0,MIN(AF101,Hipótesis!$D$113*(1-Hipótesis!$D$117)/MAX(Hipótesis!$D$115-Hipótesis!$D$116,1)),0))</f>
        <v>0</v>
      </c>
      <c r="AG102" s="138" t="n">
        <f aca="false">IF(31&lt;=Hipótesis!$D$116,0,IF(AG101&gt;0,MIN(AG101,Hipótesis!$D$113*(1-Hipótesis!$D$117)/MAX(Hipótesis!$D$115-Hipótesis!$D$116,1)),0))</f>
        <v>0</v>
      </c>
      <c r="AH102" s="138" t="n">
        <f aca="false">IF(32&lt;=Hipótesis!$D$116,0,IF(AH101&gt;0,MIN(AH101,Hipótesis!$D$113*(1-Hipótesis!$D$117)/MAX(Hipótesis!$D$115-Hipótesis!$D$116,1)),0))</f>
        <v>0</v>
      </c>
      <c r="AI102" s="138" t="n">
        <f aca="false">IF(33&lt;=Hipótesis!$D$116,0,IF(AI101&gt;0,MIN(AI101,Hipótesis!$D$113*(1-Hipótesis!$D$117)/MAX(Hipótesis!$D$115-Hipótesis!$D$116,1)),0))</f>
        <v>0</v>
      </c>
      <c r="AJ102" s="138" t="n">
        <f aca="false">IF(34&lt;=Hipótesis!$D$116,0,IF(AJ101&gt;0,MIN(AJ101,Hipótesis!$D$113*(1-Hipótesis!$D$117)/MAX(Hipótesis!$D$115-Hipótesis!$D$116,1)),0))</f>
        <v>0</v>
      </c>
      <c r="AK102" s="138" t="n">
        <f aca="false">IF(35&lt;=Hipótesis!$D$116,0,IF(AK101&gt;0,MIN(AK101,Hipótesis!$D$113*(1-Hipótesis!$D$117)/MAX(Hipótesis!$D$115-Hipótesis!$D$116,1)),0))</f>
        <v>0</v>
      </c>
      <c r="AL102" s="138" t="n">
        <f aca="false">IF(36&lt;=Hipótesis!$D$116,0,IF(AL101&gt;0,MIN(AL101,Hipótesis!$D$113*(1-Hipótesis!$D$117)/MAX(Hipótesis!$D$115-Hipótesis!$D$116,1)),0))</f>
        <v>0</v>
      </c>
      <c r="AM102" s="138" t="n">
        <f aca="false">IF(37&lt;=Hipótesis!$D$116,0,IF(AM101&gt;0,MIN(AM101,Hipótesis!$D$113*(1-Hipótesis!$D$117)/MAX(Hipótesis!$D$115-Hipótesis!$D$116,1)),0))</f>
        <v>0</v>
      </c>
      <c r="AN102" s="138" t="n">
        <f aca="false">IF(38&lt;=Hipótesis!$D$116,0,IF(AN101&gt;0,MIN(AN101,Hipótesis!$D$113*(1-Hipótesis!$D$117)/MAX(Hipótesis!$D$115-Hipótesis!$D$116,1)),0))</f>
        <v>0</v>
      </c>
      <c r="AO102" s="138" t="n">
        <f aca="false">IF(39&lt;=Hipótesis!$D$116,0,IF(AO101&gt;0,MIN(AO101,Hipótesis!$D$113*(1-Hipótesis!$D$117)/MAX(Hipótesis!$D$115-Hipótesis!$D$116,1)),0))</f>
        <v>0</v>
      </c>
      <c r="AP102" s="138" t="n">
        <f aca="false">IF(40&lt;=Hipótesis!$D$116,0,IF(AP101&gt;0,MIN(AP101,Hipótesis!$D$113*(1-Hipótesis!$D$117)/MAX(Hipótesis!$D$115-Hipótesis!$D$116,1)),0))</f>
        <v>0</v>
      </c>
      <c r="AQ102" s="138" t="n">
        <f aca="false">IF(41&lt;=Hipótesis!$D$116,0,IF(AQ101&gt;0,MIN(AQ101,Hipótesis!$D$113*(1-Hipótesis!$D$117)/MAX(Hipótesis!$D$115-Hipótesis!$D$116,1)),0))</f>
        <v>0</v>
      </c>
      <c r="AR102" s="138" t="n">
        <f aca="false">IF(42&lt;=Hipótesis!$D$116,0,IF(AR101&gt;0,MIN(AR101,Hipótesis!$D$113*(1-Hipótesis!$D$117)/MAX(Hipótesis!$D$115-Hipótesis!$D$116,1)),0))</f>
        <v>0</v>
      </c>
      <c r="AS102" s="138" t="n">
        <f aca="false">IF(43&lt;=Hipótesis!$D$116,0,IF(AS101&gt;0,MIN(AS101,Hipótesis!$D$113*(1-Hipótesis!$D$117)/MAX(Hipótesis!$D$115-Hipótesis!$D$116,1)),0))</f>
        <v>0</v>
      </c>
      <c r="AT102" s="138" t="n">
        <f aca="false">IF(44&lt;=Hipótesis!$D$116,0,IF(AT101&gt;0,MIN(AT101,Hipótesis!$D$113*(1-Hipótesis!$D$117)/MAX(Hipótesis!$D$115-Hipótesis!$D$116,1)),0))</f>
        <v>0</v>
      </c>
      <c r="AU102" s="138" t="n">
        <f aca="false">IF(45&lt;=Hipótesis!$D$116,0,IF(AU101&gt;0,MIN(AU101,Hipótesis!$D$113*(1-Hipótesis!$D$117)/MAX(Hipótesis!$D$115-Hipótesis!$D$116,1)),0))</f>
        <v>0</v>
      </c>
      <c r="AV102" s="138" t="n">
        <f aca="false">IF(46&lt;=Hipótesis!$D$116,0,IF(AV101&gt;0,MIN(AV101,Hipótesis!$D$113*(1-Hipótesis!$D$117)/MAX(Hipótesis!$D$115-Hipótesis!$D$116,1)),0))</f>
        <v>0</v>
      </c>
      <c r="AW102" s="138" t="n">
        <f aca="false">IF(47&lt;=Hipótesis!$D$116,0,IF(AW101&gt;0,MIN(AW101,Hipótesis!$D$113*(1-Hipótesis!$D$117)/MAX(Hipótesis!$D$115-Hipótesis!$D$116,1)),0))</f>
        <v>0</v>
      </c>
      <c r="AX102" s="138" t="n">
        <f aca="false">IF(48&lt;=Hipótesis!$D$116,0,IF(AX101&gt;0,MIN(AX101,Hipótesis!$D$113*(1-Hipótesis!$D$117)/MAX(Hipótesis!$D$115-Hipótesis!$D$116,1)),0))</f>
        <v>0</v>
      </c>
      <c r="AY102" s="138" t="n">
        <f aca="false">IF(49&lt;=Hipótesis!$D$116,0,IF(AY101&gt;0,MIN(AY101,Hipótesis!$D$113*(1-Hipótesis!$D$117)/MAX(Hipótesis!$D$115-Hipótesis!$D$116,1)),0))</f>
        <v>0</v>
      </c>
      <c r="AZ102" s="138" t="n">
        <f aca="false">IF(50&lt;=Hipótesis!$D$116,0,IF(AZ101&gt;0,MIN(AZ101,Hipótesis!$D$113*(1-Hipótesis!$D$117)/MAX(Hipótesis!$D$115-Hipótesis!$D$116,1)),0))</f>
        <v>0</v>
      </c>
      <c r="BA102" s="138" t="n">
        <f aca="false">IF(51&lt;=Hipótesis!$D$116,0,IF(BA101&gt;0,MIN(BA101,Hipótesis!$D$113*(1-Hipótesis!$D$117)/MAX(Hipótesis!$D$115-Hipótesis!$D$116,1)),0))</f>
        <v>0</v>
      </c>
      <c r="BB102" s="138" t="n">
        <f aca="false">IF(52&lt;=Hipótesis!$D$116,0,IF(BB101&gt;0,MIN(BB101,Hipótesis!$D$113*(1-Hipótesis!$D$117)/MAX(Hipótesis!$D$115-Hipótesis!$D$116,1)),0))</f>
        <v>0</v>
      </c>
      <c r="BC102" s="138" t="n">
        <f aca="false">IF(53&lt;=Hipótesis!$D$116,0,IF(BC101&gt;0,MIN(BC101,Hipótesis!$D$113*(1-Hipótesis!$D$117)/MAX(Hipótesis!$D$115-Hipótesis!$D$116,1)),0))</f>
        <v>0</v>
      </c>
      <c r="BD102" s="138" t="n">
        <f aca="false">IF(54&lt;=Hipótesis!$D$116,0,IF(BD101&gt;0,MIN(BD101,Hipótesis!$D$113*(1-Hipótesis!$D$117)/MAX(Hipótesis!$D$115-Hipótesis!$D$116,1)),0))</f>
        <v>0</v>
      </c>
      <c r="BE102" s="138" t="n">
        <f aca="false">IF(55&lt;=Hipótesis!$D$116,0,IF(BE101&gt;0,MIN(BE101,Hipótesis!$D$113*(1-Hipótesis!$D$117)/MAX(Hipótesis!$D$115-Hipótesis!$D$116,1)),0))</f>
        <v>0</v>
      </c>
      <c r="BF102" s="138" t="n">
        <f aca="false">IF(56&lt;=Hipótesis!$D$116,0,IF(BF101&gt;0,MIN(BF101,Hipótesis!$D$113*(1-Hipótesis!$D$117)/MAX(Hipótesis!$D$115-Hipótesis!$D$116,1)),0))</f>
        <v>0</v>
      </c>
      <c r="BG102" s="138" t="n">
        <f aca="false">IF(57&lt;=Hipótesis!$D$116,0,IF(BG101&gt;0,MIN(BG101,Hipótesis!$D$113*(1-Hipótesis!$D$117)/MAX(Hipótesis!$D$115-Hipótesis!$D$116,1)),0))</f>
        <v>0</v>
      </c>
      <c r="BH102" s="138" t="n">
        <f aca="false">IF(58&lt;=Hipótesis!$D$116,0,IF(BH101&gt;0,MIN(BH101,Hipótesis!$D$113*(1-Hipótesis!$D$117)/MAX(Hipótesis!$D$115-Hipótesis!$D$116,1)),0))</f>
        <v>0</v>
      </c>
      <c r="BI102" s="138" t="n">
        <f aca="false">IF(59&lt;=Hipótesis!$D$116,0,IF(BI101&gt;0,MIN(BI101,Hipótesis!$D$113*(1-Hipótesis!$D$117)/MAX(Hipótesis!$D$115-Hipótesis!$D$116,1)),0))</f>
        <v>0</v>
      </c>
      <c r="BJ102" s="138" t="n">
        <f aca="false">IF(60&lt;=Hipótesis!$D$116,0,IF(BJ101&gt;0,MIN(BJ101,Hipótesis!$D$113*(1-Hipótesis!$D$117)/MAX(Hipótesis!$D$115-Hipótesis!$D$116,1)),0))</f>
        <v>0</v>
      </c>
      <c r="BK102" s="138" t="n">
        <f aca="false">IF(61&lt;=Hipótesis!$D$116,0,IF(BK101&gt;0,MIN(BK101,Hipótesis!$D$113*(1-Hipótesis!$D$117)/MAX(Hipótesis!$D$115-Hipótesis!$D$116,1)),0))</f>
        <v>0</v>
      </c>
      <c r="BL102" s="138" t="n">
        <f aca="false">IF(62&lt;=Hipótesis!$D$116,0,IF(BL101&gt;0,MIN(BL101,Hipótesis!$D$113*(1-Hipótesis!$D$117)/MAX(Hipótesis!$D$115-Hipótesis!$D$116,1)),0))</f>
        <v>0</v>
      </c>
      <c r="BM102" s="138" t="n">
        <f aca="false">IF(63&lt;=Hipótesis!$D$116,0,IF(BM101&gt;0,MIN(BM101,Hipótesis!$D$113*(1-Hipótesis!$D$117)/MAX(Hipótesis!$D$115-Hipótesis!$D$116,1)),0))</f>
        <v>0</v>
      </c>
      <c r="BN102" s="138" t="n">
        <f aca="false">IF(64&lt;=Hipótesis!$D$116,0,IF(BN101&gt;0,MIN(BN101,Hipótesis!$D$113*(1-Hipótesis!$D$117)/MAX(Hipótesis!$D$115-Hipótesis!$D$116,1)),0))</f>
        <v>0</v>
      </c>
      <c r="BO102" s="138" t="n">
        <f aca="false">IF(65&lt;=Hipótesis!$D$116,0,IF(BO101&gt;0,MIN(BO101,Hipótesis!$D$113*(1-Hipótesis!$D$117)/MAX(Hipótesis!$D$115-Hipótesis!$D$116,1)),0))</f>
        <v>0</v>
      </c>
      <c r="BP102" s="138" t="n">
        <f aca="false">IF(66&lt;=Hipótesis!$D$116,0,IF(BP101&gt;0,MIN(BP101,Hipótesis!$D$113*(1-Hipótesis!$D$117)/MAX(Hipótesis!$D$115-Hipótesis!$D$116,1)),0))</f>
        <v>0</v>
      </c>
      <c r="BQ102" s="138" t="n">
        <f aca="false">IF(67&lt;=Hipótesis!$D$116,0,IF(BQ101&gt;0,MIN(BQ101,Hipótesis!$D$113*(1-Hipótesis!$D$117)/MAX(Hipótesis!$D$115-Hipótesis!$D$116,1)),0))</f>
        <v>0</v>
      </c>
      <c r="BR102" s="138" t="n">
        <f aca="false">IF(68&lt;=Hipótesis!$D$116,0,IF(BR101&gt;0,MIN(BR101,Hipótesis!$D$113*(1-Hipótesis!$D$117)/MAX(Hipótesis!$D$115-Hipótesis!$D$116,1)),0))</f>
        <v>0</v>
      </c>
      <c r="BS102" s="138" t="n">
        <f aca="false">IF(69&lt;=Hipótesis!$D$116,0,IF(BS101&gt;0,MIN(BS101,Hipótesis!$D$113*(1-Hipótesis!$D$117)/MAX(Hipótesis!$D$115-Hipótesis!$D$116,1)),0))</f>
        <v>0</v>
      </c>
      <c r="BT102" s="138" t="n">
        <f aca="false">IF(70&lt;=Hipótesis!$D$116,0,IF(BT101&gt;0,MIN(BT101,Hipótesis!$D$113*(1-Hipótesis!$D$117)/MAX(Hipótesis!$D$115-Hipótesis!$D$116,1)),0))</f>
        <v>0</v>
      </c>
      <c r="BU102" s="138" t="n">
        <f aca="false">IF(71&lt;=Hipótesis!$D$116,0,IF(BU101&gt;0,MIN(BU101,Hipótesis!$D$113*(1-Hipótesis!$D$117)/MAX(Hipótesis!$D$115-Hipótesis!$D$116,1)),0))</f>
        <v>0</v>
      </c>
      <c r="BV102" s="138" t="n">
        <f aca="false">IF(72&lt;=Hipótesis!$D$116,0,IF(BV101&gt;0,MIN(BV101,Hipótesis!$D$113*(1-Hipótesis!$D$117)/MAX(Hipótesis!$D$115-Hipótesis!$D$116,1)),0))</f>
        <v>0</v>
      </c>
      <c r="BW102" s="138" t="n">
        <f aca="false">IF(73&lt;=Hipótesis!$D$116,0,IF(BW101&gt;0,MIN(BW101,Hipótesis!$D$113*(1-Hipótesis!$D$117)/MAX(Hipótesis!$D$115-Hipótesis!$D$116,1)),0))</f>
        <v>0</v>
      </c>
      <c r="BX102" s="138" t="n">
        <f aca="false">IF(74&lt;=Hipótesis!$D$116,0,IF(BX101&gt;0,MIN(BX101,Hipótesis!$D$113*(1-Hipótesis!$D$117)/MAX(Hipótesis!$D$115-Hipótesis!$D$116,1)),0))</f>
        <v>0</v>
      </c>
      <c r="BY102" s="138" t="n">
        <f aca="false">IF(75&lt;=Hipótesis!$D$116,0,IF(BY101&gt;0,MIN(BY101,Hipótesis!$D$113*(1-Hipótesis!$D$117)/MAX(Hipótesis!$D$115-Hipótesis!$D$116,1)),0))</f>
        <v>0</v>
      </c>
      <c r="BZ102" s="138" t="n">
        <f aca="false">IF(76&lt;=Hipótesis!$D$116,0,IF(BZ101&gt;0,MIN(BZ101,Hipótesis!$D$113*(1-Hipótesis!$D$117)/MAX(Hipótesis!$D$115-Hipótesis!$D$116,1)),0))</f>
        <v>0</v>
      </c>
      <c r="CA102" s="138" t="n">
        <f aca="false">IF(77&lt;=Hipótesis!$D$116,0,IF(CA101&gt;0,MIN(CA101,Hipótesis!$D$113*(1-Hipótesis!$D$117)/MAX(Hipótesis!$D$115-Hipótesis!$D$116,1)),0))</f>
        <v>0</v>
      </c>
      <c r="CB102" s="138" t="n">
        <f aca="false">IF(78&lt;=Hipótesis!$D$116,0,IF(CB101&gt;0,MIN(CB101,Hipótesis!$D$113*(1-Hipótesis!$D$117)/MAX(Hipótesis!$D$115-Hipótesis!$D$116,1)),0))</f>
        <v>0</v>
      </c>
      <c r="CC102" s="138" t="n">
        <f aca="false">IF(79&lt;=Hipótesis!$D$116,0,IF(CC101&gt;0,MIN(CC101,Hipótesis!$D$113*(1-Hipótesis!$D$117)/MAX(Hipótesis!$D$115-Hipótesis!$D$116,1)),0))</f>
        <v>0</v>
      </c>
      <c r="CD102" s="138" t="n">
        <f aca="false">IF(80&lt;=Hipótesis!$D$116,0,IF(CD101&gt;0,MIN(CD101,Hipótesis!$D$113*(1-Hipótesis!$D$117)/MAX(Hipótesis!$D$115-Hipótesis!$D$116,1)),0))</f>
        <v>0</v>
      </c>
      <c r="CE102" s="138" t="n">
        <f aca="false">IF(81&lt;=Hipótesis!$D$116,0,IF(CE101&gt;0,MIN(CE101,Hipótesis!$D$113*(1-Hipótesis!$D$117)/MAX(Hipótesis!$D$115-Hipótesis!$D$116,1)),0))</f>
        <v>0</v>
      </c>
      <c r="CF102" s="138" t="n">
        <f aca="false">IF(82&lt;=Hipótesis!$D$116,0,IF(CF101&gt;0,MIN(CF101,Hipótesis!$D$113*(1-Hipótesis!$D$117)/MAX(Hipótesis!$D$115-Hipótesis!$D$116,1)),0))</f>
        <v>0</v>
      </c>
      <c r="CG102" s="138" t="n">
        <f aca="false">IF(83&lt;=Hipótesis!$D$116,0,IF(CG101&gt;0,MIN(CG101,Hipótesis!$D$113*(1-Hipótesis!$D$117)/MAX(Hipótesis!$D$115-Hipótesis!$D$116,1)),0))</f>
        <v>0</v>
      </c>
      <c r="CH102" s="138" t="n">
        <f aca="false">IF(84&lt;=Hipótesis!$D$116,0,IF(CH101&gt;0,MIN(CH101,Hipótesis!$D$113*(1-Hipótesis!$D$117)/MAX(Hipótesis!$D$115-Hipótesis!$D$116,1)),0))</f>
        <v>0</v>
      </c>
    </row>
    <row r="103" customFormat="false" ht="13.5" hidden="false" customHeight="true" outlineLevel="0" collapsed="false">
      <c r="A103" s="13" t="s">
        <v>778</v>
      </c>
      <c r="C103" s="138" t="n">
        <f aca="false">C101*Hipótesis!$D$114/12</f>
        <v>0</v>
      </c>
      <c r="D103" s="138" t="n">
        <f aca="false">D101*Hipótesis!$D$114/12</f>
        <v>0</v>
      </c>
      <c r="E103" s="138" t="n">
        <f aca="false">E101*Hipótesis!$D$114/12</f>
        <v>0</v>
      </c>
      <c r="F103" s="138" t="n">
        <f aca="false">F101*Hipótesis!$D$114/12</f>
        <v>0</v>
      </c>
      <c r="G103" s="138" t="n">
        <f aca="false">G101*Hipótesis!$D$114/12</f>
        <v>0</v>
      </c>
      <c r="H103" s="138" t="n">
        <f aca="false">H101*Hipótesis!$D$114/12</f>
        <v>0</v>
      </c>
      <c r="I103" s="138" t="n">
        <f aca="false">I101*Hipótesis!$D$114/12</f>
        <v>0</v>
      </c>
      <c r="J103" s="138" t="n">
        <f aca="false">J101*Hipótesis!$D$114/12</f>
        <v>0</v>
      </c>
      <c r="K103" s="138" t="n">
        <f aca="false">K101*Hipótesis!$D$114/12</f>
        <v>0</v>
      </c>
      <c r="L103" s="138" t="n">
        <f aca="false">L101*Hipótesis!$D$114/12</f>
        <v>0</v>
      </c>
      <c r="M103" s="138" t="n">
        <f aca="false">M101*Hipótesis!$D$114/12</f>
        <v>0</v>
      </c>
      <c r="N103" s="138" t="n">
        <f aca="false">N101*Hipótesis!$D$114/12</f>
        <v>0</v>
      </c>
      <c r="O103" s="138" t="n">
        <f aca="false">O101*Hipótesis!$D$114/12</f>
        <v>0</v>
      </c>
      <c r="P103" s="138" t="n">
        <f aca="false">P101*Hipótesis!$D$114/12</f>
        <v>0</v>
      </c>
      <c r="Q103" s="138" t="n">
        <f aca="false">Q101*Hipótesis!$D$114/12</f>
        <v>0</v>
      </c>
      <c r="R103" s="138" t="n">
        <f aca="false">R101*Hipótesis!$D$114/12</f>
        <v>0</v>
      </c>
      <c r="S103" s="138" t="n">
        <f aca="false">S101*Hipótesis!$D$114/12</f>
        <v>0</v>
      </c>
      <c r="T103" s="138" t="n">
        <f aca="false">T101*Hipótesis!$D$114/12</f>
        <v>0</v>
      </c>
      <c r="U103" s="138" t="n">
        <f aca="false">U101*Hipótesis!$D$114/12</f>
        <v>0</v>
      </c>
      <c r="V103" s="138" t="n">
        <f aca="false">V101*Hipótesis!$D$114/12</f>
        <v>0</v>
      </c>
      <c r="W103" s="138" t="n">
        <f aca="false">W101*Hipótesis!$D$114/12</f>
        <v>0</v>
      </c>
      <c r="X103" s="138" t="n">
        <f aca="false">X101*Hipótesis!$D$114/12</f>
        <v>0</v>
      </c>
      <c r="Y103" s="138" t="n">
        <f aca="false">Y101*Hipótesis!$D$114/12</f>
        <v>0</v>
      </c>
      <c r="Z103" s="138" t="n">
        <f aca="false">Z101*Hipótesis!$D$114/12</f>
        <v>0</v>
      </c>
      <c r="AA103" s="138" t="n">
        <f aca="false">AA101*Hipótesis!$D$114/12</f>
        <v>0</v>
      </c>
      <c r="AB103" s="138" t="n">
        <f aca="false">AB101*Hipótesis!$D$114/12</f>
        <v>0</v>
      </c>
      <c r="AC103" s="138" t="n">
        <f aca="false">AC101*Hipótesis!$D$114/12</f>
        <v>0</v>
      </c>
      <c r="AD103" s="138" t="n">
        <f aca="false">AD101*Hipótesis!$D$114/12</f>
        <v>0</v>
      </c>
      <c r="AE103" s="138" t="n">
        <f aca="false">AE101*Hipótesis!$D$114/12</f>
        <v>0</v>
      </c>
      <c r="AF103" s="138" t="n">
        <f aca="false">AF101*Hipótesis!$D$114/12</f>
        <v>0</v>
      </c>
      <c r="AG103" s="138" t="n">
        <f aca="false">AG101*Hipótesis!$D$114/12</f>
        <v>0</v>
      </c>
      <c r="AH103" s="138" t="n">
        <f aca="false">AH101*Hipótesis!$D$114/12</f>
        <v>0</v>
      </c>
      <c r="AI103" s="138" t="n">
        <f aca="false">AI101*Hipótesis!$D$114/12</f>
        <v>0</v>
      </c>
      <c r="AJ103" s="138" t="n">
        <f aca="false">AJ101*Hipótesis!$D$114/12</f>
        <v>0</v>
      </c>
      <c r="AK103" s="138" t="n">
        <f aca="false">AK101*Hipótesis!$D$114/12</f>
        <v>0</v>
      </c>
      <c r="AL103" s="138" t="n">
        <f aca="false">AL101*Hipótesis!$D$114/12</f>
        <v>0</v>
      </c>
      <c r="AM103" s="138" t="n">
        <f aca="false">AM101*Hipótesis!$D$114/12</f>
        <v>0</v>
      </c>
      <c r="AN103" s="138" t="n">
        <f aca="false">AN101*Hipótesis!$D$114/12</f>
        <v>0</v>
      </c>
      <c r="AO103" s="138" t="n">
        <f aca="false">AO101*Hipótesis!$D$114/12</f>
        <v>0</v>
      </c>
      <c r="AP103" s="138" t="n">
        <f aca="false">AP101*Hipótesis!$D$114/12</f>
        <v>0</v>
      </c>
      <c r="AQ103" s="138" t="n">
        <f aca="false">AQ101*Hipótesis!$D$114/12</f>
        <v>0</v>
      </c>
      <c r="AR103" s="138" t="n">
        <f aca="false">AR101*Hipótesis!$D$114/12</f>
        <v>0</v>
      </c>
      <c r="AS103" s="138" t="n">
        <f aca="false">AS101*Hipótesis!$D$114/12</f>
        <v>0</v>
      </c>
      <c r="AT103" s="138" t="n">
        <f aca="false">AT101*Hipótesis!$D$114/12</f>
        <v>0</v>
      </c>
      <c r="AU103" s="138" t="n">
        <f aca="false">AU101*Hipótesis!$D$114/12</f>
        <v>0</v>
      </c>
      <c r="AV103" s="138" t="n">
        <f aca="false">AV101*Hipótesis!$D$114/12</f>
        <v>0</v>
      </c>
      <c r="AW103" s="138" t="n">
        <f aca="false">AW101*Hipótesis!$D$114/12</f>
        <v>0</v>
      </c>
      <c r="AX103" s="138" t="n">
        <f aca="false">AX101*Hipótesis!$D$114/12</f>
        <v>0</v>
      </c>
      <c r="AY103" s="138" t="n">
        <f aca="false">AY101*Hipótesis!$D$114/12</f>
        <v>0</v>
      </c>
      <c r="AZ103" s="138" t="n">
        <f aca="false">AZ101*Hipótesis!$D$114/12</f>
        <v>0</v>
      </c>
      <c r="BA103" s="138" t="n">
        <f aca="false">BA101*Hipótesis!$D$114/12</f>
        <v>0</v>
      </c>
      <c r="BB103" s="138" t="n">
        <f aca="false">BB101*Hipótesis!$D$114/12</f>
        <v>0</v>
      </c>
      <c r="BC103" s="138" t="n">
        <f aca="false">BC101*Hipótesis!$D$114/12</f>
        <v>0</v>
      </c>
      <c r="BD103" s="138" t="n">
        <f aca="false">BD101*Hipótesis!$D$114/12</f>
        <v>0</v>
      </c>
      <c r="BE103" s="138" t="n">
        <f aca="false">BE101*Hipótesis!$D$114/12</f>
        <v>0</v>
      </c>
      <c r="BF103" s="138" t="n">
        <f aca="false">BF101*Hipótesis!$D$114/12</f>
        <v>0</v>
      </c>
      <c r="BG103" s="138" t="n">
        <f aca="false">BG101*Hipótesis!$D$114/12</f>
        <v>0</v>
      </c>
      <c r="BH103" s="138" t="n">
        <f aca="false">BH101*Hipótesis!$D$114/12</f>
        <v>0</v>
      </c>
      <c r="BI103" s="138" t="n">
        <f aca="false">BI101*Hipótesis!$D$114/12</f>
        <v>0</v>
      </c>
      <c r="BJ103" s="138" t="n">
        <f aca="false">BJ101*Hipótesis!$D$114/12</f>
        <v>0</v>
      </c>
      <c r="BK103" s="138" t="n">
        <f aca="false">BK101*Hipótesis!$D$114/12</f>
        <v>0</v>
      </c>
      <c r="BL103" s="138" t="n">
        <f aca="false">BL101*Hipótesis!$D$114/12</f>
        <v>0</v>
      </c>
      <c r="BM103" s="138" t="n">
        <f aca="false">BM101*Hipótesis!$D$114/12</f>
        <v>0</v>
      </c>
      <c r="BN103" s="138" t="n">
        <f aca="false">BN101*Hipótesis!$D$114/12</f>
        <v>0</v>
      </c>
      <c r="BO103" s="138" t="n">
        <f aca="false">BO101*Hipótesis!$D$114/12</f>
        <v>0</v>
      </c>
      <c r="BP103" s="138" t="n">
        <f aca="false">BP101*Hipótesis!$D$114/12</f>
        <v>0</v>
      </c>
      <c r="BQ103" s="138" t="n">
        <f aca="false">BQ101*Hipótesis!$D$114/12</f>
        <v>0</v>
      </c>
      <c r="BR103" s="138" t="n">
        <f aca="false">BR101*Hipótesis!$D$114/12</f>
        <v>0</v>
      </c>
      <c r="BS103" s="138" t="n">
        <f aca="false">BS101*Hipótesis!$D$114/12</f>
        <v>0</v>
      </c>
      <c r="BT103" s="138" t="n">
        <f aca="false">BT101*Hipótesis!$D$114/12</f>
        <v>0</v>
      </c>
      <c r="BU103" s="138" t="n">
        <f aca="false">BU101*Hipótesis!$D$114/12</f>
        <v>0</v>
      </c>
      <c r="BV103" s="138" t="n">
        <f aca="false">BV101*Hipótesis!$D$114/12</f>
        <v>0</v>
      </c>
      <c r="BW103" s="138" t="n">
        <f aca="false">BW101*Hipótesis!$D$114/12</f>
        <v>0</v>
      </c>
      <c r="BX103" s="138" t="n">
        <f aca="false">BX101*Hipótesis!$D$114/12</f>
        <v>0</v>
      </c>
      <c r="BY103" s="138" t="n">
        <f aca="false">BY101*Hipótesis!$D$114/12</f>
        <v>0</v>
      </c>
      <c r="BZ103" s="138" t="n">
        <f aca="false">BZ101*Hipótesis!$D$114/12</f>
        <v>0</v>
      </c>
      <c r="CA103" s="138" t="n">
        <f aca="false">CA101*Hipótesis!$D$114/12</f>
        <v>0</v>
      </c>
      <c r="CB103" s="138" t="n">
        <f aca="false">CB101*Hipótesis!$D$114/12</f>
        <v>0</v>
      </c>
      <c r="CC103" s="138" t="n">
        <f aca="false">CC101*Hipótesis!$D$114/12</f>
        <v>0</v>
      </c>
      <c r="CD103" s="138" t="n">
        <f aca="false">CD101*Hipótesis!$D$114/12</f>
        <v>0</v>
      </c>
      <c r="CE103" s="138" t="n">
        <f aca="false">CE101*Hipótesis!$D$114/12</f>
        <v>0</v>
      </c>
      <c r="CF103" s="138" t="n">
        <f aca="false">CF101*Hipótesis!$D$114/12</f>
        <v>0</v>
      </c>
      <c r="CG103" s="138" t="n">
        <f aca="false">CG101*Hipótesis!$D$114/12</f>
        <v>0</v>
      </c>
      <c r="CH103" s="138" t="n">
        <f aca="false">CH101*Hipótesis!$D$114/12</f>
        <v>0</v>
      </c>
    </row>
    <row r="104" customFormat="false" ht="13.5" hidden="false" customHeight="true" outlineLevel="0" collapsed="false">
      <c r="A104" s="13" t="s">
        <v>779</v>
      </c>
      <c r="C104" s="138" t="n">
        <f aca="false">C102+C103</f>
        <v>0</v>
      </c>
      <c r="D104" s="138" t="n">
        <f aca="false">D102+D103</f>
        <v>0</v>
      </c>
      <c r="E104" s="138" t="n">
        <f aca="false">E102+E103</f>
        <v>0</v>
      </c>
      <c r="F104" s="138" t="n">
        <f aca="false">F102+F103</f>
        <v>0</v>
      </c>
      <c r="G104" s="138" t="n">
        <f aca="false">G102+G103</f>
        <v>0</v>
      </c>
      <c r="H104" s="138" t="n">
        <f aca="false">H102+H103</f>
        <v>0</v>
      </c>
      <c r="I104" s="138" t="n">
        <f aca="false">I102+I103</f>
        <v>0</v>
      </c>
      <c r="J104" s="138" t="n">
        <f aca="false">J102+J103</f>
        <v>0</v>
      </c>
      <c r="K104" s="138" t="n">
        <f aca="false">K102+K103</f>
        <v>0</v>
      </c>
      <c r="L104" s="138" t="n">
        <f aca="false">L102+L103</f>
        <v>0</v>
      </c>
      <c r="M104" s="138" t="n">
        <f aca="false">M102+M103</f>
        <v>0</v>
      </c>
      <c r="N104" s="138" t="n">
        <f aca="false">N102+N103</f>
        <v>0</v>
      </c>
      <c r="O104" s="138" t="n">
        <f aca="false">O102+O103</f>
        <v>0</v>
      </c>
      <c r="P104" s="138" t="n">
        <f aca="false">P102+P103</f>
        <v>0</v>
      </c>
      <c r="Q104" s="138" t="n">
        <f aca="false">Q102+Q103</f>
        <v>0</v>
      </c>
      <c r="R104" s="138" t="n">
        <f aca="false">R102+R103</f>
        <v>0</v>
      </c>
      <c r="S104" s="138" t="n">
        <f aca="false">S102+S103</f>
        <v>0</v>
      </c>
      <c r="T104" s="138" t="n">
        <f aca="false">T102+T103</f>
        <v>0</v>
      </c>
      <c r="U104" s="138" t="n">
        <f aca="false">U102+U103</f>
        <v>0</v>
      </c>
      <c r="V104" s="138" t="n">
        <f aca="false">V102+V103</f>
        <v>0</v>
      </c>
      <c r="W104" s="138" t="n">
        <f aca="false">W102+W103</f>
        <v>0</v>
      </c>
      <c r="X104" s="138" t="n">
        <f aca="false">X102+X103</f>
        <v>0</v>
      </c>
      <c r="Y104" s="138" t="n">
        <f aca="false">Y102+Y103</f>
        <v>0</v>
      </c>
      <c r="Z104" s="138" t="n">
        <f aca="false">Z102+Z103</f>
        <v>0</v>
      </c>
      <c r="AA104" s="138" t="n">
        <f aca="false">AA102+AA103</f>
        <v>0</v>
      </c>
      <c r="AB104" s="138" t="n">
        <f aca="false">AB102+AB103</f>
        <v>0</v>
      </c>
      <c r="AC104" s="138" t="n">
        <f aca="false">AC102+AC103</f>
        <v>0</v>
      </c>
      <c r="AD104" s="138" t="n">
        <f aca="false">AD102+AD103</f>
        <v>0</v>
      </c>
      <c r="AE104" s="138" t="n">
        <f aca="false">AE102+AE103</f>
        <v>0</v>
      </c>
      <c r="AF104" s="138" t="n">
        <f aca="false">AF102+AF103</f>
        <v>0</v>
      </c>
      <c r="AG104" s="138" t="n">
        <f aca="false">AG102+AG103</f>
        <v>0</v>
      </c>
      <c r="AH104" s="138" t="n">
        <f aca="false">AH102+AH103</f>
        <v>0</v>
      </c>
      <c r="AI104" s="138" t="n">
        <f aca="false">AI102+AI103</f>
        <v>0</v>
      </c>
      <c r="AJ104" s="138" t="n">
        <f aca="false">AJ102+AJ103</f>
        <v>0</v>
      </c>
      <c r="AK104" s="138" t="n">
        <f aca="false">AK102+AK103</f>
        <v>0</v>
      </c>
      <c r="AL104" s="138" t="n">
        <f aca="false">AL102+AL103</f>
        <v>0</v>
      </c>
      <c r="AM104" s="138" t="n">
        <f aca="false">AM102+AM103</f>
        <v>0</v>
      </c>
      <c r="AN104" s="138" t="n">
        <f aca="false">AN102+AN103</f>
        <v>0</v>
      </c>
      <c r="AO104" s="138" t="n">
        <f aca="false">AO102+AO103</f>
        <v>0</v>
      </c>
      <c r="AP104" s="138" t="n">
        <f aca="false">AP102+AP103</f>
        <v>0</v>
      </c>
      <c r="AQ104" s="138" t="n">
        <f aca="false">AQ102+AQ103</f>
        <v>0</v>
      </c>
      <c r="AR104" s="138" t="n">
        <f aca="false">AR102+AR103</f>
        <v>0</v>
      </c>
      <c r="AS104" s="138" t="n">
        <f aca="false">AS102+AS103</f>
        <v>0</v>
      </c>
      <c r="AT104" s="138" t="n">
        <f aca="false">AT102+AT103</f>
        <v>0</v>
      </c>
      <c r="AU104" s="138" t="n">
        <f aca="false">AU102+AU103</f>
        <v>0</v>
      </c>
      <c r="AV104" s="138" t="n">
        <f aca="false">AV102+AV103</f>
        <v>0</v>
      </c>
      <c r="AW104" s="138" t="n">
        <f aca="false">AW102+AW103</f>
        <v>0</v>
      </c>
      <c r="AX104" s="138" t="n">
        <f aca="false">AX102+AX103</f>
        <v>0</v>
      </c>
      <c r="AY104" s="138" t="n">
        <f aca="false">AY102+AY103</f>
        <v>0</v>
      </c>
      <c r="AZ104" s="138" t="n">
        <f aca="false">AZ102+AZ103</f>
        <v>0</v>
      </c>
      <c r="BA104" s="138" t="n">
        <f aca="false">BA102+BA103</f>
        <v>0</v>
      </c>
      <c r="BB104" s="138" t="n">
        <f aca="false">BB102+BB103</f>
        <v>0</v>
      </c>
      <c r="BC104" s="138" t="n">
        <f aca="false">BC102+BC103</f>
        <v>0</v>
      </c>
      <c r="BD104" s="138" t="n">
        <f aca="false">BD102+BD103</f>
        <v>0</v>
      </c>
      <c r="BE104" s="138" t="n">
        <f aca="false">BE102+BE103</f>
        <v>0</v>
      </c>
      <c r="BF104" s="138" t="n">
        <f aca="false">BF102+BF103</f>
        <v>0</v>
      </c>
      <c r="BG104" s="138" t="n">
        <f aca="false">BG102+BG103</f>
        <v>0</v>
      </c>
      <c r="BH104" s="138" t="n">
        <f aca="false">BH102+BH103</f>
        <v>0</v>
      </c>
      <c r="BI104" s="138" t="n">
        <f aca="false">BI102+BI103</f>
        <v>0</v>
      </c>
      <c r="BJ104" s="138" t="n">
        <f aca="false">BJ102+BJ103</f>
        <v>0</v>
      </c>
      <c r="BK104" s="138" t="n">
        <f aca="false">BK102+BK103</f>
        <v>0</v>
      </c>
      <c r="BL104" s="138" t="n">
        <f aca="false">BL102+BL103</f>
        <v>0</v>
      </c>
      <c r="BM104" s="138" t="n">
        <f aca="false">BM102+BM103</f>
        <v>0</v>
      </c>
      <c r="BN104" s="138" t="n">
        <f aca="false">BN102+BN103</f>
        <v>0</v>
      </c>
      <c r="BO104" s="138" t="n">
        <f aca="false">BO102+BO103</f>
        <v>0</v>
      </c>
      <c r="BP104" s="138" t="n">
        <f aca="false">BP102+BP103</f>
        <v>0</v>
      </c>
      <c r="BQ104" s="138" t="n">
        <f aca="false">BQ102+BQ103</f>
        <v>0</v>
      </c>
      <c r="BR104" s="138" t="n">
        <f aca="false">BR102+BR103</f>
        <v>0</v>
      </c>
      <c r="BS104" s="138" t="n">
        <f aca="false">BS102+BS103</f>
        <v>0</v>
      </c>
      <c r="BT104" s="138" t="n">
        <f aca="false">BT102+BT103</f>
        <v>0</v>
      </c>
      <c r="BU104" s="138" t="n">
        <f aca="false">BU102+BU103</f>
        <v>0</v>
      </c>
      <c r="BV104" s="138" t="n">
        <f aca="false">BV102+BV103</f>
        <v>0</v>
      </c>
      <c r="BW104" s="138" t="n">
        <f aca="false">BW102+BW103</f>
        <v>0</v>
      </c>
      <c r="BX104" s="138" t="n">
        <f aca="false">BX102+BX103</f>
        <v>0</v>
      </c>
      <c r="BY104" s="138" t="n">
        <f aca="false">BY102+BY103</f>
        <v>0</v>
      </c>
      <c r="BZ104" s="138" t="n">
        <f aca="false">BZ102+BZ103</f>
        <v>0</v>
      </c>
      <c r="CA104" s="138" t="n">
        <f aca="false">CA102+CA103</f>
        <v>0</v>
      </c>
      <c r="CB104" s="138" t="n">
        <f aca="false">CB102+CB103</f>
        <v>0</v>
      </c>
      <c r="CC104" s="138" t="n">
        <f aca="false">CC102+CC103</f>
        <v>0</v>
      </c>
      <c r="CD104" s="138" t="n">
        <f aca="false">CD102+CD103</f>
        <v>0</v>
      </c>
      <c r="CE104" s="138" t="n">
        <f aca="false">CE102+CE103</f>
        <v>0</v>
      </c>
      <c r="CF104" s="138" t="n">
        <f aca="false">CF102+CF103</f>
        <v>0</v>
      </c>
      <c r="CG104" s="138" t="n">
        <f aca="false">CG102+CG103</f>
        <v>0</v>
      </c>
      <c r="CH104" s="138" t="n">
        <f aca="false">CH102+CH103</f>
        <v>0</v>
      </c>
    </row>
    <row r="105" customFormat="false" ht="13.5" hidden="false" customHeight="true" outlineLevel="0" collapsed="false"/>
    <row r="106" customFormat="false" ht="13.5" hidden="false" customHeight="true" outlineLevel="0" collapsed="false">
      <c r="A106" s="64" t="s">
        <v>780</v>
      </c>
      <c r="C106" s="99" t="n">
        <f aca="false">C93+C99+C104</f>
        <v>333.333333333333</v>
      </c>
      <c r="D106" s="99" t="n">
        <f aca="false">D93+D99+D104</f>
        <v>333.333333333333</v>
      </c>
      <c r="E106" s="99" t="n">
        <f aca="false">E93+E99+E104</f>
        <v>333.333333333333</v>
      </c>
      <c r="F106" s="99" t="n">
        <f aca="false">F93+F99+F104</f>
        <v>333.333333333333</v>
      </c>
      <c r="G106" s="99" t="n">
        <f aca="false">G93+G99+G104</f>
        <v>333.333333333333</v>
      </c>
      <c r="H106" s="99" t="n">
        <f aca="false">H93+H99+H104</f>
        <v>333.333333333333</v>
      </c>
      <c r="I106" s="99" t="n">
        <f aca="false">I93+I99+I104</f>
        <v>333.333333333333</v>
      </c>
      <c r="J106" s="99" t="n">
        <f aca="false">J93+J99+J104</f>
        <v>354.201084663088</v>
      </c>
      <c r="K106" s="99" t="n">
        <f aca="false">K93+K99+K104</f>
        <v>429.929317539693</v>
      </c>
      <c r="L106" s="99" t="n">
        <f aca="false">L93+L99+L104</f>
        <v>505.657550416297</v>
      </c>
      <c r="M106" s="99" t="n">
        <f aca="false">M93+M99+M104</f>
        <v>564.652581933376</v>
      </c>
      <c r="N106" s="99" t="n">
        <f aca="false">N93+N99+N104</f>
        <v>635.596042136151</v>
      </c>
      <c r="O106" s="99" t="n">
        <f aca="false">O93+O99+O104</f>
        <v>601.995502338927</v>
      </c>
      <c r="P106" s="99" t="n">
        <f aca="false">P93+P99+P104</f>
        <v>622.000120544564</v>
      </c>
      <c r="Q106" s="99" t="n">
        <f aca="false">Q93+Q99+Q104</f>
        <v>688.231138750202</v>
      </c>
      <c r="R106" s="99" t="n">
        <f aca="false">R93+R99+R104</f>
        <v>754.462156955839</v>
      </c>
      <c r="S106" s="99" t="n">
        <f aca="false">S93+S99+S104</f>
        <v>535.580454436972</v>
      </c>
      <c r="T106" s="99" t="n">
        <f aca="false">T93+T99+T104</f>
        <v>886.924193367114</v>
      </c>
      <c r="U106" s="99" t="n">
        <f aca="false">U93+U99+U104</f>
        <v>906.928811572752</v>
      </c>
      <c r="V106" s="99" t="n">
        <f aca="false">V93+V99+V104</f>
        <v>918.775829778389</v>
      </c>
      <c r="W106" s="99" t="n">
        <f aca="false">W93+W99+W104</f>
        <v>985.006847984027</v>
      </c>
      <c r="X106" s="99" t="n">
        <f aca="false">X93+X99+X104</f>
        <v>1039.28943750397</v>
      </c>
      <c r="Y106" s="99" t="n">
        <f aca="false">Y93+Y99+Y104</f>
        <v>1093.57202702391</v>
      </c>
      <c r="Z106" s="99" t="n">
        <f aca="false">Z93+Z99+Z104</f>
        <v>1143.54504506957</v>
      </c>
      <c r="AA106" s="99" t="n">
        <f aca="false">AA93+AA99+AA104</f>
        <v>2804.56974160018</v>
      </c>
      <c r="AB106" s="99" t="n">
        <f aca="false">AB93+AB99+AB104</f>
        <v>2787.35514164019</v>
      </c>
      <c r="AC106" s="99" t="n">
        <f aca="false">AC93+AC99+AC104</f>
        <v>2817.75373368021</v>
      </c>
      <c r="AD106" s="99" t="n">
        <f aca="false">AD93+AD99+AD104</f>
        <v>2848.15232572023</v>
      </c>
      <c r="AE106" s="99" t="n">
        <f aca="false">AE93+AE99+AE104</f>
        <v>2482.62707673741</v>
      </c>
      <c r="AF106" s="99" t="n">
        <f aca="false">AF93+AF99+AF104</f>
        <v>2908.94950980026</v>
      </c>
      <c r="AG106" s="99" t="n">
        <f aca="false">AG93+AG99+AG104</f>
        <v>2939.34810184028</v>
      </c>
      <c r="AH106" s="99" t="n">
        <f aca="false">AH93+AH99+AH104</f>
        <v>2969.74669388029</v>
      </c>
      <c r="AI106" s="99" t="n">
        <f aca="false">AI93+AI99+AI104</f>
        <v>3000.14528592031</v>
      </c>
      <c r="AJ106" s="99" t="n">
        <f aca="false">AJ93+AJ99+AJ104</f>
        <v>3030.54387796033</v>
      </c>
      <c r="AK106" s="99" t="n">
        <f aca="false">AK93+AK99+AK104</f>
        <v>3060.94247000034</v>
      </c>
      <c r="AL106" s="99" t="n">
        <f aca="false">AL93+AL99+AL104</f>
        <v>3043.72787004036</v>
      </c>
      <c r="AM106" s="99" t="n">
        <f aca="false">AM93+AM99+AM104</f>
        <v>3025.45194784037</v>
      </c>
      <c r="AN106" s="99" t="n">
        <f aca="false">AN93+AN99+AN104</f>
        <v>3055.85053988039</v>
      </c>
      <c r="AO106" s="99" t="n">
        <f aca="false">AO93+AO99+AO104</f>
        <v>3086.24913192041</v>
      </c>
      <c r="AP106" s="99" t="n">
        <f aca="false">AP93+AP99+AP104</f>
        <v>3116.64772396042</v>
      </c>
      <c r="AQ106" s="99" t="n">
        <f aca="false">AQ93+AQ99+AQ104</f>
        <v>2751.12247497761</v>
      </c>
      <c r="AR106" s="99" t="n">
        <f aca="false">AR93+AR99+AR104</f>
        <v>3177.44490804046</v>
      </c>
      <c r="AS106" s="99" t="n">
        <f aca="false">AS93+AS99+AS104</f>
        <v>3171.8893524849</v>
      </c>
      <c r="AT106" s="99" t="n">
        <f aca="false">AT93+AT99+AT104</f>
        <v>3166.33379692935</v>
      </c>
      <c r="AU106" s="99" t="n">
        <f aca="false">AU93+AU99+AU104</f>
        <v>3160.77824137379</v>
      </c>
      <c r="AV106" s="99" t="n">
        <f aca="false">AV93+AV99+AV104</f>
        <v>3155.22268581824</v>
      </c>
      <c r="AW106" s="99" t="n">
        <f aca="false">AW93+AW99+AW104</f>
        <v>3149.66713026268</v>
      </c>
      <c r="AX106" s="99" t="n">
        <f aca="false">AX93+AX99+AX104</f>
        <v>3144.11157470712</v>
      </c>
      <c r="AY106" s="99" t="n">
        <f aca="false">AY93+AY99+AY104</f>
        <v>3089.60926948437</v>
      </c>
      <c r="AZ106" s="99" t="n">
        <f aca="false">AZ93+AZ99+AZ104</f>
        <v>3084.05371392881</v>
      </c>
      <c r="BA106" s="99" t="n">
        <f aca="false">BA93+BA99+BA104</f>
        <v>3078.49815837326</v>
      </c>
      <c r="BB106" s="99" t="n">
        <f aca="false">BB93+BB99+BB104</f>
        <v>3072.9426028177</v>
      </c>
      <c r="BC106" s="99" t="n">
        <f aca="false">BC93+BC99+BC104</f>
        <v>2671.46320623932</v>
      </c>
      <c r="BD106" s="99" t="n">
        <f aca="false">BD93+BD99+BD104</f>
        <v>3061.83149170659</v>
      </c>
      <c r="BE106" s="99" t="n">
        <f aca="false">BE93+BE99+BE104</f>
        <v>3056.27593615103</v>
      </c>
      <c r="BF106" s="99" t="n">
        <f aca="false">BF93+BF99+BF104</f>
        <v>3050.72038059548</v>
      </c>
      <c r="BG106" s="99" t="n">
        <f aca="false">BG93+BG99+BG104</f>
        <v>3045.16482503992</v>
      </c>
      <c r="BH106" s="99" t="n">
        <f aca="false">BH93+BH99+BH104</f>
        <v>3039.60926948437</v>
      </c>
      <c r="BI106" s="99" t="n">
        <f aca="false">BI93+BI99+BI104</f>
        <v>3034.05371392881</v>
      </c>
      <c r="BJ106" s="99" t="n">
        <f aca="false">BJ93+BJ99+BJ104</f>
        <v>3028.49815837326</v>
      </c>
      <c r="BK106" s="99" t="n">
        <f aca="false">BK93+BK99+BK104</f>
        <v>2973.71545066048</v>
      </c>
      <c r="BL106" s="99" t="n">
        <f aca="false">BL93+BL99+BL104</f>
        <v>2968.15989510493</v>
      </c>
      <c r="BM106" s="99" t="n">
        <f aca="false">BM93+BM99+BM104</f>
        <v>2962.60433954937</v>
      </c>
      <c r="BN106" s="99" t="n">
        <f aca="false">BN93+BN99+BN104</f>
        <v>2957.04878399382</v>
      </c>
      <c r="BO106" s="99" t="n">
        <f aca="false">BO93+BO99+BO104</f>
        <v>2555.56938741543</v>
      </c>
      <c r="BP106" s="99" t="n">
        <f aca="false">BP93+BP99+BP104</f>
        <v>2945.93767288271</v>
      </c>
      <c r="BQ106" s="99" t="n">
        <f aca="false">BQ93+BQ99+BQ104</f>
        <v>2940.38211732715</v>
      </c>
      <c r="BR106" s="99" t="n">
        <f aca="false">BR93+BR99+BR104</f>
        <v>2934.8265617716</v>
      </c>
      <c r="BS106" s="99" t="n">
        <f aca="false">BS93+BS99+BS104</f>
        <v>2929.27100621604</v>
      </c>
      <c r="BT106" s="99" t="n">
        <f aca="false">BT93+BT99+BT104</f>
        <v>2923.71545066049</v>
      </c>
      <c r="BU106" s="99" t="n">
        <f aca="false">BU93+BU99+BU104</f>
        <v>2918.15989510493</v>
      </c>
      <c r="BV106" s="99" t="n">
        <f aca="false">BV93+BV99+BV104</f>
        <v>2912.60433954937</v>
      </c>
      <c r="BW106" s="99" t="n">
        <f aca="false">BW93+BW99+BW104</f>
        <v>2857.53281727189</v>
      </c>
      <c r="BX106" s="99" t="n">
        <f aca="false">BX93+BX99+BX104</f>
        <v>2851.97726171633</v>
      </c>
      <c r="BY106" s="99" t="n">
        <f aca="false">BY93+BY99+BY104</f>
        <v>2846.42170616078</v>
      </c>
      <c r="BZ106" s="99" t="n">
        <f aca="false">BZ93+BZ99+BZ104</f>
        <v>2840.86615060522</v>
      </c>
      <c r="CA106" s="99" t="n">
        <f aca="false">CA93+CA99+CA104</f>
        <v>2439.38675402683</v>
      </c>
      <c r="CB106" s="99" t="n">
        <f aca="false">CB93+CB99+CB104</f>
        <v>2829.75503949411</v>
      </c>
      <c r="CC106" s="99" t="n">
        <f aca="false">CC93+CC99+CC104</f>
        <v>2824.19948393855</v>
      </c>
      <c r="CD106" s="99" t="n">
        <f aca="false">CD93+CD99+CD104</f>
        <v>2818.643928383</v>
      </c>
      <c r="CE106" s="99" t="n">
        <f aca="false">CE93+CE99+CE104</f>
        <v>2813.08837282744</v>
      </c>
      <c r="CF106" s="99" t="n">
        <f aca="false">CF93+CF99+CF104</f>
        <v>2807.53281727189</v>
      </c>
      <c r="CG106" s="99" t="n">
        <f aca="false">CG93+CG99+CG104</f>
        <v>2801.97726171633</v>
      </c>
      <c r="CH106" s="99" t="n">
        <f aca="false">CH93+CH99+CH104</f>
        <v>2796.42170616072</v>
      </c>
    </row>
    <row r="107" customFormat="false" ht="13.5" hidden="false" customHeight="true" outlineLevel="0" collapsed="false">
      <c r="A107" s="13" t="s">
        <v>781</v>
      </c>
      <c r="C107" s="138" t="n">
        <f aca="false">C106</f>
        <v>333.333333333333</v>
      </c>
      <c r="D107" s="138" t="n">
        <f aca="false">C107+D106</f>
        <v>666.666666666667</v>
      </c>
      <c r="E107" s="138" t="n">
        <f aca="false">D107+E106</f>
        <v>1000</v>
      </c>
      <c r="F107" s="138" t="n">
        <f aca="false">E107+F106</f>
        <v>1333.33333333333</v>
      </c>
      <c r="G107" s="138" t="n">
        <f aca="false">F107+G106</f>
        <v>1666.66666666667</v>
      </c>
      <c r="H107" s="138" t="n">
        <f aca="false">G107+H106</f>
        <v>2000</v>
      </c>
      <c r="I107" s="138" t="n">
        <f aca="false">H107+I106</f>
        <v>2333.33333333333</v>
      </c>
      <c r="J107" s="138" t="n">
        <f aca="false">I107+J106</f>
        <v>2687.53441799642</v>
      </c>
      <c r="K107" s="138" t="n">
        <f aca="false">J107+K106</f>
        <v>3117.46373553611</v>
      </c>
      <c r="L107" s="138" t="n">
        <f aca="false">K107+L106</f>
        <v>3623.12128595241</v>
      </c>
      <c r="M107" s="138" t="n">
        <f aca="false">L107+M106</f>
        <v>4187.77386788579</v>
      </c>
      <c r="N107" s="138" t="n">
        <f aca="false">M107+N106</f>
        <v>4823.36991002194</v>
      </c>
      <c r="O107" s="138" t="n">
        <f aca="false">N107+O106</f>
        <v>5425.36541236087</v>
      </c>
      <c r="P107" s="138" t="n">
        <f aca="false">O107+P106</f>
        <v>6047.36553290543</v>
      </c>
      <c r="Q107" s="138" t="n">
        <f aca="false">P107+Q106</f>
        <v>6735.59667165563</v>
      </c>
      <c r="R107" s="138" t="n">
        <f aca="false">Q107+R106</f>
        <v>7490.05882861147</v>
      </c>
      <c r="S107" s="138" t="n">
        <f aca="false">R107+S106</f>
        <v>8025.63928304844</v>
      </c>
      <c r="T107" s="138" t="n">
        <f aca="false">S107+T106</f>
        <v>8912.56347641556</v>
      </c>
      <c r="U107" s="138" t="n">
        <f aca="false">T107+U106</f>
        <v>9819.49228798831</v>
      </c>
      <c r="V107" s="138" t="n">
        <f aca="false">U107+V106</f>
        <v>10738.2681177667</v>
      </c>
      <c r="W107" s="138" t="n">
        <f aca="false">V107+W106</f>
        <v>11723.2749657507</v>
      </c>
      <c r="X107" s="138" t="n">
        <f aca="false">W107+X106</f>
        <v>12762.5644032547</v>
      </c>
      <c r="Y107" s="138" t="n">
        <f aca="false">X107+Y106</f>
        <v>13856.1364302786</v>
      </c>
      <c r="Z107" s="138" t="n">
        <f aca="false">Y107+Z106</f>
        <v>14999.6814753482</v>
      </c>
      <c r="AA107" s="138" t="n">
        <f aca="false">Z107+AA106</f>
        <v>17804.2512169484</v>
      </c>
      <c r="AB107" s="138" t="n">
        <f aca="false">AA107+AB106</f>
        <v>20591.6063585885</v>
      </c>
      <c r="AC107" s="138" t="n">
        <f aca="false">AB107+AC106</f>
        <v>23409.3600922688</v>
      </c>
      <c r="AD107" s="138" t="n">
        <f aca="false">AC107+AD106</f>
        <v>26257.512417989</v>
      </c>
      <c r="AE107" s="138" t="n">
        <f aca="false">AD107+AE106</f>
        <v>28740.1394947264</v>
      </c>
      <c r="AF107" s="138" t="n">
        <f aca="false">AE107+AF106</f>
        <v>31649.0890045267</v>
      </c>
      <c r="AG107" s="138" t="n">
        <f aca="false">AF107+AG106</f>
        <v>34588.4371063669</v>
      </c>
      <c r="AH107" s="138" t="n">
        <f aca="false">AG107+AH106</f>
        <v>37558.1838002472</v>
      </c>
      <c r="AI107" s="138" t="n">
        <f aca="false">AH107+AI106</f>
        <v>40558.3290861675</v>
      </c>
      <c r="AJ107" s="138" t="n">
        <f aca="false">AI107+AJ106</f>
        <v>43588.8729641279</v>
      </c>
      <c r="AK107" s="138" t="n">
        <f aca="false">AJ107+AK106</f>
        <v>46649.8154341282</v>
      </c>
      <c r="AL107" s="138" t="n">
        <f aca="false">AK107+AL106</f>
        <v>49693.5433041686</v>
      </c>
      <c r="AM107" s="138" t="n">
        <f aca="false">AL107+AM106</f>
        <v>52718.9952520089</v>
      </c>
      <c r="AN107" s="138" t="n">
        <f aca="false">AM107+AN106</f>
        <v>55774.8457918893</v>
      </c>
      <c r="AO107" s="138" t="n">
        <f aca="false">AN107+AO106</f>
        <v>58861.0949238097</v>
      </c>
      <c r="AP107" s="138" t="n">
        <f aca="false">AO107+AP106</f>
        <v>61977.7426477702</v>
      </c>
      <c r="AQ107" s="138" t="n">
        <f aca="false">AP107+AQ106</f>
        <v>64728.8651227478</v>
      </c>
      <c r="AR107" s="138" t="n">
        <f aca="false">AQ107+AR106</f>
        <v>67906.3100307882</v>
      </c>
      <c r="AS107" s="138" t="n">
        <f aca="false">AR107+AS106</f>
        <v>71078.1993832731</v>
      </c>
      <c r="AT107" s="138" t="n">
        <f aca="false">AS107+AT106</f>
        <v>74244.5331802025</v>
      </c>
      <c r="AU107" s="138" t="n">
        <f aca="false">AT107+AU106</f>
        <v>77405.3114215763</v>
      </c>
      <c r="AV107" s="138" t="n">
        <f aca="false">AU107+AV106</f>
        <v>80560.5341073945</v>
      </c>
      <c r="AW107" s="138" t="n">
        <f aca="false">AV107+AW106</f>
        <v>83710.2012376572</v>
      </c>
      <c r="AX107" s="138" t="n">
        <f aca="false">AW107+AX106</f>
        <v>86854.3128123643</v>
      </c>
      <c r="AY107" s="138" t="n">
        <f aca="false">AX107+AY106</f>
        <v>89943.9220818487</v>
      </c>
      <c r="AZ107" s="138" t="n">
        <f aca="false">AY107+AZ106</f>
        <v>93027.9757957775</v>
      </c>
      <c r="BA107" s="138" t="n">
        <f aca="false">AZ107+BA106</f>
        <v>96106.4739541507</v>
      </c>
      <c r="BB107" s="138" t="n">
        <f aca="false">BA107+BB106</f>
        <v>99179.4165569684</v>
      </c>
      <c r="BC107" s="138" t="n">
        <f aca="false">BB107+BC106</f>
        <v>101850.879763208</v>
      </c>
      <c r="BD107" s="138" t="n">
        <f aca="false">BC107+BD106</f>
        <v>104912.711254914</v>
      </c>
      <c r="BE107" s="138" t="n">
        <f aca="false">BD107+BE106</f>
        <v>107968.987191065</v>
      </c>
      <c r="BF107" s="138" t="n">
        <f aca="false">BE107+BF106</f>
        <v>111019.707571661</v>
      </c>
      <c r="BG107" s="138" t="n">
        <f aca="false">BF107+BG106</f>
        <v>114064.872396701</v>
      </c>
      <c r="BH107" s="138" t="n">
        <f aca="false">BG107+BH106</f>
        <v>117104.481666185</v>
      </c>
      <c r="BI107" s="138" t="n">
        <f aca="false">BH107+BI106</f>
        <v>120138.535380114</v>
      </c>
      <c r="BJ107" s="138" t="n">
        <f aca="false">BI107+BJ106</f>
        <v>123167.033538487</v>
      </c>
      <c r="BK107" s="138" t="n">
        <f aca="false">BJ107+BK106</f>
        <v>126140.748989148</v>
      </c>
      <c r="BL107" s="138" t="n">
        <f aca="false">BK107+BL106</f>
        <v>129108.908884253</v>
      </c>
      <c r="BM107" s="138" t="n">
        <f aca="false">BL107+BM106</f>
        <v>132071.513223802</v>
      </c>
      <c r="BN107" s="138" t="n">
        <f aca="false">BM107+BN106</f>
        <v>135028.562007796</v>
      </c>
      <c r="BO107" s="138" t="n">
        <f aca="false">BN107+BO106</f>
        <v>137584.131395211</v>
      </c>
      <c r="BP107" s="138" t="n">
        <f aca="false">BO107+BP106</f>
        <v>140530.069068094</v>
      </c>
      <c r="BQ107" s="138" t="n">
        <f aca="false">BP107+BQ106</f>
        <v>143470.451185421</v>
      </c>
      <c r="BR107" s="138" t="n">
        <f aca="false">BQ107+BR106</f>
        <v>146405.277747193</v>
      </c>
      <c r="BS107" s="138" t="n">
        <f aca="false">BR107+BS106</f>
        <v>149334.548753409</v>
      </c>
      <c r="BT107" s="138" t="n">
        <f aca="false">BS107+BT106</f>
        <v>152258.264204069</v>
      </c>
      <c r="BU107" s="138" t="n">
        <f aca="false">BT107+BU106</f>
        <v>155176.424099174</v>
      </c>
      <c r="BV107" s="138" t="n">
        <f aca="false">BU107+BV106</f>
        <v>158089.028438724</v>
      </c>
      <c r="BW107" s="138" t="n">
        <f aca="false">BV107+BW106</f>
        <v>160946.561255995</v>
      </c>
      <c r="BX107" s="138" t="n">
        <f aca="false">BW107+BX106</f>
        <v>163798.538517712</v>
      </c>
      <c r="BY107" s="138" t="n">
        <f aca="false">BX107+BY106</f>
        <v>166644.960223872</v>
      </c>
      <c r="BZ107" s="138" t="n">
        <f aca="false">BY107+BZ106</f>
        <v>169485.826374478</v>
      </c>
      <c r="CA107" s="138" t="n">
        <f aca="false">BZ107+CA106</f>
        <v>171925.213128505</v>
      </c>
      <c r="CB107" s="138" t="n">
        <f aca="false">CA107+CB106</f>
        <v>174754.968167999</v>
      </c>
      <c r="CC107" s="138" t="n">
        <f aca="false">CB107+CC106</f>
        <v>177579.167651937</v>
      </c>
      <c r="CD107" s="138" t="n">
        <f aca="false">CC107+CD106</f>
        <v>180397.81158032</v>
      </c>
      <c r="CE107" s="138" t="n">
        <f aca="false">CD107+CE106</f>
        <v>183210.899953148</v>
      </c>
      <c r="CF107" s="138" t="n">
        <f aca="false">CE107+CF106</f>
        <v>186018.43277042</v>
      </c>
      <c r="CG107" s="138" t="n">
        <f aca="false">CF107+CG106</f>
        <v>188820.410032136</v>
      </c>
      <c r="CH107" s="138" t="n">
        <f aca="false">CG107+CH106</f>
        <v>191616.831738297</v>
      </c>
    </row>
    <row r="108" customFormat="false" ht="13.5" hidden="false" customHeight="true" outlineLevel="0" collapsed="false"/>
    <row r="109" customFormat="false" ht="12.75" hidden="false" customHeight="true" outlineLevel="0" collapsed="false">
      <c r="A109" s="10" t="s">
        <v>782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</row>
    <row r="110" customFormat="false" ht="13.5" hidden="false" customHeight="true" outlineLevel="0" collapsed="false">
      <c r="A110" s="13" t="s">
        <v>783</v>
      </c>
      <c r="C110" s="138" t="n">
        <f aca="false">C63</f>
        <v>-17543.3458306285</v>
      </c>
      <c r="D110" s="138" t="n">
        <f aca="false">C113+D63</f>
        <v>-33221.7386549099</v>
      </c>
      <c r="E110" s="138" t="n">
        <f aca="false">D113+E63</f>
        <v>-46202.5741001805</v>
      </c>
      <c r="F110" s="138" t="n">
        <f aca="false">E113+F63</f>
        <v>-57249.6567540892</v>
      </c>
      <c r="G110" s="138" t="n">
        <f aca="false">F113+G63</f>
        <v>-70883.0474369087</v>
      </c>
      <c r="H110" s="138" t="n">
        <f aca="false">G113+H63</f>
        <v>-77720.3432878866</v>
      </c>
      <c r="I110" s="138" t="n">
        <f aca="false">H113+I63</f>
        <v>-82147.0792420013</v>
      </c>
      <c r="J110" s="138" t="n">
        <f aca="false">I113+J63</f>
        <v>-82763.0923788831</v>
      </c>
      <c r="K110" s="138" t="n">
        <f aca="false">J113+K63</f>
        <v>-80170.9194018238</v>
      </c>
      <c r="L110" s="138" t="n">
        <f aca="false">K113+L63</f>
        <v>-74446.815180542</v>
      </c>
      <c r="M110" s="138" t="n">
        <f aca="false">L113+M63</f>
        <v>-66268.4201860965</v>
      </c>
      <c r="N110" s="138" t="n">
        <f aca="false">M113+N63</f>
        <v>-55126.7550946221</v>
      </c>
      <c r="O110" s="138" t="n">
        <f aca="false">N113+O63</f>
        <v>-45365.2848285513</v>
      </c>
      <c r="P110" s="138" t="n">
        <f aca="false">O113+P63</f>
        <v>-34775.4359287126</v>
      </c>
      <c r="Q110" s="138" t="n">
        <f aca="false">P113+Q63</f>
        <v>-21437.1649035617</v>
      </c>
      <c r="R110" s="138" t="n">
        <f aca="false">Q113+R63</f>
        <v>-5350.47175309849</v>
      </c>
      <c r="S110" s="138" t="n">
        <f aca="false">R113+S63</f>
        <v>1609.69870450133</v>
      </c>
      <c r="T110" s="138" t="n">
        <f aca="false">S113+T63</f>
        <v>23193.236105589</v>
      </c>
      <c r="U110" s="138" t="n">
        <f aca="false">T113+U63</f>
        <v>45599.8660719889</v>
      </c>
      <c r="V110" s="138" t="n">
        <f aca="false">U113+V63</f>
        <v>68489.8245637011</v>
      </c>
      <c r="W110" s="138" t="n">
        <f aca="false">V113+W63</f>
        <v>94128.2051807256</v>
      </c>
      <c r="X110" s="138" t="n">
        <f aca="false">W113+X63</f>
        <v>122020.163657366</v>
      </c>
      <c r="Y110" s="138" t="n">
        <f aca="false">X113+Y63</f>
        <v>152165.699993621</v>
      </c>
      <c r="Z110" s="138" t="n">
        <f aca="false">Y113+Z63</f>
        <v>184386.368778838</v>
      </c>
      <c r="AA110" s="138" t="n">
        <f aca="false">Z113+AA63</f>
        <v>216364.819899569</v>
      </c>
      <c r="AB110" s="138" t="n">
        <f aca="false">AA113+AB63</f>
        <v>247855.164434757</v>
      </c>
      <c r="AC110" s="138" t="n">
        <f aca="false">AB113+AC63</f>
        <v>280840.491831202</v>
      </c>
      <c r="AD110" s="138" t="n">
        <f aca="false">AC113+AD63</f>
        <v>315320.802088906</v>
      </c>
      <c r="AE110" s="138" t="n">
        <f aca="false">AD113+AE63</f>
        <v>334805.867229266</v>
      </c>
      <c r="AF110" s="138" t="n">
        <f aca="false">AE113+AF63</f>
        <v>372276.143209485</v>
      </c>
      <c r="AG110" s="138" t="n">
        <f aca="false">AF113+AG63</f>
        <v>411241.402050962</v>
      </c>
      <c r="AH110" s="138" t="n">
        <f aca="false">AG113+AH63</f>
        <v>451701.643753697</v>
      </c>
      <c r="AI110" s="138" t="n">
        <f aca="false">AH113+AI63</f>
        <v>493656.868317689</v>
      </c>
      <c r="AJ110" s="138" t="n">
        <f aca="false">AI113+AJ63</f>
        <v>537107.075742939</v>
      </c>
      <c r="AK110" s="138" t="n">
        <f aca="false">AJ113+AK63</f>
        <v>582052.266029446</v>
      </c>
      <c r="AL110" s="138" t="n">
        <f aca="false">AK113+AL63</f>
        <v>626509.349730412</v>
      </c>
      <c r="AM110" s="138" t="n">
        <f aca="false">AL113+AM63</f>
        <v>665266.502416406</v>
      </c>
      <c r="AN110" s="138" t="n">
        <f aca="false">AM113+AN63</f>
        <v>705342.75762704</v>
      </c>
      <c r="AO110" s="138" t="n">
        <f aca="false">AN113+AO63</f>
        <v>746738.115362313</v>
      </c>
      <c r="AP110" s="138" t="n">
        <f aca="false">AO113+AP63</f>
        <v>789452.575622225</v>
      </c>
      <c r="AQ110" s="138" t="n">
        <f aca="false">AP113+AQ63</f>
        <v>818935.937249187</v>
      </c>
      <c r="AR110" s="138" t="n">
        <f aca="false">AQ113+AR63</f>
        <v>864288.602558378</v>
      </c>
      <c r="AS110" s="138" t="n">
        <f aca="false">AR113+AS63</f>
        <v>909645.434534235</v>
      </c>
      <c r="AT110" s="138" t="n">
        <f aca="false">AS113+AT63</f>
        <v>955006.433176759</v>
      </c>
      <c r="AU110" s="138" t="n">
        <f aca="false">AT113+AU63</f>
        <v>1000371.59848595</v>
      </c>
      <c r="AV110" s="138" t="n">
        <f aca="false">AU113+AV63</f>
        <v>1045740.93046181</v>
      </c>
      <c r="AW110" s="138" t="n">
        <f aca="false">AV113+AW63</f>
        <v>1091114.42910433</v>
      </c>
      <c r="AX110" s="138" t="n">
        <f aca="false">AW113+AX63</f>
        <v>1136492.09441352</v>
      </c>
      <c r="AY110" s="138" t="n">
        <f aca="false">AX113+AY63</f>
        <v>1180075.13333911</v>
      </c>
      <c r="AZ110" s="138" t="n">
        <f aca="false">AY113+AZ63</f>
        <v>1223662.33893136</v>
      </c>
      <c r="BA110" s="138" t="n">
        <f aca="false">AZ113+BA63</f>
        <v>1267253.71119028</v>
      </c>
      <c r="BB110" s="138" t="n">
        <f aca="false">BA113+BB63</f>
        <v>1310849.25011587</v>
      </c>
      <c r="BC110" s="138" t="n">
        <f aca="false">BB113+BC63</f>
        <v>1339898.75455054</v>
      </c>
      <c r="BD110" s="138" t="n">
        <f aca="false">BC113+BD63</f>
        <v>1383502.62680946</v>
      </c>
      <c r="BE110" s="138" t="n">
        <f aca="false">BD113+BE63</f>
        <v>1427110.66573504</v>
      </c>
      <c r="BF110" s="138" t="n">
        <f aca="false">BE113+BF63</f>
        <v>1470722.8713273</v>
      </c>
      <c r="BG110" s="138" t="n">
        <f aca="false">BF113+BG63</f>
        <v>1514339.24358622</v>
      </c>
      <c r="BH110" s="138" t="n">
        <f aca="false">BG113+BH63</f>
        <v>1557959.78251181</v>
      </c>
      <c r="BI110" s="138" t="n">
        <f aca="false">BH113+BI63</f>
        <v>1601584.48810406</v>
      </c>
      <c r="BJ110" s="138" t="n">
        <f aca="false">BI113+BJ63</f>
        <v>1645213.36036298</v>
      </c>
      <c r="BK110" s="138" t="n">
        <f aca="false">BJ113+BK63</f>
        <v>1687037.30144679</v>
      </c>
      <c r="BL110" s="138" t="n">
        <f aca="false">BK113+BL63</f>
        <v>1728865.40919727</v>
      </c>
      <c r="BM110" s="138" t="n">
        <f aca="false">BL113+BM63</f>
        <v>1770697.68361441</v>
      </c>
      <c r="BN110" s="138" t="n">
        <f aca="false">BM113+BN63</f>
        <v>1812534.12469822</v>
      </c>
      <c r="BO110" s="138" t="n">
        <f aca="false">BN113+BO63</f>
        <v>1839824.53129111</v>
      </c>
      <c r="BP110" s="138" t="n">
        <f aca="false">BO113+BP63</f>
        <v>1881669.30570825</v>
      </c>
      <c r="BQ110" s="138" t="n">
        <f aca="false">BP113+BQ63</f>
        <v>1923518.24679206</v>
      </c>
      <c r="BR110" s="138" t="n">
        <f aca="false">BQ113+BR63</f>
        <v>1965371.35454254</v>
      </c>
      <c r="BS110" s="138" t="n">
        <f aca="false">BR113+BS63</f>
        <v>2007228.62895968</v>
      </c>
      <c r="BT110" s="138" t="n">
        <f aca="false">BS113+BT63</f>
        <v>2049090.07004349</v>
      </c>
      <c r="BU110" s="138" t="n">
        <f aca="false">BT113+BU63</f>
        <v>2090955.67779397</v>
      </c>
      <c r="BV110" s="138" t="n">
        <f aca="false">BU113+BV63</f>
        <v>2132825.45221111</v>
      </c>
      <c r="BW110" s="138" t="n">
        <f aca="false">BV113+BW63</f>
        <v>2172879.68151789</v>
      </c>
      <c r="BX110" s="138" t="n">
        <f aca="false">BW113+BX63</f>
        <v>2212938.07749134</v>
      </c>
      <c r="BY110" s="138" t="n">
        <f aca="false">BX113+BY63</f>
        <v>2253000.64013145</v>
      </c>
      <c r="BZ110" s="138" t="n">
        <f aca="false">BY113+BZ63</f>
        <v>2293067.36943823</v>
      </c>
      <c r="CA110" s="138" t="n">
        <f aca="false">BZ113+CA63</f>
        <v>2318588.06425408</v>
      </c>
      <c r="CB110" s="138" t="n">
        <f aca="false">CA113+CB63</f>
        <v>2358663.1268942</v>
      </c>
      <c r="CC110" s="138" t="n">
        <f aca="false">CB113+CC63</f>
        <v>2398742.35620097</v>
      </c>
      <c r="CD110" s="138" t="n">
        <f aca="false">CC113+CD63</f>
        <v>2438825.75217442</v>
      </c>
      <c r="CE110" s="138" t="n">
        <f aca="false">CD113+CE63</f>
        <v>2478913.31481453</v>
      </c>
      <c r="CF110" s="138" t="n">
        <f aca="false">CE113+CF63</f>
        <v>2519005.04412131</v>
      </c>
      <c r="CG110" s="138" t="n">
        <f aca="false">CF113+CG63</f>
        <v>2559100.94009476</v>
      </c>
      <c r="CH110" s="138" t="n">
        <f aca="false">CG113+CH63</f>
        <v>2599201.00273487</v>
      </c>
    </row>
    <row r="111" customFormat="false" ht="13.5" hidden="false" customHeight="true" outlineLevel="0" collapsed="false">
      <c r="A111" s="13" t="s">
        <v>784</v>
      </c>
      <c r="C111" s="138" t="n">
        <f aca="false">MIN(0.2*Hipótesis!$D$81,MAX(0,C110)*0.1)</f>
        <v>0</v>
      </c>
      <c r="D111" s="138" t="n">
        <f aca="false">MIN(0.2*Hipótesis!$D$81,MAX(0,D110)*0.1)</f>
        <v>0</v>
      </c>
      <c r="E111" s="138" t="n">
        <f aca="false">MIN(0.2*Hipótesis!$D$81,MAX(0,E110)*0.1)</f>
        <v>0</v>
      </c>
      <c r="F111" s="138" t="n">
        <f aca="false">MIN(0.2*Hipótesis!$D$81,MAX(0,F110)*0.1)</f>
        <v>0</v>
      </c>
      <c r="G111" s="138" t="n">
        <f aca="false">MIN(0.2*Hipótesis!$D$81,MAX(0,G110)*0.1)</f>
        <v>0</v>
      </c>
      <c r="H111" s="138" t="n">
        <f aca="false">MIN(0.2*Hipótesis!$D$81,MAX(0,H110)*0.1)</f>
        <v>0</v>
      </c>
      <c r="I111" s="138" t="n">
        <f aca="false">MIN(0.2*Hipótesis!$D$81,MAX(0,I110)*0.1)</f>
        <v>0</v>
      </c>
      <c r="J111" s="138" t="n">
        <f aca="false">MIN(0.2*Hipótesis!$D$81,MAX(0,J110)*0.1)</f>
        <v>0</v>
      </c>
      <c r="K111" s="138" t="n">
        <f aca="false">MIN(0.2*Hipótesis!$D$81,MAX(0,K110)*0.1)</f>
        <v>0</v>
      </c>
      <c r="L111" s="138" t="n">
        <f aca="false">MIN(0.2*Hipótesis!$D$81,MAX(0,L110)*0.1)</f>
        <v>0</v>
      </c>
      <c r="M111" s="138" t="n">
        <f aca="false">MIN(0.2*Hipótesis!$D$81,MAX(0,M110)*0.1)</f>
        <v>0</v>
      </c>
      <c r="N111" s="138" t="n">
        <f aca="false">MIN(0.2*Hipótesis!$D$81,MAX(0,N110)*0.1)</f>
        <v>0</v>
      </c>
      <c r="O111" s="138" t="n">
        <f aca="false">MIN(0.2*Hipótesis!$D$81,MAX(0,O110)*0.1)</f>
        <v>0</v>
      </c>
      <c r="P111" s="138" t="n">
        <f aca="false">MIN(0.2*Hipótesis!$D$81,MAX(0,P110)*0.1)</f>
        <v>0</v>
      </c>
      <c r="Q111" s="138" t="n">
        <f aca="false">MIN(0.2*Hipótesis!$D$81,MAX(0,Q110)*0.1)</f>
        <v>0</v>
      </c>
      <c r="R111" s="138" t="n">
        <f aca="false">MIN(0.2*Hipótesis!$D$81,MAX(0,R110)*0.1)</f>
        <v>0</v>
      </c>
      <c r="S111" s="138" t="n">
        <f aca="false">MIN(0.2*Hipótesis!$D$81,MAX(0,S110)*0.1)</f>
        <v>160.969870450133</v>
      </c>
      <c r="T111" s="138" t="n">
        <f aca="false">MIN(0.2*Hipótesis!$D$81,MAX(0,T110)*0.1)</f>
        <v>2319.3236105589</v>
      </c>
      <c r="U111" s="138" t="n">
        <f aca="false">MIN(0.2*Hipótesis!$D$81,MAX(0,U110)*0.1)</f>
        <v>4559.98660719889</v>
      </c>
      <c r="V111" s="138" t="n">
        <f aca="false">MIN(0.2*Hipótesis!$D$81,MAX(0,V110)*0.1)</f>
        <v>6848.98245637012</v>
      </c>
      <c r="W111" s="138" t="n">
        <f aca="false">MIN(0.2*Hipótesis!$D$81,MAX(0,W110)*0.1)</f>
        <v>9412.82051807256</v>
      </c>
      <c r="X111" s="138" t="n">
        <f aca="false">MIN(0.2*Hipótesis!$D$81,MAX(0,X110)*0.1)</f>
        <v>12202.0163657366</v>
      </c>
      <c r="Y111" s="138" t="n">
        <f aca="false">MIN(0.2*Hipótesis!$D$81,MAX(0,Y110)*0.1)</f>
        <v>15216.5699993621</v>
      </c>
      <c r="Z111" s="138" t="n">
        <f aca="false">MIN(0.2*Hipótesis!$D$81,MAX(0,Z110)*0.1)</f>
        <v>18438.6368778838</v>
      </c>
      <c r="AA111" s="138" t="n">
        <f aca="false">MIN(0.2*Hipótesis!$D$81,MAX(0,AA110)*0.1)</f>
        <v>20006</v>
      </c>
      <c r="AB111" s="138" t="n">
        <f aca="false">MIN(0.2*Hipótesis!$D$81,MAX(0,AB110)*0.1)</f>
        <v>20006</v>
      </c>
      <c r="AC111" s="138" t="n">
        <f aca="false">MIN(0.2*Hipótesis!$D$81,MAX(0,AC110)*0.1)</f>
        <v>20006</v>
      </c>
      <c r="AD111" s="138" t="n">
        <f aca="false">MIN(0.2*Hipótesis!$D$81,MAX(0,AD110)*0.1)</f>
        <v>20006</v>
      </c>
      <c r="AE111" s="138" t="n">
        <f aca="false">MIN(0.2*Hipótesis!$D$81,MAX(0,AE110)*0.1)</f>
        <v>20006</v>
      </c>
      <c r="AF111" s="138" t="n">
        <f aca="false">MIN(0.2*Hipótesis!$D$81,MAX(0,AF110)*0.1)</f>
        <v>20006</v>
      </c>
      <c r="AG111" s="138" t="n">
        <f aca="false">MIN(0.2*Hipótesis!$D$81,MAX(0,AG110)*0.1)</f>
        <v>20006</v>
      </c>
      <c r="AH111" s="138" t="n">
        <f aca="false">MIN(0.2*Hipótesis!$D$81,MAX(0,AH110)*0.1)</f>
        <v>20006</v>
      </c>
      <c r="AI111" s="138" t="n">
        <f aca="false">MIN(0.2*Hipótesis!$D$81,MAX(0,AI110)*0.1)</f>
        <v>20006</v>
      </c>
      <c r="AJ111" s="138" t="n">
        <f aca="false">MIN(0.2*Hipótesis!$D$81,MAX(0,AJ110)*0.1)</f>
        <v>20006</v>
      </c>
      <c r="AK111" s="138" t="n">
        <f aca="false">MIN(0.2*Hipótesis!$D$81,MAX(0,AK110)*0.1)</f>
        <v>20006</v>
      </c>
      <c r="AL111" s="138" t="n">
        <f aca="false">MIN(0.2*Hipótesis!$D$81,MAX(0,AL110)*0.1)</f>
        <v>20006</v>
      </c>
      <c r="AM111" s="138" t="n">
        <f aca="false">MIN(0.2*Hipótesis!$D$81,MAX(0,AM110)*0.1)</f>
        <v>20006</v>
      </c>
      <c r="AN111" s="138" t="n">
        <f aca="false">MIN(0.2*Hipótesis!$D$81,MAX(0,AN110)*0.1)</f>
        <v>20006</v>
      </c>
      <c r="AO111" s="138" t="n">
        <f aca="false">MIN(0.2*Hipótesis!$D$81,MAX(0,AO110)*0.1)</f>
        <v>20006</v>
      </c>
      <c r="AP111" s="138" t="n">
        <f aca="false">MIN(0.2*Hipótesis!$D$81,MAX(0,AP110)*0.1)</f>
        <v>20006</v>
      </c>
      <c r="AQ111" s="138" t="n">
        <f aca="false">MIN(0.2*Hipótesis!$D$81,MAX(0,AQ110)*0.1)</f>
        <v>20006</v>
      </c>
      <c r="AR111" s="138" t="n">
        <f aca="false">MIN(0.2*Hipótesis!$D$81,MAX(0,AR110)*0.1)</f>
        <v>20006</v>
      </c>
      <c r="AS111" s="138" t="n">
        <f aca="false">MIN(0.2*Hipótesis!$D$81,MAX(0,AS110)*0.1)</f>
        <v>20006</v>
      </c>
      <c r="AT111" s="138" t="n">
        <f aca="false">MIN(0.2*Hipótesis!$D$81,MAX(0,AT110)*0.1)</f>
        <v>20006</v>
      </c>
      <c r="AU111" s="138" t="n">
        <f aca="false">MIN(0.2*Hipótesis!$D$81,MAX(0,AU110)*0.1)</f>
        <v>20006</v>
      </c>
      <c r="AV111" s="138" t="n">
        <f aca="false">MIN(0.2*Hipótesis!$D$81,MAX(0,AV110)*0.1)</f>
        <v>20006</v>
      </c>
      <c r="AW111" s="138" t="n">
        <f aca="false">MIN(0.2*Hipótesis!$D$81,MAX(0,AW110)*0.1)</f>
        <v>20006</v>
      </c>
      <c r="AX111" s="138" t="n">
        <f aca="false">MIN(0.2*Hipótesis!$D$81,MAX(0,AX110)*0.1)</f>
        <v>20006</v>
      </c>
      <c r="AY111" s="138" t="n">
        <f aca="false">MIN(0.2*Hipótesis!$D$81,MAX(0,AY110)*0.1)</f>
        <v>20006</v>
      </c>
      <c r="AZ111" s="138" t="n">
        <f aca="false">MIN(0.2*Hipótesis!$D$81,MAX(0,AZ110)*0.1)</f>
        <v>20006</v>
      </c>
      <c r="BA111" s="138" t="n">
        <f aca="false">MIN(0.2*Hipótesis!$D$81,MAX(0,BA110)*0.1)</f>
        <v>20006</v>
      </c>
      <c r="BB111" s="138" t="n">
        <f aca="false">MIN(0.2*Hipótesis!$D$81,MAX(0,BB110)*0.1)</f>
        <v>20006</v>
      </c>
      <c r="BC111" s="138" t="n">
        <f aca="false">MIN(0.2*Hipótesis!$D$81,MAX(0,BC110)*0.1)</f>
        <v>20006</v>
      </c>
      <c r="BD111" s="138" t="n">
        <f aca="false">MIN(0.2*Hipótesis!$D$81,MAX(0,BD110)*0.1)</f>
        <v>20006</v>
      </c>
      <c r="BE111" s="138" t="n">
        <f aca="false">MIN(0.2*Hipótesis!$D$81,MAX(0,BE110)*0.1)</f>
        <v>20006</v>
      </c>
      <c r="BF111" s="138" t="n">
        <f aca="false">MIN(0.2*Hipótesis!$D$81,MAX(0,BF110)*0.1)</f>
        <v>20006</v>
      </c>
      <c r="BG111" s="138" t="n">
        <f aca="false">MIN(0.2*Hipótesis!$D$81,MAX(0,BG110)*0.1)</f>
        <v>20006</v>
      </c>
      <c r="BH111" s="138" t="n">
        <f aca="false">MIN(0.2*Hipótesis!$D$81,MAX(0,BH110)*0.1)</f>
        <v>20006</v>
      </c>
      <c r="BI111" s="138" t="n">
        <f aca="false">MIN(0.2*Hipótesis!$D$81,MAX(0,BI110)*0.1)</f>
        <v>20006</v>
      </c>
      <c r="BJ111" s="138" t="n">
        <f aca="false">MIN(0.2*Hipótesis!$D$81,MAX(0,BJ110)*0.1)</f>
        <v>20006</v>
      </c>
      <c r="BK111" s="138" t="n">
        <f aca="false">MIN(0.2*Hipótesis!$D$81,MAX(0,BK110)*0.1)</f>
        <v>20006</v>
      </c>
      <c r="BL111" s="138" t="n">
        <f aca="false">MIN(0.2*Hipótesis!$D$81,MAX(0,BL110)*0.1)</f>
        <v>20006</v>
      </c>
      <c r="BM111" s="138" t="n">
        <f aca="false">MIN(0.2*Hipótesis!$D$81,MAX(0,BM110)*0.1)</f>
        <v>20006</v>
      </c>
      <c r="BN111" s="138" t="n">
        <f aca="false">MIN(0.2*Hipótesis!$D$81,MAX(0,BN110)*0.1)</f>
        <v>20006</v>
      </c>
      <c r="BO111" s="138" t="n">
        <f aca="false">MIN(0.2*Hipótesis!$D$81,MAX(0,BO110)*0.1)</f>
        <v>20006</v>
      </c>
      <c r="BP111" s="138" t="n">
        <f aca="false">MIN(0.2*Hipótesis!$D$81,MAX(0,BP110)*0.1)</f>
        <v>20006</v>
      </c>
      <c r="BQ111" s="138" t="n">
        <f aca="false">MIN(0.2*Hipótesis!$D$81,MAX(0,BQ110)*0.1)</f>
        <v>20006</v>
      </c>
      <c r="BR111" s="138" t="n">
        <f aca="false">MIN(0.2*Hipótesis!$D$81,MAX(0,BR110)*0.1)</f>
        <v>20006</v>
      </c>
      <c r="BS111" s="138" t="n">
        <f aca="false">MIN(0.2*Hipótesis!$D$81,MAX(0,BS110)*0.1)</f>
        <v>20006</v>
      </c>
      <c r="BT111" s="138" t="n">
        <f aca="false">MIN(0.2*Hipótesis!$D$81,MAX(0,BT110)*0.1)</f>
        <v>20006</v>
      </c>
      <c r="BU111" s="138" t="n">
        <f aca="false">MIN(0.2*Hipótesis!$D$81,MAX(0,BU110)*0.1)</f>
        <v>20006</v>
      </c>
      <c r="BV111" s="138" t="n">
        <f aca="false">MIN(0.2*Hipótesis!$D$81,MAX(0,BV110)*0.1)</f>
        <v>20006</v>
      </c>
      <c r="BW111" s="138" t="n">
        <f aca="false">MIN(0.2*Hipótesis!$D$81,MAX(0,BW110)*0.1)</f>
        <v>20006</v>
      </c>
      <c r="BX111" s="138" t="n">
        <f aca="false">MIN(0.2*Hipótesis!$D$81,MAX(0,BX110)*0.1)</f>
        <v>20006</v>
      </c>
      <c r="BY111" s="138" t="n">
        <f aca="false">MIN(0.2*Hipótesis!$D$81,MAX(0,BY110)*0.1)</f>
        <v>20006</v>
      </c>
      <c r="BZ111" s="138" t="n">
        <f aca="false">MIN(0.2*Hipótesis!$D$81,MAX(0,BZ110)*0.1)</f>
        <v>20006</v>
      </c>
      <c r="CA111" s="138" t="n">
        <f aca="false">MIN(0.2*Hipótesis!$D$81,MAX(0,CA110)*0.1)</f>
        <v>20006</v>
      </c>
      <c r="CB111" s="138" t="n">
        <f aca="false">MIN(0.2*Hipótesis!$D$81,MAX(0,CB110)*0.1)</f>
        <v>20006</v>
      </c>
      <c r="CC111" s="138" t="n">
        <f aca="false">MIN(0.2*Hipótesis!$D$81,MAX(0,CC110)*0.1)</f>
        <v>20006</v>
      </c>
      <c r="CD111" s="138" t="n">
        <f aca="false">MIN(0.2*Hipótesis!$D$81,MAX(0,CD110)*0.1)</f>
        <v>20006</v>
      </c>
      <c r="CE111" s="138" t="n">
        <f aca="false">MIN(0.2*Hipótesis!$D$81,MAX(0,CE110)*0.1)</f>
        <v>20006</v>
      </c>
      <c r="CF111" s="138" t="n">
        <f aca="false">MIN(0.2*Hipótesis!$D$81,MAX(0,CF110)*0.1)</f>
        <v>20006</v>
      </c>
      <c r="CG111" s="138" t="n">
        <f aca="false">MIN(0.2*Hipótesis!$D$81,MAX(0,CG110)*0.1)</f>
        <v>20006</v>
      </c>
      <c r="CH111" s="138" t="n">
        <f aca="false">MIN(0.2*Hipótesis!$D$81,MAX(0,CH110)*0.1)</f>
        <v>20006</v>
      </c>
    </row>
    <row r="112" customFormat="false" ht="13.5" hidden="false" customHeight="true" outlineLevel="0" collapsed="false">
      <c r="A112" s="30" t="s">
        <v>785</v>
      </c>
      <c r="C112" s="138" t="n">
        <f aca="false">MAX(0,C110-C111)</f>
        <v>0</v>
      </c>
      <c r="D112" s="138" t="n">
        <f aca="false">MAX(0,D110-D111)</f>
        <v>0</v>
      </c>
      <c r="E112" s="138" t="n">
        <f aca="false">MAX(0,E110-E111)</f>
        <v>0</v>
      </c>
      <c r="F112" s="138" t="n">
        <f aca="false">MAX(0,F110-F111)</f>
        <v>0</v>
      </c>
      <c r="G112" s="138" t="n">
        <f aca="false">MAX(0,G110-G111)</f>
        <v>0</v>
      </c>
      <c r="H112" s="138" t="n">
        <f aca="false">MAX(0,H110-H111)</f>
        <v>0</v>
      </c>
      <c r="I112" s="138" t="n">
        <f aca="false">MAX(0,I110-I111)</f>
        <v>0</v>
      </c>
      <c r="J112" s="138" t="n">
        <f aca="false">MAX(0,J110-J111)</f>
        <v>0</v>
      </c>
      <c r="K112" s="138" t="n">
        <f aca="false">MAX(0,K110-K111)</f>
        <v>0</v>
      </c>
      <c r="L112" s="138" t="n">
        <f aca="false">MAX(0,L110-L111)</f>
        <v>0</v>
      </c>
      <c r="M112" s="138" t="n">
        <f aca="false">MAX(0,M110-M111)</f>
        <v>0</v>
      </c>
      <c r="N112" s="138" t="n">
        <f aca="false">MAX(0,N110-N111)</f>
        <v>0</v>
      </c>
      <c r="O112" s="138" t="n">
        <f aca="false">MAX(0,O110-O111)</f>
        <v>0</v>
      </c>
      <c r="P112" s="138" t="n">
        <f aca="false">MAX(0,P110-P111)</f>
        <v>0</v>
      </c>
      <c r="Q112" s="138" t="n">
        <f aca="false">MAX(0,Q110-Q111)</f>
        <v>0</v>
      </c>
      <c r="R112" s="138" t="n">
        <f aca="false">MAX(0,R110-R111)</f>
        <v>0</v>
      </c>
      <c r="S112" s="138" t="n">
        <f aca="false">MAX(0,S110-S111)</f>
        <v>1448.72883405119</v>
      </c>
      <c r="T112" s="138" t="n">
        <f aca="false">MAX(0,T110-T111)</f>
        <v>20873.9124950301</v>
      </c>
      <c r="U112" s="138" t="n">
        <f aca="false">MAX(0,U110-U111)</f>
        <v>41039.8794647901</v>
      </c>
      <c r="V112" s="138" t="n">
        <f aca="false">MAX(0,V110-V111)</f>
        <v>61640.842107331</v>
      </c>
      <c r="W112" s="138" t="n">
        <f aca="false">MAX(0,W110-W111)</f>
        <v>84715.384662653</v>
      </c>
      <c r="X112" s="138" t="n">
        <f aca="false">MAX(0,X110-X111)</f>
        <v>109818.147291629</v>
      </c>
      <c r="Y112" s="138" t="n">
        <f aca="false">MAX(0,Y110-Y111)</f>
        <v>136949.129994259</v>
      </c>
      <c r="Z112" s="138" t="n">
        <f aca="false">MAX(0,Z110-Z111)</f>
        <v>165947.731900954</v>
      </c>
      <c r="AA112" s="138" t="n">
        <f aca="false">MAX(0,AA110-AA111)</f>
        <v>196358.819899569</v>
      </c>
      <c r="AB112" s="138" t="n">
        <f aca="false">MAX(0,AB110-AB111)</f>
        <v>227849.164434757</v>
      </c>
      <c r="AC112" s="138" t="n">
        <f aca="false">MAX(0,AC110-AC111)</f>
        <v>260834.491831202</v>
      </c>
      <c r="AD112" s="138" t="n">
        <f aca="false">MAX(0,AD110-AD111)</f>
        <v>295314.802088906</v>
      </c>
      <c r="AE112" s="138" t="n">
        <f aca="false">MAX(0,AE110-AE111)</f>
        <v>314799.867229266</v>
      </c>
      <c r="AF112" s="138" t="n">
        <f aca="false">MAX(0,AF110-AF111)</f>
        <v>352270.143209485</v>
      </c>
      <c r="AG112" s="138" t="n">
        <f aca="false">MAX(0,AG110-AG111)</f>
        <v>391235.402050962</v>
      </c>
      <c r="AH112" s="138" t="n">
        <f aca="false">MAX(0,AH110-AH111)</f>
        <v>431695.643753697</v>
      </c>
      <c r="AI112" s="138" t="n">
        <f aca="false">MAX(0,AI110-AI111)</f>
        <v>473650.868317689</v>
      </c>
      <c r="AJ112" s="138" t="n">
        <f aca="false">MAX(0,AJ110-AJ111)</f>
        <v>517101.075742939</v>
      </c>
      <c r="AK112" s="138" t="n">
        <f aca="false">MAX(0,AK110-AK111)</f>
        <v>562046.266029446</v>
      </c>
      <c r="AL112" s="138" t="n">
        <f aca="false">MAX(0,AL110-AL111)</f>
        <v>606503.349730412</v>
      </c>
      <c r="AM112" s="138" t="n">
        <f aca="false">MAX(0,AM110-AM111)</f>
        <v>645260.502416406</v>
      </c>
      <c r="AN112" s="138" t="n">
        <f aca="false">MAX(0,AN110-AN111)</f>
        <v>685336.75762704</v>
      </c>
      <c r="AO112" s="138" t="n">
        <f aca="false">MAX(0,AO110-AO111)</f>
        <v>726732.115362313</v>
      </c>
      <c r="AP112" s="138" t="n">
        <f aca="false">MAX(0,AP110-AP111)</f>
        <v>769446.575622225</v>
      </c>
      <c r="AQ112" s="138" t="n">
        <f aca="false">MAX(0,AQ110-AQ111)</f>
        <v>798929.937249187</v>
      </c>
      <c r="AR112" s="138" t="n">
        <f aca="false">MAX(0,AR110-AR111)</f>
        <v>844282.602558378</v>
      </c>
      <c r="AS112" s="138" t="n">
        <f aca="false">MAX(0,AS110-AS111)</f>
        <v>889639.434534235</v>
      </c>
      <c r="AT112" s="138" t="n">
        <f aca="false">MAX(0,AT110-AT111)</f>
        <v>935000.433176759</v>
      </c>
      <c r="AU112" s="138" t="n">
        <f aca="false">MAX(0,AU110-AU111)</f>
        <v>980365.598485949</v>
      </c>
      <c r="AV112" s="138" t="n">
        <f aca="false">MAX(0,AV110-AV111)</f>
        <v>1025734.93046181</v>
      </c>
      <c r="AW112" s="138" t="n">
        <f aca="false">MAX(0,AW110-AW111)</f>
        <v>1071108.42910433</v>
      </c>
      <c r="AX112" s="138" t="n">
        <f aca="false">MAX(0,AX110-AX111)</f>
        <v>1116486.09441352</v>
      </c>
      <c r="AY112" s="138" t="n">
        <f aca="false">MAX(0,AY110-AY111)</f>
        <v>1160069.13333911</v>
      </c>
      <c r="AZ112" s="138" t="n">
        <f aca="false">MAX(0,AZ110-AZ111)</f>
        <v>1203656.33893136</v>
      </c>
      <c r="BA112" s="138" t="n">
        <f aca="false">MAX(0,BA110-BA111)</f>
        <v>1247247.71119028</v>
      </c>
      <c r="BB112" s="138" t="n">
        <f aca="false">MAX(0,BB110-BB111)</f>
        <v>1290843.25011587</v>
      </c>
      <c r="BC112" s="138" t="n">
        <f aca="false">MAX(0,BC110-BC111)</f>
        <v>1319892.75455054</v>
      </c>
      <c r="BD112" s="138" t="n">
        <f aca="false">MAX(0,BD110-BD111)</f>
        <v>1363496.62680946</v>
      </c>
      <c r="BE112" s="138" t="n">
        <f aca="false">MAX(0,BE110-BE111)</f>
        <v>1407104.66573504</v>
      </c>
      <c r="BF112" s="138" t="n">
        <f aca="false">MAX(0,BF110-BF111)</f>
        <v>1450716.8713273</v>
      </c>
      <c r="BG112" s="138" t="n">
        <f aca="false">MAX(0,BG110-BG111)</f>
        <v>1494333.24358622</v>
      </c>
      <c r="BH112" s="138" t="n">
        <f aca="false">MAX(0,BH110-BH111)</f>
        <v>1537953.78251181</v>
      </c>
      <c r="BI112" s="138" t="n">
        <f aca="false">MAX(0,BI110-BI111)</f>
        <v>1581578.48810406</v>
      </c>
      <c r="BJ112" s="138" t="n">
        <f aca="false">MAX(0,BJ110-BJ111)</f>
        <v>1625207.36036298</v>
      </c>
      <c r="BK112" s="138" t="n">
        <f aca="false">MAX(0,BK110-BK111)</f>
        <v>1667031.30144679</v>
      </c>
      <c r="BL112" s="138" t="n">
        <f aca="false">MAX(0,BL110-BL111)</f>
        <v>1708859.40919727</v>
      </c>
      <c r="BM112" s="138" t="n">
        <f aca="false">MAX(0,BM110-BM111)</f>
        <v>1750691.68361441</v>
      </c>
      <c r="BN112" s="138" t="n">
        <f aca="false">MAX(0,BN110-BN111)</f>
        <v>1792528.12469822</v>
      </c>
      <c r="BO112" s="138" t="n">
        <f aca="false">MAX(0,BO110-BO111)</f>
        <v>1819818.53129111</v>
      </c>
      <c r="BP112" s="138" t="n">
        <f aca="false">MAX(0,BP110-BP111)</f>
        <v>1861663.30570825</v>
      </c>
      <c r="BQ112" s="138" t="n">
        <f aca="false">MAX(0,BQ110-BQ111)</f>
        <v>1903512.24679206</v>
      </c>
      <c r="BR112" s="138" t="n">
        <f aca="false">MAX(0,BR110-BR111)</f>
        <v>1945365.35454254</v>
      </c>
      <c r="BS112" s="138" t="n">
        <f aca="false">MAX(0,BS110-BS111)</f>
        <v>1987222.62895968</v>
      </c>
      <c r="BT112" s="138" t="n">
        <f aca="false">MAX(0,BT110-BT111)</f>
        <v>2029084.07004349</v>
      </c>
      <c r="BU112" s="138" t="n">
        <f aca="false">MAX(0,BU110-BU111)</f>
        <v>2070949.67779397</v>
      </c>
      <c r="BV112" s="138" t="n">
        <f aca="false">MAX(0,BV110-BV111)</f>
        <v>2112819.45221111</v>
      </c>
      <c r="BW112" s="138" t="n">
        <f aca="false">MAX(0,BW110-BW111)</f>
        <v>2152873.68151789</v>
      </c>
      <c r="BX112" s="138" t="n">
        <f aca="false">MAX(0,BX110-BX111)</f>
        <v>2192932.07749134</v>
      </c>
      <c r="BY112" s="138" t="n">
        <f aca="false">MAX(0,BY110-BY111)</f>
        <v>2232994.64013145</v>
      </c>
      <c r="BZ112" s="138" t="n">
        <f aca="false">MAX(0,BZ110-BZ111)</f>
        <v>2273061.36943823</v>
      </c>
      <c r="CA112" s="138" t="n">
        <f aca="false">MAX(0,CA110-CA111)</f>
        <v>2298582.06425408</v>
      </c>
      <c r="CB112" s="138" t="n">
        <f aca="false">MAX(0,CB110-CB111)</f>
        <v>2338657.1268942</v>
      </c>
      <c r="CC112" s="138" t="n">
        <f aca="false">MAX(0,CC110-CC111)</f>
        <v>2378736.35620097</v>
      </c>
      <c r="CD112" s="138" t="n">
        <f aca="false">MAX(0,CD110-CD111)</f>
        <v>2418819.75217442</v>
      </c>
      <c r="CE112" s="138" t="n">
        <f aca="false">MAX(0,CE110-CE111)</f>
        <v>2458907.31481453</v>
      </c>
      <c r="CF112" s="138" t="n">
        <f aca="false">MAX(0,CF110-CF111)</f>
        <v>2498999.04412131</v>
      </c>
      <c r="CG112" s="138" t="n">
        <f aca="false">MAX(0,CG110-CG111)</f>
        <v>2539094.94009476</v>
      </c>
      <c r="CH112" s="138" t="n">
        <f aca="false">MAX(0,CH110-CH111)</f>
        <v>2579195.00273487</v>
      </c>
    </row>
    <row r="113" customFormat="false" ht="13.5" hidden="false" customHeight="true" outlineLevel="0" collapsed="false">
      <c r="A113" s="13" t="s">
        <v>786</v>
      </c>
      <c r="C113" s="138" t="n">
        <f aca="false">C110+C84</f>
        <v>-17543.3458306285</v>
      </c>
      <c r="D113" s="138" t="n">
        <f aca="false">D110+D84</f>
        <v>-33221.7386549099</v>
      </c>
      <c r="E113" s="138" t="n">
        <f aca="false">E110+E84</f>
        <v>-46202.5741001805</v>
      </c>
      <c r="F113" s="138" t="n">
        <f aca="false">F110+F84</f>
        <v>-57249.6567540892</v>
      </c>
      <c r="G113" s="138" t="n">
        <f aca="false">G110+G84</f>
        <v>-70883.0474369087</v>
      </c>
      <c r="H113" s="138" t="n">
        <f aca="false">H110+H84</f>
        <v>-77720.3432878866</v>
      </c>
      <c r="I113" s="138" t="n">
        <f aca="false">I110+I84</f>
        <v>-82147.0792420013</v>
      </c>
      <c r="J113" s="138" t="n">
        <f aca="false">J110+J84</f>
        <v>-82763.0923788831</v>
      </c>
      <c r="K113" s="138" t="n">
        <f aca="false">K110+K84</f>
        <v>-80170.9194018238</v>
      </c>
      <c r="L113" s="138" t="n">
        <f aca="false">L110+L84</f>
        <v>-74446.815180542</v>
      </c>
      <c r="M113" s="138" t="n">
        <f aca="false">M110+M84</f>
        <v>-66268.4201860965</v>
      </c>
      <c r="N113" s="138" t="n">
        <f aca="false">N110+N84</f>
        <v>-55126.7550946221</v>
      </c>
      <c r="O113" s="138" t="n">
        <f aca="false">O110+O84</f>
        <v>-45365.2848285513</v>
      </c>
      <c r="P113" s="138" t="n">
        <f aca="false">P110+P84</f>
        <v>-34775.4359287126</v>
      </c>
      <c r="Q113" s="138" t="n">
        <f aca="false">Q110+Q84</f>
        <v>-21437.1649035617</v>
      </c>
      <c r="R113" s="138" t="n">
        <f aca="false">R110+R84</f>
        <v>-5350.47175309849</v>
      </c>
      <c r="S113" s="138" t="n">
        <f aca="false">S110+S84</f>
        <v>1609.69870450133</v>
      </c>
      <c r="T113" s="138" t="n">
        <f aca="false">T110+T84</f>
        <v>23193.236105589</v>
      </c>
      <c r="U113" s="138" t="n">
        <f aca="false">U110+U84</f>
        <v>45599.8660719889</v>
      </c>
      <c r="V113" s="138" t="n">
        <f aca="false">V110+V84</f>
        <v>68489.8245637011</v>
      </c>
      <c r="W113" s="138" t="n">
        <f aca="false">W110+W84</f>
        <v>94128.2051807256</v>
      </c>
      <c r="X113" s="138" t="n">
        <f aca="false">X110+X84</f>
        <v>122020.163657366</v>
      </c>
      <c r="Y113" s="138" t="n">
        <f aca="false">Y110+Y84</f>
        <v>152165.699993621</v>
      </c>
      <c r="Z113" s="138" t="n">
        <f aca="false">Z110+Z84</f>
        <v>184386.368778838</v>
      </c>
      <c r="AA113" s="138" t="n">
        <f aca="false">AA110+AA84</f>
        <v>216364.819899569</v>
      </c>
      <c r="AB113" s="138" t="n">
        <f aca="false">AB110+AB84</f>
        <v>247855.164434757</v>
      </c>
      <c r="AC113" s="138" t="n">
        <f aca="false">AC110+AC84</f>
        <v>280840.491831202</v>
      </c>
      <c r="AD113" s="138" t="n">
        <f aca="false">AD110+AD84</f>
        <v>315320.802088906</v>
      </c>
      <c r="AE113" s="138" t="n">
        <f aca="false">AE110+AE84</f>
        <v>334805.867229266</v>
      </c>
      <c r="AF113" s="138" t="n">
        <f aca="false">AF110+AF84</f>
        <v>372276.143209485</v>
      </c>
      <c r="AG113" s="138" t="n">
        <f aca="false">AG110+AG84</f>
        <v>411241.402050962</v>
      </c>
      <c r="AH113" s="138" t="n">
        <f aca="false">AH110+AH84</f>
        <v>451701.643753697</v>
      </c>
      <c r="AI113" s="138" t="n">
        <f aca="false">AI110+AI84</f>
        <v>493656.868317689</v>
      </c>
      <c r="AJ113" s="138" t="n">
        <f aca="false">AJ110+AJ84</f>
        <v>537107.075742939</v>
      </c>
      <c r="AK113" s="138" t="n">
        <f aca="false">AK110+AK84</f>
        <v>582052.266029446</v>
      </c>
      <c r="AL113" s="138" t="n">
        <f aca="false">AL110+AL84</f>
        <v>626509.349730412</v>
      </c>
      <c r="AM113" s="138" t="n">
        <f aca="false">AM110+AM84</f>
        <v>665266.502416406</v>
      </c>
      <c r="AN113" s="138" t="n">
        <f aca="false">AN110+AN84</f>
        <v>705342.75762704</v>
      </c>
      <c r="AO113" s="138" t="n">
        <f aca="false">AO110+AO84</f>
        <v>746738.115362313</v>
      </c>
      <c r="AP113" s="138" t="n">
        <f aca="false">AP110+AP84</f>
        <v>789452.575622225</v>
      </c>
      <c r="AQ113" s="138" t="n">
        <f aca="false">AQ110+AQ84</f>
        <v>818935.937249187</v>
      </c>
      <c r="AR113" s="138" t="n">
        <f aca="false">AR110+AR84</f>
        <v>864288.602558378</v>
      </c>
      <c r="AS113" s="138" t="n">
        <f aca="false">AS110+AS84</f>
        <v>909645.434534235</v>
      </c>
      <c r="AT113" s="138" t="n">
        <f aca="false">AT110+AT84</f>
        <v>955006.433176759</v>
      </c>
      <c r="AU113" s="138" t="n">
        <f aca="false">AU110+AU84</f>
        <v>1000371.59848595</v>
      </c>
      <c r="AV113" s="138" t="n">
        <f aca="false">AV110+AV84</f>
        <v>1045740.93046181</v>
      </c>
      <c r="AW113" s="138" t="n">
        <f aca="false">AW110+AW84</f>
        <v>1091114.42910433</v>
      </c>
      <c r="AX113" s="138" t="n">
        <f aca="false">AX110+AX84</f>
        <v>1136492.09441352</v>
      </c>
      <c r="AY113" s="138" t="n">
        <f aca="false">AY110+AY84</f>
        <v>1180075.13333911</v>
      </c>
      <c r="AZ113" s="138" t="n">
        <f aca="false">AZ110+AZ84</f>
        <v>1223662.33893136</v>
      </c>
      <c r="BA113" s="138" t="n">
        <f aca="false">BA110+BA84</f>
        <v>1267253.71119028</v>
      </c>
      <c r="BB113" s="138" t="n">
        <f aca="false">BB110+BB84</f>
        <v>1310849.25011587</v>
      </c>
      <c r="BC113" s="138" t="n">
        <f aca="false">BC110+BC84</f>
        <v>1339898.75455054</v>
      </c>
      <c r="BD113" s="138" t="n">
        <f aca="false">BD110+BD84</f>
        <v>1383502.62680946</v>
      </c>
      <c r="BE113" s="138" t="n">
        <f aca="false">BE110+BE84</f>
        <v>1427110.66573504</v>
      </c>
      <c r="BF113" s="138" t="n">
        <f aca="false">BF110+BF84</f>
        <v>1470722.8713273</v>
      </c>
      <c r="BG113" s="138" t="n">
        <f aca="false">BG110+BG84</f>
        <v>1514339.24358622</v>
      </c>
      <c r="BH113" s="138" t="n">
        <f aca="false">BH110+BH84</f>
        <v>1557959.78251181</v>
      </c>
      <c r="BI113" s="138" t="n">
        <f aca="false">BI110+BI84</f>
        <v>1601584.48810406</v>
      </c>
      <c r="BJ113" s="138" t="n">
        <f aca="false">BJ110+BJ84</f>
        <v>1645213.36036298</v>
      </c>
      <c r="BK113" s="138" t="n">
        <f aca="false">BK110+BK84</f>
        <v>1687037.30144679</v>
      </c>
      <c r="BL113" s="138" t="n">
        <f aca="false">BL110+BL84</f>
        <v>1728865.40919727</v>
      </c>
      <c r="BM113" s="138" t="n">
        <f aca="false">BM110+BM84</f>
        <v>1770697.68361441</v>
      </c>
      <c r="BN113" s="138" t="n">
        <f aca="false">BN110+BN84</f>
        <v>1812534.12469822</v>
      </c>
      <c r="BO113" s="138" t="n">
        <f aca="false">BO110+BO84</f>
        <v>1839824.53129111</v>
      </c>
      <c r="BP113" s="138" t="n">
        <f aca="false">BP110+BP84</f>
        <v>1881669.30570825</v>
      </c>
      <c r="BQ113" s="138" t="n">
        <f aca="false">BQ110+BQ84</f>
        <v>1923518.24679206</v>
      </c>
      <c r="BR113" s="138" t="n">
        <f aca="false">BR110+BR84</f>
        <v>1965371.35454254</v>
      </c>
      <c r="BS113" s="138" t="n">
        <f aca="false">BS110+BS84</f>
        <v>2007228.62895968</v>
      </c>
      <c r="BT113" s="138" t="n">
        <f aca="false">BT110+BT84</f>
        <v>2049090.07004349</v>
      </c>
      <c r="BU113" s="138" t="n">
        <f aca="false">BU110+BU84</f>
        <v>2090955.67779397</v>
      </c>
      <c r="BV113" s="138" t="n">
        <f aca="false">BV110+BV84</f>
        <v>2132825.45221111</v>
      </c>
      <c r="BW113" s="138" t="n">
        <f aca="false">BW110+BW84</f>
        <v>2172879.68151789</v>
      </c>
      <c r="BX113" s="138" t="n">
        <f aca="false">BX110+BX84</f>
        <v>2212938.07749134</v>
      </c>
      <c r="BY113" s="138" t="n">
        <f aca="false">BY110+BY84</f>
        <v>2253000.64013145</v>
      </c>
      <c r="BZ113" s="138" t="n">
        <f aca="false">BZ110+BZ84</f>
        <v>2293067.36943823</v>
      </c>
      <c r="CA113" s="138" t="n">
        <f aca="false">CA110+CA84</f>
        <v>2318588.06425408</v>
      </c>
      <c r="CB113" s="138" t="n">
        <f aca="false">CB110+CB84</f>
        <v>2358663.1268942</v>
      </c>
      <c r="CC113" s="138" t="n">
        <f aca="false">CC110+CC84</f>
        <v>2398742.35620097</v>
      </c>
      <c r="CD113" s="138" t="n">
        <f aca="false">CD110+CD84</f>
        <v>2438825.75217442</v>
      </c>
      <c r="CE113" s="138" t="n">
        <f aca="false">CE110+CE84</f>
        <v>2478913.31481453</v>
      </c>
      <c r="CF113" s="138" t="n">
        <f aca="false">CF110+CF84</f>
        <v>2519005.04412131</v>
      </c>
      <c r="CG113" s="138" t="n">
        <f aca="false">CG110+CG84</f>
        <v>2559100.94009476</v>
      </c>
      <c r="CH113" s="138" t="n">
        <f aca="false">CH110+CH84</f>
        <v>2599201.00273487</v>
      </c>
    </row>
    <row r="114" customFormat="false" ht="13.5" hidden="false" customHeight="true" outlineLevel="0" collapsed="false">
      <c r="A114" s="13" t="s">
        <v>787</v>
      </c>
      <c r="C114" s="138" t="n">
        <f aca="false">-C84</f>
        <v>0</v>
      </c>
      <c r="D114" s="138" t="n">
        <f aca="false">C114-D84</f>
        <v>0</v>
      </c>
      <c r="E114" s="138" t="n">
        <f aca="false">D114-E84</f>
        <v>0</v>
      </c>
      <c r="F114" s="138" t="n">
        <f aca="false">E114-F84</f>
        <v>0</v>
      </c>
      <c r="G114" s="138" t="n">
        <f aca="false">F114-G84</f>
        <v>0</v>
      </c>
      <c r="H114" s="138" t="n">
        <f aca="false">G114-H84</f>
        <v>0</v>
      </c>
      <c r="I114" s="138" t="n">
        <f aca="false">H114-I84</f>
        <v>0</v>
      </c>
      <c r="J114" s="138" t="n">
        <f aca="false">I114-J84</f>
        <v>0</v>
      </c>
      <c r="K114" s="138" t="n">
        <f aca="false">J114-K84</f>
        <v>0</v>
      </c>
      <c r="L114" s="138" t="n">
        <f aca="false">K114-L84</f>
        <v>0</v>
      </c>
      <c r="M114" s="138" t="n">
        <f aca="false">L114-M84</f>
        <v>0</v>
      </c>
      <c r="N114" s="138" t="n">
        <f aca="false">M114-N84</f>
        <v>0</v>
      </c>
      <c r="O114" s="138" t="n">
        <f aca="false">N114-O84</f>
        <v>0</v>
      </c>
      <c r="P114" s="138" t="n">
        <f aca="false">O114-P84</f>
        <v>0</v>
      </c>
      <c r="Q114" s="138" t="n">
        <f aca="false">P114-Q84</f>
        <v>0</v>
      </c>
      <c r="R114" s="138" t="n">
        <f aca="false">Q114-R84</f>
        <v>0</v>
      </c>
      <c r="S114" s="138" t="n">
        <f aca="false">R114-S84</f>
        <v>0</v>
      </c>
      <c r="T114" s="138" t="n">
        <f aca="false">S114-T84</f>
        <v>0</v>
      </c>
      <c r="U114" s="138" t="n">
        <f aca="false">T114-U84</f>
        <v>0</v>
      </c>
      <c r="V114" s="138" t="n">
        <f aca="false">U114-V84</f>
        <v>0</v>
      </c>
      <c r="W114" s="138" t="n">
        <f aca="false">V114-W84</f>
        <v>0</v>
      </c>
      <c r="X114" s="138" t="n">
        <f aca="false">W114-X84</f>
        <v>0</v>
      </c>
      <c r="Y114" s="138" t="n">
        <f aca="false">X114-Y84</f>
        <v>0</v>
      </c>
      <c r="Z114" s="138" t="n">
        <f aca="false">Y114-Z84</f>
        <v>0</v>
      </c>
      <c r="AA114" s="138" t="n">
        <f aca="false">Z114-AA84</f>
        <v>0</v>
      </c>
      <c r="AB114" s="138" t="n">
        <f aca="false">AA114-AB84</f>
        <v>0</v>
      </c>
      <c r="AC114" s="138" t="n">
        <f aca="false">AB114-AC84</f>
        <v>0</v>
      </c>
      <c r="AD114" s="138" t="n">
        <f aca="false">AC114-AD84</f>
        <v>0</v>
      </c>
      <c r="AE114" s="138" t="n">
        <f aca="false">AD114-AE84</f>
        <v>0</v>
      </c>
      <c r="AF114" s="138" t="n">
        <f aca="false">AE114-AF84</f>
        <v>0</v>
      </c>
      <c r="AG114" s="138" t="n">
        <f aca="false">AF114-AG84</f>
        <v>0</v>
      </c>
      <c r="AH114" s="138" t="n">
        <f aca="false">AG114-AH84</f>
        <v>0</v>
      </c>
      <c r="AI114" s="138" t="n">
        <f aca="false">AH114-AI84</f>
        <v>0</v>
      </c>
      <c r="AJ114" s="138" t="n">
        <f aca="false">AI114-AJ84</f>
        <v>0</v>
      </c>
      <c r="AK114" s="138" t="n">
        <f aca="false">AJ114-AK84</f>
        <v>0</v>
      </c>
      <c r="AL114" s="138" t="n">
        <f aca="false">AK114-AL84</f>
        <v>0</v>
      </c>
      <c r="AM114" s="138" t="n">
        <f aca="false">AL114-AM84</f>
        <v>0</v>
      </c>
      <c r="AN114" s="138" t="n">
        <f aca="false">AM114-AN84</f>
        <v>0</v>
      </c>
      <c r="AO114" s="138" t="n">
        <f aca="false">AN114-AO84</f>
        <v>0</v>
      </c>
      <c r="AP114" s="138" t="n">
        <f aca="false">AO114-AP84</f>
        <v>0</v>
      </c>
      <c r="AQ114" s="138" t="n">
        <f aca="false">AP114-AQ84</f>
        <v>0</v>
      </c>
      <c r="AR114" s="138" t="n">
        <f aca="false">AQ114-AR84</f>
        <v>0</v>
      </c>
      <c r="AS114" s="138" t="n">
        <f aca="false">AR114-AS84</f>
        <v>0</v>
      </c>
      <c r="AT114" s="138" t="n">
        <f aca="false">AS114-AT84</f>
        <v>0</v>
      </c>
      <c r="AU114" s="138" t="n">
        <f aca="false">AT114-AU84</f>
        <v>0</v>
      </c>
      <c r="AV114" s="138" t="n">
        <f aca="false">AU114-AV84</f>
        <v>0</v>
      </c>
      <c r="AW114" s="138" t="n">
        <f aca="false">AV114-AW84</f>
        <v>0</v>
      </c>
      <c r="AX114" s="138" t="n">
        <f aca="false">AW114-AX84</f>
        <v>0</v>
      </c>
      <c r="AY114" s="138" t="n">
        <f aca="false">AX114-AY84</f>
        <v>0</v>
      </c>
      <c r="AZ114" s="138" t="n">
        <f aca="false">AY114-AZ84</f>
        <v>0</v>
      </c>
      <c r="BA114" s="138" t="n">
        <f aca="false">AZ114-BA84</f>
        <v>0</v>
      </c>
      <c r="BB114" s="138" t="n">
        <f aca="false">BA114-BB84</f>
        <v>0</v>
      </c>
      <c r="BC114" s="138" t="n">
        <f aca="false">BB114-BC84</f>
        <v>0</v>
      </c>
      <c r="BD114" s="138" t="n">
        <f aca="false">BC114-BD84</f>
        <v>0</v>
      </c>
      <c r="BE114" s="138" t="n">
        <f aca="false">BD114-BE84</f>
        <v>0</v>
      </c>
      <c r="BF114" s="138" t="n">
        <f aca="false">BE114-BF84</f>
        <v>0</v>
      </c>
      <c r="BG114" s="138" t="n">
        <f aca="false">BF114-BG84</f>
        <v>0</v>
      </c>
      <c r="BH114" s="138" t="n">
        <f aca="false">BG114-BH84</f>
        <v>0</v>
      </c>
      <c r="BI114" s="138" t="n">
        <f aca="false">BH114-BI84</f>
        <v>0</v>
      </c>
      <c r="BJ114" s="138" t="n">
        <f aca="false">BI114-BJ84</f>
        <v>0</v>
      </c>
      <c r="BK114" s="138" t="n">
        <f aca="false">BJ114-BK84</f>
        <v>0</v>
      </c>
      <c r="BL114" s="138" t="n">
        <f aca="false">BK114-BL84</f>
        <v>0</v>
      </c>
      <c r="BM114" s="138" t="n">
        <f aca="false">BL114-BM84</f>
        <v>0</v>
      </c>
      <c r="BN114" s="138" t="n">
        <f aca="false">BM114-BN84</f>
        <v>0</v>
      </c>
      <c r="BO114" s="138" t="n">
        <f aca="false">BN114-BO84</f>
        <v>0</v>
      </c>
      <c r="BP114" s="138" t="n">
        <f aca="false">BO114-BP84</f>
        <v>0</v>
      </c>
      <c r="BQ114" s="138" t="n">
        <f aca="false">BP114-BQ84</f>
        <v>0</v>
      </c>
      <c r="BR114" s="138" t="n">
        <f aca="false">BQ114-BR84</f>
        <v>0</v>
      </c>
      <c r="BS114" s="138" t="n">
        <f aca="false">BR114-BS84</f>
        <v>0</v>
      </c>
      <c r="BT114" s="138" t="n">
        <f aca="false">BS114-BT84</f>
        <v>0</v>
      </c>
      <c r="BU114" s="138" t="n">
        <f aca="false">BT114-BU84</f>
        <v>0</v>
      </c>
      <c r="BV114" s="138" t="n">
        <f aca="false">BU114-BV84</f>
        <v>0</v>
      </c>
      <c r="BW114" s="138" t="n">
        <f aca="false">BV114-BW84</f>
        <v>0</v>
      </c>
      <c r="BX114" s="138" t="n">
        <f aca="false">BW114-BX84</f>
        <v>0</v>
      </c>
      <c r="BY114" s="138" t="n">
        <f aca="false">BX114-BY84</f>
        <v>0</v>
      </c>
      <c r="BZ114" s="138" t="n">
        <f aca="false">BY114-BZ84</f>
        <v>0</v>
      </c>
      <c r="CA114" s="138" t="n">
        <f aca="false">BZ114-CA84</f>
        <v>0</v>
      </c>
      <c r="CB114" s="138" t="n">
        <f aca="false">CA114-CB84</f>
        <v>0</v>
      </c>
      <c r="CC114" s="138" t="n">
        <f aca="false">CB114-CC84</f>
        <v>0</v>
      </c>
      <c r="CD114" s="138" t="n">
        <f aca="false">CC114-CD84</f>
        <v>0</v>
      </c>
      <c r="CE114" s="138" t="n">
        <f aca="false">CD114-CE84</f>
        <v>0</v>
      </c>
      <c r="CF114" s="138" t="n">
        <f aca="false">CE114-CF84</f>
        <v>0</v>
      </c>
      <c r="CG114" s="138" t="n">
        <f aca="false">CF114-CG84</f>
        <v>0</v>
      </c>
      <c r="CH114" s="138" t="n">
        <f aca="false">CG114-CH84</f>
        <v>0</v>
      </c>
    </row>
    <row r="115" customFormat="false" ht="13.5" hidden="false" customHeight="true" outlineLevel="0" collapsed="false">
      <c r="A115" s="13" t="s">
        <v>788</v>
      </c>
      <c r="C115" s="138" t="n">
        <f aca="false">-C83</f>
        <v>0</v>
      </c>
      <c r="D115" s="138" t="n">
        <f aca="false">C115-D83</f>
        <v>0</v>
      </c>
      <c r="E115" s="138" t="n">
        <f aca="false">D115-E83</f>
        <v>0</v>
      </c>
      <c r="F115" s="138" t="n">
        <f aca="false">E115-F83</f>
        <v>0</v>
      </c>
      <c r="G115" s="138" t="n">
        <f aca="false">F115-G83</f>
        <v>0</v>
      </c>
      <c r="H115" s="138" t="n">
        <f aca="false">G115-H83</f>
        <v>0</v>
      </c>
      <c r="I115" s="138" t="n">
        <f aca="false">H115-I83</f>
        <v>0</v>
      </c>
      <c r="J115" s="138" t="n">
        <f aca="false">I115-J83</f>
        <v>0</v>
      </c>
      <c r="K115" s="138" t="n">
        <f aca="false">J115-K83</f>
        <v>0</v>
      </c>
      <c r="L115" s="138" t="n">
        <f aca="false">K115-L83</f>
        <v>0</v>
      </c>
      <c r="M115" s="138" t="n">
        <f aca="false">L115-M83</f>
        <v>0</v>
      </c>
      <c r="N115" s="138" t="n">
        <f aca="false">M115-N83</f>
        <v>0</v>
      </c>
      <c r="O115" s="138" t="n">
        <f aca="false">N115-O83</f>
        <v>0</v>
      </c>
      <c r="P115" s="138" t="n">
        <f aca="false">O115-P83</f>
        <v>0</v>
      </c>
      <c r="Q115" s="138" t="n">
        <f aca="false">P115-Q83</f>
        <v>0</v>
      </c>
      <c r="R115" s="138" t="n">
        <f aca="false">Q115-R83</f>
        <v>0</v>
      </c>
      <c r="S115" s="138" t="n">
        <f aca="false">R115-S83</f>
        <v>0</v>
      </c>
      <c r="T115" s="138" t="n">
        <f aca="false">S115-T83</f>
        <v>0</v>
      </c>
      <c r="U115" s="138" t="n">
        <f aca="false">T115-U83</f>
        <v>0</v>
      </c>
      <c r="V115" s="138" t="n">
        <f aca="false">U115-V83</f>
        <v>0</v>
      </c>
      <c r="W115" s="138" t="n">
        <f aca="false">V115-W83</f>
        <v>0</v>
      </c>
      <c r="X115" s="138" t="n">
        <f aca="false">W115-X83</f>
        <v>0</v>
      </c>
      <c r="Y115" s="138" t="n">
        <f aca="false">X115-Y83</f>
        <v>0</v>
      </c>
      <c r="Z115" s="138" t="n">
        <f aca="false">Y115-Z83</f>
        <v>0</v>
      </c>
      <c r="AA115" s="138" t="n">
        <f aca="false">Z115-AA83</f>
        <v>0</v>
      </c>
      <c r="AB115" s="138" t="n">
        <f aca="false">AA115-AB83</f>
        <v>0</v>
      </c>
      <c r="AC115" s="138" t="n">
        <f aca="false">AB115-AC83</f>
        <v>0</v>
      </c>
      <c r="AD115" s="138" t="n">
        <f aca="false">AC115-AD83</f>
        <v>0</v>
      </c>
      <c r="AE115" s="138" t="n">
        <f aca="false">AD115-AE83</f>
        <v>0</v>
      </c>
      <c r="AF115" s="138" t="n">
        <f aca="false">AE115-AF83</f>
        <v>0</v>
      </c>
      <c r="AG115" s="138" t="n">
        <f aca="false">AF115-AG83</f>
        <v>0</v>
      </c>
      <c r="AH115" s="138" t="n">
        <f aca="false">AG115-AH83</f>
        <v>0</v>
      </c>
      <c r="AI115" s="138" t="n">
        <f aca="false">AH115-AI83</f>
        <v>0</v>
      </c>
      <c r="AJ115" s="138" t="n">
        <f aca="false">AI115-AJ83</f>
        <v>0</v>
      </c>
      <c r="AK115" s="138" t="n">
        <f aca="false">AJ115-AK83</f>
        <v>0</v>
      </c>
      <c r="AL115" s="138" t="n">
        <f aca="false">AK115-AL83</f>
        <v>0</v>
      </c>
      <c r="AM115" s="138" t="n">
        <f aca="false">AL115-AM83</f>
        <v>0</v>
      </c>
      <c r="AN115" s="138" t="n">
        <f aca="false">AM115-AN83</f>
        <v>0</v>
      </c>
      <c r="AO115" s="138" t="n">
        <f aca="false">AN115-AO83</f>
        <v>0</v>
      </c>
      <c r="AP115" s="138" t="n">
        <f aca="false">AO115-AP83</f>
        <v>0</v>
      </c>
      <c r="AQ115" s="138" t="n">
        <f aca="false">AP115-AQ83</f>
        <v>0</v>
      </c>
      <c r="AR115" s="138" t="n">
        <f aca="false">AQ115-AR83</f>
        <v>0</v>
      </c>
      <c r="AS115" s="138" t="n">
        <f aca="false">AR115-AS83</f>
        <v>0</v>
      </c>
      <c r="AT115" s="138" t="n">
        <f aca="false">AS115-AT83</f>
        <v>0</v>
      </c>
      <c r="AU115" s="138" t="n">
        <f aca="false">AT115-AU83</f>
        <v>0</v>
      </c>
      <c r="AV115" s="138" t="n">
        <f aca="false">AU115-AV83</f>
        <v>0</v>
      </c>
      <c r="AW115" s="138" t="n">
        <f aca="false">AV115-AW83</f>
        <v>0</v>
      </c>
      <c r="AX115" s="138" t="n">
        <f aca="false">AW115-AX83</f>
        <v>203993.097873244</v>
      </c>
      <c r="AY115" s="138" t="n">
        <f aca="false">AX115-AY83</f>
        <v>203993.097873244</v>
      </c>
      <c r="AZ115" s="138" t="n">
        <f aca="false">AY115-AZ83</f>
        <v>203993.097873244</v>
      </c>
      <c r="BA115" s="138" t="n">
        <f aca="false">AZ115-BA83</f>
        <v>203993.097873244</v>
      </c>
      <c r="BB115" s="138" t="n">
        <f aca="false">BA115-BB83</f>
        <v>203993.097873244</v>
      </c>
      <c r="BC115" s="138" t="n">
        <f aca="false">BB115-BC83</f>
        <v>203993.097873244</v>
      </c>
      <c r="BD115" s="138" t="n">
        <f aca="false">BC115-BD83</f>
        <v>203993.097873244</v>
      </c>
      <c r="BE115" s="138" t="n">
        <f aca="false">BD115-BE83</f>
        <v>203993.097873244</v>
      </c>
      <c r="BF115" s="138" t="n">
        <f aca="false">BE115-BF83</f>
        <v>203993.097873244</v>
      </c>
      <c r="BG115" s="138" t="n">
        <f aca="false">BF115-BG83</f>
        <v>203993.097873244</v>
      </c>
      <c r="BH115" s="138" t="n">
        <f aca="false">BG115-BH83</f>
        <v>203993.097873244</v>
      </c>
      <c r="BI115" s="138" t="n">
        <f aca="false">BH115-BI83</f>
        <v>203993.097873244</v>
      </c>
      <c r="BJ115" s="138" t="n">
        <f aca="false">BI115-BJ83</f>
        <v>407481.604253028</v>
      </c>
      <c r="BK115" s="138" t="n">
        <f aca="false">BJ115-BK83</f>
        <v>407481.604253028</v>
      </c>
      <c r="BL115" s="138" t="n">
        <f aca="false">BK115-BL83</f>
        <v>407481.604253028</v>
      </c>
      <c r="BM115" s="138" t="n">
        <f aca="false">BL115-BM83</f>
        <v>407481.604253028</v>
      </c>
      <c r="BN115" s="138" t="n">
        <f aca="false">BM115-BN83</f>
        <v>407481.604253028</v>
      </c>
      <c r="BO115" s="138" t="n">
        <f aca="false">BN115-BO83</f>
        <v>407481.604253028</v>
      </c>
      <c r="BP115" s="138" t="n">
        <f aca="false">BO115-BP83</f>
        <v>407481.604253028</v>
      </c>
      <c r="BQ115" s="138" t="n">
        <f aca="false">BP115-BQ83</f>
        <v>407481.604253028</v>
      </c>
      <c r="BR115" s="138" t="n">
        <f aca="false">BQ115-BR83</f>
        <v>407481.604253028</v>
      </c>
      <c r="BS115" s="138" t="n">
        <f aca="false">BR115-BS83</f>
        <v>407481.604253028</v>
      </c>
      <c r="BT115" s="138" t="n">
        <f aca="false">BS115-BT83</f>
        <v>407481.604253028</v>
      </c>
      <c r="BU115" s="138" t="n">
        <f aca="false">BT115-BU83</f>
        <v>407481.604253028</v>
      </c>
      <c r="BV115" s="138" t="n">
        <f aca="false">BU115-BV83</f>
        <v>602526.44099228</v>
      </c>
      <c r="BW115" s="138" t="n">
        <f aca="false">BV115-BW83</f>
        <v>602526.44099228</v>
      </c>
      <c r="BX115" s="138" t="n">
        <f aca="false">BW115-BX83</f>
        <v>602526.44099228</v>
      </c>
      <c r="BY115" s="138" t="n">
        <f aca="false">BX115-BY83</f>
        <v>602526.44099228</v>
      </c>
      <c r="BZ115" s="138" t="n">
        <f aca="false">BY115-BZ83</f>
        <v>602526.44099228</v>
      </c>
      <c r="CA115" s="138" t="n">
        <f aca="false">BZ115-CA83</f>
        <v>602526.44099228</v>
      </c>
      <c r="CB115" s="138" t="n">
        <f aca="false">CA115-CB83</f>
        <v>602526.44099228</v>
      </c>
      <c r="CC115" s="138" t="n">
        <f aca="false">CB115-CC83</f>
        <v>602526.44099228</v>
      </c>
      <c r="CD115" s="138" t="n">
        <f aca="false">CC115-CD83</f>
        <v>602526.44099228</v>
      </c>
      <c r="CE115" s="138" t="n">
        <f aca="false">CD115-CE83</f>
        <v>602526.44099228</v>
      </c>
      <c r="CF115" s="138" t="n">
        <f aca="false">CE115-CF83</f>
        <v>602526.44099228</v>
      </c>
      <c r="CG115" s="138" t="n">
        <f aca="false">CF115-CG83</f>
        <v>602526.44099228</v>
      </c>
      <c r="CH115" s="138" t="n">
        <f aca="false">CG115-CH83</f>
        <v>789076.661201782</v>
      </c>
    </row>
    <row r="116" customFormat="false" ht="13.5" hidden="false" customHeight="true" outlineLevel="0" collapsed="false">
      <c r="A116" s="13" t="s">
        <v>789</v>
      </c>
      <c r="C116" s="138" t="n">
        <f aca="false">Hipótesis!$C$44*(1-Hipótesis!$D$83)</f>
        <v>1540</v>
      </c>
      <c r="D116" s="138" t="n">
        <f aca="false">Hipótesis!$C$44*(1-Hipótesis!$D$83)</f>
        <v>1540</v>
      </c>
      <c r="E116" s="138" t="n">
        <f aca="false">Hipótesis!$C$44*(1-Hipótesis!$D$83)</f>
        <v>1540</v>
      </c>
      <c r="F116" s="138" t="n">
        <f aca="false">Hipótesis!$C$44*(1-Hipótesis!$D$83)</f>
        <v>1540</v>
      </c>
      <c r="G116" s="138" t="n">
        <f aca="false">Hipótesis!$C$44*(1-Hipótesis!$D$83)</f>
        <v>1540</v>
      </c>
      <c r="H116" s="138" t="n">
        <f aca="false">Hipótesis!$C$44*(1-Hipótesis!$D$83)</f>
        <v>1540</v>
      </c>
      <c r="I116" s="138" t="n">
        <f aca="false">Hipótesis!$C$44*(1-Hipótesis!$D$83)</f>
        <v>1540</v>
      </c>
      <c r="J116" s="138" t="n">
        <f aca="false">Hipótesis!$C$44*(1-Hipótesis!$D$83)</f>
        <v>1540</v>
      </c>
      <c r="K116" s="138" t="n">
        <f aca="false">Hipótesis!$C$44*(1-Hipótesis!$D$83)</f>
        <v>1540</v>
      </c>
      <c r="L116" s="138" t="n">
        <f aca="false">Hipótesis!$C$44*(1-Hipótesis!$D$83)</f>
        <v>1540</v>
      </c>
      <c r="M116" s="138" t="n">
        <f aca="false">Hipótesis!$C$44*(1-Hipótesis!$D$83)</f>
        <v>1540</v>
      </c>
      <c r="N116" s="138" t="n">
        <f aca="false">Hipótesis!$C$44*(1-Hipótesis!$D$83)</f>
        <v>1540</v>
      </c>
      <c r="O116" s="138" t="n">
        <f aca="false">Hipótesis!$D$44*(1-Hipótesis!$D$83)</f>
        <v>2450</v>
      </c>
      <c r="P116" s="138" t="n">
        <f aca="false">Hipótesis!$D$44*(1-Hipótesis!$D$83)</f>
        <v>2450</v>
      </c>
      <c r="Q116" s="138" t="n">
        <f aca="false">Hipótesis!$D$44*(1-Hipótesis!$D$83)</f>
        <v>2450</v>
      </c>
      <c r="R116" s="138" t="n">
        <f aca="false">Hipótesis!$D$44*(1-Hipótesis!$D$83)</f>
        <v>2450</v>
      </c>
      <c r="S116" s="138" t="n">
        <f aca="false">Hipótesis!$D$44*(1-Hipótesis!$D$83)</f>
        <v>2450</v>
      </c>
      <c r="T116" s="138" t="n">
        <f aca="false">Hipótesis!$D$44*(1-Hipótesis!$D$83)</f>
        <v>2450</v>
      </c>
      <c r="U116" s="138" t="n">
        <f aca="false">Hipótesis!$D$44*(1-Hipótesis!$D$83)</f>
        <v>2450</v>
      </c>
      <c r="V116" s="138" t="n">
        <f aca="false">Hipótesis!$D$44*(1-Hipótesis!$D$83)</f>
        <v>2450</v>
      </c>
      <c r="W116" s="138" t="n">
        <f aca="false">Hipótesis!$D$44*(1-Hipótesis!$D$83)</f>
        <v>2450</v>
      </c>
      <c r="X116" s="138" t="n">
        <f aca="false">Hipótesis!$D$44*(1-Hipótesis!$D$83)</f>
        <v>2450</v>
      </c>
      <c r="Y116" s="138" t="n">
        <f aca="false">Hipótesis!$D$44*(1-Hipótesis!$D$83)</f>
        <v>2450</v>
      </c>
      <c r="Z116" s="138" t="n">
        <f aca="false">Hipótesis!$D$44*(1-Hipótesis!$D$83)</f>
        <v>2450</v>
      </c>
      <c r="AA116" s="138" t="n">
        <f aca="false">Hipótesis!$E$44*(1-Hipótesis!$D$83)</f>
        <v>2800</v>
      </c>
      <c r="AB116" s="138" t="n">
        <f aca="false">Hipótesis!$E$44*(1-Hipótesis!$D$83)</f>
        <v>2800</v>
      </c>
      <c r="AC116" s="138" t="n">
        <f aca="false">Hipótesis!$E$44*(1-Hipótesis!$D$83)</f>
        <v>2800</v>
      </c>
      <c r="AD116" s="138" t="n">
        <f aca="false">Hipótesis!$E$44*(1-Hipótesis!$D$83)</f>
        <v>2800</v>
      </c>
      <c r="AE116" s="138" t="n">
        <f aca="false">Hipótesis!$E$44*(1-Hipótesis!$D$83)</f>
        <v>2800</v>
      </c>
      <c r="AF116" s="138" t="n">
        <f aca="false">Hipótesis!$E$44*(1-Hipótesis!$D$83)</f>
        <v>2800</v>
      </c>
      <c r="AG116" s="138" t="n">
        <f aca="false">Hipótesis!$E$44*(1-Hipótesis!$D$83)</f>
        <v>2800</v>
      </c>
      <c r="AH116" s="138" t="n">
        <f aca="false">Hipótesis!$E$44*(1-Hipótesis!$D$83)</f>
        <v>2800</v>
      </c>
      <c r="AI116" s="138" t="n">
        <f aca="false">Hipótesis!$E$44*(1-Hipótesis!$D$83)</f>
        <v>2800</v>
      </c>
      <c r="AJ116" s="138" t="n">
        <f aca="false">Hipótesis!$E$44*(1-Hipótesis!$D$83)</f>
        <v>2800</v>
      </c>
      <c r="AK116" s="138" t="n">
        <f aca="false">Hipótesis!$E$44*(1-Hipótesis!$D$83)</f>
        <v>2800</v>
      </c>
      <c r="AL116" s="138" t="n">
        <f aca="false">Hipótesis!$E$44*(1-Hipótesis!$D$83)</f>
        <v>2800</v>
      </c>
      <c r="AM116" s="138" t="n">
        <f aca="false">Hipótesis!$F$44*(1-Hipótesis!$D$83)</f>
        <v>3150</v>
      </c>
      <c r="AN116" s="138" t="n">
        <f aca="false">Hipótesis!$F$44*(1-Hipótesis!$D$83)</f>
        <v>3150</v>
      </c>
      <c r="AO116" s="138" t="n">
        <f aca="false">Hipótesis!$F$44*(1-Hipótesis!$D$83)</f>
        <v>3150</v>
      </c>
      <c r="AP116" s="138" t="n">
        <f aca="false">Hipótesis!$F$44*(1-Hipótesis!$D$83)</f>
        <v>3150</v>
      </c>
      <c r="AQ116" s="138" t="n">
        <f aca="false">Hipótesis!$F$44*(1-Hipótesis!$D$83)</f>
        <v>3150</v>
      </c>
      <c r="AR116" s="138" t="n">
        <f aca="false">Hipótesis!$F$44*(1-Hipótesis!$D$83)</f>
        <v>3150</v>
      </c>
      <c r="AS116" s="138" t="n">
        <f aca="false">Hipótesis!$F$44*(1-Hipótesis!$D$83)</f>
        <v>3150</v>
      </c>
      <c r="AT116" s="138" t="n">
        <f aca="false">Hipótesis!$F$44*(1-Hipótesis!$D$83)</f>
        <v>3150</v>
      </c>
      <c r="AU116" s="138" t="n">
        <f aca="false">Hipótesis!$F$44*(1-Hipótesis!$D$83)</f>
        <v>3150</v>
      </c>
      <c r="AV116" s="138" t="n">
        <f aca="false">Hipótesis!$F$44*(1-Hipótesis!$D$83)</f>
        <v>3150</v>
      </c>
      <c r="AW116" s="138" t="n">
        <f aca="false">Hipótesis!$F$44*(1-Hipótesis!$D$83)</f>
        <v>3150</v>
      </c>
      <c r="AX116" s="138" t="n">
        <f aca="false">Hipótesis!$F$44*(1-Hipótesis!$D$83)</f>
        <v>3150</v>
      </c>
      <c r="AY116" s="138" t="n">
        <f aca="false">Hipótesis!$G$44*(1-Hipótesis!$D$83)</f>
        <v>3500</v>
      </c>
      <c r="AZ116" s="138" t="n">
        <f aca="false">Hipótesis!$G$44*(1-Hipótesis!$D$83)</f>
        <v>3500</v>
      </c>
      <c r="BA116" s="138" t="n">
        <f aca="false">Hipótesis!$G$44*(1-Hipótesis!$D$83)</f>
        <v>3500</v>
      </c>
      <c r="BB116" s="138" t="n">
        <f aca="false">Hipótesis!$G$44*(1-Hipótesis!$D$83)</f>
        <v>3500</v>
      </c>
      <c r="BC116" s="138" t="n">
        <f aca="false">Hipótesis!$G$44*(1-Hipótesis!$D$83)</f>
        <v>3500</v>
      </c>
      <c r="BD116" s="138" t="n">
        <f aca="false">Hipótesis!$G$44*(1-Hipótesis!$D$83)</f>
        <v>3500</v>
      </c>
      <c r="BE116" s="138" t="n">
        <f aca="false">Hipótesis!$G$44*(1-Hipótesis!$D$83)</f>
        <v>3500</v>
      </c>
      <c r="BF116" s="138" t="n">
        <f aca="false">Hipótesis!$G$44*(1-Hipótesis!$D$83)</f>
        <v>3500</v>
      </c>
      <c r="BG116" s="138" t="n">
        <f aca="false">Hipótesis!$G$44*(1-Hipótesis!$D$83)</f>
        <v>3500</v>
      </c>
      <c r="BH116" s="138" t="n">
        <f aca="false">Hipótesis!$G$44*(1-Hipótesis!$D$83)</f>
        <v>3500</v>
      </c>
      <c r="BI116" s="138" t="n">
        <f aca="false">Hipótesis!$G$44*(1-Hipótesis!$D$83)</f>
        <v>3500</v>
      </c>
      <c r="BJ116" s="138" t="n">
        <f aca="false">Hipótesis!$G$44*(1-Hipótesis!$D$83)</f>
        <v>3500</v>
      </c>
      <c r="BK116" s="138" t="n">
        <f aca="false">Hipótesis!$H$44*(1-Hipótesis!$D$83)</f>
        <v>3850</v>
      </c>
      <c r="BL116" s="138" t="n">
        <f aca="false">Hipótesis!$H$44*(1-Hipótesis!$D$83)</f>
        <v>3850</v>
      </c>
      <c r="BM116" s="138" t="n">
        <f aca="false">Hipótesis!$H$44*(1-Hipótesis!$D$83)</f>
        <v>3850</v>
      </c>
      <c r="BN116" s="138" t="n">
        <f aca="false">Hipótesis!$H$44*(1-Hipótesis!$D$83)</f>
        <v>3850</v>
      </c>
      <c r="BO116" s="138" t="n">
        <f aca="false">Hipótesis!$H$44*(1-Hipótesis!$D$83)</f>
        <v>3850</v>
      </c>
      <c r="BP116" s="138" t="n">
        <f aca="false">Hipótesis!$H$44*(1-Hipótesis!$D$83)</f>
        <v>3850</v>
      </c>
      <c r="BQ116" s="138" t="n">
        <f aca="false">Hipótesis!$H$44*(1-Hipótesis!$D$83)</f>
        <v>3850</v>
      </c>
      <c r="BR116" s="138" t="n">
        <f aca="false">Hipótesis!$H$44*(1-Hipótesis!$D$83)</f>
        <v>3850</v>
      </c>
      <c r="BS116" s="138" t="n">
        <f aca="false">Hipótesis!$H$44*(1-Hipótesis!$D$83)</f>
        <v>3850</v>
      </c>
      <c r="BT116" s="138" t="n">
        <f aca="false">Hipótesis!$H$44*(1-Hipótesis!$D$83)</f>
        <v>3850</v>
      </c>
      <c r="BU116" s="138" t="n">
        <f aca="false">Hipótesis!$H$44*(1-Hipótesis!$D$83)</f>
        <v>3850</v>
      </c>
      <c r="BV116" s="138" t="n">
        <f aca="false">Hipótesis!$H$44*(1-Hipótesis!$D$83)</f>
        <v>3850</v>
      </c>
      <c r="BW116" s="138" t="n">
        <f aca="false">Hipótesis!$I$44*(1-Hipótesis!$D$83)</f>
        <v>4200</v>
      </c>
      <c r="BX116" s="138" t="n">
        <f aca="false">Hipótesis!$I$44*(1-Hipótesis!$D$83)</f>
        <v>4200</v>
      </c>
      <c r="BY116" s="138" t="n">
        <f aca="false">Hipótesis!$I$44*(1-Hipótesis!$D$83)</f>
        <v>4200</v>
      </c>
      <c r="BZ116" s="138" t="n">
        <f aca="false">Hipótesis!$I$44*(1-Hipótesis!$D$83)</f>
        <v>4200</v>
      </c>
      <c r="CA116" s="138" t="n">
        <f aca="false">Hipótesis!$I$44*(1-Hipótesis!$D$83)</f>
        <v>4200</v>
      </c>
      <c r="CB116" s="138" t="n">
        <f aca="false">Hipótesis!$I$44*(1-Hipótesis!$D$83)</f>
        <v>4200</v>
      </c>
      <c r="CC116" s="138" t="n">
        <f aca="false">Hipótesis!$I$44*(1-Hipótesis!$D$83)</f>
        <v>4200</v>
      </c>
      <c r="CD116" s="138" t="n">
        <f aca="false">Hipótesis!$I$44*(1-Hipótesis!$D$83)</f>
        <v>4200</v>
      </c>
      <c r="CE116" s="138" t="n">
        <f aca="false">Hipótesis!$I$44*(1-Hipótesis!$D$83)</f>
        <v>4200</v>
      </c>
      <c r="CF116" s="138" t="n">
        <f aca="false">Hipótesis!$I$44*(1-Hipótesis!$D$83)</f>
        <v>4200</v>
      </c>
      <c r="CG116" s="138" t="n">
        <f aca="false">Hipótesis!$I$44*(1-Hipótesis!$D$83)</f>
        <v>4200</v>
      </c>
      <c r="CH116" s="138" t="n">
        <f aca="false">Hipótesis!$I$44*(1-Hipótesis!$D$83)</f>
        <v>4200</v>
      </c>
    </row>
    <row r="117" customFormat="false" ht="13.5" hidden="false" customHeight="true" outlineLevel="0" collapsed="false">
      <c r="A117" s="13" t="s">
        <v>790</v>
      </c>
      <c r="C117" s="138" t="n">
        <f aca="false">-C84*Hipótesis!$D$82*(1-Hipótesis!$D$84)</f>
        <v>0</v>
      </c>
      <c r="D117" s="138" t="n">
        <f aca="false">-D84*Hipótesis!$D$82*(1-Hipótesis!$D$84)</f>
        <v>0</v>
      </c>
      <c r="E117" s="138" t="n">
        <f aca="false">-E84*Hipótesis!$D$82*(1-Hipótesis!$D$84)</f>
        <v>0</v>
      </c>
      <c r="F117" s="138" t="n">
        <f aca="false">-F84*Hipótesis!$D$82*(1-Hipótesis!$D$84)</f>
        <v>0</v>
      </c>
      <c r="G117" s="138" t="n">
        <f aca="false">-G84*Hipótesis!$D$82*(1-Hipótesis!$D$84)</f>
        <v>0</v>
      </c>
      <c r="H117" s="138" t="n">
        <f aca="false">-H84*Hipótesis!$D$82*(1-Hipótesis!$D$84)</f>
        <v>0</v>
      </c>
      <c r="I117" s="138" t="n">
        <f aca="false">-I84*Hipótesis!$D$82*(1-Hipótesis!$D$84)</f>
        <v>0</v>
      </c>
      <c r="J117" s="138" t="n">
        <f aca="false">-J84*Hipótesis!$D$82*(1-Hipótesis!$D$84)</f>
        <v>0</v>
      </c>
      <c r="K117" s="138" t="n">
        <f aca="false">-K84*Hipótesis!$D$82*(1-Hipótesis!$D$84)</f>
        <v>0</v>
      </c>
      <c r="L117" s="138" t="n">
        <f aca="false">-L84*Hipótesis!$D$82*(1-Hipótesis!$D$84)</f>
        <v>0</v>
      </c>
      <c r="M117" s="138" t="n">
        <f aca="false">-M84*Hipótesis!$D$82*(1-Hipótesis!$D$84)</f>
        <v>0</v>
      </c>
      <c r="N117" s="138" t="n">
        <f aca="false">-N84*Hipótesis!$D$82*(1-Hipótesis!$D$84)</f>
        <v>0</v>
      </c>
      <c r="O117" s="138" t="n">
        <f aca="false">-O84*Hipótesis!$D$82*(1-Hipótesis!$D$84)</f>
        <v>0</v>
      </c>
      <c r="P117" s="138" t="n">
        <f aca="false">-P84*Hipótesis!$D$82*(1-Hipótesis!$D$84)</f>
        <v>0</v>
      </c>
      <c r="Q117" s="138" t="n">
        <f aca="false">-Q84*Hipótesis!$D$82*(1-Hipótesis!$D$84)</f>
        <v>0</v>
      </c>
      <c r="R117" s="138" t="n">
        <f aca="false">-R84*Hipótesis!$D$82*(1-Hipótesis!$D$84)</f>
        <v>0</v>
      </c>
      <c r="S117" s="138" t="n">
        <f aca="false">-S84*Hipótesis!$D$82*(1-Hipótesis!$D$84)</f>
        <v>0</v>
      </c>
      <c r="T117" s="138" t="n">
        <f aca="false">-T84*Hipótesis!$D$82*(1-Hipótesis!$D$84)</f>
        <v>0</v>
      </c>
      <c r="U117" s="138" t="n">
        <f aca="false">-U84*Hipótesis!$D$82*(1-Hipótesis!$D$84)</f>
        <v>0</v>
      </c>
      <c r="V117" s="138" t="n">
        <f aca="false">-V84*Hipótesis!$D$82*(1-Hipótesis!$D$84)</f>
        <v>0</v>
      </c>
      <c r="W117" s="138" t="n">
        <f aca="false">-W84*Hipótesis!$D$82*(1-Hipótesis!$D$84)</f>
        <v>0</v>
      </c>
      <c r="X117" s="138" t="n">
        <f aca="false">-X84*Hipótesis!$D$82*(1-Hipótesis!$D$84)</f>
        <v>0</v>
      </c>
      <c r="Y117" s="138" t="n">
        <f aca="false">-Y84*Hipótesis!$D$82*(1-Hipótesis!$D$84)</f>
        <v>0</v>
      </c>
      <c r="Z117" s="138" t="n">
        <f aca="false">-Z84*Hipótesis!$D$82*(1-Hipótesis!$D$84)</f>
        <v>0</v>
      </c>
      <c r="AA117" s="138" t="n">
        <f aca="false">-AA84*Hipótesis!$D$82*(1-Hipótesis!$D$84)</f>
        <v>0</v>
      </c>
      <c r="AB117" s="138" t="n">
        <f aca="false">-AB84*Hipótesis!$D$82*(1-Hipótesis!$D$84)</f>
        <v>0</v>
      </c>
      <c r="AC117" s="138" t="n">
        <f aca="false">-AC84*Hipótesis!$D$82*(1-Hipótesis!$D$84)</f>
        <v>0</v>
      </c>
      <c r="AD117" s="138" t="n">
        <f aca="false">-AD84*Hipótesis!$D$82*(1-Hipótesis!$D$84)</f>
        <v>0</v>
      </c>
      <c r="AE117" s="138" t="n">
        <f aca="false">-AE84*Hipótesis!$D$82*(1-Hipótesis!$D$84)</f>
        <v>0</v>
      </c>
      <c r="AF117" s="138" t="n">
        <f aca="false">-AF84*Hipótesis!$D$82*(1-Hipótesis!$D$84)</f>
        <v>0</v>
      </c>
      <c r="AG117" s="138" t="n">
        <f aca="false">-AG84*Hipótesis!$D$82*(1-Hipótesis!$D$84)</f>
        <v>0</v>
      </c>
      <c r="AH117" s="138" t="n">
        <f aca="false">-AH84*Hipótesis!$D$82*(1-Hipótesis!$D$84)</f>
        <v>0</v>
      </c>
      <c r="AI117" s="138" t="n">
        <f aca="false">-AI84*Hipótesis!$D$82*(1-Hipótesis!$D$84)</f>
        <v>0</v>
      </c>
      <c r="AJ117" s="138" t="n">
        <f aca="false">-AJ84*Hipótesis!$D$82*(1-Hipótesis!$D$84)</f>
        <v>0</v>
      </c>
      <c r="AK117" s="138" t="n">
        <f aca="false">-AK84*Hipótesis!$D$82*(1-Hipótesis!$D$84)</f>
        <v>0</v>
      </c>
      <c r="AL117" s="138" t="n">
        <f aca="false">-AL84*Hipótesis!$D$82*(1-Hipótesis!$D$84)</f>
        <v>0</v>
      </c>
      <c r="AM117" s="138" t="n">
        <f aca="false">-AM84*Hipótesis!$D$82*(1-Hipótesis!$D$84)</f>
        <v>0</v>
      </c>
      <c r="AN117" s="138" t="n">
        <f aca="false">-AN84*Hipótesis!$D$82*(1-Hipótesis!$D$84)</f>
        <v>0</v>
      </c>
      <c r="AO117" s="138" t="n">
        <f aca="false">-AO84*Hipótesis!$D$82*(1-Hipótesis!$D$84)</f>
        <v>0</v>
      </c>
      <c r="AP117" s="138" t="n">
        <f aca="false">-AP84*Hipótesis!$D$82*(1-Hipótesis!$D$84)</f>
        <v>0</v>
      </c>
      <c r="AQ117" s="138" t="n">
        <f aca="false">-AQ84*Hipótesis!$D$82*(1-Hipótesis!$D$84)</f>
        <v>0</v>
      </c>
      <c r="AR117" s="138" t="n">
        <f aca="false">-AR84*Hipótesis!$D$82*(1-Hipótesis!$D$84)</f>
        <v>0</v>
      </c>
      <c r="AS117" s="138" t="n">
        <f aca="false">-AS84*Hipótesis!$D$82*(1-Hipótesis!$D$84)</f>
        <v>0</v>
      </c>
      <c r="AT117" s="138" t="n">
        <f aca="false">-AT84*Hipótesis!$D$82*(1-Hipótesis!$D$84)</f>
        <v>0</v>
      </c>
      <c r="AU117" s="138" t="n">
        <f aca="false">-AU84*Hipótesis!$D$82*(1-Hipótesis!$D$84)</f>
        <v>0</v>
      </c>
      <c r="AV117" s="138" t="n">
        <f aca="false">-AV84*Hipótesis!$D$82*(1-Hipótesis!$D$84)</f>
        <v>0</v>
      </c>
      <c r="AW117" s="138" t="n">
        <f aca="false">-AW84*Hipótesis!$D$82*(1-Hipótesis!$D$84)</f>
        <v>0</v>
      </c>
      <c r="AX117" s="138" t="n">
        <f aca="false">-AX84*Hipótesis!$D$82*(1-Hipótesis!$D$84)</f>
        <v>0</v>
      </c>
      <c r="AY117" s="138" t="n">
        <f aca="false">-AY84*Hipótesis!$D$82*(1-Hipótesis!$D$84)</f>
        <v>0</v>
      </c>
      <c r="AZ117" s="138" t="n">
        <f aca="false">-AZ84*Hipótesis!$D$82*(1-Hipótesis!$D$84)</f>
        <v>0</v>
      </c>
      <c r="BA117" s="138" t="n">
        <f aca="false">-BA84*Hipótesis!$D$82*(1-Hipótesis!$D$84)</f>
        <v>0</v>
      </c>
      <c r="BB117" s="138" t="n">
        <f aca="false">-BB84*Hipótesis!$D$82*(1-Hipótesis!$D$84)</f>
        <v>0</v>
      </c>
      <c r="BC117" s="138" t="n">
        <f aca="false">-BC84*Hipótesis!$D$82*(1-Hipótesis!$D$84)</f>
        <v>0</v>
      </c>
      <c r="BD117" s="138" t="n">
        <f aca="false">-BD84*Hipótesis!$D$82*(1-Hipótesis!$D$84)</f>
        <v>0</v>
      </c>
      <c r="BE117" s="138" t="n">
        <f aca="false">-BE84*Hipótesis!$D$82*(1-Hipótesis!$D$84)</f>
        <v>0</v>
      </c>
      <c r="BF117" s="138" t="n">
        <f aca="false">-BF84*Hipótesis!$D$82*(1-Hipótesis!$D$84)</f>
        <v>0</v>
      </c>
      <c r="BG117" s="138" t="n">
        <f aca="false">-BG84*Hipótesis!$D$82*(1-Hipótesis!$D$84)</f>
        <v>0</v>
      </c>
      <c r="BH117" s="138" t="n">
        <f aca="false">-BH84*Hipótesis!$D$82*(1-Hipótesis!$D$84)</f>
        <v>0</v>
      </c>
      <c r="BI117" s="138" t="n">
        <f aca="false">-BI84*Hipótesis!$D$82*(1-Hipótesis!$D$84)</f>
        <v>0</v>
      </c>
      <c r="BJ117" s="138" t="n">
        <f aca="false">-BJ84*Hipótesis!$D$82*(1-Hipótesis!$D$84)</f>
        <v>0</v>
      </c>
      <c r="BK117" s="138" t="n">
        <f aca="false">-BK84*Hipótesis!$D$82*(1-Hipótesis!$D$84)</f>
        <v>0</v>
      </c>
      <c r="BL117" s="138" t="n">
        <f aca="false">-BL84*Hipótesis!$D$82*(1-Hipótesis!$D$84)</f>
        <v>0</v>
      </c>
      <c r="BM117" s="138" t="n">
        <f aca="false">-BM84*Hipótesis!$D$82*(1-Hipótesis!$D$84)</f>
        <v>0</v>
      </c>
      <c r="BN117" s="138" t="n">
        <f aca="false">-BN84*Hipótesis!$D$82*(1-Hipótesis!$D$84)</f>
        <v>0</v>
      </c>
      <c r="BO117" s="138" t="n">
        <f aca="false">-BO84*Hipótesis!$D$82*(1-Hipótesis!$D$84)</f>
        <v>0</v>
      </c>
      <c r="BP117" s="138" t="n">
        <f aca="false">-BP84*Hipótesis!$D$82*(1-Hipótesis!$D$84)</f>
        <v>0</v>
      </c>
      <c r="BQ117" s="138" t="n">
        <f aca="false">-BQ84*Hipótesis!$D$82*(1-Hipótesis!$D$84)</f>
        <v>0</v>
      </c>
      <c r="BR117" s="138" t="n">
        <f aca="false">-BR84*Hipótesis!$D$82*(1-Hipótesis!$D$84)</f>
        <v>0</v>
      </c>
      <c r="BS117" s="138" t="n">
        <f aca="false">-BS84*Hipótesis!$D$82*(1-Hipótesis!$D$84)</f>
        <v>0</v>
      </c>
      <c r="BT117" s="138" t="n">
        <f aca="false">-BT84*Hipótesis!$D$82*(1-Hipótesis!$D$84)</f>
        <v>0</v>
      </c>
      <c r="BU117" s="138" t="n">
        <f aca="false">-BU84*Hipótesis!$D$82*(1-Hipótesis!$D$84)</f>
        <v>0</v>
      </c>
      <c r="BV117" s="138" t="n">
        <f aca="false">-BV84*Hipótesis!$D$82*(1-Hipótesis!$D$84)</f>
        <v>0</v>
      </c>
      <c r="BW117" s="138" t="n">
        <f aca="false">-BW84*Hipótesis!$D$82*(1-Hipótesis!$D$84)</f>
        <v>0</v>
      </c>
      <c r="BX117" s="138" t="n">
        <f aca="false">-BX84*Hipótesis!$D$82*(1-Hipótesis!$D$84)</f>
        <v>0</v>
      </c>
      <c r="BY117" s="138" t="n">
        <f aca="false">-BY84*Hipótesis!$D$82*(1-Hipótesis!$D$84)</f>
        <v>0</v>
      </c>
      <c r="BZ117" s="138" t="n">
        <f aca="false">-BZ84*Hipótesis!$D$82*(1-Hipótesis!$D$84)</f>
        <v>0</v>
      </c>
      <c r="CA117" s="138" t="n">
        <f aca="false">-CA84*Hipótesis!$D$82*(1-Hipótesis!$D$84)</f>
        <v>0</v>
      </c>
      <c r="CB117" s="138" t="n">
        <f aca="false">-CB84*Hipótesis!$D$82*(1-Hipótesis!$D$84)</f>
        <v>0</v>
      </c>
      <c r="CC117" s="138" t="n">
        <f aca="false">-CC84*Hipótesis!$D$82*(1-Hipótesis!$D$84)</f>
        <v>0</v>
      </c>
      <c r="CD117" s="138" t="n">
        <f aca="false">-CD84*Hipótesis!$D$82*(1-Hipótesis!$D$84)</f>
        <v>0</v>
      </c>
      <c r="CE117" s="138" t="n">
        <f aca="false">-CE84*Hipótesis!$D$82*(1-Hipótesis!$D$84)</f>
        <v>0</v>
      </c>
      <c r="CF117" s="138" t="n">
        <f aca="false">-CF84*Hipótesis!$D$82*(1-Hipótesis!$D$84)</f>
        <v>0</v>
      </c>
      <c r="CG117" s="138" t="n">
        <f aca="false">-CG84*Hipótesis!$D$82*(1-Hipótesis!$D$84)</f>
        <v>0</v>
      </c>
      <c r="CH117" s="138" t="n">
        <f aca="false">-CH84*Hipótesis!$D$82*(1-Hipótesis!$D$84)</f>
        <v>0</v>
      </c>
    </row>
    <row r="118" customFormat="false" ht="13.5" hidden="false" customHeight="true" outlineLevel="0" collapsed="false">
      <c r="A118" s="30" t="s">
        <v>791</v>
      </c>
      <c r="C118" s="138" t="n">
        <f aca="false">C116+C117</f>
        <v>1540</v>
      </c>
      <c r="D118" s="138" t="n">
        <f aca="false">D116+D117</f>
        <v>1540</v>
      </c>
      <c r="E118" s="138" t="n">
        <f aca="false">E116+E117</f>
        <v>1540</v>
      </c>
      <c r="F118" s="138" t="n">
        <f aca="false">F116+F117</f>
        <v>1540</v>
      </c>
      <c r="G118" s="138" t="n">
        <f aca="false">G116+G117</f>
        <v>1540</v>
      </c>
      <c r="H118" s="138" t="n">
        <f aca="false">H116+H117</f>
        <v>1540</v>
      </c>
      <c r="I118" s="138" t="n">
        <f aca="false">I116+I117</f>
        <v>1540</v>
      </c>
      <c r="J118" s="138" t="n">
        <f aca="false">J116+J117</f>
        <v>1540</v>
      </c>
      <c r="K118" s="138" t="n">
        <f aca="false">K116+K117</f>
        <v>1540</v>
      </c>
      <c r="L118" s="138" t="n">
        <f aca="false">L116+L117</f>
        <v>1540</v>
      </c>
      <c r="M118" s="138" t="n">
        <f aca="false">M116+M117</f>
        <v>1540</v>
      </c>
      <c r="N118" s="138" t="n">
        <f aca="false">N116+N117</f>
        <v>1540</v>
      </c>
      <c r="O118" s="138" t="n">
        <f aca="false">O116+O117</f>
        <v>2450</v>
      </c>
      <c r="P118" s="138" t="n">
        <f aca="false">P116+P117</f>
        <v>2450</v>
      </c>
      <c r="Q118" s="138" t="n">
        <f aca="false">Q116+Q117</f>
        <v>2450</v>
      </c>
      <c r="R118" s="138" t="n">
        <f aca="false">R116+R117</f>
        <v>2450</v>
      </c>
      <c r="S118" s="138" t="n">
        <f aca="false">S116+S117</f>
        <v>2450</v>
      </c>
      <c r="T118" s="138" t="n">
        <f aca="false">T116+T117</f>
        <v>2450</v>
      </c>
      <c r="U118" s="138" t="n">
        <f aca="false">U116+U117</f>
        <v>2450</v>
      </c>
      <c r="V118" s="138" t="n">
        <f aca="false">V116+V117</f>
        <v>2450</v>
      </c>
      <c r="W118" s="138" t="n">
        <f aca="false">W116+W117</f>
        <v>2450</v>
      </c>
      <c r="X118" s="138" t="n">
        <f aca="false">X116+X117</f>
        <v>2450</v>
      </c>
      <c r="Y118" s="138" t="n">
        <f aca="false">Y116+Y117</f>
        <v>2450</v>
      </c>
      <c r="Z118" s="138" t="n">
        <f aca="false">Z116+Z117</f>
        <v>2450</v>
      </c>
      <c r="AA118" s="138" t="n">
        <f aca="false">AA116+AA117</f>
        <v>2800</v>
      </c>
      <c r="AB118" s="138" t="n">
        <f aca="false">AB116+AB117</f>
        <v>2800</v>
      </c>
      <c r="AC118" s="138" t="n">
        <f aca="false">AC116+AC117</f>
        <v>2800</v>
      </c>
      <c r="AD118" s="138" t="n">
        <f aca="false">AD116+AD117</f>
        <v>2800</v>
      </c>
      <c r="AE118" s="138" t="n">
        <f aca="false">AE116+AE117</f>
        <v>2800</v>
      </c>
      <c r="AF118" s="138" t="n">
        <f aca="false">AF116+AF117</f>
        <v>2800</v>
      </c>
      <c r="AG118" s="138" t="n">
        <f aca="false">AG116+AG117</f>
        <v>2800</v>
      </c>
      <c r="AH118" s="138" t="n">
        <f aca="false">AH116+AH117</f>
        <v>2800</v>
      </c>
      <c r="AI118" s="138" t="n">
        <f aca="false">AI116+AI117</f>
        <v>2800</v>
      </c>
      <c r="AJ118" s="138" t="n">
        <f aca="false">AJ116+AJ117</f>
        <v>2800</v>
      </c>
      <c r="AK118" s="138" t="n">
        <f aca="false">AK116+AK117</f>
        <v>2800</v>
      </c>
      <c r="AL118" s="138" t="n">
        <f aca="false">AL116+AL117</f>
        <v>2800</v>
      </c>
      <c r="AM118" s="138" t="n">
        <f aca="false">AM116+AM117</f>
        <v>3150</v>
      </c>
      <c r="AN118" s="138" t="n">
        <f aca="false">AN116+AN117</f>
        <v>3150</v>
      </c>
      <c r="AO118" s="138" t="n">
        <f aca="false">AO116+AO117</f>
        <v>3150</v>
      </c>
      <c r="AP118" s="138" t="n">
        <f aca="false">AP116+AP117</f>
        <v>3150</v>
      </c>
      <c r="AQ118" s="138" t="n">
        <f aca="false">AQ116+AQ117</f>
        <v>3150</v>
      </c>
      <c r="AR118" s="138" t="n">
        <f aca="false">AR116+AR117</f>
        <v>3150</v>
      </c>
      <c r="AS118" s="138" t="n">
        <f aca="false">AS116+AS117</f>
        <v>3150</v>
      </c>
      <c r="AT118" s="138" t="n">
        <f aca="false">AT116+AT117</f>
        <v>3150</v>
      </c>
      <c r="AU118" s="138" t="n">
        <f aca="false">AU116+AU117</f>
        <v>3150</v>
      </c>
      <c r="AV118" s="138" t="n">
        <f aca="false">AV116+AV117</f>
        <v>3150</v>
      </c>
      <c r="AW118" s="138" t="n">
        <f aca="false">AW116+AW117</f>
        <v>3150</v>
      </c>
      <c r="AX118" s="138" t="n">
        <f aca="false">AX116+AX117</f>
        <v>3150</v>
      </c>
      <c r="AY118" s="138" t="n">
        <f aca="false">AY116+AY117</f>
        <v>3500</v>
      </c>
      <c r="AZ118" s="138" t="n">
        <f aca="false">AZ116+AZ117</f>
        <v>3500</v>
      </c>
      <c r="BA118" s="138" t="n">
        <f aca="false">BA116+BA117</f>
        <v>3500</v>
      </c>
      <c r="BB118" s="138" t="n">
        <f aca="false">BB116+BB117</f>
        <v>3500</v>
      </c>
      <c r="BC118" s="138" t="n">
        <f aca="false">BC116+BC117</f>
        <v>3500</v>
      </c>
      <c r="BD118" s="138" t="n">
        <f aca="false">BD116+BD117</f>
        <v>3500</v>
      </c>
      <c r="BE118" s="138" t="n">
        <f aca="false">BE116+BE117</f>
        <v>3500</v>
      </c>
      <c r="BF118" s="138" t="n">
        <f aca="false">BF116+BF117</f>
        <v>3500</v>
      </c>
      <c r="BG118" s="138" t="n">
        <f aca="false">BG116+BG117</f>
        <v>3500</v>
      </c>
      <c r="BH118" s="138" t="n">
        <f aca="false">BH116+BH117</f>
        <v>3500</v>
      </c>
      <c r="BI118" s="138" t="n">
        <f aca="false">BI116+BI117</f>
        <v>3500</v>
      </c>
      <c r="BJ118" s="138" t="n">
        <f aca="false">BJ116+BJ117</f>
        <v>3500</v>
      </c>
      <c r="BK118" s="138" t="n">
        <f aca="false">BK116+BK117</f>
        <v>3850</v>
      </c>
      <c r="BL118" s="138" t="n">
        <f aca="false">BL116+BL117</f>
        <v>3850</v>
      </c>
      <c r="BM118" s="138" t="n">
        <f aca="false">BM116+BM117</f>
        <v>3850</v>
      </c>
      <c r="BN118" s="138" t="n">
        <f aca="false">BN116+BN117</f>
        <v>3850</v>
      </c>
      <c r="BO118" s="138" t="n">
        <f aca="false">BO116+BO117</f>
        <v>3850</v>
      </c>
      <c r="BP118" s="138" t="n">
        <f aca="false">BP116+BP117</f>
        <v>3850</v>
      </c>
      <c r="BQ118" s="138" t="n">
        <f aca="false">BQ116+BQ117</f>
        <v>3850</v>
      </c>
      <c r="BR118" s="138" t="n">
        <f aca="false">BR116+BR117</f>
        <v>3850</v>
      </c>
      <c r="BS118" s="138" t="n">
        <f aca="false">BS116+BS117</f>
        <v>3850</v>
      </c>
      <c r="BT118" s="138" t="n">
        <f aca="false">BT116+BT117</f>
        <v>3850</v>
      </c>
      <c r="BU118" s="138" t="n">
        <f aca="false">BU116+BU117</f>
        <v>3850</v>
      </c>
      <c r="BV118" s="138" t="n">
        <f aca="false">BV116+BV117</f>
        <v>3850</v>
      </c>
      <c r="BW118" s="138" t="n">
        <f aca="false">BW116+BW117</f>
        <v>4200</v>
      </c>
      <c r="BX118" s="138" t="n">
        <f aca="false">BX116+BX117</f>
        <v>4200</v>
      </c>
      <c r="BY118" s="138" t="n">
        <f aca="false">BY116+BY117</f>
        <v>4200</v>
      </c>
      <c r="BZ118" s="138" t="n">
        <f aca="false">BZ116+BZ117</f>
        <v>4200</v>
      </c>
      <c r="CA118" s="138" t="n">
        <f aca="false">CA116+CA117</f>
        <v>4200</v>
      </c>
      <c r="CB118" s="138" t="n">
        <f aca="false">CB116+CB117</f>
        <v>4200</v>
      </c>
      <c r="CC118" s="138" t="n">
        <f aca="false">CC116+CC117</f>
        <v>4200</v>
      </c>
      <c r="CD118" s="138" t="n">
        <f aca="false">CD116+CD117</f>
        <v>4200</v>
      </c>
      <c r="CE118" s="138" t="n">
        <f aca="false">CE116+CE117</f>
        <v>4200</v>
      </c>
      <c r="CF118" s="138" t="n">
        <f aca="false">CF116+CF117</f>
        <v>4200</v>
      </c>
      <c r="CG118" s="138" t="n">
        <f aca="false">CG116+CG117</f>
        <v>4200</v>
      </c>
      <c r="CH118" s="138" t="n">
        <f aca="false">CH116+CH117</f>
        <v>4200</v>
      </c>
    </row>
    <row r="119" customFormat="false" ht="13.5" hidden="false" customHeight="true" outlineLevel="0" collapsed="false"/>
    <row r="120" customFormat="false" ht="12.75" hidden="false" customHeight="true" outlineLevel="0" collapsed="false">
      <c r="A120" s="10" t="s">
        <v>792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</row>
    <row r="121" customFormat="false" ht="12.75" hidden="false" customHeight="true" outlineLevel="0" collapsed="false">
      <c r="A121" s="30" t="s">
        <v>793</v>
      </c>
      <c r="B121" s="152" t="n">
        <f aca="false">-Hipótesis!$D$93</f>
        <v>-100000</v>
      </c>
      <c r="C121" s="152" t="n">
        <f aca="false">C93+IF(Hipótesis!$D$94=5,IF(C$3=Hipótesis!$D$124,$C$158,0),IF(C$3=84,$C$134,0))</f>
        <v>0</v>
      </c>
      <c r="D121" s="152" t="n">
        <f aca="false">D93+IF(Hipótesis!$D$94=5,IF(D$3=Hipótesis!$D$124,$C$158,0),IF(D$3=84,$C$134,0))</f>
        <v>0</v>
      </c>
      <c r="E121" s="152" t="n">
        <f aca="false">E93+IF(Hipótesis!$D$94=5,IF(E$3=Hipótesis!$D$124,$C$158,0),IF(E$3=84,$C$134,0))</f>
        <v>0</v>
      </c>
      <c r="F121" s="152" t="n">
        <f aca="false">F93+IF(Hipótesis!$D$94=5,IF(F$3=Hipótesis!$D$124,$C$158,0),IF(F$3=84,$C$134,0))</f>
        <v>0</v>
      </c>
      <c r="G121" s="152" t="n">
        <f aca="false">G93+IF(Hipótesis!$D$94=5,IF(G$3=Hipótesis!$D$124,$C$158,0),IF(G$3=84,$C$134,0))</f>
        <v>0</v>
      </c>
      <c r="H121" s="152" t="n">
        <f aca="false">H93+IF(Hipótesis!$D$94=5,IF(H$3=Hipótesis!$D$124,$C$158,0),IF(H$3=84,$C$134,0))</f>
        <v>0</v>
      </c>
      <c r="I121" s="152" t="n">
        <f aca="false">I93+IF(Hipótesis!$D$94=5,IF(I$3=Hipótesis!$D$124,$C$158,0),IF(I$3=84,$C$134,0))</f>
        <v>0</v>
      </c>
      <c r="J121" s="152" t="n">
        <f aca="false">J93+IF(Hipótesis!$D$94=5,IF(J$3=Hipótesis!$D$124,$C$158,0),IF(J$3=84,$C$134,0))</f>
        <v>0</v>
      </c>
      <c r="K121" s="152" t="n">
        <f aca="false">K93+IF(Hipótesis!$D$94=5,IF(K$3=Hipótesis!$D$124,$C$158,0),IF(K$3=84,$C$134,0))</f>
        <v>0</v>
      </c>
      <c r="L121" s="152" t="n">
        <f aca="false">L93+IF(Hipótesis!$D$94=5,IF(L$3=Hipótesis!$D$124,$C$158,0),IF(L$3=84,$C$134,0))</f>
        <v>0</v>
      </c>
      <c r="M121" s="152" t="n">
        <f aca="false">M93+IF(Hipótesis!$D$94=5,IF(M$3=Hipótesis!$D$124,$C$158,0),IF(M$3=84,$C$134,0))</f>
        <v>0</v>
      </c>
      <c r="N121" s="152" t="n">
        <f aca="false">N93+IF(Hipótesis!$D$94=5,IF(N$3=Hipótesis!$D$124,$C$158,0),IF(N$3=84,$C$134,0))</f>
        <v>0</v>
      </c>
      <c r="O121" s="152" t="n">
        <f aca="false">O93+IF(Hipótesis!$D$94=5,IF(O$3=Hipótesis!$D$124,$C$158,0),IF(O$3=84,$C$134,0))</f>
        <v>0</v>
      </c>
      <c r="P121" s="152" t="n">
        <f aca="false">P93+IF(Hipótesis!$D$94=5,IF(P$3=Hipótesis!$D$124,$C$158,0),IF(P$3=84,$C$134,0))</f>
        <v>0</v>
      </c>
      <c r="Q121" s="152" t="n">
        <f aca="false">Q93+IF(Hipótesis!$D$94=5,IF(Q$3=Hipótesis!$D$124,$C$158,0),IF(Q$3=84,$C$134,0))</f>
        <v>0</v>
      </c>
      <c r="R121" s="152" t="n">
        <f aca="false">R93+IF(Hipótesis!$D$94=5,IF(R$3=Hipótesis!$D$124,$C$158,0),IF(R$3=84,$C$134,0))</f>
        <v>0</v>
      </c>
      <c r="S121" s="152" t="n">
        <f aca="false">S93+IF(Hipótesis!$D$94=5,IF(S$3=Hipótesis!$D$124,$C$158,0),IF(S$3=84,$C$134,0))</f>
        <v>0</v>
      </c>
      <c r="T121" s="152" t="n">
        <f aca="false">T93+IF(Hipótesis!$D$94=5,IF(T$3=Hipótesis!$D$124,$C$158,0),IF(T$3=84,$C$134,0))</f>
        <v>0</v>
      </c>
      <c r="U121" s="152" t="n">
        <f aca="false">U93+IF(Hipótesis!$D$94=5,IF(U$3=Hipótesis!$D$124,$C$158,0),IF(U$3=84,$C$134,0))</f>
        <v>0</v>
      </c>
      <c r="V121" s="152" t="n">
        <f aca="false">V93+IF(Hipótesis!$D$94=5,IF(V$3=Hipótesis!$D$124,$C$158,0),IF(V$3=84,$C$134,0))</f>
        <v>0</v>
      </c>
      <c r="W121" s="152" t="n">
        <f aca="false">W93+IF(Hipótesis!$D$94=5,IF(W$3=Hipótesis!$D$124,$C$158,0),IF(W$3=84,$C$134,0))</f>
        <v>0</v>
      </c>
      <c r="X121" s="152" t="n">
        <f aca="false">X93+IF(Hipótesis!$D$94=5,IF(X$3=Hipótesis!$D$124,$C$158,0),IF(X$3=84,$C$134,0))</f>
        <v>0</v>
      </c>
      <c r="Y121" s="152" t="n">
        <f aca="false">Y93+IF(Hipótesis!$D$94=5,IF(Y$3=Hipótesis!$D$124,$C$158,0),IF(Y$3=84,$C$134,0))</f>
        <v>0</v>
      </c>
      <c r="Z121" s="152" t="n">
        <f aca="false">Z93+IF(Hipótesis!$D$94=5,IF(Z$3=Hipótesis!$D$124,$C$158,0),IF(Z$3=84,$C$134,0))</f>
        <v>0</v>
      </c>
      <c r="AA121" s="152" t="n">
        <f aca="false">AA93+IF(Hipótesis!$D$94=5,IF(AA$3=Hipótesis!$D$124,$C$158,0),IF(AA$3=84,$C$134,0))</f>
        <v>0</v>
      </c>
      <c r="AB121" s="152" t="n">
        <f aca="false">AB93+IF(Hipótesis!$D$94=5,IF(AB$3=Hipótesis!$D$124,$C$158,0),IF(AB$3=84,$C$134,0))</f>
        <v>0</v>
      </c>
      <c r="AC121" s="152" t="n">
        <f aca="false">AC93+IF(Hipótesis!$D$94=5,IF(AC$3=Hipótesis!$D$124,$C$158,0),IF(AC$3=84,$C$134,0))</f>
        <v>0</v>
      </c>
      <c r="AD121" s="152" t="n">
        <f aca="false">AD93+IF(Hipótesis!$D$94=5,IF(AD$3=Hipótesis!$D$124,$C$158,0),IF(AD$3=84,$C$134,0))</f>
        <v>0</v>
      </c>
      <c r="AE121" s="152" t="n">
        <f aca="false">AE93+IF(Hipótesis!$D$94=5,IF(AE$3=Hipótesis!$D$124,$C$158,0),IF(AE$3=84,$C$134,0))</f>
        <v>0</v>
      </c>
      <c r="AF121" s="152" t="n">
        <f aca="false">AF93+IF(Hipótesis!$D$94=5,IF(AF$3=Hipótesis!$D$124,$C$158,0),IF(AF$3=84,$C$134,0))</f>
        <v>0</v>
      </c>
      <c r="AG121" s="152" t="n">
        <f aca="false">AG93+IF(Hipótesis!$D$94=5,IF(AG$3=Hipótesis!$D$124,$C$158,0),IF(AG$3=84,$C$134,0))</f>
        <v>0</v>
      </c>
      <c r="AH121" s="152" t="n">
        <f aca="false">AH93+IF(Hipótesis!$D$94=5,IF(AH$3=Hipótesis!$D$124,$C$158,0),IF(AH$3=84,$C$134,0))</f>
        <v>0</v>
      </c>
      <c r="AI121" s="152" t="n">
        <f aca="false">AI93+IF(Hipótesis!$D$94=5,IF(AI$3=Hipótesis!$D$124,$C$158,0),IF(AI$3=84,$C$134,0))</f>
        <v>0</v>
      </c>
      <c r="AJ121" s="152" t="n">
        <f aca="false">AJ93+IF(Hipótesis!$D$94=5,IF(AJ$3=Hipótesis!$D$124,$C$158,0),IF(AJ$3=84,$C$134,0))</f>
        <v>0</v>
      </c>
      <c r="AK121" s="152" t="n">
        <f aca="false">AK93+IF(Hipótesis!$D$94=5,IF(AK$3=Hipótesis!$D$124,$C$158,0),IF(AK$3=84,$C$134,0))</f>
        <v>0</v>
      </c>
      <c r="AL121" s="152" t="n">
        <f aca="false">AL93+IF(Hipótesis!$D$94=5,IF(AL$3=Hipótesis!$D$124,$C$158,0),IF(AL$3=84,$C$134,0))</f>
        <v>0</v>
      </c>
      <c r="AM121" s="152" t="n">
        <f aca="false">AM93+IF(Hipótesis!$D$94=5,IF(AM$3=Hipótesis!$D$124,$C$158,0),IF(AM$3=84,$C$134,0))</f>
        <v>0</v>
      </c>
      <c r="AN121" s="152" t="n">
        <f aca="false">AN93+IF(Hipótesis!$D$94=5,IF(AN$3=Hipótesis!$D$124,$C$158,0),IF(AN$3=84,$C$134,0))</f>
        <v>0</v>
      </c>
      <c r="AO121" s="152" t="n">
        <f aca="false">AO93+IF(Hipótesis!$D$94=5,IF(AO$3=Hipótesis!$D$124,$C$158,0),IF(AO$3=84,$C$134,0))</f>
        <v>0</v>
      </c>
      <c r="AP121" s="152" t="n">
        <f aca="false">AP93+IF(Hipótesis!$D$94=5,IF(AP$3=Hipótesis!$D$124,$C$158,0),IF(AP$3=84,$C$134,0))</f>
        <v>0</v>
      </c>
      <c r="AQ121" s="152" t="n">
        <f aca="false">AQ93+IF(Hipótesis!$D$94=5,IF(AQ$3=Hipótesis!$D$124,$C$158,0),IF(AQ$3=84,$C$134,0))</f>
        <v>0</v>
      </c>
      <c r="AR121" s="152" t="n">
        <f aca="false">AR93+IF(Hipótesis!$D$94=5,IF(AR$3=Hipótesis!$D$124,$C$158,0),IF(AR$3=84,$C$134,0))</f>
        <v>0</v>
      </c>
      <c r="AS121" s="152" t="n">
        <f aca="false">AS93+IF(Hipótesis!$D$94=5,IF(AS$3=Hipótesis!$D$124,$C$158,0),IF(AS$3=84,$C$134,0))</f>
        <v>0</v>
      </c>
      <c r="AT121" s="152" t="n">
        <f aca="false">AT93+IF(Hipótesis!$D$94=5,IF(AT$3=Hipótesis!$D$124,$C$158,0),IF(AT$3=84,$C$134,0))</f>
        <v>0</v>
      </c>
      <c r="AU121" s="152" t="n">
        <f aca="false">AU93+IF(Hipótesis!$D$94=5,IF(AU$3=Hipótesis!$D$124,$C$158,0),IF(AU$3=84,$C$134,0))</f>
        <v>0</v>
      </c>
      <c r="AV121" s="152" t="n">
        <f aca="false">AV93+IF(Hipótesis!$D$94=5,IF(AV$3=Hipótesis!$D$124,$C$158,0),IF(AV$3=84,$C$134,0))</f>
        <v>0</v>
      </c>
      <c r="AW121" s="152" t="n">
        <f aca="false">AW93+IF(Hipótesis!$D$94=5,IF(AW$3=Hipótesis!$D$124,$C$158,0),IF(AW$3=84,$C$134,0))</f>
        <v>0</v>
      </c>
      <c r="AX121" s="152" t="n">
        <f aca="false">AX93+IF(Hipótesis!$D$94=5,IF(AX$3=Hipótesis!$D$124,$C$158,0),IF(AX$3=84,$C$134,0))</f>
        <v>515985.514958843</v>
      </c>
      <c r="AY121" s="152" t="n">
        <f aca="false">AY93+IF(Hipótesis!$D$94=5,IF(AY$3=Hipótesis!$D$124,$C$158,0),IF(AY$3=84,$C$134,0))</f>
        <v>0</v>
      </c>
      <c r="AZ121" s="152" t="n">
        <f aca="false">AZ93+IF(Hipótesis!$D$94=5,IF(AZ$3=Hipótesis!$D$124,$C$158,0),IF(AZ$3=84,$C$134,0))</f>
        <v>0</v>
      </c>
      <c r="BA121" s="152" t="n">
        <f aca="false">BA93+IF(Hipótesis!$D$94=5,IF(BA$3=Hipótesis!$D$124,$C$158,0),IF(BA$3=84,$C$134,0))</f>
        <v>0</v>
      </c>
      <c r="BB121" s="152" t="n">
        <f aca="false">BB93+IF(Hipótesis!$D$94=5,IF(BB$3=Hipótesis!$D$124,$C$158,0),IF(BB$3=84,$C$134,0))</f>
        <v>0</v>
      </c>
      <c r="BC121" s="152" t="n">
        <f aca="false">BC93+IF(Hipótesis!$D$94=5,IF(BC$3=Hipótesis!$D$124,$C$158,0),IF(BC$3=84,$C$134,0))</f>
        <v>0</v>
      </c>
      <c r="BD121" s="152" t="n">
        <f aca="false">BD93+IF(Hipótesis!$D$94=5,IF(BD$3=Hipótesis!$D$124,$C$158,0),IF(BD$3=84,$C$134,0))</f>
        <v>0</v>
      </c>
      <c r="BE121" s="152" t="n">
        <f aca="false">BE93+IF(Hipótesis!$D$94=5,IF(BE$3=Hipótesis!$D$124,$C$158,0),IF(BE$3=84,$C$134,0))</f>
        <v>0</v>
      </c>
      <c r="BF121" s="152" t="n">
        <f aca="false">BF93+IF(Hipótesis!$D$94=5,IF(BF$3=Hipótesis!$D$124,$C$158,0),IF(BF$3=84,$C$134,0))</f>
        <v>0</v>
      </c>
      <c r="BG121" s="152" t="n">
        <f aca="false">BG93+IF(Hipótesis!$D$94=5,IF(BG$3=Hipótesis!$D$124,$C$158,0),IF(BG$3=84,$C$134,0))</f>
        <v>0</v>
      </c>
      <c r="BH121" s="152" t="n">
        <f aca="false">BH93+IF(Hipótesis!$D$94=5,IF(BH$3=Hipótesis!$D$124,$C$158,0),IF(BH$3=84,$C$134,0))</f>
        <v>0</v>
      </c>
      <c r="BI121" s="152" t="n">
        <f aca="false">BI93+IF(Hipótesis!$D$94=5,IF(BI$3=Hipótesis!$D$124,$C$158,0),IF(BI$3=84,$C$134,0))</f>
        <v>0</v>
      </c>
      <c r="BJ121" s="152" t="n">
        <f aca="false">BJ93+IF(Hipótesis!$D$94=5,IF(BJ$3=Hipótesis!$D$124,$C$158,0),IF(BJ$3=84,$C$134,0))</f>
        <v>0</v>
      </c>
      <c r="BK121" s="152" t="n">
        <f aca="false">BK93+IF(Hipótesis!$D$94=5,IF(BK$3=Hipótesis!$D$124,$C$158,0),IF(BK$3=84,$C$134,0))</f>
        <v>0</v>
      </c>
      <c r="BL121" s="152" t="n">
        <f aca="false">BL93+IF(Hipótesis!$D$94=5,IF(BL$3=Hipótesis!$D$124,$C$158,0),IF(BL$3=84,$C$134,0))</f>
        <v>0</v>
      </c>
      <c r="BM121" s="152" t="n">
        <f aca="false">BM93+IF(Hipótesis!$D$94=5,IF(BM$3=Hipótesis!$D$124,$C$158,0),IF(BM$3=84,$C$134,0))</f>
        <v>0</v>
      </c>
      <c r="BN121" s="152" t="n">
        <f aca="false">BN93+IF(Hipótesis!$D$94=5,IF(BN$3=Hipótesis!$D$124,$C$158,0),IF(BN$3=84,$C$134,0))</f>
        <v>0</v>
      </c>
      <c r="BO121" s="152" t="n">
        <f aca="false">BO93+IF(Hipótesis!$D$94=5,IF(BO$3=Hipótesis!$D$124,$C$158,0),IF(BO$3=84,$C$134,0))</f>
        <v>0</v>
      </c>
      <c r="BP121" s="152" t="n">
        <f aca="false">BP93+IF(Hipótesis!$D$94=5,IF(BP$3=Hipótesis!$D$124,$C$158,0),IF(BP$3=84,$C$134,0))</f>
        <v>0</v>
      </c>
      <c r="BQ121" s="152" t="n">
        <f aca="false">BQ93+IF(Hipótesis!$D$94=5,IF(BQ$3=Hipótesis!$D$124,$C$158,0),IF(BQ$3=84,$C$134,0))</f>
        <v>0</v>
      </c>
      <c r="BR121" s="152" t="n">
        <f aca="false">BR93+IF(Hipótesis!$D$94=5,IF(BR$3=Hipótesis!$D$124,$C$158,0),IF(BR$3=84,$C$134,0))</f>
        <v>0</v>
      </c>
      <c r="BS121" s="152" t="n">
        <f aca="false">BS93+IF(Hipótesis!$D$94=5,IF(BS$3=Hipótesis!$D$124,$C$158,0),IF(BS$3=84,$C$134,0))</f>
        <v>0</v>
      </c>
      <c r="BT121" s="152" t="n">
        <f aca="false">BT93+IF(Hipótesis!$D$94=5,IF(BT$3=Hipótesis!$D$124,$C$158,0),IF(BT$3=84,$C$134,0))</f>
        <v>0</v>
      </c>
      <c r="BU121" s="152" t="n">
        <f aca="false">BU93+IF(Hipótesis!$D$94=5,IF(BU$3=Hipótesis!$D$124,$C$158,0),IF(BU$3=84,$C$134,0))</f>
        <v>0</v>
      </c>
      <c r="BV121" s="152" t="n">
        <f aca="false">BV93+IF(Hipótesis!$D$94=5,IF(BV$3=Hipótesis!$D$124,$C$158,0),IF(BV$3=84,$C$134,0))</f>
        <v>0</v>
      </c>
      <c r="BW121" s="152" t="n">
        <f aca="false">BW93+IF(Hipótesis!$D$94=5,IF(BW$3=Hipótesis!$D$124,$C$158,0),IF(BW$3=84,$C$134,0))</f>
        <v>0</v>
      </c>
      <c r="BX121" s="152" t="n">
        <f aca="false">BX93+IF(Hipótesis!$D$94=5,IF(BX$3=Hipótesis!$D$124,$C$158,0),IF(BX$3=84,$C$134,0))</f>
        <v>0</v>
      </c>
      <c r="BY121" s="152" t="n">
        <f aca="false">BY93+IF(Hipótesis!$D$94=5,IF(BY$3=Hipótesis!$D$124,$C$158,0),IF(BY$3=84,$C$134,0))</f>
        <v>0</v>
      </c>
      <c r="BZ121" s="152" t="n">
        <f aca="false">BZ93+IF(Hipótesis!$D$94=5,IF(BZ$3=Hipótesis!$D$124,$C$158,0),IF(BZ$3=84,$C$134,0))</f>
        <v>0</v>
      </c>
      <c r="CA121" s="152" t="n">
        <f aca="false">CA93+IF(Hipótesis!$D$94=5,IF(CA$3=Hipótesis!$D$124,$C$158,0),IF(CA$3=84,$C$134,0))</f>
        <v>0</v>
      </c>
      <c r="CB121" s="152" t="n">
        <f aca="false">CB93+IF(Hipótesis!$D$94=5,IF(CB$3=Hipótesis!$D$124,$C$158,0),IF(CB$3=84,$C$134,0))</f>
        <v>0</v>
      </c>
      <c r="CC121" s="152" t="n">
        <f aca="false">CC93+IF(Hipótesis!$D$94=5,IF(CC$3=Hipótesis!$D$124,$C$158,0),IF(CC$3=84,$C$134,0))</f>
        <v>0</v>
      </c>
      <c r="CD121" s="152" t="n">
        <f aca="false">CD93+IF(Hipótesis!$D$94=5,IF(CD$3=Hipótesis!$D$124,$C$158,0),IF(CD$3=84,$C$134,0))</f>
        <v>0</v>
      </c>
      <c r="CE121" s="152" t="n">
        <f aca="false">CE93+IF(Hipótesis!$D$94=5,IF(CE$3=Hipótesis!$D$124,$C$158,0),IF(CE$3=84,$C$134,0))</f>
        <v>0</v>
      </c>
      <c r="CF121" s="152" t="n">
        <f aca="false">CF93+IF(Hipótesis!$D$94=5,IF(CF$3=Hipótesis!$D$124,$C$158,0),IF(CF$3=84,$C$134,0))</f>
        <v>0</v>
      </c>
      <c r="CG121" s="152" t="n">
        <f aca="false">CG93+IF(Hipótesis!$D$94=5,IF(CG$3=Hipótesis!$D$124,$C$158,0),IF(CG$3=84,$C$134,0))</f>
        <v>0</v>
      </c>
      <c r="CH121" s="152" t="n">
        <f aca="false">CH93+IF(Hipótesis!$D$94=5,IF(CH$3=Hipótesis!$D$124,$C$158,0),IF(CH$3=84,$C$134,0))</f>
        <v>0</v>
      </c>
    </row>
    <row r="122" customFormat="false" ht="12.75" hidden="false" customHeight="true" outlineLevel="0" collapsed="false">
      <c r="A122" s="13" t="s">
        <v>794</v>
      </c>
      <c r="B122" s="138" t="n">
        <f aca="false">Hipótesis!$D$122</f>
        <v>200000</v>
      </c>
      <c r="C122" s="138" t="n">
        <f aca="false">-C106-IF(Hipótesis!$D$94=5,IF(C$3=Hipótesis!$D$124,$C$158,0),IF(C$3=84,$C$134,0))</f>
        <v>-333.333333333333</v>
      </c>
      <c r="D122" s="138" t="n">
        <f aca="false">-D106-IF(Hipótesis!$D$94=5,IF(D$3=Hipótesis!$D$124,$C$158,0),IF(D$3=84,$C$134,0))</f>
        <v>-333.333333333333</v>
      </c>
      <c r="E122" s="138" t="n">
        <f aca="false">-E106-IF(Hipótesis!$D$94=5,IF(E$3=Hipótesis!$D$124,$C$158,0),IF(E$3=84,$C$134,0))</f>
        <v>-333.333333333333</v>
      </c>
      <c r="F122" s="138" t="n">
        <f aca="false">-F106-IF(Hipótesis!$D$94=5,IF(F$3=Hipótesis!$D$124,$C$158,0),IF(F$3=84,$C$134,0))</f>
        <v>-333.333333333333</v>
      </c>
      <c r="G122" s="138" t="n">
        <f aca="false">-G106-IF(Hipótesis!$D$94=5,IF(G$3=Hipótesis!$D$124,$C$158,0),IF(G$3=84,$C$134,0))</f>
        <v>-333.333333333333</v>
      </c>
      <c r="H122" s="138" t="n">
        <f aca="false">-H106-IF(Hipótesis!$D$94=5,IF(H$3=Hipótesis!$D$124,$C$158,0),IF(H$3=84,$C$134,0))</f>
        <v>-333.333333333333</v>
      </c>
      <c r="I122" s="138" t="n">
        <f aca="false">-I106-IF(Hipótesis!$D$94=5,IF(I$3=Hipótesis!$D$124,$C$158,0),IF(I$3=84,$C$134,0))</f>
        <v>-333.333333333333</v>
      </c>
      <c r="J122" s="138" t="n">
        <f aca="false">-J106-IF(Hipótesis!$D$94=5,IF(J$3=Hipótesis!$D$124,$C$158,0),IF(J$3=84,$C$134,0))</f>
        <v>-354.201084663088</v>
      </c>
      <c r="K122" s="138" t="n">
        <f aca="false">-K106-IF(Hipótesis!$D$94=5,IF(K$3=Hipótesis!$D$124,$C$158,0),IF(K$3=84,$C$134,0))</f>
        <v>-429.929317539693</v>
      </c>
      <c r="L122" s="138" t="n">
        <f aca="false">-L106-IF(Hipótesis!$D$94=5,IF(L$3=Hipótesis!$D$124,$C$158,0),IF(L$3=84,$C$134,0))</f>
        <v>-505.657550416297</v>
      </c>
      <c r="M122" s="138" t="n">
        <f aca="false">-M106-IF(Hipótesis!$D$94=5,IF(M$3=Hipótesis!$D$124,$C$158,0),IF(M$3=84,$C$134,0))</f>
        <v>-564.652581933376</v>
      </c>
      <c r="N122" s="138" t="n">
        <f aca="false">-N106-IF(Hipótesis!$D$94=5,IF(N$3=Hipótesis!$D$124,$C$158,0),IF(N$3=84,$C$134,0))</f>
        <v>-635.596042136151</v>
      </c>
      <c r="O122" s="138" t="n">
        <f aca="false">-O106-IF(Hipótesis!$D$94=5,IF(O$3=Hipótesis!$D$124,$C$158,0),IF(O$3=84,$C$134,0))</f>
        <v>-601.995502338927</v>
      </c>
      <c r="P122" s="138" t="n">
        <f aca="false">-P106-IF(Hipótesis!$D$94=5,IF(P$3=Hipótesis!$D$124,$C$158,0),IF(P$3=84,$C$134,0))</f>
        <v>-622.000120544564</v>
      </c>
      <c r="Q122" s="138" t="n">
        <f aca="false">-Q106-IF(Hipótesis!$D$94=5,IF(Q$3=Hipótesis!$D$124,$C$158,0),IF(Q$3=84,$C$134,0))</f>
        <v>-688.231138750202</v>
      </c>
      <c r="R122" s="138" t="n">
        <f aca="false">-R106-IF(Hipótesis!$D$94=5,IF(R$3=Hipótesis!$D$124,$C$158,0),IF(R$3=84,$C$134,0))</f>
        <v>-754.462156955839</v>
      </c>
      <c r="S122" s="138" t="n">
        <f aca="false">-S106-IF(Hipótesis!$D$94=5,IF(S$3=Hipótesis!$D$124,$C$158,0),IF(S$3=84,$C$134,0))</f>
        <v>-535.580454436972</v>
      </c>
      <c r="T122" s="138" t="n">
        <f aca="false">-T106-IF(Hipótesis!$D$94=5,IF(T$3=Hipótesis!$D$124,$C$158,0),IF(T$3=84,$C$134,0))</f>
        <v>-886.924193367114</v>
      </c>
      <c r="U122" s="138" t="n">
        <f aca="false">-U106-IF(Hipótesis!$D$94=5,IF(U$3=Hipótesis!$D$124,$C$158,0),IF(U$3=84,$C$134,0))</f>
        <v>-906.928811572752</v>
      </c>
      <c r="V122" s="138" t="n">
        <f aca="false">-V106-IF(Hipótesis!$D$94=5,IF(V$3=Hipótesis!$D$124,$C$158,0),IF(V$3=84,$C$134,0))</f>
        <v>-918.775829778389</v>
      </c>
      <c r="W122" s="138" t="n">
        <f aca="false">-W106-IF(Hipótesis!$D$94=5,IF(W$3=Hipótesis!$D$124,$C$158,0),IF(W$3=84,$C$134,0))</f>
        <v>-985.006847984027</v>
      </c>
      <c r="X122" s="138" t="n">
        <f aca="false">-X106-IF(Hipótesis!$D$94=5,IF(X$3=Hipótesis!$D$124,$C$158,0),IF(X$3=84,$C$134,0))</f>
        <v>-1039.28943750397</v>
      </c>
      <c r="Y122" s="138" t="n">
        <f aca="false">-Y106-IF(Hipótesis!$D$94=5,IF(Y$3=Hipótesis!$D$124,$C$158,0),IF(Y$3=84,$C$134,0))</f>
        <v>-1093.57202702391</v>
      </c>
      <c r="Z122" s="138" t="n">
        <f aca="false">-Z106-IF(Hipótesis!$D$94=5,IF(Z$3=Hipótesis!$D$124,$C$158,0),IF(Z$3=84,$C$134,0))</f>
        <v>-1143.54504506957</v>
      </c>
      <c r="AA122" s="138" t="n">
        <f aca="false">-AA106-IF(Hipótesis!$D$94=5,IF(AA$3=Hipótesis!$D$124,$C$158,0),IF(AA$3=84,$C$134,0))</f>
        <v>-2804.56974160018</v>
      </c>
      <c r="AB122" s="138" t="n">
        <f aca="false">-AB106-IF(Hipótesis!$D$94=5,IF(AB$3=Hipótesis!$D$124,$C$158,0),IF(AB$3=84,$C$134,0))</f>
        <v>-2787.35514164019</v>
      </c>
      <c r="AC122" s="138" t="n">
        <f aca="false">-AC106-IF(Hipótesis!$D$94=5,IF(AC$3=Hipótesis!$D$124,$C$158,0),IF(AC$3=84,$C$134,0))</f>
        <v>-2817.75373368021</v>
      </c>
      <c r="AD122" s="138" t="n">
        <f aca="false">-AD106-IF(Hipótesis!$D$94=5,IF(AD$3=Hipótesis!$D$124,$C$158,0),IF(AD$3=84,$C$134,0))</f>
        <v>-2848.15232572023</v>
      </c>
      <c r="AE122" s="138" t="n">
        <f aca="false">-AE106-IF(Hipótesis!$D$94=5,IF(AE$3=Hipótesis!$D$124,$C$158,0),IF(AE$3=84,$C$134,0))</f>
        <v>-2482.62707673741</v>
      </c>
      <c r="AF122" s="138" t="n">
        <f aca="false">-AF106-IF(Hipótesis!$D$94=5,IF(AF$3=Hipótesis!$D$124,$C$158,0),IF(AF$3=84,$C$134,0))</f>
        <v>-2908.94950980026</v>
      </c>
      <c r="AG122" s="138" t="n">
        <f aca="false">-AG106-IF(Hipótesis!$D$94=5,IF(AG$3=Hipótesis!$D$124,$C$158,0),IF(AG$3=84,$C$134,0))</f>
        <v>-2939.34810184028</v>
      </c>
      <c r="AH122" s="138" t="n">
        <f aca="false">-AH106-IF(Hipótesis!$D$94=5,IF(AH$3=Hipótesis!$D$124,$C$158,0),IF(AH$3=84,$C$134,0))</f>
        <v>-2969.74669388029</v>
      </c>
      <c r="AI122" s="138" t="n">
        <f aca="false">-AI106-IF(Hipótesis!$D$94=5,IF(AI$3=Hipótesis!$D$124,$C$158,0),IF(AI$3=84,$C$134,0))</f>
        <v>-3000.14528592031</v>
      </c>
      <c r="AJ122" s="138" t="n">
        <f aca="false">-AJ106-IF(Hipótesis!$D$94=5,IF(AJ$3=Hipótesis!$D$124,$C$158,0),IF(AJ$3=84,$C$134,0))</f>
        <v>-3030.54387796033</v>
      </c>
      <c r="AK122" s="138" t="n">
        <f aca="false">-AK106-IF(Hipótesis!$D$94=5,IF(AK$3=Hipótesis!$D$124,$C$158,0),IF(AK$3=84,$C$134,0))</f>
        <v>-3060.94247000034</v>
      </c>
      <c r="AL122" s="138" t="n">
        <f aca="false">-AL106-IF(Hipótesis!$D$94=5,IF(AL$3=Hipótesis!$D$124,$C$158,0),IF(AL$3=84,$C$134,0))</f>
        <v>-3043.72787004036</v>
      </c>
      <c r="AM122" s="138" t="n">
        <f aca="false">-AM106-IF(Hipótesis!$D$94=5,IF(AM$3=Hipótesis!$D$124,$C$158,0),IF(AM$3=84,$C$134,0))</f>
        <v>-3025.45194784037</v>
      </c>
      <c r="AN122" s="138" t="n">
        <f aca="false">-AN106-IF(Hipótesis!$D$94=5,IF(AN$3=Hipótesis!$D$124,$C$158,0),IF(AN$3=84,$C$134,0))</f>
        <v>-3055.85053988039</v>
      </c>
      <c r="AO122" s="138" t="n">
        <f aca="false">-AO106-IF(Hipótesis!$D$94=5,IF(AO$3=Hipótesis!$D$124,$C$158,0),IF(AO$3=84,$C$134,0))</f>
        <v>-3086.24913192041</v>
      </c>
      <c r="AP122" s="138" t="n">
        <f aca="false">-AP106-IF(Hipótesis!$D$94=5,IF(AP$3=Hipótesis!$D$124,$C$158,0),IF(AP$3=84,$C$134,0))</f>
        <v>-3116.64772396042</v>
      </c>
      <c r="AQ122" s="138" t="n">
        <f aca="false">-AQ106-IF(Hipótesis!$D$94=5,IF(AQ$3=Hipótesis!$D$124,$C$158,0),IF(AQ$3=84,$C$134,0))</f>
        <v>-2751.12247497761</v>
      </c>
      <c r="AR122" s="138" t="n">
        <f aca="false">-AR106-IF(Hipótesis!$D$94=5,IF(AR$3=Hipótesis!$D$124,$C$158,0),IF(AR$3=84,$C$134,0))</f>
        <v>-3177.44490804046</v>
      </c>
      <c r="AS122" s="138" t="n">
        <f aca="false">-AS106-IF(Hipótesis!$D$94=5,IF(AS$3=Hipótesis!$D$124,$C$158,0),IF(AS$3=84,$C$134,0))</f>
        <v>-3171.8893524849</v>
      </c>
      <c r="AT122" s="138" t="n">
        <f aca="false">-AT106-IF(Hipótesis!$D$94=5,IF(AT$3=Hipótesis!$D$124,$C$158,0),IF(AT$3=84,$C$134,0))</f>
        <v>-3166.33379692935</v>
      </c>
      <c r="AU122" s="138" t="n">
        <f aca="false">-AU106-IF(Hipótesis!$D$94=5,IF(AU$3=Hipótesis!$D$124,$C$158,0),IF(AU$3=84,$C$134,0))</f>
        <v>-3160.77824137379</v>
      </c>
      <c r="AV122" s="138" t="n">
        <f aca="false">-AV106-IF(Hipótesis!$D$94=5,IF(AV$3=Hipótesis!$D$124,$C$158,0),IF(AV$3=84,$C$134,0))</f>
        <v>-3155.22268581824</v>
      </c>
      <c r="AW122" s="138" t="n">
        <f aca="false">-AW106-IF(Hipótesis!$D$94=5,IF(AW$3=Hipótesis!$D$124,$C$158,0),IF(AW$3=84,$C$134,0))</f>
        <v>-3149.66713026268</v>
      </c>
      <c r="AX122" s="138" t="n">
        <f aca="false">-AX106-IF(Hipótesis!$D$94=5,IF(AX$3=Hipótesis!$D$124,$C$158,0),IF(AX$3=84,$C$134,0))</f>
        <v>-519129.62653355</v>
      </c>
      <c r="AY122" s="138" t="n">
        <f aca="false">-AY106-IF(Hipótesis!$D$94=5,IF(AY$3=Hipótesis!$D$124,$C$158,0),IF(AY$3=84,$C$134,0))</f>
        <v>-3089.60926948437</v>
      </c>
      <c r="AZ122" s="138" t="n">
        <f aca="false">-AZ106-IF(Hipótesis!$D$94=5,IF(AZ$3=Hipótesis!$D$124,$C$158,0),IF(AZ$3=84,$C$134,0))</f>
        <v>-3084.05371392881</v>
      </c>
      <c r="BA122" s="138" t="n">
        <f aca="false">-BA106-IF(Hipótesis!$D$94=5,IF(BA$3=Hipótesis!$D$124,$C$158,0),IF(BA$3=84,$C$134,0))</f>
        <v>-3078.49815837326</v>
      </c>
      <c r="BB122" s="138" t="n">
        <f aca="false">-BB106-IF(Hipótesis!$D$94=5,IF(BB$3=Hipótesis!$D$124,$C$158,0),IF(BB$3=84,$C$134,0))</f>
        <v>-3072.9426028177</v>
      </c>
      <c r="BC122" s="138" t="n">
        <f aca="false">-BC106-IF(Hipótesis!$D$94=5,IF(BC$3=Hipótesis!$D$124,$C$158,0),IF(BC$3=84,$C$134,0))</f>
        <v>-2671.46320623932</v>
      </c>
      <c r="BD122" s="138" t="n">
        <f aca="false">-BD106-IF(Hipótesis!$D$94=5,IF(BD$3=Hipótesis!$D$124,$C$158,0),IF(BD$3=84,$C$134,0))</f>
        <v>-3061.83149170659</v>
      </c>
      <c r="BE122" s="138" t="n">
        <f aca="false">-BE106-IF(Hipótesis!$D$94=5,IF(BE$3=Hipótesis!$D$124,$C$158,0),IF(BE$3=84,$C$134,0))</f>
        <v>-3056.27593615103</v>
      </c>
      <c r="BF122" s="138" t="n">
        <f aca="false">-BF106-IF(Hipótesis!$D$94=5,IF(BF$3=Hipótesis!$D$124,$C$158,0),IF(BF$3=84,$C$134,0))</f>
        <v>-3050.72038059548</v>
      </c>
      <c r="BG122" s="138" t="n">
        <f aca="false">-BG106-IF(Hipótesis!$D$94=5,IF(BG$3=Hipótesis!$D$124,$C$158,0),IF(BG$3=84,$C$134,0))</f>
        <v>-3045.16482503992</v>
      </c>
      <c r="BH122" s="138" t="n">
        <f aca="false">-BH106-IF(Hipótesis!$D$94=5,IF(BH$3=Hipótesis!$D$124,$C$158,0),IF(BH$3=84,$C$134,0))</f>
        <v>-3039.60926948437</v>
      </c>
      <c r="BI122" s="138" t="n">
        <f aca="false">-BI106-IF(Hipótesis!$D$94=5,IF(BI$3=Hipótesis!$D$124,$C$158,0),IF(BI$3=84,$C$134,0))</f>
        <v>-3034.05371392881</v>
      </c>
      <c r="BJ122" s="138" t="n">
        <f aca="false">-BJ106-IF(Hipótesis!$D$94=5,IF(BJ$3=Hipótesis!$D$124,$C$158,0),IF(BJ$3=84,$C$134,0))</f>
        <v>-3028.49815837326</v>
      </c>
      <c r="BK122" s="138" t="n">
        <f aca="false">-BK106-IF(Hipótesis!$D$94=5,IF(BK$3=Hipótesis!$D$124,$C$158,0),IF(BK$3=84,$C$134,0))</f>
        <v>-2973.71545066048</v>
      </c>
      <c r="BL122" s="138" t="n">
        <f aca="false">-BL106-IF(Hipótesis!$D$94=5,IF(BL$3=Hipótesis!$D$124,$C$158,0),IF(BL$3=84,$C$134,0))</f>
        <v>-2968.15989510493</v>
      </c>
      <c r="BM122" s="138" t="n">
        <f aca="false">-BM106-IF(Hipótesis!$D$94=5,IF(BM$3=Hipótesis!$D$124,$C$158,0),IF(BM$3=84,$C$134,0))</f>
        <v>-2962.60433954937</v>
      </c>
      <c r="BN122" s="138" t="n">
        <f aca="false">-BN106-IF(Hipótesis!$D$94=5,IF(BN$3=Hipótesis!$D$124,$C$158,0),IF(BN$3=84,$C$134,0))</f>
        <v>-2957.04878399382</v>
      </c>
      <c r="BO122" s="138" t="n">
        <f aca="false">-BO106-IF(Hipótesis!$D$94=5,IF(BO$3=Hipótesis!$D$124,$C$158,0),IF(BO$3=84,$C$134,0))</f>
        <v>-2555.56938741543</v>
      </c>
      <c r="BP122" s="138" t="n">
        <f aca="false">-BP106-IF(Hipótesis!$D$94=5,IF(BP$3=Hipótesis!$D$124,$C$158,0),IF(BP$3=84,$C$134,0))</f>
        <v>-2945.93767288271</v>
      </c>
      <c r="BQ122" s="138" t="n">
        <f aca="false">-BQ106-IF(Hipótesis!$D$94=5,IF(BQ$3=Hipótesis!$D$124,$C$158,0),IF(BQ$3=84,$C$134,0))</f>
        <v>-2940.38211732715</v>
      </c>
      <c r="BR122" s="138" t="n">
        <f aca="false">-BR106-IF(Hipótesis!$D$94=5,IF(BR$3=Hipótesis!$D$124,$C$158,0),IF(BR$3=84,$C$134,0))</f>
        <v>-2934.8265617716</v>
      </c>
      <c r="BS122" s="138" t="n">
        <f aca="false">-BS106-IF(Hipótesis!$D$94=5,IF(BS$3=Hipótesis!$D$124,$C$158,0),IF(BS$3=84,$C$134,0))</f>
        <v>-2929.27100621604</v>
      </c>
      <c r="BT122" s="138" t="n">
        <f aca="false">-BT106-IF(Hipótesis!$D$94=5,IF(BT$3=Hipótesis!$D$124,$C$158,0),IF(BT$3=84,$C$134,0))</f>
        <v>-2923.71545066049</v>
      </c>
      <c r="BU122" s="138" t="n">
        <f aca="false">-BU106-IF(Hipótesis!$D$94=5,IF(BU$3=Hipótesis!$D$124,$C$158,0),IF(BU$3=84,$C$134,0))</f>
        <v>-2918.15989510493</v>
      </c>
      <c r="BV122" s="138" t="n">
        <f aca="false">-BV106-IF(Hipótesis!$D$94=5,IF(BV$3=Hipótesis!$D$124,$C$158,0),IF(BV$3=84,$C$134,0))</f>
        <v>-2912.60433954937</v>
      </c>
      <c r="BW122" s="138" t="n">
        <f aca="false">-BW106-IF(Hipótesis!$D$94=5,IF(BW$3=Hipótesis!$D$124,$C$158,0),IF(BW$3=84,$C$134,0))</f>
        <v>-2857.53281727189</v>
      </c>
      <c r="BX122" s="138" t="n">
        <f aca="false">-BX106-IF(Hipótesis!$D$94=5,IF(BX$3=Hipótesis!$D$124,$C$158,0),IF(BX$3=84,$C$134,0))</f>
        <v>-2851.97726171633</v>
      </c>
      <c r="BY122" s="138" t="n">
        <f aca="false">-BY106-IF(Hipótesis!$D$94=5,IF(BY$3=Hipótesis!$D$124,$C$158,0),IF(BY$3=84,$C$134,0))</f>
        <v>-2846.42170616078</v>
      </c>
      <c r="BZ122" s="138" t="n">
        <f aca="false">-BZ106-IF(Hipótesis!$D$94=5,IF(BZ$3=Hipótesis!$D$124,$C$158,0),IF(BZ$3=84,$C$134,0))</f>
        <v>-2840.86615060522</v>
      </c>
      <c r="CA122" s="138" t="n">
        <f aca="false">-CA106-IF(Hipótesis!$D$94=5,IF(CA$3=Hipótesis!$D$124,$C$158,0),IF(CA$3=84,$C$134,0))</f>
        <v>-2439.38675402683</v>
      </c>
      <c r="CB122" s="138" t="n">
        <f aca="false">-CB106-IF(Hipótesis!$D$94=5,IF(CB$3=Hipótesis!$D$124,$C$158,0),IF(CB$3=84,$C$134,0))</f>
        <v>-2829.75503949411</v>
      </c>
      <c r="CC122" s="138" t="n">
        <f aca="false">-CC106-IF(Hipótesis!$D$94=5,IF(CC$3=Hipótesis!$D$124,$C$158,0),IF(CC$3=84,$C$134,0))</f>
        <v>-2824.19948393855</v>
      </c>
      <c r="CD122" s="138" t="n">
        <f aca="false">-CD106-IF(Hipótesis!$D$94=5,IF(CD$3=Hipótesis!$D$124,$C$158,0),IF(CD$3=84,$C$134,0))</f>
        <v>-2818.643928383</v>
      </c>
      <c r="CE122" s="138" t="n">
        <f aca="false">-CE106-IF(Hipótesis!$D$94=5,IF(CE$3=Hipótesis!$D$124,$C$158,0),IF(CE$3=84,$C$134,0))</f>
        <v>-2813.08837282744</v>
      </c>
      <c r="CF122" s="138" t="n">
        <f aca="false">-CF106-IF(Hipótesis!$D$94=5,IF(CF$3=Hipótesis!$D$124,$C$158,0),IF(CF$3=84,$C$134,0))</f>
        <v>-2807.53281727189</v>
      </c>
      <c r="CG122" s="138" t="n">
        <f aca="false">-CG106-IF(Hipótesis!$D$94=5,IF(CG$3=Hipótesis!$D$124,$C$158,0),IF(CG$3=84,$C$134,0))</f>
        <v>-2801.97726171633</v>
      </c>
      <c r="CH122" s="138" t="n">
        <f aca="false">-CH106-IF(Hipótesis!$D$94=5,IF(CH$3=Hipótesis!$D$124,$C$158,0),IF(CH$3=84,$C$134,0))</f>
        <v>-2796.42170616072</v>
      </c>
    </row>
    <row r="123" customFormat="false" ht="12.75" hidden="false" customHeight="true" outlineLevel="0" collapsed="false">
      <c r="A123" s="13" t="s">
        <v>795</v>
      </c>
      <c r="B123" s="138" t="n">
        <f aca="false">-Hipótesis!$D$105</f>
        <v>-100000</v>
      </c>
      <c r="C123" s="138" t="n">
        <f aca="false">C99</f>
        <v>333.333333333333</v>
      </c>
      <c r="D123" s="138" t="n">
        <f aca="false">D99</f>
        <v>333.333333333333</v>
      </c>
      <c r="E123" s="138" t="n">
        <f aca="false">E99</f>
        <v>333.333333333333</v>
      </c>
      <c r="F123" s="138" t="n">
        <f aca="false">F99</f>
        <v>333.333333333333</v>
      </c>
      <c r="G123" s="138" t="n">
        <f aca="false">G99</f>
        <v>333.333333333333</v>
      </c>
      <c r="H123" s="138" t="n">
        <f aca="false">H99</f>
        <v>333.333333333333</v>
      </c>
      <c r="I123" s="138" t="n">
        <f aca="false">I99</f>
        <v>333.333333333333</v>
      </c>
      <c r="J123" s="138" t="n">
        <f aca="false">J99</f>
        <v>354.201084663088</v>
      </c>
      <c r="K123" s="138" t="n">
        <f aca="false">K99</f>
        <v>429.929317539693</v>
      </c>
      <c r="L123" s="138" t="n">
        <f aca="false">L99</f>
        <v>505.657550416297</v>
      </c>
      <c r="M123" s="138" t="n">
        <f aca="false">M99</f>
        <v>564.652581933376</v>
      </c>
      <c r="N123" s="138" t="n">
        <f aca="false">N99</f>
        <v>635.596042136151</v>
      </c>
      <c r="O123" s="138" t="n">
        <f aca="false">O99</f>
        <v>601.995502338927</v>
      </c>
      <c r="P123" s="138" t="n">
        <f aca="false">P99</f>
        <v>622.000120544564</v>
      </c>
      <c r="Q123" s="138" t="n">
        <f aca="false">Q99</f>
        <v>688.231138750202</v>
      </c>
      <c r="R123" s="138" t="n">
        <f aca="false">R99</f>
        <v>754.462156955839</v>
      </c>
      <c r="S123" s="138" t="n">
        <f aca="false">S99</f>
        <v>535.580454436972</v>
      </c>
      <c r="T123" s="138" t="n">
        <f aca="false">T99</f>
        <v>886.924193367114</v>
      </c>
      <c r="U123" s="138" t="n">
        <f aca="false">U99</f>
        <v>906.928811572752</v>
      </c>
      <c r="V123" s="138" t="n">
        <f aca="false">V99</f>
        <v>918.775829778389</v>
      </c>
      <c r="W123" s="138" t="n">
        <f aca="false">W99</f>
        <v>985.006847984027</v>
      </c>
      <c r="X123" s="138" t="n">
        <f aca="false">X99</f>
        <v>1039.28943750397</v>
      </c>
      <c r="Y123" s="138" t="n">
        <f aca="false">Y99</f>
        <v>1093.57202702391</v>
      </c>
      <c r="Z123" s="138" t="n">
        <f aca="false">Z99</f>
        <v>1143.54504506957</v>
      </c>
      <c r="AA123" s="138" t="n">
        <f aca="false">AA99</f>
        <v>2804.56974160018</v>
      </c>
      <c r="AB123" s="138" t="n">
        <f aca="false">AB99</f>
        <v>2787.35514164019</v>
      </c>
      <c r="AC123" s="138" t="n">
        <f aca="false">AC99</f>
        <v>2817.75373368021</v>
      </c>
      <c r="AD123" s="138" t="n">
        <f aca="false">AD99</f>
        <v>2848.15232572023</v>
      </c>
      <c r="AE123" s="138" t="n">
        <f aca="false">AE99</f>
        <v>2482.62707673741</v>
      </c>
      <c r="AF123" s="138" t="n">
        <f aca="false">AF99</f>
        <v>2908.94950980026</v>
      </c>
      <c r="AG123" s="138" t="n">
        <f aca="false">AG99</f>
        <v>2939.34810184028</v>
      </c>
      <c r="AH123" s="138" t="n">
        <f aca="false">AH99</f>
        <v>2969.74669388029</v>
      </c>
      <c r="AI123" s="138" t="n">
        <f aca="false">AI99</f>
        <v>3000.14528592031</v>
      </c>
      <c r="AJ123" s="138" t="n">
        <f aca="false">AJ99</f>
        <v>3030.54387796033</v>
      </c>
      <c r="AK123" s="138" t="n">
        <f aca="false">AK99</f>
        <v>3060.94247000034</v>
      </c>
      <c r="AL123" s="138" t="n">
        <f aca="false">AL99</f>
        <v>3043.72787004036</v>
      </c>
      <c r="AM123" s="138" t="n">
        <f aca="false">AM99</f>
        <v>3025.45194784037</v>
      </c>
      <c r="AN123" s="138" t="n">
        <f aca="false">AN99</f>
        <v>3055.85053988039</v>
      </c>
      <c r="AO123" s="138" t="n">
        <f aca="false">AO99</f>
        <v>3086.24913192041</v>
      </c>
      <c r="AP123" s="138" t="n">
        <f aca="false">AP99</f>
        <v>3116.64772396042</v>
      </c>
      <c r="AQ123" s="138" t="n">
        <f aca="false">AQ99</f>
        <v>2751.12247497761</v>
      </c>
      <c r="AR123" s="138" t="n">
        <f aca="false">AR99</f>
        <v>3177.44490804046</v>
      </c>
      <c r="AS123" s="138" t="n">
        <f aca="false">AS99</f>
        <v>3171.8893524849</v>
      </c>
      <c r="AT123" s="138" t="n">
        <f aca="false">AT99</f>
        <v>3166.33379692935</v>
      </c>
      <c r="AU123" s="138" t="n">
        <f aca="false">AU99</f>
        <v>3160.77824137379</v>
      </c>
      <c r="AV123" s="138" t="n">
        <f aca="false">AV99</f>
        <v>3155.22268581824</v>
      </c>
      <c r="AW123" s="138" t="n">
        <f aca="false">AW99</f>
        <v>3149.66713026268</v>
      </c>
      <c r="AX123" s="138" t="n">
        <f aca="false">AX99</f>
        <v>3144.11157470712</v>
      </c>
      <c r="AY123" s="138" t="n">
        <f aca="false">AY99</f>
        <v>3089.60926948437</v>
      </c>
      <c r="AZ123" s="138" t="n">
        <f aca="false">AZ99</f>
        <v>3084.05371392881</v>
      </c>
      <c r="BA123" s="138" t="n">
        <f aca="false">BA99</f>
        <v>3078.49815837326</v>
      </c>
      <c r="BB123" s="138" t="n">
        <f aca="false">BB99</f>
        <v>3072.9426028177</v>
      </c>
      <c r="BC123" s="138" t="n">
        <f aca="false">BC99</f>
        <v>2671.46320623932</v>
      </c>
      <c r="BD123" s="138" t="n">
        <f aca="false">BD99</f>
        <v>3061.83149170659</v>
      </c>
      <c r="BE123" s="138" t="n">
        <f aca="false">BE99</f>
        <v>3056.27593615103</v>
      </c>
      <c r="BF123" s="138" t="n">
        <f aca="false">BF99</f>
        <v>3050.72038059548</v>
      </c>
      <c r="BG123" s="138" t="n">
        <f aca="false">BG99</f>
        <v>3045.16482503992</v>
      </c>
      <c r="BH123" s="138" t="n">
        <f aca="false">BH99</f>
        <v>3039.60926948437</v>
      </c>
      <c r="BI123" s="138" t="n">
        <f aca="false">BI99</f>
        <v>3034.05371392881</v>
      </c>
      <c r="BJ123" s="138" t="n">
        <f aca="false">BJ99</f>
        <v>3028.49815837326</v>
      </c>
      <c r="BK123" s="138" t="n">
        <f aca="false">BK99</f>
        <v>2973.71545066048</v>
      </c>
      <c r="BL123" s="138" t="n">
        <f aca="false">BL99</f>
        <v>2968.15989510493</v>
      </c>
      <c r="BM123" s="138" t="n">
        <f aca="false">BM99</f>
        <v>2962.60433954937</v>
      </c>
      <c r="BN123" s="138" t="n">
        <f aca="false">BN99</f>
        <v>2957.04878399382</v>
      </c>
      <c r="BO123" s="138" t="n">
        <f aca="false">BO99</f>
        <v>2555.56938741543</v>
      </c>
      <c r="BP123" s="138" t="n">
        <f aca="false">BP99</f>
        <v>2945.93767288271</v>
      </c>
      <c r="BQ123" s="138" t="n">
        <f aca="false">BQ99</f>
        <v>2940.38211732715</v>
      </c>
      <c r="BR123" s="138" t="n">
        <f aca="false">BR99</f>
        <v>2934.8265617716</v>
      </c>
      <c r="BS123" s="138" t="n">
        <f aca="false">BS99</f>
        <v>2929.27100621604</v>
      </c>
      <c r="BT123" s="138" t="n">
        <f aca="false">BT99</f>
        <v>2923.71545066049</v>
      </c>
      <c r="BU123" s="138" t="n">
        <f aca="false">BU99</f>
        <v>2918.15989510493</v>
      </c>
      <c r="BV123" s="138" t="n">
        <f aca="false">BV99</f>
        <v>2912.60433954937</v>
      </c>
      <c r="BW123" s="138" t="n">
        <f aca="false">BW99</f>
        <v>2857.53281727189</v>
      </c>
      <c r="BX123" s="138" t="n">
        <f aca="false">BX99</f>
        <v>2851.97726171633</v>
      </c>
      <c r="BY123" s="138" t="n">
        <f aca="false">BY99</f>
        <v>2846.42170616078</v>
      </c>
      <c r="BZ123" s="138" t="n">
        <f aca="false">BZ99</f>
        <v>2840.86615060522</v>
      </c>
      <c r="CA123" s="138" t="n">
        <f aca="false">CA99</f>
        <v>2439.38675402683</v>
      </c>
      <c r="CB123" s="138" t="n">
        <f aca="false">CB99</f>
        <v>2829.75503949411</v>
      </c>
      <c r="CC123" s="138" t="n">
        <f aca="false">CC99</f>
        <v>2824.19948393855</v>
      </c>
      <c r="CD123" s="138" t="n">
        <f aca="false">CD99</f>
        <v>2818.643928383</v>
      </c>
      <c r="CE123" s="138" t="n">
        <f aca="false">CE99</f>
        <v>2813.08837282744</v>
      </c>
      <c r="CF123" s="138" t="n">
        <f aca="false">CF99</f>
        <v>2807.53281727189</v>
      </c>
      <c r="CG123" s="138" t="n">
        <f aca="false">CG99</f>
        <v>2801.97726171633</v>
      </c>
      <c r="CH123" s="138" t="n">
        <f aca="false">CH99</f>
        <v>2796.42170616072</v>
      </c>
    </row>
    <row r="124" customFormat="false" ht="13.5" hidden="false" customHeight="true" outlineLevel="0" collapsed="false"/>
    <row r="125" customFormat="false" ht="13.5" hidden="false" customHeight="true" outlineLevel="0" collapsed="false">
      <c r="A125" s="10" t="s">
        <v>796</v>
      </c>
      <c r="B125" s="10"/>
    </row>
    <row r="126" customFormat="false" ht="13.5" hidden="false" customHeight="true" outlineLevel="0" collapsed="false">
      <c r="A126" s="13" t="s">
        <v>797</v>
      </c>
      <c r="C126" s="16" t="n">
        <f aca="false">Hipótesis!$D$93</f>
        <v>100000</v>
      </c>
    </row>
    <row r="127" customFormat="false" ht="13.5" hidden="false" customHeight="true" outlineLevel="0" collapsed="false">
      <c r="A127" s="13" t="s">
        <v>798</v>
      </c>
      <c r="C127" s="19" t="n">
        <f aca="false">IFERROR(IRR($B$121:$CH$121,0.02),"n.d.")</f>
        <v>0.034776637141909</v>
      </c>
    </row>
    <row r="128" customFormat="false" ht="13.5" hidden="false" customHeight="true" outlineLevel="0" collapsed="false">
      <c r="A128" s="13" t="s">
        <v>86</v>
      </c>
      <c r="C128" s="19" t="n">
        <f aca="false">IFERROR((1+IRR($B$121:$CH$121,0.02))^12-1,"n.d.")</f>
        <v>0.507160062726353</v>
      </c>
    </row>
    <row r="129" customFormat="false" ht="13.5" hidden="false" customHeight="true" outlineLevel="0" collapsed="false">
      <c r="A129" s="13" t="s">
        <v>799</v>
      </c>
      <c r="C129" s="23" t="n">
        <f aca="false">IFERROR(SUM($C$121:$CH$121)/$C$126,0)</f>
        <v>5.15985514958843</v>
      </c>
    </row>
    <row r="130" customFormat="false" ht="13.5" hidden="false" customHeight="true" outlineLevel="0" collapsed="false">
      <c r="A130" s="13" t="s">
        <v>58</v>
      </c>
      <c r="C130" s="17" t="n">
        <f aca="false">IFERROR(COUNTIF($C$94:$CH$94,"&lt;"&amp;$C$126)+1,"n.d.")</f>
        <v>48</v>
      </c>
    </row>
    <row r="131" customFormat="false" ht="13.5" hidden="false" customHeight="true" outlineLevel="0" collapsed="false">
      <c r="A131" s="13" t="s">
        <v>800</v>
      </c>
      <c r="C131" s="16" t="n">
        <f aca="false">IFERROR($B$121+NPV((1+Hipótesis!$D$121)^(1/12)-1,$C$121:$CH$121),0)</f>
        <v>227918.12295137</v>
      </c>
    </row>
    <row r="132" customFormat="false" ht="13.5" hidden="false" customHeight="true" outlineLevel="0" collapsed="false">
      <c r="A132" s="13" t="s">
        <v>801</v>
      </c>
      <c r="C132" s="138" t="n">
        <f aca="false">SUM($AY$56:$BJ$56)</f>
        <v>713969.369639479</v>
      </c>
    </row>
    <row r="133" customFormat="false" ht="13.5" hidden="false" customHeight="true" outlineLevel="0" collapsed="false">
      <c r="A133" s="13" t="s">
        <v>802</v>
      </c>
      <c r="C133" s="138" t="n">
        <f aca="false">IF(Hipótesis!$D$94=5,$C$157,$C$132*Hipótesis!$D$120)</f>
        <v>5159855.14958843</v>
      </c>
    </row>
    <row r="134" customFormat="false" ht="13.5" hidden="false" customHeight="true" outlineLevel="0" collapsed="false">
      <c r="A134" s="13" t="s">
        <v>803</v>
      </c>
      <c r="C134" s="138" t="n">
        <f aca="false">MAX(0,$C$133)*Hipótesis!$D$119</f>
        <v>515985.514958843</v>
      </c>
    </row>
    <row r="135" customFormat="false" ht="13.5" hidden="false" customHeight="true" outlineLevel="0" collapsed="false">
      <c r="A135" s="13" t="s">
        <v>804</v>
      </c>
      <c r="C135" s="19" t="n">
        <f aca="false">IF(ISNUMBER($C$128),$C$128,"n.d.")</f>
        <v>0.507160062726353</v>
      </c>
    </row>
    <row r="136" customFormat="false" ht="13.5" hidden="false" customHeight="true" outlineLevel="0" collapsed="false">
      <c r="A136" s="13" t="s">
        <v>83</v>
      </c>
      <c r="C136" s="19" t="n">
        <f aca="false">IFERROR((1+IRR($B$123:$CH$123,0.01))^12-1,"n.d.")</f>
        <v>0.174166818595914</v>
      </c>
    </row>
    <row r="137" customFormat="false" ht="13.5" hidden="false" customHeight="true" outlineLevel="0" collapsed="false">
      <c r="A137" s="13" t="s">
        <v>805</v>
      </c>
      <c r="C137" s="19" t="n">
        <f aca="false">IFERROR((1+IRR($B$122:$CH$122,0.01))^12-1,"n.d.")</f>
        <v>0.376413839677306</v>
      </c>
    </row>
    <row r="138" customFormat="false" ht="13.5" hidden="false" customHeight="true" outlineLevel="0" collapsed="false">
      <c r="A138" s="13" t="s">
        <v>89</v>
      </c>
      <c r="C138" s="16" t="n">
        <f aca="false">Hipótesis!$D$122</f>
        <v>200000</v>
      </c>
    </row>
    <row r="139" customFormat="false" ht="13.5" hidden="false" customHeight="true" outlineLevel="0" collapsed="false">
      <c r="A139" s="13" t="s">
        <v>806</v>
      </c>
      <c r="C139" s="16" t="n">
        <f aca="false">Hipótesis!$D$113*Hipótesis!$D$117</f>
        <v>0</v>
      </c>
    </row>
    <row r="140" customFormat="false" ht="13.5" hidden="false" customHeight="true" outlineLevel="0" collapsed="false"/>
    <row r="141" customFormat="false" ht="13.5" hidden="false" customHeight="true" outlineLevel="0" collapsed="false">
      <c r="A141" s="146" t="s">
        <v>688</v>
      </c>
      <c r="C141" s="147" t="n">
        <v>1</v>
      </c>
      <c r="D141" s="147" t="n">
        <v>2</v>
      </c>
      <c r="E141" s="147" t="n">
        <v>3</v>
      </c>
      <c r="F141" s="147" t="n">
        <v>4</v>
      </c>
      <c r="G141" s="147" t="n">
        <v>5</v>
      </c>
      <c r="H141" s="147" t="n">
        <v>6</v>
      </c>
      <c r="I141" s="147" t="n">
        <v>7</v>
      </c>
    </row>
    <row r="142" customFormat="false" ht="13.5" hidden="false" customHeight="true" outlineLevel="0" collapsed="false">
      <c r="A142" s="13" t="s">
        <v>807</v>
      </c>
      <c r="C142" s="138" t="n">
        <f aca="false">SUM($C$56:$N$56)</f>
        <v>-29923.3682011463</v>
      </c>
      <c r="D142" s="138" t="n">
        <f aca="false">SUM($O$56:$Z$56)</f>
        <v>308815.578266312</v>
      </c>
      <c r="E142" s="138" t="n">
        <f aca="false">SUM($AA$56:$AL$56)</f>
        <v>553026.424774353</v>
      </c>
      <c r="F142" s="138" t="n">
        <f aca="false">SUM($AM$56:$AX$56)</f>
        <v>716371.80874312</v>
      </c>
      <c r="G142" s="138" t="n">
        <f aca="false">SUM($AY$56:$BJ$56)</f>
        <v>713969.369639479</v>
      </c>
      <c r="H142" s="138" t="n">
        <f aca="false">SUM($BK$56:$BV$56)</f>
        <v>684433.07834515</v>
      </c>
      <c r="I142" s="138" t="n">
        <f aca="false">SUM($BW$56:$CH$56)</f>
        <v>654723.49831199</v>
      </c>
    </row>
    <row r="143" customFormat="false" ht="13.5" hidden="false" customHeight="true" outlineLevel="0" collapsed="false">
      <c r="A143" s="13" t="s">
        <v>808</v>
      </c>
      <c r="C143" s="138" t="n">
        <f aca="false">SUM($C$106:$N$106)</f>
        <v>4823.36991002194</v>
      </c>
      <c r="D143" s="138" t="n">
        <f aca="false">SUM($O$106:$Z$106)</f>
        <v>10176.3115653262</v>
      </c>
      <c r="E143" s="138" t="n">
        <f aca="false">SUM($AA$106:$AL$106)</f>
        <v>34693.8618288204</v>
      </c>
      <c r="F143" s="138" t="n">
        <f aca="false">SUM($AM$106:$AX$106)</f>
        <v>37160.7695081957</v>
      </c>
      <c r="G143" s="138" t="n">
        <f aca="false">SUM($AY$106:$BJ$106)</f>
        <v>36312.7207261229</v>
      </c>
      <c r="H143" s="138" t="n">
        <f aca="false">SUM($BK$106:$BV$106)</f>
        <v>34921.9949002363</v>
      </c>
      <c r="I143" s="138" t="n">
        <f aca="false">SUM($BW$106:$CH$106)</f>
        <v>33527.8032995731</v>
      </c>
    </row>
    <row r="144" customFormat="false" ht="13.5" hidden="false" customHeight="true" outlineLevel="0" collapsed="false">
      <c r="A144" s="30" t="s">
        <v>809</v>
      </c>
      <c r="C144" s="153" t="n">
        <f aca="false">IFERROR(C142/C143,0)</f>
        <v>-6.2038302596224</v>
      </c>
      <c r="D144" s="153" t="n">
        <f aca="false">IFERROR(D142/D143,0)</f>
        <v>30.346513693482</v>
      </c>
      <c r="E144" s="153" t="n">
        <f aca="false">IFERROR(E142/E143,0)</f>
        <v>15.9401806435671</v>
      </c>
      <c r="F144" s="153" t="n">
        <f aca="false">IFERROR(F142/F143,0)</f>
        <v>19.2776365566145</v>
      </c>
      <c r="G144" s="153" t="n">
        <f aca="false">IFERROR(G142/G143,0)</f>
        <v>19.6616875674055</v>
      </c>
      <c r="H144" s="153" t="n">
        <f aca="false">IFERROR(H142/H143,0)</f>
        <v>19.5989112391892</v>
      </c>
      <c r="I144" s="153" t="n">
        <f aca="false">IFERROR(I142/I143,0)</f>
        <v>19.5277779597427</v>
      </c>
    </row>
    <row r="145" customFormat="false" ht="13.5" hidden="false" customHeight="true" outlineLevel="0" collapsed="false">
      <c r="A145" s="30" t="s">
        <v>810</v>
      </c>
      <c r="C145" s="18" t="n">
        <f aca="false">MIN(D144:I144)</f>
        <v>15.9401806435671</v>
      </c>
    </row>
    <row r="146" customFormat="false" ht="13.5" hidden="false" customHeight="true" outlineLevel="0" collapsed="false">
      <c r="A146" s="30" t="s">
        <v>811</v>
      </c>
      <c r="C146" s="16" t="n">
        <f aca="false">MIN($C$86:$CH$86)</f>
        <v>30000</v>
      </c>
    </row>
    <row r="147" customFormat="false" ht="13.5" hidden="false" customHeight="true" outlineLevel="0" collapsed="false">
      <c r="A147" s="30" t="s">
        <v>812</v>
      </c>
      <c r="C147" s="16" t="n">
        <f aca="false">SUM($C$36:$N$36)</f>
        <v>248408.39133152</v>
      </c>
    </row>
    <row r="148" customFormat="false" ht="13.5" hidden="false" customHeight="true" outlineLevel="0" collapsed="false">
      <c r="A148" s="30" t="s">
        <v>813</v>
      </c>
      <c r="C148" s="138" t="n">
        <f aca="false">-SUM($C$84:$N$84)</f>
        <v>-0</v>
      </c>
      <c r="D148" s="138" t="n">
        <f aca="false">-SUM($O$84:$Z$84)</f>
        <v>-0</v>
      </c>
      <c r="E148" s="138" t="n">
        <f aca="false">-SUM($AA$84:$AL$84)</f>
        <v>-0</v>
      </c>
      <c r="F148" s="138" t="n">
        <f aca="false">-SUM($AM$84:$AX$84)</f>
        <v>-0</v>
      </c>
      <c r="G148" s="138" t="n">
        <f aca="false">-SUM($AY$84:$BJ$84)</f>
        <v>-0</v>
      </c>
      <c r="H148" s="138" t="n">
        <f aca="false">-SUM($BK$84:$BV$84)</f>
        <v>-0</v>
      </c>
      <c r="I148" s="138" t="n">
        <f aca="false">-SUM($BW$84:$CH$84)</f>
        <v>-0</v>
      </c>
    </row>
    <row r="149" customFormat="false" ht="13.5" hidden="false" customHeight="true" outlineLevel="0" collapsed="false">
      <c r="A149" s="30" t="s">
        <v>814</v>
      </c>
      <c r="C149" s="16" t="n">
        <f aca="false">SUM($C$118:$N$118)/12</f>
        <v>1540</v>
      </c>
      <c r="D149" s="16" t="n">
        <f aca="false">SUM($O$118:$Z$118)/12</f>
        <v>2450</v>
      </c>
      <c r="E149" s="16" t="n">
        <f aca="false">SUM($AA$118:$AL$118)/12</f>
        <v>2800</v>
      </c>
      <c r="F149" s="16" t="n">
        <f aca="false">SUM($AM$118:$AX$118)/12</f>
        <v>3150</v>
      </c>
      <c r="G149" s="16" t="n">
        <f aca="false">SUM($AY$118:$BJ$118)/12</f>
        <v>3500</v>
      </c>
      <c r="H149" s="16" t="n">
        <f aca="false">SUM($BK$118:$BV$118)/12</f>
        <v>3850</v>
      </c>
      <c r="I149" s="16" t="n">
        <f aca="false">SUM($BW$118:$CH$118)/12</f>
        <v>4200</v>
      </c>
    </row>
    <row r="150" customFormat="false" ht="13.5" hidden="false" customHeight="true" outlineLevel="0" collapsed="false">
      <c r="A150" s="30" t="s">
        <v>815</v>
      </c>
      <c r="C150" s="16" t="n">
        <f aca="false">MAX($C$81:$CH$81)</f>
        <v>15580.8481667978</v>
      </c>
    </row>
    <row r="152" customFormat="false" ht="15" hidden="false" customHeight="true" outlineLevel="0" collapsed="false">
      <c r="A152" s="72" t="s">
        <v>816</v>
      </c>
    </row>
    <row r="153" customFormat="false" ht="15" hidden="false" customHeight="true" outlineLevel="0" collapsed="false">
      <c r="A153" s="1" t="s">
        <v>817</v>
      </c>
      <c r="C153" s="1" t="n">
        <f aca="false">SUMIFS($C$56:$CH$56,$C$3:$CH$3,"&gt;="&amp;Hipótesis!$D$124-11,$C$3:$CH$3,"&lt;="&amp;Hipótesis!$D$124)</f>
        <v>716371.80874312</v>
      </c>
    </row>
    <row r="154" customFormat="false" ht="15" hidden="false" customHeight="true" outlineLevel="0" collapsed="false">
      <c r="A154" s="1" t="s">
        <v>818</v>
      </c>
      <c r="C154" s="1" t="n">
        <f aca="false">$C$153*Hipótesis!$D$120</f>
        <v>4298230.85245872</v>
      </c>
    </row>
    <row r="155" customFormat="false" ht="15" hidden="false" customHeight="true" outlineLevel="0" collapsed="false">
      <c r="A155" s="1" t="s">
        <v>819</v>
      </c>
      <c r="C155" s="1" t="n">
        <f aca="false">SUMIFS($C$86:$CH$86,$C$3:$CH$3,"="&amp;Hipótesis!$D$124)</f>
        <v>923290.963796375</v>
      </c>
    </row>
    <row r="156" customFormat="false" ht="15" hidden="false" customHeight="true" outlineLevel="0" collapsed="false">
      <c r="A156" s="1" t="s">
        <v>820</v>
      </c>
      <c r="C156" s="1" t="n">
        <f aca="false">SUMIFS($C$96:$CH$96,$C$3:$CH$3,"="&amp;Hipótesis!$D$124)+SUMIFS($C$101:$CH$101,$C$3:$CH$3,"="&amp;Hipótesis!$D$124)+SUMIFS($C$89:$CH$89,$C$3:$CH$3,"="&amp;Hipótesis!$D$124)</f>
        <v>61666.6666666666</v>
      </c>
    </row>
    <row r="157" customFormat="false" ht="15" hidden="false" customHeight="true" outlineLevel="0" collapsed="false">
      <c r="A157" s="72" t="s">
        <v>821</v>
      </c>
      <c r="C157" s="1" t="n">
        <f aca="false">MAX(0,$C$154+Hipótesis!$D$125*($C$155-$C$156))</f>
        <v>5159855.14958843</v>
      </c>
    </row>
    <row r="158" customFormat="false" ht="15" hidden="false" customHeight="true" outlineLevel="0" collapsed="false">
      <c r="A158" s="1" t="s">
        <v>822</v>
      </c>
      <c r="C158" s="1" t="n">
        <f aca="false">MIN($C$157,MAX($C$157*Hipótesis!$D$119,Hipótesis!$D$127*Hipótesis!$D$93))</f>
        <v>515985.514958843</v>
      </c>
    </row>
    <row r="159" customFormat="false" ht="15" hidden="false" customHeight="true" outlineLevel="0" collapsed="false">
      <c r="A159" s="1" t="s">
        <v>823</v>
      </c>
      <c r="C159" s="1" t="n">
        <f aca="false">MAX(0,$C$158-$C$157*Hipótesis!$D$119)</f>
        <v>0</v>
      </c>
    </row>
    <row r="160" customFormat="false" ht="15" hidden="false" customHeight="true" outlineLevel="0" collapsed="false">
      <c r="A160" s="72" t="s">
        <v>824</v>
      </c>
    </row>
    <row r="161" customFormat="false" ht="15" hidden="false" customHeight="true" outlineLevel="0" collapsed="false">
      <c r="A161" s="1" t="s">
        <v>825</v>
      </c>
      <c r="C161" s="80" t="n">
        <f aca="false">IF(Hipótesis!$D$94=5,Hipótesis!$D$93,0)</f>
        <v>100000</v>
      </c>
    </row>
    <row r="162" customFormat="false" ht="15" hidden="false" customHeight="true" outlineLevel="0" collapsed="false">
      <c r="A162" s="1" t="s">
        <v>826</v>
      </c>
      <c r="C162" s="1" t="n">
        <f aca="false">SUMIFS($C$63:$CH$63,$C$3:$CH$3,"&lt;="&amp;Hipótesis!$D$126)</f>
        <v>0</v>
      </c>
    </row>
    <row r="163" customFormat="false" ht="15" hidden="false" customHeight="true" outlineLevel="0" collapsed="false">
      <c r="A163" s="72" t="s">
        <v>827</v>
      </c>
      <c r="C163" s="1" t="n">
        <f aca="false">$C$161+$C$162</f>
        <v>100000</v>
      </c>
    </row>
    <row r="164" customFormat="false" ht="15" hidden="false" customHeight="true" outlineLevel="0" collapsed="false">
      <c r="A164" s="1" t="s">
        <v>828</v>
      </c>
      <c r="C164" s="80" t="n">
        <f aca="false">Hipótesis!$D$105</f>
        <v>100000</v>
      </c>
    </row>
    <row r="165" customFormat="false" ht="15" hidden="false" customHeight="true" outlineLevel="0" collapsed="false">
      <c r="A165" s="72" t="s">
        <v>829</v>
      </c>
      <c r="C165" s="1" t="str">
        <f aca="false">IF($C$163&gt;=$C$164,"SI CUMPLE","NO CUMPLE - faltan "&amp;TEXT($C$164-$C$163,"#,##0")&amp;" EUR")</f>
        <v>SI CUMPLE</v>
      </c>
    </row>
    <row r="168" customFormat="false" ht="15" hidden="false" customHeight="false" outlineLevel="0" collapsed="false">
      <c r="A168" s="154" t="s">
        <v>830</v>
      </c>
    </row>
    <row r="169" customFormat="false" ht="15" hidden="false" customHeight="false" outlineLevel="0" collapsed="false">
      <c r="A169" s="1" t="s">
        <v>831</v>
      </c>
    </row>
    <row r="171" customFormat="false" ht="15" hidden="false" customHeight="false" outlineLevel="0" collapsed="false">
      <c r="A171" s="1" t="s">
        <v>832</v>
      </c>
      <c r="C171" s="27" t="n">
        <f aca="false">MOD(Restaurantes!$D$32+C$3-2,12)+1</f>
        <v>4</v>
      </c>
      <c r="D171" s="27" t="n">
        <f aca="false">MOD(Restaurantes!$D$32+D$3-2,12)+1</f>
        <v>5</v>
      </c>
      <c r="E171" s="27" t="n">
        <f aca="false">MOD(Restaurantes!$D$32+E$3-2,12)+1</f>
        <v>6</v>
      </c>
      <c r="F171" s="27" t="n">
        <f aca="false">MOD(Restaurantes!$D$32+F$3-2,12)+1</f>
        <v>7</v>
      </c>
      <c r="G171" s="27" t="n">
        <f aca="false">MOD(Restaurantes!$D$32+G$3-2,12)+1</f>
        <v>8</v>
      </c>
      <c r="H171" s="27" t="n">
        <f aca="false">MOD(Restaurantes!$D$32+H$3-2,12)+1</f>
        <v>9</v>
      </c>
      <c r="I171" s="27" t="n">
        <f aca="false">MOD(Restaurantes!$D$32+I$3-2,12)+1</f>
        <v>10</v>
      </c>
      <c r="J171" s="27" t="n">
        <f aca="false">MOD(Restaurantes!$D$32+J$3-2,12)+1</f>
        <v>11</v>
      </c>
      <c r="K171" s="27" t="n">
        <f aca="false">MOD(Restaurantes!$D$32+K$3-2,12)+1</f>
        <v>12</v>
      </c>
      <c r="L171" s="27" t="n">
        <f aca="false">MOD(Restaurantes!$D$32+L$3-2,12)+1</f>
        <v>1</v>
      </c>
      <c r="M171" s="27" t="n">
        <f aca="false">MOD(Restaurantes!$D$32+M$3-2,12)+1</f>
        <v>2</v>
      </c>
      <c r="N171" s="27" t="n">
        <f aca="false">MOD(Restaurantes!$D$32+N$3-2,12)+1</f>
        <v>3</v>
      </c>
      <c r="O171" s="27" t="n">
        <f aca="false">MOD(Restaurantes!$D$32+O$3-2,12)+1</f>
        <v>4</v>
      </c>
      <c r="P171" s="27" t="n">
        <f aca="false">MOD(Restaurantes!$D$32+P$3-2,12)+1</f>
        <v>5</v>
      </c>
      <c r="Q171" s="27" t="n">
        <f aca="false">MOD(Restaurantes!$D$32+Q$3-2,12)+1</f>
        <v>6</v>
      </c>
      <c r="R171" s="27" t="n">
        <f aca="false">MOD(Restaurantes!$D$32+R$3-2,12)+1</f>
        <v>7</v>
      </c>
      <c r="S171" s="27" t="n">
        <f aca="false">MOD(Restaurantes!$D$32+S$3-2,12)+1</f>
        <v>8</v>
      </c>
      <c r="T171" s="27" t="n">
        <f aca="false">MOD(Restaurantes!$D$32+T$3-2,12)+1</f>
        <v>9</v>
      </c>
      <c r="U171" s="27" t="n">
        <f aca="false">MOD(Restaurantes!$D$32+U$3-2,12)+1</f>
        <v>10</v>
      </c>
      <c r="V171" s="27" t="n">
        <f aca="false">MOD(Restaurantes!$D$32+V$3-2,12)+1</f>
        <v>11</v>
      </c>
      <c r="W171" s="27" t="n">
        <f aca="false">MOD(Restaurantes!$D$32+W$3-2,12)+1</f>
        <v>12</v>
      </c>
      <c r="X171" s="27" t="n">
        <f aca="false">MOD(Restaurantes!$D$32+X$3-2,12)+1</f>
        <v>1</v>
      </c>
      <c r="Y171" s="27" t="n">
        <f aca="false">MOD(Restaurantes!$D$32+Y$3-2,12)+1</f>
        <v>2</v>
      </c>
      <c r="Z171" s="27" t="n">
        <f aca="false">MOD(Restaurantes!$D$32+Z$3-2,12)+1</f>
        <v>3</v>
      </c>
      <c r="AA171" s="27" t="n">
        <f aca="false">MOD(Restaurantes!$D$32+AA$3-2,12)+1</f>
        <v>4</v>
      </c>
      <c r="AB171" s="27" t="n">
        <f aca="false">MOD(Restaurantes!$D$32+AB$3-2,12)+1</f>
        <v>5</v>
      </c>
      <c r="AC171" s="27" t="n">
        <f aca="false">MOD(Restaurantes!$D$32+AC$3-2,12)+1</f>
        <v>6</v>
      </c>
      <c r="AD171" s="27" t="n">
        <f aca="false">MOD(Restaurantes!$D$32+AD$3-2,12)+1</f>
        <v>7</v>
      </c>
      <c r="AE171" s="27" t="n">
        <f aca="false">MOD(Restaurantes!$D$32+AE$3-2,12)+1</f>
        <v>8</v>
      </c>
      <c r="AF171" s="27" t="n">
        <f aca="false">MOD(Restaurantes!$D$32+AF$3-2,12)+1</f>
        <v>9</v>
      </c>
      <c r="AG171" s="27" t="n">
        <f aca="false">MOD(Restaurantes!$D$32+AG$3-2,12)+1</f>
        <v>10</v>
      </c>
      <c r="AH171" s="27" t="n">
        <f aca="false">MOD(Restaurantes!$D$32+AH$3-2,12)+1</f>
        <v>11</v>
      </c>
      <c r="AI171" s="27" t="n">
        <f aca="false">MOD(Restaurantes!$D$32+AI$3-2,12)+1</f>
        <v>12</v>
      </c>
      <c r="AJ171" s="27" t="n">
        <f aca="false">MOD(Restaurantes!$D$32+AJ$3-2,12)+1</f>
        <v>1</v>
      </c>
      <c r="AK171" s="27" t="n">
        <f aca="false">MOD(Restaurantes!$D$32+AK$3-2,12)+1</f>
        <v>2</v>
      </c>
      <c r="AL171" s="27" t="n">
        <f aca="false">MOD(Restaurantes!$D$32+AL$3-2,12)+1</f>
        <v>3</v>
      </c>
      <c r="AM171" s="27" t="n">
        <f aca="false">MOD(Restaurantes!$D$32+AM$3-2,12)+1</f>
        <v>4</v>
      </c>
      <c r="AN171" s="27" t="n">
        <f aca="false">MOD(Restaurantes!$D$32+AN$3-2,12)+1</f>
        <v>5</v>
      </c>
      <c r="AO171" s="27" t="n">
        <f aca="false">MOD(Restaurantes!$D$32+AO$3-2,12)+1</f>
        <v>6</v>
      </c>
      <c r="AP171" s="27" t="n">
        <f aca="false">MOD(Restaurantes!$D$32+AP$3-2,12)+1</f>
        <v>7</v>
      </c>
      <c r="AQ171" s="27" t="n">
        <f aca="false">MOD(Restaurantes!$D$32+AQ$3-2,12)+1</f>
        <v>8</v>
      </c>
      <c r="AR171" s="27" t="n">
        <f aca="false">MOD(Restaurantes!$D$32+AR$3-2,12)+1</f>
        <v>9</v>
      </c>
      <c r="AS171" s="27" t="n">
        <f aca="false">MOD(Restaurantes!$D$32+AS$3-2,12)+1</f>
        <v>10</v>
      </c>
      <c r="AT171" s="27" t="n">
        <f aca="false">MOD(Restaurantes!$D$32+AT$3-2,12)+1</f>
        <v>11</v>
      </c>
      <c r="AU171" s="27" t="n">
        <f aca="false">MOD(Restaurantes!$D$32+AU$3-2,12)+1</f>
        <v>12</v>
      </c>
      <c r="AV171" s="27" t="n">
        <f aca="false">MOD(Restaurantes!$D$32+AV$3-2,12)+1</f>
        <v>1</v>
      </c>
      <c r="AW171" s="27" t="n">
        <f aca="false">MOD(Restaurantes!$D$32+AW$3-2,12)+1</f>
        <v>2</v>
      </c>
      <c r="AX171" s="27" t="n">
        <f aca="false">MOD(Restaurantes!$D$32+AX$3-2,12)+1</f>
        <v>3</v>
      </c>
      <c r="AY171" s="27" t="n">
        <f aca="false">MOD(Restaurantes!$D$32+AY$3-2,12)+1</f>
        <v>4</v>
      </c>
      <c r="AZ171" s="27" t="n">
        <f aca="false">MOD(Restaurantes!$D$32+AZ$3-2,12)+1</f>
        <v>5</v>
      </c>
      <c r="BA171" s="27" t="n">
        <f aca="false">MOD(Restaurantes!$D$32+BA$3-2,12)+1</f>
        <v>6</v>
      </c>
      <c r="BB171" s="27" t="n">
        <f aca="false">MOD(Restaurantes!$D$32+BB$3-2,12)+1</f>
        <v>7</v>
      </c>
      <c r="BC171" s="27" t="n">
        <f aca="false">MOD(Restaurantes!$D$32+BC$3-2,12)+1</f>
        <v>8</v>
      </c>
      <c r="BD171" s="27" t="n">
        <f aca="false">MOD(Restaurantes!$D$32+BD$3-2,12)+1</f>
        <v>9</v>
      </c>
      <c r="BE171" s="27" t="n">
        <f aca="false">MOD(Restaurantes!$D$32+BE$3-2,12)+1</f>
        <v>10</v>
      </c>
      <c r="BF171" s="27" t="n">
        <f aca="false">MOD(Restaurantes!$D$32+BF$3-2,12)+1</f>
        <v>11</v>
      </c>
      <c r="BG171" s="27" t="n">
        <f aca="false">MOD(Restaurantes!$D$32+BG$3-2,12)+1</f>
        <v>12</v>
      </c>
      <c r="BH171" s="27" t="n">
        <f aca="false">MOD(Restaurantes!$D$32+BH$3-2,12)+1</f>
        <v>1</v>
      </c>
      <c r="BI171" s="27" t="n">
        <f aca="false">MOD(Restaurantes!$D$32+BI$3-2,12)+1</f>
        <v>2</v>
      </c>
      <c r="BJ171" s="27" t="n">
        <f aca="false">MOD(Restaurantes!$D$32+BJ$3-2,12)+1</f>
        <v>3</v>
      </c>
      <c r="BK171" s="27" t="n">
        <f aca="false">MOD(Restaurantes!$D$32+BK$3-2,12)+1</f>
        <v>4</v>
      </c>
      <c r="BL171" s="27" t="n">
        <f aca="false">MOD(Restaurantes!$D$32+BL$3-2,12)+1</f>
        <v>5</v>
      </c>
      <c r="BM171" s="27" t="n">
        <f aca="false">MOD(Restaurantes!$D$32+BM$3-2,12)+1</f>
        <v>6</v>
      </c>
      <c r="BN171" s="27" t="n">
        <f aca="false">MOD(Restaurantes!$D$32+BN$3-2,12)+1</f>
        <v>7</v>
      </c>
      <c r="BO171" s="27" t="n">
        <f aca="false">MOD(Restaurantes!$D$32+BO$3-2,12)+1</f>
        <v>8</v>
      </c>
      <c r="BP171" s="27" t="n">
        <f aca="false">MOD(Restaurantes!$D$32+BP$3-2,12)+1</f>
        <v>9</v>
      </c>
      <c r="BQ171" s="27" t="n">
        <f aca="false">MOD(Restaurantes!$D$32+BQ$3-2,12)+1</f>
        <v>10</v>
      </c>
      <c r="BR171" s="27" t="n">
        <f aca="false">MOD(Restaurantes!$D$32+BR$3-2,12)+1</f>
        <v>11</v>
      </c>
      <c r="BS171" s="27" t="n">
        <f aca="false">MOD(Restaurantes!$D$32+BS$3-2,12)+1</f>
        <v>12</v>
      </c>
      <c r="BT171" s="27" t="n">
        <f aca="false">MOD(Restaurantes!$D$32+BT$3-2,12)+1</f>
        <v>1</v>
      </c>
      <c r="BU171" s="27" t="n">
        <f aca="false">MOD(Restaurantes!$D$32+BU$3-2,12)+1</f>
        <v>2</v>
      </c>
      <c r="BV171" s="27" t="n">
        <f aca="false">MOD(Restaurantes!$D$32+BV$3-2,12)+1</f>
        <v>3</v>
      </c>
      <c r="BW171" s="27" t="n">
        <f aca="false">MOD(Restaurantes!$D$32+BW$3-2,12)+1</f>
        <v>4</v>
      </c>
      <c r="BX171" s="27" t="n">
        <f aca="false">MOD(Restaurantes!$D$32+BX$3-2,12)+1</f>
        <v>5</v>
      </c>
      <c r="BY171" s="27" t="n">
        <f aca="false">MOD(Restaurantes!$D$32+BY$3-2,12)+1</f>
        <v>6</v>
      </c>
      <c r="BZ171" s="27" t="n">
        <f aca="false">MOD(Restaurantes!$D$32+BZ$3-2,12)+1</f>
        <v>7</v>
      </c>
      <c r="CA171" s="27" t="n">
        <f aca="false">MOD(Restaurantes!$D$32+CA$3-2,12)+1</f>
        <v>8</v>
      </c>
      <c r="CB171" s="27" t="n">
        <f aca="false">MOD(Restaurantes!$D$32+CB$3-2,12)+1</f>
        <v>9</v>
      </c>
      <c r="CC171" s="27" t="n">
        <f aca="false">MOD(Restaurantes!$D$32+CC$3-2,12)+1</f>
        <v>10</v>
      </c>
      <c r="CD171" s="27" t="n">
        <f aca="false">MOD(Restaurantes!$D$32+CD$3-2,12)+1</f>
        <v>11</v>
      </c>
      <c r="CE171" s="27" t="n">
        <f aca="false">MOD(Restaurantes!$D$32+CE$3-2,12)+1</f>
        <v>12</v>
      </c>
      <c r="CF171" s="27" t="n">
        <f aca="false">MOD(Restaurantes!$D$32+CF$3-2,12)+1</f>
        <v>1</v>
      </c>
      <c r="CG171" s="27" t="n">
        <f aca="false">MOD(Restaurantes!$D$32+CG$3-2,12)+1</f>
        <v>2</v>
      </c>
      <c r="CH171" s="27" t="n">
        <f aca="false">MOD(Restaurantes!$D$32+CH$3-2,12)+1</f>
        <v>3</v>
      </c>
    </row>
    <row r="172" customFormat="false" ht="15" hidden="false" customHeight="false" outlineLevel="0" collapsed="false">
      <c r="A172" s="1" t="s">
        <v>833</v>
      </c>
      <c r="C172" s="26" t="n">
        <f aca="false">IF(C171=8,Restaurantes!$D$31,1)</f>
        <v>1</v>
      </c>
      <c r="D172" s="26" t="n">
        <f aca="false">IF(D171=8,Restaurantes!$D$31,1)</f>
        <v>1</v>
      </c>
      <c r="E172" s="26" t="n">
        <f aca="false">IF(E171=8,Restaurantes!$D$31,1)</f>
        <v>1</v>
      </c>
      <c r="F172" s="26" t="n">
        <f aca="false">IF(F171=8,Restaurantes!$D$31,1)</f>
        <v>1</v>
      </c>
      <c r="G172" s="26" t="n">
        <f aca="false">IF(G171=8,Restaurantes!$D$31,1)</f>
        <v>0.15</v>
      </c>
      <c r="H172" s="26" t="n">
        <f aca="false">IF(H171=8,Restaurantes!$D$31,1)</f>
        <v>1</v>
      </c>
      <c r="I172" s="26" t="n">
        <f aca="false">IF(I171=8,Restaurantes!$D$31,1)</f>
        <v>1</v>
      </c>
      <c r="J172" s="26" t="n">
        <f aca="false">IF(J171=8,Restaurantes!$D$31,1)</f>
        <v>1</v>
      </c>
      <c r="K172" s="26" t="n">
        <f aca="false">IF(K171=8,Restaurantes!$D$31,1)</f>
        <v>1</v>
      </c>
      <c r="L172" s="26" t="n">
        <f aca="false">IF(L171=8,Restaurantes!$D$31,1)</f>
        <v>1</v>
      </c>
      <c r="M172" s="26" t="n">
        <f aca="false">IF(M171=8,Restaurantes!$D$31,1)</f>
        <v>1</v>
      </c>
      <c r="N172" s="26" t="n">
        <f aca="false">IF(N171=8,Restaurantes!$D$31,1)</f>
        <v>1</v>
      </c>
      <c r="O172" s="26" t="n">
        <f aca="false">IF(O171=8,Restaurantes!$D$31,1)</f>
        <v>1</v>
      </c>
      <c r="P172" s="26" t="n">
        <f aca="false">IF(P171=8,Restaurantes!$D$31,1)</f>
        <v>1</v>
      </c>
      <c r="Q172" s="26" t="n">
        <f aca="false">IF(Q171=8,Restaurantes!$D$31,1)</f>
        <v>1</v>
      </c>
      <c r="R172" s="26" t="n">
        <f aca="false">IF(R171=8,Restaurantes!$D$31,1)</f>
        <v>1</v>
      </c>
      <c r="S172" s="26" t="n">
        <f aca="false">IF(S171=8,Restaurantes!$D$31,1)</f>
        <v>0.15</v>
      </c>
      <c r="T172" s="26" t="n">
        <f aca="false">IF(T171=8,Restaurantes!$D$31,1)</f>
        <v>1</v>
      </c>
      <c r="U172" s="26" t="n">
        <f aca="false">IF(U171=8,Restaurantes!$D$31,1)</f>
        <v>1</v>
      </c>
      <c r="V172" s="26" t="n">
        <f aca="false">IF(V171=8,Restaurantes!$D$31,1)</f>
        <v>1</v>
      </c>
      <c r="W172" s="26" t="n">
        <f aca="false">IF(W171=8,Restaurantes!$D$31,1)</f>
        <v>1</v>
      </c>
      <c r="X172" s="26" t="n">
        <f aca="false">IF(X171=8,Restaurantes!$D$31,1)</f>
        <v>1</v>
      </c>
      <c r="Y172" s="26" t="n">
        <f aca="false">IF(Y171=8,Restaurantes!$D$31,1)</f>
        <v>1</v>
      </c>
      <c r="Z172" s="26" t="n">
        <f aca="false">IF(Z171=8,Restaurantes!$D$31,1)</f>
        <v>1</v>
      </c>
      <c r="AA172" s="26" t="n">
        <f aca="false">IF(AA171=8,Restaurantes!$D$31,1)</f>
        <v>1</v>
      </c>
      <c r="AB172" s="26" t="n">
        <f aca="false">IF(AB171=8,Restaurantes!$D$31,1)</f>
        <v>1</v>
      </c>
      <c r="AC172" s="26" t="n">
        <f aca="false">IF(AC171=8,Restaurantes!$D$31,1)</f>
        <v>1</v>
      </c>
      <c r="AD172" s="26" t="n">
        <f aca="false">IF(AD171=8,Restaurantes!$D$31,1)</f>
        <v>1</v>
      </c>
      <c r="AE172" s="26" t="n">
        <f aca="false">IF(AE171=8,Restaurantes!$D$31,1)</f>
        <v>0.15</v>
      </c>
      <c r="AF172" s="26" t="n">
        <f aca="false">IF(AF171=8,Restaurantes!$D$31,1)</f>
        <v>1</v>
      </c>
      <c r="AG172" s="26" t="n">
        <f aca="false">IF(AG171=8,Restaurantes!$D$31,1)</f>
        <v>1</v>
      </c>
      <c r="AH172" s="26" t="n">
        <f aca="false">IF(AH171=8,Restaurantes!$D$31,1)</f>
        <v>1</v>
      </c>
      <c r="AI172" s="26" t="n">
        <f aca="false">IF(AI171=8,Restaurantes!$D$31,1)</f>
        <v>1</v>
      </c>
      <c r="AJ172" s="26" t="n">
        <f aca="false">IF(AJ171=8,Restaurantes!$D$31,1)</f>
        <v>1</v>
      </c>
      <c r="AK172" s="26" t="n">
        <f aca="false">IF(AK171=8,Restaurantes!$D$31,1)</f>
        <v>1</v>
      </c>
      <c r="AL172" s="26" t="n">
        <f aca="false">IF(AL171=8,Restaurantes!$D$31,1)</f>
        <v>1</v>
      </c>
      <c r="AM172" s="26" t="n">
        <f aca="false">IF(AM171=8,Restaurantes!$D$31,1)</f>
        <v>1</v>
      </c>
      <c r="AN172" s="26" t="n">
        <f aca="false">IF(AN171=8,Restaurantes!$D$31,1)</f>
        <v>1</v>
      </c>
      <c r="AO172" s="26" t="n">
        <f aca="false">IF(AO171=8,Restaurantes!$D$31,1)</f>
        <v>1</v>
      </c>
      <c r="AP172" s="26" t="n">
        <f aca="false">IF(AP171=8,Restaurantes!$D$31,1)</f>
        <v>1</v>
      </c>
      <c r="AQ172" s="26" t="n">
        <f aca="false">IF(AQ171=8,Restaurantes!$D$31,1)</f>
        <v>0.15</v>
      </c>
      <c r="AR172" s="26" t="n">
        <f aca="false">IF(AR171=8,Restaurantes!$D$31,1)</f>
        <v>1</v>
      </c>
      <c r="AS172" s="26" t="n">
        <f aca="false">IF(AS171=8,Restaurantes!$D$31,1)</f>
        <v>1</v>
      </c>
      <c r="AT172" s="26" t="n">
        <f aca="false">IF(AT171=8,Restaurantes!$D$31,1)</f>
        <v>1</v>
      </c>
      <c r="AU172" s="26" t="n">
        <f aca="false">IF(AU171=8,Restaurantes!$D$31,1)</f>
        <v>1</v>
      </c>
      <c r="AV172" s="26" t="n">
        <f aca="false">IF(AV171=8,Restaurantes!$D$31,1)</f>
        <v>1</v>
      </c>
      <c r="AW172" s="26" t="n">
        <f aca="false">IF(AW171=8,Restaurantes!$D$31,1)</f>
        <v>1</v>
      </c>
      <c r="AX172" s="26" t="n">
        <f aca="false">IF(AX171=8,Restaurantes!$D$31,1)</f>
        <v>1</v>
      </c>
      <c r="AY172" s="26" t="n">
        <f aca="false">IF(AY171=8,Restaurantes!$D$31,1)</f>
        <v>1</v>
      </c>
      <c r="AZ172" s="26" t="n">
        <f aca="false">IF(AZ171=8,Restaurantes!$D$31,1)</f>
        <v>1</v>
      </c>
      <c r="BA172" s="26" t="n">
        <f aca="false">IF(BA171=8,Restaurantes!$D$31,1)</f>
        <v>1</v>
      </c>
      <c r="BB172" s="26" t="n">
        <f aca="false">IF(BB171=8,Restaurantes!$D$31,1)</f>
        <v>1</v>
      </c>
      <c r="BC172" s="26" t="n">
        <f aca="false">IF(BC171=8,Restaurantes!$D$31,1)</f>
        <v>0.15</v>
      </c>
      <c r="BD172" s="26" t="n">
        <f aca="false">IF(BD171=8,Restaurantes!$D$31,1)</f>
        <v>1</v>
      </c>
      <c r="BE172" s="26" t="n">
        <f aca="false">IF(BE171=8,Restaurantes!$D$31,1)</f>
        <v>1</v>
      </c>
      <c r="BF172" s="26" t="n">
        <f aca="false">IF(BF171=8,Restaurantes!$D$31,1)</f>
        <v>1</v>
      </c>
      <c r="BG172" s="26" t="n">
        <f aca="false">IF(BG171=8,Restaurantes!$D$31,1)</f>
        <v>1</v>
      </c>
      <c r="BH172" s="26" t="n">
        <f aca="false">IF(BH171=8,Restaurantes!$D$31,1)</f>
        <v>1</v>
      </c>
      <c r="BI172" s="26" t="n">
        <f aca="false">IF(BI171=8,Restaurantes!$D$31,1)</f>
        <v>1</v>
      </c>
      <c r="BJ172" s="26" t="n">
        <f aca="false">IF(BJ171=8,Restaurantes!$D$31,1)</f>
        <v>1</v>
      </c>
      <c r="BK172" s="26" t="n">
        <f aca="false">IF(BK171=8,Restaurantes!$D$31,1)</f>
        <v>1</v>
      </c>
      <c r="BL172" s="26" t="n">
        <f aca="false">IF(BL171=8,Restaurantes!$D$31,1)</f>
        <v>1</v>
      </c>
      <c r="BM172" s="26" t="n">
        <f aca="false">IF(BM171=8,Restaurantes!$D$31,1)</f>
        <v>1</v>
      </c>
      <c r="BN172" s="26" t="n">
        <f aca="false">IF(BN171=8,Restaurantes!$D$31,1)</f>
        <v>1</v>
      </c>
      <c r="BO172" s="26" t="n">
        <f aca="false">IF(BO171=8,Restaurantes!$D$31,1)</f>
        <v>0.15</v>
      </c>
      <c r="BP172" s="26" t="n">
        <f aca="false">IF(BP171=8,Restaurantes!$D$31,1)</f>
        <v>1</v>
      </c>
      <c r="BQ172" s="26" t="n">
        <f aca="false">IF(BQ171=8,Restaurantes!$D$31,1)</f>
        <v>1</v>
      </c>
      <c r="BR172" s="26" t="n">
        <f aca="false">IF(BR171=8,Restaurantes!$D$31,1)</f>
        <v>1</v>
      </c>
      <c r="BS172" s="26" t="n">
        <f aca="false">IF(BS171=8,Restaurantes!$D$31,1)</f>
        <v>1</v>
      </c>
      <c r="BT172" s="26" t="n">
        <f aca="false">IF(BT171=8,Restaurantes!$D$31,1)</f>
        <v>1</v>
      </c>
      <c r="BU172" s="26" t="n">
        <f aca="false">IF(BU171=8,Restaurantes!$D$31,1)</f>
        <v>1</v>
      </c>
      <c r="BV172" s="26" t="n">
        <f aca="false">IF(BV171=8,Restaurantes!$D$31,1)</f>
        <v>1</v>
      </c>
      <c r="BW172" s="26" t="n">
        <f aca="false">IF(BW171=8,Restaurantes!$D$31,1)</f>
        <v>1</v>
      </c>
      <c r="BX172" s="26" t="n">
        <f aca="false">IF(BX171=8,Restaurantes!$D$31,1)</f>
        <v>1</v>
      </c>
      <c r="BY172" s="26" t="n">
        <f aca="false">IF(BY171=8,Restaurantes!$D$31,1)</f>
        <v>1</v>
      </c>
      <c r="BZ172" s="26" t="n">
        <f aca="false">IF(BZ171=8,Restaurantes!$D$31,1)</f>
        <v>1</v>
      </c>
      <c r="CA172" s="26" t="n">
        <f aca="false">IF(CA171=8,Restaurantes!$D$31,1)</f>
        <v>0.15</v>
      </c>
      <c r="CB172" s="26" t="n">
        <f aca="false">IF(CB171=8,Restaurantes!$D$31,1)</f>
        <v>1</v>
      </c>
      <c r="CC172" s="26" t="n">
        <f aca="false">IF(CC171=8,Restaurantes!$D$31,1)</f>
        <v>1</v>
      </c>
      <c r="CD172" s="26" t="n">
        <f aca="false">IF(CD171=8,Restaurantes!$D$31,1)</f>
        <v>1</v>
      </c>
      <c r="CE172" s="26" t="n">
        <f aca="false">IF(CE171=8,Restaurantes!$D$31,1)</f>
        <v>1</v>
      </c>
      <c r="CF172" s="26" t="n">
        <f aca="false">IF(CF171=8,Restaurantes!$D$31,1)</f>
        <v>1</v>
      </c>
      <c r="CG172" s="26" t="n">
        <f aca="false">IF(CG171=8,Restaurantes!$D$31,1)</f>
        <v>1</v>
      </c>
      <c r="CH172" s="26" t="n">
        <f aca="false">IF(CH171=8,Restaurantes!$D$31,1)</f>
        <v>1</v>
      </c>
    </row>
    <row r="173" customFormat="false" ht="15" hidden="false" customHeight="false" outlineLevel="0" collapsed="false">
      <c r="A173" s="1" t="s">
        <v>834</v>
      </c>
      <c r="C173" s="26" t="n">
        <f aca="false">IF(C$3&lt;Restaurantes!$D$8,0,MIN(1,(C$3-Restaurantes!$D$8+1)/MAX(1,Restaurantes!$D$9)))</f>
        <v>0.0416666666666667</v>
      </c>
      <c r="D173" s="26" t="n">
        <f aca="false">IF(D$3&lt;Restaurantes!$D$8,0,MIN(1,(D$3-Restaurantes!$D$8+1)/MAX(1,Restaurantes!$D$9)))</f>
        <v>0.0833333333333333</v>
      </c>
      <c r="E173" s="26" t="n">
        <f aca="false">IF(E$3&lt;Restaurantes!$D$8,0,MIN(1,(E$3-Restaurantes!$D$8+1)/MAX(1,Restaurantes!$D$9)))</f>
        <v>0.125</v>
      </c>
      <c r="F173" s="26" t="n">
        <f aca="false">IF(F$3&lt;Restaurantes!$D$8,0,MIN(1,(F$3-Restaurantes!$D$8+1)/MAX(1,Restaurantes!$D$9)))</f>
        <v>0.166666666666667</v>
      </c>
      <c r="G173" s="26" t="n">
        <f aca="false">IF(G$3&lt;Restaurantes!$D$8,0,MIN(1,(G$3-Restaurantes!$D$8+1)/MAX(1,Restaurantes!$D$9)))</f>
        <v>0.208333333333333</v>
      </c>
      <c r="H173" s="26" t="n">
        <f aca="false">IF(H$3&lt;Restaurantes!$D$8,0,MIN(1,(H$3-Restaurantes!$D$8+1)/MAX(1,Restaurantes!$D$9)))</f>
        <v>0.25</v>
      </c>
      <c r="I173" s="26" t="n">
        <f aca="false">IF(I$3&lt;Restaurantes!$D$8,0,MIN(1,(I$3-Restaurantes!$D$8+1)/MAX(1,Restaurantes!$D$9)))</f>
        <v>0.291666666666667</v>
      </c>
      <c r="J173" s="26" t="n">
        <f aca="false">IF(J$3&lt;Restaurantes!$D$8,0,MIN(1,(J$3-Restaurantes!$D$8+1)/MAX(1,Restaurantes!$D$9)))</f>
        <v>0.333333333333333</v>
      </c>
      <c r="K173" s="26" t="n">
        <f aca="false">IF(K$3&lt;Restaurantes!$D$8,0,MIN(1,(K$3-Restaurantes!$D$8+1)/MAX(1,Restaurantes!$D$9)))</f>
        <v>0.375</v>
      </c>
      <c r="L173" s="26" t="n">
        <f aca="false">IF(L$3&lt;Restaurantes!$D$8,0,MIN(1,(L$3-Restaurantes!$D$8+1)/MAX(1,Restaurantes!$D$9)))</f>
        <v>0.416666666666667</v>
      </c>
      <c r="M173" s="26" t="n">
        <f aca="false">IF(M$3&lt;Restaurantes!$D$8,0,MIN(1,(M$3-Restaurantes!$D$8+1)/MAX(1,Restaurantes!$D$9)))</f>
        <v>0.458333333333333</v>
      </c>
      <c r="N173" s="26" t="n">
        <f aca="false">IF(N$3&lt;Restaurantes!$D$8,0,MIN(1,(N$3-Restaurantes!$D$8+1)/MAX(1,Restaurantes!$D$9)))</f>
        <v>0.5</v>
      </c>
      <c r="O173" s="26" t="n">
        <f aca="false">IF(O$3&lt;Restaurantes!$D$8,0,MIN(1,(O$3-Restaurantes!$D$8+1)/MAX(1,Restaurantes!$D$9)))</f>
        <v>0.541666666666667</v>
      </c>
      <c r="P173" s="26" t="n">
        <f aca="false">IF(P$3&lt;Restaurantes!$D$8,0,MIN(1,(P$3-Restaurantes!$D$8+1)/MAX(1,Restaurantes!$D$9)))</f>
        <v>0.583333333333333</v>
      </c>
      <c r="Q173" s="26" t="n">
        <f aca="false">IF(Q$3&lt;Restaurantes!$D$8,0,MIN(1,(Q$3-Restaurantes!$D$8+1)/MAX(1,Restaurantes!$D$9)))</f>
        <v>0.625</v>
      </c>
      <c r="R173" s="26" t="n">
        <f aca="false">IF(R$3&lt;Restaurantes!$D$8,0,MIN(1,(R$3-Restaurantes!$D$8+1)/MAX(1,Restaurantes!$D$9)))</f>
        <v>0.666666666666667</v>
      </c>
      <c r="S173" s="26" t="n">
        <f aca="false">IF(S$3&lt;Restaurantes!$D$8,0,MIN(1,(S$3-Restaurantes!$D$8+1)/MAX(1,Restaurantes!$D$9)))</f>
        <v>0.708333333333333</v>
      </c>
      <c r="T173" s="26" t="n">
        <f aca="false">IF(T$3&lt;Restaurantes!$D$8,0,MIN(1,(T$3-Restaurantes!$D$8+1)/MAX(1,Restaurantes!$D$9)))</f>
        <v>0.75</v>
      </c>
      <c r="U173" s="26" t="n">
        <f aca="false">IF(U$3&lt;Restaurantes!$D$8,0,MIN(1,(U$3-Restaurantes!$D$8+1)/MAX(1,Restaurantes!$D$9)))</f>
        <v>0.791666666666667</v>
      </c>
      <c r="V173" s="26" t="n">
        <f aca="false">IF(V$3&lt;Restaurantes!$D$8,0,MIN(1,(V$3-Restaurantes!$D$8+1)/MAX(1,Restaurantes!$D$9)))</f>
        <v>0.833333333333333</v>
      </c>
      <c r="W173" s="26" t="n">
        <f aca="false">IF(W$3&lt;Restaurantes!$D$8,0,MIN(1,(W$3-Restaurantes!$D$8+1)/MAX(1,Restaurantes!$D$9)))</f>
        <v>0.875</v>
      </c>
      <c r="X173" s="26" t="n">
        <f aca="false">IF(X$3&lt;Restaurantes!$D$8,0,MIN(1,(X$3-Restaurantes!$D$8+1)/MAX(1,Restaurantes!$D$9)))</f>
        <v>0.916666666666667</v>
      </c>
      <c r="Y173" s="26" t="n">
        <f aca="false">IF(Y$3&lt;Restaurantes!$D$8,0,MIN(1,(Y$3-Restaurantes!$D$8+1)/MAX(1,Restaurantes!$D$9)))</f>
        <v>0.958333333333333</v>
      </c>
      <c r="Z173" s="26" t="n">
        <f aca="false">IF(Z$3&lt;Restaurantes!$D$8,0,MIN(1,(Z$3-Restaurantes!$D$8+1)/MAX(1,Restaurantes!$D$9)))</f>
        <v>1</v>
      </c>
      <c r="AA173" s="26" t="n">
        <f aca="false">IF(AA$3&lt;Restaurantes!$D$8,0,MIN(1,(AA$3-Restaurantes!$D$8+1)/MAX(1,Restaurantes!$D$9)))</f>
        <v>1</v>
      </c>
      <c r="AB173" s="26" t="n">
        <f aca="false">IF(AB$3&lt;Restaurantes!$D$8,0,MIN(1,(AB$3-Restaurantes!$D$8+1)/MAX(1,Restaurantes!$D$9)))</f>
        <v>1</v>
      </c>
      <c r="AC173" s="26" t="n">
        <f aca="false">IF(AC$3&lt;Restaurantes!$D$8,0,MIN(1,(AC$3-Restaurantes!$D$8+1)/MAX(1,Restaurantes!$D$9)))</f>
        <v>1</v>
      </c>
      <c r="AD173" s="26" t="n">
        <f aca="false">IF(AD$3&lt;Restaurantes!$D$8,0,MIN(1,(AD$3-Restaurantes!$D$8+1)/MAX(1,Restaurantes!$D$9)))</f>
        <v>1</v>
      </c>
      <c r="AE173" s="26" t="n">
        <f aca="false">IF(AE$3&lt;Restaurantes!$D$8,0,MIN(1,(AE$3-Restaurantes!$D$8+1)/MAX(1,Restaurantes!$D$9)))</f>
        <v>1</v>
      </c>
      <c r="AF173" s="26" t="n">
        <f aca="false">IF(AF$3&lt;Restaurantes!$D$8,0,MIN(1,(AF$3-Restaurantes!$D$8+1)/MAX(1,Restaurantes!$D$9)))</f>
        <v>1</v>
      </c>
      <c r="AG173" s="26" t="n">
        <f aca="false">IF(AG$3&lt;Restaurantes!$D$8,0,MIN(1,(AG$3-Restaurantes!$D$8+1)/MAX(1,Restaurantes!$D$9)))</f>
        <v>1</v>
      </c>
      <c r="AH173" s="26" t="n">
        <f aca="false">IF(AH$3&lt;Restaurantes!$D$8,0,MIN(1,(AH$3-Restaurantes!$D$8+1)/MAX(1,Restaurantes!$D$9)))</f>
        <v>1</v>
      </c>
      <c r="AI173" s="26" t="n">
        <f aca="false">IF(AI$3&lt;Restaurantes!$D$8,0,MIN(1,(AI$3-Restaurantes!$D$8+1)/MAX(1,Restaurantes!$D$9)))</f>
        <v>1</v>
      </c>
      <c r="AJ173" s="26" t="n">
        <f aca="false">IF(AJ$3&lt;Restaurantes!$D$8,0,MIN(1,(AJ$3-Restaurantes!$D$8+1)/MAX(1,Restaurantes!$D$9)))</f>
        <v>1</v>
      </c>
      <c r="AK173" s="26" t="n">
        <f aca="false">IF(AK$3&lt;Restaurantes!$D$8,0,MIN(1,(AK$3-Restaurantes!$D$8+1)/MAX(1,Restaurantes!$D$9)))</f>
        <v>1</v>
      </c>
      <c r="AL173" s="26" t="n">
        <f aca="false">IF(AL$3&lt;Restaurantes!$D$8,0,MIN(1,(AL$3-Restaurantes!$D$8+1)/MAX(1,Restaurantes!$D$9)))</f>
        <v>1</v>
      </c>
      <c r="AM173" s="26" t="n">
        <f aca="false">IF(AM$3&lt;Restaurantes!$D$8,0,MIN(1,(AM$3-Restaurantes!$D$8+1)/MAX(1,Restaurantes!$D$9)))</f>
        <v>1</v>
      </c>
      <c r="AN173" s="26" t="n">
        <f aca="false">IF(AN$3&lt;Restaurantes!$D$8,0,MIN(1,(AN$3-Restaurantes!$D$8+1)/MAX(1,Restaurantes!$D$9)))</f>
        <v>1</v>
      </c>
      <c r="AO173" s="26" t="n">
        <f aca="false">IF(AO$3&lt;Restaurantes!$D$8,0,MIN(1,(AO$3-Restaurantes!$D$8+1)/MAX(1,Restaurantes!$D$9)))</f>
        <v>1</v>
      </c>
      <c r="AP173" s="26" t="n">
        <f aca="false">IF(AP$3&lt;Restaurantes!$D$8,0,MIN(1,(AP$3-Restaurantes!$D$8+1)/MAX(1,Restaurantes!$D$9)))</f>
        <v>1</v>
      </c>
      <c r="AQ173" s="26" t="n">
        <f aca="false">IF(AQ$3&lt;Restaurantes!$D$8,0,MIN(1,(AQ$3-Restaurantes!$D$8+1)/MAX(1,Restaurantes!$D$9)))</f>
        <v>1</v>
      </c>
      <c r="AR173" s="26" t="n">
        <f aca="false">IF(AR$3&lt;Restaurantes!$D$8,0,MIN(1,(AR$3-Restaurantes!$D$8+1)/MAX(1,Restaurantes!$D$9)))</f>
        <v>1</v>
      </c>
      <c r="AS173" s="26" t="n">
        <f aca="false">IF(AS$3&lt;Restaurantes!$D$8,0,MIN(1,(AS$3-Restaurantes!$D$8+1)/MAX(1,Restaurantes!$D$9)))</f>
        <v>1</v>
      </c>
      <c r="AT173" s="26" t="n">
        <f aca="false">IF(AT$3&lt;Restaurantes!$D$8,0,MIN(1,(AT$3-Restaurantes!$D$8+1)/MAX(1,Restaurantes!$D$9)))</f>
        <v>1</v>
      </c>
      <c r="AU173" s="26" t="n">
        <f aca="false">IF(AU$3&lt;Restaurantes!$D$8,0,MIN(1,(AU$3-Restaurantes!$D$8+1)/MAX(1,Restaurantes!$D$9)))</f>
        <v>1</v>
      </c>
      <c r="AV173" s="26" t="n">
        <f aca="false">IF(AV$3&lt;Restaurantes!$D$8,0,MIN(1,(AV$3-Restaurantes!$D$8+1)/MAX(1,Restaurantes!$D$9)))</f>
        <v>1</v>
      </c>
      <c r="AW173" s="26" t="n">
        <f aca="false">IF(AW$3&lt;Restaurantes!$D$8,0,MIN(1,(AW$3-Restaurantes!$D$8+1)/MAX(1,Restaurantes!$D$9)))</f>
        <v>1</v>
      </c>
      <c r="AX173" s="26" t="n">
        <f aca="false">IF(AX$3&lt;Restaurantes!$D$8,0,MIN(1,(AX$3-Restaurantes!$D$8+1)/MAX(1,Restaurantes!$D$9)))</f>
        <v>1</v>
      </c>
      <c r="AY173" s="26" t="n">
        <f aca="false">IF(AY$3&lt;Restaurantes!$D$8,0,MIN(1,(AY$3-Restaurantes!$D$8+1)/MAX(1,Restaurantes!$D$9)))</f>
        <v>1</v>
      </c>
      <c r="AZ173" s="26" t="n">
        <f aca="false">IF(AZ$3&lt;Restaurantes!$D$8,0,MIN(1,(AZ$3-Restaurantes!$D$8+1)/MAX(1,Restaurantes!$D$9)))</f>
        <v>1</v>
      </c>
      <c r="BA173" s="26" t="n">
        <f aca="false">IF(BA$3&lt;Restaurantes!$D$8,0,MIN(1,(BA$3-Restaurantes!$D$8+1)/MAX(1,Restaurantes!$D$9)))</f>
        <v>1</v>
      </c>
      <c r="BB173" s="26" t="n">
        <f aca="false">IF(BB$3&lt;Restaurantes!$D$8,0,MIN(1,(BB$3-Restaurantes!$D$8+1)/MAX(1,Restaurantes!$D$9)))</f>
        <v>1</v>
      </c>
      <c r="BC173" s="26" t="n">
        <f aca="false">IF(BC$3&lt;Restaurantes!$D$8,0,MIN(1,(BC$3-Restaurantes!$D$8+1)/MAX(1,Restaurantes!$D$9)))</f>
        <v>1</v>
      </c>
      <c r="BD173" s="26" t="n">
        <f aca="false">IF(BD$3&lt;Restaurantes!$D$8,0,MIN(1,(BD$3-Restaurantes!$D$8+1)/MAX(1,Restaurantes!$D$9)))</f>
        <v>1</v>
      </c>
      <c r="BE173" s="26" t="n">
        <f aca="false">IF(BE$3&lt;Restaurantes!$D$8,0,MIN(1,(BE$3-Restaurantes!$D$8+1)/MAX(1,Restaurantes!$D$9)))</f>
        <v>1</v>
      </c>
      <c r="BF173" s="26" t="n">
        <f aca="false">IF(BF$3&lt;Restaurantes!$D$8,0,MIN(1,(BF$3-Restaurantes!$D$8+1)/MAX(1,Restaurantes!$D$9)))</f>
        <v>1</v>
      </c>
      <c r="BG173" s="26" t="n">
        <f aca="false">IF(BG$3&lt;Restaurantes!$D$8,0,MIN(1,(BG$3-Restaurantes!$D$8+1)/MAX(1,Restaurantes!$D$9)))</f>
        <v>1</v>
      </c>
      <c r="BH173" s="26" t="n">
        <f aca="false">IF(BH$3&lt;Restaurantes!$D$8,0,MIN(1,(BH$3-Restaurantes!$D$8+1)/MAX(1,Restaurantes!$D$9)))</f>
        <v>1</v>
      </c>
      <c r="BI173" s="26" t="n">
        <f aca="false">IF(BI$3&lt;Restaurantes!$D$8,0,MIN(1,(BI$3-Restaurantes!$D$8+1)/MAX(1,Restaurantes!$D$9)))</f>
        <v>1</v>
      </c>
      <c r="BJ173" s="26" t="n">
        <f aca="false">IF(BJ$3&lt;Restaurantes!$D$8,0,MIN(1,(BJ$3-Restaurantes!$D$8+1)/MAX(1,Restaurantes!$D$9)))</f>
        <v>1</v>
      </c>
      <c r="BK173" s="26" t="n">
        <f aca="false">IF(BK$3&lt;Restaurantes!$D$8,0,MIN(1,(BK$3-Restaurantes!$D$8+1)/MAX(1,Restaurantes!$D$9)))</f>
        <v>1</v>
      </c>
      <c r="BL173" s="26" t="n">
        <f aca="false">IF(BL$3&lt;Restaurantes!$D$8,0,MIN(1,(BL$3-Restaurantes!$D$8+1)/MAX(1,Restaurantes!$D$9)))</f>
        <v>1</v>
      </c>
      <c r="BM173" s="26" t="n">
        <f aca="false">IF(BM$3&lt;Restaurantes!$D$8,0,MIN(1,(BM$3-Restaurantes!$D$8+1)/MAX(1,Restaurantes!$D$9)))</f>
        <v>1</v>
      </c>
      <c r="BN173" s="26" t="n">
        <f aca="false">IF(BN$3&lt;Restaurantes!$D$8,0,MIN(1,(BN$3-Restaurantes!$D$8+1)/MAX(1,Restaurantes!$D$9)))</f>
        <v>1</v>
      </c>
      <c r="BO173" s="26" t="n">
        <f aca="false">IF(BO$3&lt;Restaurantes!$D$8,0,MIN(1,(BO$3-Restaurantes!$D$8+1)/MAX(1,Restaurantes!$D$9)))</f>
        <v>1</v>
      </c>
      <c r="BP173" s="26" t="n">
        <f aca="false">IF(BP$3&lt;Restaurantes!$D$8,0,MIN(1,(BP$3-Restaurantes!$D$8+1)/MAX(1,Restaurantes!$D$9)))</f>
        <v>1</v>
      </c>
      <c r="BQ173" s="26" t="n">
        <f aca="false">IF(BQ$3&lt;Restaurantes!$D$8,0,MIN(1,(BQ$3-Restaurantes!$D$8+1)/MAX(1,Restaurantes!$D$9)))</f>
        <v>1</v>
      </c>
      <c r="BR173" s="26" t="n">
        <f aca="false">IF(BR$3&lt;Restaurantes!$D$8,0,MIN(1,(BR$3-Restaurantes!$D$8+1)/MAX(1,Restaurantes!$D$9)))</f>
        <v>1</v>
      </c>
      <c r="BS173" s="26" t="n">
        <f aca="false">IF(BS$3&lt;Restaurantes!$D$8,0,MIN(1,(BS$3-Restaurantes!$D$8+1)/MAX(1,Restaurantes!$D$9)))</f>
        <v>1</v>
      </c>
      <c r="BT173" s="26" t="n">
        <f aca="false">IF(BT$3&lt;Restaurantes!$D$8,0,MIN(1,(BT$3-Restaurantes!$D$8+1)/MAX(1,Restaurantes!$D$9)))</f>
        <v>1</v>
      </c>
      <c r="BU173" s="26" t="n">
        <f aca="false">IF(BU$3&lt;Restaurantes!$D$8,0,MIN(1,(BU$3-Restaurantes!$D$8+1)/MAX(1,Restaurantes!$D$9)))</f>
        <v>1</v>
      </c>
      <c r="BV173" s="26" t="n">
        <f aca="false">IF(BV$3&lt;Restaurantes!$D$8,0,MIN(1,(BV$3-Restaurantes!$D$8+1)/MAX(1,Restaurantes!$D$9)))</f>
        <v>1</v>
      </c>
      <c r="BW173" s="26" t="n">
        <f aca="false">IF(BW$3&lt;Restaurantes!$D$8,0,MIN(1,(BW$3-Restaurantes!$D$8+1)/MAX(1,Restaurantes!$D$9)))</f>
        <v>1</v>
      </c>
      <c r="BX173" s="26" t="n">
        <f aca="false">IF(BX$3&lt;Restaurantes!$D$8,0,MIN(1,(BX$3-Restaurantes!$D$8+1)/MAX(1,Restaurantes!$D$9)))</f>
        <v>1</v>
      </c>
      <c r="BY173" s="26" t="n">
        <f aca="false">IF(BY$3&lt;Restaurantes!$D$8,0,MIN(1,(BY$3-Restaurantes!$D$8+1)/MAX(1,Restaurantes!$D$9)))</f>
        <v>1</v>
      </c>
      <c r="BZ173" s="26" t="n">
        <f aca="false">IF(BZ$3&lt;Restaurantes!$D$8,0,MIN(1,(BZ$3-Restaurantes!$D$8+1)/MAX(1,Restaurantes!$D$9)))</f>
        <v>1</v>
      </c>
      <c r="CA173" s="26" t="n">
        <f aca="false">IF(CA$3&lt;Restaurantes!$D$8,0,MIN(1,(CA$3-Restaurantes!$D$8+1)/MAX(1,Restaurantes!$D$9)))</f>
        <v>1</v>
      </c>
      <c r="CB173" s="26" t="n">
        <f aca="false">IF(CB$3&lt;Restaurantes!$D$8,0,MIN(1,(CB$3-Restaurantes!$D$8+1)/MAX(1,Restaurantes!$D$9)))</f>
        <v>1</v>
      </c>
      <c r="CC173" s="26" t="n">
        <f aca="false">IF(CC$3&lt;Restaurantes!$D$8,0,MIN(1,(CC$3-Restaurantes!$D$8+1)/MAX(1,Restaurantes!$D$9)))</f>
        <v>1</v>
      </c>
      <c r="CD173" s="26" t="n">
        <f aca="false">IF(CD$3&lt;Restaurantes!$D$8,0,MIN(1,(CD$3-Restaurantes!$D$8+1)/MAX(1,Restaurantes!$D$9)))</f>
        <v>1</v>
      </c>
      <c r="CE173" s="26" t="n">
        <f aca="false">IF(CE$3&lt;Restaurantes!$D$8,0,MIN(1,(CE$3-Restaurantes!$D$8+1)/MAX(1,Restaurantes!$D$9)))</f>
        <v>1</v>
      </c>
      <c r="CF173" s="26" t="n">
        <f aca="false">IF(CF$3&lt;Restaurantes!$D$8,0,MIN(1,(CF$3-Restaurantes!$D$8+1)/MAX(1,Restaurantes!$D$9)))</f>
        <v>1</v>
      </c>
      <c r="CG173" s="26" t="n">
        <f aca="false">IF(CG$3&lt;Restaurantes!$D$8,0,MIN(1,(CG$3-Restaurantes!$D$8+1)/MAX(1,Restaurantes!$D$9)))</f>
        <v>1</v>
      </c>
      <c r="CH173" s="26" t="n">
        <f aca="false">IF(CH$3&lt;Restaurantes!$D$8,0,MIN(1,(CH$3-Restaurantes!$D$8+1)/MAX(1,Restaurantes!$D$9)))</f>
        <v>1</v>
      </c>
    </row>
    <row r="174" customFormat="false" ht="15" hidden="false" customHeight="false" outlineLevel="0" collapsed="false">
      <c r="A174" s="1" t="s">
        <v>835</v>
      </c>
      <c r="C174" s="27" t="n">
        <f aca="false">C18*C21</f>
        <v>38.3601797063335</v>
      </c>
      <c r="D174" s="27" t="n">
        <f aca="false">D18*D21</f>
        <v>78.5877454203246</v>
      </c>
      <c r="E174" s="27" t="n">
        <f aca="false">E18*E21</f>
        <v>149.499906224817</v>
      </c>
      <c r="F174" s="27" t="n">
        <f aca="false">F18*F21</f>
        <v>182.051887322976</v>
      </c>
      <c r="G174" s="27" t="n">
        <f aca="false">G18*G21</f>
        <v>212.736482413478</v>
      </c>
      <c r="H174" s="27" t="n">
        <f aca="false">H18*H21</f>
        <v>264.818208841722</v>
      </c>
      <c r="I174" s="27" t="n">
        <f aca="false">I18*I21</f>
        <v>316.899935269966</v>
      </c>
      <c r="J174" s="27" t="n">
        <f aca="false">J18*J21</f>
        <v>368.98166169821</v>
      </c>
      <c r="K174" s="27" t="n">
        <f aca="false">K18*K21</f>
        <v>421.063388126454</v>
      </c>
      <c r="L174" s="27" t="n">
        <f aca="false">L18*L21</f>
        <v>473.145114554698</v>
      </c>
      <c r="M174" s="27" t="n">
        <f aca="false">M18*M21</f>
        <v>494.54224589244</v>
      </c>
      <c r="N174" s="27" t="n">
        <f aca="false">N18*N21</f>
        <v>547.062477357807</v>
      </c>
      <c r="O174" s="27" t="n">
        <f aca="false">O18*O21</f>
        <v>599.582708823174</v>
      </c>
      <c r="P174" s="27" t="n">
        <f aca="false">P18*P21</f>
        <v>643.155049001849</v>
      </c>
      <c r="Q174" s="27" t="n">
        <f aca="false">Q18*Q21</f>
        <v>686.727389180524</v>
      </c>
      <c r="R174" s="27" t="n">
        <f aca="false">R18*R21</f>
        <v>730.299729359199</v>
      </c>
      <c r="S174" s="27" t="n">
        <f aca="false">S18*S21</f>
        <v>773.872069537874</v>
      </c>
      <c r="T174" s="27" t="n">
        <f aca="false">T18*T21</f>
        <v>817.444409716549</v>
      </c>
      <c r="U174" s="27" t="n">
        <f aca="false">U18*U21</f>
        <v>861.016749895224</v>
      </c>
      <c r="V174" s="27" t="n">
        <f aca="false">V18*V21</f>
        <v>904.589090073899</v>
      </c>
      <c r="W174" s="27" t="n">
        <f aca="false">W18*W21</f>
        <v>948.161430252574</v>
      </c>
      <c r="X174" s="27" t="n">
        <f aca="false">X18*X21</f>
        <v>960.610670303624</v>
      </c>
      <c r="Y174" s="27" t="n">
        <f aca="false">Y18*Y21</f>
        <v>973.059910354674</v>
      </c>
      <c r="Z174" s="27" t="n">
        <f aca="false">Z18*Z21</f>
        <v>973.059910354674</v>
      </c>
      <c r="AA174" s="27" t="n">
        <f aca="false">AA18*AA21</f>
        <v>973.059910354674</v>
      </c>
      <c r="AB174" s="27" t="n">
        <f aca="false">AB18*AB21</f>
        <v>973.059910354674</v>
      </c>
      <c r="AC174" s="27" t="n">
        <f aca="false">AC18*AC21</f>
        <v>973.059910354674</v>
      </c>
      <c r="AD174" s="27" t="n">
        <f aca="false">AD18*AD21</f>
        <v>973.059910354674</v>
      </c>
      <c r="AE174" s="27" t="n">
        <f aca="false">AE18*AE21</f>
        <v>973.059910354674</v>
      </c>
      <c r="AF174" s="27" t="n">
        <f aca="false">AF18*AF21</f>
        <v>973.059910354674</v>
      </c>
      <c r="AG174" s="27" t="n">
        <f aca="false">AG18*AG21</f>
        <v>973.059910354674</v>
      </c>
      <c r="AH174" s="27" t="n">
        <f aca="false">AH18*AH21</f>
        <v>973.059910354674</v>
      </c>
      <c r="AI174" s="27" t="n">
        <f aca="false">AI18*AI21</f>
        <v>973.059910354674</v>
      </c>
      <c r="AJ174" s="27" t="n">
        <f aca="false">AJ18*AJ21</f>
        <v>973.059910354674</v>
      </c>
      <c r="AK174" s="27" t="n">
        <f aca="false">AK18*AK21</f>
        <v>973.059910354674</v>
      </c>
      <c r="AL174" s="27" t="n">
        <f aca="false">AL18*AL21</f>
        <v>973.059910354674</v>
      </c>
      <c r="AM174" s="27" t="n">
        <f aca="false">AM18*AM21</f>
        <v>973.059910354674</v>
      </c>
      <c r="AN174" s="27" t="n">
        <f aca="false">AN18*AN21</f>
        <v>973.059910354674</v>
      </c>
      <c r="AO174" s="27" t="n">
        <f aca="false">AO18*AO21</f>
        <v>973.059910354674</v>
      </c>
      <c r="AP174" s="27" t="n">
        <f aca="false">AP18*AP21</f>
        <v>973.059910354674</v>
      </c>
      <c r="AQ174" s="27" t="n">
        <f aca="false">AQ18*AQ21</f>
        <v>973.059910354674</v>
      </c>
      <c r="AR174" s="27" t="n">
        <f aca="false">AR18*AR21</f>
        <v>973.059910354674</v>
      </c>
      <c r="AS174" s="27" t="n">
        <f aca="false">AS18*AS21</f>
        <v>973.059910354674</v>
      </c>
      <c r="AT174" s="27" t="n">
        <f aca="false">AT18*AT21</f>
        <v>973.059910354674</v>
      </c>
      <c r="AU174" s="27" t="n">
        <f aca="false">AU18*AU21</f>
        <v>973.059910354674</v>
      </c>
      <c r="AV174" s="27" t="n">
        <f aca="false">AV18*AV21</f>
        <v>973.059910354674</v>
      </c>
      <c r="AW174" s="27" t="n">
        <f aca="false">AW18*AW21</f>
        <v>973.059910354674</v>
      </c>
      <c r="AX174" s="27" t="n">
        <f aca="false">AX18*AX21</f>
        <v>973.059910354674</v>
      </c>
      <c r="AY174" s="27" t="n">
        <f aca="false">AY18*AY21</f>
        <v>973.059910354674</v>
      </c>
      <c r="AZ174" s="27" t="n">
        <f aca="false">AZ18*AZ21</f>
        <v>973.059910354674</v>
      </c>
      <c r="BA174" s="27" t="n">
        <f aca="false">BA18*BA21</f>
        <v>973.059910354674</v>
      </c>
      <c r="BB174" s="27" t="n">
        <f aca="false">BB18*BB21</f>
        <v>973.059910354674</v>
      </c>
      <c r="BC174" s="27" t="n">
        <f aca="false">BC18*BC21</f>
        <v>973.059910354674</v>
      </c>
      <c r="BD174" s="27" t="n">
        <f aca="false">BD18*BD21</f>
        <v>973.059910354674</v>
      </c>
      <c r="BE174" s="27" t="n">
        <f aca="false">BE18*BE21</f>
        <v>973.059910354674</v>
      </c>
      <c r="BF174" s="27" t="n">
        <f aca="false">BF18*BF21</f>
        <v>973.059910354674</v>
      </c>
      <c r="BG174" s="27" t="n">
        <f aca="false">BG18*BG21</f>
        <v>973.059910354674</v>
      </c>
      <c r="BH174" s="27" t="n">
        <f aca="false">BH18*BH21</f>
        <v>973.059910354674</v>
      </c>
      <c r="BI174" s="27" t="n">
        <f aca="false">BI18*BI21</f>
        <v>973.059910354674</v>
      </c>
      <c r="BJ174" s="27" t="n">
        <f aca="false">BJ18*BJ21</f>
        <v>973.059910354674</v>
      </c>
      <c r="BK174" s="27" t="n">
        <f aca="false">BK18*BK21</f>
        <v>973.059910354674</v>
      </c>
      <c r="BL174" s="27" t="n">
        <f aca="false">BL18*BL21</f>
        <v>973.059910354674</v>
      </c>
      <c r="BM174" s="27" t="n">
        <f aca="false">BM18*BM21</f>
        <v>973.059910354674</v>
      </c>
      <c r="BN174" s="27" t="n">
        <f aca="false">BN18*BN21</f>
        <v>973.059910354674</v>
      </c>
      <c r="BO174" s="27" t="n">
        <f aca="false">BO18*BO21</f>
        <v>973.059910354674</v>
      </c>
      <c r="BP174" s="27" t="n">
        <f aca="false">BP18*BP21</f>
        <v>973.059910354674</v>
      </c>
      <c r="BQ174" s="27" t="n">
        <f aca="false">BQ18*BQ21</f>
        <v>973.059910354674</v>
      </c>
      <c r="BR174" s="27" t="n">
        <f aca="false">BR18*BR21</f>
        <v>973.059910354674</v>
      </c>
      <c r="BS174" s="27" t="n">
        <f aca="false">BS18*BS21</f>
        <v>973.059910354674</v>
      </c>
      <c r="BT174" s="27" t="n">
        <f aca="false">BT18*BT21</f>
        <v>973.059910354674</v>
      </c>
      <c r="BU174" s="27" t="n">
        <f aca="false">BU18*BU21</f>
        <v>973.059910354674</v>
      </c>
      <c r="BV174" s="27" t="n">
        <f aca="false">BV18*BV21</f>
        <v>973.059910354674</v>
      </c>
      <c r="BW174" s="27" t="n">
        <f aca="false">BW18*BW21</f>
        <v>973.059910354674</v>
      </c>
      <c r="BX174" s="27" t="n">
        <f aca="false">BX18*BX21</f>
        <v>973.059910354674</v>
      </c>
      <c r="BY174" s="27" t="n">
        <f aca="false">BY18*BY21</f>
        <v>973.059910354674</v>
      </c>
      <c r="BZ174" s="27" t="n">
        <f aca="false">BZ18*BZ21</f>
        <v>973.059910354674</v>
      </c>
      <c r="CA174" s="27" t="n">
        <f aca="false">CA18*CA21</f>
        <v>973.059910354674</v>
      </c>
      <c r="CB174" s="27" t="n">
        <f aca="false">CB18*CB21</f>
        <v>973.059910354674</v>
      </c>
      <c r="CC174" s="27" t="n">
        <f aca="false">CC18*CC21</f>
        <v>973.059910354674</v>
      </c>
      <c r="CD174" s="27" t="n">
        <f aca="false">CD18*CD21</f>
        <v>973.059910354674</v>
      </c>
      <c r="CE174" s="27" t="n">
        <f aca="false">CE18*CE21</f>
        <v>973.059910354674</v>
      </c>
      <c r="CF174" s="27" t="n">
        <f aca="false">CF18*CF21</f>
        <v>973.059910354674</v>
      </c>
      <c r="CG174" s="27" t="n">
        <f aca="false">CG18*CG21</f>
        <v>973.059910354674</v>
      </c>
      <c r="CH174" s="27" t="n">
        <f aca="false">CH18*CH21</f>
        <v>973.059910354674</v>
      </c>
    </row>
    <row r="175" customFormat="false" ht="15" hidden="false" customHeight="false" outlineLevel="0" collapsed="false">
      <c r="A175" s="1" t="s">
        <v>836</v>
      </c>
      <c r="C175" s="27" t="n">
        <f aca="false">IF(Restaurantes!$D$10=1,Restaurantes!$D$13*Restaurantes!$D$24*Restaurantes!$D$25*Restaurantes!$D$22/MAX(0.0001,Hipótesis!$D$130),9000000000)</f>
        <v>205.361394064897</v>
      </c>
      <c r="D175" s="27" t="n">
        <f aca="false">IF(Restaurantes!$D$10=1,Restaurantes!$D$13*Restaurantes!$D$24*Restaurantes!$D$25*Restaurantes!$D$22/MAX(0.0001,Hipótesis!$D$130),9000000000)</f>
        <v>205.361394064897</v>
      </c>
      <c r="E175" s="27" t="n">
        <f aca="false">IF(Restaurantes!$D$10=1,Restaurantes!$D$13*Restaurantes!$D$24*Restaurantes!$D$25*Restaurantes!$D$22/MAX(0.0001,Hipótesis!$D$130),9000000000)</f>
        <v>205.361394064897</v>
      </c>
      <c r="F175" s="27" t="n">
        <f aca="false">IF(Restaurantes!$D$10=1,Restaurantes!$D$13*Restaurantes!$D$24*Restaurantes!$D$25*Restaurantes!$D$22/MAX(0.0001,Hipótesis!$D$130),9000000000)</f>
        <v>205.361394064897</v>
      </c>
      <c r="G175" s="27" t="n">
        <f aca="false">IF(Restaurantes!$D$10=1,Restaurantes!$D$13*Restaurantes!$D$24*Restaurantes!$D$25*Restaurantes!$D$22/MAX(0.0001,Hipótesis!$D$130),9000000000)</f>
        <v>205.361394064897</v>
      </c>
      <c r="H175" s="27" t="n">
        <f aca="false">IF(Restaurantes!$D$10=1,Restaurantes!$D$13*Restaurantes!$D$24*Restaurantes!$D$25*Restaurantes!$D$22/MAX(0.0001,Hipótesis!$D$130),9000000000)</f>
        <v>205.361394064897</v>
      </c>
      <c r="I175" s="27" t="n">
        <f aca="false">IF(Restaurantes!$D$10=1,Restaurantes!$D$13*Restaurantes!$D$24*Restaurantes!$D$25*Restaurantes!$D$22/MAX(0.0001,Hipótesis!$D$130),9000000000)</f>
        <v>205.361394064897</v>
      </c>
      <c r="J175" s="27" t="n">
        <f aca="false">IF(Restaurantes!$D$10=1,Restaurantes!$D$13*Restaurantes!$D$24*Restaurantes!$D$25*Restaurantes!$D$22/MAX(0.0001,Hipótesis!$D$130),9000000000)</f>
        <v>205.361394064897</v>
      </c>
      <c r="K175" s="27" t="n">
        <f aca="false">IF(Restaurantes!$D$10=1,Restaurantes!$D$13*Restaurantes!$D$24*Restaurantes!$D$25*Restaurantes!$D$22/MAX(0.0001,Hipótesis!$D$130),9000000000)</f>
        <v>205.361394064897</v>
      </c>
      <c r="L175" s="27" t="n">
        <f aca="false">IF(Restaurantes!$D$10=1,Restaurantes!$D$13*Restaurantes!$D$24*Restaurantes!$D$25*Restaurantes!$D$22/MAX(0.0001,Hipótesis!$D$130),9000000000)</f>
        <v>205.361394064897</v>
      </c>
      <c r="M175" s="27" t="n">
        <f aca="false">IF(Restaurantes!$D$10=1,Restaurantes!$D$13*Restaurantes!$D$24*Restaurantes!$D$25*Restaurantes!$D$22/MAX(0.0001,Hipótesis!$D$130),9000000000)</f>
        <v>205.361394064897</v>
      </c>
      <c r="N175" s="27" t="n">
        <f aca="false">IF(Restaurantes!$D$10=1,Restaurantes!$D$13*Restaurantes!$D$24*Restaurantes!$D$25*Restaurantes!$D$22/MAX(0.0001,Hipótesis!$D$130),9000000000)</f>
        <v>205.361394064897</v>
      </c>
      <c r="O175" s="27" t="n">
        <f aca="false">IF(Restaurantes!$D$10=1,Restaurantes!$D$13*Restaurantes!$D$24*Restaurantes!$D$25*Restaurantes!$D$22/MAX(0.0001,Hipótesis!$D$130),9000000000)</f>
        <v>205.361394064897</v>
      </c>
      <c r="P175" s="27" t="n">
        <f aca="false">IF(Restaurantes!$D$10=1,Restaurantes!$D$13*Restaurantes!$D$24*Restaurantes!$D$25*Restaurantes!$D$22/MAX(0.0001,Hipótesis!$D$130),9000000000)</f>
        <v>205.361394064897</v>
      </c>
      <c r="Q175" s="27" t="n">
        <f aca="false">IF(Restaurantes!$D$10=1,Restaurantes!$D$13*Restaurantes!$D$24*Restaurantes!$D$25*Restaurantes!$D$22/MAX(0.0001,Hipótesis!$D$130),9000000000)</f>
        <v>205.361394064897</v>
      </c>
      <c r="R175" s="27" t="n">
        <f aca="false">IF(Restaurantes!$D$10=1,Restaurantes!$D$13*Restaurantes!$D$24*Restaurantes!$D$25*Restaurantes!$D$22/MAX(0.0001,Hipótesis!$D$130),9000000000)</f>
        <v>205.361394064897</v>
      </c>
      <c r="S175" s="27" t="n">
        <f aca="false">IF(Restaurantes!$D$10=1,Restaurantes!$D$13*Restaurantes!$D$24*Restaurantes!$D$25*Restaurantes!$D$22/MAX(0.0001,Hipótesis!$D$130),9000000000)</f>
        <v>205.361394064897</v>
      </c>
      <c r="T175" s="27" t="n">
        <f aca="false">IF(Restaurantes!$D$10=1,Restaurantes!$D$13*Restaurantes!$D$24*Restaurantes!$D$25*Restaurantes!$D$22/MAX(0.0001,Hipótesis!$D$130),9000000000)</f>
        <v>205.361394064897</v>
      </c>
      <c r="U175" s="27" t="n">
        <f aca="false">IF(Restaurantes!$D$10=1,Restaurantes!$D$13*Restaurantes!$D$24*Restaurantes!$D$25*Restaurantes!$D$22/MAX(0.0001,Hipótesis!$D$130),9000000000)</f>
        <v>205.361394064897</v>
      </c>
      <c r="V175" s="27" t="n">
        <f aca="false">IF(Restaurantes!$D$10=1,Restaurantes!$D$13*Restaurantes!$D$24*Restaurantes!$D$25*Restaurantes!$D$22/MAX(0.0001,Hipótesis!$D$130),9000000000)</f>
        <v>205.361394064897</v>
      </c>
      <c r="W175" s="27" t="n">
        <f aca="false">IF(Restaurantes!$D$10=1,Restaurantes!$D$13*Restaurantes!$D$24*Restaurantes!$D$25*Restaurantes!$D$22/MAX(0.0001,Hipótesis!$D$130),9000000000)</f>
        <v>205.361394064897</v>
      </c>
      <c r="X175" s="27" t="n">
        <f aca="false">IF(Restaurantes!$D$10=1,Restaurantes!$D$13*Restaurantes!$D$24*Restaurantes!$D$25*Restaurantes!$D$22/MAX(0.0001,Hipótesis!$D$130),9000000000)</f>
        <v>205.361394064897</v>
      </c>
      <c r="Y175" s="27" t="n">
        <f aca="false">IF(Restaurantes!$D$10=1,Restaurantes!$D$13*Restaurantes!$D$24*Restaurantes!$D$25*Restaurantes!$D$22/MAX(0.0001,Hipótesis!$D$130),9000000000)</f>
        <v>205.361394064897</v>
      </c>
      <c r="Z175" s="27" t="n">
        <f aca="false">IF(Restaurantes!$D$10=1,Restaurantes!$D$13*Restaurantes!$D$24*Restaurantes!$D$25*Restaurantes!$D$22/MAX(0.0001,Hipótesis!$D$130),9000000000)</f>
        <v>205.361394064897</v>
      </c>
      <c r="AA175" s="27" t="n">
        <f aca="false">IF(Restaurantes!$D$10=1,Restaurantes!$D$13*Restaurantes!$D$24*Restaurantes!$D$25*Restaurantes!$D$22/MAX(0.0001,Hipótesis!$D$130),9000000000)</f>
        <v>205.361394064897</v>
      </c>
      <c r="AB175" s="27" t="n">
        <f aca="false">IF(Restaurantes!$D$10=1,Restaurantes!$D$13*Restaurantes!$D$24*Restaurantes!$D$25*Restaurantes!$D$22/MAX(0.0001,Hipótesis!$D$130),9000000000)</f>
        <v>205.361394064897</v>
      </c>
      <c r="AC175" s="27" t="n">
        <f aca="false">IF(Restaurantes!$D$10=1,Restaurantes!$D$13*Restaurantes!$D$24*Restaurantes!$D$25*Restaurantes!$D$22/MAX(0.0001,Hipótesis!$D$130),9000000000)</f>
        <v>205.361394064897</v>
      </c>
      <c r="AD175" s="27" t="n">
        <f aca="false">IF(Restaurantes!$D$10=1,Restaurantes!$D$13*Restaurantes!$D$24*Restaurantes!$D$25*Restaurantes!$D$22/MAX(0.0001,Hipótesis!$D$130),9000000000)</f>
        <v>205.361394064897</v>
      </c>
      <c r="AE175" s="27" t="n">
        <f aca="false">IF(Restaurantes!$D$10=1,Restaurantes!$D$13*Restaurantes!$D$24*Restaurantes!$D$25*Restaurantes!$D$22/MAX(0.0001,Hipótesis!$D$130),9000000000)</f>
        <v>205.361394064897</v>
      </c>
      <c r="AF175" s="27" t="n">
        <f aca="false">IF(Restaurantes!$D$10=1,Restaurantes!$D$13*Restaurantes!$D$24*Restaurantes!$D$25*Restaurantes!$D$22/MAX(0.0001,Hipótesis!$D$130),9000000000)</f>
        <v>205.361394064897</v>
      </c>
      <c r="AG175" s="27" t="n">
        <f aca="false">IF(Restaurantes!$D$10=1,Restaurantes!$D$13*Restaurantes!$D$24*Restaurantes!$D$25*Restaurantes!$D$22/MAX(0.0001,Hipótesis!$D$130),9000000000)</f>
        <v>205.361394064897</v>
      </c>
      <c r="AH175" s="27" t="n">
        <f aca="false">IF(Restaurantes!$D$10=1,Restaurantes!$D$13*Restaurantes!$D$24*Restaurantes!$D$25*Restaurantes!$D$22/MAX(0.0001,Hipótesis!$D$130),9000000000)</f>
        <v>205.361394064897</v>
      </c>
      <c r="AI175" s="27" t="n">
        <f aca="false">IF(Restaurantes!$D$10=1,Restaurantes!$D$13*Restaurantes!$D$24*Restaurantes!$D$25*Restaurantes!$D$22/MAX(0.0001,Hipótesis!$D$130),9000000000)</f>
        <v>205.361394064897</v>
      </c>
      <c r="AJ175" s="27" t="n">
        <f aca="false">IF(Restaurantes!$D$10=1,Restaurantes!$D$13*Restaurantes!$D$24*Restaurantes!$D$25*Restaurantes!$D$22/MAX(0.0001,Hipótesis!$D$130),9000000000)</f>
        <v>205.361394064897</v>
      </c>
      <c r="AK175" s="27" t="n">
        <f aca="false">IF(Restaurantes!$D$10=1,Restaurantes!$D$13*Restaurantes!$D$24*Restaurantes!$D$25*Restaurantes!$D$22/MAX(0.0001,Hipótesis!$D$130),9000000000)</f>
        <v>205.361394064897</v>
      </c>
      <c r="AL175" s="27" t="n">
        <f aca="false">IF(Restaurantes!$D$10=1,Restaurantes!$D$13*Restaurantes!$D$24*Restaurantes!$D$25*Restaurantes!$D$22/MAX(0.0001,Hipótesis!$D$130),9000000000)</f>
        <v>205.361394064897</v>
      </c>
      <c r="AM175" s="27" t="n">
        <f aca="false">IF(Restaurantes!$D$10=1,Restaurantes!$D$13*Restaurantes!$D$24*Restaurantes!$D$25*Restaurantes!$D$22/MAX(0.0001,Hipótesis!$D$130),9000000000)</f>
        <v>205.361394064897</v>
      </c>
      <c r="AN175" s="27" t="n">
        <f aca="false">IF(Restaurantes!$D$10=1,Restaurantes!$D$13*Restaurantes!$D$24*Restaurantes!$D$25*Restaurantes!$D$22/MAX(0.0001,Hipótesis!$D$130),9000000000)</f>
        <v>205.361394064897</v>
      </c>
      <c r="AO175" s="27" t="n">
        <f aca="false">IF(Restaurantes!$D$10=1,Restaurantes!$D$13*Restaurantes!$D$24*Restaurantes!$D$25*Restaurantes!$D$22/MAX(0.0001,Hipótesis!$D$130),9000000000)</f>
        <v>205.361394064897</v>
      </c>
      <c r="AP175" s="27" t="n">
        <f aca="false">IF(Restaurantes!$D$10=1,Restaurantes!$D$13*Restaurantes!$D$24*Restaurantes!$D$25*Restaurantes!$D$22/MAX(0.0001,Hipótesis!$D$130),9000000000)</f>
        <v>205.361394064897</v>
      </c>
      <c r="AQ175" s="27" t="n">
        <f aca="false">IF(Restaurantes!$D$10=1,Restaurantes!$D$13*Restaurantes!$D$24*Restaurantes!$D$25*Restaurantes!$D$22/MAX(0.0001,Hipótesis!$D$130),9000000000)</f>
        <v>205.361394064897</v>
      </c>
      <c r="AR175" s="27" t="n">
        <f aca="false">IF(Restaurantes!$D$10=1,Restaurantes!$D$13*Restaurantes!$D$24*Restaurantes!$D$25*Restaurantes!$D$22/MAX(0.0001,Hipótesis!$D$130),9000000000)</f>
        <v>205.361394064897</v>
      </c>
      <c r="AS175" s="27" t="n">
        <f aca="false">IF(Restaurantes!$D$10=1,Restaurantes!$D$13*Restaurantes!$D$24*Restaurantes!$D$25*Restaurantes!$D$22/MAX(0.0001,Hipótesis!$D$130),9000000000)</f>
        <v>205.361394064897</v>
      </c>
      <c r="AT175" s="27" t="n">
        <f aca="false">IF(Restaurantes!$D$10=1,Restaurantes!$D$13*Restaurantes!$D$24*Restaurantes!$D$25*Restaurantes!$D$22/MAX(0.0001,Hipótesis!$D$130),9000000000)</f>
        <v>205.361394064897</v>
      </c>
      <c r="AU175" s="27" t="n">
        <f aca="false">IF(Restaurantes!$D$10=1,Restaurantes!$D$13*Restaurantes!$D$24*Restaurantes!$D$25*Restaurantes!$D$22/MAX(0.0001,Hipótesis!$D$130),9000000000)</f>
        <v>205.361394064897</v>
      </c>
      <c r="AV175" s="27" t="n">
        <f aca="false">IF(Restaurantes!$D$10=1,Restaurantes!$D$13*Restaurantes!$D$24*Restaurantes!$D$25*Restaurantes!$D$22/MAX(0.0001,Hipótesis!$D$130),9000000000)</f>
        <v>205.361394064897</v>
      </c>
      <c r="AW175" s="27" t="n">
        <f aca="false">IF(Restaurantes!$D$10=1,Restaurantes!$D$13*Restaurantes!$D$24*Restaurantes!$D$25*Restaurantes!$D$22/MAX(0.0001,Hipótesis!$D$130),9000000000)</f>
        <v>205.361394064897</v>
      </c>
      <c r="AX175" s="27" t="n">
        <f aca="false">IF(Restaurantes!$D$10=1,Restaurantes!$D$13*Restaurantes!$D$24*Restaurantes!$D$25*Restaurantes!$D$22/MAX(0.0001,Hipótesis!$D$130),9000000000)</f>
        <v>205.361394064897</v>
      </c>
      <c r="AY175" s="27" t="n">
        <f aca="false">IF(Restaurantes!$D$10=1,Restaurantes!$D$13*Restaurantes!$D$24*Restaurantes!$D$25*Restaurantes!$D$22/MAX(0.0001,Hipótesis!$D$130),9000000000)</f>
        <v>205.361394064897</v>
      </c>
      <c r="AZ175" s="27" t="n">
        <f aca="false">IF(Restaurantes!$D$10=1,Restaurantes!$D$13*Restaurantes!$D$24*Restaurantes!$D$25*Restaurantes!$D$22/MAX(0.0001,Hipótesis!$D$130),9000000000)</f>
        <v>205.361394064897</v>
      </c>
      <c r="BA175" s="27" t="n">
        <f aca="false">IF(Restaurantes!$D$10=1,Restaurantes!$D$13*Restaurantes!$D$24*Restaurantes!$D$25*Restaurantes!$D$22/MAX(0.0001,Hipótesis!$D$130),9000000000)</f>
        <v>205.361394064897</v>
      </c>
      <c r="BB175" s="27" t="n">
        <f aca="false">IF(Restaurantes!$D$10=1,Restaurantes!$D$13*Restaurantes!$D$24*Restaurantes!$D$25*Restaurantes!$D$22/MAX(0.0001,Hipótesis!$D$130),9000000000)</f>
        <v>205.361394064897</v>
      </c>
      <c r="BC175" s="27" t="n">
        <f aca="false">IF(Restaurantes!$D$10=1,Restaurantes!$D$13*Restaurantes!$D$24*Restaurantes!$D$25*Restaurantes!$D$22/MAX(0.0001,Hipótesis!$D$130),9000000000)</f>
        <v>205.361394064897</v>
      </c>
      <c r="BD175" s="27" t="n">
        <f aca="false">IF(Restaurantes!$D$10=1,Restaurantes!$D$13*Restaurantes!$D$24*Restaurantes!$D$25*Restaurantes!$D$22/MAX(0.0001,Hipótesis!$D$130),9000000000)</f>
        <v>205.361394064897</v>
      </c>
      <c r="BE175" s="27" t="n">
        <f aca="false">IF(Restaurantes!$D$10=1,Restaurantes!$D$13*Restaurantes!$D$24*Restaurantes!$D$25*Restaurantes!$D$22/MAX(0.0001,Hipótesis!$D$130),9000000000)</f>
        <v>205.361394064897</v>
      </c>
      <c r="BF175" s="27" t="n">
        <f aca="false">IF(Restaurantes!$D$10=1,Restaurantes!$D$13*Restaurantes!$D$24*Restaurantes!$D$25*Restaurantes!$D$22/MAX(0.0001,Hipótesis!$D$130),9000000000)</f>
        <v>205.361394064897</v>
      </c>
      <c r="BG175" s="27" t="n">
        <f aca="false">IF(Restaurantes!$D$10=1,Restaurantes!$D$13*Restaurantes!$D$24*Restaurantes!$D$25*Restaurantes!$D$22/MAX(0.0001,Hipótesis!$D$130),9000000000)</f>
        <v>205.361394064897</v>
      </c>
      <c r="BH175" s="27" t="n">
        <f aca="false">IF(Restaurantes!$D$10=1,Restaurantes!$D$13*Restaurantes!$D$24*Restaurantes!$D$25*Restaurantes!$D$22/MAX(0.0001,Hipótesis!$D$130),9000000000)</f>
        <v>205.361394064897</v>
      </c>
      <c r="BI175" s="27" t="n">
        <f aca="false">IF(Restaurantes!$D$10=1,Restaurantes!$D$13*Restaurantes!$D$24*Restaurantes!$D$25*Restaurantes!$D$22/MAX(0.0001,Hipótesis!$D$130),9000000000)</f>
        <v>205.361394064897</v>
      </c>
      <c r="BJ175" s="27" t="n">
        <f aca="false">IF(Restaurantes!$D$10=1,Restaurantes!$D$13*Restaurantes!$D$24*Restaurantes!$D$25*Restaurantes!$D$22/MAX(0.0001,Hipótesis!$D$130),9000000000)</f>
        <v>205.361394064897</v>
      </c>
      <c r="BK175" s="27" t="n">
        <f aca="false">IF(Restaurantes!$D$10=1,Restaurantes!$D$13*Restaurantes!$D$24*Restaurantes!$D$25*Restaurantes!$D$22/MAX(0.0001,Hipótesis!$D$130),9000000000)</f>
        <v>205.361394064897</v>
      </c>
      <c r="BL175" s="27" t="n">
        <f aca="false">IF(Restaurantes!$D$10=1,Restaurantes!$D$13*Restaurantes!$D$24*Restaurantes!$D$25*Restaurantes!$D$22/MAX(0.0001,Hipótesis!$D$130),9000000000)</f>
        <v>205.361394064897</v>
      </c>
      <c r="BM175" s="27" t="n">
        <f aca="false">IF(Restaurantes!$D$10=1,Restaurantes!$D$13*Restaurantes!$D$24*Restaurantes!$D$25*Restaurantes!$D$22/MAX(0.0001,Hipótesis!$D$130),9000000000)</f>
        <v>205.361394064897</v>
      </c>
      <c r="BN175" s="27" t="n">
        <f aca="false">IF(Restaurantes!$D$10=1,Restaurantes!$D$13*Restaurantes!$D$24*Restaurantes!$D$25*Restaurantes!$D$22/MAX(0.0001,Hipótesis!$D$130),9000000000)</f>
        <v>205.361394064897</v>
      </c>
      <c r="BO175" s="27" t="n">
        <f aca="false">IF(Restaurantes!$D$10=1,Restaurantes!$D$13*Restaurantes!$D$24*Restaurantes!$D$25*Restaurantes!$D$22/MAX(0.0001,Hipótesis!$D$130),9000000000)</f>
        <v>205.361394064897</v>
      </c>
      <c r="BP175" s="27" t="n">
        <f aca="false">IF(Restaurantes!$D$10=1,Restaurantes!$D$13*Restaurantes!$D$24*Restaurantes!$D$25*Restaurantes!$D$22/MAX(0.0001,Hipótesis!$D$130),9000000000)</f>
        <v>205.361394064897</v>
      </c>
      <c r="BQ175" s="27" t="n">
        <f aca="false">IF(Restaurantes!$D$10=1,Restaurantes!$D$13*Restaurantes!$D$24*Restaurantes!$D$25*Restaurantes!$D$22/MAX(0.0001,Hipótesis!$D$130),9000000000)</f>
        <v>205.361394064897</v>
      </c>
      <c r="BR175" s="27" t="n">
        <f aca="false">IF(Restaurantes!$D$10=1,Restaurantes!$D$13*Restaurantes!$D$24*Restaurantes!$D$25*Restaurantes!$D$22/MAX(0.0001,Hipótesis!$D$130),9000000000)</f>
        <v>205.361394064897</v>
      </c>
      <c r="BS175" s="27" t="n">
        <f aca="false">IF(Restaurantes!$D$10=1,Restaurantes!$D$13*Restaurantes!$D$24*Restaurantes!$D$25*Restaurantes!$D$22/MAX(0.0001,Hipótesis!$D$130),9000000000)</f>
        <v>205.361394064897</v>
      </c>
      <c r="BT175" s="27" t="n">
        <f aca="false">IF(Restaurantes!$D$10=1,Restaurantes!$D$13*Restaurantes!$D$24*Restaurantes!$D$25*Restaurantes!$D$22/MAX(0.0001,Hipótesis!$D$130),9000000000)</f>
        <v>205.361394064897</v>
      </c>
      <c r="BU175" s="27" t="n">
        <f aca="false">IF(Restaurantes!$D$10=1,Restaurantes!$D$13*Restaurantes!$D$24*Restaurantes!$D$25*Restaurantes!$D$22/MAX(0.0001,Hipótesis!$D$130),9000000000)</f>
        <v>205.361394064897</v>
      </c>
      <c r="BV175" s="27" t="n">
        <f aca="false">IF(Restaurantes!$D$10=1,Restaurantes!$D$13*Restaurantes!$D$24*Restaurantes!$D$25*Restaurantes!$D$22/MAX(0.0001,Hipótesis!$D$130),9000000000)</f>
        <v>205.361394064897</v>
      </c>
      <c r="BW175" s="27" t="n">
        <f aca="false">IF(Restaurantes!$D$10=1,Restaurantes!$D$13*Restaurantes!$D$24*Restaurantes!$D$25*Restaurantes!$D$22/MAX(0.0001,Hipótesis!$D$130),9000000000)</f>
        <v>205.361394064897</v>
      </c>
      <c r="BX175" s="27" t="n">
        <f aca="false">IF(Restaurantes!$D$10=1,Restaurantes!$D$13*Restaurantes!$D$24*Restaurantes!$D$25*Restaurantes!$D$22/MAX(0.0001,Hipótesis!$D$130),9000000000)</f>
        <v>205.361394064897</v>
      </c>
      <c r="BY175" s="27" t="n">
        <f aca="false">IF(Restaurantes!$D$10=1,Restaurantes!$D$13*Restaurantes!$D$24*Restaurantes!$D$25*Restaurantes!$D$22/MAX(0.0001,Hipótesis!$D$130),9000000000)</f>
        <v>205.361394064897</v>
      </c>
      <c r="BZ175" s="27" t="n">
        <f aca="false">IF(Restaurantes!$D$10=1,Restaurantes!$D$13*Restaurantes!$D$24*Restaurantes!$D$25*Restaurantes!$D$22/MAX(0.0001,Hipótesis!$D$130),9000000000)</f>
        <v>205.361394064897</v>
      </c>
      <c r="CA175" s="27" t="n">
        <f aca="false">IF(Restaurantes!$D$10=1,Restaurantes!$D$13*Restaurantes!$D$24*Restaurantes!$D$25*Restaurantes!$D$22/MAX(0.0001,Hipótesis!$D$130),9000000000)</f>
        <v>205.361394064897</v>
      </c>
      <c r="CB175" s="27" t="n">
        <f aca="false">IF(Restaurantes!$D$10=1,Restaurantes!$D$13*Restaurantes!$D$24*Restaurantes!$D$25*Restaurantes!$D$22/MAX(0.0001,Hipótesis!$D$130),9000000000)</f>
        <v>205.361394064897</v>
      </c>
      <c r="CC175" s="27" t="n">
        <f aca="false">IF(Restaurantes!$D$10=1,Restaurantes!$D$13*Restaurantes!$D$24*Restaurantes!$D$25*Restaurantes!$D$22/MAX(0.0001,Hipótesis!$D$130),9000000000)</f>
        <v>205.361394064897</v>
      </c>
      <c r="CD175" s="27" t="n">
        <f aca="false">IF(Restaurantes!$D$10=1,Restaurantes!$D$13*Restaurantes!$D$24*Restaurantes!$D$25*Restaurantes!$D$22/MAX(0.0001,Hipótesis!$D$130),9000000000)</f>
        <v>205.361394064897</v>
      </c>
      <c r="CE175" s="27" t="n">
        <f aca="false">IF(Restaurantes!$D$10=1,Restaurantes!$D$13*Restaurantes!$D$24*Restaurantes!$D$25*Restaurantes!$D$22/MAX(0.0001,Hipótesis!$D$130),9000000000)</f>
        <v>205.361394064897</v>
      </c>
      <c r="CF175" s="27" t="n">
        <f aca="false">IF(Restaurantes!$D$10=1,Restaurantes!$D$13*Restaurantes!$D$24*Restaurantes!$D$25*Restaurantes!$D$22/MAX(0.0001,Hipótesis!$D$130),9000000000)</f>
        <v>205.361394064897</v>
      </c>
      <c r="CG175" s="27" t="n">
        <f aca="false">IF(Restaurantes!$D$10=1,Restaurantes!$D$13*Restaurantes!$D$24*Restaurantes!$D$25*Restaurantes!$D$22/MAX(0.0001,Hipótesis!$D$130),9000000000)</f>
        <v>205.361394064897</v>
      </c>
      <c r="CH175" s="27" t="n">
        <f aca="false">IF(Restaurantes!$D$10=1,Restaurantes!$D$13*Restaurantes!$D$24*Restaurantes!$D$25*Restaurantes!$D$22/MAX(0.0001,Hipótesis!$D$130),9000000000)</f>
        <v>205.361394064897</v>
      </c>
    </row>
    <row r="176" customFormat="false" ht="15" hidden="false" customHeight="false" outlineLevel="0" collapsed="false">
      <c r="A176" s="1" t="s">
        <v>837</v>
      </c>
      <c r="C176" s="27" t="n">
        <f aca="false">MIN(Restaurantes!$D$7*Hipótesis!$D$13*Hipótesis!$D$26,C175)*C173</f>
        <v>6</v>
      </c>
      <c r="D176" s="27" t="n">
        <f aca="false">MIN(Restaurantes!$D$7*Hipótesis!$D$13*Hipótesis!$D$26,D175)*D173</f>
        <v>12</v>
      </c>
      <c r="E176" s="27" t="n">
        <f aca="false">MIN(Restaurantes!$D$7*Hipótesis!$D$13*Hipótesis!$D$26,E175)*E173</f>
        <v>18</v>
      </c>
      <c r="F176" s="27" t="n">
        <f aca="false">MIN(Restaurantes!$D$7*Hipótesis!$D$13*Hipótesis!$D$26,F175)*F173</f>
        <v>24</v>
      </c>
      <c r="G176" s="27" t="n">
        <f aca="false">MIN(Restaurantes!$D$7*Hipótesis!$D$13*Hipótesis!$D$26,G175)*G173</f>
        <v>30</v>
      </c>
      <c r="H176" s="27" t="n">
        <f aca="false">MIN(Restaurantes!$D$7*Hipótesis!$D$13*Hipótesis!$D$26,H175)*H173</f>
        <v>36</v>
      </c>
      <c r="I176" s="27" t="n">
        <f aca="false">MIN(Restaurantes!$D$7*Hipótesis!$D$13*Hipótesis!$D$26,I175)*I173</f>
        <v>42</v>
      </c>
      <c r="J176" s="27" t="n">
        <f aca="false">MIN(Restaurantes!$D$7*Hipótesis!$D$13*Hipótesis!$D$26,J175)*J173</f>
        <v>48</v>
      </c>
      <c r="K176" s="27" t="n">
        <f aca="false">MIN(Restaurantes!$D$7*Hipótesis!$D$13*Hipótesis!$D$26,K175)*K173</f>
        <v>54</v>
      </c>
      <c r="L176" s="27" t="n">
        <f aca="false">MIN(Restaurantes!$D$7*Hipótesis!$D$13*Hipótesis!$D$26,L175)*L173</f>
        <v>60</v>
      </c>
      <c r="M176" s="27" t="n">
        <f aca="false">MIN(Restaurantes!$D$7*Hipótesis!$D$13*Hipótesis!$D$26,M175)*M173</f>
        <v>66</v>
      </c>
      <c r="N176" s="27" t="n">
        <f aca="false">MIN(Restaurantes!$D$7*Hipótesis!$D$13*Hipótesis!$D$26,N175)*N173</f>
        <v>72</v>
      </c>
      <c r="O176" s="27" t="n">
        <f aca="false">MIN(Restaurantes!$D$7*Hipótesis!$D$13*Hipótesis!$D$26,O175)*O173</f>
        <v>78</v>
      </c>
      <c r="P176" s="27" t="n">
        <f aca="false">MIN(Restaurantes!$D$7*Hipótesis!$D$13*Hipótesis!$D$26,P175)*P173</f>
        <v>84</v>
      </c>
      <c r="Q176" s="27" t="n">
        <f aca="false">MIN(Restaurantes!$D$7*Hipótesis!$D$13*Hipótesis!$D$26,Q175)*Q173</f>
        <v>90</v>
      </c>
      <c r="R176" s="27" t="n">
        <f aca="false">MIN(Restaurantes!$D$7*Hipótesis!$D$13*Hipótesis!$D$26,R175)*R173</f>
        <v>96</v>
      </c>
      <c r="S176" s="27" t="n">
        <f aca="false">MIN(Restaurantes!$D$7*Hipótesis!$D$13*Hipótesis!$D$26,S175)*S173</f>
        <v>102</v>
      </c>
      <c r="T176" s="27" t="n">
        <f aca="false">MIN(Restaurantes!$D$7*Hipótesis!$D$13*Hipótesis!$D$26,T175)*T173</f>
        <v>108</v>
      </c>
      <c r="U176" s="27" t="n">
        <f aca="false">MIN(Restaurantes!$D$7*Hipótesis!$D$13*Hipótesis!$D$26,U175)*U173</f>
        <v>114</v>
      </c>
      <c r="V176" s="27" t="n">
        <f aca="false">MIN(Restaurantes!$D$7*Hipótesis!$D$13*Hipótesis!$D$26,V175)*V173</f>
        <v>120</v>
      </c>
      <c r="W176" s="27" t="n">
        <f aca="false">MIN(Restaurantes!$D$7*Hipótesis!$D$13*Hipótesis!$D$26,W175)*W173</f>
        <v>126</v>
      </c>
      <c r="X176" s="27" t="n">
        <f aca="false">MIN(Restaurantes!$D$7*Hipótesis!$D$13*Hipótesis!$D$26,X175)*X173</f>
        <v>132</v>
      </c>
      <c r="Y176" s="27" t="n">
        <f aca="false">MIN(Restaurantes!$D$7*Hipótesis!$D$13*Hipótesis!$D$26,Y175)*Y173</f>
        <v>138</v>
      </c>
      <c r="Z176" s="27" t="n">
        <f aca="false">MIN(Restaurantes!$D$7*Hipótesis!$D$13*Hipótesis!$D$26,Z175)*Z173</f>
        <v>144</v>
      </c>
      <c r="AA176" s="27" t="n">
        <f aca="false">MIN(Restaurantes!$D$7*Hipótesis!$D$13*Hipótesis!$D$26,AA175)*AA173</f>
        <v>144</v>
      </c>
      <c r="AB176" s="27" t="n">
        <f aca="false">MIN(Restaurantes!$D$7*Hipótesis!$D$13*Hipótesis!$D$26,AB175)*AB173</f>
        <v>144</v>
      </c>
      <c r="AC176" s="27" t="n">
        <f aca="false">MIN(Restaurantes!$D$7*Hipótesis!$D$13*Hipótesis!$D$26,AC175)*AC173</f>
        <v>144</v>
      </c>
      <c r="AD176" s="27" t="n">
        <f aca="false">MIN(Restaurantes!$D$7*Hipótesis!$D$13*Hipótesis!$D$26,AD175)*AD173</f>
        <v>144</v>
      </c>
      <c r="AE176" s="27" t="n">
        <f aca="false">MIN(Restaurantes!$D$7*Hipótesis!$D$13*Hipótesis!$D$26,AE175)*AE173</f>
        <v>144</v>
      </c>
      <c r="AF176" s="27" t="n">
        <f aca="false">MIN(Restaurantes!$D$7*Hipótesis!$D$13*Hipótesis!$D$26,AF175)*AF173</f>
        <v>144</v>
      </c>
      <c r="AG176" s="27" t="n">
        <f aca="false">MIN(Restaurantes!$D$7*Hipótesis!$D$13*Hipótesis!$D$26,AG175)*AG173</f>
        <v>144</v>
      </c>
      <c r="AH176" s="27" t="n">
        <f aca="false">MIN(Restaurantes!$D$7*Hipótesis!$D$13*Hipótesis!$D$26,AH175)*AH173</f>
        <v>144</v>
      </c>
      <c r="AI176" s="27" t="n">
        <f aca="false">MIN(Restaurantes!$D$7*Hipótesis!$D$13*Hipótesis!$D$26,AI175)*AI173</f>
        <v>144</v>
      </c>
      <c r="AJ176" s="27" t="n">
        <f aca="false">MIN(Restaurantes!$D$7*Hipótesis!$D$13*Hipótesis!$D$26,AJ175)*AJ173</f>
        <v>144</v>
      </c>
      <c r="AK176" s="27" t="n">
        <f aca="false">MIN(Restaurantes!$D$7*Hipótesis!$D$13*Hipótesis!$D$26,AK175)*AK173</f>
        <v>144</v>
      </c>
      <c r="AL176" s="27" t="n">
        <f aca="false">MIN(Restaurantes!$D$7*Hipótesis!$D$13*Hipótesis!$D$26,AL175)*AL173</f>
        <v>144</v>
      </c>
      <c r="AM176" s="27" t="n">
        <f aca="false">MIN(Restaurantes!$D$7*Hipótesis!$D$13*Hipótesis!$D$26,AM175)*AM173</f>
        <v>144</v>
      </c>
      <c r="AN176" s="27" t="n">
        <f aca="false">MIN(Restaurantes!$D$7*Hipótesis!$D$13*Hipótesis!$D$26,AN175)*AN173</f>
        <v>144</v>
      </c>
      <c r="AO176" s="27" t="n">
        <f aca="false">MIN(Restaurantes!$D$7*Hipótesis!$D$13*Hipótesis!$D$26,AO175)*AO173</f>
        <v>144</v>
      </c>
      <c r="AP176" s="27" t="n">
        <f aca="false">MIN(Restaurantes!$D$7*Hipótesis!$D$13*Hipótesis!$D$26,AP175)*AP173</f>
        <v>144</v>
      </c>
      <c r="AQ176" s="27" t="n">
        <f aca="false">MIN(Restaurantes!$D$7*Hipótesis!$D$13*Hipótesis!$D$26,AQ175)*AQ173</f>
        <v>144</v>
      </c>
      <c r="AR176" s="27" t="n">
        <f aca="false">MIN(Restaurantes!$D$7*Hipótesis!$D$13*Hipótesis!$D$26,AR175)*AR173</f>
        <v>144</v>
      </c>
      <c r="AS176" s="27" t="n">
        <f aca="false">MIN(Restaurantes!$D$7*Hipótesis!$D$13*Hipótesis!$D$26,AS175)*AS173</f>
        <v>144</v>
      </c>
      <c r="AT176" s="27" t="n">
        <f aca="false">MIN(Restaurantes!$D$7*Hipótesis!$D$13*Hipótesis!$D$26,AT175)*AT173</f>
        <v>144</v>
      </c>
      <c r="AU176" s="27" t="n">
        <f aca="false">MIN(Restaurantes!$D$7*Hipótesis!$D$13*Hipótesis!$D$26,AU175)*AU173</f>
        <v>144</v>
      </c>
      <c r="AV176" s="27" t="n">
        <f aca="false">MIN(Restaurantes!$D$7*Hipótesis!$D$13*Hipótesis!$D$26,AV175)*AV173</f>
        <v>144</v>
      </c>
      <c r="AW176" s="27" t="n">
        <f aca="false">MIN(Restaurantes!$D$7*Hipótesis!$D$13*Hipótesis!$D$26,AW175)*AW173</f>
        <v>144</v>
      </c>
      <c r="AX176" s="27" t="n">
        <f aca="false">MIN(Restaurantes!$D$7*Hipótesis!$D$13*Hipótesis!$D$26,AX175)*AX173</f>
        <v>144</v>
      </c>
      <c r="AY176" s="27" t="n">
        <f aca="false">MIN(Restaurantes!$D$7*Hipótesis!$D$13*Hipótesis!$D$26,AY175)*AY173</f>
        <v>144</v>
      </c>
      <c r="AZ176" s="27" t="n">
        <f aca="false">MIN(Restaurantes!$D$7*Hipótesis!$D$13*Hipótesis!$D$26,AZ175)*AZ173</f>
        <v>144</v>
      </c>
      <c r="BA176" s="27" t="n">
        <f aca="false">MIN(Restaurantes!$D$7*Hipótesis!$D$13*Hipótesis!$D$26,BA175)*BA173</f>
        <v>144</v>
      </c>
      <c r="BB176" s="27" t="n">
        <f aca="false">MIN(Restaurantes!$D$7*Hipótesis!$D$13*Hipótesis!$D$26,BB175)*BB173</f>
        <v>144</v>
      </c>
      <c r="BC176" s="27" t="n">
        <f aca="false">MIN(Restaurantes!$D$7*Hipótesis!$D$13*Hipótesis!$D$26,BC175)*BC173</f>
        <v>144</v>
      </c>
      <c r="BD176" s="27" t="n">
        <f aca="false">MIN(Restaurantes!$D$7*Hipótesis!$D$13*Hipótesis!$D$26,BD175)*BD173</f>
        <v>144</v>
      </c>
      <c r="BE176" s="27" t="n">
        <f aca="false">MIN(Restaurantes!$D$7*Hipótesis!$D$13*Hipótesis!$D$26,BE175)*BE173</f>
        <v>144</v>
      </c>
      <c r="BF176" s="27" t="n">
        <f aca="false">MIN(Restaurantes!$D$7*Hipótesis!$D$13*Hipótesis!$D$26,BF175)*BF173</f>
        <v>144</v>
      </c>
      <c r="BG176" s="27" t="n">
        <f aca="false">MIN(Restaurantes!$D$7*Hipótesis!$D$13*Hipótesis!$D$26,BG175)*BG173</f>
        <v>144</v>
      </c>
      <c r="BH176" s="27" t="n">
        <f aca="false">MIN(Restaurantes!$D$7*Hipótesis!$D$13*Hipótesis!$D$26,BH175)*BH173</f>
        <v>144</v>
      </c>
      <c r="BI176" s="27" t="n">
        <f aca="false">MIN(Restaurantes!$D$7*Hipótesis!$D$13*Hipótesis!$D$26,BI175)*BI173</f>
        <v>144</v>
      </c>
      <c r="BJ176" s="27" t="n">
        <f aca="false">MIN(Restaurantes!$D$7*Hipótesis!$D$13*Hipótesis!$D$26,BJ175)*BJ173</f>
        <v>144</v>
      </c>
      <c r="BK176" s="27" t="n">
        <f aca="false">MIN(Restaurantes!$D$7*Hipótesis!$D$13*Hipótesis!$D$26,BK175)*BK173</f>
        <v>144</v>
      </c>
      <c r="BL176" s="27" t="n">
        <f aca="false">MIN(Restaurantes!$D$7*Hipótesis!$D$13*Hipótesis!$D$26,BL175)*BL173</f>
        <v>144</v>
      </c>
      <c r="BM176" s="27" t="n">
        <f aca="false">MIN(Restaurantes!$D$7*Hipótesis!$D$13*Hipótesis!$D$26,BM175)*BM173</f>
        <v>144</v>
      </c>
      <c r="BN176" s="27" t="n">
        <f aca="false">MIN(Restaurantes!$D$7*Hipótesis!$D$13*Hipótesis!$D$26,BN175)*BN173</f>
        <v>144</v>
      </c>
      <c r="BO176" s="27" t="n">
        <f aca="false">MIN(Restaurantes!$D$7*Hipótesis!$D$13*Hipótesis!$D$26,BO175)*BO173</f>
        <v>144</v>
      </c>
      <c r="BP176" s="27" t="n">
        <f aca="false">MIN(Restaurantes!$D$7*Hipótesis!$D$13*Hipótesis!$D$26,BP175)*BP173</f>
        <v>144</v>
      </c>
      <c r="BQ176" s="27" t="n">
        <f aca="false">MIN(Restaurantes!$D$7*Hipótesis!$D$13*Hipótesis!$D$26,BQ175)*BQ173</f>
        <v>144</v>
      </c>
      <c r="BR176" s="27" t="n">
        <f aca="false">MIN(Restaurantes!$D$7*Hipótesis!$D$13*Hipótesis!$D$26,BR175)*BR173</f>
        <v>144</v>
      </c>
      <c r="BS176" s="27" t="n">
        <f aca="false">MIN(Restaurantes!$D$7*Hipótesis!$D$13*Hipótesis!$D$26,BS175)*BS173</f>
        <v>144</v>
      </c>
      <c r="BT176" s="27" t="n">
        <f aca="false">MIN(Restaurantes!$D$7*Hipótesis!$D$13*Hipótesis!$D$26,BT175)*BT173</f>
        <v>144</v>
      </c>
      <c r="BU176" s="27" t="n">
        <f aca="false">MIN(Restaurantes!$D$7*Hipótesis!$D$13*Hipótesis!$D$26,BU175)*BU173</f>
        <v>144</v>
      </c>
      <c r="BV176" s="27" t="n">
        <f aca="false">MIN(Restaurantes!$D$7*Hipótesis!$D$13*Hipótesis!$D$26,BV175)*BV173</f>
        <v>144</v>
      </c>
      <c r="BW176" s="27" t="n">
        <f aca="false">MIN(Restaurantes!$D$7*Hipótesis!$D$13*Hipótesis!$D$26,BW175)*BW173</f>
        <v>144</v>
      </c>
      <c r="BX176" s="27" t="n">
        <f aca="false">MIN(Restaurantes!$D$7*Hipótesis!$D$13*Hipótesis!$D$26,BX175)*BX173</f>
        <v>144</v>
      </c>
      <c r="BY176" s="27" t="n">
        <f aca="false">MIN(Restaurantes!$D$7*Hipótesis!$D$13*Hipótesis!$D$26,BY175)*BY173</f>
        <v>144</v>
      </c>
      <c r="BZ176" s="27" t="n">
        <f aca="false">MIN(Restaurantes!$D$7*Hipótesis!$D$13*Hipótesis!$D$26,BZ175)*BZ173</f>
        <v>144</v>
      </c>
      <c r="CA176" s="27" t="n">
        <f aca="false">MIN(Restaurantes!$D$7*Hipótesis!$D$13*Hipótesis!$D$26,CA175)*CA173</f>
        <v>144</v>
      </c>
      <c r="CB176" s="27" t="n">
        <f aca="false">MIN(Restaurantes!$D$7*Hipótesis!$D$13*Hipótesis!$D$26,CB175)*CB173</f>
        <v>144</v>
      </c>
      <c r="CC176" s="27" t="n">
        <f aca="false">MIN(Restaurantes!$D$7*Hipótesis!$D$13*Hipótesis!$D$26,CC175)*CC173</f>
        <v>144</v>
      </c>
      <c r="CD176" s="27" t="n">
        <f aca="false">MIN(Restaurantes!$D$7*Hipótesis!$D$13*Hipótesis!$D$26,CD175)*CD173</f>
        <v>144</v>
      </c>
      <c r="CE176" s="27" t="n">
        <f aca="false">MIN(Restaurantes!$D$7*Hipótesis!$D$13*Hipótesis!$D$26,CE175)*CE173</f>
        <v>144</v>
      </c>
      <c r="CF176" s="27" t="n">
        <f aca="false">MIN(Restaurantes!$D$7*Hipótesis!$D$13*Hipótesis!$D$26,CF175)*CF173</f>
        <v>144</v>
      </c>
      <c r="CG176" s="27" t="n">
        <f aca="false">MIN(Restaurantes!$D$7*Hipótesis!$D$13*Hipótesis!$D$26,CG175)*CG173</f>
        <v>144</v>
      </c>
      <c r="CH176" s="27" t="n">
        <f aca="false">MIN(Restaurantes!$D$7*Hipótesis!$D$13*Hipótesis!$D$26,CH175)*CH173</f>
        <v>144</v>
      </c>
    </row>
    <row r="177" customFormat="false" ht="15" hidden="false" customHeight="false" outlineLevel="0" collapsed="false">
      <c r="A177" s="1" t="s">
        <v>838</v>
      </c>
      <c r="C177" s="27" t="n">
        <f aca="false">MIN(C176,MAX(0,C8-C174))</f>
        <v>6</v>
      </c>
      <c r="D177" s="27" t="n">
        <f aca="false">MIN(D176,MAX(0,D8-D174))</f>
        <v>12</v>
      </c>
      <c r="E177" s="27" t="n">
        <f aca="false">MIN(E176,MAX(0,E8-E174))</f>
        <v>18</v>
      </c>
      <c r="F177" s="27" t="n">
        <f aca="false">MIN(F176,MAX(0,F8-F174))</f>
        <v>24</v>
      </c>
      <c r="G177" s="27" t="n">
        <f aca="false">MIN(G176,MAX(0,G8-G174))</f>
        <v>30</v>
      </c>
      <c r="H177" s="27" t="n">
        <f aca="false">MIN(H176,MAX(0,H8-H174))</f>
        <v>36</v>
      </c>
      <c r="I177" s="27" t="n">
        <f aca="false">MIN(I176,MAX(0,I8-I174))</f>
        <v>42</v>
      </c>
      <c r="J177" s="27" t="n">
        <f aca="false">MIN(J176,MAX(0,J8-J174))</f>
        <v>48</v>
      </c>
      <c r="K177" s="27" t="n">
        <f aca="false">MIN(K176,MAX(0,K8-K174))</f>
        <v>54</v>
      </c>
      <c r="L177" s="27" t="n">
        <f aca="false">MIN(L176,MAX(0,L8-L174))</f>
        <v>60</v>
      </c>
      <c r="M177" s="27" t="n">
        <f aca="false">MIN(M176,MAX(0,M8-M174))</f>
        <v>66</v>
      </c>
      <c r="N177" s="27" t="n">
        <f aca="false">MIN(N176,MAX(0,N8-N174))</f>
        <v>72</v>
      </c>
      <c r="O177" s="27" t="n">
        <f aca="false">MIN(O176,MAX(0,O8-O174))</f>
        <v>78</v>
      </c>
      <c r="P177" s="27" t="n">
        <f aca="false">MIN(P176,MAX(0,P8-P174))</f>
        <v>84</v>
      </c>
      <c r="Q177" s="27" t="n">
        <f aca="false">MIN(Q176,MAX(0,Q8-Q174))</f>
        <v>90</v>
      </c>
      <c r="R177" s="27" t="n">
        <f aca="false">MIN(R176,MAX(0,R8-R174))</f>
        <v>96</v>
      </c>
      <c r="S177" s="27" t="n">
        <f aca="false">MIN(S176,MAX(0,S8-S174))</f>
        <v>102</v>
      </c>
      <c r="T177" s="27" t="n">
        <f aca="false">MIN(T176,MAX(0,T8-T174))</f>
        <v>108</v>
      </c>
      <c r="U177" s="27" t="n">
        <f aca="false">MIN(U176,MAX(0,U8-U174))</f>
        <v>114</v>
      </c>
      <c r="V177" s="27" t="n">
        <f aca="false">MIN(V176,MAX(0,V8-V174))</f>
        <v>120</v>
      </c>
      <c r="W177" s="27" t="n">
        <f aca="false">MIN(W176,MAX(0,W8-W174))</f>
        <v>126</v>
      </c>
      <c r="X177" s="27" t="n">
        <f aca="false">MIN(X176,MAX(0,X8-X174))</f>
        <v>132</v>
      </c>
      <c r="Y177" s="27" t="n">
        <f aca="false">MIN(Y176,MAX(0,Y8-Y174))</f>
        <v>138</v>
      </c>
      <c r="Z177" s="27" t="n">
        <f aca="false">MIN(Z176,MAX(0,Z8-Z174))</f>
        <v>144</v>
      </c>
      <c r="AA177" s="27" t="n">
        <f aca="false">MIN(AA176,MAX(0,AA8-AA174))</f>
        <v>144</v>
      </c>
      <c r="AB177" s="27" t="n">
        <f aca="false">MIN(AB176,MAX(0,AB8-AB174))</f>
        <v>144</v>
      </c>
      <c r="AC177" s="27" t="n">
        <f aca="false">MIN(AC176,MAX(0,AC8-AC174))</f>
        <v>144</v>
      </c>
      <c r="AD177" s="27" t="n">
        <f aca="false">MIN(AD176,MAX(0,AD8-AD174))</f>
        <v>144</v>
      </c>
      <c r="AE177" s="27" t="n">
        <f aca="false">MIN(AE176,MAX(0,AE8-AE174))</f>
        <v>144</v>
      </c>
      <c r="AF177" s="27" t="n">
        <f aca="false">MIN(AF176,MAX(0,AF8-AF174))</f>
        <v>144</v>
      </c>
      <c r="AG177" s="27" t="n">
        <f aca="false">MIN(AG176,MAX(0,AG8-AG174))</f>
        <v>144</v>
      </c>
      <c r="AH177" s="27" t="n">
        <f aca="false">MIN(AH176,MAX(0,AH8-AH174))</f>
        <v>144</v>
      </c>
      <c r="AI177" s="27" t="n">
        <f aca="false">MIN(AI176,MAX(0,AI8-AI174))</f>
        <v>144</v>
      </c>
      <c r="AJ177" s="27" t="n">
        <f aca="false">MIN(AJ176,MAX(0,AJ8-AJ174))</f>
        <v>144</v>
      </c>
      <c r="AK177" s="27" t="n">
        <f aca="false">MIN(AK176,MAX(0,AK8-AK174))</f>
        <v>144</v>
      </c>
      <c r="AL177" s="27" t="n">
        <f aca="false">MIN(AL176,MAX(0,AL8-AL174))</f>
        <v>144</v>
      </c>
      <c r="AM177" s="27" t="n">
        <f aca="false">MIN(AM176,MAX(0,AM8-AM174))</f>
        <v>144</v>
      </c>
      <c r="AN177" s="27" t="n">
        <f aca="false">MIN(AN176,MAX(0,AN8-AN174))</f>
        <v>144</v>
      </c>
      <c r="AO177" s="27" t="n">
        <f aca="false">MIN(AO176,MAX(0,AO8-AO174))</f>
        <v>144</v>
      </c>
      <c r="AP177" s="27" t="n">
        <f aca="false">MIN(AP176,MAX(0,AP8-AP174))</f>
        <v>144</v>
      </c>
      <c r="AQ177" s="27" t="n">
        <f aca="false">MIN(AQ176,MAX(0,AQ8-AQ174))</f>
        <v>144</v>
      </c>
      <c r="AR177" s="27" t="n">
        <f aca="false">MIN(AR176,MAX(0,AR8-AR174))</f>
        <v>144</v>
      </c>
      <c r="AS177" s="27" t="n">
        <f aca="false">MIN(AS176,MAX(0,AS8-AS174))</f>
        <v>144</v>
      </c>
      <c r="AT177" s="27" t="n">
        <f aca="false">MIN(AT176,MAX(0,AT8-AT174))</f>
        <v>144</v>
      </c>
      <c r="AU177" s="27" t="n">
        <f aca="false">MIN(AU176,MAX(0,AU8-AU174))</f>
        <v>144</v>
      </c>
      <c r="AV177" s="27" t="n">
        <f aca="false">MIN(AV176,MAX(0,AV8-AV174))</f>
        <v>144</v>
      </c>
      <c r="AW177" s="27" t="n">
        <f aca="false">MIN(AW176,MAX(0,AW8-AW174))</f>
        <v>144</v>
      </c>
      <c r="AX177" s="27" t="n">
        <f aca="false">MIN(AX176,MAX(0,AX8-AX174))</f>
        <v>144</v>
      </c>
      <c r="AY177" s="27" t="n">
        <f aca="false">MIN(AY176,MAX(0,AY8-AY174))</f>
        <v>144</v>
      </c>
      <c r="AZ177" s="27" t="n">
        <f aca="false">MIN(AZ176,MAX(0,AZ8-AZ174))</f>
        <v>144</v>
      </c>
      <c r="BA177" s="27" t="n">
        <f aca="false">MIN(BA176,MAX(0,BA8-BA174))</f>
        <v>144</v>
      </c>
      <c r="BB177" s="27" t="n">
        <f aca="false">MIN(BB176,MAX(0,BB8-BB174))</f>
        <v>144</v>
      </c>
      <c r="BC177" s="27" t="n">
        <f aca="false">MIN(BC176,MAX(0,BC8-BC174))</f>
        <v>144</v>
      </c>
      <c r="BD177" s="27" t="n">
        <f aca="false">MIN(BD176,MAX(0,BD8-BD174))</f>
        <v>144</v>
      </c>
      <c r="BE177" s="27" t="n">
        <f aca="false">MIN(BE176,MAX(0,BE8-BE174))</f>
        <v>144</v>
      </c>
      <c r="BF177" s="27" t="n">
        <f aca="false">MIN(BF176,MAX(0,BF8-BF174))</f>
        <v>144</v>
      </c>
      <c r="BG177" s="27" t="n">
        <f aca="false">MIN(BG176,MAX(0,BG8-BG174))</f>
        <v>144</v>
      </c>
      <c r="BH177" s="27" t="n">
        <f aca="false">MIN(BH176,MAX(0,BH8-BH174))</f>
        <v>144</v>
      </c>
      <c r="BI177" s="27" t="n">
        <f aca="false">MIN(BI176,MAX(0,BI8-BI174))</f>
        <v>144</v>
      </c>
      <c r="BJ177" s="27" t="n">
        <f aca="false">MIN(BJ176,MAX(0,BJ8-BJ174))</f>
        <v>144</v>
      </c>
      <c r="BK177" s="27" t="n">
        <f aca="false">MIN(BK176,MAX(0,BK8-BK174))</f>
        <v>144</v>
      </c>
      <c r="BL177" s="27" t="n">
        <f aca="false">MIN(BL176,MAX(0,BL8-BL174))</f>
        <v>144</v>
      </c>
      <c r="BM177" s="27" t="n">
        <f aca="false">MIN(BM176,MAX(0,BM8-BM174))</f>
        <v>144</v>
      </c>
      <c r="BN177" s="27" t="n">
        <f aca="false">MIN(BN176,MAX(0,BN8-BN174))</f>
        <v>144</v>
      </c>
      <c r="BO177" s="27" t="n">
        <f aca="false">MIN(BO176,MAX(0,BO8-BO174))</f>
        <v>144</v>
      </c>
      <c r="BP177" s="27" t="n">
        <f aca="false">MIN(BP176,MAX(0,BP8-BP174))</f>
        <v>144</v>
      </c>
      <c r="BQ177" s="27" t="n">
        <f aca="false">MIN(BQ176,MAX(0,BQ8-BQ174))</f>
        <v>144</v>
      </c>
      <c r="BR177" s="27" t="n">
        <f aca="false">MIN(BR176,MAX(0,BR8-BR174))</f>
        <v>144</v>
      </c>
      <c r="BS177" s="27" t="n">
        <f aca="false">MIN(BS176,MAX(0,BS8-BS174))</f>
        <v>144</v>
      </c>
      <c r="BT177" s="27" t="n">
        <f aca="false">MIN(BT176,MAX(0,BT8-BT174))</f>
        <v>144</v>
      </c>
      <c r="BU177" s="27" t="n">
        <f aca="false">MIN(BU176,MAX(0,BU8-BU174))</f>
        <v>144</v>
      </c>
      <c r="BV177" s="27" t="n">
        <f aca="false">MIN(BV176,MAX(0,BV8-BV174))</f>
        <v>144</v>
      </c>
      <c r="BW177" s="27" t="n">
        <f aca="false">MIN(BW176,MAX(0,BW8-BW174))</f>
        <v>144</v>
      </c>
      <c r="BX177" s="27" t="n">
        <f aca="false">MIN(BX176,MAX(0,BX8-BX174))</f>
        <v>144</v>
      </c>
      <c r="BY177" s="27" t="n">
        <f aca="false">MIN(BY176,MAX(0,BY8-BY174))</f>
        <v>144</v>
      </c>
      <c r="BZ177" s="27" t="n">
        <f aca="false">MIN(BZ176,MAX(0,BZ8-BZ174))</f>
        <v>144</v>
      </c>
      <c r="CA177" s="27" t="n">
        <f aca="false">MIN(CA176,MAX(0,CA8-CA174))</f>
        <v>144</v>
      </c>
      <c r="CB177" s="27" t="n">
        <f aca="false">MIN(CB176,MAX(0,CB8-CB174))</f>
        <v>144</v>
      </c>
      <c r="CC177" s="27" t="n">
        <f aca="false">MIN(CC176,MAX(0,CC8-CC174))</f>
        <v>144</v>
      </c>
      <c r="CD177" s="27" t="n">
        <f aca="false">MIN(CD176,MAX(0,CD8-CD174))</f>
        <v>144</v>
      </c>
      <c r="CE177" s="27" t="n">
        <f aca="false">MIN(CE176,MAX(0,CE8-CE174))</f>
        <v>144</v>
      </c>
      <c r="CF177" s="27" t="n">
        <f aca="false">MIN(CF176,MAX(0,CF8-CF174))</f>
        <v>144</v>
      </c>
      <c r="CG177" s="27" t="n">
        <f aca="false">MIN(CG176,MAX(0,CG8-CG174))</f>
        <v>144</v>
      </c>
      <c r="CH177" s="27" t="n">
        <f aca="false">MIN(CH176,MAX(0,CH8-CH174))</f>
        <v>144</v>
      </c>
    </row>
    <row r="178" customFormat="false" ht="15" hidden="false" customHeight="false" outlineLevel="0" collapsed="false">
      <c r="A178" s="25" t="s">
        <v>839</v>
      </c>
      <c r="C178" s="155" t="n">
        <f aca="false">C177*C172</f>
        <v>6</v>
      </c>
      <c r="D178" s="155" t="n">
        <f aca="false">D177*D172</f>
        <v>12</v>
      </c>
      <c r="E178" s="155" t="n">
        <f aca="false">E177*E172</f>
        <v>18</v>
      </c>
      <c r="F178" s="155" t="n">
        <f aca="false">F177*F172</f>
        <v>24</v>
      </c>
      <c r="G178" s="155" t="n">
        <f aca="false">G177*G172</f>
        <v>4.5</v>
      </c>
      <c r="H178" s="155" t="n">
        <f aca="false">H177*H172</f>
        <v>36</v>
      </c>
      <c r="I178" s="155" t="n">
        <f aca="false">I177*I172</f>
        <v>42</v>
      </c>
      <c r="J178" s="155" t="n">
        <f aca="false">J177*J172</f>
        <v>48</v>
      </c>
      <c r="K178" s="155" t="n">
        <f aca="false">K177*K172</f>
        <v>54</v>
      </c>
      <c r="L178" s="155" t="n">
        <f aca="false">L177*L172</f>
        <v>60</v>
      </c>
      <c r="M178" s="155" t="n">
        <f aca="false">M177*M172</f>
        <v>66</v>
      </c>
      <c r="N178" s="155" t="n">
        <f aca="false">N177*N172</f>
        <v>72</v>
      </c>
      <c r="O178" s="155" t="n">
        <f aca="false">O177*O172</f>
        <v>78</v>
      </c>
      <c r="P178" s="155" t="n">
        <f aca="false">P177*P172</f>
        <v>84</v>
      </c>
      <c r="Q178" s="155" t="n">
        <f aca="false">Q177*Q172</f>
        <v>90</v>
      </c>
      <c r="R178" s="155" t="n">
        <f aca="false">R177*R172</f>
        <v>96</v>
      </c>
      <c r="S178" s="155" t="n">
        <f aca="false">S177*S172</f>
        <v>15.3</v>
      </c>
      <c r="T178" s="155" t="n">
        <f aca="false">T177*T172</f>
        <v>108</v>
      </c>
      <c r="U178" s="155" t="n">
        <f aca="false">U177*U172</f>
        <v>114</v>
      </c>
      <c r="V178" s="155" t="n">
        <f aca="false">V177*V172</f>
        <v>120</v>
      </c>
      <c r="W178" s="155" t="n">
        <f aca="false">W177*W172</f>
        <v>126</v>
      </c>
      <c r="X178" s="155" t="n">
        <f aca="false">X177*X172</f>
        <v>132</v>
      </c>
      <c r="Y178" s="155" t="n">
        <f aca="false">Y177*Y172</f>
        <v>138</v>
      </c>
      <c r="Z178" s="155" t="n">
        <f aca="false">Z177*Z172</f>
        <v>144</v>
      </c>
      <c r="AA178" s="155" t="n">
        <f aca="false">AA177*AA172</f>
        <v>144</v>
      </c>
      <c r="AB178" s="155" t="n">
        <f aca="false">AB177*AB172</f>
        <v>144</v>
      </c>
      <c r="AC178" s="155" t="n">
        <f aca="false">AC177*AC172</f>
        <v>144</v>
      </c>
      <c r="AD178" s="155" t="n">
        <f aca="false">AD177*AD172</f>
        <v>144</v>
      </c>
      <c r="AE178" s="155" t="n">
        <f aca="false">AE177*AE172</f>
        <v>21.6</v>
      </c>
      <c r="AF178" s="155" t="n">
        <f aca="false">AF177*AF172</f>
        <v>144</v>
      </c>
      <c r="AG178" s="155" t="n">
        <f aca="false">AG177*AG172</f>
        <v>144</v>
      </c>
      <c r="AH178" s="155" t="n">
        <f aca="false">AH177*AH172</f>
        <v>144</v>
      </c>
      <c r="AI178" s="155" t="n">
        <f aca="false">AI177*AI172</f>
        <v>144</v>
      </c>
      <c r="AJ178" s="155" t="n">
        <f aca="false">AJ177*AJ172</f>
        <v>144</v>
      </c>
      <c r="AK178" s="155" t="n">
        <f aca="false">AK177*AK172</f>
        <v>144</v>
      </c>
      <c r="AL178" s="155" t="n">
        <f aca="false">AL177*AL172</f>
        <v>144</v>
      </c>
      <c r="AM178" s="155" t="n">
        <f aca="false">AM177*AM172</f>
        <v>144</v>
      </c>
      <c r="AN178" s="155" t="n">
        <f aca="false">AN177*AN172</f>
        <v>144</v>
      </c>
      <c r="AO178" s="155" t="n">
        <f aca="false">AO177*AO172</f>
        <v>144</v>
      </c>
      <c r="AP178" s="155" t="n">
        <f aca="false">AP177*AP172</f>
        <v>144</v>
      </c>
      <c r="AQ178" s="155" t="n">
        <f aca="false">AQ177*AQ172</f>
        <v>21.6</v>
      </c>
      <c r="AR178" s="155" t="n">
        <f aca="false">AR177*AR172</f>
        <v>144</v>
      </c>
      <c r="AS178" s="155" t="n">
        <f aca="false">AS177*AS172</f>
        <v>144</v>
      </c>
      <c r="AT178" s="155" t="n">
        <f aca="false">AT177*AT172</f>
        <v>144</v>
      </c>
      <c r="AU178" s="155" t="n">
        <f aca="false">AU177*AU172</f>
        <v>144</v>
      </c>
      <c r="AV178" s="155" t="n">
        <f aca="false">AV177*AV172</f>
        <v>144</v>
      </c>
      <c r="AW178" s="155" t="n">
        <f aca="false">AW177*AW172</f>
        <v>144</v>
      </c>
      <c r="AX178" s="155" t="n">
        <f aca="false">AX177*AX172</f>
        <v>144</v>
      </c>
      <c r="AY178" s="155" t="n">
        <f aca="false">AY177*AY172</f>
        <v>144</v>
      </c>
      <c r="AZ178" s="155" t="n">
        <f aca="false">AZ177*AZ172</f>
        <v>144</v>
      </c>
      <c r="BA178" s="155" t="n">
        <f aca="false">BA177*BA172</f>
        <v>144</v>
      </c>
      <c r="BB178" s="155" t="n">
        <f aca="false">BB177*BB172</f>
        <v>144</v>
      </c>
      <c r="BC178" s="155" t="n">
        <f aca="false">BC177*BC172</f>
        <v>21.6</v>
      </c>
      <c r="BD178" s="155" t="n">
        <f aca="false">BD177*BD172</f>
        <v>144</v>
      </c>
      <c r="BE178" s="155" t="n">
        <f aca="false">BE177*BE172</f>
        <v>144</v>
      </c>
      <c r="BF178" s="155" t="n">
        <f aca="false">BF177*BF172</f>
        <v>144</v>
      </c>
      <c r="BG178" s="155" t="n">
        <f aca="false">BG177*BG172</f>
        <v>144</v>
      </c>
      <c r="BH178" s="155" t="n">
        <f aca="false">BH177*BH172</f>
        <v>144</v>
      </c>
      <c r="BI178" s="155" t="n">
        <f aca="false">BI177*BI172</f>
        <v>144</v>
      </c>
      <c r="BJ178" s="155" t="n">
        <f aca="false">BJ177*BJ172</f>
        <v>144</v>
      </c>
      <c r="BK178" s="155" t="n">
        <f aca="false">BK177*BK172</f>
        <v>144</v>
      </c>
      <c r="BL178" s="155" t="n">
        <f aca="false">BL177*BL172</f>
        <v>144</v>
      </c>
      <c r="BM178" s="155" t="n">
        <f aca="false">BM177*BM172</f>
        <v>144</v>
      </c>
      <c r="BN178" s="155" t="n">
        <f aca="false">BN177*BN172</f>
        <v>144</v>
      </c>
      <c r="BO178" s="155" t="n">
        <f aca="false">BO177*BO172</f>
        <v>21.6</v>
      </c>
      <c r="BP178" s="155" t="n">
        <f aca="false">BP177*BP172</f>
        <v>144</v>
      </c>
      <c r="BQ178" s="155" t="n">
        <f aca="false">BQ177*BQ172</f>
        <v>144</v>
      </c>
      <c r="BR178" s="155" t="n">
        <f aca="false">BR177*BR172</f>
        <v>144</v>
      </c>
      <c r="BS178" s="155" t="n">
        <f aca="false">BS177*BS172</f>
        <v>144</v>
      </c>
      <c r="BT178" s="155" t="n">
        <f aca="false">BT177*BT172</f>
        <v>144</v>
      </c>
      <c r="BU178" s="155" t="n">
        <f aca="false">BU177*BU172</f>
        <v>144</v>
      </c>
      <c r="BV178" s="155" t="n">
        <f aca="false">BV177*BV172</f>
        <v>144</v>
      </c>
      <c r="BW178" s="155" t="n">
        <f aca="false">BW177*BW172</f>
        <v>144</v>
      </c>
      <c r="BX178" s="155" t="n">
        <f aca="false">BX177*BX172</f>
        <v>144</v>
      </c>
      <c r="BY178" s="155" t="n">
        <f aca="false">BY177*BY172</f>
        <v>144</v>
      </c>
      <c r="BZ178" s="155" t="n">
        <f aca="false">BZ177*BZ172</f>
        <v>144</v>
      </c>
      <c r="CA178" s="155" t="n">
        <f aca="false">CA177*CA172</f>
        <v>21.6</v>
      </c>
      <c r="CB178" s="155" t="n">
        <f aca="false">CB177*CB172</f>
        <v>144</v>
      </c>
      <c r="CC178" s="155" t="n">
        <f aca="false">CC177*CC172</f>
        <v>144</v>
      </c>
      <c r="CD178" s="155" t="n">
        <f aca="false">CD177*CD172</f>
        <v>144</v>
      </c>
      <c r="CE178" s="155" t="n">
        <f aca="false">CE177*CE172</f>
        <v>144</v>
      </c>
      <c r="CF178" s="155" t="n">
        <f aca="false">CF177*CF172</f>
        <v>144</v>
      </c>
      <c r="CG178" s="155" t="n">
        <f aca="false">CG177*CG172</f>
        <v>144</v>
      </c>
      <c r="CH178" s="155" t="n">
        <f aca="false">CH177*CH172</f>
        <v>144</v>
      </c>
    </row>
    <row r="179" customFormat="false" ht="15" hidden="false" customHeight="false" outlineLevel="0" collapsed="false">
      <c r="A179" s="25" t="s">
        <v>840</v>
      </c>
      <c r="C179" s="155" t="n">
        <f aca="false">C174+C23</f>
        <v>38.3601797063335</v>
      </c>
      <c r="D179" s="155" t="n">
        <f aca="false">D174+D23</f>
        <v>78.5877454203246</v>
      </c>
      <c r="E179" s="155" t="n">
        <f aca="false">E174+E23</f>
        <v>149.499906224817</v>
      </c>
      <c r="F179" s="155" t="n">
        <f aca="false">F174+F23</f>
        <v>182.051887322976</v>
      </c>
      <c r="G179" s="155" t="n">
        <f aca="false">G174+G23</f>
        <v>212.736482413478</v>
      </c>
      <c r="H179" s="155" t="n">
        <f aca="false">H174+H23</f>
        <v>264.818208841722</v>
      </c>
      <c r="I179" s="155" t="n">
        <f aca="false">I174+I23</f>
        <v>318.899935269966</v>
      </c>
      <c r="J179" s="155" t="n">
        <f aca="false">J174+J23</f>
        <v>408.98166169821</v>
      </c>
      <c r="K179" s="155" t="n">
        <f aca="false">K174+K23</f>
        <v>499.063388126454</v>
      </c>
      <c r="L179" s="155" t="n">
        <f aca="false">L174+L23</f>
        <v>589.145114554698</v>
      </c>
      <c r="M179" s="155" t="n">
        <f aca="false">M174+M23</f>
        <v>648.54224589244</v>
      </c>
      <c r="N179" s="155" t="n">
        <f aca="false">N174+N23</f>
        <v>739.062477357807</v>
      </c>
      <c r="O179" s="155" t="n">
        <f aca="false">O174+O23</f>
        <v>829.582708823174</v>
      </c>
      <c r="P179" s="155" t="n">
        <f aca="false">P174+P23</f>
        <v>911.155049001849</v>
      </c>
      <c r="Q179" s="155" t="n">
        <f aca="false">Q174+Q23</f>
        <v>992.727389180524</v>
      </c>
      <c r="R179" s="155" t="n">
        <f aca="false">R174+R23</f>
        <v>1074.2997293592</v>
      </c>
      <c r="S179" s="155" t="n">
        <f aca="false">S174+S23</f>
        <v>1155.87206953787</v>
      </c>
      <c r="T179" s="155" t="n">
        <f aca="false">T174+T23</f>
        <v>1237.44440971655</v>
      </c>
      <c r="U179" s="155" t="n">
        <f aca="false">U174+U23</f>
        <v>1319.01674989522</v>
      </c>
      <c r="V179" s="155" t="n">
        <f aca="false">V174+V23</f>
        <v>1400.5890900739</v>
      </c>
      <c r="W179" s="155" t="n">
        <f aca="false">W174+W23</f>
        <v>1482.16143025257</v>
      </c>
      <c r="X179" s="155" t="n">
        <f aca="false">X174+X23</f>
        <v>1532.61067030362</v>
      </c>
      <c r="Y179" s="155" t="n">
        <f aca="false">Y174+Y23</f>
        <v>1583.05991035467</v>
      </c>
      <c r="Z179" s="155" t="n">
        <f aca="false">Z174+Z23</f>
        <v>1621.05991035467</v>
      </c>
      <c r="AA179" s="155" t="n">
        <f aca="false">AA174+AA23</f>
        <v>1665.05991035467</v>
      </c>
      <c r="AB179" s="155" t="n">
        <f aca="false">AB174+AB23</f>
        <v>1709.05991035467</v>
      </c>
      <c r="AC179" s="155" t="n">
        <f aca="false">AC174+AC23</f>
        <v>1753.05991035467</v>
      </c>
      <c r="AD179" s="155" t="n">
        <f aca="false">AD174+AD23</f>
        <v>1797.05991035467</v>
      </c>
      <c r="AE179" s="155" t="n">
        <f aca="false">AE174+AE23</f>
        <v>1841.05991035467</v>
      </c>
      <c r="AF179" s="155" t="n">
        <f aca="false">AF174+AF23</f>
        <v>1885.05991035467</v>
      </c>
      <c r="AG179" s="155" t="n">
        <f aca="false">AG174+AG23</f>
        <v>1929.05991035467</v>
      </c>
      <c r="AH179" s="155" t="n">
        <f aca="false">AH174+AH23</f>
        <v>1973.05991035467</v>
      </c>
      <c r="AI179" s="155" t="n">
        <f aca="false">AI174+AI23</f>
        <v>2017.05991035467</v>
      </c>
      <c r="AJ179" s="155" t="n">
        <f aca="false">AJ174+AJ23</f>
        <v>2061.05991035467</v>
      </c>
      <c r="AK179" s="155" t="n">
        <f aca="false">AK174+AK23</f>
        <v>2105.05991035467</v>
      </c>
      <c r="AL179" s="155" t="n">
        <f aca="false">AL174+AL23</f>
        <v>2149.05991035467</v>
      </c>
      <c r="AM179" s="155" t="n">
        <f aca="false">AM174+AM23</f>
        <v>2193.05991035467</v>
      </c>
      <c r="AN179" s="155" t="n">
        <f aca="false">AN174+AN23</f>
        <v>2237.05991035467</v>
      </c>
      <c r="AO179" s="155" t="n">
        <f aca="false">AO174+AO23</f>
        <v>2281.05991035467</v>
      </c>
      <c r="AP179" s="155" t="n">
        <f aca="false">AP174+AP23</f>
        <v>2325.05991035467</v>
      </c>
      <c r="AQ179" s="155" t="n">
        <f aca="false">AQ174+AQ23</f>
        <v>2369.05991035467</v>
      </c>
      <c r="AR179" s="155" t="n">
        <f aca="false">AR174+AR23</f>
        <v>2413.05991035467</v>
      </c>
      <c r="AS179" s="155" t="n">
        <f aca="false">AS174+AS23</f>
        <v>2413.05991035467</v>
      </c>
      <c r="AT179" s="155" t="n">
        <f aca="false">AT174+AT23</f>
        <v>2413.05991035467</v>
      </c>
      <c r="AU179" s="155" t="n">
        <f aca="false">AU174+AU23</f>
        <v>2413.05991035467</v>
      </c>
      <c r="AV179" s="155" t="n">
        <f aca="false">AV174+AV23</f>
        <v>2413.05991035467</v>
      </c>
      <c r="AW179" s="155" t="n">
        <f aca="false">AW174+AW23</f>
        <v>2413.05991035467</v>
      </c>
      <c r="AX179" s="155" t="n">
        <f aca="false">AX174+AX23</f>
        <v>2413.05991035467</v>
      </c>
      <c r="AY179" s="155" t="n">
        <f aca="false">AY174+AY23</f>
        <v>2413.05991035467</v>
      </c>
      <c r="AZ179" s="155" t="n">
        <f aca="false">AZ174+AZ23</f>
        <v>2413.05991035467</v>
      </c>
      <c r="BA179" s="155" t="n">
        <f aca="false">BA174+BA23</f>
        <v>2413.05991035467</v>
      </c>
      <c r="BB179" s="155" t="n">
        <f aca="false">BB174+BB23</f>
        <v>2413.05991035467</v>
      </c>
      <c r="BC179" s="155" t="n">
        <f aca="false">BC174+BC23</f>
        <v>2413.05991035467</v>
      </c>
      <c r="BD179" s="155" t="n">
        <f aca="false">BD174+BD23</f>
        <v>2413.05991035467</v>
      </c>
      <c r="BE179" s="155" t="n">
        <f aca="false">BE174+BE23</f>
        <v>2413.05991035467</v>
      </c>
      <c r="BF179" s="155" t="n">
        <f aca="false">BF174+BF23</f>
        <v>2413.05991035467</v>
      </c>
      <c r="BG179" s="155" t="n">
        <f aca="false">BG174+BG23</f>
        <v>2413.05991035467</v>
      </c>
      <c r="BH179" s="155" t="n">
        <f aca="false">BH174+BH23</f>
        <v>2413.05991035467</v>
      </c>
      <c r="BI179" s="155" t="n">
        <f aca="false">BI174+BI23</f>
        <v>2413.05991035467</v>
      </c>
      <c r="BJ179" s="155" t="n">
        <f aca="false">BJ174+BJ23</f>
        <v>2413.05991035467</v>
      </c>
      <c r="BK179" s="155" t="n">
        <f aca="false">BK174+BK23</f>
        <v>2413.05991035467</v>
      </c>
      <c r="BL179" s="155" t="n">
        <f aca="false">BL174+BL23</f>
        <v>2413.05991035467</v>
      </c>
      <c r="BM179" s="155" t="n">
        <f aca="false">BM174+BM23</f>
        <v>2413.05991035467</v>
      </c>
      <c r="BN179" s="155" t="n">
        <f aca="false">BN174+BN23</f>
        <v>2413.05991035467</v>
      </c>
      <c r="BO179" s="155" t="n">
        <f aca="false">BO174+BO23</f>
        <v>2413.05991035467</v>
      </c>
      <c r="BP179" s="155" t="n">
        <f aca="false">BP174+BP23</f>
        <v>2413.05991035467</v>
      </c>
      <c r="BQ179" s="155" t="n">
        <f aca="false">BQ174+BQ23</f>
        <v>2413.05991035467</v>
      </c>
      <c r="BR179" s="155" t="n">
        <f aca="false">BR174+BR23</f>
        <v>2413.05991035467</v>
      </c>
      <c r="BS179" s="155" t="n">
        <f aca="false">BS174+BS23</f>
        <v>2413.05991035467</v>
      </c>
      <c r="BT179" s="155" t="n">
        <f aca="false">BT174+BT23</f>
        <v>2413.05991035467</v>
      </c>
      <c r="BU179" s="155" t="n">
        <f aca="false">BU174+BU23</f>
        <v>2413.05991035467</v>
      </c>
      <c r="BV179" s="155" t="n">
        <f aca="false">BV174+BV23</f>
        <v>2413.05991035467</v>
      </c>
      <c r="BW179" s="155" t="n">
        <f aca="false">BW174+BW23</f>
        <v>2413.05991035467</v>
      </c>
      <c r="BX179" s="155" t="n">
        <f aca="false">BX174+BX23</f>
        <v>2413.05991035467</v>
      </c>
      <c r="BY179" s="155" t="n">
        <f aca="false">BY174+BY23</f>
        <v>2413.05991035467</v>
      </c>
      <c r="BZ179" s="155" t="n">
        <f aca="false">BZ174+BZ23</f>
        <v>2413.05991035467</v>
      </c>
      <c r="CA179" s="155" t="n">
        <f aca="false">CA174+CA23</f>
        <v>2413.05991035467</v>
      </c>
      <c r="CB179" s="155" t="n">
        <f aca="false">CB174+CB23</f>
        <v>2413.05991035467</v>
      </c>
      <c r="CC179" s="155" t="n">
        <f aca="false">CC174+CC23</f>
        <v>2413.05991035467</v>
      </c>
      <c r="CD179" s="155" t="n">
        <f aca="false">CD174+CD23</f>
        <v>2413.05991035467</v>
      </c>
      <c r="CE179" s="155" t="n">
        <f aca="false">CE174+CE23</f>
        <v>2413.05991035467</v>
      </c>
      <c r="CF179" s="155" t="n">
        <f aca="false">CF174+CF23</f>
        <v>2413.05991035467</v>
      </c>
      <c r="CG179" s="155" t="n">
        <f aca="false">CG174+CG23</f>
        <v>2413.05991035467</v>
      </c>
      <c r="CH179" s="155" t="n">
        <f aca="false">CH174+CH23</f>
        <v>2413.05991035467</v>
      </c>
    </row>
    <row r="180" customFormat="false" ht="15" hidden="false" customHeight="false" outlineLevel="0" collapsed="false">
      <c r="A180" s="1" t="s">
        <v>841</v>
      </c>
      <c r="C180" s="26" t="n">
        <f aca="false">IFERROR((C179+C178)/C8,0)</f>
        <v>0.0462085205274308</v>
      </c>
      <c r="D180" s="26" t="n">
        <f aca="false">IFERROR((D179+D178)/D8,0)</f>
        <v>0.0629081565418921</v>
      </c>
      <c r="E180" s="26" t="n">
        <f aca="false">IFERROR((E179+E178)/E8,0)</f>
        <v>0.0872395344920924</v>
      </c>
      <c r="F180" s="26" t="n">
        <f aca="false">IFERROR((F179+F178)/F8,0)</f>
        <v>0.0858549530512402</v>
      </c>
      <c r="G180" s="26" t="n">
        <f aca="false">IFERROR((G179+G178)/G8,0)</f>
        <v>0.0754293341713466</v>
      </c>
      <c r="H180" s="26" t="n">
        <f aca="false">IFERROR((H179+H178)/H8,0)</f>
        <v>0.104450766958931</v>
      </c>
      <c r="I180" s="26" t="n">
        <f aca="false">IFERROR((I179+I178)/I8,0)</f>
        <v>0.125312477524294</v>
      </c>
      <c r="J180" s="26" t="n">
        <f aca="false">IFERROR((J179+J178)/J8,0)</f>
        <v>0.158674188089656</v>
      </c>
      <c r="K180" s="26" t="n">
        <f aca="false">IFERROR((K179+K178)/K8,0)</f>
        <v>0.192035898655019</v>
      </c>
      <c r="L180" s="26" t="n">
        <f aca="false">IFERROR((L179+L178)/L8,0)</f>
        <v>0.225397609220381</v>
      </c>
      <c r="M180" s="26" t="n">
        <f aca="false">IFERROR((M179+M178)/M8,0)</f>
        <v>0.248104946490431</v>
      </c>
      <c r="N180" s="26" t="n">
        <f aca="false">IFERROR((N179+N178)/N8,0)</f>
        <v>0.281618915749239</v>
      </c>
      <c r="O180" s="26" t="n">
        <f aca="false">IFERROR((O179+O178)/O8,0)</f>
        <v>0.315132885008047</v>
      </c>
      <c r="P180" s="26" t="n">
        <f aca="false">IFERROR((P179+P178)/P8,0)</f>
        <v>0.345539947570087</v>
      </c>
      <c r="Q180" s="26" t="n">
        <f aca="false">IFERROR((Q179+Q178)/Q8,0)</f>
        <v>0.375947010132127</v>
      </c>
      <c r="R180" s="26" t="n">
        <f aca="false">IFERROR((R179+R178)/R8,0)</f>
        <v>0.406354072694166</v>
      </c>
      <c r="S180" s="26" t="n">
        <f aca="false">IFERROR((S179+S178)/S8,0)</f>
        <v>0.40665696858954</v>
      </c>
      <c r="T180" s="26" t="n">
        <f aca="false">IFERROR((T179+T178)/T8,0)</f>
        <v>0.467168197818246</v>
      </c>
      <c r="U180" s="26" t="n">
        <f aca="false">IFERROR((U179+U178)/U8,0)</f>
        <v>0.497575260380286</v>
      </c>
      <c r="V180" s="26" t="n">
        <f aca="false">IFERROR((V179+V178)/V8,0)</f>
        <v>0.527982322942326</v>
      </c>
      <c r="W180" s="26" t="n">
        <f aca="false">IFERROR((W179+W178)/W8,0)</f>
        <v>0.558389385504366</v>
      </c>
      <c r="X180" s="26" t="n">
        <f aca="false">IFERROR((X179+X178)/X8,0)</f>
        <v>0.577989816077647</v>
      </c>
      <c r="Y180" s="26" t="n">
        <f aca="false">IFERROR((Y179+Y178)/Y8,0)</f>
        <v>0.597590246650929</v>
      </c>
      <c r="Z180" s="26" t="n">
        <f aca="false">IFERROR((Z179+Z178)/Z8,0)</f>
        <v>0.612868024428706</v>
      </c>
      <c r="AA180" s="26" t="n">
        <f aca="false">IFERROR((AA179+AA178)/AA8,0)</f>
        <v>0.628145802206484</v>
      </c>
      <c r="AB180" s="26" t="n">
        <f aca="false">IFERROR((AB179+AB178)/AB8,0)</f>
        <v>0.643423579984262</v>
      </c>
      <c r="AC180" s="26" t="n">
        <f aca="false">IFERROR((AC179+AC178)/AC8,0)</f>
        <v>0.65870135776204</v>
      </c>
      <c r="AD180" s="26" t="n">
        <f aca="false">IFERROR((AD179+AD178)/AD8,0)</f>
        <v>0.673979135539818</v>
      </c>
      <c r="AE180" s="26" t="n">
        <f aca="false">IFERROR((AE179+AE178)/AE8,0)</f>
        <v>0.646756913317595</v>
      </c>
      <c r="AF180" s="26" t="n">
        <f aca="false">IFERROR((AF179+AF178)/AF8,0)</f>
        <v>0.704534691095373</v>
      </c>
      <c r="AG180" s="26" t="n">
        <f aca="false">IFERROR((AG179+AG178)/AG8,0)</f>
        <v>0.719812468873151</v>
      </c>
      <c r="AH180" s="26" t="n">
        <f aca="false">IFERROR((AH179+AH178)/AH8,0)</f>
        <v>0.735090246650929</v>
      </c>
      <c r="AI180" s="26" t="n">
        <f aca="false">IFERROR((AI179+AI178)/AI8,0)</f>
        <v>0.750368024428706</v>
      </c>
      <c r="AJ180" s="26" t="n">
        <f aca="false">IFERROR((AJ179+AJ178)/AJ8,0)</f>
        <v>0.765645802206484</v>
      </c>
      <c r="AK180" s="26" t="n">
        <f aca="false">IFERROR((AK179+AK178)/AK8,0)</f>
        <v>0.780923579984262</v>
      </c>
      <c r="AL180" s="26" t="n">
        <f aca="false">IFERROR((AL179+AL178)/AL8,0)</f>
        <v>0.79620135776204</v>
      </c>
      <c r="AM180" s="26" t="n">
        <f aca="false">IFERROR((AM179+AM178)/AM8,0)</f>
        <v>0.811479135539817</v>
      </c>
      <c r="AN180" s="26" t="n">
        <f aca="false">IFERROR((AN179+AN178)/AN8,0)</f>
        <v>0.826756913317595</v>
      </c>
      <c r="AO180" s="26" t="n">
        <f aca="false">IFERROR((AO179+AO178)/AO8,0)</f>
        <v>0.842034691095373</v>
      </c>
      <c r="AP180" s="26" t="n">
        <f aca="false">IFERROR((AP179+AP178)/AP8,0)</f>
        <v>0.857312468873151</v>
      </c>
      <c r="AQ180" s="26" t="n">
        <f aca="false">IFERROR((AQ179+AQ178)/AQ8,0)</f>
        <v>0.830090246650929</v>
      </c>
      <c r="AR180" s="26" t="n">
        <f aca="false">IFERROR((AR179+AR178)/AR8,0)</f>
        <v>0.887868024428707</v>
      </c>
      <c r="AS180" s="26" t="n">
        <f aca="false">IFERROR((AS179+AS178)/AS8,0)</f>
        <v>0.887868024428707</v>
      </c>
      <c r="AT180" s="26" t="n">
        <f aca="false">IFERROR((AT179+AT178)/AT8,0)</f>
        <v>0.887868024428707</v>
      </c>
      <c r="AU180" s="26" t="n">
        <f aca="false">IFERROR((AU179+AU178)/AU8,0)</f>
        <v>0.887868024428707</v>
      </c>
      <c r="AV180" s="26" t="n">
        <f aca="false">IFERROR((AV179+AV178)/AV8,0)</f>
        <v>0.887868024428707</v>
      </c>
      <c r="AW180" s="26" t="n">
        <f aca="false">IFERROR((AW179+AW178)/AW8,0)</f>
        <v>0.887868024428707</v>
      </c>
      <c r="AX180" s="26" t="n">
        <f aca="false">IFERROR((AX179+AX178)/AX8,0)</f>
        <v>0.887868024428707</v>
      </c>
      <c r="AY180" s="26" t="n">
        <f aca="false">IFERROR((AY179+AY178)/AY8,0)</f>
        <v>0.887868024428707</v>
      </c>
      <c r="AZ180" s="26" t="n">
        <f aca="false">IFERROR((AZ179+AZ178)/AZ8,0)</f>
        <v>0.887868024428707</v>
      </c>
      <c r="BA180" s="26" t="n">
        <f aca="false">IFERROR((BA179+BA178)/BA8,0)</f>
        <v>0.887868024428707</v>
      </c>
      <c r="BB180" s="26" t="n">
        <f aca="false">IFERROR((BB179+BB178)/BB8,0)</f>
        <v>0.887868024428707</v>
      </c>
      <c r="BC180" s="26" t="n">
        <f aca="false">IFERROR((BC179+BC178)/BC8,0)</f>
        <v>0.845368024428707</v>
      </c>
      <c r="BD180" s="26" t="n">
        <f aca="false">IFERROR((BD179+BD178)/BD8,0)</f>
        <v>0.887868024428707</v>
      </c>
      <c r="BE180" s="26" t="n">
        <f aca="false">IFERROR((BE179+BE178)/BE8,0)</f>
        <v>0.887868024428707</v>
      </c>
      <c r="BF180" s="26" t="n">
        <f aca="false">IFERROR((BF179+BF178)/BF8,0)</f>
        <v>0.887868024428707</v>
      </c>
      <c r="BG180" s="26" t="n">
        <f aca="false">IFERROR((BG179+BG178)/BG8,0)</f>
        <v>0.887868024428707</v>
      </c>
      <c r="BH180" s="26" t="n">
        <f aca="false">IFERROR((BH179+BH178)/BH8,0)</f>
        <v>0.887868024428707</v>
      </c>
      <c r="BI180" s="26" t="n">
        <f aca="false">IFERROR((BI179+BI178)/BI8,0)</f>
        <v>0.887868024428707</v>
      </c>
      <c r="BJ180" s="26" t="n">
        <f aca="false">IFERROR((BJ179+BJ178)/BJ8,0)</f>
        <v>0.887868024428707</v>
      </c>
      <c r="BK180" s="26" t="n">
        <f aca="false">IFERROR((BK179+BK178)/BK8,0)</f>
        <v>0.887868024428707</v>
      </c>
      <c r="BL180" s="26" t="n">
        <f aca="false">IFERROR((BL179+BL178)/BL8,0)</f>
        <v>0.887868024428707</v>
      </c>
      <c r="BM180" s="26" t="n">
        <f aca="false">IFERROR((BM179+BM178)/BM8,0)</f>
        <v>0.887868024428707</v>
      </c>
      <c r="BN180" s="26" t="n">
        <f aca="false">IFERROR((BN179+BN178)/BN8,0)</f>
        <v>0.887868024428707</v>
      </c>
      <c r="BO180" s="26" t="n">
        <f aca="false">IFERROR((BO179+BO178)/BO8,0)</f>
        <v>0.845368024428707</v>
      </c>
      <c r="BP180" s="26" t="n">
        <f aca="false">IFERROR((BP179+BP178)/BP8,0)</f>
        <v>0.887868024428707</v>
      </c>
      <c r="BQ180" s="26" t="n">
        <f aca="false">IFERROR((BQ179+BQ178)/BQ8,0)</f>
        <v>0.887868024428707</v>
      </c>
      <c r="BR180" s="26" t="n">
        <f aca="false">IFERROR((BR179+BR178)/BR8,0)</f>
        <v>0.887868024428707</v>
      </c>
      <c r="BS180" s="26" t="n">
        <f aca="false">IFERROR((BS179+BS178)/BS8,0)</f>
        <v>0.887868024428707</v>
      </c>
      <c r="BT180" s="26" t="n">
        <f aca="false">IFERROR((BT179+BT178)/BT8,0)</f>
        <v>0.887868024428707</v>
      </c>
      <c r="BU180" s="26" t="n">
        <f aca="false">IFERROR((BU179+BU178)/BU8,0)</f>
        <v>0.887868024428707</v>
      </c>
      <c r="BV180" s="26" t="n">
        <f aca="false">IFERROR((BV179+BV178)/BV8,0)</f>
        <v>0.887868024428707</v>
      </c>
      <c r="BW180" s="26" t="n">
        <f aca="false">IFERROR((BW179+BW178)/BW8,0)</f>
        <v>0.887868024428707</v>
      </c>
      <c r="BX180" s="26" t="n">
        <f aca="false">IFERROR((BX179+BX178)/BX8,0)</f>
        <v>0.887868024428707</v>
      </c>
      <c r="BY180" s="26" t="n">
        <f aca="false">IFERROR((BY179+BY178)/BY8,0)</f>
        <v>0.887868024428707</v>
      </c>
      <c r="BZ180" s="26" t="n">
        <f aca="false">IFERROR((BZ179+BZ178)/BZ8,0)</f>
        <v>0.887868024428707</v>
      </c>
      <c r="CA180" s="26" t="n">
        <f aca="false">IFERROR((CA179+CA178)/CA8,0)</f>
        <v>0.845368024428707</v>
      </c>
      <c r="CB180" s="26" t="n">
        <f aca="false">IFERROR((CB179+CB178)/CB8,0)</f>
        <v>0.887868024428707</v>
      </c>
      <c r="CC180" s="26" t="n">
        <f aca="false">IFERROR((CC179+CC178)/CC8,0)</f>
        <v>0.887868024428707</v>
      </c>
      <c r="CD180" s="26" t="n">
        <f aca="false">IFERROR((CD179+CD178)/CD8,0)</f>
        <v>0.887868024428707</v>
      </c>
      <c r="CE180" s="26" t="n">
        <f aca="false">IFERROR((CE179+CE178)/CE8,0)</f>
        <v>0.887868024428707</v>
      </c>
      <c r="CF180" s="26" t="n">
        <f aca="false">IFERROR((CF179+CF178)/CF8,0)</f>
        <v>0.887868024428707</v>
      </c>
      <c r="CG180" s="26" t="n">
        <f aca="false">IFERROR((CG179+CG178)/CG8,0)</f>
        <v>0.887868024428707</v>
      </c>
      <c r="CH180" s="26" t="n">
        <f aca="false">IFERROR((CH179+CH178)/CH8,0)</f>
        <v>0.887868024428707</v>
      </c>
    </row>
    <row r="181" customFormat="false" ht="15" hidden="false" customHeight="false" outlineLevel="0" collapsed="false">
      <c r="A181" s="1" t="s">
        <v>842</v>
      </c>
      <c r="C181" s="27" t="n">
        <f aca="false">C178*Hipótesis!$D$23</f>
        <v>7.45819662162162</v>
      </c>
      <c r="D181" s="27" t="n">
        <f aca="false">D178*Hipótesis!$D$23</f>
        <v>14.9163932432432</v>
      </c>
      <c r="E181" s="27" t="n">
        <f aca="false">E178*Hipótesis!$D$23</f>
        <v>22.3745898648649</v>
      </c>
      <c r="F181" s="27" t="n">
        <f aca="false">F178*Hipótesis!$D$23</f>
        <v>29.8327864864865</v>
      </c>
      <c r="G181" s="27" t="n">
        <f aca="false">G178*Hipótesis!$D$23</f>
        <v>5.59364746621622</v>
      </c>
      <c r="H181" s="27" t="n">
        <f aca="false">H178*Hipótesis!$D$23</f>
        <v>44.7491797297297</v>
      </c>
      <c r="I181" s="27" t="n">
        <f aca="false">I178*Hipótesis!$D$23</f>
        <v>52.2073763513514</v>
      </c>
      <c r="J181" s="27" t="n">
        <f aca="false">J178*Hipótesis!$D$23</f>
        <v>59.665572972973</v>
      </c>
      <c r="K181" s="27" t="n">
        <f aca="false">K178*Hipótesis!$D$23</f>
        <v>67.1237695945946</v>
      </c>
      <c r="L181" s="27" t="n">
        <f aca="false">L178*Hipótesis!$D$23</f>
        <v>74.5819662162162</v>
      </c>
      <c r="M181" s="27" t="n">
        <f aca="false">M178*Hipótesis!$D$23</f>
        <v>82.0401628378378</v>
      </c>
      <c r="N181" s="27" t="n">
        <f aca="false">N178*Hipótesis!$D$23</f>
        <v>89.4983594594595</v>
      </c>
      <c r="O181" s="27" t="n">
        <f aca="false">O178*Hipótesis!$D$23</f>
        <v>96.9565560810811</v>
      </c>
      <c r="P181" s="27" t="n">
        <f aca="false">P178*Hipótesis!$D$23</f>
        <v>104.414752702703</v>
      </c>
      <c r="Q181" s="27" t="n">
        <f aca="false">Q178*Hipótesis!$D$23</f>
        <v>111.872949324324</v>
      </c>
      <c r="R181" s="27" t="n">
        <f aca="false">R178*Hipótesis!$D$23</f>
        <v>119.331145945946</v>
      </c>
      <c r="S181" s="27" t="n">
        <f aca="false">S178*Hipótesis!$D$23</f>
        <v>19.0184013851351</v>
      </c>
      <c r="T181" s="27" t="n">
        <f aca="false">T178*Hipótesis!$D$23</f>
        <v>134.247539189189</v>
      </c>
      <c r="U181" s="27" t="n">
        <f aca="false">U178*Hipótesis!$D$23</f>
        <v>141.705735810811</v>
      </c>
      <c r="V181" s="27" t="n">
        <f aca="false">V178*Hipótesis!$D$23</f>
        <v>149.163932432432</v>
      </c>
      <c r="W181" s="27" t="n">
        <f aca="false">W178*Hipótesis!$D$23</f>
        <v>156.622129054054</v>
      </c>
      <c r="X181" s="27" t="n">
        <f aca="false">X178*Hipótesis!$D$23</f>
        <v>164.080325675676</v>
      </c>
      <c r="Y181" s="27" t="n">
        <f aca="false">Y178*Hipótesis!$D$23</f>
        <v>171.538522297297</v>
      </c>
      <c r="Z181" s="27" t="n">
        <f aca="false">Z178*Hipótesis!$D$23</f>
        <v>178.996718918919</v>
      </c>
      <c r="AA181" s="27" t="n">
        <f aca="false">AA178*Hipótesis!$D$23</f>
        <v>178.996718918919</v>
      </c>
      <c r="AB181" s="27" t="n">
        <f aca="false">AB178*Hipótesis!$D$23</f>
        <v>178.996718918919</v>
      </c>
      <c r="AC181" s="27" t="n">
        <f aca="false">AC178*Hipótesis!$D$23</f>
        <v>178.996718918919</v>
      </c>
      <c r="AD181" s="27" t="n">
        <f aca="false">AD178*Hipótesis!$D$23</f>
        <v>178.996718918919</v>
      </c>
      <c r="AE181" s="27" t="n">
        <f aca="false">AE178*Hipótesis!$D$23</f>
        <v>26.8495078378378</v>
      </c>
      <c r="AF181" s="27" t="n">
        <f aca="false">AF178*Hipótesis!$D$23</f>
        <v>178.996718918919</v>
      </c>
      <c r="AG181" s="27" t="n">
        <f aca="false">AG178*Hipótesis!$D$23</f>
        <v>178.996718918919</v>
      </c>
      <c r="AH181" s="27" t="n">
        <f aca="false">AH178*Hipótesis!$D$23</f>
        <v>178.996718918919</v>
      </c>
      <c r="AI181" s="27" t="n">
        <f aca="false">AI178*Hipótesis!$D$23</f>
        <v>178.996718918919</v>
      </c>
      <c r="AJ181" s="27" t="n">
        <f aca="false">AJ178*Hipótesis!$D$23</f>
        <v>178.996718918919</v>
      </c>
      <c r="AK181" s="27" t="n">
        <f aca="false">AK178*Hipótesis!$D$23</f>
        <v>178.996718918919</v>
      </c>
      <c r="AL181" s="27" t="n">
        <f aca="false">AL178*Hipótesis!$D$23</f>
        <v>178.996718918919</v>
      </c>
      <c r="AM181" s="27" t="n">
        <f aca="false">AM178*Hipótesis!$D$23</f>
        <v>178.996718918919</v>
      </c>
      <c r="AN181" s="27" t="n">
        <f aca="false">AN178*Hipótesis!$D$23</f>
        <v>178.996718918919</v>
      </c>
      <c r="AO181" s="27" t="n">
        <f aca="false">AO178*Hipótesis!$D$23</f>
        <v>178.996718918919</v>
      </c>
      <c r="AP181" s="27" t="n">
        <f aca="false">AP178*Hipótesis!$D$23</f>
        <v>178.996718918919</v>
      </c>
      <c r="AQ181" s="27" t="n">
        <f aca="false">AQ178*Hipótesis!$D$23</f>
        <v>26.8495078378378</v>
      </c>
      <c r="AR181" s="27" t="n">
        <f aca="false">AR178*Hipótesis!$D$23</f>
        <v>178.996718918919</v>
      </c>
      <c r="AS181" s="27" t="n">
        <f aca="false">AS178*Hipótesis!$D$23</f>
        <v>178.996718918919</v>
      </c>
      <c r="AT181" s="27" t="n">
        <f aca="false">AT178*Hipótesis!$D$23</f>
        <v>178.996718918919</v>
      </c>
      <c r="AU181" s="27" t="n">
        <f aca="false">AU178*Hipótesis!$D$23</f>
        <v>178.996718918919</v>
      </c>
      <c r="AV181" s="27" t="n">
        <f aca="false">AV178*Hipótesis!$D$23</f>
        <v>178.996718918919</v>
      </c>
      <c r="AW181" s="27" t="n">
        <f aca="false">AW178*Hipótesis!$D$23</f>
        <v>178.996718918919</v>
      </c>
      <c r="AX181" s="27" t="n">
        <f aca="false">AX178*Hipótesis!$D$23</f>
        <v>178.996718918919</v>
      </c>
      <c r="AY181" s="27" t="n">
        <f aca="false">AY178*Hipótesis!$D$23</f>
        <v>178.996718918919</v>
      </c>
      <c r="AZ181" s="27" t="n">
        <f aca="false">AZ178*Hipótesis!$D$23</f>
        <v>178.996718918919</v>
      </c>
      <c r="BA181" s="27" t="n">
        <f aca="false">BA178*Hipótesis!$D$23</f>
        <v>178.996718918919</v>
      </c>
      <c r="BB181" s="27" t="n">
        <f aca="false">BB178*Hipótesis!$D$23</f>
        <v>178.996718918919</v>
      </c>
      <c r="BC181" s="27" t="n">
        <f aca="false">BC178*Hipótesis!$D$23</f>
        <v>26.8495078378378</v>
      </c>
      <c r="BD181" s="27" t="n">
        <f aca="false">BD178*Hipótesis!$D$23</f>
        <v>178.996718918919</v>
      </c>
      <c r="BE181" s="27" t="n">
        <f aca="false">BE178*Hipótesis!$D$23</f>
        <v>178.996718918919</v>
      </c>
      <c r="BF181" s="27" t="n">
        <f aca="false">BF178*Hipótesis!$D$23</f>
        <v>178.996718918919</v>
      </c>
      <c r="BG181" s="27" t="n">
        <f aca="false">BG178*Hipótesis!$D$23</f>
        <v>178.996718918919</v>
      </c>
      <c r="BH181" s="27" t="n">
        <f aca="false">BH178*Hipótesis!$D$23</f>
        <v>178.996718918919</v>
      </c>
      <c r="BI181" s="27" t="n">
        <f aca="false">BI178*Hipótesis!$D$23</f>
        <v>178.996718918919</v>
      </c>
      <c r="BJ181" s="27" t="n">
        <f aca="false">BJ178*Hipótesis!$D$23</f>
        <v>178.996718918919</v>
      </c>
      <c r="BK181" s="27" t="n">
        <f aca="false">BK178*Hipótesis!$D$23</f>
        <v>178.996718918919</v>
      </c>
      <c r="BL181" s="27" t="n">
        <f aca="false">BL178*Hipótesis!$D$23</f>
        <v>178.996718918919</v>
      </c>
      <c r="BM181" s="27" t="n">
        <f aca="false">BM178*Hipótesis!$D$23</f>
        <v>178.996718918919</v>
      </c>
      <c r="BN181" s="27" t="n">
        <f aca="false">BN178*Hipótesis!$D$23</f>
        <v>178.996718918919</v>
      </c>
      <c r="BO181" s="27" t="n">
        <f aca="false">BO178*Hipótesis!$D$23</f>
        <v>26.8495078378378</v>
      </c>
      <c r="BP181" s="27" t="n">
        <f aca="false">BP178*Hipótesis!$D$23</f>
        <v>178.996718918919</v>
      </c>
      <c r="BQ181" s="27" t="n">
        <f aca="false">BQ178*Hipótesis!$D$23</f>
        <v>178.996718918919</v>
      </c>
      <c r="BR181" s="27" t="n">
        <f aca="false">BR178*Hipótesis!$D$23</f>
        <v>178.996718918919</v>
      </c>
      <c r="BS181" s="27" t="n">
        <f aca="false">BS178*Hipótesis!$D$23</f>
        <v>178.996718918919</v>
      </c>
      <c r="BT181" s="27" t="n">
        <f aca="false">BT178*Hipótesis!$D$23</f>
        <v>178.996718918919</v>
      </c>
      <c r="BU181" s="27" t="n">
        <f aca="false">BU178*Hipótesis!$D$23</f>
        <v>178.996718918919</v>
      </c>
      <c r="BV181" s="27" t="n">
        <f aca="false">BV178*Hipótesis!$D$23</f>
        <v>178.996718918919</v>
      </c>
      <c r="BW181" s="27" t="n">
        <f aca="false">BW178*Hipótesis!$D$23</f>
        <v>178.996718918919</v>
      </c>
      <c r="BX181" s="27" t="n">
        <f aca="false">BX178*Hipótesis!$D$23</f>
        <v>178.996718918919</v>
      </c>
      <c r="BY181" s="27" t="n">
        <f aca="false">BY178*Hipótesis!$D$23</f>
        <v>178.996718918919</v>
      </c>
      <c r="BZ181" s="27" t="n">
        <f aca="false">BZ178*Hipótesis!$D$23</f>
        <v>178.996718918919</v>
      </c>
      <c r="CA181" s="27" t="n">
        <f aca="false">CA178*Hipótesis!$D$23</f>
        <v>26.8495078378378</v>
      </c>
      <c r="CB181" s="27" t="n">
        <f aca="false">CB178*Hipótesis!$D$23</f>
        <v>178.996718918919</v>
      </c>
      <c r="CC181" s="27" t="n">
        <f aca="false">CC178*Hipótesis!$D$23</f>
        <v>178.996718918919</v>
      </c>
      <c r="CD181" s="27" t="n">
        <f aca="false">CD178*Hipótesis!$D$23</f>
        <v>178.996718918919</v>
      </c>
      <c r="CE181" s="27" t="n">
        <f aca="false">CE178*Hipótesis!$D$23</f>
        <v>178.996718918919</v>
      </c>
      <c r="CF181" s="27" t="n">
        <f aca="false">CF178*Hipótesis!$D$23</f>
        <v>178.996718918919</v>
      </c>
      <c r="CG181" s="27" t="n">
        <f aca="false">CG178*Hipótesis!$D$23</f>
        <v>178.996718918919</v>
      </c>
      <c r="CH181" s="27" t="n">
        <f aca="false">CH178*Hipótesis!$D$23</f>
        <v>178.996718918919</v>
      </c>
    </row>
    <row r="182" customFormat="false" ht="15" hidden="false" customHeight="false" outlineLevel="0" collapsed="false">
      <c r="A182" s="1" t="s">
        <v>843</v>
      </c>
      <c r="C182" s="27" t="n">
        <f aca="false">C20*C21+C23*Hipótesis!$D$23</f>
        <v>12.3975</v>
      </c>
      <c r="D182" s="27" t="n">
        <f aca="false">D20*D21+D23*Hipótesis!$D$23</f>
        <v>27.405</v>
      </c>
      <c r="E182" s="27" t="n">
        <f aca="false">E20*E21+E23*Hipótesis!$D$23</f>
        <v>75.69</v>
      </c>
      <c r="F182" s="27" t="n">
        <f aca="false">F20*F21+F23*Hipótesis!$D$23</f>
        <v>111.5775</v>
      </c>
      <c r="G182" s="27" t="n">
        <f aca="false">G20*G21+G23*Hipótesis!$D$23</f>
        <v>144.855</v>
      </c>
      <c r="H182" s="27" t="n">
        <f aca="false">H20*H21+H23*Hipótesis!$D$23</f>
        <v>208.03875</v>
      </c>
      <c r="I182" s="27" t="n">
        <f aca="false">I20*I21+I23*Hipótesis!$D$23</f>
        <v>273.708565540541</v>
      </c>
      <c r="J182" s="27" t="n">
        <f aca="false">J20*J21+J23*Hipótesis!$D$23</f>
        <v>384.127560810811</v>
      </c>
      <c r="K182" s="27" t="n">
        <f aca="false">K20*K21+K23*Hipótesis!$D$23</f>
        <v>494.546556081081</v>
      </c>
      <c r="L182" s="27" t="n">
        <f aca="false">L20*L21+L23*Hipótesis!$D$23</f>
        <v>604.965551351351</v>
      </c>
      <c r="M182" s="27" t="n">
        <f aca="false">M20*M21+M23*Hipótesis!$D$23</f>
        <v>682.107046621622</v>
      </c>
      <c r="N182" s="27" t="n">
        <f aca="false">N20*N21+N23*Hipótesis!$D$23</f>
        <v>802.748541891892</v>
      </c>
      <c r="O182" s="27" t="n">
        <f aca="false">O20*O21+O23*Hipótesis!$D$23</f>
        <v>923.390037162162</v>
      </c>
      <c r="P182" s="27" t="n">
        <f aca="false">P20*P21+P23*Hipótesis!$D$23</f>
        <v>1031.52528243243</v>
      </c>
      <c r="Q182" s="27" t="n">
        <f aca="false">Q20*Q21+Q23*Hipótesis!$D$23</f>
        <v>1139.6605277027</v>
      </c>
      <c r="R182" s="27" t="n">
        <f aca="false">R20*R21+R23*Hipótesis!$D$23</f>
        <v>1247.79577297297</v>
      </c>
      <c r="S182" s="27" t="n">
        <f aca="false">S20*S21+S23*Hipótesis!$D$23</f>
        <v>1355.93101824324</v>
      </c>
      <c r="T182" s="27" t="n">
        <f aca="false">T20*T21+T23*Hipótesis!$D$23</f>
        <v>1464.06626351351</v>
      </c>
      <c r="U182" s="27" t="n">
        <f aca="false">U20*U21+U23*Hipótesis!$D$23</f>
        <v>1572.20150878378</v>
      </c>
      <c r="V182" s="27" t="n">
        <f aca="false">V20*V21+V23*Hipótesis!$D$23</f>
        <v>1680.33675405405</v>
      </c>
      <c r="W182" s="27" t="n">
        <f aca="false">W20*W21+W23*Hipótesis!$D$23</f>
        <v>1788.47199932432</v>
      </c>
      <c r="X182" s="27" t="n">
        <f aca="false">X20*X21+X23*Hipótesis!$D$23</f>
        <v>1853.10724459459</v>
      </c>
      <c r="Y182" s="27" t="n">
        <f aca="false">Y20*Y21+Y23*Hipótesis!$D$23</f>
        <v>1917.74248986486</v>
      </c>
      <c r="Z182" s="27" t="n">
        <f aca="false">Z20*Z21+Z23*Hipótesis!$D$23</f>
        <v>1964.97773513514</v>
      </c>
      <c r="AA182" s="27" t="n">
        <f aca="false">AA20*AA21+AA23*Hipótesis!$D$23</f>
        <v>2019.67117702703</v>
      </c>
      <c r="AB182" s="27" t="n">
        <f aca="false">AB20*AB21+AB23*Hipótesis!$D$23</f>
        <v>2074.36461891892</v>
      </c>
      <c r="AC182" s="27" t="n">
        <f aca="false">AC20*AC21+AC23*Hipótesis!$D$23</f>
        <v>2129.05806081081</v>
      </c>
      <c r="AD182" s="27" t="n">
        <f aca="false">AD20*AD21+AD23*Hipótesis!$D$23</f>
        <v>2183.7515027027</v>
      </c>
      <c r="AE182" s="27" t="n">
        <f aca="false">AE20*AE21+AE23*Hipótesis!$D$23</f>
        <v>2238.44494459459</v>
      </c>
      <c r="AF182" s="27" t="n">
        <f aca="false">AF20*AF21+AF23*Hipótesis!$D$23</f>
        <v>2293.13838648649</v>
      </c>
      <c r="AG182" s="27" t="n">
        <f aca="false">AG20*AG21+AG23*Hipótesis!$D$23</f>
        <v>2347.83182837838</v>
      </c>
      <c r="AH182" s="27" t="n">
        <f aca="false">AH20*AH21+AH23*Hipótesis!$D$23</f>
        <v>2402.52527027027</v>
      </c>
      <c r="AI182" s="27" t="n">
        <f aca="false">AI20*AI21+AI23*Hipótesis!$D$23</f>
        <v>2457.21871216216</v>
      </c>
      <c r="AJ182" s="27" t="n">
        <f aca="false">AJ20*AJ21+AJ23*Hipótesis!$D$23</f>
        <v>2511.91215405405</v>
      </c>
      <c r="AK182" s="27" t="n">
        <f aca="false">AK20*AK21+AK23*Hipótesis!$D$23</f>
        <v>2566.60559594595</v>
      </c>
      <c r="AL182" s="27" t="n">
        <f aca="false">AL20*AL21+AL23*Hipótesis!$D$23</f>
        <v>2621.29903783784</v>
      </c>
      <c r="AM182" s="27" t="n">
        <f aca="false">AM20*AM21+AM23*Hipótesis!$D$23</f>
        <v>2675.99247972973</v>
      </c>
      <c r="AN182" s="27" t="n">
        <f aca="false">AN20*AN21+AN23*Hipótesis!$D$23</f>
        <v>2730.68592162162</v>
      </c>
      <c r="AO182" s="27" t="n">
        <f aca="false">AO20*AO21+AO23*Hipótesis!$D$23</f>
        <v>2785.37936351351</v>
      </c>
      <c r="AP182" s="27" t="n">
        <f aca="false">AP20*AP21+AP23*Hipótesis!$D$23</f>
        <v>2840.07280540541</v>
      </c>
      <c r="AQ182" s="27" t="n">
        <f aca="false">AQ20*AQ21+AQ23*Hipótesis!$D$23</f>
        <v>2894.7662472973</v>
      </c>
      <c r="AR182" s="27" t="n">
        <f aca="false">AR20*AR21+AR23*Hipótesis!$D$23</f>
        <v>2949.45968918919</v>
      </c>
      <c r="AS182" s="27" t="n">
        <f aca="false">AS20*AS21+AS23*Hipótesis!$D$23</f>
        <v>2949.45968918919</v>
      </c>
      <c r="AT182" s="27" t="n">
        <f aca="false">AT20*AT21+AT23*Hipótesis!$D$23</f>
        <v>2949.45968918919</v>
      </c>
      <c r="AU182" s="27" t="n">
        <f aca="false">AU20*AU21+AU23*Hipótesis!$D$23</f>
        <v>2949.45968918919</v>
      </c>
      <c r="AV182" s="27" t="n">
        <f aca="false">AV20*AV21+AV23*Hipótesis!$D$23</f>
        <v>2949.45968918919</v>
      </c>
      <c r="AW182" s="27" t="n">
        <f aca="false">AW20*AW21+AW23*Hipótesis!$D$23</f>
        <v>2949.45968918919</v>
      </c>
      <c r="AX182" s="27" t="n">
        <f aca="false">AX20*AX21+AX23*Hipótesis!$D$23</f>
        <v>2949.45968918919</v>
      </c>
      <c r="AY182" s="27" t="n">
        <f aca="false">AY20*AY21+AY23*Hipótesis!$D$23</f>
        <v>2949.45968918919</v>
      </c>
      <c r="AZ182" s="27" t="n">
        <f aca="false">AZ20*AZ21+AZ23*Hipótesis!$D$23</f>
        <v>2949.45968918919</v>
      </c>
      <c r="BA182" s="27" t="n">
        <f aca="false">BA20*BA21+BA23*Hipótesis!$D$23</f>
        <v>2949.45968918919</v>
      </c>
      <c r="BB182" s="27" t="n">
        <f aca="false">BB20*BB21+BB23*Hipótesis!$D$23</f>
        <v>2949.45968918919</v>
      </c>
      <c r="BC182" s="27" t="n">
        <f aca="false">BC20*BC21+BC23*Hipótesis!$D$23</f>
        <v>2949.45968918919</v>
      </c>
      <c r="BD182" s="27" t="n">
        <f aca="false">BD20*BD21+BD23*Hipótesis!$D$23</f>
        <v>2949.45968918919</v>
      </c>
      <c r="BE182" s="27" t="n">
        <f aca="false">BE20*BE21+BE23*Hipótesis!$D$23</f>
        <v>2949.45968918919</v>
      </c>
      <c r="BF182" s="27" t="n">
        <f aca="false">BF20*BF21+BF23*Hipótesis!$D$23</f>
        <v>2949.45968918919</v>
      </c>
      <c r="BG182" s="27" t="n">
        <f aca="false">BG20*BG21+BG23*Hipótesis!$D$23</f>
        <v>2949.45968918919</v>
      </c>
      <c r="BH182" s="27" t="n">
        <f aca="false">BH20*BH21+BH23*Hipótesis!$D$23</f>
        <v>2949.45968918919</v>
      </c>
      <c r="BI182" s="27" t="n">
        <f aca="false">BI20*BI21+BI23*Hipótesis!$D$23</f>
        <v>2949.45968918919</v>
      </c>
      <c r="BJ182" s="27" t="n">
        <f aca="false">BJ20*BJ21+BJ23*Hipótesis!$D$23</f>
        <v>2949.45968918919</v>
      </c>
      <c r="BK182" s="27" t="n">
        <f aca="false">BK20*BK21+BK23*Hipótesis!$D$23</f>
        <v>2949.45968918919</v>
      </c>
      <c r="BL182" s="27" t="n">
        <f aca="false">BL20*BL21+BL23*Hipótesis!$D$23</f>
        <v>2949.45968918919</v>
      </c>
      <c r="BM182" s="27" t="n">
        <f aca="false">BM20*BM21+BM23*Hipótesis!$D$23</f>
        <v>2949.45968918919</v>
      </c>
      <c r="BN182" s="27" t="n">
        <f aca="false">BN20*BN21+BN23*Hipótesis!$D$23</f>
        <v>2949.45968918919</v>
      </c>
      <c r="BO182" s="27" t="n">
        <f aca="false">BO20*BO21+BO23*Hipótesis!$D$23</f>
        <v>2949.45968918919</v>
      </c>
      <c r="BP182" s="27" t="n">
        <f aca="false">BP20*BP21+BP23*Hipótesis!$D$23</f>
        <v>2949.45968918919</v>
      </c>
      <c r="BQ182" s="27" t="n">
        <f aca="false">BQ20*BQ21+BQ23*Hipótesis!$D$23</f>
        <v>2949.45968918919</v>
      </c>
      <c r="BR182" s="27" t="n">
        <f aca="false">BR20*BR21+BR23*Hipótesis!$D$23</f>
        <v>2949.45968918919</v>
      </c>
      <c r="BS182" s="27" t="n">
        <f aca="false">BS20*BS21+BS23*Hipótesis!$D$23</f>
        <v>2949.45968918919</v>
      </c>
      <c r="BT182" s="27" t="n">
        <f aca="false">BT20*BT21+BT23*Hipótesis!$D$23</f>
        <v>2949.45968918919</v>
      </c>
      <c r="BU182" s="27" t="n">
        <f aca="false">BU20*BU21+BU23*Hipótesis!$D$23</f>
        <v>2949.45968918919</v>
      </c>
      <c r="BV182" s="27" t="n">
        <f aca="false">BV20*BV21+BV23*Hipótesis!$D$23</f>
        <v>2949.45968918919</v>
      </c>
      <c r="BW182" s="27" t="n">
        <f aca="false">BW20*BW21+BW23*Hipótesis!$D$23</f>
        <v>2949.45968918919</v>
      </c>
      <c r="BX182" s="27" t="n">
        <f aca="false">BX20*BX21+BX23*Hipótesis!$D$23</f>
        <v>2949.45968918919</v>
      </c>
      <c r="BY182" s="27" t="n">
        <f aca="false">BY20*BY21+BY23*Hipótesis!$D$23</f>
        <v>2949.45968918919</v>
      </c>
      <c r="BZ182" s="27" t="n">
        <f aca="false">BZ20*BZ21+BZ23*Hipótesis!$D$23</f>
        <v>2949.45968918919</v>
      </c>
      <c r="CA182" s="27" t="n">
        <f aca="false">CA20*CA21+CA23*Hipótesis!$D$23</f>
        <v>2949.45968918919</v>
      </c>
      <c r="CB182" s="27" t="n">
        <f aca="false">CB20*CB21+CB23*Hipótesis!$D$23</f>
        <v>2949.45968918919</v>
      </c>
      <c r="CC182" s="27" t="n">
        <f aca="false">CC20*CC21+CC23*Hipótesis!$D$23</f>
        <v>2949.45968918919</v>
      </c>
      <c r="CD182" s="27" t="n">
        <f aca="false">CD20*CD21+CD23*Hipótesis!$D$23</f>
        <v>2949.45968918919</v>
      </c>
      <c r="CE182" s="27" t="n">
        <f aca="false">CE20*CE21+CE23*Hipótesis!$D$23</f>
        <v>2949.45968918919</v>
      </c>
      <c r="CF182" s="27" t="n">
        <f aca="false">CF20*CF21+CF23*Hipótesis!$D$23</f>
        <v>2949.45968918919</v>
      </c>
      <c r="CG182" s="27" t="n">
        <f aca="false">CG20*CG21+CG23*Hipótesis!$D$23</f>
        <v>2949.45968918919</v>
      </c>
      <c r="CH182" s="27" t="n">
        <f aca="false">CH20*CH21+CH23*Hipótesis!$D$23</f>
        <v>2949.45968918919</v>
      </c>
    </row>
    <row r="183" customFormat="false" ht="15" hidden="false" customHeight="false" outlineLevel="0" collapsed="false">
      <c r="A183" s="1" t="s">
        <v>844</v>
      </c>
      <c r="C183" s="26" t="n">
        <f aca="false">IFERROR(C181/(C181+C182),0)</f>
        <v>0.3756199927783</v>
      </c>
      <c r="D183" s="26" t="n">
        <f aca="false">IFERROR(D181/(D181+D182),0)</f>
        <v>0.352455155658768</v>
      </c>
      <c r="E183" s="26" t="n">
        <f aca="false">IFERROR(E181/(E181+E182),0)</f>
        <v>0.228161764564534</v>
      </c>
      <c r="F183" s="26" t="n">
        <f aca="false">IFERROR(F181/(F181+F182),0)</f>
        <v>0.210966169631071</v>
      </c>
      <c r="G183" s="26" t="n">
        <f aca="false">IFERROR(G181/(G181+G182),0)</f>
        <v>0.0371797790171048</v>
      </c>
      <c r="H183" s="26" t="n">
        <f aca="false">IFERROR(H181/(H181+H182),0)</f>
        <v>0.177022612502004</v>
      </c>
      <c r="I183" s="26" t="n">
        <f aca="false">IFERROR(I181/(I181+I182),0)</f>
        <v>0.160186629866264</v>
      </c>
      <c r="J183" s="26" t="n">
        <f aca="false">IFERROR(J181/(J181+J182),0)</f>
        <v>0.134444560834603</v>
      </c>
      <c r="K183" s="26" t="n">
        <f aca="false">IFERROR(K181/(K181+K182),0)</f>
        <v>0.119507416586138</v>
      </c>
      <c r="L183" s="26" t="n">
        <f aca="false">IFERROR(L181/(L181+L182),0)</f>
        <v>0.10975239300878</v>
      </c>
      <c r="M183" s="26" t="n">
        <f aca="false">IFERROR(M181/(M181+M182),0)</f>
        <v>0.107361725361624</v>
      </c>
      <c r="N183" s="26" t="n">
        <f aca="false">IFERROR(N181/(N181+N182),0)</f>
        <v>0.100306719276817</v>
      </c>
      <c r="O183" s="26" t="n">
        <f aca="false">IFERROR(O181/(O181+O182),0)</f>
        <v>0.0950231585258671</v>
      </c>
      <c r="P183" s="26" t="n">
        <f aca="false">IFERROR(P181/(P181+P182),0)</f>
        <v>0.091919247031628</v>
      </c>
      <c r="Q183" s="26" t="n">
        <f aca="false">IFERROR(Q181/(Q181+Q182),0)</f>
        <v>0.0893886990462888</v>
      </c>
      <c r="R183" s="26" t="n">
        <f aca="false">IFERROR(R181/(R181+R182),0)</f>
        <v>0.0872860773162958</v>
      </c>
      <c r="S183" s="26" t="n">
        <f aca="false">IFERROR(S181/(S181+S182),0)</f>
        <v>0.0138320734665828</v>
      </c>
      <c r="T183" s="26" t="n">
        <f aca="false">IFERROR(T181/(T181+T182),0)</f>
        <v>0.0839932302168576</v>
      </c>
      <c r="U183" s="26" t="n">
        <f aca="false">IFERROR(U181/(U181+U182),0)</f>
        <v>0.08267993280134</v>
      </c>
      <c r="V183" s="26" t="n">
        <f aca="false">IFERROR(V181/(V181+V182),0)</f>
        <v>0.0815325916706259</v>
      </c>
      <c r="W183" s="26" t="n">
        <f aca="false">IFERROR(W181/(W181+W182),0)</f>
        <v>0.0805216193751146</v>
      </c>
      <c r="X183" s="26" t="n">
        <f aca="false">IFERROR(X181/(X181+X182),0)</f>
        <v>0.0813411346043995</v>
      </c>
      <c r="Y183" s="26" t="n">
        <f aca="false">IFERROR(Y181/(Y181+Y182),0)</f>
        <v>0.0821040928906806</v>
      </c>
      <c r="Z183" s="26" t="n">
        <f aca="false">IFERROR(Z181/(Z181+Z182),0)</f>
        <v>0.0834882703851499</v>
      </c>
      <c r="AA183" s="26" t="n">
        <f aca="false">IFERROR(AA181/(AA181+AA182),0)</f>
        <v>0.0814114397399286</v>
      </c>
      <c r="AB183" s="26" t="n">
        <f aca="false">IFERROR(AB181/(AB181+AB182),0)</f>
        <v>0.0794354264951893</v>
      </c>
      <c r="AC183" s="26" t="n">
        <f aca="false">IFERROR(AC181/(AC181+AC182),0)</f>
        <v>0.0775530635108579</v>
      </c>
      <c r="AD183" s="26" t="n">
        <f aca="false">IFERROR(AD181/(AD181+AD182),0)</f>
        <v>0.0757578472733199</v>
      </c>
      <c r="AE183" s="26" t="n">
        <f aca="false">IFERROR(AE181/(AE181+AE182),0)</f>
        <v>0.0118525465018498</v>
      </c>
      <c r="AF183" s="26" t="n">
        <f aca="false">IFERROR(AF181/(AF181+AF182),0)</f>
        <v>0.0724057186549136</v>
      </c>
      <c r="AG183" s="26" t="n">
        <f aca="false">IFERROR(AG181/(AG181+AG182),0)</f>
        <v>0.0708384900552015</v>
      </c>
      <c r="AH183" s="26" t="n">
        <f aca="false">IFERROR(AH181/(AH181+AH182),0)</f>
        <v>0.0693376696648393</v>
      </c>
      <c r="AI183" s="26" t="n">
        <f aca="false">IFERROR(AI181/(AI181+AI182),0)</f>
        <v>0.0678991241795116</v>
      </c>
      <c r="AJ183" s="26" t="n">
        <f aca="false">IFERROR(AJ181/(AJ181+AJ182),0)</f>
        <v>0.0665190563369616</v>
      </c>
      <c r="AK183" s="26" t="n">
        <f aca="false">IFERROR(AK181/(AK181+AK182),0)</f>
        <v>0.0651939714465636</v>
      </c>
      <c r="AL183" s="26" t="n">
        <f aca="false">IFERROR(AL181/(AL181+AL182),0)</f>
        <v>0.0639206478412227</v>
      </c>
      <c r="AM183" s="26" t="n">
        <f aca="false">IFERROR(AM181/(AM181+AM182),0)</f>
        <v>0.062696110725618</v>
      </c>
      <c r="AN183" s="26" t="n">
        <f aca="false">IFERROR(AN181/(AN181+AN182),0)</f>
        <v>0.0615176089739004</v>
      </c>
      <c r="AO183" s="26" t="n">
        <f aca="false">IFERROR(AO181/(AO181+AO182),0)</f>
        <v>0.0603825944959191</v>
      </c>
      <c r="AP183" s="26" t="n">
        <f aca="false">IFERROR(AP181/(AP181+AP182),0)</f>
        <v>0.059288703846255</v>
      </c>
      <c r="AQ183" s="26" t="n">
        <f aca="false">IFERROR(AQ181/(AQ181+AQ182),0)</f>
        <v>0.00918995175551275</v>
      </c>
      <c r="AR183" s="26" t="n">
        <f aca="false">IFERROR(AR181/(AR181+AR182),0)</f>
        <v>0.0572156666319557</v>
      </c>
      <c r="AS183" s="26" t="n">
        <f aca="false">IFERROR(AS181/(AS181+AS182),0)</f>
        <v>0.0572156666319557</v>
      </c>
      <c r="AT183" s="26" t="n">
        <f aca="false">IFERROR(AT181/(AT181+AT182),0)</f>
        <v>0.0572156666319557</v>
      </c>
      <c r="AU183" s="26" t="n">
        <f aca="false">IFERROR(AU181/(AU181+AU182),0)</f>
        <v>0.0572156666319557</v>
      </c>
      <c r="AV183" s="26" t="n">
        <f aca="false">IFERROR(AV181/(AV181+AV182),0)</f>
        <v>0.0572156666319557</v>
      </c>
      <c r="AW183" s="26" t="n">
        <f aca="false">IFERROR(AW181/(AW181+AW182),0)</f>
        <v>0.0572156666319557</v>
      </c>
      <c r="AX183" s="26" t="n">
        <f aca="false">IFERROR(AX181/(AX181+AX182),0)</f>
        <v>0.0572156666319557</v>
      </c>
      <c r="AY183" s="26" t="n">
        <f aca="false">IFERROR(AY181/(AY181+AY182),0)</f>
        <v>0.0572156666319557</v>
      </c>
      <c r="AZ183" s="26" t="n">
        <f aca="false">IFERROR(AZ181/(AZ181+AZ182),0)</f>
        <v>0.0572156666319557</v>
      </c>
      <c r="BA183" s="26" t="n">
        <f aca="false">IFERROR(BA181/(BA181+BA182),0)</f>
        <v>0.0572156666319557</v>
      </c>
      <c r="BB183" s="26" t="n">
        <f aca="false">IFERROR(BB181/(BB181+BB182),0)</f>
        <v>0.0572156666319557</v>
      </c>
      <c r="BC183" s="26" t="n">
        <f aca="false">IFERROR(BC181/(BC181+BC182),0)</f>
        <v>0.00902107478102653</v>
      </c>
      <c r="BD183" s="26" t="n">
        <f aca="false">IFERROR(BD181/(BD181+BD182),0)</f>
        <v>0.0572156666319557</v>
      </c>
      <c r="BE183" s="26" t="n">
        <f aca="false">IFERROR(BE181/(BE181+BE182),0)</f>
        <v>0.0572156666319557</v>
      </c>
      <c r="BF183" s="26" t="n">
        <f aca="false">IFERROR(BF181/(BF181+BF182),0)</f>
        <v>0.0572156666319557</v>
      </c>
      <c r="BG183" s="26" t="n">
        <f aca="false">IFERROR(BG181/(BG181+BG182),0)</f>
        <v>0.0572156666319557</v>
      </c>
      <c r="BH183" s="26" t="n">
        <f aca="false">IFERROR(BH181/(BH181+BH182),0)</f>
        <v>0.0572156666319557</v>
      </c>
      <c r="BI183" s="26" t="n">
        <f aca="false">IFERROR(BI181/(BI181+BI182),0)</f>
        <v>0.0572156666319557</v>
      </c>
      <c r="BJ183" s="26" t="n">
        <f aca="false">IFERROR(BJ181/(BJ181+BJ182),0)</f>
        <v>0.0572156666319557</v>
      </c>
      <c r="BK183" s="26" t="n">
        <f aca="false">IFERROR(BK181/(BK181+BK182),0)</f>
        <v>0.0572156666319557</v>
      </c>
      <c r="BL183" s="26" t="n">
        <f aca="false">IFERROR(BL181/(BL181+BL182),0)</f>
        <v>0.0572156666319557</v>
      </c>
      <c r="BM183" s="26" t="n">
        <f aca="false">IFERROR(BM181/(BM181+BM182),0)</f>
        <v>0.0572156666319557</v>
      </c>
      <c r="BN183" s="26" t="n">
        <f aca="false">IFERROR(BN181/(BN181+BN182),0)</f>
        <v>0.0572156666319557</v>
      </c>
      <c r="BO183" s="26" t="n">
        <f aca="false">IFERROR(BO181/(BO181+BO182),0)</f>
        <v>0.00902107478102653</v>
      </c>
      <c r="BP183" s="26" t="n">
        <f aca="false">IFERROR(BP181/(BP181+BP182),0)</f>
        <v>0.0572156666319557</v>
      </c>
      <c r="BQ183" s="26" t="n">
        <f aca="false">IFERROR(BQ181/(BQ181+BQ182),0)</f>
        <v>0.0572156666319557</v>
      </c>
      <c r="BR183" s="26" t="n">
        <f aca="false">IFERROR(BR181/(BR181+BR182),0)</f>
        <v>0.0572156666319557</v>
      </c>
      <c r="BS183" s="26" t="n">
        <f aca="false">IFERROR(BS181/(BS181+BS182),0)</f>
        <v>0.0572156666319557</v>
      </c>
      <c r="BT183" s="26" t="n">
        <f aca="false">IFERROR(BT181/(BT181+BT182),0)</f>
        <v>0.0572156666319557</v>
      </c>
      <c r="BU183" s="26" t="n">
        <f aca="false">IFERROR(BU181/(BU181+BU182),0)</f>
        <v>0.0572156666319557</v>
      </c>
      <c r="BV183" s="26" t="n">
        <f aca="false">IFERROR(BV181/(BV181+BV182),0)</f>
        <v>0.0572156666319557</v>
      </c>
      <c r="BW183" s="26" t="n">
        <f aca="false">IFERROR(BW181/(BW181+BW182),0)</f>
        <v>0.0572156666319557</v>
      </c>
      <c r="BX183" s="26" t="n">
        <f aca="false">IFERROR(BX181/(BX181+BX182),0)</f>
        <v>0.0572156666319557</v>
      </c>
      <c r="BY183" s="26" t="n">
        <f aca="false">IFERROR(BY181/(BY181+BY182),0)</f>
        <v>0.0572156666319557</v>
      </c>
      <c r="BZ183" s="26" t="n">
        <f aca="false">IFERROR(BZ181/(BZ181+BZ182),0)</f>
        <v>0.0572156666319557</v>
      </c>
      <c r="CA183" s="26" t="n">
        <f aca="false">IFERROR(CA181/(CA181+CA182),0)</f>
        <v>0.00902107478102653</v>
      </c>
      <c r="CB183" s="26" t="n">
        <f aca="false">IFERROR(CB181/(CB181+CB182),0)</f>
        <v>0.0572156666319557</v>
      </c>
      <c r="CC183" s="26" t="n">
        <f aca="false">IFERROR(CC181/(CC181+CC182),0)</f>
        <v>0.0572156666319557</v>
      </c>
      <c r="CD183" s="26" t="n">
        <f aca="false">IFERROR(CD181/(CD181+CD182),0)</f>
        <v>0.0572156666319557</v>
      </c>
      <c r="CE183" s="26" t="n">
        <f aca="false">IFERROR(CE181/(CE181+CE182),0)</f>
        <v>0.0572156666319557</v>
      </c>
      <c r="CF183" s="26" t="n">
        <f aca="false">IFERROR(CF181/(CF181+CF182),0)</f>
        <v>0.0572156666319557</v>
      </c>
      <c r="CG183" s="26" t="n">
        <f aca="false">IFERROR(CG181/(CG181+CG182),0)</f>
        <v>0.0572156666319557</v>
      </c>
      <c r="CH183" s="26" t="n">
        <f aca="false">IFERROR(CH181/(CH181+CH182),0)</f>
        <v>0.0572156666319557</v>
      </c>
    </row>
    <row r="184" customFormat="false" ht="15" hidden="false" customHeight="false" outlineLevel="0" collapsed="false">
      <c r="A184" s="1" t="s">
        <v>845</v>
      </c>
      <c r="C184" s="28" t="n">
        <f aca="false">C16*C21*Hipótesis!$D$16</f>
        <v>1033.125</v>
      </c>
      <c r="D184" s="28" t="n">
        <f aca="false">D16*D21*Hipótesis!$D$16</f>
        <v>2144.55</v>
      </c>
      <c r="E184" s="28" t="n">
        <f aca="false">E16*E21*Hipótesis!$D$16</f>
        <v>4457.6625</v>
      </c>
      <c r="F184" s="28" t="n">
        <f aca="false">F16*F21*Hipótesis!$D$16</f>
        <v>5737.65</v>
      </c>
      <c r="G184" s="28" t="n">
        <f aca="false">G16*G21*Hipótesis!$D$16</f>
        <v>6939.3375</v>
      </c>
      <c r="H184" s="28" t="n">
        <f aca="false">H16*H21*Hipótesis!$D$16</f>
        <v>8858.775</v>
      </c>
      <c r="I184" s="28" t="n">
        <f aca="false">I16*I21*Hipótesis!$D$16</f>
        <v>10778.2125</v>
      </c>
      <c r="J184" s="28" t="n">
        <f aca="false">J16*J21*Hipótesis!$D$16</f>
        <v>12697.65</v>
      </c>
      <c r="K184" s="28" t="n">
        <f aca="false">K16*K21*Hipótesis!$D$16</f>
        <v>14617.0875</v>
      </c>
      <c r="L184" s="28" t="n">
        <f aca="false">L16*L21*Hipótesis!$D$16</f>
        <v>16536.525</v>
      </c>
      <c r="M184" s="28" t="n">
        <f aca="false">M16*M21*Hipótesis!$D$16</f>
        <v>17254.275</v>
      </c>
      <c r="N184" s="28" t="n">
        <f aca="false">N16*N21*Hipótesis!$D$16</f>
        <v>18950.775</v>
      </c>
      <c r="O184" s="28" t="n">
        <f aca="false">O16*O21*Hipótesis!$D$16</f>
        <v>20647.275</v>
      </c>
      <c r="P184" s="28" t="n">
        <f aca="false">P16*P21*Hipótesis!$D$16</f>
        <v>21991.425</v>
      </c>
      <c r="Q184" s="28" t="n">
        <f aca="false">Q16*Q21*Hipótesis!$D$16</f>
        <v>23335.575</v>
      </c>
      <c r="R184" s="28" t="n">
        <f aca="false">R16*R21*Hipótesis!$D$16</f>
        <v>24679.725</v>
      </c>
      <c r="S184" s="28" t="n">
        <f aca="false">S16*S21*Hipótesis!$D$16</f>
        <v>26023.875</v>
      </c>
      <c r="T184" s="28" t="n">
        <f aca="false">T16*T21*Hipótesis!$D$16</f>
        <v>27368.025</v>
      </c>
      <c r="U184" s="28" t="n">
        <f aca="false">U16*U21*Hipótesis!$D$16</f>
        <v>28712.175</v>
      </c>
      <c r="V184" s="28" t="n">
        <f aca="false">V16*V21*Hipótesis!$D$16</f>
        <v>30056.325</v>
      </c>
      <c r="W184" s="28" t="n">
        <f aca="false">W16*W21*Hipótesis!$D$16</f>
        <v>31400.475</v>
      </c>
      <c r="X184" s="28" t="n">
        <f aca="false">X16*X21*Hipótesis!$D$16</f>
        <v>31765.875</v>
      </c>
      <c r="Y184" s="28" t="n">
        <f aca="false">Y16*Y21*Hipótesis!$D$16</f>
        <v>32131.275</v>
      </c>
      <c r="Z184" s="28" t="n">
        <f aca="false">Z16*Z21*Hipótesis!$D$16</f>
        <v>32131.275</v>
      </c>
      <c r="AA184" s="28" t="n">
        <f aca="false">AA16*AA21*Hipótesis!$D$16</f>
        <v>32131.275</v>
      </c>
      <c r="AB184" s="28" t="n">
        <f aca="false">AB16*AB21*Hipótesis!$D$16</f>
        <v>32131.275</v>
      </c>
      <c r="AC184" s="28" t="n">
        <f aca="false">AC16*AC21*Hipótesis!$D$16</f>
        <v>32131.275</v>
      </c>
      <c r="AD184" s="28" t="n">
        <f aca="false">AD16*AD21*Hipótesis!$D$16</f>
        <v>32131.275</v>
      </c>
      <c r="AE184" s="28" t="n">
        <f aca="false">AE16*AE21*Hipótesis!$D$16</f>
        <v>32131.275</v>
      </c>
      <c r="AF184" s="28" t="n">
        <f aca="false">AF16*AF21*Hipótesis!$D$16</f>
        <v>32131.275</v>
      </c>
      <c r="AG184" s="28" t="n">
        <f aca="false">AG16*AG21*Hipótesis!$D$16</f>
        <v>32131.275</v>
      </c>
      <c r="AH184" s="28" t="n">
        <f aca="false">AH16*AH21*Hipótesis!$D$16</f>
        <v>32131.275</v>
      </c>
      <c r="AI184" s="28" t="n">
        <f aca="false">AI16*AI21*Hipótesis!$D$16</f>
        <v>32131.275</v>
      </c>
      <c r="AJ184" s="28" t="n">
        <f aca="false">AJ16*AJ21*Hipótesis!$D$16</f>
        <v>32131.275</v>
      </c>
      <c r="AK184" s="28" t="n">
        <f aca="false">AK16*AK21*Hipótesis!$D$16</f>
        <v>32131.275</v>
      </c>
      <c r="AL184" s="28" t="n">
        <f aca="false">AL16*AL21*Hipótesis!$D$16</f>
        <v>32131.275</v>
      </c>
      <c r="AM184" s="28" t="n">
        <f aca="false">AM16*AM21*Hipótesis!$D$16</f>
        <v>32131.275</v>
      </c>
      <c r="AN184" s="28" t="n">
        <f aca="false">AN16*AN21*Hipótesis!$D$16</f>
        <v>32131.275</v>
      </c>
      <c r="AO184" s="28" t="n">
        <f aca="false">AO16*AO21*Hipótesis!$D$16</f>
        <v>32131.275</v>
      </c>
      <c r="AP184" s="28" t="n">
        <f aca="false">AP16*AP21*Hipótesis!$D$16</f>
        <v>32131.275</v>
      </c>
      <c r="AQ184" s="28" t="n">
        <f aca="false">AQ16*AQ21*Hipótesis!$D$16</f>
        <v>32131.275</v>
      </c>
      <c r="AR184" s="28" t="n">
        <f aca="false">AR16*AR21*Hipótesis!$D$16</f>
        <v>32131.275</v>
      </c>
      <c r="AS184" s="28" t="n">
        <f aca="false">AS16*AS21*Hipótesis!$D$16</f>
        <v>32131.275</v>
      </c>
      <c r="AT184" s="28" t="n">
        <f aca="false">AT16*AT21*Hipótesis!$D$16</f>
        <v>32131.275</v>
      </c>
      <c r="AU184" s="28" t="n">
        <f aca="false">AU16*AU21*Hipótesis!$D$16</f>
        <v>32131.275</v>
      </c>
      <c r="AV184" s="28" t="n">
        <f aca="false">AV16*AV21*Hipótesis!$D$16</f>
        <v>32131.275</v>
      </c>
      <c r="AW184" s="28" t="n">
        <f aca="false">AW16*AW21*Hipótesis!$D$16</f>
        <v>32131.275</v>
      </c>
      <c r="AX184" s="28" t="n">
        <f aca="false">AX16*AX21*Hipótesis!$D$16</f>
        <v>32131.275</v>
      </c>
      <c r="AY184" s="28" t="n">
        <f aca="false">AY16*AY21*Hipótesis!$D$16</f>
        <v>32131.275</v>
      </c>
      <c r="AZ184" s="28" t="n">
        <f aca="false">AZ16*AZ21*Hipótesis!$D$16</f>
        <v>32131.275</v>
      </c>
      <c r="BA184" s="28" t="n">
        <f aca="false">BA16*BA21*Hipótesis!$D$16</f>
        <v>32131.275</v>
      </c>
      <c r="BB184" s="28" t="n">
        <f aca="false">BB16*BB21*Hipótesis!$D$16</f>
        <v>32131.275</v>
      </c>
      <c r="BC184" s="28" t="n">
        <f aca="false">BC16*BC21*Hipótesis!$D$16</f>
        <v>32131.275</v>
      </c>
      <c r="BD184" s="28" t="n">
        <f aca="false">BD16*BD21*Hipótesis!$D$16</f>
        <v>32131.275</v>
      </c>
      <c r="BE184" s="28" t="n">
        <f aca="false">BE16*BE21*Hipótesis!$D$16</f>
        <v>32131.275</v>
      </c>
      <c r="BF184" s="28" t="n">
        <f aca="false">BF16*BF21*Hipótesis!$D$16</f>
        <v>32131.275</v>
      </c>
      <c r="BG184" s="28" t="n">
        <f aca="false">BG16*BG21*Hipótesis!$D$16</f>
        <v>32131.275</v>
      </c>
      <c r="BH184" s="28" t="n">
        <f aca="false">BH16*BH21*Hipótesis!$D$16</f>
        <v>32131.275</v>
      </c>
      <c r="BI184" s="28" t="n">
        <f aca="false">BI16*BI21*Hipótesis!$D$16</f>
        <v>32131.275</v>
      </c>
      <c r="BJ184" s="28" t="n">
        <f aca="false">BJ16*BJ21*Hipótesis!$D$16</f>
        <v>32131.275</v>
      </c>
      <c r="BK184" s="28" t="n">
        <f aca="false">BK16*BK21*Hipótesis!$D$16</f>
        <v>32131.275</v>
      </c>
      <c r="BL184" s="28" t="n">
        <f aca="false">BL16*BL21*Hipótesis!$D$16</f>
        <v>32131.275</v>
      </c>
      <c r="BM184" s="28" t="n">
        <f aca="false">BM16*BM21*Hipótesis!$D$16</f>
        <v>32131.275</v>
      </c>
      <c r="BN184" s="28" t="n">
        <f aca="false">BN16*BN21*Hipótesis!$D$16</f>
        <v>32131.275</v>
      </c>
      <c r="BO184" s="28" t="n">
        <f aca="false">BO16*BO21*Hipótesis!$D$16</f>
        <v>32131.275</v>
      </c>
      <c r="BP184" s="28" t="n">
        <f aca="false">BP16*BP21*Hipótesis!$D$16</f>
        <v>32131.275</v>
      </c>
      <c r="BQ184" s="28" t="n">
        <f aca="false">BQ16*BQ21*Hipótesis!$D$16</f>
        <v>32131.275</v>
      </c>
      <c r="BR184" s="28" t="n">
        <f aca="false">BR16*BR21*Hipótesis!$D$16</f>
        <v>32131.275</v>
      </c>
      <c r="BS184" s="28" t="n">
        <f aca="false">BS16*BS21*Hipótesis!$D$16</f>
        <v>32131.275</v>
      </c>
      <c r="BT184" s="28" t="n">
        <f aca="false">BT16*BT21*Hipótesis!$D$16</f>
        <v>32131.275</v>
      </c>
      <c r="BU184" s="28" t="n">
        <f aca="false">BU16*BU21*Hipótesis!$D$16</f>
        <v>32131.275</v>
      </c>
      <c r="BV184" s="28" t="n">
        <f aca="false">BV16*BV21*Hipótesis!$D$16</f>
        <v>32131.275</v>
      </c>
      <c r="BW184" s="28" t="n">
        <f aca="false">BW16*BW21*Hipótesis!$D$16</f>
        <v>32131.275</v>
      </c>
      <c r="BX184" s="28" t="n">
        <f aca="false">BX16*BX21*Hipótesis!$D$16</f>
        <v>32131.275</v>
      </c>
      <c r="BY184" s="28" t="n">
        <f aca="false">BY16*BY21*Hipótesis!$D$16</f>
        <v>32131.275</v>
      </c>
      <c r="BZ184" s="28" t="n">
        <f aca="false">BZ16*BZ21*Hipótesis!$D$16</f>
        <v>32131.275</v>
      </c>
      <c r="CA184" s="28" t="n">
        <f aca="false">CA16*CA21*Hipótesis!$D$16</f>
        <v>32131.275</v>
      </c>
      <c r="CB184" s="28" t="n">
        <f aca="false">CB16*CB21*Hipótesis!$D$16</f>
        <v>32131.275</v>
      </c>
      <c r="CC184" s="28" t="n">
        <f aca="false">CC16*CC21*Hipótesis!$D$16</f>
        <v>32131.275</v>
      </c>
      <c r="CD184" s="28" t="n">
        <f aca="false">CD16*CD21*Hipótesis!$D$16</f>
        <v>32131.275</v>
      </c>
      <c r="CE184" s="28" t="n">
        <f aca="false">CE16*CE21*Hipótesis!$D$16</f>
        <v>32131.275</v>
      </c>
      <c r="CF184" s="28" t="n">
        <f aca="false">CF16*CF21*Hipótesis!$D$16</f>
        <v>32131.275</v>
      </c>
      <c r="CG184" s="28" t="n">
        <f aca="false">CG16*CG21*Hipótesis!$D$16</f>
        <v>32131.275</v>
      </c>
      <c r="CH184" s="28" t="n">
        <f aca="false">CH16*CH21*Hipótesis!$D$16</f>
        <v>32131.275</v>
      </c>
    </row>
    <row r="185" customFormat="false" ht="15" hidden="false" customHeight="false" outlineLevel="0" collapsed="false">
      <c r="A185" s="1" t="s">
        <v>846</v>
      </c>
      <c r="C185" s="28" t="n">
        <f aca="false">C23*Hipótesis!$D$20</f>
        <v>0</v>
      </c>
      <c r="D185" s="28" t="n">
        <f aca="false">D23*Hipótesis!$D$20</f>
        <v>0</v>
      </c>
      <c r="E185" s="28" t="n">
        <f aca="false">E23*Hipótesis!$D$20</f>
        <v>0</v>
      </c>
      <c r="F185" s="28" t="n">
        <f aca="false">F23*Hipótesis!$D$20</f>
        <v>0</v>
      </c>
      <c r="G185" s="28" t="n">
        <f aca="false">G23*Hipótesis!$D$20</f>
        <v>0</v>
      </c>
      <c r="H185" s="28" t="n">
        <f aca="false">H23*Hipótesis!$D$20</f>
        <v>0</v>
      </c>
      <c r="I185" s="28" t="n">
        <f aca="false">I23*Hipótesis!$D$20</f>
        <v>114.551132027027</v>
      </c>
      <c r="J185" s="28" t="n">
        <f aca="false">J23*Hipótesis!$D$20</f>
        <v>2291.02264054054</v>
      </c>
      <c r="K185" s="28" t="n">
        <f aca="false">K23*Hipótesis!$D$20</f>
        <v>4467.49414905405</v>
      </c>
      <c r="L185" s="28" t="n">
        <f aca="false">L23*Hipótesis!$D$20</f>
        <v>6643.96565756757</v>
      </c>
      <c r="M185" s="28" t="n">
        <f aca="false">M23*Hipótesis!$D$20</f>
        <v>8820.43716608108</v>
      </c>
      <c r="N185" s="28" t="n">
        <f aca="false">N23*Hipótesis!$D$20</f>
        <v>10996.9086745946</v>
      </c>
      <c r="O185" s="28" t="n">
        <f aca="false">O23*Hipótesis!$D$20</f>
        <v>13173.3801831081</v>
      </c>
      <c r="P185" s="28" t="n">
        <f aca="false">P23*Hipótesis!$D$20</f>
        <v>15349.8516916216</v>
      </c>
      <c r="Q185" s="28" t="n">
        <f aca="false">Q23*Hipótesis!$D$20</f>
        <v>17526.3232001351</v>
      </c>
      <c r="R185" s="28" t="n">
        <f aca="false">R23*Hipótesis!$D$20</f>
        <v>19702.7947086487</v>
      </c>
      <c r="S185" s="28" t="n">
        <f aca="false">S23*Hipótesis!$D$20</f>
        <v>21879.2662171622</v>
      </c>
      <c r="T185" s="28" t="n">
        <f aca="false">T23*Hipótesis!$D$20</f>
        <v>24055.7377256757</v>
      </c>
      <c r="U185" s="28" t="n">
        <f aca="false">U23*Hipótesis!$D$20</f>
        <v>26232.2092341892</v>
      </c>
      <c r="V185" s="28" t="n">
        <f aca="false">V23*Hipótesis!$D$20</f>
        <v>28408.6807427027</v>
      </c>
      <c r="W185" s="28" t="n">
        <f aca="false">W23*Hipótesis!$D$20</f>
        <v>30585.1522512162</v>
      </c>
      <c r="X185" s="28" t="n">
        <f aca="false">X23*Hipótesis!$D$20</f>
        <v>32761.6237597297</v>
      </c>
      <c r="Y185" s="28" t="n">
        <f aca="false">Y23*Hipótesis!$D$20</f>
        <v>34938.0952682433</v>
      </c>
      <c r="Z185" s="28" t="n">
        <f aca="false">Z23*Hipótesis!$D$20</f>
        <v>37114.5667767568</v>
      </c>
      <c r="AA185" s="28" t="n">
        <f aca="false">AA23*Hipótesis!$D$20</f>
        <v>39634.6916813514</v>
      </c>
      <c r="AB185" s="28" t="n">
        <f aca="false">AB23*Hipótesis!$D$20</f>
        <v>42154.816585946</v>
      </c>
      <c r="AC185" s="28" t="n">
        <f aca="false">AC23*Hipótesis!$D$20</f>
        <v>44674.9414905406</v>
      </c>
      <c r="AD185" s="28" t="n">
        <f aca="false">AD23*Hipótesis!$D$20</f>
        <v>47195.0663951351</v>
      </c>
      <c r="AE185" s="28" t="n">
        <f aca="false">AE23*Hipótesis!$D$20</f>
        <v>49715.1912997297</v>
      </c>
      <c r="AF185" s="28" t="n">
        <f aca="false">AF23*Hipótesis!$D$20</f>
        <v>52235.3162043243</v>
      </c>
      <c r="AG185" s="28" t="n">
        <f aca="false">AG23*Hipótesis!$D$20</f>
        <v>54755.4411089189</v>
      </c>
      <c r="AH185" s="28" t="n">
        <f aca="false">AH23*Hipótesis!$D$20</f>
        <v>57275.5660135135</v>
      </c>
      <c r="AI185" s="28" t="n">
        <f aca="false">AI23*Hipótesis!$D$20</f>
        <v>59795.6909181081</v>
      </c>
      <c r="AJ185" s="28" t="n">
        <f aca="false">AJ23*Hipótesis!$D$20</f>
        <v>62315.8158227027</v>
      </c>
      <c r="AK185" s="28" t="n">
        <f aca="false">AK23*Hipótesis!$D$20</f>
        <v>64835.9407272973</v>
      </c>
      <c r="AL185" s="28" t="n">
        <f aca="false">AL23*Hipótesis!$D$20</f>
        <v>67356.0656318919</v>
      </c>
      <c r="AM185" s="28" t="n">
        <f aca="false">AM23*Hipótesis!$D$20</f>
        <v>69876.1905364865</v>
      </c>
      <c r="AN185" s="28" t="n">
        <f aca="false">AN23*Hipótesis!$D$20</f>
        <v>72396.3154410811</v>
      </c>
      <c r="AO185" s="28" t="n">
        <f aca="false">AO23*Hipótesis!$D$20</f>
        <v>74916.4403456757</v>
      </c>
      <c r="AP185" s="28" t="n">
        <f aca="false">AP23*Hipótesis!$D$20</f>
        <v>77436.5652502703</v>
      </c>
      <c r="AQ185" s="28" t="n">
        <f aca="false">AQ23*Hipótesis!$D$20</f>
        <v>79956.6901548649</v>
      </c>
      <c r="AR185" s="28" t="n">
        <f aca="false">AR23*Hipótesis!$D$20</f>
        <v>82476.8150594595</v>
      </c>
      <c r="AS185" s="28" t="n">
        <f aca="false">AS23*Hipótesis!$D$20</f>
        <v>82476.8150594595</v>
      </c>
      <c r="AT185" s="28" t="n">
        <f aca="false">AT23*Hipótesis!$D$20</f>
        <v>82476.8150594595</v>
      </c>
      <c r="AU185" s="28" t="n">
        <f aca="false">AU23*Hipótesis!$D$20</f>
        <v>82476.8150594595</v>
      </c>
      <c r="AV185" s="28" t="n">
        <f aca="false">AV23*Hipótesis!$D$20</f>
        <v>82476.8150594595</v>
      </c>
      <c r="AW185" s="28" t="n">
        <f aca="false">AW23*Hipótesis!$D$20</f>
        <v>82476.8150594595</v>
      </c>
      <c r="AX185" s="28" t="n">
        <f aca="false">AX23*Hipótesis!$D$20</f>
        <v>82476.8150594595</v>
      </c>
      <c r="AY185" s="28" t="n">
        <f aca="false">AY23*Hipótesis!$D$20</f>
        <v>82476.8150594595</v>
      </c>
      <c r="AZ185" s="28" t="n">
        <f aca="false">AZ23*Hipótesis!$D$20</f>
        <v>82476.8150594595</v>
      </c>
      <c r="BA185" s="28" t="n">
        <f aca="false">BA23*Hipótesis!$D$20</f>
        <v>82476.8150594595</v>
      </c>
      <c r="BB185" s="28" t="n">
        <f aca="false">BB23*Hipótesis!$D$20</f>
        <v>82476.8150594595</v>
      </c>
      <c r="BC185" s="28" t="n">
        <f aca="false">BC23*Hipótesis!$D$20</f>
        <v>82476.8150594595</v>
      </c>
      <c r="BD185" s="28" t="n">
        <f aca="false">BD23*Hipótesis!$D$20</f>
        <v>82476.8150594595</v>
      </c>
      <c r="BE185" s="28" t="n">
        <f aca="false">BE23*Hipótesis!$D$20</f>
        <v>82476.8150594595</v>
      </c>
      <c r="BF185" s="28" t="n">
        <f aca="false">BF23*Hipótesis!$D$20</f>
        <v>82476.8150594595</v>
      </c>
      <c r="BG185" s="28" t="n">
        <f aca="false">BG23*Hipótesis!$D$20</f>
        <v>82476.8150594595</v>
      </c>
      <c r="BH185" s="28" t="n">
        <f aca="false">BH23*Hipótesis!$D$20</f>
        <v>82476.8150594595</v>
      </c>
      <c r="BI185" s="28" t="n">
        <f aca="false">BI23*Hipótesis!$D$20</f>
        <v>82476.8150594595</v>
      </c>
      <c r="BJ185" s="28" t="n">
        <f aca="false">BJ23*Hipótesis!$D$20</f>
        <v>82476.8150594595</v>
      </c>
      <c r="BK185" s="28" t="n">
        <f aca="false">BK23*Hipótesis!$D$20</f>
        <v>82476.8150594595</v>
      </c>
      <c r="BL185" s="28" t="n">
        <f aca="false">BL23*Hipótesis!$D$20</f>
        <v>82476.8150594595</v>
      </c>
      <c r="BM185" s="28" t="n">
        <f aca="false">BM23*Hipótesis!$D$20</f>
        <v>82476.8150594595</v>
      </c>
      <c r="BN185" s="28" t="n">
        <f aca="false">BN23*Hipótesis!$D$20</f>
        <v>82476.8150594595</v>
      </c>
      <c r="BO185" s="28" t="n">
        <f aca="false">BO23*Hipótesis!$D$20</f>
        <v>82476.8150594595</v>
      </c>
      <c r="BP185" s="28" t="n">
        <f aca="false">BP23*Hipótesis!$D$20</f>
        <v>82476.8150594595</v>
      </c>
      <c r="BQ185" s="28" t="n">
        <f aca="false">BQ23*Hipótesis!$D$20</f>
        <v>82476.8150594595</v>
      </c>
      <c r="BR185" s="28" t="n">
        <f aca="false">BR23*Hipótesis!$D$20</f>
        <v>82476.8150594595</v>
      </c>
      <c r="BS185" s="28" t="n">
        <f aca="false">BS23*Hipótesis!$D$20</f>
        <v>82476.8150594595</v>
      </c>
      <c r="BT185" s="28" t="n">
        <f aca="false">BT23*Hipótesis!$D$20</f>
        <v>82476.8150594595</v>
      </c>
      <c r="BU185" s="28" t="n">
        <f aca="false">BU23*Hipótesis!$D$20</f>
        <v>82476.8150594595</v>
      </c>
      <c r="BV185" s="28" t="n">
        <f aca="false">BV23*Hipótesis!$D$20</f>
        <v>82476.8150594595</v>
      </c>
      <c r="BW185" s="28" t="n">
        <f aca="false">BW23*Hipótesis!$D$20</f>
        <v>82476.8150594595</v>
      </c>
      <c r="BX185" s="28" t="n">
        <f aca="false">BX23*Hipótesis!$D$20</f>
        <v>82476.8150594595</v>
      </c>
      <c r="BY185" s="28" t="n">
        <f aca="false">BY23*Hipótesis!$D$20</f>
        <v>82476.8150594595</v>
      </c>
      <c r="BZ185" s="28" t="n">
        <f aca="false">BZ23*Hipótesis!$D$20</f>
        <v>82476.8150594595</v>
      </c>
      <c r="CA185" s="28" t="n">
        <f aca="false">CA23*Hipótesis!$D$20</f>
        <v>82476.8150594595</v>
      </c>
      <c r="CB185" s="28" t="n">
        <f aca="false">CB23*Hipótesis!$D$20</f>
        <v>82476.8150594595</v>
      </c>
      <c r="CC185" s="28" t="n">
        <f aca="false">CC23*Hipótesis!$D$20</f>
        <v>82476.8150594595</v>
      </c>
      <c r="CD185" s="28" t="n">
        <f aca="false">CD23*Hipótesis!$D$20</f>
        <v>82476.8150594595</v>
      </c>
      <c r="CE185" s="28" t="n">
        <f aca="false">CE23*Hipótesis!$D$20</f>
        <v>82476.8150594595</v>
      </c>
      <c r="CF185" s="28" t="n">
        <f aca="false">CF23*Hipótesis!$D$20</f>
        <v>82476.8150594595</v>
      </c>
      <c r="CG185" s="28" t="n">
        <f aca="false">CG23*Hipótesis!$D$20</f>
        <v>82476.8150594595</v>
      </c>
      <c r="CH185" s="28" t="n">
        <f aca="false">CH23*Hipótesis!$D$20</f>
        <v>82476.8150594595</v>
      </c>
    </row>
    <row r="186" customFormat="false" ht="15" hidden="false" customHeight="false" outlineLevel="0" collapsed="false">
      <c r="A186" s="25" t="s">
        <v>847</v>
      </c>
      <c r="C186" s="156" t="n">
        <f aca="false">C184+C185</f>
        <v>1033.125</v>
      </c>
      <c r="D186" s="156" t="n">
        <f aca="false">D184+D185</f>
        <v>2144.55</v>
      </c>
      <c r="E186" s="156" t="n">
        <f aca="false">E184+E185</f>
        <v>4457.6625</v>
      </c>
      <c r="F186" s="156" t="n">
        <f aca="false">F184+F185</f>
        <v>5737.65</v>
      </c>
      <c r="G186" s="156" t="n">
        <f aca="false">G184+G185</f>
        <v>6939.3375</v>
      </c>
      <c r="H186" s="156" t="n">
        <f aca="false">H184+H185</f>
        <v>8858.775</v>
      </c>
      <c r="I186" s="156" t="n">
        <f aca="false">I184+I185</f>
        <v>10892.763632027</v>
      </c>
      <c r="J186" s="156" t="n">
        <f aca="false">J184+J185</f>
        <v>14988.6726405405</v>
      </c>
      <c r="K186" s="156" t="n">
        <f aca="false">K184+K185</f>
        <v>19084.5816490541</v>
      </c>
      <c r="L186" s="156" t="n">
        <f aca="false">L184+L185</f>
        <v>23180.4906575676</v>
      </c>
      <c r="M186" s="156" t="n">
        <f aca="false">M184+M185</f>
        <v>26074.7121660811</v>
      </c>
      <c r="N186" s="156" t="n">
        <f aca="false">N184+N185</f>
        <v>29947.6836745946</v>
      </c>
      <c r="O186" s="156" t="n">
        <f aca="false">O184+O185</f>
        <v>33820.6551831081</v>
      </c>
      <c r="P186" s="156" t="n">
        <f aca="false">P184+P185</f>
        <v>37341.2766916216</v>
      </c>
      <c r="Q186" s="156" t="n">
        <f aca="false">Q184+Q185</f>
        <v>40861.8982001351</v>
      </c>
      <c r="R186" s="156" t="n">
        <f aca="false">R184+R185</f>
        <v>44382.5197086487</v>
      </c>
      <c r="S186" s="156" t="n">
        <f aca="false">S184+S185</f>
        <v>47903.1412171622</v>
      </c>
      <c r="T186" s="156" t="n">
        <f aca="false">T184+T185</f>
        <v>51423.7627256757</v>
      </c>
      <c r="U186" s="156" t="n">
        <f aca="false">U184+U185</f>
        <v>54944.3842341892</v>
      </c>
      <c r="V186" s="156" t="n">
        <f aca="false">V184+V185</f>
        <v>58465.0057427027</v>
      </c>
      <c r="W186" s="156" t="n">
        <f aca="false">W184+W185</f>
        <v>61985.6272512162</v>
      </c>
      <c r="X186" s="156" t="n">
        <f aca="false">X184+X185</f>
        <v>64527.4987597297</v>
      </c>
      <c r="Y186" s="156" t="n">
        <f aca="false">Y184+Y185</f>
        <v>67069.3702682433</v>
      </c>
      <c r="Z186" s="156" t="n">
        <f aca="false">Z184+Z185</f>
        <v>69245.8417767568</v>
      </c>
      <c r="AA186" s="156" t="n">
        <f aca="false">AA184+AA185</f>
        <v>71765.9666813514</v>
      </c>
      <c r="AB186" s="156" t="n">
        <f aca="false">AB184+AB185</f>
        <v>74286.091585946</v>
      </c>
      <c r="AC186" s="156" t="n">
        <f aca="false">AC184+AC185</f>
        <v>76806.2164905406</v>
      </c>
      <c r="AD186" s="156" t="n">
        <f aca="false">AD184+AD185</f>
        <v>79326.3413951351</v>
      </c>
      <c r="AE186" s="156" t="n">
        <f aca="false">AE184+AE185</f>
        <v>81846.4662997297</v>
      </c>
      <c r="AF186" s="156" t="n">
        <f aca="false">AF184+AF185</f>
        <v>84366.5912043243</v>
      </c>
      <c r="AG186" s="156" t="n">
        <f aca="false">AG184+AG185</f>
        <v>86886.7161089189</v>
      </c>
      <c r="AH186" s="156" t="n">
        <f aca="false">AH184+AH185</f>
        <v>89406.8410135135</v>
      </c>
      <c r="AI186" s="156" t="n">
        <f aca="false">AI184+AI185</f>
        <v>91926.9659181081</v>
      </c>
      <c r="AJ186" s="156" t="n">
        <f aca="false">AJ184+AJ185</f>
        <v>94447.0908227027</v>
      </c>
      <c r="AK186" s="156" t="n">
        <f aca="false">AK184+AK185</f>
        <v>96967.2157272973</v>
      </c>
      <c r="AL186" s="156" t="n">
        <f aca="false">AL184+AL185</f>
        <v>99487.3406318919</v>
      </c>
      <c r="AM186" s="156" t="n">
        <f aca="false">AM184+AM185</f>
        <v>102007.465536486</v>
      </c>
      <c r="AN186" s="156" t="n">
        <f aca="false">AN184+AN185</f>
        <v>104527.590441081</v>
      </c>
      <c r="AO186" s="156" t="n">
        <f aca="false">AO184+AO185</f>
        <v>107047.715345676</v>
      </c>
      <c r="AP186" s="156" t="n">
        <f aca="false">AP184+AP185</f>
        <v>109567.84025027</v>
      </c>
      <c r="AQ186" s="156" t="n">
        <f aca="false">AQ184+AQ185</f>
        <v>112087.965154865</v>
      </c>
      <c r="AR186" s="156" t="n">
        <f aca="false">AR184+AR185</f>
        <v>114608.090059459</v>
      </c>
      <c r="AS186" s="156" t="n">
        <f aca="false">AS184+AS185</f>
        <v>114608.090059459</v>
      </c>
      <c r="AT186" s="156" t="n">
        <f aca="false">AT184+AT185</f>
        <v>114608.090059459</v>
      </c>
      <c r="AU186" s="156" t="n">
        <f aca="false">AU184+AU185</f>
        <v>114608.090059459</v>
      </c>
      <c r="AV186" s="156" t="n">
        <f aca="false">AV184+AV185</f>
        <v>114608.090059459</v>
      </c>
      <c r="AW186" s="156" t="n">
        <f aca="false">AW184+AW185</f>
        <v>114608.090059459</v>
      </c>
      <c r="AX186" s="156" t="n">
        <f aca="false">AX184+AX185</f>
        <v>114608.090059459</v>
      </c>
      <c r="AY186" s="156" t="n">
        <f aca="false">AY184+AY185</f>
        <v>114608.090059459</v>
      </c>
      <c r="AZ186" s="156" t="n">
        <f aca="false">AZ184+AZ185</f>
        <v>114608.090059459</v>
      </c>
      <c r="BA186" s="156" t="n">
        <f aca="false">BA184+BA185</f>
        <v>114608.090059459</v>
      </c>
      <c r="BB186" s="156" t="n">
        <f aca="false">BB184+BB185</f>
        <v>114608.090059459</v>
      </c>
      <c r="BC186" s="156" t="n">
        <f aca="false">BC184+BC185</f>
        <v>114608.090059459</v>
      </c>
      <c r="BD186" s="156" t="n">
        <f aca="false">BD184+BD185</f>
        <v>114608.090059459</v>
      </c>
      <c r="BE186" s="156" t="n">
        <f aca="false">BE184+BE185</f>
        <v>114608.090059459</v>
      </c>
      <c r="BF186" s="156" t="n">
        <f aca="false">BF184+BF185</f>
        <v>114608.090059459</v>
      </c>
      <c r="BG186" s="156" t="n">
        <f aca="false">BG184+BG185</f>
        <v>114608.090059459</v>
      </c>
      <c r="BH186" s="156" t="n">
        <f aca="false">BH184+BH185</f>
        <v>114608.090059459</v>
      </c>
      <c r="BI186" s="156" t="n">
        <f aca="false">BI184+BI185</f>
        <v>114608.090059459</v>
      </c>
      <c r="BJ186" s="156" t="n">
        <f aca="false">BJ184+BJ185</f>
        <v>114608.090059459</v>
      </c>
      <c r="BK186" s="156" t="n">
        <f aca="false">BK184+BK185</f>
        <v>114608.090059459</v>
      </c>
      <c r="BL186" s="156" t="n">
        <f aca="false">BL184+BL185</f>
        <v>114608.090059459</v>
      </c>
      <c r="BM186" s="156" t="n">
        <f aca="false">BM184+BM185</f>
        <v>114608.090059459</v>
      </c>
      <c r="BN186" s="156" t="n">
        <f aca="false">BN184+BN185</f>
        <v>114608.090059459</v>
      </c>
      <c r="BO186" s="156" t="n">
        <f aca="false">BO184+BO185</f>
        <v>114608.090059459</v>
      </c>
      <c r="BP186" s="156" t="n">
        <f aca="false">BP184+BP185</f>
        <v>114608.090059459</v>
      </c>
      <c r="BQ186" s="156" t="n">
        <f aca="false">BQ184+BQ185</f>
        <v>114608.090059459</v>
      </c>
      <c r="BR186" s="156" t="n">
        <f aca="false">BR184+BR185</f>
        <v>114608.090059459</v>
      </c>
      <c r="BS186" s="156" t="n">
        <f aca="false">BS184+BS185</f>
        <v>114608.090059459</v>
      </c>
      <c r="BT186" s="156" t="n">
        <f aca="false">BT184+BT185</f>
        <v>114608.090059459</v>
      </c>
      <c r="BU186" s="156" t="n">
        <f aca="false">BU184+BU185</f>
        <v>114608.090059459</v>
      </c>
      <c r="BV186" s="156" t="n">
        <f aca="false">BV184+BV185</f>
        <v>114608.090059459</v>
      </c>
      <c r="BW186" s="156" t="n">
        <f aca="false">BW184+BW185</f>
        <v>114608.090059459</v>
      </c>
      <c r="BX186" s="156" t="n">
        <f aca="false">BX184+BX185</f>
        <v>114608.090059459</v>
      </c>
      <c r="BY186" s="156" t="n">
        <f aca="false">BY184+BY185</f>
        <v>114608.090059459</v>
      </c>
      <c r="BZ186" s="156" t="n">
        <f aca="false">BZ184+BZ185</f>
        <v>114608.090059459</v>
      </c>
      <c r="CA186" s="156" t="n">
        <f aca="false">CA184+CA185</f>
        <v>114608.090059459</v>
      </c>
      <c r="CB186" s="156" t="n">
        <f aca="false">CB184+CB185</f>
        <v>114608.090059459</v>
      </c>
      <c r="CC186" s="156" t="n">
        <f aca="false">CC184+CC185</f>
        <v>114608.090059459</v>
      </c>
      <c r="CD186" s="156" t="n">
        <f aca="false">CD184+CD185</f>
        <v>114608.090059459</v>
      </c>
      <c r="CE186" s="156" t="n">
        <f aca="false">CE184+CE185</f>
        <v>114608.090059459</v>
      </c>
      <c r="CF186" s="156" t="n">
        <f aca="false">CF184+CF185</f>
        <v>114608.090059459</v>
      </c>
      <c r="CG186" s="156" t="n">
        <f aca="false">CG184+CG185</f>
        <v>114608.090059459</v>
      </c>
      <c r="CH186" s="156" t="n">
        <f aca="false">CH184+CH185</f>
        <v>114608.090059459</v>
      </c>
    </row>
    <row r="187" customFormat="false" ht="15" hidden="false" customHeight="false" outlineLevel="0" collapsed="false">
      <c r="A187" s="1" t="s">
        <v>848</v>
      </c>
      <c r="C187" s="28" t="n">
        <f aca="false">C178*Hipótesis!$D$130</f>
        <v>1289.06287337838</v>
      </c>
      <c r="D187" s="28" t="n">
        <f aca="false">D178*Hipótesis!$D$130</f>
        <v>2578.12574675676</v>
      </c>
      <c r="E187" s="28" t="n">
        <f aca="false">E178*Hipótesis!$D$130</f>
        <v>3867.18862013514</v>
      </c>
      <c r="F187" s="28" t="n">
        <f aca="false">F178*Hipótesis!$D$130</f>
        <v>5156.25149351351</v>
      </c>
      <c r="G187" s="28" t="n">
        <f aca="false">G178*Hipótesis!$D$130</f>
        <v>966.797155033784</v>
      </c>
      <c r="H187" s="28" t="n">
        <f aca="false">H178*Hipótesis!$D$130</f>
        <v>7734.37724027027</v>
      </c>
      <c r="I187" s="28" t="n">
        <f aca="false">I178*Hipótesis!$D$130</f>
        <v>9023.44011364865</v>
      </c>
      <c r="J187" s="28" t="n">
        <f aca="false">J178*Hipótesis!$D$130</f>
        <v>10312.502987027</v>
      </c>
      <c r="K187" s="28" t="n">
        <f aca="false">K178*Hipótesis!$D$130</f>
        <v>11601.5658604054</v>
      </c>
      <c r="L187" s="28" t="n">
        <f aca="false">L178*Hipótesis!$D$130</f>
        <v>12890.6287337838</v>
      </c>
      <c r="M187" s="28" t="n">
        <f aca="false">M178*Hipótesis!$D$130</f>
        <v>14179.6916071622</v>
      </c>
      <c r="N187" s="28" t="n">
        <f aca="false">N178*Hipótesis!$D$130</f>
        <v>15468.7544805405</v>
      </c>
      <c r="O187" s="28" t="n">
        <f aca="false">O178*Hipótesis!$D$130</f>
        <v>16757.8173539189</v>
      </c>
      <c r="P187" s="28" t="n">
        <f aca="false">P178*Hipótesis!$D$130</f>
        <v>18046.8802272973</v>
      </c>
      <c r="Q187" s="28" t="n">
        <f aca="false">Q178*Hipótesis!$D$130</f>
        <v>19335.9431006757</v>
      </c>
      <c r="R187" s="28" t="n">
        <f aca="false">R178*Hipótesis!$D$130</f>
        <v>20625.0059740541</v>
      </c>
      <c r="S187" s="28" t="n">
        <f aca="false">S178*Hipótesis!$D$130</f>
        <v>3287.11032711487</v>
      </c>
      <c r="T187" s="28" t="n">
        <f aca="false">T178*Hipótesis!$D$130</f>
        <v>23203.1317208108</v>
      </c>
      <c r="U187" s="28" t="n">
        <f aca="false">U178*Hipótesis!$D$130</f>
        <v>24492.1945941892</v>
      </c>
      <c r="V187" s="28" t="n">
        <f aca="false">V178*Hipótesis!$D$130</f>
        <v>25781.2574675676</v>
      </c>
      <c r="W187" s="28" t="n">
        <f aca="false">W178*Hipótesis!$D$130</f>
        <v>27070.320340946</v>
      </c>
      <c r="X187" s="28" t="n">
        <f aca="false">X178*Hipótesis!$D$130</f>
        <v>28359.3832143243</v>
      </c>
      <c r="Y187" s="28" t="n">
        <f aca="false">Y178*Hipótesis!$D$130</f>
        <v>29648.4460877027</v>
      </c>
      <c r="Z187" s="28" t="n">
        <f aca="false">Z178*Hipótesis!$D$130</f>
        <v>30937.5089610811</v>
      </c>
      <c r="AA187" s="28" t="n">
        <f aca="false">AA178*Hipótesis!$D$130</f>
        <v>30937.5089610811</v>
      </c>
      <c r="AB187" s="28" t="n">
        <f aca="false">AB178*Hipótesis!$D$130</f>
        <v>30937.5089610811</v>
      </c>
      <c r="AC187" s="28" t="n">
        <f aca="false">AC178*Hipótesis!$D$130</f>
        <v>30937.5089610811</v>
      </c>
      <c r="AD187" s="28" t="n">
        <f aca="false">AD178*Hipótesis!$D$130</f>
        <v>30937.5089610811</v>
      </c>
      <c r="AE187" s="28" t="n">
        <f aca="false">AE178*Hipótesis!$D$130</f>
        <v>4640.62634416216</v>
      </c>
      <c r="AF187" s="28" t="n">
        <f aca="false">AF178*Hipótesis!$D$130</f>
        <v>30937.5089610811</v>
      </c>
      <c r="AG187" s="28" t="n">
        <f aca="false">AG178*Hipótesis!$D$130</f>
        <v>30937.5089610811</v>
      </c>
      <c r="AH187" s="28" t="n">
        <f aca="false">AH178*Hipótesis!$D$130</f>
        <v>30937.5089610811</v>
      </c>
      <c r="AI187" s="28" t="n">
        <f aca="false">AI178*Hipótesis!$D$130</f>
        <v>30937.5089610811</v>
      </c>
      <c r="AJ187" s="28" t="n">
        <f aca="false">AJ178*Hipótesis!$D$130</f>
        <v>30937.5089610811</v>
      </c>
      <c r="AK187" s="28" t="n">
        <f aca="false">AK178*Hipótesis!$D$130</f>
        <v>30937.5089610811</v>
      </c>
      <c r="AL187" s="28" t="n">
        <f aca="false">AL178*Hipótesis!$D$130</f>
        <v>30937.5089610811</v>
      </c>
      <c r="AM187" s="28" t="n">
        <f aca="false">AM178*Hipótesis!$D$130</f>
        <v>30937.5089610811</v>
      </c>
      <c r="AN187" s="28" t="n">
        <f aca="false">AN178*Hipótesis!$D$130</f>
        <v>30937.5089610811</v>
      </c>
      <c r="AO187" s="28" t="n">
        <f aca="false">AO178*Hipótesis!$D$130</f>
        <v>30937.5089610811</v>
      </c>
      <c r="AP187" s="28" t="n">
        <f aca="false">AP178*Hipótesis!$D$130</f>
        <v>30937.5089610811</v>
      </c>
      <c r="AQ187" s="28" t="n">
        <f aca="false">AQ178*Hipótesis!$D$130</f>
        <v>4640.62634416216</v>
      </c>
      <c r="AR187" s="28" t="n">
        <f aca="false">AR178*Hipótesis!$D$130</f>
        <v>30937.5089610811</v>
      </c>
      <c r="AS187" s="28" t="n">
        <f aca="false">AS178*Hipótesis!$D$130</f>
        <v>30937.5089610811</v>
      </c>
      <c r="AT187" s="28" t="n">
        <f aca="false">AT178*Hipótesis!$D$130</f>
        <v>30937.5089610811</v>
      </c>
      <c r="AU187" s="28" t="n">
        <f aca="false">AU178*Hipótesis!$D$130</f>
        <v>30937.5089610811</v>
      </c>
      <c r="AV187" s="28" t="n">
        <f aca="false">AV178*Hipótesis!$D$130</f>
        <v>30937.5089610811</v>
      </c>
      <c r="AW187" s="28" t="n">
        <f aca="false">AW178*Hipótesis!$D$130</f>
        <v>30937.5089610811</v>
      </c>
      <c r="AX187" s="28" t="n">
        <f aca="false">AX178*Hipótesis!$D$130</f>
        <v>30937.5089610811</v>
      </c>
      <c r="AY187" s="28" t="n">
        <f aca="false">AY178*Hipótesis!$D$130</f>
        <v>30937.5089610811</v>
      </c>
      <c r="AZ187" s="28" t="n">
        <f aca="false">AZ178*Hipótesis!$D$130</f>
        <v>30937.5089610811</v>
      </c>
      <c r="BA187" s="28" t="n">
        <f aca="false">BA178*Hipótesis!$D$130</f>
        <v>30937.5089610811</v>
      </c>
      <c r="BB187" s="28" t="n">
        <f aca="false">BB178*Hipótesis!$D$130</f>
        <v>30937.5089610811</v>
      </c>
      <c r="BC187" s="28" t="n">
        <f aca="false">BC178*Hipótesis!$D$130</f>
        <v>4640.62634416216</v>
      </c>
      <c r="BD187" s="28" t="n">
        <f aca="false">BD178*Hipótesis!$D$130</f>
        <v>30937.5089610811</v>
      </c>
      <c r="BE187" s="28" t="n">
        <f aca="false">BE178*Hipótesis!$D$130</f>
        <v>30937.5089610811</v>
      </c>
      <c r="BF187" s="28" t="n">
        <f aca="false">BF178*Hipótesis!$D$130</f>
        <v>30937.5089610811</v>
      </c>
      <c r="BG187" s="28" t="n">
        <f aca="false">BG178*Hipótesis!$D$130</f>
        <v>30937.5089610811</v>
      </c>
      <c r="BH187" s="28" t="n">
        <f aca="false">BH178*Hipótesis!$D$130</f>
        <v>30937.5089610811</v>
      </c>
      <c r="BI187" s="28" t="n">
        <f aca="false">BI178*Hipótesis!$D$130</f>
        <v>30937.5089610811</v>
      </c>
      <c r="BJ187" s="28" t="n">
        <f aca="false">BJ178*Hipótesis!$D$130</f>
        <v>30937.5089610811</v>
      </c>
      <c r="BK187" s="28" t="n">
        <f aca="false">BK178*Hipótesis!$D$130</f>
        <v>30937.5089610811</v>
      </c>
      <c r="BL187" s="28" t="n">
        <f aca="false">BL178*Hipótesis!$D$130</f>
        <v>30937.5089610811</v>
      </c>
      <c r="BM187" s="28" t="n">
        <f aca="false">BM178*Hipótesis!$D$130</f>
        <v>30937.5089610811</v>
      </c>
      <c r="BN187" s="28" t="n">
        <f aca="false">BN178*Hipótesis!$D$130</f>
        <v>30937.5089610811</v>
      </c>
      <c r="BO187" s="28" t="n">
        <f aca="false">BO178*Hipótesis!$D$130</f>
        <v>4640.62634416216</v>
      </c>
      <c r="BP187" s="28" t="n">
        <f aca="false">BP178*Hipótesis!$D$130</f>
        <v>30937.5089610811</v>
      </c>
      <c r="BQ187" s="28" t="n">
        <f aca="false">BQ178*Hipótesis!$D$130</f>
        <v>30937.5089610811</v>
      </c>
      <c r="BR187" s="28" t="n">
        <f aca="false">BR178*Hipótesis!$D$130</f>
        <v>30937.5089610811</v>
      </c>
      <c r="BS187" s="28" t="n">
        <f aca="false">BS178*Hipótesis!$D$130</f>
        <v>30937.5089610811</v>
      </c>
      <c r="BT187" s="28" t="n">
        <f aca="false">BT178*Hipótesis!$D$130</f>
        <v>30937.5089610811</v>
      </c>
      <c r="BU187" s="28" t="n">
        <f aca="false">BU178*Hipótesis!$D$130</f>
        <v>30937.5089610811</v>
      </c>
      <c r="BV187" s="28" t="n">
        <f aca="false">BV178*Hipótesis!$D$130</f>
        <v>30937.5089610811</v>
      </c>
      <c r="BW187" s="28" t="n">
        <f aca="false">BW178*Hipótesis!$D$130</f>
        <v>30937.5089610811</v>
      </c>
      <c r="BX187" s="28" t="n">
        <f aca="false">BX178*Hipótesis!$D$130</f>
        <v>30937.5089610811</v>
      </c>
      <c r="BY187" s="28" t="n">
        <f aca="false">BY178*Hipótesis!$D$130</f>
        <v>30937.5089610811</v>
      </c>
      <c r="BZ187" s="28" t="n">
        <f aca="false">BZ178*Hipótesis!$D$130</f>
        <v>30937.5089610811</v>
      </c>
      <c r="CA187" s="28" t="n">
        <f aca="false">CA178*Hipótesis!$D$130</f>
        <v>4640.62634416216</v>
      </c>
      <c r="CB187" s="28" t="n">
        <f aca="false">CB178*Hipótesis!$D$130</f>
        <v>30937.5089610811</v>
      </c>
      <c r="CC187" s="28" t="n">
        <f aca="false">CC178*Hipótesis!$D$130</f>
        <v>30937.5089610811</v>
      </c>
      <c r="CD187" s="28" t="n">
        <f aca="false">CD178*Hipótesis!$D$130</f>
        <v>30937.5089610811</v>
      </c>
      <c r="CE187" s="28" t="n">
        <f aca="false">CE178*Hipótesis!$D$130</f>
        <v>30937.5089610811</v>
      </c>
      <c r="CF187" s="28" t="n">
        <f aca="false">CF178*Hipótesis!$D$130</f>
        <v>30937.5089610811</v>
      </c>
      <c r="CG187" s="28" t="n">
        <f aca="false">CG178*Hipótesis!$D$130</f>
        <v>30937.5089610811</v>
      </c>
      <c r="CH187" s="28" t="n">
        <f aca="false">CH178*Hipótesis!$D$130</f>
        <v>30937.5089610811</v>
      </c>
    </row>
    <row r="188" customFormat="false" ht="15" hidden="false" customHeight="false" outlineLevel="0" collapsed="false">
      <c r="A188" s="1" t="s">
        <v>849</v>
      </c>
      <c r="C188" s="27" t="n">
        <f aca="false">IFERROR(C187/Restaurantes!$D$22,0)</f>
        <v>44.5657000303675</v>
      </c>
      <c r="D188" s="27" t="n">
        <f aca="false">IFERROR(D187/Restaurantes!$D$22,0)</f>
        <v>89.1314000607349</v>
      </c>
      <c r="E188" s="27" t="n">
        <f aca="false">IFERROR(E187/Restaurantes!$D$22,0)</f>
        <v>133.697100091102</v>
      </c>
      <c r="F188" s="27" t="n">
        <f aca="false">IFERROR(F187/Restaurantes!$D$22,0)</f>
        <v>178.26280012147</v>
      </c>
      <c r="G188" s="27" t="n">
        <f aca="false">IFERROR(G187/Restaurantes!$D$22,0)</f>
        <v>33.4242750227756</v>
      </c>
      <c r="H188" s="27" t="n">
        <f aca="false">IFERROR(H187/Restaurantes!$D$22,0)</f>
        <v>267.394200182205</v>
      </c>
      <c r="I188" s="27" t="n">
        <f aca="false">IFERROR(I187/Restaurantes!$D$22,0)</f>
        <v>311.959900212572</v>
      </c>
      <c r="J188" s="27" t="n">
        <f aca="false">IFERROR(J187/Restaurantes!$D$22,0)</f>
        <v>356.52560024294</v>
      </c>
      <c r="K188" s="27" t="n">
        <f aca="false">IFERROR(K187/Restaurantes!$D$22,0)</f>
        <v>401.091300273307</v>
      </c>
      <c r="L188" s="27" t="n">
        <f aca="false">IFERROR(L187/Restaurantes!$D$22,0)</f>
        <v>445.657000303675</v>
      </c>
      <c r="M188" s="27" t="n">
        <f aca="false">IFERROR(M187/Restaurantes!$D$22,0)</f>
        <v>490.222700334042</v>
      </c>
      <c r="N188" s="27" t="n">
        <f aca="false">IFERROR(N187/Restaurantes!$D$22,0)</f>
        <v>534.788400364409</v>
      </c>
      <c r="O188" s="27" t="n">
        <f aca="false">IFERROR(O187/Restaurantes!$D$22,0)</f>
        <v>579.354100394777</v>
      </c>
      <c r="P188" s="27" t="n">
        <f aca="false">IFERROR(P187/Restaurantes!$D$22,0)</f>
        <v>623.919800425144</v>
      </c>
      <c r="Q188" s="27" t="n">
        <f aca="false">IFERROR(Q187/Restaurantes!$D$22,0)</f>
        <v>668.485500455512</v>
      </c>
      <c r="R188" s="27" t="n">
        <f aca="false">IFERROR(R187/Restaurantes!$D$22,0)</f>
        <v>713.051200485879</v>
      </c>
      <c r="S188" s="27" t="n">
        <f aca="false">IFERROR(S187/Restaurantes!$D$22,0)</f>
        <v>113.642535077437</v>
      </c>
      <c r="T188" s="27" t="n">
        <f aca="false">IFERROR(T187/Restaurantes!$D$22,0)</f>
        <v>802.182600546614</v>
      </c>
      <c r="U188" s="27" t="n">
        <f aca="false">IFERROR(U187/Restaurantes!$D$22,0)</f>
        <v>846.748300576982</v>
      </c>
      <c r="V188" s="27" t="n">
        <f aca="false">IFERROR(V187/Restaurantes!$D$22,0)</f>
        <v>891.314000607349</v>
      </c>
      <c r="W188" s="27" t="n">
        <f aca="false">IFERROR(W187/Restaurantes!$D$22,0)</f>
        <v>935.879700637717</v>
      </c>
      <c r="X188" s="27" t="n">
        <f aca="false">IFERROR(X187/Restaurantes!$D$22,0)</f>
        <v>980.445400668084</v>
      </c>
      <c r="Y188" s="27" t="n">
        <f aca="false">IFERROR(Y187/Restaurantes!$D$22,0)</f>
        <v>1025.01110069845</v>
      </c>
      <c r="Z188" s="27" t="n">
        <f aca="false">IFERROR(Z187/Restaurantes!$D$22,0)</f>
        <v>1069.57680072882</v>
      </c>
      <c r="AA188" s="27" t="n">
        <f aca="false">IFERROR(AA187/Restaurantes!$D$22,0)</f>
        <v>1069.57680072882</v>
      </c>
      <c r="AB188" s="27" t="n">
        <f aca="false">IFERROR(AB187/Restaurantes!$D$22,0)</f>
        <v>1069.57680072882</v>
      </c>
      <c r="AC188" s="27" t="n">
        <f aca="false">IFERROR(AC187/Restaurantes!$D$22,0)</f>
        <v>1069.57680072882</v>
      </c>
      <c r="AD188" s="27" t="n">
        <f aca="false">IFERROR(AD187/Restaurantes!$D$22,0)</f>
        <v>1069.57680072882</v>
      </c>
      <c r="AE188" s="27" t="n">
        <f aca="false">IFERROR(AE187/Restaurantes!$D$22,0)</f>
        <v>160.436520109323</v>
      </c>
      <c r="AF188" s="27" t="n">
        <f aca="false">IFERROR(AF187/Restaurantes!$D$22,0)</f>
        <v>1069.57680072882</v>
      </c>
      <c r="AG188" s="27" t="n">
        <f aca="false">IFERROR(AG187/Restaurantes!$D$22,0)</f>
        <v>1069.57680072882</v>
      </c>
      <c r="AH188" s="27" t="n">
        <f aca="false">IFERROR(AH187/Restaurantes!$D$22,0)</f>
        <v>1069.57680072882</v>
      </c>
      <c r="AI188" s="27" t="n">
        <f aca="false">IFERROR(AI187/Restaurantes!$D$22,0)</f>
        <v>1069.57680072882</v>
      </c>
      <c r="AJ188" s="27" t="n">
        <f aca="false">IFERROR(AJ187/Restaurantes!$D$22,0)</f>
        <v>1069.57680072882</v>
      </c>
      <c r="AK188" s="27" t="n">
        <f aca="false">IFERROR(AK187/Restaurantes!$D$22,0)</f>
        <v>1069.57680072882</v>
      </c>
      <c r="AL188" s="27" t="n">
        <f aca="false">IFERROR(AL187/Restaurantes!$D$22,0)</f>
        <v>1069.57680072882</v>
      </c>
      <c r="AM188" s="27" t="n">
        <f aca="false">IFERROR(AM187/Restaurantes!$D$22,0)</f>
        <v>1069.57680072882</v>
      </c>
      <c r="AN188" s="27" t="n">
        <f aca="false">IFERROR(AN187/Restaurantes!$D$22,0)</f>
        <v>1069.57680072882</v>
      </c>
      <c r="AO188" s="27" t="n">
        <f aca="false">IFERROR(AO187/Restaurantes!$D$22,0)</f>
        <v>1069.57680072882</v>
      </c>
      <c r="AP188" s="27" t="n">
        <f aca="false">IFERROR(AP187/Restaurantes!$D$22,0)</f>
        <v>1069.57680072882</v>
      </c>
      <c r="AQ188" s="27" t="n">
        <f aca="false">IFERROR(AQ187/Restaurantes!$D$22,0)</f>
        <v>160.436520109323</v>
      </c>
      <c r="AR188" s="27" t="n">
        <f aca="false">IFERROR(AR187/Restaurantes!$D$22,0)</f>
        <v>1069.57680072882</v>
      </c>
      <c r="AS188" s="27" t="n">
        <f aca="false">IFERROR(AS187/Restaurantes!$D$22,0)</f>
        <v>1069.57680072882</v>
      </c>
      <c r="AT188" s="27" t="n">
        <f aca="false">IFERROR(AT187/Restaurantes!$D$22,0)</f>
        <v>1069.57680072882</v>
      </c>
      <c r="AU188" s="27" t="n">
        <f aca="false">IFERROR(AU187/Restaurantes!$D$22,0)</f>
        <v>1069.57680072882</v>
      </c>
      <c r="AV188" s="27" t="n">
        <f aca="false">IFERROR(AV187/Restaurantes!$D$22,0)</f>
        <v>1069.57680072882</v>
      </c>
      <c r="AW188" s="27" t="n">
        <f aca="false">IFERROR(AW187/Restaurantes!$D$22,0)</f>
        <v>1069.57680072882</v>
      </c>
      <c r="AX188" s="27" t="n">
        <f aca="false">IFERROR(AX187/Restaurantes!$D$22,0)</f>
        <v>1069.57680072882</v>
      </c>
      <c r="AY188" s="27" t="n">
        <f aca="false">IFERROR(AY187/Restaurantes!$D$22,0)</f>
        <v>1069.57680072882</v>
      </c>
      <c r="AZ188" s="27" t="n">
        <f aca="false">IFERROR(AZ187/Restaurantes!$D$22,0)</f>
        <v>1069.57680072882</v>
      </c>
      <c r="BA188" s="27" t="n">
        <f aca="false">IFERROR(BA187/Restaurantes!$D$22,0)</f>
        <v>1069.57680072882</v>
      </c>
      <c r="BB188" s="27" t="n">
        <f aca="false">IFERROR(BB187/Restaurantes!$D$22,0)</f>
        <v>1069.57680072882</v>
      </c>
      <c r="BC188" s="27" t="n">
        <f aca="false">IFERROR(BC187/Restaurantes!$D$22,0)</f>
        <v>160.436520109323</v>
      </c>
      <c r="BD188" s="27" t="n">
        <f aca="false">IFERROR(BD187/Restaurantes!$D$22,0)</f>
        <v>1069.57680072882</v>
      </c>
      <c r="BE188" s="27" t="n">
        <f aca="false">IFERROR(BE187/Restaurantes!$D$22,0)</f>
        <v>1069.57680072882</v>
      </c>
      <c r="BF188" s="27" t="n">
        <f aca="false">IFERROR(BF187/Restaurantes!$D$22,0)</f>
        <v>1069.57680072882</v>
      </c>
      <c r="BG188" s="27" t="n">
        <f aca="false">IFERROR(BG187/Restaurantes!$D$22,0)</f>
        <v>1069.57680072882</v>
      </c>
      <c r="BH188" s="27" t="n">
        <f aca="false">IFERROR(BH187/Restaurantes!$D$22,0)</f>
        <v>1069.57680072882</v>
      </c>
      <c r="BI188" s="27" t="n">
        <f aca="false">IFERROR(BI187/Restaurantes!$D$22,0)</f>
        <v>1069.57680072882</v>
      </c>
      <c r="BJ188" s="27" t="n">
        <f aca="false">IFERROR(BJ187/Restaurantes!$D$22,0)</f>
        <v>1069.57680072882</v>
      </c>
      <c r="BK188" s="27" t="n">
        <f aca="false">IFERROR(BK187/Restaurantes!$D$22,0)</f>
        <v>1069.57680072882</v>
      </c>
      <c r="BL188" s="27" t="n">
        <f aca="false">IFERROR(BL187/Restaurantes!$D$22,0)</f>
        <v>1069.57680072882</v>
      </c>
      <c r="BM188" s="27" t="n">
        <f aca="false">IFERROR(BM187/Restaurantes!$D$22,0)</f>
        <v>1069.57680072882</v>
      </c>
      <c r="BN188" s="27" t="n">
        <f aca="false">IFERROR(BN187/Restaurantes!$D$22,0)</f>
        <v>1069.57680072882</v>
      </c>
      <c r="BO188" s="27" t="n">
        <f aca="false">IFERROR(BO187/Restaurantes!$D$22,0)</f>
        <v>160.436520109323</v>
      </c>
      <c r="BP188" s="27" t="n">
        <f aca="false">IFERROR(BP187/Restaurantes!$D$22,0)</f>
        <v>1069.57680072882</v>
      </c>
      <c r="BQ188" s="27" t="n">
        <f aca="false">IFERROR(BQ187/Restaurantes!$D$22,0)</f>
        <v>1069.57680072882</v>
      </c>
      <c r="BR188" s="27" t="n">
        <f aca="false">IFERROR(BR187/Restaurantes!$D$22,0)</f>
        <v>1069.57680072882</v>
      </c>
      <c r="BS188" s="27" t="n">
        <f aca="false">IFERROR(BS187/Restaurantes!$D$22,0)</f>
        <v>1069.57680072882</v>
      </c>
      <c r="BT188" s="27" t="n">
        <f aca="false">IFERROR(BT187/Restaurantes!$D$22,0)</f>
        <v>1069.57680072882</v>
      </c>
      <c r="BU188" s="27" t="n">
        <f aca="false">IFERROR(BU187/Restaurantes!$D$22,0)</f>
        <v>1069.57680072882</v>
      </c>
      <c r="BV188" s="27" t="n">
        <f aca="false">IFERROR(BV187/Restaurantes!$D$22,0)</f>
        <v>1069.57680072882</v>
      </c>
      <c r="BW188" s="27" t="n">
        <f aca="false">IFERROR(BW187/Restaurantes!$D$22,0)</f>
        <v>1069.57680072882</v>
      </c>
      <c r="BX188" s="27" t="n">
        <f aca="false">IFERROR(BX187/Restaurantes!$D$22,0)</f>
        <v>1069.57680072882</v>
      </c>
      <c r="BY188" s="27" t="n">
        <f aca="false">IFERROR(BY187/Restaurantes!$D$22,0)</f>
        <v>1069.57680072882</v>
      </c>
      <c r="BZ188" s="27" t="n">
        <f aca="false">IFERROR(BZ187/Restaurantes!$D$22,0)</f>
        <v>1069.57680072882</v>
      </c>
      <c r="CA188" s="27" t="n">
        <f aca="false">IFERROR(CA187/Restaurantes!$D$22,0)</f>
        <v>160.436520109323</v>
      </c>
      <c r="CB188" s="27" t="n">
        <f aca="false">IFERROR(CB187/Restaurantes!$D$22,0)</f>
        <v>1069.57680072882</v>
      </c>
      <c r="CC188" s="27" t="n">
        <f aca="false">IFERROR(CC187/Restaurantes!$D$22,0)</f>
        <v>1069.57680072882</v>
      </c>
      <c r="CD188" s="27" t="n">
        <f aca="false">IFERROR(CD187/Restaurantes!$D$22,0)</f>
        <v>1069.57680072882</v>
      </c>
      <c r="CE188" s="27" t="n">
        <f aca="false">IFERROR(CE187/Restaurantes!$D$22,0)</f>
        <v>1069.57680072882</v>
      </c>
      <c r="CF188" s="27" t="n">
        <f aca="false">IFERROR(CF187/Restaurantes!$D$22,0)</f>
        <v>1069.57680072882</v>
      </c>
      <c r="CG188" s="27" t="n">
        <f aca="false">IFERROR(CG187/Restaurantes!$D$22,0)</f>
        <v>1069.57680072882</v>
      </c>
      <c r="CH188" s="27" t="n">
        <f aca="false">IFERROR(CH187/Restaurantes!$D$22,0)</f>
        <v>1069.57680072882</v>
      </c>
    </row>
    <row r="189" customFormat="false" ht="15" hidden="false" customHeight="false" outlineLevel="0" collapsed="false">
      <c r="A189" s="1" t="s">
        <v>850</v>
      </c>
      <c r="C189" s="28" t="n">
        <f aca="false">C188*Restaurantes!$D$30*Restaurantes!$D$29</f>
        <v>0</v>
      </c>
      <c r="D189" s="28" t="n">
        <f aca="false">D188*Restaurantes!$D$30*Restaurantes!$D$29</f>
        <v>0</v>
      </c>
      <c r="E189" s="28" t="n">
        <f aca="false">E188*Restaurantes!$D$30*Restaurantes!$D$29</f>
        <v>0</v>
      </c>
      <c r="F189" s="28" t="n">
        <f aca="false">F188*Restaurantes!$D$30*Restaurantes!$D$29</f>
        <v>0</v>
      </c>
      <c r="G189" s="28" t="n">
        <f aca="false">G188*Restaurantes!$D$30*Restaurantes!$D$29</f>
        <v>0</v>
      </c>
      <c r="H189" s="28" t="n">
        <f aca="false">H188*Restaurantes!$D$30*Restaurantes!$D$29</f>
        <v>0</v>
      </c>
      <c r="I189" s="28" t="n">
        <f aca="false">I188*Restaurantes!$D$30*Restaurantes!$D$29</f>
        <v>0</v>
      </c>
      <c r="J189" s="28" t="n">
        <f aca="false">J188*Restaurantes!$D$30*Restaurantes!$D$29</f>
        <v>0</v>
      </c>
      <c r="K189" s="28" t="n">
        <f aca="false">K188*Restaurantes!$D$30*Restaurantes!$D$29</f>
        <v>0</v>
      </c>
      <c r="L189" s="28" t="n">
        <f aca="false">L188*Restaurantes!$D$30*Restaurantes!$D$29</f>
        <v>0</v>
      </c>
      <c r="M189" s="28" t="n">
        <f aca="false">M188*Restaurantes!$D$30*Restaurantes!$D$29</f>
        <v>0</v>
      </c>
      <c r="N189" s="28" t="n">
        <f aca="false">N188*Restaurantes!$D$30*Restaurantes!$D$29</f>
        <v>0</v>
      </c>
      <c r="O189" s="28" t="n">
        <f aca="false">O188*Restaurantes!$D$30*Restaurantes!$D$29</f>
        <v>0</v>
      </c>
      <c r="P189" s="28" t="n">
        <f aca="false">P188*Restaurantes!$D$30*Restaurantes!$D$29</f>
        <v>0</v>
      </c>
      <c r="Q189" s="28" t="n">
        <f aca="false">Q188*Restaurantes!$D$30*Restaurantes!$D$29</f>
        <v>0</v>
      </c>
      <c r="R189" s="28" t="n">
        <f aca="false">R188*Restaurantes!$D$30*Restaurantes!$D$29</f>
        <v>0</v>
      </c>
      <c r="S189" s="28" t="n">
        <f aca="false">S188*Restaurantes!$D$30*Restaurantes!$D$29</f>
        <v>0</v>
      </c>
      <c r="T189" s="28" t="n">
        <f aca="false">T188*Restaurantes!$D$30*Restaurantes!$D$29</f>
        <v>0</v>
      </c>
      <c r="U189" s="28" t="n">
        <f aca="false">U188*Restaurantes!$D$30*Restaurantes!$D$29</f>
        <v>0</v>
      </c>
      <c r="V189" s="28" t="n">
        <f aca="false">V188*Restaurantes!$D$30*Restaurantes!$D$29</f>
        <v>0</v>
      </c>
      <c r="W189" s="28" t="n">
        <f aca="false">W188*Restaurantes!$D$30*Restaurantes!$D$29</f>
        <v>0</v>
      </c>
      <c r="X189" s="28" t="n">
        <f aca="false">X188*Restaurantes!$D$30*Restaurantes!$D$29</f>
        <v>0</v>
      </c>
      <c r="Y189" s="28" t="n">
        <f aca="false">Y188*Restaurantes!$D$30*Restaurantes!$D$29</f>
        <v>0</v>
      </c>
      <c r="Z189" s="28" t="n">
        <f aca="false">Z188*Restaurantes!$D$30*Restaurantes!$D$29</f>
        <v>0</v>
      </c>
      <c r="AA189" s="28" t="n">
        <f aca="false">AA188*Restaurantes!$D$30*Restaurantes!$D$29</f>
        <v>0</v>
      </c>
      <c r="AB189" s="28" t="n">
        <f aca="false">AB188*Restaurantes!$D$30*Restaurantes!$D$29</f>
        <v>0</v>
      </c>
      <c r="AC189" s="28" t="n">
        <f aca="false">AC188*Restaurantes!$D$30*Restaurantes!$D$29</f>
        <v>0</v>
      </c>
      <c r="AD189" s="28" t="n">
        <f aca="false">AD188*Restaurantes!$D$30*Restaurantes!$D$29</f>
        <v>0</v>
      </c>
      <c r="AE189" s="28" t="n">
        <f aca="false">AE188*Restaurantes!$D$30*Restaurantes!$D$29</f>
        <v>0</v>
      </c>
      <c r="AF189" s="28" t="n">
        <f aca="false">AF188*Restaurantes!$D$30*Restaurantes!$D$29</f>
        <v>0</v>
      </c>
      <c r="AG189" s="28" t="n">
        <f aca="false">AG188*Restaurantes!$D$30*Restaurantes!$D$29</f>
        <v>0</v>
      </c>
      <c r="AH189" s="28" t="n">
        <f aca="false">AH188*Restaurantes!$D$30*Restaurantes!$D$29</f>
        <v>0</v>
      </c>
      <c r="AI189" s="28" t="n">
        <f aca="false">AI188*Restaurantes!$D$30*Restaurantes!$D$29</f>
        <v>0</v>
      </c>
      <c r="AJ189" s="28" t="n">
        <f aca="false">AJ188*Restaurantes!$D$30*Restaurantes!$D$29</f>
        <v>0</v>
      </c>
      <c r="AK189" s="28" t="n">
        <f aca="false">AK188*Restaurantes!$D$30*Restaurantes!$D$29</f>
        <v>0</v>
      </c>
      <c r="AL189" s="28" t="n">
        <f aca="false">AL188*Restaurantes!$D$30*Restaurantes!$D$29</f>
        <v>0</v>
      </c>
      <c r="AM189" s="28" t="n">
        <f aca="false">AM188*Restaurantes!$D$30*Restaurantes!$D$29</f>
        <v>0</v>
      </c>
      <c r="AN189" s="28" t="n">
        <f aca="false">AN188*Restaurantes!$D$30*Restaurantes!$D$29</f>
        <v>0</v>
      </c>
      <c r="AO189" s="28" t="n">
        <f aca="false">AO188*Restaurantes!$D$30*Restaurantes!$D$29</f>
        <v>0</v>
      </c>
      <c r="AP189" s="28" t="n">
        <f aca="false">AP188*Restaurantes!$D$30*Restaurantes!$D$29</f>
        <v>0</v>
      </c>
      <c r="AQ189" s="28" t="n">
        <f aca="false">AQ188*Restaurantes!$D$30*Restaurantes!$D$29</f>
        <v>0</v>
      </c>
      <c r="AR189" s="28" t="n">
        <f aca="false">AR188*Restaurantes!$D$30*Restaurantes!$D$29</f>
        <v>0</v>
      </c>
      <c r="AS189" s="28" t="n">
        <f aca="false">AS188*Restaurantes!$D$30*Restaurantes!$D$29</f>
        <v>0</v>
      </c>
      <c r="AT189" s="28" t="n">
        <f aca="false">AT188*Restaurantes!$D$30*Restaurantes!$D$29</f>
        <v>0</v>
      </c>
      <c r="AU189" s="28" t="n">
        <f aca="false">AU188*Restaurantes!$D$30*Restaurantes!$D$29</f>
        <v>0</v>
      </c>
      <c r="AV189" s="28" t="n">
        <f aca="false">AV188*Restaurantes!$D$30*Restaurantes!$D$29</f>
        <v>0</v>
      </c>
      <c r="AW189" s="28" t="n">
        <f aca="false">AW188*Restaurantes!$D$30*Restaurantes!$D$29</f>
        <v>0</v>
      </c>
      <c r="AX189" s="28" t="n">
        <f aca="false">AX188*Restaurantes!$D$30*Restaurantes!$D$29</f>
        <v>0</v>
      </c>
      <c r="AY189" s="28" t="n">
        <f aca="false">AY188*Restaurantes!$D$30*Restaurantes!$D$29</f>
        <v>0</v>
      </c>
      <c r="AZ189" s="28" t="n">
        <f aca="false">AZ188*Restaurantes!$D$30*Restaurantes!$D$29</f>
        <v>0</v>
      </c>
      <c r="BA189" s="28" t="n">
        <f aca="false">BA188*Restaurantes!$D$30*Restaurantes!$D$29</f>
        <v>0</v>
      </c>
      <c r="BB189" s="28" t="n">
        <f aca="false">BB188*Restaurantes!$D$30*Restaurantes!$D$29</f>
        <v>0</v>
      </c>
      <c r="BC189" s="28" t="n">
        <f aca="false">BC188*Restaurantes!$D$30*Restaurantes!$D$29</f>
        <v>0</v>
      </c>
      <c r="BD189" s="28" t="n">
        <f aca="false">BD188*Restaurantes!$D$30*Restaurantes!$D$29</f>
        <v>0</v>
      </c>
      <c r="BE189" s="28" t="n">
        <f aca="false">BE188*Restaurantes!$D$30*Restaurantes!$D$29</f>
        <v>0</v>
      </c>
      <c r="BF189" s="28" t="n">
        <f aca="false">BF188*Restaurantes!$D$30*Restaurantes!$D$29</f>
        <v>0</v>
      </c>
      <c r="BG189" s="28" t="n">
        <f aca="false">BG188*Restaurantes!$D$30*Restaurantes!$D$29</f>
        <v>0</v>
      </c>
      <c r="BH189" s="28" t="n">
        <f aca="false">BH188*Restaurantes!$D$30*Restaurantes!$D$29</f>
        <v>0</v>
      </c>
      <c r="BI189" s="28" t="n">
        <f aca="false">BI188*Restaurantes!$D$30*Restaurantes!$D$29</f>
        <v>0</v>
      </c>
      <c r="BJ189" s="28" t="n">
        <f aca="false">BJ188*Restaurantes!$D$30*Restaurantes!$D$29</f>
        <v>0</v>
      </c>
      <c r="BK189" s="28" t="n">
        <f aca="false">BK188*Restaurantes!$D$30*Restaurantes!$D$29</f>
        <v>0</v>
      </c>
      <c r="BL189" s="28" t="n">
        <f aca="false">BL188*Restaurantes!$D$30*Restaurantes!$D$29</f>
        <v>0</v>
      </c>
      <c r="BM189" s="28" t="n">
        <f aca="false">BM188*Restaurantes!$D$30*Restaurantes!$D$29</f>
        <v>0</v>
      </c>
      <c r="BN189" s="28" t="n">
        <f aca="false">BN188*Restaurantes!$D$30*Restaurantes!$D$29</f>
        <v>0</v>
      </c>
      <c r="BO189" s="28" t="n">
        <f aca="false">BO188*Restaurantes!$D$30*Restaurantes!$D$29</f>
        <v>0</v>
      </c>
      <c r="BP189" s="28" t="n">
        <f aca="false">BP188*Restaurantes!$D$30*Restaurantes!$D$29</f>
        <v>0</v>
      </c>
      <c r="BQ189" s="28" t="n">
        <f aca="false">BQ188*Restaurantes!$D$30*Restaurantes!$D$29</f>
        <v>0</v>
      </c>
      <c r="BR189" s="28" t="n">
        <f aca="false">BR188*Restaurantes!$D$30*Restaurantes!$D$29</f>
        <v>0</v>
      </c>
      <c r="BS189" s="28" t="n">
        <f aca="false">BS188*Restaurantes!$D$30*Restaurantes!$D$29</f>
        <v>0</v>
      </c>
      <c r="BT189" s="28" t="n">
        <f aca="false">BT188*Restaurantes!$D$30*Restaurantes!$D$29</f>
        <v>0</v>
      </c>
      <c r="BU189" s="28" t="n">
        <f aca="false">BU188*Restaurantes!$D$30*Restaurantes!$D$29</f>
        <v>0</v>
      </c>
      <c r="BV189" s="28" t="n">
        <f aca="false">BV188*Restaurantes!$D$30*Restaurantes!$D$29</f>
        <v>0</v>
      </c>
      <c r="BW189" s="28" t="n">
        <f aca="false">BW188*Restaurantes!$D$30*Restaurantes!$D$29</f>
        <v>0</v>
      </c>
      <c r="BX189" s="28" t="n">
        <f aca="false">BX188*Restaurantes!$D$30*Restaurantes!$D$29</f>
        <v>0</v>
      </c>
      <c r="BY189" s="28" t="n">
        <f aca="false">BY188*Restaurantes!$D$30*Restaurantes!$D$29</f>
        <v>0</v>
      </c>
      <c r="BZ189" s="28" t="n">
        <f aca="false">BZ188*Restaurantes!$D$30*Restaurantes!$D$29</f>
        <v>0</v>
      </c>
      <c r="CA189" s="28" t="n">
        <f aca="false">CA188*Restaurantes!$D$30*Restaurantes!$D$29</f>
        <v>0</v>
      </c>
      <c r="CB189" s="28" t="n">
        <f aca="false">CB188*Restaurantes!$D$30*Restaurantes!$D$29</f>
        <v>0</v>
      </c>
      <c r="CC189" s="28" t="n">
        <f aca="false">CC188*Restaurantes!$D$30*Restaurantes!$D$29</f>
        <v>0</v>
      </c>
      <c r="CD189" s="28" t="n">
        <f aca="false">CD188*Restaurantes!$D$30*Restaurantes!$D$29</f>
        <v>0</v>
      </c>
      <c r="CE189" s="28" t="n">
        <f aca="false">CE188*Restaurantes!$D$30*Restaurantes!$D$29</f>
        <v>0</v>
      </c>
      <c r="CF189" s="28" t="n">
        <f aca="false">CF188*Restaurantes!$D$30*Restaurantes!$D$29</f>
        <v>0</v>
      </c>
      <c r="CG189" s="28" t="n">
        <f aca="false">CG188*Restaurantes!$D$30*Restaurantes!$D$29</f>
        <v>0</v>
      </c>
      <c r="CH189" s="28" t="n">
        <f aca="false">CH188*Restaurantes!$D$30*Restaurantes!$D$29</f>
        <v>0</v>
      </c>
    </row>
    <row r="190" customFormat="false" ht="15" hidden="false" customHeight="false" outlineLevel="0" collapsed="false">
      <c r="A190" s="25" t="s">
        <v>851</v>
      </c>
      <c r="C190" s="156" t="n">
        <f aca="false">C178*Hipótesis!$D$21+C189</f>
        <v>1289.06287337838</v>
      </c>
      <c r="D190" s="156" t="n">
        <f aca="false">D178*Hipótesis!$D$21+D189</f>
        <v>2578.12574675676</v>
      </c>
      <c r="E190" s="156" t="n">
        <f aca="false">E178*Hipótesis!$D$21+E189</f>
        <v>3867.18862013514</v>
      </c>
      <c r="F190" s="156" t="n">
        <f aca="false">F178*Hipótesis!$D$21+F189</f>
        <v>5156.25149351351</v>
      </c>
      <c r="G190" s="156" t="n">
        <f aca="false">G178*Hipótesis!$D$21+G189</f>
        <v>966.797155033784</v>
      </c>
      <c r="H190" s="156" t="n">
        <f aca="false">H178*Hipótesis!$D$21+H189</f>
        <v>7734.37724027027</v>
      </c>
      <c r="I190" s="156" t="n">
        <f aca="false">I178*Hipótesis!$D$21+I189</f>
        <v>9023.44011364865</v>
      </c>
      <c r="J190" s="156" t="n">
        <f aca="false">J178*Hipótesis!$D$21+J189</f>
        <v>10312.502987027</v>
      </c>
      <c r="K190" s="156" t="n">
        <f aca="false">K178*Hipótesis!$D$21+K189</f>
        <v>11601.5658604054</v>
      </c>
      <c r="L190" s="156" t="n">
        <f aca="false">L178*Hipótesis!$D$21+L189</f>
        <v>12890.6287337838</v>
      </c>
      <c r="M190" s="156" t="n">
        <f aca="false">M178*Hipótesis!$D$21+M189</f>
        <v>14179.6916071622</v>
      </c>
      <c r="N190" s="156" t="n">
        <f aca="false">N178*Hipótesis!$D$21+N189</f>
        <v>15468.7544805405</v>
      </c>
      <c r="O190" s="156" t="n">
        <f aca="false">O178*Hipótesis!$D$21+O189</f>
        <v>16757.8173539189</v>
      </c>
      <c r="P190" s="156" t="n">
        <f aca="false">P178*Hipótesis!$D$21+P189</f>
        <v>18046.8802272973</v>
      </c>
      <c r="Q190" s="156" t="n">
        <f aca="false">Q178*Hipótesis!$D$21+Q189</f>
        <v>19335.9431006757</v>
      </c>
      <c r="R190" s="156" t="n">
        <f aca="false">R178*Hipótesis!$D$21+R189</f>
        <v>20625.0059740541</v>
      </c>
      <c r="S190" s="156" t="n">
        <f aca="false">S178*Hipótesis!$D$21+S189</f>
        <v>3287.11032711487</v>
      </c>
      <c r="T190" s="156" t="n">
        <f aca="false">T178*Hipótesis!$D$21+T189</f>
        <v>23203.1317208108</v>
      </c>
      <c r="U190" s="156" t="n">
        <f aca="false">U178*Hipótesis!$D$21+U189</f>
        <v>24492.1945941892</v>
      </c>
      <c r="V190" s="156" t="n">
        <f aca="false">V178*Hipótesis!$D$21+V189</f>
        <v>25781.2574675676</v>
      </c>
      <c r="W190" s="156" t="n">
        <f aca="false">W178*Hipótesis!$D$21+W189</f>
        <v>27070.320340946</v>
      </c>
      <c r="X190" s="156" t="n">
        <f aca="false">X178*Hipótesis!$D$21+X189</f>
        <v>28359.3832143243</v>
      </c>
      <c r="Y190" s="156" t="n">
        <f aca="false">Y178*Hipótesis!$D$21+Y189</f>
        <v>29648.4460877027</v>
      </c>
      <c r="Z190" s="156" t="n">
        <f aca="false">Z178*Hipótesis!$D$21+Z189</f>
        <v>30937.5089610811</v>
      </c>
      <c r="AA190" s="156" t="n">
        <f aca="false">AA178*Hipótesis!$D$21+AA189</f>
        <v>30937.5089610811</v>
      </c>
      <c r="AB190" s="156" t="n">
        <f aca="false">AB178*Hipótesis!$D$21+AB189</f>
        <v>30937.5089610811</v>
      </c>
      <c r="AC190" s="156" t="n">
        <f aca="false">AC178*Hipótesis!$D$21+AC189</f>
        <v>30937.5089610811</v>
      </c>
      <c r="AD190" s="156" t="n">
        <f aca="false">AD178*Hipótesis!$D$21+AD189</f>
        <v>30937.5089610811</v>
      </c>
      <c r="AE190" s="156" t="n">
        <f aca="false">AE178*Hipótesis!$D$21+AE189</f>
        <v>4640.62634416216</v>
      </c>
      <c r="AF190" s="156" t="n">
        <f aca="false">AF178*Hipótesis!$D$21+AF189</f>
        <v>30937.5089610811</v>
      </c>
      <c r="AG190" s="156" t="n">
        <f aca="false">AG178*Hipótesis!$D$21+AG189</f>
        <v>30937.5089610811</v>
      </c>
      <c r="AH190" s="156" t="n">
        <f aca="false">AH178*Hipótesis!$D$21+AH189</f>
        <v>30937.5089610811</v>
      </c>
      <c r="AI190" s="156" t="n">
        <f aca="false">AI178*Hipótesis!$D$21+AI189</f>
        <v>30937.5089610811</v>
      </c>
      <c r="AJ190" s="156" t="n">
        <f aca="false">AJ178*Hipótesis!$D$21+AJ189</f>
        <v>30937.5089610811</v>
      </c>
      <c r="AK190" s="156" t="n">
        <f aca="false">AK178*Hipótesis!$D$21+AK189</f>
        <v>30937.5089610811</v>
      </c>
      <c r="AL190" s="156" t="n">
        <f aca="false">AL178*Hipótesis!$D$21+AL189</f>
        <v>30937.5089610811</v>
      </c>
      <c r="AM190" s="156" t="n">
        <f aca="false">AM178*Hipótesis!$D$21+AM189</f>
        <v>30937.5089610811</v>
      </c>
      <c r="AN190" s="156" t="n">
        <f aca="false">AN178*Hipótesis!$D$21+AN189</f>
        <v>30937.5089610811</v>
      </c>
      <c r="AO190" s="156" t="n">
        <f aca="false">AO178*Hipótesis!$D$21+AO189</f>
        <v>30937.5089610811</v>
      </c>
      <c r="AP190" s="156" t="n">
        <f aca="false">AP178*Hipótesis!$D$21+AP189</f>
        <v>30937.5089610811</v>
      </c>
      <c r="AQ190" s="156" t="n">
        <f aca="false">AQ178*Hipótesis!$D$21+AQ189</f>
        <v>4640.62634416216</v>
      </c>
      <c r="AR190" s="156" t="n">
        <f aca="false">AR178*Hipótesis!$D$21+AR189</f>
        <v>30937.5089610811</v>
      </c>
      <c r="AS190" s="156" t="n">
        <f aca="false">AS178*Hipótesis!$D$21+AS189</f>
        <v>30937.5089610811</v>
      </c>
      <c r="AT190" s="156" t="n">
        <f aca="false">AT178*Hipótesis!$D$21+AT189</f>
        <v>30937.5089610811</v>
      </c>
      <c r="AU190" s="156" t="n">
        <f aca="false">AU178*Hipótesis!$D$21+AU189</f>
        <v>30937.5089610811</v>
      </c>
      <c r="AV190" s="156" t="n">
        <f aca="false">AV178*Hipótesis!$D$21+AV189</f>
        <v>30937.5089610811</v>
      </c>
      <c r="AW190" s="156" t="n">
        <f aca="false">AW178*Hipótesis!$D$21+AW189</f>
        <v>30937.5089610811</v>
      </c>
      <c r="AX190" s="156" t="n">
        <f aca="false">AX178*Hipótesis!$D$21+AX189</f>
        <v>30937.5089610811</v>
      </c>
      <c r="AY190" s="156" t="n">
        <f aca="false">AY178*Hipótesis!$D$21+AY189</f>
        <v>30937.5089610811</v>
      </c>
      <c r="AZ190" s="156" t="n">
        <f aca="false">AZ178*Hipótesis!$D$21+AZ189</f>
        <v>30937.5089610811</v>
      </c>
      <c r="BA190" s="156" t="n">
        <f aca="false">BA178*Hipótesis!$D$21+BA189</f>
        <v>30937.5089610811</v>
      </c>
      <c r="BB190" s="156" t="n">
        <f aca="false">BB178*Hipótesis!$D$21+BB189</f>
        <v>30937.5089610811</v>
      </c>
      <c r="BC190" s="156" t="n">
        <f aca="false">BC178*Hipótesis!$D$21+BC189</f>
        <v>4640.62634416216</v>
      </c>
      <c r="BD190" s="156" t="n">
        <f aca="false">BD178*Hipótesis!$D$21+BD189</f>
        <v>30937.5089610811</v>
      </c>
      <c r="BE190" s="156" t="n">
        <f aca="false">BE178*Hipótesis!$D$21+BE189</f>
        <v>30937.5089610811</v>
      </c>
      <c r="BF190" s="156" t="n">
        <f aca="false">BF178*Hipótesis!$D$21+BF189</f>
        <v>30937.5089610811</v>
      </c>
      <c r="BG190" s="156" t="n">
        <f aca="false">BG178*Hipótesis!$D$21+BG189</f>
        <v>30937.5089610811</v>
      </c>
      <c r="BH190" s="156" t="n">
        <f aca="false">BH178*Hipótesis!$D$21+BH189</f>
        <v>30937.5089610811</v>
      </c>
      <c r="BI190" s="156" t="n">
        <f aca="false">BI178*Hipótesis!$D$21+BI189</f>
        <v>30937.5089610811</v>
      </c>
      <c r="BJ190" s="156" t="n">
        <f aca="false">BJ178*Hipótesis!$D$21+BJ189</f>
        <v>30937.5089610811</v>
      </c>
      <c r="BK190" s="156" t="n">
        <f aca="false">BK178*Hipótesis!$D$21+BK189</f>
        <v>30937.5089610811</v>
      </c>
      <c r="BL190" s="156" t="n">
        <f aca="false">BL178*Hipótesis!$D$21+BL189</f>
        <v>30937.5089610811</v>
      </c>
      <c r="BM190" s="156" t="n">
        <f aca="false">BM178*Hipótesis!$D$21+BM189</f>
        <v>30937.5089610811</v>
      </c>
      <c r="BN190" s="156" t="n">
        <f aca="false">BN178*Hipótesis!$D$21+BN189</f>
        <v>30937.5089610811</v>
      </c>
      <c r="BO190" s="156" t="n">
        <f aca="false">BO178*Hipótesis!$D$21+BO189</f>
        <v>4640.62634416216</v>
      </c>
      <c r="BP190" s="156" t="n">
        <f aca="false">BP178*Hipótesis!$D$21+BP189</f>
        <v>30937.5089610811</v>
      </c>
      <c r="BQ190" s="156" t="n">
        <f aca="false">BQ178*Hipótesis!$D$21+BQ189</f>
        <v>30937.5089610811</v>
      </c>
      <c r="BR190" s="156" t="n">
        <f aca="false">BR178*Hipótesis!$D$21+BR189</f>
        <v>30937.5089610811</v>
      </c>
      <c r="BS190" s="156" t="n">
        <f aca="false">BS178*Hipótesis!$D$21+BS189</f>
        <v>30937.5089610811</v>
      </c>
      <c r="BT190" s="156" t="n">
        <f aca="false">BT178*Hipótesis!$D$21+BT189</f>
        <v>30937.5089610811</v>
      </c>
      <c r="BU190" s="156" t="n">
        <f aca="false">BU178*Hipótesis!$D$21+BU189</f>
        <v>30937.5089610811</v>
      </c>
      <c r="BV190" s="156" t="n">
        <f aca="false">BV178*Hipótesis!$D$21+BV189</f>
        <v>30937.5089610811</v>
      </c>
      <c r="BW190" s="156" t="n">
        <f aca="false">BW178*Hipótesis!$D$21+BW189</f>
        <v>30937.5089610811</v>
      </c>
      <c r="BX190" s="156" t="n">
        <f aca="false">BX178*Hipótesis!$D$21+BX189</f>
        <v>30937.5089610811</v>
      </c>
      <c r="BY190" s="156" t="n">
        <f aca="false">BY178*Hipótesis!$D$21+BY189</f>
        <v>30937.5089610811</v>
      </c>
      <c r="BZ190" s="156" t="n">
        <f aca="false">BZ178*Hipótesis!$D$21+BZ189</f>
        <v>30937.5089610811</v>
      </c>
      <c r="CA190" s="156" t="n">
        <f aca="false">CA178*Hipótesis!$D$21+CA189</f>
        <v>4640.62634416216</v>
      </c>
      <c r="CB190" s="156" t="n">
        <f aca="false">CB178*Hipótesis!$D$21+CB189</f>
        <v>30937.5089610811</v>
      </c>
      <c r="CC190" s="156" t="n">
        <f aca="false">CC178*Hipótesis!$D$21+CC189</f>
        <v>30937.5089610811</v>
      </c>
      <c r="CD190" s="156" t="n">
        <f aca="false">CD178*Hipótesis!$D$21+CD189</f>
        <v>30937.5089610811</v>
      </c>
      <c r="CE190" s="156" t="n">
        <f aca="false">CE178*Hipótesis!$D$21+CE189</f>
        <v>30937.5089610811</v>
      </c>
      <c r="CF190" s="156" t="n">
        <f aca="false">CF178*Hipótesis!$D$21+CF189</f>
        <v>30937.5089610811</v>
      </c>
      <c r="CG190" s="156" t="n">
        <f aca="false">CG178*Hipótesis!$D$21+CG189</f>
        <v>30937.5089610811</v>
      </c>
      <c r="CH190" s="156" t="n">
        <f aca="false">CH178*Hipótesis!$D$21+CH189</f>
        <v>30937.5089610811</v>
      </c>
    </row>
    <row r="191" customFormat="false" ht="15" hidden="false" customHeight="false" outlineLevel="0" collapsed="false">
      <c r="A191" s="1" t="s">
        <v>852</v>
      </c>
      <c r="C191" s="26" t="n">
        <f aca="false">IFERROR(C190/(C186+C190),0)</f>
        <v>0.555107055788306</v>
      </c>
      <c r="D191" s="26" t="n">
        <f aca="false">IFERROR(D190/(D186+D190),0)</f>
        <v>0.545903611639494</v>
      </c>
      <c r="E191" s="26" t="n">
        <f aca="false">IFERROR(E190/(E186+E190),0)</f>
        <v>0.464535469082642</v>
      </c>
      <c r="F191" s="26" t="n">
        <f aca="false">IFERROR(F190/(F186+F190),0)</f>
        <v>0.473315413819711</v>
      </c>
      <c r="G191" s="26" t="n">
        <f aca="false">IFERROR(G190/(G186+G190),0)</f>
        <v>0.122284428133061</v>
      </c>
      <c r="H191" s="26" t="n">
        <f aca="false">IFERROR(H190/(H186+H190),0)</f>
        <v>0.466118620999544</v>
      </c>
      <c r="I191" s="26" t="n">
        <f aca="false">IFERROR(I190/(I186+I190),0)</f>
        <v>0.453070285325228</v>
      </c>
      <c r="J191" s="26" t="n">
        <f aca="false">IFERROR(J190/(J186+J190),0)</f>
        <v>0.407589874036951</v>
      </c>
      <c r="K191" s="26" t="n">
        <f aca="false">IFERROR(K190/(K186+K190),0)</f>
        <v>0.378071762081866</v>
      </c>
      <c r="L191" s="26" t="n">
        <f aca="false">IFERROR(L190/(L186+L190),0)</f>
        <v>0.357367028007302</v>
      </c>
      <c r="M191" s="26" t="n">
        <f aca="false">IFERROR(M190/(M186+M190),0)</f>
        <v>0.352251934646397</v>
      </c>
      <c r="N191" s="26" t="n">
        <f aca="false">IFERROR(N190/(N186+N190),0)</f>
        <v>0.340598142630688</v>
      </c>
      <c r="O191" s="26" t="n">
        <f aca="false">IFERROR(O190/(O186+O190),0)</f>
        <v>0.331323120555905</v>
      </c>
      <c r="P191" s="26" t="n">
        <f aca="false">IFERROR(P190/(P186+P190),0)</f>
        <v>0.325825613835022</v>
      </c>
      <c r="Q191" s="26" t="n">
        <f aca="false">IFERROR(Q190/(Q186+Q190),0)</f>
        <v>0.321206586197224</v>
      </c>
      <c r="R191" s="26" t="n">
        <f aca="false">IFERROR(R190/(R186+R190),0)</f>
        <v>0.317271050658401</v>
      </c>
      <c r="S191" s="26" t="n">
        <f aca="false">IFERROR(S190/(S186+S190),0)</f>
        <v>0.0642135998154195</v>
      </c>
      <c r="T191" s="26" t="n">
        <f aca="false">IFERROR(T190/(T186+T190),0)</f>
        <v>0.310921845172712</v>
      </c>
      <c r="U191" s="26" t="n">
        <f aca="false">IFERROR(U190/(U186+U190),0)</f>
        <v>0.308323884983821</v>
      </c>
      <c r="V191" s="26" t="n">
        <f aca="false">IFERROR(V190/(V186+V190),0)</f>
        <v>0.306022563911471</v>
      </c>
      <c r="W191" s="26" t="n">
        <f aca="false">IFERROR(W190/(W186+W190),0)</f>
        <v>0.303969819791446</v>
      </c>
      <c r="X191" s="26" t="n">
        <f aca="false">IFERROR(X190/(X186+X190),0)</f>
        <v>0.305310961156452</v>
      </c>
      <c r="Y191" s="26" t="n">
        <f aca="false">IFERROR(Y190/(Y186+Y190),0)</f>
        <v>0.306545858920025</v>
      </c>
      <c r="Z191" s="26" t="n">
        <f aca="false">IFERROR(Z190/(Z186+Z190),0)</f>
        <v>0.308808886239382</v>
      </c>
      <c r="AA191" s="26" t="n">
        <f aca="false">IFERROR(AA190/(AA186+AA190),0)</f>
        <v>0.301231372819277</v>
      </c>
      <c r="AB191" s="26" t="n">
        <f aca="false">IFERROR(AB190/(AB186+AB190),0)</f>
        <v>0.294016825125218</v>
      </c>
      <c r="AC191" s="26" t="n">
        <f aca="false">IFERROR(AC190/(AC186+AC190),0)</f>
        <v>0.287139773860636</v>
      </c>
      <c r="AD191" s="26" t="n">
        <f aca="false">IFERROR(AD190/(AD186+AD190),0)</f>
        <v>0.280577078173263</v>
      </c>
      <c r="AE191" s="26" t="n">
        <f aca="false">IFERROR(AE190/(AE186+AE190),0)</f>
        <v>0.0536568660397663</v>
      </c>
      <c r="AF191" s="26" t="n">
        <f aca="false">IFERROR(AF190/(AF186+AF190),0)</f>
        <v>0.268312305604925</v>
      </c>
      <c r="AG191" s="26" t="n">
        <f aca="false">IFERROR(AG190/(AG186+AG190),0)</f>
        <v>0.26257341342751</v>
      </c>
      <c r="AH191" s="26" t="n">
        <f aca="false">IFERROR(AH190/(AH186+AH190),0)</f>
        <v>0.257074876947793</v>
      </c>
      <c r="AI191" s="26" t="n">
        <f aca="false">IFERROR(AI190/(AI186+AI190),0)</f>
        <v>0.251801906055444</v>
      </c>
      <c r="AJ191" s="26" t="n">
        <f aca="false">IFERROR(AJ190/(AJ186+AJ190),0)</f>
        <v>0.2467408997152</v>
      </c>
      <c r="AK191" s="26" t="n">
        <f aca="false">IFERROR(AK190/(AK186+AK190),0)</f>
        <v>0.241879328824294</v>
      </c>
      <c r="AL191" s="26" t="n">
        <f aca="false">IFERROR(AL190/(AL186+AL190),0)</f>
        <v>0.237205632650758</v>
      </c>
      <c r="AM191" s="26" t="n">
        <f aca="false">IFERROR(AM190/(AM186+AM190),0)</f>
        <v>0.232709127050509</v>
      </c>
      <c r="AN191" s="26" t="n">
        <f aca="false">IFERROR(AN190/(AN186+AN190),0)</f>
        <v>0.228379922929339</v>
      </c>
      <c r="AO191" s="26" t="n">
        <f aca="false">IFERROR(AO190/(AO186+AO190),0)</f>
        <v>0.224208853640035</v>
      </c>
      <c r="AP191" s="26" t="n">
        <f aca="false">IFERROR(AP190/(AP186+AP190),0)</f>
        <v>0.22018741019279</v>
      </c>
      <c r="AQ191" s="26" t="n">
        <f aca="false">IFERROR(AQ190/(AQ186+AQ190),0)</f>
        <v>0.0397556955375483</v>
      </c>
      <c r="AR191" s="26" t="n">
        <f aca="false">IFERROR(AR190/(AR186+AR190),0)</f>
        <v>0.212562311531762</v>
      </c>
      <c r="AS191" s="26" t="n">
        <f aca="false">IFERROR(AS190/(AS186+AS190),0)</f>
        <v>0.212562311531762</v>
      </c>
      <c r="AT191" s="26" t="n">
        <f aca="false">IFERROR(AT190/(AT186+AT190),0)</f>
        <v>0.212562311531762</v>
      </c>
      <c r="AU191" s="26" t="n">
        <f aca="false">IFERROR(AU190/(AU186+AU190),0)</f>
        <v>0.212562311531762</v>
      </c>
      <c r="AV191" s="26" t="n">
        <f aca="false">IFERROR(AV190/(AV186+AV190),0)</f>
        <v>0.212562311531762</v>
      </c>
      <c r="AW191" s="26" t="n">
        <f aca="false">IFERROR(AW190/(AW186+AW190),0)</f>
        <v>0.212562311531762</v>
      </c>
      <c r="AX191" s="26" t="n">
        <f aca="false">IFERROR(AX190/(AX186+AX190),0)</f>
        <v>0.212562311531762</v>
      </c>
      <c r="AY191" s="26" t="n">
        <f aca="false">IFERROR(AY190/(AY186+AY190),0)</f>
        <v>0.212562311531762</v>
      </c>
      <c r="AZ191" s="26" t="n">
        <f aca="false">IFERROR(AZ190/(AZ186+AZ190),0)</f>
        <v>0.212562311531762</v>
      </c>
      <c r="BA191" s="26" t="n">
        <f aca="false">IFERROR(BA190/(BA186+BA190),0)</f>
        <v>0.212562311531762</v>
      </c>
      <c r="BB191" s="26" t="n">
        <f aca="false">IFERROR(BB190/(BB186+BB190),0)</f>
        <v>0.212562311531762</v>
      </c>
      <c r="BC191" s="26" t="n">
        <f aca="false">IFERROR(BC190/(BC186+BC190),0)</f>
        <v>0.0389155244946622</v>
      </c>
      <c r="BD191" s="26" t="n">
        <f aca="false">IFERROR(BD190/(BD186+BD190),0)</f>
        <v>0.212562311531762</v>
      </c>
      <c r="BE191" s="26" t="n">
        <f aca="false">IFERROR(BE190/(BE186+BE190),0)</f>
        <v>0.212562311531762</v>
      </c>
      <c r="BF191" s="26" t="n">
        <f aca="false">IFERROR(BF190/(BF186+BF190),0)</f>
        <v>0.212562311531762</v>
      </c>
      <c r="BG191" s="26" t="n">
        <f aca="false">IFERROR(BG190/(BG186+BG190),0)</f>
        <v>0.212562311531762</v>
      </c>
      <c r="BH191" s="26" t="n">
        <f aca="false">IFERROR(BH190/(BH186+BH190),0)</f>
        <v>0.212562311531762</v>
      </c>
      <c r="BI191" s="26" t="n">
        <f aca="false">IFERROR(BI190/(BI186+BI190),0)</f>
        <v>0.212562311531762</v>
      </c>
      <c r="BJ191" s="26" t="n">
        <f aca="false">IFERROR(BJ190/(BJ186+BJ190),0)</f>
        <v>0.212562311531762</v>
      </c>
      <c r="BK191" s="26" t="n">
        <f aca="false">IFERROR(BK190/(BK186+BK190),0)</f>
        <v>0.212562311531762</v>
      </c>
      <c r="BL191" s="26" t="n">
        <f aca="false">IFERROR(BL190/(BL186+BL190),0)</f>
        <v>0.212562311531762</v>
      </c>
      <c r="BM191" s="26" t="n">
        <f aca="false">IFERROR(BM190/(BM186+BM190),0)</f>
        <v>0.212562311531762</v>
      </c>
      <c r="BN191" s="26" t="n">
        <f aca="false">IFERROR(BN190/(BN186+BN190),0)</f>
        <v>0.212562311531762</v>
      </c>
      <c r="BO191" s="26" t="n">
        <f aca="false">IFERROR(BO190/(BO186+BO190),0)</f>
        <v>0.0389155244946622</v>
      </c>
      <c r="BP191" s="26" t="n">
        <f aca="false">IFERROR(BP190/(BP186+BP190),0)</f>
        <v>0.212562311531762</v>
      </c>
      <c r="BQ191" s="26" t="n">
        <f aca="false">IFERROR(BQ190/(BQ186+BQ190),0)</f>
        <v>0.212562311531762</v>
      </c>
      <c r="BR191" s="26" t="n">
        <f aca="false">IFERROR(BR190/(BR186+BR190),0)</f>
        <v>0.212562311531762</v>
      </c>
      <c r="BS191" s="26" t="n">
        <f aca="false">IFERROR(BS190/(BS186+BS190),0)</f>
        <v>0.212562311531762</v>
      </c>
      <c r="BT191" s="26" t="n">
        <f aca="false">IFERROR(BT190/(BT186+BT190),0)</f>
        <v>0.212562311531762</v>
      </c>
      <c r="BU191" s="26" t="n">
        <f aca="false">IFERROR(BU190/(BU186+BU190),0)</f>
        <v>0.212562311531762</v>
      </c>
      <c r="BV191" s="26" t="n">
        <f aca="false">IFERROR(BV190/(BV186+BV190),0)</f>
        <v>0.212562311531762</v>
      </c>
      <c r="BW191" s="26" t="n">
        <f aca="false">IFERROR(BW190/(BW186+BW190),0)</f>
        <v>0.212562311531762</v>
      </c>
      <c r="BX191" s="26" t="n">
        <f aca="false">IFERROR(BX190/(BX186+BX190),0)</f>
        <v>0.212562311531762</v>
      </c>
      <c r="BY191" s="26" t="n">
        <f aca="false">IFERROR(BY190/(BY186+BY190),0)</f>
        <v>0.212562311531762</v>
      </c>
      <c r="BZ191" s="26" t="n">
        <f aca="false">IFERROR(BZ190/(BZ186+BZ190),0)</f>
        <v>0.212562311531762</v>
      </c>
      <c r="CA191" s="26" t="n">
        <f aca="false">IFERROR(CA190/(CA186+CA190),0)</f>
        <v>0.0389155244946622</v>
      </c>
      <c r="CB191" s="26" t="n">
        <f aca="false">IFERROR(CB190/(CB186+CB190),0)</f>
        <v>0.212562311531762</v>
      </c>
      <c r="CC191" s="26" t="n">
        <f aca="false">IFERROR(CC190/(CC186+CC190),0)</f>
        <v>0.212562311531762</v>
      </c>
      <c r="CD191" s="26" t="n">
        <f aca="false">IFERROR(CD190/(CD186+CD190),0)</f>
        <v>0.212562311531762</v>
      </c>
      <c r="CE191" s="26" t="n">
        <f aca="false">IFERROR(CE190/(CE186+CE190),0)</f>
        <v>0.212562311531762</v>
      </c>
      <c r="CF191" s="26" t="n">
        <f aca="false">IFERROR(CF190/(CF186+CF190),0)</f>
        <v>0.212562311531762</v>
      </c>
      <c r="CG191" s="26" t="n">
        <f aca="false">IFERROR(CG190/(CG186+CG190),0)</f>
        <v>0.212562311531762</v>
      </c>
      <c r="CH191" s="26" t="n">
        <f aca="false">IFERROR(CH190/(CH186+CH190),0)</f>
        <v>0.212562311531762</v>
      </c>
    </row>
    <row r="192" customFormat="false" ht="15" hidden="false" customHeight="false" outlineLevel="0" collapsed="false">
      <c r="A192" s="1" t="s">
        <v>853</v>
      </c>
      <c r="C192" s="28" t="n">
        <f aca="false">-C186*Hipótesis!$D$34</f>
        <v>-103.3125</v>
      </c>
      <c r="D192" s="28" t="n">
        <f aca="false">-D186*Hipótesis!$D$34</f>
        <v>-214.455</v>
      </c>
      <c r="E192" s="28" t="n">
        <f aca="false">-E186*Hipótesis!$D$34</f>
        <v>-445.76625</v>
      </c>
      <c r="F192" s="28" t="n">
        <f aca="false">-F186*Hipótesis!$D$34</f>
        <v>-573.765</v>
      </c>
      <c r="G192" s="28" t="n">
        <f aca="false">-G186*Hipótesis!$D$34</f>
        <v>-693.93375</v>
      </c>
      <c r="H192" s="28" t="n">
        <f aca="false">-H186*Hipótesis!$D$34</f>
        <v>-885.8775</v>
      </c>
      <c r="I192" s="28" t="n">
        <f aca="false">-I186*Hipótesis!$D$34</f>
        <v>-1089.2763632027</v>
      </c>
      <c r="J192" s="28" t="n">
        <f aca="false">-J186*Hipótesis!$D$34</f>
        <v>-1498.86726405405</v>
      </c>
      <c r="K192" s="28" t="n">
        <f aca="false">-K186*Hipótesis!$D$34</f>
        <v>-1908.45816490541</v>
      </c>
      <c r="L192" s="28" t="n">
        <f aca="false">-L186*Hipótesis!$D$34</f>
        <v>-2318.04906575676</v>
      </c>
      <c r="M192" s="28" t="n">
        <f aca="false">-M186*Hipótesis!$D$34</f>
        <v>-2607.47121660811</v>
      </c>
      <c r="N192" s="28" t="n">
        <f aca="false">-N186*Hipótesis!$D$34</f>
        <v>-2994.76836745946</v>
      </c>
      <c r="O192" s="28" t="n">
        <f aca="false">-O186*Hipótesis!$D$34</f>
        <v>-3382.06551831081</v>
      </c>
      <c r="P192" s="28" t="n">
        <f aca="false">-P186*Hipótesis!$D$34</f>
        <v>-3734.12766916216</v>
      </c>
      <c r="Q192" s="28" t="n">
        <f aca="false">-Q186*Hipótesis!$D$34</f>
        <v>-4086.18982001351</v>
      </c>
      <c r="R192" s="28" t="n">
        <f aca="false">-R186*Hipótesis!$D$34</f>
        <v>-4438.25197086487</v>
      </c>
      <c r="S192" s="28" t="n">
        <f aca="false">-S186*Hipótesis!$D$34</f>
        <v>-4790.31412171622</v>
      </c>
      <c r="T192" s="28" t="n">
        <f aca="false">-T186*Hipótesis!$D$34</f>
        <v>-5142.37627256757</v>
      </c>
      <c r="U192" s="28" t="n">
        <f aca="false">-U186*Hipótesis!$D$34</f>
        <v>-5494.43842341892</v>
      </c>
      <c r="V192" s="28" t="n">
        <f aca="false">-V186*Hipótesis!$D$34</f>
        <v>-5846.50057427027</v>
      </c>
      <c r="W192" s="28" t="n">
        <f aca="false">-W186*Hipótesis!$D$34</f>
        <v>-6198.56272512162</v>
      </c>
      <c r="X192" s="28" t="n">
        <f aca="false">-X186*Hipótesis!$D$34</f>
        <v>-6452.74987597297</v>
      </c>
      <c r="Y192" s="28" t="n">
        <f aca="false">-Y186*Hipótesis!$D$34</f>
        <v>-6706.93702682433</v>
      </c>
      <c r="Z192" s="28" t="n">
        <f aca="false">-Z186*Hipótesis!$D$34</f>
        <v>-6924.58417767568</v>
      </c>
      <c r="AA192" s="28" t="n">
        <f aca="false">-AA186*Hipótesis!$D$34</f>
        <v>-7176.59666813514</v>
      </c>
      <c r="AB192" s="28" t="n">
        <f aca="false">-AB186*Hipótesis!$D$34</f>
        <v>-7428.6091585946</v>
      </c>
      <c r="AC192" s="28" t="n">
        <f aca="false">-AC186*Hipótesis!$D$34</f>
        <v>-7680.62164905406</v>
      </c>
      <c r="AD192" s="28" t="n">
        <f aca="false">-AD186*Hipótesis!$D$34</f>
        <v>-7932.63413951351</v>
      </c>
      <c r="AE192" s="28" t="n">
        <f aca="false">-AE186*Hipótesis!$D$34</f>
        <v>-8184.64662997298</v>
      </c>
      <c r="AF192" s="28" t="n">
        <f aca="false">-AF186*Hipótesis!$D$34</f>
        <v>-8436.65912043243</v>
      </c>
      <c r="AG192" s="28" t="n">
        <f aca="false">-AG186*Hipótesis!$D$34</f>
        <v>-8688.67161089189</v>
      </c>
      <c r="AH192" s="28" t="n">
        <f aca="false">-AH186*Hipótesis!$D$34</f>
        <v>-8940.68410135135</v>
      </c>
      <c r="AI192" s="28" t="n">
        <f aca="false">-AI186*Hipótesis!$D$34</f>
        <v>-9192.69659181081</v>
      </c>
      <c r="AJ192" s="28" t="n">
        <f aca="false">-AJ186*Hipótesis!$D$34</f>
        <v>-9444.70908227027</v>
      </c>
      <c r="AK192" s="28" t="n">
        <f aca="false">-AK186*Hipótesis!$D$34</f>
        <v>-9696.72157272973</v>
      </c>
      <c r="AL192" s="28" t="n">
        <f aca="false">-AL186*Hipótesis!$D$34</f>
        <v>-9948.73406318919</v>
      </c>
      <c r="AM192" s="28" t="n">
        <f aca="false">-AM186*Hipótesis!$D$34</f>
        <v>-10200.7465536486</v>
      </c>
      <c r="AN192" s="28" t="n">
        <f aca="false">-AN186*Hipótesis!$D$34</f>
        <v>-10452.7590441081</v>
      </c>
      <c r="AO192" s="28" t="n">
        <f aca="false">-AO186*Hipótesis!$D$34</f>
        <v>-10704.7715345676</v>
      </c>
      <c r="AP192" s="28" t="n">
        <f aca="false">-AP186*Hipótesis!$D$34</f>
        <v>-10956.784025027</v>
      </c>
      <c r="AQ192" s="28" t="n">
        <f aca="false">-AQ186*Hipótesis!$D$34</f>
        <v>-11208.7965154865</v>
      </c>
      <c r="AR192" s="28" t="n">
        <f aca="false">-AR186*Hipótesis!$D$34</f>
        <v>-11460.8090059459</v>
      </c>
      <c r="AS192" s="28" t="n">
        <f aca="false">-AS186*Hipótesis!$D$34</f>
        <v>-11460.8090059459</v>
      </c>
      <c r="AT192" s="28" t="n">
        <f aca="false">-AT186*Hipótesis!$D$34</f>
        <v>-11460.8090059459</v>
      </c>
      <c r="AU192" s="28" t="n">
        <f aca="false">-AU186*Hipótesis!$D$34</f>
        <v>-11460.8090059459</v>
      </c>
      <c r="AV192" s="28" t="n">
        <f aca="false">-AV186*Hipótesis!$D$34</f>
        <v>-11460.8090059459</v>
      </c>
      <c r="AW192" s="28" t="n">
        <f aca="false">-AW186*Hipótesis!$D$34</f>
        <v>-11460.8090059459</v>
      </c>
      <c r="AX192" s="28" t="n">
        <f aca="false">-AX186*Hipótesis!$D$34</f>
        <v>-11460.8090059459</v>
      </c>
      <c r="AY192" s="28" t="n">
        <f aca="false">-AY186*Hipótesis!$D$34</f>
        <v>-11460.8090059459</v>
      </c>
      <c r="AZ192" s="28" t="n">
        <f aca="false">-AZ186*Hipótesis!$D$34</f>
        <v>-11460.8090059459</v>
      </c>
      <c r="BA192" s="28" t="n">
        <f aca="false">-BA186*Hipótesis!$D$34</f>
        <v>-11460.8090059459</v>
      </c>
      <c r="BB192" s="28" t="n">
        <f aca="false">-BB186*Hipótesis!$D$34</f>
        <v>-11460.8090059459</v>
      </c>
      <c r="BC192" s="28" t="n">
        <f aca="false">-BC186*Hipótesis!$D$34</f>
        <v>-11460.8090059459</v>
      </c>
      <c r="BD192" s="28" t="n">
        <f aca="false">-BD186*Hipótesis!$D$34</f>
        <v>-11460.8090059459</v>
      </c>
      <c r="BE192" s="28" t="n">
        <f aca="false">-BE186*Hipótesis!$D$34</f>
        <v>-11460.8090059459</v>
      </c>
      <c r="BF192" s="28" t="n">
        <f aca="false">-BF186*Hipótesis!$D$34</f>
        <v>-11460.8090059459</v>
      </c>
      <c r="BG192" s="28" t="n">
        <f aca="false">-BG186*Hipótesis!$D$34</f>
        <v>-11460.8090059459</v>
      </c>
      <c r="BH192" s="28" t="n">
        <f aca="false">-BH186*Hipótesis!$D$34</f>
        <v>-11460.8090059459</v>
      </c>
      <c r="BI192" s="28" t="n">
        <f aca="false">-BI186*Hipótesis!$D$34</f>
        <v>-11460.8090059459</v>
      </c>
      <c r="BJ192" s="28" t="n">
        <f aca="false">-BJ186*Hipótesis!$D$34</f>
        <v>-11460.8090059459</v>
      </c>
      <c r="BK192" s="28" t="n">
        <f aca="false">-BK186*Hipótesis!$D$34</f>
        <v>-11460.8090059459</v>
      </c>
      <c r="BL192" s="28" t="n">
        <f aca="false">-BL186*Hipótesis!$D$34</f>
        <v>-11460.8090059459</v>
      </c>
      <c r="BM192" s="28" t="n">
        <f aca="false">-BM186*Hipótesis!$D$34</f>
        <v>-11460.8090059459</v>
      </c>
      <c r="BN192" s="28" t="n">
        <f aca="false">-BN186*Hipótesis!$D$34</f>
        <v>-11460.8090059459</v>
      </c>
      <c r="BO192" s="28" t="n">
        <f aca="false">-BO186*Hipótesis!$D$34</f>
        <v>-11460.8090059459</v>
      </c>
      <c r="BP192" s="28" t="n">
        <f aca="false">-BP186*Hipótesis!$D$34</f>
        <v>-11460.8090059459</v>
      </c>
      <c r="BQ192" s="28" t="n">
        <f aca="false">-BQ186*Hipótesis!$D$34</f>
        <v>-11460.8090059459</v>
      </c>
      <c r="BR192" s="28" t="n">
        <f aca="false">-BR186*Hipótesis!$D$34</f>
        <v>-11460.8090059459</v>
      </c>
      <c r="BS192" s="28" t="n">
        <f aca="false">-BS186*Hipótesis!$D$34</f>
        <v>-11460.8090059459</v>
      </c>
      <c r="BT192" s="28" t="n">
        <f aca="false">-BT186*Hipótesis!$D$34</f>
        <v>-11460.8090059459</v>
      </c>
      <c r="BU192" s="28" t="n">
        <f aca="false">-BU186*Hipótesis!$D$34</f>
        <v>-11460.8090059459</v>
      </c>
      <c r="BV192" s="28" t="n">
        <f aca="false">-BV186*Hipótesis!$D$34</f>
        <v>-11460.8090059459</v>
      </c>
      <c r="BW192" s="28" t="n">
        <f aca="false">-BW186*Hipótesis!$D$34</f>
        <v>-11460.8090059459</v>
      </c>
      <c r="BX192" s="28" t="n">
        <f aca="false">-BX186*Hipótesis!$D$34</f>
        <v>-11460.8090059459</v>
      </c>
      <c r="BY192" s="28" t="n">
        <f aca="false">-BY186*Hipótesis!$D$34</f>
        <v>-11460.8090059459</v>
      </c>
      <c r="BZ192" s="28" t="n">
        <f aca="false">-BZ186*Hipótesis!$D$34</f>
        <v>-11460.8090059459</v>
      </c>
      <c r="CA192" s="28" t="n">
        <f aca="false">-CA186*Hipótesis!$D$34</f>
        <v>-11460.8090059459</v>
      </c>
      <c r="CB192" s="28" t="n">
        <f aca="false">-CB186*Hipótesis!$D$34</f>
        <v>-11460.8090059459</v>
      </c>
      <c r="CC192" s="28" t="n">
        <f aca="false">-CC186*Hipótesis!$D$34</f>
        <v>-11460.8090059459</v>
      </c>
      <c r="CD192" s="28" t="n">
        <f aca="false">-CD186*Hipótesis!$D$34</f>
        <v>-11460.8090059459</v>
      </c>
      <c r="CE192" s="28" t="n">
        <f aca="false">-CE186*Hipótesis!$D$34</f>
        <v>-11460.8090059459</v>
      </c>
      <c r="CF192" s="28" t="n">
        <f aca="false">-CF186*Hipótesis!$D$34</f>
        <v>-11460.8090059459</v>
      </c>
      <c r="CG192" s="28" t="n">
        <f aca="false">-CG186*Hipótesis!$D$34</f>
        <v>-11460.8090059459</v>
      </c>
      <c r="CH192" s="28" t="n">
        <f aca="false">-CH186*Hipótesis!$D$34</f>
        <v>-11460.8090059459</v>
      </c>
    </row>
    <row r="193" customFormat="false" ht="15" hidden="false" customHeight="false" outlineLevel="0" collapsed="false">
      <c r="A193" s="1" t="s">
        <v>854</v>
      </c>
      <c r="C193" s="28" t="n">
        <f aca="false">-C190*Restaurantes!$D$27</f>
        <v>-128.906287337838</v>
      </c>
      <c r="D193" s="28" t="n">
        <f aca="false">-D190*Restaurantes!$D$27</f>
        <v>-257.812574675676</v>
      </c>
      <c r="E193" s="28" t="n">
        <f aca="false">-E190*Restaurantes!$D$27</f>
        <v>-386.718862013514</v>
      </c>
      <c r="F193" s="28" t="n">
        <f aca="false">-F190*Restaurantes!$D$27</f>
        <v>-515.625149351351</v>
      </c>
      <c r="G193" s="28" t="n">
        <f aca="false">-G190*Restaurantes!$D$27</f>
        <v>-96.6797155033784</v>
      </c>
      <c r="H193" s="28" t="n">
        <f aca="false">-H190*Restaurantes!$D$27</f>
        <v>-773.437724027027</v>
      </c>
      <c r="I193" s="28" t="n">
        <f aca="false">-I190*Restaurantes!$D$27</f>
        <v>-902.344011364865</v>
      </c>
      <c r="J193" s="28" t="n">
        <f aca="false">-J190*Restaurantes!$D$27</f>
        <v>-1031.2502987027</v>
      </c>
      <c r="K193" s="28" t="n">
        <f aca="false">-K190*Restaurantes!$D$27</f>
        <v>-1160.15658604054</v>
      </c>
      <c r="L193" s="28" t="n">
        <f aca="false">-L190*Restaurantes!$D$27</f>
        <v>-1289.06287337838</v>
      </c>
      <c r="M193" s="28" t="n">
        <f aca="false">-M190*Restaurantes!$D$27</f>
        <v>-1417.96916071622</v>
      </c>
      <c r="N193" s="28" t="n">
        <f aca="false">-N190*Restaurantes!$D$27</f>
        <v>-1546.87544805405</v>
      </c>
      <c r="O193" s="28" t="n">
        <f aca="false">-O190*Restaurantes!$D$27</f>
        <v>-1675.78173539189</v>
      </c>
      <c r="P193" s="28" t="n">
        <f aca="false">-P190*Restaurantes!$D$27</f>
        <v>-1804.68802272973</v>
      </c>
      <c r="Q193" s="28" t="n">
        <f aca="false">-Q190*Restaurantes!$D$27</f>
        <v>-1933.59431006757</v>
      </c>
      <c r="R193" s="28" t="n">
        <f aca="false">-R190*Restaurantes!$D$27</f>
        <v>-2062.50059740541</v>
      </c>
      <c r="S193" s="28" t="n">
        <f aca="false">-S190*Restaurantes!$D$27</f>
        <v>-328.711032711487</v>
      </c>
      <c r="T193" s="28" t="n">
        <f aca="false">-T190*Restaurantes!$D$27</f>
        <v>-2320.31317208108</v>
      </c>
      <c r="U193" s="28" t="n">
        <f aca="false">-U190*Restaurantes!$D$27</f>
        <v>-2449.21945941892</v>
      </c>
      <c r="V193" s="28" t="n">
        <f aca="false">-V190*Restaurantes!$D$27</f>
        <v>-2578.12574675676</v>
      </c>
      <c r="W193" s="28" t="n">
        <f aca="false">-W190*Restaurantes!$D$27</f>
        <v>-2707.0320340946</v>
      </c>
      <c r="X193" s="28" t="n">
        <f aca="false">-X190*Restaurantes!$D$27</f>
        <v>-2835.93832143243</v>
      </c>
      <c r="Y193" s="28" t="n">
        <f aca="false">-Y190*Restaurantes!$D$27</f>
        <v>-2964.84460877027</v>
      </c>
      <c r="Z193" s="28" t="n">
        <f aca="false">-Z190*Restaurantes!$D$27</f>
        <v>-3093.75089610811</v>
      </c>
      <c r="AA193" s="28" t="n">
        <f aca="false">-AA190*Restaurantes!$D$27</f>
        <v>-3093.75089610811</v>
      </c>
      <c r="AB193" s="28" t="n">
        <f aca="false">-AB190*Restaurantes!$D$27</f>
        <v>-3093.75089610811</v>
      </c>
      <c r="AC193" s="28" t="n">
        <f aca="false">-AC190*Restaurantes!$D$27</f>
        <v>-3093.75089610811</v>
      </c>
      <c r="AD193" s="28" t="n">
        <f aca="false">-AD190*Restaurantes!$D$27</f>
        <v>-3093.75089610811</v>
      </c>
      <c r="AE193" s="28" t="n">
        <f aca="false">-AE190*Restaurantes!$D$27</f>
        <v>-464.062634416216</v>
      </c>
      <c r="AF193" s="28" t="n">
        <f aca="false">-AF190*Restaurantes!$D$27</f>
        <v>-3093.75089610811</v>
      </c>
      <c r="AG193" s="28" t="n">
        <f aca="false">-AG190*Restaurantes!$D$27</f>
        <v>-3093.75089610811</v>
      </c>
      <c r="AH193" s="28" t="n">
        <f aca="false">-AH190*Restaurantes!$D$27</f>
        <v>-3093.75089610811</v>
      </c>
      <c r="AI193" s="28" t="n">
        <f aca="false">-AI190*Restaurantes!$D$27</f>
        <v>-3093.75089610811</v>
      </c>
      <c r="AJ193" s="28" t="n">
        <f aca="false">-AJ190*Restaurantes!$D$27</f>
        <v>-3093.75089610811</v>
      </c>
      <c r="AK193" s="28" t="n">
        <f aca="false">-AK190*Restaurantes!$D$27</f>
        <v>-3093.75089610811</v>
      </c>
      <c r="AL193" s="28" t="n">
        <f aca="false">-AL190*Restaurantes!$D$27</f>
        <v>-3093.75089610811</v>
      </c>
      <c r="AM193" s="28" t="n">
        <f aca="false">-AM190*Restaurantes!$D$27</f>
        <v>-3093.75089610811</v>
      </c>
      <c r="AN193" s="28" t="n">
        <f aca="false">-AN190*Restaurantes!$D$27</f>
        <v>-3093.75089610811</v>
      </c>
      <c r="AO193" s="28" t="n">
        <f aca="false">-AO190*Restaurantes!$D$27</f>
        <v>-3093.75089610811</v>
      </c>
      <c r="AP193" s="28" t="n">
        <f aca="false">-AP190*Restaurantes!$D$27</f>
        <v>-3093.75089610811</v>
      </c>
      <c r="AQ193" s="28" t="n">
        <f aca="false">-AQ190*Restaurantes!$D$27</f>
        <v>-464.062634416216</v>
      </c>
      <c r="AR193" s="28" t="n">
        <f aca="false">-AR190*Restaurantes!$D$27</f>
        <v>-3093.75089610811</v>
      </c>
      <c r="AS193" s="28" t="n">
        <f aca="false">-AS190*Restaurantes!$D$27</f>
        <v>-3093.75089610811</v>
      </c>
      <c r="AT193" s="28" t="n">
        <f aca="false">-AT190*Restaurantes!$D$27</f>
        <v>-3093.75089610811</v>
      </c>
      <c r="AU193" s="28" t="n">
        <f aca="false">-AU190*Restaurantes!$D$27</f>
        <v>-3093.75089610811</v>
      </c>
      <c r="AV193" s="28" t="n">
        <f aca="false">-AV190*Restaurantes!$D$27</f>
        <v>-3093.75089610811</v>
      </c>
      <c r="AW193" s="28" t="n">
        <f aca="false">-AW190*Restaurantes!$D$27</f>
        <v>-3093.75089610811</v>
      </c>
      <c r="AX193" s="28" t="n">
        <f aca="false">-AX190*Restaurantes!$D$27</f>
        <v>-3093.75089610811</v>
      </c>
      <c r="AY193" s="28" t="n">
        <f aca="false">-AY190*Restaurantes!$D$27</f>
        <v>-3093.75089610811</v>
      </c>
      <c r="AZ193" s="28" t="n">
        <f aca="false">-AZ190*Restaurantes!$D$27</f>
        <v>-3093.75089610811</v>
      </c>
      <c r="BA193" s="28" t="n">
        <f aca="false">-BA190*Restaurantes!$D$27</f>
        <v>-3093.75089610811</v>
      </c>
      <c r="BB193" s="28" t="n">
        <f aca="false">-BB190*Restaurantes!$D$27</f>
        <v>-3093.75089610811</v>
      </c>
      <c r="BC193" s="28" t="n">
        <f aca="false">-BC190*Restaurantes!$D$27</f>
        <v>-464.062634416216</v>
      </c>
      <c r="BD193" s="28" t="n">
        <f aca="false">-BD190*Restaurantes!$D$27</f>
        <v>-3093.75089610811</v>
      </c>
      <c r="BE193" s="28" t="n">
        <f aca="false">-BE190*Restaurantes!$D$27</f>
        <v>-3093.75089610811</v>
      </c>
      <c r="BF193" s="28" t="n">
        <f aca="false">-BF190*Restaurantes!$D$27</f>
        <v>-3093.75089610811</v>
      </c>
      <c r="BG193" s="28" t="n">
        <f aca="false">-BG190*Restaurantes!$D$27</f>
        <v>-3093.75089610811</v>
      </c>
      <c r="BH193" s="28" t="n">
        <f aca="false">-BH190*Restaurantes!$D$27</f>
        <v>-3093.75089610811</v>
      </c>
      <c r="BI193" s="28" t="n">
        <f aca="false">-BI190*Restaurantes!$D$27</f>
        <v>-3093.75089610811</v>
      </c>
      <c r="BJ193" s="28" t="n">
        <f aca="false">-BJ190*Restaurantes!$D$27</f>
        <v>-3093.75089610811</v>
      </c>
      <c r="BK193" s="28" t="n">
        <f aca="false">-BK190*Restaurantes!$D$27</f>
        <v>-3093.75089610811</v>
      </c>
      <c r="BL193" s="28" t="n">
        <f aca="false">-BL190*Restaurantes!$D$27</f>
        <v>-3093.75089610811</v>
      </c>
      <c r="BM193" s="28" t="n">
        <f aca="false">-BM190*Restaurantes!$D$27</f>
        <v>-3093.75089610811</v>
      </c>
      <c r="BN193" s="28" t="n">
        <f aca="false">-BN190*Restaurantes!$D$27</f>
        <v>-3093.75089610811</v>
      </c>
      <c r="BO193" s="28" t="n">
        <f aca="false">-BO190*Restaurantes!$D$27</f>
        <v>-464.062634416216</v>
      </c>
      <c r="BP193" s="28" t="n">
        <f aca="false">-BP190*Restaurantes!$D$27</f>
        <v>-3093.75089610811</v>
      </c>
      <c r="BQ193" s="28" t="n">
        <f aca="false">-BQ190*Restaurantes!$D$27</f>
        <v>-3093.75089610811</v>
      </c>
      <c r="BR193" s="28" t="n">
        <f aca="false">-BR190*Restaurantes!$D$27</f>
        <v>-3093.75089610811</v>
      </c>
      <c r="BS193" s="28" t="n">
        <f aca="false">-BS190*Restaurantes!$D$27</f>
        <v>-3093.75089610811</v>
      </c>
      <c r="BT193" s="28" t="n">
        <f aca="false">-BT190*Restaurantes!$D$27</f>
        <v>-3093.75089610811</v>
      </c>
      <c r="BU193" s="28" t="n">
        <f aca="false">-BU190*Restaurantes!$D$27</f>
        <v>-3093.75089610811</v>
      </c>
      <c r="BV193" s="28" t="n">
        <f aca="false">-BV190*Restaurantes!$D$27</f>
        <v>-3093.75089610811</v>
      </c>
      <c r="BW193" s="28" t="n">
        <f aca="false">-BW190*Restaurantes!$D$27</f>
        <v>-3093.75089610811</v>
      </c>
      <c r="BX193" s="28" t="n">
        <f aca="false">-BX190*Restaurantes!$D$27</f>
        <v>-3093.75089610811</v>
      </c>
      <c r="BY193" s="28" t="n">
        <f aca="false">-BY190*Restaurantes!$D$27</f>
        <v>-3093.75089610811</v>
      </c>
      <c r="BZ193" s="28" t="n">
        <f aca="false">-BZ190*Restaurantes!$D$27</f>
        <v>-3093.75089610811</v>
      </c>
      <c r="CA193" s="28" t="n">
        <f aca="false">-CA190*Restaurantes!$D$27</f>
        <v>-464.062634416216</v>
      </c>
      <c r="CB193" s="28" t="n">
        <f aca="false">-CB190*Restaurantes!$D$27</f>
        <v>-3093.75089610811</v>
      </c>
      <c r="CC193" s="28" t="n">
        <f aca="false">-CC190*Restaurantes!$D$27</f>
        <v>-3093.75089610811</v>
      </c>
      <c r="CD193" s="28" t="n">
        <f aca="false">-CD190*Restaurantes!$D$27</f>
        <v>-3093.75089610811</v>
      </c>
      <c r="CE193" s="28" t="n">
        <f aca="false">-CE190*Restaurantes!$D$27</f>
        <v>-3093.75089610811</v>
      </c>
      <c r="CF193" s="28" t="n">
        <f aca="false">-CF190*Restaurantes!$D$27</f>
        <v>-3093.75089610811</v>
      </c>
      <c r="CG193" s="28" t="n">
        <f aca="false">-CG190*Restaurantes!$D$27</f>
        <v>-3093.75089610811</v>
      </c>
      <c r="CH193" s="28" t="n">
        <f aca="false">-CH190*Restaurantes!$D$27</f>
        <v>-3093.75089610811</v>
      </c>
    </row>
    <row r="194" customFormat="false" ht="15" hidden="false" customHeight="false" outlineLevel="0" collapsed="false">
      <c r="A194" s="1" t="s">
        <v>855</v>
      </c>
      <c r="C194" s="28" t="n">
        <f aca="false">-(C19*C21*Hipótesis!$D$18+C23*Hipótesis!$D$22)</f>
        <v>-136.64254338843</v>
      </c>
      <c r="D194" s="28" t="n">
        <f aca="false">-(D19*D21*Hipótesis!$D$18+D23*Hipótesis!$D$22)</f>
        <v>-288.258822994652</v>
      </c>
      <c r="E194" s="28" t="n">
        <f aca="false">-(E19*E21*Hipótesis!$D$18+E23*Hipótesis!$D$22)</f>
        <v>-655.025460708271</v>
      </c>
      <c r="F194" s="28" t="n">
        <f aca="false">-(F19*F21*Hipótesis!$D$18+F23*Hipótesis!$D$22)</f>
        <v>-885.14955503346</v>
      </c>
      <c r="G194" s="28" t="n">
        <f aca="false">-(G19*G21*Hipótesis!$D$18+G23*Hipótesis!$D$22)</f>
        <v>-1100.29991314086</v>
      </c>
      <c r="H194" s="28" t="n">
        <f aca="false">-(H19*H21*Hipótesis!$D$18+H23*Hipótesis!$D$22)</f>
        <v>-1487.02433207713</v>
      </c>
      <c r="I194" s="28" t="n">
        <f aca="false">-(I19*I21*Hipótesis!$D$18+I23*Hipótesis!$D$22)</f>
        <v>-1893.07217170877</v>
      </c>
      <c r="J194" s="28" t="n">
        <f aca="false">-(J19*J21*Hipótesis!$D$18+J23*Hipótesis!$D$22)</f>
        <v>-2646.94158385707</v>
      </c>
      <c r="K194" s="28" t="n">
        <f aca="false">-(K19*K21*Hipótesis!$D$18+K23*Hipótesis!$D$22)</f>
        <v>-3400.81099600536</v>
      </c>
      <c r="L194" s="28" t="n">
        <f aca="false">-(L19*L21*Hipótesis!$D$18+L23*Hipótesis!$D$22)</f>
        <v>-4154.68040815366</v>
      </c>
      <c r="M194" s="28" t="n">
        <f aca="false">-(M19*M21*Hipótesis!$D$18+M23*Hipótesis!$D$22)</f>
        <v>-4693.39946219456</v>
      </c>
      <c r="N194" s="28" t="n">
        <f aca="false">-(N19*N21*Hipótesis!$D$18+N23*Hipótesis!$D$22)</f>
        <v>-5481.68078653201</v>
      </c>
      <c r="O194" s="28" t="n">
        <f aca="false">-(O19*O21*Hipótesis!$D$18+O23*Hipótesis!$D$22)</f>
        <v>-6269.96211086946</v>
      </c>
      <c r="P194" s="28" t="n">
        <f aca="false">-(P19*P21*Hipótesis!$D$18+P23*Hipótesis!$D$22)</f>
        <v>-6986.49428249665</v>
      </c>
      <c r="Q194" s="28" t="n">
        <f aca="false">-(Q19*Q21*Hipótesis!$D$18+Q23*Hipótesis!$D$22)</f>
        <v>-7703.02645412384</v>
      </c>
      <c r="R194" s="28" t="n">
        <f aca="false">-(R19*R21*Hipótesis!$D$18+R23*Hipótesis!$D$22)</f>
        <v>-8419.55862575103</v>
      </c>
      <c r="S194" s="28" t="n">
        <f aca="false">-(S19*S21*Hipótesis!$D$18+S23*Hipótesis!$D$22)</f>
        <v>-9136.09079737823</v>
      </c>
      <c r="T194" s="28" t="n">
        <f aca="false">-(T19*T21*Hipótesis!$D$18+T23*Hipótesis!$D$22)</f>
        <v>-9852.62296900542</v>
      </c>
      <c r="U194" s="28" t="n">
        <f aca="false">-(U19*U21*Hipótesis!$D$18+U23*Hipótesis!$D$22)</f>
        <v>-10569.1551406326</v>
      </c>
      <c r="V194" s="28" t="n">
        <f aca="false">-(V19*V21*Hipótesis!$D$18+V23*Hipótesis!$D$22)</f>
        <v>-11285.6873122598</v>
      </c>
      <c r="W194" s="28" t="n">
        <f aca="false">-(W19*W21*Hipótesis!$D$18+W23*Hipótesis!$D$22)</f>
        <v>-12002.219483887</v>
      </c>
      <c r="X194" s="28" t="n">
        <f aca="false">-(X19*X21*Hipótesis!$D$18+X23*Hipótesis!$D$22)</f>
        <v>-12469.1893852176</v>
      </c>
      <c r="Y194" s="28" t="n">
        <f aca="false">-(Y19*Y21*Hipótesis!$D$18+Y23*Hipótesis!$D$22)</f>
        <v>-12936.1592865483</v>
      </c>
      <c r="Z194" s="28" t="n">
        <f aca="false">-(Z19*Z21*Hipótesis!$D$18+Z23*Hipótesis!$D$22)</f>
        <v>-13303.3042797603</v>
      </c>
      <c r="AA194" s="28" t="n">
        <f aca="false">-(AA19*AA21*Hipótesis!$D$18+AA23*Hipótesis!$D$22)</f>
        <v>-13728.4195350584</v>
      </c>
      <c r="AB194" s="28" t="n">
        <f aca="false">-(AB19*AB21*Hipótesis!$D$18+AB23*Hipótesis!$D$22)</f>
        <v>-14153.5347903566</v>
      </c>
      <c r="AC194" s="28" t="n">
        <f aca="false">-(AC19*AC21*Hipótesis!$D$18+AC23*Hipótesis!$D$22)</f>
        <v>-14578.6500456547</v>
      </c>
      <c r="AD194" s="28" t="n">
        <f aca="false">-(AD19*AD21*Hipótesis!$D$18+AD23*Hipótesis!$D$22)</f>
        <v>-15003.7653009528</v>
      </c>
      <c r="AE194" s="28" t="n">
        <f aca="false">-(AE19*AE21*Hipótesis!$D$18+AE23*Hipótesis!$D$22)</f>
        <v>-15428.880556251</v>
      </c>
      <c r="AF194" s="28" t="n">
        <f aca="false">-(AF19*AF21*Hipótesis!$D$18+AF23*Hipótesis!$D$22)</f>
        <v>-15853.9958115491</v>
      </c>
      <c r="AG194" s="28" t="n">
        <f aca="false">-(AG19*AG21*Hipótesis!$D$18+AG23*Hipótesis!$D$22)</f>
        <v>-16279.1110668472</v>
      </c>
      <c r="AH194" s="28" t="n">
        <f aca="false">-(AH19*AH21*Hipótesis!$D$18+AH23*Hipótesis!$D$22)</f>
        <v>-16704.2263221454</v>
      </c>
      <c r="AI194" s="28" t="n">
        <f aca="false">-(AI19*AI21*Hipótesis!$D$18+AI23*Hipótesis!$D$22)</f>
        <v>-17129.3415774435</v>
      </c>
      <c r="AJ194" s="28" t="n">
        <f aca="false">-(AJ19*AJ21*Hipótesis!$D$18+AJ23*Hipótesis!$D$22)</f>
        <v>-17554.4568327416</v>
      </c>
      <c r="AK194" s="28" t="n">
        <f aca="false">-(AK19*AK21*Hipótesis!$D$18+AK23*Hipótesis!$D$22)</f>
        <v>-17979.5720880398</v>
      </c>
      <c r="AL194" s="28" t="n">
        <f aca="false">-(AL19*AL21*Hipótesis!$D$18+AL23*Hipótesis!$D$22)</f>
        <v>-18404.6873433379</v>
      </c>
      <c r="AM194" s="28" t="n">
        <f aca="false">-(AM19*AM21*Hipótesis!$D$18+AM23*Hipótesis!$D$22)</f>
        <v>-18829.802598636</v>
      </c>
      <c r="AN194" s="28" t="n">
        <f aca="false">-(AN19*AN21*Hipótesis!$D$18+AN23*Hipótesis!$D$22)</f>
        <v>-19254.9178539342</v>
      </c>
      <c r="AO194" s="28" t="n">
        <f aca="false">-(AO19*AO21*Hipótesis!$D$18+AO23*Hipótesis!$D$22)</f>
        <v>-19680.0331092323</v>
      </c>
      <c r="AP194" s="28" t="n">
        <f aca="false">-(AP19*AP21*Hipótesis!$D$18+AP23*Hipótesis!$D$22)</f>
        <v>-20105.1483645304</v>
      </c>
      <c r="AQ194" s="28" t="n">
        <f aca="false">-(AQ19*AQ21*Hipótesis!$D$18+AQ23*Hipótesis!$D$22)</f>
        <v>-20530.2636198286</v>
      </c>
      <c r="AR194" s="28" t="n">
        <f aca="false">-(AR19*AR21*Hipótesis!$D$18+AR23*Hipótesis!$D$22)</f>
        <v>-20955.3788751267</v>
      </c>
      <c r="AS194" s="28" t="n">
        <f aca="false">-(AS19*AS21*Hipótesis!$D$18+AS23*Hipótesis!$D$22)</f>
        <v>-20955.3788751267</v>
      </c>
      <c r="AT194" s="28" t="n">
        <f aca="false">-(AT19*AT21*Hipótesis!$D$18+AT23*Hipótesis!$D$22)</f>
        <v>-20955.3788751267</v>
      </c>
      <c r="AU194" s="28" t="n">
        <f aca="false">-(AU19*AU21*Hipótesis!$D$18+AU23*Hipótesis!$D$22)</f>
        <v>-20955.3788751267</v>
      </c>
      <c r="AV194" s="28" t="n">
        <f aca="false">-(AV19*AV21*Hipótesis!$D$18+AV23*Hipótesis!$D$22)</f>
        <v>-20955.3788751267</v>
      </c>
      <c r="AW194" s="28" t="n">
        <f aca="false">-(AW19*AW21*Hipótesis!$D$18+AW23*Hipótesis!$D$22)</f>
        <v>-20955.3788751267</v>
      </c>
      <c r="AX194" s="28" t="n">
        <f aca="false">-(AX19*AX21*Hipótesis!$D$18+AX23*Hipótesis!$D$22)</f>
        <v>-20955.3788751267</v>
      </c>
      <c r="AY194" s="28" t="n">
        <f aca="false">-(AY19*AY21*Hipótesis!$D$18+AY23*Hipótesis!$D$22)</f>
        <v>-20955.3788751267</v>
      </c>
      <c r="AZ194" s="28" t="n">
        <f aca="false">-(AZ19*AZ21*Hipótesis!$D$18+AZ23*Hipótesis!$D$22)</f>
        <v>-20955.3788751267</v>
      </c>
      <c r="BA194" s="28" t="n">
        <f aca="false">-(BA19*BA21*Hipótesis!$D$18+BA23*Hipótesis!$D$22)</f>
        <v>-20955.3788751267</v>
      </c>
      <c r="BB194" s="28" t="n">
        <f aca="false">-(BB19*BB21*Hipótesis!$D$18+BB23*Hipótesis!$D$22)</f>
        <v>-20955.3788751267</v>
      </c>
      <c r="BC194" s="28" t="n">
        <f aca="false">-(BC19*BC21*Hipótesis!$D$18+BC23*Hipótesis!$D$22)</f>
        <v>-20955.3788751267</v>
      </c>
      <c r="BD194" s="28" t="n">
        <f aca="false">-(BD19*BD21*Hipótesis!$D$18+BD23*Hipótesis!$D$22)</f>
        <v>-20955.3788751267</v>
      </c>
      <c r="BE194" s="28" t="n">
        <f aca="false">-(BE19*BE21*Hipótesis!$D$18+BE23*Hipótesis!$D$22)</f>
        <v>-20955.3788751267</v>
      </c>
      <c r="BF194" s="28" t="n">
        <f aca="false">-(BF19*BF21*Hipótesis!$D$18+BF23*Hipótesis!$D$22)</f>
        <v>-20955.3788751267</v>
      </c>
      <c r="BG194" s="28" t="n">
        <f aca="false">-(BG19*BG21*Hipótesis!$D$18+BG23*Hipótesis!$D$22)</f>
        <v>-20955.3788751267</v>
      </c>
      <c r="BH194" s="28" t="n">
        <f aca="false">-(BH19*BH21*Hipótesis!$D$18+BH23*Hipótesis!$D$22)</f>
        <v>-20955.3788751267</v>
      </c>
      <c r="BI194" s="28" t="n">
        <f aca="false">-(BI19*BI21*Hipótesis!$D$18+BI23*Hipótesis!$D$22)</f>
        <v>-20955.3788751267</v>
      </c>
      <c r="BJ194" s="28" t="n">
        <f aca="false">-(BJ19*BJ21*Hipótesis!$D$18+BJ23*Hipótesis!$D$22)</f>
        <v>-20955.3788751267</v>
      </c>
      <c r="BK194" s="28" t="n">
        <f aca="false">-(BK19*BK21*Hipótesis!$D$18+BK23*Hipótesis!$D$22)</f>
        <v>-20955.3788751267</v>
      </c>
      <c r="BL194" s="28" t="n">
        <f aca="false">-(BL19*BL21*Hipótesis!$D$18+BL23*Hipótesis!$D$22)</f>
        <v>-20955.3788751267</v>
      </c>
      <c r="BM194" s="28" t="n">
        <f aca="false">-(BM19*BM21*Hipótesis!$D$18+BM23*Hipótesis!$D$22)</f>
        <v>-20955.3788751267</v>
      </c>
      <c r="BN194" s="28" t="n">
        <f aca="false">-(BN19*BN21*Hipótesis!$D$18+BN23*Hipótesis!$D$22)</f>
        <v>-20955.3788751267</v>
      </c>
      <c r="BO194" s="28" t="n">
        <f aca="false">-(BO19*BO21*Hipótesis!$D$18+BO23*Hipótesis!$D$22)</f>
        <v>-20955.3788751267</v>
      </c>
      <c r="BP194" s="28" t="n">
        <f aca="false">-(BP19*BP21*Hipótesis!$D$18+BP23*Hipótesis!$D$22)</f>
        <v>-20955.3788751267</v>
      </c>
      <c r="BQ194" s="28" t="n">
        <f aca="false">-(BQ19*BQ21*Hipótesis!$D$18+BQ23*Hipótesis!$D$22)</f>
        <v>-20955.3788751267</v>
      </c>
      <c r="BR194" s="28" t="n">
        <f aca="false">-(BR19*BR21*Hipótesis!$D$18+BR23*Hipótesis!$D$22)</f>
        <v>-20955.3788751267</v>
      </c>
      <c r="BS194" s="28" t="n">
        <f aca="false">-(BS19*BS21*Hipótesis!$D$18+BS23*Hipótesis!$D$22)</f>
        <v>-20955.3788751267</v>
      </c>
      <c r="BT194" s="28" t="n">
        <f aca="false">-(BT19*BT21*Hipótesis!$D$18+BT23*Hipótesis!$D$22)</f>
        <v>-20955.3788751267</v>
      </c>
      <c r="BU194" s="28" t="n">
        <f aca="false">-(BU19*BU21*Hipótesis!$D$18+BU23*Hipótesis!$D$22)</f>
        <v>-20955.3788751267</v>
      </c>
      <c r="BV194" s="28" t="n">
        <f aca="false">-(BV19*BV21*Hipótesis!$D$18+BV23*Hipótesis!$D$22)</f>
        <v>-20955.3788751267</v>
      </c>
      <c r="BW194" s="28" t="n">
        <f aca="false">-(BW19*BW21*Hipótesis!$D$18+BW23*Hipótesis!$D$22)</f>
        <v>-20955.3788751267</v>
      </c>
      <c r="BX194" s="28" t="n">
        <f aca="false">-(BX19*BX21*Hipótesis!$D$18+BX23*Hipótesis!$D$22)</f>
        <v>-20955.3788751267</v>
      </c>
      <c r="BY194" s="28" t="n">
        <f aca="false">-(BY19*BY21*Hipótesis!$D$18+BY23*Hipótesis!$D$22)</f>
        <v>-20955.3788751267</v>
      </c>
      <c r="BZ194" s="28" t="n">
        <f aca="false">-(BZ19*BZ21*Hipótesis!$D$18+BZ23*Hipótesis!$D$22)</f>
        <v>-20955.3788751267</v>
      </c>
      <c r="CA194" s="28" t="n">
        <f aca="false">-(CA19*CA21*Hipótesis!$D$18+CA23*Hipótesis!$D$22)</f>
        <v>-20955.3788751267</v>
      </c>
      <c r="CB194" s="28" t="n">
        <f aca="false">-(CB19*CB21*Hipótesis!$D$18+CB23*Hipótesis!$D$22)</f>
        <v>-20955.3788751267</v>
      </c>
      <c r="CC194" s="28" t="n">
        <f aca="false">-(CC19*CC21*Hipótesis!$D$18+CC23*Hipótesis!$D$22)</f>
        <v>-20955.3788751267</v>
      </c>
      <c r="CD194" s="28" t="n">
        <f aca="false">-(CD19*CD21*Hipótesis!$D$18+CD23*Hipótesis!$D$22)</f>
        <v>-20955.3788751267</v>
      </c>
      <c r="CE194" s="28" t="n">
        <f aca="false">-(CE19*CE21*Hipótesis!$D$18+CE23*Hipótesis!$D$22)</f>
        <v>-20955.3788751267</v>
      </c>
      <c r="CF194" s="28" t="n">
        <f aca="false">-(CF19*CF21*Hipótesis!$D$18+CF23*Hipótesis!$D$22)</f>
        <v>-20955.3788751267</v>
      </c>
      <c r="CG194" s="28" t="n">
        <f aca="false">-(CG19*CG21*Hipótesis!$D$18+CG23*Hipótesis!$D$22)</f>
        <v>-20955.3788751267</v>
      </c>
      <c r="CH194" s="28" t="n">
        <f aca="false">-(CH19*CH21*Hipótesis!$D$18+CH23*Hipótesis!$D$22)</f>
        <v>-20955.3788751267</v>
      </c>
    </row>
    <row r="195" customFormat="false" ht="15" hidden="false" customHeight="false" outlineLevel="0" collapsed="false">
      <c r="A195" s="1" t="s">
        <v>856</v>
      </c>
      <c r="C195" s="28" t="n">
        <f aca="false">-C178*Hipótesis!$D$129</f>
        <v>-63.4927482550279</v>
      </c>
      <c r="D195" s="28" t="n">
        <f aca="false">-D178*Hipótesis!$D$129</f>
        <v>-126.985496510056</v>
      </c>
      <c r="E195" s="28" t="n">
        <f aca="false">-E178*Hipótesis!$D$129</f>
        <v>-190.478244765084</v>
      </c>
      <c r="F195" s="28" t="n">
        <f aca="false">-F178*Hipótesis!$D$129</f>
        <v>-253.970993020112</v>
      </c>
      <c r="G195" s="28" t="n">
        <f aca="false">-G178*Hipótesis!$D$129</f>
        <v>-47.619561191271</v>
      </c>
      <c r="H195" s="28" t="n">
        <f aca="false">-H178*Hipótesis!$D$129</f>
        <v>-380.956489530168</v>
      </c>
      <c r="I195" s="28" t="n">
        <f aca="false">-I178*Hipótesis!$D$129</f>
        <v>-444.449237785196</v>
      </c>
      <c r="J195" s="28" t="n">
        <f aca="false">-J178*Hipótesis!$D$129</f>
        <v>-507.941986040223</v>
      </c>
      <c r="K195" s="28" t="n">
        <f aca="false">-K178*Hipótesis!$D$129</f>
        <v>-571.434734295252</v>
      </c>
      <c r="L195" s="28" t="n">
        <f aca="false">-L178*Hipótesis!$D$129</f>
        <v>-634.927482550279</v>
      </c>
      <c r="M195" s="28" t="n">
        <f aca="false">-M178*Hipótesis!$D$129</f>
        <v>-698.420230805307</v>
      </c>
      <c r="N195" s="28" t="n">
        <f aca="false">-N178*Hipótesis!$D$129</f>
        <v>-761.912979060335</v>
      </c>
      <c r="O195" s="28" t="n">
        <f aca="false">-O178*Hipótesis!$D$129</f>
        <v>-825.405727315363</v>
      </c>
      <c r="P195" s="28" t="n">
        <f aca="false">-P178*Hipótesis!$D$129</f>
        <v>-888.898475570391</v>
      </c>
      <c r="Q195" s="28" t="n">
        <f aca="false">-Q178*Hipótesis!$D$129</f>
        <v>-952.391223825419</v>
      </c>
      <c r="R195" s="28" t="n">
        <f aca="false">-R178*Hipótesis!$D$129</f>
        <v>-1015.88397208045</v>
      </c>
      <c r="S195" s="28" t="n">
        <f aca="false">-S178*Hipótesis!$D$129</f>
        <v>-161.906508050321</v>
      </c>
      <c r="T195" s="28" t="n">
        <f aca="false">-T178*Hipótesis!$D$129</f>
        <v>-1142.8694685905</v>
      </c>
      <c r="U195" s="28" t="n">
        <f aca="false">-U178*Hipótesis!$D$129</f>
        <v>-1206.36221684553</v>
      </c>
      <c r="V195" s="28" t="n">
        <f aca="false">-V178*Hipótesis!$D$129</f>
        <v>-1269.85496510056</v>
      </c>
      <c r="W195" s="28" t="n">
        <f aca="false">-W178*Hipótesis!$D$129</f>
        <v>-1333.34771335559</v>
      </c>
      <c r="X195" s="28" t="n">
        <f aca="false">-X178*Hipótesis!$D$129</f>
        <v>-1396.84046161061</v>
      </c>
      <c r="Y195" s="28" t="n">
        <f aca="false">-Y178*Hipótesis!$D$129</f>
        <v>-1460.33320986564</v>
      </c>
      <c r="Z195" s="28" t="n">
        <f aca="false">-Z178*Hipótesis!$D$129</f>
        <v>-1523.82595812067</v>
      </c>
      <c r="AA195" s="28" t="n">
        <f aca="false">-AA178*Hipótesis!$D$129</f>
        <v>-1523.82595812067</v>
      </c>
      <c r="AB195" s="28" t="n">
        <f aca="false">-AB178*Hipótesis!$D$129</f>
        <v>-1523.82595812067</v>
      </c>
      <c r="AC195" s="28" t="n">
        <f aca="false">-AC178*Hipótesis!$D$129</f>
        <v>-1523.82595812067</v>
      </c>
      <c r="AD195" s="28" t="n">
        <f aca="false">-AD178*Hipótesis!$D$129</f>
        <v>-1523.82595812067</v>
      </c>
      <c r="AE195" s="28" t="n">
        <f aca="false">-AE178*Hipótesis!$D$129</f>
        <v>-228.573893718101</v>
      </c>
      <c r="AF195" s="28" t="n">
        <f aca="false">-AF178*Hipótesis!$D$129</f>
        <v>-1523.82595812067</v>
      </c>
      <c r="AG195" s="28" t="n">
        <f aca="false">-AG178*Hipótesis!$D$129</f>
        <v>-1523.82595812067</v>
      </c>
      <c r="AH195" s="28" t="n">
        <f aca="false">-AH178*Hipótesis!$D$129</f>
        <v>-1523.82595812067</v>
      </c>
      <c r="AI195" s="28" t="n">
        <f aca="false">-AI178*Hipótesis!$D$129</f>
        <v>-1523.82595812067</v>
      </c>
      <c r="AJ195" s="28" t="n">
        <f aca="false">-AJ178*Hipótesis!$D$129</f>
        <v>-1523.82595812067</v>
      </c>
      <c r="AK195" s="28" t="n">
        <f aca="false">-AK178*Hipótesis!$D$129</f>
        <v>-1523.82595812067</v>
      </c>
      <c r="AL195" s="28" t="n">
        <f aca="false">-AL178*Hipótesis!$D$129</f>
        <v>-1523.82595812067</v>
      </c>
      <c r="AM195" s="28" t="n">
        <f aca="false">-AM178*Hipótesis!$D$129</f>
        <v>-1523.82595812067</v>
      </c>
      <c r="AN195" s="28" t="n">
        <f aca="false">-AN178*Hipótesis!$D$129</f>
        <v>-1523.82595812067</v>
      </c>
      <c r="AO195" s="28" t="n">
        <f aca="false">-AO178*Hipótesis!$D$129</f>
        <v>-1523.82595812067</v>
      </c>
      <c r="AP195" s="28" t="n">
        <f aca="false">-AP178*Hipótesis!$D$129</f>
        <v>-1523.82595812067</v>
      </c>
      <c r="AQ195" s="28" t="n">
        <f aca="false">-AQ178*Hipótesis!$D$129</f>
        <v>-228.573893718101</v>
      </c>
      <c r="AR195" s="28" t="n">
        <f aca="false">-AR178*Hipótesis!$D$129</f>
        <v>-1523.82595812067</v>
      </c>
      <c r="AS195" s="28" t="n">
        <f aca="false">-AS178*Hipótesis!$D$129</f>
        <v>-1523.82595812067</v>
      </c>
      <c r="AT195" s="28" t="n">
        <f aca="false">-AT178*Hipótesis!$D$129</f>
        <v>-1523.82595812067</v>
      </c>
      <c r="AU195" s="28" t="n">
        <f aca="false">-AU178*Hipótesis!$D$129</f>
        <v>-1523.82595812067</v>
      </c>
      <c r="AV195" s="28" t="n">
        <f aca="false">-AV178*Hipótesis!$D$129</f>
        <v>-1523.82595812067</v>
      </c>
      <c r="AW195" s="28" t="n">
        <f aca="false">-AW178*Hipótesis!$D$129</f>
        <v>-1523.82595812067</v>
      </c>
      <c r="AX195" s="28" t="n">
        <f aca="false">-AX178*Hipótesis!$D$129</f>
        <v>-1523.82595812067</v>
      </c>
      <c r="AY195" s="28" t="n">
        <f aca="false">-AY178*Hipótesis!$D$129</f>
        <v>-1523.82595812067</v>
      </c>
      <c r="AZ195" s="28" t="n">
        <f aca="false">-AZ178*Hipótesis!$D$129</f>
        <v>-1523.82595812067</v>
      </c>
      <c r="BA195" s="28" t="n">
        <f aca="false">-BA178*Hipótesis!$D$129</f>
        <v>-1523.82595812067</v>
      </c>
      <c r="BB195" s="28" t="n">
        <f aca="false">-BB178*Hipótesis!$D$129</f>
        <v>-1523.82595812067</v>
      </c>
      <c r="BC195" s="28" t="n">
        <f aca="false">-BC178*Hipótesis!$D$129</f>
        <v>-228.573893718101</v>
      </c>
      <c r="BD195" s="28" t="n">
        <f aca="false">-BD178*Hipótesis!$D$129</f>
        <v>-1523.82595812067</v>
      </c>
      <c r="BE195" s="28" t="n">
        <f aca="false">-BE178*Hipótesis!$D$129</f>
        <v>-1523.82595812067</v>
      </c>
      <c r="BF195" s="28" t="n">
        <f aca="false">-BF178*Hipótesis!$D$129</f>
        <v>-1523.82595812067</v>
      </c>
      <c r="BG195" s="28" t="n">
        <f aca="false">-BG178*Hipótesis!$D$129</f>
        <v>-1523.82595812067</v>
      </c>
      <c r="BH195" s="28" t="n">
        <f aca="false">-BH178*Hipótesis!$D$129</f>
        <v>-1523.82595812067</v>
      </c>
      <c r="BI195" s="28" t="n">
        <f aca="false">-BI178*Hipótesis!$D$129</f>
        <v>-1523.82595812067</v>
      </c>
      <c r="BJ195" s="28" t="n">
        <f aca="false">-BJ178*Hipótesis!$D$129</f>
        <v>-1523.82595812067</v>
      </c>
      <c r="BK195" s="28" t="n">
        <f aca="false">-BK178*Hipótesis!$D$129</f>
        <v>-1523.82595812067</v>
      </c>
      <c r="BL195" s="28" t="n">
        <f aca="false">-BL178*Hipótesis!$D$129</f>
        <v>-1523.82595812067</v>
      </c>
      <c r="BM195" s="28" t="n">
        <f aca="false">-BM178*Hipótesis!$D$129</f>
        <v>-1523.82595812067</v>
      </c>
      <c r="BN195" s="28" t="n">
        <f aca="false">-BN178*Hipótesis!$D$129</f>
        <v>-1523.82595812067</v>
      </c>
      <c r="BO195" s="28" t="n">
        <f aca="false">-BO178*Hipótesis!$D$129</f>
        <v>-228.573893718101</v>
      </c>
      <c r="BP195" s="28" t="n">
        <f aca="false">-BP178*Hipótesis!$D$129</f>
        <v>-1523.82595812067</v>
      </c>
      <c r="BQ195" s="28" t="n">
        <f aca="false">-BQ178*Hipótesis!$D$129</f>
        <v>-1523.82595812067</v>
      </c>
      <c r="BR195" s="28" t="n">
        <f aca="false">-BR178*Hipótesis!$D$129</f>
        <v>-1523.82595812067</v>
      </c>
      <c r="BS195" s="28" t="n">
        <f aca="false">-BS178*Hipótesis!$D$129</f>
        <v>-1523.82595812067</v>
      </c>
      <c r="BT195" s="28" t="n">
        <f aca="false">-BT178*Hipótesis!$D$129</f>
        <v>-1523.82595812067</v>
      </c>
      <c r="BU195" s="28" t="n">
        <f aca="false">-BU178*Hipótesis!$D$129</f>
        <v>-1523.82595812067</v>
      </c>
      <c r="BV195" s="28" t="n">
        <f aca="false">-BV178*Hipótesis!$D$129</f>
        <v>-1523.82595812067</v>
      </c>
      <c r="BW195" s="28" t="n">
        <f aca="false">-BW178*Hipótesis!$D$129</f>
        <v>-1523.82595812067</v>
      </c>
      <c r="BX195" s="28" t="n">
        <f aca="false">-BX178*Hipótesis!$D$129</f>
        <v>-1523.82595812067</v>
      </c>
      <c r="BY195" s="28" t="n">
        <f aca="false">-BY178*Hipótesis!$D$129</f>
        <v>-1523.82595812067</v>
      </c>
      <c r="BZ195" s="28" t="n">
        <f aca="false">-BZ178*Hipótesis!$D$129</f>
        <v>-1523.82595812067</v>
      </c>
      <c r="CA195" s="28" t="n">
        <f aca="false">-CA178*Hipótesis!$D$129</f>
        <v>-228.573893718101</v>
      </c>
      <c r="CB195" s="28" t="n">
        <f aca="false">-CB178*Hipótesis!$D$129</f>
        <v>-1523.82595812067</v>
      </c>
      <c r="CC195" s="28" t="n">
        <f aca="false">-CC178*Hipótesis!$D$129</f>
        <v>-1523.82595812067</v>
      </c>
      <c r="CD195" s="28" t="n">
        <f aca="false">-CD178*Hipótesis!$D$129</f>
        <v>-1523.82595812067</v>
      </c>
      <c r="CE195" s="28" t="n">
        <f aca="false">-CE178*Hipótesis!$D$129</f>
        <v>-1523.82595812067</v>
      </c>
      <c r="CF195" s="28" t="n">
        <f aca="false">-CF178*Hipótesis!$D$129</f>
        <v>-1523.82595812067</v>
      </c>
      <c r="CG195" s="28" t="n">
        <f aca="false">-CG178*Hipótesis!$D$129</f>
        <v>-1523.82595812067</v>
      </c>
      <c r="CH195" s="28" t="n">
        <f aca="false">-CH178*Hipótesis!$D$129</f>
        <v>-1523.82595812067</v>
      </c>
    </row>
    <row r="196" customFormat="false" ht="15" hidden="false" customHeight="false" outlineLevel="0" collapsed="false">
      <c r="A196" s="25" t="s">
        <v>857</v>
      </c>
      <c r="C196" s="157" t="n">
        <f aca="false">IFERROR(C177*Hipótesis!$D$130/Restaurantes!$D$22/(Restaurantes!$D$24*Restaurantes!$D$25),0)</f>
        <v>5.12754602584767</v>
      </c>
      <c r="D196" s="157" t="n">
        <f aca="false">IFERROR(D177*Hipótesis!$D$130/Restaurantes!$D$22/(Restaurantes!$D$24*Restaurantes!$D$25),0)</f>
        <v>10.2550920516953</v>
      </c>
      <c r="E196" s="157" t="n">
        <f aca="false">IFERROR(E177*Hipótesis!$D$130/Restaurantes!$D$22/(Restaurantes!$D$24*Restaurantes!$D$25),0)</f>
        <v>15.382638077543</v>
      </c>
      <c r="F196" s="157" t="n">
        <f aca="false">IFERROR(F177*Hipótesis!$D$130/Restaurantes!$D$22/(Restaurantes!$D$24*Restaurantes!$D$25),0)</f>
        <v>20.5101841033907</v>
      </c>
      <c r="G196" s="157" t="n">
        <f aca="false">IFERROR(G177*Hipótesis!$D$130/Restaurantes!$D$22/(Restaurantes!$D$24*Restaurantes!$D$25),0)</f>
        <v>25.6377301292383</v>
      </c>
      <c r="H196" s="157" t="n">
        <f aca="false">IFERROR(H177*Hipótesis!$D$130/Restaurantes!$D$22/(Restaurantes!$D$24*Restaurantes!$D$25),0)</f>
        <v>30.765276155086</v>
      </c>
      <c r="I196" s="157" t="n">
        <f aca="false">IFERROR(I177*Hipótesis!$D$130/Restaurantes!$D$22/(Restaurantes!$D$24*Restaurantes!$D$25),0)</f>
        <v>35.8928221809337</v>
      </c>
      <c r="J196" s="157" t="n">
        <f aca="false">IFERROR(J177*Hipótesis!$D$130/Restaurantes!$D$22/(Restaurantes!$D$24*Restaurantes!$D$25),0)</f>
        <v>41.0203682067814</v>
      </c>
      <c r="K196" s="157" t="n">
        <f aca="false">IFERROR(K177*Hipótesis!$D$130/Restaurantes!$D$22/(Restaurantes!$D$24*Restaurantes!$D$25),0)</f>
        <v>46.147914232629</v>
      </c>
      <c r="L196" s="157" t="n">
        <f aca="false">IFERROR(L177*Hipótesis!$D$130/Restaurantes!$D$22/(Restaurantes!$D$24*Restaurantes!$D$25),0)</f>
        <v>51.2754602584767</v>
      </c>
      <c r="M196" s="157" t="n">
        <f aca="false">IFERROR(M177*Hipótesis!$D$130/Restaurantes!$D$22/(Restaurantes!$D$24*Restaurantes!$D$25),0)</f>
        <v>56.4030062843243</v>
      </c>
      <c r="N196" s="157" t="n">
        <f aca="false">IFERROR(N177*Hipótesis!$D$130/Restaurantes!$D$22/(Restaurantes!$D$24*Restaurantes!$D$25),0)</f>
        <v>61.530552310172</v>
      </c>
      <c r="O196" s="157" t="n">
        <f aca="false">IFERROR(O177*Hipótesis!$D$130/Restaurantes!$D$22/(Restaurantes!$D$24*Restaurantes!$D$25),0)</f>
        <v>66.6580983360197</v>
      </c>
      <c r="P196" s="157" t="n">
        <f aca="false">IFERROR(P177*Hipótesis!$D$130/Restaurantes!$D$22/(Restaurantes!$D$24*Restaurantes!$D$25),0)</f>
        <v>71.7856443618674</v>
      </c>
      <c r="Q196" s="157" t="n">
        <f aca="false">IFERROR(Q177*Hipótesis!$D$130/Restaurantes!$D$22/(Restaurantes!$D$24*Restaurantes!$D$25),0)</f>
        <v>76.913190387715</v>
      </c>
      <c r="R196" s="157" t="n">
        <f aca="false">IFERROR(R177*Hipótesis!$D$130/Restaurantes!$D$22/(Restaurantes!$D$24*Restaurantes!$D$25),0)</f>
        <v>82.0407364135627</v>
      </c>
      <c r="S196" s="157" t="n">
        <f aca="false">IFERROR(S177*Hipótesis!$D$130/Restaurantes!$D$22/(Restaurantes!$D$24*Restaurantes!$D$25),0)</f>
        <v>87.1682824394104</v>
      </c>
      <c r="T196" s="157" t="n">
        <f aca="false">IFERROR(T177*Hipótesis!$D$130/Restaurantes!$D$22/(Restaurantes!$D$24*Restaurantes!$D$25),0)</f>
        <v>92.295828465258</v>
      </c>
      <c r="U196" s="157" t="n">
        <f aca="false">IFERROR(U177*Hipótesis!$D$130/Restaurantes!$D$22/(Restaurantes!$D$24*Restaurantes!$D$25),0)</f>
        <v>97.4233744911057</v>
      </c>
      <c r="V196" s="157" t="n">
        <f aca="false">IFERROR(V177*Hipótesis!$D$130/Restaurantes!$D$22/(Restaurantes!$D$24*Restaurantes!$D$25),0)</f>
        <v>102.550920516953</v>
      </c>
      <c r="W196" s="157" t="n">
        <f aca="false">IFERROR(W177*Hipótesis!$D$130/Restaurantes!$D$22/(Restaurantes!$D$24*Restaurantes!$D$25),0)</f>
        <v>107.678466542801</v>
      </c>
      <c r="X196" s="157" t="n">
        <f aca="false">IFERROR(X177*Hipótesis!$D$130/Restaurantes!$D$22/(Restaurantes!$D$24*Restaurantes!$D$25),0)</f>
        <v>112.806012568649</v>
      </c>
      <c r="Y196" s="157" t="n">
        <f aca="false">IFERROR(Y177*Hipótesis!$D$130/Restaurantes!$D$22/(Restaurantes!$D$24*Restaurantes!$D$25),0)</f>
        <v>117.933558594496</v>
      </c>
      <c r="Z196" s="157" t="n">
        <f aca="false">IFERROR(Z177*Hipótesis!$D$130/Restaurantes!$D$22/(Restaurantes!$D$24*Restaurantes!$D$25),0)</f>
        <v>123.061104620344</v>
      </c>
      <c r="AA196" s="157" t="n">
        <f aca="false">IFERROR(AA177*Hipótesis!$D$130/Restaurantes!$D$22/(Restaurantes!$D$24*Restaurantes!$D$25),0)</f>
        <v>123.061104620344</v>
      </c>
      <c r="AB196" s="157" t="n">
        <f aca="false">IFERROR(AB177*Hipótesis!$D$130/Restaurantes!$D$22/(Restaurantes!$D$24*Restaurantes!$D$25),0)</f>
        <v>123.061104620344</v>
      </c>
      <c r="AC196" s="157" t="n">
        <f aca="false">IFERROR(AC177*Hipótesis!$D$130/Restaurantes!$D$22/(Restaurantes!$D$24*Restaurantes!$D$25),0)</f>
        <v>123.061104620344</v>
      </c>
      <c r="AD196" s="157" t="n">
        <f aca="false">IFERROR(AD177*Hipótesis!$D$130/Restaurantes!$D$22/(Restaurantes!$D$24*Restaurantes!$D$25),0)</f>
        <v>123.061104620344</v>
      </c>
      <c r="AE196" s="157" t="n">
        <f aca="false">IFERROR(AE177*Hipótesis!$D$130/Restaurantes!$D$22/(Restaurantes!$D$24*Restaurantes!$D$25),0)</f>
        <v>123.061104620344</v>
      </c>
      <c r="AF196" s="157" t="n">
        <f aca="false">IFERROR(AF177*Hipótesis!$D$130/Restaurantes!$D$22/(Restaurantes!$D$24*Restaurantes!$D$25),0)</f>
        <v>123.061104620344</v>
      </c>
      <c r="AG196" s="157" t="n">
        <f aca="false">IFERROR(AG177*Hipótesis!$D$130/Restaurantes!$D$22/(Restaurantes!$D$24*Restaurantes!$D$25),0)</f>
        <v>123.061104620344</v>
      </c>
      <c r="AH196" s="157" t="n">
        <f aca="false">IFERROR(AH177*Hipótesis!$D$130/Restaurantes!$D$22/(Restaurantes!$D$24*Restaurantes!$D$25),0)</f>
        <v>123.061104620344</v>
      </c>
      <c r="AI196" s="157" t="n">
        <f aca="false">IFERROR(AI177*Hipótesis!$D$130/Restaurantes!$D$22/(Restaurantes!$D$24*Restaurantes!$D$25),0)</f>
        <v>123.061104620344</v>
      </c>
      <c r="AJ196" s="157" t="n">
        <f aca="false">IFERROR(AJ177*Hipótesis!$D$130/Restaurantes!$D$22/(Restaurantes!$D$24*Restaurantes!$D$25),0)</f>
        <v>123.061104620344</v>
      </c>
      <c r="AK196" s="157" t="n">
        <f aca="false">IFERROR(AK177*Hipótesis!$D$130/Restaurantes!$D$22/(Restaurantes!$D$24*Restaurantes!$D$25),0)</f>
        <v>123.061104620344</v>
      </c>
      <c r="AL196" s="157" t="n">
        <f aca="false">IFERROR(AL177*Hipótesis!$D$130/Restaurantes!$D$22/(Restaurantes!$D$24*Restaurantes!$D$25),0)</f>
        <v>123.061104620344</v>
      </c>
      <c r="AM196" s="157" t="n">
        <f aca="false">IFERROR(AM177*Hipótesis!$D$130/Restaurantes!$D$22/(Restaurantes!$D$24*Restaurantes!$D$25),0)</f>
        <v>123.061104620344</v>
      </c>
      <c r="AN196" s="157" t="n">
        <f aca="false">IFERROR(AN177*Hipótesis!$D$130/Restaurantes!$D$22/(Restaurantes!$D$24*Restaurantes!$D$25),0)</f>
        <v>123.061104620344</v>
      </c>
      <c r="AO196" s="157" t="n">
        <f aca="false">IFERROR(AO177*Hipótesis!$D$130/Restaurantes!$D$22/(Restaurantes!$D$24*Restaurantes!$D$25),0)</f>
        <v>123.061104620344</v>
      </c>
      <c r="AP196" s="157" t="n">
        <f aca="false">IFERROR(AP177*Hipótesis!$D$130/Restaurantes!$D$22/(Restaurantes!$D$24*Restaurantes!$D$25),0)</f>
        <v>123.061104620344</v>
      </c>
      <c r="AQ196" s="157" t="n">
        <f aca="false">IFERROR(AQ177*Hipótesis!$D$130/Restaurantes!$D$22/(Restaurantes!$D$24*Restaurantes!$D$25),0)</f>
        <v>123.061104620344</v>
      </c>
      <c r="AR196" s="157" t="n">
        <f aca="false">IFERROR(AR177*Hipótesis!$D$130/Restaurantes!$D$22/(Restaurantes!$D$24*Restaurantes!$D$25),0)</f>
        <v>123.061104620344</v>
      </c>
      <c r="AS196" s="157" t="n">
        <f aca="false">IFERROR(AS177*Hipótesis!$D$130/Restaurantes!$D$22/(Restaurantes!$D$24*Restaurantes!$D$25),0)</f>
        <v>123.061104620344</v>
      </c>
      <c r="AT196" s="157" t="n">
        <f aca="false">IFERROR(AT177*Hipótesis!$D$130/Restaurantes!$D$22/(Restaurantes!$D$24*Restaurantes!$D$25),0)</f>
        <v>123.061104620344</v>
      </c>
      <c r="AU196" s="157" t="n">
        <f aca="false">IFERROR(AU177*Hipótesis!$D$130/Restaurantes!$D$22/(Restaurantes!$D$24*Restaurantes!$D$25),0)</f>
        <v>123.061104620344</v>
      </c>
      <c r="AV196" s="157" t="n">
        <f aca="false">IFERROR(AV177*Hipótesis!$D$130/Restaurantes!$D$22/(Restaurantes!$D$24*Restaurantes!$D$25),0)</f>
        <v>123.061104620344</v>
      </c>
      <c r="AW196" s="157" t="n">
        <f aca="false">IFERROR(AW177*Hipótesis!$D$130/Restaurantes!$D$22/(Restaurantes!$D$24*Restaurantes!$D$25),0)</f>
        <v>123.061104620344</v>
      </c>
      <c r="AX196" s="157" t="n">
        <f aca="false">IFERROR(AX177*Hipótesis!$D$130/Restaurantes!$D$22/(Restaurantes!$D$24*Restaurantes!$D$25),0)</f>
        <v>123.061104620344</v>
      </c>
      <c r="AY196" s="157" t="n">
        <f aca="false">IFERROR(AY177*Hipótesis!$D$130/Restaurantes!$D$22/(Restaurantes!$D$24*Restaurantes!$D$25),0)</f>
        <v>123.061104620344</v>
      </c>
      <c r="AZ196" s="157" t="n">
        <f aca="false">IFERROR(AZ177*Hipótesis!$D$130/Restaurantes!$D$22/(Restaurantes!$D$24*Restaurantes!$D$25),0)</f>
        <v>123.061104620344</v>
      </c>
      <c r="BA196" s="157" t="n">
        <f aca="false">IFERROR(BA177*Hipótesis!$D$130/Restaurantes!$D$22/(Restaurantes!$D$24*Restaurantes!$D$25),0)</f>
        <v>123.061104620344</v>
      </c>
      <c r="BB196" s="157" t="n">
        <f aca="false">IFERROR(BB177*Hipótesis!$D$130/Restaurantes!$D$22/(Restaurantes!$D$24*Restaurantes!$D$25),0)</f>
        <v>123.061104620344</v>
      </c>
      <c r="BC196" s="157" t="n">
        <f aca="false">IFERROR(BC177*Hipótesis!$D$130/Restaurantes!$D$22/(Restaurantes!$D$24*Restaurantes!$D$25),0)</f>
        <v>123.061104620344</v>
      </c>
      <c r="BD196" s="157" t="n">
        <f aca="false">IFERROR(BD177*Hipótesis!$D$130/Restaurantes!$D$22/(Restaurantes!$D$24*Restaurantes!$D$25),0)</f>
        <v>123.061104620344</v>
      </c>
      <c r="BE196" s="157" t="n">
        <f aca="false">IFERROR(BE177*Hipótesis!$D$130/Restaurantes!$D$22/(Restaurantes!$D$24*Restaurantes!$D$25),0)</f>
        <v>123.061104620344</v>
      </c>
      <c r="BF196" s="157" t="n">
        <f aca="false">IFERROR(BF177*Hipótesis!$D$130/Restaurantes!$D$22/(Restaurantes!$D$24*Restaurantes!$D$25),0)</f>
        <v>123.061104620344</v>
      </c>
      <c r="BG196" s="157" t="n">
        <f aca="false">IFERROR(BG177*Hipótesis!$D$130/Restaurantes!$D$22/(Restaurantes!$D$24*Restaurantes!$D$25),0)</f>
        <v>123.061104620344</v>
      </c>
      <c r="BH196" s="157" t="n">
        <f aca="false">IFERROR(BH177*Hipótesis!$D$130/Restaurantes!$D$22/(Restaurantes!$D$24*Restaurantes!$D$25),0)</f>
        <v>123.061104620344</v>
      </c>
      <c r="BI196" s="157" t="n">
        <f aca="false">IFERROR(BI177*Hipótesis!$D$130/Restaurantes!$D$22/(Restaurantes!$D$24*Restaurantes!$D$25),0)</f>
        <v>123.061104620344</v>
      </c>
      <c r="BJ196" s="157" t="n">
        <f aca="false">IFERROR(BJ177*Hipótesis!$D$130/Restaurantes!$D$22/(Restaurantes!$D$24*Restaurantes!$D$25),0)</f>
        <v>123.061104620344</v>
      </c>
      <c r="BK196" s="157" t="n">
        <f aca="false">IFERROR(BK177*Hipótesis!$D$130/Restaurantes!$D$22/(Restaurantes!$D$24*Restaurantes!$D$25),0)</f>
        <v>123.061104620344</v>
      </c>
      <c r="BL196" s="157" t="n">
        <f aca="false">IFERROR(BL177*Hipótesis!$D$130/Restaurantes!$D$22/(Restaurantes!$D$24*Restaurantes!$D$25),0)</f>
        <v>123.061104620344</v>
      </c>
      <c r="BM196" s="157" t="n">
        <f aca="false">IFERROR(BM177*Hipótesis!$D$130/Restaurantes!$D$22/(Restaurantes!$D$24*Restaurantes!$D$25),0)</f>
        <v>123.061104620344</v>
      </c>
      <c r="BN196" s="157" t="n">
        <f aca="false">IFERROR(BN177*Hipótesis!$D$130/Restaurantes!$D$22/(Restaurantes!$D$24*Restaurantes!$D$25),0)</f>
        <v>123.061104620344</v>
      </c>
      <c r="BO196" s="157" t="n">
        <f aca="false">IFERROR(BO177*Hipótesis!$D$130/Restaurantes!$D$22/(Restaurantes!$D$24*Restaurantes!$D$25),0)</f>
        <v>123.061104620344</v>
      </c>
      <c r="BP196" s="157" t="n">
        <f aca="false">IFERROR(BP177*Hipótesis!$D$130/Restaurantes!$D$22/(Restaurantes!$D$24*Restaurantes!$D$25),0)</f>
        <v>123.061104620344</v>
      </c>
      <c r="BQ196" s="157" t="n">
        <f aca="false">IFERROR(BQ177*Hipótesis!$D$130/Restaurantes!$D$22/(Restaurantes!$D$24*Restaurantes!$D$25),0)</f>
        <v>123.061104620344</v>
      </c>
      <c r="BR196" s="157" t="n">
        <f aca="false">IFERROR(BR177*Hipótesis!$D$130/Restaurantes!$D$22/(Restaurantes!$D$24*Restaurantes!$D$25),0)</f>
        <v>123.061104620344</v>
      </c>
      <c r="BS196" s="157" t="n">
        <f aca="false">IFERROR(BS177*Hipótesis!$D$130/Restaurantes!$D$22/(Restaurantes!$D$24*Restaurantes!$D$25),0)</f>
        <v>123.061104620344</v>
      </c>
      <c r="BT196" s="157" t="n">
        <f aca="false">IFERROR(BT177*Hipótesis!$D$130/Restaurantes!$D$22/(Restaurantes!$D$24*Restaurantes!$D$25),0)</f>
        <v>123.061104620344</v>
      </c>
      <c r="BU196" s="157" t="n">
        <f aca="false">IFERROR(BU177*Hipótesis!$D$130/Restaurantes!$D$22/(Restaurantes!$D$24*Restaurantes!$D$25),0)</f>
        <v>123.061104620344</v>
      </c>
      <c r="BV196" s="157" t="n">
        <f aca="false">IFERROR(BV177*Hipótesis!$D$130/Restaurantes!$D$22/(Restaurantes!$D$24*Restaurantes!$D$25),0)</f>
        <v>123.061104620344</v>
      </c>
      <c r="BW196" s="157" t="n">
        <f aca="false">IFERROR(BW177*Hipótesis!$D$130/Restaurantes!$D$22/(Restaurantes!$D$24*Restaurantes!$D$25),0)</f>
        <v>123.061104620344</v>
      </c>
      <c r="BX196" s="157" t="n">
        <f aca="false">IFERROR(BX177*Hipótesis!$D$130/Restaurantes!$D$22/(Restaurantes!$D$24*Restaurantes!$D$25),0)</f>
        <v>123.061104620344</v>
      </c>
      <c r="BY196" s="157" t="n">
        <f aca="false">IFERROR(BY177*Hipótesis!$D$130/Restaurantes!$D$22/(Restaurantes!$D$24*Restaurantes!$D$25),0)</f>
        <v>123.061104620344</v>
      </c>
      <c r="BZ196" s="157" t="n">
        <f aca="false">IFERROR(BZ177*Hipótesis!$D$130/Restaurantes!$D$22/(Restaurantes!$D$24*Restaurantes!$D$25),0)</f>
        <v>123.061104620344</v>
      </c>
      <c r="CA196" s="157" t="n">
        <f aca="false">IFERROR(CA177*Hipótesis!$D$130/Restaurantes!$D$22/(Restaurantes!$D$24*Restaurantes!$D$25),0)</f>
        <v>123.061104620344</v>
      </c>
      <c r="CB196" s="157" t="n">
        <f aca="false">IFERROR(CB177*Hipótesis!$D$130/Restaurantes!$D$22/(Restaurantes!$D$24*Restaurantes!$D$25),0)</f>
        <v>123.061104620344</v>
      </c>
      <c r="CC196" s="157" t="n">
        <f aca="false">IFERROR(CC177*Hipótesis!$D$130/Restaurantes!$D$22/(Restaurantes!$D$24*Restaurantes!$D$25),0)</f>
        <v>123.061104620344</v>
      </c>
      <c r="CD196" s="157" t="n">
        <f aca="false">IFERROR(CD177*Hipótesis!$D$130/Restaurantes!$D$22/(Restaurantes!$D$24*Restaurantes!$D$25),0)</f>
        <v>123.061104620344</v>
      </c>
      <c r="CE196" s="157" t="n">
        <f aca="false">IFERROR(CE177*Hipótesis!$D$130/Restaurantes!$D$22/(Restaurantes!$D$24*Restaurantes!$D$25),0)</f>
        <v>123.061104620344</v>
      </c>
      <c r="CF196" s="157" t="n">
        <f aca="false">IFERROR(CF177*Hipótesis!$D$130/Restaurantes!$D$22/(Restaurantes!$D$24*Restaurantes!$D$25),0)</f>
        <v>123.061104620344</v>
      </c>
      <c r="CG196" s="157" t="n">
        <f aca="false">IFERROR(CG177*Hipótesis!$D$130/Restaurantes!$D$22/(Restaurantes!$D$24*Restaurantes!$D$25),0)</f>
        <v>123.061104620344</v>
      </c>
      <c r="CH196" s="157" t="n">
        <f aca="false">IFERROR(CH177*Hipótesis!$D$130/Restaurantes!$D$22/(Restaurantes!$D$24*Restaurantes!$D$25),0)</f>
        <v>123.061104620344</v>
      </c>
    </row>
    <row r="197" customFormat="false" ht="15" hidden="false" customHeight="false" outlineLevel="0" collapsed="false">
      <c r="A197" s="1" t="s">
        <v>858</v>
      </c>
      <c r="C197" s="158" t="n">
        <f aca="false">MAX(0,C196)</f>
        <v>5.12754602584767</v>
      </c>
      <c r="D197" s="158" t="n">
        <f aca="false">MAX(0,D196-C196)+C196*Restaurantes!$D$62</f>
        <v>5.20445921623538</v>
      </c>
      <c r="E197" s="158" t="n">
        <f aca="false">MAX(0,E196-D196)+D196*Restaurantes!$D$62</f>
        <v>5.2813724066231</v>
      </c>
      <c r="F197" s="158" t="n">
        <f aca="false">MAX(0,F196-E196)+E196*Restaurantes!$D$62</f>
        <v>5.35828559701081</v>
      </c>
      <c r="G197" s="158" t="n">
        <f aca="false">MAX(0,G196-F196)+F196*Restaurantes!$D$62</f>
        <v>5.43519878739853</v>
      </c>
      <c r="H197" s="158" t="n">
        <f aca="false">MAX(0,H196-G196)+G196*Restaurantes!$D$62</f>
        <v>5.51211197778624</v>
      </c>
      <c r="I197" s="158" t="n">
        <f aca="false">MAX(0,I196-H196)+H196*Restaurantes!$D$62</f>
        <v>5.58902516817396</v>
      </c>
      <c r="J197" s="158" t="n">
        <f aca="false">MAX(0,J196-I196)+I196*Restaurantes!$D$62</f>
        <v>5.66593835856168</v>
      </c>
      <c r="K197" s="158" t="n">
        <f aca="false">MAX(0,K196-J196)+J196*Restaurantes!$D$62</f>
        <v>5.74285154894938</v>
      </c>
      <c r="L197" s="158" t="n">
        <f aca="false">MAX(0,L196-K196)+K196*Restaurantes!$D$62</f>
        <v>5.81976473933711</v>
      </c>
      <c r="M197" s="158" t="n">
        <f aca="false">MAX(0,M196-L196)+L196*Restaurantes!$D$62</f>
        <v>5.89667792972481</v>
      </c>
      <c r="N197" s="158" t="n">
        <f aca="false">MAX(0,N196-M196)+M196*Restaurantes!$D$62</f>
        <v>5.97359112011254</v>
      </c>
      <c r="O197" s="158" t="n">
        <f aca="false">MAX(0,O196-N196)+N196*Restaurantes!$D$62</f>
        <v>6.05050431050025</v>
      </c>
      <c r="P197" s="158" t="n">
        <f aca="false">MAX(0,P196-O196)+O196*Restaurantes!$D$62</f>
        <v>6.12741750088796</v>
      </c>
      <c r="Q197" s="158" t="n">
        <f aca="false">MAX(0,Q196-P196)+P196*Restaurantes!$D$62</f>
        <v>6.20433069127568</v>
      </c>
      <c r="R197" s="158" t="n">
        <f aca="false">MAX(0,R196-Q196)+Q196*Restaurantes!$D$62</f>
        <v>6.2812438816634</v>
      </c>
      <c r="S197" s="158" t="n">
        <f aca="false">MAX(0,S196-R196)+R196*Restaurantes!$D$62</f>
        <v>6.35815707205109</v>
      </c>
      <c r="T197" s="158" t="n">
        <f aca="false">MAX(0,T196-S196)+S196*Restaurantes!$D$62</f>
        <v>6.43507026243883</v>
      </c>
      <c r="U197" s="158" t="n">
        <f aca="false">MAX(0,U196-T196)+T196*Restaurantes!$D$62</f>
        <v>6.51198345282655</v>
      </c>
      <c r="V197" s="158" t="n">
        <f aca="false">MAX(0,V196-U196)+U196*Restaurantes!$D$62</f>
        <v>6.58889664321425</v>
      </c>
      <c r="W197" s="158" t="n">
        <f aca="false">MAX(0,W196-V196)+V196*Restaurantes!$D$62</f>
        <v>6.66580983360197</v>
      </c>
      <c r="X197" s="158" t="n">
        <f aca="false">MAX(0,X196-W196)+W196*Restaurantes!$D$62</f>
        <v>6.74272302398967</v>
      </c>
      <c r="Y197" s="158" t="n">
        <f aca="false">MAX(0,Y196-X196)+X196*Restaurantes!$D$62</f>
        <v>6.81963621437742</v>
      </c>
      <c r="Z197" s="158" t="n">
        <f aca="false">MAX(0,Z196-Y196)+Y196*Restaurantes!$D$62</f>
        <v>6.89654940476511</v>
      </c>
      <c r="AA197" s="158" t="n">
        <f aca="false">MAX(0,AA196-Z196)+Z196*Restaurantes!$D$62</f>
        <v>1.84591656930516</v>
      </c>
      <c r="AB197" s="158" t="n">
        <f aca="false">MAX(0,AB196-AA196)+AA196*Restaurantes!$D$62</f>
        <v>1.84591656930516</v>
      </c>
      <c r="AC197" s="158" t="n">
        <f aca="false">MAX(0,AC196-AB196)+AB196*Restaurantes!$D$62</f>
        <v>1.84591656930516</v>
      </c>
      <c r="AD197" s="158" t="n">
        <f aca="false">MAX(0,AD196-AC196)+AC196*Restaurantes!$D$62</f>
        <v>1.84591656930516</v>
      </c>
      <c r="AE197" s="158" t="n">
        <f aca="false">MAX(0,AE196-AD196)+AD196*Restaurantes!$D$62</f>
        <v>1.84591656930516</v>
      </c>
      <c r="AF197" s="158" t="n">
        <f aca="false">MAX(0,AF196-AE196)+AE196*Restaurantes!$D$62</f>
        <v>1.84591656930516</v>
      </c>
      <c r="AG197" s="158" t="n">
        <f aca="false">MAX(0,AG196-AF196)+AF196*Restaurantes!$D$62</f>
        <v>1.84591656930516</v>
      </c>
      <c r="AH197" s="158" t="n">
        <f aca="false">MAX(0,AH196-AG196)+AG196*Restaurantes!$D$62</f>
        <v>1.84591656930516</v>
      </c>
      <c r="AI197" s="158" t="n">
        <f aca="false">MAX(0,AI196-AH196)+AH196*Restaurantes!$D$62</f>
        <v>1.84591656930516</v>
      </c>
      <c r="AJ197" s="158" t="n">
        <f aca="false">MAX(0,AJ196-AI196)+AI196*Restaurantes!$D$62</f>
        <v>1.84591656930516</v>
      </c>
      <c r="AK197" s="158" t="n">
        <f aca="false">MAX(0,AK196-AJ196)+AJ196*Restaurantes!$D$62</f>
        <v>1.84591656930516</v>
      </c>
      <c r="AL197" s="158" t="n">
        <f aca="false">MAX(0,AL196-AK196)+AK196*Restaurantes!$D$62</f>
        <v>1.84591656930516</v>
      </c>
      <c r="AM197" s="158" t="n">
        <f aca="false">MAX(0,AM196-AL196)+AL196*Restaurantes!$D$62</f>
        <v>1.84591656930516</v>
      </c>
      <c r="AN197" s="158" t="n">
        <f aca="false">MAX(0,AN196-AM196)+AM196*Restaurantes!$D$62</f>
        <v>1.84591656930516</v>
      </c>
      <c r="AO197" s="158" t="n">
        <f aca="false">MAX(0,AO196-AN196)+AN196*Restaurantes!$D$62</f>
        <v>1.84591656930516</v>
      </c>
      <c r="AP197" s="158" t="n">
        <f aca="false">MAX(0,AP196-AO196)+AO196*Restaurantes!$D$62</f>
        <v>1.84591656930516</v>
      </c>
      <c r="AQ197" s="158" t="n">
        <f aca="false">MAX(0,AQ196-AP196)+AP196*Restaurantes!$D$62</f>
        <v>1.84591656930516</v>
      </c>
      <c r="AR197" s="158" t="n">
        <f aca="false">MAX(0,AR196-AQ196)+AQ196*Restaurantes!$D$62</f>
        <v>1.84591656930516</v>
      </c>
      <c r="AS197" s="158" t="n">
        <f aca="false">MAX(0,AS196-AR196)+AR196*Restaurantes!$D$62</f>
        <v>1.84591656930516</v>
      </c>
      <c r="AT197" s="158" t="n">
        <f aca="false">MAX(0,AT196-AS196)+AS196*Restaurantes!$D$62</f>
        <v>1.84591656930516</v>
      </c>
      <c r="AU197" s="158" t="n">
        <f aca="false">MAX(0,AU196-AT196)+AT196*Restaurantes!$D$62</f>
        <v>1.84591656930516</v>
      </c>
      <c r="AV197" s="158" t="n">
        <f aca="false">MAX(0,AV196-AU196)+AU196*Restaurantes!$D$62</f>
        <v>1.84591656930516</v>
      </c>
      <c r="AW197" s="158" t="n">
        <f aca="false">MAX(0,AW196-AV196)+AV196*Restaurantes!$D$62</f>
        <v>1.84591656930516</v>
      </c>
      <c r="AX197" s="158" t="n">
        <f aca="false">MAX(0,AX196-AW196)+AW196*Restaurantes!$D$62</f>
        <v>1.84591656930516</v>
      </c>
      <c r="AY197" s="158" t="n">
        <f aca="false">MAX(0,AY196-AX196)+AX196*Restaurantes!$D$62</f>
        <v>1.84591656930516</v>
      </c>
      <c r="AZ197" s="158" t="n">
        <f aca="false">MAX(0,AZ196-AY196)+AY196*Restaurantes!$D$62</f>
        <v>1.84591656930516</v>
      </c>
      <c r="BA197" s="158" t="n">
        <f aca="false">MAX(0,BA196-AZ196)+AZ196*Restaurantes!$D$62</f>
        <v>1.84591656930516</v>
      </c>
      <c r="BB197" s="158" t="n">
        <f aca="false">MAX(0,BB196-BA196)+BA196*Restaurantes!$D$62</f>
        <v>1.84591656930516</v>
      </c>
      <c r="BC197" s="158" t="n">
        <f aca="false">MAX(0,BC196-BB196)+BB196*Restaurantes!$D$62</f>
        <v>1.84591656930516</v>
      </c>
      <c r="BD197" s="158" t="n">
        <f aca="false">MAX(0,BD196-BC196)+BC196*Restaurantes!$D$62</f>
        <v>1.84591656930516</v>
      </c>
      <c r="BE197" s="158" t="n">
        <f aca="false">MAX(0,BE196-BD196)+BD196*Restaurantes!$D$62</f>
        <v>1.84591656930516</v>
      </c>
      <c r="BF197" s="158" t="n">
        <f aca="false">MAX(0,BF196-BE196)+BE196*Restaurantes!$D$62</f>
        <v>1.84591656930516</v>
      </c>
      <c r="BG197" s="158" t="n">
        <f aca="false">MAX(0,BG196-BF196)+BF196*Restaurantes!$D$62</f>
        <v>1.84591656930516</v>
      </c>
      <c r="BH197" s="158" t="n">
        <f aca="false">MAX(0,BH196-BG196)+BG196*Restaurantes!$D$62</f>
        <v>1.84591656930516</v>
      </c>
      <c r="BI197" s="158" t="n">
        <f aca="false">MAX(0,BI196-BH196)+BH196*Restaurantes!$D$62</f>
        <v>1.84591656930516</v>
      </c>
      <c r="BJ197" s="158" t="n">
        <f aca="false">MAX(0,BJ196-BI196)+BI196*Restaurantes!$D$62</f>
        <v>1.84591656930516</v>
      </c>
      <c r="BK197" s="158" t="n">
        <f aca="false">MAX(0,BK196-BJ196)+BJ196*Restaurantes!$D$62</f>
        <v>1.84591656930516</v>
      </c>
      <c r="BL197" s="158" t="n">
        <f aca="false">MAX(0,BL196-BK196)+BK196*Restaurantes!$D$62</f>
        <v>1.84591656930516</v>
      </c>
      <c r="BM197" s="158" t="n">
        <f aca="false">MAX(0,BM196-BL196)+BL196*Restaurantes!$D$62</f>
        <v>1.84591656930516</v>
      </c>
      <c r="BN197" s="158" t="n">
        <f aca="false">MAX(0,BN196-BM196)+BM196*Restaurantes!$D$62</f>
        <v>1.84591656930516</v>
      </c>
      <c r="BO197" s="158" t="n">
        <f aca="false">MAX(0,BO196-BN196)+BN196*Restaurantes!$D$62</f>
        <v>1.84591656930516</v>
      </c>
      <c r="BP197" s="158" t="n">
        <f aca="false">MAX(0,BP196-BO196)+BO196*Restaurantes!$D$62</f>
        <v>1.84591656930516</v>
      </c>
      <c r="BQ197" s="158" t="n">
        <f aca="false">MAX(0,BQ196-BP196)+BP196*Restaurantes!$D$62</f>
        <v>1.84591656930516</v>
      </c>
      <c r="BR197" s="158" t="n">
        <f aca="false">MAX(0,BR196-BQ196)+BQ196*Restaurantes!$D$62</f>
        <v>1.84591656930516</v>
      </c>
      <c r="BS197" s="158" t="n">
        <f aca="false">MAX(0,BS196-BR196)+BR196*Restaurantes!$D$62</f>
        <v>1.84591656930516</v>
      </c>
      <c r="BT197" s="158" t="n">
        <f aca="false">MAX(0,BT196-BS196)+BS196*Restaurantes!$D$62</f>
        <v>1.84591656930516</v>
      </c>
      <c r="BU197" s="158" t="n">
        <f aca="false">MAX(0,BU196-BT196)+BT196*Restaurantes!$D$62</f>
        <v>1.84591656930516</v>
      </c>
      <c r="BV197" s="158" t="n">
        <f aca="false">MAX(0,BV196-BU196)+BU196*Restaurantes!$D$62</f>
        <v>1.84591656930516</v>
      </c>
      <c r="BW197" s="158" t="n">
        <f aca="false">MAX(0,BW196-BV196)+BV196*Restaurantes!$D$62</f>
        <v>1.84591656930516</v>
      </c>
      <c r="BX197" s="158" t="n">
        <f aca="false">MAX(0,BX196-BW196)+BW196*Restaurantes!$D$62</f>
        <v>1.84591656930516</v>
      </c>
      <c r="BY197" s="158" t="n">
        <f aca="false">MAX(0,BY196-BX196)+BX196*Restaurantes!$D$62</f>
        <v>1.84591656930516</v>
      </c>
      <c r="BZ197" s="158" t="n">
        <f aca="false">MAX(0,BZ196-BY196)+BY196*Restaurantes!$D$62</f>
        <v>1.84591656930516</v>
      </c>
      <c r="CA197" s="158" t="n">
        <f aca="false">MAX(0,CA196-BZ196)+BZ196*Restaurantes!$D$62</f>
        <v>1.84591656930516</v>
      </c>
      <c r="CB197" s="158" t="n">
        <f aca="false">MAX(0,CB196-CA196)+CA196*Restaurantes!$D$62</f>
        <v>1.84591656930516</v>
      </c>
      <c r="CC197" s="158" t="n">
        <f aca="false">MAX(0,CC196-CB196)+CB196*Restaurantes!$D$62</f>
        <v>1.84591656930516</v>
      </c>
      <c r="CD197" s="158" t="n">
        <f aca="false">MAX(0,CD196-CC196)+CC196*Restaurantes!$D$62</f>
        <v>1.84591656930516</v>
      </c>
      <c r="CE197" s="158" t="n">
        <f aca="false">MAX(0,CE196-CD196)+CD196*Restaurantes!$D$62</f>
        <v>1.84591656930516</v>
      </c>
      <c r="CF197" s="158" t="n">
        <f aca="false">MAX(0,CF196-CE196)+CE196*Restaurantes!$D$62</f>
        <v>1.84591656930516</v>
      </c>
      <c r="CG197" s="158" t="n">
        <f aca="false">MAX(0,CG196-CF196)+CF196*Restaurantes!$D$62</f>
        <v>1.84591656930516</v>
      </c>
      <c r="CH197" s="158" t="n">
        <f aca="false">MAX(0,CH196-CG196)+CG196*Restaurantes!$D$62</f>
        <v>1.84591656930516</v>
      </c>
    </row>
    <row r="198" customFormat="false" ht="15" hidden="false" customHeight="false" outlineLevel="0" collapsed="false">
      <c r="A198" s="1" t="s">
        <v>859</v>
      </c>
      <c r="C198" s="158" t="n">
        <f aca="false">IFERROR(C188/Restaurantes!$D$35,0)</f>
        <v>1.7826280012147</v>
      </c>
      <c r="D198" s="158" t="n">
        <f aca="false">IFERROR(D188/Restaurantes!$D$35,0)</f>
        <v>3.5652560024294</v>
      </c>
      <c r="E198" s="158" t="n">
        <f aca="false">IFERROR(E188/Restaurantes!$D$35,0)</f>
        <v>5.34788400364409</v>
      </c>
      <c r="F198" s="158" t="n">
        <f aca="false">IFERROR(F188/Restaurantes!$D$35,0)</f>
        <v>7.13051200485879</v>
      </c>
      <c r="G198" s="158" t="n">
        <f aca="false">IFERROR(G188/Restaurantes!$D$35,0)</f>
        <v>1.33697100091102</v>
      </c>
      <c r="H198" s="158" t="n">
        <f aca="false">IFERROR(H188/Restaurantes!$D$35,0)</f>
        <v>10.6957680072882</v>
      </c>
      <c r="I198" s="158" t="n">
        <f aca="false">IFERROR(I188/Restaurantes!$D$35,0)</f>
        <v>12.4783960085029</v>
      </c>
      <c r="J198" s="158" t="n">
        <f aca="false">IFERROR(J188/Restaurantes!$D$35,0)</f>
        <v>14.2610240097176</v>
      </c>
      <c r="K198" s="158" t="n">
        <f aca="false">IFERROR(K188/Restaurantes!$D$35,0)</f>
        <v>16.0436520109323</v>
      </c>
      <c r="L198" s="158" t="n">
        <f aca="false">IFERROR(L188/Restaurantes!$D$35,0)</f>
        <v>17.826280012147</v>
      </c>
      <c r="M198" s="158" t="n">
        <f aca="false">IFERROR(M188/Restaurantes!$D$35,0)</f>
        <v>19.6089080133617</v>
      </c>
      <c r="N198" s="158" t="n">
        <f aca="false">IFERROR(N188/Restaurantes!$D$35,0)</f>
        <v>21.3915360145764</v>
      </c>
      <c r="O198" s="158" t="n">
        <f aca="false">IFERROR(O188/Restaurantes!$D$35,0)</f>
        <v>23.1741640157911</v>
      </c>
      <c r="P198" s="158" t="n">
        <f aca="false">IFERROR(P188/Restaurantes!$D$35,0)</f>
        <v>24.9567920170058</v>
      </c>
      <c r="Q198" s="158" t="n">
        <f aca="false">IFERROR(Q188/Restaurantes!$D$35,0)</f>
        <v>26.7394200182205</v>
      </c>
      <c r="R198" s="158" t="n">
        <f aca="false">IFERROR(R188/Restaurantes!$D$35,0)</f>
        <v>28.5220480194352</v>
      </c>
      <c r="S198" s="158" t="n">
        <f aca="false">IFERROR(S188/Restaurantes!$D$35,0)</f>
        <v>4.54570140309748</v>
      </c>
      <c r="T198" s="158" t="n">
        <f aca="false">IFERROR(T188/Restaurantes!$D$35,0)</f>
        <v>32.0873040218646</v>
      </c>
      <c r="U198" s="158" t="n">
        <f aca="false">IFERROR(U188/Restaurantes!$D$35,0)</f>
        <v>33.8699320230793</v>
      </c>
      <c r="V198" s="158" t="n">
        <f aca="false">IFERROR(V188/Restaurantes!$D$35,0)</f>
        <v>35.652560024294</v>
      </c>
      <c r="W198" s="158" t="n">
        <f aca="false">IFERROR(W188/Restaurantes!$D$35,0)</f>
        <v>37.4351880255087</v>
      </c>
      <c r="X198" s="158" t="n">
        <f aca="false">IFERROR(X188/Restaurantes!$D$35,0)</f>
        <v>39.2178160267234</v>
      </c>
      <c r="Y198" s="158" t="n">
        <f aca="false">IFERROR(Y188/Restaurantes!$D$35,0)</f>
        <v>41.0004440279381</v>
      </c>
      <c r="Z198" s="158" t="n">
        <f aca="false">IFERROR(Z188/Restaurantes!$D$35,0)</f>
        <v>42.7830720291528</v>
      </c>
      <c r="AA198" s="158" t="n">
        <f aca="false">IFERROR(AA188/Restaurantes!$D$35,0)</f>
        <v>42.7830720291528</v>
      </c>
      <c r="AB198" s="158" t="n">
        <f aca="false">IFERROR(AB188/Restaurantes!$D$35,0)</f>
        <v>42.7830720291528</v>
      </c>
      <c r="AC198" s="158" t="n">
        <f aca="false">IFERROR(AC188/Restaurantes!$D$35,0)</f>
        <v>42.7830720291528</v>
      </c>
      <c r="AD198" s="158" t="n">
        <f aca="false">IFERROR(AD188/Restaurantes!$D$35,0)</f>
        <v>42.7830720291528</v>
      </c>
      <c r="AE198" s="158" t="n">
        <f aca="false">IFERROR(AE188/Restaurantes!$D$35,0)</f>
        <v>6.41746080437291</v>
      </c>
      <c r="AF198" s="158" t="n">
        <f aca="false">IFERROR(AF188/Restaurantes!$D$35,0)</f>
        <v>42.7830720291528</v>
      </c>
      <c r="AG198" s="158" t="n">
        <f aca="false">IFERROR(AG188/Restaurantes!$D$35,0)</f>
        <v>42.7830720291528</v>
      </c>
      <c r="AH198" s="158" t="n">
        <f aca="false">IFERROR(AH188/Restaurantes!$D$35,0)</f>
        <v>42.7830720291528</v>
      </c>
      <c r="AI198" s="158" t="n">
        <f aca="false">IFERROR(AI188/Restaurantes!$D$35,0)</f>
        <v>42.7830720291528</v>
      </c>
      <c r="AJ198" s="158" t="n">
        <f aca="false">IFERROR(AJ188/Restaurantes!$D$35,0)</f>
        <v>42.7830720291528</v>
      </c>
      <c r="AK198" s="158" t="n">
        <f aca="false">IFERROR(AK188/Restaurantes!$D$35,0)</f>
        <v>42.7830720291528</v>
      </c>
      <c r="AL198" s="158" t="n">
        <f aca="false">IFERROR(AL188/Restaurantes!$D$35,0)</f>
        <v>42.7830720291528</v>
      </c>
      <c r="AM198" s="158" t="n">
        <f aca="false">IFERROR(AM188/Restaurantes!$D$35,0)</f>
        <v>42.7830720291528</v>
      </c>
      <c r="AN198" s="158" t="n">
        <f aca="false">IFERROR(AN188/Restaurantes!$D$35,0)</f>
        <v>42.7830720291528</v>
      </c>
      <c r="AO198" s="158" t="n">
        <f aca="false">IFERROR(AO188/Restaurantes!$D$35,0)</f>
        <v>42.7830720291528</v>
      </c>
      <c r="AP198" s="158" t="n">
        <f aca="false">IFERROR(AP188/Restaurantes!$D$35,0)</f>
        <v>42.7830720291528</v>
      </c>
      <c r="AQ198" s="158" t="n">
        <f aca="false">IFERROR(AQ188/Restaurantes!$D$35,0)</f>
        <v>6.41746080437291</v>
      </c>
      <c r="AR198" s="158" t="n">
        <f aca="false">IFERROR(AR188/Restaurantes!$D$35,0)</f>
        <v>42.7830720291528</v>
      </c>
      <c r="AS198" s="158" t="n">
        <f aca="false">IFERROR(AS188/Restaurantes!$D$35,0)</f>
        <v>42.7830720291528</v>
      </c>
      <c r="AT198" s="158" t="n">
        <f aca="false">IFERROR(AT188/Restaurantes!$D$35,0)</f>
        <v>42.7830720291528</v>
      </c>
      <c r="AU198" s="158" t="n">
        <f aca="false">IFERROR(AU188/Restaurantes!$D$35,0)</f>
        <v>42.7830720291528</v>
      </c>
      <c r="AV198" s="158" t="n">
        <f aca="false">IFERROR(AV188/Restaurantes!$D$35,0)</f>
        <v>42.7830720291528</v>
      </c>
      <c r="AW198" s="158" t="n">
        <f aca="false">IFERROR(AW188/Restaurantes!$D$35,0)</f>
        <v>42.7830720291528</v>
      </c>
      <c r="AX198" s="158" t="n">
        <f aca="false">IFERROR(AX188/Restaurantes!$D$35,0)</f>
        <v>42.7830720291528</v>
      </c>
      <c r="AY198" s="158" t="n">
        <f aca="false">IFERROR(AY188/Restaurantes!$D$35,0)</f>
        <v>42.7830720291528</v>
      </c>
      <c r="AZ198" s="158" t="n">
        <f aca="false">IFERROR(AZ188/Restaurantes!$D$35,0)</f>
        <v>42.7830720291528</v>
      </c>
      <c r="BA198" s="158" t="n">
        <f aca="false">IFERROR(BA188/Restaurantes!$D$35,0)</f>
        <v>42.7830720291528</v>
      </c>
      <c r="BB198" s="158" t="n">
        <f aca="false">IFERROR(BB188/Restaurantes!$D$35,0)</f>
        <v>42.7830720291528</v>
      </c>
      <c r="BC198" s="158" t="n">
        <f aca="false">IFERROR(BC188/Restaurantes!$D$35,0)</f>
        <v>6.41746080437291</v>
      </c>
      <c r="BD198" s="158" t="n">
        <f aca="false">IFERROR(BD188/Restaurantes!$D$35,0)</f>
        <v>42.7830720291528</v>
      </c>
      <c r="BE198" s="158" t="n">
        <f aca="false">IFERROR(BE188/Restaurantes!$D$35,0)</f>
        <v>42.7830720291528</v>
      </c>
      <c r="BF198" s="158" t="n">
        <f aca="false">IFERROR(BF188/Restaurantes!$D$35,0)</f>
        <v>42.7830720291528</v>
      </c>
      <c r="BG198" s="158" t="n">
        <f aca="false">IFERROR(BG188/Restaurantes!$D$35,0)</f>
        <v>42.7830720291528</v>
      </c>
      <c r="BH198" s="158" t="n">
        <f aca="false">IFERROR(BH188/Restaurantes!$D$35,0)</f>
        <v>42.7830720291528</v>
      </c>
      <c r="BI198" s="158" t="n">
        <f aca="false">IFERROR(BI188/Restaurantes!$D$35,0)</f>
        <v>42.7830720291528</v>
      </c>
      <c r="BJ198" s="158" t="n">
        <f aca="false">IFERROR(BJ188/Restaurantes!$D$35,0)</f>
        <v>42.7830720291528</v>
      </c>
      <c r="BK198" s="158" t="n">
        <f aca="false">IFERROR(BK188/Restaurantes!$D$35,0)</f>
        <v>42.7830720291528</v>
      </c>
      <c r="BL198" s="158" t="n">
        <f aca="false">IFERROR(BL188/Restaurantes!$D$35,0)</f>
        <v>42.7830720291528</v>
      </c>
      <c r="BM198" s="158" t="n">
        <f aca="false">IFERROR(BM188/Restaurantes!$D$35,0)</f>
        <v>42.7830720291528</v>
      </c>
      <c r="BN198" s="158" t="n">
        <f aca="false">IFERROR(BN188/Restaurantes!$D$35,0)</f>
        <v>42.7830720291528</v>
      </c>
      <c r="BO198" s="158" t="n">
        <f aca="false">IFERROR(BO188/Restaurantes!$D$35,0)</f>
        <v>6.41746080437291</v>
      </c>
      <c r="BP198" s="158" t="n">
        <f aca="false">IFERROR(BP188/Restaurantes!$D$35,0)</f>
        <v>42.7830720291528</v>
      </c>
      <c r="BQ198" s="158" t="n">
        <f aca="false">IFERROR(BQ188/Restaurantes!$D$35,0)</f>
        <v>42.7830720291528</v>
      </c>
      <c r="BR198" s="158" t="n">
        <f aca="false">IFERROR(BR188/Restaurantes!$D$35,0)</f>
        <v>42.7830720291528</v>
      </c>
      <c r="BS198" s="158" t="n">
        <f aca="false">IFERROR(BS188/Restaurantes!$D$35,0)</f>
        <v>42.7830720291528</v>
      </c>
      <c r="BT198" s="158" t="n">
        <f aca="false">IFERROR(BT188/Restaurantes!$D$35,0)</f>
        <v>42.7830720291528</v>
      </c>
      <c r="BU198" s="158" t="n">
        <f aca="false">IFERROR(BU188/Restaurantes!$D$35,0)</f>
        <v>42.7830720291528</v>
      </c>
      <c r="BV198" s="158" t="n">
        <f aca="false">IFERROR(BV188/Restaurantes!$D$35,0)</f>
        <v>42.7830720291528</v>
      </c>
      <c r="BW198" s="158" t="n">
        <f aca="false">IFERROR(BW188/Restaurantes!$D$35,0)</f>
        <v>42.7830720291528</v>
      </c>
      <c r="BX198" s="158" t="n">
        <f aca="false">IFERROR(BX188/Restaurantes!$D$35,0)</f>
        <v>42.7830720291528</v>
      </c>
      <c r="BY198" s="158" t="n">
        <f aca="false">IFERROR(BY188/Restaurantes!$D$35,0)</f>
        <v>42.7830720291528</v>
      </c>
      <c r="BZ198" s="158" t="n">
        <f aca="false">IFERROR(BZ188/Restaurantes!$D$35,0)</f>
        <v>42.7830720291528</v>
      </c>
      <c r="CA198" s="158" t="n">
        <f aca="false">IFERROR(CA188/Restaurantes!$D$35,0)</f>
        <v>6.41746080437291</v>
      </c>
      <c r="CB198" s="158" t="n">
        <f aca="false">IFERROR(CB188/Restaurantes!$D$35,0)</f>
        <v>42.7830720291528</v>
      </c>
      <c r="CC198" s="158" t="n">
        <f aca="false">IFERROR(CC188/Restaurantes!$D$35,0)</f>
        <v>42.7830720291528</v>
      </c>
      <c r="CD198" s="158" t="n">
        <f aca="false">IFERROR(CD188/Restaurantes!$D$35,0)</f>
        <v>42.7830720291528</v>
      </c>
      <c r="CE198" s="158" t="n">
        <f aca="false">IFERROR(CE188/Restaurantes!$D$35,0)</f>
        <v>42.7830720291528</v>
      </c>
      <c r="CF198" s="158" t="n">
        <f aca="false">IFERROR(CF188/Restaurantes!$D$35,0)</f>
        <v>42.7830720291528</v>
      </c>
      <c r="CG198" s="158" t="n">
        <f aca="false">IFERROR(CG188/Restaurantes!$D$35,0)</f>
        <v>42.7830720291528</v>
      </c>
      <c r="CH198" s="158" t="n">
        <f aca="false">IFERROR(CH188/Restaurantes!$D$35,0)</f>
        <v>42.7830720291528</v>
      </c>
    </row>
    <row r="199" customFormat="false" ht="15" hidden="false" customHeight="false" outlineLevel="0" collapsed="false">
      <c r="A199" s="1" t="s">
        <v>860</v>
      </c>
      <c r="C199" s="158" t="n">
        <f aca="false">IFERROR(C198/Restaurantes!$D$36,0)</f>
        <v>0.254661143030671</v>
      </c>
      <c r="D199" s="158" t="n">
        <f aca="false">IFERROR(D198/Restaurantes!$D$36,0)</f>
        <v>0.509322286061342</v>
      </c>
      <c r="E199" s="158" t="n">
        <f aca="false">IFERROR(E198/Restaurantes!$D$36,0)</f>
        <v>0.763983429092013</v>
      </c>
      <c r="F199" s="158" t="n">
        <f aca="false">IFERROR(F198/Restaurantes!$D$36,0)</f>
        <v>1.01864457212268</v>
      </c>
      <c r="G199" s="158" t="n">
        <f aca="false">IFERROR(G198/Restaurantes!$D$36,0)</f>
        <v>0.190995857273003</v>
      </c>
      <c r="H199" s="158" t="n">
        <f aca="false">IFERROR(H198/Restaurantes!$D$36,0)</f>
        <v>1.52796685818403</v>
      </c>
      <c r="I199" s="158" t="n">
        <f aca="false">IFERROR(I198/Restaurantes!$D$36,0)</f>
        <v>1.7826280012147</v>
      </c>
      <c r="J199" s="158" t="n">
        <f aca="false">IFERROR(J198/Restaurantes!$D$36,0)</f>
        <v>2.03728914424537</v>
      </c>
      <c r="K199" s="158" t="n">
        <f aca="false">IFERROR(K198/Restaurantes!$D$36,0)</f>
        <v>2.29195028727604</v>
      </c>
      <c r="L199" s="158" t="n">
        <f aca="false">IFERROR(L198/Restaurantes!$D$36,0)</f>
        <v>2.54661143030671</v>
      </c>
      <c r="M199" s="158" t="n">
        <f aca="false">IFERROR(M198/Restaurantes!$D$36,0)</f>
        <v>2.80127257333738</v>
      </c>
      <c r="N199" s="158" t="n">
        <f aca="false">IFERROR(N198/Restaurantes!$D$36,0)</f>
        <v>3.05593371636805</v>
      </c>
      <c r="O199" s="158" t="n">
        <f aca="false">IFERROR(O198/Restaurantes!$D$36,0)</f>
        <v>3.31059485939873</v>
      </c>
      <c r="P199" s="158" t="n">
        <f aca="false">IFERROR(P198/Restaurantes!$D$36,0)</f>
        <v>3.5652560024294</v>
      </c>
      <c r="Q199" s="158" t="n">
        <f aca="false">IFERROR(Q198/Restaurantes!$D$36,0)</f>
        <v>3.81991714546007</v>
      </c>
      <c r="R199" s="158" t="n">
        <f aca="false">IFERROR(R198/Restaurantes!$D$36,0)</f>
        <v>4.07457828849074</v>
      </c>
      <c r="S199" s="158" t="n">
        <f aca="false">IFERROR(S198/Restaurantes!$D$36,0)</f>
        <v>0.649385914728211</v>
      </c>
      <c r="T199" s="158" t="n">
        <f aca="false">IFERROR(T198/Restaurantes!$D$36,0)</f>
        <v>4.58390057455208</v>
      </c>
      <c r="U199" s="158" t="n">
        <f aca="false">IFERROR(U198/Restaurantes!$D$36,0)</f>
        <v>4.83856171758275</v>
      </c>
      <c r="V199" s="158" t="n">
        <f aca="false">IFERROR(V198/Restaurantes!$D$36,0)</f>
        <v>5.09322286061342</v>
      </c>
      <c r="W199" s="158" t="n">
        <f aca="false">IFERROR(W198/Restaurantes!$D$36,0)</f>
        <v>5.34788400364409</v>
      </c>
      <c r="X199" s="158" t="n">
        <f aca="false">IFERROR(X198/Restaurantes!$D$36,0)</f>
        <v>5.60254514667477</v>
      </c>
      <c r="Y199" s="158" t="n">
        <f aca="false">IFERROR(Y198/Restaurantes!$D$36,0)</f>
        <v>5.85720628970544</v>
      </c>
      <c r="Z199" s="158" t="n">
        <f aca="false">IFERROR(Z198/Restaurantes!$D$36,0)</f>
        <v>6.11186743273611</v>
      </c>
      <c r="AA199" s="158" t="n">
        <f aca="false">IFERROR(AA198/Restaurantes!$D$36,0)</f>
        <v>6.11186743273611</v>
      </c>
      <c r="AB199" s="158" t="n">
        <f aca="false">IFERROR(AB198/Restaurantes!$D$36,0)</f>
        <v>6.11186743273611</v>
      </c>
      <c r="AC199" s="158" t="n">
        <f aca="false">IFERROR(AC198/Restaurantes!$D$36,0)</f>
        <v>6.11186743273611</v>
      </c>
      <c r="AD199" s="158" t="n">
        <f aca="false">IFERROR(AD198/Restaurantes!$D$36,0)</f>
        <v>6.11186743273611</v>
      </c>
      <c r="AE199" s="158" t="n">
        <f aca="false">IFERROR(AE198/Restaurantes!$D$36,0)</f>
        <v>0.916780114910416</v>
      </c>
      <c r="AF199" s="158" t="n">
        <f aca="false">IFERROR(AF198/Restaurantes!$D$36,0)</f>
        <v>6.11186743273611</v>
      </c>
      <c r="AG199" s="158" t="n">
        <f aca="false">IFERROR(AG198/Restaurantes!$D$36,0)</f>
        <v>6.11186743273611</v>
      </c>
      <c r="AH199" s="158" t="n">
        <f aca="false">IFERROR(AH198/Restaurantes!$D$36,0)</f>
        <v>6.11186743273611</v>
      </c>
      <c r="AI199" s="158" t="n">
        <f aca="false">IFERROR(AI198/Restaurantes!$D$36,0)</f>
        <v>6.11186743273611</v>
      </c>
      <c r="AJ199" s="158" t="n">
        <f aca="false">IFERROR(AJ198/Restaurantes!$D$36,0)</f>
        <v>6.11186743273611</v>
      </c>
      <c r="AK199" s="158" t="n">
        <f aca="false">IFERROR(AK198/Restaurantes!$D$36,0)</f>
        <v>6.11186743273611</v>
      </c>
      <c r="AL199" s="158" t="n">
        <f aca="false">IFERROR(AL198/Restaurantes!$D$36,0)</f>
        <v>6.11186743273611</v>
      </c>
      <c r="AM199" s="158" t="n">
        <f aca="false">IFERROR(AM198/Restaurantes!$D$36,0)</f>
        <v>6.11186743273611</v>
      </c>
      <c r="AN199" s="158" t="n">
        <f aca="false">IFERROR(AN198/Restaurantes!$D$36,0)</f>
        <v>6.11186743273611</v>
      </c>
      <c r="AO199" s="158" t="n">
        <f aca="false">IFERROR(AO198/Restaurantes!$D$36,0)</f>
        <v>6.11186743273611</v>
      </c>
      <c r="AP199" s="158" t="n">
        <f aca="false">IFERROR(AP198/Restaurantes!$D$36,0)</f>
        <v>6.11186743273611</v>
      </c>
      <c r="AQ199" s="158" t="n">
        <f aca="false">IFERROR(AQ198/Restaurantes!$D$36,0)</f>
        <v>0.916780114910416</v>
      </c>
      <c r="AR199" s="158" t="n">
        <f aca="false">IFERROR(AR198/Restaurantes!$D$36,0)</f>
        <v>6.11186743273611</v>
      </c>
      <c r="AS199" s="158" t="n">
        <f aca="false">IFERROR(AS198/Restaurantes!$D$36,0)</f>
        <v>6.11186743273611</v>
      </c>
      <c r="AT199" s="158" t="n">
        <f aca="false">IFERROR(AT198/Restaurantes!$D$36,0)</f>
        <v>6.11186743273611</v>
      </c>
      <c r="AU199" s="158" t="n">
        <f aca="false">IFERROR(AU198/Restaurantes!$D$36,0)</f>
        <v>6.11186743273611</v>
      </c>
      <c r="AV199" s="158" t="n">
        <f aca="false">IFERROR(AV198/Restaurantes!$D$36,0)</f>
        <v>6.11186743273611</v>
      </c>
      <c r="AW199" s="158" t="n">
        <f aca="false">IFERROR(AW198/Restaurantes!$D$36,0)</f>
        <v>6.11186743273611</v>
      </c>
      <c r="AX199" s="158" t="n">
        <f aca="false">IFERROR(AX198/Restaurantes!$D$36,0)</f>
        <v>6.11186743273611</v>
      </c>
      <c r="AY199" s="158" t="n">
        <f aca="false">IFERROR(AY198/Restaurantes!$D$36,0)</f>
        <v>6.11186743273611</v>
      </c>
      <c r="AZ199" s="158" t="n">
        <f aca="false">IFERROR(AZ198/Restaurantes!$D$36,0)</f>
        <v>6.11186743273611</v>
      </c>
      <c r="BA199" s="158" t="n">
        <f aca="false">IFERROR(BA198/Restaurantes!$D$36,0)</f>
        <v>6.11186743273611</v>
      </c>
      <c r="BB199" s="158" t="n">
        <f aca="false">IFERROR(BB198/Restaurantes!$D$36,0)</f>
        <v>6.11186743273611</v>
      </c>
      <c r="BC199" s="158" t="n">
        <f aca="false">IFERROR(BC198/Restaurantes!$D$36,0)</f>
        <v>0.916780114910416</v>
      </c>
      <c r="BD199" s="158" t="n">
        <f aca="false">IFERROR(BD198/Restaurantes!$D$36,0)</f>
        <v>6.11186743273611</v>
      </c>
      <c r="BE199" s="158" t="n">
        <f aca="false">IFERROR(BE198/Restaurantes!$D$36,0)</f>
        <v>6.11186743273611</v>
      </c>
      <c r="BF199" s="158" t="n">
        <f aca="false">IFERROR(BF198/Restaurantes!$D$36,0)</f>
        <v>6.11186743273611</v>
      </c>
      <c r="BG199" s="158" t="n">
        <f aca="false">IFERROR(BG198/Restaurantes!$D$36,0)</f>
        <v>6.11186743273611</v>
      </c>
      <c r="BH199" s="158" t="n">
        <f aca="false">IFERROR(BH198/Restaurantes!$D$36,0)</f>
        <v>6.11186743273611</v>
      </c>
      <c r="BI199" s="158" t="n">
        <f aca="false">IFERROR(BI198/Restaurantes!$D$36,0)</f>
        <v>6.11186743273611</v>
      </c>
      <c r="BJ199" s="158" t="n">
        <f aca="false">IFERROR(BJ198/Restaurantes!$D$36,0)</f>
        <v>6.11186743273611</v>
      </c>
      <c r="BK199" s="158" t="n">
        <f aca="false">IFERROR(BK198/Restaurantes!$D$36,0)</f>
        <v>6.11186743273611</v>
      </c>
      <c r="BL199" s="158" t="n">
        <f aca="false">IFERROR(BL198/Restaurantes!$D$36,0)</f>
        <v>6.11186743273611</v>
      </c>
      <c r="BM199" s="158" t="n">
        <f aca="false">IFERROR(BM198/Restaurantes!$D$36,0)</f>
        <v>6.11186743273611</v>
      </c>
      <c r="BN199" s="158" t="n">
        <f aca="false">IFERROR(BN198/Restaurantes!$D$36,0)</f>
        <v>6.11186743273611</v>
      </c>
      <c r="BO199" s="158" t="n">
        <f aca="false">IFERROR(BO198/Restaurantes!$D$36,0)</f>
        <v>0.916780114910416</v>
      </c>
      <c r="BP199" s="158" t="n">
        <f aca="false">IFERROR(BP198/Restaurantes!$D$36,0)</f>
        <v>6.11186743273611</v>
      </c>
      <c r="BQ199" s="158" t="n">
        <f aca="false">IFERROR(BQ198/Restaurantes!$D$36,0)</f>
        <v>6.11186743273611</v>
      </c>
      <c r="BR199" s="158" t="n">
        <f aca="false">IFERROR(BR198/Restaurantes!$D$36,0)</f>
        <v>6.11186743273611</v>
      </c>
      <c r="BS199" s="158" t="n">
        <f aca="false">IFERROR(BS198/Restaurantes!$D$36,0)</f>
        <v>6.11186743273611</v>
      </c>
      <c r="BT199" s="158" t="n">
        <f aca="false">IFERROR(BT198/Restaurantes!$D$36,0)</f>
        <v>6.11186743273611</v>
      </c>
      <c r="BU199" s="158" t="n">
        <f aca="false">IFERROR(BU198/Restaurantes!$D$36,0)</f>
        <v>6.11186743273611</v>
      </c>
      <c r="BV199" s="158" t="n">
        <f aca="false">IFERROR(BV198/Restaurantes!$D$36,0)</f>
        <v>6.11186743273611</v>
      </c>
      <c r="BW199" s="158" t="n">
        <f aca="false">IFERROR(BW198/Restaurantes!$D$36,0)</f>
        <v>6.11186743273611</v>
      </c>
      <c r="BX199" s="158" t="n">
        <f aca="false">IFERROR(BX198/Restaurantes!$D$36,0)</f>
        <v>6.11186743273611</v>
      </c>
      <c r="BY199" s="158" t="n">
        <f aca="false">IFERROR(BY198/Restaurantes!$D$36,0)</f>
        <v>6.11186743273611</v>
      </c>
      <c r="BZ199" s="158" t="n">
        <f aca="false">IFERROR(BZ198/Restaurantes!$D$36,0)</f>
        <v>6.11186743273611</v>
      </c>
      <c r="CA199" s="158" t="n">
        <f aca="false">IFERROR(CA198/Restaurantes!$D$36,0)</f>
        <v>0.916780114910416</v>
      </c>
      <c r="CB199" s="158" t="n">
        <f aca="false">IFERROR(CB198/Restaurantes!$D$36,0)</f>
        <v>6.11186743273611</v>
      </c>
      <c r="CC199" s="158" t="n">
        <f aca="false">IFERROR(CC198/Restaurantes!$D$36,0)</f>
        <v>6.11186743273611</v>
      </c>
      <c r="CD199" s="158" t="n">
        <f aca="false">IFERROR(CD198/Restaurantes!$D$36,0)</f>
        <v>6.11186743273611</v>
      </c>
      <c r="CE199" s="158" t="n">
        <f aca="false">IFERROR(CE198/Restaurantes!$D$36,0)</f>
        <v>6.11186743273611</v>
      </c>
      <c r="CF199" s="158" t="n">
        <f aca="false">IFERROR(CF198/Restaurantes!$D$36,0)</f>
        <v>6.11186743273611</v>
      </c>
      <c r="CG199" s="158" t="n">
        <f aca="false">IFERROR(CG198/Restaurantes!$D$36,0)</f>
        <v>6.11186743273611</v>
      </c>
      <c r="CH199" s="158" t="n">
        <f aca="false">IFERROR(CH198/Restaurantes!$D$36,0)</f>
        <v>6.11186743273611</v>
      </c>
    </row>
    <row r="200" customFormat="false" ht="15" hidden="false" customHeight="false" outlineLevel="0" collapsed="false">
      <c r="A200" s="25" t="s">
        <v>861</v>
      </c>
      <c r="C200" s="155" t="n">
        <f aca="false">IF(C198&gt;0,MAX(1,ROUNDUP(C199/Restaurantes!$D$38,0)),0)</f>
        <v>1</v>
      </c>
      <c r="D200" s="155" t="n">
        <f aca="false">IF(D198&gt;0,MAX(1,ROUNDUP(D199/Restaurantes!$D$38,0)),0)</f>
        <v>1</v>
      </c>
      <c r="E200" s="155" t="n">
        <f aca="false">IF(E198&gt;0,MAX(1,ROUNDUP(E199/Restaurantes!$D$38,0)),0)</f>
        <v>1</v>
      </c>
      <c r="F200" s="155" t="n">
        <f aca="false">IF(F198&gt;0,MAX(1,ROUNDUP(F199/Restaurantes!$D$38,0)),0)</f>
        <v>1</v>
      </c>
      <c r="G200" s="155" t="n">
        <f aca="false">IF(G198&gt;0,MAX(1,ROUNDUP(G199/Restaurantes!$D$38,0)),0)</f>
        <v>1</v>
      </c>
      <c r="H200" s="155" t="n">
        <f aca="false">IF(H198&gt;0,MAX(1,ROUNDUP(H199/Restaurantes!$D$38,0)),0)</f>
        <v>1</v>
      </c>
      <c r="I200" s="155" t="n">
        <f aca="false">IF(I198&gt;0,MAX(1,ROUNDUP(I199/Restaurantes!$D$38,0)),0)</f>
        <v>1</v>
      </c>
      <c r="J200" s="155" t="n">
        <f aca="false">IF(J198&gt;0,MAX(1,ROUNDUP(J199/Restaurantes!$D$38,0)),0)</f>
        <v>1</v>
      </c>
      <c r="K200" s="155" t="n">
        <f aca="false">IF(K198&gt;0,MAX(1,ROUNDUP(K199/Restaurantes!$D$38,0)),0)</f>
        <v>1</v>
      </c>
      <c r="L200" s="155" t="n">
        <f aca="false">IF(L198&gt;0,MAX(1,ROUNDUP(L199/Restaurantes!$D$38,0)),0)</f>
        <v>1</v>
      </c>
      <c r="M200" s="155" t="n">
        <f aca="false">IF(M198&gt;0,MAX(1,ROUNDUP(M199/Restaurantes!$D$38,0)),0)</f>
        <v>1</v>
      </c>
      <c r="N200" s="155" t="n">
        <f aca="false">IF(N198&gt;0,MAX(1,ROUNDUP(N199/Restaurantes!$D$38,0)),0)</f>
        <v>1</v>
      </c>
      <c r="O200" s="155" t="n">
        <f aca="false">IF(O198&gt;0,MAX(1,ROUNDUP(O199/Restaurantes!$D$38,0)),0)</f>
        <v>1</v>
      </c>
      <c r="P200" s="155" t="n">
        <f aca="false">IF(P198&gt;0,MAX(1,ROUNDUP(P199/Restaurantes!$D$38,0)),0)</f>
        <v>1</v>
      </c>
      <c r="Q200" s="155" t="n">
        <f aca="false">IF(Q198&gt;0,MAX(1,ROUNDUP(Q199/Restaurantes!$D$38,0)),0)</f>
        <v>1</v>
      </c>
      <c r="R200" s="155" t="n">
        <f aca="false">IF(R198&gt;0,MAX(1,ROUNDUP(R199/Restaurantes!$D$38,0)),0)</f>
        <v>1</v>
      </c>
      <c r="S200" s="155" t="n">
        <f aca="false">IF(S198&gt;0,MAX(1,ROUNDUP(S199/Restaurantes!$D$38,0)),0)</f>
        <v>1</v>
      </c>
      <c r="T200" s="155" t="n">
        <f aca="false">IF(T198&gt;0,MAX(1,ROUNDUP(T199/Restaurantes!$D$38,0)),0)</f>
        <v>1</v>
      </c>
      <c r="U200" s="155" t="n">
        <f aca="false">IF(U198&gt;0,MAX(1,ROUNDUP(U199/Restaurantes!$D$38,0)),0)</f>
        <v>1</v>
      </c>
      <c r="V200" s="155" t="n">
        <f aca="false">IF(V198&gt;0,MAX(1,ROUNDUP(V199/Restaurantes!$D$38,0)),0)</f>
        <v>2</v>
      </c>
      <c r="W200" s="155" t="n">
        <f aca="false">IF(W198&gt;0,MAX(1,ROUNDUP(W199/Restaurantes!$D$38,0)),0)</f>
        <v>2</v>
      </c>
      <c r="X200" s="155" t="n">
        <f aca="false">IF(X198&gt;0,MAX(1,ROUNDUP(X199/Restaurantes!$D$38,0)),0)</f>
        <v>2</v>
      </c>
      <c r="Y200" s="155" t="n">
        <f aca="false">IF(Y198&gt;0,MAX(1,ROUNDUP(Y199/Restaurantes!$D$38,0)),0)</f>
        <v>2</v>
      </c>
      <c r="Z200" s="155" t="n">
        <f aca="false">IF(Z198&gt;0,MAX(1,ROUNDUP(Z199/Restaurantes!$D$38,0)),0)</f>
        <v>2</v>
      </c>
      <c r="AA200" s="155" t="n">
        <f aca="false">IF(AA198&gt;0,MAX(1,ROUNDUP(AA199/Restaurantes!$D$38,0)),0)</f>
        <v>2</v>
      </c>
      <c r="AB200" s="155" t="n">
        <f aca="false">IF(AB198&gt;0,MAX(1,ROUNDUP(AB199/Restaurantes!$D$38,0)),0)</f>
        <v>2</v>
      </c>
      <c r="AC200" s="155" t="n">
        <f aca="false">IF(AC198&gt;0,MAX(1,ROUNDUP(AC199/Restaurantes!$D$38,0)),0)</f>
        <v>2</v>
      </c>
      <c r="AD200" s="155" t="n">
        <f aca="false">IF(AD198&gt;0,MAX(1,ROUNDUP(AD199/Restaurantes!$D$38,0)),0)</f>
        <v>2</v>
      </c>
      <c r="AE200" s="155" t="n">
        <f aca="false">IF(AE198&gt;0,MAX(1,ROUNDUP(AE199/Restaurantes!$D$38,0)),0)</f>
        <v>1</v>
      </c>
      <c r="AF200" s="155" t="n">
        <f aca="false">IF(AF198&gt;0,MAX(1,ROUNDUP(AF199/Restaurantes!$D$38,0)),0)</f>
        <v>2</v>
      </c>
      <c r="AG200" s="155" t="n">
        <f aca="false">IF(AG198&gt;0,MAX(1,ROUNDUP(AG199/Restaurantes!$D$38,0)),0)</f>
        <v>2</v>
      </c>
      <c r="AH200" s="155" t="n">
        <f aca="false">IF(AH198&gt;0,MAX(1,ROUNDUP(AH199/Restaurantes!$D$38,0)),0)</f>
        <v>2</v>
      </c>
      <c r="AI200" s="155" t="n">
        <f aca="false">IF(AI198&gt;0,MAX(1,ROUNDUP(AI199/Restaurantes!$D$38,0)),0)</f>
        <v>2</v>
      </c>
      <c r="AJ200" s="155" t="n">
        <f aca="false">IF(AJ198&gt;0,MAX(1,ROUNDUP(AJ199/Restaurantes!$D$38,0)),0)</f>
        <v>2</v>
      </c>
      <c r="AK200" s="155" t="n">
        <f aca="false">IF(AK198&gt;0,MAX(1,ROUNDUP(AK199/Restaurantes!$D$38,0)),0)</f>
        <v>2</v>
      </c>
      <c r="AL200" s="155" t="n">
        <f aca="false">IF(AL198&gt;0,MAX(1,ROUNDUP(AL199/Restaurantes!$D$38,0)),0)</f>
        <v>2</v>
      </c>
      <c r="AM200" s="155" t="n">
        <f aca="false">IF(AM198&gt;0,MAX(1,ROUNDUP(AM199/Restaurantes!$D$38,0)),0)</f>
        <v>2</v>
      </c>
      <c r="AN200" s="155" t="n">
        <f aca="false">IF(AN198&gt;0,MAX(1,ROUNDUP(AN199/Restaurantes!$D$38,0)),0)</f>
        <v>2</v>
      </c>
      <c r="AO200" s="155" t="n">
        <f aca="false">IF(AO198&gt;0,MAX(1,ROUNDUP(AO199/Restaurantes!$D$38,0)),0)</f>
        <v>2</v>
      </c>
      <c r="AP200" s="155" t="n">
        <f aca="false">IF(AP198&gt;0,MAX(1,ROUNDUP(AP199/Restaurantes!$D$38,0)),0)</f>
        <v>2</v>
      </c>
      <c r="AQ200" s="155" t="n">
        <f aca="false">IF(AQ198&gt;0,MAX(1,ROUNDUP(AQ199/Restaurantes!$D$38,0)),0)</f>
        <v>1</v>
      </c>
      <c r="AR200" s="155" t="n">
        <f aca="false">IF(AR198&gt;0,MAX(1,ROUNDUP(AR199/Restaurantes!$D$38,0)),0)</f>
        <v>2</v>
      </c>
      <c r="AS200" s="155" t="n">
        <f aca="false">IF(AS198&gt;0,MAX(1,ROUNDUP(AS199/Restaurantes!$D$38,0)),0)</f>
        <v>2</v>
      </c>
      <c r="AT200" s="155" t="n">
        <f aca="false">IF(AT198&gt;0,MAX(1,ROUNDUP(AT199/Restaurantes!$D$38,0)),0)</f>
        <v>2</v>
      </c>
      <c r="AU200" s="155" t="n">
        <f aca="false">IF(AU198&gt;0,MAX(1,ROUNDUP(AU199/Restaurantes!$D$38,0)),0)</f>
        <v>2</v>
      </c>
      <c r="AV200" s="155" t="n">
        <f aca="false">IF(AV198&gt;0,MAX(1,ROUNDUP(AV199/Restaurantes!$D$38,0)),0)</f>
        <v>2</v>
      </c>
      <c r="AW200" s="155" t="n">
        <f aca="false">IF(AW198&gt;0,MAX(1,ROUNDUP(AW199/Restaurantes!$D$38,0)),0)</f>
        <v>2</v>
      </c>
      <c r="AX200" s="155" t="n">
        <f aca="false">IF(AX198&gt;0,MAX(1,ROUNDUP(AX199/Restaurantes!$D$38,0)),0)</f>
        <v>2</v>
      </c>
      <c r="AY200" s="155" t="n">
        <f aca="false">IF(AY198&gt;0,MAX(1,ROUNDUP(AY199/Restaurantes!$D$38,0)),0)</f>
        <v>2</v>
      </c>
      <c r="AZ200" s="155" t="n">
        <f aca="false">IF(AZ198&gt;0,MAX(1,ROUNDUP(AZ199/Restaurantes!$D$38,0)),0)</f>
        <v>2</v>
      </c>
      <c r="BA200" s="155" t="n">
        <f aca="false">IF(BA198&gt;0,MAX(1,ROUNDUP(BA199/Restaurantes!$D$38,0)),0)</f>
        <v>2</v>
      </c>
      <c r="BB200" s="155" t="n">
        <f aca="false">IF(BB198&gt;0,MAX(1,ROUNDUP(BB199/Restaurantes!$D$38,0)),0)</f>
        <v>2</v>
      </c>
      <c r="BC200" s="155" t="n">
        <f aca="false">IF(BC198&gt;0,MAX(1,ROUNDUP(BC199/Restaurantes!$D$38,0)),0)</f>
        <v>1</v>
      </c>
      <c r="BD200" s="155" t="n">
        <f aca="false">IF(BD198&gt;0,MAX(1,ROUNDUP(BD199/Restaurantes!$D$38,0)),0)</f>
        <v>2</v>
      </c>
      <c r="BE200" s="155" t="n">
        <f aca="false">IF(BE198&gt;0,MAX(1,ROUNDUP(BE199/Restaurantes!$D$38,0)),0)</f>
        <v>2</v>
      </c>
      <c r="BF200" s="155" t="n">
        <f aca="false">IF(BF198&gt;0,MAX(1,ROUNDUP(BF199/Restaurantes!$D$38,0)),0)</f>
        <v>2</v>
      </c>
      <c r="BG200" s="155" t="n">
        <f aca="false">IF(BG198&gt;0,MAX(1,ROUNDUP(BG199/Restaurantes!$D$38,0)),0)</f>
        <v>2</v>
      </c>
      <c r="BH200" s="155" t="n">
        <f aca="false">IF(BH198&gt;0,MAX(1,ROUNDUP(BH199/Restaurantes!$D$38,0)),0)</f>
        <v>2</v>
      </c>
      <c r="BI200" s="155" t="n">
        <f aca="false">IF(BI198&gt;0,MAX(1,ROUNDUP(BI199/Restaurantes!$D$38,0)),0)</f>
        <v>2</v>
      </c>
      <c r="BJ200" s="155" t="n">
        <f aca="false">IF(BJ198&gt;0,MAX(1,ROUNDUP(BJ199/Restaurantes!$D$38,0)),0)</f>
        <v>2</v>
      </c>
      <c r="BK200" s="155" t="n">
        <f aca="false">IF(BK198&gt;0,MAX(1,ROUNDUP(BK199/Restaurantes!$D$38,0)),0)</f>
        <v>2</v>
      </c>
      <c r="BL200" s="155" t="n">
        <f aca="false">IF(BL198&gt;0,MAX(1,ROUNDUP(BL199/Restaurantes!$D$38,0)),0)</f>
        <v>2</v>
      </c>
      <c r="BM200" s="155" t="n">
        <f aca="false">IF(BM198&gt;0,MAX(1,ROUNDUP(BM199/Restaurantes!$D$38,0)),0)</f>
        <v>2</v>
      </c>
      <c r="BN200" s="155" t="n">
        <f aca="false">IF(BN198&gt;0,MAX(1,ROUNDUP(BN199/Restaurantes!$D$38,0)),0)</f>
        <v>2</v>
      </c>
      <c r="BO200" s="155" t="n">
        <f aca="false">IF(BO198&gt;0,MAX(1,ROUNDUP(BO199/Restaurantes!$D$38,0)),0)</f>
        <v>1</v>
      </c>
      <c r="BP200" s="155" t="n">
        <f aca="false">IF(BP198&gt;0,MAX(1,ROUNDUP(BP199/Restaurantes!$D$38,0)),0)</f>
        <v>2</v>
      </c>
      <c r="BQ200" s="155" t="n">
        <f aca="false">IF(BQ198&gt;0,MAX(1,ROUNDUP(BQ199/Restaurantes!$D$38,0)),0)</f>
        <v>2</v>
      </c>
      <c r="BR200" s="155" t="n">
        <f aca="false">IF(BR198&gt;0,MAX(1,ROUNDUP(BR199/Restaurantes!$D$38,0)),0)</f>
        <v>2</v>
      </c>
      <c r="BS200" s="155" t="n">
        <f aca="false">IF(BS198&gt;0,MAX(1,ROUNDUP(BS199/Restaurantes!$D$38,0)),0)</f>
        <v>2</v>
      </c>
      <c r="BT200" s="155" t="n">
        <f aca="false">IF(BT198&gt;0,MAX(1,ROUNDUP(BT199/Restaurantes!$D$38,0)),0)</f>
        <v>2</v>
      </c>
      <c r="BU200" s="155" t="n">
        <f aca="false">IF(BU198&gt;0,MAX(1,ROUNDUP(BU199/Restaurantes!$D$38,0)),0)</f>
        <v>2</v>
      </c>
      <c r="BV200" s="155" t="n">
        <f aca="false">IF(BV198&gt;0,MAX(1,ROUNDUP(BV199/Restaurantes!$D$38,0)),0)</f>
        <v>2</v>
      </c>
      <c r="BW200" s="155" t="n">
        <f aca="false">IF(BW198&gt;0,MAX(1,ROUNDUP(BW199/Restaurantes!$D$38,0)),0)</f>
        <v>2</v>
      </c>
      <c r="BX200" s="155" t="n">
        <f aca="false">IF(BX198&gt;0,MAX(1,ROUNDUP(BX199/Restaurantes!$D$38,0)),0)</f>
        <v>2</v>
      </c>
      <c r="BY200" s="155" t="n">
        <f aca="false">IF(BY198&gt;0,MAX(1,ROUNDUP(BY199/Restaurantes!$D$38,0)),0)</f>
        <v>2</v>
      </c>
      <c r="BZ200" s="155" t="n">
        <f aca="false">IF(BZ198&gt;0,MAX(1,ROUNDUP(BZ199/Restaurantes!$D$38,0)),0)</f>
        <v>2</v>
      </c>
      <c r="CA200" s="155" t="n">
        <f aca="false">IF(CA198&gt;0,MAX(1,ROUNDUP(CA199/Restaurantes!$D$38,0)),0)</f>
        <v>1</v>
      </c>
      <c r="CB200" s="155" t="n">
        <f aca="false">IF(CB198&gt;0,MAX(1,ROUNDUP(CB199/Restaurantes!$D$38,0)),0)</f>
        <v>2</v>
      </c>
      <c r="CC200" s="155" t="n">
        <f aca="false">IF(CC198&gt;0,MAX(1,ROUNDUP(CC199/Restaurantes!$D$38,0)),0)</f>
        <v>2</v>
      </c>
      <c r="CD200" s="155" t="n">
        <f aca="false">IF(CD198&gt;0,MAX(1,ROUNDUP(CD199/Restaurantes!$D$38,0)),0)</f>
        <v>2</v>
      </c>
      <c r="CE200" s="155" t="n">
        <f aca="false">IF(CE198&gt;0,MAX(1,ROUNDUP(CE199/Restaurantes!$D$38,0)),0)</f>
        <v>2</v>
      </c>
      <c r="CF200" s="155" t="n">
        <f aca="false">IF(CF198&gt;0,MAX(1,ROUNDUP(CF199/Restaurantes!$D$38,0)),0)</f>
        <v>2</v>
      </c>
      <c r="CG200" s="155" t="n">
        <f aca="false">IF(CG198&gt;0,MAX(1,ROUNDUP(CG199/Restaurantes!$D$38,0)),0)</f>
        <v>2</v>
      </c>
      <c r="CH200" s="155" t="n">
        <f aca="false">IF(CH198&gt;0,MAX(1,ROUNDUP(CH199/Restaurantes!$D$38,0)),0)</f>
        <v>2</v>
      </c>
    </row>
    <row r="201" customFormat="false" ht="15" hidden="false" customHeight="false" outlineLevel="0" collapsed="false">
      <c r="A201" s="1" t="s">
        <v>862</v>
      </c>
      <c r="C201" s="27" t="n">
        <f aca="false">MAX(C199,C200*Restaurantes!$D$39)*Restaurantes!$D$35</f>
        <v>50</v>
      </c>
      <c r="D201" s="27" t="n">
        <f aca="false">MAX(D199,D200*Restaurantes!$D$39)*Restaurantes!$D$35</f>
        <v>50</v>
      </c>
      <c r="E201" s="27" t="n">
        <f aca="false">MAX(E199,E200*Restaurantes!$D$39)*Restaurantes!$D$35</f>
        <v>50</v>
      </c>
      <c r="F201" s="27" t="n">
        <f aca="false">MAX(F199,F200*Restaurantes!$D$39)*Restaurantes!$D$35</f>
        <v>50</v>
      </c>
      <c r="G201" s="27" t="n">
        <f aca="false">MAX(G199,G200*Restaurantes!$D$39)*Restaurantes!$D$35</f>
        <v>50</v>
      </c>
      <c r="H201" s="27" t="n">
        <f aca="false">MAX(H199,H200*Restaurantes!$D$39)*Restaurantes!$D$35</f>
        <v>50</v>
      </c>
      <c r="I201" s="27" t="n">
        <f aca="false">MAX(I199,I200*Restaurantes!$D$39)*Restaurantes!$D$35</f>
        <v>50</v>
      </c>
      <c r="J201" s="27" t="n">
        <f aca="false">MAX(J199,J200*Restaurantes!$D$39)*Restaurantes!$D$35</f>
        <v>50.9322286061342</v>
      </c>
      <c r="K201" s="27" t="n">
        <f aca="false">MAX(K199,K200*Restaurantes!$D$39)*Restaurantes!$D$35</f>
        <v>57.298757181901</v>
      </c>
      <c r="L201" s="27" t="n">
        <f aca="false">MAX(L199,L200*Restaurantes!$D$39)*Restaurantes!$D$35</f>
        <v>63.6652857576678</v>
      </c>
      <c r="M201" s="27" t="n">
        <f aca="false">MAX(M199,M200*Restaurantes!$D$39)*Restaurantes!$D$35</f>
        <v>70.0318143334346</v>
      </c>
      <c r="N201" s="27" t="n">
        <f aca="false">MAX(N199,N200*Restaurantes!$D$39)*Restaurantes!$D$35</f>
        <v>76.3983429092014</v>
      </c>
      <c r="O201" s="27" t="n">
        <f aca="false">MAX(O199,O200*Restaurantes!$D$39)*Restaurantes!$D$35</f>
        <v>82.7648714849681</v>
      </c>
      <c r="P201" s="27" t="n">
        <f aca="false">MAX(P199,P200*Restaurantes!$D$39)*Restaurantes!$D$35</f>
        <v>89.1314000607349</v>
      </c>
      <c r="Q201" s="27" t="n">
        <f aca="false">MAX(Q199,Q200*Restaurantes!$D$39)*Restaurantes!$D$35</f>
        <v>95.4979286365017</v>
      </c>
      <c r="R201" s="27" t="n">
        <f aca="false">MAX(R199,R200*Restaurantes!$D$39)*Restaurantes!$D$35</f>
        <v>101.864457212268</v>
      </c>
      <c r="S201" s="27" t="n">
        <f aca="false">MAX(S199,S200*Restaurantes!$D$39)*Restaurantes!$D$35</f>
        <v>50</v>
      </c>
      <c r="T201" s="27" t="n">
        <f aca="false">MAX(T199,T200*Restaurantes!$D$39)*Restaurantes!$D$35</f>
        <v>114.597514363802</v>
      </c>
      <c r="U201" s="27" t="n">
        <f aca="false">MAX(U199,U200*Restaurantes!$D$39)*Restaurantes!$D$35</f>
        <v>120.964042939569</v>
      </c>
      <c r="V201" s="27" t="n">
        <f aca="false">MAX(V199,V200*Restaurantes!$D$39)*Restaurantes!$D$35</f>
        <v>127.330571515336</v>
      </c>
      <c r="W201" s="27" t="n">
        <f aca="false">MAX(W199,W200*Restaurantes!$D$39)*Restaurantes!$D$35</f>
        <v>133.697100091102</v>
      </c>
      <c r="X201" s="27" t="n">
        <f aca="false">MAX(X199,X200*Restaurantes!$D$39)*Restaurantes!$D$35</f>
        <v>140.063628666869</v>
      </c>
      <c r="Y201" s="27" t="n">
        <f aca="false">MAX(Y199,Y200*Restaurantes!$D$39)*Restaurantes!$D$35</f>
        <v>146.430157242636</v>
      </c>
      <c r="Z201" s="27" t="n">
        <f aca="false">MAX(Z199,Z200*Restaurantes!$D$39)*Restaurantes!$D$35</f>
        <v>152.796685818403</v>
      </c>
      <c r="AA201" s="27" t="n">
        <f aca="false">MAX(AA199,AA200*Restaurantes!$D$39)*Restaurantes!$D$35</f>
        <v>152.796685818403</v>
      </c>
      <c r="AB201" s="27" t="n">
        <f aca="false">MAX(AB199,AB200*Restaurantes!$D$39)*Restaurantes!$D$35</f>
        <v>152.796685818403</v>
      </c>
      <c r="AC201" s="27" t="n">
        <f aca="false">MAX(AC199,AC200*Restaurantes!$D$39)*Restaurantes!$D$35</f>
        <v>152.796685818403</v>
      </c>
      <c r="AD201" s="27" t="n">
        <f aca="false">MAX(AD199,AD200*Restaurantes!$D$39)*Restaurantes!$D$35</f>
        <v>152.796685818403</v>
      </c>
      <c r="AE201" s="27" t="n">
        <f aca="false">MAX(AE199,AE200*Restaurantes!$D$39)*Restaurantes!$D$35</f>
        <v>50</v>
      </c>
      <c r="AF201" s="27" t="n">
        <f aca="false">MAX(AF199,AF200*Restaurantes!$D$39)*Restaurantes!$D$35</f>
        <v>152.796685818403</v>
      </c>
      <c r="AG201" s="27" t="n">
        <f aca="false">MAX(AG199,AG200*Restaurantes!$D$39)*Restaurantes!$D$35</f>
        <v>152.796685818403</v>
      </c>
      <c r="AH201" s="27" t="n">
        <f aca="false">MAX(AH199,AH200*Restaurantes!$D$39)*Restaurantes!$D$35</f>
        <v>152.796685818403</v>
      </c>
      <c r="AI201" s="27" t="n">
        <f aca="false">MAX(AI199,AI200*Restaurantes!$D$39)*Restaurantes!$D$35</f>
        <v>152.796685818403</v>
      </c>
      <c r="AJ201" s="27" t="n">
        <f aca="false">MAX(AJ199,AJ200*Restaurantes!$D$39)*Restaurantes!$D$35</f>
        <v>152.796685818403</v>
      </c>
      <c r="AK201" s="27" t="n">
        <f aca="false">MAX(AK199,AK200*Restaurantes!$D$39)*Restaurantes!$D$35</f>
        <v>152.796685818403</v>
      </c>
      <c r="AL201" s="27" t="n">
        <f aca="false">MAX(AL199,AL200*Restaurantes!$D$39)*Restaurantes!$D$35</f>
        <v>152.796685818403</v>
      </c>
      <c r="AM201" s="27" t="n">
        <f aca="false">MAX(AM199,AM200*Restaurantes!$D$39)*Restaurantes!$D$35</f>
        <v>152.796685818403</v>
      </c>
      <c r="AN201" s="27" t="n">
        <f aca="false">MAX(AN199,AN200*Restaurantes!$D$39)*Restaurantes!$D$35</f>
        <v>152.796685818403</v>
      </c>
      <c r="AO201" s="27" t="n">
        <f aca="false">MAX(AO199,AO200*Restaurantes!$D$39)*Restaurantes!$D$35</f>
        <v>152.796685818403</v>
      </c>
      <c r="AP201" s="27" t="n">
        <f aca="false">MAX(AP199,AP200*Restaurantes!$D$39)*Restaurantes!$D$35</f>
        <v>152.796685818403</v>
      </c>
      <c r="AQ201" s="27" t="n">
        <f aca="false">MAX(AQ199,AQ200*Restaurantes!$D$39)*Restaurantes!$D$35</f>
        <v>50</v>
      </c>
      <c r="AR201" s="27" t="n">
        <f aca="false">MAX(AR199,AR200*Restaurantes!$D$39)*Restaurantes!$D$35</f>
        <v>152.796685818403</v>
      </c>
      <c r="AS201" s="27" t="n">
        <f aca="false">MAX(AS199,AS200*Restaurantes!$D$39)*Restaurantes!$D$35</f>
        <v>152.796685818403</v>
      </c>
      <c r="AT201" s="27" t="n">
        <f aca="false">MAX(AT199,AT200*Restaurantes!$D$39)*Restaurantes!$D$35</f>
        <v>152.796685818403</v>
      </c>
      <c r="AU201" s="27" t="n">
        <f aca="false">MAX(AU199,AU200*Restaurantes!$D$39)*Restaurantes!$D$35</f>
        <v>152.796685818403</v>
      </c>
      <c r="AV201" s="27" t="n">
        <f aca="false">MAX(AV199,AV200*Restaurantes!$D$39)*Restaurantes!$D$35</f>
        <v>152.796685818403</v>
      </c>
      <c r="AW201" s="27" t="n">
        <f aca="false">MAX(AW199,AW200*Restaurantes!$D$39)*Restaurantes!$D$35</f>
        <v>152.796685818403</v>
      </c>
      <c r="AX201" s="27" t="n">
        <f aca="false">MAX(AX199,AX200*Restaurantes!$D$39)*Restaurantes!$D$35</f>
        <v>152.796685818403</v>
      </c>
      <c r="AY201" s="27" t="n">
        <f aca="false">MAX(AY199,AY200*Restaurantes!$D$39)*Restaurantes!$D$35</f>
        <v>152.796685818403</v>
      </c>
      <c r="AZ201" s="27" t="n">
        <f aca="false">MAX(AZ199,AZ200*Restaurantes!$D$39)*Restaurantes!$D$35</f>
        <v>152.796685818403</v>
      </c>
      <c r="BA201" s="27" t="n">
        <f aca="false">MAX(BA199,BA200*Restaurantes!$D$39)*Restaurantes!$D$35</f>
        <v>152.796685818403</v>
      </c>
      <c r="BB201" s="27" t="n">
        <f aca="false">MAX(BB199,BB200*Restaurantes!$D$39)*Restaurantes!$D$35</f>
        <v>152.796685818403</v>
      </c>
      <c r="BC201" s="27" t="n">
        <f aca="false">MAX(BC199,BC200*Restaurantes!$D$39)*Restaurantes!$D$35</f>
        <v>50</v>
      </c>
      <c r="BD201" s="27" t="n">
        <f aca="false">MAX(BD199,BD200*Restaurantes!$D$39)*Restaurantes!$D$35</f>
        <v>152.796685818403</v>
      </c>
      <c r="BE201" s="27" t="n">
        <f aca="false">MAX(BE199,BE200*Restaurantes!$D$39)*Restaurantes!$D$35</f>
        <v>152.796685818403</v>
      </c>
      <c r="BF201" s="27" t="n">
        <f aca="false">MAX(BF199,BF200*Restaurantes!$D$39)*Restaurantes!$D$35</f>
        <v>152.796685818403</v>
      </c>
      <c r="BG201" s="27" t="n">
        <f aca="false">MAX(BG199,BG200*Restaurantes!$D$39)*Restaurantes!$D$35</f>
        <v>152.796685818403</v>
      </c>
      <c r="BH201" s="27" t="n">
        <f aca="false">MAX(BH199,BH200*Restaurantes!$D$39)*Restaurantes!$D$35</f>
        <v>152.796685818403</v>
      </c>
      <c r="BI201" s="27" t="n">
        <f aca="false">MAX(BI199,BI200*Restaurantes!$D$39)*Restaurantes!$D$35</f>
        <v>152.796685818403</v>
      </c>
      <c r="BJ201" s="27" t="n">
        <f aca="false">MAX(BJ199,BJ200*Restaurantes!$D$39)*Restaurantes!$D$35</f>
        <v>152.796685818403</v>
      </c>
      <c r="BK201" s="27" t="n">
        <f aca="false">MAX(BK199,BK200*Restaurantes!$D$39)*Restaurantes!$D$35</f>
        <v>152.796685818403</v>
      </c>
      <c r="BL201" s="27" t="n">
        <f aca="false">MAX(BL199,BL200*Restaurantes!$D$39)*Restaurantes!$D$35</f>
        <v>152.796685818403</v>
      </c>
      <c r="BM201" s="27" t="n">
        <f aca="false">MAX(BM199,BM200*Restaurantes!$D$39)*Restaurantes!$D$35</f>
        <v>152.796685818403</v>
      </c>
      <c r="BN201" s="27" t="n">
        <f aca="false">MAX(BN199,BN200*Restaurantes!$D$39)*Restaurantes!$D$35</f>
        <v>152.796685818403</v>
      </c>
      <c r="BO201" s="27" t="n">
        <f aca="false">MAX(BO199,BO200*Restaurantes!$D$39)*Restaurantes!$D$35</f>
        <v>50</v>
      </c>
      <c r="BP201" s="27" t="n">
        <f aca="false">MAX(BP199,BP200*Restaurantes!$D$39)*Restaurantes!$D$35</f>
        <v>152.796685818403</v>
      </c>
      <c r="BQ201" s="27" t="n">
        <f aca="false">MAX(BQ199,BQ200*Restaurantes!$D$39)*Restaurantes!$D$35</f>
        <v>152.796685818403</v>
      </c>
      <c r="BR201" s="27" t="n">
        <f aca="false">MAX(BR199,BR200*Restaurantes!$D$39)*Restaurantes!$D$35</f>
        <v>152.796685818403</v>
      </c>
      <c r="BS201" s="27" t="n">
        <f aca="false">MAX(BS199,BS200*Restaurantes!$D$39)*Restaurantes!$D$35</f>
        <v>152.796685818403</v>
      </c>
      <c r="BT201" s="27" t="n">
        <f aca="false">MAX(BT199,BT200*Restaurantes!$D$39)*Restaurantes!$D$35</f>
        <v>152.796685818403</v>
      </c>
      <c r="BU201" s="27" t="n">
        <f aca="false">MAX(BU199,BU200*Restaurantes!$D$39)*Restaurantes!$D$35</f>
        <v>152.796685818403</v>
      </c>
      <c r="BV201" s="27" t="n">
        <f aca="false">MAX(BV199,BV200*Restaurantes!$D$39)*Restaurantes!$D$35</f>
        <v>152.796685818403</v>
      </c>
      <c r="BW201" s="27" t="n">
        <f aca="false">MAX(BW199,BW200*Restaurantes!$D$39)*Restaurantes!$D$35</f>
        <v>152.796685818403</v>
      </c>
      <c r="BX201" s="27" t="n">
        <f aca="false">MAX(BX199,BX200*Restaurantes!$D$39)*Restaurantes!$D$35</f>
        <v>152.796685818403</v>
      </c>
      <c r="BY201" s="27" t="n">
        <f aca="false">MAX(BY199,BY200*Restaurantes!$D$39)*Restaurantes!$D$35</f>
        <v>152.796685818403</v>
      </c>
      <c r="BZ201" s="27" t="n">
        <f aca="false">MAX(BZ199,BZ200*Restaurantes!$D$39)*Restaurantes!$D$35</f>
        <v>152.796685818403</v>
      </c>
      <c r="CA201" s="27" t="n">
        <f aca="false">MAX(CA199,CA200*Restaurantes!$D$39)*Restaurantes!$D$35</f>
        <v>50</v>
      </c>
      <c r="CB201" s="27" t="n">
        <f aca="false">MAX(CB199,CB200*Restaurantes!$D$39)*Restaurantes!$D$35</f>
        <v>152.796685818403</v>
      </c>
      <c r="CC201" s="27" t="n">
        <f aca="false">MAX(CC199,CC200*Restaurantes!$D$39)*Restaurantes!$D$35</f>
        <v>152.796685818403</v>
      </c>
      <c r="CD201" s="27" t="n">
        <f aca="false">MAX(CD199,CD200*Restaurantes!$D$39)*Restaurantes!$D$35</f>
        <v>152.796685818403</v>
      </c>
      <c r="CE201" s="27" t="n">
        <f aca="false">MAX(CE199,CE200*Restaurantes!$D$39)*Restaurantes!$D$35</f>
        <v>152.796685818403</v>
      </c>
      <c r="CF201" s="27" t="n">
        <f aca="false">MAX(CF199,CF200*Restaurantes!$D$39)*Restaurantes!$D$35</f>
        <v>152.796685818403</v>
      </c>
      <c r="CG201" s="27" t="n">
        <f aca="false">MAX(CG199,CG200*Restaurantes!$D$39)*Restaurantes!$D$35</f>
        <v>152.796685818403</v>
      </c>
      <c r="CH201" s="27" t="n">
        <f aca="false">MAX(CH199,CH200*Restaurantes!$D$39)*Restaurantes!$D$35</f>
        <v>152.796685818403</v>
      </c>
    </row>
    <row r="202" customFormat="false" ht="15" hidden="false" customHeight="false" outlineLevel="0" collapsed="false">
      <c r="A202" s="1" t="s">
        <v>863</v>
      </c>
      <c r="C202" s="28" t="n">
        <f aca="false">-C201*Restaurantes!$D$37</f>
        <v>-800</v>
      </c>
      <c r="D202" s="28" t="n">
        <f aca="false">-D201*Restaurantes!$D$37</f>
        <v>-800</v>
      </c>
      <c r="E202" s="28" t="n">
        <f aca="false">-E201*Restaurantes!$D$37</f>
        <v>-800</v>
      </c>
      <c r="F202" s="28" t="n">
        <f aca="false">-F201*Restaurantes!$D$37</f>
        <v>-800</v>
      </c>
      <c r="G202" s="28" t="n">
        <f aca="false">-G201*Restaurantes!$D$37</f>
        <v>-800</v>
      </c>
      <c r="H202" s="28" t="n">
        <f aca="false">-H201*Restaurantes!$D$37</f>
        <v>-800</v>
      </c>
      <c r="I202" s="28" t="n">
        <f aca="false">-I201*Restaurantes!$D$37</f>
        <v>-800</v>
      </c>
      <c r="J202" s="28" t="n">
        <f aca="false">-J201*Restaurantes!$D$37</f>
        <v>-814.915657698148</v>
      </c>
      <c r="K202" s="28" t="n">
        <f aca="false">-K201*Restaurantes!$D$37</f>
        <v>-916.780114910416</v>
      </c>
      <c r="L202" s="28" t="n">
        <f aca="false">-L201*Restaurantes!$D$37</f>
        <v>-1018.64457212268</v>
      </c>
      <c r="M202" s="28" t="n">
        <f aca="false">-M201*Restaurantes!$D$37</f>
        <v>-1120.50902933495</v>
      </c>
      <c r="N202" s="28" t="n">
        <f aca="false">-N201*Restaurantes!$D$37</f>
        <v>-1222.37348654722</v>
      </c>
      <c r="O202" s="28" t="n">
        <f aca="false">-O201*Restaurantes!$D$37</f>
        <v>-1324.23794375949</v>
      </c>
      <c r="P202" s="28" t="n">
        <f aca="false">-P201*Restaurantes!$D$37</f>
        <v>-1426.10240097176</v>
      </c>
      <c r="Q202" s="28" t="n">
        <f aca="false">-Q201*Restaurantes!$D$37</f>
        <v>-1527.96685818403</v>
      </c>
      <c r="R202" s="28" t="n">
        <f aca="false">-R201*Restaurantes!$D$37</f>
        <v>-1629.8313153963</v>
      </c>
      <c r="S202" s="28" t="n">
        <f aca="false">-S201*Restaurantes!$D$37</f>
        <v>-800</v>
      </c>
      <c r="T202" s="28" t="n">
        <f aca="false">-T201*Restaurantes!$D$37</f>
        <v>-1833.56022982083</v>
      </c>
      <c r="U202" s="28" t="n">
        <f aca="false">-U201*Restaurantes!$D$37</f>
        <v>-1935.4246870331</v>
      </c>
      <c r="V202" s="28" t="n">
        <f aca="false">-V201*Restaurantes!$D$37</f>
        <v>-2037.28914424537</v>
      </c>
      <c r="W202" s="28" t="n">
        <f aca="false">-W201*Restaurantes!$D$37</f>
        <v>-2139.15360145764</v>
      </c>
      <c r="X202" s="28" t="n">
        <f aca="false">-X201*Restaurantes!$D$37</f>
        <v>-2241.01805866991</v>
      </c>
      <c r="Y202" s="28" t="n">
        <f aca="false">-Y201*Restaurantes!$D$37</f>
        <v>-2342.88251588217</v>
      </c>
      <c r="Z202" s="28" t="n">
        <f aca="false">-Z201*Restaurantes!$D$37</f>
        <v>-2444.74697309444</v>
      </c>
      <c r="AA202" s="28" t="n">
        <f aca="false">-AA201*Restaurantes!$D$37</f>
        <v>-2444.74697309444</v>
      </c>
      <c r="AB202" s="28" t="n">
        <f aca="false">-AB201*Restaurantes!$D$37</f>
        <v>-2444.74697309444</v>
      </c>
      <c r="AC202" s="28" t="n">
        <f aca="false">-AC201*Restaurantes!$D$37</f>
        <v>-2444.74697309444</v>
      </c>
      <c r="AD202" s="28" t="n">
        <f aca="false">-AD201*Restaurantes!$D$37</f>
        <v>-2444.74697309444</v>
      </c>
      <c r="AE202" s="28" t="n">
        <f aca="false">-AE201*Restaurantes!$D$37</f>
        <v>-800</v>
      </c>
      <c r="AF202" s="28" t="n">
        <f aca="false">-AF201*Restaurantes!$D$37</f>
        <v>-2444.74697309444</v>
      </c>
      <c r="AG202" s="28" t="n">
        <f aca="false">-AG201*Restaurantes!$D$37</f>
        <v>-2444.74697309444</v>
      </c>
      <c r="AH202" s="28" t="n">
        <f aca="false">-AH201*Restaurantes!$D$37</f>
        <v>-2444.74697309444</v>
      </c>
      <c r="AI202" s="28" t="n">
        <f aca="false">-AI201*Restaurantes!$D$37</f>
        <v>-2444.74697309444</v>
      </c>
      <c r="AJ202" s="28" t="n">
        <f aca="false">-AJ201*Restaurantes!$D$37</f>
        <v>-2444.74697309444</v>
      </c>
      <c r="AK202" s="28" t="n">
        <f aca="false">-AK201*Restaurantes!$D$37</f>
        <v>-2444.74697309444</v>
      </c>
      <c r="AL202" s="28" t="n">
        <f aca="false">-AL201*Restaurantes!$D$37</f>
        <v>-2444.74697309444</v>
      </c>
      <c r="AM202" s="28" t="n">
        <f aca="false">-AM201*Restaurantes!$D$37</f>
        <v>-2444.74697309444</v>
      </c>
      <c r="AN202" s="28" t="n">
        <f aca="false">-AN201*Restaurantes!$D$37</f>
        <v>-2444.74697309444</v>
      </c>
      <c r="AO202" s="28" t="n">
        <f aca="false">-AO201*Restaurantes!$D$37</f>
        <v>-2444.74697309444</v>
      </c>
      <c r="AP202" s="28" t="n">
        <f aca="false">-AP201*Restaurantes!$D$37</f>
        <v>-2444.74697309444</v>
      </c>
      <c r="AQ202" s="28" t="n">
        <f aca="false">-AQ201*Restaurantes!$D$37</f>
        <v>-800</v>
      </c>
      <c r="AR202" s="28" t="n">
        <f aca="false">-AR201*Restaurantes!$D$37</f>
        <v>-2444.74697309444</v>
      </c>
      <c r="AS202" s="28" t="n">
        <f aca="false">-AS201*Restaurantes!$D$37</f>
        <v>-2444.74697309444</v>
      </c>
      <c r="AT202" s="28" t="n">
        <f aca="false">-AT201*Restaurantes!$D$37</f>
        <v>-2444.74697309444</v>
      </c>
      <c r="AU202" s="28" t="n">
        <f aca="false">-AU201*Restaurantes!$D$37</f>
        <v>-2444.74697309444</v>
      </c>
      <c r="AV202" s="28" t="n">
        <f aca="false">-AV201*Restaurantes!$D$37</f>
        <v>-2444.74697309444</v>
      </c>
      <c r="AW202" s="28" t="n">
        <f aca="false">-AW201*Restaurantes!$D$37</f>
        <v>-2444.74697309444</v>
      </c>
      <c r="AX202" s="28" t="n">
        <f aca="false">-AX201*Restaurantes!$D$37</f>
        <v>-2444.74697309444</v>
      </c>
      <c r="AY202" s="28" t="n">
        <f aca="false">-AY201*Restaurantes!$D$37</f>
        <v>-2444.74697309444</v>
      </c>
      <c r="AZ202" s="28" t="n">
        <f aca="false">-AZ201*Restaurantes!$D$37</f>
        <v>-2444.74697309444</v>
      </c>
      <c r="BA202" s="28" t="n">
        <f aca="false">-BA201*Restaurantes!$D$37</f>
        <v>-2444.74697309444</v>
      </c>
      <c r="BB202" s="28" t="n">
        <f aca="false">-BB201*Restaurantes!$D$37</f>
        <v>-2444.74697309444</v>
      </c>
      <c r="BC202" s="28" t="n">
        <f aca="false">-BC201*Restaurantes!$D$37</f>
        <v>-800</v>
      </c>
      <c r="BD202" s="28" t="n">
        <f aca="false">-BD201*Restaurantes!$D$37</f>
        <v>-2444.74697309444</v>
      </c>
      <c r="BE202" s="28" t="n">
        <f aca="false">-BE201*Restaurantes!$D$37</f>
        <v>-2444.74697309444</v>
      </c>
      <c r="BF202" s="28" t="n">
        <f aca="false">-BF201*Restaurantes!$D$37</f>
        <v>-2444.74697309444</v>
      </c>
      <c r="BG202" s="28" t="n">
        <f aca="false">-BG201*Restaurantes!$D$37</f>
        <v>-2444.74697309444</v>
      </c>
      <c r="BH202" s="28" t="n">
        <f aca="false">-BH201*Restaurantes!$D$37</f>
        <v>-2444.74697309444</v>
      </c>
      <c r="BI202" s="28" t="n">
        <f aca="false">-BI201*Restaurantes!$D$37</f>
        <v>-2444.74697309444</v>
      </c>
      <c r="BJ202" s="28" t="n">
        <f aca="false">-BJ201*Restaurantes!$D$37</f>
        <v>-2444.74697309444</v>
      </c>
      <c r="BK202" s="28" t="n">
        <f aca="false">-BK201*Restaurantes!$D$37</f>
        <v>-2444.74697309444</v>
      </c>
      <c r="BL202" s="28" t="n">
        <f aca="false">-BL201*Restaurantes!$D$37</f>
        <v>-2444.74697309444</v>
      </c>
      <c r="BM202" s="28" t="n">
        <f aca="false">-BM201*Restaurantes!$D$37</f>
        <v>-2444.74697309444</v>
      </c>
      <c r="BN202" s="28" t="n">
        <f aca="false">-BN201*Restaurantes!$D$37</f>
        <v>-2444.74697309444</v>
      </c>
      <c r="BO202" s="28" t="n">
        <f aca="false">-BO201*Restaurantes!$D$37</f>
        <v>-800</v>
      </c>
      <c r="BP202" s="28" t="n">
        <f aca="false">-BP201*Restaurantes!$D$37</f>
        <v>-2444.74697309444</v>
      </c>
      <c r="BQ202" s="28" t="n">
        <f aca="false">-BQ201*Restaurantes!$D$37</f>
        <v>-2444.74697309444</v>
      </c>
      <c r="BR202" s="28" t="n">
        <f aca="false">-BR201*Restaurantes!$D$37</f>
        <v>-2444.74697309444</v>
      </c>
      <c r="BS202" s="28" t="n">
        <f aca="false">-BS201*Restaurantes!$D$37</f>
        <v>-2444.74697309444</v>
      </c>
      <c r="BT202" s="28" t="n">
        <f aca="false">-BT201*Restaurantes!$D$37</f>
        <v>-2444.74697309444</v>
      </c>
      <c r="BU202" s="28" t="n">
        <f aca="false">-BU201*Restaurantes!$D$37</f>
        <v>-2444.74697309444</v>
      </c>
      <c r="BV202" s="28" t="n">
        <f aca="false">-BV201*Restaurantes!$D$37</f>
        <v>-2444.74697309444</v>
      </c>
      <c r="BW202" s="28" t="n">
        <f aca="false">-BW201*Restaurantes!$D$37</f>
        <v>-2444.74697309444</v>
      </c>
      <c r="BX202" s="28" t="n">
        <f aca="false">-BX201*Restaurantes!$D$37</f>
        <v>-2444.74697309444</v>
      </c>
      <c r="BY202" s="28" t="n">
        <f aca="false">-BY201*Restaurantes!$D$37</f>
        <v>-2444.74697309444</v>
      </c>
      <c r="BZ202" s="28" t="n">
        <f aca="false">-BZ201*Restaurantes!$D$37</f>
        <v>-2444.74697309444</v>
      </c>
      <c r="CA202" s="28" t="n">
        <f aca="false">-CA201*Restaurantes!$D$37</f>
        <v>-800</v>
      </c>
      <c r="CB202" s="28" t="n">
        <f aca="false">-CB201*Restaurantes!$D$37</f>
        <v>-2444.74697309444</v>
      </c>
      <c r="CC202" s="28" t="n">
        <f aca="false">-CC201*Restaurantes!$D$37</f>
        <v>-2444.74697309444</v>
      </c>
      <c r="CD202" s="28" t="n">
        <f aca="false">-CD201*Restaurantes!$D$37</f>
        <v>-2444.74697309444</v>
      </c>
      <c r="CE202" s="28" t="n">
        <f aca="false">-CE201*Restaurantes!$D$37</f>
        <v>-2444.74697309444</v>
      </c>
      <c r="CF202" s="28" t="n">
        <f aca="false">-CF201*Restaurantes!$D$37</f>
        <v>-2444.74697309444</v>
      </c>
      <c r="CG202" s="28" t="n">
        <f aca="false">-CG201*Restaurantes!$D$37</f>
        <v>-2444.74697309444</v>
      </c>
      <c r="CH202" s="28" t="n">
        <f aca="false">-CH201*Restaurantes!$D$37</f>
        <v>-2444.74697309444</v>
      </c>
    </row>
    <row r="203" customFormat="false" ht="15" hidden="false" customHeight="false" outlineLevel="0" collapsed="false">
      <c r="A203" s="1" t="s">
        <v>864</v>
      </c>
      <c r="C203" s="28" t="n">
        <f aca="false">-IF(AND(C$3&gt;=Restaurantes!$D$8,Restaurantes!$D$7&gt;0),Restaurantes!$D$44+Restaurantes!$D$45,0)</f>
        <v>-600</v>
      </c>
      <c r="D203" s="28" t="n">
        <f aca="false">-IF(AND(D$3&gt;=Restaurantes!$D$8,Restaurantes!$D$7&gt;0),Restaurantes!$D$44+Restaurantes!$D$45,0)</f>
        <v>-600</v>
      </c>
      <c r="E203" s="28" t="n">
        <f aca="false">-IF(AND(E$3&gt;=Restaurantes!$D$8,Restaurantes!$D$7&gt;0),Restaurantes!$D$44+Restaurantes!$D$45,0)</f>
        <v>-600</v>
      </c>
      <c r="F203" s="28" t="n">
        <f aca="false">-IF(AND(F$3&gt;=Restaurantes!$D$8,Restaurantes!$D$7&gt;0),Restaurantes!$D$44+Restaurantes!$D$45,0)</f>
        <v>-600</v>
      </c>
      <c r="G203" s="28" t="n">
        <f aca="false">-IF(AND(G$3&gt;=Restaurantes!$D$8,Restaurantes!$D$7&gt;0),Restaurantes!$D$44+Restaurantes!$D$45,0)</f>
        <v>-600</v>
      </c>
      <c r="H203" s="28" t="n">
        <f aca="false">-IF(AND(H$3&gt;=Restaurantes!$D$8,Restaurantes!$D$7&gt;0),Restaurantes!$D$44+Restaurantes!$D$45,0)</f>
        <v>-600</v>
      </c>
      <c r="I203" s="28" t="n">
        <f aca="false">-IF(AND(I$3&gt;=Restaurantes!$D$8,Restaurantes!$D$7&gt;0),Restaurantes!$D$44+Restaurantes!$D$45,0)</f>
        <v>-600</v>
      </c>
      <c r="J203" s="28" t="n">
        <f aca="false">-IF(AND(J$3&gt;=Restaurantes!$D$8,Restaurantes!$D$7&gt;0),Restaurantes!$D$44+Restaurantes!$D$45,0)</f>
        <v>-600</v>
      </c>
      <c r="K203" s="28" t="n">
        <f aca="false">-IF(AND(K$3&gt;=Restaurantes!$D$8,Restaurantes!$D$7&gt;0),Restaurantes!$D$44+Restaurantes!$D$45,0)</f>
        <v>-600</v>
      </c>
      <c r="L203" s="28" t="n">
        <f aca="false">-IF(AND(L$3&gt;=Restaurantes!$D$8,Restaurantes!$D$7&gt;0),Restaurantes!$D$44+Restaurantes!$D$45,0)</f>
        <v>-600</v>
      </c>
      <c r="M203" s="28" t="n">
        <f aca="false">-IF(AND(M$3&gt;=Restaurantes!$D$8,Restaurantes!$D$7&gt;0),Restaurantes!$D$44+Restaurantes!$D$45,0)</f>
        <v>-600</v>
      </c>
      <c r="N203" s="28" t="n">
        <f aca="false">-IF(AND(N$3&gt;=Restaurantes!$D$8,Restaurantes!$D$7&gt;0),Restaurantes!$D$44+Restaurantes!$D$45,0)</f>
        <v>-600</v>
      </c>
      <c r="O203" s="28" t="n">
        <f aca="false">-IF(AND(O$3&gt;=Restaurantes!$D$8,Restaurantes!$D$7&gt;0),Restaurantes!$D$44+Restaurantes!$D$45,0)</f>
        <v>-600</v>
      </c>
      <c r="P203" s="28" t="n">
        <f aca="false">-IF(AND(P$3&gt;=Restaurantes!$D$8,Restaurantes!$D$7&gt;0),Restaurantes!$D$44+Restaurantes!$D$45,0)</f>
        <v>-600</v>
      </c>
      <c r="Q203" s="28" t="n">
        <f aca="false">-IF(AND(Q$3&gt;=Restaurantes!$D$8,Restaurantes!$D$7&gt;0),Restaurantes!$D$44+Restaurantes!$D$45,0)</f>
        <v>-600</v>
      </c>
      <c r="R203" s="28" t="n">
        <f aca="false">-IF(AND(R$3&gt;=Restaurantes!$D$8,Restaurantes!$D$7&gt;0),Restaurantes!$D$44+Restaurantes!$D$45,0)</f>
        <v>-600</v>
      </c>
      <c r="S203" s="28" t="n">
        <f aca="false">-IF(AND(S$3&gt;=Restaurantes!$D$8,Restaurantes!$D$7&gt;0),Restaurantes!$D$44+Restaurantes!$D$45,0)</f>
        <v>-600</v>
      </c>
      <c r="T203" s="28" t="n">
        <f aca="false">-IF(AND(T$3&gt;=Restaurantes!$D$8,Restaurantes!$D$7&gt;0),Restaurantes!$D$44+Restaurantes!$D$45,0)</f>
        <v>-600</v>
      </c>
      <c r="U203" s="28" t="n">
        <f aca="false">-IF(AND(U$3&gt;=Restaurantes!$D$8,Restaurantes!$D$7&gt;0),Restaurantes!$D$44+Restaurantes!$D$45,0)</f>
        <v>-600</v>
      </c>
      <c r="V203" s="28" t="n">
        <f aca="false">-IF(AND(V$3&gt;=Restaurantes!$D$8,Restaurantes!$D$7&gt;0),Restaurantes!$D$44+Restaurantes!$D$45,0)</f>
        <v>-600</v>
      </c>
      <c r="W203" s="28" t="n">
        <f aca="false">-IF(AND(W$3&gt;=Restaurantes!$D$8,Restaurantes!$D$7&gt;0),Restaurantes!$D$44+Restaurantes!$D$45,0)</f>
        <v>-600</v>
      </c>
      <c r="X203" s="28" t="n">
        <f aca="false">-IF(AND(X$3&gt;=Restaurantes!$D$8,Restaurantes!$D$7&gt;0),Restaurantes!$D$44+Restaurantes!$D$45,0)</f>
        <v>-600</v>
      </c>
      <c r="Y203" s="28" t="n">
        <f aca="false">-IF(AND(Y$3&gt;=Restaurantes!$D$8,Restaurantes!$D$7&gt;0),Restaurantes!$D$44+Restaurantes!$D$45,0)</f>
        <v>-600</v>
      </c>
      <c r="Z203" s="28" t="n">
        <f aca="false">-IF(AND(Z$3&gt;=Restaurantes!$D$8,Restaurantes!$D$7&gt;0),Restaurantes!$D$44+Restaurantes!$D$45,0)</f>
        <v>-600</v>
      </c>
      <c r="AA203" s="28" t="n">
        <f aca="false">-IF(AND(AA$3&gt;=Restaurantes!$D$8,Restaurantes!$D$7&gt;0),Restaurantes!$D$44+Restaurantes!$D$45,0)</f>
        <v>-600</v>
      </c>
      <c r="AB203" s="28" t="n">
        <f aca="false">-IF(AND(AB$3&gt;=Restaurantes!$D$8,Restaurantes!$D$7&gt;0),Restaurantes!$D$44+Restaurantes!$D$45,0)</f>
        <v>-600</v>
      </c>
      <c r="AC203" s="28" t="n">
        <f aca="false">-IF(AND(AC$3&gt;=Restaurantes!$D$8,Restaurantes!$D$7&gt;0),Restaurantes!$D$44+Restaurantes!$D$45,0)</f>
        <v>-600</v>
      </c>
      <c r="AD203" s="28" t="n">
        <f aca="false">-IF(AND(AD$3&gt;=Restaurantes!$D$8,Restaurantes!$D$7&gt;0),Restaurantes!$D$44+Restaurantes!$D$45,0)</f>
        <v>-600</v>
      </c>
      <c r="AE203" s="28" t="n">
        <f aca="false">-IF(AND(AE$3&gt;=Restaurantes!$D$8,Restaurantes!$D$7&gt;0),Restaurantes!$D$44+Restaurantes!$D$45,0)</f>
        <v>-600</v>
      </c>
      <c r="AF203" s="28" t="n">
        <f aca="false">-IF(AND(AF$3&gt;=Restaurantes!$D$8,Restaurantes!$D$7&gt;0),Restaurantes!$D$44+Restaurantes!$D$45,0)</f>
        <v>-600</v>
      </c>
      <c r="AG203" s="28" t="n">
        <f aca="false">-IF(AND(AG$3&gt;=Restaurantes!$D$8,Restaurantes!$D$7&gt;0),Restaurantes!$D$44+Restaurantes!$D$45,0)</f>
        <v>-600</v>
      </c>
      <c r="AH203" s="28" t="n">
        <f aca="false">-IF(AND(AH$3&gt;=Restaurantes!$D$8,Restaurantes!$D$7&gt;0),Restaurantes!$D$44+Restaurantes!$D$45,0)</f>
        <v>-600</v>
      </c>
      <c r="AI203" s="28" t="n">
        <f aca="false">-IF(AND(AI$3&gt;=Restaurantes!$D$8,Restaurantes!$D$7&gt;0),Restaurantes!$D$44+Restaurantes!$D$45,0)</f>
        <v>-600</v>
      </c>
      <c r="AJ203" s="28" t="n">
        <f aca="false">-IF(AND(AJ$3&gt;=Restaurantes!$D$8,Restaurantes!$D$7&gt;0),Restaurantes!$D$44+Restaurantes!$D$45,0)</f>
        <v>-600</v>
      </c>
      <c r="AK203" s="28" t="n">
        <f aca="false">-IF(AND(AK$3&gt;=Restaurantes!$D$8,Restaurantes!$D$7&gt;0),Restaurantes!$D$44+Restaurantes!$D$45,0)</f>
        <v>-600</v>
      </c>
      <c r="AL203" s="28" t="n">
        <f aca="false">-IF(AND(AL$3&gt;=Restaurantes!$D$8,Restaurantes!$D$7&gt;0),Restaurantes!$D$44+Restaurantes!$D$45,0)</f>
        <v>-600</v>
      </c>
      <c r="AM203" s="28" t="n">
        <f aca="false">-IF(AND(AM$3&gt;=Restaurantes!$D$8,Restaurantes!$D$7&gt;0),Restaurantes!$D$44+Restaurantes!$D$45,0)</f>
        <v>-600</v>
      </c>
      <c r="AN203" s="28" t="n">
        <f aca="false">-IF(AND(AN$3&gt;=Restaurantes!$D$8,Restaurantes!$D$7&gt;0),Restaurantes!$D$44+Restaurantes!$D$45,0)</f>
        <v>-600</v>
      </c>
      <c r="AO203" s="28" t="n">
        <f aca="false">-IF(AND(AO$3&gt;=Restaurantes!$D$8,Restaurantes!$D$7&gt;0),Restaurantes!$D$44+Restaurantes!$D$45,0)</f>
        <v>-600</v>
      </c>
      <c r="AP203" s="28" t="n">
        <f aca="false">-IF(AND(AP$3&gt;=Restaurantes!$D$8,Restaurantes!$D$7&gt;0),Restaurantes!$D$44+Restaurantes!$D$45,0)</f>
        <v>-600</v>
      </c>
      <c r="AQ203" s="28" t="n">
        <f aca="false">-IF(AND(AQ$3&gt;=Restaurantes!$D$8,Restaurantes!$D$7&gt;0),Restaurantes!$D$44+Restaurantes!$D$45,0)</f>
        <v>-600</v>
      </c>
      <c r="AR203" s="28" t="n">
        <f aca="false">-IF(AND(AR$3&gt;=Restaurantes!$D$8,Restaurantes!$D$7&gt;0),Restaurantes!$D$44+Restaurantes!$D$45,0)</f>
        <v>-600</v>
      </c>
      <c r="AS203" s="28" t="n">
        <f aca="false">-IF(AND(AS$3&gt;=Restaurantes!$D$8,Restaurantes!$D$7&gt;0),Restaurantes!$D$44+Restaurantes!$D$45,0)</f>
        <v>-600</v>
      </c>
      <c r="AT203" s="28" t="n">
        <f aca="false">-IF(AND(AT$3&gt;=Restaurantes!$D$8,Restaurantes!$D$7&gt;0),Restaurantes!$D$44+Restaurantes!$D$45,0)</f>
        <v>-600</v>
      </c>
      <c r="AU203" s="28" t="n">
        <f aca="false">-IF(AND(AU$3&gt;=Restaurantes!$D$8,Restaurantes!$D$7&gt;0),Restaurantes!$D$44+Restaurantes!$D$45,0)</f>
        <v>-600</v>
      </c>
      <c r="AV203" s="28" t="n">
        <f aca="false">-IF(AND(AV$3&gt;=Restaurantes!$D$8,Restaurantes!$D$7&gt;0),Restaurantes!$D$44+Restaurantes!$D$45,0)</f>
        <v>-600</v>
      </c>
      <c r="AW203" s="28" t="n">
        <f aca="false">-IF(AND(AW$3&gt;=Restaurantes!$D$8,Restaurantes!$D$7&gt;0),Restaurantes!$D$44+Restaurantes!$D$45,0)</f>
        <v>-600</v>
      </c>
      <c r="AX203" s="28" t="n">
        <f aca="false">-IF(AND(AX$3&gt;=Restaurantes!$D$8,Restaurantes!$D$7&gt;0),Restaurantes!$D$44+Restaurantes!$D$45,0)</f>
        <v>-600</v>
      </c>
      <c r="AY203" s="28" t="n">
        <f aca="false">-IF(AND(AY$3&gt;=Restaurantes!$D$8,Restaurantes!$D$7&gt;0),Restaurantes!$D$44+Restaurantes!$D$45,0)</f>
        <v>-600</v>
      </c>
      <c r="AZ203" s="28" t="n">
        <f aca="false">-IF(AND(AZ$3&gt;=Restaurantes!$D$8,Restaurantes!$D$7&gt;0),Restaurantes!$D$44+Restaurantes!$D$45,0)</f>
        <v>-600</v>
      </c>
      <c r="BA203" s="28" t="n">
        <f aca="false">-IF(AND(BA$3&gt;=Restaurantes!$D$8,Restaurantes!$D$7&gt;0),Restaurantes!$D$44+Restaurantes!$D$45,0)</f>
        <v>-600</v>
      </c>
      <c r="BB203" s="28" t="n">
        <f aca="false">-IF(AND(BB$3&gt;=Restaurantes!$D$8,Restaurantes!$D$7&gt;0),Restaurantes!$D$44+Restaurantes!$D$45,0)</f>
        <v>-600</v>
      </c>
      <c r="BC203" s="28" t="n">
        <f aca="false">-IF(AND(BC$3&gt;=Restaurantes!$D$8,Restaurantes!$D$7&gt;0),Restaurantes!$D$44+Restaurantes!$D$45,0)</f>
        <v>-600</v>
      </c>
      <c r="BD203" s="28" t="n">
        <f aca="false">-IF(AND(BD$3&gt;=Restaurantes!$D$8,Restaurantes!$D$7&gt;0),Restaurantes!$D$44+Restaurantes!$D$45,0)</f>
        <v>-600</v>
      </c>
      <c r="BE203" s="28" t="n">
        <f aca="false">-IF(AND(BE$3&gt;=Restaurantes!$D$8,Restaurantes!$D$7&gt;0),Restaurantes!$D$44+Restaurantes!$D$45,0)</f>
        <v>-600</v>
      </c>
      <c r="BF203" s="28" t="n">
        <f aca="false">-IF(AND(BF$3&gt;=Restaurantes!$D$8,Restaurantes!$D$7&gt;0),Restaurantes!$D$44+Restaurantes!$D$45,0)</f>
        <v>-600</v>
      </c>
      <c r="BG203" s="28" t="n">
        <f aca="false">-IF(AND(BG$3&gt;=Restaurantes!$D$8,Restaurantes!$D$7&gt;0),Restaurantes!$D$44+Restaurantes!$D$45,0)</f>
        <v>-600</v>
      </c>
      <c r="BH203" s="28" t="n">
        <f aca="false">-IF(AND(BH$3&gt;=Restaurantes!$D$8,Restaurantes!$D$7&gt;0),Restaurantes!$D$44+Restaurantes!$D$45,0)</f>
        <v>-600</v>
      </c>
      <c r="BI203" s="28" t="n">
        <f aca="false">-IF(AND(BI$3&gt;=Restaurantes!$D$8,Restaurantes!$D$7&gt;0),Restaurantes!$D$44+Restaurantes!$D$45,0)</f>
        <v>-600</v>
      </c>
      <c r="BJ203" s="28" t="n">
        <f aca="false">-IF(AND(BJ$3&gt;=Restaurantes!$D$8,Restaurantes!$D$7&gt;0),Restaurantes!$D$44+Restaurantes!$D$45,0)</f>
        <v>-600</v>
      </c>
      <c r="BK203" s="28" t="n">
        <f aca="false">-IF(AND(BK$3&gt;=Restaurantes!$D$8,Restaurantes!$D$7&gt;0),Restaurantes!$D$44+Restaurantes!$D$45,0)</f>
        <v>-600</v>
      </c>
      <c r="BL203" s="28" t="n">
        <f aca="false">-IF(AND(BL$3&gt;=Restaurantes!$D$8,Restaurantes!$D$7&gt;0),Restaurantes!$D$44+Restaurantes!$D$45,0)</f>
        <v>-600</v>
      </c>
      <c r="BM203" s="28" t="n">
        <f aca="false">-IF(AND(BM$3&gt;=Restaurantes!$D$8,Restaurantes!$D$7&gt;0),Restaurantes!$D$44+Restaurantes!$D$45,0)</f>
        <v>-600</v>
      </c>
      <c r="BN203" s="28" t="n">
        <f aca="false">-IF(AND(BN$3&gt;=Restaurantes!$D$8,Restaurantes!$D$7&gt;0),Restaurantes!$D$44+Restaurantes!$D$45,0)</f>
        <v>-600</v>
      </c>
      <c r="BO203" s="28" t="n">
        <f aca="false">-IF(AND(BO$3&gt;=Restaurantes!$D$8,Restaurantes!$D$7&gt;0),Restaurantes!$D$44+Restaurantes!$D$45,0)</f>
        <v>-600</v>
      </c>
      <c r="BP203" s="28" t="n">
        <f aca="false">-IF(AND(BP$3&gt;=Restaurantes!$D$8,Restaurantes!$D$7&gt;0),Restaurantes!$D$44+Restaurantes!$D$45,0)</f>
        <v>-600</v>
      </c>
      <c r="BQ203" s="28" t="n">
        <f aca="false">-IF(AND(BQ$3&gt;=Restaurantes!$D$8,Restaurantes!$D$7&gt;0),Restaurantes!$D$44+Restaurantes!$D$45,0)</f>
        <v>-600</v>
      </c>
      <c r="BR203" s="28" t="n">
        <f aca="false">-IF(AND(BR$3&gt;=Restaurantes!$D$8,Restaurantes!$D$7&gt;0),Restaurantes!$D$44+Restaurantes!$D$45,0)</f>
        <v>-600</v>
      </c>
      <c r="BS203" s="28" t="n">
        <f aca="false">-IF(AND(BS$3&gt;=Restaurantes!$D$8,Restaurantes!$D$7&gt;0),Restaurantes!$D$44+Restaurantes!$D$45,0)</f>
        <v>-600</v>
      </c>
      <c r="BT203" s="28" t="n">
        <f aca="false">-IF(AND(BT$3&gt;=Restaurantes!$D$8,Restaurantes!$D$7&gt;0),Restaurantes!$D$44+Restaurantes!$D$45,0)</f>
        <v>-600</v>
      </c>
      <c r="BU203" s="28" t="n">
        <f aca="false">-IF(AND(BU$3&gt;=Restaurantes!$D$8,Restaurantes!$D$7&gt;0),Restaurantes!$D$44+Restaurantes!$D$45,0)</f>
        <v>-600</v>
      </c>
      <c r="BV203" s="28" t="n">
        <f aca="false">-IF(AND(BV$3&gt;=Restaurantes!$D$8,Restaurantes!$D$7&gt;0),Restaurantes!$D$44+Restaurantes!$D$45,0)</f>
        <v>-600</v>
      </c>
      <c r="BW203" s="28" t="n">
        <f aca="false">-IF(AND(BW$3&gt;=Restaurantes!$D$8,Restaurantes!$D$7&gt;0),Restaurantes!$D$44+Restaurantes!$D$45,0)</f>
        <v>-600</v>
      </c>
      <c r="BX203" s="28" t="n">
        <f aca="false">-IF(AND(BX$3&gt;=Restaurantes!$D$8,Restaurantes!$D$7&gt;0),Restaurantes!$D$44+Restaurantes!$D$45,0)</f>
        <v>-600</v>
      </c>
      <c r="BY203" s="28" t="n">
        <f aca="false">-IF(AND(BY$3&gt;=Restaurantes!$D$8,Restaurantes!$D$7&gt;0),Restaurantes!$D$44+Restaurantes!$D$45,0)</f>
        <v>-600</v>
      </c>
      <c r="BZ203" s="28" t="n">
        <f aca="false">-IF(AND(BZ$3&gt;=Restaurantes!$D$8,Restaurantes!$D$7&gt;0),Restaurantes!$D$44+Restaurantes!$D$45,0)</f>
        <v>-600</v>
      </c>
      <c r="CA203" s="28" t="n">
        <f aca="false">-IF(AND(CA$3&gt;=Restaurantes!$D$8,Restaurantes!$D$7&gt;0),Restaurantes!$D$44+Restaurantes!$D$45,0)</f>
        <v>-600</v>
      </c>
      <c r="CB203" s="28" t="n">
        <f aca="false">-IF(AND(CB$3&gt;=Restaurantes!$D$8,Restaurantes!$D$7&gt;0),Restaurantes!$D$44+Restaurantes!$D$45,0)</f>
        <v>-600</v>
      </c>
      <c r="CC203" s="28" t="n">
        <f aca="false">-IF(AND(CC$3&gt;=Restaurantes!$D$8,Restaurantes!$D$7&gt;0),Restaurantes!$D$44+Restaurantes!$D$45,0)</f>
        <v>-600</v>
      </c>
      <c r="CD203" s="28" t="n">
        <f aca="false">-IF(AND(CD$3&gt;=Restaurantes!$D$8,Restaurantes!$D$7&gt;0),Restaurantes!$D$44+Restaurantes!$D$45,0)</f>
        <v>-600</v>
      </c>
      <c r="CE203" s="28" t="n">
        <f aca="false">-IF(AND(CE$3&gt;=Restaurantes!$D$8,Restaurantes!$D$7&gt;0),Restaurantes!$D$44+Restaurantes!$D$45,0)</f>
        <v>-600</v>
      </c>
      <c r="CF203" s="28" t="n">
        <f aca="false">-IF(AND(CF$3&gt;=Restaurantes!$D$8,Restaurantes!$D$7&gt;0),Restaurantes!$D$44+Restaurantes!$D$45,0)</f>
        <v>-600</v>
      </c>
      <c r="CG203" s="28" t="n">
        <f aca="false">-IF(AND(CG$3&gt;=Restaurantes!$D$8,Restaurantes!$D$7&gt;0),Restaurantes!$D$44+Restaurantes!$D$45,0)</f>
        <v>-600</v>
      </c>
      <c r="CH203" s="28" t="n">
        <f aca="false">-IF(AND(CH$3&gt;=Restaurantes!$D$8,Restaurantes!$D$7&gt;0),Restaurantes!$D$44+Restaurantes!$D$45,0)</f>
        <v>-600</v>
      </c>
    </row>
    <row r="204" customFormat="false" ht="15" hidden="false" customHeight="false" outlineLevel="0" collapsed="false">
      <c r="A204" s="1" t="s">
        <v>865</v>
      </c>
      <c r="C204" s="28" t="n">
        <f aca="false">-IF(AND(C$3&gt;=Restaurantes!$D$8,Restaurantes!$D$7&gt;0),Restaurantes!$D$51*(Restaurantes!$D$52*Restaurantes!$D$53+Restaurantes!$D$54*Restaurantes!$D$55),0)</f>
        <v>-541.075</v>
      </c>
      <c r="D204" s="28" t="n">
        <f aca="false">-IF(AND(D$3&gt;=Restaurantes!$D$8,Restaurantes!$D$7&gt;0),Restaurantes!$D$51*(Restaurantes!$D$52*Restaurantes!$D$53+Restaurantes!$D$54*Restaurantes!$D$55),0)</f>
        <v>-541.075</v>
      </c>
      <c r="E204" s="28" t="n">
        <f aca="false">-IF(AND(E$3&gt;=Restaurantes!$D$8,Restaurantes!$D$7&gt;0),Restaurantes!$D$51*(Restaurantes!$D$52*Restaurantes!$D$53+Restaurantes!$D$54*Restaurantes!$D$55),0)</f>
        <v>-541.075</v>
      </c>
      <c r="F204" s="28" t="n">
        <f aca="false">-IF(AND(F$3&gt;=Restaurantes!$D$8,Restaurantes!$D$7&gt;0),Restaurantes!$D$51*(Restaurantes!$D$52*Restaurantes!$D$53+Restaurantes!$D$54*Restaurantes!$D$55),0)</f>
        <v>-541.075</v>
      </c>
      <c r="G204" s="28" t="n">
        <f aca="false">-IF(AND(G$3&gt;=Restaurantes!$D$8,Restaurantes!$D$7&gt;0),Restaurantes!$D$51*(Restaurantes!$D$52*Restaurantes!$D$53+Restaurantes!$D$54*Restaurantes!$D$55),0)</f>
        <v>-541.075</v>
      </c>
      <c r="H204" s="28" t="n">
        <f aca="false">-IF(AND(H$3&gt;=Restaurantes!$D$8,Restaurantes!$D$7&gt;0),Restaurantes!$D$51*(Restaurantes!$D$52*Restaurantes!$D$53+Restaurantes!$D$54*Restaurantes!$D$55),0)</f>
        <v>-541.075</v>
      </c>
      <c r="I204" s="28" t="n">
        <f aca="false">-IF(AND(I$3&gt;=Restaurantes!$D$8,Restaurantes!$D$7&gt;0),Restaurantes!$D$51*(Restaurantes!$D$52*Restaurantes!$D$53+Restaurantes!$D$54*Restaurantes!$D$55),0)</f>
        <v>-541.075</v>
      </c>
      <c r="J204" s="28" t="n">
        <f aca="false">-IF(AND(J$3&gt;=Restaurantes!$D$8,Restaurantes!$D$7&gt;0),Restaurantes!$D$51*(Restaurantes!$D$52*Restaurantes!$D$53+Restaurantes!$D$54*Restaurantes!$D$55),0)</f>
        <v>-541.075</v>
      </c>
      <c r="K204" s="28" t="n">
        <f aca="false">-IF(AND(K$3&gt;=Restaurantes!$D$8,Restaurantes!$D$7&gt;0),Restaurantes!$D$51*(Restaurantes!$D$52*Restaurantes!$D$53+Restaurantes!$D$54*Restaurantes!$D$55),0)</f>
        <v>-541.075</v>
      </c>
      <c r="L204" s="28" t="n">
        <f aca="false">-IF(AND(L$3&gt;=Restaurantes!$D$8,Restaurantes!$D$7&gt;0),Restaurantes!$D$51*(Restaurantes!$D$52*Restaurantes!$D$53+Restaurantes!$D$54*Restaurantes!$D$55),0)</f>
        <v>-541.075</v>
      </c>
      <c r="M204" s="28" t="n">
        <f aca="false">-IF(AND(M$3&gt;=Restaurantes!$D$8,Restaurantes!$D$7&gt;0),Restaurantes!$D$51*(Restaurantes!$D$52*Restaurantes!$D$53+Restaurantes!$D$54*Restaurantes!$D$55),0)</f>
        <v>-541.075</v>
      </c>
      <c r="N204" s="28" t="n">
        <f aca="false">-IF(AND(N$3&gt;=Restaurantes!$D$8,Restaurantes!$D$7&gt;0),Restaurantes!$D$51*(Restaurantes!$D$52*Restaurantes!$D$53+Restaurantes!$D$54*Restaurantes!$D$55),0)</f>
        <v>-541.075</v>
      </c>
      <c r="O204" s="28" t="n">
        <f aca="false">-IF(AND(O$3&gt;=Restaurantes!$D$8,Restaurantes!$D$7&gt;0),Restaurantes!$D$51*(Restaurantes!$D$52*Restaurantes!$D$53+Restaurantes!$D$54*Restaurantes!$D$55),0)</f>
        <v>-541.075</v>
      </c>
      <c r="P204" s="28" t="n">
        <f aca="false">-IF(AND(P$3&gt;=Restaurantes!$D$8,Restaurantes!$D$7&gt;0),Restaurantes!$D$51*(Restaurantes!$D$52*Restaurantes!$D$53+Restaurantes!$D$54*Restaurantes!$D$55),0)</f>
        <v>-541.075</v>
      </c>
      <c r="Q204" s="28" t="n">
        <f aca="false">-IF(AND(Q$3&gt;=Restaurantes!$D$8,Restaurantes!$D$7&gt;0),Restaurantes!$D$51*(Restaurantes!$D$52*Restaurantes!$D$53+Restaurantes!$D$54*Restaurantes!$D$55),0)</f>
        <v>-541.075</v>
      </c>
      <c r="R204" s="28" t="n">
        <f aca="false">-IF(AND(R$3&gt;=Restaurantes!$D$8,Restaurantes!$D$7&gt;0),Restaurantes!$D$51*(Restaurantes!$D$52*Restaurantes!$D$53+Restaurantes!$D$54*Restaurantes!$D$55),0)</f>
        <v>-541.075</v>
      </c>
      <c r="S204" s="28" t="n">
        <f aca="false">-IF(AND(S$3&gt;=Restaurantes!$D$8,Restaurantes!$D$7&gt;0),Restaurantes!$D$51*(Restaurantes!$D$52*Restaurantes!$D$53+Restaurantes!$D$54*Restaurantes!$D$55),0)</f>
        <v>-541.075</v>
      </c>
      <c r="T204" s="28" t="n">
        <f aca="false">-IF(AND(T$3&gt;=Restaurantes!$D$8,Restaurantes!$D$7&gt;0),Restaurantes!$D$51*(Restaurantes!$D$52*Restaurantes!$D$53+Restaurantes!$D$54*Restaurantes!$D$55),0)</f>
        <v>-541.075</v>
      </c>
      <c r="U204" s="28" t="n">
        <f aca="false">-IF(AND(U$3&gt;=Restaurantes!$D$8,Restaurantes!$D$7&gt;0),Restaurantes!$D$51*(Restaurantes!$D$52*Restaurantes!$D$53+Restaurantes!$D$54*Restaurantes!$D$55),0)</f>
        <v>-541.075</v>
      </c>
      <c r="V204" s="28" t="n">
        <f aca="false">-IF(AND(V$3&gt;=Restaurantes!$D$8,Restaurantes!$D$7&gt;0),Restaurantes!$D$51*(Restaurantes!$D$52*Restaurantes!$D$53+Restaurantes!$D$54*Restaurantes!$D$55),0)</f>
        <v>-541.075</v>
      </c>
      <c r="W204" s="28" t="n">
        <f aca="false">-IF(AND(W$3&gt;=Restaurantes!$D$8,Restaurantes!$D$7&gt;0),Restaurantes!$D$51*(Restaurantes!$D$52*Restaurantes!$D$53+Restaurantes!$D$54*Restaurantes!$D$55),0)</f>
        <v>-541.075</v>
      </c>
      <c r="X204" s="28" t="n">
        <f aca="false">-IF(AND(X$3&gt;=Restaurantes!$D$8,Restaurantes!$D$7&gt;0),Restaurantes!$D$51*(Restaurantes!$D$52*Restaurantes!$D$53+Restaurantes!$D$54*Restaurantes!$D$55),0)</f>
        <v>-541.075</v>
      </c>
      <c r="Y204" s="28" t="n">
        <f aca="false">-IF(AND(Y$3&gt;=Restaurantes!$D$8,Restaurantes!$D$7&gt;0),Restaurantes!$D$51*(Restaurantes!$D$52*Restaurantes!$D$53+Restaurantes!$D$54*Restaurantes!$D$55),0)</f>
        <v>-541.075</v>
      </c>
      <c r="Z204" s="28" t="n">
        <f aca="false">-IF(AND(Z$3&gt;=Restaurantes!$D$8,Restaurantes!$D$7&gt;0),Restaurantes!$D$51*(Restaurantes!$D$52*Restaurantes!$D$53+Restaurantes!$D$54*Restaurantes!$D$55),0)</f>
        <v>-541.075</v>
      </c>
      <c r="AA204" s="28" t="n">
        <f aca="false">-IF(AND(AA$3&gt;=Restaurantes!$D$8,Restaurantes!$D$7&gt;0),Restaurantes!$D$51*(Restaurantes!$D$52*Restaurantes!$D$53+Restaurantes!$D$54*Restaurantes!$D$55),0)</f>
        <v>-541.075</v>
      </c>
      <c r="AB204" s="28" t="n">
        <f aca="false">-IF(AND(AB$3&gt;=Restaurantes!$D$8,Restaurantes!$D$7&gt;0),Restaurantes!$D$51*(Restaurantes!$D$52*Restaurantes!$D$53+Restaurantes!$D$54*Restaurantes!$D$55),0)</f>
        <v>-541.075</v>
      </c>
      <c r="AC204" s="28" t="n">
        <f aca="false">-IF(AND(AC$3&gt;=Restaurantes!$D$8,Restaurantes!$D$7&gt;0),Restaurantes!$D$51*(Restaurantes!$D$52*Restaurantes!$D$53+Restaurantes!$D$54*Restaurantes!$D$55),0)</f>
        <v>-541.075</v>
      </c>
      <c r="AD204" s="28" t="n">
        <f aca="false">-IF(AND(AD$3&gt;=Restaurantes!$D$8,Restaurantes!$D$7&gt;0),Restaurantes!$D$51*(Restaurantes!$D$52*Restaurantes!$D$53+Restaurantes!$D$54*Restaurantes!$D$55),0)</f>
        <v>-541.075</v>
      </c>
      <c r="AE204" s="28" t="n">
        <f aca="false">-IF(AND(AE$3&gt;=Restaurantes!$D$8,Restaurantes!$D$7&gt;0),Restaurantes!$D$51*(Restaurantes!$D$52*Restaurantes!$D$53+Restaurantes!$D$54*Restaurantes!$D$55),0)</f>
        <v>-541.075</v>
      </c>
      <c r="AF204" s="28" t="n">
        <f aca="false">-IF(AND(AF$3&gt;=Restaurantes!$D$8,Restaurantes!$D$7&gt;0),Restaurantes!$D$51*(Restaurantes!$D$52*Restaurantes!$D$53+Restaurantes!$D$54*Restaurantes!$D$55),0)</f>
        <v>-541.075</v>
      </c>
      <c r="AG204" s="28" t="n">
        <f aca="false">-IF(AND(AG$3&gt;=Restaurantes!$D$8,Restaurantes!$D$7&gt;0),Restaurantes!$D$51*(Restaurantes!$D$52*Restaurantes!$D$53+Restaurantes!$D$54*Restaurantes!$D$55),0)</f>
        <v>-541.075</v>
      </c>
      <c r="AH204" s="28" t="n">
        <f aca="false">-IF(AND(AH$3&gt;=Restaurantes!$D$8,Restaurantes!$D$7&gt;0),Restaurantes!$D$51*(Restaurantes!$D$52*Restaurantes!$D$53+Restaurantes!$D$54*Restaurantes!$D$55),0)</f>
        <v>-541.075</v>
      </c>
      <c r="AI204" s="28" t="n">
        <f aca="false">-IF(AND(AI$3&gt;=Restaurantes!$D$8,Restaurantes!$D$7&gt;0),Restaurantes!$D$51*(Restaurantes!$D$52*Restaurantes!$D$53+Restaurantes!$D$54*Restaurantes!$D$55),0)</f>
        <v>-541.075</v>
      </c>
      <c r="AJ204" s="28" t="n">
        <f aca="false">-IF(AND(AJ$3&gt;=Restaurantes!$D$8,Restaurantes!$D$7&gt;0),Restaurantes!$D$51*(Restaurantes!$D$52*Restaurantes!$D$53+Restaurantes!$D$54*Restaurantes!$D$55),0)</f>
        <v>-541.075</v>
      </c>
      <c r="AK204" s="28" t="n">
        <f aca="false">-IF(AND(AK$3&gt;=Restaurantes!$D$8,Restaurantes!$D$7&gt;0),Restaurantes!$D$51*(Restaurantes!$D$52*Restaurantes!$D$53+Restaurantes!$D$54*Restaurantes!$D$55),0)</f>
        <v>-541.075</v>
      </c>
      <c r="AL204" s="28" t="n">
        <f aca="false">-IF(AND(AL$3&gt;=Restaurantes!$D$8,Restaurantes!$D$7&gt;0),Restaurantes!$D$51*(Restaurantes!$D$52*Restaurantes!$D$53+Restaurantes!$D$54*Restaurantes!$D$55),0)</f>
        <v>-541.075</v>
      </c>
      <c r="AM204" s="28" t="n">
        <f aca="false">-IF(AND(AM$3&gt;=Restaurantes!$D$8,Restaurantes!$D$7&gt;0),Restaurantes!$D$51*(Restaurantes!$D$52*Restaurantes!$D$53+Restaurantes!$D$54*Restaurantes!$D$55),0)</f>
        <v>-541.075</v>
      </c>
      <c r="AN204" s="28" t="n">
        <f aca="false">-IF(AND(AN$3&gt;=Restaurantes!$D$8,Restaurantes!$D$7&gt;0),Restaurantes!$D$51*(Restaurantes!$D$52*Restaurantes!$D$53+Restaurantes!$D$54*Restaurantes!$D$55),0)</f>
        <v>-541.075</v>
      </c>
      <c r="AO204" s="28" t="n">
        <f aca="false">-IF(AND(AO$3&gt;=Restaurantes!$D$8,Restaurantes!$D$7&gt;0),Restaurantes!$D$51*(Restaurantes!$D$52*Restaurantes!$D$53+Restaurantes!$D$54*Restaurantes!$D$55),0)</f>
        <v>-541.075</v>
      </c>
      <c r="AP204" s="28" t="n">
        <f aca="false">-IF(AND(AP$3&gt;=Restaurantes!$D$8,Restaurantes!$D$7&gt;0),Restaurantes!$D$51*(Restaurantes!$D$52*Restaurantes!$D$53+Restaurantes!$D$54*Restaurantes!$D$55),0)</f>
        <v>-541.075</v>
      </c>
      <c r="AQ204" s="28" t="n">
        <f aca="false">-IF(AND(AQ$3&gt;=Restaurantes!$D$8,Restaurantes!$D$7&gt;0),Restaurantes!$D$51*(Restaurantes!$D$52*Restaurantes!$D$53+Restaurantes!$D$54*Restaurantes!$D$55),0)</f>
        <v>-541.075</v>
      </c>
      <c r="AR204" s="28" t="n">
        <f aca="false">-IF(AND(AR$3&gt;=Restaurantes!$D$8,Restaurantes!$D$7&gt;0),Restaurantes!$D$51*(Restaurantes!$D$52*Restaurantes!$D$53+Restaurantes!$D$54*Restaurantes!$D$55),0)</f>
        <v>-541.075</v>
      </c>
      <c r="AS204" s="28" t="n">
        <f aca="false">-IF(AND(AS$3&gt;=Restaurantes!$D$8,Restaurantes!$D$7&gt;0),Restaurantes!$D$51*(Restaurantes!$D$52*Restaurantes!$D$53+Restaurantes!$D$54*Restaurantes!$D$55),0)</f>
        <v>-541.075</v>
      </c>
      <c r="AT204" s="28" t="n">
        <f aca="false">-IF(AND(AT$3&gt;=Restaurantes!$D$8,Restaurantes!$D$7&gt;0),Restaurantes!$D$51*(Restaurantes!$D$52*Restaurantes!$D$53+Restaurantes!$D$54*Restaurantes!$D$55),0)</f>
        <v>-541.075</v>
      </c>
      <c r="AU204" s="28" t="n">
        <f aca="false">-IF(AND(AU$3&gt;=Restaurantes!$D$8,Restaurantes!$D$7&gt;0),Restaurantes!$D$51*(Restaurantes!$D$52*Restaurantes!$D$53+Restaurantes!$D$54*Restaurantes!$D$55),0)</f>
        <v>-541.075</v>
      </c>
      <c r="AV204" s="28" t="n">
        <f aca="false">-IF(AND(AV$3&gt;=Restaurantes!$D$8,Restaurantes!$D$7&gt;0),Restaurantes!$D$51*(Restaurantes!$D$52*Restaurantes!$D$53+Restaurantes!$D$54*Restaurantes!$D$55),0)</f>
        <v>-541.075</v>
      </c>
      <c r="AW204" s="28" t="n">
        <f aca="false">-IF(AND(AW$3&gt;=Restaurantes!$D$8,Restaurantes!$D$7&gt;0),Restaurantes!$D$51*(Restaurantes!$D$52*Restaurantes!$D$53+Restaurantes!$D$54*Restaurantes!$D$55),0)</f>
        <v>-541.075</v>
      </c>
      <c r="AX204" s="28" t="n">
        <f aca="false">-IF(AND(AX$3&gt;=Restaurantes!$D$8,Restaurantes!$D$7&gt;0),Restaurantes!$D$51*(Restaurantes!$D$52*Restaurantes!$D$53+Restaurantes!$D$54*Restaurantes!$D$55),0)</f>
        <v>-541.075</v>
      </c>
      <c r="AY204" s="28" t="n">
        <f aca="false">-IF(AND(AY$3&gt;=Restaurantes!$D$8,Restaurantes!$D$7&gt;0),Restaurantes!$D$51*(Restaurantes!$D$52*Restaurantes!$D$53+Restaurantes!$D$54*Restaurantes!$D$55),0)</f>
        <v>-541.075</v>
      </c>
      <c r="AZ204" s="28" t="n">
        <f aca="false">-IF(AND(AZ$3&gt;=Restaurantes!$D$8,Restaurantes!$D$7&gt;0),Restaurantes!$D$51*(Restaurantes!$D$52*Restaurantes!$D$53+Restaurantes!$D$54*Restaurantes!$D$55),0)</f>
        <v>-541.075</v>
      </c>
      <c r="BA204" s="28" t="n">
        <f aca="false">-IF(AND(BA$3&gt;=Restaurantes!$D$8,Restaurantes!$D$7&gt;0),Restaurantes!$D$51*(Restaurantes!$D$52*Restaurantes!$D$53+Restaurantes!$D$54*Restaurantes!$D$55),0)</f>
        <v>-541.075</v>
      </c>
      <c r="BB204" s="28" t="n">
        <f aca="false">-IF(AND(BB$3&gt;=Restaurantes!$D$8,Restaurantes!$D$7&gt;0),Restaurantes!$D$51*(Restaurantes!$D$52*Restaurantes!$D$53+Restaurantes!$D$54*Restaurantes!$D$55),0)</f>
        <v>-541.075</v>
      </c>
      <c r="BC204" s="28" t="n">
        <f aca="false">-IF(AND(BC$3&gt;=Restaurantes!$D$8,Restaurantes!$D$7&gt;0),Restaurantes!$D$51*(Restaurantes!$D$52*Restaurantes!$D$53+Restaurantes!$D$54*Restaurantes!$D$55),0)</f>
        <v>-541.075</v>
      </c>
      <c r="BD204" s="28" t="n">
        <f aca="false">-IF(AND(BD$3&gt;=Restaurantes!$D$8,Restaurantes!$D$7&gt;0),Restaurantes!$D$51*(Restaurantes!$D$52*Restaurantes!$D$53+Restaurantes!$D$54*Restaurantes!$D$55),0)</f>
        <v>-541.075</v>
      </c>
      <c r="BE204" s="28" t="n">
        <f aca="false">-IF(AND(BE$3&gt;=Restaurantes!$D$8,Restaurantes!$D$7&gt;0),Restaurantes!$D$51*(Restaurantes!$D$52*Restaurantes!$D$53+Restaurantes!$D$54*Restaurantes!$D$55),0)</f>
        <v>-541.075</v>
      </c>
      <c r="BF204" s="28" t="n">
        <f aca="false">-IF(AND(BF$3&gt;=Restaurantes!$D$8,Restaurantes!$D$7&gt;0),Restaurantes!$D$51*(Restaurantes!$D$52*Restaurantes!$D$53+Restaurantes!$D$54*Restaurantes!$D$55),0)</f>
        <v>-541.075</v>
      </c>
      <c r="BG204" s="28" t="n">
        <f aca="false">-IF(AND(BG$3&gt;=Restaurantes!$D$8,Restaurantes!$D$7&gt;0),Restaurantes!$D$51*(Restaurantes!$D$52*Restaurantes!$D$53+Restaurantes!$D$54*Restaurantes!$D$55),0)</f>
        <v>-541.075</v>
      </c>
      <c r="BH204" s="28" t="n">
        <f aca="false">-IF(AND(BH$3&gt;=Restaurantes!$D$8,Restaurantes!$D$7&gt;0),Restaurantes!$D$51*(Restaurantes!$D$52*Restaurantes!$D$53+Restaurantes!$D$54*Restaurantes!$D$55),0)</f>
        <v>-541.075</v>
      </c>
      <c r="BI204" s="28" t="n">
        <f aca="false">-IF(AND(BI$3&gt;=Restaurantes!$D$8,Restaurantes!$D$7&gt;0),Restaurantes!$D$51*(Restaurantes!$D$52*Restaurantes!$D$53+Restaurantes!$D$54*Restaurantes!$D$55),0)</f>
        <v>-541.075</v>
      </c>
      <c r="BJ204" s="28" t="n">
        <f aca="false">-IF(AND(BJ$3&gt;=Restaurantes!$D$8,Restaurantes!$D$7&gt;0),Restaurantes!$D$51*(Restaurantes!$D$52*Restaurantes!$D$53+Restaurantes!$D$54*Restaurantes!$D$55),0)</f>
        <v>-541.075</v>
      </c>
      <c r="BK204" s="28" t="n">
        <f aca="false">-IF(AND(BK$3&gt;=Restaurantes!$D$8,Restaurantes!$D$7&gt;0),Restaurantes!$D$51*(Restaurantes!$D$52*Restaurantes!$D$53+Restaurantes!$D$54*Restaurantes!$D$55),0)</f>
        <v>-541.075</v>
      </c>
      <c r="BL204" s="28" t="n">
        <f aca="false">-IF(AND(BL$3&gt;=Restaurantes!$D$8,Restaurantes!$D$7&gt;0),Restaurantes!$D$51*(Restaurantes!$D$52*Restaurantes!$D$53+Restaurantes!$D$54*Restaurantes!$D$55),0)</f>
        <v>-541.075</v>
      </c>
      <c r="BM204" s="28" t="n">
        <f aca="false">-IF(AND(BM$3&gt;=Restaurantes!$D$8,Restaurantes!$D$7&gt;0),Restaurantes!$D$51*(Restaurantes!$D$52*Restaurantes!$D$53+Restaurantes!$D$54*Restaurantes!$D$55),0)</f>
        <v>-541.075</v>
      </c>
      <c r="BN204" s="28" t="n">
        <f aca="false">-IF(AND(BN$3&gt;=Restaurantes!$D$8,Restaurantes!$D$7&gt;0),Restaurantes!$D$51*(Restaurantes!$D$52*Restaurantes!$D$53+Restaurantes!$D$54*Restaurantes!$D$55),0)</f>
        <v>-541.075</v>
      </c>
      <c r="BO204" s="28" t="n">
        <f aca="false">-IF(AND(BO$3&gt;=Restaurantes!$D$8,Restaurantes!$D$7&gt;0),Restaurantes!$D$51*(Restaurantes!$D$52*Restaurantes!$D$53+Restaurantes!$D$54*Restaurantes!$D$55),0)</f>
        <v>-541.075</v>
      </c>
      <c r="BP204" s="28" t="n">
        <f aca="false">-IF(AND(BP$3&gt;=Restaurantes!$D$8,Restaurantes!$D$7&gt;0),Restaurantes!$D$51*(Restaurantes!$D$52*Restaurantes!$D$53+Restaurantes!$D$54*Restaurantes!$D$55),0)</f>
        <v>-541.075</v>
      </c>
      <c r="BQ204" s="28" t="n">
        <f aca="false">-IF(AND(BQ$3&gt;=Restaurantes!$D$8,Restaurantes!$D$7&gt;0),Restaurantes!$D$51*(Restaurantes!$D$52*Restaurantes!$D$53+Restaurantes!$D$54*Restaurantes!$D$55),0)</f>
        <v>-541.075</v>
      </c>
      <c r="BR204" s="28" t="n">
        <f aca="false">-IF(AND(BR$3&gt;=Restaurantes!$D$8,Restaurantes!$D$7&gt;0),Restaurantes!$D$51*(Restaurantes!$D$52*Restaurantes!$D$53+Restaurantes!$D$54*Restaurantes!$D$55),0)</f>
        <v>-541.075</v>
      </c>
      <c r="BS204" s="28" t="n">
        <f aca="false">-IF(AND(BS$3&gt;=Restaurantes!$D$8,Restaurantes!$D$7&gt;0),Restaurantes!$D$51*(Restaurantes!$D$52*Restaurantes!$D$53+Restaurantes!$D$54*Restaurantes!$D$55),0)</f>
        <v>-541.075</v>
      </c>
      <c r="BT204" s="28" t="n">
        <f aca="false">-IF(AND(BT$3&gt;=Restaurantes!$D$8,Restaurantes!$D$7&gt;0),Restaurantes!$D$51*(Restaurantes!$D$52*Restaurantes!$D$53+Restaurantes!$D$54*Restaurantes!$D$55),0)</f>
        <v>-541.075</v>
      </c>
      <c r="BU204" s="28" t="n">
        <f aca="false">-IF(AND(BU$3&gt;=Restaurantes!$D$8,Restaurantes!$D$7&gt;0),Restaurantes!$D$51*(Restaurantes!$D$52*Restaurantes!$D$53+Restaurantes!$D$54*Restaurantes!$D$55),0)</f>
        <v>-541.075</v>
      </c>
      <c r="BV204" s="28" t="n">
        <f aca="false">-IF(AND(BV$3&gt;=Restaurantes!$D$8,Restaurantes!$D$7&gt;0),Restaurantes!$D$51*(Restaurantes!$D$52*Restaurantes!$D$53+Restaurantes!$D$54*Restaurantes!$D$55),0)</f>
        <v>-541.075</v>
      </c>
      <c r="BW204" s="28" t="n">
        <f aca="false">-IF(AND(BW$3&gt;=Restaurantes!$D$8,Restaurantes!$D$7&gt;0),Restaurantes!$D$51*(Restaurantes!$D$52*Restaurantes!$D$53+Restaurantes!$D$54*Restaurantes!$D$55),0)</f>
        <v>-541.075</v>
      </c>
      <c r="BX204" s="28" t="n">
        <f aca="false">-IF(AND(BX$3&gt;=Restaurantes!$D$8,Restaurantes!$D$7&gt;0),Restaurantes!$D$51*(Restaurantes!$D$52*Restaurantes!$D$53+Restaurantes!$D$54*Restaurantes!$D$55),0)</f>
        <v>-541.075</v>
      </c>
      <c r="BY204" s="28" t="n">
        <f aca="false">-IF(AND(BY$3&gt;=Restaurantes!$D$8,Restaurantes!$D$7&gt;0),Restaurantes!$D$51*(Restaurantes!$D$52*Restaurantes!$D$53+Restaurantes!$D$54*Restaurantes!$D$55),0)</f>
        <v>-541.075</v>
      </c>
      <c r="BZ204" s="28" t="n">
        <f aca="false">-IF(AND(BZ$3&gt;=Restaurantes!$D$8,Restaurantes!$D$7&gt;0),Restaurantes!$D$51*(Restaurantes!$D$52*Restaurantes!$D$53+Restaurantes!$D$54*Restaurantes!$D$55),0)</f>
        <v>-541.075</v>
      </c>
      <c r="CA204" s="28" t="n">
        <f aca="false">-IF(AND(CA$3&gt;=Restaurantes!$D$8,Restaurantes!$D$7&gt;0),Restaurantes!$D$51*(Restaurantes!$D$52*Restaurantes!$D$53+Restaurantes!$D$54*Restaurantes!$D$55),0)</f>
        <v>-541.075</v>
      </c>
      <c r="CB204" s="28" t="n">
        <f aca="false">-IF(AND(CB$3&gt;=Restaurantes!$D$8,Restaurantes!$D$7&gt;0),Restaurantes!$D$51*(Restaurantes!$D$52*Restaurantes!$D$53+Restaurantes!$D$54*Restaurantes!$D$55),0)</f>
        <v>-541.075</v>
      </c>
      <c r="CC204" s="28" t="n">
        <f aca="false">-IF(AND(CC$3&gt;=Restaurantes!$D$8,Restaurantes!$D$7&gt;0),Restaurantes!$D$51*(Restaurantes!$D$52*Restaurantes!$D$53+Restaurantes!$D$54*Restaurantes!$D$55),0)</f>
        <v>-541.075</v>
      </c>
      <c r="CD204" s="28" t="n">
        <f aca="false">-IF(AND(CD$3&gt;=Restaurantes!$D$8,Restaurantes!$D$7&gt;0),Restaurantes!$D$51*(Restaurantes!$D$52*Restaurantes!$D$53+Restaurantes!$D$54*Restaurantes!$D$55),0)</f>
        <v>-541.075</v>
      </c>
      <c r="CE204" s="28" t="n">
        <f aca="false">-IF(AND(CE$3&gt;=Restaurantes!$D$8,Restaurantes!$D$7&gt;0),Restaurantes!$D$51*(Restaurantes!$D$52*Restaurantes!$D$53+Restaurantes!$D$54*Restaurantes!$D$55),0)</f>
        <v>-541.075</v>
      </c>
      <c r="CF204" s="28" t="n">
        <f aca="false">-IF(AND(CF$3&gt;=Restaurantes!$D$8,Restaurantes!$D$7&gt;0),Restaurantes!$D$51*(Restaurantes!$D$52*Restaurantes!$D$53+Restaurantes!$D$54*Restaurantes!$D$55),0)</f>
        <v>-541.075</v>
      </c>
      <c r="CG204" s="28" t="n">
        <f aca="false">-IF(AND(CG$3&gt;=Restaurantes!$D$8,Restaurantes!$D$7&gt;0),Restaurantes!$D$51*(Restaurantes!$D$52*Restaurantes!$D$53+Restaurantes!$D$54*Restaurantes!$D$55),0)</f>
        <v>-541.075</v>
      </c>
      <c r="CH204" s="28" t="n">
        <f aca="false">-IF(AND(CH$3&gt;=Restaurantes!$D$8,Restaurantes!$D$7&gt;0),Restaurantes!$D$51*(Restaurantes!$D$52*Restaurantes!$D$53+Restaurantes!$D$54*Restaurantes!$D$55),0)</f>
        <v>-541.075</v>
      </c>
    </row>
    <row r="205" customFormat="false" ht="15" hidden="false" customHeight="false" outlineLevel="0" collapsed="false">
      <c r="A205" s="1" t="s">
        <v>866</v>
      </c>
      <c r="C205" s="28" t="n">
        <f aca="false">-C188*Restaurantes!$D$56/60*Restaurantes!$D$57</f>
        <v>-35.652560024294</v>
      </c>
      <c r="D205" s="28" t="n">
        <f aca="false">-D188*Restaurantes!$D$56/60*Restaurantes!$D$57</f>
        <v>-71.3051200485879</v>
      </c>
      <c r="E205" s="28" t="n">
        <f aca="false">-E188*Restaurantes!$D$56/60*Restaurantes!$D$57</f>
        <v>-106.957680072882</v>
      </c>
      <c r="F205" s="28" t="n">
        <f aca="false">-F188*Restaurantes!$D$56/60*Restaurantes!$D$57</f>
        <v>-142.610240097176</v>
      </c>
      <c r="G205" s="28" t="n">
        <f aca="false">-G188*Restaurantes!$D$56/60*Restaurantes!$D$57</f>
        <v>-26.7394200182205</v>
      </c>
      <c r="H205" s="28" t="n">
        <f aca="false">-H188*Restaurantes!$D$56/60*Restaurantes!$D$57</f>
        <v>-213.915360145764</v>
      </c>
      <c r="I205" s="28" t="n">
        <f aca="false">-I188*Restaurantes!$D$56/60*Restaurantes!$D$57</f>
        <v>-249.567920170058</v>
      </c>
      <c r="J205" s="28" t="n">
        <f aca="false">-J188*Restaurantes!$D$56/60*Restaurantes!$D$57</f>
        <v>-285.220480194352</v>
      </c>
      <c r="K205" s="28" t="n">
        <f aca="false">-K188*Restaurantes!$D$56/60*Restaurantes!$D$57</f>
        <v>-320.873040218646</v>
      </c>
      <c r="L205" s="28" t="n">
        <f aca="false">-L188*Restaurantes!$D$56/60*Restaurantes!$D$57</f>
        <v>-356.52560024294</v>
      </c>
      <c r="M205" s="28" t="n">
        <f aca="false">-M188*Restaurantes!$D$56/60*Restaurantes!$D$57</f>
        <v>-392.178160267234</v>
      </c>
      <c r="N205" s="28" t="n">
        <f aca="false">-N188*Restaurantes!$D$56/60*Restaurantes!$D$57</f>
        <v>-427.830720291528</v>
      </c>
      <c r="O205" s="28" t="n">
        <f aca="false">-O188*Restaurantes!$D$56/60*Restaurantes!$D$57</f>
        <v>-463.483280315822</v>
      </c>
      <c r="P205" s="28" t="n">
        <f aca="false">-P188*Restaurantes!$D$56/60*Restaurantes!$D$57</f>
        <v>-499.135840340115</v>
      </c>
      <c r="Q205" s="28" t="n">
        <f aca="false">-Q188*Restaurantes!$D$56/60*Restaurantes!$D$57</f>
        <v>-534.788400364409</v>
      </c>
      <c r="R205" s="28" t="n">
        <f aca="false">-R188*Restaurantes!$D$56/60*Restaurantes!$D$57</f>
        <v>-570.440960388703</v>
      </c>
      <c r="S205" s="28" t="n">
        <f aca="false">-S188*Restaurantes!$D$56/60*Restaurantes!$D$57</f>
        <v>-90.9140280619496</v>
      </c>
      <c r="T205" s="28" t="n">
        <f aca="false">-T188*Restaurantes!$D$56/60*Restaurantes!$D$57</f>
        <v>-641.746080437291</v>
      </c>
      <c r="U205" s="28" t="n">
        <f aca="false">-U188*Restaurantes!$D$56/60*Restaurantes!$D$57</f>
        <v>-677.398640461585</v>
      </c>
      <c r="V205" s="28" t="n">
        <f aca="false">-V188*Restaurantes!$D$56/60*Restaurantes!$D$57</f>
        <v>-713.051200485879</v>
      </c>
      <c r="W205" s="28" t="n">
        <f aca="false">-W188*Restaurantes!$D$56/60*Restaurantes!$D$57</f>
        <v>-748.703760510173</v>
      </c>
      <c r="X205" s="28" t="n">
        <f aca="false">-X188*Restaurantes!$D$56/60*Restaurantes!$D$57</f>
        <v>-784.356320534467</v>
      </c>
      <c r="Y205" s="28" t="n">
        <f aca="false">-Y188*Restaurantes!$D$56/60*Restaurantes!$D$57</f>
        <v>-820.008880558761</v>
      </c>
      <c r="Z205" s="28" t="n">
        <f aca="false">-Z188*Restaurantes!$D$56/60*Restaurantes!$D$57</f>
        <v>-855.661440583055</v>
      </c>
      <c r="AA205" s="28" t="n">
        <f aca="false">-AA188*Restaurantes!$D$56/60*Restaurantes!$D$57</f>
        <v>-855.661440583055</v>
      </c>
      <c r="AB205" s="28" t="n">
        <f aca="false">-AB188*Restaurantes!$D$56/60*Restaurantes!$D$57</f>
        <v>-855.661440583055</v>
      </c>
      <c r="AC205" s="28" t="n">
        <f aca="false">-AC188*Restaurantes!$D$56/60*Restaurantes!$D$57</f>
        <v>-855.661440583055</v>
      </c>
      <c r="AD205" s="28" t="n">
        <f aca="false">-AD188*Restaurantes!$D$56/60*Restaurantes!$D$57</f>
        <v>-855.661440583055</v>
      </c>
      <c r="AE205" s="28" t="n">
        <f aca="false">-AE188*Restaurantes!$D$56/60*Restaurantes!$D$57</f>
        <v>-128.349216087458</v>
      </c>
      <c r="AF205" s="28" t="n">
        <f aca="false">-AF188*Restaurantes!$D$56/60*Restaurantes!$D$57</f>
        <v>-855.661440583055</v>
      </c>
      <c r="AG205" s="28" t="n">
        <f aca="false">-AG188*Restaurantes!$D$56/60*Restaurantes!$D$57</f>
        <v>-855.661440583055</v>
      </c>
      <c r="AH205" s="28" t="n">
        <f aca="false">-AH188*Restaurantes!$D$56/60*Restaurantes!$D$57</f>
        <v>-855.661440583055</v>
      </c>
      <c r="AI205" s="28" t="n">
        <f aca="false">-AI188*Restaurantes!$D$56/60*Restaurantes!$D$57</f>
        <v>-855.661440583055</v>
      </c>
      <c r="AJ205" s="28" t="n">
        <f aca="false">-AJ188*Restaurantes!$D$56/60*Restaurantes!$D$57</f>
        <v>-855.661440583055</v>
      </c>
      <c r="AK205" s="28" t="n">
        <f aca="false">-AK188*Restaurantes!$D$56/60*Restaurantes!$D$57</f>
        <v>-855.661440583055</v>
      </c>
      <c r="AL205" s="28" t="n">
        <f aca="false">-AL188*Restaurantes!$D$56/60*Restaurantes!$D$57</f>
        <v>-855.661440583055</v>
      </c>
      <c r="AM205" s="28" t="n">
        <f aca="false">-AM188*Restaurantes!$D$56/60*Restaurantes!$D$57</f>
        <v>-855.661440583055</v>
      </c>
      <c r="AN205" s="28" t="n">
        <f aca="false">-AN188*Restaurantes!$D$56/60*Restaurantes!$D$57</f>
        <v>-855.661440583055</v>
      </c>
      <c r="AO205" s="28" t="n">
        <f aca="false">-AO188*Restaurantes!$D$56/60*Restaurantes!$D$57</f>
        <v>-855.661440583055</v>
      </c>
      <c r="AP205" s="28" t="n">
        <f aca="false">-AP188*Restaurantes!$D$56/60*Restaurantes!$D$57</f>
        <v>-855.661440583055</v>
      </c>
      <c r="AQ205" s="28" t="n">
        <f aca="false">-AQ188*Restaurantes!$D$56/60*Restaurantes!$D$57</f>
        <v>-128.349216087458</v>
      </c>
      <c r="AR205" s="28" t="n">
        <f aca="false">-AR188*Restaurantes!$D$56/60*Restaurantes!$D$57</f>
        <v>-855.661440583055</v>
      </c>
      <c r="AS205" s="28" t="n">
        <f aca="false">-AS188*Restaurantes!$D$56/60*Restaurantes!$D$57</f>
        <v>-855.661440583055</v>
      </c>
      <c r="AT205" s="28" t="n">
        <f aca="false">-AT188*Restaurantes!$D$56/60*Restaurantes!$D$57</f>
        <v>-855.661440583055</v>
      </c>
      <c r="AU205" s="28" t="n">
        <f aca="false">-AU188*Restaurantes!$D$56/60*Restaurantes!$D$57</f>
        <v>-855.661440583055</v>
      </c>
      <c r="AV205" s="28" t="n">
        <f aca="false">-AV188*Restaurantes!$D$56/60*Restaurantes!$D$57</f>
        <v>-855.661440583055</v>
      </c>
      <c r="AW205" s="28" t="n">
        <f aca="false">-AW188*Restaurantes!$D$56/60*Restaurantes!$D$57</f>
        <v>-855.661440583055</v>
      </c>
      <c r="AX205" s="28" t="n">
        <f aca="false">-AX188*Restaurantes!$D$56/60*Restaurantes!$D$57</f>
        <v>-855.661440583055</v>
      </c>
      <c r="AY205" s="28" t="n">
        <f aca="false">-AY188*Restaurantes!$D$56/60*Restaurantes!$D$57</f>
        <v>-855.661440583055</v>
      </c>
      <c r="AZ205" s="28" t="n">
        <f aca="false">-AZ188*Restaurantes!$D$56/60*Restaurantes!$D$57</f>
        <v>-855.661440583055</v>
      </c>
      <c r="BA205" s="28" t="n">
        <f aca="false">-BA188*Restaurantes!$D$56/60*Restaurantes!$D$57</f>
        <v>-855.661440583055</v>
      </c>
      <c r="BB205" s="28" t="n">
        <f aca="false">-BB188*Restaurantes!$D$56/60*Restaurantes!$D$57</f>
        <v>-855.661440583055</v>
      </c>
      <c r="BC205" s="28" t="n">
        <f aca="false">-BC188*Restaurantes!$D$56/60*Restaurantes!$D$57</f>
        <v>-128.349216087458</v>
      </c>
      <c r="BD205" s="28" t="n">
        <f aca="false">-BD188*Restaurantes!$D$56/60*Restaurantes!$D$57</f>
        <v>-855.661440583055</v>
      </c>
      <c r="BE205" s="28" t="n">
        <f aca="false">-BE188*Restaurantes!$D$56/60*Restaurantes!$D$57</f>
        <v>-855.661440583055</v>
      </c>
      <c r="BF205" s="28" t="n">
        <f aca="false">-BF188*Restaurantes!$D$56/60*Restaurantes!$D$57</f>
        <v>-855.661440583055</v>
      </c>
      <c r="BG205" s="28" t="n">
        <f aca="false">-BG188*Restaurantes!$D$56/60*Restaurantes!$D$57</f>
        <v>-855.661440583055</v>
      </c>
      <c r="BH205" s="28" t="n">
        <f aca="false">-BH188*Restaurantes!$D$56/60*Restaurantes!$D$57</f>
        <v>-855.661440583055</v>
      </c>
      <c r="BI205" s="28" t="n">
        <f aca="false">-BI188*Restaurantes!$D$56/60*Restaurantes!$D$57</f>
        <v>-855.661440583055</v>
      </c>
      <c r="BJ205" s="28" t="n">
        <f aca="false">-BJ188*Restaurantes!$D$56/60*Restaurantes!$D$57</f>
        <v>-855.661440583055</v>
      </c>
      <c r="BK205" s="28" t="n">
        <f aca="false">-BK188*Restaurantes!$D$56/60*Restaurantes!$D$57</f>
        <v>-855.661440583055</v>
      </c>
      <c r="BL205" s="28" t="n">
        <f aca="false">-BL188*Restaurantes!$D$56/60*Restaurantes!$D$57</f>
        <v>-855.661440583055</v>
      </c>
      <c r="BM205" s="28" t="n">
        <f aca="false">-BM188*Restaurantes!$D$56/60*Restaurantes!$D$57</f>
        <v>-855.661440583055</v>
      </c>
      <c r="BN205" s="28" t="n">
        <f aca="false">-BN188*Restaurantes!$D$56/60*Restaurantes!$D$57</f>
        <v>-855.661440583055</v>
      </c>
      <c r="BO205" s="28" t="n">
        <f aca="false">-BO188*Restaurantes!$D$56/60*Restaurantes!$D$57</f>
        <v>-128.349216087458</v>
      </c>
      <c r="BP205" s="28" t="n">
        <f aca="false">-BP188*Restaurantes!$D$56/60*Restaurantes!$D$57</f>
        <v>-855.661440583055</v>
      </c>
      <c r="BQ205" s="28" t="n">
        <f aca="false">-BQ188*Restaurantes!$D$56/60*Restaurantes!$D$57</f>
        <v>-855.661440583055</v>
      </c>
      <c r="BR205" s="28" t="n">
        <f aca="false">-BR188*Restaurantes!$D$56/60*Restaurantes!$D$57</f>
        <v>-855.661440583055</v>
      </c>
      <c r="BS205" s="28" t="n">
        <f aca="false">-BS188*Restaurantes!$D$56/60*Restaurantes!$D$57</f>
        <v>-855.661440583055</v>
      </c>
      <c r="BT205" s="28" t="n">
        <f aca="false">-BT188*Restaurantes!$D$56/60*Restaurantes!$D$57</f>
        <v>-855.661440583055</v>
      </c>
      <c r="BU205" s="28" t="n">
        <f aca="false">-BU188*Restaurantes!$D$56/60*Restaurantes!$D$57</f>
        <v>-855.661440583055</v>
      </c>
      <c r="BV205" s="28" t="n">
        <f aca="false">-BV188*Restaurantes!$D$56/60*Restaurantes!$D$57</f>
        <v>-855.661440583055</v>
      </c>
      <c r="BW205" s="28" t="n">
        <f aca="false">-BW188*Restaurantes!$D$56/60*Restaurantes!$D$57</f>
        <v>-855.661440583055</v>
      </c>
      <c r="BX205" s="28" t="n">
        <f aca="false">-BX188*Restaurantes!$D$56/60*Restaurantes!$D$57</f>
        <v>-855.661440583055</v>
      </c>
      <c r="BY205" s="28" t="n">
        <f aca="false">-BY188*Restaurantes!$D$56/60*Restaurantes!$D$57</f>
        <v>-855.661440583055</v>
      </c>
      <c r="BZ205" s="28" t="n">
        <f aca="false">-BZ188*Restaurantes!$D$56/60*Restaurantes!$D$57</f>
        <v>-855.661440583055</v>
      </c>
      <c r="CA205" s="28" t="n">
        <f aca="false">-CA188*Restaurantes!$D$56/60*Restaurantes!$D$57</f>
        <v>-128.349216087458</v>
      </c>
      <c r="CB205" s="28" t="n">
        <f aca="false">-CB188*Restaurantes!$D$56/60*Restaurantes!$D$57</f>
        <v>-855.661440583055</v>
      </c>
      <c r="CC205" s="28" t="n">
        <f aca="false">-CC188*Restaurantes!$D$56/60*Restaurantes!$D$57</f>
        <v>-855.661440583055</v>
      </c>
      <c r="CD205" s="28" t="n">
        <f aca="false">-CD188*Restaurantes!$D$56/60*Restaurantes!$D$57</f>
        <v>-855.661440583055</v>
      </c>
      <c r="CE205" s="28" t="n">
        <f aca="false">-CE188*Restaurantes!$D$56/60*Restaurantes!$D$57</f>
        <v>-855.661440583055</v>
      </c>
      <c r="CF205" s="28" t="n">
        <f aca="false">-CF188*Restaurantes!$D$56/60*Restaurantes!$D$57</f>
        <v>-855.661440583055</v>
      </c>
      <c r="CG205" s="28" t="n">
        <f aca="false">-CG188*Restaurantes!$D$56/60*Restaurantes!$D$57</f>
        <v>-855.661440583055</v>
      </c>
      <c r="CH205" s="28" t="n">
        <f aca="false">-CH188*Restaurantes!$D$56/60*Restaurantes!$D$57</f>
        <v>-855.661440583055</v>
      </c>
    </row>
    <row r="206" customFormat="false" ht="15" hidden="false" customHeight="false" outlineLevel="0" collapsed="false">
      <c r="A206" s="1" t="s">
        <v>867</v>
      </c>
      <c r="C206" s="28" t="n">
        <f aca="false">-C188*Restaurantes!$D$58</f>
        <v>-6.68485500455512</v>
      </c>
      <c r="D206" s="28" t="n">
        <f aca="false">-D188*Restaurantes!$D$58</f>
        <v>-13.3697100091102</v>
      </c>
      <c r="E206" s="28" t="n">
        <f aca="false">-E188*Restaurantes!$D$58</f>
        <v>-20.0545650136654</v>
      </c>
      <c r="F206" s="28" t="n">
        <f aca="false">-F188*Restaurantes!$D$58</f>
        <v>-26.7394200182205</v>
      </c>
      <c r="G206" s="28" t="n">
        <f aca="false">-G188*Restaurantes!$D$58</f>
        <v>-5.01364125341634</v>
      </c>
      <c r="H206" s="28" t="n">
        <f aca="false">-H188*Restaurantes!$D$58</f>
        <v>-40.1091300273307</v>
      </c>
      <c r="I206" s="28" t="n">
        <f aca="false">-I188*Restaurantes!$D$58</f>
        <v>-46.7939850318858</v>
      </c>
      <c r="J206" s="28" t="n">
        <f aca="false">-J188*Restaurantes!$D$58</f>
        <v>-53.4788400364409</v>
      </c>
      <c r="K206" s="28" t="n">
        <f aca="false">-K188*Restaurantes!$D$58</f>
        <v>-60.1636950409961</v>
      </c>
      <c r="L206" s="28" t="n">
        <f aca="false">-L188*Restaurantes!$D$58</f>
        <v>-66.8485500455512</v>
      </c>
      <c r="M206" s="28" t="n">
        <f aca="false">-M188*Restaurantes!$D$58</f>
        <v>-73.5334050501063</v>
      </c>
      <c r="N206" s="28" t="n">
        <f aca="false">-N188*Restaurantes!$D$58</f>
        <v>-80.2182600546614</v>
      </c>
      <c r="O206" s="28" t="n">
        <f aca="false">-O188*Restaurantes!$D$58</f>
        <v>-86.9031150592165</v>
      </c>
      <c r="P206" s="28" t="n">
        <f aca="false">-P188*Restaurantes!$D$58</f>
        <v>-93.5879700637717</v>
      </c>
      <c r="Q206" s="28" t="n">
        <f aca="false">-Q188*Restaurantes!$D$58</f>
        <v>-100.272825068327</v>
      </c>
      <c r="R206" s="28" t="n">
        <f aca="false">-R188*Restaurantes!$D$58</f>
        <v>-106.957680072882</v>
      </c>
      <c r="S206" s="28" t="n">
        <f aca="false">-S188*Restaurantes!$D$58</f>
        <v>-17.0463802616155</v>
      </c>
      <c r="T206" s="28" t="n">
        <f aca="false">-T188*Restaurantes!$D$58</f>
        <v>-120.327390081992</v>
      </c>
      <c r="U206" s="28" t="n">
        <f aca="false">-U188*Restaurantes!$D$58</f>
        <v>-127.012245086547</v>
      </c>
      <c r="V206" s="28" t="n">
        <f aca="false">-V188*Restaurantes!$D$58</f>
        <v>-133.697100091102</v>
      </c>
      <c r="W206" s="28" t="n">
        <f aca="false">-W188*Restaurantes!$D$58</f>
        <v>-140.381955095657</v>
      </c>
      <c r="X206" s="28" t="n">
        <f aca="false">-X188*Restaurantes!$D$58</f>
        <v>-147.066810100213</v>
      </c>
      <c r="Y206" s="28" t="n">
        <f aca="false">-Y188*Restaurantes!$D$58</f>
        <v>-153.751665104768</v>
      </c>
      <c r="Z206" s="28" t="n">
        <f aca="false">-Z188*Restaurantes!$D$58</f>
        <v>-160.436520109323</v>
      </c>
      <c r="AA206" s="28" t="n">
        <f aca="false">-AA188*Restaurantes!$D$58</f>
        <v>-160.436520109323</v>
      </c>
      <c r="AB206" s="28" t="n">
        <f aca="false">-AB188*Restaurantes!$D$58</f>
        <v>-160.436520109323</v>
      </c>
      <c r="AC206" s="28" t="n">
        <f aca="false">-AC188*Restaurantes!$D$58</f>
        <v>-160.436520109323</v>
      </c>
      <c r="AD206" s="28" t="n">
        <f aca="false">-AD188*Restaurantes!$D$58</f>
        <v>-160.436520109323</v>
      </c>
      <c r="AE206" s="28" t="n">
        <f aca="false">-AE188*Restaurantes!$D$58</f>
        <v>-24.0654780163984</v>
      </c>
      <c r="AF206" s="28" t="n">
        <f aca="false">-AF188*Restaurantes!$D$58</f>
        <v>-160.436520109323</v>
      </c>
      <c r="AG206" s="28" t="n">
        <f aca="false">-AG188*Restaurantes!$D$58</f>
        <v>-160.436520109323</v>
      </c>
      <c r="AH206" s="28" t="n">
        <f aca="false">-AH188*Restaurantes!$D$58</f>
        <v>-160.436520109323</v>
      </c>
      <c r="AI206" s="28" t="n">
        <f aca="false">-AI188*Restaurantes!$D$58</f>
        <v>-160.436520109323</v>
      </c>
      <c r="AJ206" s="28" t="n">
        <f aca="false">-AJ188*Restaurantes!$D$58</f>
        <v>-160.436520109323</v>
      </c>
      <c r="AK206" s="28" t="n">
        <f aca="false">-AK188*Restaurantes!$D$58</f>
        <v>-160.436520109323</v>
      </c>
      <c r="AL206" s="28" t="n">
        <f aca="false">-AL188*Restaurantes!$D$58</f>
        <v>-160.436520109323</v>
      </c>
      <c r="AM206" s="28" t="n">
        <f aca="false">-AM188*Restaurantes!$D$58</f>
        <v>-160.436520109323</v>
      </c>
      <c r="AN206" s="28" t="n">
        <f aca="false">-AN188*Restaurantes!$D$58</f>
        <v>-160.436520109323</v>
      </c>
      <c r="AO206" s="28" t="n">
        <f aca="false">-AO188*Restaurantes!$D$58</f>
        <v>-160.436520109323</v>
      </c>
      <c r="AP206" s="28" t="n">
        <f aca="false">-AP188*Restaurantes!$D$58</f>
        <v>-160.436520109323</v>
      </c>
      <c r="AQ206" s="28" t="n">
        <f aca="false">-AQ188*Restaurantes!$D$58</f>
        <v>-24.0654780163984</v>
      </c>
      <c r="AR206" s="28" t="n">
        <f aca="false">-AR188*Restaurantes!$D$58</f>
        <v>-160.436520109323</v>
      </c>
      <c r="AS206" s="28" t="n">
        <f aca="false">-AS188*Restaurantes!$D$58</f>
        <v>-160.436520109323</v>
      </c>
      <c r="AT206" s="28" t="n">
        <f aca="false">-AT188*Restaurantes!$D$58</f>
        <v>-160.436520109323</v>
      </c>
      <c r="AU206" s="28" t="n">
        <f aca="false">-AU188*Restaurantes!$D$58</f>
        <v>-160.436520109323</v>
      </c>
      <c r="AV206" s="28" t="n">
        <f aca="false">-AV188*Restaurantes!$D$58</f>
        <v>-160.436520109323</v>
      </c>
      <c r="AW206" s="28" t="n">
        <f aca="false">-AW188*Restaurantes!$D$58</f>
        <v>-160.436520109323</v>
      </c>
      <c r="AX206" s="28" t="n">
        <f aca="false">-AX188*Restaurantes!$D$58</f>
        <v>-160.436520109323</v>
      </c>
      <c r="AY206" s="28" t="n">
        <f aca="false">-AY188*Restaurantes!$D$58</f>
        <v>-160.436520109323</v>
      </c>
      <c r="AZ206" s="28" t="n">
        <f aca="false">-AZ188*Restaurantes!$D$58</f>
        <v>-160.436520109323</v>
      </c>
      <c r="BA206" s="28" t="n">
        <f aca="false">-BA188*Restaurantes!$D$58</f>
        <v>-160.436520109323</v>
      </c>
      <c r="BB206" s="28" t="n">
        <f aca="false">-BB188*Restaurantes!$D$58</f>
        <v>-160.436520109323</v>
      </c>
      <c r="BC206" s="28" t="n">
        <f aca="false">-BC188*Restaurantes!$D$58</f>
        <v>-24.0654780163984</v>
      </c>
      <c r="BD206" s="28" t="n">
        <f aca="false">-BD188*Restaurantes!$D$58</f>
        <v>-160.436520109323</v>
      </c>
      <c r="BE206" s="28" t="n">
        <f aca="false">-BE188*Restaurantes!$D$58</f>
        <v>-160.436520109323</v>
      </c>
      <c r="BF206" s="28" t="n">
        <f aca="false">-BF188*Restaurantes!$D$58</f>
        <v>-160.436520109323</v>
      </c>
      <c r="BG206" s="28" t="n">
        <f aca="false">-BG188*Restaurantes!$D$58</f>
        <v>-160.436520109323</v>
      </c>
      <c r="BH206" s="28" t="n">
        <f aca="false">-BH188*Restaurantes!$D$58</f>
        <v>-160.436520109323</v>
      </c>
      <c r="BI206" s="28" t="n">
        <f aca="false">-BI188*Restaurantes!$D$58</f>
        <v>-160.436520109323</v>
      </c>
      <c r="BJ206" s="28" t="n">
        <f aca="false">-BJ188*Restaurantes!$D$58</f>
        <v>-160.436520109323</v>
      </c>
      <c r="BK206" s="28" t="n">
        <f aca="false">-BK188*Restaurantes!$D$58</f>
        <v>-160.436520109323</v>
      </c>
      <c r="BL206" s="28" t="n">
        <f aca="false">-BL188*Restaurantes!$D$58</f>
        <v>-160.436520109323</v>
      </c>
      <c r="BM206" s="28" t="n">
        <f aca="false">-BM188*Restaurantes!$D$58</f>
        <v>-160.436520109323</v>
      </c>
      <c r="BN206" s="28" t="n">
        <f aca="false">-BN188*Restaurantes!$D$58</f>
        <v>-160.436520109323</v>
      </c>
      <c r="BO206" s="28" t="n">
        <f aca="false">-BO188*Restaurantes!$D$58</f>
        <v>-24.0654780163984</v>
      </c>
      <c r="BP206" s="28" t="n">
        <f aca="false">-BP188*Restaurantes!$D$58</f>
        <v>-160.436520109323</v>
      </c>
      <c r="BQ206" s="28" t="n">
        <f aca="false">-BQ188*Restaurantes!$D$58</f>
        <v>-160.436520109323</v>
      </c>
      <c r="BR206" s="28" t="n">
        <f aca="false">-BR188*Restaurantes!$D$58</f>
        <v>-160.436520109323</v>
      </c>
      <c r="BS206" s="28" t="n">
        <f aca="false">-BS188*Restaurantes!$D$58</f>
        <v>-160.436520109323</v>
      </c>
      <c r="BT206" s="28" t="n">
        <f aca="false">-BT188*Restaurantes!$D$58</f>
        <v>-160.436520109323</v>
      </c>
      <c r="BU206" s="28" t="n">
        <f aca="false">-BU188*Restaurantes!$D$58</f>
        <v>-160.436520109323</v>
      </c>
      <c r="BV206" s="28" t="n">
        <f aca="false">-BV188*Restaurantes!$D$58</f>
        <v>-160.436520109323</v>
      </c>
      <c r="BW206" s="28" t="n">
        <f aca="false">-BW188*Restaurantes!$D$58</f>
        <v>-160.436520109323</v>
      </c>
      <c r="BX206" s="28" t="n">
        <f aca="false">-BX188*Restaurantes!$D$58</f>
        <v>-160.436520109323</v>
      </c>
      <c r="BY206" s="28" t="n">
        <f aca="false">-BY188*Restaurantes!$D$58</f>
        <v>-160.436520109323</v>
      </c>
      <c r="BZ206" s="28" t="n">
        <f aca="false">-BZ188*Restaurantes!$D$58</f>
        <v>-160.436520109323</v>
      </c>
      <c r="CA206" s="28" t="n">
        <f aca="false">-CA188*Restaurantes!$D$58</f>
        <v>-24.0654780163984</v>
      </c>
      <c r="CB206" s="28" t="n">
        <f aca="false">-CB188*Restaurantes!$D$58</f>
        <v>-160.436520109323</v>
      </c>
      <c r="CC206" s="28" t="n">
        <f aca="false">-CC188*Restaurantes!$D$58</f>
        <v>-160.436520109323</v>
      </c>
      <c r="CD206" s="28" t="n">
        <f aca="false">-CD188*Restaurantes!$D$58</f>
        <v>-160.436520109323</v>
      </c>
      <c r="CE206" s="28" t="n">
        <f aca="false">-CE188*Restaurantes!$D$58</f>
        <v>-160.436520109323</v>
      </c>
      <c r="CF206" s="28" t="n">
        <f aca="false">-CF188*Restaurantes!$D$58</f>
        <v>-160.436520109323</v>
      </c>
      <c r="CG206" s="28" t="n">
        <f aca="false">-CG188*Restaurantes!$D$58</f>
        <v>-160.436520109323</v>
      </c>
      <c r="CH206" s="28" t="n">
        <f aca="false">-CH188*Restaurantes!$D$58</f>
        <v>-160.436520109323</v>
      </c>
    </row>
    <row r="207" customFormat="false" ht="15" hidden="false" customHeight="false" outlineLevel="0" collapsed="false">
      <c r="A207" s="25" t="s">
        <v>868</v>
      </c>
      <c r="C207" s="156" t="n">
        <f aca="false">SUM(C202:C206)</f>
        <v>-1983.41241502885</v>
      </c>
      <c r="D207" s="156" t="n">
        <f aca="false">SUM(D202:D206)</f>
        <v>-2025.7498300577</v>
      </c>
      <c r="E207" s="156" t="n">
        <f aca="false">SUM(E202:E206)</f>
        <v>-2068.08724508655</v>
      </c>
      <c r="F207" s="156" t="n">
        <f aca="false">SUM(F202:F206)</f>
        <v>-2110.4246601154</v>
      </c>
      <c r="G207" s="156" t="n">
        <f aca="false">SUM(G202:G206)</f>
        <v>-1972.82806127164</v>
      </c>
      <c r="H207" s="156" t="n">
        <f aca="false">SUM(H202:H206)</f>
        <v>-2195.09949017309</v>
      </c>
      <c r="I207" s="156" t="n">
        <f aca="false">SUM(I202:I206)</f>
        <v>-2237.43690520194</v>
      </c>
      <c r="J207" s="156" t="n">
        <f aca="false">SUM(J202:J206)</f>
        <v>-2294.68997792894</v>
      </c>
      <c r="K207" s="156" t="n">
        <f aca="false">SUM(K202:K206)</f>
        <v>-2438.89185017006</v>
      </c>
      <c r="L207" s="156" t="n">
        <f aca="false">SUM(L202:L206)</f>
        <v>-2583.09372241118</v>
      </c>
      <c r="M207" s="156" t="n">
        <f aca="false">SUM(M202:M206)</f>
        <v>-2727.29559465229</v>
      </c>
      <c r="N207" s="156" t="n">
        <f aca="false">SUM(N202:N206)</f>
        <v>-2871.49746689341</v>
      </c>
      <c r="O207" s="156" t="n">
        <f aca="false">SUM(O202:O206)</f>
        <v>-3015.69933913453</v>
      </c>
      <c r="P207" s="156" t="n">
        <f aca="false">SUM(P202:P206)</f>
        <v>-3159.90121137565</v>
      </c>
      <c r="Q207" s="156" t="n">
        <f aca="false">SUM(Q202:Q206)</f>
        <v>-3304.10308361676</v>
      </c>
      <c r="R207" s="156" t="n">
        <f aca="false">SUM(R202:R206)</f>
        <v>-3448.30495585788</v>
      </c>
      <c r="S207" s="156" t="n">
        <f aca="false">SUM(S202:S206)</f>
        <v>-2049.03540832357</v>
      </c>
      <c r="T207" s="156" t="n">
        <f aca="false">SUM(T202:T206)</f>
        <v>-3736.70870034012</v>
      </c>
      <c r="U207" s="156" t="n">
        <f aca="false">SUM(U202:U206)</f>
        <v>-3880.91057258123</v>
      </c>
      <c r="V207" s="156" t="n">
        <f aca="false">SUM(V202:V206)</f>
        <v>-4025.11244482235</v>
      </c>
      <c r="W207" s="156" t="n">
        <f aca="false">SUM(W202:W206)</f>
        <v>-4169.31431706347</v>
      </c>
      <c r="X207" s="156" t="n">
        <f aca="false">SUM(X202:X206)</f>
        <v>-4313.51618930459</v>
      </c>
      <c r="Y207" s="156" t="n">
        <f aca="false">SUM(Y202:Y206)</f>
        <v>-4457.7180615457</v>
      </c>
      <c r="Z207" s="156" t="n">
        <f aca="false">SUM(Z202:Z206)</f>
        <v>-4601.91993378682</v>
      </c>
      <c r="AA207" s="156" t="n">
        <f aca="false">SUM(AA202:AA206)</f>
        <v>-4601.91993378682</v>
      </c>
      <c r="AB207" s="156" t="n">
        <f aca="false">SUM(AB202:AB206)</f>
        <v>-4601.91993378682</v>
      </c>
      <c r="AC207" s="156" t="n">
        <f aca="false">SUM(AC202:AC206)</f>
        <v>-4601.91993378682</v>
      </c>
      <c r="AD207" s="156" t="n">
        <f aca="false">SUM(AD202:AD206)</f>
        <v>-4601.91993378682</v>
      </c>
      <c r="AE207" s="156" t="n">
        <f aca="false">SUM(AE202:AE206)</f>
        <v>-2093.48969410386</v>
      </c>
      <c r="AF207" s="156" t="n">
        <f aca="false">SUM(AF202:AF206)</f>
        <v>-4601.91993378682</v>
      </c>
      <c r="AG207" s="156" t="n">
        <f aca="false">SUM(AG202:AG206)</f>
        <v>-4601.91993378682</v>
      </c>
      <c r="AH207" s="156" t="n">
        <f aca="false">SUM(AH202:AH206)</f>
        <v>-4601.91993378682</v>
      </c>
      <c r="AI207" s="156" t="n">
        <f aca="false">SUM(AI202:AI206)</f>
        <v>-4601.91993378682</v>
      </c>
      <c r="AJ207" s="156" t="n">
        <f aca="false">SUM(AJ202:AJ206)</f>
        <v>-4601.91993378682</v>
      </c>
      <c r="AK207" s="156" t="n">
        <f aca="false">SUM(AK202:AK206)</f>
        <v>-4601.91993378682</v>
      </c>
      <c r="AL207" s="156" t="n">
        <f aca="false">SUM(AL202:AL206)</f>
        <v>-4601.91993378682</v>
      </c>
      <c r="AM207" s="156" t="n">
        <f aca="false">SUM(AM202:AM206)</f>
        <v>-4601.91993378682</v>
      </c>
      <c r="AN207" s="156" t="n">
        <f aca="false">SUM(AN202:AN206)</f>
        <v>-4601.91993378682</v>
      </c>
      <c r="AO207" s="156" t="n">
        <f aca="false">SUM(AO202:AO206)</f>
        <v>-4601.91993378682</v>
      </c>
      <c r="AP207" s="156" t="n">
        <f aca="false">SUM(AP202:AP206)</f>
        <v>-4601.91993378682</v>
      </c>
      <c r="AQ207" s="156" t="n">
        <f aca="false">SUM(AQ202:AQ206)</f>
        <v>-2093.48969410386</v>
      </c>
      <c r="AR207" s="156" t="n">
        <f aca="false">SUM(AR202:AR206)</f>
        <v>-4601.91993378682</v>
      </c>
      <c r="AS207" s="156" t="n">
        <f aca="false">SUM(AS202:AS206)</f>
        <v>-4601.91993378682</v>
      </c>
      <c r="AT207" s="156" t="n">
        <f aca="false">SUM(AT202:AT206)</f>
        <v>-4601.91993378682</v>
      </c>
      <c r="AU207" s="156" t="n">
        <f aca="false">SUM(AU202:AU206)</f>
        <v>-4601.91993378682</v>
      </c>
      <c r="AV207" s="156" t="n">
        <f aca="false">SUM(AV202:AV206)</f>
        <v>-4601.91993378682</v>
      </c>
      <c r="AW207" s="156" t="n">
        <f aca="false">SUM(AW202:AW206)</f>
        <v>-4601.91993378682</v>
      </c>
      <c r="AX207" s="156" t="n">
        <f aca="false">SUM(AX202:AX206)</f>
        <v>-4601.91993378682</v>
      </c>
      <c r="AY207" s="156" t="n">
        <f aca="false">SUM(AY202:AY206)</f>
        <v>-4601.91993378682</v>
      </c>
      <c r="AZ207" s="156" t="n">
        <f aca="false">SUM(AZ202:AZ206)</f>
        <v>-4601.91993378682</v>
      </c>
      <c r="BA207" s="156" t="n">
        <f aca="false">SUM(BA202:BA206)</f>
        <v>-4601.91993378682</v>
      </c>
      <c r="BB207" s="156" t="n">
        <f aca="false">SUM(BB202:BB206)</f>
        <v>-4601.91993378682</v>
      </c>
      <c r="BC207" s="156" t="n">
        <f aca="false">SUM(BC202:BC206)</f>
        <v>-2093.48969410386</v>
      </c>
      <c r="BD207" s="156" t="n">
        <f aca="false">SUM(BD202:BD206)</f>
        <v>-4601.91993378682</v>
      </c>
      <c r="BE207" s="156" t="n">
        <f aca="false">SUM(BE202:BE206)</f>
        <v>-4601.91993378682</v>
      </c>
      <c r="BF207" s="156" t="n">
        <f aca="false">SUM(BF202:BF206)</f>
        <v>-4601.91993378682</v>
      </c>
      <c r="BG207" s="156" t="n">
        <f aca="false">SUM(BG202:BG206)</f>
        <v>-4601.91993378682</v>
      </c>
      <c r="BH207" s="156" t="n">
        <f aca="false">SUM(BH202:BH206)</f>
        <v>-4601.91993378682</v>
      </c>
      <c r="BI207" s="156" t="n">
        <f aca="false">SUM(BI202:BI206)</f>
        <v>-4601.91993378682</v>
      </c>
      <c r="BJ207" s="156" t="n">
        <f aca="false">SUM(BJ202:BJ206)</f>
        <v>-4601.91993378682</v>
      </c>
      <c r="BK207" s="156" t="n">
        <f aca="false">SUM(BK202:BK206)</f>
        <v>-4601.91993378682</v>
      </c>
      <c r="BL207" s="156" t="n">
        <f aca="false">SUM(BL202:BL206)</f>
        <v>-4601.91993378682</v>
      </c>
      <c r="BM207" s="156" t="n">
        <f aca="false">SUM(BM202:BM206)</f>
        <v>-4601.91993378682</v>
      </c>
      <c r="BN207" s="156" t="n">
        <f aca="false">SUM(BN202:BN206)</f>
        <v>-4601.91993378682</v>
      </c>
      <c r="BO207" s="156" t="n">
        <f aca="false">SUM(BO202:BO206)</f>
        <v>-2093.48969410386</v>
      </c>
      <c r="BP207" s="156" t="n">
        <f aca="false">SUM(BP202:BP206)</f>
        <v>-4601.91993378682</v>
      </c>
      <c r="BQ207" s="156" t="n">
        <f aca="false">SUM(BQ202:BQ206)</f>
        <v>-4601.91993378682</v>
      </c>
      <c r="BR207" s="156" t="n">
        <f aca="false">SUM(BR202:BR206)</f>
        <v>-4601.91993378682</v>
      </c>
      <c r="BS207" s="156" t="n">
        <f aca="false">SUM(BS202:BS206)</f>
        <v>-4601.91993378682</v>
      </c>
      <c r="BT207" s="156" t="n">
        <f aca="false">SUM(BT202:BT206)</f>
        <v>-4601.91993378682</v>
      </c>
      <c r="BU207" s="156" t="n">
        <f aca="false">SUM(BU202:BU206)</f>
        <v>-4601.91993378682</v>
      </c>
      <c r="BV207" s="156" t="n">
        <f aca="false">SUM(BV202:BV206)</f>
        <v>-4601.91993378682</v>
      </c>
      <c r="BW207" s="156" t="n">
        <f aca="false">SUM(BW202:BW206)</f>
        <v>-4601.91993378682</v>
      </c>
      <c r="BX207" s="156" t="n">
        <f aca="false">SUM(BX202:BX206)</f>
        <v>-4601.91993378682</v>
      </c>
      <c r="BY207" s="156" t="n">
        <f aca="false">SUM(BY202:BY206)</f>
        <v>-4601.91993378682</v>
      </c>
      <c r="BZ207" s="156" t="n">
        <f aca="false">SUM(BZ202:BZ206)</f>
        <v>-4601.91993378682</v>
      </c>
      <c r="CA207" s="156" t="n">
        <f aca="false">SUM(CA202:CA206)</f>
        <v>-2093.48969410386</v>
      </c>
      <c r="CB207" s="156" t="n">
        <f aca="false">SUM(CB202:CB206)</f>
        <v>-4601.91993378682</v>
      </c>
      <c r="CC207" s="156" t="n">
        <f aca="false">SUM(CC202:CC206)</f>
        <v>-4601.91993378682</v>
      </c>
      <c r="CD207" s="156" t="n">
        <f aca="false">SUM(CD202:CD206)</f>
        <v>-4601.91993378682</v>
      </c>
      <c r="CE207" s="156" t="n">
        <f aca="false">SUM(CE202:CE206)</f>
        <v>-4601.91993378682</v>
      </c>
      <c r="CF207" s="156" t="n">
        <f aca="false">SUM(CF202:CF206)</f>
        <v>-4601.91993378682</v>
      </c>
      <c r="CG207" s="156" t="n">
        <f aca="false">SUM(CG202:CG206)</f>
        <v>-4601.91993378682</v>
      </c>
      <c r="CH207" s="156" t="n">
        <f aca="false">SUM(CH202:CH206)</f>
        <v>-4601.91993378682</v>
      </c>
    </row>
    <row r="208" customFormat="false" ht="15" hidden="false" customHeight="false" outlineLevel="0" collapsed="false">
      <c r="A208" s="1" t="s">
        <v>869</v>
      </c>
      <c r="C208" s="29" t="n">
        <f aca="false">IFERROR(-C207/C188,0)</f>
        <v>44.5053575659607</v>
      </c>
      <c r="D208" s="29" t="n">
        <f aca="false">IFERROR(-D207/D188,0)</f>
        <v>22.7276787829803</v>
      </c>
      <c r="E208" s="29" t="n">
        <f aca="false">IFERROR(-E207/E188,0)</f>
        <v>15.4684525219869</v>
      </c>
      <c r="F208" s="29" t="n">
        <f aca="false">IFERROR(-F207/F188,0)</f>
        <v>11.8388393914902</v>
      </c>
      <c r="G208" s="29" t="n">
        <f aca="false">IFERROR(-G207/G188,0)</f>
        <v>59.0238100879476</v>
      </c>
      <c r="H208" s="29" t="n">
        <f aca="false">IFERROR(-H207/H188,0)</f>
        <v>8.20922626099345</v>
      </c>
      <c r="I208" s="29" t="n">
        <f aca="false">IFERROR(-I207/I188,0)</f>
        <v>7.17219393799439</v>
      </c>
      <c r="J208" s="29" t="n">
        <f aca="false">IFERROR(-J207/J188,0)</f>
        <v>6.43625584352237</v>
      </c>
      <c r="K208" s="29" t="n">
        <f aca="false">IFERROR(-K207/K188,0)</f>
        <v>6.08064011487703</v>
      </c>
      <c r="L208" s="29" t="n">
        <f aca="false">IFERROR(-L207/L188,0)</f>
        <v>5.79614753196075</v>
      </c>
      <c r="M208" s="29" t="n">
        <f aca="false">IFERROR(-M207/M188,0)</f>
        <v>5.56338087321107</v>
      </c>
      <c r="N208" s="29" t="n">
        <f aca="false">IFERROR(-N207/N188,0)</f>
        <v>5.36940865758634</v>
      </c>
      <c r="O208" s="29" t="n">
        <f aca="false">IFERROR(-O207/O188,0)</f>
        <v>5.20527832128849</v>
      </c>
      <c r="P208" s="29" t="n">
        <f aca="false">IFERROR(-P207/P188,0)</f>
        <v>5.06459517589033</v>
      </c>
      <c r="Q208" s="29" t="n">
        <f aca="false">IFERROR(-Q207/Q188,0)</f>
        <v>4.94266978321193</v>
      </c>
      <c r="R208" s="29" t="n">
        <f aca="false">IFERROR(-R207/R188,0)</f>
        <v>4.83598506461833</v>
      </c>
      <c r="S208" s="29" t="n">
        <f aca="false">IFERROR(-S207/S188,0)</f>
        <v>18.0305323788081</v>
      </c>
      <c r="T208" s="29" t="n">
        <f aca="false">IFERROR(-T207/T188,0)</f>
        <v>4.65817720029566</v>
      </c>
      <c r="U208" s="29" t="n">
        <f aca="false">IFERROR(-U207/U188,0)</f>
        <v>4.58331073110716</v>
      </c>
      <c r="V208" s="29" t="n">
        <f aca="false">IFERROR(-V207/V188,0)</f>
        <v>4.51593090883752</v>
      </c>
      <c r="W208" s="29" t="n">
        <f aca="false">IFERROR(-W207/W188,0)</f>
        <v>4.45496821249832</v>
      </c>
      <c r="X208" s="29" t="n">
        <f aca="false">IFERROR(-X207/X188,0)</f>
        <v>4.39954757946268</v>
      </c>
      <c r="Y208" s="29" t="n">
        <f aca="false">IFERROR(-Y207/Y188,0)</f>
        <v>4.3489461319084</v>
      </c>
      <c r="Z208" s="29" t="n">
        <f aca="false">IFERROR(-Z207/Z188,0)</f>
        <v>4.30256147165031</v>
      </c>
      <c r="AA208" s="29" t="n">
        <f aca="false">IFERROR(-AA207/AA188,0)</f>
        <v>4.30256147165031</v>
      </c>
      <c r="AB208" s="29" t="n">
        <f aca="false">IFERROR(-AB207/AB188,0)</f>
        <v>4.30256147165031</v>
      </c>
      <c r="AC208" s="29" t="n">
        <f aca="false">IFERROR(-AC207/AC188,0)</f>
        <v>4.30256147165031</v>
      </c>
      <c r="AD208" s="29" t="n">
        <f aca="false">IFERROR(-AD207/AD188,0)</f>
        <v>4.30256147165031</v>
      </c>
      <c r="AE208" s="29" t="n">
        <f aca="false">IFERROR(-AE207/AE188,0)</f>
        <v>13.0487104349891</v>
      </c>
      <c r="AF208" s="29" t="n">
        <f aca="false">IFERROR(-AF207/AF188,0)</f>
        <v>4.30256147165031</v>
      </c>
      <c r="AG208" s="29" t="n">
        <f aca="false">IFERROR(-AG207/AG188,0)</f>
        <v>4.30256147165031</v>
      </c>
      <c r="AH208" s="29" t="n">
        <f aca="false">IFERROR(-AH207/AH188,0)</f>
        <v>4.30256147165031</v>
      </c>
      <c r="AI208" s="29" t="n">
        <f aca="false">IFERROR(-AI207/AI188,0)</f>
        <v>4.30256147165031</v>
      </c>
      <c r="AJ208" s="29" t="n">
        <f aca="false">IFERROR(-AJ207/AJ188,0)</f>
        <v>4.30256147165031</v>
      </c>
      <c r="AK208" s="29" t="n">
        <f aca="false">IFERROR(-AK207/AK188,0)</f>
        <v>4.30256147165031</v>
      </c>
      <c r="AL208" s="29" t="n">
        <f aca="false">IFERROR(-AL207/AL188,0)</f>
        <v>4.30256147165031</v>
      </c>
      <c r="AM208" s="29" t="n">
        <f aca="false">IFERROR(-AM207/AM188,0)</f>
        <v>4.30256147165031</v>
      </c>
      <c r="AN208" s="29" t="n">
        <f aca="false">IFERROR(-AN207/AN188,0)</f>
        <v>4.30256147165031</v>
      </c>
      <c r="AO208" s="29" t="n">
        <f aca="false">IFERROR(-AO207/AO188,0)</f>
        <v>4.30256147165031</v>
      </c>
      <c r="AP208" s="29" t="n">
        <f aca="false">IFERROR(-AP207/AP188,0)</f>
        <v>4.30256147165031</v>
      </c>
      <c r="AQ208" s="29" t="n">
        <f aca="false">IFERROR(-AQ207/AQ188,0)</f>
        <v>13.0487104349891</v>
      </c>
      <c r="AR208" s="29" t="n">
        <f aca="false">IFERROR(-AR207/AR188,0)</f>
        <v>4.30256147165031</v>
      </c>
      <c r="AS208" s="29" t="n">
        <f aca="false">IFERROR(-AS207/AS188,0)</f>
        <v>4.30256147165031</v>
      </c>
      <c r="AT208" s="29" t="n">
        <f aca="false">IFERROR(-AT207/AT188,0)</f>
        <v>4.30256147165031</v>
      </c>
      <c r="AU208" s="29" t="n">
        <f aca="false">IFERROR(-AU207/AU188,0)</f>
        <v>4.30256147165031</v>
      </c>
      <c r="AV208" s="29" t="n">
        <f aca="false">IFERROR(-AV207/AV188,0)</f>
        <v>4.30256147165031</v>
      </c>
      <c r="AW208" s="29" t="n">
        <f aca="false">IFERROR(-AW207/AW188,0)</f>
        <v>4.30256147165031</v>
      </c>
      <c r="AX208" s="29" t="n">
        <f aca="false">IFERROR(-AX207/AX188,0)</f>
        <v>4.30256147165031</v>
      </c>
      <c r="AY208" s="29" t="n">
        <f aca="false">IFERROR(-AY207/AY188,0)</f>
        <v>4.30256147165031</v>
      </c>
      <c r="AZ208" s="29" t="n">
        <f aca="false">IFERROR(-AZ207/AZ188,0)</f>
        <v>4.30256147165031</v>
      </c>
      <c r="BA208" s="29" t="n">
        <f aca="false">IFERROR(-BA207/BA188,0)</f>
        <v>4.30256147165031</v>
      </c>
      <c r="BB208" s="29" t="n">
        <f aca="false">IFERROR(-BB207/BB188,0)</f>
        <v>4.30256147165031</v>
      </c>
      <c r="BC208" s="29" t="n">
        <f aca="false">IFERROR(-BC207/BC188,0)</f>
        <v>13.0487104349891</v>
      </c>
      <c r="BD208" s="29" t="n">
        <f aca="false">IFERROR(-BD207/BD188,0)</f>
        <v>4.30256147165031</v>
      </c>
      <c r="BE208" s="29" t="n">
        <f aca="false">IFERROR(-BE207/BE188,0)</f>
        <v>4.30256147165031</v>
      </c>
      <c r="BF208" s="29" t="n">
        <f aca="false">IFERROR(-BF207/BF188,0)</f>
        <v>4.30256147165031</v>
      </c>
      <c r="BG208" s="29" t="n">
        <f aca="false">IFERROR(-BG207/BG188,0)</f>
        <v>4.30256147165031</v>
      </c>
      <c r="BH208" s="29" t="n">
        <f aca="false">IFERROR(-BH207/BH188,0)</f>
        <v>4.30256147165031</v>
      </c>
      <c r="BI208" s="29" t="n">
        <f aca="false">IFERROR(-BI207/BI188,0)</f>
        <v>4.30256147165031</v>
      </c>
      <c r="BJ208" s="29" t="n">
        <f aca="false">IFERROR(-BJ207/BJ188,0)</f>
        <v>4.30256147165031</v>
      </c>
      <c r="BK208" s="29" t="n">
        <f aca="false">IFERROR(-BK207/BK188,0)</f>
        <v>4.30256147165031</v>
      </c>
      <c r="BL208" s="29" t="n">
        <f aca="false">IFERROR(-BL207/BL188,0)</f>
        <v>4.30256147165031</v>
      </c>
      <c r="BM208" s="29" t="n">
        <f aca="false">IFERROR(-BM207/BM188,0)</f>
        <v>4.30256147165031</v>
      </c>
      <c r="BN208" s="29" t="n">
        <f aca="false">IFERROR(-BN207/BN188,0)</f>
        <v>4.30256147165031</v>
      </c>
      <c r="BO208" s="29" t="n">
        <f aca="false">IFERROR(-BO207/BO188,0)</f>
        <v>13.0487104349891</v>
      </c>
      <c r="BP208" s="29" t="n">
        <f aca="false">IFERROR(-BP207/BP188,0)</f>
        <v>4.30256147165031</v>
      </c>
      <c r="BQ208" s="29" t="n">
        <f aca="false">IFERROR(-BQ207/BQ188,0)</f>
        <v>4.30256147165031</v>
      </c>
      <c r="BR208" s="29" t="n">
        <f aca="false">IFERROR(-BR207/BR188,0)</f>
        <v>4.30256147165031</v>
      </c>
      <c r="BS208" s="29" t="n">
        <f aca="false">IFERROR(-BS207/BS188,0)</f>
        <v>4.30256147165031</v>
      </c>
      <c r="BT208" s="29" t="n">
        <f aca="false">IFERROR(-BT207/BT188,0)</f>
        <v>4.30256147165031</v>
      </c>
      <c r="BU208" s="29" t="n">
        <f aca="false">IFERROR(-BU207/BU188,0)</f>
        <v>4.30256147165031</v>
      </c>
      <c r="BV208" s="29" t="n">
        <f aca="false">IFERROR(-BV207/BV188,0)</f>
        <v>4.30256147165031</v>
      </c>
      <c r="BW208" s="29" t="n">
        <f aca="false">IFERROR(-BW207/BW188,0)</f>
        <v>4.30256147165031</v>
      </c>
      <c r="BX208" s="29" t="n">
        <f aca="false">IFERROR(-BX207/BX188,0)</f>
        <v>4.30256147165031</v>
      </c>
      <c r="BY208" s="29" t="n">
        <f aca="false">IFERROR(-BY207/BY188,0)</f>
        <v>4.30256147165031</v>
      </c>
      <c r="BZ208" s="29" t="n">
        <f aca="false">IFERROR(-BZ207/BZ188,0)</f>
        <v>4.30256147165031</v>
      </c>
      <c r="CA208" s="29" t="n">
        <f aca="false">IFERROR(-CA207/CA188,0)</f>
        <v>13.0487104349891</v>
      </c>
      <c r="CB208" s="29" t="n">
        <f aca="false">IFERROR(-CB207/CB188,0)</f>
        <v>4.30256147165031</v>
      </c>
      <c r="CC208" s="29" t="n">
        <f aca="false">IFERROR(-CC207/CC188,0)</f>
        <v>4.30256147165031</v>
      </c>
      <c r="CD208" s="29" t="n">
        <f aca="false">IFERROR(-CD207/CD188,0)</f>
        <v>4.30256147165031</v>
      </c>
      <c r="CE208" s="29" t="n">
        <f aca="false">IFERROR(-CE207/CE188,0)</f>
        <v>4.30256147165031</v>
      </c>
      <c r="CF208" s="29" t="n">
        <f aca="false">IFERROR(-CF207/CF188,0)</f>
        <v>4.30256147165031</v>
      </c>
      <c r="CG208" s="29" t="n">
        <f aca="false">IFERROR(-CG207/CG188,0)</f>
        <v>4.30256147165031</v>
      </c>
      <c r="CH208" s="29" t="n">
        <f aca="false">IFERROR(-CH207/CH188,0)</f>
        <v>4.30256147165031</v>
      </c>
    </row>
    <row r="209" customFormat="false" ht="15" hidden="false" customHeight="false" outlineLevel="0" collapsed="false">
      <c r="A209" s="1" t="s">
        <v>870</v>
      </c>
      <c r="C209" s="28" t="n">
        <f aca="false">-C197*Restaurantes!$D$61</f>
        <v>-205.101841033907</v>
      </c>
      <c r="D209" s="28" t="n">
        <f aca="false">-D197*Restaurantes!$D$61</f>
        <v>-208.178368649415</v>
      </c>
      <c r="E209" s="28" t="n">
        <f aca="false">-E197*Restaurantes!$D$61</f>
        <v>-211.254896264924</v>
      </c>
      <c r="F209" s="28" t="n">
        <f aca="false">-F197*Restaurantes!$D$61</f>
        <v>-214.331423880433</v>
      </c>
      <c r="G209" s="28" t="n">
        <f aca="false">-G197*Restaurantes!$D$61</f>
        <v>-217.407951495941</v>
      </c>
      <c r="H209" s="28" t="n">
        <f aca="false">-H197*Restaurantes!$D$61</f>
        <v>-220.48447911145</v>
      </c>
      <c r="I209" s="28" t="n">
        <f aca="false">-I197*Restaurantes!$D$61</f>
        <v>-223.561006726958</v>
      </c>
      <c r="J209" s="28" t="n">
        <f aca="false">-J197*Restaurantes!$D$61</f>
        <v>-226.637534342467</v>
      </c>
      <c r="K209" s="28" t="n">
        <f aca="false">-K197*Restaurantes!$D$61</f>
        <v>-229.714061957975</v>
      </c>
      <c r="L209" s="28" t="n">
        <f aca="false">-L197*Restaurantes!$D$61</f>
        <v>-232.790589573484</v>
      </c>
      <c r="M209" s="28" t="n">
        <f aca="false">-M197*Restaurantes!$D$61</f>
        <v>-235.867117188992</v>
      </c>
      <c r="N209" s="28" t="n">
        <f aca="false">-N197*Restaurantes!$D$61</f>
        <v>-238.943644804502</v>
      </c>
      <c r="O209" s="28" t="n">
        <f aca="false">-O197*Restaurantes!$D$61</f>
        <v>-242.02017242001</v>
      </c>
      <c r="P209" s="28" t="n">
        <f aca="false">-P197*Restaurantes!$D$61</f>
        <v>-245.096700035518</v>
      </c>
      <c r="Q209" s="28" t="n">
        <f aca="false">-Q197*Restaurantes!$D$61</f>
        <v>-248.173227651027</v>
      </c>
      <c r="R209" s="28" t="n">
        <f aca="false">-R197*Restaurantes!$D$61</f>
        <v>-251.249755266536</v>
      </c>
      <c r="S209" s="28" t="n">
        <f aca="false">-S197*Restaurantes!$D$61</f>
        <v>-254.326282882044</v>
      </c>
      <c r="T209" s="28" t="n">
        <f aca="false">-T197*Restaurantes!$D$61</f>
        <v>-257.402810497553</v>
      </c>
      <c r="U209" s="28" t="n">
        <f aca="false">-U197*Restaurantes!$D$61</f>
        <v>-260.479338113062</v>
      </c>
      <c r="V209" s="28" t="n">
        <f aca="false">-V197*Restaurantes!$D$61</f>
        <v>-263.55586572857</v>
      </c>
      <c r="W209" s="28" t="n">
        <f aca="false">-W197*Restaurantes!$D$61</f>
        <v>-266.632393344079</v>
      </c>
      <c r="X209" s="28" t="n">
        <f aca="false">-X197*Restaurantes!$D$61</f>
        <v>-269.708920959587</v>
      </c>
      <c r="Y209" s="28" t="n">
        <f aca="false">-Y197*Restaurantes!$D$61</f>
        <v>-272.785448575097</v>
      </c>
      <c r="Z209" s="28" t="n">
        <f aca="false">-Z197*Restaurantes!$D$61</f>
        <v>-275.861976190604</v>
      </c>
      <c r="AA209" s="28" t="n">
        <f aca="false">-AA197*Restaurantes!$D$61</f>
        <v>-73.8366627722064</v>
      </c>
      <c r="AB209" s="28" t="n">
        <f aca="false">-AB197*Restaurantes!$D$61</f>
        <v>-73.8366627722064</v>
      </c>
      <c r="AC209" s="28" t="n">
        <f aca="false">-AC197*Restaurantes!$D$61</f>
        <v>-73.8366627722064</v>
      </c>
      <c r="AD209" s="28" t="n">
        <f aca="false">-AD197*Restaurantes!$D$61</f>
        <v>-73.8366627722064</v>
      </c>
      <c r="AE209" s="28" t="n">
        <f aca="false">-AE197*Restaurantes!$D$61</f>
        <v>-73.8366627722064</v>
      </c>
      <c r="AF209" s="28" t="n">
        <f aca="false">-AF197*Restaurantes!$D$61</f>
        <v>-73.8366627722064</v>
      </c>
      <c r="AG209" s="28" t="n">
        <f aca="false">-AG197*Restaurantes!$D$61</f>
        <v>-73.8366627722064</v>
      </c>
      <c r="AH209" s="28" t="n">
        <f aca="false">-AH197*Restaurantes!$D$61</f>
        <v>-73.8366627722064</v>
      </c>
      <c r="AI209" s="28" t="n">
        <f aca="false">-AI197*Restaurantes!$D$61</f>
        <v>-73.8366627722064</v>
      </c>
      <c r="AJ209" s="28" t="n">
        <f aca="false">-AJ197*Restaurantes!$D$61</f>
        <v>-73.8366627722064</v>
      </c>
      <c r="AK209" s="28" t="n">
        <f aca="false">-AK197*Restaurantes!$D$61</f>
        <v>-73.8366627722064</v>
      </c>
      <c r="AL209" s="28" t="n">
        <f aca="false">-AL197*Restaurantes!$D$61</f>
        <v>-73.8366627722064</v>
      </c>
      <c r="AM209" s="28" t="n">
        <f aca="false">-AM197*Restaurantes!$D$61</f>
        <v>-73.8366627722064</v>
      </c>
      <c r="AN209" s="28" t="n">
        <f aca="false">-AN197*Restaurantes!$D$61</f>
        <v>-73.8366627722064</v>
      </c>
      <c r="AO209" s="28" t="n">
        <f aca="false">-AO197*Restaurantes!$D$61</f>
        <v>-73.8366627722064</v>
      </c>
      <c r="AP209" s="28" t="n">
        <f aca="false">-AP197*Restaurantes!$D$61</f>
        <v>-73.8366627722064</v>
      </c>
      <c r="AQ209" s="28" t="n">
        <f aca="false">-AQ197*Restaurantes!$D$61</f>
        <v>-73.8366627722064</v>
      </c>
      <c r="AR209" s="28" t="n">
        <f aca="false">-AR197*Restaurantes!$D$61</f>
        <v>-73.8366627722064</v>
      </c>
      <c r="AS209" s="28" t="n">
        <f aca="false">-AS197*Restaurantes!$D$61</f>
        <v>-73.8366627722064</v>
      </c>
      <c r="AT209" s="28" t="n">
        <f aca="false">-AT197*Restaurantes!$D$61</f>
        <v>-73.8366627722064</v>
      </c>
      <c r="AU209" s="28" t="n">
        <f aca="false">-AU197*Restaurantes!$D$61</f>
        <v>-73.8366627722064</v>
      </c>
      <c r="AV209" s="28" t="n">
        <f aca="false">-AV197*Restaurantes!$D$61</f>
        <v>-73.8366627722064</v>
      </c>
      <c r="AW209" s="28" t="n">
        <f aca="false">-AW197*Restaurantes!$D$61</f>
        <v>-73.8366627722064</v>
      </c>
      <c r="AX209" s="28" t="n">
        <f aca="false">-AX197*Restaurantes!$D$61</f>
        <v>-73.8366627722064</v>
      </c>
      <c r="AY209" s="28" t="n">
        <f aca="false">-AY197*Restaurantes!$D$61</f>
        <v>-73.8366627722064</v>
      </c>
      <c r="AZ209" s="28" t="n">
        <f aca="false">-AZ197*Restaurantes!$D$61</f>
        <v>-73.8366627722064</v>
      </c>
      <c r="BA209" s="28" t="n">
        <f aca="false">-BA197*Restaurantes!$D$61</f>
        <v>-73.8366627722064</v>
      </c>
      <c r="BB209" s="28" t="n">
        <f aca="false">-BB197*Restaurantes!$D$61</f>
        <v>-73.8366627722064</v>
      </c>
      <c r="BC209" s="28" t="n">
        <f aca="false">-BC197*Restaurantes!$D$61</f>
        <v>-73.8366627722064</v>
      </c>
      <c r="BD209" s="28" t="n">
        <f aca="false">-BD197*Restaurantes!$D$61</f>
        <v>-73.8366627722064</v>
      </c>
      <c r="BE209" s="28" t="n">
        <f aca="false">-BE197*Restaurantes!$D$61</f>
        <v>-73.8366627722064</v>
      </c>
      <c r="BF209" s="28" t="n">
        <f aca="false">-BF197*Restaurantes!$D$61</f>
        <v>-73.8366627722064</v>
      </c>
      <c r="BG209" s="28" t="n">
        <f aca="false">-BG197*Restaurantes!$D$61</f>
        <v>-73.8366627722064</v>
      </c>
      <c r="BH209" s="28" t="n">
        <f aca="false">-BH197*Restaurantes!$D$61</f>
        <v>-73.8366627722064</v>
      </c>
      <c r="BI209" s="28" t="n">
        <f aca="false">-BI197*Restaurantes!$D$61</f>
        <v>-73.8366627722064</v>
      </c>
      <c r="BJ209" s="28" t="n">
        <f aca="false">-BJ197*Restaurantes!$D$61</f>
        <v>-73.8366627722064</v>
      </c>
      <c r="BK209" s="28" t="n">
        <f aca="false">-BK197*Restaurantes!$D$61</f>
        <v>-73.8366627722064</v>
      </c>
      <c r="BL209" s="28" t="n">
        <f aca="false">-BL197*Restaurantes!$D$61</f>
        <v>-73.8366627722064</v>
      </c>
      <c r="BM209" s="28" t="n">
        <f aca="false">-BM197*Restaurantes!$D$61</f>
        <v>-73.8366627722064</v>
      </c>
      <c r="BN209" s="28" t="n">
        <f aca="false">-BN197*Restaurantes!$D$61</f>
        <v>-73.8366627722064</v>
      </c>
      <c r="BO209" s="28" t="n">
        <f aca="false">-BO197*Restaurantes!$D$61</f>
        <v>-73.8366627722064</v>
      </c>
      <c r="BP209" s="28" t="n">
        <f aca="false">-BP197*Restaurantes!$D$61</f>
        <v>-73.8366627722064</v>
      </c>
      <c r="BQ209" s="28" t="n">
        <f aca="false">-BQ197*Restaurantes!$D$61</f>
        <v>-73.8366627722064</v>
      </c>
      <c r="BR209" s="28" t="n">
        <f aca="false">-BR197*Restaurantes!$D$61</f>
        <v>-73.8366627722064</v>
      </c>
      <c r="BS209" s="28" t="n">
        <f aca="false">-BS197*Restaurantes!$D$61</f>
        <v>-73.8366627722064</v>
      </c>
      <c r="BT209" s="28" t="n">
        <f aca="false">-BT197*Restaurantes!$D$61</f>
        <v>-73.8366627722064</v>
      </c>
      <c r="BU209" s="28" t="n">
        <f aca="false">-BU197*Restaurantes!$D$61</f>
        <v>-73.8366627722064</v>
      </c>
      <c r="BV209" s="28" t="n">
        <f aca="false">-BV197*Restaurantes!$D$61</f>
        <v>-73.8366627722064</v>
      </c>
      <c r="BW209" s="28" t="n">
        <f aca="false">-BW197*Restaurantes!$D$61</f>
        <v>-73.8366627722064</v>
      </c>
      <c r="BX209" s="28" t="n">
        <f aca="false">-BX197*Restaurantes!$D$61</f>
        <v>-73.8366627722064</v>
      </c>
      <c r="BY209" s="28" t="n">
        <f aca="false">-BY197*Restaurantes!$D$61</f>
        <v>-73.8366627722064</v>
      </c>
      <c r="BZ209" s="28" t="n">
        <f aca="false">-BZ197*Restaurantes!$D$61</f>
        <v>-73.8366627722064</v>
      </c>
      <c r="CA209" s="28" t="n">
        <f aca="false">-CA197*Restaurantes!$D$61</f>
        <v>-73.8366627722064</v>
      </c>
      <c r="CB209" s="28" t="n">
        <f aca="false">-CB197*Restaurantes!$D$61</f>
        <v>-73.8366627722064</v>
      </c>
      <c r="CC209" s="28" t="n">
        <f aca="false">-CC197*Restaurantes!$D$61</f>
        <v>-73.8366627722064</v>
      </c>
      <c r="CD209" s="28" t="n">
        <f aca="false">-CD197*Restaurantes!$D$61</f>
        <v>-73.8366627722064</v>
      </c>
      <c r="CE209" s="28" t="n">
        <f aca="false">-CE197*Restaurantes!$D$61</f>
        <v>-73.8366627722064</v>
      </c>
      <c r="CF209" s="28" t="n">
        <f aca="false">-CF197*Restaurantes!$D$61</f>
        <v>-73.8366627722064</v>
      </c>
      <c r="CG209" s="28" t="n">
        <f aca="false">-CG197*Restaurantes!$D$61</f>
        <v>-73.8366627722064</v>
      </c>
      <c r="CH209" s="28" t="n">
        <f aca="false">-CH197*Restaurantes!$D$61</f>
        <v>-73.8366627722064</v>
      </c>
    </row>
    <row r="210" customFormat="false" ht="15" hidden="false" customHeight="false" outlineLevel="0" collapsed="false">
      <c r="A210" s="1" t="s">
        <v>871</v>
      </c>
      <c r="C210" s="27" t="n">
        <f aca="false">IFERROR(C196/(Hipótesis!$B$49*(C$3&gt;=Hipótesis!$D$49)+Hipótesis!$B$52*(C$3&gt;=Hipótesis!$D$52)),0)</f>
        <v>5.12754602584767</v>
      </c>
      <c r="D210" s="27" t="n">
        <f aca="false">IFERROR(D196/(Hipótesis!$B$49*(D$3&gt;=Hipótesis!$D$49)+Hipótesis!$B$52*(D$3&gt;=Hipótesis!$D$52)),0)</f>
        <v>10.2550920516953</v>
      </c>
      <c r="E210" s="27" t="n">
        <f aca="false">IFERROR(E196/(Hipótesis!$B$49*(E$3&gt;=Hipótesis!$D$49)+Hipótesis!$B$52*(E$3&gt;=Hipótesis!$D$52)),0)</f>
        <v>15.382638077543</v>
      </c>
      <c r="F210" s="27" t="n">
        <f aca="false">IFERROR(F196/(Hipótesis!$B$49*(F$3&gt;=Hipótesis!$D$49)+Hipótesis!$B$52*(F$3&gt;=Hipótesis!$D$52)),0)</f>
        <v>20.5101841033907</v>
      </c>
      <c r="G210" s="27" t="n">
        <f aca="false">IFERROR(G196/(Hipótesis!$B$49*(G$3&gt;=Hipótesis!$D$49)+Hipótesis!$B$52*(G$3&gt;=Hipótesis!$D$52)),0)</f>
        <v>25.6377301292383</v>
      </c>
      <c r="H210" s="27" t="n">
        <f aca="false">IFERROR(H196/(Hipótesis!$B$49*(H$3&gt;=Hipótesis!$D$49)+Hipótesis!$B$52*(H$3&gt;=Hipótesis!$D$52)),0)</f>
        <v>30.765276155086</v>
      </c>
      <c r="I210" s="27" t="n">
        <f aca="false">IFERROR(I196/(Hipótesis!$B$49*(I$3&gt;=Hipótesis!$D$49)+Hipótesis!$B$52*(I$3&gt;=Hipótesis!$D$52)),0)</f>
        <v>35.8928221809337</v>
      </c>
      <c r="J210" s="27" t="n">
        <f aca="false">IFERROR(J196/(Hipótesis!$B$49*(J$3&gt;=Hipótesis!$D$49)+Hipótesis!$B$52*(J$3&gt;=Hipótesis!$D$52)),0)</f>
        <v>41.0203682067814</v>
      </c>
      <c r="K210" s="27" t="n">
        <f aca="false">IFERROR(K196/(Hipótesis!$B$49*(K$3&gt;=Hipótesis!$D$49)+Hipótesis!$B$52*(K$3&gt;=Hipótesis!$D$52)),0)</f>
        <v>46.147914232629</v>
      </c>
      <c r="L210" s="27" t="n">
        <f aca="false">IFERROR(L196/(Hipótesis!$B$49*(L$3&gt;=Hipótesis!$D$49)+Hipótesis!$B$52*(L$3&gt;=Hipótesis!$D$52)),0)</f>
        <v>51.2754602584767</v>
      </c>
      <c r="M210" s="27" t="n">
        <f aca="false">IFERROR(M196/(Hipótesis!$B$49*(M$3&gt;=Hipótesis!$D$49)+Hipótesis!$B$52*(M$3&gt;=Hipótesis!$D$52)),0)</f>
        <v>56.4030062843243</v>
      </c>
      <c r="N210" s="27" t="n">
        <f aca="false">IFERROR(N196/(Hipótesis!$B$49*(N$3&gt;=Hipótesis!$D$49)+Hipótesis!$B$52*(N$3&gt;=Hipótesis!$D$52)),0)</f>
        <v>61.530552310172</v>
      </c>
      <c r="O210" s="27" t="n">
        <f aca="false">IFERROR(O196/(Hipótesis!$B$49*(O$3&gt;=Hipótesis!$D$49)+Hipótesis!$B$52*(O$3&gt;=Hipótesis!$D$52)),0)</f>
        <v>66.6580983360197</v>
      </c>
      <c r="P210" s="27" t="n">
        <f aca="false">IFERROR(P196/(Hipótesis!$B$49*(P$3&gt;=Hipótesis!$D$49)+Hipótesis!$B$52*(P$3&gt;=Hipótesis!$D$52)),0)</f>
        <v>71.7856443618674</v>
      </c>
      <c r="Q210" s="27" t="n">
        <f aca="false">IFERROR(Q196/(Hipótesis!$B$49*(Q$3&gt;=Hipótesis!$D$49)+Hipótesis!$B$52*(Q$3&gt;=Hipótesis!$D$52)),0)</f>
        <v>76.913190387715</v>
      </c>
      <c r="R210" s="27" t="n">
        <f aca="false">IFERROR(R196/(Hipótesis!$B$49*(R$3&gt;=Hipótesis!$D$49)+Hipótesis!$B$52*(R$3&gt;=Hipótesis!$D$52)),0)</f>
        <v>82.0407364135627</v>
      </c>
      <c r="S210" s="27" t="n">
        <f aca="false">IFERROR(S196/(Hipótesis!$B$49*(S$3&gt;=Hipótesis!$D$49)+Hipótesis!$B$52*(S$3&gt;=Hipótesis!$D$52)),0)</f>
        <v>87.1682824394104</v>
      </c>
      <c r="T210" s="27" t="n">
        <f aca="false">IFERROR(T196/(Hipótesis!$B$49*(T$3&gt;=Hipótesis!$D$49)+Hipótesis!$B$52*(T$3&gt;=Hipótesis!$D$52)),0)</f>
        <v>92.295828465258</v>
      </c>
      <c r="U210" s="27" t="n">
        <f aca="false">IFERROR(U196/(Hipótesis!$B$49*(U$3&gt;=Hipótesis!$D$49)+Hipótesis!$B$52*(U$3&gt;=Hipótesis!$D$52)),0)</f>
        <v>97.4233744911057</v>
      </c>
      <c r="V210" s="27" t="n">
        <f aca="false">IFERROR(V196/(Hipótesis!$B$49*(V$3&gt;=Hipótesis!$D$49)+Hipótesis!$B$52*(V$3&gt;=Hipótesis!$D$52)),0)</f>
        <v>51.2754602584767</v>
      </c>
      <c r="W210" s="27" t="n">
        <f aca="false">IFERROR(W196/(Hipótesis!$B$49*(W$3&gt;=Hipótesis!$D$49)+Hipótesis!$B$52*(W$3&gt;=Hipótesis!$D$52)),0)</f>
        <v>53.8392332714005</v>
      </c>
      <c r="X210" s="27" t="n">
        <f aca="false">IFERROR(X196/(Hipótesis!$B$49*(X$3&gt;=Hipótesis!$D$49)+Hipótesis!$B$52*(X$3&gt;=Hipótesis!$D$52)),0)</f>
        <v>56.4030062843243</v>
      </c>
      <c r="Y210" s="27" t="n">
        <f aca="false">IFERROR(Y196/(Hipótesis!$B$49*(Y$3&gt;=Hipótesis!$D$49)+Hipótesis!$B$52*(Y$3&gt;=Hipótesis!$D$52)),0)</f>
        <v>58.9667792972482</v>
      </c>
      <c r="Z210" s="27" t="n">
        <f aca="false">IFERROR(Z196/(Hipótesis!$B$49*(Z$3&gt;=Hipótesis!$D$49)+Hipótesis!$B$52*(Z$3&gt;=Hipótesis!$D$52)),0)</f>
        <v>61.530552310172</v>
      </c>
      <c r="AA210" s="27" t="n">
        <f aca="false">IFERROR(AA196/(Hipótesis!$B$49*(AA$3&gt;=Hipótesis!$D$49)+Hipótesis!$B$52*(AA$3&gt;=Hipótesis!$D$52)),0)</f>
        <v>61.530552310172</v>
      </c>
      <c r="AB210" s="27" t="n">
        <f aca="false">IFERROR(AB196/(Hipótesis!$B$49*(AB$3&gt;=Hipótesis!$D$49)+Hipótesis!$B$52*(AB$3&gt;=Hipótesis!$D$52)),0)</f>
        <v>61.530552310172</v>
      </c>
      <c r="AC210" s="27" t="n">
        <f aca="false">IFERROR(AC196/(Hipótesis!$B$49*(AC$3&gt;=Hipótesis!$D$49)+Hipótesis!$B$52*(AC$3&gt;=Hipótesis!$D$52)),0)</f>
        <v>61.530552310172</v>
      </c>
      <c r="AD210" s="27" t="n">
        <f aca="false">IFERROR(AD196/(Hipótesis!$B$49*(AD$3&gt;=Hipótesis!$D$49)+Hipótesis!$B$52*(AD$3&gt;=Hipótesis!$D$52)),0)</f>
        <v>61.530552310172</v>
      </c>
      <c r="AE210" s="27" t="n">
        <f aca="false">IFERROR(AE196/(Hipótesis!$B$49*(AE$3&gt;=Hipótesis!$D$49)+Hipótesis!$B$52*(AE$3&gt;=Hipótesis!$D$52)),0)</f>
        <v>61.530552310172</v>
      </c>
      <c r="AF210" s="27" t="n">
        <f aca="false">IFERROR(AF196/(Hipótesis!$B$49*(AF$3&gt;=Hipótesis!$D$49)+Hipótesis!$B$52*(AF$3&gt;=Hipótesis!$D$52)),0)</f>
        <v>61.530552310172</v>
      </c>
      <c r="AG210" s="27" t="n">
        <f aca="false">IFERROR(AG196/(Hipótesis!$B$49*(AG$3&gt;=Hipótesis!$D$49)+Hipótesis!$B$52*(AG$3&gt;=Hipótesis!$D$52)),0)</f>
        <v>61.530552310172</v>
      </c>
      <c r="AH210" s="27" t="n">
        <f aca="false">IFERROR(AH196/(Hipótesis!$B$49*(AH$3&gt;=Hipótesis!$D$49)+Hipótesis!$B$52*(AH$3&gt;=Hipótesis!$D$52)),0)</f>
        <v>61.530552310172</v>
      </c>
      <c r="AI210" s="27" t="n">
        <f aca="false">IFERROR(AI196/(Hipótesis!$B$49*(AI$3&gt;=Hipótesis!$D$49)+Hipótesis!$B$52*(AI$3&gt;=Hipótesis!$D$52)),0)</f>
        <v>61.530552310172</v>
      </c>
      <c r="AJ210" s="27" t="n">
        <f aca="false">IFERROR(AJ196/(Hipótesis!$B$49*(AJ$3&gt;=Hipótesis!$D$49)+Hipótesis!$B$52*(AJ$3&gt;=Hipótesis!$D$52)),0)</f>
        <v>61.530552310172</v>
      </c>
      <c r="AK210" s="27" t="n">
        <f aca="false">IFERROR(AK196/(Hipótesis!$B$49*(AK$3&gt;=Hipótesis!$D$49)+Hipótesis!$B$52*(AK$3&gt;=Hipótesis!$D$52)),0)</f>
        <v>61.530552310172</v>
      </c>
      <c r="AL210" s="27" t="n">
        <f aca="false">IFERROR(AL196/(Hipótesis!$B$49*(AL$3&gt;=Hipótesis!$D$49)+Hipótesis!$B$52*(AL$3&gt;=Hipótesis!$D$52)),0)</f>
        <v>61.530552310172</v>
      </c>
      <c r="AM210" s="27" t="n">
        <f aca="false">IFERROR(AM196/(Hipótesis!$B$49*(AM$3&gt;=Hipótesis!$D$49)+Hipótesis!$B$52*(AM$3&gt;=Hipótesis!$D$52)),0)</f>
        <v>61.530552310172</v>
      </c>
      <c r="AN210" s="27" t="n">
        <f aca="false">IFERROR(AN196/(Hipótesis!$B$49*(AN$3&gt;=Hipótesis!$D$49)+Hipótesis!$B$52*(AN$3&gt;=Hipótesis!$D$52)),0)</f>
        <v>61.530552310172</v>
      </c>
      <c r="AO210" s="27" t="n">
        <f aca="false">IFERROR(AO196/(Hipótesis!$B$49*(AO$3&gt;=Hipótesis!$D$49)+Hipótesis!$B$52*(AO$3&gt;=Hipótesis!$D$52)),0)</f>
        <v>61.530552310172</v>
      </c>
      <c r="AP210" s="27" t="n">
        <f aca="false">IFERROR(AP196/(Hipótesis!$B$49*(AP$3&gt;=Hipótesis!$D$49)+Hipótesis!$B$52*(AP$3&gt;=Hipótesis!$D$52)),0)</f>
        <v>61.530552310172</v>
      </c>
      <c r="AQ210" s="27" t="n">
        <f aca="false">IFERROR(AQ196/(Hipótesis!$B$49*(AQ$3&gt;=Hipótesis!$D$49)+Hipótesis!$B$52*(AQ$3&gt;=Hipótesis!$D$52)),0)</f>
        <v>61.530552310172</v>
      </c>
      <c r="AR210" s="27" t="n">
        <f aca="false">IFERROR(AR196/(Hipótesis!$B$49*(AR$3&gt;=Hipótesis!$D$49)+Hipótesis!$B$52*(AR$3&gt;=Hipótesis!$D$52)),0)</f>
        <v>61.530552310172</v>
      </c>
      <c r="AS210" s="27" t="n">
        <f aca="false">IFERROR(AS196/(Hipótesis!$B$49*(AS$3&gt;=Hipótesis!$D$49)+Hipótesis!$B$52*(AS$3&gt;=Hipótesis!$D$52)),0)</f>
        <v>61.530552310172</v>
      </c>
      <c r="AT210" s="27" t="n">
        <f aca="false">IFERROR(AT196/(Hipótesis!$B$49*(AT$3&gt;=Hipótesis!$D$49)+Hipótesis!$B$52*(AT$3&gt;=Hipótesis!$D$52)),0)</f>
        <v>61.530552310172</v>
      </c>
      <c r="AU210" s="27" t="n">
        <f aca="false">IFERROR(AU196/(Hipótesis!$B$49*(AU$3&gt;=Hipótesis!$D$49)+Hipótesis!$B$52*(AU$3&gt;=Hipótesis!$D$52)),0)</f>
        <v>61.530552310172</v>
      </c>
      <c r="AV210" s="27" t="n">
        <f aca="false">IFERROR(AV196/(Hipótesis!$B$49*(AV$3&gt;=Hipótesis!$D$49)+Hipótesis!$B$52*(AV$3&gt;=Hipótesis!$D$52)),0)</f>
        <v>61.530552310172</v>
      </c>
      <c r="AW210" s="27" t="n">
        <f aca="false">IFERROR(AW196/(Hipótesis!$B$49*(AW$3&gt;=Hipótesis!$D$49)+Hipótesis!$B$52*(AW$3&gt;=Hipótesis!$D$52)),0)</f>
        <v>61.530552310172</v>
      </c>
      <c r="AX210" s="27" t="n">
        <f aca="false">IFERROR(AX196/(Hipótesis!$B$49*(AX$3&gt;=Hipótesis!$D$49)+Hipótesis!$B$52*(AX$3&gt;=Hipótesis!$D$52)),0)</f>
        <v>61.530552310172</v>
      </c>
      <c r="AY210" s="27" t="n">
        <f aca="false">IFERROR(AY196/(Hipótesis!$B$49*(AY$3&gt;=Hipótesis!$D$49)+Hipótesis!$B$52*(AY$3&gt;=Hipótesis!$D$52)),0)</f>
        <v>61.530552310172</v>
      </c>
      <c r="AZ210" s="27" t="n">
        <f aca="false">IFERROR(AZ196/(Hipótesis!$B$49*(AZ$3&gt;=Hipótesis!$D$49)+Hipótesis!$B$52*(AZ$3&gt;=Hipótesis!$D$52)),0)</f>
        <v>61.530552310172</v>
      </c>
      <c r="BA210" s="27" t="n">
        <f aca="false">IFERROR(BA196/(Hipótesis!$B$49*(BA$3&gt;=Hipótesis!$D$49)+Hipótesis!$B$52*(BA$3&gt;=Hipótesis!$D$52)),0)</f>
        <v>61.530552310172</v>
      </c>
      <c r="BB210" s="27" t="n">
        <f aca="false">IFERROR(BB196/(Hipótesis!$B$49*(BB$3&gt;=Hipótesis!$D$49)+Hipótesis!$B$52*(BB$3&gt;=Hipótesis!$D$52)),0)</f>
        <v>61.530552310172</v>
      </c>
      <c r="BC210" s="27" t="n">
        <f aca="false">IFERROR(BC196/(Hipótesis!$B$49*(BC$3&gt;=Hipótesis!$D$49)+Hipótesis!$B$52*(BC$3&gt;=Hipótesis!$D$52)),0)</f>
        <v>61.530552310172</v>
      </c>
      <c r="BD210" s="27" t="n">
        <f aca="false">IFERROR(BD196/(Hipótesis!$B$49*(BD$3&gt;=Hipótesis!$D$49)+Hipótesis!$B$52*(BD$3&gt;=Hipótesis!$D$52)),0)</f>
        <v>61.530552310172</v>
      </c>
      <c r="BE210" s="27" t="n">
        <f aca="false">IFERROR(BE196/(Hipótesis!$B$49*(BE$3&gt;=Hipótesis!$D$49)+Hipótesis!$B$52*(BE$3&gt;=Hipótesis!$D$52)),0)</f>
        <v>61.530552310172</v>
      </c>
      <c r="BF210" s="27" t="n">
        <f aca="false">IFERROR(BF196/(Hipótesis!$B$49*(BF$3&gt;=Hipótesis!$D$49)+Hipótesis!$B$52*(BF$3&gt;=Hipótesis!$D$52)),0)</f>
        <v>61.530552310172</v>
      </c>
      <c r="BG210" s="27" t="n">
        <f aca="false">IFERROR(BG196/(Hipótesis!$B$49*(BG$3&gt;=Hipótesis!$D$49)+Hipótesis!$B$52*(BG$3&gt;=Hipótesis!$D$52)),0)</f>
        <v>61.530552310172</v>
      </c>
      <c r="BH210" s="27" t="n">
        <f aca="false">IFERROR(BH196/(Hipótesis!$B$49*(BH$3&gt;=Hipótesis!$D$49)+Hipótesis!$B$52*(BH$3&gt;=Hipótesis!$D$52)),0)</f>
        <v>61.530552310172</v>
      </c>
      <c r="BI210" s="27" t="n">
        <f aca="false">IFERROR(BI196/(Hipótesis!$B$49*(BI$3&gt;=Hipótesis!$D$49)+Hipótesis!$B$52*(BI$3&gt;=Hipótesis!$D$52)),0)</f>
        <v>61.530552310172</v>
      </c>
      <c r="BJ210" s="27" t="n">
        <f aca="false">IFERROR(BJ196/(Hipótesis!$B$49*(BJ$3&gt;=Hipótesis!$D$49)+Hipótesis!$B$52*(BJ$3&gt;=Hipótesis!$D$52)),0)</f>
        <v>61.530552310172</v>
      </c>
      <c r="BK210" s="27" t="n">
        <f aca="false">IFERROR(BK196/(Hipótesis!$B$49*(BK$3&gt;=Hipótesis!$D$49)+Hipótesis!$B$52*(BK$3&gt;=Hipótesis!$D$52)),0)</f>
        <v>61.530552310172</v>
      </c>
      <c r="BL210" s="27" t="n">
        <f aca="false">IFERROR(BL196/(Hipótesis!$B$49*(BL$3&gt;=Hipótesis!$D$49)+Hipótesis!$B$52*(BL$3&gt;=Hipótesis!$D$52)),0)</f>
        <v>61.530552310172</v>
      </c>
      <c r="BM210" s="27" t="n">
        <f aca="false">IFERROR(BM196/(Hipótesis!$B$49*(BM$3&gt;=Hipótesis!$D$49)+Hipótesis!$B$52*(BM$3&gt;=Hipótesis!$D$52)),0)</f>
        <v>61.530552310172</v>
      </c>
      <c r="BN210" s="27" t="n">
        <f aca="false">IFERROR(BN196/(Hipótesis!$B$49*(BN$3&gt;=Hipótesis!$D$49)+Hipótesis!$B$52*(BN$3&gt;=Hipótesis!$D$52)),0)</f>
        <v>61.530552310172</v>
      </c>
      <c r="BO210" s="27" t="n">
        <f aca="false">IFERROR(BO196/(Hipótesis!$B$49*(BO$3&gt;=Hipótesis!$D$49)+Hipótesis!$B$52*(BO$3&gt;=Hipótesis!$D$52)),0)</f>
        <v>61.530552310172</v>
      </c>
      <c r="BP210" s="27" t="n">
        <f aca="false">IFERROR(BP196/(Hipótesis!$B$49*(BP$3&gt;=Hipótesis!$D$49)+Hipótesis!$B$52*(BP$3&gt;=Hipótesis!$D$52)),0)</f>
        <v>61.530552310172</v>
      </c>
      <c r="BQ210" s="27" t="n">
        <f aca="false">IFERROR(BQ196/(Hipótesis!$B$49*(BQ$3&gt;=Hipótesis!$D$49)+Hipótesis!$B$52*(BQ$3&gt;=Hipótesis!$D$52)),0)</f>
        <v>61.530552310172</v>
      </c>
      <c r="BR210" s="27" t="n">
        <f aca="false">IFERROR(BR196/(Hipótesis!$B$49*(BR$3&gt;=Hipótesis!$D$49)+Hipótesis!$B$52*(BR$3&gt;=Hipótesis!$D$52)),0)</f>
        <v>61.530552310172</v>
      </c>
      <c r="BS210" s="27" t="n">
        <f aca="false">IFERROR(BS196/(Hipótesis!$B$49*(BS$3&gt;=Hipótesis!$D$49)+Hipótesis!$B$52*(BS$3&gt;=Hipótesis!$D$52)),0)</f>
        <v>61.530552310172</v>
      </c>
      <c r="BT210" s="27" t="n">
        <f aca="false">IFERROR(BT196/(Hipótesis!$B$49*(BT$3&gt;=Hipótesis!$D$49)+Hipótesis!$B$52*(BT$3&gt;=Hipótesis!$D$52)),0)</f>
        <v>61.530552310172</v>
      </c>
      <c r="BU210" s="27" t="n">
        <f aca="false">IFERROR(BU196/(Hipótesis!$B$49*(BU$3&gt;=Hipótesis!$D$49)+Hipótesis!$B$52*(BU$3&gt;=Hipótesis!$D$52)),0)</f>
        <v>61.530552310172</v>
      </c>
      <c r="BV210" s="27" t="n">
        <f aca="false">IFERROR(BV196/(Hipótesis!$B$49*(BV$3&gt;=Hipótesis!$D$49)+Hipótesis!$B$52*(BV$3&gt;=Hipótesis!$D$52)),0)</f>
        <v>61.530552310172</v>
      </c>
      <c r="BW210" s="27" t="n">
        <f aca="false">IFERROR(BW196/(Hipótesis!$B$49*(BW$3&gt;=Hipótesis!$D$49)+Hipótesis!$B$52*(BW$3&gt;=Hipótesis!$D$52)),0)</f>
        <v>61.530552310172</v>
      </c>
      <c r="BX210" s="27" t="n">
        <f aca="false">IFERROR(BX196/(Hipótesis!$B$49*(BX$3&gt;=Hipótesis!$D$49)+Hipótesis!$B$52*(BX$3&gt;=Hipótesis!$D$52)),0)</f>
        <v>61.530552310172</v>
      </c>
      <c r="BY210" s="27" t="n">
        <f aca="false">IFERROR(BY196/(Hipótesis!$B$49*(BY$3&gt;=Hipótesis!$D$49)+Hipótesis!$B$52*(BY$3&gt;=Hipótesis!$D$52)),0)</f>
        <v>61.530552310172</v>
      </c>
      <c r="BZ210" s="27" t="n">
        <f aca="false">IFERROR(BZ196/(Hipótesis!$B$49*(BZ$3&gt;=Hipótesis!$D$49)+Hipótesis!$B$52*(BZ$3&gt;=Hipótesis!$D$52)),0)</f>
        <v>61.530552310172</v>
      </c>
      <c r="CA210" s="27" t="n">
        <f aca="false">IFERROR(CA196/(Hipótesis!$B$49*(CA$3&gt;=Hipótesis!$D$49)+Hipótesis!$B$52*(CA$3&gt;=Hipótesis!$D$52)),0)</f>
        <v>61.530552310172</v>
      </c>
      <c r="CB210" s="27" t="n">
        <f aca="false">IFERROR(CB196/(Hipótesis!$B$49*(CB$3&gt;=Hipótesis!$D$49)+Hipótesis!$B$52*(CB$3&gt;=Hipótesis!$D$52)),0)</f>
        <v>61.530552310172</v>
      </c>
      <c r="CC210" s="27" t="n">
        <f aca="false">IFERROR(CC196/(Hipótesis!$B$49*(CC$3&gt;=Hipótesis!$D$49)+Hipótesis!$B$52*(CC$3&gt;=Hipótesis!$D$52)),0)</f>
        <v>61.530552310172</v>
      </c>
      <c r="CD210" s="27" t="n">
        <f aca="false">IFERROR(CD196/(Hipótesis!$B$49*(CD$3&gt;=Hipótesis!$D$49)+Hipótesis!$B$52*(CD$3&gt;=Hipótesis!$D$52)),0)</f>
        <v>61.530552310172</v>
      </c>
      <c r="CE210" s="27" t="n">
        <f aca="false">IFERROR(CE196/(Hipótesis!$B$49*(CE$3&gt;=Hipótesis!$D$49)+Hipótesis!$B$52*(CE$3&gt;=Hipótesis!$D$52)),0)</f>
        <v>61.530552310172</v>
      </c>
      <c r="CF210" s="27" t="n">
        <f aca="false">IFERROR(CF196/(Hipótesis!$B$49*(CF$3&gt;=Hipótesis!$D$49)+Hipótesis!$B$52*(CF$3&gt;=Hipótesis!$D$52)),0)</f>
        <v>61.530552310172</v>
      </c>
      <c r="CG210" s="27" t="n">
        <f aca="false">IFERROR(CG196/(Hipótesis!$B$49*(CG$3&gt;=Hipótesis!$D$49)+Hipótesis!$B$52*(CG$3&gt;=Hipótesis!$D$52)),0)</f>
        <v>61.530552310172</v>
      </c>
      <c r="CH210" s="27" t="n">
        <f aca="false">IFERROR(CH196/(Hipótesis!$B$49*(CH$3&gt;=Hipótesis!$D$49)+Hipótesis!$B$52*(CH$3&gt;=Hipótesis!$D$52)),0)</f>
        <v>61.530552310172</v>
      </c>
    </row>
    <row r="211" customFormat="false" ht="15" hidden="false" customHeight="false" outlineLevel="0" collapsed="false">
      <c r="A211" s="1" t="s">
        <v>872</v>
      </c>
      <c r="C211" s="28" t="n">
        <f aca="false">-(C182*(1-Logistica!$B$5)*Logistica!$B$7+C182*Logistica!$B$5*Logistica!$B$39)</f>
        <v>-4.78047324930469</v>
      </c>
      <c r="D211" s="28" t="n">
        <f aca="false">-(D182*(1-Logistica!$B$5)*Logistica!$B$7+D182*Logistica!$B$5*Logistica!$B$39)</f>
        <v>-10.5673619195156</v>
      </c>
      <c r="E211" s="28" t="n">
        <f aca="false">-(E182*(1-Logistica!$B$5)*Logistica!$B$7+E182*Logistica!$B$5*Logistica!$B$39)</f>
        <v>-29.1860472062813</v>
      </c>
      <c r="F211" s="28" t="n">
        <f aca="false">-(F182*(1-Logistica!$B$5)*Logistica!$B$7+F182*Logistica!$B$5*Logistica!$B$39)</f>
        <v>-43.0242592437422</v>
      </c>
      <c r="G211" s="28" t="n">
        <f aca="false">-(G182*(1-Logistica!$B$5)*Logistica!$B$7+G182*Logistica!$B$5*Logistica!$B$39)</f>
        <v>-55.8560558602969</v>
      </c>
      <c r="H211" s="28" t="n">
        <f aca="false">-(H182*(1-Logistica!$B$5)*Logistica!$B$7+H182*Logistica!$B$5*Logistica!$B$39)</f>
        <v>-80.2196958414023</v>
      </c>
      <c r="I211" s="28" t="n">
        <f aca="false">-(I182*(1-Logistica!$B$5)*Logistica!$B$7+I182*Logistica!$B$5*Logistica!$B$39)</f>
        <v>-105.541962143344</v>
      </c>
      <c r="J211" s="28" t="n">
        <f aca="false">-(J182*(1-Logistica!$B$5)*Logistica!$B$7+J182*Logistica!$B$5*Logistica!$B$39)</f>
        <v>-148.119502220346</v>
      </c>
      <c r="K211" s="28" t="n">
        <f aca="false">-(K182*(1-Logistica!$B$5)*Logistica!$B$7+K182*Logistica!$B$5*Logistica!$B$39)</f>
        <v>-190.697042297348</v>
      </c>
      <c r="L211" s="28" t="n">
        <f aca="false">-(L182*(1-Logistica!$B$5)*Logistica!$B$7+L182*Logistica!$B$5*Logistica!$B$39)</f>
        <v>-233.274582374349</v>
      </c>
      <c r="M211" s="28" t="n">
        <f aca="false">-(M182*(1-Logistica!$B$5)*Logistica!$B$7+M182*Logistica!$B$5*Logistica!$B$39)</f>
        <v>-263.020325834796</v>
      </c>
      <c r="N211" s="28" t="n">
        <f aca="false">-(N182*(1-Logistica!$B$5)*Logistica!$B$7+N182*Logistica!$B$5*Logistica!$B$39)</f>
        <v>-309.539659643681</v>
      </c>
      <c r="O211" s="28" t="n">
        <f aca="false">-(O182*(1-Logistica!$B$5)*Logistica!$B$7+O182*Logistica!$B$5*Logistica!$B$39)</f>
        <v>-356.058993452565</v>
      </c>
      <c r="P211" s="28" t="n">
        <f aca="false">-(P182*(1-Logistica!$B$5)*Logistica!$B$7+P182*Logistica!$B$5*Logistica!$B$39)</f>
        <v>-397.755920036274</v>
      </c>
      <c r="Q211" s="28" t="n">
        <f aca="false">-(Q182*(1-Logistica!$B$5)*Logistica!$B$7+Q182*Logistica!$B$5*Logistica!$B$39)</f>
        <v>-439.452846619983</v>
      </c>
      <c r="R211" s="28" t="n">
        <f aca="false">-(R182*(1-Logistica!$B$5)*Logistica!$B$7+R182*Logistica!$B$5*Logistica!$B$39)</f>
        <v>-481.149773203691</v>
      </c>
      <c r="S211" s="28" t="n">
        <f aca="false">-(S182*(1-Logistica!$B$5)*Logistica!$B$7+S182*Logistica!$B$5*Logistica!$B$39)</f>
        <v>-522.8466997874</v>
      </c>
      <c r="T211" s="28" t="n">
        <f aca="false">-(T182*(1-Logistica!$B$5)*Logistica!$B$7+T182*Logistica!$B$5*Logistica!$B$39)</f>
        <v>-564.543626371109</v>
      </c>
      <c r="U211" s="28" t="n">
        <f aca="false">-(U182*(1-Logistica!$B$5)*Logistica!$B$7+U182*Logistica!$B$5*Logistica!$B$39)</f>
        <v>-606.240552954817</v>
      </c>
      <c r="V211" s="28" t="n">
        <f aca="false">-(V182*(1-Logistica!$B$5)*Logistica!$B$7+V182*Logistica!$B$5*Logistica!$B$39)</f>
        <v>-647.937479538526</v>
      </c>
      <c r="W211" s="28" t="n">
        <f aca="false">-(W182*(1-Logistica!$B$5)*Logistica!$B$7+W182*Logistica!$B$5*Logistica!$B$39)</f>
        <v>-689.634406122235</v>
      </c>
      <c r="X211" s="28" t="n">
        <f aca="false">-(X182*(1-Logistica!$B$5)*Logistica!$B$7+X182*Logistica!$B$5*Logistica!$B$39)</f>
        <v>-714.557742357506</v>
      </c>
      <c r="Y211" s="28" t="n">
        <f aca="false">-(Y182*(1-Logistica!$B$5)*Logistica!$B$7+Y182*Logistica!$B$5*Logistica!$B$39)</f>
        <v>-739.481078592777</v>
      </c>
      <c r="Z211" s="28" t="n">
        <f aca="false">-(Z182*(1-Logistica!$B$5)*Logistica!$B$7+Z182*Logistica!$B$5*Logistica!$B$39)</f>
        <v>-757.694978688673</v>
      </c>
      <c r="AA211" s="28" t="n">
        <f aca="false">-(AA182*(1-Logistica!$B$5)*Logistica!$B$7+AA182*Logistica!$B$5*Logistica!$B$39)</f>
        <v>-778.784757747079</v>
      </c>
      <c r="AB211" s="28" t="n">
        <f aca="false">-(AB182*(1-Logistica!$B$5)*Logistica!$B$7+AB182*Logistica!$B$5*Logistica!$B$39)</f>
        <v>-799.874536805485</v>
      </c>
      <c r="AC211" s="28" t="n">
        <f aca="false">-(AC182*(1-Logistica!$B$5)*Logistica!$B$7+AC182*Logistica!$B$5*Logistica!$B$39)</f>
        <v>-820.964315863891</v>
      </c>
      <c r="AD211" s="28" t="n">
        <f aca="false">-(AD182*(1-Logistica!$B$5)*Logistica!$B$7+AD182*Logistica!$B$5*Logistica!$B$39)</f>
        <v>-842.054094922298</v>
      </c>
      <c r="AE211" s="28" t="n">
        <f aca="false">-(AE182*(1-Logistica!$B$5)*Logistica!$B$7+AE182*Logistica!$B$5*Logistica!$B$39)</f>
        <v>-863.143873980704</v>
      </c>
      <c r="AF211" s="28" t="n">
        <f aca="false">-(AF182*(1-Logistica!$B$5)*Logistica!$B$7+AF182*Logistica!$B$5*Logistica!$B$39)</f>
        <v>-884.23365303911</v>
      </c>
      <c r="AG211" s="28" t="n">
        <f aca="false">-(AG182*(1-Logistica!$B$5)*Logistica!$B$7+AG182*Logistica!$B$5*Logistica!$B$39)</f>
        <v>-905.323432097516</v>
      </c>
      <c r="AH211" s="28" t="n">
        <f aca="false">-(AH182*(1-Logistica!$B$5)*Logistica!$B$7+AH182*Logistica!$B$5*Logistica!$B$39)</f>
        <v>-926.413211155922</v>
      </c>
      <c r="AI211" s="28" t="n">
        <f aca="false">-(AI182*(1-Logistica!$B$5)*Logistica!$B$7+AI182*Logistica!$B$5*Logistica!$B$39)</f>
        <v>-947.502990214328</v>
      </c>
      <c r="AJ211" s="28" t="n">
        <f aca="false">-(AJ182*(1-Logistica!$B$5)*Logistica!$B$7+AJ182*Logistica!$B$5*Logistica!$B$39)</f>
        <v>-968.592769272734</v>
      </c>
      <c r="AK211" s="28" t="n">
        <f aca="false">-(AK182*(1-Logistica!$B$5)*Logistica!$B$7+AK182*Logistica!$B$5*Logistica!$B$39)</f>
        <v>-989.68254833114</v>
      </c>
      <c r="AL211" s="28" t="n">
        <f aca="false">-(AL182*(1-Logistica!$B$5)*Logistica!$B$7+AL182*Logistica!$B$5*Logistica!$B$39)</f>
        <v>-1010.77232738955</v>
      </c>
      <c r="AM211" s="28" t="n">
        <f aca="false">-(AM182*(1-Logistica!$B$5)*Logistica!$B$7+AM182*Logistica!$B$5*Logistica!$B$39)</f>
        <v>-1031.86210644795</v>
      </c>
      <c r="AN211" s="28" t="n">
        <f aca="false">-(AN182*(1-Logistica!$B$5)*Logistica!$B$7+AN182*Logistica!$B$5*Logistica!$B$39)</f>
        <v>-1052.95188550636</v>
      </c>
      <c r="AO211" s="28" t="n">
        <f aca="false">-(AO182*(1-Logistica!$B$5)*Logistica!$B$7+AO182*Logistica!$B$5*Logistica!$B$39)</f>
        <v>-1074.04166456476</v>
      </c>
      <c r="AP211" s="28" t="n">
        <f aca="false">-(AP182*(1-Logistica!$B$5)*Logistica!$B$7+AP182*Logistica!$B$5*Logistica!$B$39)</f>
        <v>-1095.13144362317</v>
      </c>
      <c r="AQ211" s="28" t="n">
        <f aca="false">-(AQ182*(1-Logistica!$B$5)*Logistica!$B$7+AQ182*Logistica!$B$5*Logistica!$B$39)</f>
        <v>-1116.22122268158</v>
      </c>
      <c r="AR211" s="28" t="n">
        <f aca="false">-(AR182*(1-Logistica!$B$5)*Logistica!$B$7+AR182*Logistica!$B$5*Logistica!$B$39)</f>
        <v>-1137.31100173998</v>
      </c>
      <c r="AS211" s="28" t="n">
        <f aca="false">-(AS182*(1-Logistica!$B$5)*Logistica!$B$7+AS182*Logistica!$B$5*Logistica!$B$39)</f>
        <v>-1137.31100173998</v>
      </c>
      <c r="AT211" s="28" t="n">
        <f aca="false">-(AT182*(1-Logistica!$B$5)*Logistica!$B$7+AT182*Logistica!$B$5*Logistica!$B$39)</f>
        <v>-1137.31100173998</v>
      </c>
      <c r="AU211" s="28" t="n">
        <f aca="false">-(AU182*(1-Logistica!$B$5)*Logistica!$B$7+AU182*Logistica!$B$5*Logistica!$B$39)</f>
        <v>-1137.31100173998</v>
      </c>
      <c r="AV211" s="28" t="n">
        <f aca="false">-(AV182*(1-Logistica!$B$5)*Logistica!$B$7+AV182*Logistica!$B$5*Logistica!$B$39)</f>
        <v>-1137.31100173998</v>
      </c>
      <c r="AW211" s="28" t="n">
        <f aca="false">-(AW182*(1-Logistica!$B$5)*Logistica!$B$7+AW182*Logistica!$B$5*Logistica!$B$39)</f>
        <v>-1137.31100173998</v>
      </c>
      <c r="AX211" s="28" t="n">
        <f aca="false">-(AX182*(1-Logistica!$B$5)*Logistica!$B$7+AX182*Logistica!$B$5*Logistica!$B$39)</f>
        <v>-1137.31100173998</v>
      </c>
      <c r="AY211" s="28" t="n">
        <f aca="false">-(AY182*(1-Logistica!$B$5)*Logistica!$B$7+AY182*Logistica!$B$5*Logistica!$B$39)</f>
        <v>-1137.31100173998</v>
      </c>
      <c r="AZ211" s="28" t="n">
        <f aca="false">-(AZ182*(1-Logistica!$B$5)*Logistica!$B$7+AZ182*Logistica!$B$5*Logistica!$B$39)</f>
        <v>-1137.31100173998</v>
      </c>
      <c r="BA211" s="28" t="n">
        <f aca="false">-(BA182*(1-Logistica!$B$5)*Logistica!$B$7+BA182*Logistica!$B$5*Logistica!$B$39)</f>
        <v>-1137.31100173998</v>
      </c>
      <c r="BB211" s="28" t="n">
        <f aca="false">-(BB182*(1-Logistica!$B$5)*Logistica!$B$7+BB182*Logistica!$B$5*Logistica!$B$39)</f>
        <v>-1137.31100173998</v>
      </c>
      <c r="BC211" s="28" t="n">
        <f aca="false">-(BC182*(1-Logistica!$B$5)*Logistica!$B$7+BC182*Logistica!$B$5*Logistica!$B$39)</f>
        <v>-1137.31100173998</v>
      </c>
      <c r="BD211" s="28" t="n">
        <f aca="false">-(BD182*(1-Logistica!$B$5)*Logistica!$B$7+BD182*Logistica!$B$5*Logistica!$B$39)</f>
        <v>-1137.31100173998</v>
      </c>
      <c r="BE211" s="28" t="n">
        <f aca="false">-(BE182*(1-Logistica!$B$5)*Logistica!$B$7+BE182*Logistica!$B$5*Logistica!$B$39)</f>
        <v>-1137.31100173998</v>
      </c>
      <c r="BF211" s="28" t="n">
        <f aca="false">-(BF182*(1-Logistica!$B$5)*Logistica!$B$7+BF182*Logistica!$B$5*Logistica!$B$39)</f>
        <v>-1137.31100173998</v>
      </c>
      <c r="BG211" s="28" t="n">
        <f aca="false">-(BG182*(1-Logistica!$B$5)*Logistica!$B$7+BG182*Logistica!$B$5*Logistica!$B$39)</f>
        <v>-1137.31100173998</v>
      </c>
      <c r="BH211" s="28" t="n">
        <f aca="false">-(BH182*(1-Logistica!$B$5)*Logistica!$B$7+BH182*Logistica!$B$5*Logistica!$B$39)</f>
        <v>-1137.31100173998</v>
      </c>
      <c r="BI211" s="28" t="n">
        <f aca="false">-(BI182*(1-Logistica!$B$5)*Logistica!$B$7+BI182*Logistica!$B$5*Logistica!$B$39)</f>
        <v>-1137.31100173998</v>
      </c>
      <c r="BJ211" s="28" t="n">
        <f aca="false">-(BJ182*(1-Logistica!$B$5)*Logistica!$B$7+BJ182*Logistica!$B$5*Logistica!$B$39)</f>
        <v>-1137.31100173998</v>
      </c>
      <c r="BK211" s="28" t="n">
        <f aca="false">-(BK182*(1-Logistica!$B$5)*Logistica!$B$7+BK182*Logistica!$B$5*Logistica!$B$39)</f>
        <v>-1137.31100173998</v>
      </c>
      <c r="BL211" s="28" t="n">
        <f aca="false">-(BL182*(1-Logistica!$B$5)*Logistica!$B$7+BL182*Logistica!$B$5*Logistica!$B$39)</f>
        <v>-1137.31100173998</v>
      </c>
      <c r="BM211" s="28" t="n">
        <f aca="false">-(BM182*(1-Logistica!$B$5)*Logistica!$B$7+BM182*Logistica!$B$5*Logistica!$B$39)</f>
        <v>-1137.31100173998</v>
      </c>
      <c r="BN211" s="28" t="n">
        <f aca="false">-(BN182*(1-Logistica!$B$5)*Logistica!$B$7+BN182*Logistica!$B$5*Logistica!$B$39)</f>
        <v>-1137.31100173998</v>
      </c>
      <c r="BO211" s="28" t="n">
        <f aca="false">-(BO182*(1-Logistica!$B$5)*Logistica!$B$7+BO182*Logistica!$B$5*Logistica!$B$39)</f>
        <v>-1137.31100173998</v>
      </c>
      <c r="BP211" s="28" t="n">
        <f aca="false">-(BP182*(1-Logistica!$B$5)*Logistica!$B$7+BP182*Logistica!$B$5*Logistica!$B$39)</f>
        <v>-1137.31100173998</v>
      </c>
      <c r="BQ211" s="28" t="n">
        <f aca="false">-(BQ182*(1-Logistica!$B$5)*Logistica!$B$7+BQ182*Logistica!$B$5*Logistica!$B$39)</f>
        <v>-1137.31100173998</v>
      </c>
      <c r="BR211" s="28" t="n">
        <f aca="false">-(BR182*(1-Logistica!$B$5)*Logistica!$B$7+BR182*Logistica!$B$5*Logistica!$B$39)</f>
        <v>-1137.31100173998</v>
      </c>
      <c r="BS211" s="28" t="n">
        <f aca="false">-(BS182*(1-Logistica!$B$5)*Logistica!$B$7+BS182*Logistica!$B$5*Logistica!$B$39)</f>
        <v>-1137.31100173998</v>
      </c>
      <c r="BT211" s="28" t="n">
        <f aca="false">-(BT182*(1-Logistica!$B$5)*Logistica!$B$7+BT182*Logistica!$B$5*Logistica!$B$39)</f>
        <v>-1137.31100173998</v>
      </c>
      <c r="BU211" s="28" t="n">
        <f aca="false">-(BU182*(1-Logistica!$B$5)*Logistica!$B$7+BU182*Logistica!$B$5*Logistica!$B$39)</f>
        <v>-1137.31100173998</v>
      </c>
      <c r="BV211" s="28" t="n">
        <f aca="false">-(BV182*(1-Logistica!$B$5)*Logistica!$B$7+BV182*Logistica!$B$5*Logistica!$B$39)</f>
        <v>-1137.31100173998</v>
      </c>
      <c r="BW211" s="28" t="n">
        <f aca="false">-(BW182*(1-Logistica!$B$5)*Logistica!$B$7+BW182*Logistica!$B$5*Logistica!$B$39)</f>
        <v>-1137.31100173998</v>
      </c>
      <c r="BX211" s="28" t="n">
        <f aca="false">-(BX182*(1-Logistica!$B$5)*Logistica!$B$7+BX182*Logistica!$B$5*Logistica!$B$39)</f>
        <v>-1137.31100173998</v>
      </c>
      <c r="BY211" s="28" t="n">
        <f aca="false">-(BY182*(1-Logistica!$B$5)*Logistica!$B$7+BY182*Logistica!$B$5*Logistica!$B$39)</f>
        <v>-1137.31100173998</v>
      </c>
      <c r="BZ211" s="28" t="n">
        <f aca="false">-(BZ182*(1-Logistica!$B$5)*Logistica!$B$7+BZ182*Logistica!$B$5*Logistica!$B$39)</f>
        <v>-1137.31100173998</v>
      </c>
      <c r="CA211" s="28" t="n">
        <f aca="false">-(CA182*(1-Logistica!$B$5)*Logistica!$B$7+CA182*Logistica!$B$5*Logistica!$B$39)</f>
        <v>-1137.31100173998</v>
      </c>
      <c r="CB211" s="28" t="n">
        <f aca="false">-(CB182*(1-Logistica!$B$5)*Logistica!$B$7+CB182*Logistica!$B$5*Logistica!$B$39)</f>
        <v>-1137.31100173998</v>
      </c>
      <c r="CC211" s="28" t="n">
        <f aca="false">-(CC182*(1-Logistica!$B$5)*Logistica!$B$7+CC182*Logistica!$B$5*Logistica!$B$39)</f>
        <v>-1137.31100173998</v>
      </c>
      <c r="CD211" s="28" t="n">
        <f aca="false">-(CD182*(1-Logistica!$B$5)*Logistica!$B$7+CD182*Logistica!$B$5*Logistica!$B$39)</f>
        <v>-1137.31100173998</v>
      </c>
      <c r="CE211" s="28" t="n">
        <f aca="false">-(CE182*(1-Logistica!$B$5)*Logistica!$B$7+CE182*Logistica!$B$5*Logistica!$B$39)</f>
        <v>-1137.31100173998</v>
      </c>
      <c r="CF211" s="28" t="n">
        <f aca="false">-(CF182*(1-Logistica!$B$5)*Logistica!$B$7+CF182*Logistica!$B$5*Logistica!$B$39)</f>
        <v>-1137.31100173998</v>
      </c>
      <c r="CG211" s="28" t="n">
        <f aca="false">-(CG182*(1-Logistica!$B$5)*Logistica!$B$7+CG182*Logistica!$B$5*Logistica!$B$39)</f>
        <v>-1137.31100173998</v>
      </c>
      <c r="CH211" s="28" t="n">
        <f aca="false">-(CH182*(1-Logistica!$B$5)*Logistica!$B$7+CH182*Logistica!$B$5*Logistica!$B$39)</f>
        <v>-1137.31100173998</v>
      </c>
    </row>
    <row r="212" customFormat="false" ht="15" hidden="false" customHeight="false" outlineLevel="0" collapsed="false">
      <c r="A212" s="1" t="s">
        <v>873</v>
      </c>
      <c r="C212" s="28" t="n">
        <f aca="false">(C186+C192)*Hipótesis!$D$66/30</f>
        <v>929.8125</v>
      </c>
      <c r="D212" s="28" t="n">
        <f aca="false">(D186+D192)*Hipótesis!$D$66/30</f>
        <v>1930.095</v>
      </c>
      <c r="E212" s="28" t="n">
        <f aca="false">(E186+E192)*Hipótesis!$D$66/30</f>
        <v>4011.89625</v>
      </c>
      <c r="F212" s="28" t="n">
        <f aca="false">(F186+F192)*Hipótesis!$D$66/30</f>
        <v>5163.885</v>
      </c>
      <c r="G212" s="28" t="n">
        <f aca="false">(G186+G192)*Hipótesis!$D$66/30</f>
        <v>6245.40375</v>
      </c>
      <c r="H212" s="28" t="n">
        <f aca="false">(H186+H192)*Hipótesis!$D$66/30</f>
        <v>7972.8975</v>
      </c>
      <c r="I212" s="28" t="n">
        <f aca="false">(I186+I192)*Hipótesis!$D$66/30</f>
        <v>9803.48726882432</v>
      </c>
      <c r="J212" s="28" t="n">
        <f aca="false">(J186+J192)*Hipótesis!$D$66/30</f>
        <v>13489.8053764865</v>
      </c>
      <c r="K212" s="28" t="n">
        <f aca="false">(K186+K192)*Hipótesis!$D$66/30</f>
        <v>17176.1234841486</v>
      </c>
      <c r="L212" s="28" t="n">
        <f aca="false">(L186+L192)*Hipótesis!$D$66/30</f>
        <v>20862.4415918108</v>
      </c>
      <c r="M212" s="28" t="n">
        <f aca="false">(M186+M192)*Hipótesis!$D$66/30</f>
        <v>23467.240949473</v>
      </c>
      <c r="N212" s="28" t="n">
        <f aca="false">(N186+N192)*Hipótesis!$D$66/30</f>
        <v>26952.9153071351</v>
      </c>
      <c r="O212" s="28" t="n">
        <f aca="false">(O186+O192)*Hipótesis!$D$66/30</f>
        <v>30438.5896647973</v>
      </c>
      <c r="P212" s="28" t="n">
        <f aca="false">(P186+P192)*Hipótesis!$D$66/30</f>
        <v>33607.1490224595</v>
      </c>
      <c r="Q212" s="28" t="n">
        <f aca="false">(Q186+Q192)*Hipótesis!$D$66/30</f>
        <v>36775.7083801216</v>
      </c>
      <c r="R212" s="28" t="n">
        <f aca="false">(R186+R192)*Hipótesis!$D$66/30</f>
        <v>39944.2677377838</v>
      </c>
      <c r="S212" s="28" t="n">
        <f aca="false">(S186+S192)*Hipótesis!$D$66/30</f>
        <v>43112.8270954459</v>
      </c>
      <c r="T212" s="28" t="n">
        <f aca="false">(T186+T192)*Hipótesis!$D$66/30</f>
        <v>46281.3864531081</v>
      </c>
      <c r="U212" s="28" t="n">
        <f aca="false">(U186+U192)*Hipótesis!$D$66/30</f>
        <v>49449.9458107703</v>
      </c>
      <c r="V212" s="28" t="n">
        <f aca="false">(V186+V192)*Hipótesis!$D$66/30</f>
        <v>52618.5051684324</v>
      </c>
      <c r="W212" s="28" t="n">
        <f aca="false">(W186+W192)*Hipótesis!$D$66/30</f>
        <v>55787.0645260946</v>
      </c>
      <c r="X212" s="28" t="n">
        <f aca="false">(X186+X192)*Hipótesis!$D$66/30</f>
        <v>58074.7488837568</v>
      </c>
      <c r="Y212" s="28" t="n">
        <f aca="false">(Y186+Y192)*Hipótesis!$D$66/30</f>
        <v>60362.4332414189</v>
      </c>
      <c r="Z212" s="28" t="n">
        <f aca="false">(Z186+Z192)*Hipótesis!$D$66/30</f>
        <v>62321.2575990811</v>
      </c>
      <c r="AA212" s="28" t="n">
        <f aca="false">(AA186+AA192)*Hipótesis!$D$66/30</f>
        <v>64589.3700132162</v>
      </c>
      <c r="AB212" s="28" t="n">
        <f aca="false">(AB186+AB192)*Hipótesis!$D$66/30</f>
        <v>66857.4824273514</v>
      </c>
      <c r="AC212" s="28" t="n">
        <f aca="false">(AC186+AC192)*Hipótesis!$D$66/30</f>
        <v>69125.5948414865</v>
      </c>
      <c r="AD212" s="28" t="n">
        <f aca="false">(AD186+AD192)*Hipótesis!$D$66/30</f>
        <v>71393.7072556216</v>
      </c>
      <c r="AE212" s="28" t="n">
        <f aca="false">(AE186+AE192)*Hipótesis!$D$66/30</f>
        <v>73661.8196697568</v>
      </c>
      <c r="AF212" s="28" t="n">
        <f aca="false">(AF186+AF192)*Hipótesis!$D$66/30</f>
        <v>75929.9320838919</v>
      </c>
      <c r="AG212" s="28" t="n">
        <f aca="false">(AG186+AG192)*Hipótesis!$D$66/30</f>
        <v>78198.044498027</v>
      </c>
      <c r="AH212" s="28" t="n">
        <f aca="false">(AH186+AH192)*Hipótesis!$D$66/30</f>
        <v>80466.1569121622</v>
      </c>
      <c r="AI212" s="28" t="n">
        <f aca="false">(AI186+AI192)*Hipótesis!$D$66/30</f>
        <v>82734.2693262973</v>
      </c>
      <c r="AJ212" s="28" t="n">
        <f aca="false">(AJ186+AJ192)*Hipótesis!$D$66/30</f>
        <v>85002.3817404324</v>
      </c>
      <c r="AK212" s="28" t="n">
        <f aca="false">(AK186+AK192)*Hipótesis!$D$66/30</f>
        <v>87270.4941545676</v>
      </c>
      <c r="AL212" s="28" t="n">
        <f aca="false">(AL186+AL192)*Hipótesis!$D$66/30</f>
        <v>89538.6065687027</v>
      </c>
      <c r="AM212" s="28" t="n">
        <f aca="false">(AM186+AM192)*Hipótesis!$D$66/30</f>
        <v>91806.7189828378</v>
      </c>
      <c r="AN212" s="28" t="n">
        <f aca="false">(AN186+AN192)*Hipótesis!$D$66/30</f>
        <v>94074.831396973</v>
      </c>
      <c r="AO212" s="28" t="n">
        <f aca="false">(AO186+AO192)*Hipótesis!$D$66/30</f>
        <v>96342.9438111081</v>
      </c>
      <c r="AP212" s="28" t="n">
        <f aca="false">(AP186+AP192)*Hipótesis!$D$66/30</f>
        <v>98611.0562252433</v>
      </c>
      <c r="AQ212" s="28" t="n">
        <f aca="false">(AQ186+AQ192)*Hipótesis!$D$66/30</f>
        <v>100879.168639378</v>
      </c>
      <c r="AR212" s="28" t="n">
        <f aca="false">(AR186+AR192)*Hipótesis!$D$66/30</f>
        <v>103147.281053514</v>
      </c>
      <c r="AS212" s="28" t="n">
        <f aca="false">(AS186+AS192)*Hipótesis!$D$66/30</f>
        <v>103147.281053514</v>
      </c>
      <c r="AT212" s="28" t="n">
        <f aca="false">(AT186+AT192)*Hipótesis!$D$66/30</f>
        <v>103147.281053514</v>
      </c>
      <c r="AU212" s="28" t="n">
        <f aca="false">(AU186+AU192)*Hipótesis!$D$66/30</f>
        <v>103147.281053514</v>
      </c>
      <c r="AV212" s="28" t="n">
        <f aca="false">(AV186+AV192)*Hipótesis!$D$66/30</f>
        <v>103147.281053514</v>
      </c>
      <c r="AW212" s="28" t="n">
        <f aca="false">(AW186+AW192)*Hipótesis!$D$66/30</f>
        <v>103147.281053514</v>
      </c>
      <c r="AX212" s="28" t="n">
        <f aca="false">(AX186+AX192)*Hipótesis!$D$66/30</f>
        <v>103147.281053514</v>
      </c>
      <c r="AY212" s="28" t="n">
        <f aca="false">(AY186+AY192)*Hipótesis!$D$66/30</f>
        <v>103147.281053514</v>
      </c>
      <c r="AZ212" s="28" t="n">
        <f aca="false">(AZ186+AZ192)*Hipótesis!$D$66/30</f>
        <v>103147.281053514</v>
      </c>
      <c r="BA212" s="28" t="n">
        <f aca="false">(BA186+BA192)*Hipótesis!$D$66/30</f>
        <v>103147.281053514</v>
      </c>
      <c r="BB212" s="28" t="n">
        <f aca="false">(BB186+BB192)*Hipótesis!$D$66/30</f>
        <v>103147.281053514</v>
      </c>
      <c r="BC212" s="28" t="n">
        <f aca="false">(BC186+BC192)*Hipótesis!$D$66/30</f>
        <v>103147.281053514</v>
      </c>
      <c r="BD212" s="28" t="n">
        <f aca="false">(BD186+BD192)*Hipótesis!$D$66/30</f>
        <v>103147.281053514</v>
      </c>
      <c r="BE212" s="28" t="n">
        <f aca="false">(BE186+BE192)*Hipótesis!$D$66/30</f>
        <v>103147.281053514</v>
      </c>
      <c r="BF212" s="28" t="n">
        <f aca="false">(BF186+BF192)*Hipótesis!$D$66/30</f>
        <v>103147.281053514</v>
      </c>
      <c r="BG212" s="28" t="n">
        <f aca="false">(BG186+BG192)*Hipótesis!$D$66/30</f>
        <v>103147.281053514</v>
      </c>
      <c r="BH212" s="28" t="n">
        <f aca="false">(BH186+BH192)*Hipótesis!$D$66/30</f>
        <v>103147.281053514</v>
      </c>
      <c r="BI212" s="28" t="n">
        <f aca="false">(BI186+BI192)*Hipótesis!$D$66/30</f>
        <v>103147.281053514</v>
      </c>
      <c r="BJ212" s="28" t="n">
        <f aca="false">(BJ186+BJ192)*Hipótesis!$D$66/30</f>
        <v>103147.281053514</v>
      </c>
      <c r="BK212" s="28" t="n">
        <f aca="false">(BK186+BK192)*Hipótesis!$D$66/30</f>
        <v>103147.281053514</v>
      </c>
      <c r="BL212" s="28" t="n">
        <f aca="false">(BL186+BL192)*Hipótesis!$D$66/30</f>
        <v>103147.281053514</v>
      </c>
      <c r="BM212" s="28" t="n">
        <f aca="false">(BM186+BM192)*Hipótesis!$D$66/30</f>
        <v>103147.281053514</v>
      </c>
      <c r="BN212" s="28" t="n">
        <f aca="false">(BN186+BN192)*Hipótesis!$D$66/30</f>
        <v>103147.281053514</v>
      </c>
      <c r="BO212" s="28" t="n">
        <f aca="false">(BO186+BO192)*Hipótesis!$D$66/30</f>
        <v>103147.281053514</v>
      </c>
      <c r="BP212" s="28" t="n">
        <f aca="false">(BP186+BP192)*Hipótesis!$D$66/30</f>
        <v>103147.281053514</v>
      </c>
      <c r="BQ212" s="28" t="n">
        <f aca="false">(BQ186+BQ192)*Hipótesis!$D$66/30</f>
        <v>103147.281053514</v>
      </c>
      <c r="BR212" s="28" t="n">
        <f aca="false">(BR186+BR192)*Hipótesis!$D$66/30</f>
        <v>103147.281053514</v>
      </c>
      <c r="BS212" s="28" t="n">
        <f aca="false">(BS186+BS192)*Hipótesis!$D$66/30</f>
        <v>103147.281053514</v>
      </c>
      <c r="BT212" s="28" t="n">
        <f aca="false">(BT186+BT192)*Hipótesis!$D$66/30</f>
        <v>103147.281053514</v>
      </c>
      <c r="BU212" s="28" t="n">
        <f aca="false">(BU186+BU192)*Hipótesis!$D$66/30</f>
        <v>103147.281053514</v>
      </c>
      <c r="BV212" s="28" t="n">
        <f aca="false">(BV186+BV192)*Hipótesis!$D$66/30</f>
        <v>103147.281053514</v>
      </c>
      <c r="BW212" s="28" t="n">
        <f aca="false">(BW186+BW192)*Hipótesis!$D$66/30</f>
        <v>103147.281053514</v>
      </c>
      <c r="BX212" s="28" t="n">
        <f aca="false">(BX186+BX192)*Hipótesis!$D$66/30</f>
        <v>103147.281053514</v>
      </c>
      <c r="BY212" s="28" t="n">
        <f aca="false">(BY186+BY192)*Hipótesis!$D$66/30</f>
        <v>103147.281053514</v>
      </c>
      <c r="BZ212" s="28" t="n">
        <f aca="false">(BZ186+BZ192)*Hipótesis!$D$66/30</f>
        <v>103147.281053514</v>
      </c>
      <c r="CA212" s="28" t="n">
        <f aca="false">(CA186+CA192)*Hipótesis!$D$66/30</f>
        <v>103147.281053514</v>
      </c>
      <c r="CB212" s="28" t="n">
        <f aca="false">(CB186+CB192)*Hipótesis!$D$66/30</f>
        <v>103147.281053514</v>
      </c>
      <c r="CC212" s="28" t="n">
        <f aca="false">(CC186+CC192)*Hipótesis!$D$66/30</f>
        <v>103147.281053514</v>
      </c>
      <c r="CD212" s="28" t="n">
        <f aca="false">(CD186+CD192)*Hipótesis!$D$66/30</f>
        <v>103147.281053514</v>
      </c>
      <c r="CE212" s="28" t="n">
        <f aca="false">(CE186+CE192)*Hipótesis!$D$66/30</f>
        <v>103147.281053514</v>
      </c>
      <c r="CF212" s="28" t="n">
        <f aca="false">(CF186+CF192)*Hipótesis!$D$66/30</f>
        <v>103147.281053514</v>
      </c>
      <c r="CG212" s="28" t="n">
        <f aca="false">(CG186+CG192)*Hipótesis!$D$66/30</f>
        <v>103147.281053514</v>
      </c>
      <c r="CH212" s="28" t="n">
        <f aca="false">(CH186+CH192)*Hipótesis!$D$66/30</f>
        <v>103147.281053514</v>
      </c>
    </row>
    <row r="213" customFormat="false" ht="15" hidden="false" customHeight="false" outlineLevel="0" collapsed="false">
      <c r="A213" s="1" t="s">
        <v>874</v>
      </c>
      <c r="C213" s="28" t="n">
        <f aca="false">(C190+C193)*Restaurantes!$D$28/30</f>
        <v>1160.15658604054</v>
      </c>
      <c r="D213" s="28" t="n">
        <f aca="false">(D190+D193)*Restaurantes!$D$28/30</f>
        <v>2320.31317208108</v>
      </c>
      <c r="E213" s="28" t="n">
        <f aca="false">(E190+E193)*Restaurantes!$D$28/30</f>
        <v>3480.46975812162</v>
      </c>
      <c r="F213" s="28" t="n">
        <f aca="false">(F190+F193)*Restaurantes!$D$28/30</f>
        <v>4640.62634416216</v>
      </c>
      <c r="G213" s="28" t="n">
        <f aca="false">(G190+G193)*Restaurantes!$D$28/30</f>
        <v>870.117439530406</v>
      </c>
      <c r="H213" s="28" t="n">
        <f aca="false">(H190+H193)*Restaurantes!$D$28/30</f>
        <v>6960.93951624325</v>
      </c>
      <c r="I213" s="28" t="n">
        <f aca="false">(I190+I193)*Restaurantes!$D$28/30</f>
        <v>8121.09610228379</v>
      </c>
      <c r="J213" s="28" t="n">
        <f aca="false">(J190+J193)*Restaurantes!$D$28/30</f>
        <v>9281.25268832433</v>
      </c>
      <c r="K213" s="28" t="n">
        <f aca="false">(K190+K193)*Restaurantes!$D$28/30</f>
        <v>10441.4092743649</v>
      </c>
      <c r="L213" s="28" t="n">
        <f aca="false">(L190+L193)*Restaurantes!$D$28/30</f>
        <v>11601.5658604054</v>
      </c>
      <c r="M213" s="28" t="n">
        <f aca="false">(M190+M193)*Restaurantes!$D$28/30</f>
        <v>12761.7224464459</v>
      </c>
      <c r="N213" s="28" t="n">
        <f aca="false">(N190+N193)*Restaurantes!$D$28/30</f>
        <v>13921.8790324865</v>
      </c>
      <c r="O213" s="28" t="n">
        <f aca="false">(O190+O193)*Restaurantes!$D$28/30</f>
        <v>15082.035618527</v>
      </c>
      <c r="P213" s="28" t="n">
        <f aca="false">(P190+P193)*Restaurantes!$D$28/30</f>
        <v>16242.1922045676</v>
      </c>
      <c r="Q213" s="28" t="n">
        <f aca="false">(Q190+Q193)*Restaurantes!$D$28/30</f>
        <v>17402.3487906081</v>
      </c>
      <c r="R213" s="28" t="n">
        <f aca="false">(R190+R193)*Restaurantes!$D$28/30</f>
        <v>18562.5053766487</v>
      </c>
      <c r="S213" s="28" t="n">
        <f aca="false">(S190+S193)*Restaurantes!$D$28/30</f>
        <v>2958.39929440338</v>
      </c>
      <c r="T213" s="28" t="n">
        <f aca="false">(T190+T193)*Restaurantes!$D$28/30</f>
        <v>20882.8185487297</v>
      </c>
      <c r="U213" s="28" t="n">
        <f aca="false">(U190+U193)*Restaurantes!$D$28/30</f>
        <v>22042.9751347703</v>
      </c>
      <c r="V213" s="28" t="n">
        <f aca="false">(V190+V193)*Restaurantes!$D$28/30</f>
        <v>23203.1317208108</v>
      </c>
      <c r="W213" s="28" t="n">
        <f aca="false">(W190+W193)*Restaurantes!$D$28/30</f>
        <v>24363.2883068514</v>
      </c>
      <c r="X213" s="28" t="n">
        <f aca="false">(X190+X193)*Restaurantes!$D$28/30</f>
        <v>25523.4448928919</v>
      </c>
      <c r="Y213" s="28" t="n">
        <f aca="false">(Y190+Y193)*Restaurantes!$D$28/30</f>
        <v>26683.6014789324</v>
      </c>
      <c r="Z213" s="28" t="n">
        <f aca="false">(Z190+Z193)*Restaurantes!$D$28/30</f>
        <v>27843.758064973</v>
      </c>
      <c r="AA213" s="28" t="n">
        <f aca="false">(AA190+AA193)*Restaurantes!$D$28/30</f>
        <v>27843.758064973</v>
      </c>
      <c r="AB213" s="28" t="n">
        <f aca="false">(AB190+AB193)*Restaurantes!$D$28/30</f>
        <v>27843.758064973</v>
      </c>
      <c r="AC213" s="28" t="n">
        <f aca="false">(AC190+AC193)*Restaurantes!$D$28/30</f>
        <v>27843.758064973</v>
      </c>
      <c r="AD213" s="28" t="n">
        <f aca="false">(AD190+AD193)*Restaurantes!$D$28/30</f>
        <v>27843.758064973</v>
      </c>
      <c r="AE213" s="28" t="n">
        <f aca="false">(AE190+AE193)*Restaurantes!$D$28/30</f>
        <v>4176.56370974595</v>
      </c>
      <c r="AF213" s="28" t="n">
        <f aca="false">(AF190+AF193)*Restaurantes!$D$28/30</f>
        <v>27843.758064973</v>
      </c>
      <c r="AG213" s="28" t="n">
        <f aca="false">(AG190+AG193)*Restaurantes!$D$28/30</f>
        <v>27843.758064973</v>
      </c>
      <c r="AH213" s="28" t="n">
        <f aca="false">(AH190+AH193)*Restaurantes!$D$28/30</f>
        <v>27843.758064973</v>
      </c>
      <c r="AI213" s="28" t="n">
        <f aca="false">(AI190+AI193)*Restaurantes!$D$28/30</f>
        <v>27843.758064973</v>
      </c>
      <c r="AJ213" s="28" t="n">
        <f aca="false">(AJ190+AJ193)*Restaurantes!$D$28/30</f>
        <v>27843.758064973</v>
      </c>
      <c r="AK213" s="28" t="n">
        <f aca="false">(AK190+AK193)*Restaurantes!$D$28/30</f>
        <v>27843.758064973</v>
      </c>
      <c r="AL213" s="28" t="n">
        <f aca="false">(AL190+AL193)*Restaurantes!$D$28/30</f>
        <v>27843.758064973</v>
      </c>
      <c r="AM213" s="28" t="n">
        <f aca="false">(AM190+AM193)*Restaurantes!$D$28/30</f>
        <v>27843.758064973</v>
      </c>
      <c r="AN213" s="28" t="n">
        <f aca="false">(AN190+AN193)*Restaurantes!$D$28/30</f>
        <v>27843.758064973</v>
      </c>
      <c r="AO213" s="28" t="n">
        <f aca="false">(AO190+AO193)*Restaurantes!$D$28/30</f>
        <v>27843.758064973</v>
      </c>
      <c r="AP213" s="28" t="n">
        <f aca="false">(AP190+AP193)*Restaurantes!$D$28/30</f>
        <v>27843.758064973</v>
      </c>
      <c r="AQ213" s="28" t="n">
        <f aca="false">(AQ190+AQ193)*Restaurantes!$D$28/30</f>
        <v>4176.56370974595</v>
      </c>
      <c r="AR213" s="28" t="n">
        <f aca="false">(AR190+AR193)*Restaurantes!$D$28/30</f>
        <v>27843.758064973</v>
      </c>
      <c r="AS213" s="28" t="n">
        <f aca="false">(AS190+AS193)*Restaurantes!$D$28/30</f>
        <v>27843.758064973</v>
      </c>
      <c r="AT213" s="28" t="n">
        <f aca="false">(AT190+AT193)*Restaurantes!$D$28/30</f>
        <v>27843.758064973</v>
      </c>
      <c r="AU213" s="28" t="n">
        <f aca="false">(AU190+AU193)*Restaurantes!$D$28/30</f>
        <v>27843.758064973</v>
      </c>
      <c r="AV213" s="28" t="n">
        <f aca="false">(AV190+AV193)*Restaurantes!$D$28/30</f>
        <v>27843.758064973</v>
      </c>
      <c r="AW213" s="28" t="n">
        <f aca="false">(AW190+AW193)*Restaurantes!$D$28/30</f>
        <v>27843.758064973</v>
      </c>
      <c r="AX213" s="28" t="n">
        <f aca="false">(AX190+AX193)*Restaurantes!$D$28/30</f>
        <v>27843.758064973</v>
      </c>
      <c r="AY213" s="28" t="n">
        <f aca="false">(AY190+AY193)*Restaurantes!$D$28/30</f>
        <v>27843.758064973</v>
      </c>
      <c r="AZ213" s="28" t="n">
        <f aca="false">(AZ190+AZ193)*Restaurantes!$D$28/30</f>
        <v>27843.758064973</v>
      </c>
      <c r="BA213" s="28" t="n">
        <f aca="false">(BA190+BA193)*Restaurantes!$D$28/30</f>
        <v>27843.758064973</v>
      </c>
      <c r="BB213" s="28" t="n">
        <f aca="false">(BB190+BB193)*Restaurantes!$D$28/30</f>
        <v>27843.758064973</v>
      </c>
      <c r="BC213" s="28" t="n">
        <f aca="false">(BC190+BC193)*Restaurantes!$D$28/30</f>
        <v>4176.56370974595</v>
      </c>
      <c r="BD213" s="28" t="n">
        <f aca="false">(BD190+BD193)*Restaurantes!$D$28/30</f>
        <v>27843.758064973</v>
      </c>
      <c r="BE213" s="28" t="n">
        <f aca="false">(BE190+BE193)*Restaurantes!$D$28/30</f>
        <v>27843.758064973</v>
      </c>
      <c r="BF213" s="28" t="n">
        <f aca="false">(BF190+BF193)*Restaurantes!$D$28/30</f>
        <v>27843.758064973</v>
      </c>
      <c r="BG213" s="28" t="n">
        <f aca="false">(BG190+BG193)*Restaurantes!$D$28/30</f>
        <v>27843.758064973</v>
      </c>
      <c r="BH213" s="28" t="n">
        <f aca="false">(BH190+BH193)*Restaurantes!$D$28/30</f>
        <v>27843.758064973</v>
      </c>
      <c r="BI213" s="28" t="n">
        <f aca="false">(BI190+BI193)*Restaurantes!$D$28/30</f>
        <v>27843.758064973</v>
      </c>
      <c r="BJ213" s="28" t="n">
        <f aca="false">(BJ190+BJ193)*Restaurantes!$D$28/30</f>
        <v>27843.758064973</v>
      </c>
      <c r="BK213" s="28" t="n">
        <f aca="false">(BK190+BK193)*Restaurantes!$D$28/30</f>
        <v>27843.758064973</v>
      </c>
      <c r="BL213" s="28" t="n">
        <f aca="false">(BL190+BL193)*Restaurantes!$D$28/30</f>
        <v>27843.758064973</v>
      </c>
      <c r="BM213" s="28" t="n">
        <f aca="false">(BM190+BM193)*Restaurantes!$D$28/30</f>
        <v>27843.758064973</v>
      </c>
      <c r="BN213" s="28" t="n">
        <f aca="false">(BN190+BN193)*Restaurantes!$D$28/30</f>
        <v>27843.758064973</v>
      </c>
      <c r="BO213" s="28" t="n">
        <f aca="false">(BO190+BO193)*Restaurantes!$D$28/30</f>
        <v>4176.56370974595</v>
      </c>
      <c r="BP213" s="28" t="n">
        <f aca="false">(BP190+BP193)*Restaurantes!$D$28/30</f>
        <v>27843.758064973</v>
      </c>
      <c r="BQ213" s="28" t="n">
        <f aca="false">(BQ190+BQ193)*Restaurantes!$D$28/30</f>
        <v>27843.758064973</v>
      </c>
      <c r="BR213" s="28" t="n">
        <f aca="false">(BR190+BR193)*Restaurantes!$D$28/30</f>
        <v>27843.758064973</v>
      </c>
      <c r="BS213" s="28" t="n">
        <f aca="false">(BS190+BS193)*Restaurantes!$D$28/30</f>
        <v>27843.758064973</v>
      </c>
      <c r="BT213" s="28" t="n">
        <f aca="false">(BT190+BT193)*Restaurantes!$D$28/30</f>
        <v>27843.758064973</v>
      </c>
      <c r="BU213" s="28" t="n">
        <f aca="false">(BU190+BU193)*Restaurantes!$D$28/30</f>
        <v>27843.758064973</v>
      </c>
      <c r="BV213" s="28" t="n">
        <f aca="false">(BV190+BV193)*Restaurantes!$D$28/30</f>
        <v>27843.758064973</v>
      </c>
      <c r="BW213" s="28" t="n">
        <f aca="false">(BW190+BW193)*Restaurantes!$D$28/30</f>
        <v>27843.758064973</v>
      </c>
      <c r="BX213" s="28" t="n">
        <f aca="false">(BX190+BX193)*Restaurantes!$D$28/30</f>
        <v>27843.758064973</v>
      </c>
      <c r="BY213" s="28" t="n">
        <f aca="false">(BY190+BY193)*Restaurantes!$D$28/30</f>
        <v>27843.758064973</v>
      </c>
      <c r="BZ213" s="28" t="n">
        <f aca="false">(BZ190+BZ193)*Restaurantes!$D$28/30</f>
        <v>27843.758064973</v>
      </c>
      <c r="CA213" s="28" t="n">
        <f aca="false">(CA190+CA193)*Restaurantes!$D$28/30</f>
        <v>4176.56370974595</v>
      </c>
      <c r="CB213" s="28" t="n">
        <f aca="false">(CB190+CB193)*Restaurantes!$D$28/30</f>
        <v>27843.758064973</v>
      </c>
      <c r="CC213" s="28" t="n">
        <f aca="false">(CC190+CC193)*Restaurantes!$D$28/30</f>
        <v>27843.758064973</v>
      </c>
      <c r="CD213" s="28" t="n">
        <f aca="false">(CD190+CD193)*Restaurantes!$D$28/30</f>
        <v>27843.758064973</v>
      </c>
      <c r="CE213" s="28" t="n">
        <f aca="false">(CE190+CE193)*Restaurantes!$D$28/30</f>
        <v>27843.758064973</v>
      </c>
      <c r="CF213" s="28" t="n">
        <f aca="false">(CF190+CF193)*Restaurantes!$D$28/30</f>
        <v>27843.758064973</v>
      </c>
      <c r="CG213" s="28" t="n">
        <f aca="false">(CG190+CG193)*Restaurantes!$D$28/30</f>
        <v>27843.758064973</v>
      </c>
      <c r="CH213" s="28" t="n">
        <f aca="false">(CH190+CH193)*Restaurantes!$D$28/30</f>
        <v>27843.758064973</v>
      </c>
    </row>
    <row r="214" customFormat="false" ht="15" hidden="false" customHeight="false" outlineLevel="0" collapsed="false">
      <c r="A214" s="25" t="s">
        <v>875</v>
      </c>
      <c r="C214" s="156" t="n">
        <f aca="false">C186+C192+C194+C211</f>
        <v>788.389483362265</v>
      </c>
      <c r="D214" s="156" t="n">
        <f aca="false">D186+D192+D194+D211</f>
        <v>1631.26881508583</v>
      </c>
      <c r="E214" s="156" t="n">
        <f aca="false">E186+E192+E194+E211</f>
        <v>3327.68474208545</v>
      </c>
      <c r="F214" s="156" t="n">
        <f aca="false">F186+F192+F194+F211</f>
        <v>4235.7111857228</v>
      </c>
      <c r="G214" s="156" t="n">
        <f aca="false">G186+G192+G194+G211</f>
        <v>5089.24778099885</v>
      </c>
      <c r="H214" s="156" t="n">
        <f aca="false">H186+H192+H194+H211</f>
        <v>6405.65347208147</v>
      </c>
      <c r="I214" s="156" t="n">
        <f aca="false">I186+I192+I194+I211</f>
        <v>7804.87313497221</v>
      </c>
      <c r="J214" s="156" t="n">
        <f aca="false">J186+J192+J194+J211</f>
        <v>10694.7442904091</v>
      </c>
      <c r="K214" s="156" t="n">
        <f aca="false">K186+K192+K194+K211</f>
        <v>13584.6154458459</v>
      </c>
      <c r="L214" s="156" t="n">
        <f aca="false">L186+L192+L194+L211</f>
        <v>16474.4866012828</v>
      </c>
      <c r="M214" s="156" t="n">
        <f aca="false">M186+M192+M194+M211</f>
        <v>18510.8211614436</v>
      </c>
      <c r="N214" s="156" t="n">
        <f aca="false">N186+N192+N194+N211</f>
        <v>21161.6948609594</v>
      </c>
      <c r="O214" s="156" t="n">
        <f aca="false">O186+O192+O194+O211</f>
        <v>23812.5685604753</v>
      </c>
      <c r="P214" s="156" t="n">
        <f aca="false">P186+P192+P194+P211</f>
        <v>26222.8988199265</v>
      </c>
      <c r="Q214" s="156" t="n">
        <f aca="false">Q186+Q192+Q194+Q211</f>
        <v>28633.2290793778</v>
      </c>
      <c r="R214" s="156" t="n">
        <f aca="false">R186+R192+R194+R211</f>
        <v>31043.5593388291</v>
      </c>
      <c r="S214" s="156" t="n">
        <f aca="false">S186+S192+S194+S211</f>
        <v>33453.8895982803</v>
      </c>
      <c r="T214" s="156" t="n">
        <f aca="false">T186+T192+T194+T211</f>
        <v>35864.2198577316</v>
      </c>
      <c r="U214" s="156" t="n">
        <f aca="false">U186+U192+U194+U211</f>
        <v>38274.5501171828</v>
      </c>
      <c r="V214" s="156" t="n">
        <f aca="false">V186+V192+V194+V211</f>
        <v>40684.8803766341</v>
      </c>
      <c r="W214" s="156" t="n">
        <f aca="false">W186+W192+W194+W211</f>
        <v>43095.2106360854</v>
      </c>
      <c r="X214" s="156" t="n">
        <f aca="false">X186+X192+X194+X211</f>
        <v>44891.0017561816</v>
      </c>
      <c r="Y214" s="156" t="n">
        <f aca="false">Y186+Y192+Y194+Y211</f>
        <v>46686.7928762779</v>
      </c>
      <c r="Z214" s="156" t="n">
        <f aca="false">Z186+Z192+Z194+Z211</f>
        <v>48260.2583406321</v>
      </c>
      <c r="AA214" s="156" t="n">
        <f aca="false">AA186+AA192+AA194+AA211</f>
        <v>50082.1657204107</v>
      </c>
      <c r="AB214" s="156" t="n">
        <f aca="false">AB186+AB192+AB194+AB211</f>
        <v>51904.0731001893</v>
      </c>
      <c r="AC214" s="156" t="n">
        <f aca="false">AC186+AC192+AC194+AC211</f>
        <v>53725.9804799679</v>
      </c>
      <c r="AD214" s="156" t="n">
        <f aca="false">AD186+AD192+AD194+AD211</f>
        <v>55547.8878597465</v>
      </c>
      <c r="AE214" s="156" t="n">
        <f aca="false">AE186+AE192+AE194+AE211</f>
        <v>57369.7952395251</v>
      </c>
      <c r="AF214" s="156" t="n">
        <f aca="false">AF186+AF192+AF194+AF211</f>
        <v>59191.7026193037</v>
      </c>
      <c r="AG214" s="156" t="n">
        <f aca="false">AG186+AG192+AG194+AG211</f>
        <v>61013.6099990823</v>
      </c>
      <c r="AH214" s="156" t="n">
        <f aca="false">AH186+AH192+AH194+AH211</f>
        <v>62835.5173788609</v>
      </c>
      <c r="AI214" s="156" t="n">
        <f aca="false">AI186+AI192+AI194+AI211</f>
        <v>64657.4247586395</v>
      </c>
      <c r="AJ214" s="156" t="n">
        <f aca="false">AJ186+AJ192+AJ194+AJ211</f>
        <v>66479.3321384181</v>
      </c>
      <c r="AK214" s="156" t="n">
        <f aca="false">AK186+AK192+AK194+AK211</f>
        <v>68301.2395181967</v>
      </c>
      <c r="AL214" s="156" t="n">
        <f aca="false">AL186+AL192+AL194+AL211</f>
        <v>70123.1468979753</v>
      </c>
      <c r="AM214" s="156" t="n">
        <f aca="false">AM186+AM192+AM194+AM211</f>
        <v>71945.0542777539</v>
      </c>
      <c r="AN214" s="156" t="n">
        <f aca="false">AN186+AN192+AN194+AN211</f>
        <v>73766.9616575324</v>
      </c>
      <c r="AO214" s="156" t="n">
        <f aca="false">AO186+AO192+AO194+AO211</f>
        <v>75588.8690373111</v>
      </c>
      <c r="AP214" s="156" t="n">
        <f aca="false">AP186+AP192+AP194+AP211</f>
        <v>77410.7764170897</v>
      </c>
      <c r="AQ214" s="156" t="n">
        <f aca="false">AQ186+AQ192+AQ194+AQ211</f>
        <v>79232.6837968683</v>
      </c>
      <c r="AR214" s="156" t="n">
        <f aca="false">AR186+AR192+AR194+AR211</f>
        <v>81054.5911766469</v>
      </c>
      <c r="AS214" s="156" t="n">
        <f aca="false">AS186+AS192+AS194+AS211</f>
        <v>81054.5911766469</v>
      </c>
      <c r="AT214" s="156" t="n">
        <f aca="false">AT186+AT192+AT194+AT211</f>
        <v>81054.5911766469</v>
      </c>
      <c r="AU214" s="156" t="n">
        <f aca="false">AU186+AU192+AU194+AU211</f>
        <v>81054.5911766469</v>
      </c>
      <c r="AV214" s="156" t="n">
        <f aca="false">AV186+AV192+AV194+AV211</f>
        <v>81054.5911766469</v>
      </c>
      <c r="AW214" s="156" t="n">
        <f aca="false">AW186+AW192+AW194+AW211</f>
        <v>81054.5911766469</v>
      </c>
      <c r="AX214" s="156" t="n">
        <f aca="false">AX186+AX192+AX194+AX211</f>
        <v>81054.5911766469</v>
      </c>
      <c r="AY214" s="156" t="n">
        <f aca="false">AY186+AY192+AY194+AY211</f>
        <v>81054.5911766469</v>
      </c>
      <c r="AZ214" s="156" t="n">
        <f aca="false">AZ186+AZ192+AZ194+AZ211</f>
        <v>81054.5911766469</v>
      </c>
      <c r="BA214" s="156" t="n">
        <f aca="false">BA186+BA192+BA194+BA211</f>
        <v>81054.5911766469</v>
      </c>
      <c r="BB214" s="156" t="n">
        <f aca="false">BB186+BB192+BB194+BB211</f>
        <v>81054.5911766469</v>
      </c>
      <c r="BC214" s="156" t="n">
        <f aca="false">BC186+BC192+BC194+BC211</f>
        <v>81054.5911766469</v>
      </c>
      <c r="BD214" s="156" t="n">
        <f aca="false">BD186+BD192+BD194+BD211</f>
        <v>81054.5911766469</v>
      </c>
      <c r="BE214" s="156" t="n">
        <f aca="false">BE186+BE192+BE194+BE211</f>
        <v>81054.5911766469</v>
      </c>
      <c r="BF214" s="156" t="n">
        <f aca="false">BF186+BF192+BF194+BF211</f>
        <v>81054.5911766469</v>
      </c>
      <c r="BG214" s="156" t="n">
        <f aca="false">BG186+BG192+BG194+BG211</f>
        <v>81054.5911766469</v>
      </c>
      <c r="BH214" s="156" t="n">
        <f aca="false">BH186+BH192+BH194+BH211</f>
        <v>81054.5911766469</v>
      </c>
      <c r="BI214" s="156" t="n">
        <f aca="false">BI186+BI192+BI194+BI211</f>
        <v>81054.5911766469</v>
      </c>
      <c r="BJ214" s="156" t="n">
        <f aca="false">BJ186+BJ192+BJ194+BJ211</f>
        <v>81054.5911766469</v>
      </c>
      <c r="BK214" s="156" t="n">
        <f aca="false">BK186+BK192+BK194+BK211</f>
        <v>81054.5911766469</v>
      </c>
      <c r="BL214" s="156" t="n">
        <f aca="false">BL186+BL192+BL194+BL211</f>
        <v>81054.5911766469</v>
      </c>
      <c r="BM214" s="156" t="n">
        <f aca="false">BM186+BM192+BM194+BM211</f>
        <v>81054.5911766469</v>
      </c>
      <c r="BN214" s="156" t="n">
        <f aca="false">BN186+BN192+BN194+BN211</f>
        <v>81054.5911766469</v>
      </c>
      <c r="BO214" s="156" t="n">
        <f aca="false">BO186+BO192+BO194+BO211</f>
        <v>81054.5911766469</v>
      </c>
      <c r="BP214" s="156" t="n">
        <f aca="false">BP186+BP192+BP194+BP211</f>
        <v>81054.5911766469</v>
      </c>
      <c r="BQ214" s="156" t="n">
        <f aca="false">BQ186+BQ192+BQ194+BQ211</f>
        <v>81054.5911766469</v>
      </c>
      <c r="BR214" s="156" t="n">
        <f aca="false">BR186+BR192+BR194+BR211</f>
        <v>81054.5911766469</v>
      </c>
      <c r="BS214" s="156" t="n">
        <f aca="false">BS186+BS192+BS194+BS211</f>
        <v>81054.5911766469</v>
      </c>
      <c r="BT214" s="156" t="n">
        <f aca="false">BT186+BT192+BT194+BT211</f>
        <v>81054.5911766469</v>
      </c>
      <c r="BU214" s="156" t="n">
        <f aca="false">BU186+BU192+BU194+BU211</f>
        <v>81054.5911766469</v>
      </c>
      <c r="BV214" s="156" t="n">
        <f aca="false">BV186+BV192+BV194+BV211</f>
        <v>81054.5911766469</v>
      </c>
      <c r="BW214" s="156" t="n">
        <f aca="false">BW186+BW192+BW194+BW211</f>
        <v>81054.5911766469</v>
      </c>
      <c r="BX214" s="156" t="n">
        <f aca="false">BX186+BX192+BX194+BX211</f>
        <v>81054.5911766469</v>
      </c>
      <c r="BY214" s="156" t="n">
        <f aca="false">BY186+BY192+BY194+BY211</f>
        <v>81054.5911766469</v>
      </c>
      <c r="BZ214" s="156" t="n">
        <f aca="false">BZ186+BZ192+BZ194+BZ211</f>
        <v>81054.5911766469</v>
      </c>
      <c r="CA214" s="156" t="n">
        <f aca="false">CA186+CA192+CA194+CA211</f>
        <v>81054.5911766469</v>
      </c>
      <c r="CB214" s="156" t="n">
        <f aca="false">CB186+CB192+CB194+CB211</f>
        <v>81054.5911766469</v>
      </c>
      <c r="CC214" s="156" t="n">
        <f aca="false">CC186+CC192+CC194+CC211</f>
        <v>81054.5911766469</v>
      </c>
      <c r="CD214" s="156" t="n">
        <f aca="false">CD186+CD192+CD194+CD211</f>
        <v>81054.5911766469</v>
      </c>
      <c r="CE214" s="156" t="n">
        <f aca="false">CE186+CE192+CE194+CE211</f>
        <v>81054.5911766469</v>
      </c>
      <c r="CF214" s="156" t="n">
        <f aca="false">CF186+CF192+CF194+CF211</f>
        <v>81054.5911766469</v>
      </c>
      <c r="CG214" s="156" t="n">
        <f aca="false">CG186+CG192+CG194+CG211</f>
        <v>81054.5911766469</v>
      </c>
      <c r="CH214" s="156" t="n">
        <f aca="false">CH186+CH192+CH194+CH211</f>
        <v>81054.5911766469</v>
      </c>
    </row>
    <row r="215" customFormat="false" ht="15" hidden="false" customHeight="false" outlineLevel="0" collapsed="false">
      <c r="A215" s="25" t="s">
        <v>876</v>
      </c>
      <c r="C215" s="156" t="n">
        <f aca="false">C190+C193+C195+C207+C209</f>
        <v>-1091.85041827724</v>
      </c>
      <c r="D215" s="156" t="n">
        <f aca="false">D190+D193+D195+D207+D209</f>
        <v>-40.6005231360876</v>
      </c>
      <c r="E215" s="156" t="n">
        <f aca="false">E190+E193+E195+E207+E209</f>
        <v>1010.64937200507</v>
      </c>
      <c r="F215" s="156" t="n">
        <f aca="false">F190+F193+F195+F207+F209</f>
        <v>2061.89926714622</v>
      </c>
      <c r="G215" s="156" t="n">
        <f aca="false">G190+G193+G195+G207+G209</f>
        <v>-1367.73813442844</v>
      </c>
      <c r="H215" s="156" t="n">
        <f aca="false">H190+H193+H195+H207+H209</f>
        <v>4164.39905742853</v>
      </c>
      <c r="I215" s="156" t="n">
        <f aca="false">I190+I193+I195+I207+I209</f>
        <v>5215.64895256969</v>
      </c>
      <c r="J215" s="156" t="n">
        <f aca="false">J190+J193+J195+J207+J209</f>
        <v>6251.9831900127</v>
      </c>
      <c r="K215" s="156" t="n">
        <f aca="false">K190+K193+K195+K207+K209</f>
        <v>7201.36862794158</v>
      </c>
      <c r="L215" s="156" t="n">
        <f aca="false">L190+L193+L195+L207+L209</f>
        <v>8150.75406587047</v>
      </c>
      <c r="M215" s="156" t="n">
        <f aca="false">M190+M193+M195+M207+M209</f>
        <v>9100.13950379936</v>
      </c>
      <c r="N215" s="156" t="n">
        <f aca="false">N190+N193+N195+N207+N209</f>
        <v>10049.5249417282</v>
      </c>
      <c r="O215" s="156" t="n">
        <f aca="false">O190+O193+O195+O207+O209</f>
        <v>10998.9103796571</v>
      </c>
      <c r="P215" s="156" t="n">
        <f aca="false">P190+P193+P195+P207+P209</f>
        <v>11948.295817586</v>
      </c>
      <c r="Q215" s="156" t="n">
        <f aca="false">Q190+Q193+Q195+Q207+Q209</f>
        <v>12897.6812555149</v>
      </c>
      <c r="R215" s="156" t="n">
        <f aca="false">R190+R193+R195+R207+R209</f>
        <v>13847.0666934438</v>
      </c>
      <c r="S215" s="156" t="n">
        <f aca="false">S190+S193+S195+S207+S209</f>
        <v>493.131095147449</v>
      </c>
      <c r="T215" s="156" t="n">
        <f aca="false">T190+T193+T195+T207+T209</f>
        <v>15745.8375693016</v>
      </c>
      <c r="U215" s="156" t="n">
        <f aca="false">U190+U193+U195+U207+U209</f>
        <v>16695.2230072305</v>
      </c>
      <c r="V215" s="156" t="n">
        <f aca="false">V190+V193+V195+V207+V209</f>
        <v>17644.6084451593</v>
      </c>
      <c r="W215" s="156" t="n">
        <f aca="false">W190+W193+W195+W207+W209</f>
        <v>18593.9938830882</v>
      </c>
      <c r="X215" s="156" t="n">
        <f aca="false">X190+X193+X195+X207+X209</f>
        <v>19543.3793210171</v>
      </c>
      <c r="Y215" s="156" t="n">
        <f aca="false">Y190+Y193+Y195+Y207+Y209</f>
        <v>20492.764758946</v>
      </c>
      <c r="Z215" s="156" t="n">
        <f aca="false">Z190+Z193+Z195+Z207+Z209</f>
        <v>21442.1501968749</v>
      </c>
      <c r="AA215" s="156" t="n">
        <f aca="false">AA190+AA193+AA195+AA207+AA209</f>
        <v>21644.1755102933</v>
      </c>
      <c r="AB215" s="156" t="n">
        <f aca="false">AB190+AB193+AB195+AB207+AB209</f>
        <v>21644.1755102933</v>
      </c>
      <c r="AC215" s="156" t="n">
        <f aca="false">AC190+AC193+AC195+AC207+AC209</f>
        <v>21644.1755102933</v>
      </c>
      <c r="AD215" s="156" t="n">
        <f aca="false">AD190+AD193+AD195+AD207+AD209</f>
        <v>21644.1755102933</v>
      </c>
      <c r="AE215" s="156" t="n">
        <f aca="false">AE190+AE193+AE195+AE207+AE209</f>
        <v>1780.66345915178</v>
      </c>
      <c r="AF215" s="156" t="n">
        <f aca="false">AF190+AF193+AF195+AF207+AF209</f>
        <v>21644.1755102933</v>
      </c>
      <c r="AG215" s="156" t="n">
        <f aca="false">AG190+AG193+AG195+AG207+AG209</f>
        <v>21644.1755102933</v>
      </c>
      <c r="AH215" s="156" t="n">
        <f aca="false">AH190+AH193+AH195+AH207+AH209</f>
        <v>21644.1755102933</v>
      </c>
      <c r="AI215" s="156" t="n">
        <f aca="false">AI190+AI193+AI195+AI207+AI209</f>
        <v>21644.1755102933</v>
      </c>
      <c r="AJ215" s="156" t="n">
        <f aca="false">AJ190+AJ193+AJ195+AJ207+AJ209</f>
        <v>21644.1755102933</v>
      </c>
      <c r="AK215" s="156" t="n">
        <f aca="false">AK190+AK193+AK195+AK207+AK209</f>
        <v>21644.1755102933</v>
      </c>
      <c r="AL215" s="156" t="n">
        <f aca="false">AL190+AL193+AL195+AL207+AL209</f>
        <v>21644.1755102933</v>
      </c>
      <c r="AM215" s="156" t="n">
        <f aca="false">AM190+AM193+AM195+AM207+AM209</f>
        <v>21644.1755102933</v>
      </c>
      <c r="AN215" s="156" t="n">
        <f aca="false">AN190+AN193+AN195+AN207+AN209</f>
        <v>21644.1755102933</v>
      </c>
      <c r="AO215" s="156" t="n">
        <f aca="false">AO190+AO193+AO195+AO207+AO209</f>
        <v>21644.1755102933</v>
      </c>
      <c r="AP215" s="156" t="n">
        <f aca="false">AP190+AP193+AP195+AP207+AP209</f>
        <v>21644.1755102933</v>
      </c>
      <c r="AQ215" s="156" t="n">
        <f aca="false">AQ190+AQ193+AQ195+AQ207+AQ209</f>
        <v>1780.66345915178</v>
      </c>
      <c r="AR215" s="156" t="n">
        <f aca="false">AR190+AR193+AR195+AR207+AR209</f>
        <v>21644.1755102933</v>
      </c>
      <c r="AS215" s="156" t="n">
        <f aca="false">AS190+AS193+AS195+AS207+AS209</f>
        <v>21644.1755102933</v>
      </c>
      <c r="AT215" s="156" t="n">
        <f aca="false">AT190+AT193+AT195+AT207+AT209</f>
        <v>21644.1755102933</v>
      </c>
      <c r="AU215" s="156" t="n">
        <f aca="false">AU190+AU193+AU195+AU207+AU209</f>
        <v>21644.1755102933</v>
      </c>
      <c r="AV215" s="156" t="n">
        <f aca="false">AV190+AV193+AV195+AV207+AV209</f>
        <v>21644.1755102933</v>
      </c>
      <c r="AW215" s="156" t="n">
        <f aca="false">AW190+AW193+AW195+AW207+AW209</f>
        <v>21644.1755102933</v>
      </c>
      <c r="AX215" s="156" t="n">
        <f aca="false">AX190+AX193+AX195+AX207+AX209</f>
        <v>21644.1755102933</v>
      </c>
      <c r="AY215" s="156" t="n">
        <f aca="false">AY190+AY193+AY195+AY207+AY209</f>
        <v>21644.1755102933</v>
      </c>
      <c r="AZ215" s="156" t="n">
        <f aca="false">AZ190+AZ193+AZ195+AZ207+AZ209</f>
        <v>21644.1755102933</v>
      </c>
      <c r="BA215" s="156" t="n">
        <f aca="false">BA190+BA193+BA195+BA207+BA209</f>
        <v>21644.1755102933</v>
      </c>
      <c r="BB215" s="156" t="n">
        <f aca="false">BB190+BB193+BB195+BB207+BB209</f>
        <v>21644.1755102933</v>
      </c>
      <c r="BC215" s="156" t="n">
        <f aca="false">BC190+BC193+BC195+BC207+BC209</f>
        <v>1780.66345915178</v>
      </c>
      <c r="BD215" s="156" t="n">
        <f aca="false">BD190+BD193+BD195+BD207+BD209</f>
        <v>21644.1755102933</v>
      </c>
      <c r="BE215" s="156" t="n">
        <f aca="false">BE190+BE193+BE195+BE207+BE209</f>
        <v>21644.1755102933</v>
      </c>
      <c r="BF215" s="156" t="n">
        <f aca="false">BF190+BF193+BF195+BF207+BF209</f>
        <v>21644.1755102933</v>
      </c>
      <c r="BG215" s="156" t="n">
        <f aca="false">BG190+BG193+BG195+BG207+BG209</f>
        <v>21644.1755102933</v>
      </c>
      <c r="BH215" s="156" t="n">
        <f aca="false">BH190+BH193+BH195+BH207+BH209</f>
        <v>21644.1755102933</v>
      </c>
      <c r="BI215" s="156" t="n">
        <f aca="false">BI190+BI193+BI195+BI207+BI209</f>
        <v>21644.1755102933</v>
      </c>
      <c r="BJ215" s="156" t="n">
        <f aca="false">BJ190+BJ193+BJ195+BJ207+BJ209</f>
        <v>21644.1755102933</v>
      </c>
      <c r="BK215" s="156" t="n">
        <f aca="false">BK190+BK193+BK195+BK207+BK209</f>
        <v>21644.1755102933</v>
      </c>
      <c r="BL215" s="156" t="n">
        <f aca="false">BL190+BL193+BL195+BL207+BL209</f>
        <v>21644.1755102933</v>
      </c>
      <c r="BM215" s="156" t="n">
        <f aca="false">BM190+BM193+BM195+BM207+BM209</f>
        <v>21644.1755102933</v>
      </c>
      <c r="BN215" s="156" t="n">
        <f aca="false">BN190+BN193+BN195+BN207+BN209</f>
        <v>21644.1755102933</v>
      </c>
      <c r="BO215" s="156" t="n">
        <f aca="false">BO190+BO193+BO195+BO207+BO209</f>
        <v>1780.66345915178</v>
      </c>
      <c r="BP215" s="156" t="n">
        <f aca="false">BP190+BP193+BP195+BP207+BP209</f>
        <v>21644.1755102933</v>
      </c>
      <c r="BQ215" s="156" t="n">
        <f aca="false">BQ190+BQ193+BQ195+BQ207+BQ209</f>
        <v>21644.1755102933</v>
      </c>
      <c r="BR215" s="156" t="n">
        <f aca="false">BR190+BR193+BR195+BR207+BR209</f>
        <v>21644.1755102933</v>
      </c>
      <c r="BS215" s="156" t="n">
        <f aca="false">BS190+BS193+BS195+BS207+BS209</f>
        <v>21644.1755102933</v>
      </c>
      <c r="BT215" s="156" t="n">
        <f aca="false">BT190+BT193+BT195+BT207+BT209</f>
        <v>21644.1755102933</v>
      </c>
      <c r="BU215" s="156" t="n">
        <f aca="false">BU190+BU193+BU195+BU207+BU209</f>
        <v>21644.1755102933</v>
      </c>
      <c r="BV215" s="156" t="n">
        <f aca="false">BV190+BV193+BV195+BV207+BV209</f>
        <v>21644.1755102933</v>
      </c>
      <c r="BW215" s="156" t="n">
        <f aca="false">BW190+BW193+BW195+BW207+BW209</f>
        <v>21644.1755102933</v>
      </c>
      <c r="BX215" s="156" t="n">
        <f aca="false">BX190+BX193+BX195+BX207+BX209</f>
        <v>21644.1755102933</v>
      </c>
      <c r="BY215" s="156" t="n">
        <f aca="false">BY190+BY193+BY195+BY207+BY209</f>
        <v>21644.1755102933</v>
      </c>
      <c r="BZ215" s="156" t="n">
        <f aca="false">BZ190+BZ193+BZ195+BZ207+BZ209</f>
        <v>21644.1755102933</v>
      </c>
      <c r="CA215" s="156" t="n">
        <f aca="false">CA190+CA193+CA195+CA207+CA209</f>
        <v>1780.66345915178</v>
      </c>
      <c r="CB215" s="156" t="n">
        <f aca="false">CB190+CB193+CB195+CB207+CB209</f>
        <v>21644.1755102933</v>
      </c>
      <c r="CC215" s="156" t="n">
        <f aca="false">CC190+CC193+CC195+CC207+CC209</f>
        <v>21644.1755102933</v>
      </c>
      <c r="CD215" s="156" t="n">
        <f aca="false">CD190+CD193+CD195+CD207+CD209</f>
        <v>21644.1755102933</v>
      </c>
      <c r="CE215" s="156" t="n">
        <f aca="false">CE190+CE193+CE195+CE207+CE209</f>
        <v>21644.1755102933</v>
      </c>
      <c r="CF215" s="156" t="n">
        <f aca="false">CF190+CF193+CF195+CF207+CF209</f>
        <v>21644.1755102933</v>
      </c>
      <c r="CG215" s="156" t="n">
        <f aca="false">CG190+CG193+CG195+CG207+CG209</f>
        <v>21644.1755102933</v>
      </c>
      <c r="CH215" s="156" t="n">
        <f aca="false">CH190+CH193+CH195+CH207+CH209</f>
        <v>21644.1755102933</v>
      </c>
    </row>
    <row r="216" customFormat="false" ht="15" hidden="false" customHeight="false" outlineLevel="0" collapsed="false">
      <c r="A216" s="1" t="s">
        <v>877</v>
      </c>
      <c r="C216" s="27" t="n">
        <f aca="false">IF(C179+C178&lt;=C8+0.001,1,0)</f>
        <v>1</v>
      </c>
      <c r="D216" s="27" t="n">
        <f aca="false">IF(D179+D178&lt;=D8+0.001,1,0)</f>
        <v>1</v>
      </c>
      <c r="E216" s="27" t="n">
        <f aca="false">IF(E179+E178&lt;=E8+0.001,1,0)</f>
        <v>1</v>
      </c>
      <c r="F216" s="27" t="n">
        <f aca="false">IF(F179+F178&lt;=F8+0.001,1,0)</f>
        <v>1</v>
      </c>
      <c r="G216" s="27" t="n">
        <f aca="false">IF(G179+G178&lt;=G8+0.001,1,0)</f>
        <v>1</v>
      </c>
      <c r="H216" s="27" t="n">
        <f aca="false">IF(H179+H178&lt;=H8+0.001,1,0)</f>
        <v>1</v>
      </c>
      <c r="I216" s="27" t="n">
        <f aca="false">IF(I179+I178&lt;=I8+0.001,1,0)</f>
        <v>1</v>
      </c>
      <c r="J216" s="27" t="n">
        <f aca="false">IF(J179+J178&lt;=J8+0.001,1,0)</f>
        <v>1</v>
      </c>
      <c r="K216" s="27" t="n">
        <f aca="false">IF(K179+K178&lt;=K8+0.001,1,0)</f>
        <v>1</v>
      </c>
      <c r="L216" s="27" t="n">
        <f aca="false">IF(L179+L178&lt;=L8+0.001,1,0)</f>
        <v>1</v>
      </c>
      <c r="M216" s="27" t="n">
        <f aca="false">IF(M179+M178&lt;=M8+0.001,1,0)</f>
        <v>1</v>
      </c>
      <c r="N216" s="27" t="n">
        <f aca="false">IF(N179+N178&lt;=N8+0.001,1,0)</f>
        <v>1</v>
      </c>
      <c r="O216" s="27" t="n">
        <f aca="false">IF(O179+O178&lt;=O8+0.001,1,0)</f>
        <v>1</v>
      </c>
      <c r="P216" s="27" t="n">
        <f aca="false">IF(P179+P178&lt;=P8+0.001,1,0)</f>
        <v>1</v>
      </c>
      <c r="Q216" s="27" t="n">
        <f aca="false">IF(Q179+Q178&lt;=Q8+0.001,1,0)</f>
        <v>1</v>
      </c>
      <c r="R216" s="27" t="n">
        <f aca="false">IF(R179+R178&lt;=R8+0.001,1,0)</f>
        <v>1</v>
      </c>
      <c r="S216" s="27" t="n">
        <f aca="false">IF(S179+S178&lt;=S8+0.001,1,0)</f>
        <v>1</v>
      </c>
      <c r="T216" s="27" t="n">
        <f aca="false">IF(T179+T178&lt;=T8+0.001,1,0)</f>
        <v>1</v>
      </c>
      <c r="U216" s="27" t="n">
        <f aca="false">IF(U179+U178&lt;=U8+0.001,1,0)</f>
        <v>1</v>
      </c>
      <c r="V216" s="27" t="n">
        <f aca="false">IF(V179+V178&lt;=V8+0.001,1,0)</f>
        <v>1</v>
      </c>
      <c r="W216" s="27" t="n">
        <f aca="false">IF(W179+W178&lt;=W8+0.001,1,0)</f>
        <v>1</v>
      </c>
      <c r="X216" s="27" t="n">
        <f aca="false">IF(X179+X178&lt;=X8+0.001,1,0)</f>
        <v>1</v>
      </c>
      <c r="Y216" s="27" t="n">
        <f aca="false">IF(Y179+Y178&lt;=Y8+0.001,1,0)</f>
        <v>1</v>
      </c>
      <c r="Z216" s="27" t="n">
        <f aca="false">IF(Z179+Z178&lt;=Z8+0.001,1,0)</f>
        <v>1</v>
      </c>
      <c r="AA216" s="27" t="n">
        <f aca="false">IF(AA179+AA178&lt;=AA8+0.001,1,0)</f>
        <v>1</v>
      </c>
      <c r="AB216" s="27" t="n">
        <f aca="false">IF(AB179+AB178&lt;=AB8+0.001,1,0)</f>
        <v>1</v>
      </c>
      <c r="AC216" s="27" t="n">
        <f aca="false">IF(AC179+AC178&lt;=AC8+0.001,1,0)</f>
        <v>1</v>
      </c>
      <c r="AD216" s="27" t="n">
        <f aca="false">IF(AD179+AD178&lt;=AD8+0.001,1,0)</f>
        <v>1</v>
      </c>
      <c r="AE216" s="27" t="n">
        <f aca="false">IF(AE179+AE178&lt;=AE8+0.001,1,0)</f>
        <v>1</v>
      </c>
      <c r="AF216" s="27" t="n">
        <f aca="false">IF(AF179+AF178&lt;=AF8+0.001,1,0)</f>
        <v>1</v>
      </c>
      <c r="AG216" s="27" t="n">
        <f aca="false">IF(AG179+AG178&lt;=AG8+0.001,1,0)</f>
        <v>1</v>
      </c>
      <c r="AH216" s="27" t="n">
        <f aca="false">IF(AH179+AH178&lt;=AH8+0.001,1,0)</f>
        <v>1</v>
      </c>
      <c r="AI216" s="27" t="n">
        <f aca="false">IF(AI179+AI178&lt;=AI8+0.001,1,0)</f>
        <v>1</v>
      </c>
      <c r="AJ216" s="27" t="n">
        <f aca="false">IF(AJ179+AJ178&lt;=AJ8+0.001,1,0)</f>
        <v>1</v>
      </c>
      <c r="AK216" s="27" t="n">
        <f aca="false">IF(AK179+AK178&lt;=AK8+0.001,1,0)</f>
        <v>1</v>
      </c>
      <c r="AL216" s="27" t="n">
        <f aca="false">IF(AL179+AL178&lt;=AL8+0.001,1,0)</f>
        <v>1</v>
      </c>
      <c r="AM216" s="27" t="n">
        <f aca="false">IF(AM179+AM178&lt;=AM8+0.001,1,0)</f>
        <v>1</v>
      </c>
      <c r="AN216" s="27" t="n">
        <f aca="false">IF(AN179+AN178&lt;=AN8+0.001,1,0)</f>
        <v>1</v>
      </c>
      <c r="AO216" s="27" t="n">
        <f aca="false">IF(AO179+AO178&lt;=AO8+0.001,1,0)</f>
        <v>1</v>
      </c>
      <c r="AP216" s="27" t="n">
        <f aca="false">IF(AP179+AP178&lt;=AP8+0.001,1,0)</f>
        <v>1</v>
      </c>
      <c r="AQ216" s="27" t="n">
        <f aca="false">IF(AQ179+AQ178&lt;=AQ8+0.001,1,0)</f>
        <v>1</v>
      </c>
      <c r="AR216" s="27" t="n">
        <f aca="false">IF(AR179+AR178&lt;=AR8+0.001,1,0)</f>
        <v>1</v>
      </c>
      <c r="AS216" s="27" t="n">
        <f aca="false">IF(AS179+AS178&lt;=AS8+0.001,1,0)</f>
        <v>1</v>
      </c>
      <c r="AT216" s="27" t="n">
        <f aca="false">IF(AT179+AT178&lt;=AT8+0.001,1,0)</f>
        <v>1</v>
      </c>
      <c r="AU216" s="27" t="n">
        <f aca="false">IF(AU179+AU178&lt;=AU8+0.001,1,0)</f>
        <v>1</v>
      </c>
      <c r="AV216" s="27" t="n">
        <f aca="false">IF(AV179+AV178&lt;=AV8+0.001,1,0)</f>
        <v>1</v>
      </c>
      <c r="AW216" s="27" t="n">
        <f aca="false">IF(AW179+AW178&lt;=AW8+0.001,1,0)</f>
        <v>1</v>
      </c>
      <c r="AX216" s="27" t="n">
        <f aca="false">IF(AX179+AX178&lt;=AX8+0.001,1,0)</f>
        <v>1</v>
      </c>
      <c r="AY216" s="27" t="n">
        <f aca="false">IF(AY179+AY178&lt;=AY8+0.001,1,0)</f>
        <v>1</v>
      </c>
      <c r="AZ216" s="27" t="n">
        <f aca="false">IF(AZ179+AZ178&lt;=AZ8+0.001,1,0)</f>
        <v>1</v>
      </c>
      <c r="BA216" s="27" t="n">
        <f aca="false">IF(BA179+BA178&lt;=BA8+0.001,1,0)</f>
        <v>1</v>
      </c>
      <c r="BB216" s="27" t="n">
        <f aca="false">IF(BB179+BB178&lt;=BB8+0.001,1,0)</f>
        <v>1</v>
      </c>
      <c r="BC216" s="27" t="n">
        <f aca="false">IF(BC179+BC178&lt;=BC8+0.001,1,0)</f>
        <v>1</v>
      </c>
      <c r="BD216" s="27" t="n">
        <f aca="false">IF(BD179+BD178&lt;=BD8+0.001,1,0)</f>
        <v>1</v>
      </c>
      <c r="BE216" s="27" t="n">
        <f aca="false">IF(BE179+BE178&lt;=BE8+0.001,1,0)</f>
        <v>1</v>
      </c>
      <c r="BF216" s="27" t="n">
        <f aca="false">IF(BF179+BF178&lt;=BF8+0.001,1,0)</f>
        <v>1</v>
      </c>
      <c r="BG216" s="27" t="n">
        <f aca="false">IF(BG179+BG178&lt;=BG8+0.001,1,0)</f>
        <v>1</v>
      </c>
      <c r="BH216" s="27" t="n">
        <f aca="false">IF(BH179+BH178&lt;=BH8+0.001,1,0)</f>
        <v>1</v>
      </c>
      <c r="BI216" s="27" t="n">
        <f aca="false">IF(BI179+BI178&lt;=BI8+0.001,1,0)</f>
        <v>1</v>
      </c>
      <c r="BJ216" s="27" t="n">
        <f aca="false">IF(BJ179+BJ178&lt;=BJ8+0.001,1,0)</f>
        <v>1</v>
      </c>
      <c r="BK216" s="27" t="n">
        <f aca="false">IF(BK179+BK178&lt;=BK8+0.001,1,0)</f>
        <v>1</v>
      </c>
      <c r="BL216" s="27" t="n">
        <f aca="false">IF(BL179+BL178&lt;=BL8+0.001,1,0)</f>
        <v>1</v>
      </c>
      <c r="BM216" s="27" t="n">
        <f aca="false">IF(BM179+BM178&lt;=BM8+0.001,1,0)</f>
        <v>1</v>
      </c>
      <c r="BN216" s="27" t="n">
        <f aca="false">IF(BN179+BN178&lt;=BN8+0.001,1,0)</f>
        <v>1</v>
      </c>
      <c r="BO216" s="27" t="n">
        <f aca="false">IF(BO179+BO178&lt;=BO8+0.001,1,0)</f>
        <v>1</v>
      </c>
      <c r="BP216" s="27" t="n">
        <f aca="false">IF(BP179+BP178&lt;=BP8+0.001,1,0)</f>
        <v>1</v>
      </c>
      <c r="BQ216" s="27" t="n">
        <f aca="false">IF(BQ179+BQ178&lt;=BQ8+0.001,1,0)</f>
        <v>1</v>
      </c>
      <c r="BR216" s="27" t="n">
        <f aca="false">IF(BR179+BR178&lt;=BR8+0.001,1,0)</f>
        <v>1</v>
      </c>
      <c r="BS216" s="27" t="n">
        <f aca="false">IF(BS179+BS178&lt;=BS8+0.001,1,0)</f>
        <v>1</v>
      </c>
      <c r="BT216" s="27" t="n">
        <f aca="false">IF(BT179+BT178&lt;=BT8+0.001,1,0)</f>
        <v>1</v>
      </c>
      <c r="BU216" s="27" t="n">
        <f aca="false">IF(BU179+BU178&lt;=BU8+0.001,1,0)</f>
        <v>1</v>
      </c>
      <c r="BV216" s="27" t="n">
        <f aca="false">IF(BV179+BV178&lt;=BV8+0.001,1,0)</f>
        <v>1</v>
      </c>
      <c r="BW216" s="27" t="n">
        <f aca="false">IF(BW179+BW178&lt;=BW8+0.001,1,0)</f>
        <v>1</v>
      </c>
      <c r="BX216" s="27" t="n">
        <f aca="false">IF(BX179+BX178&lt;=BX8+0.001,1,0)</f>
        <v>1</v>
      </c>
      <c r="BY216" s="27" t="n">
        <f aca="false">IF(BY179+BY178&lt;=BY8+0.001,1,0)</f>
        <v>1</v>
      </c>
      <c r="BZ216" s="27" t="n">
        <f aca="false">IF(BZ179+BZ178&lt;=BZ8+0.001,1,0)</f>
        <v>1</v>
      </c>
      <c r="CA216" s="27" t="n">
        <f aca="false">IF(CA179+CA178&lt;=CA8+0.001,1,0)</f>
        <v>1</v>
      </c>
      <c r="CB216" s="27" t="n">
        <f aca="false">IF(CB179+CB178&lt;=CB8+0.001,1,0)</f>
        <v>1</v>
      </c>
      <c r="CC216" s="27" t="n">
        <f aca="false">IF(CC179+CC178&lt;=CC8+0.001,1,0)</f>
        <v>1</v>
      </c>
      <c r="CD216" s="27" t="n">
        <f aca="false">IF(CD179+CD178&lt;=CD8+0.001,1,0)</f>
        <v>1</v>
      </c>
      <c r="CE216" s="27" t="n">
        <f aca="false">IF(CE179+CE178&lt;=CE8+0.001,1,0)</f>
        <v>1</v>
      </c>
      <c r="CF216" s="27" t="n">
        <f aca="false">IF(CF179+CF178&lt;=CF8+0.001,1,0)</f>
        <v>1</v>
      </c>
      <c r="CG216" s="27" t="n">
        <f aca="false">IF(CG179+CG178&lt;=CG8+0.001,1,0)</f>
        <v>1</v>
      </c>
      <c r="CH216" s="27" t="n">
        <f aca="false">IF(CH179+CH178&lt;=CH8+0.001,1,0)</f>
        <v>1</v>
      </c>
    </row>
    <row r="217" customFormat="false" ht="15" hidden="false" customHeight="false" outlineLevel="0" collapsed="false">
      <c r="A217" s="1" t="s">
        <v>878</v>
      </c>
      <c r="C217" s="27" t="n">
        <f aca="false">IF(C196&lt;=Restaurantes!$D$13+0.001,1,0)</f>
        <v>1</v>
      </c>
      <c r="D217" s="27" t="n">
        <f aca="false">IF(D196&lt;=Restaurantes!$D$13+0.001,1,0)</f>
        <v>1</v>
      </c>
      <c r="E217" s="27" t="n">
        <f aca="false">IF(E196&lt;=Restaurantes!$D$13+0.001,1,0)</f>
        <v>1</v>
      </c>
      <c r="F217" s="27" t="n">
        <f aca="false">IF(F196&lt;=Restaurantes!$D$13+0.001,1,0)</f>
        <v>1</v>
      </c>
      <c r="G217" s="27" t="n">
        <f aca="false">IF(G196&lt;=Restaurantes!$D$13+0.001,1,0)</f>
        <v>1</v>
      </c>
      <c r="H217" s="27" t="n">
        <f aca="false">IF(H196&lt;=Restaurantes!$D$13+0.001,1,0)</f>
        <v>1</v>
      </c>
      <c r="I217" s="27" t="n">
        <f aca="false">IF(I196&lt;=Restaurantes!$D$13+0.001,1,0)</f>
        <v>1</v>
      </c>
      <c r="J217" s="27" t="n">
        <f aca="false">IF(J196&lt;=Restaurantes!$D$13+0.001,1,0)</f>
        <v>1</v>
      </c>
      <c r="K217" s="27" t="n">
        <f aca="false">IF(K196&lt;=Restaurantes!$D$13+0.001,1,0)</f>
        <v>1</v>
      </c>
      <c r="L217" s="27" t="n">
        <f aca="false">IF(L196&lt;=Restaurantes!$D$13+0.001,1,0)</f>
        <v>1</v>
      </c>
      <c r="M217" s="27" t="n">
        <f aca="false">IF(M196&lt;=Restaurantes!$D$13+0.001,1,0)</f>
        <v>1</v>
      </c>
      <c r="N217" s="27" t="n">
        <f aca="false">IF(N196&lt;=Restaurantes!$D$13+0.001,1,0)</f>
        <v>1</v>
      </c>
      <c r="O217" s="27" t="n">
        <f aca="false">IF(O196&lt;=Restaurantes!$D$13+0.001,1,0)</f>
        <v>1</v>
      </c>
      <c r="P217" s="27" t="n">
        <f aca="false">IF(P196&lt;=Restaurantes!$D$13+0.001,1,0)</f>
        <v>1</v>
      </c>
      <c r="Q217" s="27" t="n">
        <f aca="false">IF(Q196&lt;=Restaurantes!$D$13+0.001,1,0)</f>
        <v>1</v>
      </c>
      <c r="R217" s="27" t="n">
        <f aca="false">IF(R196&lt;=Restaurantes!$D$13+0.001,1,0)</f>
        <v>1</v>
      </c>
      <c r="S217" s="27" t="n">
        <f aca="false">IF(S196&lt;=Restaurantes!$D$13+0.001,1,0)</f>
        <v>1</v>
      </c>
      <c r="T217" s="27" t="n">
        <f aca="false">IF(T196&lt;=Restaurantes!$D$13+0.001,1,0)</f>
        <v>1</v>
      </c>
      <c r="U217" s="27" t="n">
        <f aca="false">IF(U196&lt;=Restaurantes!$D$13+0.001,1,0)</f>
        <v>1</v>
      </c>
      <c r="V217" s="27" t="n">
        <f aca="false">IF(V196&lt;=Restaurantes!$D$13+0.001,1,0)</f>
        <v>1</v>
      </c>
      <c r="W217" s="27" t="n">
        <f aca="false">IF(W196&lt;=Restaurantes!$D$13+0.001,1,0)</f>
        <v>1</v>
      </c>
      <c r="X217" s="27" t="n">
        <f aca="false">IF(X196&lt;=Restaurantes!$D$13+0.001,1,0)</f>
        <v>1</v>
      </c>
      <c r="Y217" s="27" t="n">
        <f aca="false">IF(Y196&lt;=Restaurantes!$D$13+0.001,1,0)</f>
        <v>1</v>
      </c>
      <c r="Z217" s="27" t="n">
        <f aca="false">IF(Z196&lt;=Restaurantes!$D$13+0.001,1,0)</f>
        <v>1</v>
      </c>
      <c r="AA217" s="27" t="n">
        <f aca="false">IF(AA196&lt;=Restaurantes!$D$13+0.001,1,0)</f>
        <v>1</v>
      </c>
      <c r="AB217" s="27" t="n">
        <f aca="false">IF(AB196&lt;=Restaurantes!$D$13+0.001,1,0)</f>
        <v>1</v>
      </c>
      <c r="AC217" s="27" t="n">
        <f aca="false">IF(AC196&lt;=Restaurantes!$D$13+0.001,1,0)</f>
        <v>1</v>
      </c>
      <c r="AD217" s="27" t="n">
        <f aca="false">IF(AD196&lt;=Restaurantes!$D$13+0.001,1,0)</f>
        <v>1</v>
      </c>
      <c r="AE217" s="27" t="n">
        <f aca="false">IF(AE196&lt;=Restaurantes!$D$13+0.001,1,0)</f>
        <v>1</v>
      </c>
      <c r="AF217" s="27" t="n">
        <f aca="false">IF(AF196&lt;=Restaurantes!$D$13+0.001,1,0)</f>
        <v>1</v>
      </c>
      <c r="AG217" s="27" t="n">
        <f aca="false">IF(AG196&lt;=Restaurantes!$D$13+0.001,1,0)</f>
        <v>1</v>
      </c>
      <c r="AH217" s="27" t="n">
        <f aca="false">IF(AH196&lt;=Restaurantes!$D$13+0.001,1,0)</f>
        <v>1</v>
      </c>
      <c r="AI217" s="27" t="n">
        <f aca="false">IF(AI196&lt;=Restaurantes!$D$13+0.001,1,0)</f>
        <v>1</v>
      </c>
      <c r="AJ217" s="27" t="n">
        <f aca="false">IF(AJ196&lt;=Restaurantes!$D$13+0.001,1,0)</f>
        <v>1</v>
      </c>
      <c r="AK217" s="27" t="n">
        <f aca="false">IF(AK196&lt;=Restaurantes!$D$13+0.001,1,0)</f>
        <v>1</v>
      </c>
      <c r="AL217" s="27" t="n">
        <f aca="false">IF(AL196&lt;=Restaurantes!$D$13+0.001,1,0)</f>
        <v>1</v>
      </c>
      <c r="AM217" s="27" t="n">
        <f aca="false">IF(AM196&lt;=Restaurantes!$D$13+0.001,1,0)</f>
        <v>1</v>
      </c>
      <c r="AN217" s="27" t="n">
        <f aca="false">IF(AN196&lt;=Restaurantes!$D$13+0.001,1,0)</f>
        <v>1</v>
      </c>
      <c r="AO217" s="27" t="n">
        <f aca="false">IF(AO196&lt;=Restaurantes!$D$13+0.001,1,0)</f>
        <v>1</v>
      </c>
      <c r="AP217" s="27" t="n">
        <f aca="false">IF(AP196&lt;=Restaurantes!$D$13+0.001,1,0)</f>
        <v>1</v>
      </c>
      <c r="AQ217" s="27" t="n">
        <f aca="false">IF(AQ196&lt;=Restaurantes!$D$13+0.001,1,0)</f>
        <v>1</v>
      </c>
      <c r="AR217" s="27" t="n">
        <f aca="false">IF(AR196&lt;=Restaurantes!$D$13+0.001,1,0)</f>
        <v>1</v>
      </c>
      <c r="AS217" s="27" t="n">
        <f aca="false">IF(AS196&lt;=Restaurantes!$D$13+0.001,1,0)</f>
        <v>1</v>
      </c>
      <c r="AT217" s="27" t="n">
        <f aca="false">IF(AT196&lt;=Restaurantes!$D$13+0.001,1,0)</f>
        <v>1</v>
      </c>
      <c r="AU217" s="27" t="n">
        <f aca="false">IF(AU196&lt;=Restaurantes!$D$13+0.001,1,0)</f>
        <v>1</v>
      </c>
      <c r="AV217" s="27" t="n">
        <f aca="false">IF(AV196&lt;=Restaurantes!$D$13+0.001,1,0)</f>
        <v>1</v>
      </c>
      <c r="AW217" s="27" t="n">
        <f aca="false">IF(AW196&lt;=Restaurantes!$D$13+0.001,1,0)</f>
        <v>1</v>
      </c>
      <c r="AX217" s="27" t="n">
        <f aca="false">IF(AX196&lt;=Restaurantes!$D$13+0.001,1,0)</f>
        <v>1</v>
      </c>
      <c r="AY217" s="27" t="n">
        <f aca="false">IF(AY196&lt;=Restaurantes!$D$13+0.001,1,0)</f>
        <v>1</v>
      </c>
      <c r="AZ217" s="27" t="n">
        <f aca="false">IF(AZ196&lt;=Restaurantes!$D$13+0.001,1,0)</f>
        <v>1</v>
      </c>
      <c r="BA217" s="27" t="n">
        <f aca="false">IF(BA196&lt;=Restaurantes!$D$13+0.001,1,0)</f>
        <v>1</v>
      </c>
      <c r="BB217" s="27" t="n">
        <f aca="false">IF(BB196&lt;=Restaurantes!$D$13+0.001,1,0)</f>
        <v>1</v>
      </c>
      <c r="BC217" s="27" t="n">
        <f aca="false">IF(BC196&lt;=Restaurantes!$D$13+0.001,1,0)</f>
        <v>1</v>
      </c>
      <c r="BD217" s="27" t="n">
        <f aca="false">IF(BD196&lt;=Restaurantes!$D$13+0.001,1,0)</f>
        <v>1</v>
      </c>
      <c r="BE217" s="27" t="n">
        <f aca="false">IF(BE196&lt;=Restaurantes!$D$13+0.001,1,0)</f>
        <v>1</v>
      </c>
      <c r="BF217" s="27" t="n">
        <f aca="false">IF(BF196&lt;=Restaurantes!$D$13+0.001,1,0)</f>
        <v>1</v>
      </c>
      <c r="BG217" s="27" t="n">
        <f aca="false">IF(BG196&lt;=Restaurantes!$D$13+0.001,1,0)</f>
        <v>1</v>
      </c>
      <c r="BH217" s="27" t="n">
        <f aca="false">IF(BH196&lt;=Restaurantes!$D$13+0.001,1,0)</f>
        <v>1</v>
      </c>
      <c r="BI217" s="27" t="n">
        <f aca="false">IF(BI196&lt;=Restaurantes!$D$13+0.001,1,0)</f>
        <v>1</v>
      </c>
      <c r="BJ217" s="27" t="n">
        <f aca="false">IF(BJ196&lt;=Restaurantes!$D$13+0.001,1,0)</f>
        <v>1</v>
      </c>
      <c r="BK217" s="27" t="n">
        <f aca="false">IF(BK196&lt;=Restaurantes!$D$13+0.001,1,0)</f>
        <v>1</v>
      </c>
      <c r="BL217" s="27" t="n">
        <f aca="false">IF(BL196&lt;=Restaurantes!$D$13+0.001,1,0)</f>
        <v>1</v>
      </c>
      <c r="BM217" s="27" t="n">
        <f aca="false">IF(BM196&lt;=Restaurantes!$D$13+0.001,1,0)</f>
        <v>1</v>
      </c>
      <c r="BN217" s="27" t="n">
        <f aca="false">IF(BN196&lt;=Restaurantes!$D$13+0.001,1,0)</f>
        <v>1</v>
      </c>
      <c r="BO217" s="27" t="n">
        <f aca="false">IF(BO196&lt;=Restaurantes!$D$13+0.001,1,0)</f>
        <v>1</v>
      </c>
      <c r="BP217" s="27" t="n">
        <f aca="false">IF(BP196&lt;=Restaurantes!$D$13+0.001,1,0)</f>
        <v>1</v>
      </c>
      <c r="BQ217" s="27" t="n">
        <f aca="false">IF(BQ196&lt;=Restaurantes!$D$13+0.001,1,0)</f>
        <v>1</v>
      </c>
      <c r="BR217" s="27" t="n">
        <f aca="false">IF(BR196&lt;=Restaurantes!$D$13+0.001,1,0)</f>
        <v>1</v>
      </c>
      <c r="BS217" s="27" t="n">
        <f aca="false">IF(BS196&lt;=Restaurantes!$D$13+0.001,1,0)</f>
        <v>1</v>
      </c>
      <c r="BT217" s="27" t="n">
        <f aca="false">IF(BT196&lt;=Restaurantes!$D$13+0.001,1,0)</f>
        <v>1</v>
      </c>
      <c r="BU217" s="27" t="n">
        <f aca="false">IF(BU196&lt;=Restaurantes!$D$13+0.001,1,0)</f>
        <v>1</v>
      </c>
      <c r="BV217" s="27" t="n">
        <f aca="false">IF(BV196&lt;=Restaurantes!$D$13+0.001,1,0)</f>
        <v>1</v>
      </c>
      <c r="BW217" s="27" t="n">
        <f aca="false">IF(BW196&lt;=Restaurantes!$D$13+0.001,1,0)</f>
        <v>1</v>
      </c>
      <c r="BX217" s="27" t="n">
        <f aca="false">IF(BX196&lt;=Restaurantes!$D$13+0.001,1,0)</f>
        <v>1</v>
      </c>
      <c r="BY217" s="27" t="n">
        <f aca="false">IF(BY196&lt;=Restaurantes!$D$13+0.001,1,0)</f>
        <v>1</v>
      </c>
      <c r="BZ217" s="27" t="n">
        <f aca="false">IF(BZ196&lt;=Restaurantes!$D$13+0.001,1,0)</f>
        <v>1</v>
      </c>
      <c r="CA217" s="27" t="n">
        <f aca="false">IF(CA196&lt;=Restaurantes!$D$13+0.001,1,0)</f>
        <v>1</v>
      </c>
      <c r="CB217" s="27" t="n">
        <f aca="false">IF(CB196&lt;=Restaurantes!$D$13+0.001,1,0)</f>
        <v>1</v>
      </c>
      <c r="CC217" s="27" t="n">
        <f aca="false">IF(CC196&lt;=Restaurantes!$D$13+0.001,1,0)</f>
        <v>1</v>
      </c>
      <c r="CD217" s="27" t="n">
        <f aca="false">IF(CD196&lt;=Restaurantes!$D$13+0.001,1,0)</f>
        <v>1</v>
      </c>
      <c r="CE217" s="27" t="n">
        <f aca="false">IF(CE196&lt;=Restaurantes!$D$13+0.001,1,0)</f>
        <v>1</v>
      </c>
      <c r="CF217" s="27" t="n">
        <f aca="false">IF(CF196&lt;=Restaurantes!$D$13+0.001,1,0)</f>
        <v>1</v>
      </c>
      <c r="CG217" s="27" t="n">
        <f aca="false">IF(CG196&lt;=Restaurantes!$D$13+0.001,1,0)</f>
        <v>1</v>
      </c>
      <c r="CH217" s="27" t="n">
        <f aca="false">IF(CH196&lt;=Restaurantes!$D$13+0.001,1,0)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3"/>
    <col collapsed="false" customWidth="true" hidden="false" outlineLevel="0" max="86" min="3" style="1" width="11"/>
  </cols>
  <sheetData>
    <row r="1" customFormat="false" ht="18" hidden="false" customHeight="true" outlineLevel="0" collapsed="false">
      <c r="A1" s="8" t="s">
        <v>974</v>
      </c>
    </row>
    <row r="2" customFormat="false" ht="13.5" hidden="false" customHeight="true" outlineLevel="0" collapsed="false">
      <c r="A2" s="9" t="s">
        <v>972</v>
      </c>
    </row>
    <row r="3" customFormat="false" ht="13.5" hidden="false" customHeight="true" outlineLevel="0" collapsed="false">
      <c r="A3" s="146" t="s">
        <v>687</v>
      </c>
      <c r="C3" s="147" t="n">
        <v>1</v>
      </c>
      <c r="D3" s="147" t="n">
        <v>2</v>
      </c>
      <c r="E3" s="147" t="n">
        <v>3</v>
      </c>
      <c r="F3" s="147" t="n">
        <v>4</v>
      </c>
      <c r="G3" s="147" t="n">
        <v>5</v>
      </c>
      <c r="H3" s="147" t="n">
        <v>6</v>
      </c>
      <c r="I3" s="147" t="n">
        <v>7</v>
      </c>
      <c r="J3" s="147" t="n">
        <v>8</v>
      </c>
      <c r="K3" s="147" t="n">
        <v>9</v>
      </c>
      <c r="L3" s="147" t="n">
        <v>10</v>
      </c>
      <c r="M3" s="147" t="n">
        <v>11</v>
      </c>
      <c r="N3" s="147" t="n">
        <v>12</v>
      </c>
      <c r="O3" s="147" t="n">
        <v>13</v>
      </c>
      <c r="P3" s="147" t="n">
        <v>14</v>
      </c>
      <c r="Q3" s="147" t="n">
        <v>15</v>
      </c>
      <c r="R3" s="147" t="n">
        <v>16</v>
      </c>
      <c r="S3" s="147" t="n">
        <v>17</v>
      </c>
      <c r="T3" s="147" t="n">
        <v>18</v>
      </c>
      <c r="U3" s="147" t="n">
        <v>19</v>
      </c>
      <c r="V3" s="147" t="n">
        <v>20</v>
      </c>
      <c r="W3" s="147" t="n">
        <v>21</v>
      </c>
      <c r="X3" s="147" t="n">
        <v>22</v>
      </c>
      <c r="Y3" s="147" t="n">
        <v>23</v>
      </c>
      <c r="Z3" s="147" t="n">
        <v>24</v>
      </c>
      <c r="AA3" s="147" t="n">
        <v>25</v>
      </c>
      <c r="AB3" s="147" t="n">
        <v>26</v>
      </c>
      <c r="AC3" s="147" t="n">
        <v>27</v>
      </c>
      <c r="AD3" s="147" t="n">
        <v>28</v>
      </c>
      <c r="AE3" s="147" t="n">
        <v>29</v>
      </c>
      <c r="AF3" s="147" t="n">
        <v>30</v>
      </c>
      <c r="AG3" s="147" t="n">
        <v>31</v>
      </c>
      <c r="AH3" s="147" t="n">
        <v>32</v>
      </c>
      <c r="AI3" s="147" t="n">
        <v>33</v>
      </c>
      <c r="AJ3" s="147" t="n">
        <v>34</v>
      </c>
      <c r="AK3" s="147" t="n">
        <v>35</v>
      </c>
      <c r="AL3" s="147" t="n">
        <v>36</v>
      </c>
      <c r="AM3" s="147" t="n">
        <v>37</v>
      </c>
      <c r="AN3" s="147" t="n">
        <v>38</v>
      </c>
      <c r="AO3" s="147" t="n">
        <v>39</v>
      </c>
      <c r="AP3" s="147" t="n">
        <v>40</v>
      </c>
      <c r="AQ3" s="147" t="n">
        <v>41</v>
      </c>
      <c r="AR3" s="147" t="n">
        <v>42</v>
      </c>
      <c r="AS3" s="147" t="n">
        <v>43</v>
      </c>
      <c r="AT3" s="147" t="n">
        <v>44</v>
      </c>
      <c r="AU3" s="147" t="n">
        <v>45</v>
      </c>
      <c r="AV3" s="147" t="n">
        <v>46</v>
      </c>
      <c r="AW3" s="147" t="n">
        <v>47</v>
      </c>
      <c r="AX3" s="147" t="n">
        <v>48</v>
      </c>
      <c r="AY3" s="147" t="n">
        <v>49</v>
      </c>
      <c r="AZ3" s="147" t="n">
        <v>50</v>
      </c>
      <c r="BA3" s="147" t="n">
        <v>51</v>
      </c>
      <c r="BB3" s="147" t="n">
        <v>52</v>
      </c>
      <c r="BC3" s="147" t="n">
        <v>53</v>
      </c>
      <c r="BD3" s="147" t="n">
        <v>54</v>
      </c>
      <c r="BE3" s="147" t="n">
        <v>55</v>
      </c>
      <c r="BF3" s="147" t="n">
        <v>56</v>
      </c>
      <c r="BG3" s="147" t="n">
        <v>57</v>
      </c>
      <c r="BH3" s="147" t="n">
        <v>58</v>
      </c>
      <c r="BI3" s="147" t="n">
        <v>59</v>
      </c>
      <c r="BJ3" s="147" t="n">
        <v>60</v>
      </c>
      <c r="BK3" s="147" t="n">
        <v>61</v>
      </c>
      <c r="BL3" s="147" t="n">
        <v>62</v>
      </c>
      <c r="BM3" s="147" t="n">
        <v>63</v>
      </c>
      <c r="BN3" s="147" t="n">
        <v>64</v>
      </c>
      <c r="BO3" s="147" t="n">
        <v>65</v>
      </c>
      <c r="BP3" s="147" t="n">
        <v>66</v>
      </c>
      <c r="BQ3" s="147" t="n">
        <v>67</v>
      </c>
      <c r="BR3" s="147" t="n">
        <v>68</v>
      </c>
      <c r="BS3" s="147" t="n">
        <v>69</v>
      </c>
      <c r="BT3" s="147" t="n">
        <v>70</v>
      </c>
      <c r="BU3" s="147" t="n">
        <v>71</v>
      </c>
      <c r="BV3" s="147" t="n">
        <v>72</v>
      </c>
      <c r="BW3" s="147" t="n">
        <v>73</v>
      </c>
      <c r="BX3" s="147" t="n">
        <v>74</v>
      </c>
      <c r="BY3" s="147" t="n">
        <v>75</v>
      </c>
      <c r="BZ3" s="147" t="n">
        <v>76</v>
      </c>
      <c r="CA3" s="147" t="n">
        <v>77</v>
      </c>
      <c r="CB3" s="147" t="n">
        <v>78</v>
      </c>
      <c r="CC3" s="147" t="n">
        <v>79</v>
      </c>
      <c r="CD3" s="147" t="n">
        <v>80</v>
      </c>
      <c r="CE3" s="147" t="n">
        <v>81</v>
      </c>
      <c r="CF3" s="147" t="n">
        <v>82</v>
      </c>
      <c r="CG3" s="147" t="n">
        <v>83</v>
      </c>
      <c r="CH3" s="147" t="n">
        <v>84</v>
      </c>
    </row>
    <row r="4" customFormat="false" ht="13.5" hidden="false" customHeight="true" outlineLevel="0" collapsed="false">
      <c r="A4" s="146" t="s">
        <v>688</v>
      </c>
      <c r="C4" s="148" t="n">
        <f aca="false">INT((1-1)/12)+1</f>
        <v>1</v>
      </c>
      <c r="D4" s="148" t="n">
        <f aca="false">INT((2-1)/12)+1</f>
        <v>1</v>
      </c>
      <c r="E4" s="148" t="n">
        <f aca="false">INT((3-1)/12)+1</f>
        <v>1</v>
      </c>
      <c r="F4" s="148" t="n">
        <f aca="false">INT((4-1)/12)+1</f>
        <v>1</v>
      </c>
      <c r="G4" s="148" t="n">
        <f aca="false">INT((5-1)/12)+1</f>
        <v>1</v>
      </c>
      <c r="H4" s="148" t="n">
        <f aca="false">INT((6-1)/12)+1</f>
        <v>1</v>
      </c>
      <c r="I4" s="148" t="n">
        <f aca="false">INT((7-1)/12)+1</f>
        <v>1</v>
      </c>
      <c r="J4" s="148" t="n">
        <f aca="false">INT((8-1)/12)+1</f>
        <v>1</v>
      </c>
      <c r="K4" s="148" t="n">
        <f aca="false">INT((9-1)/12)+1</f>
        <v>1</v>
      </c>
      <c r="L4" s="148" t="n">
        <f aca="false">INT((10-1)/12)+1</f>
        <v>1</v>
      </c>
      <c r="M4" s="148" t="n">
        <f aca="false">INT((11-1)/12)+1</f>
        <v>1</v>
      </c>
      <c r="N4" s="148" t="n">
        <f aca="false">INT((12-1)/12)+1</f>
        <v>1</v>
      </c>
      <c r="O4" s="148" t="n">
        <f aca="false">INT((13-1)/12)+1</f>
        <v>2</v>
      </c>
      <c r="P4" s="148" t="n">
        <f aca="false">INT((14-1)/12)+1</f>
        <v>2</v>
      </c>
      <c r="Q4" s="148" t="n">
        <f aca="false">INT((15-1)/12)+1</f>
        <v>2</v>
      </c>
      <c r="R4" s="148" t="n">
        <f aca="false">INT((16-1)/12)+1</f>
        <v>2</v>
      </c>
      <c r="S4" s="148" t="n">
        <f aca="false">INT((17-1)/12)+1</f>
        <v>2</v>
      </c>
      <c r="T4" s="148" t="n">
        <f aca="false">INT((18-1)/12)+1</f>
        <v>2</v>
      </c>
      <c r="U4" s="148" t="n">
        <f aca="false">INT((19-1)/12)+1</f>
        <v>2</v>
      </c>
      <c r="V4" s="148" t="n">
        <f aca="false">INT((20-1)/12)+1</f>
        <v>2</v>
      </c>
      <c r="W4" s="148" t="n">
        <f aca="false">INT((21-1)/12)+1</f>
        <v>2</v>
      </c>
      <c r="X4" s="148" t="n">
        <f aca="false">INT((22-1)/12)+1</f>
        <v>2</v>
      </c>
      <c r="Y4" s="148" t="n">
        <f aca="false">INT((23-1)/12)+1</f>
        <v>2</v>
      </c>
      <c r="Z4" s="148" t="n">
        <f aca="false">INT((24-1)/12)+1</f>
        <v>2</v>
      </c>
      <c r="AA4" s="148" t="n">
        <f aca="false">INT((25-1)/12)+1</f>
        <v>3</v>
      </c>
      <c r="AB4" s="148" t="n">
        <f aca="false">INT((26-1)/12)+1</f>
        <v>3</v>
      </c>
      <c r="AC4" s="148" t="n">
        <f aca="false">INT((27-1)/12)+1</f>
        <v>3</v>
      </c>
      <c r="AD4" s="148" t="n">
        <f aca="false">INT((28-1)/12)+1</f>
        <v>3</v>
      </c>
      <c r="AE4" s="148" t="n">
        <f aca="false">INT((29-1)/12)+1</f>
        <v>3</v>
      </c>
      <c r="AF4" s="148" t="n">
        <f aca="false">INT((30-1)/12)+1</f>
        <v>3</v>
      </c>
      <c r="AG4" s="148" t="n">
        <f aca="false">INT((31-1)/12)+1</f>
        <v>3</v>
      </c>
      <c r="AH4" s="148" t="n">
        <f aca="false">INT((32-1)/12)+1</f>
        <v>3</v>
      </c>
      <c r="AI4" s="148" t="n">
        <f aca="false">INT((33-1)/12)+1</f>
        <v>3</v>
      </c>
      <c r="AJ4" s="148" t="n">
        <f aca="false">INT((34-1)/12)+1</f>
        <v>3</v>
      </c>
      <c r="AK4" s="148" t="n">
        <f aca="false">INT((35-1)/12)+1</f>
        <v>3</v>
      </c>
      <c r="AL4" s="148" t="n">
        <f aca="false">INT((36-1)/12)+1</f>
        <v>3</v>
      </c>
      <c r="AM4" s="148" t="n">
        <f aca="false">INT((37-1)/12)+1</f>
        <v>4</v>
      </c>
      <c r="AN4" s="148" t="n">
        <f aca="false">INT((38-1)/12)+1</f>
        <v>4</v>
      </c>
      <c r="AO4" s="148" t="n">
        <f aca="false">INT((39-1)/12)+1</f>
        <v>4</v>
      </c>
      <c r="AP4" s="148" t="n">
        <f aca="false">INT((40-1)/12)+1</f>
        <v>4</v>
      </c>
      <c r="AQ4" s="148" t="n">
        <f aca="false">INT((41-1)/12)+1</f>
        <v>4</v>
      </c>
      <c r="AR4" s="148" t="n">
        <f aca="false">INT((42-1)/12)+1</f>
        <v>4</v>
      </c>
      <c r="AS4" s="148" t="n">
        <f aca="false">INT((43-1)/12)+1</f>
        <v>4</v>
      </c>
      <c r="AT4" s="148" t="n">
        <f aca="false">INT((44-1)/12)+1</f>
        <v>4</v>
      </c>
      <c r="AU4" s="148" t="n">
        <f aca="false">INT((45-1)/12)+1</f>
        <v>4</v>
      </c>
      <c r="AV4" s="148" t="n">
        <f aca="false">INT((46-1)/12)+1</f>
        <v>4</v>
      </c>
      <c r="AW4" s="148" t="n">
        <f aca="false">INT((47-1)/12)+1</f>
        <v>4</v>
      </c>
      <c r="AX4" s="148" t="n">
        <f aca="false">INT((48-1)/12)+1</f>
        <v>4</v>
      </c>
      <c r="AY4" s="148" t="n">
        <f aca="false">INT((49-1)/12)+1</f>
        <v>5</v>
      </c>
      <c r="AZ4" s="148" t="n">
        <f aca="false">INT((50-1)/12)+1</f>
        <v>5</v>
      </c>
      <c r="BA4" s="148" t="n">
        <f aca="false">INT((51-1)/12)+1</f>
        <v>5</v>
      </c>
      <c r="BB4" s="148" t="n">
        <f aca="false">INT((52-1)/12)+1</f>
        <v>5</v>
      </c>
      <c r="BC4" s="148" t="n">
        <f aca="false">INT((53-1)/12)+1</f>
        <v>5</v>
      </c>
      <c r="BD4" s="148" t="n">
        <f aca="false">INT((54-1)/12)+1</f>
        <v>5</v>
      </c>
      <c r="BE4" s="148" t="n">
        <f aca="false">INT((55-1)/12)+1</f>
        <v>5</v>
      </c>
      <c r="BF4" s="148" t="n">
        <f aca="false">INT((56-1)/12)+1</f>
        <v>5</v>
      </c>
      <c r="BG4" s="148" t="n">
        <f aca="false">INT((57-1)/12)+1</f>
        <v>5</v>
      </c>
      <c r="BH4" s="148" t="n">
        <f aca="false">INT((58-1)/12)+1</f>
        <v>5</v>
      </c>
      <c r="BI4" s="148" t="n">
        <f aca="false">INT((59-1)/12)+1</f>
        <v>5</v>
      </c>
      <c r="BJ4" s="148" t="n">
        <f aca="false">INT((60-1)/12)+1</f>
        <v>5</v>
      </c>
      <c r="BK4" s="148" t="n">
        <f aca="false">INT((61-1)/12)+1</f>
        <v>6</v>
      </c>
      <c r="BL4" s="148" t="n">
        <f aca="false">INT((62-1)/12)+1</f>
        <v>6</v>
      </c>
      <c r="BM4" s="148" t="n">
        <f aca="false">INT((63-1)/12)+1</f>
        <v>6</v>
      </c>
      <c r="BN4" s="148" t="n">
        <f aca="false">INT((64-1)/12)+1</f>
        <v>6</v>
      </c>
      <c r="BO4" s="148" t="n">
        <f aca="false">INT((65-1)/12)+1</f>
        <v>6</v>
      </c>
      <c r="BP4" s="148" t="n">
        <f aca="false">INT((66-1)/12)+1</f>
        <v>6</v>
      </c>
      <c r="BQ4" s="148" t="n">
        <f aca="false">INT((67-1)/12)+1</f>
        <v>6</v>
      </c>
      <c r="BR4" s="148" t="n">
        <f aca="false">INT((68-1)/12)+1</f>
        <v>6</v>
      </c>
      <c r="BS4" s="148" t="n">
        <f aca="false">INT((69-1)/12)+1</f>
        <v>6</v>
      </c>
      <c r="BT4" s="148" t="n">
        <f aca="false">INT((70-1)/12)+1</f>
        <v>6</v>
      </c>
      <c r="BU4" s="148" t="n">
        <f aca="false">INT((71-1)/12)+1</f>
        <v>6</v>
      </c>
      <c r="BV4" s="148" t="n">
        <f aca="false">INT((72-1)/12)+1</f>
        <v>6</v>
      </c>
      <c r="BW4" s="148" t="n">
        <f aca="false">INT((73-1)/12)+1</f>
        <v>7</v>
      </c>
      <c r="BX4" s="148" t="n">
        <f aca="false">INT((74-1)/12)+1</f>
        <v>7</v>
      </c>
      <c r="BY4" s="148" t="n">
        <f aca="false">INT((75-1)/12)+1</f>
        <v>7</v>
      </c>
      <c r="BZ4" s="148" t="n">
        <f aca="false">INT((76-1)/12)+1</f>
        <v>7</v>
      </c>
      <c r="CA4" s="148" t="n">
        <f aca="false">INT((77-1)/12)+1</f>
        <v>7</v>
      </c>
      <c r="CB4" s="148" t="n">
        <f aca="false">INT((78-1)/12)+1</f>
        <v>7</v>
      </c>
      <c r="CC4" s="148" t="n">
        <f aca="false">INT((79-1)/12)+1</f>
        <v>7</v>
      </c>
      <c r="CD4" s="148" t="n">
        <f aca="false">INT((80-1)/12)+1</f>
        <v>7</v>
      </c>
      <c r="CE4" s="148" t="n">
        <f aca="false">INT((81-1)/12)+1</f>
        <v>7</v>
      </c>
      <c r="CF4" s="148" t="n">
        <f aca="false">INT((82-1)/12)+1</f>
        <v>7</v>
      </c>
      <c r="CG4" s="148" t="n">
        <f aca="false">INT((83-1)/12)+1</f>
        <v>7</v>
      </c>
      <c r="CH4" s="148" t="n">
        <f aca="false">INT((84-1)/12)+1</f>
        <v>7</v>
      </c>
    </row>
    <row r="5" customFormat="false" ht="13.5" hidden="false" customHeight="true" outlineLevel="0" collapsed="false"/>
    <row r="6" customFormat="false" ht="12.75" hidden="false" customHeight="true" outlineLevel="0" collapsed="false">
      <c r="A6" s="10" t="s">
        <v>689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</row>
    <row r="7" customFormat="false" ht="13.5" hidden="false" customHeight="true" outlineLevel="0" collapsed="false">
      <c r="A7" s="13" t="s">
        <v>690</v>
      </c>
      <c r="C7" s="149" t="n">
        <f aca="false">MIN(Hipótesis!$E$26,Hipótesis!$E$27+Hipótesis!$E$28*(1-1))</f>
        <v>1</v>
      </c>
      <c r="D7" s="149" t="n">
        <f aca="false">MIN(Hipótesis!$E$26,Hipótesis!$E$27+Hipótesis!$E$28*(2-1))</f>
        <v>1.5</v>
      </c>
      <c r="E7" s="149" t="n">
        <f aca="false">MIN(Hipótesis!$E$26,Hipótesis!$E$27+Hipótesis!$E$28*(3-1))</f>
        <v>2</v>
      </c>
      <c r="F7" s="149" t="n">
        <f aca="false">MIN(Hipótesis!$E$26,Hipótesis!$E$27+Hipótesis!$E$28*(4-1))</f>
        <v>2.5</v>
      </c>
      <c r="G7" s="149" t="n">
        <f aca="false">MIN(Hipótesis!$E$26,Hipótesis!$E$27+Hipótesis!$E$28*(5-1))</f>
        <v>3</v>
      </c>
      <c r="H7" s="149" t="n">
        <f aca="false">MIN(Hipótesis!$E$26,Hipótesis!$E$27+Hipótesis!$E$28*(6-1))</f>
        <v>3</v>
      </c>
      <c r="I7" s="149" t="n">
        <f aca="false">MIN(Hipótesis!$E$26,Hipótesis!$E$27+Hipótesis!$E$28*(7-1))</f>
        <v>3</v>
      </c>
      <c r="J7" s="149" t="n">
        <f aca="false">MIN(Hipótesis!$E$26,Hipótesis!$E$27+Hipótesis!$E$28*(8-1))</f>
        <v>3</v>
      </c>
      <c r="K7" s="149" t="n">
        <f aca="false">MIN(Hipótesis!$E$26,Hipótesis!$E$27+Hipótesis!$E$28*(9-1))</f>
        <v>3</v>
      </c>
      <c r="L7" s="149" t="n">
        <f aca="false">MIN(Hipótesis!$E$26,Hipótesis!$E$27+Hipótesis!$E$28*(10-1))</f>
        <v>3</v>
      </c>
      <c r="M7" s="149" t="n">
        <f aca="false">MIN(Hipótesis!$E$26,Hipótesis!$E$27+Hipótesis!$E$28*(11-1))</f>
        <v>3</v>
      </c>
      <c r="N7" s="149" t="n">
        <f aca="false">MIN(Hipótesis!$E$26,Hipótesis!$E$27+Hipótesis!$E$28*(12-1))</f>
        <v>3</v>
      </c>
      <c r="O7" s="149" t="n">
        <f aca="false">MIN(Hipótesis!$E$26,Hipótesis!$E$27+Hipótesis!$E$28*(13-1))</f>
        <v>3</v>
      </c>
      <c r="P7" s="149" t="n">
        <f aca="false">MIN(Hipótesis!$E$26,Hipótesis!$E$27+Hipótesis!$E$28*(14-1))</f>
        <v>3</v>
      </c>
      <c r="Q7" s="149" t="n">
        <f aca="false">MIN(Hipótesis!$E$26,Hipótesis!$E$27+Hipótesis!$E$28*(15-1))</f>
        <v>3</v>
      </c>
      <c r="R7" s="149" t="n">
        <f aca="false">MIN(Hipótesis!$E$26,Hipótesis!$E$27+Hipótesis!$E$28*(16-1))</f>
        <v>3</v>
      </c>
      <c r="S7" s="149" t="n">
        <f aca="false">MIN(Hipótesis!$E$26,Hipótesis!$E$27+Hipótesis!$E$28*(17-1))</f>
        <v>3</v>
      </c>
      <c r="T7" s="149" t="n">
        <f aca="false">MIN(Hipótesis!$E$26,Hipótesis!$E$27+Hipótesis!$E$28*(18-1))</f>
        <v>3</v>
      </c>
      <c r="U7" s="149" t="n">
        <f aca="false">MIN(Hipótesis!$E$26,Hipótesis!$E$27+Hipótesis!$E$28*(19-1))</f>
        <v>3</v>
      </c>
      <c r="V7" s="149" t="n">
        <f aca="false">MIN(Hipótesis!$E$26,Hipótesis!$E$27+Hipótesis!$E$28*(20-1))</f>
        <v>3</v>
      </c>
      <c r="W7" s="149" t="n">
        <f aca="false">MIN(Hipótesis!$E$26,Hipótesis!$E$27+Hipótesis!$E$28*(21-1))</f>
        <v>3</v>
      </c>
      <c r="X7" s="149" t="n">
        <f aca="false">MIN(Hipótesis!$E$26,Hipótesis!$E$27+Hipótesis!$E$28*(22-1))</f>
        <v>3</v>
      </c>
      <c r="Y7" s="149" t="n">
        <f aca="false">MIN(Hipótesis!$E$26,Hipótesis!$E$27+Hipótesis!$E$28*(23-1))</f>
        <v>3</v>
      </c>
      <c r="Z7" s="149" t="n">
        <f aca="false">MIN(Hipótesis!$E$26,Hipótesis!$E$27+Hipótesis!$E$28*(24-1))</f>
        <v>3</v>
      </c>
      <c r="AA7" s="149" t="n">
        <f aca="false">MIN(Hipótesis!$E$26,Hipótesis!$E$27+Hipótesis!$E$28*(25-1))</f>
        <v>3</v>
      </c>
      <c r="AB7" s="149" t="n">
        <f aca="false">MIN(Hipótesis!$E$26,Hipótesis!$E$27+Hipótesis!$E$28*(26-1))</f>
        <v>3</v>
      </c>
      <c r="AC7" s="149" t="n">
        <f aca="false">MIN(Hipótesis!$E$26,Hipótesis!$E$27+Hipótesis!$E$28*(27-1))</f>
        <v>3</v>
      </c>
      <c r="AD7" s="149" t="n">
        <f aca="false">MIN(Hipótesis!$E$26,Hipótesis!$E$27+Hipótesis!$E$28*(28-1))</f>
        <v>3</v>
      </c>
      <c r="AE7" s="149" t="n">
        <f aca="false">MIN(Hipótesis!$E$26,Hipótesis!$E$27+Hipótesis!$E$28*(29-1))</f>
        <v>3</v>
      </c>
      <c r="AF7" s="149" t="n">
        <f aca="false">MIN(Hipótesis!$E$26,Hipótesis!$E$27+Hipótesis!$E$28*(30-1))</f>
        <v>3</v>
      </c>
      <c r="AG7" s="149" t="n">
        <f aca="false">MIN(Hipótesis!$E$26,Hipótesis!$E$27+Hipótesis!$E$28*(31-1))</f>
        <v>3</v>
      </c>
      <c r="AH7" s="149" t="n">
        <f aca="false">MIN(Hipótesis!$E$26,Hipótesis!$E$27+Hipótesis!$E$28*(32-1))</f>
        <v>3</v>
      </c>
      <c r="AI7" s="149" t="n">
        <f aca="false">MIN(Hipótesis!$E$26,Hipótesis!$E$27+Hipótesis!$E$28*(33-1))</f>
        <v>3</v>
      </c>
      <c r="AJ7" s="149" t="n">
        <f aca="false">MIN(Hipótesis!$E$26,Hipótesis!$E$27+Hipótesis!$E$28*(34-1))</f>
        <v>3</v>
      </c>
      <c r="AK7" s="149" t="n">
        <f aca="false">MIN(Hipótesis!$E$26,Hipótesis!$E$27+Hipótesis!$E$28*(35-1))</f>
        <v>3</v>
      </c>
      <c r="AL7" s="149" t="n">
        <f aca="false">MIN(Hipótesis!$E$26,Hipótesis!$E$27+Hipótesis!$E$28*(36-1))</f>
        <v>3</v>
      </c>
      <c r="AM7" s="149" t="n">
        <f aca="false">MIN(Hipótesis!$E$26,Hipótesis!$E$27+Hipótesis!$E$28*(37-1))</f>
        <v>3</v>
      </c>
      <c r="AN7" s="149" t="n">
        <f aca="false">MIN(Hipótesis!$E$26,Hipótesis!$E$27+Hipótesis!$E$28*(38-1))</f>
        <v>3</v>
      </c>
      <c r="AO7" s="149" t="n">
        <f aca="false">MIN(Hipótesis!$E$26,Hipótesis!$E$27+Hipótesis!$E$28*(39-1))</f>
        <v>3</v>
      </c>
      <c r="AP7" s="149" t="n">
        <f aca="false">MIN(Hipótesis!$E$26,Hipótesis!$E$27+Hipótesis!$E$28*(40-1))</f>
        <v>3</v>
      </c>
      <c r="AQ7" s="149" t="n">
        <f aca="false">MIN(Hipótesis!$E$26,Hipótesis!$E$27+Hipótesis!$E$28*(41-1))</f>
        <v>3</v>
      </c>
      <c r="AR7" s="149" t="n">
        <f aca="false">MIN(Hipótesis!$E$26,Hipótesis!$E$27+Hipótesis!$E$28*(42-1))</f>
        <v>3</v>
      </c>
      <c r="AS7" s="149" t="n">
        <f aca="false">MIN(Hipótesis!$E$26,Hipótesis!$E$27+Hipótesis!$E$28*(43-1))</f>
        <v>3</v>
      </c>
      <c r="AT7" s="149" t="n">
        <f aca="false">MIN(Hipótesis!$E$26,Hipótesis!$E$27+Hipótesis!$E$28*(44-1))</f>
        <v>3</v>
      </c>
      <c r="AU7" s="149" t="n">
        <f aca="false">MIN(Hipótesis!$E$26,Hipótesis!$E$27+Hipótesis!$E$28*(45-1))</f>
        <v>3</v>
      </c>
      <c r="AV7" s="149" t="n">
        <f aca="false">MIN(Hipótesis!$E$26,Hipótesis!$E$27+Hipótesis!$E$28*(46-1))</f>
        <v>3</v>
      </c>
      <c r="AW7" s="149" t="n">
        <f aca="false">MIN(Hipótesis!$E$26,Hipótesis!$E$27+Hipótesis!$E$28*(47-1))</f>
        <v>3</v>
      </c>
      <c r="AX7" s="149" t="n">
        <f aca="false">MIN(Hipótesis!$E$26,Hipótesis!$E$27+Hipótesis!$E$28*(48-1))</f>
        <v>3</v>
      </c>
      <c r="AY7" s="149" t="n">
        <f aca="false">MIN(Hipótesis!$E$26,Hipótesis!$E$27+Hipótesis!$E$28*(49-1))</f>
        <v>3</v>
      </c>
      <c r="AZ7" s="149" t="n">
        <f aca="false">MIN(Hipótesis!$E$26,Hipótesis!$E$27+Hipótesis!$E$28*(50-1))</f>
        <v>3</v>
      </c>
      <c r="BA7" s="149" t="n">
        <f aca="false">MIN(Hipótesis!$E$26,Hipótesis!$E$27+Hipótesis!$E$28*(51-1))</f>
        <v>3</v>
      </c>
      <c r="BB7" s="149" t="n">
        <f aca="false">MIN(Hipótesis!$E$26,Hipótesis!$E$27+Hipótesis!$E$28*(52-1))</f>
        <v>3</v>
      </c>
      <c r="BC7" s="149" t="n">
        <f aca="false">MIN(Hipótesis!$E$26,Hipótesis!$E$27+Hipótesis!$E$28*(53-1))</f>
        <v>3</v>
      </c>
      <c r="BD7" s="149" t="n">
        <f aca="false">MIN(Hipótesis!$E$26,Hipótesis!$E$27+Hipótesis!$E$28*(54-1))</f>
        <v>3</v>
      </c>
      <c r="BE7" s="149" t="n">
        <f aca="false">MIN(Hipótesis!$E$26,Hipótesis!$E$27+Hipótesis!$E$28*(55-1))</f>
        <v>3</v>
      </c>
      <c r="BF7" s="149" t="n">
        <f aca="false">MIN(Hipótesis!$E$26,Hipótesis!$E$27+Hipótesis!$E$28*(56-1))</f>
        <v>3</v>
      </c>
      <c r="BG7" s="149" t="n">
        <f aca="false">MIN(Hipótesis!$E$26,Hipótesis!$E$27+Hipótesis!$E$28*(57-1))</f>
        <v>3</v>
      </c>
      <c r="BH7" s="149" t="n">
        <f aca="false">MIN(Hipótesis!$E$26,Hipótesis!$E$27+Hipótesis!$E$28*(58-1))</f>
        <v>3</v>
      </c>
      <c r="BI7" s="149" t="n">
        <f aca="false">MIN(Hipótesis!$E$26,Hipótesis!$E$27+Hipótesis!$E$28*(59-1))</f>
        <v>3</v>
      </c>
      <c r="BJ7" s="149" t="n">
        <f aca="false">MIN(Hipótesis!$E$26,Hipótesis!$E$27+Hipótesis!$E$28*(60-1))</f>
        <v>3</v>
      </c>
      <c r="BK7" s="149" t="n">
        <f aca="false">MIN(Hipótesis!$E$26,Hipótesis!$E$27+Hipótesis!$E$28*(61-1))</f>
        <v>3</v>
      </c>
      <c r="BL7" s="149" t="n">
        <f aca="false">MIN(Hipótesis!$E$26,Hipótesis!$E$27+Hipótesis!$E$28*(62-1))</f>
        <v>3</v>
      </c>
      <c r="BM7" s="149" t="n">
        <f aca="false">MIN(Hipótesis!$E$26,Hipótesis!$E$27+Hipótesis!$E$28*(63-1))</f>
        <v>3</v>
      </c>
      <c r="BN7" s="149" t="n">
        <f aca="false">MIN(Hipótesis!$E$26,Hipótesis!$E$27+Hipótesis!$E$28*(64-1))</f>
        <v>3</v>
      </c>
      <c r="BO7" s="149" t="n">
        <f aca="false">MIN(Hipótesis!$E$26,Hipótesis!$E$27+Hipótesis!$E$28*(65-1))</f>
        <v>3</v>
      </c>
      <c r="BP7" s="149" t="n">
        <f aca="false">MIN(Hipótesis!$E$26,Hipótesis!$E$27+Hipótesis!$E$28*(66-1))</f>
        <v>3</v>
      </c>
      <c r="BQ7" s="149" t="n">
        <f aca="false">MIN(Hipótesis!$E$26,Hipótesis!$E$27+Hipótesis!$E$28*(67-1))</f>
        <v>3</v>
      </c>
      <c r="BR7" s="149" t="n">
        <f aca="false">MIN(Hipótesis!$E$26,Hipótesis!$E$27+Hipótesis!$E$28*(68-1))</f>
        <v>3</v>
      </c>
      <c r="BS7" s="149" t="n">
        <f aca="false">MIN(Hipótesis!$E$26,Hipótesis!$E$27+Hipótesis!$E$28*(69-1))</f>
        <v>3</v>
      </c>
      <c r="BT7" s="149" t="n">
        <f aca="false">MIN(Hipótesis!$E$26,Hipótesis!$E$27+Hipótesis!$E$28*(70-1))</f>
        <v>3</v>
      </c>
      <c r="BU7" s="149" t="n">
        <f aca="false">MIN(Hipótesis!$E$26,Hipótesis!$E$27+Hipótesis!$E$28*(71-1))</f>
        <v>3</v>
      </c>
      <c r="BV7" s="149" t="n">
        <f aca="false">MIN(Hipótesis!$E$26,Hipótesis!$E$27+Hipótesis!$E$28*(72-1))</f>
        <v>3</v>
      </c>
      <c r="BW7" s="149" t="n">
        <f aca="false">MIN(Hipótesis!$E$26,Hipótesis!$E$27+Hipótesis!$E$28*(73-1))</f>
        <v>3</v>
      </c>
      <c r="BX7" s="149" t="n">
        <f aca="false">MIN(Hipótesis!$E$26,Hipótesis!$E$27+Hipótesis!$E$28*(74-1))</f>
        <v>3</v>
      </c>
      <c r="BY7" s="149" t="n">
        <f aca="false">MIN(Hipótesis!$E$26,Hipótesis!$E$27+Hipótesis!$E$28*(75-1))</f>
        <v>3</v>
      </c>
      <c r="BZ7" s="149" t="n">
        <f aca="false">MIN(Hipótesis!$E$26,Hipótesis!$E$27+Hipótesis!$E$28*(76-1))</f>
        <v>3</v>
      </c>
      <c r="CA7" s="149" t="n">
        <f aca="false">MIN(Hipótesis!$E$26,Hipótesis!$E$27+Hipótesis!$E$28*(77-1))</f>
        <v>3</v>
      </c>
      <c r="CB7" s="149" t="n">
        <f aca="false">MIN(Hipótesis!$E$26,Hipótesis!$E$27+Hipótesis!$E$28*(78-1))</f>
        <v>3</v>
      </c>
      <c r="CC7" s="149" t="n">
        <f aca="false">MIN(Hipótesis!$E$26,Hipótesis!$E$27+Hipótesis!$E$28*(79-1))</f>
        <v>3</v>
      </c>
      <c r="CD7" s="149" t="n">
        <f aca="false">MIN(Hipótesis!$E$26,Hipótesis!$E$27+Hipótesis!$E$28*(80-1))</f>
        <v>3</v>
      </c>
      <c r="CE7" s="149" t="n">
        <f aca="false">MIN(Hipótesis!$E$26,Hipótesis!$E$27+Hipótesis!$E$28*(81-1))</f>
        <v>3</v>
      </c>
      <c r="CF7" s="149" t="n">
        <f aca="false">MIN(Hipótesis!$E$26,Hipótesis!$E$27+Hipótesis!$E$28*(82-1))</f>
        <v>3</v>
      </c>
      <c r="CG7" s="149" t="n">
        <f aca="false">MIN(Hipótesis!$E$26,Hipótesis!$E$27+Hipótesis!$E$28*(83-1))</f>
        <v>3</v>
      </c>
      <c r="CH7" s="149" t="n">
        <f aca="false">MIN(Hipótesis!$E$26,Hipótesis!$E$27+Hipótesis!$E$28*(84-1))</f>
        <v>3</v>
      </c>
    </row>
    <row r="8" customFormat="false" ht="13.5" hidden="false" customHeight="true" outlineLevel="0" collapsed="false">
      <c r="A8" s="13" t="s">
        <v>691</v>
      </c>
      <c r="C8" s="139" t="n">
        <f aca="false">C7*Hipótesis!$D$13</f>
        <v>960</v>
      </c>
      <c r="D8" s="139" t="n">
        <f aca="false">D7*Hipótesis!$D$13</f>
        <v>1440</v>
      </c>
      <c r="E8" s="139" t="n">
        <f aca="false">E7*Hipótesis!$D$13</f>
        <v>1920</v>
      </c>
      <c r="F8" s="139" t="n">
        <f aca="false">F7*Hipótesis!$D$13</f>
        <v>2400</v>
      </c>
      <c r="G8" s="139" t="n">
        <f aca="false">G7*Hipótesis!$D$13</f>
        <v>2880</v>
      </c>
      <c r="H8" s="139" t="n">
        <f aca="false">H7*Hipótesis!$D$13</f>
        <v>2880</v>
      </c>
      <c r="I8" s="139" t="n">
        <f aca="false">I7*Hipótesis!$D$13</f>
        <v>2880</v>
      </c>
      <c r="J8" s="139" t="n">
        <f aca="false">J7*Hipótesis!$D$13</f>
        <v>2880</v>
      </c>
      <c r="K8" s="139" t="n">
        <f aca="false">K7*Hipótesis!$D$13</f>
        <v>2880</v>
      </c>
      <c r="L8" s="139" t="n">
        <f aca="false">L7*Hipótesis!$D$13</f>
        <v>2880</v>
      </c>
      <c r="M8" s="139" t="n">
        <f aca="false">M7*Hipótesis!$D$13</f>
        <v>2880</v>
      </c>
      <c r="N8" s="139" t="n">
        <f aca="false">N7*Hipótesis!$D$13</f>
        <v>2880</v>
      </c>
      <c r="O8" s="139" t="n">
        <f aca="false">O7*Hipótesis!$D$13</f>
        <v>2880</v>
      </c>
      <c r="P8" s="139" t="n">
        <f aca="false">P7*Hipótesis!$D$13</f>
        <v>2880</v>
      </c>
      <c r="Q8" s="139" t="n">
        <f aca="false">Q7*Hipótesis!$D$13</f>
        <v>2880</v>
      </c>
      <c r="R8" s="139" t="n">
        <f aca="false">R7*Hipótesis!$D$13</f>
        <v>2880</v>
      </c>
      <c r="S8" s="139" t="n">
        <f aca="false">S7*Hipótesis!$D$13</f>
        <v>2880</v>
      </c>
      <c r="T8" s="139" t="n">
        <f aca="false">T7*Hipótesis!$D$13</f>
        <v>2880</v>
      </c>
      <c r="U8" s="139" t="n">
        <f aca="false">U7*Hipótesis!$D$13</f>
        <v>2880</v>
      </c>
      <c r="V8" s="139" t="n">
        <f aca="false">V7*Hipótesis!$D$13</f>
        <v>2880</v>
      </c>
      <c r="W8" s="139" t="n">
        <f aca="false">W7*Hipótesis!$D$13</f>
        <v>2880</v>
      </c>
      <c r="X8" s="139" t="n">
        <f aca="false">X7*Hipótesis!$D$13</f>
        <v>2880</v>
      </c>
      <c r="Y8" s="139" t="n">
        <f aca="false">Y7*Hipótesis!$D$13</f>
        <v>2880</v>
      </c>
      <c r="Z8" s="139" t="n">
        <f aca="false">Z7*Hipótesis!$D$13</f>
        <v>2880</v>
      </c>
      <c r="AA8" s="139" t="n">
        <f aca="false">AA7*Hipótesis!$D$13</f>
        <v>2880</v>
      </c>
      <c r="AB8" s="139" t="n">
        <f aca="false">AB7*Hipótesis!$D$13</f>
        <v>2880</v>
      </c>
      <c r="AC8" s="139" t="n">
        <f aca="false">AC7*Hipótesis!$D$13</f>
        <v>2880</v>
      </c>
      <c r="AD8" s="139" t="n">
        <f aca="false">AD7*Hipótesis!$D$13</f>
        <v>2880</v>
      </c>
      <c r="AE8" s="139" t="n">
        <f aca="false">AE7*Hipótesis!$D$13</f>
        <v>2880</v>
      </c>
      <c r="AF8" s="139" t="n">
        <f aca="false">AF7*Hipótesis!$D$13</f>
        <v>2880</v>
      </c>
      <c r="AG8" s="139" t="n">
        <f aca="false">AG7*Hipótesis!$D$13</f>
        <v>2880</v>
      </c>
      <c r="AH8" s="139" t="n">
        <f aca="false">AH7*Hipótesis!$D$13</f>
        <v>2880</v>
      </c>
      <c r="AI8" s="139" t="n">
        <f aca="false">AI7*Hipótesis!$D$13</f>
        <v>2880</v>
      </c>
      <c r="AJ8" s="139" t="n">
        <f aca="false">AJ7*Hipótesis!$D$13</f>
        <v>2880</v>
      </c>
      <c r="AK8" s="139" t="n">
        <f aca="false">AK7*Hipótesis!$D$13</f>
        <v>2880</v>
      </c>
      <c r="AL8" s="139" t="n">
        <f aca="false">AL7*Hipótesis!$D$13</f>
        <v>2880</v>
      </c>
      <c r="AM8" s="139" t="n">
        <f aca="false">AM7*Hipótesis!$D$13</f>
        <v>2880</v>
      </c>
      <c r="AN8" s="139" t="n">
        <f aca="false">AN7*Hipótesis!$D$13</f>
        <v>2880</v>
      </c>
      <c r="AO8" s="139" t="n">
        <f aca="false">AO7*Hipótesis!$D$13</f>
        <v>2880</v>
      </c>
      <c r="AP8" s="139" t="n">
        <f aca="false">AP7*Hipótesis!$D$13</f>
        <v>2880</v>
      </c>
      <c r="AQ8" s="139" t="n">
        <f aca="false">AQ7*Hipótesis!$D$13</f>
        <v>2880</v>
      </c>
      <c r="AR8" s="139" t="n">
        <f aca="false">AR7*Hipótesis!$D$13</f>
        <v>2880</v>
      </c>
      <c r="AS8" s="139" t="n">
        <f aca="false">AS7*Hipótesis!$D$13</f>
        <v>2880</v>
      </c>
      <c r="AT8" s="139" t="n">
        <f aca="false">AT7*Hipótesis!$D$13</f>
        <v>2880</v>
      </c>
      <c r="AU8" s="139" t="n">
        <f aca="false">AU7*Hipótesis!$D$13</f>
        <v>2880</v>
      </c>
      <c r="AV8" s="139" t="n">
        <f aca="false">AV7*Hipótesis!$D$13</f>
        <v>2880</v>
      </c>
      <c r="AW8" s="139" t="n">
        <f aca="false">AW7*Hipótesis!$D$13</f>
        <v>2880</v>
      </c>
      <c r="AX8" s="139" t="n">
        <f aca="false">AX7*Hipótesis!$D$13</f>
        <v>2880</v>
      </c>
      <c r="AY8" s="139" t="n">
        <f aca="false">AY7*Hipótesis!$D$13</f>
        <v>2880</v>
      </c>
      <c r="AZ8" s="139" t="n">
        <f aca="false">AZ7*Hipótesis!$D$13</f>
        <v>2880</v>
      </c>
      <c r="BA8" s="139" t="n">
        <f aca="false">BA7*Hipótesis!$D$13</f>
        <v>2880</v>
      </c>
      <c r="BB8" s="139" t="n">
        <f aca="false">BB7*Hipótesis!$D$13</f>
        <v>2880</v>
      </c>
      <c r="BC8" s="139" t="n">
        <f aca="false">BC7*Hipótesis!$D$13</f>
        <v>2880</v>
      </c>
      <c r="BD8" s="139" t="n">
        <f aca="false">BD7*Hipótesis!$D$13</f>
        <v>2880</v>
      </c>
      <c r="BE8" s="139" t="n">
        <f aca="false">BE7*Hipótesis!$D$13</f>
        <v>2880</v>
      </c>
      <c r="BF8" s="139" t="n">
        <f aca="false">BF7*Hipótesis!$D$13</f>
        <v>2880</v>
      </c>
      <c r="BG8" s="139" t="n">
        <f aca="false">BG7*Hipótesis!$D$13</f>
        <v>2880</v>
      </c>
      <c r="BH8" s="139" t="n">
        <f aca="false">BH7*Hipótesis!$D$13</f>
        <v>2880</v>
      </c>
      <c r="BI8" s="139" t="n">
        <f aca="false">BI7*Hipótesis!$D$13</f>
        <v>2880</v>
      </c>
      <c r="BJ8" s="139" t="n">
        <f aca="false">BJ7*Hipótesis!$D$13</f>
        <v>2880</v>
      </c>
      <c r="BK8" s="139" t="n">
        <f aca="false">BK7*Hipótesis!$D$13</f>
        <v>2880</v>
      </c>
      <c r="BL8" s="139" t="n">
        <f aca="false">BL7*Hipótesis!$D$13</f>
        <v>2880</v>
      </c>
      <c r="BM8" s="139" t="n">
        <f aca="false">BM7*Hipótesis!$D$13</f>
        <v>2880</v>
      </c>
      <c r="BN8" s="139" t="n">
        <f aca="false">BN7*Hipótesis!$D$13</f>
        <v>2880</v>
      </c>
      <c r="BO8" s="139" t="n">
        <f aca="false">BO7*Hipótesis!$D$13</f>
        <v>2880</v>
      </c>
      <c r="BP8" s="139" t="n">
        <f aca="false">BP7*Hipótesis!$D$13</f>
        <v>2880</v>
      </c>
      <c r="BQ8" s="139" t="n">
        <f aca="false">BQ7*Hipótesis!$D$13</f>
        <v>2880</v>
      </c>
      <c r="BR8" s="139" t="n">
        <f aca="false">BR7*Hipótesis!$D$13</f>
        <v>2880</v>
      </c>
      <c r="BS8" s="139" t="n">
        <f aca="false">BS7*Hipótesis!$D$13</f>
        <v>2880</v>
      </c>
      <c r="BT8" s="139" t="n">
        <f aca="false">BT7*Hipótesis!$D$13</f>
        <v>2880</v>
      </c>
      <c r="BU8" s="139" t="n">
        <f aca="false">BU7*Hipótesis!$D$13</f>
        <v>2880</v>
      </c>
      <c r="BV8" s="139" t="n">
        <f aca="false">BV7*Hipótesis!$D$13</f>
        <v>2880</v>
      </c>
      <c r="BW8" s="139" t="n">
        <f aca="false">BW7*Hipótesis!$D$13</f>
        <v>2880</v>
      </c>
      <c r="BX8" s="139" t="n">
        <f aca="false">BX7*Hipótesis!$D$13</f>
        <v>2880</v>
      </c>
      <c r="BY8" s="139" t="n">
        <f aca="false">BY7*Hipótesis!$D$13</f>
        <v>2880</v>
      </c>
      <c r="BZ8" s="139" t="n">
        <f aca="false">BZ7*Hipótesis!$D$13</f>
        <v>2880</v>
      </c>
      <c r="CA8" s="139" t="n">
        <f aca="false">CA7*Hipótesis!$D$13</f>
        <v>2880</v>
      </c>
      <c r="CB8" s="139" t="n">
        <f aca="false">CB7*Hipótesis!$D$13</f>
        <v>2880</v>
      </c>
      <c r="CC8" s="139" t="n">
        <f aca="false">CC7*Hipótesis!$D$13</f>
        <v>2880</v>
      </c>
      <c r="CD8" s="139" t="n">
        <f aca="false">CD7*Hipótesis!$D$13</f>
        <v>2880</v>
      </c>
      <c r="CE8" s="139" t="n">
        <f aca="false">CE7*Hipótesis!$D$13</f>
        <v>2880</v>
      </c>
      <c r="CF8" s="139" t="n">
        <f aca="false">CF7*Hipótesis!$D$13</f>
        <v>2880</v>
      </c>
      <c r="CG8" s="139" t="n">
        <f aca="false">CG7*Hipótesis!$D$13</f>
        <v>2880</v>
      </c>
      <c r="CH8" s="139" t="n">
        <f aca="false">CH7*Hipótesis!$D$13</f>
        <v>2880</v>
      </c>
    </row>
    <row r="9" customFormat="false" ht="13.5" hidden="false" customHeight="true" outlineLevel="0" collapsed="false">
      <c r="A9" s="13" t="s">
        <v>692</v>
      </c>
      <c r="C9" s="138" t="n">
        <f aca="false">Pipeline!$Q$16*Pipeline!$D$16*MIN(1,MAX(0,(1-Pipeline!$E$16+1)/MAX(Pipeline!$F$16,1)))</f>
        <v>1033.125</v>
      </c>
      <c r="D9" s="138" t="n">
        <f aca="false">Pipeline!$Q$16*Pipeline!$D$16*MIN(1,MAX(0,(2-Pipeline!$E$16+1)/MAX(Pipeline!$F$16,1)))</f>
        <v>2066.25</v>
      </c>
      <c r="E9" s="138" t="n">
        <f aca="false">Pipeline!$Q$16*Pipeline!$D$16*MIN(1,MAX(0,(3-Pipeline!$E$16+1)/MAX(Pipeline!$F$16,1)))</f>
        <v>3099.375</v>
      </c>
      <c r="F9" s="138" t="n">
        <f aca="false">Pipeline!$Q$16*Pipeline!$D$16*MIN(1,MAX(0,(4-Pipeline!$E$16+1)/MAX(Pipeline!$F$16,1)))</f>
        <v>3099.375</v>
      </c>
      <c r="G9" s="138" t="n">
        <f aca="false">Pipeline!$Q$16*Pipeline!$D$16*MIN(1,MAX(0,(5-Pipeline!$E$16+1)/MAX(Pipeline!$F$16,1)))</f>
        <v>3099.375</v>
      </c>
      <c r="H9" s="138" t="n">
        <f aca="false">Pipeline!$Q$16*Pipeline!$D$16*MIN(1,MAX(0,(6-Pipeline!$E$16+1)/MAX(Pipeline!$F$16,1)))</f>
        <v>3099.375</v>
      </c>
      <c r="I9" s="138" t="n">
        <f aca="false">Pipeline!$Q$16*Pipeline!$D$16*MIN(1,MAX(0,(7-Pipeline!$E$16+1)/MAX(Pipeline!$F$16,1)))</f>
        <v>3099.375</v>
      </c>
      <c r="J9" s="138" t="n">
        <f aca="false">Pipeline!$Q$16*Pipeline!$D$16*MIN(1,MAX(0,(8-Pipeline!$E$16+1)/MAX(Pipeline!$F$16,1)))</f>
        <v>3099.375</v>
      </c>
      <c r="K9" s="138" t="n">
        <f aca="false">Pipeline!$Q$16*Pipeline!$D$16*MIN(1,MAX(0,(9-Pipeline!$E$16+1)/MAX(Pipeline!$F$16,1)))</f>
        <v>3099.375</v>
      </c>
      <c r="L9" s="138" t="n">
        <f aca="false">Pipeline!$Q$16*Pipeline!$D$16*MIN(1,MAX(0,(10-Pipeline!$E$16+1)/MAX(Pipeline!$F$16,1)))</f>
        <v>3099.375</v>
      </c>
      <c r="M9" s="138" t="n">
        <f aca="false">Pipeline!$Q$16*Pipeline!$D$16*MIN(1,MAX(0,(11-Pipeline!$E$16+1)/MAX(Pipeline!$F$16,1)))</f>
        <v>3099.375</v>
      </c>
      <c r="N9" s="138" t="n">
        <f aca="false">Pipeline!$Q$16*Pipeline!$D$16*MIN(1,MAX(0,(12-Pipeline!$E$16+1)/MAX(Pipeline!$F$16,1)))</f>
        <v>3099.375</v>
      </c>
      <c r="O9" s="138" t="n">
        <f aca="false">Pipeline!$Q$16*Pipeline!$D$16*MIN(1,MAX(0,(13-Pipeline!$E$16+1)/MAX(Pipeline!$F$16,1)))</f>
        <v>3099.375</v>
      </c>
      <c r="P9" s="138" t="n">
        <f aca="false">Pipeline!$Q$16*Pipeline!$D$16*MIN(1,MAX(0,(14-Pipeline!$E$16+1)/MAX(Pipeline!$F$16,1)))</f>
        <v>3099.375</v>
      </c>
      <c r="Q9" s="138" t="n">
        <f aca="false">Pipeline!$Q$16*Pipeline!$D$16*MIN(1,MAX(0,(15-Pipeline!$E$16+1)/MAX(Pipeline!$F$16,1)))</f>
        <v>3099.375</v>
      </c>
      <c r="R9" s="138" t="n">
        <f aca="false">Pipeline!$Q$16*Pipeline!$D$16*MIN(1,MAX(0,(16-Pipeline!$E$16+1)/MAX(Pipeline!$F$16,1)))</f>
        <v>3099.375</v>
      </c>
      <c r="S9" s="138" t="n">
        <f aca="false">Pipeline!$Q$16*Pipeline!$D$16*MIN(1,MAX(0,(17-Pipeline!$E$16+1)/MAX(Pipeline!$F$16,1)))</f>
        <v>3099.375</v>
      </c>
      <c r="T9" s="138" t="n">
        <f aca="false">Pipeline!$Q$16*Pipeline!$D$16*MIN(1,MAX(0,(18-Pipeline!$E$16+1)/MAX(Pipeline!$F$16,1)))</f>
        <v>3099.375</v>
      </c>
      <c r="U9" s="138" t="n">
        <f aca="false">Pipeline!$Q$16*Pipeline!$D$16*MIN(1,MAX(0,(19-Pipeline!$E$16+1)/MAX(Pipeline!$F$16,1)))</f>
        <v>3099.375</v>
      </c>
      <c r="V9" s="138" t="n">
        <f aca="false">Pipeline!$Q$16*Pipeline!$D$16*MIN(1,MAX(0,(20-Pipeline!$E$16+1)/MAX(Pipeline!$F$16,1)))</f>
        <v>3099.375</v>
      </c>
      <c r="W9" s="138" t="n">
        <f aca="false">Pipeline!$Q$16*Pipeline!$D$16*MIN(1,MAX(0,(21-Pipeline!$E$16+1)/MAX(Pipeline!$F$16,1)))</f>
        <v>3099.375</v>
      </c>
      <c r="X9" s="138" t="n">
        <f aca="false">Pipeline!$Q$16*Pipeline!$D$16*MIN(1,MAX(0,(22-Pipeline!$E$16+1)/MAX(Pipeline!$F$16,1)))</f>
        <v>3099.375</v>
      </c>
      <c r="Y9" s="138" t="n">
        <f aca="false">Pipeline!$Q$16*Pipeline!$D$16*MIN(1,MAX(0,(23-Pipeline!$E$16+1)/MAX(Pipeline!$F$16,1)))</f>
        <v>3099.375</v>
      </c>
      <c r="Z9" s="138" t="n">
        <f aca="false">Pipeline!$Q$16*Pipeline!$D$16*MIN(1,MAX(0,(24-Pipeline!$E$16+1)/MAX(Pipeline!$F$16,1)))</f>
        <v>3099.375</v>
      </c>
      <c r="AA9" s="138" t="n">
        <f aca="false">Pipeline!$Q$16*Pipeline!$D$16*MIN(1,MAX(0,(25-Pipeline!$E$16+1)/MAX(Pipeline!$F$16,1)))</f>
        <v>3099.375</v>
      </c>
      <c r="AB9" s="138" t="n">
        <f aca="false">Pipeline!$Q$16*Pipeline!$D$16*MIN(1,MAX(0,(26-Pipeline!$E$16+1)/MAX(Pipeline!$F$16,1)))</f>
        <v>3099.375</v>
      </c>
      <c r="AC9" s="138" t="n">
        <f aca="false">Pipeline!$Q$16*Pipeline!$D$16*MIN(1,MAX(0,(27-Pipeline!$E$16+1)/MAX(Pipeline!$F$16,1)))</f>
        <v>3099.375</v>
      </c>
      <c r="AD9" s="138" t="n">
        <f aca="false">Pipeline!$Q$16*Pipeline!$D$16*MIN(1,MAX(0,(28-Pipeline!$E$16+1)/MAX(Pipeline!$F$16,1)))</f>
        <v>3099.375</v>
      </c>
      <c r="AE9" s="138" t="n">
        <f aca="false">Pipeline!$Q$16*Pipeline!$D$16*MIN(1,MAX(0,(29-Pipeline!$E$16+1)/MAX(Pipeline!$F$16,1)))</f>
        <v>3099.375</v>
      </c>
      <c r="AF9" s="138" t="n">
        <f aca="false">Pipeline!$Q$16*Pipeline!$D$16*MIN(1,MAX(0,(30-Pipeline!$E$16+1)/MAX(Pipeline!$F$16,1)))</f>
        <v>3099.375</v>
      </c>
      <c r="AG9" s="138" t="n">
        <f aca="false">Pipeline!$Q$16*Pipeline!$D$16*MIN(1,MAX(0,(31-Pipeline!$E$16+1)/MAX(Pipeline!$F$16,1)))</f>
        <v>3099.375</v>
      </c>
      <c r="AH9" s="138" t="n">
        <f aca="false">Pipeline!$Q$16*Pipeline!$D$16*MIN(1,MAX(0,(32-Pipeline!$E$16+1)/MAX(Pipeline!$F$16,1)))</f>
        <v>3099.375</v>
      </c>
      <c r="AI9" s="138" t="n">
        <f aca="false">Pipeline!$Q$16*Pipeline!$D$16*MIN(1,MAX(0,(33-Pipeline!$E$16+1)/MAX(Pipeline!$F$16,1)))</f>
        <v>3099.375</v>
      </c>
      <c r="AJ9" s="138" t="n">
        <f aca="false">Pipeline!$Q$16*Pipeline!$D$16*MIN(1,MAX(0,(34-Pipeline!$E$16+1)/MAX(Pipeline!$F$16,1)))</f>
        <v>3099.375</v>
      </c>
      <c r="AK9" s="138" t="n">
        <f aca="false">Pipeline!$Q$16*Pipeline!$D$16*MIN(1,MAX(0,(35-Pipeline!$E$16+1)/MAX(Pipeline!$F$16,1)))</f>
        <v>3099.375</v>
      </c>
      <c r="AL9" s="138" t="n">
        <f aca="false">Pipeline!$Q$16*Pipeline!$D$16*MIN(1,MAX(0,(36-Pipeline!$E$16+1)/MAX(Pipeline!$F$16,1)))</f>
        <v>3099.375</v>
      </c>
      <c r="AM9" s="138" t="n">
        <f aca="false">Pipeline!$Q$16*Pipeline!$D$16*MIN(1,MAX(0,(37-Pipeline!$E$16+1)/MAX(Pipeline!$F$16,1)))</f>
        <v>3099.375</v>
      </c>
      <c r="AN9" s="138" t="n">
        <f aca="false">Pipeline!$Q$16*Pipeline!$D$16*MIN(1,MAX(0,(38-Pipeline!$E$16+1)/MAX(Pipeline!$F$16,1)))</f>
        <v>3099.375</v>
      </c>
      <c r="AO9" s="138" t="n">
        <f aca="false">Pipeline!$Q$16*Pipeline!$D$16*MIN(1,MAX(0,(39-Pipeline!$E$16+1)/MAX(Pipeline!$F$16,1)))</f>
        <v>3099.375</v>
      </c>
      <c r="AP9" s="138" t="n">
        <f aca="false">Pipeline!$Q$16*Pipeline!$D$16*MIN(1,MAX(0,(40-Pipeline!$E$16+1)/MAX(Pipeline!$F$16,1)))</f>
        <v>3099.375</v>
      </c>
      <c r="AQ9" s="138" t="n">
        <f aca="false">Pipeline!$Q$16*Pipeline!$D$16*MIN(1,MAX(0,(41-Pipeline!$E$16+1)/MAX(Pipeline!$F$16,1)))</f>
        <v>3099.375</v>
      </c>
      <c r="AR9" s="138" t="n">
        <f aca="false">Pipeline!$Q$16*Pipeline!$D$16*MIN(1,MAX(0,(42-Pipeline!$E$16+1)/MAX(Pipeline!$F$16,1)))</f>
        <v>3099.375</v>
      </c>
      <c r="AS9" s="138" t="n">
        <f aca="false">Pipeline!$Q$16*Pipeline!$D$16*MIN(1,MAX(0,(43-Pipeline!$E$16+1)/MAX(Pipeline!$F$16,1)))</f>
        <v>3099.375</v>
      </c>
      <c r="AT9" s="138" t="n">
        <f aca="false">Pipeline!$Q$16*Pipeline!$D$16*MIN(1,MAX(0,(44-Pipeline!$E$16+1)/MAX(Pipeline!$F$16,1)))</f>
        <v>3099.375</v>
      </c>
      <c r="AU9" s="138" t="n">
        <f aca="false">Pipeline!$Q$16*Pipeline!$D$16*MIN(1,MAX(0,(45-Pipeline!$E$16+1)/MAX(Pipeline!$F$16,1)))</f>
        <v>3099.375</v>
      </c>
      <c r="AV9" s="138" t="n">
        <f aca="false">Pipeline!$Q$16*Pipeline!$D$16*MIN(1,MAX(0,(46-Pipeline!$E$16+1)/MAX(Pipeline!$F$16,1)))</f>
        <v>3099.375</v>
      </c>
      <c r="AW9" s="138" t="n">
        <f aca="false">Pipeline!$Q$16*Pipeline!$D$16*MIN(1,MAX(0,(47-Pipeline!$E$16+1)/MAX(Pipeline!$F$16,1)))</f>
        <v>3099.375</v>
      </c>
      <c r="AX9" s="138" t="n">
        <f aca="false">Pipeline!$Q$16*Pipeline!$D$16*MIN(1,MAX(0,(48-Pipeline!$E$16+1)/MAX(Pipeline!$F$16,1)))</f>
        <v>3099.375</v>
      </c>
      <c r="AY9" s="138" t="n">
        <f aca="false">Pipeline!$Q$16*Pipeline!$D$16*MIN(1,MAX(0,(49-Pipeline!$E$16+1)/MAX(Pipeline!$F$16,1)))</f>
        <v>3099.375</v>
      </c>
      <c r="AZ9" s="138" t="n">
        <f aca="false">Pipeline!$Q$16*Pipeline!$D$16*MIN(1,MAX(0,(50-Pipeline!$E$16+1)/MAX(Pipeline!$F$16,1)))</f>
        <v>3099.375</v>
      </c>
      <c r="BA9" s="138" t="n">
        <f aca="false">Pipeline!$Q$16*Pipeline!$D$16*MIN(1,MAX(0,(51-Pipeline!$E$16+1)/MAX(Pipeline!$F$16,1)))</f>
        <v>3099.375</v>
      </c>
      <c r="BB9" s="138" t="n">
        <f aca="false">Pipeline!$Q$16*Pipeline!$D$16*MIN(1,MAX(0,(52-Pipeline!$E$16+1)/MAX(Pipeline!$F$16,1)))</f>
        <v>3099.375</v>
      </c>
      <c r="BC9" s="138" t="n">
        <f aca="false">Pipeline!$Q$16*Pipeline!$D$16*MIN(1,MAX(0,(53-Pipeline!$E$16+1)/MAX(Pipeline!$F$16,1)))</f>
        <v>3099.375</v>
      </c>
      <c r="BD9" s="138" t="n">
        <f aca="false">Pipeline!$Q$16*Pipeline!$D$16*MIN(1,MAX(0,(54-Pipeline!$E$16+1)/MAX(Pipeline!$F$16,1)))</f>
        <v>3099.375</v>
      </c>
      <c r="BE9" s="138" t="n">
        <f aca="false">Pipeline!$Q$16*Pipeline!$D$16*MIN(1,MAX(0,(55-Pipeline!$E$16+1)/MAX(Pipeline!$F$16,1)))</f>
        <v>3099.375</v>
      </c>
      <c r="BF9" s="138" t="n">
        <f aca="false">Pipeline!$Q$16*Pipeline!$D$16*MIN(1,MAX(0,(56-Pipeline!$E$16+1)/MAX(Pipeline!$F$16,1)))</f>
        <v>3099.375</v>
      </c>
      <c r="BG9" s="138" t="n">
        <f aca="false">Pipeline!$Q$16*Pipeline!$D$16*MIN(1,MAX(0,(57-Pipeline!$E$16+1)/MAX(Pipeline!$F$16,1)))</f>
        <v>3099.375</v>
      </c>
      <c r="BH9" s="138" t="n">
        <f aca="false">Pipeline!$Q$16*Pipeline!$D$16*MIN(1,MAX(0,(58-Pipeline!$E$16+1)/MAX(Pipeline!$F$16,1)))</f>
        <v>3099.375</v>
      </c>
      <c r="BI9" s="138" t="n">
        <f aca="false">Pipeline!$Q$16*Pipeline!$D$16*MIN(1,MAX(0,(59-Pipeline!$E$16+1)/MAX(Pipeline!$F$16,1)))</f>
        <v>3099.375</v>
      </c>
      <c r="BJ9" s="138" t="n">
        <f aca="false">Pipeline!$Q$16*Pipeline!$D$16*MIN(1,MAX(0,(60-Pipeline!$E$16+1)/MAX(Pipeline!$F$16,1)))</f>
        <v>3099.375</v>
      </c>
      <c r="BK9" s="138" t="n">
        <f aca="false">Pipeline!$Q$16*Pipeline!$D$16*MIN(1,MAX(0,(61-Pipeline!$E$16+1)/MAX(Pipeline!$F$16,1)))</f>
        <v>3099.375</v>
      </c>
      <c r="BL9" s="138" t="n">
        <f aca="false">Pipeline!$Q$16*Pipeline!$D$16*MIN(1,MAX(0,(62-Pipeline!$E$16+1)/MAX(Pipeline!$F$16,1)))</f>
        <v>3099.375</v>
      </c>
      <c r="BM9" s="138" t="n">
        <f aca="false">Pipeline!$Q$16*Pipeline!$D$16*MIN(1,MAX(0,(63-Pipeline!$E$16+1)/MAX(Pipeline!$F$16,1)))</f>
        <v>3099.375</v>
      </c>
      <c r="BN9" s="138" t="n">
        <f aca="false">Pipeline!$Q$16*Pipeline!$D$16*MIN(1,MAX(0,(64-Pipeline!$E$16+1)/MAX(Pipeline!$F$16,1)))</f>
        <v>3099.375</v>
      </c>
      <c r="BO9" s="138" t="n">
        <f aca="false">Pipeline!$Q$16*Pipeline!$D$16*MIN(1,MAX(0,(65-Pipeline!$E$16+1)/MAX(Pipeline!$F$16,1)))</f>
        <v>3099.375</v>
      </c>
      <c r="BP9" s="138" t="n">
        <f aca="false">Pipeline!$Q$16*Pipeline!$D$16*MIN(1,MAX(0,(66-Pipeline!$E$16+1)/MAX(Pipeline!$F$16,1)))</f>
        <v>3099.375</v>
      </c>
      <c r="BQ9" s="138" t="n">
        <f aca="false">Pipeline!$Q$16*Pipeline!$D$16*MIN(1,MAX(0,(67-Pipeline!$E$16+1)/MAX(Pipeline!$F$16,1)))</f>
        <v>3099.375</v>
      </c>
      <c r="BR9" s="138" t="n">
        <f aca="false">Pipeline!$Q$16*Pipeline!$D$16*MIN(1,MAX(0,(68-Pipeline!$E$16+1)/MAX(Pipeline!$F$16,1)))</f>
        <v>3099.375</v>
      </c>
      <c r="BS9" s="138" t="n">
        <f aca="false">Pipeline!$Q$16*Pipeline!$D$16*MIN(1,MAX(0,(69-Pipeline!$E$16+1)/MAX(Pipeline!$F$16,1)))</f>
        <v>3099.375</v>
      </c>
      <c r="BT9" s="138" t="n">
        <f aca="false">Pipeline!$Q$16*Pipeline!$D$16*MIN(1,MAX(0,(70-Pipeline!$E$16+1)/MAX(Pipeline!$F$16,1)))</f>
        <v>3099.375</v>
      </c>
      <c r="BU9" s="138" t="n">
        <f aca="false">Pipeline!$Q$16*Pipeline!$D$16*MIN(1,MAX(0,(71-Pipeline!$E$16+1)/MAX(Pipeline!$F$16,1)))</f>
        <v>3099.375</v>
      </c>
      <c r="BV9" s="138" t="n">
        <f aca="false">Pipeline!$Q$16*Pipeline!$D$16*MIN(1,MAX(0,(72-Pipeline!$E$16+1)/MAX(Pipeline!$F$16,1)))</f>
        <v>3099.375</v>
      </c>
      <c r="BW9" s="138" t="n">
        <f aca="false">Pipeline!$Q$16*Pipeline!$D$16*MIN(1,MAX(0,(73-Pipeline!$E$16+1)/MAX(Pipeline!$F$16,1)))</f>
        <v>3099.375</v>
      </c>
      <c r="BX9" s="138" t="n">
        <f aca="false">Pipeline!$Q$16*Pipeline!$D$16*MIN(1,MAX(0,(74-Pipeline!$E$16+1)/MAX(Pipeline!$F$16,1)))</f>
        <v>3099.375</v>
      </c>
      <c r="BY9" s="138" t="n">
        <f aca="false">Pipeline!$Q$16*Pipeline!$D$16*MIN(1,MAX(0,(75-Pipeline!$E$16+1)/MAX(Pipeline!$F$16,1)))</f>
        <v>3099.375</v>
      </c>
      <c r="BZ9" s="138" t="n">
        <f aca="false">Pipeline!$Q$16*Pipeline!$D$16*MIN(1,MAX(0,(76-Pipeline!$E$16+1)/MAX(Pipeline!$F$16,1)))</f>
        <v>3099.375</v>
      </c>
      <c r="CA9" s="138" t="n">
        <f aca="false">Pipeline!$Q$16*Pipeline!$D$16*MIN(1,MAX(0,(77-Pipeline!$E$16+1)/MAX(Pipeline!$F$16,1)))</f>
        <v>3099.375</v>
      </c>
      <c r="CB9" s="138" t="n">
        <f aca="false">Pipeline!$Q$16*Pipeline!$D$16*MIN(1,MAX(0,(78-Pipeline!$E$16+1)/MAX(Pipeline!$F$16,1)))</f>
        <v>3099.375</v>
      </c>
      <c r="CC9" s="138" t="n">
        <f aca="false">Pipeline!$Q$16*Pipeline!$D$16*MIN(1,MAX(0,(79-Pipeline!$E$16+1)/MAX(Pipeline!$F$16,1)))</f>
        <v>3099.375</v>
      </c>
      <c r="CD9" s="138" t="n">
        <f aca="false">Pipeline!$Q$16*Pipeline!$D$16*MIN(1,MAX(0,(80-Pipeline!$E$16+1)/MAX(Pipeline!$F$16,1)))</f>
        <v>3099.375</v>
      </c>
      <c r="CE9" s="138" t="n">
        <f aca="false">Pipeline!$Q$16*Pipeline!$D$16*MIN(1,MAX(0,(81-Pipeline!$E$16+1)/MAX(Pipeline!$F$16,1)))</f>
        <v>3099.375</v>
      </c>
      <c r="CF9" s="138" t="n">
        <f aca="false">Pipeline!$Q$16*Pipeline!$D$16*MIN(1,MAX(0,(82-Pipeline!$E$16+1)/MAX(Pipeline!$F$16,1)))</f>
        <v>3099.375</v>
      </c>
      <c r="CG9" s="138" t="n">
        <f aca="false">Pipeline!$Q$16*Pipeline!$D$16*MIN(1,MAX(0,(83-Pipeline!$E$16+1)/MAX(Pipeline!$F$16,1)))</f>
        <v>3099.375</v>
      </c>
      <c r="CH9" s="138" t="n">
        <f aca="false">Pipeline!$Q$16*Pipeline!$D$16*MIN(1,MAX(0,(84-Pipeline!$E$16+1)/MAX(Pipeline!$F$16,1)))</f>
        <v>3099.375</v>
      </c>
    </row>
    <row r="10" customFormat="false" ht="13.5" hidden="false" customHeight="true" outlineLevel="0" collapsed="false">
      <c r="A10" s="13" t="s">
        <v>693</v>
      </c>
      <c r="C10" s="138" t="n">
        <f aca="false">Pipeline!$Q$17*Pipeline!$D$17*MIN(1,MAX(0,(1-Pipeline!$E$17+1)/MAX(Pipeline!$F$17,1)))</f>
        <v>0</v>
      </c>
      <c r="D10" s="138" t="n">
        <f aca="false">Pipeline!$Q$17*Pipeline!$D$17*MIN(1,MAX(0,(2-Pipeline!$E$17+1)/MAX(Pipeline!$F$17,1)))</f>
        <v>78.3</v>
      </c>
      <c r="E10" s="138" t="n">
        <f aca="false">Pipeline!$Q$17*Pipeline!$D$17*MIN(1,MAX(0,(3-Pipeline!$E$17+1)/MAX(Pipeline!$F$17,1)))</f>
        <v>156.6</v>
      </c>
      <c r="F10" s="138" t="n">
        <f aca="false">Pipeline!$Q$17*Pipeline!$D$17*MIN(1,MAX(0,(4-Pipeline!$E$17+1)/MAX(Pipeline!$F$17,1)))</f>
        <v>234.9</v>
      </c>
      <c r="G10" s="138" t="n">
        <f aca="false">Pipeline!$Q$17*Pipeline!$D$17*MIN(1,MAX(0,(5-Pipeline!$E$17+1)/MAX(Pipeline!$F$17,1)))</f>
        <v>234.9</v>
      </c>
      <c r="H10" s="138" t="n">
        <f aca="false">Pipeline!$Q$17*Pipeline!$D$17*MIN(1,MAX(0,(6-Pipeline!$E$17+1)/MAX(Pipeline!$F$17,1)))</f>
        <v>234.9</v>
      </c>
      <c r="I10" s="138" t="n">
        <f aca="false">Pipeline!$Q$17*Pipeline!$D$17*MIN(1,MAX(0,(7-Pipeline!$E$17+1)/MAX(Pipeline!$F$17,1)))</f>
        <v>234.9</v>
      </c>
      <c r="J10" s="138" t="n">
        <f aca="false">Pipeline!$Q$17*Pipeline!$D$17*MIN(1,MAX(0,(8-Pipeline!$E$17+1)/MAX(Pipeline!$F$17,1)))</f>
        <v>234.9</v>
      </c>
      <c r="K10" s="138" t="n">
        <f aca="false">Pipeline!$Q$17*Pipeline!$D$17*MIN(1,MAX(0,(9-Pipeline!$E$17+1)/MAX(Pipeline!$F$17,1)))</f>
        <v>234.9</v>
      </c>
      <c r="L10" s="138" t="n">
        <f aca="false">Pipeline!$Q$17*Pipeline!$D$17*MIN(1,MAX(0,(10-Pipeline!$E$17+1)/MAX(Pipeline!$F$17,1)))</f>
        <v>234.9</v>
      </c>
      <c r="M10" s="138" t="n">
        <f aca="false">Pipeline!$Q$17*Pipeline!$D$17*MIN(1,MAX(0,(11-Pipeline!$E$17+1)/MAX(Pipeline!$F$17,1)))</f>
        <v>234.9</v>
      </c>
      <c r="N10" s="138" t="n">
        <f aca="false">Pipeline!$Q$17*Pipeline!$D$17*MIN(1,MAX(0,(12-Pipeline!$E$17+1)/MAX(Pipeline!$F$17,1)))</f>
        <v>234.9</v>
      </c>
      <c r="O10" s="138" t="n">
        <f aca="false">Pipeline!$Q$17*Pipeline!$D$17*MIN(1,MAX(0,(13-Pipeline!$E$17+1)/MAX(Pipeline!$F$17,1)))</f>
        <v>234.9</v>
      </c>
      <c r="P10" s="138" t="n">
        <f aca="false">Pipeline!$Q$17*Pipeline!$D$17*MIN(1,MAX(0,(14-Pipeline!$E$17+1)/MAX(Pipeline!$F$17,1)))</f>
        <v>234.9</v>
      </c>
      <c r="Q10" s="138" t="n">
        <f aca="false">Pipeline!$Q$17*Pipeline!$D$17*MIN(1,MAX(0,(15-Pipeline!$E$17+1)/MAX(Pipeline!$F$17,1)))</f>
        <v>234.9</v>
      </c>
      <c r="R10" s="138" t="n">
        <f aca="false">Pipeline!$Q$17*Pipeline!$D$17*MIN(1,MAX(0,(16-Pipeline!$E$17+1)/MAX(Pipeline!$F$17,1)))</f>
        <v>234.9</v>
      </c>
      <c r="S10" s="138" t="n">
        <f aca="false">Pipeline!$Q$17*Pipeline!$D$17*MIN(1,MAX(0,(17-Pipeline!$E$17+1)/MAX(Pipeline!$F$17,1)))</f>
        <v>234.9</v>
      </c>
      <c r="T10" s="138" t="n">
        <f aca="false">Pipeline!$Q$17*Pipeline!$D$17*MIN(1,MAX(0,(18-Pipeline!$E$17+1)/MAX(Pipeline!$F$17,1)))</f>
        <v>234.9</v>
      </c>
      <c r="U10" s="138" t="n">
        <f aca="false">Pipeline!$Q$17*Pipeline!$D$17*MIN(1,MAX(0,(19-Pipeline!$E$17+1)/MAX(Pipeline!$F$17,1)))</f>
        <v>234.9</v>
      </c>
      <c r="V10" s="138" t="n">
        <f aca="false">Pipeline!$Q$17*Pipeline!$D$17*MIN(1,MAX(0,(20-Pipeline!$E$17+1)/MAX(Pipeline!$F$17,1)))</f>
        <v>234.9</v>
      </c>
      <c r="W10" s="138" t="n">
        <f aca="false">Pipeline!$Q$17*Pipeline!$D$17*MIN(1,MAX(0,(21-Pipeline!$E$17+1)/MAX(Pipeline!$F$17,1)))</f>
        <v>234.9</v>
      </c>
      <c r="X10" s="138" t="n">
        <f aca="false">Pipeline!$Q$17*Pipeline!$D$17*MIN(1,MAX(0,(22-Pipeline!$E$17+1)/MAX(Pipeline!$F$17,1)))</f>
        <v>234.9</v>
      </c>
      <c r="Y10" s="138" t="n">
        <f aca="false">Pipeline!$Q$17*Pipeline!$D$17*MIN(1,MAX(0,(23-Pipeline!$E$17+1)/MAX(Pipeline!$F$17,1)))</f>
        <v>234.9</v>
      </c>
      <c r="Z10" s="138" t="n">
        <f aca="false">Pipeline!$Q$17*Pipeline!$D$17*MIN(1,MAX(0,(24-Pipeline!$E$17+1)/MAX(Pipeline!$F$17,1)))</f>
        <v>234.9</v>
      </c>
      <c r="AA10" s="138" t="n">
        <f aca="false">Pipeline!$Q$17*Pipeline!$D$17*MIN(1,MAX(0,(25-Pipeline!$E$17+1)/MAX(Pipeline!$F$17,1)))</f>
        <v>234.9</v>
      </c>
      <c r="AB10" s="138" t="n">
        <f aca="false">Pipeline!$Q$17*Pipeline!$D$17*MIN(1,MAX(0,(26-Pipeline!$E$17+1)/MAX(Pipeline!$F$17,1)))</f>
        <v>234.9</v>
      </c>
      <c r="AC10" s="138" t="n">
        <f aca="false">Pipeline!$Q$17*Pipeline!$D$17*MIN(1,MAX(0,(27-Pipeline!$E$17+1)/MAX(Pipeline!$F$17,1)))</f>
        <v>234.9</v>
      </c>
      <c r="AD10" s="138" t="n">
        <f aca="false">Pipeline!$Q$17*Pipeline!$D$17*MIN(1,MAX(0,(28-Pipeline!$E$17+1)/MAX(Pipeline!$F$17,1)))</f>
        <v>234.9</v>
      </c>
      <c r="AE10" s="138" t="n">
        <f aca="false">Pipeline!$Q$17*Pipeline!$D$17*MIN(1,MAX(0,(29-Pipeline!$E$17+1)/MAX(Pipeline!$F$17,1)))</f>
        <v>234.9</v>
      </c>
      <c r="AF10" s="138" t="n">
        <f aca="false">Pipeline!$Q$17*Pipeline!$D$17*MIN(1,MAX(0,(30-Pipeline!$E$17+1)/MAX(Pipeline!$F$17,1)))</f>
        <v>234.9</v>
      </c>
      <c r="AG10" s="138" t="n">
        <f aca="false">Pipeline!$Q$17*Pipeline!$D$17*MIN(1,MAX(0,(31-Pipeline!$E$17+1)/MAX(Pipeline!$F$17,1)))</f>
        <v>234.9</v>
      </c>
      <c r="AH10" s="138" t="n">
        <f aca="false">Pipeline!$Q$17*Pipeline!$D$17*MIN(1,MAX(0,(32-Pipeline!$E$17+1)/MAX(Pipeline!$F$17,1)))</f>
        <v>234.9</v>
      </c>
      <c r="AI10" s="138" t="n">
        <f aca="false">Pipeline!$Q$17*Pipeline!$D$17*MIN(1,MAX(0,(33-Pipeline!$E$17+1)/MAX(Pipeline!$F$17,1)))</f>
        <v>234.9</v>
      </c>
      <c r="AJ10" s="138" t="n">
        <f aca="false">Pipeline!$Q$17*Pipeline!$D$17*MIN(1,MAX(0,(34-Pipeline!$E$17+1)/MAX(Pipeline!$F$17,1)))</f>
        <v>234.9</v>
      </c>
      <c r="AK10" s="138" t="n">
        <f aca="false">Pipeline!$Q$17*Pipeline!$D$17*MIN(1,MAX(0,(35-Pipeline!$E$17+1)/MAX(Pipeline!$F$17,1)))</f>
        <v>234.9</v>
      </c>
      <c r="AL10" s="138" t="n">
        <f aca="false">Pipeline!$Q$17*Pipeline!$D$17*MIN(1,MAX(0,(36-Pipeline!$E$17+1)/MAX(Pipeline!$F$17,1)))</f>
        <v>234.9</v>
      </c>
      <c r="AM10" s="138" t="n">
        <f aca="false">Pipeline!$Q$17*Pipeline!$D$17*MIN(1,MAX(0,(37-Pipeline!$E$17+1)/MAX(Pipeline!$F$17,1)))</f>
        <v>234.9</v>
      </c>
      <c r="AN10" s="138" t="n">
        <f aca="false">Pipeline!$Q$17*Pipeline!$D$17*MIN(1,MAX(0,(38-Pipeline!$E$17+1)/MAX(Pipeline!$F$17,1)))</f>
        <v>234.9</v>
      </c>
      <c r="AO10" s="138" t="n">
        <f aca="false">Pipeline!$Q$17*Pipeline!$D$17*MIN(1,MAX(0,(39-Pipeline!$E$17+1)/MAX(Pipeline!$F$17,1)))</f>
        <v>234.9</v>
      </c>
      <c r="AP10" s="138" t="n">
        <f aca="false">Pipeline!$Q$17*Pipeline!$D$17*MIN(1,MAX(0,(40-Pipeline!$E$17+1)/MAX(Pipeline!$F$17,1)))</f>
        <v>234.9</v>
      </c>
      <c r="AQ10" s="138" t="n">
        <f aca="false">Pipeline!$Q$17*Pipeline!$D$17*MIN(1,MAX(0,(41-Pipeline!$E$17+1)/MAX(Pipeline!$F$17,1)))</f>
        <v>234.9</v>
      </c>
      <c r="AR10" s="138" t="n">
        <f aca="false">Pipeline!$Q$17*Pipeline!$D$17*MIN(1,MAX(0,(42-Pipeline!$E$17+1)/MAX(Pipeline!$F$17,1)))</f>
        <v>234.9</v>
      </c>
      <c r="AS10" s="138" t="n">
        <f aca="false">Pipeline!$Q$17*Pipeline!$D$17*MIN(1,MAX(0,(43-Pipeline!$E$17+1)/MAX(Pipeline!$F$17,1)))</f>
        <v>234.9</v>
      </c>
      <c r="AT10" s="138" t="n">
        <f aca="false">Pipeline!$Q$17*Pipeline!$D$17*MIN(1,MAX(0,(44-Pipeline!$E$17+1)/MAX(Pipeline!$F$17,1)))</f>
        <v>234.9</v>
      </c>
      <c r="AU10" s="138" t="n">
        <f aca="false">Pipeline!$Q$17*Pipeline!$D$17*MIN(1,MAX(0,(45-Pipeline!$E$17+1)/MAX(Pipeline!$F$17,1)))</f>
        <v>234.9</v>
      </c>
      <c r="AV10" s="138" t="n">
        <f aca="false">Pipeline!$Q$17*Pipeline!$D$17*MIN(1,MAX(0,(46-Pipeline!$E$17+1)/MAX(Pipeline!$F$17,1)))</f>
        <v>234.9</v>
      </c>
      <c r="AW10" s="138" t="n">
        <f aca="false">Pipeline!$Q$17*Pipeline!$D$17*MIN(1,MAX(0,(47-Pipeline!$E$17+1)/MAX(Pipeline!$F$17,1)))</f>
        <v>234.9</v>
      </c>
      <c r="AX10" s="138" t="n">
        <f aca="false">Pipeline!$Q$17*Pipeline!$D$17*MIN(1,MAX(0,(48-Pipeline!$E$17+1)/MAX(Pipeline!$F$17,1)))</f>
        <v>234.9</v>
      </c>
      <c r="AY10" s="138" t="n">
        <f aca="false">Pipeline!$Q$17*Pipeline!$D$17*MIN(1,MAX(0,(49-Pipeline!$E$17+1)/MAX(Pipeline!$F$17,1)))</f>
        <v>234.9</v>
      </c>
      <c r="AZ10" s="138" t="n">
        <f aca="false">Pipeline!$Q$17*Pipeline!$D$17*MIN(1,MAX(0,(50-Pipeline!$E$17+1)/MAX(Pipeline!$F$17,1)))</f>
        <v>234.9</v>
      </c>
      <c r="BA10" s="138" t="n">
        <f aca="false">Pipeline!$Q$17*Pipeline!$D$17*MIN(1,MAX(0,(51-Pipeline!$E$17+1)/MAX(Pipeline!$F$17,1)))</f>
        <v>234.9</v>
      </c>
      <c r="BB10" s="138" t="n">
        <f aca="false">Pipeline!$Q$17*Pipeline!$D$17*MIN(1,MAX(0,(52-Pipeline!$E$17+1)/MAX(Pipeline!$F$17,1)))</f>
        <v>234.9</v>
      </c>
      <c r="BC10" s="138" t="n">
        <f aca="false">Pipeline!$Q$17*Pipeline!$D$17*MIN(1,MAX(0,(53-Pipeline!$E$17+1)/MAX(Pipeline!$F$17,1)))</f>
        <v>234.9</v>
      </c>
      <c r="BD10" s="138" t="n">
        <f aca="false">Pipeline!$Q$17*Pipeline!$D$17*MIN(1,MAX(0,(54-Pipeline!$E$17+1)/MAX(Pipeline!$F$17,1)))</f>
        <v>234.9</v>
      </c>
      <c r="BE10" s="138" t="n">
        <f aca="false">Pipeline!$Q$17*Pipeline!$D$17*MIN(1,MAX(0,(55-Pipeline!$E$17+1)/MAX(Pipeline!$F$17,1)))</f>
        <v>234.9</v>
      </c>
      <c r="BF10" s="138" t="n">
        <f aca="false">Pipeline!$Q$17*Pipeline!$D$17*MIN(1,MAX(0,(56-Pipeline!$E$17+1)/MAX(Pipeline!$F$17,1)))</f>
        <v>234.9</v>
      </c>
      <c r="BG10" s="138" t="n">
        <f aca="false">Pipeline!$Q$17*Pipeline!$D$17*MIN(1,MAX(0,(57-Pipeline!$E$17+1)/MAX(Pipeline!$F$17,1)))</f>
        <v>234.9</v>
      </c>
      <c r="BH10" s="138" t="n">
        <f aca="false">Pipeline!$Q$17*Pipeline!$D$17*MIN(1,MAX(0,(58-Pipeline!$E$17+1)/MAX(Pipeline!$F$17,1)))</f>
        <v>234.9</v>
      </c>
      <c r="BI10" s="138" t="n">
        <f aca="false">Pipeline!$Q$17*Pipeline!$D$17*MIN(1,MAX(0,(59-Pipeline!$E$17+1)/MAX(Pipeline!$F$17,1)))</f>
        <v>234.9</v>
      </c>
      <c r="BJ10" s="138" t="n">
        <f aca="false">Pipeline!$Q$17*Pipeline!$D$17*MIN(1,MAX(0,(60-Pipeline!$E$17+1)/MAX(Pipeline!$F$17,1)))</f>
        <v>234.9</v>
      </c>
      <c r="BK10" s="138" t="n">
        <f aca="false">Pipeline!$Q$17*Pipeline!$D$17*MIN(1,MAX(0,(61-Pipeline!$E$17+1)/MAX(Pipeline!$F$17,1)))</f>
        <v>234.9</v>
      </c>
      <c r="BL10" s="138" t="n">
        <f aca="false">Pipeline!$Q$17*Pipeline!$D$17*MIN(1,MAX(0,(62-Pipeline!$E$17+1)/MAX(Pipeline!$F$17,1)))</f>
        <v>234.9</v>
      </c>
      <c r="BM10" s="138" t="n">
        <f aca="false">Pipeline!$Q$17*Pipeline!$D$17*MIN(1,MAX(0,(63-Pipeline!$E$17+1)/MAX(Pipeline!$F$17,1)))</f>
        <v>234.9</v>
      </c>
      <c r="BN10" s="138" t="n">
        <f aca="false">Pipeline!$Q$17*Pipeline!$D$17*MIN(1,MAX(0,(64-Pipeline!$E$17+1)/MAX(Pipeline!$F$17,1)))</f>
        <v>234.9</v>
      </c>
      <c r="BO10" s="138" t="n">
        <f aca="false">Pipeline!$Q$17*Pipeline!$D$17*MIN(1,MAX(0,(65-Pipeline!$E$17+1)/MAX(Pipeline!$F$17,1)))</f>
        <v>234.9</v>
      </c>
      <c r="BP10" s="138" t="n">
        <f aca="false">Pipeline!$Q$17*Pipeline!$D$17*MIN(1,MAX(0,(66-Pipeline!$E$17+1)/MAX(Pipeline!$F$17,1)))</f>
        <v>234.9</v>
      </c>
      <c r="BQ10" s="138" t="n">
        <f aca="false">Pipeline!$Q$17*Pipeline!$D$17*MIN(1,MAX(0,(67-Pipeline!$E$17+1)/MAX(Pipeline!$F$17,1)))</f>
        <v>234.9</v>
      </c>
      <c r="BR10" s="138" t="n">
        <f aca="false">Pipeline!$Q$17*Pipeline!$D$17*MIN(1,MAX(0,(68-Pipeline!$E$17+1)/MAX(Pipeline!$F$17,1)))</f>
        <v>234.9</v>
      </c>
      <c r="BS10" s="138" t="n">
        <f aca="false">Pipeline!$Q$17*Pipeline!$D$17*MIN(1,MAX(0,(69-Pipeline!$E$17+1)/MAX(Pipeline!$F$17,1)))</f>
        <v>234.9</v>
      </c>
      <c r="BT10" s="138" t="n">
        <f aca="false">Pipeline!$Q$17*Pipeline!$D$17*MIN(1,MAX(0,(70-Pipeline!$E$17+1)/MAX(Pipeline!$F$17,1)))</f>
        <v>234.9</v>
      </c>
      <c r="BU10" s="138" t="n">
        <f aca="false">Pipeline!$Q$17*Pipeline!$D$17*MIN(1,MAX(0,(71-Pipeline!$E$17+1)/MAX(Pipeline!$F$17,1)))</f>
        <v>234.9</v>
      </c>
      <c r="BV10" s="138" t="n">
        <f aca="false">Pipeline!$Q$17*Pipeline!$D$17*MIN(1,MAX(0,(72-Pipeline!$E$17+1)/MAX(Pipeline!$F$17,1)))</f>
        <v>234.9</v>
      </c>
      <c r="BW10" s="138" t="n">
        <f aca="false">Pipeline!$Q$17*Pipeline!$D$17*MIN(1,MAX(0,(73-Pipeline!$E$17+1)/MAX(Pipeline!$F$17,1)))</f>
        <v>234.9</v>
      </c>
      <c r="BX10" s="138" t="n">
        <f aca="false">Pipeline!$Q$17*Pipeline!$D$17*MIN(1,MAX(0,(74-Pipeline!$E$17+1)/MAX(Pipeline!$F$17,1)))</f>
        <v>234.9</v>
      </c>
      <c r="BY10" s="138" t="n">
        <f aca="false">Pipeline!$Q$17*Pipeline!$D$17*MIN(1,MAX(0,(75-Pipeline!$E$17+1)/MAX(Pipeline!$F$17,1)))</f>
        <v>234.9</v>
      </c>
      <c r="BZ10" s="138" t="n">
        <f aca="false">Pipeline!$Q$17*Pipeline!$D$17*MIN(1,MAX(0,(76-Pipeline!$E$17+1)/MAX(Pipeline!$F$17,1)))</f>
        <v>234.9</v>
      </c>
      <c r="CA10" s="138" t="n">
        <f aca="false">Pipeline!$Q$17*Pipeline!$D$17*MIN(1,MAX(0,(77-Pipeline!$E$17+1)/MAX(Pipeline!$F$17,1)))</f>
        <v>234.9</v>
      </c>
      <c r="CB10" s="138" t="n">
        <f aca="false">Pipeline!$Q$17*Pipeline!$D$17*MIN(1,MAX(0,(78-Pipeline!$E$17+1)/MAX(Pipeline!$F$17,1)))</f>
        <v>234.9</v>
      </c>
      <c r="CC10" s="138" t="n">
        <f aca="false">Pipeline!$Q$17*Pipeline!$D$17*MIN(1,MAX(0,(79-Pipeline!$E$17+1)/MAX(Pipeline!$F$17,1)))</f>
        <v>234.9</v>
      </c>
      <c r="CD10" s="138" t="n">
        <f aca="false">Pipeline!$Q$17*Pipeline!$D$17*MIN(1,MAX(0,(80-Pipeline!$E$17+1)/MAX(Pipeline!$F$17,1)))</f>
        <v>234.9</v>
      </c>
      <c r="CE10" s="138" t="n">
        <f aca="false">Pipeline!$Q$17*Pipeline!$D$17*MIN(1,MAX(0,(81-Pipeline!$E$17+1)/MAX(Pipeline!$F$17,1)))</f>
        <v>234.9</v>
      </c>
      <c r="CF10" s="138" t="n">
        <f aca="false">Pipeline!$Q$17*Pipeline!$D$17*MIN(1,MAX(0,(82-Pipeline!$E$17+1)/MAX(Pipeline!$F$17,1)))</f>
        <v>234.9</v>
      </c>
      <c r="CG10" s="138" t="n">
        <f aca="false">Pipeline!$Q$17*Pipeline!$D$17*MIN(1,MAX(0,(83-Pipeline!$E$17+1)/MAX(Pipeline!$F$17,1)))</f>
        <v>234.9</v>
      </c>
      <c r="CH10" s="138" t="n">
        <f aca="false">Pipeline!$Q$17*Pipeline!$D$17*MIN(1,MAX(0,(84-Pipeline!$E$17+1)/MAX(Pipeline!$F$17,1)))</f>
        <v>234.9</v>
      </c>
    </row>
    <row r="11" customFormat="false" ht="13.5" hidden="false" customHeight="true" outlineLevel="0" collapsed="false">
      <c r="A11" s="13" t="s">
        <v>694</v>
      </c>
      <c r="C11" s="138" t="n">
        <f aca="false">Pipeline!$Q$18*Pipeline!$D$18*MIN(1,MAX(0,(1-Pipeline!$E$18+1)/MAX(Pipeline!$F$18,1)))</f>
        <v>0</v>
      </c>
      <c r="D11" s="138" t="n">
        <f aca="false">Pipeline!$Q$18*Pipeline!$D$18*MIN(1,MAX(0,(2-Pipeline!$E$18+1)/MAX(Pipeline!$F$18,1)))</f>
        <v>0</v>
      </c>
      <c r="E11" s="138" t="n">
        <f aca="false">Pipeline!$Q$18*Pipeline!$D$18*MIN(1,MAX(0,(3-Pipeline!$E$18+1)/MAX(Pipeline!$F$18,1)))</f>
        <v>1201.6875</v>
      </c>
      <c r="F11" s="138" t="n">
        <f aca="false">Pipeline!$Q$18*Pipeline!$D$18*MIN(1,MAX(0,(4-Pipeline!$E$18+1)/MAX(Pipeline!$F$18,1)))</f>
        <v>2403.375</v>
      </c>
      <c r="G11" s="138" t="n">
        <f aca="false">Pipeline!$Q$18*Pipeline!$D$18*MIN(1,MAX(0,(5-Pipeline!$E$18+1)/MAX(Pipeline!$F$18,1)))</f>
        <v>3605.0625</v>
      </c>
      <c r="H11" s="138" t="n">
        <f aca="false">Pipeline!$Q$18*Pipeline!$D$18*MIN(1,MAX(0,(6-Pipeline!$E$18+1)/MAX(Pipeline!$F$18,1)))</f>
        <v>4806.75</v>
      </c>
      <c r="I11" s="138" t="n">
        <f aca="false">Pipeline!$Q$18*Pipeline!$D$18*MIN(1,MAX(0,(7-Pipeline!$E$18+1)/MAX(Pipeline!$F$18,1)))</f>
        <v>6008.4375</v>
      </c>
      <c r="J11" s="138" t="n">
        <f aca="false">Pipeline!$Q$18*Pipeline!$D$18*MIN(1,MAX(0,(8-Pipeline!$E$18+1)/MAX(Pipeline!$F$18,1)))</f>
        <v>7210.125</v>
      </c>
      <c r="K11" s="138" t="n">
        <f aca="false">Pipeline!$Q$18*Pipeline!$D$18*MIN(1,MAX(0,(9-Pipeline!$E$18+1)/MAX(Pipeline!$F$18,1)))</f>
        <v>8411.8125</v>
      </c>
      <c r="L11" s="138" t="n">
        <f aca="false">Pipeline!$Q$18*Pipeline!$D$18*MIN(1,MAX(0,(10-Pipeline!$E$18+1)/MAX(Pipeline!$F$18,1)))</f>
        <v>9613.5</v>
      </c>
      <c r="M11" s="138" t="n">
        <f aca="false">Pipeline!$Q$18*Pipeline!$D$18*MIN(1,MAX(0,(11-Pipeline!$E$18+1)/MAX(Pipeline!$F$18,1)))</f>
        <v>9613.5</v>
      </c>
      <c r="N11" s="138" t="n">
        <f aca="false">Pipeline!$Q$18*Pipeline!$D$18*MIN(1,MAX(0,(12-Pipeline!$E$18+1)/MAX(Pipeline!$F$18,1)))</f>
        <v>9613.5</v>
      </c>
      <c r="O11" s="138" t="n">
        <f aca="false">Pipeline!$Q$18*Pipeline!$D$18*MIN(1,MAX(0,(13-Pipeline!$E$18+1)/MAX(Pipeline!$F$18,1)))</f>
        <v>9613.5</v>
      </c>
      <c r="P11" s="138" t="n">
        <f aca="false">Pipeline!$Q$18*Pipeline!$D$18*MIN(1,MAX(0,(14-Pipeline!$E$18+1)/MAX(Pipeline!$F$18,1)))</f>
        <v>9613.5</v>
      </c>
      <c r="Q11" s="138" t="n">
        <f aca="false">Pipeline!$Q$18*Pipeline!$D$18*MIN(1,MAX(0,(15-Pipeline!$E$18+1)/MAX(Pipeline!$F$18,1)))</f>
        <v>9613.5</v>
      </c>
      <c r="R11" s="138" t="n">
        <f aca="false">Pipeline!$Q$18*Pipeline!$D$18*MIN(1,MAX(0,(16-Pipeline!$E$18+1)/MAX(Pipeline!$F$18,1)))</f>
        <v>9613.5</v>
      </c>
      <c r="S11" s="138" t="n">
        <f aca="false">Pipeline!$Q$18*Pipeline!$D$18*MIN(1,MAX(0,(17-Pipeline!$E$18+1)/MAX(Pipeline!$F$18,1)))</f>
        <v>9613.5</v>
      </c>
      <c r="T11" s="138" t="n">
        <f aca="false">Pipeline!$Q$18*Pipeline!$D$18*MIN(1,MAX(0,(18-Pipeline!$E$18+1)/MAX(Pipeline!$F$18,1)))</f>
        <v>9613.5</v>
      </c>
      <c r="U11" s="138" t="n">
        <f aca="false">Pipeline!$Q$18*Pipeline!$D$18*MIN(1,MAX(0,(19-Pipeline!$E$18+1)/MAX(Pipeline!$F$18,1)))</f>
        <v>9613.5</v>
      </c>
      <c r="V11" s="138" t="n">
        <f aca="false">Pipeline!$Q$18*Pipeline!$D$18*MIN(1,MAX(0,(20-Pipeline!$E$18+1)/MAX(Pipeline!$F$18,1)))</f>
        <v>9613.5</v>
      </c>
      <c r="W11" s="138" t="n">
        <f aca="false">Pipeline!$Q$18*Pipeline!$D$18*MIN(1,MAX(0,(21-Pipeline!$E$18+1)/MAX(Pipeline!$F$18,1)))</f>
        <v>9613.5</v>
      </c>
      <c r="X11" s="138" t="n">
        <f aca="false">Pipeline!$Q$18*Pipeline!$D$18*MIN(1,MAX(0,(22-Pipeline!$E$18+1)/MAX(Pipeline!$F$18,1)))</f>
        <v>9613.5</v>
      </c>
      <c r="Y11" s="138" t="n">
        <f aca="false">Pipeline!$Q$18*Pipeline!$D$18*MIN(1,MAX(0,(23-Pipeline!$E$18+1)/MAX(Pipeline!$F$18,1)))</f>
        <v>9613.5</v>
      </c>
      <c r="Z11" s="138" t="n">
        <f aca="false">Pipeline!$Q$18*Pipeline!$D$18*MIN(1,MAX(0,(24-Pipeline!$E$18+1)/MAX(Pipeline!$F$18,1)))</f>
        <v>9613.5</v>
      </c>
      <c r="AA11" s="138" t="n">
        <f aca="false">Pipeline!$Q$18*Pipeline!$D$18*MIN(1,MAX(0,(25-Pipeline!$E$18+1)/MAX(Pipeline!$F$18,1)))</f>
        <v>9613.5</v>
      </c>
      <c r="AB11" s="138" t="n">
        <f aca="false">Pipeline!$Q$18*Pipeline!$D$18*MIN(1,MAX(0,(26-Pipeline!$E$18+1)/MAX(Pipeline!$F$18,1)))</f>
        <v>9613.5</v>
      </c>
      <c r="AC11" s="138" t="n">
        <f aca="false">Pipeline!$Q$18*Pipeline!$D$18*MIN(1,MAX(0,(27-Pipeline!$E$18+1)/MAX(Pipeline!$F$18,1)))</f>
        <v>9613.5</v>
      </c>
      <c r="AD11" s="138" t="n">
        <f aca="false">Pipeline!$Q$18*Pipeline!$D$18*MIN(1,MAX(0,(28-Pipeline!$E$18+1)/MAX(Pipeline!$F$18,1)))</f>
        <v>9613.5</v>
      </c>
      <c r="AE11" s="138" t="n">
        <f aca="false">Pipeline!$Q$18*Pipeline!$D$18*MIN(1,MAX(0,(29-Pipeline!$E$18+1)/MAX(Pipeline!$F$18,1)))</f>
        <v>9613.5</v>
      </c>
      <c r="AF11" s="138" t="n">
        <f aca="false">Pipeline!$Q$18*Pipeline!$D$18*MIN(1,MAX(0,(30-Pipeline!$E$18+1)/MAX(Pipeline!$F$18,1)))</f>
        <v>9613.5</v>
      </c>
      <c r="AG11" s="138" t="n">
        <f aca="false">Pipeline!$Q$18*Pipeline!$D$18*MIN(1,MAX(0,(31-Pipeline!$E$18+1)/MAX(Pipeline!$F$18,1)))</f>
        <v>9613.5</v>
      </c>
      <c r="AH11" s="138" t="n">
        <f aca="false">Pipeline!$Q$18*Pipeline!$D$18*MIN(1,MAX(0,(32-Pipeline!$E$18+1)/MAX(Pipeline!$F$18,1)))</f>
        <v>9613.5</v>
      </c>
      <c r="AI11" s="138" t="n">
        <f aca="false">Pipeline!$Q$18*Pipeline!$D$18*MIN(1,MAX(0,(33-Pipeline!$E$18+1)/MAX(Pipeline!$F$18,1)))</f>
        <v>9613.5</v>
      </c>
      <c r="AJ11" s="138" t="n">
        <f aca="false">Pipeline!$Q$18*Pipeline!$D$18*MIN(1,MAX(0,(34-Pipeline!$E$18+1)/MAX(Pipeline!$F$18,1)))</f>
        <v>9613.5</v>
      </c>
      <c r="AK11" s="138" t="n">
        <f aca="false">Pipeline!$Q$18*Pipeline!$D$18*MIN(1,MAX(0,(35-Pipeline!$E$18+1)/MAX(Pipeline!$F$18,1)))</f>
        <v>9613.5</v>
      </c>
      <c r="AL11" s="138" t="n">
        <f aca="false">Pipeline!$Q$18*Pipeline!$D$18*MIN(1,MAX(0,(36-Pipeline!$E$18+1)/MAX(Pipeline!$F$18,1)))</f>
        <v>9613.5</v>
      </c>
      <c r="AM11" s="138" t="n">
        <f aca="false">Pipeline!$Q$18*Pipeline!$D$18*MIN(1,MAX(0,(37-Pipeline!$E$18+1)/MAX(Pipeline!$F$18,1)))</f>
        <v>9613.5</v>
      </c>
      <c r="AN11" s="138" t="n">
        <f aca="false">Pipeline!$Q$18*Pipeline!$D$18*MIN(1,MAX(0,(38-Pipeline!$E$18+1)/MAX(Pipeline!$F$18,1)))</f>
        <v>9613.5</v>
      </c>
      <c r="AO11" s="138" t="n">
        <f aca="false">Pipeline!$Q$18*Pipeline!$D$18*MIN(1,MAX(0,(39-Pipeline!$E$18+1)/MAX(Pipeline!$F$18,1)))</f>
        <v>9613.5</v>
      </c>
      <c r="AP11" s="138" t="n">
        <f aca="false">Pipeline!$Q$18*Pipeline!$D$18*MIN(1,MAX(0,(40-Pipeline!$E$18+1)/MAX(Pipeline!$F$18,1)))</f>
        <v>9613.5</v>
      </c>
      <c r="AQ11" s="138" t="n">
        <f aca="false">Pipeline!$Q$18*Pipeline!$D$18*MIN(1,MAX(0,(41-Pipeline!$E$18+1)/MAX(Pipeline!$F$18,1)))</f>
        <v>9613.5</v>
      </c>
      <c r="AR11" s="138" t="n">
        <f aca="false">Pipeline!$Q$18*Pipeline!$D$18*MIN(1,MAX(0,(42-Pipeline!$E$18+1)/MAX(Pipeline!$F$18,1)))</f>
        <v>9613.5</v>
      </c>
      <c r="AS11" s="138" t="n">
        <f aca="false">Pipeline!$Q$18*Pipeline!$D$18*MIN(1,MAX(0,(43-Pipeline!$E$18+1)/MAX(Pipeline!$F$18,1)))</f>
        <v>9613.5</v>
      </c>
      <c r="AT11" s="138" t="n">
        <f aca="false">Pipeline!$Q$18*Pipeline!$D$18*MIN(1,MAX(0,(44-Pipeline!$E$18+1)/MAX(Pipeline!$F$18,1)))</f>
        <v>9613.5</v>
      </c>
      <c r="AU11" s="138" t="n">
        <f aca="false">Pipeline!$Q$18*Pipeline!$D$18*MIN(1,MAX(0,(45-Pipeline!$E$18+1)/MAX(Pipeline!$F$18,1)))</f>
        <v>9613.5</v>
      </c>
      <c r="AV11" s="138" t="n">
        <f aca="false">Pipeline!$Q$18*Pipeline!$D$18*MIN(1,MAX(0,(46-Pipeline!$E$18+1)/MAX(Pipeline!$F$18,1)))</f>
        <v>9613.5</v>
      </c>
      <c r="AW11" s="138" t="n">
        <f aca="false">Pipeline!$Q$18*Pipeline!$D$18*MIN(1,MAX(0,(47-Pipeline!$E$18+1)/MAX(Pipeline!$F$18,1)))</f>
        <v>9613.5</v>
      </c>
      <c r="AX11" s="138" t="n">
        <f aca="false">Pipeline!$Q$18*Pipeline!$D$18*MIN(1,MAX(0,(48-Pipeline!$E$18+1)/MAX(Pipeline!$F$18,1)))</f>
        <v>9613.5</v>
      </c>
      <c r="AY11" s="138" t="n">
        <f aca="false">Pipeline!$Q$18*Pipeline!$D$18*MIN(1,MAX(0,(49-Pipeline!$E$18+1)/MAX(Pipeline!$F$18,1)))</f>
        <v>9613.5</v>
      </c>
      <c r="AZ11" s="138" t="n">
        <f aca="false">Pipeline!$Q$18*Pipeline!$D$18*MIN(1,MAX(0,(50-Pipeline!$E$18+1)/MAX(Pipeline!$F$18,1)))</f>
        <v>9613.5</v>
      </c>
      <c r="BA11" s="138" t="n">
        <f aca="false">Pipeline!$Q$18*Pipeline!$D$18*MIN(1,MAX(0,(51-Pipeline!$E$18+1)/MAX(Pipeline!$F$18,1)))</f>
        <v>9613.5</v>
      </c>
      <c r="BB11" s="138" t="n">
        <f aca="false">Pipeline!$Q$18*Pipeline!$D$18*MIN(1,MAX(0,(52-Pipeline!$E$18+1)/MAX(Pipeline!$F$18,1)))</f>
        <v>9613.5</v>
      </c>
      <c r="BC11" s="138" t="n">
        <f aca="false">Pipeline!$Q$18*Pipeline!$D$18*MIN(1,MAX(0,(53-Pipeline!$E$18+1)/MAX(Pipeline!$F$18,1)))</f>
        <v>9613.5</v>
      </c>
      <c r="BD11" s="138" t="n">
        <f aca="false">Pipeline!$Q$18*Pipeline!$D$18*MIN(1,MAX(0,(54-Pipeline!$E$18+1)/MAX(Pipeline!$F$18,1)))</f>
        <v>9613.5</v>
      </c>
      <c r="BE11" s="138" t="n">
        <f aca="false">Pipeline!$Q$18*Pipeline!$D$18*MIN(1,MAX(0,(55-Pipeline!$E$18+1)/MAX(Pipeline!$F$18,1)))</f>
        <v>9613.5</v>
      </c>
      <c r="BF11" s="138" t="n">
        <f aca="false">Pipeline!$Q$18*Pipeline!$D$18*MIN(1,MAX(0,(56-Pipeline!$E$18+1)/MAX(Pipeline!$F$18,1)))</f>
        <v>9613.5</v>
      </c>
      <c r="BG11" s="138" t="n">
        <f aca="false">Pipeline!$Q$18*Pipeline!$D$18*MIN(1,MAX(0,(57-Pipeline!$E$18+1)/MAX(Pipeline!$F$18,1)))</f>
        <v>9613.5</v>
      </c>
      <c r="BH11" s="138" t="n">
        <f aca="false">Pipeline!$Q$18*Pipeline!$D$18*MIN(1,MAX(0,(58-Pipeline!$E$18+1)/MAX(Pipeline!$F$18,1)))</f>
        <v>9613.5</v>
      </c>
      <c r="BI11" s="138" t="n">
        <f aca="false">Pipeline!$Q$18*Pipeline!$D$18*MIN(1,MAX(0,(59-Pipeline!$E$18+1)/MAX(Pipeline!$F$18,1)))</f>
        <v>9613.5</v>
      </c>
      <c r="BJ11" s="138" t="n">
        <f aca="false">Pipeline!$Q$18*Pipeline!$D$18*MIN(1,MAX(0,(60-Pipeline!$E$18+1)/MAX(Pipeline!$F$18,1)))</f>
        <v>9613.5</v>
      </c>
      <c r="BK11" s="138" t="n">
        <f aca="false">Pipeline!$Q$18*Pipeline!$D$18*MIN(1,MAX(0,(61-Pipeline!$E$18+1)/MAX(Pipeline!$F$18,1)))</f>
        <v>9613.5</v>
      </c>
      <c r="BL11" s="138" t="n">
        <f aca="false">Pipeline!$Q$18*Pipeline!$D$18*MIN(1,MAX(0,(62-Pipeline!$E$18+1)/MAX(Pipeline!$F$18,1)))</f>
        <v>9613.5</v>
      </c>
      <c r="BM11" s="138" t="n">
        <f aca="false">Pipeline!$Q$18*Pipeline!$D$18*MIN(1,MAX(0,(63-Pipeline!$E$18+1)/MAX(Pipeline!$F$18,1)))</f>
        <v>9613.5</v>
      </c>
      <c r="BN11" s="138" t="n">
        <f aca="false">Pipeline!$Q$18*Pipeline!$D$18*MIN(1,MAX(0,(64-Pipeline!$E$18+1)/MAX(Pipeline!$F$18,1)))</f>
        <v>9613.5</v>
      </c>
      <c r="BO11" s="138" t="n">
        <f aca="false">Pipeline!$Q$18*Pipeline!$D$18*MIN(1,MAX(0,(65-Pipeline!$E$18+1)/MAX(Pipeline!$F$18,1)))</f>
        <v>9613.5</v>
      </c>
      <c r="BP11" s="138" t="n">
        <f aca="false">Pipeline!$Q$18*Pipeline!$D$18*MIN(1,MAX(0,(66-Pipeline!$E$18+1)/MAX(Pipeline!$F$18,1)))</f>
        <v>9613.5</v>
      </c>
      <c r="BQ11" s="138" t="n">
        <f aca="false">Pipeline!$Q$18*Pipeline!$D$18*MIN(1,MAX(0,(67-Pipeline!$E$18+1)/MAX(Pipeline!$F$18,1)))</f>
        <v>9613.5</v>
      </c>
      <c r="BR11" s="138" t="n">
        <f aca="false">Pipeline!$Q$18*Pipeline!$D$18*MIN(1,MAX(0,(68-Pipeline!$E$18+1)/MAX(Pipeline!$F$18,1)))</f>
        <v>9613.5</v>
      </c>
      <c r="BS11" s="138" t="n">
        <f aca="false">Pipeline!$Q$18*Pipeline!$D$18*MIN(1,MAX(0,(69-Pipeline!$E$18+1)/MAX(Pipeline!$F$18,1)))</f>
        <v>9613.5</v>
      </c>
      <c r="BT11" s="138" t="n">
        <f aca="false">Pipeline!$Q$18*Pipeline!$D$18*MIN(1,MAX(0,(70-Pipeline!$E$18+1)/MAX(Pipeline!$F$18,1)))</f>
        <v>9613.5</v>
      </c>
      <c r="BU11" s="138" t="n">
        <f aca="false">Pipeline!$Q$18*Pipeline!$D$18*MIN(1,MAX(0,(71-Pipeline!$E$18+1)/MAX(Pipeline!$F$18,1)))</f>
        <v>9613.5</v>
      </c>
      <c r="BV11" s="138" t="n">
        <f aca="false">Pipeline!$Q$18*Pipeline!$D$18*MIN(1,MAX(0,(72-Pipeline!$E$18+1)/MAX(Pipeline!$F$18,1)))</f>
        <v>9613.5</v>
      </c>
      <c r="BW11" s="138" t="n">
        <f aca="false">Pipeline!$Q$18*Pipeline!$D$18*MIN(1,MAX(0,(73-Pipeline!$E$18+1)/MAX(Pipeline!$F$18,1)))</f>
        <v>9613.5</v>
      </c>
      <c r="BX11" s="138" t="n">
        <f aca="false">Pipeline!$Q$18*Pipeline!$D$18*MIN(1,MAX(0,(74-Pipeline!$E$18+1)/MAX(Pipeline!$F$18,1)))</f>
        <v>9613.5</v>
      </c>
      <c r="BY11" s="138" t="n">
        <f aca="false">Pipeline!$Q$18*Pipeline!$D$18*MIN(1,MAX(0,(75-Pipeline!$E$18+1)/MAX(Pipeline!$F$18,1)))</f>
        <v>9613.5</v>
      </c>
      <c r="BZ11" s="138" t="n">
        <f aca="false">Pipeline!$Q$18*Pipeline!$D$18*MIN(1,MAX(0,(76-Pipeline!$E$18+1)/MAX(Pipeline!$F$18,1)))</f>
        <v>9613.5</v>
      </c>
      <c r="CA11" s="138" t="n">
        <f aca="false">Pipeline!$Q$18*Pipeline!$D$18*MIN(1,MAX(0,(77-Pipeline!$E$18+1)/MAX(Pipeline!$F$18,1)))</f>
        <v>9613.5</v>
      </c>
      <c r="CB11" s="138" t="n">
        <f aca="false">Pipeline!$Q$18*Pipeline!$D$18*MIN(1,MAX(0,(78-Pipeline!$E$18+1)/MAX(Pipeline!$F$18,1)))</f>
        <v>9613.5</v>
      </c>
      <c r="CC11" s="138" t="n">
        <f aca="false">Pipeline!$Q$18*Pipeline!$D$18*MIN(1,MAX(0,(79-Pipeline!$E$18+1)/MAX(Pipeline!$F$18,1)))</f>
        <v>9613.5</v>
      </c>
      <c r="CD11" s="138" t="n">
        <f aca="false">Pipeline!$Q$18*Pipeline!$D$18*MIN(1,MAX(0,(80-Pipeline!$E$18+1)/MAX(Pipeline!$F$18,1)))</f>
        <v>9613.5</v>
      </c>
      <c r="CE11" s="138" t="n">
        <f aca="false">Pipeline!$Q$18*Pipeline!$D$18*MIN(1,MAX(0,(81-Pipeline!$E$18+1)/MAX(Pipeline!$F$18,1)))</f>
        <v>9613.5</v>
      </c>
      <c r="CF11" s="138" t="n">
        <f aca="false">Pipeline!$Q$18*Pipeline!$D$18*MIN(1,MAX(0,(82-Pipeline!$E$18+1)/MAX(Pipeline!$F$18,1)))</f>
        <v>9613.5</v>
      </c>
      <c r="CG11" s="138" t="n">
        <f aca="false">Pipeline!$Q$18*Pipeline!$D$18*MIN(1,MAX(0,(83-Pipeline!$E$18+1)/MAX(Pipeline!$F$18,1)))</f>
        <v>9613.5</v>
      </c>
      <c r="CH11" s="138" t="n">
        <f aca="false">Pipeline!$Q$18*Pipeline!$D$18*MIN(1,MAX(0,(84-Pipeline!$E$18+1)/MAX(Pipeline!$F$18,1)))</f>
        <v>9613.5</v>
      </c>
    </row>
    <row r="12" customFormat="false" ht="13.5" hidden="false" customHeight="true" outlineLevel="0" collapsed="false">
      <c r="A12" s="13" t="s">
        <v>695</v>
      </c>
      <c r="C12" s="138" t="n">
        <f aca="false">Pipeline!$Q$19*Pipeline!$D$19*MIN(1,MAX(0,(1-Pipeline!$E$19+1)/MAX(Pipeline!$F$19,1)))</f>
        <v>0</v>
      </c>
      <c r="D12" s="138" t="n">
        <f aca="false">Pipeline!$Q$19*Pipeline!$D$19*MIN(1,MAX(0,(2-Pipeline!$E$19+1)/MAX(Pipeline!$F$19,1)))</f>
        <v>0</v>
      </c>
      <c r="E12" s="138" t="n">
        <f aca="false">Pipeline!$Q$19*Pipeline!$D$19*MIN(1,MAX(0,(3-Pipeline!$E$19+1)/MAX(Pipeline!$F$19,1)))</f>
        <v>0</v>
      </c>
      <c r="F12" s="138" t="n">
        <f aca="false">Pipeline!$Q$19*Pipeline!$D$19*MIN(1,MAX(0,(4-Pipeline!$E$19+1)/MAX(Pipeline!$F$19,1)))</f>
        <v>0</v>
      </c>
      <c r="G12" s="138" t="n">
        <f aca="false">Pipeline!$Q$19*Pipeline!$D$19*MIN(1,MAX(0,(5-Pipeline!$E$19+1)/MAX(Pipeline!$F$19,1)))</f>
        <v>0</v>
      </c>
      <c r="H12" s="138" t="n">
        <f aca="false">Pipeline!$Q$19*Pipeline!$D$19*MIN(1,MAX(0,(6-Pipeline!$E$19+1)/MAX(Pipeline!$F$19,1)))</f>
        <v>717.75</v>
      </c>
      <c r="I12" s="138" t="n">
        <f aca="false">Pipeline!$Q$19*Pipeline!$D$19*MIN(1,MAX(0,(7-Pipeline!$E$19+1)/MAX(Pipeline!$F$19,1)))</f>
        <v>1435.5</v>
      </c>
      <c r="J12" s="138" t="n">
        <f aca="false">Pipeline!$Q$19*Pipeline!$D$19*MIN(1,MAX(0,(8-Pipeline!$E$19+1)/MAX(Pipeline!$F$19,1)))</f>
        <v>2153.25</v>
      </c>
      <c r="K12" s="138" t="n">
        <f aca="false">Pipeline!$Q$19*Pipeline!$D$19*MIN(1,MAX(0,(9-Pipeline!$E$19+1)/MAX(Pipeline!$F$19,1)))</f>
        <v>2871</v>
      </c>
      <c r="L12" s="138" t="n">
        <f aca="false">Pipeline!$Q$19*Pipeline!$D$19*MIN(1,MAX(0,(10-Pipeline!$E$19+1)/MAX(Pipeline!$F$19,1)))</f>
        <v>3588.75</v>
      </c>
      <c r="M12" s="138" t="n">
        <f aca="false">Pipeline!$Q$19*Pipeline!$D$19*MIN(1,MAX(0,(11-Pipeline!$E$19+1)/MAX(Pipeline!$F$19,1)))</f>
        <v>4306.5</v>
      </c>
      <c r="N12" s="138" t="n">
        <f aca="false">Pipeline!$Q$19*Pipeline!$D$19*MIN(1,MAX(0,(12-Pipeline!$E$19+1)/MAX(Pipeline!$F$19,1)))</f>
        <v>5024.25</v>
      </c>
      <c r="O12" s="138" t="n">
        <f aca="false">Pipeline!$Q$19*Pipeline!$D$19*MIN(1,MAX(0,(13-Pipeline!$E$19+1)/MAX(Pipeline!$F$19,1)))</f>
        <v>5742</v>
      </c>
      <c r="P12" s="138" t="n">
        <f aca="false">Pipeline!$Q$19*Pipeline!$D$19*MIN(1,MAX(0,(14-Pipeline!$E$19+1)/MAX(Pipeline!$F$19,1)))</f>
        <v>5742</v>
      </c>
      <c r="Q12" s="138" t="n">
        <f aca="false">Pipeline!$Q$19*Pipeline!$D$19*MIN(1,MAX(0,(15-Pipeline!$E$19+1)/MAX(Pipeline!$F$19,1)))</f>
        <v>5742</v>
      </c>
      <c r="R12" s="138" t="n">
        <f aca="false">Pipeline!$Q$19*Pipeline!$D$19*MIN(1,MAX(0,(16-Pipeline!$E$19+1)/MAX(Pipeline!$F$19,1)))</f>
        <v>5742</v>
      </c>
      <c r="S12" s="138" t="n">
        <f aca="false">Pipeline!$Q$19*Pipeline!$D$19*MIN(1,MAX(0,(17-Pipeline!$E$19+1)/MAX(Pipeline!$F$19,1)))</f>
        <v>5742</v>
      </c>
      <c r="T12" s="138" t="n">
        <f aca="false">Pipeline!$Q$19*Pipeline!$D$19*MIN(1,MAX(0,(18-Pipeline!$E$19+1)/MAX(Pipeline!$F$19,1)))</f>
        <v>5742</v>
      </c>
      <c r="U12" s="138" t="n">
        <f aca="false">Pipeline!$Q$19*Pipeline!$D$19*MIN(1,MAX(0,(19-Pipeline!$E$19+1)/MAX(Pipeline!$F$19,1)))</f>
        <v>5742</v>
      </c>
      <c r="V12" s="138" t="n">
        <f aca="false">Pipeline!$Q$19*Pipeline!$D$19*MIN(1,MAX(0,(20-Pipeline!$E$19+1)/MAX(Pipeline!$F$19,1)))</f>
        <v>5742</v>
      </c>
      <c r="W12" s="138" t="n">
        <f aca="false">Pipeline!$Q$19*Pipeline!$D$19*MIN(1,MAX(0,(21-Pipeline!$E$19+1)/MAX(Pipeline!$F$19,1)))</f>
        <v>5742</v>
      </c>
      <c r="X12" s="138" t="n">
        <f aca="false">Pipeline!$Q$19*Pipeline!$D$19*MIN(1,MAX(0,(22-Pipeline!$E$19+1)/MAX(Pipeline!$F$19,1)))</f>
        <v>5742</v>
      </c>
      <c r="Y12" s="138" t="n">
        <f aca="false">Pipeline!$Q$19*Pipeline!$D$19*MIN(1,MAX(0,(23-Pipeline!$E$19+1)/MAX(Pipeline!$F$19,1)))</f>
        <v>5742</v>
      </c>
      <c r="Z12" s="138" t="n">
        <f aca="false">Pipeline!$Q$19*Pipeline!$D$19*MIN(1,MAX(0,(24-Pipeline!$E$19+1)/MAX(Pipeline!$F$19,1)))</f>
        <v>5742</v>
      </c>
      <c r="AA12" s="138" t="n">
        <f aca="false">Pipeline!$Q$19*Pipeline!$D$19*MIN(1,MAX(0,(25-Pipeline!$E$19+1)/MAX(Pipeline!$F$19,1)))</f>
        <v>5742</v>
      </c>
      <c r="AB12" s="138" t="n">
        <f aca="false">Pipeline!$Q$19*Pipeline!$D$19*MIN(1,MAX(0,(26-Pipeline!$E$19+1)/MAX(Pipeline!$F$19,1)))</f>
        <v>5742</v>
      </c>
      <c r="AC12" s="138" t="n">
        <f aca="false">Pipeline!$Q$19*Pipeline!$D$19*MIN(1,MAX(0,(27-Pipeline!$E$19+1)/MAX(Pipeline!$F$19,1)))</f>
        <v>5742</v>
      </c>
      <c r="AD12" s="138" t="n">
        <f aca="false">Pipeline!$Q$19*Pipeline!$D$19*MIN(1,MAX(0,(28-Pipeline!$E$19+1)/MAX(Pipeline!$F$19,1)))</f>
        <v>5742</v>
      </c>
      <c r="AE12" s="138" t="n">
        <f aca="false">Pipeline!$Q$19*Pipeline!$D$19*MIN(1,MAX(0,(29-Pipeline!$E$19+1)/MAX(Pipeline!$F$19,1)))</f>
        <v>5742</v>
      </c>
      <c r="AF12" s="138" t="n">
        <f aca="false">Pipeline!$Q$19*Pipeline!$D$19*MIN(1,MAX(0,(30-Pipeline!$E$19+1)/MAX(Pipeline!$F$19,1)))</f>
        <v>5742</v>
      </c>
      <c r="AG12" s="138" t="n">
        <f aca="false">Pipeline!$Q$19*Pipeline!$D$19*MIN(1,MAX(0,(31-Pipeline!$E$19+1)/MAX(Pipeline!$F$19,1)))</f>
        <v>5742</v>
      </c>
      <c r="AH12" s="138" t="n">
        <f aca="false">Pipeline!$Q$19*Pipeline!$D$19*MIN(1,MAX(0,(32-Pipeline!$E$19+1)/MAX(Pipeline!$F$19,1)))</f>
        <v>5742</v>
      </c>
      <c r="AI12" s="138" t="n">
        <f aca="false">Pipeline!$Q$19*Pipeline!$D$19*MIN(1,MAX(0,(33-Pipeline!$E$19+1)/MAX(Pipeline!$F$19,1)))</f>
        <v>5742</v>
      </c>
      <c r="AJ12" s="138" t="n">
        <f aca="false">Pipeline!$Q$19*Pipeline!$D$19*MIN(1,MAX(0,(34-Pipeline!$E$19+1)/MAX(Pipeline!$F$19,1)))</f>
        <v>5742</v>
      </c>
      <c r="AK12" s="138" t="n">
        <f aca="false">Pipeline!$Q$19*Pipeline!$D$19*MIN(1,MAX(0,(35-Pipeline!$E$19+1)/MAX(Pipeline!$F$19,1)))</f>
        <v>5742</v>
      </c>
      <c r="AL12" s="138" t="n">
        <f aca="false">Pipeline!$Q$19*Pipeline!$D$19*MIN(1,MAX(0,(36-Pipeline!$E$19+1)/MAX(Pipeline!$F$19,1)))</f>
        <v>5742</v>
      </c>
      <c r="AM12" s="138" t="n">
        <f aca="false">Pipeline!$Q$19*Pipeline!$D$19*MIN(1,MAX(0,(37-Pipeline!$E$19+1)/MAX(Pipeline!$F$19,1)))</f>
        <v>5742</v>
      </c>
      <c r="AN12" s="138" t="n">
        <f aca="false">Pipeline!$Q$19*Pipeline!$D$19*MIN(1,MAX(0,(38-Pipeline!$E$19+1)/MAX(Pipeline!$F$19,1)))</f>
        <v>5742</v>
      </c>
      <c r="AO12" s="138" t="n">
        <f aca="false">Pipeline!$Q$19*Pipeline!$D$19*MIN(1,MAX(0,(39-Pipeline!$E$19+1)/MAX(Pipeline!$F$19,1)))</f>
        <v>5742</v>
      </c>
      <c r="AP12" s="138" t="n">
        <f aca="false">Pipeline!$Q$19*Pipeline!$D$19*MIN(1,MAX(0,(40-Pipeline!$E$19+1)/MAX(Pipeline!$F$19,1)))</f>
        <v>5742</v>
      </c>
      <c r="AQ12" s="138" t="n">
        <f aca="false">Pipeline!$Q$19*Pipeline!$D$19*MIN(1,MAX(0,(41-Pipeline!$E$19+1)/MAX(Pipeline!$F$19,1)))</f>
        <v>5742</v>
      </c>
      <c r="AR12" s="138" t="n">
        <f aca="false">Pipeline!$Q$19*Pipeline!$D$19*MIN(1,MAX(0,(42-Pipeline!$E$19+1)/MAX(Pipeline!$F$19,1)))</f>
        <v>5742</v>
      </c>
      <c r="AS12" s="138" t="n">
        <f aca="false">Pipeline!$Q$19*Pipeline!$D$19*MIN(1,MAX(0,(43-Pipeline!$E$19+1)/MAX(Pipeline!$F$19,1)))</f>
        <v>5742</v>
      </c>
      <c r="AT12" s="138" t="n">
        <f aca="false">Pipeline!$Q$19*Pipeline!$D$19*MIN(1,MAX(0,(44-Pipeline!$E$19+1)/MAX(Pipeline!$F$19,1)))</f>
        <v>5742</v>
      </c>
      <c r="AU12" s="138" t="n">
        <f aca="false">Pipeline!$Q$19*Pipeline!$D$19*MIN(1,MAX(0,(45-Pipeline!$E$19+1)/MAX(Pipeline!$F$19,1)))</f>
        <v>5742</v>
      </c>
      <c r="AV12" s="138" t="n">
        <f aca="false">Pipeline!$Q$19*Pipeline!$D$19*MIN(1,MAX(0,(46-Pipeline!$E$19+1)/MAX(Pipeline!$F$19,1)))</f>
        <v>5742</v>
      </c>
      <c r="AW12" s="138" t="n">
        <f aca="false">Pipeline!$Q$19*Pipeline!$D$19*MIN(1,MAX(0,(47-Pipeline!$E$19+1)/MAX(Pipeline!$F$19,1)))</f>
        <v>5742</v>
      </c>
      <c r="AX12" s="138" t="n">
        <f aca="false">Pipeline!$Q$19*Pipeline!$D$19*MIN(1,MAX(0,(48-Pipeline!$E$19+1)/MAX(Pipeline!$F$19,1)))</f>
        <v>5742</v>
      </c>
      <c r="AY12" s="138" t="n">
        <f aca="false">Pipeline!$Q$19*Pipeline!$D$19*MIN(1,MAX(0,(49-Pipeline!$E$19+1)/MAX(Pipeline!$F$19,1)))</f>
        <v>5742</v>
      </c>
      <c r="AZ12" s="138" t="n">
        <f aca="false">Pipeline!$Q$19*Pipeline!$D$19*MIN(1,MAX(0,(50-Pipeline!$E$19+1)/MAX(Pipeline!$F$19,1)))</f>
        <v>5742</v>
      </c>
      <c r="BA12" s="138" t="n">
        <f aca="false">Pipeline!$Q$19*Pipeline!$D$19*MIN(1,MAX(0,(51-Pipeline!$E$19+1)/MAX(Pipeline!$F$19,1)))</f>
        <v>5742</v>
      </c>
      <c r="BB12" s="138" t="n">
        <f aca="false">Pipeline!$Q$19*Pipeline!$D$19*MIN(1,MAX(0,(52-Pipeline!$E$19+1)/MAX(Pipeline!$F$19,1)))</f>
        <v>5742</v>
      </c>
      <c r="BC12" s="138" t="n">
        <f aca="false">Pipeline!$Q$19*Pipeline!$D$19*MIN(1,MAX(0,(53-Pipeline!$E$19+1)/MAX(Pipeline!$F$19,1)))</f>
        <v>5742</v>
      </c>
      <c r="BD12" s="138" t="n">
        <f aca="false">Pipeline!$Q$19*Pipeline!$D$19*MIN(1,MAX(0,(54-Pipeline!$E$19+1)/MAX(Pipeline!$F$19,1)))</f>
        <v>5742</v>
      </c>
      <c r="BE12" s="138" t="n">
        <f aca="false">Pipeline!$Q$19*Pipeline!$D$19*MIN(1,MAX(0,(55-Pipeline!$E$19+1)/MAX(Pipeline!$F$19,1)))</f>
        <v>5742</v>
      </c>
      <c r="BF12" s="138" t="n">
        <f aca="false">Pipeline!$Q$19*Pipeline!$D$19*MIN(1,MAX(0,(56-Pipeline!$E$19+1)/MAX(Pipeline!$F$19,1)))</f>
        <v>5742</v>
      </c>
      <c r="BG12" s="138" t="n">
        <f aca="false">Pipeline!$Q$19*Pipeline!$D$19*MIN(1,MAX(0,(57-Pipeline!$E$19+1)/MAX(Pipeline!$F$19,1)))</f>
        <v>5742</v>
      </c>
      <c r="BH12" s="138" t="n">
        <f aca="false">Pipeline!$Q$19*Pipeline!$D$19*MIN(1,MAX(0,(58-Pipeline!$E$19+1)/MAX(Pipeline!$F$19,1)))</f>
        <v>5742</v>
      </c>
      <c r="BI12" s="138" t="n">
        <f aca="false">Pipeline!$Q$19*Pipeline!$D$19*MIN(1,MAX(0,(59-Pipeline!$E$19+1)/MAX(Pipeline!$F$19,1)))</f>
        <v>5742</v>
      </c>
      <c r="BJ12" s="138" t="n">
        <f aca="false">Pipeline!$Q$19*Pipeline!$D$19*MIN(1,MAX(0,(60-Pipeline!$E$19+1)/MAX(Pipeline!$F$19,1)))</f>
        <v>5742</v>
      </c>
      <c r="BK12" s="138" t="n">
        <f aca="false">Pipeline!$Q$19*Pipeline!$D$19*MIN(1,MAX(0,(61-Pipeline!$E$19+1)/MAX(Pipeline!$F$19,1)))</f>
        <v>5742</v>
      </c>
      <c r="BL12" s="138" t="n">
        <f aca="false">Pipeline!$Q$19*Pipeline!$D$19*MIN(1,MAX(0,(62-Pipeline!$E$19+1)/MAX(Pipeline!$F$19,1)))</f>
        <v>5742</v>
      </c>
      <c r="BM12" s="138" t="n">
        <f aca="false">Pipeline!$Q$19*Pipeline!$D$19*MIN(1,MAX(0,(63-Pipeline!$E$19+1)/MAX(Pipeline!$F$19,1)))</f>
        <v>5742</v>
      </c>
      <c r="BN12" s="138" t="n">
        <f aca="false">Pipeline!$Q$19*Pipeline!$D$19*MIN(1,MAX(0,(64-Pipeline!$E$19+1)/MAX(Pipeline!$F$19,1)))</f>
        <v>5742</v>
      </c>
      <c r="BO12" s="138" t="n">
        <f aca="false">Pipeline!$Q$19*Pipeline!$D$19*MIN(1,MAX(0,(65-Pipeline!$E$19+1)/MAX(Pipeline!$F$19,1)))</f>
        <v>5742</v>
      </c>
      <c r="BP12" s="138" t="n">
        <f aca="false">Pipeline!$Q$19*Pipeline!$D$19*MIN(1,MAX(0,(66-Pipeline!$E$19+1)/MAX(Pipeline!$F$19,1)))</f>
        <v>5742</v>
      </c>
      <c r="BQ12" s="138" t="n">
        <f aca="false">Pipeline!$Q$19*Pipeline!$D$19*MIN(1,MAX(0,(67-Pipeline!$E$19+1)/MAX(Pipeline!$F$19,1)))</f>
        <v>5742</v>
      </c>
      <c r="BR12" s="138" t="n">
        <f aca="false">Pipeline!$Q$19*Pipeline!$D$19*MIN(1,MAX(0,(68-Pipeline!$E$19+1)/MAX(Pipeline!$F$19,1)))</f>
        <v>5742</v>
      </c>
      <c r="BS12" s="138" t="n">
        <f aca="false">Pipeline!$Q$19*Pipeline!$D$19*MIN(1,MAX(0,(69-Pipeline!$E$19+1)/MAX(Pipeline!$F$19,1)))</f>
        <v>5742</v>
      </c>
      <c r="BT12" s="138" t="n">
        <f aca="false">Pipeline!$Q$19*Pipeline!$D$19*MIN(1,MAX(0,(70-Pipeline!$E$19+1)/MAX(Pipeline!$F$19,1)))</f>
        <v>5742</v>
      </c>
      <c r="BU12" s="138" t="n">
        <f aca="false">Pipeline!$Q$19*Pipeline!$D$19*MIN(1,MAX(0,(71-Pipeline!$E$19+1)/MAX(Pipeline!$F$19,1)))</f>
        <v>5742</v>
      </c>
      <c r="BV12" s="138" t="n">
        <f aca="false">Pipeline!$Q$19*Pipeline!$D$19*MIN(1,MAX(0,(72-Pipeline!$E$19+1)/MAX(Pipeline!$F$19,1)))</f>
        <v>5742</v>
      </c>
      <c r="BW12" s="138" t="n">
        <f aca="false">Pipeline!$Q$19*Pipeline!$D$19*MIN(1,MAX(0,(73-Pipeline!$E$19+1)/MAX(Pipeline!$F$19,1)))</f>
        <v>5742</v>
      </c>
      <c r="BX12" s="138" t="n">
        <f aca="false">Pipeline!$Q$19*Pipeline!$D$19*MIN(1,MAX(0,(74-Pipeline!$E$19+1)/MAX(Pipeline!$F$19,1)))</f>
        <v>5742</v>
      </c>
      <c r="BY12" s="138" t="n">
        <f aca="false">Pipeline!$Q$19*Pipeline!$D$19*MIN(1,MAX(0,(75-Pipeline!$E$19+1)/MAX(Pipeline!$F$19,1)))</f>
        <v>5742</v>
      </c>
      <c r="BZ12" s="138" t="n">
        <f aca="false">Pipeline!$Q$19*Pipeline!$D$19*MIN(1,MAX(0,(76-Pipeline!$E$19+1)/MAX(Pipeline!$F$19,1)))</f>
        <v>5742</v>
      </c>
      <c r="CA12" s="138" t="n">
        <f aca="false">Pipeline!$Q$19*Pipeline!$D$19*MIN(1,MAX(0,(77-Pipeline!$E$19+1)/MAX(Pipeline!$F$19,1)))</f>
        <v>5742</v>
      </c>
      <c r="CB12" s="138" t="n">
        <f aca="false">Pipeline!$Q$19*Pipeline!$D$19*MIN(1,MAX(0,(78-Pipeline!$E$19+1)/MAX(Pipeline!$F$19,1)))</f>
        <v>5742</v>
      </c>
      <c r="CC12" s="138" t="n">
        <f aca="false">Pipeline!$Q$19*Pipeline!$D$19*MIN(1,MAX(0,(79-Pipeline!$E$19+1)/MAX(Pipeline!$F$19,1)))</f>
        <v>5742</v>
      </c>
      <c r="CD12" s="138" t="n">
        <f aca="false">Pipeline!$Q$19*Pipeline!$D$19*MIN(1,MAX(0,(80-Pipeline!$E$19+1)/MAX(Pipeline!$F$19,1)))</f>
        <v>5742</v>
      </c>
      <c r="CE12" s="138" t="n">
        <f aca="false">Pipeline!$Q$19*Pipeline!$D$19*MIN(1,MAX(0,(81-Pipeline!$E$19+1)/MAX(Pipeline!$F$19,1)))</f>
        <v>5742</v>
      </c>
      <c r="CF12" s="138" t="n">
        <f aca="false">Pipeline!$Q$19*Pipeline!$D$19*MIN(1,MAX(0,(82-Pipeline!$E$19+1)/MAX(Pipeline!$F$19,1)))</f>
        <v>5742</v>
      </c>
      <c r="CG12" s="138" t="n">
        <f aca="false">Pipeline!$Q$19*Pipeline!$D$19*MIN(1,MAX(0,(83-Pipeline!$E$19+1)/MAX(Pipeline!$F$19,1)))</f>
        <v>5742</v>
      </c>
      <c r="CH12" s="138" t="n">
        <f aca="false">Pipeline!$Q$19*Pipeline!$D$19*MIN(1,MAX(0,(84-Pipeline!$E$19+1)/MAX(Pipeline!$F$19,1)))</f>
        <v>5742</v>
      </c>
    </row>
    <row r="13" customFormat="false" ht="13.5" hidden="false" customHeight="true" outlineLevel="0" collapsed="false">
      <c r="A13" s="13" t="s">
        <v>696</v>
      </c>
      <c r="C13" s="138" t="n">
        <f aca="false">Pipeline!$Q$20*Pipeline!$D$20*MIN(1,MAX(0,(1-Pipeline!$E$20+1)/MAX(Pipeline!$F$20,1)))</f>
        <v>0</v>
      </c>
      <c r="D13" s="138" t="n">
        <f aca="false">Pipeline!$Q$20*Pipeline!$D$20*MIN(1,MAX(0,(2-Pipeline!$E$20+1)/MAX(Pipeline!$F$20,1)))</f>
        <v>0</v>
      </c>
      <c r="E13" s="138" t="n">
        <f aca="false">Pipeline!$Q$20*Pipeline!$D$20*MIN(1,MAX(0,(3-Pipeline!$E$20+1)/MAX(Pipeline!$F$20,1)))</f>
        <v>0</v>
      </c>
      <c r="F13" s="138" t="n">
        <f aca="false">Pipeline!$Q$20*Pipeline!$D$20*MIN(1,MAX(0,(4-Pipeline!$E$20+1)/MAX(Pipeline!$F$20,1)))</f>
        <v>0</v>
      </c>
      <c r="G13" s="138" t="n">
        <f aca="false">Pipeline!$Q$20*Pipeline!$D$20*MIN(1,MAX(0,(5-Pipeline!$E$20+1)/MAX(Pipeline!$F$20,1)))</f>
        <v>0</v>
      </c>
      <c r="H13" s="138" t="n">
        <f aca="false">Pipeline!$Q$20*Pipeline!$D$20*MIN(1,MAX(0,(6-Pipeline!$E$20+1)/MAX(Pipeline!$F$20,1)))</f>
        <v>0</v>
      </c>
      <c r="I13" s="138" t="n">
        <f aca="false">Pipeline!$Q$20*Pipeline!$D$20*MIN(1,MAX(0,(7-Pipeline!$E$20+1)/MAX(Pipeline!$F$20,1)))</f>
        <v>0</v>
      </c>
      <c r="J13" s="138" t="n">
        <f aca="false">Pipeline!$Q$20*Pipeline!$D$20*MIN(1,MAX(0,(8-Pipeline!$E$20+1)/MAX(Pipeline!$F$20,1)))</f>
        <v>0</v>
      </c>
      <c r="K13" s="138" t="n">
        <f aca="false">Pipeline!$Q$20*Pipeline!$D$20*MIN(1,MAX(0,(9-Pipeline!$E$20+1)/MAX(Pipeline!$F$20,1)))</f>
        <v>0</v>
      </c>
      <c r="L13" s="138" t="n">
        <f aca="false">Pipeline!$Q$20*Pipeline!$D$20*MIN(1,MAX(0,(10-Pipeline!$E$20+1)/MAX(Pipeline!$F$20,1)))</f>
        <v>0</v>
      </c>
      <c r="M13" s="138" t="n">
        <f aca="false">Pipeline!$Q$20*Pipeline!$D$20*MIN(1,MAX(0,(11-Pipeline!$E$20+1)/MAX(Pipeline!$F$20,1)))</f>
        <v>0</v>
      </c>
      <c r="N13" s="138" t="n">
        <f aca="false">Pipeline!$Q$20*Pipeline!$D$20*MIN(1,MAX(0,(12-Pipeline!$E$20+1)/MAX(Pipeline!$F$20,1)))</f>
        <v>978.75</v>
      </c>
      <c r="O13" s="138" t="n">
        <f aca="false">Pipeline!$Q$20*Pipeline!$D$20*MIN(1,MAX(0,(13-Pipeline!$E$20+1)/MAX(Pipeline!$F$20,1)))</f>
        <v>1957.5</v>
      </c>
      <c r="P13" s="138" t="n">
        <f aca="false">Pipeline!$Q$20*Pipeline!$D$20*MIN(1,MAX(0,(14-Pipeline!$E$20+1)/MAX(Pipeline!$F$20,1)))</f>
        <v>2936.25</v>
      </c>
      <c r="Q13" s="138" t="n">
        <f aca="false">Pipeline!$Q$20*Pipeline!$D$20*MIN(1,MAX(0,(15-Pipeline!$E$20+1)/MAX(Pipeline!$F$20,1)))</f>
        <v>3915</v>
      </c>
      <c r="R13" s="138" t="n">
        <f aca="false">Pipeline!$Q$20*Pipeline!$D$20*MIN(1,MAX(0,(16-Pipeline!$E$20+1)/MAX(Pipeline!$F$20,1)))</f>
        <v>4893.75</v>
      </c>
      <c r="S13" s="138" t="n">
        <f aca="false">Pipeline!$Q$20*Pipeline!$D$20*MIN(1,MAX(0,(17-Pipeline!$E$20+1)/MAX(Pipeline!$F$20,1)))</f>
        <v>5872.5</v>
      </c>
      <c r="T13" s="138" t="n">
        <f aca="false">Pipeline!$Q$20*Pipeline!$D$20*MIN(1,MAX(0,(18-Pipeline!$E$20+1)/MAX(Pipeline!$F$20,1)))</f>
        <v>6851.25</v>
      </c>
      <c r="U13" s="138" t="n">
        <f aca="false">Pipeline!$Q$20*Pipeline!$D$20*MIN(1,MAX(0,(19-Pipeline!$E$20+1)/MAX(Pipeline!$F$20,1)))</f>
        <v>7830</v>
      </c>
      <c r="V13" s="138" t="n">
        <f aca="false">Pipeline!$Q$20*Pipeline!$D$20*MIN(1,MAX(0,(20-Pipeline!$E$20+1)/MAX(Pipeline!$F$20,1)))</f>
        <v>8808.75</v>
      </c>
      <c r="W13" s="138" t="n">
        <f aca="false">Pipeline!$Q$20*Pipeline!$D$20*MIN(1,MAX(0,(21-Pipeline!$E$20+1)/MAX(Pipeline!$F$20,1)))</f>
        <v>9787.5</v>
      </c>
      <c r="X13" s="138" t="n">
        <f aca="false">Pipeline!$Q$20*Pipeline!$D$20*MIN(1,MAX(0,(22-Pipeline!$E$20+1)/MAX(Pipeline!$F$20,1)))</f>
        <v>9787.5</v>
      </c>
      <c r="Y13" s="138" t="n">
        <f aca="false">Pipeline!$Q$20*Pipeline!$D$20*MIN(1,MAX(0,(23-Pipeline!$E$20+1)/MAX(Pipeline!$F$20,1)))</f>
        <v>9787.5</v>
      </c>
      <c r="Z13" s="138" t="n">
        <f aca="false">Pipeline!$Q$20*Pipeline!$D$20*MIN(1,MAX(0,(24-Pipeline!$E$20+1)/MAX(Pipeline!$F$20,1)))</f>
        <v>9787.5</v>
      </c>
      <c r="AA13" s="138" t="n">
        <f aca="false">Pipeline!$Q$20*Pipeline!$D$20*MIN(1,MAX(0,(25-Pipeline!$E$20+1)/MAX(Pipeline!$F$20,1)))</f>
        <v>9787.5</v>
      </c>
      <c r="AB13" s="138" t="n">
        <f aca="false">Pipeline!$Q$20*Pipeline!$D$20*MIN(1,MAX(0,(26-Pipeline!$E$20+1)/MAX(Pipeline!$F$20,1)))</f>
        <v>9787.5</v>
      </c>
      <c r="AC13" s="138" t="n">
        <f aca="false">Pipeline!$Q$20*Pipeline!$D$20*MIN(1,MAX(0,(27-Pipeline!$E$20+1)/MAX(Pipeline!$F$20,1)))</f>
        <v>9787.5</v>
      </c>
      <c r="AD13" s="138" t="n">
        <f aca="false">Pipeline!$Q$20*Pipeline!$D$20*MIN(1,MAX(0,(28-Pipeline!$E$20+1)/MAX(Pipeline!$F$20,1)))</f>
        <v>9787.5</v>
      </c>
      <c r="AE13" s="138" t="n">
        <f aca="false">Pipeline!$Q$20*Pipeline!$D$20*MIN(1,MAX(0,(29-Pipeline!$E$20+1)/MAX(Pipeline!$F$20,1)))</f>
        <v>9787.5</v>
      </c>
      <c r="AF13" s="138" t="n">
        <f aca="false">Pipeline!$Q$20*Pipeline!$D$20*MIN(1,MAX(0,(30-Pipeline!$E$20+1)/MAX(Pipeline!$F$20,1)))</f>
        <v>9787.5</v>
      </c>
      <c r="AG13" s="138" t="n">
        <f aca="false">Pipeline!$Q$20*Pipeline!$D$20*MIN(1,MAX(0,(31-Pipeline!$E$20+1)/MAX(Pipeline!$F$20,1)))</f>
        <v>9787.5</v>
      </c>
      <c r="AH13" s="138" t="n">
        <f aca="false">Pipeline!$Q$20*Pipeline!$D$20*MIN(1,MAX(0,(32-Pipeline!$E$20+1)/MAX(Pipeline!$F$20,1)))</f>
        <v>9787.5</v>
      </c>
      <c r="AI13" s="138" t="n">
        <f aca="false">Pipeline!$Q$20*Pipeline!$D$20*MIN(1,MAX(0,(33-Pipeline!$E$20+1)/MAX(Pipeline!$F$20,1)))</f>
        <v>9787.5</v>
      </c>
      <c r="AJ13" s="138" t="n">
        <f aca="false">Pipeline!$Q$20*Pipeline!$D$20*MIN(1,MAX(0,(34-Pipeline!$E$20+1)/MAX(Pipeline!$F$20,1)))</f>
        <v>9787.5</v>
      </c>
      <c r="AK13" s="138" t="n">
        <f aca="false">Pipeline!$Q$20*Pipeline!$D$20*MIN(1,MAX(0,(35-Pipeline!$E$20+1)/MAX(Pipeline!$F$20,1)))</f>
        <v>9787.5</v>
      </c>
      <c r="AL13" s="138" t="n">
        <f aca="false">Pipeline!$Q$20*Pipeline!$D$20*MIN(1,MAX(0,(36-Pipeline!$E$20+1)/MAX(Pipeline!$F$20,1)))</f>
        <v>9787.5</v>
      </c>
      <c r="AM13" s="138" t="n">
        <f aca="false">Pipeline!$Q$20*Pipeline!$D$20*MIN(1,MAX(0,(37-Pipeline!$E$20+1)/MAX(Pipeline!$F$20,1)))</f>
        <v>9787.5</v>
      </c>
      <c r="AN13" s="138" t="n">
        <f aca="false">Pipeline!$Q$20*Pipeline!$D$20*MIN(1,MAX(0,(38-Pipeline!$E$20+1)/MAX(Pipeline!$F$20,1)))</f>
        <v>9787.5</v>
      </c>
      <c r="AO13" s="138" t="n">
        <f aca="false">Pipeline!$Q$20*Pipeline!$D$20*MIN(1,MAX(0,(39-Pipeline!$E$20+1)/MAX(Pipeline!$F$20,1)))</f>
        <v>9787.5</v>
      </c>
      <c r="AP13" s="138" t="n">
        <f aca="false">Pipeline!$Q$20*Pipeline!$D$20*MIN(1,MAX(0,(40-Pipeline!$E$20+1)/MAX(Pipeline!$F$20,1)))</f>
        <v>9787.5</v>
      </c>
      <c r="AQ13" s="138" t="n">
        <f aca="false">Pipeline!$Q$20*Pipeline!$D$20*MIN(1,MAX(0,(41-Pipeline!$E$20+1)/MAX(Pipeline!$F$20,1)))</f>
        <v>9787.5</v>
      </c>
      <c r="AR13" s="138" t="n">
        <f aca="false">Pipeline!$Q$20*Pipeline!$D$20*MIN(1,MAX(0,(42-Pipeline!$E$20+1)/MAX(Pipeline!$F$20,1)))</f>
        <v>9787.5</v>
      </c>
      <c r="AS13" s="138" t="n">
        <f aca="false">Pipeline!$Q$20*Pipeline!$D$20*MIN(1,MAX(0,(43-Pipeline!$E$20+1)/MAX(Pipeline!$F$20,1)))</f>
        <v>9787.5</v>
      </c>
      <c r="AT13" s="138" t="n">
        <f aca="false">Pipeline!$Q$20*Pipeline!$D$20*MIN(1,MAX(0,(44-Pipeline!$E$20+1)/MAX(Pipeline!$F$20,1)))</f>
        <v>9787.5</v>
      </c>
      <c r="AU13" s="138" t="n">
        <f aca="false">Pipeline!$Q$20*Pipeline!$D$20*MIN(1,MAX(0,(45-Pipeline!$E$20+1)/MAX(Pipeline!$F$20,1)))</f>
        <v>9787.5</v>
      </c>
      <c r="AV13" s="138" t="n">
        <f aca="false">Pipeline!$Q$20*Pipeline!$D$20*MIN(1,MAX(0,(46-Pipeline!$E$20+1)/MAX(Pipeline!$F$20,1)))</f>
        <v>9787.5</v>
      </c>
      <c r="AW13" s="138" t="n">
        <f aca="false">Pipeline!$Q$20*Pipeline!$D$20*MIN(1,MAX(0,(47-Pipeline!$E$20+1)/MAX(Pipeline!$F$20,1)))</f>
        <v>9787.5</v>
      </c>
      <c r="AX13" s="138" t="n">
        <f aca="false">Pipeline!$Q$20*Pipeline!$D$20*MIN(1,MAX(0,(48-Pipeline!$E$20+1)/MAX(Pipeline!$F$20,1)))</f>
        <v>9787.5</v>
      </c>
      <c r="AY13" s="138" t="n">
        <f aca="false">Pipeline!$Q$20*Pipeline!$D$20*MIN(1,MAX(0,(49-Pipeline!$E$20+1)/MAX(Pipeline!$F$20,1)))</f>
        <v>9787.5</v>
      </c>
      <c r="AZ13" s="138" t="n">
        <f aca="false">Pipeline!$Q$20*Pipeline!$D$20*MIN(1,MAX(0,(50-Pipeline!$E$20+1)/MAX(Pipeline!$F$20,1)))</f>
        <v>9787.5</v>
      </c>
      <c r="BA13" s="138" t="n">
        <f aca="false">Pipeline!$Q$20*Pipeline!$D$20*MIN(1,MAX(0,(51-Pipeline!$E$20+1)/MAX(Pipeline!$F$20,1)))</f>
        <v>9787.5</v>
      </c>
      <c r="BB13" s="138" t="n">
        <f aca="false">Pipeline!$Q$20*Pipeline!$D$20*MIN(1,MAX(0,(52-Pipeline!$E$20+1)/MAX(Pipeline!$F$20,1)))</f>
        <v>9787.5</v>
      </c>
      <c r="BC13" s="138" t="n">
        <f aca="false">Pipeline!$Q$20*Pipeline!$D$20*MIN(1,MAX(0,(53-Pipeline!$E$20+1)/MAX(Pipeline!$F$20,1)))</f>
        <v>9787.5</v>
      </c>
      <c r="BD13" s="138" t="n">
        <f aca="false">Pipeline!$Q$20*Pipeline!$D$20*MIN(1,MAX(0,(54-Pipeline!$E$20+1)/MAX(Pipeline!$F$20,1)))</f>
        <v>9787.5</v>
      </c>
      <c r="BE13" s="138" t="n">
        <f aca="false">Pipeline!$Q$20*Pipeline!$D$20*MIN(1,MAX(0,(55-Pipeline!$E$20+1)/MAX(Pipeline!$F$20,1)))</f>
        <v>9787.5</v>
      </c>
      <c r="BF13" s="138" t="n">
        <f aca="false">Pipeline!$Q$20*Pipeline!$D$20*MIN(1,MAX(0,(56-Pipeline!$E$20+1)/MAX(Pipeline!$F$20,1)))</f>
        <v>9787.5</v>
      </c>
      <c r="BG13" s="138" t="n">
        <f aca="false">Pipeline!$Q$20*Pipeline!$D$20*MIN(1,MAX(0,(57-Pipeline!$E$20+1)/MAX(Pipeline!$F$20,1)))</f>
        <v>9787.5</v>
      </c>
      <c r="BH13" s="138" t="n">
        <f aca="false">Pipeline!$Q$20*Pipeline!$D$20*MIN(1,MAX(0,(58-Pipeline!$E$20+1)/MAX(Pipeline!$F$20,1)))</f>
        <v>9787.5</v>
      </c>
      <c r="BI13" s="138" t="n">
        <f aca="false">Pipeline!$Q$20*Pipeline!$D$20*MIN(1,MAX(0,(59-Pipeline!$E$20+1)/MAX(Pipeline!$F$20,1)))</f>
        <v>9787.5</v>
      </c>
      <c r="BJ13" s="138" t="n">
        <f aca="false">Pipeline!$Q$20*Pipeline!$D$20*MIN(1,MAX(0,(60-Pipeline!$E$20+1)/MAX(Pipeline!$F$20,1)))</f>
        <v>9787.5</v>
      </c>
      <c r="BK13" s="138" t="n">
        <f aca="false">Pipeline!$Q$20*Pipeline!$D$20*MIN(1,MAX(0,(61-Pipeline!$E$20+1)/MAX(Pipeline!$F$20,1)))</f>
        <v>9787.5</v>
      </c>
      <c r="BL13" s="138" t="n">
        <f aca="false">Pipeline!$Q$20*Pipeline!$D$20*MIN(1,MAX(0,(62-Pipeline!$E$20+1)/MAX(Pipeline!$F$20,1)))</f>
        <v>9787.5</v>
      </c>
      <c r="BM13" s="138" t="n">
        <f aca="false">Pipeline!$Q$20*Pipeline!$D$20*MIN(1,MAX(0,(63-Pipeline!$E$20+1)/MAX(Pipeline!$F$20,1)))</f>
        <v>9787.5</v>
      </c>
      <c r="BN13" s="138" t="n">
        <f aca="false">Pipeline!$Q$20*Pipeline!$D$20*MIN(1,MAX(0,(64-Pipeline!$E$20+1)/MAX(Pipeline!$F$20,1)))</f>
        <v>9787.5</v>
      </c>
      <c r="BO13" s="138" t="n">
        <f aca="false">Pipeline!$Q$20*Pipeline!$D$20*MIN(1,MAX(0,(65-Pipeline!$E$20+1)/MAX(Pipeline!$F$20,1)))</f>
        <v>9787.5</v>
      </c>
      <c r="BP13" s="138" t="n">
        <f aca="false">Pipeline!$Q$20*Pipeline!$D$20*MIN(1,MAX(0,(66-Pipeline!$E$20+1)/MAX(Pipeline!$F$20,1)))</f>
        <v>9787.5</v>
      </c>
      <c r="BQ13" s="138" t="n">
        <f aca="false">Pipeline!$Q$20*Pipeline!$D$20*MIN(1,MAX(0,(67-Pipeline!$E$20+1)/MAX(Pipeline!$F$20,1)))</f>
        <v>9787.5</v>
      </c>
      <c r="BR13" s="138" t="n">
        <f aca="false">Pipeline!$Q$20*Pipeline!$D$20*MIN(1,MAX(0,(68-Pipeline!$E$20+1)/MAX(Pipeline!$F$20,1)))</f>
        <v>9787.5</v>
      </c>
      <c r="BS13" s="138" t="n">
        <f aca="false">Pipeline!$Q$20*Pipeline!$D$20*MIN(1,MAX(0,(69-Pipeline!$E$20+1)/MAX(Pipeline!$F$20,1)))</f>
        <v>9787.5</v>
      </c>
      <c r="BT13" s="138" t="n">
        <f aca="false">Pipeline!$Q$20*Pipeline!$D$20*MIN(1,MAX(0,(70-Pipeline!$E$20+1)/MAX(Pipeline!$F$20,1)))</f>
        <v>9787.5</v>
      </c>
      <c r="BU13" s="138" t="n">
        <f aca="false">Pipeline!$Q$20*Pipeline!$D$20*MIN(1,MAX(0,(71-Pipeline!$E$20+1)/MAX(Pipeline!$F$20,1)))</f>
        <v>9787.5</v>
      </c>
      <c r="BV13" s="138" t="n">
        <f aca="false">Pipeline!$Q$20*Pipeline!$D$20*MIN(1,MAX(0,(72-Pipeline!$E$20+1)/MAX(Pipeline!$F$20,1)))</f>
        <v>9787.5</v>
      </c>
      <c r="BW13" s="138" t="n">
        <f aca="false">Pipeline!$Q$20*Pipeline!$D$20*MIN(1,MAX(0,(73-Pipeline!$E$20+1)/MAX(Pipeline!$F$20,1)))</f>
        <v>9787.5</v>
      </c>
      <c r="BX13" s="138" t="n">
        <f aca="false">Pipeline!$Q$20*Pipeline!$D$20*MIN(1,MAX(0,(74-Pipeline!$E$20+1)/MAX(Pipeline!$F$20,1)))</f>
        <v>9787.5</v>
      </c>
      <c r="BY13" s="138" t="n">
        <f aca="false">Pipeline!$Q$20*Pipeline!$D$20*MIN(1,MAX(0,(75-Pipeline!$E$20+1)/MAX(Pipeline!$F$20,1)))</f>
        <v>9787.5</v>
      </c>
      <c r="BZ13" s="138" t="n">
        <f aca="false">Pipeline!$Q$20*Pipeline!$D$20*MIN(1,MAX(0,(76-Pipeline!$E$20+1)/MAX(Pipeline!$F$20,1)))</f>
        <v>9787.5</v>
      </c>
      <c r="CA13" s="138" t="n">
        <f aca="false">Pipeline!$Q$20*Pipeline!$D$20*MIN(1,MAX(0,(77-Pipeline!$E$20+1)/MAX(Pipeline!$F$20,1)))</f>
        <v>9787.5</v>
      </c>
      <c r="CB13" s="138" t="n">
        <f aca="false">Pipeline!$Q$20*Pipeline!$D$20*MIN(1,MAX(0,(78-Pipeline!$E$20+1)/MAX(Pipeline!$F$20,1)))</f>
        <v>9787.5</v>
      </c>
      <c r="CC13" s="138" t="n">
        <f aca="false">Pipeline!$Q$20*Pipeline!$D$20*MIN(1,MAX(0,(79-Pipeline!$E$20+1)/MAX(Pipeline!$F$20,1)))</f>
        <v>9787.5</v>
      </c>
      <c r="CD13" s="138" t="n">
        <f aca="false">Pipeline!$Q$20*Pipeline!$D$20*MIN(1,MAX(0,(80-Pipeline!$E$20+1)/MAX(Pipeline!$F$20,1)))</f>
        <v>9787.5</v>
      </c>
      <c r="CE13" s="138" t="n">
        <f aca="false">Pipeline!$Q$20*Pipeline!$D$20*MIN(1,MAX(0,(81-Pipeline!$E$20+1)/MAX(Pipeline!$F$20,1)))</f>
        <v>9787.5</v>
      </c>
      <c r="CF13" s="138" t="n">
        <f aca="false">Pipeline!$Q$20*Pipeline!$D$20*MIN(1,MAX(0,(82-Pipeline!$E$20+1)/MAX(Pipeline!$F$20,1)))</f>
        <v>9787.5</v>
      </c>
      <c r="CG13" s="138" t="n">
        <f aca="false">Pipeline!$Q$20*Pipeline!$D$20*MIN(1,MAX(0,(83-Pipeline!$E$20+1)/MAX(Pipeline!$F$20,1)))</f>
        <v>9787.5</v>
      </c>
      <c r="CH13" s="138" t="n">
        <f aca="false">Pipeline!$Q$20*Pipeline!$D$20*MIN(1,MAX(0,(84-Pipeline!$E$20+1)/MAX(Pipeline!$F$20,1)))</f>
        <v>9787.5</v>
      </c>
    </row>
    <row r="14" customFormat="false" ht="13.5" hidden="false" customHeight="true" outlineLevel="0" collapsed="false">
      <c r="A14" s="13" t="s">
        <v>697</v>
      </c>
      <c r="C14" s="138" t="n">
        <f aca="false">Pipeline!$Q$21*Pipeline!$D$21*MIN(1,MAX(0,(1-Pipeline!$E$21+1)/MAX(Pipeline!$F$21,1)))</f>
        <v>0</v>
      </c>
      <c r="D14" s="138" t="n">
        <f aca="false">Pipeline!$Q$21*Pipeline!$D$21*MIN(1,MAX(0,(2-Pipeline!$E$21+1)/MAX(Pipeline!$F$21,1)))</f>
        <v>0</v>
      </c>
      <c r="E14" s="138" t="n">
        <f aca="false">Pipeline!$Q$21*Pipeline!$D$21*MIN(1,MAX(0,(3-Pipeline!$E$21+1)/MAX(Pipeline!$F$21,1)))</f>
        <v>0</v>
      </c>
      <c r="F14" s="138" t="n">
        <f aca="false">Pipeline!$Q$21*Pipeline!$D$21*MIN(1,MAX(0,(4-Pipeline!$E$21+1)/MAX(Pipeline!$F$21,1)))</f>
        <v>0</v>
      </c>
      <c r="G14" s="138" t="n">
        <f aca="false">Pipeline!$Q$21*Pipeline!$D$21*MIN(1,MAX(0,(5-Pipeline!$E$21+1)/MAX(Pipeline!$F$21,1)))</f>
        <v>0</v>
      </c>
      <c r="H14" s="138" t="n">
        <f aca="false">Pipeline!$Q$21*Pipeline!$D$21*MIN(1,MAX(0,(6-Pipeline!$E$21+1)/MAX(Pipeline!$F$21,1)))</f>
        <v>0</v>
      </c>
      <c r="I14" s="138" t="n">
        <f aca="false">Pipeline!$Q$21*Pipeline!$D$21*MIN(1,MAX(0,(7-Pipeline!$E$21+1)/MAX(Pipeline!$F$21,1)))</f>
        <v>0</v>
      </c>
      <c r="J14" s="138" t="n">
        <f aca="false">Pipeline!$Q$21*Pipeline!$D$21*MIN(1,MAX(0,(8-Pipeline!$E$21+1)/MAX(Pipeline!$F$21,1)))</f>
        <v>0</v>
      </c>
      <c r="K14" s="138" t="n">
        <f aca="false">Pipeline!$Q$21*Pipeline!$D$21*MIN(1,MAX(0,(9-Pipeline!$E$21+1)/MAX(Pipeline!$F$21,1)))</f>
        <v>0</v>
      </c>
      <c r="L14" s="138" t="n">
        <f aca="false">Pipeline!$Q$21*Pipeline!$D$21*MIN(1,MAX(0,(10-Pipeline!$E$21+1)/MAX(Pipeline!$F$21,1)))</f>
        <v>0</v>
      </c>
      <c r="M14" s="138" t="n">
        <f aca="false">Pipeline!$Q$21*Pipeline!$D$21*MIN(1,MAX(0,(11-Pipeline!$E$21+1)/MAX(Pipeline!$F$21,1)))</f>
        <v>0</v>
      </c>
      <c r="N14" s="138" t="n">
        <f aca="false">Pipeline!$Q$21*Pipeline!$D$21*MIN(1,MAX(0,(12-Pipeline!$E$21+1)/MAX(Pipeline!$F$21,1)))</f>
        <v>0</v>
      </c>
      <c r="O14" s="138" t="n">
        <f aca="false">Pipeline!$Q$21*Pipeline!$D$21*MIN(1,MAX(0,(13-Pipeline!$E$21+1)/MAX(Pipeline!$F$21,1)))</f>
        <v>0</v>
      </c>
      <c r="P14" s="138" t="n">
        <f aca="false">Pipeline!$Q$21*Pipeline!$D$21*MIN(1,MAX(0,(14-Pipeline!$E$21+1)/MAX(Pipeline!$F$21,1)))</f>
        <v>365.4</v>
      </c>
      <c r="Q14" s="138" t="n">
        <f aca="false">Pipeline!$Q$21*Pipeline!$D$21*MIN(1,MAX(0,(15-Pipeline!$E$21+1)/MAX(Pipeline!$F$21,1)))</f>
        <v>730.8</v>
      </c>
      <c r="R14" s="138" t="n">
        <f aca="false">Pipeline!$Q$21*Pipeline!$D$21*MIN(1,MAX(0,(16-Pipeline!$E$21+1)/MAX(Pipeline!$F$21,1)))</f>
        <v>1096.2</v>
      </c>
      <c r="S14" s="138" t="n">
        <f aca="false">Pipeline!$Q$21*Pipeline!$D$21*MIN(1,MAX(0,(17-Pipeline!$E$21+1)/MAX(Pipeline!$F$21,1)))</f>
        <v>1461.6</v>
      </c>
      <c r="T14" s="138" t="n">
        <f aca="false">Pipeline!$Q$21*Pipeline!$D$21*MIN(1,MAX(0,(18-Pipeline!$E$21+1)/MAX(Pipeline!$F$21,1)))</f>
        <v>1827</v>
      </c>
      <c r="U14" s="138" t="n">
        <f aca="false">Pipeline!$Q$21*Pipeline!$D$21*MIN(1,MAX(0,(19-Pipeline!$E$21+1)/MAX(Pipeline!$F$21,1)))</f>
        <v>2192.4</v>
      </c>
      <c r="V14" s="138" t="n">
        <f aca="false">Pipeline!$Q$21*Pipeline!$D$21*MIN(1,MAX(0,(20-Pipeline!$E$21+1)/MAX(Pipeline!$F$21,1)))</f>
        <v>2557.8</v>
      </c>
      <c r="W14" s="138" t="n">
        <f aca="false">Pipeline!$Q$21*Pipeline!$D$21*MIN(1,MAX(0,(21-Pipeline!$E$21+1)/MAX(Pipeline!$F$21,1)))</f>
        <v>2923.2</v>
      </c>
      <c r="X14" s="138" t="n">
        <f aca="false">Pipeline!$Q$21*Pipeline!$D$21*MIN(1,MAX(0,(22-Pipeline!$E$21+1)/MAX(Pipeline!$F$21,1)))</f>
        <v>3288.6</v>
      </c>
      <c r="Y14" s="138" t="n">
        <f aca="false">Pipeline!$Q$21*Pipeline!$D$21*MIN(1,MAX(0,(23-Pipeline!$E$21+1)/MAX(Pipeline!$F$21,1)))</f>
        <v>3654</v>
      </c>
      <c r="Z14" s="138" t="n">
        <f aca="false">Pipeline!$Q$21*Pipeline!$D$21*MIN(1,MAX(0,(24-Pipeline!$E$21+1)/MAX(Pipeline!$F$21,1)))</f>
        <v>3654</v>
      </c>
      <c r="AA14" s="138" t="n">
        <f aca="false">Pipeline!$Q$21*Pipeline!$D$21*MIN(1,MAX(0,(25-Pipeline!$E$21+1)/MAX(Pipeline!$F$21,1)))</f>
        <v>3654</v>
      </c>
      <c r="AB14" s="138" t="n">
        <f aca="false">Pipeline!$Q$21*Pipeline!$D$21*MIN(1,MAX(0,(26-Pipeline!$E$21+1)/MAX(Pipeline!$F$21,1)))</f>
        <v>3654</v>
      </c>
      <c r="AC14" s="138" t="n">
        <f aca="false">Pipeline!$Q$21*Pipeline!$D$21*MIN(1,MAX(0,(27-Pipeline!$E$21+1)/MAX(Pipeline!$F$21,1)))</f>
        <v>3654</v>
      </c>
      <c r="AD14" s="138" t="n">
        <f aca="false">Pipeline!$Q$21*Pipeline!$D$21*MIN(1,MAX(0,(28-Pipeline!$E$21+1)/MAX(Pipeline!$F$21,1)))</f>
        <v>3654</v>
      </c>
      <c r="AE14" s="138" t="n">
        <f aca="false">Pipeline!$Q$21*Pipeline!$D$21*MIN(1,MAX(0,(29-Pipeline!$E$21+1)/MAX(Pipeline!$F$21,1)))</f>
        <v>3654</v>
      </c>
      <c r="AF14" s="138" t="n">
        <f aca="false">Pipeline!$Q$21*Pipeline!$D$21*MIN(1,MAX(0,(30-Pipeline!$E$21+1)/MAX(Pipeline!$F$21,1)))</f>
        <v>3654</v>
      </c>
      <c r="AG14" s="138" t="n">
        <f aca="false">Pipeline!$Q$21*Pipeline!$D$21*MIN(1,MAX(0,(31-Pipeline!$E$21+1)/MAX(Pipeline!$F$21,1)))</f>
        <v>3654</v>
      </c>
      <c r="AH14" s="138" t="n">
        <f aca="false">Pipeline!$Q$21*Pipeline!$D$21*MIN(1,MAX(0,(32-Pipeline!$E$21+1)/MAX(Pipeline!$F$21,1)))</f>
        <v>3654</v>
      </c>
      <c r="AI14" s="138" t="n">
        <f aca="false">Pipeline!$Q$21*Pipeline!$D$21*MIN(1,MAX(0,(33-Pipeline!$E$21+1)/MAX(Pipeline!$F$21,1)))</f>
        <v>3654</v>
      </c>
      <c r="AJ14" s="138" t="n">
        <f aca="false">Pipeline!$Q$21*Pipeline!$D$21*MIN(1,MAX(0,(34-Pipeline!$E$21+1)/MAX(Pipeline!$F$21,1)))</f>
        <v>3654</v>
      </c>
      <c r="AK14" s="138" t="n">
        <f aca="false">Pipeline!$Q$21*Pipeline!$D$21*MIN(1,MAX(0,(35-Pipeline!$E$21+1)/MAX(Pipeline!$F$21,1)))</f>
        <v>3654</v>
      </c>
      <c r="AL14" s="138" t="n">
        <f aca="false">Pipeline!$Q$21*Pipeline!$D$21*MIN(1,MAX(0,(36-Pipeline!$E$21+1)/MAX(Pipeline!$F$21,1)))</f>
        <v>3654</v>
      </c>
      <c r="AM14" s="138" t="n">
        <f aca="false">Pipeline!$Q$21*Pipeline!$D$21*MIN(1,MAX(0,(37-Pipeline!$E$21+1)/MAX(Pipeline!$F$21,1)))</f>
        <v>3654</v>
      </c>
      <c r="AN14" s="138" t="n">
        <f aca="false">Pipeline!$Q$21*Pipeline!$D$21*MIN(1,MAX(0,(38-Pipeline!$E$21+1)/MAX(Pipeline!$F$21,1)))</f>
        <v>3654</v>
      </c>
      <c r="AO14" s="138" t="n">
        <f aca="false">Pipeline!$Q$21*Pipeline!$D$21*MIN(1,MAX(0,(39-Pipeline!$E$21+1)/MAX(Pipeline!$F$21,1)))</f>
        <v>3654</v>
      </c>
      <c r="AP14" s="138" t="n">
        <f aca="false">Pipeline!$Q$21*Pipeline!$D$21*MIN(1,MAX(0,(40-Pipeline!$E$21+1)/MAX(Pipeline!$F$21,1)))</f>
        <v>3654</v>
      </c>
      <c r="AQ14" s="138" t="n">
        <f aca="false">Pipeline!$Q$21*Pipeline!$D$21*MIN(1,MAX(0,(41-Pipeline!$E$21+1)/MAX(Pipeline!$F$21,1)))</f>
        <v>3654</v>
      </c>
      <c r="AR14" s="138" t="n">
        <f aca="false">Pipeline!$Q$21*Pipeline!$D$21*MIN(1,MAX(0,(42-Pipeline!$E$21+1)/MAX(Pipeline!$F$21,1)))</f>
        <v>3654</v>
      </c>
      <c r="AS14" s="138" t="n">
        <f aca="false">Pipeline!$Q$21*Pipeline!$D$21*MIN(1,MAX(0,(43-Pipeline!$E$21+1)/MAX(Pipeline!$F$21,1)))</f>
        <v>3654</v>
      </c>
      <c r="AT14" s="138" t="n">
        <f aca="false">Pipeline!$Q$21*Pipeline!$D$21*MIN(1,MAX(0,(44-Pipeline!$E$21+1)/MAX(Pipeline!$F$21,1)))</f>
        <v>3654</v>
      </c>
      <c r="AU14" s="138" t="n">
        <f aca="false">Pipeline!$Q$21*Pipeline!$D$21*MIN(1,MAX(0,(45-Pipeline!$E$21+1)/MAX(Pipeline!$F$21,1)))</f>
        <v>3654</v>
      </c>
      <c r="AV14" s="138" t="n">
        <f aca="false">Pipeline!$Q$21*Pipeline!$D$21*MIN(1,MAX(0,(46-Pipeline!$E$21+1)/MAX(Pipeline!$F$21,1)))</f>
        <v>3654</v>
      </c>
      <c r="AW14" s="138" t="n">
        <f aca="false">Pipeline!$Q$21*Pipeline!$D$21*MIN(1,MAX(0,(47-Pipeline!$E$21+1)/MAX(Pipeline!$F$21,1)))</f>
        <v>3654</v>
      </c>
      <c r="AX14" s="138" t="n">
        <f aca="false">Pipeline!$Q$21*Pipeline!$D$21*MIN(1,MAX(0,(48-Pipeline!$E$21+1)/MAX(Pipeline!$F$21,1)))</f>
        <v>3654</v>
      </c>
      <c r="AY14" s="138" t="n">
        <f aca="false">Pipeline!$Q$21*Pipeline!$D$21*MIN(1,MAX(0,(49-Pipeline!$E$21+1)/MAX(Pipeline!$F$21,1)))</f>
        <v>3654</v>
      </c>
      <c r="AZ14" s="138" t="n">
        <f aca="false">Pipeline!$Q$21*Pipeline!$D$21*MIN(1,MAX(0,(50-Pipeline!$E$21+1)/MAX(Pipeline!$F$21,1)))</f>
        <v>3654</v>
      </c>
      <c r="BA14" s="138" t="n">
        <f aca="false">Pipeline!$Q$21*Pipeline!$D$21*MIN(1,MAX(0,(51-Pipeline!$E$21+1)/MAX(Pipeline!$F$21,1)))</f>
        <v>3654</v>
      </c>
      <c r="BB14" s="138" t="n">
        <f aca="false">Pipeline!$Q$21*Pipeline!$D$21*MIN(1,MAX(0,(52-Pipeline!$E$21+1)/MAX(Pipeline!$F$21,1)))</f>
        <v>3654</v>
      </c>
      <c r="BC14" s="138" t="n">
        <f aca="false">Pipeline!$Q$21*Pipeline!$D$21*MIN(1,MAX(0,(53-Pipeline!$E$21+1)/MAX(Pipeline!$F$21,1)))</f>
        <v>3654</v>
      </c>
      <c r="BD14" s="138" t="n">
        <f aca="false">Pipeline!$Q$21*Pipeline!$D$21*MIN(1,MAX(0,(54-Pipeline!$E$21+1)/MAX(Pipeline!$F$21,1)))</f>
        <v>3654</v>
      </c>
      <c r="BE14" s="138" t="n">
        <f aca="false">Pipeline!$Q$21*Pipeline!$D$21*MIN(1,MAX(0,(55-Pipeline!$E$21+1)/MAX(Pipeline!$F$21,1)))</f>
        <v>3654</v>
      </c>
      <c r="BF14" s="138" t="n">
        <f aca="false">Pipeline!$Q$21*Pipeline!$D$21*MIN(1,MAX(0,(56-Pipeline!$E$21+1)/MAX(Pipeline!$F$21,1)))</f>
        <v>3654</v>
      </c>
      <c r="BG14" s="138" t="n">
        <f aca="false">Pipeline!$Q$21*Pipeline!$D$21*MIN(1,MAX(0,(57-Pipeline!$E$21+1)/MAX(Pipeline!$F$21,1)))</f>
        <v>3654</v>
      </c>
      <c r="BH14" s="138" t="n">
        <f aca="false">Pipeline!$Q$21*Pipeline!$D$21*MIN(1,MAX(0,(58-Pipeline!$E$21+1)/MAX(Pipeline!$F$21,1)))</f>
        <v>3654</v>
      </c>
      <c r="BI14" s="138" t="n">
        <f aca="false">Pipeline!$Q$21*Pipeline!$D$21*MIN(1,MAX(0,(59-Pipeline!$E$21+1)/MAX(Pipeline!$F$21,1)))</f>
        <v>3654</v>
      </c>
      <c r="BJ14" s="138" t="n">
        <f aca="false">Pipeline!$Q$21*Pipeline!$D$21*MIN(1,MAX(0,(60-Pipeline!$E$21+1)/MAX(Pipeline!$F$21,1)))</f>
        <v>3654</v>
      </c>
      <c r="BK14" s="138" t="n">
        <f aca="false">Pipeline!$Q$21*Pipeline!$D$21*MIN(1,MAX(0,(61-Pipeline!$E$21+1)/MAX(Pipeline!$F$21,1)))</f>
        <v>3654</v>
      </c>
      <c r="BL14" s="138" t="n">
        <f aca="false">Pipeline!$Q$21*Pipeline!$D$21*MIN(1,MAX(0,(62-Pipeline!$E$21+1)/MAX(Pipeline!$F$21,1)))</f>
        <v>3654</v>
      </c>
      <c r="BM14" s="138" t="n">
        <f aca="false">Pipeline!$Q$21*Pipeline!$D$21*MIN(1,MAX(0,(63-Pipeline!$E$21+1)/MAX(Pipeline!$F$21,1)))</f>
        <v>3654</v>
      </c>
      <c r="BN14" s="138" t="n">
        <f aca="false">Pipeline!$Q$21*Pipeline!$D$21*MIN(1,MAX(0,(64-Pipeline!$E$21+1)/MAX(Pipeline!$F$21,1)))</f>
        <v>3654</v>
      </c>
      <c r="BO14" s="138" t="n">
        <f aca="false">Pipeline!$Q$21*Pipeline!$D$21*MIN(1,MAX(0,(65-Pipeline!$E$21+1)/MAX(Pipeline!$F$21,1)))</f>
        <v>3654</v>
      </c>
      <c r="BP14" s="138" t="n">
        <f aca="false">Pipeline!$Q$21*Pipeline!$D$21*MIN(1,MAX(0,(66-Pipeline!$E$21+1)/MAX(Pipeline!$F$21,1)))</f>
        <v>3654</v>
      </c>
      <c r="BQ14" s="138" t="n">
        <f aca="false">Pipeline!$Q$21*Pipeline!$D$21*MIN(1,MAX(0,(67-Pipeline!$E$21+1)/MAX(Pipeline!$F$21,1)))</f>
        <v>3654</v>
      </c>
      <c r="BR14" s="138" t="n">
        <f aca="false">Pipeline!$Q$21*Pipeline!$D$21*MIN(1,MAX(0,(68-Pipeline!$E$21+1)/MAX(Pipeline!$F$21,1)))</f>
        <v>3654</v>
      </c>
      <c r="BS14" s="138" t="n">
        <f aca="false">Pipeline!$Q$21*Pipeline!$D$21*MIN(1,MAX(0,(69-Pipeline!$E$21+1)/MAX(Pipeline!$F$21,1)))</f>
        <v>3654</v>
      </c>
      <c r="BT14" s="138" t="n">
        <f aca="false">Pipeline!$Q$21*Pipeline!$D$21*MIN(1,MAX(0,(70-Pipeline!$E$21+1)/MAX(Pipeline!$F$21,1)))</f>
        <v>3654</v>
      </c>
      <c r="BU14" s="138" t="n">
        <f aca="false">Pipeline!$Q$21*Pipeline!$D$21*MIN(1,MAX(0,(71-Pipeline!$E$21+1)/MAX(Pipeline!$F$21,1)))</f>
        <v>3654</v>
      </c>
      <c r="BV14" s="138" t="n">
        <f aca="false">Pipeline!$Q$21*Pipeline!$D$21*MIN(1,MAX(0,(72-Pipeline!$E$21+1)/MAX(Pipeline!$F$21,1)))</f>
        <v>3654</v>
      </c>
      <c r="BW14" s="138" t="n">
        <f aca="false">Pipeline!$Q$21*Pipeline!$D$21*MIN(1,MAX(0,(73-Pipeline!$E$21+1)/MAX(Pipeline!$F$21,1)))</f>
        <v>3654</v>
      </c>
      <c r="BX14" s="138" t="n">
        <f aca="false">Pipeline!$Q$21*Pipeline!$D$21*MIN(1,MAX(0,(74-Pipeline!$E$21+1)/MAX(Pipeline!$F$21,1)))</f>
        <v>3654</v>
      </c>
      <c r="BY14" s="138" t="n">
        <f aca="false">Pipeline!$Q$21*Pipeline!$D$21*MIN(1,MAX(0,(75-Pipeline!$E$21+1)/MAX(Pipeline!$F$21,1)))</f>
        <v>3654</v>
      </c>
      <c r="BZ14" s="138" t="n">
        <f aca="false">Pipeline!$Q$21*Pipeline!$D$21*MIN(1,MAX(0,(76-Pipeline!$E$21+1)/MAX(Pipeline!$F$21,1)))</f>
        <v>3654</v>
      </c>
      <c r="CA14" s="138" t="n">
        <f aca="false">Pipeline!$Q$21*Pipeline!$D$21*MIN(1,MAX(0,(77-Pipeline!$E$21+1)/MAX(Pipeline!$F$21,1)))</f>
        <v>3654</v>
      </c>
      <c r="CB14" s="138" t="n">
        <f aca="false">Pipeline!$Q$21*Pipeline!$D$21*MIN(1,MAX(0,(78-Pipeline!$E$21+1)/MAX(Pipeline!$F$21,1)))</f>
        <v>3654</v>
      </c>
      <c r="CC14" s="138" t="n">
        <f aca="false">Pipeline!$Q$21*Pipeline!$D$21*MIN(1,MAX(0,(79-Pipeline!$E$21+1)/MAX(Pipeline!$F$21,1)))</f>
        <v>3654</v>
      </c>
      <c r="CD14" s="138" t="n">
        <f aca="false">Pipeline!$Q$21*Pipeline!$D$21*MIN(1,MAX(0,(80-Pipeline!$E$21+1)/MAX(Pipeline!$F$21,1)))</f>
        <v>3654</v>
      </c>
      <c r="CE14" s="138" t="n">
        <f aca="false">Pipeline!$Q$21*Pipeline!$D$21*MIN(1,MAX(0,(81-Pipeline!$E$21+1)/MAX(Pipeline!$F$21,1)))</f>
        <v>3654</v>
      </c>
      <c r="CF14" s="138" t="n">
        <f aca="false">Pipeline!$Q$21*Pipeline!$D$21*MIN(1,MAX(0,(82-Pipeline!$E$21+1)/MAX(Pipeline!$F$21,1)))</f>
        <v>3654</v>
      </c>
      <c r="CG14" s="138" t="n">
        <f aca="false">Pipeline!$Q$21*Pipeline!$D$21*MIN(1,MAX(0,(83-Pipeline!$E$21+1)/MAX(Pipeline!$F$21,1)))</f>
        <v>3654</v>
      </c>
      <c r="CH14" s="138" t="n">
        <f aca="false">Pipeline!$Q$21*Pipeline!$D$21*MIN(1,MAX(0,(84-Pipeline!$E$21+1)/MAX(Pipeline!$F$21,1)))</f>
        <v>3654</v>
      </c>
    </row>
    <row r="15" customFormat="false" ht="13.5" hidden="false" customHeight="true" outlineLevel="0" collapsed="false">
      <c r="A15" s="13" t="s">
        <v>698</v>
      </c>
      <c r="C15" s="138" t="n">
        <f aca="false">Pipeline!$Q$22*Pipeline!$D$22*MIN(1,MAX(0,(1-Pipeline!$E$22+1)/MAX(Pipeline!$F$22,1)))</f>
        <v>0</v>
      </c>
      <c r="D15" s="138" t="n">
        <f aca="false">Pipeline!$Q$22*Pipeline!$D$22*MIN(1,MAX(0,(2-Pipeline!$E$22+1)/MAX(Pipeline!$F$22,1)))</f>
        <v>0</v>
      </c>
      <c r="E15" s="138" t="n">
        <f aca="false">Pipeline!$Q$22*Pipeline!$D$22*MIN(1,MAX(0,(3-Pipeline!$E$22+1)/MAX(Pipeline!$F$22,1)))</f>
        <v>0</v>
      </c>
      <c r="F15" s="138" t="n">
        <f aca="false">Pipeline!$Q$22*Pipeline!$D$22*MIN(1,MAX(0,(4-Pipeline!$E$22+1)/MAX(Pipeline!$F$22,1)))</f>
        <v>0</v>
      </c>
      <c r="G15" s="138" t="n">
        <f aca="false">Pipeline!$Q$22*Pipeline!$D$22*MIN(1,MAX(0,(5-Pipeline!$E$22+1)/MAX(Pipeline!$F$22,1)))</f>
        <v>0</v>
      </c>
      <c r="H15" s="138" t="n">
        <f aca="false">Pipeline!$Q$22*Pipeline!$D$22*MIN(1,MAX(0,(6-Pipeline!$E$22+1)/MAX(Pipeline!$F$22,1)))</f>
        <v>0</v>
      </c>
      <c r="I15" s="138" t="n">
        <f aca="false">Pipeline!$Q$22*Pipeline!$D$22*MIN(1,MAX(0,(7-Pipeline!$E$22+1)/MAX(Pipeline!$F$22,1)))</f>
        <v>0</v>
      </c>
      <c r="J15" s="138" t="n">
        <f aca="false">Pipeline!$Q$22*Pipeline!$D$22*MIN(1,MAX(0,(8-Pipeline!$E$22+1)/MAX(Pipeline!$F$22,1)))</f>
        <v>0</v>
      </c>
      <c r="K15" s="138" t="n">
        <f aca="false">Pipeline!$Q$22*Pipeline!$D$22*MIN(1,MAX(0,(9-Pipeline!$E$22+1)/MAX(Pipeline!$F$22,1)))</f>
        <v>0</v>
      </c>
      <c r="L15" s="138" t="n">
        <f aca="false">Pipeline!$Q$22*Pipeline!$D$22*MIN(1,MAX(0,(10-Pipeline!$E$22+1)/MAX(Pipeline!$F$22,1)))</f>
        <v>0</v>
      </c>
      <c r="M15" s="138" t="n">
        <f aca="false">Pipeline!$Q$22*Pipeline!$D$22*MIN(1,MAX(0,(11-Pipeline!$E$22+1)/MAX(Pipeline!$F$22,1)))</f>
        <v>0</v>
      </c>
      <c r="N15" s="138" t="n">
        <f aca="false">Pipeline!$Q$22*Pipeline!$D$22*MIN(1,MAX(0,(12-Pipeline!$E$22+1)/MAX(Pipeline!$F$22,1)))</f>
        <v>0</v>
      </c>
      <c r="O15" s="138" t="n">
        <f aca="false">Pipeline!$Q$22*Pipeline!$D$22*MIN(1,MAX(0,(13-Pipeline!$E$22+1)/MAX(Pipeline!$F$22,1)))</f>
        <v>0</v>
      </c>
      <c r="P15" s="138" t="n">
        <f aca="false">Pipeline!$Q$22*Pipeline!$D$22*MIN(1,MAX(0,(14-Pipeline!$E$22+1)/MAX(Pipeline!$F$22,1)))</f>
        <v>0</v>
      </c>
      <c r="Q15" s="138" t="n">
        <f aca="false">Pipeline!$Q$22*Pipeline!$D$22*MIN(1,MAX(0,(15-Pipeline!$E$22+1)/MAX(Pipeline!$F$22,1)))</f>
        <v>0</v>
      </c>
      <c r="R15" s="138" t="n">
        <f aca="false">Pipeline!$Q$22*Pipeline!$D$22*MIN(1,MAX(0,(16-Pipeline!$E$22+1)/MAX(Pipeline!$F$22,1)))</f>
        <v>0</v>
      </c>
      <c r="S15" s="138" t="n">
        <f aca="false">Pipeline!$Q$22*Pipeline!$D$22*MIN(1,MAX(0,(17-Pipeline!$E$22+1)/MAX(Pipeline!$F$22,1)))</f>
        <v>0</v>
      </c>
      <c r="T15" s="138" t="n">
        <f aca="false">Pipeline!$Q$22*Pipeline!$D$22*MIN(1,MAX(0,(18-Pipeline!$E$22+1)/MAX(Pipeline!$F$22,1)))</f>
        <v>0</v>
      </c>
      <c r="U15" s="138" t="n">
        <f aca="false">Pipeline!$Q$22*Pipeline!$D$22*MIN(1,MAX(0,(19-Pipeline!$E$22+1)/MAX(Pipeline!$F$22,1)))</f>
        <v>0</v>
      </c>
      <c r="V15" s="138" t="n">
        <f aca="false">Pipeline!$Q$22*Pipeline!$D$22*MIN(1,MAX(0,(20-Pipeline!$E$22+1)/MAX(Pipeline!$F$22,1)))</f>
        <v>0</v>
      </c>
      <c r="W15" s="138" t="n">
        <f aca="false">Pipeline!$Q$22*Pipeline!$D$22*MIN(1,MAX(0,(21-Pipeline!$E$22+1)/MAX(Pipeline!$F$22,1)))</f>
        <v>0</v>
      </c>
      <c r="X15" s="138" t="n">
        <f aca="false">Pipeline!$Q$22*Pipeline!$D$22*MIN(1,MAX(0,(22-Pipeline!$E$22+1)/MAX(Pipeline!$F$22,1)))</f>
        <v>0</v>
      </c>
      <c r="Y15" s="138" t="n">
        <f aca="false">Pipeline!$Q$22*Pipeline!$D$22*MIN(1,MAX(0,(23-Pipeline!$E$22+1)/MAX(Pipeline!$F$22,1)))</f>
        <v>0</v>
      </c>
      <c r="Z15" s="138" t="n">
        <f aca="false">Pipeline!$Q$22*Pipeline!$D$22*MIN(1,MAX(0,(24-Pipeline!$E$22+1)/MAX(Pipeline!$F$22,1)))</f>
        <v>0</v>
      </c>
      <c r="AA15" s="138" t="n">
        <f aca="false">Pipeline!$Q$22*Pipeline!$D$22*MIN(1,MAX(0,(25-Pipeline!$E$22+1)/MAX(Pipeline!$F$22,1)))</f>
        <v>0</v>
      </c>
      <c r="AB15" s="138" t="n">
        <f aca="false">Pipeline!$Q$22*Pipeline!$D$22*MIN(1,MAX(0,(26-Pipeline!$E$22+1)/MAX(Pipeline!$F$22,1)))</f>
        <v>0</v>
      </c>
      <c r="AC15" s="138" t="n">
        <f aca="false">Pipeline!$Q$22*Pipeline!$D$22*MIN(1,MAX(0,(27-Pipeline!$E$22+1)/MAX(Pipeline!$F$22,1)))</f>
        <v>0</v>
      </c>
      <c r="AD15" s="138" t="n">
        <f aca="false">Pipeline!$Q$22*Pipeline!$D$22*MIN(1,MAX(0,(28-Pipeline!$E$22+1)/MAX(Pipeline!$F$22,1)))</f>
        <v>0</v>
      </c>
      <c r="AE15" s="138" t="n">
        <f aca="false">Pipeline!$Q$22*Pipeline!$D$22*MIN(1,MAX(0,(29-Pipeline!$E$22+1)/MAX(Pipeline!$F$22,1)))</f>
        <v>0</v>
      </c>
      <c r="AF15" s="138" t="n">
        <f aca="false">Pipeline!$Q$22*Pipeline!$D$22*MIN(1,MAX(0,(30-Pipeline!$E$22+1)/MAX(Pipeline!$F$22,1)))</f>
        <v>0</v>
      </c>
      <c r="AG15" s="138" t="n">
        <f aca="false">Pipeline!$Q$22*Pipeline!$D$22*MIN(1,MAX(0,(31-Pipeline!$E$22+1)/MAX(Pipeline!$F$22,1)))</f>
        <v>0</v>
      </c>
      <c r="AH15" s="138" t="n">
        <f aca="false">Pipeline!$Q$22*Pipeline!$D$22*MIN(1,MAX(0,(32-Pipeline!$E$22+1)/MAX(Pipeline!$F$22,1)))</f>
        <v>0</v>
      </c>
      <c r="AI15" s="138" t="n">
        <f aca="false">Pipeline!$Q$22*Pipeline!$D$22*MIN(1,MAX(0,(33-Pipeline!$E$22+1)/MAX(Pipeline!$F$22,1)))</f>
        <v>0</v>
      </c>
      <c r="AJ15" s="138" t="n">
        <f aca="false">Pipeline!$Q$22*Pipeline!$D$22*MIN(1,MAX(0,(34-Pipeline!$E$22+1)/MAX(Pipeline!$F$22,1)))</f>
        <v>0</v>
      </c>
      <c r="AK15" s="138" t="n">
        <f aca="false">Pipeline!$Q$22*Pipeline!$D$22*MIN(1,MAX(0,(35-Pipeline!$E$22+1)/MAX(Pipeline!$F$22,1)))</f>
        <v>0</v>
      </c>
      <c r="AL15" s="138" t="n">
        <f aca="false">Pipeline!$Q$22*Pipeline!$D$22*MIN(1,MAX(0,(36-Pipeline!$E$22+1)/MAX(Pipeline!$F$22,1)))</f>
        <v>0</v>
      </c>
      <c r="AM15" s="138" t="n">
        <f aca="false">Pipeline!$Q$22*Pipeline!$D$22*MIN(1,MAX(0,(37-Pipeline!$E$22+1)/MAX(Pipeline!$F$22,1)))</f>
        <v>0</v>
      </c>
      <c r="AN15" s="138" t="n">
        <f aca="false">Pipeline!$Q$22*Pipeline!$D$22*MIN(1,MAX(0,(38-Pipeline!$E$22+1)/MAX(Pipeline!$F$22,1)))</f>
        <v>0</v>
      </c>
      <c r="AO15" s="138" t="n">
        <f aca="false">Pipeline!$Q$22*Pipeline!$D$22*MIN(1,MAX(0,(39-Pipeline!$E$22+1)/MAX(Pipeline!$F$22,1)))</f>
        <v>0</v>
      </c>
      <c r="AP15" s="138" t="n">
        <f aca="false">Pipeline!$Q$22*Pipeline!$D$22*MIN(1,MAX(0,(40-Pipeline!$E$22+1)/MAX(Pipeline!$F$22,1)))</f>
        <v>0</v>
      </c>
      <c r="AQ15" s="138" t="n">
        <f aca="false">Pipeline!$Q$22*Pipeline!$D$22*MIN(1,MAX(0,(41-Pipeline!$E$22+1)/MAX(Pipeline!$F$22,1)))</f>
        <v>0</v>
      </c>
      <c r="AR15" s="138" t="n">
        <f aca="false">Pipeline!$Q$22*Pipeline!$D$22*MIN(1,MAX(0,(42-Pipeline!$E$22+1)/MAX(Pipeline!$F$22,1)))</f>
        <v>0</v>
      </c>
      <c r="AS15" s="138" t="n">
        <f aca="false">Pipeline!$Q$22*Pipeline!$D$22*MIN(1,MAX(0,(43-Pipeline!$E$22+1)/MAX(Pipeline!$F$22,1)))</f>
        <v>0</v>
      </c>
      <c r="AT15" s="138" t="n">
        <f aca="false">Pipeline!$Q$22*Pipeline!$D$22*MIN(1,MAX(0,(44-Pipeline!$E$22+1)/MAX(Pipeline!$F$22,1)))</f>
        <v>0</v>
      </c>
      <c r="AU15" s="138" t="n">
        <f aca="false">Pipeline!$Q$22*Pipeline!$D$22*MIN(1,MAX(0,(45-Pipeline!$E$22+1)/MAX(Pipeline!$F$22,1)))</f>
        <v>0</v>
      </c>
      <c r="AV15" s="138" t="n">
        <f aca="false">Pipeline!$Q$22*Pipeline!$D$22*MIN(1,MAX(0,(46-Pipeline!$E$22+1)/MAX(Pipeline!$F$22,1)))</f>
        <v>0</v>
      </c>
      <c r="AW15" s="138" t="n">
        <f aca="false">Pipeline!$Q$22*Pipeline!$D$22*MIN(1,MAX(0,(47-Pipeline!$E$22+1)/MAX(Pipeline!$F$22,1)))</f>
        <v>0</v>
      </c>
      <c r="AX15" s="138" t="n">
        <f aca="false">Pipeline!$Q$22*Pipeline!$D$22*MIN(1,MAX(0,(48-Pipeline!$E$22+1)/MAX(Pipeline!$F$22,1)))</f>
        <v>0</v>
      </c>
      <c r="AY15" s="138" t="n">
        <f aca="false">Pipeline!$Q$22*Pipeline!$D$22*MIN(1,MAX(0,(49-Pipeline!$E$22+1)/MAX(Pipeline!$F$22,1)))</f>
        <v>0</v>
      </c>
      <c r="AZ15" s="138" t="n">
        <f aca="false">Pipeline!$Q$22*Pipeline!$D$22*MIN(1,MAX(0,(50-Pipeline!$E$22+1)/MAX(Pipeline!$F$22,1)))</f>
        <v>0</v>
      </c>
      <c r="BA15" s="138" t="n">
        <f aca="false">Pipeline!$Q$22*Pipeline!$D$22*MIN(1,MAX(0,(51-Pipeline!$E$22+1)/MAX(Pipeline!$F$22,1)))</f>
        <v>0</v>
      </c>
      <c r="BB15" s="138" t="n">
        <f aca="false">Pipeline!$Q$22*Pipeline!$D$22*MIN(1,MAX(0,(52-Pipeline!$E$22+1)/MAX(Pipeline!$F$22,1)))</f>
        <v>0</v>
      </c>
      <c r="BC15" s="138" t="n">
        <f aca="false">Pipeline!$Q$22*Pipeline!$D$22*MIN(1,MAX(0,(53-Pipeline!$E$22+1)/MAX(Pipeline!$F$22,1)))</f>
        <v>0</v>
      </c>
      <c r="BD15" s="138" t="n">
        <f aca="false">Pipeline!$Q$22*Pipeline!$D$22*MIN(1,MAX(0,(54-Pipeline!$E$22+1)/MAX(Pipeline!$F$22,1)))</f>
        <v>0</v>
      </c>
      <c r="BE15" s="138" t="n">
        <f aca="false">Pipeline!$Q$22*Pipeline!$D$22*MIN(1,MAX(0,(55-Pipeline!$E$22+1)/MAX(Pipeline!$F$22,1)))</f>
        <v>0</v>
      </c>
      <c r="BF15" s="138" t="n">
        <f aca="false">Pipeline!$Q$22*Pipeline!$D$22*MIN(1,MAX(0,(56-Pipeline!$E$22+1)/MAX(Pipeline!$F$22,1)))</f>
        <v>0</v>
      </c>
      <c r="BG15" s="138" t="n">
        <f aca="false">Pipeline!$Q$22*Pipeline!$D$22*MIN(1,MAX(0,(57-Pipeline!$E$22+1)/MAX(Pipeline!$F$22,1)))</f>
        <v>0</v>
      </c>
      <c r="BH15" s="138" t="n">
        <f aca="false">Pipeline!$Q$22*Pipeline!$D$22*MIN(1,MAX(0,(58-Pipeline!$E$22+1)/MAX(Pipeline!$F$22,1)))</f>
        <v>0</v>
      </c>
      <c r="BI15" s="138" t="n">
        <f aca="false">Pipeline!$Q$22*Pipeline!$D$22*MIN(1,MAX(0,(59-Pipeline!$E$22+1)/MAX(Pipeline!$F$22,1)))</f>
        <v>0</v>
      </c>
      <c r="BJ15" s="138" t="n">
        <f aca="false">Pipeline!$Q$22*Pipeline!$D$22*MIN(1,MAX(0,(60-Pipeline!$E$22+1)/MAX(Pipeline!$F$22,1)))</f>
        <v>0</v>
      </c>
      <c r="BK15" s="138" t="n">
        <f aca="false">Pipeline!$Q$22*Pipeline!$D$22*MIN(1,MAX(0,(61-Pipeline!$E$22+1)/MAX(Pipeline!$F$22,1)))</f>
        <v>0</v>
      </c>
      <c r="BL15" s="138" t="n">
        <f aca="false">Pipeline!$Q$22*Pipeline!$D$22*MIN(1,MAX(0,(62-Pipeline!$E$22+1)/MAX(Pipeline!$F$22,1)))</f>
        <v>0</v>
      </c>
      <c r="BM15" s="138" t="n">
        <f aca="false">Pipeline!$Q$22*Pipeline!$D$22*MIN(1,MAX(0,(63-Pipeline!$E$22+1)/MAX(Pipeline!$F$22,1)))</f>
        <v>0</v>
      </c>
      <c r="BN15" s="138" t="n">
        <f aca="false">Pipeline!$Q$22*Pipeline!$D$22*MIN(1,MAX(0,(64-Pipeline!$E$22+1)/MAX(Pipeline!$F$22,1)))</f>
        <v>0</v>
      </c>
      <c r="BO15" s="138" t="n">
        <f aca="false">Pipeline!$Q$22*Pipeline!$D$22*MIN(1,MAX(0,(65-Pipeline!$E$22+1)/MAX(Pipeline!$F$22,1)))</f>
        <v>0</v>
      </c>
      <c r="BP15" s="138" t="n">
        <f aca="false">Pipeline!$Q$22*Pipeline!$D$22*MIN(1,MAX(0,(66-Pipeline!$E$22+1)/MAX(Pipeline!$F$22,1)))</f>
        <v>0</v>
      </c>
      <c r="BQ15" s="138" t="n">
        <f aca="false">Pipeline!$Q$22*Pipeline!$D$22*MIN(1,MAX(0,(67-Pipeline!$E$22+1)/MAX(Pipeline!$F$22,1)))</f>
        <v>0</v>
      </c>
      <c r="BR15" s="138" t="n">
        <f aca="false">Pipeline!$Q$22*Pipeline!$D$22*MIN(1,MAX(0,(68-Pipeline!$E$22+1)/MAX(Pipeline!$F$22,1)))</f>
        <v>0</v>
      </c>
      <c r="BS15" s="138" t="n">
        <f aca="false">Pipeline!$Q$22*Pipeline!$D$22*MIN(1,MAX(0,(69-Pipeline!$E$22+1)/MAX(Pipeline!$F$22,1)))</f>
        <v>0</v>
      </c>
      <c r="BT15" s="138" t="n">
        <f aca="false">Pipeline!$Q$22*Pipeline!$D$22*MIN(1,MAX(0,(70-Pipeline!$E$22+1)/MAX(Pipeline!$F$22,1)))</f>
        <v>0</v>
      </c>
      <c r="BU15" s="138" t="n">
        <f aca="false">Pipeline!$Q$22*Pipeline!$D$22*MIN(1,MAX(0,(71-Pipeline!$E$22+1)/MAX(Pipeline!$F$22,1)))</f>
        <v>0</v>
      </c>
      <c r="BV15" s="138" t="n">
        <f aca="false">Pipeline!$Q$22*Pipeline!$D$22*MIN(1,MAX(0,(72-Pipeline!$E$22+1)/MAX(Pipeline!$F$22,1)))</f>
        <v>0</v>
      </c>
      <c r="BW15" s="138" t="n">
        <f aca="false">Pipeline!$Q$22*Pipeline!$D$22*MIN(1,MAX(0,(73-Pipeline!$E$22+1)/MAX(Pipeline!$F$22,1)))</f>
        <v>0</v>
      </c>
      <c r="BX15" s="138" t="n">
        <f aca="false">Pipeline!$Q$22*Pipeline!$D$22*MIN(1,MAX(0,(74-Pipeline!$E$22+1)/MAX(Pipeline!$F$22,1)))</f>
        <v>0</v>
      </c>
      <c r="BY15" s="138" t="n">
        <f aca="false">Pipeline!$Q$22*Pipeline!$D$22*MIN(1,MAX(0,(75-Pipeline!$E$22+1)/MAX(Pipeline!$F$22,1)))</f>
        <v>0</v>
      </c>
      <c r="BZ15" s="138" t="n">
        <f aca="false">Pipeline!$Q$22*Pipeline!$D$22*MIN(1,MAX(0,(76-Pipeline!$E$22+1)/MAX(Pipeline!$F$22,1)))</f>
        <v>0</v>
      </c>
      <c r="CA15" s="138" t="n">
        <f aca="false">Pipeline!$Q$22*Pipeline!$D$22*MIN(1,MAX(0,(77-Pipeline!$E$22+1)/MAX(Pipeline!$F$22,1)))</f>
        <v>0</v>
      </c>
      <c r="CB15" s="138" t="n">
        <f aca="false">Pipeline!$Q$22*Pipeline!$D$22*MIN(1,MAX(0,(78-Pipeline!$E$22+1)/MAX(Pipeline!$F$22,1)))</f>
        <v>0</v>
      </c>
      <c r="CC15" s="138" t="n">
        <f aca="false">Pipeline!$Q$22*Pipeline!$D$22*MIN(1,MAX(0,(79-Pipeline!$E$22+1)/MAX(Pipeline!$F$22,1)))</f>
        <v>0</v>
      </c>
      <c r="CD15" s="138" t="n">
        <f aca="false">Pipeline!$Q$22*Pipeline!$D$22*MIN(1,MAX(0,(80-Pipeline!$E$22+1)/MAX(Pipeline!$F$22,1)))</f>
        <v>0</v>
      </c>
      <c r="CE15" s="138" t="n">
        <f aca="false">Pipeline!$Q$22*Pipeline!$D$22*MIN(1,MAX(0,(81-Pipeline!$E$22+1)/MAX(Pipeline!$F$22,1)))</f>
        <v>0</v>
      </c>
      <c r="CF15" s="138" t="n">
        <f aca="false">Pipeline!$Q$22*Pipeline!$D$22*MIN(1,MAX(0,(82-Pipeline!$E$22+1)/MAX(Pipeline!$F$22,1)))</f>
        <v>0</v>
      </c>
      <c r="CG15" s="138" t="n">
        <f aca="false">Pipeline!$Q$22*Pipeline!$D$22*MIN(1,MAX(0,(83-Pipeline!$E$22+1)/MAX(Pipeline!$F$22,1)))</f>
        <v>0</v>
      </c>
      <c r="CH15" s="138" t="n">
        <f aca="false">Pipeline!$Q$22*Pipeline!$D$22*MIN(1,MAX(0,(84-Pipeline!$E$22+1)/MAX(Pipeline!$F$22,1)))</f>
        <v>0</v>
      </c>
    </row>
    <row r="16" customFormat="false" ht="13.5" hidden="false" customHeight="true" outlineLevel="0" collapsed="false">
      <c r="A16" s="30" t="s">
        <v>699</v>
      </c>
      <c r="C16" s="138" t="n">
        <f aca="false">SUM(C9:C15)</f>
        <v>1033.125</v>
      </c>
      <c r="D16" s="138" t="n">
        <f aca="false">SUM(D9:D15)</f>
        <v>2144.55</v>
      </c>
      <c r="E16" s="138" t="n">
        <f aca="false">SUM(E9:E15)</f>
        <v>4457.6625</v>
      </c>
      <c r="F16" s="138" t="n">
        <f aca="false">SUM(F9:F15)</f>
        <v>5737.65</v>
      </c>
      <c r="G16" s="138" t="n">
        <f aca="false">SUM(G9:G15)</f>
        <v>6939.3375</v>
      </c>
      <c r="H16" s="138" t="n">
        <f aca="false">SUM(H9:H15)</f>
        <v>8858.775</v>
      </c>
      <c r="I16" s="138" t="n">
        <f aca="false">SUM(I9:I15)</f>
        <v>10778.2125</v>
      </c>
      <c r="J16" s="138" t="n">
        <f aca="false">SUM(J9:J15)</f>
        <v>12697.65</v>
      </c>
      <c r="K16" s="138" t="n">
        <f aca="false">SUM(K9:K15)</f>
        <v>14617.0875</v>
      </c>
      <c r="L16" s="138" t="n">
        <f aca="false">SUM(L9:L15)</f>
        <v>16536.525</v>
      </c>
      <c r="M16" s="138" t="n">
        <f aca="false">SUM(M9:M15)</f>
        <v>17254.275</v>
      </c>
      <c r="N16" s="138" t="n">
        <f aca="false">SUM(N9:N15)</f>
        <v>18950.775</v>
      </c>
      <c r="O16" s="138" t="n">
        <f aca="false">SUM(O9:O15)</f>
        <v>20647.275</v>
      </c>
      <c r="P16" s="138" t="n">
        <f aca="false">SUM(P9:P15)</f>
        <v>21991.425</v>
      </c>
      <c r="Q16" s="138" t="n">
        <f aca="false">SUM(Q9:Q15)</f>
        <v>23335.575</v>
      </c>
      <c r="R16" s="138" t="n">
        <f aca="false">SUM(R9:R15)</f>
        <v>24679.725</v>
      </c>
      <c r="S16" s="138" t="n">
        <f aca="false">SUM(S9:S15)</f>
        <v>26023.875</v>
      </c>
      <c r="T16" s="138" t="n">
        <f aca="false">SUM(T9:T15)</f>
        <v>27368.025</v>
      </c>
      <c r="U16" s="138" t="n">
        <f aca="false">SUM(U9:U15)</f>
        <v>28712.175</v>
      </c>
      <c r="V16" s="138" t="n">
        <f aca="false">SUM(V9:V15)</f>
        <v>30056.325</v>
      </c>
      <c r="W16" s="138" t="n">
        <f aca="false">SUM(W9:W15)</f>
        <v>31400.475</v>
      </c>
      <c r="X16" s="138" t="n">
        <f aca="false">SUM(X9:X15)</f>
        <v>31765.875</v>
      </c>
      <c r="Y16" s="138" t="n">
        <f aca="false">SUM(Y9:Y15)</f>
        <v>32131.275</v>
      </c>
      <c r="Z16" s="138" t="n">
        <f aca="false">SUM(Z9:Z15)</f>
        <v>32131.275</v>
      </c>
      <c r="AA16" s="138" t="n">
        <f aca="false">SUM(AA9:AA15)</f>
        <v>32131.275</v>
      </c>
      <c r="AB16" s="138" t="n">
        <f aca="false">SUM(AB9:AB15)</f>
        <v>32131.275</v>
      </c>
      <c r="AC16" s="138" t="n">
        <f aca="false">SUM(AC9:AC15)</f>
        <v>32131.275</v>
      </c>
      <c r="AD16" s="138" t="n">
        <f aca="false">SUM(AD9:AD15)</f>
        <v>32131.275</v>
      </c>
      <c r="AE16" s="138" t="n">
        <f aca="false">SUM(AE9:AE15)</f>
        <v>32131.275</v>
      </c>
      <c r="AF16" s="138" t="n">
        <f aca="false">SUM(AF9:AF15)</f>
        <v>32131.275</v>
      </c>
      <c r="AG16" s="138" t="n">
        <f aca="false">SUM(AG9:AG15)</f>
        <v>32131.275</v>
      </c>
      <c r="AH16" s="138" t="n">
        <f aca="false">SUM(AH9:AH15)</f>
        <v>32131.275</v>
      </c>
      <c r="AI16" s="138" t="n">
        <f aca="false">SUM(AI9:AI15)</f>
        <v>32131.275</v>
      </c>
      <c r="AJ16" s="138" t="n">
        <f aca="false">SUM(AJ9:AJ15)</f>
        <v>32131.275</v>
      </c>
      <c r="AK16" s="138" t="n">
        <f aca="false">SUM(AK9:AK15)</f>
        <v>32131.275</v>
      </c>
      <c r="AL16" s="138" t="n">
        <f aca="false">SUM(AL9:AL15)</f>
        <v>32131.275</v>
      </c>
      <c r="AM16" s="138" t="n">
        <f aca="false">SUM(AM9:AM15)</f>
        <v>32131.275</v>
      </c>
      <c r="AN16" s="138" t="n">
        <f aca="false">SUM(AN9:AN15)</f>
        <v>32131.275</v>
      </c>
      <c r="AO16" s="138" t="n">
        <f aca="false">SUM(AO9:AO15)</f>
        <v>32131.275</v>
      </c>
      <c r="AP16" s="138" t="n">
        <f aca="false">SUM(AP9:AP15)</f>
        <v>32131.275</v>
      </c>
      <c r="AQ16" s="138" t="n">
        <f aca="false">SUM(AQ9:AQ15)</f>
        <v>32131.275</v>
      </c>
      <c r="AR16" s="138" t="n">
        <f aca="false">SUM(AR9:AR15)</f>
        <v>32131.275</v>
      </c>
      <c r="AS16" s="138" t="n">
        <f aca="false">SUM(AS9:AS15)</f>
        <v>32131.275</v>
      </c>
      <c r="AT16" s="138" t="n">
        <f aca="false">SUM(AT9:AT15)</f>
        <v>32131.275</v>
      </c>
      <c r="AU16" s="138" t="n">
        <f aca="false">SUM(AU9:AU15)</f>
        <v>32131.275</v>
      </c>
      <c r="AV16" s="138" t="n">
        <f aca="false">SUM(AV9:AV15)</f>
        <v>32131.275</v>
      </c>
      <c r="AW16" s="138" t="n">
        <f aca="false">SUM(AW9:AW15)</f>
        <v>32131.275</v>
      </c>
      <c r="AX16" s="138" t="n">
        <f aca="false">SUM(AX9:AX15)</f>
        <v>32131.275</v>
      </c>
      <c r="AY16" s="138" t="n">
        <f aca="false">SUM(AY9:AY15)</f>
        <v>32131.275</v>
      </c>
      <c r="AZ16" s="138" t="n">
        <f aca="false">SUM(AZ9:AZ15)</f>
        <v>32131.275</v>
      </c>
      <c r="BA16" s="138" t="n">
        <f aca="false">SUM(BA9:BA15)</f>
        <v>32131.275</v>
      </c>
      <c r="BB16" s="138" t="n">
        <f aca="false">SUM(BB9:BB15)</f>
        <v>32131.275</v>
      </c>
      <c r="BC16" s="138" t="n">
        <f aca="false">SUM(BC9:BC15)</f>
        <v>32131.275</v>
      </c>
      <c r="BD16" s="138" t="n">
        <f aca="false">SUM(BD9:BD15)</f>
        <v>32131.275</v>
      </c>
      <c r="BE16" s="138" t="n">
        <f aca="false">SUM(BE9:BE15)</f>
        <v>32131.275</v>
      </c>
      <c r="BF16" s="138" t="n">
        <f aca="false">SUM(BF9:BF15)</f>
        <v>32131.275</v>
      </c>
      <c r="BG16" s="138" t="n">
        <f aca="false">SUM(BG9:BG15)</f>
        <v>32131.275</v>
      </c>
      <c r="BH16" s="138" t="n">
        <f aca="false">SUM(BH9:BH15)</f>
        <v>32131.275</v>
      </c>
      <c r="BI16" s="138" t="n">
        <f aca="false">SUM(BI9:BI15)</f>
        <v>32131.275</v>
      </c>
      <c r="BJ16" s="138" t="n">
        <f aca="false">SUM(BJ9:BJ15)</f>
        <v>32131.275</v>
      </c>
      <c r="BK16" s="138" t="n">
        <f aca="false">SUM(BK9:BK15)</f>
        <v>32131.275</v>
      </c>
      <c r="BL16" s="138" t="n">
        <f aca="false">SUM(BL9:BL15)</f>
        <v>32131.275</v>
      </c>
      <c r="BM16" s="138" t="n">
        <f aca="false">SUM(BM9:BM15)</f>
        <v>32131.275</v>
      </c>
      <c r="BN16" s="138" t="n">
        <f aca="false">SUM(BN9:BN15)</f>
        <v>32131.275</v>
      </c>
      <c r="BO16" s="138" t="n">
        <f aca="false">SUM(BO9:BO15)</f>
        <v>32131.275</v>
      </c>
      <c r="BP16" s="138" t="n">
        <f aca="false">SUM(BP9:BP15)</f>
        <v>32131.275</v>
      </c>
      <c r="BQ16" s="138" t="n">
        <f aca="false">SUM(BQ9:BQ15)</f>
        <v>32131.275</v>
      </c>
      <c r="BR16" s="138" t="n">
        <f aca="false">SUM(BR9:BR15)</f>
        <v>32131.275</v>
      </c>
      <c r="BS16" s="138" t="n">
        <f aca="false">SUM(BS9:BS15)</f>
        <v>32131.275</v>
      </c>
      <c r="BT16" s="138" t="n">
        <f aca="false">SUM(BT9:BT15)</f>
        <v>32131.275</v>
      </c>
      <c r="BU16" s="138" t="n">
        <f aca="false">SUM(BU9:BU15)</f>
        <v>32131.275</v>
      </c>
      <c r="BV16" s="138" t="n">
        <f aca="false">SUM(BV9:BV15)</f>
        <v>32131.275</v>
      </c>
      <c r="BW16" s="138" t="n">
        <f aca="false">SUM(BW9:BW15)</f>
        <v>32131.275</v>
      </c>
      <c r="BX16" s="138" t="n">
        <f aca="false">SUM(BX9:BX15)</f>
        <v>32131.275</v>
      </c>
      <c r="BY16" s="138" t="n">
        <f aca="false">SUM(BY9:BY15)</f>
        <v>32131.275</v>
      </c>
      <c r="BZ16" s="138" t="n">
        <f aca="false">SUM(BZ9:BZ15)</f>
        <v>32131.275</v>
      </c>
      <c r="CA16" s="138" t="n">
        <f aca="false">SUM(CA9:CA15)</f>
        <v>32131.275</v>
      </c>
      <c r="CB16" s="138" t="n">
        <f aca="false">SUM(CB9:CB15)</f>
        <v>32131.275</v>
      </c>
      <c r="CC16" s="138" t="n">
        <f aca="false">SUM(CC9:CC15)</f>
        <v>32131.275</v>
      </c>
      <c r="CD16" s="138" t="n">
        <f aca="false">SUM(CD9:CD15)</f>
        <v>32131.275</v>
      </c>
      <c r="CE16" s="138" t="n">
        <f aca="false">SUM(CE9:CE15)</f>
        <v>32131.275</v>
      </c>
      <c r="CF16" s="138" t="n">
        <f aca="false">SUM(CF9:CF15)</f>
        <v>32131.275</v>
      </c>
      <c r="CG16" s="138" t="n">
        <f aca="false">SUM(CG9:CG15)</f>
        <v>32131.275</v>
      </c>
      <c r="CH16" s="138" t="n">
        <f aca="false">SUM(CH9:CH15)</f>
        <v>32131.275</v>
      </c>
    </row>
    <row r="17" customFormat="false" ht="13.5" hidden="false" customHeight="true" outlineLevel="0" collapsed="false">
      <c r="A17" s="13" t="s">
        <v>700</v>
      </c>
      <c r="C17" s="139" t="n">
        <f aca="false">(Pipeline!$T$16*Pipeline!$D$16*MIN(1,MAX(0,(1-Pipeline!$E$16+1)/MAX(Pipeline!$F$16,1)))+Pipeline!$T$17*Pipeline!$D$17*MIN(1,MAX(0,(1-Pipeline!$E$17+1)/MAX(Pipeline!$F$17,1)))+Pipeline!$T$18*Pipeline!$D$18*MIN(1,MAX(0,(1-Pipeline!$E$18+1)/MAX(Pipeline!$F$18,1)))+Pipeline!$T$19*Pipeline!$D$19*MIN(1,MAX(0,(1-Pipeline!$E$19+1)/MAX(Pipeline!$F$19,1)))+Pipeline!$T$20*Pipeline!$D$20*MIN(1,MAX(0,(1-Pipeline!$E$20+1)/MAX(Pipeline!$F$20,1)))+Pipeline!$T$21*Pipeline!$D$21*MIN(1,MAX(0,(1-Pipeline!$E$21+1)/MAX(Pipeline!$F$21,1)))+Pipeline!$T$22*Pipeline!$D$22*MIN(1,MAX(0,(1-Pipeline!$E$22+1)/MAX(Pipeline!$F$22,1))))/Hipótesis!$E$17</f>
        <v>97.0911949685535</v>
      </c>
      <c r="D17" s="139" t="n">
        <f aca="false">(Pipeline!$T$16*Pipeline!$D$16*MIN(1,MAX(0,(2-Pipeline!$E$16+1)/MAX(Pipeline!$F$16,1)))+Pipeline!$T$17*Pipeline!$D$17*MIN(1,MAX(0,(2-Pipeline!$E$17+1)/MAX(Pipeline!$F$17,1)))+Pipeline!$T$18*Pipeline!$D$18*MIN(1,MAX(0,(2-Pipeline!$E$18+1)/MAX(Pipeline!$F$18,1)))+Pipeline!$T$19*Pipeline!$D$19*MIN(1,MAX(0,(2-Pipeline!$E$19+1)/MAX(Pipeline!$F$19,1)))+Pipeline!$T$20*Pipeline!$D$20*MIN(1,MAX(0,(2-Pipeline!$E$20+1)/MAX(Pipeline!$F$20,1)))+Pipeline!$T$21*Pipeline!$D$21*MIN(1,MAX(0,(2-Pipeline!$E$21+1)/MAX(Pipeline!$F$21,1)))+Pipeline!$T$22*Pipeline!$D$22*MIN(1,MAX(0,(2-Pipeline!$E$22+1)/MAX(Pipeline!$F$22,1))))/Hipótesis!$E$17</f>
        <v>208.666296707362</v>
      </c>
      <c r="E17" s="139" t="n">
        <f aca="false">(Pipeline!$T$16*Pipeline!$D$16*MIN(1,MAX(0,(3-Pipeline!$E$16+1)/MAX(Pipeline!$F$16,1)))+Pipeline!$T$17*Pipeline!$D$17*MIN(1,MAX(0,(3-Pipeline!$E$17+1)/MAX(Pipeline!$F$17,1)))+Pipeline!$T$18*Pipeline!$D$18*MIN(1,MAX(0,(3-Pipeline!$E$18+1)/MAX(Pipeline!$F$18,1)))+Pipeline!$T$19*Pipeline!$D$19*MIN(1,MAX(0,(3-Pipeline!$E$19+1)/MAX(Pipeline!$F$19,1)))+Pipeline!$T$20*Pipeline!$D$20*MIN(1,MAX(0,(3-Pipeline!$E$20+1)/MAX(Pipeline!$F$20,1)))+Pipeline!$T$21*Pipeline!$D$21*MIN(1,MAX(0,(3-Pipeline!$E$21+1)/MAX(Pipeline!$F$21,1)))+Pipeline!$T$22*Pipeline!$D$22*MIN(1,MAX(0,(3-Pipeline!$E$22+1)/MAX(Pipeline!$F$22,1))))/Hipótesis!$E$17</f>
        <v>508.366518777322</v>
      </c>
      <c r="F17" s="139" t="n">
        <f aca="false">(Pipeline!$T$16*Pipeline!$D$16*MIN(1,MAX(0,(4-Pipeline!$E$16+1)/MAX(Pipeline!$F$16,1)))+Pipeline!$T$17*Pipeline!$D$17*MIN(1,MAX(0,(4-Pipeline!$E$17+1)/MAX(Pipeline!$F$17,1)))+Pipeline!$T$18*Pipeline!$D$18*MIN(1,MAX(0,(4-Pipeline!$E$18+1)/MAX(Pipeline!$F$18,1)))+Pipeline!$T$19*Pipeline!$D$19*MIN(1,MAX(0,(4-Pipeline!$E$19+1)/MAX(Pipeline!$F$19,1)))+Pipeline!$T$20*Pipeline!$D$20*MIN(1,MAX(0,(4-Pipeline!$E$20+1)/MAX(Pipeline!$F$20,1)))+Pipeline!$T$21*Pipeline!$D$21*MIN(1,MAX(0,(4-Pipeline!$E$21+1)/MAX(Pipeline!$F$21,1)))+Pipeline!$T$22*Pipeline!$D$22*MIN(1,MAX(0,(4-Pipeline!$E$22+1)/MAX(Pipeline!$F$22,1))))/Hipótesis!$E$17</f>
        <v>710.975545878729</v>
      </c>
      <c r="G17" s="139" t="n">
        <f aca="false">(Pipeline!$T$16*Pipeline!$D$16*MIN(1,MAX(0,(5-Pipeline!$E$16+1)/MAX(Pipeline!$F$16,1)))+Pipeline!$T$17*Pipeline!$D$17*MIN(1,MAX(0,(5-Pipeline!$E$17+1)/MAX(Pipeline!$F$17,1)))+Pipeline!$T$18*Pipeline!$D$18*MIN(1,MAX(0,(5-Pipeline!$E$18+1)/MAX(Pipeline!$F$18,1)))+Pipeline!$T$19*Pipeline!$D$19*MIN(1,MAX(0,(5-Pipeline!$E$19+1)/MAX(Pipeline!$F$19,1)))+Pipeline!$T$20*Pipeline!$D$20*MIN(1,MAX(0,(5-Pipeline!$E$20+1)/MAX(Pipeline!$F$20,1)))+Pipeline!$T$21*Pipeline!$D$21*MIN(1,MAX(0,(5-Pipeline!$E$21+1)/MAX(Pipeline!$F$21,1)))+Pipeline!$T$22*Pipeline!$D$22*MIN(1,MAX(0,(5-Pipeline!$E$22+1)/MAX(Pipeline!$F$22,1))))/Hipótesis!$E$17</f>
        <v>899.10066620988</v>
      </c>
      <c r="H17" s="139" t="n">
        <f aca="false">(Pipeline!$T$16*Pipeline!$D$16*MIN(1,MAX(0,(6-Pipeline!$E$16+1)/MAX(Pipeline!$F$16,1)))+Pipeline!$T$17*Pipeline!$D$17*MIN(1,MAX(0,(6-Pipeline!$E$17+1)/MAX(Pipeline!$F$17,1)))+Pipeline!$T$18*Pipeline!$D$18*MIN(1,MAX(0,(6-Pipeline!$E$18+1)/MAX(Pipeline!$F$18,1)))+Pipeline!$T$19*Pipeline!$D$19*MIN(1,MAX(0,(6-Pipeline!$E$19+1)/MAX(Pipeline!$F$19,1)))+Pipeline!$T$20*Pipeline!$D$20*MIN(1,MAX(0,(6-Pipeline!$E$20+1)/MAX(Pipeline!$F$20,1)))+Pipeline!$T$21*Pipeline!$D$21*MIN(1,MAX(0,(6-Pipeline!$E$21+1)/MAX(Pipeline!$F$21,1)))+Pipeline!$T$22*Pipeline!$D$22*MIN(1,MAX(0,(6-Pipeline!$E$22+1)/MAX(Pipeline!$F$22,1))))/Hipótesis!$E$17</f>
        <v>1253.18721828354</v>
      </c>
      <c r="I17" s="139" t="n">
        <f aca="false">(Pipeline!$T$16*Pipeline!$D$16*MIN(1,MAX(0,(7-Pipeline!$E$16+1)/MAX(Pipeline!$F$16,1)))+Pipeline!$T$17*Pipeline!$D$17*MIN(1,MAX(0,(7-Pipeline!$E$17+1)/MAX(Pipeline!$F$17,1)))+Pipeline!$T$18*Pipeline!$D$18*MIN(1,MAX(0,(7-Pipeline!$E$18+1)/MAX(Pipeline!$F$18,1)))+Pipeline!$T$19*Pipeline!$D$19*MIN(1,MAX(0,(7-Pipeline!$E$19+1)/MAX(Pipeline!$F$19,1)))+Pipeline!$T$20*Pipeline!$D$20*MIN(1,MAX(0,(7-Pipeline!$E$20+1)/MAX(Pipeline!$F$20,1)))+Pipeline!$T$21*Pipeline!$D$21*MIN(1,MAX(0,(7-Pipeline!$E$21+1)/MAX(Pipeline!$F$21,1)))+Pipeline!$T$22*Pipeline!$D$22*MIN(1,MAX(0,(7-Pipeline!$E$22+1)/MAX(Pipeline!$F$22,1))))/Hipótesis!$E$17</f>
        <v>1607.2737703572</v>
      </c>
      <c r="J17" s="139" t="n">
        <f aca="false">(Pipeline!$T$16*Pipeline!$D$16*MIN(1,MAX(0,(8-Pipeline!$E$16+1)/MAX(Pipeline!$F$16,1)))+Pipeline!$T$17*Pipeline!$D$17*MIN(1,MAX(0,(8-Pipeline!$E$17+1)/MAX(Pipeline!$F$17,1)))+Pipeline!$T$18*Pipeline!$D$18*MIN(1,MAX(0,(8-Pipeline!$E$18+1)/MAX(Pipeline!$F$18,1)))+Pipeline!$T$19*Pipeline!$D$19*MIN(1,MAX(0,(8-Pipeline!$E$19+1)/MAX(Pipeline!$F$19,1)))+Pipeline!$T$20*Pipeline!$D$20*MIN(1,MAX(0,(8-Pipeline!$E$20+1)/MAX(Pipeline!$F$20,1)))+Pipeline!$T$21*Pipeline!$D$21*MIN(1,MAX(0,(8-Pipeline!$E$21+1)/MAX(Pipeline!$F$21,1)))+Pipeline!$T$22*Pipeline!$D$22*MIN(1,MAX(0,(8-Pipeline!$E$22+1)/MAX(Pipeline!$F$22,1))))/Hipótesis!$E$17</f>
        <v>1961.36032243086</v>
      </c>
      <c r="K17" s="139" t="n">
        <f aca="false">(Pipeline!$T$16*Pipeline!$D$16*MIN(1,MAX(0,(9-Pipeline!$E$16+1)/MAX(Pipeline!$F$16,1)))+Pipeline!$T$17*Pipeline!$D$17*MIN(1,MAX(0,(9-Pipeline!$E$17+1)/MAX(Pipeline!$F$17,1)))+Pipeline!$T$18*Pipeline!$D$18*MIN(1,MAX(0,(9-Pipeline!$E$18+1)/MAX(Pipeline!$F$18,1)))+Pipeline!$T$19*Pipeline!$D$19*MIN(1,MAX(0,(9-Pipeline!$E$19+1)/MAX(Pipeline!$F$19,1)))+Pipeline!$T$20*Pipeline!$D$20*MIN(1,MAX(0,(9-Pipeline!$E$20+1)/MAX(Pipeline!$F$20,1)))+Pipeline!$T$21*Pipeline!$D$21*MIN(1,MAX(0,(9-Pipeline!$E$21+1)/MAX(Pipeline!$F$21,1)))+Pipeline!$T$22*Pipeline!$D$22*MIN(1,MAX(0,(9-Pipeline!$E$22+1)/MAX(Pipeline!$F$22,1))))/Hipótesis!$E$17</f>
        <v>2315.44687450452</v>
      </c>
      <c r="L17" s="139" t="n">
        <f aca="false">(Pipeline!$T$16*Pipeline!$D$16*MIN(1,MAX(0,(10-Pipeline!$E$16+1)/MAX(Pipeline!$F$16,1)))+Pipeline!$T$17*Pipeline!$D$17*MIN(1,MAX(0,(10-Pipeline!$E$17+1)/MAX(Pipeline!$F$17,1)))+Pipeline!$T$18*Pipeline!$D$18*MIN(1,MAX(0,(10-Pipeline!$E$18+1)/MAX(Pipeline!$F$18,1)))+Pipeline!$T$19*Pipeline!$D$19*MIN(1,MAX(0,(10-Pipeline!$E$19+1)/MAX(Pipeline!$F$19,1)))+Pipeline!$T$20*Pipeline!$D$20*MIN(1,MAX(0,(10-Pipeline!$E$20+1)/MAX(Pipeline!$F$20,1)))+Pipeline!$T$21*Pipeline!$D$21*MIN(1,MAX(0,(10-Pipeline!$E$21+1)/MAX(Pipeline!$F$21,1)))+Pipeline!$T$22*Pipeline!$D$22*MIN(1,MAX(0,(10-Pipeline!$E$22+1)/MAX(Pipeline!$F$22,1))))/Hipótesis!$E$17</f>
        <v>2669.53342657818</v>
      </c>
      <c r="M17" s="139" t="n">
        <f aca="false">(Pipeline!$T$16*Pipeline!$D$16*MIN(1,MAX(0,(11-Pipeline!$E$16+1)/MAX(Pipeline!$F$16,1)))+Pipeline!$T$17*Pipeline!$D$17*MIN(1,MAX(0,(11-Pipeline!$E$17+1)/MAX(Pipeline!$F$17,1)))+Pipeline!$T$18*Pipeline!$D$18*MIN(1,MAX(0,(11-Pipeline!$E$18+1)/MAX(Pipeline!$F$18,1)))+Pipeline!$T$19*Pipeline!$D$19*MIN(1,MAX(0,(11-Pipeline!$E$19+1)/MAX(Pipeline!$F$19,1)))+Pipeline!$T$20*Pipeline!$D$20*MIN(1,MAX(0,(11-Pipeline!$E$20+1)/MAX(Pipeline!$F$20,1)))+Pipeline!$T$21*Pipeline!$D$21*MIN(1,MAX(0,(11-Pipeline!$E$21+1)/MAX(Pipeline!$F$21,1)))+Pipeline!$T$22*Pipeline!$D$22*MIN(1,MAX(0,(11-Pipeline!$E$22+1)/MAX(Pipeline!$F$22,1))))/Hipótesis!$E$17</f>
        <v>2835.49485832069</v>
      </c>
      <c r="N17" s="139" t="n">
        <f aca="false">(Pipeline!$T$16*Pipeline!$D$16*MIN(1,MAX(0,(12-Pipeline!$E$16+1)/MAX(Pipeline!$F$16,1)))+Pipeline!$T$17*Pipeline!$D$17*MIN(1,MAX(0,(12-Pipeline!$E$17+1)/MAX(Pipeline!$F$17,1)))+Pipeline!$T$18*Pipeline!$D$18*MIN(1,MAX(0,(12-Pipeline!$E$18+1)/MAX(Pipeline!$F$18,1)))+Pipeline!$T$19*Pipeline!$D$19*MIN(1,MAX(0,(12-Pipeline!$E$19+1)/MAX(Pipeline!$F$19,1)))+Pipeline!$T$20*Pipeline!$D$20*MIN(1,MAX(0,(12-Pipeline!$E$20+1)/MAX(Pipeline!$F$20,1)))+Pipeline!$T$21*Pipeline!$D$21*MIN(1,MAX(0,(12-Pipeline!$E$21+1)/MAX(Pipeline!$F$21,1)))+Pipeline!$T$22*Pipeline!$D$22*MIN(1,MAX(0,(12-Pipeline!$E$22+1)/MAX(Pipeline!$F$22,1))))/Hipótesis!$E$17</f>
        <v>3242.85473623412</v>
      </c>
      <c r="O17" s="139" t="n">
        <f aca="false">(Pipeline!$T$16*Pipeline!$D$16*MIN(1,MAX(0,(13-Pipeline!$E$16+1)/MAX(Pipeline!$F$16,1)))+Pipeline!$T$17*Pipeline!$D$17*MIN(1,MAX(0,(13-Pipeline!$E$17+1)/MAX(Pipeline!$F$17,1)))+Pipeline!$T$18*Pipeline!$D$18*MIN(1,MAX(0,(13-Pipeline!$E$18+1)/MAX(Pipeline!$F$18,1)))+Pipeline!$T$19*Pipeline!$D$19*MIN(1,MAX(0,(13-Pipeline!$E$19+1)/MAX(Pipeline!$F$19,1)))+Pipeline!$T$20*Pipeline!$D$20*MIN(1,MAX(0,(13-Pipeline!$E$20+1)/MAX(Pipeline!$F$20,1)))+Pipeline!$T$21*Pipeline!$D$21*MIN(1,MAX(0,(13-Pipeline!$E$21+1)/MAX(Pipeline!$F$21,1)))+Pipeline!$T$22*Pipeline!$D$22*MIN(1,MAX(0,(13-Pipeline!$E$22+1)/MAX(Pipeline!$F$22,1))))/Hipótesis!$E$17</f>
        <v>3650.21461414755</v>
      </c>
      <c r="P17" s="139" t="n">
        <f aca="false">(Pipeline!$T$16*Pipeline!$D$16*MIN(1,MAX(0,(14-Pipeline!$E$16+1)/MAX(Pipeline!$F$16,1)))+Pipeline!$T$17*Pipeline!$D$17*MIN(1,MAX(0,(14-Pipeline!$E$17+1)/MAX(Pipeline!$F$17,1)))+Pipeline!$T$18*Pipeline!$D$18*MIN(1,MAX(0,(14-Pipeline!$E$18+1)/MAX(Pipeline!$F$18,1)))+Pipeline!$T$19*Pipeline!$D$19*MIN(1,MAX(0,(14-Pipeline!$E$19+1)/MAX(Pipeline!$F$19,1)))+Pipeline!$T$20*Pipeline!$D$20*MIN(1,MAX(0,(14-Pipeline!$E$20+1)/MAX(Pipeline!$F$20,1)))+Pipeline!$T$21*Pipeline!$D$21*MIN(1,MAX(0,(14-Pipeline!$E$21+1)/MAX(Pipeline!$F$21,1)))+Pipeline!$T$22*Pipeline!$D$22*MIN(1,MAX(0,(14-Pipeline!$E$22+1)/MAX(Pipeline!$F$22,1))))/Hipótesis!$E$17</f>
        <v>3988.17243878683</v>
      </c>
      <c r="Q17" s="139" t="n">
        <f aca="false">(Pipeline!$T$16*Pipeline!$D$16*MIN(1,MAX(0,(15-Pipeline!$E$16+1)/MAX(Pipeline!$F$16,1)))+Pipeline!$T$17*Pipeline!$D$17*MIN(1,MAX(0,(15-Pipeline!$E$17+1)/MAX(Pipeline!$F$17,1)))+Pipeline!$T$18*Pipeline!$D$18*MIN(1,MAX(0,(15-Pipeline!$E$18+1)/MAX(Pipeline!$F$18,1)))+Pipeline!$T$19*Pipeline!$D$19*MIN(1,MAX(0,(15-Pipeline!$E$19+1)/MAX(Pipeline!$F$19,1)))+Pipeline!$T$20*Pipeline!$D$20*MIN(1,MAX(0,(15-Pipeline!$E$20+1)/MAX(Pipeline!$F$20,1)))+Pipeline!$T$21*Pipeline!$D$21*MIN(1,MAX(0,(15-Pipeline!$E$21+1)/MAX(Pipeline!$F$21,1)))+Pipeline!$T$22*Pipeline!$D$22*MIN(1,MAX(0,(15-Pipeline!$E$22+1)/MAX(Pipeline!$F$22,1))))/Hipótesis!$E$17</f>
        <v>4326.13026342613</v>
      </c>
      <c r="R17" s="139" t="n">
        <f aca="false">(Pipeline!$T$16*Pipeline!$D$16*MIN(1,MAX(0,(16-Pipeline!$E$16+1)/MAX(Pipeline!$F$16,1)))+Pipeline!$T$17*Pipeline!$D$17*MIN(1,MAX(0,(16-Pipeline!$E$17+1)/MAX(Pipeline!$F$17,1)))+Pipeline!$T$18*Pipeline!$D$18*MIN(1,MAX(0,(16-Pipeline!$E$18+1)/MAX(Pipeline!$F$18,1)))+Pipeline!$T$19*Pipeline!$D$19*MIN(1,MAX(0,(16-Pipeline!$E$19+1)/MAX(Pipeline!$F$19,1)))+Pipeline!$T$20*Pipeline!$D$20*MIN(1,MAX(0,(16-Pipeline!$E$20+1)/MAX(Pipeline!$F$20,1)))+Pipeline!$T$21*Pipeline!$D$21*MIN(1,MAX(0,(16-Pipeline!$E$21+1)/MAX(Pipeline!$F$21,1)))+Pipeline!$T$22*Pipeline!$D$22*MIN(1,MAX(0,(16-Pipeline!$E$22+1)/MAX(Pipeline!$F$22,1))))/Hipótesis!$E$17</f>
        <v>4664.08808806541</v>
      </c>
      <c r="S17" s="139" t="n">
        <f aca="false">(Pipeline!$T$16*Pipeline!$D$16*MIN(1,MAX(0,(17-Pipeline!$E$16+1)/MAX(Pipeline!$F$16,1)))+Pipeline!$T$17*Pipeline!$D$17*MIN(1,MAX(0,(17-Pipeline!$E$17+1)/MAX(Pipeline!$F$17,1)))+Pipeline!$T$18*Pipeline!$D$18*MIN(1,MAX(0,(17-Pipeline!$E$18+1)/MAX(Pipeline!$F$18,1)))+Pipeline!$T$19*Pipeline!$D$19*MIN(1,MAX(0,(17-Pipeline!$E$19+1)/MAX(Pipeline!$F$19,1)))+Pipeline!$T$20*Pipeline!$D$20*MIN(1,MAX(0,(17-Pipeline!$E$20+1)/MAX(Pipeline!$F$20,1)))+Pipeline!$T$21*Pipeline!$D$21*MIN(1,MAX(0,(17-Pipeline!$E$21+1)/MAX(Pipeline!$F$21,1)))+Pipeline!$T$22*Pipeline!$D$22*MIN(1,MAX(0,(17-Pipeline!$E$22+1)/MAX(Pipeline!$F$22,1))))/Hipótesis!$E$17</f>
        <v>5002.0459127047</v>
      </c>
      <c r="T17" s="139" t="n">
        <f aca="false">(Pipeline!$T$16*Pipeline!$D$16*MIN(1,MAX(0,(18-Pipeline!$E$16+1)/MAX(Pipeline!$F$16,1)))+Pipeline!$T$17*Pipeline!$D$17*MIN(1,MAX(0,(18-Pipeline!$E$17+1)/MAX(Pipeline!$F$17,1)))+Pipeline!$T$18*Pipeline!$D$18*MIN(1,MAX(0,(18-Pipeline!$E$18+1)/MAX(Pipeline!$F$18,1)))+Pipeline!$T$19*Pipeline!$D$19*MIN(1,MAX(0,(18-Pipeline!$E$19+1)/MAX(Pipeline!$F$19,1)))+Pipeline!$T$20*Pipeline!$D$20*MIN(1,MAX(0,(18-Pipeline!$E$20+1)/MAX(Pipeline!$F$20,1)))+Pipeline!$T$21*Pipeline!$D$21*MIN(1,MAX(0,(18-Pipeline!$E$21+1)/MAX(Pipeline!$F$21,1)))+Pipeline!$T$22*Pipeline!$D$22*MIN(1,MAX(0,(18-Pipeline!$E$22+1)/MAX(Pipeline!$F$22,1))))/Hipótesis!$E$17</f>
        <v>5340.00373734399</v>
      </c>
      <c r="U17" s="139" t="n">
        <f aca="false">(Pipeline!$T$16*Pipeline!$D$16*MIN(1,MAX(0,(19-Pipeline!$E$16+1)/MAX(Pipeline!$F$16,1)))+Pipeline!$T$17*Pipeline!$D$17*MIN(1,MAX(0,(19-Pipeline!$E$17+1)/MAX(Pipeline!$F$17,1)))+Pipeline!$T$18*Pipeline!$D$18*MIN(1,MAX(0,(19-Pipeline!$E$18+1)/MAX(Pipeline!$F$18,1)))+Pipeline!$T$19*Pipeline!$D$19*MIN(1,MAX(0,(19-Pipeline!$E$19+1)/MAX(Pipeline!$F$19,1)))+Pipeline!$T$20*Pipeline!$D$20*MIN(1,MAX(0,(19-Pipeline!$E$20+1)/MAX(Pipeline!$F$20,1)))+Pipeline!$T$21*Pipeline!$D$21*MIN(1,MAX(0,(19-Pipeline!$E$21+1)/MAX(Pipeline!$F$21,1)))+Pipeline!$T$22*Pipeline!$D$22*MIN(1,MAX(0,(19-Pipeline!$E$22+1)/MAX(Pipeline!$F$22,1))))/Hipótesis!$E$17</f>
        <v>5677.96156198328</v>
      </c>
      <c r="V17" s="139" t="n">
        <f aca="false">(Pipeline!$T$16*Pipeline!$D$16*MIN(1,MAX(0,(20-Pipeline!$E$16+1)/MAX(Pipeline!$F$16,1)))+Pipeline!$T$17*Pipeline!$D$17*MIN(1,MAX(0,(20-Pipeline!$E$17+1)/MAX(Pipeline!$F$17,1)))+Pipeline!$T$18*Pipeline!$D$18*MIN(1,MAX(0,(20-Pipeline!$E$18+1)/MAX(Pipeline!$F$18,1)))+Pipeline!$T$19*Pipeline!$D$19*MIN(1,MAX(0,(20-Pipeline!$E$19+1)/MAX(Pipeline!$F$19,1)))+Pipeline!$T$20*Pipeline!$D$20*MIN(1,MAX(0,(20-Pipeline!$E$20+1)/MAX(Pipeline!$F$20,1)))+Pipeline!$T$21*Pipeline!$D$21*MIN(1,MAX(0,(20-Pipeline!$E$21+1)/MAX(Pipeline!$F$21,1)))+Pipeline!$T$22*Pipeline!$D$22*MIN(1,MAX(0,(20-Pipeline!$E$22+1)/MAX(Pipeline!$F$22,1))))/Hipótesis!$E$17</f>
        <v>6015.91938662257</v>
      </c>
      <c r="W17" s="139" t="n">
        <f aca="false">(Pipeline!$T$16*Pipeline!$D$16*MIN(1,MAX(0,(21-Pipeline!$E$16+1)/MAX(Pipeline!$F$16,1)))+Pipeline!$T$17*Pipeline!$D$17*MIN(1,MAX(0,(21-Pipeline!$E$17+1)/MAX(Pipeline!$F$17,1)))+Pipeline!$T$18*Pipeline!$D$18*MIN(1,MAX(0,(21-Pipeline!$E$18+1)/MAX(Pipeline!$F$18,1)))+Pipeline!$T$19*Pipeline!$D$19*MIN(1,MAX(0,(21-Pipeline!$E$19+1)/MAX(Pipeline!$F$19,1)))+Pipeline!$T$20*Pipeline!$D$20*MIN(1,MAX(0,(21-Pipeline!$E$20+1)/MAX(Pipeline!$F$20,1)))+Pipeline!$T$21*Pipeline!$D$21*MIN(1,MAX(0,(21-Pipeline!$E$21+1)/MAX(Pipeline!$F$21,1)))+Pipeline!$T$22*Pipeline!$D$22*MIN(1,MAX(0,(21-Pipeline!$E$22+1)/MAX(Pipeline!$F$22,1))))/Hipótesis!$E$17</f>
        <v>6353.87721126186</v>
      </c>
      <c r="X17" s="139" t="n">
        <f aca="false">(Pipeline!$T$16*Pipeline!$D$16*MIN(1,MAX(0,(22-Pipeline!$E$16+1)/MAX(Pipeline!$F$16,1)))+Pipeline!$T$17*Pipeline!$D$17*MIN(1,MAX(0,(22-Pipeline!$E$17+1)/MAX(Pipeline!$F$17,1)))+Pipeline!$T$18*Pipeline!$D$18*MIN(1,MAX(0,(22-Pipeline!$E$18+1)/MAX(Pipeline!$F$18,1)))+Pipeline!$T$19*Pipeline!$D$19*MIN(1,MAX(0,(22-Pipeline!$E$19+1)/MAX(Pipeline!$F$19,1)))+Pipeline!$T$20*Pipeline!$D$20*MIN(1,MAX(0,(22-Pipeline!$E$20+1)/MAX(Pipeline!$F$20,1)))+Pipeline!$T$21*Pipeline!$D$21*MIN(1,MAX(0,(22-Pipeline!$E$21+1)/MAX(Pipeline!$F$21,1)))+Pipeline!$T$22*Pipeline!$D$22*MIN(1,MAX(0,(22-Pipeline!$E$22+1)/MAX(Pipeline!$F$22,1))))/Hipótesis!$E$17</f>
        <v>6450.43658973023</v>
      </c>
      <c r="Y17" s="139" t="n">
        <f aca="false">(Pipeline!$T$16*Pipeline!$D$16*MIN(1,MAX(0,(23-Pipeline!$E$16+1)/MAX(Pipeline!$F$16,1)))+Pipeline!$T$17*Pipeline!$D$17*MIN(1,MAX(0,(23-Pipeline!$E$17+1)/MAX(Pipeline!$F$17,1)))+Pipeline!$T$18*Pipeline!$D$18*MIN(1,MAX(0,(23-Pipeline!$E$18+1)/MAX(Pipeline!$F$18,1)))+Pipeline!$T$19*Pipeline!$D$19*MIN(1,MAX(0,(23-Pipeline!$E$19+1)/MAX(Pipeline!$F$19,1)))+Pipeline!$T$20*Pipeline!$D$20*MIN(1,MAX(0,(23-Pipeline!$E$20+1)/MAX(Pipeline!$F$20,1)))+Pipeline!$T$21*Pipeline!$D$21*MIN(1,MAX(0,(23-Pipeline!$E$21+1)/MAX(Pipeline!$F$21,1)))+Pipeline!$T$22*Pipeline!$D$22*MIN(1,MAX(0,(23-Pipeline!$E$22+1)/MAX(Pipeline!$F$22,1))))/Hipótesis!$E$17</f>
        <v>6546.9959681986</v>
      </c>
      <c r="Z17" s="139" t="n">
        <f aca="false">(Pipeline!$T$16*Pipeline!$D$16*MIN(1,MAX(0,(24-Pipeline!$E$16+1)/MAX(Pipeline!$F$16,1)))+Pipeline!$T$17*Pipeline!$D$17*MIN(1,MAX(0,(24-Pipeline!$E$17+1)/MAX(Pipeline!$F$17,1)))+Pipeline!$T$18*Pipeline!$D$18*MIN(1,MAX(0,(24-Pipeline!$E$18+1)/MAX(Pipeline!$F$18,1)))+Pipeline!$T$19*Pipeline!$D$19*MIN(1,MAX(0,(24-Pipeline!$E$19+1)/MAX(Pipeline!$F$19,1)))+Pipeline!$T$20*Pipeline!$D$20*MIN(1,MAX(0,(24-Pipeline!$E$20+1)/MAX(Pipeline!$F$20,1)))+Pipeline!$T$21*Pipeline!$D$21*MIN(1,MAX(0,(24-Pipeline!$E$21+1)/MAX(Pipeline!$F$21,1)))+Pipeline!$T$22*Pipeline!$D$22*MIN(1,MAX(0,(24-Pipeline!$E$22+1)/MAX(Pipeline!$F$22,1))))/Hipótesis!$E$17</f>
        <v>6546.9959681986</v>
      </c>
      <c r="AA17" s="139" t="n">
        <f aca="false">(Pipeline!$T$16*Pipeline!$D$16*MIN(1,MAX(0,(25-Pipeline!$E$16+1)/MAX(Pipeline!$F$16,1)))+Pipeline!$T$17*Pipeline!$D$17*MIN(1,MAX(0,(25-Pipeline!$E$17+1)/MAX(Pipeline!$F$17,1)))+Pipeline!$T$18*Pipeline!$D$18*MIN(1,MAX(0,(25-Pipeline!$E$18+1)/MAX(Pipeline!$F$18,1)))+Pipeline!$T$19*Pipeline!$D$19*MIN(1,MAX(0,(25-Pipeline!$E$19+1)/MAX(Pipeline!$F$19,1)))+Pipeline!$T$20*Pipeline!$D$20*MIN(1,MAX(0,(25-Pipeline!$E$20+1)/MAX(Pipeline!$F$20,1)))+Pipeline!$T$21*Pipeline!$D$21*MIN(1,MAX(0,(25-Pipeline!$E$21+1)/MAX(Pipeline!$F$21,1)))+Pipeline!$T$22*Pipeline!$D$22*MIN(1,MAX(0,(25-Pipeline!$E$22+1)/MAX(Pipeline!$F$22,1))))/Hipótesis!$E$17</f>
        <v>6546.9959681986</v>
      </c>
      <c r="AB17" s="139" t="n">
        <f aca="false">(Pipeline!$T$16*Pipeline!$D$16*MIN(1,MAX(0,(26-Pipeline!$E$16+1)/MAX(Pipeline!$F$16,1)))+Pipeline!$T$17*Pipeline!$D$17*MIN(1,MAX(0,(26-Pipeline!$E$17+1)/MAX(Pipeline!$F$17,1)))+Pipeline!$T$18*Pipeline!$D$18*MIN(1,MAX(0,(26-Pipeline!$E$18+1)/MAX(Pipeline!$F$18,1)))+Pipeline!$T$19*Pipeline!$D$19*MIN(1,MAX(0,(26-Pipeline!$E$19+1)/MAX(Pipeline!$F$19,1)))+Pipeline!$T$20*Pipeline!$D$20*MIN(1,MAX(0,(26-Pipeline!$E$20+1)/MAX(Pipeline!$F$20,1)))+Pipeline!$T$21*Pipeline!$D$21*MIN(1,MAX(0,(26-Pipeline!$E$21+1)/MAX(Pipeline!$F$21,1)))+Pipeline!$T$22*Pipeline!$D$22*MIN(1,MAX(0,(26-Pipeline!$E$22+1)/MAX(Pipeline!$F$22,1))))/Hipótesis!$E$17</f>
        <v>6546.9959681986</v>
      </c>
      <c r="AC17" s="139" t="n">
        <f aca="false">(Pipeline!$T$16*Pipeline!$D$16*MIN(1,MAX(0,(27-Pipeline!$E$16+1)/MAX(Pipeline!$F$16,1)))+Pipeline!$T$17*Pipeline!$D$17*MIN(1,MAX(0,(27-Pipeline!$E$17+1)/MAX(Pipeline!$F$17,1)))+Pipeline!$T$18*Pipeline!$D$18*MIN(1,MAX(0,(27-Pipeline!$E$18+1)/MAX(Pipeline!$F$18,1)))+Pipeline!$T$19*Pipeline!$D$19*MIN(1,MAX(0,(27-Pipeline!$E$19+1)/MAX(Pipeline!$F$19,1)))+Pipeline!$T$20*Pipeline!$D$20*MIN(1,MAX(0,(27-Pipeline!$E$20+1)/MAX(Pipeline!$F$20,1)))+Pipeline!$T$21*Pipeline!$D$21*MIN(1,MAX(0,(27-Pipeline!$E$21+1)/MAX(Pipeline!$F$21,1)))+Pipeline!$T$22*Pipeline!$D$22*MIN(1,MAX(0,(27-Pipeline!$E$22+1)/MAX(Pipeline!$F$22,1))))/Hipótesis!$E$17</f>
        <v>6546.9959681986</v>
      </c>
      <c r="AD17" s="139" t="n">
        <f aca="false">(Pipeline!$T$16*Pipeline!$D$16*MIN(1,MAX(0,(28-Pipeline!$E$16+1)/MAX(Pipeline!$F$16,1)))+Pipeline!$T$17*Pipeline!$D$17*MIN(1,MAX(0,(28-Pipeline!$E$17+1)/MAX(Pipeline!$F$17,1)))+Pipeline!$T$18*Pipeline!$D$18*MIN(1,MAX(0,(28-Pipeline!$E$18+1)/MAX(Pipeline!$F$18,1)))+Pipeline!$T$19*Pipeline!$D$19*MIN(1,MAX(0,(28-Pipeline!$E$19+1)/MAX(Pipeline!$F$19,1)))+Pipeline!$T$20*Pipeline!$D$20*MIN(1,MAX(0,(28-Pipeline!$E$20+1)/MAX(Pipeline!$F$20,1)))+Pipeline!$T$21*Pipeline!$D$21*MIN(1,MAX(0,(28-Pipeline!$E$21+1)/MAX(Pipeline!$F$21,1)))+Pipeline!$T$22*Pipeline!$D$22*MIN(1,MAX(0,(28-Pipeline!$E$22+1)/MAX(Pipeline!$F$22,1))))/Hipótesis!$E$17</f>
        <v>6546.9959681986</v>
      </c>
      <c r="AE17" s="139" t="n">
        <f aca="false">(Pipeline!$T$16*Pipeline!$D$16*MIN(1,MAX(0,(29-Pipeline!$E$16+1)/MAX(Pipeline!$F$16,1)))+Pipeline!$T$17*Pipeline!$D$17*MIN(1,MAX(0,(29-Pipeline!$E$17+1)/MAX(Pipeline!$F$17,1)))+Pipeline!$T$18*Pipeline!$D$18*MIN(1,MAX(0,(29-Pipeline!$E$18+1)/MAX(Pipeline!$F$18,1)))+Pipeline!$T$19*Pipeline!$D$19*MIN(1,MAX(0,(29-Pipeline!$E$19+1)/MAX(Pipeline!$F$19,1)))+Pipeline!$T$20*Pipeline!$D$20*MIN(1,MAX(0,(29-Pipeline!$E$20+1)/MAX(Pipeline!$F$20,1)))+Pipeline!$T$21*Pipeline!$D$21*MIN(1,MAX(0,(29-Pipeline!$E$21+1)/MAX(Pipeline!$F$21,1)))+Pipeline!$T$22*Pipeline!$D$22*MIN(1,MAX(0,(29-Pipeline!$E$22+1)/MAX(Pipeline!$F$22,1))))/Hipótesis!$E$17</f>
        <v>6546.9959681986</v>
      </c>
      <c r="AF17" s="139" t="n">
        <f aca="false">(Pipeline!$T$16*Pipeline!$D$16*MIN(1,MAX(0,(30-Pipeline!$E$16+1)/MAX(Pipeline!$F$16,1)))+Pipeline!$T$17*Pipeline!$D$17*MIN(1,MAX(0,(30-Pipeline!$E$17+1)/MAX(Pipeline!$F$17,1)))+Pipeline!$T$18*Pipeline!$D$18*MIN(1,MAX(0,(30-Pipeline!$E$18+1)/MAX(Pipeline!$F$18,1)))+Pipeline!$T$19*Pipeline!$D$19*MIN(1,MAX(0,(30-Pipeline!$E$19+1)/MAX(Pipeline!$F$19,1)))+Pipeline!$T$20*Pipeline!$D$20*MIN(1,MAX(0,(30-Pipeline!$E$20+1)/MAX(Pipeline!$F$20,1)))+Pipeline!$T$21*Pipeline!$D$21*MIN(1,MAX(0,(30-Pipeline!$E$21+1)/MAX(Pipeline!$F$21,1)))+Pipeline!$T$22*Pipeline!$D$22*MIN(1,MAX(0,(30-Pipeline!$E$22+1)/MAX(Pipeline!$F$22,1))))/Hipótesis!$E$17</f>
        <v>6546.9959681986</v>
      </c>
      <c r="AG17" s="139" t="n">
        <f aca="false">(Pipeline!$T$16*Pipeline!$D$16*MIN(1,MAX(0,(31-Pipeline!$E$16+1)/MAX(Pipeline!$F$16,1)))+Pipeline!$T$17*Pipeline!$D$17*MIN(1,MAX(0,(31-Pipeline!$E$17+1)/MAX(Pipeline!$F$17,1)))+Pipeline!$T$18*Pipeline!$D$18*MIN(1,MAX(0,(31-Pipeline!$E$18+1)/MAX(Pipeline!$F$18,1)))+Pipeline!$T$19*Pipeline!$D$19*MIN(1,MAX(0,(31-Pipeline!$E$19+1)/MAX(Pipeline!$F$19,1)))+Pipeline!$T$20*Pipeline!$D$20*MIN(1,MAX(0,(31-Pipeline!$E$20+1)/MAX(Pipeline!$F$20,1)))+Pipeline!$T$21*Pipeline!$D$21*MIN(1,MAX(0,(31-Pipeline!$E$21+1)/MAX(Pipeline!$F$21,1)))+Pipeline!$T$22*Pipeline!$D$22*MIN(1,MAX(0,(31-Pipeline!$E$22+1)/MAX(Pipeline!$F$22,1))))/Hipótesis!$E$17</f>
        <v>6546.9959681986</v>
      </c>
      <c r="AH17" s="139" t="n">
        <f aca="false">(Pipeline!$T$16*Pipeline!$D$16*MIN(1,MAX(0,(32-Pipeline!$E$16+1)/MAX(Pipeline!$F$16,1)))+Pipeline!$T$17*Pipeline!$D$17*MIN(1,MAX(0,(32-Pipeline!$E$17+1)/MAX(Pipeline!$F$17,1)))+Pipeline!$T$18*Pipeline!$D$18*MIN(1,MAX(0,(32-Pipeline!$E$18+1)/MAX(Pipeline!$F$18,1)))+Pipeline!$T$19*Pipeline!$D$19*MIN(1,MAX(0,(32-Pipeline!$E$19+1)/MAX(Pipeline!$F$19,1)))+Pipeline!$T$20*Pipeline!$D$20*MIN(1,MAX(0,(32-Pipeline!$E$20+1)/MAX(Pipeline!$F$20,1)))+Pipeline!$T$21*Pipeline!$D$21*MIN(1,MAX(0,(32-Pipeline!$E$21+1)/MAX(Pipeline!$F$21,1)))+Pipeline!$T$22*Pipeline!$D$22*MIN(1,MAX(0,(32-Pipeline!$E$22+1)/MAX(Pipeline!$F$22,1))))/Hipótesis!$E$17</f>
        <v>6546.9959681986</v>
      </c>
      <c r="AI17" s="139" t="n">
        <f aca="false">(Pipeline!$T$16*Pipeline!$D$16*MIN(1,MAX(0,(33-Pipeline!$E$16+1)/MAX(Pipeline!$F$16,1)))+Pipeline!$T$17*Pipeline!$D$17*MIN(1,MAX(0,(33-Pipeline!$E$17+1)/MAX(Pipeline!$F$17,1)))+Pipeline!$T$18*Pipeline!$D$18*MIN(1,MAX(0,(33-Pipeline!$E$18+1)/MAX(Pipeline!$F$18,1)))+Pipeline!$T$19*Pipeline!$D$19*MIN(1,MAX(0,(33-Pipeline!$E$19+1)/MAX(Pipeline!$F$19,1)))+Pipeline!$T$20*Pipeline!$D$20*MIN(1,MAX(0,(33-Pipeline!$E$20+1)/MAX(Pipeline!$F$20,1)))+Pipeline!$T$21*Pipeline!$D$21*MIN(1,MAX(0,(33-Pipeline!$E$21+1)/MAX(Pipeline!$F$21,1)))+Pipeline!$T$22*Pipeline!$D$22*MIN(1,MAX(0,(33-Pipeline!$E$22+1)/MAX(Pipeline!$F$22,1))))/Hipótesis!$E$17</f>
        <v>6546.9959681986</v>
      </c>
      <c r="AJ17" s="139" t="n">
        <f aca="false">(Pipeline!$T$16*Pipeline!$D$16*MIN(1,MAX(0,(34-Pipeline!$E$16+1)/MAX(Pipeline!$F$16,1)))+Pipeline!$T$17*Pipeline!$D$17*MIN(1,MAX(0,(34-Pipeline!$E$17+1)/MAX(Pipeline!$F$17,1)))+Pipeline!$T$18*Pipeline!$D$18*MIN(1,MAX(0,(34-Pipeline!$E$18+1)/MAX(Pipeline!$F$18,1)))+Pipeline!$T$19*Pipeline!$D$19*MIN(1,MAX(0,(34-Pipeline!$E$19+1)/MAX(Pipeline!$F$19,1)))+Pipeline!$T$20*Pipeline!$D$20*MIN(1,MAX(0,(34-Pipeline!$E$20+1)/MAX(Pipeline!$F$20,1)))+Pipeline!$T$21*Pipeline!$D$21*MIN(1,MAX(0,(34-Pipeline!$E$21+1)/MAX(Pipeline!$F$21,1)))+Pipeline!$T$22*Pipeline!$D$22*MIN(1,MAX(0,(34-Pipeline!$E$22+1)/MAX(Pipeline!$F$22,1))))/Hipótesis!$E$17</f>
        <v>6546.9959681986</v>
      </c>
      <c r="AK17" s="139" t="n">
        <f aca="false">(Pipeline!$T$16*Pipeline!$D$16*MIN(1,MAX(0,(35-Pipeline!$E$16+1)/MAX(Pipeline!$F$16,1)))+Pipeline!$T$17*Pipeline!$D$17*MIN(1,MAX(0,(35-Pipeline!$E$17+1)/MAX(Pipeline!$F$17,1)))+Pipeline!$T$18*Pipeline!$D$18*MIN(1,MAX(0,(35-Pipeline!$E$18+1)/MAX(Pipeline!$F$18,1)))+Pipeline!$T$19*Pipeline!$D$19*MIN(1,MAX(0,(35-Pipeline!$E$19+1)/MAX(Pipeline!$F$19,1)))+Pipeline!$T$20*Pipeline!$D$20*MIN(1,MAX(0,(35-Pipeline!$E$20+1)/MAX(Pipeline!$F$20,1)))+Pipeline!$T$21*Pipeline!$D$21*MIN(1,MAX(0,(35-Pipeline!$E$21+1)/MAX(Pipeline!$F$21,1)))+Pipeline!$T$22*Pipeline!$D$22*MIN(1,MAX(0,(35-Pipeline!$E$22+1)/MAX(Pipeline!$F$22,1))))/Hipótesis!$E$17</f>
        <v>6546.9959681986</v>
      </c>
      <c r="AL17" s="139" t="n">
        <f aca="false">(Pipeline!$T$16*Pipeline!$D$16*MIN(1,MAX(0,(36-Pipeline!$E$16+1)/MAX(Pipeline!$F$16,1)))+Pipeline!$T$17*Pipeline!$D$17*MIN(1,MAX(0,(36-Pipeline!$E$17+1)/MAX(Pipeline!$F$17,1)))+Pipeline!$T$18*Pipeline!$D$18*MIN(1,MAX(0,(36-Pipeline!$E$18+1)/MAX(Pipeline!$F$18,1)))+Pipeline!$T$19*Pipeline!$D$19*MIN(1,MAX(0,(36-Pipeline!$E$19+1)/MAX(Pipeline!$F$19,1)))+Pipeline!$T$20*Pipeline!$D$20*MIN(1,MAX(0,(36-Pipeline!$E$20+1)/MAX(Pipeline!$F$20,1)))+Pipeline!$T$21*Pipeline!$D$21*MIN(1,MAX(0,(36-Pipeline!$E$21+1)/MAX(Pipeline!$F$21,1)))+Pipeline!$T$22*Pipeline!$D$22*MIN(1,MAX(0,(36-Pipeline!$E$22+1)/MAX(Pipeline!$F$22,1))))/Hipótesis!$E$17</f>
        <v>6546.9959681986</v>
      </c>
      <c r="AM17" s="139" t="n">
        <f aca="false">(Pipeline!$T$16*Pipeline!$D$16*MIN(1,MAX(0,(37-Pipeline!$E$16+1)/MAX(Pipeline!$F$16,1)))+Pipeline!$T$17*Pipeline!$D$17*MIN(1,MAX(0,(37-Pipeline!$E$17+1)/MAX(Pipeline!$F$17,1)))+Pipeline!$T$18*Pipeline!$D$18*MIN(1,MAX(0,(37-Pipeline!$E$18+1)/MAX(Pipeline!$F$18,1)))+Pipeline!$T$19*Pipeline!$D$19*MIN(1,MAX(0,(37-Pipeline!$E$19+1)/MAX(Pipeline!$F$19,1)))+Pipeline!$T$20*Pipeline!$D$20*MIN(1,MAX(0,(37-Pipeline!$E$20+1)/MAX(Pipeline!$F$20,1)))+Pipeline!$T$21*Pipeline!$D$21*MIN(1,MAX(0,(37-Pipeline!$E$21+1)/MAX(Pipeline!$F$21,1)))+Pipeline!$T$22*Pipeline!$D$22*MIN(1,MAX(0,(37-Pipeline!$E$22+1)/MAX(Pipeline!$F$22,1))))/Hipótesis!$E$17</f>
        <v>6546.9959681986</v>
      </c>
      <c r="AN17" s="139" t="n">
        <f aca="false">(Pipeline!$T$16*Pipeline!$D$16*MIN(1,MAX(0,(38-Pipeline!$E$16+1)/MAX(Pipeline!$F$16,1)))+Pipeline!$T$17*Pipeline!$D$17*MIN(1,MAX(0,(38-Pipeline!$E$17+1)/MAX(Pipeline!$F$17,1)))+Pipeline!$T$18*Pipeline!$D$18*MIN(1,MAX(0,(38-Pipeline!$E$18+1)/MAX(Pipeline!$F$18,1)))+Pipeline!$T$19*Pipeline!$D$19*MIN(1,MAX(0,(38-Pipeline!$E$19+1)/MAX(Pipeline!$F$19,1)))+Pipeline!$T$20*Pipeline!$D$20*MIN(1,MAX(0,(38-Pipeline!$E$20+1)/MAX(Pipeline!$F$20,1)))+Pipeline!$T$21*Pipeline!$D$21*MIN(1,MAX(0,(38-Pipeline!$E$21+1)/MAX(Pipeline!$F$21,1)))+Pipeline!$T$22*Pipeline!$D$22*MIN(1,MAX(0,(38-Pipeline!$E$22+1)/MAX(Pipeline!$F$22,1))))/Hipótesis!$E$17</f>
        <v>6546.9959681986</v>
      </c>
      <c r="AO17" s="139" t="n">
        <f aca="false">(Pipeline!$T$16*Pipeline!$D$16*MIN(1,MAX(0,(39-Pipeline!$E$16+1)/MAX(Pipeline!$F$16,1)))+Pipeline!$T$17*Pipeline!$D$17*MIN(1,MAX(0,(39-Pipeline!$E$17+1)/MAX(Pipeline!$F$17,1)))+Pipeline!$T$18*Pipeline!$D$18*MIN(1,MAX(0,(39-Pipeline!$E$18+1)/MAX(Pipeline!$F$18,1)))+Pipeline!$T$19*Pipeline!$D$19*MIN(1,MAX(0,(39-Pipeline!$E$19+1)/MAX(Pipeline!$F$19,1)))+Pipeline!$T$20*Pipeline!$D$20*MIN(1,MAX(0,(39-Pipeline!$E$20+1)/MAX(Pipeline!$F$20,1)))+Pipeline!$T$21*Pipeline!$D$21*MIN(1,MAX(0,(39-Pipeline!$E$21+1)/MAX(Pipeline!$F$21,1)))+Pipeline!$T$22*Pipeline!$D$22*MIN(1,MAX(0,(39-Pipeline!$E$22+1)/MAX(Pipeline!$F$22,1))))/Hipótesis!$E$17</f>
        <v>6546.9959681986</v>
      </c>
      <c r="AP17" s="139" t="n">
        <f aca="false">(Pipeline!$T$16*Pipeline!$D$16*MIN(1,MAX(0,(40-Pipeline!$E$16+1)/MAX(Pipeline!$F$16,1)))+Pipeline!$T$17*Pipeline!$D$17*MIN(1,MAX(0,(40-Pipeline!$E$17+1)/MAX(Pipeline!$F$17,1)))+Pipeline!$T$18*Pipeline!$D$18*MIN(1,MAX(0,(40-Pipeline!$E$18+1)/MAX(Pipeline!$F$18,1)))+Pipeline!$T$19*Pipeline!$D$19*MIN(1,MAX(0,(40-Pipeline!$E$19+1)/MAX(Pipeline!$F$19,1)))+Pipeline!$T$20*Pipeline!$D$20*MIN(1,MAX(0,(40-Pipeline!$E$20+1)/MAX(Pipeline!$F$20,1)))+Pipeline!$T$21*Pipeline!$D$21*MIN(1,MAX(0,(40-Pipeline!$E$21+1)/MAX(Pipeline!$F$21,1)))+Pipeline!$T$22*Pipeline!$D$22*MIN(1,MAX(0,(40-Pipeline!$E$22+1)/MAX(Pipeline!$F$22,1))))/Hipótesis!$E$17</f>
        <v>6546.9959681986</v>
      </c>
      <c r="AQ17" s="139" t="n">
        <f aca="false">(Pipeline!$T$16*Pipeline!$D$16*MIN(1,MAX(0,(41-Pipeline!$E$16+1)/MAX(Pipeline!$F$16,1)))+Pipeline!$T$17*Pipeline!$D$17*MIN(1,MAX(0,(41-Pipeline!$E$17+1)/MAX(Pipeline!$F$17,1)))+Pipeline!$T$18*Pipeline!$D$18*MIN(1,MAX(0,(41-Pipeline!$E$18+1)/MAX(Pipeline!$F$18,1)))+Pipeline!$T$19*Pipeline!$D$19*MIN(1,MAX(0,(41-Pipeline!$E$19+1)/MAX(Pipeline!$F$19,1)))+Pipeline!$T$20*Pipeline!$D$20*MIN(1,MAX(0,(41-Pipeline!$E$20+1)/MAX(Pipeline!$F$20,1)))+Pipeline!$T$21*Pipeline!$D$21*MIN(1,MAX(0,(41-Pipeline!$E$21+1)/MAX(Pipeline!$F$21,1)))+Pipeline!$T$22*Pipeline!$D$22*MIN(1,MAX(0,(41-Pipeline!$E$22+1)/MAX(Pipeline!$F$22,1))))/Hipótesis!$E$17</f>
        <v>6546.9959681986</v>
      </c>
      <c r="AR17" s="139" t="n">
        <f aca="false">(Pipeline!$T$16*Pipeline!$D$16*MIN(1,MAX(0,(42-Pipeline!$E$16+1)/MAX(Pipeline!$F$16,1)))+Pipeline!$T$17*Pipeline!$D$17*MIN(1,MAX(0,(42-Pipeline!$E$17+1)/MAX(Pipeline!$F$17,1)))+Pipeline!$T$18*Pipeline!$D$18*MIN(1,MAX(0,(42-Pipeline!$E$18+1)/MAX(Pipeline!$F$18,1)))+Pipeline!$T$19*Pipeline!$D$19*MIN(1,MAX(0,(42-Pipeline!$E$19+1)/MAX(Pipeline!$F$19,1)))+Pipeline!$T$20*Pipeline!$D$20*MIN(1,MAX(0,(42-Pipeline!$E$20+1)/MAX(Pipeline!$F$20,1)))+Pipeline!$T$21*Pipeline!$D$21*MIN(1,MAX(0,(42-Pipeline!$E$21+1)/MAX(Pipeline!$F$21,1)))+Pipeline!$T$22*Pipeline!$D$22*MIN(1,MAX(0,(42-Pipeline!$E$22+1)/MAX(Pipeline!$F$22,1))))/Hipótesis!$E$17</f>
        <v>6546.9959681986</v>
      </c>
      <c r="AS17" s="139" t="n">
        <f aca="false">(Pipeline!$T$16*Pipeline!$D$16*MIN(1,MAX(0,(43-Pipeline!$E$16+1)/MAX(Pipeline!$F$16,1)))+Pipeline!$T$17*Pipeline!$D$17*MIN(1,MAX(0,(43-Pipeline!$E$17+1)/MAX(Pipeline!$F$17,1)))+Pipeline!$T$18*Pipeline!$D$18*MIN(1,MAX(0,(43-Pipeline!$E$18+1)/MAX(Pipeline!$F$18,1)))+Pipeline!$T$19*Pipeline!$D$19*MIN(1,MAX(0,(43-Pipeline!$E$19+1)/MAX(Pipeline!$F$19,1)))+Pipeline!$T$20*Pipeline!$D$20*MIN(1,MAX(0,(43-Pipeline!$E$20+1)/MAX(Pipeline!$F$20,1)))+Pipeline!$T$21*Pipeline!$D$21*MIN(1,MAX(0,(43-Pipeline!$E$21+1)/MAX(Pipeline!$F$21,1)))+Pipeline!$T$22*Pipeline!$D$22*MIN(1,MAX(0,(43-Pipeline!$E$22+1)/MAX(Pipeline!$F$22,1))))/Hipótesis!$E$17</f>
        <v>6546.9959681986</v>
      </c>
      <c r="AT17" s="139" t="n">
        <f aca="false">(Pipeline!$T$16*Pipeline!$D$16*MIN(1,MAX(0,(44-Pipeline!$E$16+1)/MAX(Pipeline!$F$16,1)))+Pipeline!$T$17*Pipeline!$D$17*MIN(1,MAX(0,(44-Pipeline!$E$17+1)/MAX(Pipeline!$F$17,1)))+Pipeline!$T$18*Pipeline!$D$18*MIN(1,MAX(0,(44-Pipeline!$E$18+1)/MAX(Pipeline!$F$18,1)))+Pipeline!$T$19*Pipeline!$D$19*MIN(1,MAX(0,(44-Pipeline!$E$19+1)/MAX(Pipeline!$F$19,1)))+Pipeline!$T$20*Pipeline!$D$20*MIN(1,MAX(0,(44-Pipeline!$E$20+1)/MAX(Pipeline!$F$20,1)))+Pipeline!$T$21*Pipeline!$D$21*MIN(1,MAX(0,(44-Pipeline!$E$21+1)/MAX(Pipeline!$F$21,1)))+Pipeline!$T$22*Pipeline!$D$22*MIN(1,MAX(0,(44-Pipeline!$E$22+1)/MAX(Pipeline!$F$22,1))))/Hipótesis!$E$17</f>
        <v>6546.9959681986</v>
      </c>
      <c r="AU17" s="139" t="n">
        <f aca="false">(Pipeline!$T$16*Pipeline!$D$16*MIN(1,MAX(0,(45-Pipeline!$E$16+1)/MAX(Pipeline!$F$16,1)))+Pipeline!$T$17*Pipeline!$D$17*MIN(1,MAX(0,(45-Pipeline!$E$17+1)/MAX(Pipeline!$F$17,1)))+Pipeline!$T$18*Pipeline!$D$18*MIN(1,MAX(0,(45-Pipeline!$E$18+1)/MAX(Pipeline!$F$18,1)))+Pipeline!$T$19*Pipeline!$D$19*MIN(1,MAX(0,(45-Pipeline!$E$19+1)/MAX(Pipeline!$F$19,1)))+Pipeline!$T$20*Pipeline!$D$20*MIN(1,MAX(0,(45-Pipeline!$E$20+1)/MAX(Pipeline!$F$20,1)))+Pipeline!$T$21*Pipeline!$D$21*MIN(1,MAX(0,(45-Pipeline!$E$21+1)/MAX(Pipeline!$F$21,1)))+Pipeline!$T$22*Pipeline!$D$22*MIN(1,MAX(0,(45-Pipeline!$E$22+1)/MAX(Pipeline!$F$22,1))))/Hipótesis!$E$17</f>
        <v>6546.9959681986</v>
      </c>
      <c r="AV17" s="139" t="n">
        <f aca="false">(Pipeline!$T$16*Pipeline!$D$16*MIN(1,MAX(0,(46-Pipeline!$E$16+1)/MAX(Pipeline!$F$16,1)))+Pipeline!$T$17*Pipeline!$D$17*MIN(1,MAX(0,(46-Pipeline!$E$17+1)/MAX(Pipeline!$F$17,1)))+Pipeline!$T$18*Pipeline!$D$18*MIN(1,MAX(0,(46-Pipeline!$E$18+1)/MAX(Pipeline!$F$18,1)))+Pipeline!$T$19*Pipeline!$D$19*MIN(1,MAX(0,(46-Pipeline!$E$19+1)/MAX(Pipeline!$F$19,1)))+Pipeline!$T$20*Pipeline!$D$20*MIN(1,MAX(0,(46-Pipeline!$E$20+1)/MAX(Pipeline!$F$20,1)))+Pipeline!$T$21*Pipeline!$D$21*MIN(1,MAX(0,(46-Pipeline!$E$21+1)/MAX(Pipeline!$F$21,1)))+Pipeline!$T$22*Pipeline!$D$22*MIN(1,MAX(0,(46-Pipeline!$E$22+1)/MAX(Pipeline!$F$22,1))))/Hipótesis!$E$17</f>
        <v>6546.9959681986</v>
      </c>
      <c r="AW17" s="139" t="n">
        <f aca="false">(Pipeline!$T$16*Pipeline!$D$16*MIN(1,MAX(0,(47-Pipeline!$E$16+1)/MAX(Pipeline!$F$16,1)))+Pipeline!$T$17*Pipeline!$D$17*MIN(1,MAX(0,(47-Pipeline!$E$17+1)/MAX(Pipeline!$F$17,1)))+Pipeline!$T$18*Pipeline!$D$18*MIN(1,MAX(0,(47-Pipeline!$E$18+1)/MAX(Pipeline!$F$18,1)))+Pipeline!$T$19*Pipeline!$D$19*MIN(1,MAX(0,(47-Pipeline!$E$19+1)/MAX(Pipeline!$F$19,1)))+Pipeline!$T$20*Pipeline!$D$20*MIN(1,MAX(0,(47-Pipeline!$E$20+1)/MAX(Pipeline!$F$20,1)))+Pipeline!$T$21*Pipeline!$D$21*MIN(1,MAX(0,(47-Pipeline!$E$21+1)/MAX(Pipeline!$F$21,1)))+Pipeline!$T$22*Pipeline!$D$22*MIN(1,MAX(0,(47-Pipeline!$E$22+1)/MAX(Pipeline!$F$22,1))))/Hipótesis!$E$17</f>
        <v>6546.9959681986</v>
      </c>
      <c r="AX17" s="139" t="n">
        <f aca="false">(Pipeline!$T$16*Pipeline!$D$16*MIN(1,MAX(0,(48-Pipeline!$E$16+1)/MAX(Pipeline!$F$16,1)))+Pipeline!$T$17*Pipeline!$D$17*MIN(1,MAX(0,(48-Pipeline!$E$17+1)/MAX(Pipeline!$F$17,1)))+Pipeline!$T$18*Pipeline!$D$18*MIN(1,MAX(0,(48-Pipeline!$E$18+1)/MAX(Pipeline!$F$18,1)))+Pipeline!$T$19*Pipeline!$D$19*MIN(1,MAX(0,(48-Pipeline!$E$19+1)/MAX(Pipeline!$F$19,1)))+Pipeline!$T$20*Pipeline!$D$20*MIN(1,MAX(0,(48-Pipeline!$E$20+1)/MAX(Pipeline!$F$20,1)))+Pipeline!$T$21*Pipeline!$D$21*MIN(1,MAX(0,(48-Pipeline!$E$21+1)/MAX(Pipeline!$F$21,1)))+Pipeline!$T$22*Pipeline!$D$22*MIN(1,MAX(0,(48-Pipeline!$E$22+1)/MAX(Pipeline!$F$22,1))))/Hipótesis!$E$17</f>
        <v>6546.9959681986</v>
      </c>
      <c r="AY17" s="139" t="n">
        <f aca="false">(Pipeline!$T$16*Pipeline!$D$16*MIN(1,MAX(0,(49-Pipeline!$E$16+1)/MAX(Pipeline!$F$16,1)))+Pipeline!$T$17*Pipeline!$D$17*MIN(1,MAX(0,(49-Pipeline!$E$17+1)/MAX(Pipeline!$F$17,1)))+Pipeline!$T$18*Pipeline!$D$18*MIN(1,MAX(0,(49-Pipeline!$E$18+1)/MAX(Pipeline!$F$18,1)))+Pipeline!$T$19*Pipeline!$D$19*MIN(1,MAX(0,(49-Pipeline!$E$19+1)/MAX(Pipeline!$F$19,1)))+Pipeline!$T$20*Pipeline!$D$20*MIN(1,MAX(0,(49-Pipeline!$E$20+1)/MAX(Pipeline!$F$20,1)))+Pipeline!$T$21*Pipeline!$D$21*MIN(1,MAX(0,(49-Pipeline!$E$21+1)/MAX(Pipeline!$F$21,1)))+Pipeline!$T$22*Pipeline!$D$22*MIN(1,MAX(0,(49-Pipeline!$E$22+1)/MAX(Pipeline!$F$22,1))))/Hipótesis!$E$17</f>
        <v>6546.9959681986</v>
      </c>
      <c r="AZ17" s="139" t="n">
        <f aca="false">(Pipeline!$T$16*Pipeline!$D$16*MIN(1,MAX(0,(50-Pipeline!$E$16+1)/MAX(Pipeline!$F$16,1)))+Pipeline!$T$17*Pipeline!$D$17*MIN(1,MAX(0,(50-Pipeline!$E$17+1)/MAX(Pipeline!$F$17,1)))+Pipeline!$T$18*Pipeline!$D$18*MIN(1,MAX(0,(50-Pipeline!$E$18+1)/MAX(Pipeline!$F$18,1)))+Pipeline!$T$19*Pipeline!$D$19*MIN(1,MAX(0,(50-Pipeline!$E$19+1)/MAX(Pipeline!$F$19,1)))+Pipeline!$T$20*Pipeline!$D$20*MIN(1,MAX(0,(50-Pipeline!$E$20+1)/MAX(Pipeline!$F$20,1)))+Pipeline!$T$21*Pipeline!$D$21*MIN(1,MAX(0,(50-Pipeline!$E$21+1)/MAX(Pipeline!$F$21,1)))+Pipeline!$T$22*Pipeline!$D$22*MIN(1,MAX(0,(50-Pipeline!$E$22+1)/MAX(Pipeline!$F$22,1))))/Hipótesis!$E$17</f>
        <v>6546.9959681986</v>
      </c>
      <c r="BA17" s="139" t="n">
        <f aca="false">(Pipeline!$T$16*Pipeline!$D$16*MIN(1,MAX(0,(51-Pipeline!$E$16+1)/MAX(Pipeline!$F$16,1)))+Pipeline!$T$17*Pipeline!$D$17*MIN(1,MAX(0,(51-Pipeline!$E$17+1)/MAX(Pipeline!$F$17,1)))+Pipeline!$T$18*Pipeline!$D$18*MIN(1,MAX(0,(51-Pipeline!$E$18+1)/MAX(Pipeline!$F$18,1)))+Pipeline!$T$19*Pipeline!$D$19*MIN(1,MAX(0,(51-Pipeline!$E$19+1)/MAX(Pipeline!$F$19,1)))+Pipeline!$T$20*Pipeline!$D$20*MIN(1,MAX(0,(51-Pipeline!$E$20+1)/MAX(Pipeline!$F$20,1)))+Pipeline!$T$21*Pipeline!$D$21*MIN(1,MAX(0,(51-Pipeline!$E$21+1)/MAX(Pipeline!$F$21,1)))+Pipeline!$T$22*Pipeline!$D$22*MIN(1,MAX(0,(51-Pipeline!$E$22+1)/MAX(Pipeline!$F$22,1))))/Hipótesis!$E$17</f>
        <v>6546.9959681986</v>
      </c>
      <c r="BB17" s="139" t="n">
        <f aca="false">(Pipeline!$T$16*Pipeline!$D$16*MIN(1,MAX(0,(52-Pipeline!$E$16+1)/MAX(Pipeline!$F$16,1)))+Pipeline!$T$17*Pipeline!$D$17*MIN(1,MAX(0,(52-Pipeline!$E$17+1)/MAX(Pipeline!$F$17,1)))+Pipeline!$T$18*Pipeline!$D$18*MIN(1,MAX(0,(52-Pipeline!$E$18+1)/MAX(Pipeline!$F$18,1)))+Pipeline!$T$19*Pipeline!$D$19*MIN(1,MAX(0,(52-Pipeline!$E$19+1)/MAX(Pipeline!$F$19,1)))+Pipeline!$T$20*Pipeline!$D$20*MIN(1,MAX(0,(52-Pipeline!$E$20+1)/MAX(Pipeline!$F$20,1)))+Pipeline!$T$21*Pipeline!$D$21*MIN(1,MAX(0,(52-Pipeline!$E$21+1)/MAX(Pipeline!$F$21,1)))+Pipeline!$T$22*Pipeline!$D$22*MIN(1,MAX(0,(52-Pipeline!$E$22+1)/MAX(Pipeline!$F$22,1))))/Hipótesis!$E$17</f>
        <v>6546.9959681986</v>
      </c>
      <c r="BC17" s="139" t="n">
        <f aca="false">(Pipeline!$T$16*Pipeline!$D$16*MIN(1,MAX(0,(53-Pipeline!$E$16+1)/MAX(Pipeline!$F$16,1)))+Pipeline!$T$17*Pipeline!$D$17*MIN(1,MAX(0,(53-Pipeline!$E$17+1)/MAX(Pipeline!$F$17,1)))+Pipeline!$T$18*Pipeline!$D$18*MIN(1,MAX(0,(53-Pipeline!$E$18+1)/MAX(Pipeline!$F$18,1)))+Pipeline!$T$19*Pipeline!$D$19*MIN(1,MAX(0,(53-Pipeline!$E$19+1)/MAX(Pipeline!$F$19,1)))+Pipeline!$T$20*Pipeline!$D$20*MIN(1,MAX(0,(53-Pipeline!$E$20+1)/MAX(Pipeline!$F$20,1)))+Pipeline!$T$21*Pipeline!$D$21*MIN(1,MAX(0,(53-Pipeline!$E$21+1)/MAX(Pipeline!$F$21,1)))+Pipeline!$T$22*Pipeline!$D$22*MIN(1,MAX(0,(53-Pipeline!$E$22+1)/MAX(Pipeline!$F$22,1))))/Hipótesis!$E$17</f>
        <v>6546.9959681986</v>
      </c>
      <c r="BD17" s="139" t="n">
        <f aca="false">(Pipeline!$T$16*Pipeline!$D$16*MIN(1,MAX(0,(54-Pipeline!$E$16+1)/MAX(Pipeline!$F$16,1)))+Pipeline!$T$17*Pipeline!$D$17*MIN(1,MAX(0,(54-Pipeline!$E$17+1)/MAX(Pipeline!$F$17,1)))+Pipeline!$T$18*Pipeline!$D$18*MIN(1,MAX(0,(54-Pipeline!$E$18+1)/MAX(Pipeline!$F$18,1)))+Pipeline!$T$19*Pipeline!$D$19*MIN(1,MAX(0,(54-Pipeline!$E$19+1)/MAX(Pipeline!$F$19,1)))+Pipeline!$T$20*Pipeline!$D$20*MIN(1,MAX(0,(54-Pipeline!$E$20+1)/MAX(Pipeline!$F$20,1)))+Pipeline!$T$21*Pipeline!$D$21*MIN(1,MAX(0,(54-Pipeline!$E$21+1)/MAX(Pipeline!$F$21,1)))+Pipeline!$T$22*Pipeline!$D$22*MIN(1,MAX(0,(54-Pipeline!$E$22+1)/MAX(Pipeline!$F$22,1))))/Hipótesis!$E$17</f>
        <v>6546.9959681986</v>
      </c>
      <c r="BE17" s="139" t="n">
        <f aca="false">(Pipeline!$T$16*Pipeline!$D$16*MIN(1,MAX(0,(55-Pipeline!$E$16+1)/MAX(Pipeline!$F$16,1)))+Pipeline!$T$17*Pipeline!$D$17*MIN(1,MAX(0,(55-Pipeline!$E$17+1)/MAX(Pipeline!$F$17,1)))+Pipeline!$T$18*Pipeline!$D$18*MIN(1,MAX(0,(55-Pipeline!$E$18+1)/MAX(Pipeline!$F$18,1)))+Pipeline!$T$19*Pipeline!$D$19*MIN(1,MAX(0,(55-Pipeline!$E$19+1)/MAX(Pipeline!$F$19,1)))+Pipeline!$T$20*Pipeline!$D$20*MIN(1,MAX(0,(55-Pipeline!$E$20+1)/MAX(Pipeline!$F$20,1)))+Pipeline!$T$21*Pipeline!$D$21*MIN(1,MAX(0,(55-Pipeline!$E$21+1)/MAX(Pipeline!$F$21,1)))+Pipeline!$T$22*Pipeline!$D$22*MIN(1,MAX(0,(55-Pipeline!$E$22+1)/MAX(Pipeline!$F$22,1))))/Hipótesis!$E$17</f>
        <v>6546.9959681986</v>
      </c>
      <c r="BF17" s="139" t="n">
        <f aca="false">(Pipeline!$T$16*Pipeline!$D$16*MIN(1,MAX(0,(56-Pipeline!$E$16+1)/MAX(Pipeline!$F$16,1)))+Pipeline!$T$17*Pipeline!$D$17*MIN(1,MAX(0,(56-Pipeline!$E$17+1)/MAX(Pipeline!$F$17,1)))+Pipeline!$T$18*Pipeline!$D$18*MIN(1,MAX(0,(56-Pipeline!$E$18+1)/MAX(Pipeline!$F$18,1)))+Pipeline!$T$19*Pipeline!$D$19*MIN(1,MAX(0,(56-Pipeline!$E$19+1)/MAX(Pipeline!$F$19,1)))+Pipeline!$T$20*Pipeline!$D$20*MIN(1,MAX(0,(56-Pipeline!$E$20+1)/MAX(Pipeline!$F$20,1)))+Pipeline!$T$21*Pipeline!$D$21*MIN(1,MAX(0,(56-Pipeline!$E$21+1)/MAX(Pipeline!$F$21,1)))+Pipeline!$T$22*Pipeline!$D$22*MIN(1,MAX(0,(56-Pipeline!$E$22+1)/MAX(Pipeline!$F$22,1))))/Hipótesis!$E$17</f>
        <v>6546.9959681986</v>
      </c>
      <c r="BG17" s="139" t="n">
        <f aca="false">(Pipeline!$T$16*Pipeline!$D$16*MIN(1,MAX(0,(57-Pipeline!$E$16+1)/MAX(Pipeline!$F$16,1)))+Pipeline!$T$17*Pipeline!$D$17*MIN(1,MAX(0,(57-Pipeline!$E$17+1)/MAX(Pipeline!$F$17,1)))+Pipeline!$T$18*Pipeline!$D$18*MIN(1,MAX(0,(57-Pipeline!$E$18+1)/MAX(Pipeline!$F$18,1)))+Pipeline!$T$19*Pipeline!$D$19*MIN(1,MAX(0,(57-Pipeline!$E$19+1)/MAX(Pipeline!$F$19,1)))+Pipeline!$T$20*Pipeline!$D$20*MIN(1,MAX(0,(57-Pipeline!$E$20+1)/MAX(Pipeline!$F$20,1)))+Pipeline!$T$21*Pipeline!$D$21*MIN(1,MAX(0,(57-Pipeline!$E$21+1)/MAX(Pipeline!$F$21,1)))+Pipeline!$T$22*Pipeline!$D$22*MIN(1,MAX(0,(57-Pipeline!$E$22+1)/MAX(Pipeline!$F$22,1))))/Hipótesis!$E$17</f>
        <v>6546.9959681986</v>
      </c>
      <c r="BH17" s="139" t="n">
        <f aca="false">(Pipeline!$T$16*Pipeline!$D$16*MIN(1,MAX(0,(58-Pipeline!$E$16+1)/MAX(Pipeline!$F$16,1)))+Pipeline!$T$17*Pipeline!$D$17*MIN(1,MAX(0,(58-Pipeline!$E$17+1)/MAX(Pipeline!$F$17,1)))+Pipeline!$T$18*Pipeline!$D$18*MIN(1,MAX(0,(58-Pipeline!$E$18+1)/MAX(Pipeline!$F$18,1)))+Pipeline!$T$19*Pipeline!$D$19*MIN(1,MAX(0,(58-Pipeline!$E$19+1)/MAX(Pipeline!$F$19,1)))+Pipeline!$T$20*Pipeline!$D$20*MIN(1,MAX(0,(58-Pipeline!$E$20+1)/MAX(Pipeline!$F$20,1)))+Pipeline!$T$21*Pipeline!$D$21*MIN(1,MAX(0,(58-Pipeline!$E$21+1)/MAX(Pipeline!$F$21,1)))+Pipeline!$T$22*Pipeline!$D$22*MIN(1,MAX(0,(58-Pipeline!$E$22+1)/MAX(Pipeline!$F$22,1))))/Hipótesis!$E$17</f>
        <v>6546.9959681986</v>
      </c>
      <c r="BI17" s="139" t="n">
        <f aca="false">(Pipeline!$T$16*Pipeline!$D$16*MIN(1,MAX(0,(59-Pipeline!$E$16+1)/MAX(Pipeline!$F$16,1)))+Pipeline!$T$17*Pipeline!$D$17*MIN(1,MAX(0,(59-Pipeline!$E$17+1)/MAX(Pipeline!$F$17,1)))+Pipeline!$T$18*Pipeline!$D$18*MIN(1,MAX(0,(59-Pipeline!$E$18+1)/MAX(Pipeline!$F$18,1)))+Pipeline!$T$19*Pipeline!$D$19*MIN(1,MAX(0,(59-Pipeline!$E$19+1)/MAX(Pipeline!$F$19,1)))+Pipeline!$T$20*Pipeline!$D$20*MIN(1,MAX(0,(59-Pipeline!$E$20+1)/MAX(Pipeline!$F$20,1)))+Pipeline!$T$21*Pipeline!$D$21*MIN(1,MAX(0,(59-Pipeline!$E$21+1)/MAX(Pipeline!$F$21,1)))+Pipeline!$T$22*Pipeline!$D$22*MIN(1,MAX(0,(59-Pipeline!$E$22+1)/MAX(Pipeline!$F$22,1))))/Hipótesis!$E$17</f>
        <v>6546.9959681986</v>
      </c>
      <c r="BJ17" s="139" t="n">
        <f aca="false">(Pipeline!$T$16*Pipeline!$D$16*MIN(1,MAX(0,(60-Pipeline!$E$16+1)/MAX(Pipeline!$F$16,1)))+Pipeline!$T$17*Pipeline!$D$17*MIN(1,MAX(0,(60-Pipeline!$E$17+1)/MAX(Pipeline!$F$17,1)))+Pipeline!$T$18*Pipeline!$D$18*MIN(1,MAX(0,(60-Pipeline!$E$18+1)/MAX(Pipeline!$F$18,1)))+Pipeline!$T$19*Pipeline!$D$19*MIN(1,MAX(0,(60-Pipeline!$E$19+1)/MAX(Pipeline!$F$19,1)))+Pipeline!$T$20*Pipeline!$D$20*MIN(1,MAX(0,(60-Pipeline!$E$20+1)/MAX(Pipeline!$F$20,1)))+Pipeline!$T$21*Pipeline!$D$21*MIN(1,MAX(0,(60-Pipeline!$E$21+1)/MAX(Pipeline!$F$21,1)))+Pipeline!$T$22*Pipeline!$D$22*MIN(1,MAX(0,(60-Pipeline!$E$22+1)/MAX(Pipeline!$F$22,1))))/Hipótesis!$E$17</f>
        <v>6546.9959681986</v>
      </c>
      <c r="BK17" s="139" t="n">
        <f aca="false">(Pipeline!$T$16*Pipeline!$D$16*MIN(1,MAX(0,(61-Pipeline!$E$16+1)/MAX(Pipeline!$F$16,1)))+Pipeline!$T$17*Pipeline!$D$17*MIN(1,MAX(0,(61-Pipeline!$E$17+1)/MAX(Pipeline!$F$17,1)))+Pipeline!$T$18*Pipeline!$D$18*MIN(1,MAX(0,(61-Pipeline!$E$18+1)/MAX(Pipeline!$F$18,1)))+Pipeline!$T$19*Pipeline!$D$19*MIN(1,MAX(0,(61-Pipeline!$E$19+1)/MAX(Pipeline!$F$19,1)))+Pipeline!$T$20*Pipeline!$D$20*MIN(1,MAX(0,(61-Pipeline!$E$20+1)/MAX(Pipeline!$F$20,1)))+Pipeline!$T$21*Pipeline!$D$21*MIN(1,MAX(0,(61-Pipeline!$E$21+1)/MAX(Pipeline!$F$21,1)))+Pipeline!$T$22*Pipeline!$D$22*MIN(1,MAX(0,(61-Pipeline!$E$22+1)/MAX(Pipeline!$F$22,1))))/Hipótesis!$E$17</f>
        <v>6546.9959681986</v>
      </c>
      <c r="BL17" s="139" t="n">
        <f aca="false">(Pipeline!$T$16*Pipeline!$D$16*MIN(1,MAX(0,(62-Pipeline!$E$16+1)/MAX(Pipeline!$F$16,1)))+Pipeline!$T$17*Pipeline!$D$17*MIN(1,MAX(0,(62-Pipeline!$E$17+1)/MAX(Pipeline!$F$17,1)))+Pipeline!$T$18*Pipeline!$D$18*MIN(1,MAX(0,(62-Pipeline!$E$18+1)/MAX(Pipeline!$F$18,1)))+Pipeline!$T$19*Pipeline!$D$19*MIN(1,MAX(0,(62-Pipeline!$E$19+1)/MAX(Pipeline!$F$19,1)))+Pipeline!$T$20*Pipeline!$D$20*MIN(1,MAX(0,(62-Pipeline!$E$20+1)/MAX(Pipeline!$F$20,1)))+Pipeline!$T$21*Pipeline!$D$21*MIN(1,MAX(0,(62-Pipeline!$E$21+1)/MAX(Pipeline!$F$21,1)))+Pipeline!$T$22*Pipeline!$D$22*MIN(1,MAX(0,(62-Pipeline!$E$22+1)/MAX(Pipeline!$F$22,1))))/Hipótesis!$E$17</f>
        <v>6546.9959681986</v>
      </c>
      <c r="BM17" s="139" t="n">
        <f aca="false">(Pipeline!$T$16*Pipeline!$D$16*MIN(1,MAX(0,(63-Pipeline!$E$16+1)/MAX(Pipeline!$F$16,1)))+Pipeline!$T$17*Pipeline!$D$17*MIN(1,MAX(0,(63-Pipeline!$E$17+1)/MAX(Pipeline!$F$17,1)))+Pipeline!$T$18*Pipeline!$D$18*MIN(1,MAX(0,(63-Pipeline!$E$18+1)/MAX(Pipeline!$F$18,1)))+Pipeline!$T$19*Pipeline!$D$19*MIN(1,MAX(0,(63-Pipeline!$E$19+1)/MAX(Pipeline!$F$19,1)))+Pipeline!$T$20*Pipeline!$D$20*MIN(1,MAX(0,(63-Pipeline!$E$20+1)/MAX(Pipeline!$F$20,1)))+Pipeline!$T$21*Pipeline!$D$21*MIN(1,MAX(0,(63-Pipeline!$E$21+1)/MAX(Pipeline!$F$21,1)))+Pipeline!$T$22*Pipeline!$D$22*MIN(1,MAX(0,(63-Pipeline!$E$22+1)/MAX(Pipeline!$F$22,1))))/Hipótesis!$E$17</f>
        <v>6546.9959681986</v>
      </c>
      <c r="BN17" s="139" t="n">
        <f aca="false">(Pipeline!$T$16*Pipeline!$D$16*MIN(1,MAX(0,(64-Pipeline!$E$16+1)/MAX(Pipeline!$F$16,1)))+Pipeline!$T$17*Pipeline!$D$17*MIN(1,MAX(0,(64-Pipeline!$E$17+1)/MAX(Pipeline!$F$17,1)))+Pipeline!$T$18*Pipeline!$D$18*MIN(1,MAX(0,(64-Pipeline!$E$18+1)/MAX(Pipeline!$F$18,1)))+Pipeline!$T$19*Pipeline!$D$19*MIN(1,MAX(0,(64-Pipeline!$E$19+1)/MAX(Pipeline!$F$19,1)))+Pipeline!$T$20*Pipeline!$D$20*MIN(1,MAX(0,(64-Pipeline!$E$20+1)/MAX(Pipeline!$F$20,1)))+Pipeline!$T$21*Pipeline!$D$21*MIN(1,MAX(0,(64-Pipeline!$E$21+1)/MAX(Pipeline!$F$21,1)))+Pipeline!$T$22*Pipeline!$D$22*MIN(1,MAX(0,(64-Pipeline!$E$22+1)/MAX(Pipeline!$F$22,1))))/Hipótesis!$E$17</f>
        <v>6546.9959681986</v>
      </c>
      <c r="BO17" s="139" t="n">
        <f aca="false">(Pipeline!$T$16*Pipeline!$D$16*MIN(1,MAX(0,(65-Pipeline!$E$16+1)/MAX(Pipeline!$F$16,1)))+Pipeline!$T$17*Pipeline!$D$17*MIN(1,MAX(0,(65-Pipeline!$E$17+1)/MAX(Pipeline!$F$17,1)))+Pipeline!$T$18*Pipeline!$D$18*MIN(1,MAX(0,(65-Pipeline!$E$18+1)/MAX(Pipeline!$F$18,1)))+Pipeline!$T$19*Pipeline!$D$19*MIN(1,MAX(0,(65-Pipeline!$E$19+1)/MAX(Pipeline!$F$19,1)))+Pipeline!$T$20*Pipeline!$D$20*MIN(1,MAX(0,(65-Pipeline!$E$20+1)/MAX(Pipeline!$F$20,1)))+Pipeline!$T$21*Pipeline!$D$21*MIN(1,MAX(0,(65-Pipeline!$E$21+1)/MAX(Pipeline!$F$21,1)))+Pipeline!$T$22*Pipeline!$D$22*MIN(1,MAX(0,(65-Pipeline!$E$22+1)/MAX(Pipeline!$F$22,1))))/Hipótesis!$E$17</f>
        <v>6546.9959681986</v>
      </c>
      <c r="BP17" s="139" t="n">
        <f aca="false">(Pipeline!$T$16*Pipeline!$D$16*MIN(1,MAX(0,(66-Pipeline!$E$16+1)/MAX(Pipeline!$F$16,1)))+Pipeline!$T$17*Pipeline!$D$17*MIN(1,MAX(0,(66-Pipeline!$E$17+1)/MAX(Pipeline!$F$17,1)))+Pipeline!$T$18*Pipeline!$D$18*MIN(1,MAX(0,(66-Pipeline!$E$18+1)/MAX(Pipeline!$F$18,1)))+Pipeline!$T$19*Pipeline!$D$19*MIN(1,MAX(0,(66-Pipeline!$E$19+1)/MAX(Pipeline!$F$19,1)))+Pipeline!$T$20*Pipeline!$D$20*MIN(1,MAX(0,(66-Pipeline!$E$20+1)/MAX(Pipeline!$F$20,1)))+Pipeline!$T$21*Pipeline!$D$21*MIN(1,MAX(0,(66-Pipeline!$E$21+1)/MAX(Pipeline!$F$21,1)))+Pipeline!$T$22*Pipeline!$D$22*MIN(1,MAX(0,(66-Pipeline!$E$22+1)/MAX(Pipeline!$F$22,1))))/Hipótesis!$E$17</f>
        <v>6546.9959681986</v>
      </c>
      <c r="BQ17" s="139" t="n">
        <f aca="false">(Pipeline!$T$16*Pipeline!$D$16*MIN(1,MAX(0,(67-Pipeline!$E$16+1)/MAX(Pipeline!$F$16,1)))+Pipeline!$T$17*Pipeline!$D$17*MIN(1,MAX(0,(67-Pipeline!$E$17+1)/MAX(Pipeline!$F$17,1)))+Pipeline!$T$18*Pipeline!$D$18*MIN(1,MAX(0,(67-Pipeline!$E$18+1)/MAX(Pipeline!$F$18,1)))+Pipeline!$T$19*Pipeline!$D$19*MIN(1,MAX(0,(67-Pipeline!$E$19+1)/MAX(Pipeline!$F$19,1)))+Pipeline!$T$20*Pipeline!$D$20*MIN(1,MAX(0,(67-Pipeline!$E$20+1)/MAX(Pipeline!$F$20,1)))+Pipeline!$T$21*Pipeline!$D$21*MIN(1,MAX(0,(67-Pipeline!$E$21+1)/MAX(Pipeline!$F$21,1)))+Pipeline!$T$22*Pipeline!$D$22*MIN(1,MAX(0,(67-Pipeline!$E$22+1)/MAX(Pipeline!$F$22,1))))/Hipótesis!$E$17</f>
        <v>6546.9959681986</v>
      </c>
      <c r="BR17" s="139" t="n">
        <f aca="false">(Pipeline!$T$16*Pipeline!$D$16*MIN(1,MAX(0,(68-Pipeline!$E$16+1)/MAX(Pipeline!$F$16,1)))+Pipeline!$T$17*Pipeline!$D$17*MIN(1,MAX(0,(68-Pipeline!$E$17+1)/MAX(Pipeline!$F$17,1)))+Pipeline!$T$18*Pipeline!$D$18*MIN(1,MAX(0,(68-Pipeline!$E$18+1)/MAX(Pipeline!$F$18,1)))+Pipeline!$T$19*Pipeline!$D$19*MIN(1,MAX(0,(68-Pipeline!$E$19+1)/MAX(Pipeline!$F$19,1)))+Pipeline!$T$20*Pipeline!$D$20*MIN(1,MAX(0,(68-Pipeline!$E$20+1)/MAX(Pipeline!$F$20,1)))+Pipeline!$T$21*Pipeline!$D$21*MIN(1,MAX(0,(68-Pipeline!$E$21+1)/MAX(Pipeline!$F$21,1)))+Pipeline!$T$22*Pipeline!$D$22*MIN(1,MAX(0,(68-Pipeline!$E$22+1)/MAX(Pipeline!$F$22,1))))/Hipótesis!$E$17</f>
        <v>6546.9959681986</v>
      </c>
      <c r="BS17" s="139" t="n">
        <f aca="false">(Pipeline!$T$16*Pipeline!$D$16*MIN(1,MAX(0,(69-Pipeline!$E$16+1)/MAX(Pipeline!$F$16,1)))+Pipeline!$T$17*Pipeline!$D$17*MIN(1,MAX(0,(69-Pipeline!$E$17+1)/MAX(Pipeline!$F$17,1)))+Pipeline!$T$18*Pipeline!$D$18*MIN(1,MAX(0,(69-Pipeline!$E$18+1)/MAX(Pipeline!$F$18,1)))+Pipeline!$T$19*Pipeline!$D$19*MIN(1,MAX(0,(69-Pipeline!$E$19+1)/MAX(Pipeline!$F$19,1)))+Pipeline!$T$20*Pipeline!$D$20*MIN(1,MAX(0,(69-Pipeline!$E$20+1)/MAX(Pipeline!$F$20,1)))+Pipeline!$T$21*Pipeline!$D$21*MIN(1,MAX(0,(69-Pipeline!$E$21+1)/MAX(Pipeline!$F$21,1)))+Pipeline!$T$22*Pipeline!$D$22*MIN(1,MAX(0,(69-Pipeline!$E$22+1)/MAX(Pipeline!$F$22,1))))/Hipótesis!$E$17</f>
        <v>6546.9959681986</v>
      </c>
      <c r="BT17" s="139" t="n">
        <f aca="false">(Pipeline!$T$16*Pipeline!$D$16*MIN(1,MAX(0,(70-Pipeline!$E$16+1)/MAX(Pipeline!$F$16,1)))+Pipeline!$T$17*Pipeline!$D$17*MIN(1,MAX(0,(70-Pipeline!$E$17+1)/MAX(Pipeline!$F$17,1)))+Pipeline!$T$18*Pipeline!$D$18*MIN(1,MAX(0,(70-Pipeline!$E$18+1)/MAX(Pipeline!$F$18,1)))+Pipeline!$T$19*Pipeline!$D$19*MIN(1,MAX(0,(70-Pipeline!$E$19+1)/MAX(Pipeline!$F$19,1)))+Pipeline!$T$20*Pipeline!$D$20*MIN(1,MAX(0,(70-Pipeline!$E$20+1)/MAX(Pipeline!$F$20,1)))+Pipeline!$T$21*Pipeline!$D$21*MIN(1,MAX(0,(70-Pipeline!$E$21+1)/MAX(Pipeline!$F$21,1)))+Pipeline!$T$22*Pipeline!$D$22*MIN(1,MAX(0,(70-Pipeline!$E$22+1)/MAX(Pipeline!$F$22,1))))/Hipótesis!$E$17</f>
        <v>6546.9959681986</v>
      </c>
      <c r="BU17" s="139" t="n">
        <f aca="false">(Pipeline!$T$16*Pipeline!$D$16*MIN(1,MAX(0,(71-Pipeline!$E$16+1)/MAX(Pipeline!$F$16,1)))+Pipeline!$T$17*Pipeline!$D$17*MIN(1,MAX(0,(71-Pipeline!$E$17+1)/MAX(Pipeline!$F$17,1)))+Pipeline!$T$18*Pipeline!$D$18*MIN(1,MAX(0,(71-Pipeline!$E$18+1)/MAX(Pipeline!$F$18,1)))+Pipeline!$T$19*Pipeline!$D$19*MIN(1,MAX(0,(71-Pipeline!$E$19+1)/MAX(Pipeline!$F$19,1)))+Pipeline!$T$20*Pipeline!$D$20*MIN(1,MAX(0,(71-Pipeline!$E$20+1)/MAX(Pipeline!$F$20,1)))+Pipeline!$T$21*Pipeline!$D$21*MIN(1,MAX(0,(71-Pipeline!$E$21+1)/MAX(Pipeline!$F$21,1)))+Pipeline!$T$22*Pipeline!$D$22*MIN(1,MAX(0,(71-Pipeline!$E$22+1)/MAX(Pipeline!$F$22,1))))/Hipótesis!$E$17</f>
        <v>6546.9959681986</v>
      </c>
      <c r="BV17" s="139" t="n">
        <f aca="false">(Pipeline!$T$16*Pipeline!$D$16*MIN(1,MAX(0,(72-Pipeline!$E$16+1)/MAX(Pipeline!$F$16,1)))+Pipeline!$T$17*Pipeline!$D$17*MIN(1,MAX(0,(72-Pipeline!$E$17+1)/MAX(Pipeline!$F$17,1)))+Pipeline!$T$18*Pipeline!$D$18*MIN(1,MAX(0,(72-Pipeline!$E$18+1)/MAX(Pipeline!$F$18,1)))+Pipeline!$T$19*Pipeline!$D$19*MIN(1,MAX(0,(72-Pipeline!$E$19+1)/MAX(Pipeline!$F$19,1)))+Pipeline!$T$20*Pipeline!$D$20*MIN(1,MAX(0,(72-Pipeline!$E$20+1)/MAX(Pipeline!$F$20,1)))+Pipeline!$T$21*Pipeline!$D$21*MIN(1,MAX(0,(72-Pipeline!$E$21+1)/MAX(Pipeline!$F$21,1)))+Pipeline!$T$22*Pipeline!$D$22*MIN(1,MAX(0,(72-Pipeline!$E$22+1)/MAX(Pipeline!$F$22,1))))/Hipótesis!$E$17</f>
        <v>6546.9959681986</v>
      </c>
      <c r="BW17" s="139" t="n">
        <f aca="false">(Pipeline!$T$16*Pipeline!$D$16*MIN(1,MAX(0,(73-Pipeline!$E$16+1)/MAX(Pipeline!$F$16,1)))+Pipeline!$T$17*Pipeline!$D$17*MIN(1,MAX(0,(73-Pipeline!$E$17+1)/MAX(Pipeline!$F$17,1)))+Pipeline!$T$18*Pipeline!$D$18*MIN(1,MAX(0,(73-Pipeline!$E$18+1)/MAX(Pipeline!$F$18,1)))+Pipeline!$T$19*Pipeline!$D$19*MIN(1,MAX(0,(73-Pipeline!$E$19+1)/MAX(Pipeline!$F$19,1)))+Pipeline!$T$20*Pipeline!$D$20*MIN(1,MAX(0,(73-Pipeline!$E$20+1)/MAX(Pipeline!$F$20,1)))+Pipeline!$T$21*Pipeline!$D$21*MIN(1,MAX(0,(73-Pipeline!$E$21+1)/MAX(Pipeline!$F$21,1)))+Pipeline!$T$22*Pipeline!$D$22*MIN(1,MAX(0,(73-Pipeline!$E$22+1)/MAX(Pipeline!$F$22,1))))/Hipótesis!$E$17</f>
        <v>6546.9959681986</v>
      </c>
      <c r="BX17" s="139" t="n">
        <f aca="false">(Pipeline!$T$16*Pipeline!$D$16*MIN(1,MAX(0,(74-Pipeline!$E$16+1)/MAX(Pipeline!$F$16,1)))+Pipeline!$T$17*Pipeline!$D$17*MIN(1,MAX(0,(74-Pipeline!$E$17+1)/MAX(Pipeline!$F$17,1)))+Pipeline!$T$18*Pipeline!$D$18*MIN(1,MAX(0,(74-Pipeline!$E$18+1)/MAX(Pipeline!$F$18,1)))+Pipeline!$T$19*Pipeline!$D$19*MIN(1,MAX(0,(74-Pipeline!$E$19+1)/MAX(Pipeline!$F$19,1)))+Pipeline!$T$20*Pipeline!$D$20*MIN(1,MAX(0,(74-Pipeline!$E$20+1)/MAX(Pipeline!$F$20,1)))+Pipeline!$T$21*Pipeline!$D$21*MIN(1,MAX(0,(74-Pipeline!$E$21+1)/MAX(Pipeline!$F$21,1)))+Pipeline!$T$22*Pipeline!$D$22*MIN(1,MAX(0,(74-Pipeline!$E$22+1)/MAX(Pipeline!$F$22,1))))/Hipótesis!$E$17</f>
        <v>6546.9959681986</v>
      </c>
      <c r="BY17" s="139" t="n">
        <f aca="false">(Pipeline!$T$16*Pipeline!$D$16*MIN(1,MAX(0,(75-Pipeline!$E$16+1)/MAX(Pipeline!$F$16,1)))+Pipeline!$T$17*Pipeline!$D$17*MIN(1,MAX(0,(75-Pipeline!$E$17+1)/MAX(Pipeline!$F$17,1)))+Pipeline!$T$18*Pipeline!$D$18*MIN(1,MAX(0,(75-Pipeline!$E$18+1)/MAX(Pipeline!$F$18,1)))+Pipeline!$T$19*Pipeline!$D$19*MIN(1,MAX(0,(75-Pipeline!$E$19+1)/MAX(Pipeline!$F$19,1)))+Pipeline!$T$20*Pipeline!$D$20*MIN(1,MAX(0,(75-Pipeline!$E$20+1)/MAX(Pipeline!$F$20,1)))+Pipeline!$T$21*Pipeline!$D$21*MIN(1,MAX(0,(75-Pipeline!$E$21+1)/MAX(Pipeline!$F$21,1)))+Pipeline!$T$22*Pipeline!$D$22*MIN(1,MAX(0,(75-Pipeline!$E$22+1)/MAX(Pipeline!$F$22,1))))/Hipótesis!$E$17</f>
        <v>6546.9959681986</v>
      </c>
      <c r="BZ17" s="139" t="n">
        <f aca="false">(Pipeline!$T$16*Pipeline!$D$16*MIN(1,MAX(0,(76-Pipeline!$E$16+1)/MAX(Pipeline!$F$16,1)))+Pipeline!$T$17*Pipeline!$D$17*MIN(1,MAX(0,(76-Pipeline!$E$17+1)/MAX(Pipeline!$F$17,1)))+Pipeline!$T$18*Pipeline!$D$18*MIN(1,MAX(0,(76-Pipeline!$E$18+1)/MAX(Pipeline!$F$18,1)))+Pipeline!$T$19*Pipeline!$D$19*MIN(1,MAX(0,(76-Pipeline!$E$19+1)/MAX(Pipeline!$F$19,1)))+Pipeline!$T$20*Pipeline!$D$20*MIN(1,MAX(0,(76-Pipeline!$E$20+1)/MAX(Pipeline!$F$20,1)))+Pipeline!$T$21*Pipeline!$D$21*MIN(1,MAX(0,(76-Pipeline!$E$21+1)/MAX(Pipeline!$F$21,1)))+Pipeline!$T$22*Pipeline!$D$22*MIN(1,MAX(0,(76-Pipeline!$E$22+1)/MAX(Pipeline!$F$22,1))))/Hipótesis!$E$17</f>
        <v>6546.9959681986</v>
      </c>
      <c r="CA17" s="139" t="n">
        <f aca="false">(Pipeline!$T$16*Pipeline!$D$16*MIN(1,MAX(0,(77-Pipeline!$E$16+1)/MAX(Pipeline!$F$16,1)))+Pipeline!$T$17*Pipeline!$D$17*MIN(1,MAX(0,(77-Pipeline!$E$17+1)/MAX(Pipeline!$F$17,1)))+Pipeline!$T$18*Pipeline!$D$18*MIN(1,MAX(0,(77-Pipeline!$E$18+1)/MAX(Pipeline!$F$18,1)))+Pipeline!$T$19*Pipeline!$D$19*MIN(1,MAX(0,(77-Pipeline!$E$19+1)/MAX(Pipeline!$F$19,1)))+Pipeline!$T$20*Pipeline!$D$20*MIN(1,MAX(0,(77-Pipeline!$E$20+1)/MAX(Pipeline!$F$20,1)))+Pipeline!$T$21*Pipeline!$D$21*MIN(1,MAX(0,(77-Pipeline!$E$21+1)/MAX(Pipeline!$F$21,1)))+Pipeline!$T$22*Pipeline!$D$22*MIN(1,MAX(0,(77-Pipeline!$E$22+1)/MAX(Pipeline!$F$22,1))))/Hipótesis!$E$17</f>
        <v>6546.9959681986</v>
      </c>
      <c r="CB17" s="139" t="n">
        <f aca="false">(Pipeline!$T$16*Pipeline!$D$16*MIN(1,MAX(0,(78-Pipeline!$E$16+1)/MAX(Pipeline!$F$16,1)))+Pipeline!$T$17*Pipeline!$D$17*MIN(1,MAX(0,(78-Pipeline!$E$17+1)/MAX(Pipeline!$F$17,1)))+Pipeline!$T$18*Pipeline!$D$18*MIN(1,MAX(0,(78-Pipeline!$E$18+1)/MAX(Pipeline!$F$18,1)))+Pipeline!$T$19*Pipeline!$D$19*MIN(1,MAX(0,(78-Pipeline!$E$19+1)/MAX(Pipeline!$F$19,1)))+Pipeline!$T$20*Pipeline!$D$20*MIN(1,MAX(0,(78-Pipeline!$E$20+1)/MAX(Pipeline!$F$20,1)))+Pipeline!$T$21*Pipeline!$D$21*MIN(1,MAX(0,(78-Pipeline!$E$21+1)/MAX(Pipeline!$F$21,1)))+Pipeline!$T$22*Pipeline!$D$22*MIN(1,MAX(0,(78-Pipeline!$E$22+1)/MAX(Pipeline!$F$22,1))))/Hipótesis!$E$17</f>
        <v>6546.9959681986</v>
      </c>
      <c r="CC17" s="139" t="n">
        <f aca="false">(Pipeline!$T$16*Pipeline!$D$16*MIN(1,MAX(0,(79-Pipeline!$E$16+1)/MAX(Pipeline!$F$16,1)))+Pipeline!$T$17*Pipeline!$D$17*MIN(1,MAX(0,(79-Pipeline!$E$17+1)/MAX(Pipeline!$F$17,1)))+Pipeline!$T$18*Pipeline!$D$18*MIN(1,MAX(0,(79-Pipeline!$E$18+1)/MAX(Pipeline!$F$18,1)))+Pipeline!$T$19*Pipeline!$D$19*MIN(1,MAX(0,(79-Pipeline!$E$19+1)/MAX(Pipeline!$F$19,1)))+Pipeline!$T$20*Pipeline!$D$20*MIN(1,MAX(0,(79-Pipeline!$E$20+1)/MAX(Pipeline!$F$20,1)))+Pipeline!$T$21*Pipeline!$D$21*MIN(1,MAX(0,(79-Pipeline!$E$21+1)/MAX(Pipeline!$F$21,1)))+Pipeline!$T$22*Pipeline!$D$22*MIN(1,MAX(0,(79-Pipeline!$E$22+1)/MAX(Pipeline!$F$22,1))))/Hipótesis!$E$17</f>
        <v>6546.9959681986</v>
      </c>
      <c r="CD17" s="139" t="n">
        <f aca="false">(Pipeline!$T$16*Pipeline!$D$16*MIN(1,MAX(0,(80-Pipeline!$E$16+1)/MAX(Pipeline!$F$16,1)))+Pipeline!$T$17*Pipeline!$D$17*MIN(1,MAX(0,(80-Pipeline!$E$17+1)/MAX(Pipeline!$F$17,1)))+Pipeline!$T$18*Pipeline!$D$18*MIN(1,MAX(0,(80-Pipeline!$E$18+1)/MAX(Pipeline!$F$18,1)))+Pipeline!$T$19*Pipeline!$D$19*MIN(1,MAX(0,(80-Pipeline!$E$19+1)/MAX(Pipeline!$F$19,1)))+Pipeline!$T$20*Pipeline!$D$20*MIN(1,MAX(0,(80-Pipeline!$E$20+1)/MAX(Pipeline!$F$20,1)))+Pipeline!$T$21*Pipeline!$D$21*MIN(1,MAX(0,(80-Pipeline!$E$21+1)/MAX(Pipeline!$F$21,1)))+Pipeline!$T$22*Pipeline!$D$22*MIN(1,MAX(0,(80-Pipeline!$E$22+1)/MAX(Pipeline!$F$22,1))))/Hipótesis!$E$17</f>
        <v>6546.9959681986</v>
      </c>
      <c r="CE17" s="139" t="n">
        <f aca="false">(Pipeline!$T$16*Pipeline!$D$16*MIN(1,MAX(0,(81-Pipeline!$E$16+1)/MAX(Pipeline!$F$16,1)))+Pipeline!$T$17*Pipeline!$D$17*MIN(1,MAX(0,(81-Pipeline!$E$17+1)/MAX(Pipeline!$F$17,1)))+Pipeline!$T$18*Pipeline!$D$18*MIN(1,MAX(0,(81-Pipeline!$E$18+1)/MAX(Pipeline!$F$18,1)))+Pipeline!$T$19*Pipeline!$D$19*MIN(1,MAX(0,(81-Pipeline!$E$19+1)/MAX(Pipeline!$F$19,1)))+Pipeline!$T$20*Pipeline!$D$20*MIN(1,MAX(0,(81-Pipeline!$E$20+1)/MAX(Pipeline!$F$20,1)))+Pipeline!$T$21*Pipeline!$D$21*MIN(1,MAX(0,(81-Pipeline!$E$21+1)/MAX(Pipeline!$F$21,1)))+Pipeline!$T$22*Pipeline!$D$22*MIN(1,MAX(0,(81-Pipeline!$E$22+1)/MAX(Pipeline!$F$22,1))))/Hipótesis!$E$17</f>
        <v>6546.9959681986</v>
      </c>
      <c r="CF17" s="139" t="n">
        <f aca="false">(Pipeline!$T$16*Pipeline!$D$16*MIN(1,MAX(0,(82-Pipeline!$E$16+1)/MAX(Pipeline!$F$16,1)))+Pipeline!$T$17*Pipeline!$D$17*MIN(1,MAX(0,(82-Pipeline!$E$17+1)/MAX(Pipeline!$F$17,1)))+Pipeline!$T$18*Pipeline!$D$18*MIN(1,MAX(0,(82-Pipeline!$E$18+1)/MAX(Pipeline!$F$18,1)))+Pipeline!$T$19*Pipeline!$D$19*MIN(1,MAX(0,(82-Pipeline!$E$19+1)/MAX(Pipeline!$F$19,1)))+Pipeline!$T$20*Pipeline!$D$20*MIN(1,MAX(0,(82-Pipeline!$E$20+1)/MAX(Pipeline!$F$20,1)))+Pipeline!$T$21*Pipeline!$D$21*MIN(1,MAX(0,(82-Pipeline!$E$21+1)/MAX(Pipeline!$F$21,1)))+Pipeline!$T$22*Pipeline!$D$22*MIN(1,MAX(0,(82-Pipeline!$E$22+1)/MAX(Pipeline!$F$22,1))))/Hipótesis!$E$17</f>
        <v>6546.9959681986</v>
      </c>
      <c r="CG17" s="139" t="n">
        <f aca="false">(Pipeline!$T$16*Pipeline!$D$16*MIN(1,MAX(0,(83-Pipeline!$E$16+1)/MAX(Pipeline!$F$16,1)))+Pipeline!$T$17*Pipeline!$D$17*MIN(1,MAX(0,(83-Pipeline!$E$17+1)/MAX(Pipeline!$F$17,1)))+Pipeline!$T$18*Pipeline!$D$18*MIN(1,MAX(0,(83-Pipeline!$E$18+1)/MAX(Pipeline!$F$18,1)))+Pipeline!$T$19*Pipeline!$D$19*MIN(1,MAX(0,(83-Pipeline!$E$19+1)/MAX(Pipeline!$F$19,1)))+Pipeline!$T$20*Pipeline!$D$20*MIN(1,MAX(0,(83-Pipeline!$E$20+1)/MAX(Pipeline!$F$20,1)))+Pipeline!$T$21*Pipeline!$D$21*MIN(1,MAX(0,(83-Pipeline!$E$21+1)/MAX(Pipeline!$F$21,1)))+Pipeline!$T$22*Pipeline!$D$22*MIN(1,MAX(0,(83-Pipeline!$E$22+1)/MAX(Pipeline!$F$22,1))))/Hipótesis!$E$17</f>
        <v>6546.9959681986</v>
      </c>
      <c r="CH17" s="139" t="n">
        <f aca="false">(Pipeline!$T$16*Pipeline!$D$16*MIN(1,MAX(0,(84-Pipeline!$E$16+1)/MAX(Pipeline!$F$16,1)))+Pipeline!$T$17*Pipeline!$D$17*MIN(1,MAX(0,(84-Pipeline!$E$17+1)/MAX(Pipeline!$F$17,1)))+Pipeline!$T$18*Pipeline!$D$18*MIN(1,MAX(0,(84-Pipeline!$E$18+1)/MAX(Pipeline!$F$18,1)))+Pipeline!$T$19*Pipeline!$D$19*MIN(1,MAX(0,(84-Pipeline!$E$19+1)/MAX(Pipeline!$F$19,1)))+Pipeline!$T$20*Pipeline!$D$20*MIN(1,MAX(0,(84-Pipeline!$E$20+1)/MAX(Pipeline!$F$20,1)))+Pipeline!$T$21*Pipeline!$D$21*MIN(1,MAX(0,(84-Pipeline!$E$21+1)/MAX(Pipeline!$F$21,1)))+Pipeline!$T$22*Pipeline!$D$22*MIN(1,MAX(0,(84-Pipeline!$E$22+1)/MAX(Pipeline!$F$22,1))))/Hipótesis!$E$17</f>
        <v>6546.9959681986</v>
      </c>
    </row>
    <row r="18" customFormat="false" ht="13.5" hidden="false" customHeight="true" outlineLevel="0" collapsed="false">
      <c r="A18" s="13" t="s">
        <v>701</v>
      </c>
      <c r="C18" s="150" t="n">
        <f aca="false">(Pipeline!$U$16*Pipeline!$D$16*MIN(1,MAX(0,(1-Pipeline!$E$16+1)/MAX(Pipeline!$F$16,1)))+Pipeline!$U$17*Pipeline!$D$17*MIN(1,MAX(0,(1-Pipeline!$E$17+1)/MAX(Pipeline!$F$17,1)))+Pipeline!$U$18*Pipeline!$D$18*MIN(1,MAX(0,(1-Pipeline!$E$18+1)/MAX(Pipeline!$F$18,1)))+Pipeline!$U$19*Pipeline!$D$19*MIN(1,MAX(0,(1-Pipeline!$E$19+1)/MAX(Pipeline!$F$19,1)))+Pipeline!$U$20*Pipeline!$D$20*MIN(1,MAX(0,(1-Pipeline!$E$20+1)/MAX(Pipeline!$F$20,1)))+Pipeline!$U$21*Pipeline!$D$21*MIN(1,MAX(0,(1-Pipeline!$E$21+1)/MAX(Pipeline!$F$21,1)))+Pipeline!$U$22*Pipeline!$D$22*MIN(1,MAX(0,(1-Pipeline!$E$22+1)/MAX(Pipeline!$F$22,1))))/Hipótesis!$E$17</f>
        <v>36.1888487795599</v>
      </c>
      <c r="D18" s="150" t="n">
        <f aca="false">(Pipeline!$U$16*Pipeline!$D$16*MIN(1,MAX(0,(2-Pipeline!$E$16+1)/MAX(Pipeline!$F$16,1)))+Pipeline!$U$17*Pipeline!$D$17*MIN(1,MAX(0,(2-Pipeline!$E$17+1)/MAX(Pipeline!$F$17,1)))+Pipeline!$U$18*Pipeline!$D$18*MIN(1,MAX(0,(2-Pipeline!$E$18+1)/MAX(Pipeline!$F$18,1)))+Pipeline!$U$19*Pipeline!$D$19*MIN(1,MAX(0,(2-Pipeline!$E$19+1)/MAX(Pipeline!$F$19,1)))+Pipeline!$U$20*Pipeline!$D$20*MIN(1,MAX(0,(2-Pipeline!$E$20+1)/MAX(Pipeline!$F$20,1)))+Pipeline!$U$21*Pipeline!$D$21*MIN(1,MAX(0,(2-Pipeline!$E$21+1)/MAX(Pipeline!$F$21,1)))+Pipeline!$U$22*Pipeline!$D$22*MIN(1,MAX(0,(2-Pipeline!$E$22+1)/MAX(Pipeline!$F$22,1))))/Hipótesis!$E$17</f>
        <v>74.1393824720043</v>
      </c>
      <c r="E18" s="150" t="n">
        <f aca="false">(Pipeline!$U$16*Pipeline!$D$16*MIN(1,MAX(0,(3-Pipeline!$E$16+1)/MAX(Pipeline!$F$16,1)))+Pipeline!$U$17*Pipeline!$D$17*MIN(1,MAX(0,(3-Pipeline!$E$17+1)/MAX(Pipeline!$F$17,1)))+Pipeline!$U$18*Pipeline!$D$18*MIN(1,MAX(0,(3-Pipeline!$E$18+1)/MAX(Pipeline!$F$18,1)))+Pipeline!$U$19*Pipeline!$D$19*MIN(1,MAX(0,(3-Pipeline!$E$19+1)/MAX(Pipeline!$F$19,1)))+Pipeline!$U$20*Pipeline!$D$20*MIN(1,MAX(0,(3-Pipeline!$E$20+1)/MAX(Pipeline!$F$20,1)))+Pipeline!$U$21*Pipeline!$D$21*MIN(1,MAX(0,(3-Pipeline!$E$21+1)/MAX(Pipeline!$F$21,1)))+Pipeline!$U$22*Pipeline!$D$22*MIN(1,MAX(0,(3-Pipeline!$E$22+1)/MAX(Pipeline!$F$22,1))))/Hipótesis!$E$17</f>
        <v>141.037647381903</v>
      </c>
      <c r="F18" s="150" t="n">
        <f aca="false">(Pipeline!$U$16*Pipeline!$D$16*MIN(1,MAX(0,(4-Pipeline!$E$16+1)/MAX(Pipeline!$F$16,1)))+Pipeline!$U$17*Pipeline!$D$17*MIN(1,MAX(0,(4-Pipeline!$E$17+1)/MAX(Pipeline!$F$17,1)))+Pipeline!$U$18*Pipeline!$D$18*MIN(1,MAX(0,(4-Pipeline!$E$18+1)/MAX(Pipeline!$F$18,1)))+Pipeline!$U$19*Pipeline!$D$19*MIN(1,MAX(0,(4-Pipeline!$E$19+1)/MAX(Pipeline!$F$19,1)))+Pipeline!$U$20*Pipeline!$D$20*MIN(1,MAX(0,(4-Pipeline!$E$20+1)/MAX(Pipeline!$F$20,1)))+Pipeline!$U$21*Pipeline!$D$21*MIN(1,MAX(0,(4-Pipeline!$E$21+1)/MAX(Pipeline!$F$21,1)))+Pipeline!$U$22*Pipeline!$D$22*MIN(1,MAX(0,(4-Pipeline!$E$22+1)/MAX(Pipeline!$F$22,1))))/Hipótesis!$E$17</f>
        <v>171.747063512242</v>
      </c>
      <c r="G18" s="150" t="n">
        <f aca="false">(Pipeline!$U$16*Pipeline!$D$16*MIN(1,MAX(0,(5-Pipeline!$E$16+1)/MAX(Pipeline!$F$16,1)))+Pipeline!$U$17*Pipeline!$D$17*MIN(1,MAX(0,(5-Pipeline!$E$17+1)/MAX(Pipeline!$F$17,1)))+Pipeline!$U$18*Pipeline!$D$18*MIN(1,MAX(0,(5-Pipeline!$E$18+1)/MAX(Pipeline!$F$18,1)))+Pipeline!$U$19*Pipeline!$D$19*MIN(1,MAX(0,(5-Pipeline!$E$19+1)/MAX(Pipeline!$F$19,1)))+Pipeline!$U$20*Pipeline!$D$20*MIN(1,MAX(0,(5-Pipeline!$E$20+1)/MAX(Pipeline!$F$20,1)))+Pipeline!$U$21*Pipeline!$D$21*MIN(1,MAX(0,(5-Pipeline!$E$21+1)/MAX(Pipeline!$F$21,1)))+Pipeline!$U$22*Pipeline!$D$22*MIN(1,MAX(0,(5-Pipeline!$E$22+1)/MAX(Pipeline!$F$22,1))))/Hipótesis!$E$17</f>
        <v>200.694794729696</v>
      </c>
      <c r="H18" s="150" t="n">
        <f aca="false">(Pipeline!$U$16*Pipeline!$D$16*MIN(1,MAX(0,(6-Pipeline!$E$16+1)/MAX(Pipeline!$F$16,1)))+Pipeline!$U$17*Pipeline!$D$17*MIN(1,MAX(0,(6-Pipeline!$E$17+1)/MAX(Pipeline!$F$17,1)))+Pipeline!$U$18*Pipeline!$D$18*MIN(1,MAX(0,(6-Pipeline!$E$18+1)/MAX(Pipeline!$F$18,1)))+Pipeline!$U$19*Pipeline!$D$19*MIN(1,MAX(0,(6-Pipeline!$E$19+1)/MAX(Pipeline!$F$19,1)))+Pipeline!$U$20*Pipeline!$D$20*MIN(1,MAX(0,(6-Pipeline!$E$20+1)/MAX(Pipeline!$F$20,1)))+Pipeline!$U$21*Pipeline!$D$21*MIN(1,MAX(0,(6-Pipeline!$E$21+1)/MAX(Pipeline!$F$21,1)))+Pipeline!$U$22*Pipeline!$D$22*MIN(1,MAX(0,(6-Pipeline!$E$22+1)/MAX(Pipeline!$F$22,1))))/Hipótesis!$E$17</f>
        <v>249.828498907285</v>
      </c>
      <c r="I18" s="150" t="n">
        <f aca="false">(Pipeline!$U$16*Pipeline!$D$16*MIN(1,MAX(0,(7-Pipeline!$E$16+1)/MAX(Pipeline!$F$16,1)))+Pipeline!$U$17*Pipeline!$D$17*MIN(1,MAX(0,(7-Pipeline!$E$17+1)/MAX(Pipeline!$F$17,1)))+Pipeline!$U$18*Pipeline!$D$18*MIN(1,MAX(0,(7-Pipeline!$E$18+1)/MAX(Pipeline!$F$18,1)))+Pipeline!$U$19*Pipeline!$D$19*MIN(1,MAX(0,(7-Pipeline!$E$19+1)/MAX(Pipeline!$F$19,1)))+Pipeline!$U$20*Pipeline!$D$20*MIN(1,MAX(0,(7-Pipeline!$E$20+1)/MAX(Pipeline!$F$20,1)))+Pipeline!$U$21*Pipeline!$D$21*MIN(1,MAX(0,(7-Pipeline!$E$21+1)/MAX(Pipeline!$F$21,1)))+Pipeline!$U$22*Pipeline!$D$22*MIN(1,MAX(0,(7-Pipeline!$E$22+1)/MAX(Pipeline!$F$22,1))))/Hipótesis!$E$17</f>
        <v>298.962203084874</v>
      </c>
      <c r="J18" s="150" t="n">
        <f aca="false">(Pipeline!$U$16*Pipeline!$D$16*MIN(1,MAX(0,(8-Pipeline!$E$16+1)/MAX(Pipeline!$F$16,1)))+Pipeline!$U$17*Pipeline!$D$17*MIN(1,MAX(0,(8-Pipeline!$E$17+1)/MAX(Pipeline!$F$17,1)))+Pipeline!$U$18*Pipeline!$D$18*MIN(1,MAX(0,(8-Pipeline!$E$18+1)/MAX(Pipeline!$F$18,1)))+Pipeline!$U$19*Pipeline!$D$19*MIN(1,MAX(0,(8-Pipeline!$E$19+1)/MAX(Pipeline!$F$19,1)))+Pipeline!$U$20*Pipeline!$D$20*MIN(1,MAX(0,(8-Pipeline!$E$20+1)/MAX(Pipeline!$F$20,1)))+Pipeline!$U$21*Pipeline!$D$21*MIN(1,MAX(0,(8-Pipeline!$E$21+1)/MAX(Pipeline!$F$21,1)))+Pipeline!$U$22*Pipeline!$D$22*MIN(1,MAX(0,(8-Pipeline!$E$22+1)/MAX(Pipeline!$F$22,1))))/Hipótesis!$E$17</f>
        <v>348.095907262462</v>
      </c>
      <c r="K18" s="150" t="n">
        <f aca="false">(Pipeline!$U$16*Pipeline!$D$16*MIN(1,MAX(0,(9-Pipeline!$E$16+1)/MAX(Pipeline!$F$16,1)))+Pipeline!$U$17*Pipeline!$D$17*MIN(1,MAX(0,(9-Pipeline!$E$17+1)/MAX(Pipeline!$F$17,1)))+Pipeline!$U$18*Pipeline!$D$18*MIN(1,MAX(0,(9-Pipeline!$E$18+1)/MAX(Pipeline!$F$18,1)))+Pipeline!$U$19*Pipeline!$D$19*MIN(1,MAX(0,(9-Pipeline!$E$19+1)/MAX(Pipeline!$F$19,1)))+Pipeline!$U$20*Pipeline!$D$20*MIN(1,MAX(0,(9-Pipeline!$E$20+1)/MAX(Pipeline!$F$20,1)))+Pipeline!$U$21*Pipeline!$D$21*MIN(1,MAX(0,(9-Pipeline!$E$21+1)/MAX(Pipeline!$F$21,1)))+Pipeline!$U$22*Pipeline!$D$22*MIN(1,MAX(0,(9-Pipeline!$E$22+1)/MAX(Pipeline!$F$22,1))))/Hipótesis!$E$17</f>
        <v>397.229611440051</v>
      </c>
      <c r="L18" s="150" t="n">
        <f aca="false">(Pipeline!$U$16*Pipeline!$D$16*MIN(1,MAX(0,(10-Pipeline!$E$16+1)/MAX(Pipeline!$F$16,1)))+Pipeline!$U$17*Pipeline!$D$17*MIN(1,MAX(0,(10-Pipeline!$E$17+1)/MAX(Pipeline!$F$17,1)))+Pipeline!$U$18*Pipeline!$D$18*MIN(1,MAX(0,(10-Pipeline!$E$18+1)/MAX(Pipeline!$F$18,1)))+Pipeline!$U$19*Pipeline!$D$19*MIN(1,MAX(0,(10-Pipeline!$E$19+1)/MAX(Pipeline!$F$19,1)))+Pipeline!$U$20*Pipeline!$D$20*MIN(1,MAX(0,(10-Pipeline!$E$20+1)/MAX(Pipeline!$F$20,1)))+Pipeline!$U$21*Pipeline!$D$21*MIN(1,MAX(0,(10-Pipeline!$E$21+1)/MAX(Pipeline!$F$21,1)))+Pipeline!$U$22*Pipeline!$D$22*MIN(1,MAX(0,(10-Pipeline!$E$22+1)/MAX(Pipeline!$F$22,1))))/Hipótesis!$E$17</f>
        <v>446.363315617639</v>
      </c>
      <c r="M18" s="150" t="n">
        <f aca="false">(Pipeline!$U$16*Pipeline!$D$16*MIN(1,MAX(0,(11-Pipeline!$E$16+1)/MAX(Pipeline!$F$16,1)))+Pipeline!$U$17*Pipeline!$D$17*MIN(1,MAX(0,(11-Pipeline!$E$17+1)/MAX(Pipeline!$F$17,1)))+Pipeline!$U$18*Pipeline!$D$18*MIN(1,MAX(0,(11-Pipeline!$E$18+1)/MAX(Pipeline!$F$18,1)))+Pipeline!$U$19*Pipeline!$D$19*MIN(1,MAX(0,(11-Pipeline!$E$19+1)/MAX(Pipeline!$F$19,1)))+Pipeline!$U$20*Pipeline!$D$20*MIN(1,MAX(0,(11-Pipeline!$E$20+1)/MAX(Pipeline!$F$20,1)))+Pipeline!$U$21*Pipeline!$D$21*MIN(1,MAX(0,(11-Pipeline!$E$21+1)/MAX(Pipeline!$F$21,1)))+Pipeline!$U$22*Pipeline!$D$22*MIN(1,MAX(0,(11-Pipeline!$E$22+1)/MAX(Pipeline!$F$22,1))))/Hipótesis!$E$17</f>
        <v>466.549288577773</v>
      </c>
      <c r="N18" s="150" t="n">
        <f aca="false">(Pipeline!$U$16*Pipeline!$D$16*MIN(1,MAX(0,(12-Pipeline!$E$16+1)/MAX(Pipeline!$F$16,1)))+Pipeline!$U$17*Pipeline!$D$17*MIN(1,MAX(0,(12-Pipeline!$E$17+1)/MAX(Pipeline!$F$17,1)))+Pipeline!$U$18*Pipeline!$D$18*MIN(1,MAX(0,(12-Pipeline!$E$18+1)/MAX(Pipeline!$F$18,1)))+Pipeline!$U$19*Pipeline!$D$19*MIN(1,MAX(0,(12-Pipeline!$E$19+1)/MAX(Pipeline!$F$19,1)))+Pipeline!$U$20*Pipeline!$D$20*MIN(1,MAX(0,(12-Pipeline!$E$20+1)/MAX(Pipeline!$F$20,1)))+Pipeline!$U$21*Pipeline!$D$21*MIN(1,MAX(0,(12-Pipeline!$E$21+1)/MAX(Pipeline!$F$21,1)))+Pipeline!$U$22*Pipeline!$D$22*MIN(1,MAX(0,(12-Pipeline!$E$22+1)/MAX(Pipeline!$F$22,1))))/Hipótesis!$E$17</f>
        <v>516.096676752648</v>
      </c>
      <c r="O18" s="150" t="n">
        <f aca="false">(Pipeline!$U$16*Pipeline!$D$16*MIN(1,MAX(0,(13-Pipeline!$E$16+1)/MAX(Pipeline!$F$16,1)))+Pipeline!$U$17*Pipeline!$D$17*MIN(1,MAX(0,(13-Pipeline!$E$17+1)/MAX(Pipeline!$F$17,1)))+Pipeline!$U$18*Pipeline!$D$18*MIN(1,MAX(0,(13-Pipeline!$E$18+1)/MAX(Pipeline!$F$18,1)))+Pipeline!$U$19*Pipeline!$D$19*MIN(1,MAX(0,(13-Pipeline!$E$19+1)/MAX(Pipeline!$F$19,1)))+Pipeline!$U$20*Pipeline!$D$20*MIN(1,MAX(0,(13-Pipeline!$E$20+1)/MAX(Pipeline!$F$20,1)))+Pipeline!$U$21*Pipeline!$D$21*MIN(1,MAX(0,(13-Pipeline!$E$21+1)/MAX(Pipeline!$F$21,1)))+Pipeline!$U$22*Pipeline!$D$22*MIN(1,MAX(0,(13-Pipeline!$E$22+1)/MAX(Pipeline!$F$22,1))))/Hipótesis!$E$17</f>
        <v>565.644064927523</v>
      </c>
      <c r="P18" s="150" t="n">
        <f aca="false">(Pipeline!$U$16*Pipeline!$D$16*MIN(1,MAX(0,(14-Pipeline!$E$16+1)/MAX(Pipeline!$F$16,1)))+Pipeline!$U$17*Pipeline!$D$17*MIN(1,MAX(0,(14-Pipeline!$E$17+1)/MAX(Pipeline!$F$17,1)))+Pipeline!$U$18*Pipeline!$D$18*MIN(1,MAX(0,(14-Pipeline!$E$18+1)/MAX(Pipeline!$F$18,1)))+Pipeline!$U$19*Pipeline!$D$19*MIN(1,MAX(0,(14-Pipeline!$E$19+1)/MAX(Pipeline!$F$19,1)))+Pipeline!$U$20*Pipeline!$D$20*MIN(1,MAX(0,(14-Pipeline!$E$20+1)/MAX(Pipeline!$F$20,1)))+Pipeline!$U$21*Pipeline!$D$21*MIN(1,MAX(0,(14-Pipeline!$E$21+1)/MAX(Pipeline!$F$21,1)))+Pipeline!$U$22*Pipeline!$D$22*MIN(1,MAX(0,(14-Pipeline!$E$22+1)/MAX(Pipeline!$F$22,1))))/Hipótesis!$E$17</f>
        <v>606.75004622816</v>
      </c>
      <c r="Q18" s="150" t="n">
        <f aca="false">(Pipeline!$U$16*Pipeline!$D$16*MIN(1,MAX(0,(15-Pipeline!$E$16+1)/MAX(Pipeline!$F$16,1)))+Pipeline!$U$17*Pipeline!$D$17*MIN(1,MAX(0,(15-Pipeline!$E$17+1)/MAX(Pipeline!$F$17,1)))+Pipeline!$U$18*Pipeline!$D$18*MIN(1,MAX(0,(15-Pipeline!$E$18+1)/MAX(Pipeline!$F$18,1)))+Pipeline!$U$19*Pipeline!$D$19*MIN(1,MAX(0,(15-Pipeline!$E$19+1)/MAX(Pipeline!$F$19,1)))+Pipeline!$U$20*Pipeline!$D$20*MIN(1,MAX(0,(15-Pipeline!$E$20+1)/MAX(Pipeline!$F$20,1)))+Pipeline!$U$21*Pipeline!$D$21*MIN(1,MAX(0,(15-Pipeline!$E$21+1)/MAX(Pipeline!$F$21,1)))+Pipeline!$U$22*Pipeline!$D$22*MIN(1,MAX(0,(15-Pipeline!$E$22+1)/MAX(Pipeline!$F$22,1))))/Hipótesis!$E$17</f>
        <v>647.856027528796</v>
      </c>
      <c r="R18" s="150" t="n">
        <f aca="false">(Pipeline!$U$16*Pipeline!$D$16*MIN(1,MAX(0,(16-Pipeline!$E$16+1)/MAX(Pipeline!$F$16,1)))+Pipeline!$U$17*Pipeline!$D$17*MIN(1,MAX(0,(16-Pipeline!$E$17+1)/MAX(Pipeline!$F$17,1)))+Pipeline!$U$18*Pipeline!$D$18*MIN(1,MAX(0,(16-Pipeline!$E$18+1)/MAX(Pipeline!$F$18,1)))+Pipeline!$U$19*Pipeline!$D$19*MIN(1,MAX(0,(16-Pipeline!$E$19+1)/MAX(Pipeline!$F$19,1)))+Pipeline!$U$20*Pipeline!$D$20*MIN(1,MAX(0,(16-Pipeline!$E$20+1)/MAX(Pipeline!$F$20,1)))+Pipeline!$U$21*Pipeline!$D$21*MIN(1,MAX(0,(16-Pipeline!$E$21+1)/MAX(Pipeline!$F$21,1)))+Pipeline!$U$22*Pipeline!$D$22*MIN(1,MAX(0,(16-Pipeline!$E$22+1)/MAX(Pipeline!$F$22,1))))/Hipótesis!$E$17</f>
        <v>688.962008829433</v>
      </c>
      <c r="S18" s="150" t="n">
        <f aca="false">(Pipeline!$U$16*Pipeline!$D$16*MIN(1,MAX(0,(17-Pipeline!$E$16+1)/MAX(Pipeline!$F$16,1)))+Pipeline!$U$17*Pipeline!$D$17*MIN(1,MAX(0,(17-Pipeline!$E$17+1)/MAX(Pipeline!$F$17,1)))+Pipeline!$U$18*Pipeline!$D$18*MIN(1,MAX(0,(17-Pipeline!$E$18+1)/MAX(Pipeline!$F$18,1)))+Pipeline!$U$19*Pipeline!$D$19*MIN(1,MAX(0,(17-Pipeline!$E$19+1)/MAX(Pipeline!$F$19,1)))+Pipeline!$U$20*Pipeline!$D$20*MIN(1,MAX(0,(17-Pipeline!$E$20+1)/MAX(Pipeline!$F$20,1)))+Pipeline!$U$21*Pipeline!$D$21*MIN(1,MAX(0,(17-Pipeline!$E$21+1)/MAX(Pipeline!$F$21,1)))+Pipeline!$U$22*Pipeline!$D$22*MIN(1,MAX(0,(17-Pipeline!$E$22+1)/MAX(Pipeline!$F$22,1))))/Hipótesis!$E$17</f>
        <v>730.06799013007</v>
      </c>
      <c r="T18" s="150" t="n">
        <f aca="false">(Pipeline!$U$16*Pipeline!$D$16*MIN(1,MAX(0,(18-Pipeline!$E$16+1)/MAX(Pipeline!$F$16,1)))+Pipeline!$U$17*Pipeline!$D$17*MIN(1,MAX(0,(18-Pipeline!$E$17+1)/MAX(Pipeline!$F$17,1)))+Pipeline!$U$18*Pipeline!$D$18*MIN(1,MAX(0,(18-Pipeline!$E$18+1)/MAX(Pipeline!$F$18,1)))+Pipeline!$U$19*Pipeline!$D$19*MIN(1,MAX(0,(18-Pipeline!$E$19+1)/MAX(Pipeline!$F$19,1)))+Pipeline!$U$20*Pipeline!$D$20*MIN(1,MAX(0,(18-Pipeline!$E$20+1)/MAX(Pipeline!$F$20,1)))+Pipeline!$U$21*Pipeline!$D$21*MIN(1,MAX(0,(18-Pipeline!$E$21+1)/MAX(Pipeline!$F$21,1)))+Pipeline!$U$22*Pipeline!$D$22*MIN(1,MAX(0,(18-Pipeline!$E$22+1)/MAX(Pipeline!$F$22,1))))/Hipótesis!$E$17</f>
        <v>771.173971430707</v>
      </c>
      <c r="U18" s="150" t="n">
        <f aca="false">(Pipeline!$U$16*Pipeline!$D$16*MIN(1,MAX(0,(19-Pipeline!$E$16+1)/MAX(Pipeline!$F$16,1)))+Pipeline!$U$17*Pipeline!$D$17*MIN(1,MAX(0,(19-Pipeline!$E$17+1)/MAX(Pipeline!$F$17,1)))+Pipeline!$U$18*Pipeline!$D$18*MIN(1,MAX(0,(19-Pipeline!$E$18+1)/MAX(Pipeline!$F$18,1)))+Pipeline!$U$19*Pipeline!$D$19*MIN(1,MAX(0,(19-Pipeline!$E$19+1)/MAX(Pipeline!$F$19,1)))+Pipeline!$U$20*Pipeline!$D$20*MIN(1,MAX(0,(19-Pipeline!$E$20+1)/MAX(Pipeline!$F$20,1)))+Pipeline!$U$21*Pipeline!$D$21*MIN(1,MAX(0,(19-Pipeline!$E$21+1)/MAX(Pipeline!$F$21,1)))+Pipeline!$U$22*Pipeline!$D$22*MIN(1,MAX(0,(19-Pipeline!$E$22+1)/MAX(Pipeline!$F$22,1))))/Hipótesis!$E$17</f>
        <v>812.279952731344</v>
      </c>
      <c r="V18" s="150" t="n">
        <f aca="false">(Pipeline!$U$16*Pipeline!$D$16*MIN(1,MAX(0,(20-Pipeline!$E$16+1)/MAX(Pipeline!$F$16,1)))+Pipeline!$U$17*Pipeline!$D$17*MIN(1,MAX(0,(20-Pipeline!$E$17+1)/MAX(Pipeline!$F$17,1)))+Pipeline!$U$18*Pipeline!$D$18*MIN(1,MAX(0,(20-Pipeline!$E$18+1)/MAX(Pipeline!$F$18,1)))+Pipeline!$U$19*Pipeline!$D$19*MIN(1,MAX(0,(20-Pipeline!$E$19+1)/MAX(Pipeline!$F$19,1)))+Pipeline!$U$20*Pipeline!$D$20*MIN(1,MAX(0,(20-Pipeline!$E$20+1)/MAX(Pipeline!$F$20,1)))+Pipeline!$U$21*Pipeline!$D$21*MIN(1,MAX(0,(20-Pipeline!$E$21+1)/MAX(Pipeline!$F$21,1)))+Pipeline!$U$22*Pipeline!$D$22*MIN(1,MAX(0,(20-Pipeline!$E$22+1)/MAX(Pipeline!$F$22,1))))/Hipótesis!$E$17</f>
        <v>853.38593403198</v>
      </c>
      <c r="W18" s="150" t="n">
        <f aca="false">(Pipeline!$U$16*Pipeline!$D$16*MIN(1,MAX(0,(21-Pipeline!$E$16+1)/MAX(Pipeline!$F$16,1)))+Pipeline!$U$17*Pipeline!$D$17*MIN(1,MAX(0,(21-Pipeline!$E$17+1)/MAX(Pipeline!$F$17,1)))+Pipeline!$U$18*Pipeline!$D$18*MIN(1,MAX(0,(21-Pipeline!$E$18+1)/MAX(Pipeline!$F$18,1)))+Pipeline!$U$19*Pipeline!$D$19*MIN(1,MAX(0,(21-Pipeline!$E$19+1)/MAX(Pipeline!$F$19,1)))+Pipeline!$U$20*Pipeline!$D$20*MIN(1,MAX(0,(21-Pipeline!$E$20+1)/MAX(Pipeline!$F$20,1)))+Pipeline!$U$21*Pipeline!$D$21*MIN(1,MAX(0,(21-Pipeline!$E$21+1)/MAX(Pipeline!$F$21,1)))+Pipeline!$U$22*Pipeline!$D$22*MIN(1,MAX(0,(21-Pipeline!$E$22+1)/MAX(Pipeline!$F$22,1))))/Hipótesis!$E$17</f>
        <v>894.491915332617</v>
      </c>
      <c r="X18" s="150" t="n">
        <f aca="false">(Pipeline!$U$16*Pipeline!$D$16*MIN(1,MAX(0,(22-Pipeline!$E$16+1)/MAX(Pipeline!$F$16,1)))+Pipeline!$U$17*Pipeline!$D$17*MIN(1,MAX(0,(22-Pipeline!$E$17+1)/MAX(Pipeline!$F$17,1)))+Pipeline!$U$18*Pipeline!$D$18*MIN(1,MAX(0,(22-Pipeline!$E$18+1)/MAX(Pipeline!$F$18,1)))+Pipeline!$U$19*Pipeline!$D$19*MIN(1,MAX(0,(22-Pipeline!$E$19+1)/MAX(Pipeline!$F$19,1)))+Pipeline!$U$20*Pipeline!$D$20*MIN(1,MAX(0,(22-Pipeline!$E$20+1)/MAX(Pipeline!$F$20,1)))+Pipeline!$U$21*Pipeline!$D$21*MIN(1,MAX(0,(22-Pipeline!$E$21+1)/MAX(Pipeline!$F$21,1)))+Pipeline!$U$22*Pipeline!$D$22*MIN(1,MAX(0,(22-Pipeline!$E$22+1)/MAX(Pipeline!$F$22,1))))/Hipótesis!$E$17</f>
        <v>906.236481418514</v>
      </c>
      <c r="Y18" s="150" t="n">
        <f aca="false">(Pipeline!$U$16*Pipeline!$D$16*MIN(1,MAX(0,(23-Pipeline!$E$16+1)/MAX(Pipeline!$F$16,1)))+Pipeline!$U$17*Pipeline!$D$17*MIN(1,MAX(0,(23-Pipeline!$E$17+1)/MAX(Pipeline!$F$17,1)))+Pipeline!$U$18*Pipeline!$D$18*MIN(1,MAX(0,(23-Pipeline!$E$18+1)/MAX(Pipeline!$F$18,1)))+Pipeline!$U$19*Pipeline!$D$19*MIN(1,MAX(0,(23-Pipeline!$E$19+1)/MAX(Pipeline!$F$19,1)))+Pipeline!$U$20*Pipeline!$D$20*MIN(1,MAX(0,(23-Pipeline!$E$20+1)/MAX(Pipeline!$F$20,1)))+Pipeline!$U$21*Pipeline!$D$21*MIN(1,MAX(0,(23-Pipeline!$E$21+1)/MAX(Pipeline!$F$21,1)))+Pipeline!$U$22*Pipeline!$D$22*MIN(1,MAX(0,(23-Pipeline!$E$22+1)/MAX(Pipeline!$F$22,1))))/Hipótesis!$E$17</f>
        <v>917.98104750441</v>
      </c>
      <c r="Z18" s="150" t="n">
        <f aca="false">(Pipeline!$U$16*Pipeline!$D$16*MIN(1,MAX(0,(24-Pipeline!$E$16+1)/MAX(Pipeline!$F$16,1)))+Pipeline!$U$17*Pipeline!$D$17*MIN(1,MAX(0,(24-Pipeline!$E$17+1)/MAX(Pipeline!$F$17,1)))+Pipeline!$U$18*Pipeline!$D$18*MIN(1,MAX(0,(24-Pipeline!$E$18+1)/MAX(Pipeline!$F$18,1)))+Pipeline!$U$19*Pipeline!$D$19*MIN(1,MAX(0,(24-Pipeline!$E$19+1)/MAX(Pipeline!$F$19,1)))+Pipeline!$U$20*Pipeline!$D$20*MIN(1,MAX(0,(24-Pipeline!$E$20+1)/MAX(Pipeline!$F$20,1)))+Pipeline!$U$21*Pipeline!$D$21*MIN(1,MAX(0,(24-Pipeline!$E$21+1)/MAX(Pipeline!$F$21,1)))+Pipeline!$U$22*Pipeline!$D$22*MIN(1,MAX(0,(24-Pipeline!$E$22+1)/MAX(Pipeline!$F$22,1))))/Hipótesis!$E$17</f>
        <v>917.98104750441</v>
      </c>
      <c r="AA18" s="150" t="n">
        <f aca="false">(Pipeline!$U$16*Pipeline!$D$16*MIN(1,MAX(0,(25-Pipeline!$E$16+1)/MAX(Pipeline!$F$16,1)))+Pipeline!$U$17*Pipeline!$D$17*MIN(1,MAX(0,(25-Pipeline!$E$17+1)/MAX(Pipeline!$F$17,1)))+Pipeline!$U$18*Pipeline!$D$18*MIN(1,MAX(0,(25-Pipeline!$E$18+1)/MAX(Pipeline!$F$18,1)))+Pipeline!$U$19*Pipeline!$D$19*MIN(1,MAX(0,(25-Pipeline!$E$19+1)/MAX(Pipeline!$F$19,1)))+Pipeline!$U$20*Pipeline!$D$20*MIN(1,MAX(0,(25-Pipeline!$E$20+1)/MAX(Pipeline!$F$20,1)))+Pipeline!$U$21*Pipeline!$D$21*MIN(1,MAX(0,(25-Pipeline!$E$21+1)/MAX(Pipeline!$F$21,1)))+Pipeline!$U$22*Pipeline!$D$22*MIN(1,MAX(0,(25-Pipeline!$E$22+1)/MAX(Pipeline!$F$22,1))))/Hipótesis!$E$17</f>
        <v>917.98104750441</v>
      </c>
      <c r="AB18" s="150" t="n">
        <f aca="false">(Pipeline!$U$16*Pipeline!$D$16*MIN(1,MAX(0,(26-Pipeline!$E$16+1)/MAX(Pipeline!$F$16,1)))+Pipeline!$U$17*Pipeline!$D$17*MIN(1,MAX(0,(26-Pipeline!$E$17+1)/MAX(Pipeline!$F$17,1)))+Pipeline!$U$18*Pipeline!$D$18*MIN(1,MAX(0,(26-Pipeline!$E$18+1)/MAX(Pipeline!$F$18,1)))+Pipeline!$U$19*Pipeline!$D$19*MIN(1,MAX(0,(26-Pipeline!$E$19+1)/MAX(Pipeline!$F$19,1)))+Pipeline!$U$20*Pipeline!$D$20*MIN(1,MAX(0,(26-Pipeline!$E$20+1)/MAX(Pipeline!$F$20,1)))+Pipeline!$U$21*Pipeline!$D$21*MIN(1,MAX(0,(26-Pipeline!$E$21+1)/MAX(Pipeline!$F$21,1)))+Pipeline!$U$22*Pipeline!$D$22*MIN(1,MAX(0,(26-Pipeline!$E$22+1)/MAX(Pipeline!$F$22,1))))/Hipótesis!$E$17</f>
        <v>917.98104750441</v>
      </c>
      <c r="AC18" s="150" t="n">
        <f aca="false">(Pipeline!$U$16*Pipeline!$D$16*MIN(1,MAX(0,(27-Pipeline!$E$16+1)/MAX(Pipeline!$F$16,1)))+Pipeline!$U$17*Pipeline!$D$17*MIN(1,MAX(0,(27-Pipeline!$E$17+1)/MAX(Pipeline!$F$17,1)))+Pipeline!$U$18*Pipeline!$D$18*MIN(1,MAX(0,(27-Pipeline!$E$18+1)/MAX(Pipeline!$F$18,1)))+Pipeline!$U$19*Pipeline!$D$19*MIN(1,MAX(0,(27-Pipeline!$E$19+1)/MAX(Pipeline!$F$19,1)))+Pipeline!$U$20*Pipeline!$D$20*MIN(1,MAX(0,(27-Pipeline!$E$20+1)/MAX(Pipeline!$F$20,1)))+Pipeline!$U$21*Pipeline!$D$21*MIN(1,MAX(0,(27-Pipeline!$E$21+1)/MAX(Pipeline!$F$21,1)))+Pipeline!$U$22*Pipeline!$D$22*MIN(1,MAX(0,(27-Pipeline!$E$22+1)/MAX(Pipeline!$F$22,1))))/Hipótesis!$E$17</f>
        <v>917.98104750441</v>
      </c>
      <c r="AD18" s="150" t="n">
        <f aca="false">(Pipeline!$U$16*Pipeline!$D$16*MIN(1,MAX(0,(28-Pipeline!$E$16+1)/MAX(Pipeline!$F$16,1)))+Pipeline!$U$17*Pipeline!$D$17*MIN(1,MAX(0,(28-Pipeline!$E$17+1)/MAX(Pipeline!$F$17,1)))+Pipeline!$U$18*Pipeline!$D$18*MIN(1,MAX(0,(28-Pipeline!$E$18+1)/MAX(Pipeline!$F$18,1)))+Pipeline!$U$19*Pipeline!$D$19*MIN(1,MAX(0,(28-Pipeline!$E$19+1)/MAX(Pipeline!$F$19,1)))+Pipeline!$U$20*Pipeline!$D$20*MIN(1,MAX(0,(28-Pipeline!$E$20+1)/MAX(Pipeline!$F$20,1)))+Pipeline!$U$21*Pipeline!$D$21*MIN(1,MAX(0,(28-Pipeline!$E$21+1)/MAX(Pipeline!$F$21,1)))+Pipeline!$U$22*Pipeline!$D$22*MIN(1,MAX(0,(28-Pipeline!$E$22+1)/MAX(Pipeline!$F$22,1))))/Hipótesis!$E$17</f>
        <v>917.98104750441</v>
      </c>
      <c r="AE18" s="150" t="n">
        <f aca="false">(Pipeline!$U$16*Pipeline!$D$16*MIN(1,MAX(0,(29-Pipeline!$E$16+1)/MAX(Pipeline!$F$16,1)))+Pipeline!$U$17*Pipeline!$D$17*MIN(1,MAX(0,(29-Pipeline!$E$17+1)/MAX(Pipeline!$F$17,1)))+Pipeline!$U$18*Pipeline!$D$18*MIN(1,MAX(0,(29-Pipeline!$E$18+1)/MAX(Pipeline!$F$18,1)))+Pipeline!$U$19*Pipeline!$D$19*MIN(1,MAX(0,(29-Pipeline!$E$19+1)/MAX(Pipeline!$F$19,1)))+Pipeline!$U$20*Pipeline!$D$20*MIN(1,MAX(0,(29-Pipeline!$E$20+1)/MAX(Pipeline!$F$20,1)))+Pipeline!$U$21*Pipeline!$D$21*MIN(1,MAX(0,(29-Pipeline!$E$21+1)/MAX(Pipeline!$F$21,1)))+Pipeline!$U$22*Pipeline!$D$22*MIN(1,MAX(0,(29-Pipeline!$E$22+1)/MAX(Pipeline!$F$22,1))))/Hipótesis!$E$17</f>
        <v>917.98104750441</v>
      </c>
      <c r="AF18" s="150" t="n">
        <f aca="false">(Pipeline!$U$16*Pipeline!$D$16*MIN(1,MAX(0,(30-Pipeline!$E$16+1)/MAX(Pipeline!$F$16,1)))+Pipeline!$U$17*Pipeline!$D$17*MIN(1,MAX(0,(30-Pipeline!$E$17+1)/MAX(Pipeline!$F$17,1)))+Pipeline!$U$18*Pipeline!$D$18*MIN(1,MAX(0,(30-Pipeline!$E$18+1)/MAX(Pipeline!$F$18,1)))+Pipeline!$U$19*Pipeline!$D$19*MIN(1,MAX(0,(30-Pipeline!$E$19+1)/MAX(Pipeline!$F$19,1)))+Pipeline!$U$20*Pipeline!$D$20*MIN(1,MAX(0,(30-Pipeline!$E$20+1)/MAX(Pipeline!$F$20,1)))+Pipeline!$U$21*Pipeline!$D$21*MIN(1,MAX(0,(30-Pipeline!$E$21+1)/MAX(Pipeline!$F$21,1)))+Pipeline!$U$22*Pipeline!$D$22*MIN(1,MAX(0,(30-Pipeline!$E$22+1)/MAX(Pipeline!$F$22,1))))/Hipótesis!$E$17</f>
        <v>917.98104750441</v>
      </c>
      <c r="AG18" s="150" t="n">
        <f aca="false">(Pipeline!$U$16*Pipeline!$D$16*MIN(1,MAX(0,(31-Pipeline!$E$16+1)/MAX(Pipeline!$F$16,1)))+Pipeline!$U$17*Pipeline!$D$17*MIN(1,MAX(0,(31-Pipeline!$E$17+1)/MAX(Pipeline!$F$17,1)))+Pipeline!$U$18*Pipeline!$D$18*MIN(1,MAX(0,(31-Pipeline!$E$18+1)/MAX(Pipeline!$F$18,1)))+Pipeline!$U$19*Pipeline!$D$19*MIN(1,MAX(0,(31-Pipeline!$E$19+1)/MAX(Pipeline!$F$19,1)))+Pipeline!$U$20*Pipeline!$D$20*MIN(1,MAX(0,(31-Pipeline!$E$20+1)/MAX(Pipeline!$F$20,1)))+Pipeline!$U$21*Pipeline!$D$21*MIN(1,MAX(0,(31-Pipeline!$E$21+1)/MAX(Pipeline!$F$21,1)))+Pipeline!$U$22*Pipeline!$D$22*MIN(1,MAX(0,(31-Pipeline!$E$22+1)/MAX(Pipeline!$F$22,1))))/Hipótesis!$E$17</f>
        <v>917.98104750441</v>
      </c>
      <c r="AH18" s="150" t="n">
        <f aca="false">(Pipeline!$U$16*Pipeline!$D$16*MIN(1,MAX(0,(32-Pipeline!$E$16+1)/MAX(Pipeline!$F$16,1)))+Pipeline!$U$17*Pipeline!$D$17*MIN(1,MAX(0,(32-Pipeline!$E$17+1)/MAX(Pipeline!$F$17,1)))+Pipeline!$U$18*Pipeline!$D$18*MIN(1,MAX(0,(32-Pipeline!$E$18+1)/MAX(Pipeline!$F$18,1)))+Pipeline!$U$19*Pipeline!$D$19*MIN(1,MAX(0,(32-Pipeline!$E$19+1)/MAX(Pipeline!$F$19,1)))+Pipeline!$U$20*Pipeline!$D$20*MIN(1,MAX(0,(32-Pipeline!$E$20+1)/MAX(Pipeline!$F$20,1)))+Pipeline!$U$21*Pipeline!$D$21*MIN(1,MAX(0,(32-Pipeline!$E$21+1)/MAX(Pipeline!$F$21,1)))+Pipeline!$U$22*Pipeline!$D$22*MIN(1,MAX(0,(32-Pipeline!$E$22+1)/MAX(Pipeline!$F$22,1))))/Hipótesis!$E$17</f>
        <v>917.98104750441</v>
      </c>
      <c r="AI18" s="150" t="n">
        <f aca="false">(Pipeline!$U$16*Pipeline!$D$16*MIN(1,MAX(0,(33-Pipeline!$E$16+1)/MAX(Pipeline!$F$16,1)))+Pipeline!$U$17*Pipeline!$D$17*MIN(1,MAX(0,(33-Pipeline!$E$17+1)/MAX(Pipeline!$F$17,1)))+Pipeline!$U$18*Pipeline!$D$18*MIN(1,MAX(0,(33-Pipeline!$E$18+1)/MAX(Pipeline!$F$18,1)))+Pipeline!$U$19*Pipeline!$D$19*MIN(1,MAX(0,(33-Pipeline!$E$19+1)/MAX(Pipeline!$F$19,1)))+Pipeline!$U$20*Pipeline!$D$20*MIN(1,MAX(0,(33-Pipeline!$E$20+1)/MAX(Pipeline!$F$20,1)))+Pipeline!$U$21*Pipeline!$D$21*MIN(1,MAX(0,(33-Pipeline!$E$21+1)/MAX(Pipeline!$F$21,1)))+Pipeline!$U$22*Pipeline!$D$22*MIN(1,MAX(0,(33-Pipeline!$E$22+1)/MAX(Pipeline!$F$22,1))))/Hipótesis!$E$17</f>
        <v>917.98104750441</v>
      </c>
      <c r="AJ18" s="150" t="n">
        <f aca="false">(Pipeline!$U$16*Pipeline!$D$16*MIN(1,MAX(0,(34-Pipeline!$E$16+1)/MAX(Pipeline!$F$16,1)))+Pipeline!$U$17*Pipeline!$D$17*MIN(1,MAX(0,(34-Pipeline!$E$17+1)/MAX(Pipeline!$F$17,1)))+Pipeline!$U$18*Pipeline!$D$18*MIN(1,MAX(0,(34-Pipeline!$E$18+1)/MAX(Pipeline!$F$18,1)))+Pipeline!$U$19*Pipeline!$D$19*MIN(1,MAX(0,(34-Pipeline!$E$19+1)/MAX(Pipeline!$F$19,1)))+Pipeline!$U$20*Pipeline!$D$20*MIN(1,MAX(0,(34-Pipeline!$E$20+1)/MAX(Pipeline!$F$20,1)))+Pipeline!$U$21*Pipeline!$D$21*MIN(1,MAX(0,(34-Pipeline!$E$21+1)/MAX(Pipeline!$F$21,1)))+Pipeline!$U$22*Pipeline!$D$22*MIN(1,MAX(0,(34-Pipeline!$E$22+1)/MAX(Pipeline!$F$22,1))))/Hipótesis!$E$17</f>
        <v>917.98104750441</v>
      </c>
      <c r="AK18" s="150" t="n">
        <f aca="false">(Pipeline!$U$16*Pipeline!$D$16*MIN(1,MAX(0,(35-Pipeline!$E$16+1)/MAX(Pipeline!$F$16,1)))+Pipeline!$U$17*Pipeline!$D$17*MIN(1,MAX(0,(35-Pipeline!$E$17+1)/MAX(Pipeline!$F$17,1)))+Pipeline!$U$18*Pipeline!$D$18*MIN(1,MAX(0,(35-Pipeline!$E$18+1)/MAX(Pipeline!$F$18,1)))+Pipeline!$U$19*Pipeline!$D$19*MIN(1,MAX(0,(35-Pipeline!$E$19+1)/MAX(Pipeline!$F$19,1)))+Pipeline!$U$20*Pipeline!$D$20*MIN(1,MAX(0,(35-Pipeline!$E$20+1)/MAX(Pipeline!$F$20,1)))+Pipeline!$U$21*Pipeline!$D$21*MIN(1,MAX(0,(35-Pipeline!$E$21+1)/MAX(Pipeline!$F$21,1)))+Pipeline!$U$22*Pipeline!$D$22*MIN(1,MAX(0,(35-Pipeline!$E$22+1)/MAX(Pipeline!$F$22,1))))/Hipótesis!$E$17</f>
        <v>917.98104750441</v>
      </c>
      <c r="AL18" s="150" t="n">
        <f aca="false">(Pipeline!$U$16*Pipeline!$D$16*MIN(1,MAX(0,(36-Pipeline!$E$16+1)/MAX(Pipeline!$F$16,1)))+Pipeline!$U$17*Pipeline!$D$17*MIN(1,MAX(0,(36-Pipeline!$E$17+1)/MAX(Pipeline!$F$17,1)))+Pipeline!$U$18*Pipeline!$D$18*MIN(1,MAX(0,(36-Pipeline!$E$18+1)/MAX(Pipeline!$F$18,1)))+Pipeline!$U$19*Pipeline!$D$19*MIN(1,MAX(0,(36-Pipeline!$E$19+1)/MAX(Pipeline!$F$19,1)))+Pipeline!$U$20*Pipeline!$D$20*MIN(1,MAX(0,(36-Pipeline!$E$20+1)/MAX(Pipeline!$F$20,1)))+Pipeline!$U$21*Pipeline!$D$21*MIN(1,MAX(0,(36-Pipeline!$E$21+1)/MAX(Pipeline!$F$21,1)))+Pipeline!$U$22*Pipeline!$D$22*MIN(1,MAX(0,(36-Pipeline!$E$22+1)/MAX(Pipeline!$F$22,1))))/Hipótesis!$E$17</f>
        <v>917.98104750441</v>
      </c>
      <c r="AM18" s="150" t="n">
        <f aca="false">(Pipeline!$U$16*Pipeline!$D$16*MIN(1,MAX(0,(37-Pipeline!$E$16+1)/MAX(Pipeline!$F$16,1)))+Pipeline!$U$17*Pipeline!$D$17*MIN(1,MAX(0,(37-Pipeline!$E$17+1)/MAX(Pipeline!$F$17,1)))+Pipeline!$U$18*Pipeline!$D$18*MIN(1,MAX(0,(37-Pipeline!$E$18+1)/MAX(Pipeline!$F$18,1)))+Pipeline!$U$19*Pipeline!$D$19*MIN(1,MAX(0,(37-Pipeline!$E$19+1)/MAX(Pipeline!$F$19,1)))+Pipeline!$U$20*Pipeline!$D$20*MIN(1,MAX(0,(37-Pipeline!$E$20+1)/MAX(Pipeline!$F$20,1)))+Pipeline!$U$21*Pipeline!$D$21*MIN(1,MAX(0,(37-Pipeline!$E$21+1)/MAX(Pipeline!$F$21,1)))+Pipeline!$U$22*Pipeline!$D$22*MIN(1,MAX(0,(37-Pipeline!$E$22+1)/MAX(Pipeline!$F$22,1))))/Hipótesis!$E$17</f>
        <v>917.98104750441</v>
      </c>
      <c r="AN18" s="150" t="n">
        <f aca="false">(Pipeline!$U$16*Pipeline!$D$16*MIN(1,MAX(0,(38-Pipeline!$E$16+1)/MAX(Pipeline!$F$16,1)))+Pipeline!$U$17*Pipeline!$D$17*MIN(1,MAX(0,(38-Pipeline!$E$17+1)/MAX(Pipeline!$F$17,1)))+Pipeline!$U$18*Pipeline!$D$18*MIN(1,MAX(0,(38-Pipeline!$E$18+1)/MAX(Pipeline!$F$18,1)))+Pipeline!$U$19*Pipeline!$D$19*MIN(1,MAX(0,(38-Pipeline!$E$19+1)/MAX(Pipeline!$F$19,1)))+Pipeline!$U$20*Pipeline!$D$20*MIN(1,MAX(0,(38-Pipeline!$E$20+1)/MAX(Pipeline!$F$20,1)))+Pipeline!$U$21*Pipeline!$D$21*MIN(1,MAX(0,(38-Pipeline!$E$21+1)/MAX(Pipeline!$F$21,1)))+Pipeline!$U$22*Pipeline!$D$22*MIN(1,MAX(0,(38-Pipeline!$E$22+1)/MAX(Pipeline!$F$22,1))))/Hipótesis!$E$17</f>
        <v>917.98104750441</v>
      </c>
      <c r="AO18" s="150" t="n">
        <f aca="false">(Pipeline!$U$16*Pipeline!$D$16*MIN(1,MAX(0,(39-Pipeline!$E$16+1)/MAX(Pipeline!$F$16,1)))+Pipeline!$U$17*Pipeline!$D$17*MIN(1,MAX(0,(39-Pipeline!$E$17+1)/MAX(Pipeline!$F$17,1)))+Pipeline!$U$18*Pipeline!$D$18*MIN(1,MAX(0,(39-Pipeline!$E$18+1)/MAX(Pipeline!$F$18,1)))+Pipeline!$U$19*Pipeline!$D$19*MIN(1,MAX(0,(39-Pipeline!$E$19+1)/MAX(Pipeline!$F$19,1)))+Pipeline!$U$20*Pipeline!$D$20*MIN(1,MAX(0,(39-Pipeline!$E$20+1)/MAX(Pipeline!$F$20,1)))+Pipeline!$U$21*Pipeline!$D$21*MIN(1,MAX(0,(39-Pipeline!$E$21+1)/MAX(Pipeline!$F$21,1)))+Pipeline!$U$22*Pipeline!$D$22*MIN(1,MAX(0,(39-Pipeline!$E$22+1)/MAX(Pipeline!$F$22,1))))/Hipótesis!$E$17</f>
        <v>917.98104750441</v>
      </c>
      <c r="AP18" s="150" t="n">
        <f aca="false">(Pipeline!$U$16*Pipeline!$D$16*MIN(1,MAX(0,(40-Pipeline!$E$16+1)/MAX(Pipeline!$F$16,1)))+Pipeline!$U$17*Pipeline!$D$17*MIN(1,MAX(0,(40-Pipeline!$E$17+1)/MAX(Pipeline!$F$17,1)))+Pipeline!$U$18*Pipeline!$D$18*MIN(1,MAX(0,(40-Pipeline!$E$18+1)/MAX(Pipeline!$F$18,1)))+Pipeline!$U$19*Pipeline!$D$19*MIN(1,MAX(0,(40-Pipeline!$E$19+1)/MAX(Pipeline!$F$19,1)))+Pipeline!$U$20*Pipeline!$D$20*MIN(1,MAX(0,(40-Pipeline!$E$20+1)/MAX(Pipeline!$F$20,1)))+Pipeline!$U$21*Pipeline!$D$21*MIN(1,MAX(0,(40-Pipeline!$E$21+1)/MAX(Pipeline!$F$21,1)))+Pipeline!$U$22*Pipeline!$D$22*MIN(1,MAX(0,(40-Pipeline!$E$22+1)/MAX(Pipeline!$F$22,1))))/Hipótesis!$E$17</f>
        <v>917.98104750441</v>
      </c>
      <c r="AQ18" s="150" t="n">
        <f aca="false">(Pipeline!$U$16*Pipeline!$D$16*MIN(1,MAX(0,(41-Pipeline!$E$16+1)/MAX(Pipeline!$F$16,1)))+Pipeline!$U$17*Pipeline!$D$17*MIN(1,MAX(0,(41-Pipeline!$E$17+1)/MAX(Pipeline!$F$17,1)))+Pipeline!$U$18*Pipeline!$D$18*MIN(1,MAX(0,(41-Pipeline!$E$18+1)/MAX(Pipeline!$F$18,1)))+Pipeline!$U$19*Pipeline!$D$19*MIN(1,MAX(0,(41-Pipeline!$E$19+1)/MAX(Pipeline!$F$19,1)))+Pipeline!$U$20*Pipeline!$D$20*MIN(1,MAX(0,(41-Pipeline!$E$20+1)/MAX(Pipeline!$F$20,1)))+Pipeline!$U$21*Pipeline!$D$21*MIN(1,MAX(0,(41-Pipeline!$E$21+1)/MAX(Pipeline!$F$21,1)))+Pipeline!$U$22*Pipeline!$D$22*MIN(1,MAX(0,(41-Pipeline!$E$22+1)/MAX(Pipeline!$F$22,1))))/Hipótesis!$E$17</f>
        <v>917.98104750441</v>
      </c>
      <c r="AR18" s="150" t="n">
        <f aca="false">(Pipeline!$U$16*Pipeline!$D$16*MIN(1,MAX(0,(42-Pipeline!$E$16+1)/MAX(Pipeline!$F$16,1)))+Pipeline!$U$17*Pipeline!$D$17*MIN(1,MAX(0,(42-Pipeline!$E$17+1)/MAX(Pipeline!$F$17,1)))+Pipeline!$U$18*Pipeline!$D$18*MIN(1,MAX(0,(42-Pipeline!$E$18+1)/MAX(Pipeline!$F$18,1)))+Pipeline!$U$19*Pipeline!$D$19*MIN(1,MAX(0,(42-Pipeline!$E$19+1)/MAX(Pipeline!$F$19,1)))+Pipeline!$U$20*Pipeline!$D$20*MIN(1,MAX(0,(42-Pipeline!$E$20+1)/MAX(Pipeline!$F$20,1)))+Pipeline!$U$21*Pipeline!$D$21*MIN(1,MAX(0,(42-Pipeline!$E$21+1)/MAX(Pipeline!$F$21,1)))+Pipeline!$U$22*Pipeline!$D$22*MIN(1,MAX(0,(42-Pipeline!$E$22+1)/MAX(Pipeline!$F$22,1))))/Hipótesis!$E$17</f>
        <v>917.98104750441</v>
      </c>
      <c r="AS18" s="150" t="n">
        <f aca="false">(Pipeline!$U$16*Pipeline!$D$16*MIN(1,MAX(0,(43-Pipeline!$E$16+1)/MAX(Pipeline!$F$16,1)))+Pipeline!$U$17*Pipeline!$D$17*MIN(1,MAX(0,(43-Pipeline!$E$17+1)/MAX(Pipeline!$F$17,1)))+Pipeline!$U$18*Pipeline!$D$18*MIN(1,MAX(0,(43-Pipeline!$E$18+1)/MAX(Pipeline!$F$18,1)))+Pipeline!$U$19*Pipeline!$D$19*MIN(1,MAX(0,(43-Pipeline!$E$19+1)/MAX(Pipeline!$F$19,1)))+Pipeline!$U$20*Pipeline!$D$20*MIN(1,MAX(0,(43-Pipeline!$E$20+1)/MAX(Pipeline!$F$20,1)))+Pipeline!$U$21*Pipeline!$D$21*MIN(1,MAX(0,(43-Pipeline!$E$21+1)/MAX(Pipeline!$F$21,1)))+Pipeline!$U$22*Pipeline!$D$22*MIN(1,MAX(0,(43-Pipeline!$E$22+1)/MAX(Pipeline!$F$22,1))))/Hipótesis!$E$17</f>
        <v>917.98104750441</v>
      </c>
      <c r="AT18" s="150" t="n">
        <f aca="false">(Pipeline!$U$16*Pipeline!$D$16*MIN(1,MAX(0,(44-Pipeline!$E$16+1)/MAX(Pipeline!$F$16,1)))+Pipeline!$U$17*Pipeline!$D$17*MIN(1,MAX(0,(44-Pipeline!$E$17+1)/MAX(Pipeline!$F$17,1)))+Pipeline!$U$18*Pipeline!$D$18*MIN(1,MAX(0,(44-Pipeline!$E$18+1)/MAX(Pipeline!$F$18,1)))+Pipeline!$U$19*Pipeline!$D$19*MIN(1,MAX(0,(44-Pipeline!$E$19+1)/MAX(Pipeline!$F$19,1)))+Pipeline!$U$20*Pipeline!$D$20*MIN(1,MAX(0,(44-Pipeline!$E$20+1)/MAX(Pipeline!$F$20,1)))+Pipeline!$U$21*Pipeline!$D$21*MIN(1,MAX(0,(44-Pipeline!$E$21+1)/MAX(Pipeline!$F$21,1)))+Pipeline!$U$22*Pipeline!$D$22*MIN(1,MAX(0,(44-Pipeline!$E$22+1)/MAX(Pipeline!$F$22,1))))/Hipótesis!$E$17</f>
        <v>917.98104750441</v>
      </c>
      <c r="AU18" s="150" t="n">
        <f aca="false">(Pipeline!$U$16*Pipeline!$D$16*MIN(1,MAX(0,(45-Pipeline!$E$16+1)/MAX(Pipeline!$F$16,1)))+Pipeline!$U$17*Pipeline!$D$17*MIN(1,MAX(0,(45-Pipeline!$E$17+1)/MAX(Pipeline!$F$17,1)))+Pipeline!$U$18*Pipeline!$D$18*MIN(1,MAX(0,(45-Pipeline!$E$18+1)/MAX(Pipeline!$F$18,1)))+Pipeline!$U$19*Pipeline!$D$19*MIN(1,MAX(0,(45-Pipeline!$E$19+1)/MAX(Pipeline!$F$19,1)))+Pipeline!$U$20*Pipeline!$D$20*MIN(1,MAX(0,(45-Pipeline!$E$20+1)/MAX(Pipeline!$F$20,1)))+Pipeline!$U$21*Pipeline!$D$21*MIN(1,MAX(0,(45-Pipeline!$E$21+1)/MAX(Pipeline!$F$21,1)))+Pipeline!$U$22*Pipeline!$D$22*MIN(1,MAX(0,(45-Pipeline!$E$22+1)/MAX(Pipeline!$F$22,1))))/Hipótesis!$E$17</f>
        <v>917.98104750441</v>
      </c>
      <c r="AV18" s="150" t="n">
        <f aca="false">(Pipeline!$U$16*Pipeline!$D$16*MIN(1,MAX(0,(46-Pipeline!$E$16+1)/MAX(Pipeline!$F$16,1)))+Pipeline!$U$17*Pipeline!$D$17*MIN(1,MAX(0,(46-Pipeline!$E$17+1)/MAX(Pipeline!$F$17,1)))+Pipeline!$U$18*Pipeline!$D$18*MIN(1,MAX(0,(46-Pipeline!$E$18+1)/MAX(Pipeline!$F$18,1)))+Pipeline!$U$19*Pipeline!$D$19*MIN(1,MAX(0,(46-Pipeline!$E$19+1)/MAX(Pipeline!$F$19,1)))+Pipeline!$U$20*Pipeline!$D$20*MIN(1,MAX(0,(46-Pipeline!$E$20+1)/MAX(Pipeline!$F$20,1)))+Pipeline!$U$21*Pipeline!$D$21*MIN(1,MAX(0,(46-Pipeline!$E$21+1)/MAX(Pipeline!$F$21,1)))+Pipeline!$U$22*Pipeline!$D$22*MIN(1,MAX(0,(46-Pipeline!$E$22+1)/MAX(Pipeline!$F$22,1))))/Hipótesis!$E$17</f>
        <v>917.98104750441</v>
      </c>
      <c r="AW18" s="150" t="n">
        <f aca="false">(Pipeline!$U$16*Pipeline!$D$16*MIN(1,MAX(0,(47-Pipeline!$E$16+1)/MAX(Pipeline!$F$16,1)))+Pipeline!$U$17*Pipeline!$D$17*MIN(1,MAX(0,(47-Pipeline!$E$17+1)/MAX(Pipeline!$F$17,1)))+Pipeline!$U$18*Pipeline!$D$18*MIN(1,MAX(0,(47-Pipeline!$E$18+1)/MAX(Pipeline!$F$18,1)))+Pipeline!$U$19*Pipeline!$D$19*MIN(1,MAX(0,(47-Pipeline!$E$19+1)/MAX(Pipeline!$F$19,1)))+Pipeline!$U$20*Pipeline!$D$20*MIN(1,MAX(0,(47-Pipeline!$E$20+1)/MAX(Pipeline!$F$20,1)))+Pipeline!$U$21*Pipeline!$D$21*MIN(1,MAX(0,(47-Pipeline!$E$21+1)/MAX(Pipeline!$F$21,1)))+Pipeline!$U$22*Pipeline!$D$22*MIN(1,MAX(0,(47-Pipeline!$E$22+1)/MAX(Pipeline!$F$22,1))))/Hipótesis!$E$17</f>
        <v>917.98104750441</v>
      </c>
      <c r="AX18" s="150" t="n">
        <f aca="false">(Pipeline!$U$16*Pipeline!$D$16*MIN(1,MAX(0,(48-Pipeline!$E$16+1)/MAX(Pipeline!$F$16,1)))+Pipeline!$U$17*Pipeline!$D$17*MIN(1,MAX(0,(48-Pipeline!$E$17+1)/MAX(Pipeline!$F$17,1)))+Pipeline!$U$18*Pipeline!$D$18*MIN(1,MAX(0,(48-Pipeline!$E$18+1)/MAX(Pipeline!$F$18,1)))+Pipeline!$U$19*Pipeline!$D$19*MIN(1,MAX(0,(48-Pipeline!$E$19+1)/MAX(Pipeline!$F$19,1)))+Pipeline!$U$20*Pipeline!$D$20*MIN(1,MAX(0,(48-Pipeline!$E$20+1)/MAX(Pipeline!$F$20,1)))+Pipeline!$U$21*Pipeline!$D$21*MIN(1,MAX(0,(48-Pipeline!$E$21+1)/MAX(Pipeline!$F$21,1)))+Pipeline!$U$22*Pipeline!$D$22*MIN(1,MAX(0,(48-Pipeline!$E$22+1)/MAX(Pipeline!$F$22,1))))/Hipótesis!$E$17</f>
        <v>917.98104750441</v>
      </c>
      <c r="AY18" s="150" t="n">
        <f aca="false">(Pipeline!$U$16*Pipeline!$D$16*MIN(1,MAX(0,(49-Pipeline!$E$16+1)/MAX(Pipeline!$F$16,1)))+Pipeline!$U$17*Pipeline!$D$17*MIN(1,MAX(0,(49-Pipeline!$E$17+1)/MAX(Pipeline!$F$17,1)))+Pipeline!$U$18*Pipeline!$D$18*MIN(1,MAX(0,(49-Pipeline!$E$18+1)/MAX(Pipeline!$F$18,1)))+Pipeline!$U$19*Pipeline!$D$19*MIN(1,MAX(0,(49-Pipeline!$E$19+1)/MAX(Pipeline!$F$19,1)))+Pipeline!$U$20*Pipeline!$D$20*MIN(1,MAX(0,(49-Pipeline!$E$20+1)/MAX(Pipeline!$F$20,1)))+Pipeline!$U$21*Pipeline!$D$21*MIN(1,MAX(0,(49-Pipeline!$E$21+1)/MAX(Pipeline!$F$21,1)))+Pipeline!$U$22*Pipeline!$D$22*MIN(1,MAX(0,(49-Pipeline!$E$22+1)/MAX(Pipeline!$F$22,1))))/Hipótesis!$E$17</f>
        <v>917.98104750441</v>
      </c>
      <c r="AZ18" s="150" t="n">
        <f aca="false">(Pipeline!$U$16*Pipeline!$D$16*MIN(1,MAX(0,(50-Pipeline!$E$16+1)/MAX(Pipeline!$F$16,1)))+Pipeline!$U$17*Pipeline!$D$17*MIN(1,MAX(0,(50-Pipeline!$E$17+1)/MAX(Pipeline!$F$17,1)))+Pipeline!$U$18*Pipeline!$D$18*MIN(1,MAX(0,(50-Pipeline!$E$18+1)/MAX(Pipeline!$F$18,1)))+Pipeline!$U$19*Pipeline!$D$19*MIN(1,MAX(0,(50-Pipeline!$E$19+1)/MAX(Pipeline!$F$19,1)))+Pipeline!$U$20*Pipeline!$D$20*MIN(1,MAX(0,(50-Pipeline!$E$20+1)/MAX(Pipeline!$F$20,1)))+Pipeline!$U$21*Pipeline!$D$21*MIN(1,MAX(0,(50-Pipeline!$E$21+1)/MAX(Pipeline!$F$21,1)))+Pipeline!$U$22*Pipeline!$D$22*MIN(1,MAX(0,(50-Pipeline!$E$22+1)/MAX(Pipeline!$F$22,1))))/Hipótesis!$E$17</f>
        <v>917.98104750441</v>
      </c>
      <c r="BA18" s="150" t="n">
        <f aca="false">(Pipeline!$U$16*Pipeline!$D$16*MIN(1,MAX(0,(51-Pipeline!$E$16+1)/MAX(Pipeline!$F$16,1)))+Pipeline!$U$17*Pipeline!$D$17*MIN(1,MAX(0,(51-Pipeline!$E$17+1)/MAX(Pipeline!$F$17,1)))+Pipeline!$U$18*Pipeline!$D$18*MIN(1,MAX(0,(51-Pipeline!$E$18+1)/MAX(Pipeline!$F$18,1)))+Pipeline!$U$19*Pipeline!$D$19*MIN(1,MAX(0,(51-Pipeline!$E$19+1)/MAX(Pipeline!$F$19,1)))+Pipeline!$U$20*Pipeline!$D$20*MIN(1,MAX(0,(51-Pipeline!$E$20+1)/MAX(Pipeline!$F$20,1)))+Pipeline!$U$21*Pipeline!$D$21*MIN(1,MAX(0,(51-Pipeline!$E$21+1)/MAX(Pipeline!$F$21,1)))+Pipeline!$U$22*Pipeline!$D$22*MIN(1,MAX(0,(51-Pipeline!$E$22+1)/MAX(Pipeline!$F$22,1))))/Hipótesis!$E$17</f>
        <v>917.98104750441</v>
      </c>
      <c r="BB18" s="150" t="n">
        <f aca="false">(Pipeline!$U$16*Pipeline!$D$16*MIN(1,MAX(0,(52-Pipeline!$E$16+1)/MAX(Pipeline!$F$16,1)))+Pipeline!$U$17*Pipeline!$D$17*MIN(1,MAX(0,(52-Pipeline!$E$17+1)/MAX(Pipeline!$F$17,1)))+Pipeline!$U$18*Pipeline!$D$18*MIN(1,MAX(0,(52-Pipeline!$E$18+1)/MAX(Pipeline!$F$18,1)))+Pipeline!$U$19*Pipeline!$D$19*MIN(1,MAX(0,(52-Pipeline!$E$19+1)/MAX(Pipeline!$F$19,1)))+Pipeline!$U$20*Pipeline!$D$20*MIN(1,MAX(0,(52-Pipeline!$E$20+1)/MAX(Pipeline!$F$20,1)))+Pipeline!$U$21*Pipeline!$D$21*MIN(1,MAX(0,(52-Pipeline!$E$21+1)/MAX(Pipeline!$F$21,1)))+Pipeline!$U$22*Pipeline!$D$22*MIN(1,MAX(0,(52-Pipeline!$E$22+1)/MAX(Pipeline!$F$22,1))))/Hipótesis!$E$17</f>
        <v>917.98104750441</v>
      </c>
      <c r="BC18" s="150" t="n">
        <f aca="false">(Pipeline!$U$16*Pipeline!$D$16*MIN(1,MAX(0,(53-Pipeline!$E$16+1)/MAX(Pipeline!$F$16,1)))+Pipeline!$U$17*Pipeline!$D$17*MIN(1,MAX(0,(53-Pipeline!$E$17+1)/MAX(Pipeline!$F$17,1)))+Pipeline!$U$18*Pipeline!$D$18*MIN(1,MAX(0,(53-Pipeline!$E$18+1)/MAX(Pipeline!$F$18,1)))+Pipeline!$U$19*Pipeline!$D$19*MIN(1,MAX(0,(53-Pipeline!$E$19+1)/MAX(Pipeline!$F$19,1)))+Pipeline!$U$20*Pipeline!$D$20*MIN(1,MAX(0,(53-Pipeline!$E$20+1)/MAX(Pipeline!$F$20,1)))+Pipeline!$U$21*Pipeline!$D$21*MIN(1,MAX(0,(53-Pipeline!$E$21+1)/MAX(Pipeline!$F$21,1)))+Pipeline!$U$22*Pipeline!$D$22*MIN(1,MAX(0,(53-Pipeline!$E$22+1)/MAX(Pipeline!$F$22,1))))/Hipótesis!$E$17</f>
        <v>917.98104750441</v>
      </c>
      <c r="BD18" s="150" t="n">
        <f aca="false">(Pipeline!$U$16*Pipeline!$D$16*MIN(1,MAX(0,(54-Pipeline!$E$16+1)/MAX(Pipeline!$F$16,1)))+Pipeline!$U$17*Pipeline!$D$17*MIN(1,MAX(0,(54-Pipeline!$E$17+1)/MAX(Pipeline!$F$17,1)))+Pipeline!$U$18*Pipeline!$D$18*MIN(1,MAX(0,(54-Pipeline!$E$18+1)/MAX(Pipeline!$F$18,1)))+Pipeline!$U$19*Pipeline!$D$19*MIN(1,MAX(0,(54-Pipeline!$E$19+1)/MAX(Pipeline!$F$19,1)))+Pipeline!$U$20*Pipeline!$D$20*MIN(1,MAX(0,(54-Pipeline!$E$20+1)/MAX(Pipeline!$F$20,1)))+Pipeline!$U$21*Pipeline!$D$21*MIN(1,MAX(0,(54-Pipeline!$E$21+1)/MAX(Pipeline!$F$21,1)))+Pipeline!$U$22*Pipeline!$D$22*MIN(1,MAX(0,(54-Pipeline!$E$22+1)/MAX(Pipeline!$F$22,1))))/Hipótesis!$E$17</f>
        <v>917.98104750441</v>
      </c>
      <c r="BE18" s="150" t="n">
        <f aca="false">(Pipeline!$U$16*Pipeline!$D$16*MIN(1,MAX(0,(55-Pipeline!$E$16+1)/MAX(Pipeline!$F$16,1)))+Pipeline!$U$17*Pipeline!$D$17*MIN(1,MAX(0,(55-Pipeline!$E$17+1)/MAX(Pipeline!$F$17,1)))+Pipeline!$U$18*Pipeline!$D$18*MIN(1,MAX(0,(55-Pipeline!$E$18+1)/MAX(Pipeline!$F$18,1)))+Pipeline!$U$19*Pipeline!$D$19*MIN(1,MAX(0,(55-Pipeline!$E$19+1)/MAX(Pipeline!$F$19,1)))+Pipeline!$U$20*Pipeline!$D$20*MIN(1,MAX(0,(55-Pipeline!$E$20+1)/MAX(Pipeline!$F$20,1)))+Pipeline!$U$21*Pipeline!$D$21*MIN(1,MAX(0,(55-Pipeline!$E$21+1)/MAX(Pipeline!$F$21,1)))+Pipeline!$U$22*Pipeline!$D$22*MIN(1,MAX(0,(55-Pipeline!$E$22+1)/MAX(Pipeline!$F$22,1))))/Hipótesis!$E$17</f>
        <v>917.98104750441</v>
      </c>
      <c r="BF18" s="150" t="n">
        <f aca="false">(Pipeline!$U$16*Pipeline!$D$16*MIN(1,MAX(0,(56-Pipeline!$E$16+1)/MAX(Pipeline!$F$16,1)))+Pipeline!$U$17*Pipeline!$D$17*MIN(1,MAX(0,(56-Pipeline!$E$17+1)/MAX(Pipeline!$F$17,1)))+Pipeline!$U$18*Pipeline!$D$18*MIN(1,MAX(0,(56-Pipeline!$E$18+1)/MAX(Pipeline!$F$18,1)))+Pipeline!$U$19*Pipeline!$D$19*MIN(1,MAX(0,(56-Pipeline!$E$19+1)/MAX(Pipeline!$F$19,1)))+Pipeline!$U$20*Pipeline!$D$20*MIN(1,MAX(0,(56-Pipeline!$E$20+1)/MAX(Pipeline!$F$20,1)))+Pipeline!$U$21*Pipeline!$D$21*MIN(1,MAX(0,(56-Pipeline!$E$21+1)/MAX(Pipeline!$F$21,1)))+Pipeline!$U$22*Pipeline!$D$22*MIN(1,MAX(0,(56-Pipeline!$E$22+1)/MAX(Pipeline!$F$22,1))))/Hipótesis!$E$17</f>
        <v>917.98104750441</v>
      </c>
      <c r="BG18" s="150" t="n">
        <f aca="false">(Pipeline!$U$16*Pipeline!$D$16*MIN(1,MAX(0,(57-Pipeline!$E$16+1)/MAX(Pipeline!$F$16,1)))+Pipeline!$U$17*Pipeline!$D$17*MIN(1,MAX(0,(57-Pipeline!$E$17+1)/MAX(Pipeline!$F$17,1)))+Pipeline!$U$18*Pipeline!$D$18*MIN(1,MAX(0,(57-Pipeline!$E$18+1)/MAX(Pipeline!$F$18,1)))+Pipeline!$U$19*Pipeline!$D$19*MIN(1,MAX(0,(57-Pipeline!$E$19+1)/MAX(Pipeline!$F$19,1)))+Pipeline!$U$20*Pipeline!$D$20*MIN(1,MAX(0,(57-Pipeline!$E$20+1)/MAX(Pipeline!$F$20,1)))+Pipeline!$U$21*Pipeline!$D$21*MIN(1,MAX(0,(57-Pipeline!$E$21+1)/MAX(Pipeline!$F$21,1)))+Pipeline!$U$22*Pipeline!$D$22*MIN(1,MAX(0,(57-Pipeline!$E$22+1)/MAX(Pipeline!$F$22,1))))/Hipótesis!$E$17</f>
        <v>917.98104750441</v>
      </c>
      <c r="BH18" s="150" t="n">
        <f aca="false">(Pipeline!$U$16*Pipeline!$D$16*MIN(1,MAX(0,(58-Pipeline!$E$16+1)/MAX(Pipeline!$F$16,1)))+Pipeline!$U$17*Pipeline!$D$17*MIN(1,MAX(0,(58-Pipeline!$E$17+1)/MAX(Pipeline!$F$17,1)))+Pipeline!$U$18*Pipeline!$D$18*MIN(1,MAX(0,(58-Pipeline!$E$18+1)/MAX(Pipeline!$F$18,1)))+Pipeline!$U$19*Pipeline!$D$19*MIN(1,MAX(0,(58-Pipeline!$E$19+1)/MAX(Pipeline!$F$19,1)))+Pipeline!$U$20*Pipeline!$D$20*MIN(1,MAX(0,(58-Pipeline!$E$20+1)/MAX(Pipeline!$F$20,1)))+Pipeline!$U$21*Pipeline!$D$21*MIN(1,MAX(0,(58-Pipeline!$E$21+1)/MAX(Pipeline!$F$21,1)))+Pipeline!$U$22*Pipeline!$D$22*MIN(1,MAX(0,(58-Pipeline!$E$22+1)/MAX(Pipeline!$F$22,1))))/Hipótesis!$E$17</f>
        <v>917.98104750441</v>
      </c>
      <c r="BI18" s="150" t="n">
        <f aca="false">(Pipeline!$U$16*Pipeline!$D$16*MIN(1,MAX(0,(59-Pipeline!$E$16+1)/MAX(Pipeline!$F$16,1)))+Pipeline!$U$17*Pipeline!$D$17*MIN(1,MAX(0,(59-Pipeline!$E$17+1)/MAX(Pipeline!$F$17,1)))+Pipeline!$U$18*Pipeline!$D$18*MIN(1,MAX(0,(59-Pipeline!$E$18+1)/MAX(Pipeline!$F$18,1)))+Pipeline!$U$19*Pipeline!$D$19*MIN(1,MAX(0,(59-Pipeline!$E$19+1)/MAX(Pipeline!$F$19,1)))+Pipeline!$U$20*Pipeline!$D$20*MIN(1,MAX(0,(59-Pipeline!$E$20+1)/MAX(Pipeline!$F$20,1)))+Pipeline!$U$21*Pipeline!$D$21*MIN(1,MAX(0,(59-Pipeline!$E$21+1)/MAX(Pipeline!$F$21,1)))+Pipeline!$U$22*Pipeline!$D$22*MIN(1,MAX(0,(59-Pipeline!$E$22+1)/MAX(Pipeline!$F$22,1))))/Hipótesis!$E$17</f>
        <v>917.98104750441</v>
      </c>
      <c r="BJ18" s="150" t="n">
        <f aca="false">(Pipeline!$U$16*Pipeline!$D$16*MIN(1,MAX(0,(60-Pipeline!$E$16+1)/MAX(Pipeline!$F$16,1)))+Pipeline!$U$17*Pipeline!$D$17*MIN(1,MAX(0,(60-Pipeline!$E$17+1)/MAX(Pipeline!$F$17,1)))+Pipeline!$U$18*Pipeline!$D$18*MIN(1,MAX(0,(60-Pipeline!$E$18+1)/MAX(Pipeline!$F$18,1)))+Pipeline!$U$19*Pipeline!$D$19*MIN(1,MAX(0,(60-Pipeline!$E$19+1)/MAX(Pipeline!$F$19,1)))+Pipeline!$U$20*Pipeline!$D$20*MIN(1,MAX(0,(60-Pipeline!$E$20+1)/MAX(Pipeline!$F$20,1)))+Pipeline!$U$21*Pipeline!$D$21*MIN(1,MAX(0,(60-Pipeline!$E$21+1)/MAX(Pipeline!$F$21,1)))+Pipeline!$U$22*Pipeline!$D$22*MIN(1,MAX(0,(60-Pipeline!$E$22+1)/MAX(Pipeline!$F$22,1))))/Hipótesis!$E$17</f>
        <v>917.98104750441</v>
      </c>
      <c r="BK18" s="150" t="n">
        <f aca="false">(Pipeline!$U$16*Pipeline!$D$16*MIN(1,MAX(0,(61-Pipeline!$E$16+1)/MAX(Pipeline!$F$16,1)))+Pipeline!$U$17*Pipeline!$D$17*MIN(1,MAX(0,(61-Pipeline!$E$17+1)/MAX(Pipeline!$F$17,1)))+Pipeline!$U$18*Pipeline!$D$18*MIN(1,MAX(0,(61-Pipeline!$E$18+1)/MAX(Pipeline!$F$18,1)))+Pipeline!$U$19*Pipeline!$D$19*MIN(1,MAX(0,(61-Pipeline!$E$19+1)/MAX(Pipeline!$F$19,1)))+Pipeline!$U$20*Pipeline!$D$20*MIN(1,MAX(0,(61-Pipeline!$E$20+1)/MAX(Pipeline!$F$20,1)))+Pipeline!$U$21*Pipeline!$D$21*MIN(1,MAX(0,(61-Pipeline!$E$21+1)/MAX(Pipeline!$F$21,1)))+Pipeline!$U$22*Pipeline!$D$22*MIN(1,MAX(0,(61-Pipeline!$E$22+1)/MAX(Pipeline!$F$22,1))))/Hipótesis!$E$17</f>
        <v>917.98104750441</v>
      </c>
      <c r="BL18" s="150" t="n">
        <f aca="false">(Pipeline!$U$16*Pipeline!$D$16*MIN(1,MAX(0,(62-Pipeline!$E$16+1)/MAX(Pipeline!$F$16,1)))+Pipeline!$U$17*Pipeline!$D$17*MIN(1,MAX(0,(62-Pipeline!$E$17+1)/MAX(Pipeline!$F$17,1)))+Pipeline!$U$18*Pipeline!$D$18*MIN(1,MAX(0,(62-Pipeline!$E$18+1)/MAX(Pipeline!$F$18,1)))+Pipeline!$U$19*Pipeline!$D$19*MIN(1,MAX(0,(62-Pipeline!$E$19+1)/MAX(Pipeline!$F$19,1)))+Pipeline!$U$20*Pipeline!$D$20*MIN(1,MAX(0,(62-Pipeline!$E$20+1)/MAX(Pipeline!$F$20,1)))+Pipeline!$U$21*Pipeline!$D$21*MIN(1,MAX(0,(62-Pipeline!$E$21+1)/MAX(Pipeline!$F$21,1)))+Pipeline!$U$22*Pipeline!$D$22*MIN(1,MAX(0,(62-Pipeline!$E$22+1)/MAX(Pipeline!$F$22,1))))/Hipótesis!$E$17</f>
        <v>917.98104750441</v>
      </c>
      <c r="BM18" s="150" t="n">
        <f aca="false">(Pipeline!$U$16*Pipeline!$D$16*MIN(1,MAX(0,(63-Pipeline!$E$16+1)/MAX(Pipeline!$F$16,1)))+Pipeline!$U$17*Pipeline!$D$17*MIN(1,MAX(0,(63-Pipeline!$E$17+1)/MAX(Pipeline!$F$17,1)))+Pipeline!$U$18*Pipeline!$D$18*MIN(1,MAX(0,(63-Pipeline!$E$18+1)/MAX(Pipeline!$F$18,1)))+Pipeline!$U$19*Pipeline!$D$19*MIN(1,MAX(0,(63-Pipeline!$E$19+1)/MAX(Pipeline!$F$19,1)))+Pipeline!$U$20*Pipeline!$D$20*MIN(1,MAX(0,(63-Pipeline!$E$20+1)/MAX(Pipeline!$F$20,1)))+Pipeline!$U$21*Pipeline!$D$21*MIN(1,MAX(0,(63-Pipeline!$E$21+1)/MAX(Pipeline!$F$21,1)))+Pipeline!$U$22*Pipeline!$D$22*MIN(1,MAX(0,(63-Pipeline!$E$22+1)/MAX(Pipeline!$F$22,1))))/Hipótesis!$E$17</f>
        <v>917.98104750441</v>
      </c>
      <c r="BN18" s="150" t="n">
        <f aca="false">(Pipeline!$U$16*Pipeline!$D$16*MIN(1,MAX(0,(64-Pipeline!$E$16+1)/MAX(Pipeline!$F$16,1)))+Pipeline!$U$17*Pipeline!$D$17*MIN(1,MAX(0,(64-Pipeline!$E$17+1)/MAX(Pipeline!$F$17,1)))+Pipeline!$U$18*Pipeline!$D$18*MIN(1,MAX(0,(64-Pipeline!$E$18+1)/MAX(Pipeline!$F$18,1)))+Pipeline!$U$19*Pipeline!$D$19*MIN(1,MAX(0,(64-Pipeline!$E$19+1)/MAX(Pipeline!$F$19,1)))+Pipeline!$U$20*Pipeline!$D$20*MIN(1,MAX(0,(64-Pipeline!$E$20+1)/MAX(Pipeline!$F$20,1)))+Pipeline!$U$21*Pipeline!$D$21*MIN(1,MAX(0,(64-Pipeline!$E$21+1)/MAX(Pipeline!$F$21,1)))+Pipeline!$U$22*Pipeline!$D$22*MIN(1,MAX(0,(64-Pipeline!$E$22+1)/MAX(Pipeline!$F$22,1))))/Hipótesis!$E$17</f>
        <v>917.98104750441</v>
      </c>
      <c r="BO18" s="150" t="n">
        <f aca="false">(Pipeline!$U$16*Pipeline!$D$16*MIN(1,MAX(0,(65-Pipeline!$E$16+1)/MAX(Pipeline!$F$16,1)))+Pipeline!$U$17*Pipeline!$D$17*MIN(1,MAX(0,(65-Pipeline!$E$17+1)/MAX(Pipeline!$F$17,1)))+Pipeline!$U$18*Pipeline!$D$18*MIN(1,MAX(0,(65-Pipeline!$E$18+1)/MAX(Pipeline!$F$18,1)))+Pipeline!$U$19*Pipeline!$D$19*MIN(1,MAX(0,(65-Pipeline!$E$19+1)/MAX(Pipeline!$F$19,1)))+Pipeline!$U$20*Pipeline!$D$20*MIN(1,MAX(0,(65-Pipeline!$E$20+1)/MAX(Pipeline!$F$20,1)))+Pipeline!$U$21*Pipeline!$D$21*MIN(1,MAX(0,(65-Pipeline!$E$21+1)/MAX(Pipeline!$F$21,1)))+Pipeline!$U$22*Pipeline!$D$22*MIN(1,MAX(0,(65-Pipeline!$E$22+1)/MAX(Pipeline!$F$22,1))))/Hipótesis!$E$17</f>
        <v>917.98104750441</v>
      </c>
      <c r="BP18" s="150" t="n">
        <f aca="false">(Pipeline!$U$16*Pipeline!$D$16*MIN(1,MAX(0,(66-Pipeline!$E$16+1)/MAX(Pipeline!$F$16,1)))+Pipeline!$U$17*Pipeline!$D$17*MIN(1,MAX(0,(66-Pipeline!$E$17+1)/MAX(Pipeline!$F$17,1)))+Pipeline!$U$18*Pipeline!$D$18*MIN(1,MAX(0,(66-Pipeline!$E$18+1)/MAX(Pipeline!$F$18,1)))+Pipeline!$U$19*Pipeline!$D$19*MIN(1,MAX(0,(66-Pipeline!$E$19+1)/MAX(Pipeline!$F$19,1)))+Pipeline!$U$20*Pipeline!$D$20*MIN(1,MAX(0,(66-Pipeline!$E$20+1)/MAX(Pipeline!$F$20,1)))+Pipeline!$U$21*Pipeline!$D$21*MIN(1,MAX(0,(66-Pipeline!$E$21+1)/MAX(Pipeline!$F$21,1)))+Pipeline!$U$22*Pipeline!$D$22*MIN(1,MAX(0,(66-Pipeline!$E$22+1)/MAX(Pipeline!$F$22,1))))/Hipótesis!$E$17</f>
        <v>917.98104750441</v>
      </c>
      <c r="BQ18" s="150" t="n">
        <f aca="false">(Pipeline!$U$16*Pipeline!$D$16*MIN(1,MAX(0,(67-Pipeline!$E$16+1)/MAX(Pipeline!$F$16,1)))+Pipeline!$U$17*Pipeline!$D$17*MIN(1,MAX(0,(67-Pipeline!$E$17+1)/MAX(Pipeline!$F$17,1)))+Pipeline!$U$18*Pipeline!$D$18*MIN(1,MAX(0,(67-Pipeline!$E$18+1)/MAX(Pipeline!$F$18,1)))+Pipeline!$U$19*Pipeline!$D$19*MIN(1,MAX(0,(67-Pipeline!$E$19+1)/MAX(Pipeline!$F$19,1)))+Pipeline!$U$20*Pipeline!$D$20*MIN(1,MAX(0,(67-Pipeline!$E$20+1)/MAX(Pipeline!$F$20,1)))+Pipeline!$U$21*Pipeline!$D$21*MIN(1,MAX(0,(67-Pipeline!$E$21+1)/MAX(Pipeline!$F$21,1)))+Pipeline!$U$22*Pipeline!$D$22*MIN(1,MAX(0,(67-Pipeline!$E$22+1)/MAX(Pipeline!$F$22,1))))/Hipótesis!$E$17</f>
        <v>917.98104750441</v>
      </c>
      <c r="BR18" s="150" t="n">
        <f aca="false">(Pipeline!$U$16*Pipeline!$D$16*MIN(1,MAX(0,(68-Pipeline!$E$16+1)/MAX(Pipeline!$F$16,1)))+Pipeline!$U$17*Pipeline!$D$17*MIN(1,MAX(0,(68-Pipeline!$E$17+1)/MAX(Pipeline!$F$17,1)))+Pipeline!$U$18*Pipeline!$D$18*MIN(1,MAX(0,(68-Pipeline!$E$18+1)/MAX(Pipeline!$F$18,1)))+Pipeline!$U$19*Pipeline!$D$19*MIN(1,MAX(0,(68-Pipeline!$E$19+1)/MAX(Pipeline!$F$19,1)))+Pipeline!$U$20*Pipeline!$D$20*MIN(1,MAX(0,(68-Pipeline!$E$20+1)/MAX(Pipeline!$F$20,1)))+Pipeline!$U$21*Pipeline!$D$21*MIN(1,MAX(0,(68-Pipeline!$E$21+1)/MAX(Pipeline!$F$21,1)))+Pipeline!$U$22*Pipeline!$D$22*MIN(1,MAX(0,(68-Pipeline!$E$22+1)/MAX(Pipeline!$F$22,1))))/Hipótesis!$E$17</f>
        <v>917.98104750441</v>
      </c>
      <c r="BS18" s="150" t="n">
        <f aca="false">(Pipeline!$U$16*Pipeline!$D$16*MIN(1,MAX(0,(69-Pipeline!$E$16+1)/MAX(Pipeline!$F$16,1)))+Pipeline!$U$17*Pipeline!$D$17*MIN(1,MAX(0,(69-Pipeline!$E$17+1)/MAX(Pipeline!$F$17,1)))+Pipeline!$U$18*Pipeline!$D$18*MIN(1,MAX(0,(69-Pipeline!$E$18+1)/MAX(Pipeline!$F$18,1)))+Pipeline!$U$19*Pipeline!$D$19*MIN(1,MAX(0,(69-Pipeline!$E$19+1)/MAX(Pipeline!$F$19,1)))+Pipeline!$U$20*Pipeline!$D$20*MIN(1,MAX(0,(69-Pipeline!$E$20+1)/MAX(Pipeline!$F$20,1)))+Pipeline!$U$21*Pipeline!$D$21*MIN(1,MAX(0,(69-Pipeline!$E$21+1)/MAX(Pipeline!$F$21,1)))+Pipeline!$U$22*Pipeline!$D$22*MIN(1,MAX(0,(69-Pipeline!$E$22+1)/MAX(Pipeline!$F$22,1))))/Hipótesis!$E$17</f>
        <v>917.98104750441</v>
      </c>
      <c r="BT18" s="150" t="n">
        <f aca="false">(Pipeline!$U$16*Pipeline!$D$16*MIN(1,MAX(0,(70-Pipeline!$E$16+1)/MAX(Pipeline!$F$16,1)))+Pipeline!$U$17*Pipeline!$D$17*MIN(1,MAX(0,(70-Pipeline!$E$17+1)/MAX(Pipeline!$F$17,1)))+Pipeline!$U$18*Pipeline!$D$18*MIN(1,MAX(0,(70-Pipeline!$E$18+1)/MAX(Pipeline!$F$18,1)))+Pipeline!$U$19*Pipeline!$D$19*MIN(1,MAX(0,(70-Pipeline!$E$19+1)/MAX(Pipeline!$F$19,1)))+Pipeline!$U$20*Pipeline!$D$20*MIN(1,MAX(0,(70-Pipeline!$E$20+1)/MAX(Pipeline!$F$20,1)))+Pipeline!$U$21*Pipeline!$D$21*MIN(1,MAX(0,(70-Pipeline!$E$21+1)/MAX(Pipeline!$F$21,1)))+Pipeline!$U$22*Pipeline!$D$22*MIN(1,MAX(0,(70-Pipeline!$E$22+1)/MAX(Pipeline!$F$22,1))))/Hipótesis!$E$17</f>
        <v>917.98104750441</v>
      </c>
      <c r="BU18" s="150" t="n">
        <f aca="false">(Pipeline!$U$16*Pipeline!$D$16*MIN(1,MAX(0,(71-Pipeline!$E$16+1)/MAX(Pipeline!$F$16,1)))+Pipeline!$U$17*Pipeline!$D$17*MIN(1,MAX(0,(71-Pipeline!$E$17+1)/MAX(Pipeline!$F$17,1)))+Pipeline!$U$18*Pipeline!$D$18*MIN(1,MAX(0,(71-Pipeline!$E$18+1)/MAX(Pipeline!$F$18,1)))+Pipeline!$U$19*Pipeline!$D$19*MIN(1,MAX(0,(71-Pipeline!$E$19+1)/MAX(Pipeline!$F$19,1)))+Pipeline!$U$20*Pipeline!$D$20*MIN(1,MAX(0,(71-Pipeline!$E$20+1)/MAX(Pipeline!$F$20,1)))+Pipeline!$U$21*Pipeline!$D$21*MIN(1,MAX(0,(71-Pipeline!$E$21+1)/MAX(Pipeline!$F$21,1)))+Pipeline!$U$22*Pipeline!$D$22*MIN(1,MAX(0,(71-Pipeline!$E$22+1)/MAX(Pipeline!$F$22,1))))/Hipótesis!$E$17</f>
        <v>917.98104750441</v>
      </c>
      <c r="BV18" s="150" t="n">
        <f aca="false">(Pipeline!$U$16*Pipeline!$D$16*MIN(1,MAX(0,(72-Pipeline!$E$16+1)/MAX(Pipeline!$F$16,1)))+Pipeline!$U$17*Pipeline!$D$17*MIN(1,MAX(0,(72-Pipeline!$E$17+1)/MAX(Pipeline!$F$17,1)))+Pipeline!$U$18*Pipeline!$D$18*MIN(1,MAX(0,(72-Pipeline!$E$18+1)/MAX(Pipeline!$F$18,1)))+Pipeline!$U$19*Pipeline!$D$19*MIN(1,MAX(0,(72-Pipeline!$E$19+1)/MAX(Pipeline!$F$19,1)))+Pipeline!$U$20*Pipeline!$D$20*MIN(1,MAX(0,(72-Pipeline!$E$20+1)/MAX(Pipeline!$F$20,1)))+Pipeline!$U$21*Pipeline!$D$21*MIN(1,MAX(0,(72-Pipeline!$E$21+1)/MAX(Pipeline!$F$21,1)))+Pipeline!$U$22*Pipeline!$D$22*MIN(1,MAX(0,(72-Pipeline!$E$22+1)/MAX(Pipeline!$F$22,1))))/Hipótesis!$E$17</f>
        <v>917.98104750441</v>
      </c>
      <c r="BW18" s="150" t="n">
        <f aca="false">(Pipeline!$U$16*Pipeline!$D$16*MIN(1,MAX(0,(73-Pipeline!$E$16+1)/MAX(Pipeline!$F$16,1)))+Pipeline!$U$17*Pipeline!$D$17*MIN(1,MAX(0,(73-Pipeline!$E$17+1)/MAX(Pipeline!$F$17,1)))+Pipeline!$U$18*Pipeline!$D$18*MIN(1,MAX(0,(73-Pipeline!$E$18+1)/MAX(Pipeline!$F$18,1)))+Pipeline!$U$19*Pipeline!$D$19*MIN(1,MAX(0,(73-Pipeline!$E$19+1)/MAX(Pipeline!$F$19,1)))+Pipeline!$U$20*Pipeline!$D$20*MIN(1,MAX(0,(73-Pipeline!$E$20+1)/MAX(Pipeline!$F$20,1)))+Pipeline!$U$21*Pipeline!$D$21*MIN(1,MAX(0,(73-Pipeline!$E$21+1)/MAX(Pipeline!$F$21,1)))+Pipeline!$U$22*Pipeline!$D$22*MIN(1,MAX(0,(73-Pipeline!$E$22+1)/MAX(Pipeline!$F$22,1))))/Hipótesis!$E$17</f>
        <v>917.98104750441</v>
      </c>
      <c r="BX18" s="150" t="n">
        <f aca="false">(Pipeline!$U$16*Pipeline!$D$16*MIN(1,MAX(0,(74-Pipeline!$E$16+1)/MAX(Pipeline!$F$16,1)))+Pipeline!$U$17*Pipeline!$D$17*MIN(1,MAX(0,(74-Pipeline!$E$17+1)/MAX(Pipeline!$F$17,1)))+Pipeline!$U$18*Pipeline!$D$18*MIN(1,MAX(0,(74-Pipeline!$E$18+1)/MAX(Pipeline!$F$18,1)))+Pipeline!$U$19*Pipeline!$D$19*MIN(1,MAX(0,(74-Pipeline!$E$19+1)/MAX(Pipeline!$F$19,1)))+Pipeline!$U$20*Pipeline!$D$20*MIN(1,MAX(0,(74-Pipeline!$E$20+1)/MAX(Pipeline!$F$20,1)))+Pipeline!$U$21*Pipeline!$D$21*MIN(1,MAX(0,(74-Pipeline!$E$21+1)/MAX(Pipeline!$F$21,1)))+Pipeline!$U$22*Pipeline!$D$22*MIN(1,MAX(0,(74-Pipeline!$E$22+1)/MAX(Pipeline!$F$22,1))))/Hipótesis!$E$17</f>
        <v>917.98104750441</v>
      </c>
      <c r="BY18" s="150" t="n">
        <f aca="false">(Pipeline!$U$16*Pipeline!$D$16*MIN(1,MAX(0,(75-Pipeline!$E$16+1)/MAX(Pipeline!$F$16,1)))+Pipeline!$U$17*Pipeline!$D$17*MIN(1,MAX(0,(75-Pipeline!$E$17+1)/MAX(Pipeline!$F$17,1)))+Pipeline!$U$18*Pipeline!$D$18*MIN(1,MAX(0,(75-Pipeline!$E$18+1)/MAX(Pipeline!$F$18,1)))+Pipeline!$U$19*Pipeline!$D$19*MIN(1,MAX(0,(75-Pipeline!$E$19+1)/MAX(Pipeline!$F$19,1)))+Pipeline!$U$20*Pipeline!$D$20*MIN(1,MAX(0,(75-Pipeline!$E$20+1)/MAX(Pipeline!$F$20,1)))+Pipeline!$U$21*Pipeline!$D$21*MIN(1,MAX(0,(75-Pipeline!$E$21+1)/MAX(Pipeline!$F$21,1)))+Pipeline!$U$22*Pipeline!$D$22*MIN(1,MAX(0,(75-Pipeline!$E$22+1)/MAX(Pipeline!$F$22,1))))/Hipótesis!$E$17</f>
        <v>917.98104750441</v>
      </c>
      <c r="BZ18" s="150" t="n">
        <f aca="false">(Pipeline!$U$16*Pipeline!$D$16*MIN(1,MAX(0,(76-Pipeline!$E$16+1)/MAX(Pipeline!$F$16,1)))+Pipeline!$U$17*Pipeline!$D$17*MIN(1,MAX(0,(76-Pipeline!$E$17+1)/MAX(Pipeline!$F$17,1)))+Pipeline!$U$18*Pipeline!$D$18*MIN(1,MAX(0,(76-Pipeline!$E$18+1)/MAX(Pipeline!$F$18,1)))+Pipeline!$U$19*Pipeline!$D$19*MIN(1,MAX(0,(76-Pipeline!$E$19+1)/MAX(Pipeline!$F$19,1)))+Pipeline!$U$20*Pipeline!$D$20*MIN(1,MAX(0,(76-Pipeline!$E$20+1)/MAX(Pipeline!$F$20,1)))+Pipeline!$U$21*Pipeline!$D$21*MIN(1,MAX(0,(76-Pipeline!$E$21+1)/MAX(Pipeline!$F$21,1)))+Pipeline!$U$22*Pipeline!$D$22*MIN(1,MAX(0,(76-Pipeline!$E$22+1)/MAX(Pipeline!$F$22,1))))/Hipótesis!$E$17</f>
        <v>917.98104750441</v>
      </c>
      <c r="CA18" s="150" t="n">
        <f aca="false">(Pipeline!$U$16*Pipeline!$D$16*MIN(1,MAX(0,(77-Pipeline!$E$16+1)/MAX(Pipeline!$F$16,1)))+Pipeline!$U$17*Pipeline!$D$17*MIN(1,MAX(0,(77-Pipeline!$E$17+1)/MAX(Pipeline!$F$17,1)))+Pipeline!$U$18*Pipeline!$D$18*MIN(1,MAX(0,(77-Pipeline!$E$18+1)/MAX(Pipeline!$F$18,1)))+Pipeline!$U$19*Pipeline!$D$19*MIN(1,MAX(0,(77-Pipeline!$E$19+1)/MAX(Pipeline!$F$19,1)))+Pipeline!$U$20*Pipeline!$D$20*MIN(1,MAX(0,(77-Pipeline!$E$20+1)/MAX(Pipeline!$F$20,1)))+Pipeline!$U$21*Pipeline!$D$21*MIN(1,MAX(0,(77-Pipeline!$E$21+1)/MAX(Pipeline!$F$21,1)))+Pipeline!$U$22*Pipeline!$D$22*MIN(1,MAX(0,(77-Pipeline!$E$22+1)/MAX(Pipeline!$F$22,1))))/Hipótesis!$E$17</f>
        <v>917.98104750441</v>
      </c>
      <c r="CB18" s="150" t="n">
        <f aca="false">(Pipeline!$U$16*Pipeline!$D$16*MIN(1,MAX(0,(78-Pipeline!$E$16+1)/MAX(Pipeline!$F$16,1)))+Pipeline!$U$17*Pipeline!$D$17*MIN(1,MAX(0,(78-Pipeline!$E$17+1)/MAX(Pipeline!$F$17,1)))+Pipeline!$U$18*Pipeline!$D$18*MIN(1,MAX(0,(78-Pipeline!$E$18+1)/MAX(Pipeline!$F$18,1)))+Pipeline!$U$19*Pipeline!$D$19*MIN(1,MAX(0,(78-Pipeline!$E$19+1)/MAX(Pipeline!$F$19,1)))+Pipeline!$U$20*Pipeline!$D$20*MIN(1,MAX(0,(78-Pipeline!$E$20+1)/MAX(Pipeline!$F$20,1)))+Pipeline!$U$21*Pipeline!$D$21*MIN(1,MAX(0,(78-Pipeline!$E$21+1)/MAX(Pipeline!$F$21,1)))+Pipeline!$U$22*Pipeline!$D$22*MIN(1,MAX(0,(78-Pipeline!$E$22+1)/MAX(Pipeline!$F$22,1))))/Hipótesis!$E$17</f>
        <v>917.98104750441</v>
      </c>
      <c r="CC18" s="150" t="n">
        <f aca="false">(Pipeline!$U$16*Pipeline!$D$16*MIN(1,MAX(0,(79-Pipeline!$E$16+1)/MAX(Pipeline!$F$16,1)))+Pipeline!$U$17*Pipeline!$D$17*MIN(1,MAX(0,(79-Pipeline!$E$17+1)/MAX(Pipeline!$F$17,1)))+Pipeline!$U$18*Pipeline!$D$18*MIN(1,MAX(0,(79-Pipeline!$E$18+1)/MAX(Pipeline!$F$18,1)))+Pipeline!$U$19*Pipeline!$D$19*MIN(1,MAX(0,(79-Pipeline!$E$19+1)/MAX(Pipeline!$F$19,1)))+Pipeline!$U$20*Pipeline!$D$20*MIN(1,MAX(0,(79-Pipeline!$E$20+1)/MAX(Pipeline!$F$20,1)))+Pipeline!$U$21*Pipeline!$D$21*MIN(1,MAX(0,(79-Pipeline!$E$21+1)/MAX(Pipeline!$F$21,1)))+Pipeline!$U$22*Pipeline!$D$22*MIN(1,MAX(0,(79-Pipeline!$E$22+1)/MAX(Pipeline!$F$22,1))))/Hipótesis!$E$17</f>
        <v>917.98104750441</v>
      </c>
      <c r="CD18" s="150" t="n">
        <f aca="false">(Pipeline!$U$16*Pipeline!$D$16*MIN(1,MAX(0,(80-Pipeline!$E$16+1)/MAX(Pipeline!$F$16,1)))+Pipeline!$U$17*Pipeline!$D$17*MIN(1,MAX(0,(80-Pipeline!$E$17+1)/MAX(Pipeline!$F$17,1)))+Pipeline!$U$18*Pipeline!$D$18*MIN(1,MAX(0,(80-Pipeline!$E$18+1)/MAX(Pipeline!$F$18,1)))+Pipeline!$U$19*Pipeline!$D$19*MIN(1,MAX(0,(80-Pipeline!$E$19+1)/MAX(Pipeline!$F$19,1)))+Pipeline!$U$20*Pipeline!$D$20*MIN(1,MAX(0,(80-Pipeline!$E$20+1)/MAX(Pipeline!$F$20,1)))+Pipeline!$U$21*Pipeline!$D$21*MIN(1,MAX(0,(80-Pipeline!$E$21+1)/MAX(Pipeline!$F$21,1)))+Pipeline!$U$22*Pipeline!$D$22*MIN(1,MAX(0,(80-Pipeline!$E$22+1)/MAX(Pipeline!$F$22,1))))/Hipótesis!$E$17</f>
        <v>917.98104750441</v>
      </c>
      <c r="CE18" s="150" t="n">
        <f aca="false">(Pipeline!$U$16*Pipeline!$D$16*MIN(1,MAX(0,(81-Pipeline!$E$16+1)/MAX(Pipeline!$F$16,1)))+Pipeline!$U$17*Pipeline!$D$17*MIN(1,MAX(0,(81-Pipeline!$E$17+1)/MAX(Pipeline!$F$17,1)))+Pipeline!$U$18*Pipeline!$D$18*MIN(1,MAX(0,(81-Pipeline!$E$18+1)/MAX(Pipeline!$F$18,1)))+Pipeline!$U$19*Pipeline!$D$19*MIN(1,MAX(0,(81-Pipeline!$E$19+1)/MAX(Pipeline!$F$19,1)))+Pipeline!$U$20*Pipeline!$D$20*MIN(1,MAX(0,(81-Pipeline!$E$20+1)/MAX(Pipeline!$F$20,1)))+Pipeline!$U$21*Pipeline!$D$21*MIN(1,MAX(0,(81-Pipeline!$E$21+1)/MAX(Pipeline!$F$21,1)))+Pipeline!$U$22*Pipeline!$D$22*MIN(1,MAX(0,(81-Pipeline!$E$22+1)/MAX(Pipeline!$F$22,1))))/Hipótesis!$E$17</f>
        <v>917.98104750441</v>
      </c>
      <c r="CF18" s="150" t="n">
        <f aca="false">(Pipeline!$U$16*Pipeline!$D$16*MIN(1,MAX(0,(82-Pipeline!$E$16+1)/MAX(Pipeline!$F$16,1)))+Pipeline!$U$17*Pipeline!$D$17*MIN(1,MAX(0,(82-Pipeline!$E$17+1)/MAX(Pipeline!$F$17,1)))+Pipeline!$U$18*Pipeline!$D$18*MIN(1,MAX(0,(82-Pipeline!$E$18+1)/MAX(Pipeline!$F$18,1)))+Pipeline!$U$19*Pipeline!$D$19*MIN(1,MAX(0,(82-Pipeline!$E$19+1)/MAX(Pipeline!$F$19,1)))+Pipeline!$U$20*Pipeline!$D$20*MIN(1,MAX(0,(82-Pipeline!$E$20+1)/MAX(Pipeline!$F$20,1)))+Pipeline!$U$21*Pipeline!$D$21*MIN(1,MAX(0,(82-Pipeline!$E$21+1)/MAX(Pipeline!$F$21,1)))+Pipeline!$U$22*Pipeline!$D$22*MIN(1,MAX(0,(82-Pipeline!$E$22+1)/MAX(Pipeline!$F$22,1))))/Hipótesis!$E$17</f>
        <v>917.98104750441</v>
      </c>
      <c r="CG18" s="150" t="n">
        <f aca="false">(Pipeline!$U$16*Pipeline!$D$16*MIN(1,MAX(0,(83-Pipeline!$E$16+1)/MAX(Pipeline!$F$16,1)))+Pipeline!$U$17*Pipeline!$D$17*MIN(1,MAX(0,(83-Pipeline!$E$17+1)/MAX(Pipeline!$F$17,1)))+Pipeline!$U$18*Pipeline!$D$18*MIN(1,MAX(0,(83-Pipeline!$E$18+1)/MAX(Pipeline!$F$18,1)))+Pipeline!$U$19*Pipeline!$D$19*MIN(1,MAX(0,(83-Pipeline!$E$19+1)/MAX(Pipeline!$F$19,1)))+Pipeline!$U$20*Pipeline!$D$20*MIN(1,MAX(0,(83-Pipeline!$E$20+1)/MAX(Pipeline!$F$20,1)))+Pipeline!$U$21*Pipeline!$D$21*MIN(1,MAX(0,(83-Pipeline!$E$21+1)/MAX(Pipeline!$F$21,1)))+Pipeline!$U$22*Pipeline!$D$22*MIN(1,MAX(0,(83-Pipeline!$E$22+1)/MAX(Pipeline!$F$22,1))))/Hipótesis!$E$17</f>
        <v>917.98104750441</v>
      </c>
      <c r="CH18" s="150" t="n">
        <f aca="false">(Pipeline!$U$16*Pipeline!$D$16*MIN(1,MAX(0,(84-Pipeline!$E$16+1)/MAX(Pipeline!$F$16,1)))+Pipeline!$U$17*Pipeline!$D$17*MIN(1,MAX(0,(84-Pipeline!$E$17+1)/MAX(Pipeline!$F$17,1)))+Pipeline!$U$18*Pipeline!$D$18*MIN(1,MAX(0,(84-Pipeline!$E$18+1)/MAX(Pipeline!$F$18,1)))+Pipeline!$U$19*Pipeline!$D$19*MIN(1,MAX(0,(84-Pipeline!$E$19+1)/MAX(Pipeline!$F$19,1)))+Pipeline!$U$20*Pipeline!$D$20*MIN(1,MAX(0,(84-Pipeline!$E$20+1)/MAX(Pipeline!$F$20,1)))+Pipeline!$U$21*Pipeline!$D$21*MIN(1,MAX(0,(84-Pipeline!$E$21+1)/MAX(Pipeline!$F$21,1)))+Pipeline!$U$22*Pipeline!$D$22*MIN(1,MAX(0,(84-Pipeline!$E$22+1)/MAX(Pipeline!$F$22,1))))/Hipótesis!$E$17</f>
        <v>917.98104750441</v>
      </c>
    </row>
    <row r="19" customFormat="false" ht="13.5" hidden="false" customHeight="true" outlineLevel="0" collapsed="false">
      <c r="A19" s="13" t="s">
        <v>702</v>
      </c>
      <c r="C19" s="138" t="n">
        <f aca="false">Pipeline!$W$16*Pipeline!$D$16*MIN(1,MAX(0,(1-Pipeline!$E$16+1)/MAX(Pipeline!$F$16,1)))+Pipeline!$W$17*Pipeline!$D$17*MIN(1,MAX(0,(1-Pipeline!$E$17+1)/MAX(Pipeline!$F$17,1)))+Pipeline!$W$18*Pipeline!$D$18*MIN(1,MAX(0,(1-Pipeline!$E$18+1)/MAX(Pipeline!$F$18,1)))+Pipeline!$W$19*Pipeline!$D$19*MIN(1,MAX(0,(1-Pipeline!$E$19+1)/MAX(Pipeline!$F$19,1)))+Pipeline!$W$20*Pipeline!$D$20*MIN(1,MAX(0,(1-Pipeline!$E$20+1)/MAX(Pipeline!$F$20,1)))+Pipeline!$W$21*Pipeline!$D$21*MIN(1,MAX(0,(1-Pipeline!$E$21+1)/MAX(Pipeline!$F$21,1)))+Pipeline!$W$22*Pipeline!$D$22*MIN(1,MAX(0,(1-Pipeline!$E$22+1)/MAX(Pipeline!$F$22,1)))</f>
        <v>136.64254338843</v>
      </c>
      <c r="D19" s="138" t="n">
        <f aca="false">Pipeline!$W$16*Pipeline!$D$16*MIN(1,MAX(0,(2-Pipeline!$E$16+1)/MAX(Pipeline!$F$16,1)))+Pipeline!$W$17*Pipeline!$D$17*MIN(1,MAX(0,(2-Pipeline!$E$17+1)/MAX(Pipeline!$F$17,1)))+Pipeline!$W$18*Pipeline!$D$18*MIN(1,MAX(0,(2-Pipeline!$E$18+1)/MAX(Pipeline!$F$18,1)))+Pipeline!$W$19*Pipeline!$D$19*MIN(1,MAX(0,(2-Pipeline!$E$19+1)/MAX(Pipeline!$F$19,1)))+Pipeline!$W$20*Pipeline!$D$20*MIN(1,MAX(0,(2-Pipeline!$E$20+1)/MAX(Pipeline!$F$20,1)))+Pipeline!$W$21*Pipeline!$D$21*MIN(1,MAX(0,(2-Pipeline!$E$21+1)/MAX(Pipeline!$F$21,1)))+Pipeline!$W$22*Pipeline!$D$22*MIN(1,MAX(0,(2-Pipeline!$E$22+1)/MAX(Pipeline!$F$22,1)))</f>
        <v>288.258822994652</v>
      </c>
      <c r="E19" s="138" t="n">
        <f aca="false">Pipeline!$W$16*Pipeline!$D$16*MIN(1,MAX(0,(3-Pipeline!$E$16+1)/MAX(Pipeline!$F$16,1)))+Pipeline!$W$17*Pipeline!$D$17*MIN(1,MAX(0,(3-Pipeline!$E$17+1)/MAX(Pipeline!$F$17,1)))+Pipeline!$W$18*Pipeline!$D$18*MIN(1,MAX(0,(3-Pipeline!$E$18+1)/MAX(Pipeline!$F$18,1)))+Pipeline!$W$19*Pipeline!$D$19*MIN(1,MAX(0,(3-Pipeline!$E$19+1)/MAX(Pipeline!$F$19,1)))+Pipeline!$W$20*Pipeline!$D$20*MIN(1,MAX(0,(3-Pipeline!$E$20+1)/MAX(Pipeline!$F$20,1)))+Pipeline!$W$21*Pipeline!$D$21*MIN(1,MAX(0,(3-Pipeline!$E$21+1)/MAX(Pipeline!$F$21,1)))+Pipeline!$W$22*Pipeline!$D$22*MIN(1,MAX(0,(3-Pipeline!$E$22+1)/MAX(Pipeline!$F$22,1)))</f>
        <v>655.025460708271</v>
      </c>
      <c r="F19" s="138" t="n">
        <f aca="false">Pipeline!$W$16*Pipeline!$D$16*MIN(1,MAX(0,(4-Pipeline!$E$16+1)/MAX(Pipeline!$F$16,1)))+Pipeline!$W$17*Pipeline!$D$17*MIN(1,MAX(0,(4-Pipeline!$E$17+1)/MAX(Pipeline!$F$17,1)))+Pipeline!$W$18*Pipeline!$D$18*MIN(1,MAX(0,(4-Pipeline!$E$18+1)/MAX(Pipeline!$F$18,1)))+Pipeline!$W$19*Pipeline!$D$19*MIN(1,MAX(0,(4-Pipeline!$E$19+1)/MAX(Pipeline!$F$19,1)))+Pipeline!$W$20*Pipeline!$D$20*MIN(1,MAX(0,(4-Pipeline!$E$20+1)/MAX(Pipeline!$F$20,1)))+Pipeline!$W$21*Pipeline!$D$21*MIN(1,MAX(0,(4-Pipeline!$E$21+1)/MAX(Pipeline!$F$21,1)))+Pipeline!$W$22*Pipeline!$D$22*MIN(1,MAX(0,(4-Pipeline!$E$22+1)/MAX(Pipeline!$F$22,1)))</f>
        <v>885.14955503346</v>
      </c>
      <c r="G19" s="138" t="n">
        <f aca="false">Pipeline!$W$16*Pipeline!$D$16*MIN(1,MAX(0,(5-Pipeline!$E$16+1)/MAX(Pipeline!$F$16,1)))+Pipeline!$W$17*Pipeline!$D$17*MIN(1,MAX(0,(5-Pipeline!$E$17+1)/MAX(Pipeline!$F$17,1)))+Pipeline!$W$18*Pipeline!$D$18*MIN(1,MAX(0,(5-Pipeline!$E$18+1)/MAX(Pipeline!$F$18,1)))+Pipeline!$W$19*Pipeline!$D$19*MIN(1,MAX(0,(5-Pipeline!$E$19+1)/MAX(Pipeline!$F$19,1)))+Pipeline!$W$20*Pipeline!$D$20*MIN(1,MAX(0,(5-Pipeline!$E$20+1)/MAX(Pipeline!$F$20,1)))+Pipeline!$W$21*Pipeline!$D$21*MIN(1,MAX(0,(5-Pipeline!$E$21+1)/MAX(Pipeline!$F$21,1)))+Pipeline!$W$22*Pipeline!$D$22*MIN(1,MAX(0,(5-Pipeline!$E$22+1)/MAX(Pipeline!$F$22,1)))</f>
        <v>1100.29991314086</v>
      </c>
      <c r="H19" s="138" t="n">
        <f aca="false">Pipeline!$W$16*Pipeline!$D$16*MIN(1,MAX(0,(6-Pipeline!$E$16+1)/MAX(Pipeline!$F$16,1)))+Pipeline!$W$17*Pipeline!$D$17*MIN(1,MAX(0,(6-Pipeline!$E$17+1)/MAX(Pipeline!$F$17,1)))+Pipeline!$W$18*Pipeline!$D$18*MIN(1,MAX(0,(6-Pipeline!$E$18+1)/MAX(Pipeline!$F$18,1)))+Pipeline!$W$19*Pipeline!$D$19*MIN(1,MAX(0,(6-Pipeline!$E$19+1)/MAX(Pipeline!$F$19,1)))+Pipeline!$W$20*Pipeline!$D$20*MIN(1,MAX(0,(6-Pipeline!$E$20+1)/MAX(Pipeline!$F$20,1)))+Pipeline!$W$21*Pipeline!$D$21*MIN(1,MAX(0,(6-Pipeline!$E$21+1)/MAX(Pipeline!$F$21,1)))+Pipeline!$W$22*Pipeline!$D$22*MIN(1,MAX(0,(6-Pipeline!$E$22+1)/MAX(Pipeline!$F$22,1)))</f>
        <v>1487.02433207713</v>
      </c>
      <c r="I19" s="138" t="n">
        <f aca="false">Pipeline!$W$16*Pipeline!$D$16*MIN(1,MAX(0,(7-Pipeline!$E$16+1)/MAX(Pipeline!$F$16,1)))+Pipeline!$W$17*Pipeline!$D$17*MIN(1,MAX(0,(7-Pipeline!$E$17+1)/MAX(Pipeline!$F$17,1)))+Pipeline!$W$18*Pipeline!$D$18*MIN(1,MAX(0,(7-Pipeline!$E$18+1)/MAX(Pipeline!$F$18,1)))+Pipeline!$W$19*Pipeline!$D$19*MIN(1,MAX(0,(7-Pipeline!$E$19+1)/MAX(Pipeline!$F$19,1)))+Pipeline!$W$20*Pipeline!$D$20*MIN(1,MAX(0,(7-Pipeline!$E$20+1)/MAX(Pipeline!$F$20,1)))+Pipeline!$W$21*Pipeline!$D$21*MIN(1,MAX(0,(7-Pipeline!$E$21+1)/MAX(Pipeline!$F$21,1)))+Pipeline!$W$22*Pipeline!$D$22*MIN(1,MAX(0,(7-Pipeline!$E$22+1)/MAX(Pipeline!$F$22,1)))</f>
        <v>1873.7487510134</v>
      </c>
      <c r="J19" s="138" t="n">
        <f aca="false">Pipeline!$W$16*Pipeline!$D$16*MIN(1,MAX(0,(8-Pipeline!$E$16+1)/MAX(Pipeline!$F$16,1)))+Pipeline!$W$17*Pipeline!$D$17*MIN(1,MAX(0,(8-Pipeline!$E$17+1)/MAX(Pipeline!$F$17,1)))+Pipeline!$W$18*Pipeline!$D$18*MIN(1,MAX(0,(8-Pipeline!$E$18+1)/MAX(Pipeline!$F$18,1)))+Pipeline!$W$19*Pipeline!$D$19*MIN(1,MAX(0,(8-Pipeline!$E$19+1)/MAX(Pipeline!$F$19,1)))+Pipeline!$W$20*Pipeline!$D$20*MIN(1,MAX(0,(8-Pipeline!$E$20+1)/MAX(Pipeline!$F$20,1)))+Pipeline!$W$21*Pipeline!$D$21*MIN(1,MAX(0,(8-Pipeline!$E$21+1)/MAX(Pipeline!$F$21,1)))+Pipeline!$W$22*Pipeline!$D$22*MIN(1,MAX(0,(8-Pipeline!$E$22+1)/MAX(Pipeline!$F$22,1)))</f>
        <v>2260.47316994967</v>
      </c>
      <c r="K19" s="138" t="n">
        <f aca="false">Pipeline!$W$16*Pipeline!$D$16*MIN(1,MAX(0,(9-Pipeline!$E$16+1)/MAX(Pipeline!$F$16,1)))+Pipeline!$W$17*Pipeline!$D$17*MIN(1,MAX(0,(9-Pipeline!$E$17+1)/MAX(Pipeline!$F$17,1)))+Pipeline!$W$18*Pipeline!$D$18*MIN(1,MAX(0,(9-Pipeline!$E$18+1)/MAX(Pipeline!$F$18,1)))+Pipeline!$W$19*Pipeline!$D$19*MIN(1,MAX(0,(9-Pipeline!$E$19+1)/MAX(Pipeline!$F$19,1)))+Pipeline!$W$20*Pipeline!$D$20*MIN(1,MAX(0,(9-Pipeline!$E$20+1)/MAX(Pipeline!$F$20,1)))+Pipeline!$W$21*Pipeline!$D$21*MIN(1,MAX(0,(9-Pipeline!$E$21+1)/MAX(Pipeline!$F$21,1)))+Pipeline!$W$22*Pipeline!$D$22*MIN(1,MAX(0,(9-Pipeline!$E$22+1)/MAX(Pipeline!$F$22,1)))</f>
        <v>2647.19758888595</v>
      </c>
      <c r="L19" s="138" t="n">
        <f aca="false">Pipeline!$W$16*Pipeline!$D$16*MIN(1,MAX(0,(10-Pipeline!$E$16+1)/MAX(Pipeline!$F$16,1)))+Pipeline!$W$17*Pipeline!$D$17*MIN(1,MAX(0,(10-Pipeline!$E$17+1)/MAX(Pipeline!$F$17,1)))+Pipeline!$W$18*Pipeline!$D$18*MIN(1,MAX(0,(10-Pipeline!$E$18+1)/MAX(Pipeline!$F$18,1)))+Pipeline!$W$19*Pipeline!$D$19*MIN(1,MAX(0,(10-Pipeline!$E$19+1)/MAX(Pipeline!$F$19,1)))+Pipeline!$W$20*Pipeline!$D$20*MIN(1,MAX(0,(10-Pipeline!$E$20+1)/MAX(Pipeline!$F$20,1)))+Pipeline!$W$21*Pipeline!$D$21*MIN(1,MAX(0,(10-Pipeline!$E$21+1)/MAX(Pipeline!$F$21,1)))+Pipeline!$W$22*Pipeline!$D$22*MIN(1,MAX(0,(10-Pipeline!$E$22+1)/MAX(Pipeline!$F$22,1)))</f>
        <v>3033.92200782222</v>
      </c>
      <c r="M19" s="138" t="n">
        <f aca="false">Pipeline!$W$16*Pipeline!$D$16*MIN(1,MAX(0,(11-Pipeline!$E$16+1)/MAX(Pipeline!$F$16,1)))+Pipeline!$W$17*Pipeline!$D$17*MIN(1,MAX(0,(11-Pipeline!$E$17+1)/MAX(Pipeline!$F$17,1)))+Pipeline!$W$18*Pipeline!$D$18*MIN(1,MAX(0,(11-Pipeline!$E$18+1)/MAX(Pipeline!$F$18,1)))+Pipeline!$W$19*Pipeline!$D$19*MIN(1,MAX(0,(11-Pipeline!$E$19+1)/MAX(Pipeline!$F$19,1)))+Pipeline!$W$20*Pipeline!$D$20*MIN(1,MAX(0,(11-Pipeline!$E$20+1)/MAX(Pipeline!$F$20,1)))+Pipeline!$W$21*Pipeline!$D$21*MIN(1,MAX(0,(11-Pipeline!$E$21+1)/MAX(Pipeline!$F$21,1)))+Pipeline!$W$22*Pipeline!$D$22*MIN(1,MAX(0,(11-Pipeline!$E$22+1)/MAX(Pipeline!$F$22,1)))</f>
        <v>3205.4960686511</v>
      </c>
      <c r="N19" s="138" t="n">
        <f aca="false">Pipeline!$W$16*Pipeline!$D$16*MIN(1,MAX(0,(12-Pipeline!$E$16+1)/MAX(Pipeline!$F$16,1)))+Pipeline!$W$17*Pipeline!$D$17*MIN(1,MAX(0,(12-Pipeline!$E$17+1)/MAX(Pipeline!$F$17,1)))+Pipeline!$W$18*Pipeline!$D$18*MIN(1,MAX(0,(12-Pipeline!$E$18+1)/MAX(Pipeline!$F$18,1)))+Pipeline!$W$19*Pipeline!$D$19*MIN(1,MAX(0,(12-Pipeline!$E$19+1)/MAX(Pipeline!$F$19,1)))+Pipeline!$W$20*Pipeline!$D$20*MIN(1,MAX(0,(12-Pipeline!$E$20+1)/MAX(Pipeline!$F$20,1)))+Pipeline!$W$21*Pipeline!$D$21*MIN(1,MAX(0,(12-Pipeline!$E$21+1)/MAX(Pipeline!$F$21,1)))+Pipeline!$W$22*Pipeline!$D$22*MIN(1,MAX(0,(12-Pipeline!$E$22+1)/MAX(Pipeline!$F$22,1)))</f>
        <v>3626.63239977652</v>
      </c>
      <c r="O19" s="138" t="n">
        <f aca="false">Pipeline!$W$16*Pipeline!$D$16*MIN(1,MAX(0,(13-Pipeline!$E$16+1)/MAX(Pipeline!$F$16,1)))+Pipeline!$W$17*Pipeline!$D$17*MIN(1,MAX(0,(13-Pipeline!$E$17+1)/MAX(Pipeline!$F$17,1)))+Pipeline!$W$18*Pipeline!$D$18*MIN(1,MAX(0,(13-Pipeline!$E$18+1)/MAX(Pipeline!$F$18,1)))+Pipeline!$W$19*Pipeline!$D$19*MIN(1,MAX(0,(13-Pipeline!$E$19+1)/MAX(Pipeline!$F$19,1)))+Pipeline!$W$20*Pipeline!$D$20*MIN(1,MAX(0,(13-Pipeline!$E$20+1)/MAX(Pipeline!$F$20,1)))+Pipeline!$W$21*Pipeline!$D$21*MIN(1,MAX(0,(13-Pipeline!$E$21+1)/MAX(Pipeline!$F$21,1)))+Pipeline!$W$22*Pipeline!$D$22*MIN(1,MAX(0,(13-Pipeline!$E$22+1)/MAX(Pipeline!$F$22,1)))</f>
        <v>4047.76873090195</v>
      </c>
      <c r="P19" s="138" t="n">
        <f aca="false">Pipeline!$W$16*Pipeline!$D$16*MIN(1,MAX(0,(14-Pipeline!$E$16+1)/MAX(Pipeline!$F$16,1)))+Pipeline!$W$17*Pipeline!$D$17*MIN(1,MAX(0,(14-Pipeline!$E$17+1)/MAX(Pipeline!$F$17,1)))+Pipeline!$W$18*Pipeline!$D$18*MIN(1,MAX(0,(14-Pipeline!$E$18+1)/MAX(Pipeline!$F$18,1)))+Pipeline!$W$19*Pipeline!$D$19*MIN(1,MAX(0,(14-Pipeline!$E$19+1)/MAX(Pipeline!$F$19,1)))+Pipeline!$W$20*Pipeline!$D$20*MIN(1,MAX(0,(14-Pipeline!$E$20+1)/MAX(Pipeline!$F$20,1)))+Pipeline!$W$21*Pipeline!$D$21*MIN(1,MAX(0,(14-Pipeline!$E$21+1)/MAX(Pipeline!$F$21,1)))+Pipeline!$W$22*Pipeline!$D$22*MIN(1,MAX(0,(14-Pipeline!$E$22+1)/MAX(Pipeline!$F$22,1)))</f>
        <v>4397.15590931712</v>
      </c>
      <c r="Q19" s="138" t="n">
        <f aca="false">Pipeline!$W$16*Pipeline!$D$16*MIN(1,MAX(0,(15-Pipeline!$E$16+1)/MAX(Pipeline!$F$16,1)))+Pipeline!$W$17*Pipeline!$D$17*MIN(1,MAX(0,(15-Pipeline!$E$17+1)/MAX(Pipeline!$F$17,1)))+Pipeline!$W$18*Pipeline!$D$18*MIN(1,MAX(0,(15-Pipeline!$E$18+1)/MAX(Pipeline!$F$18,1)))+Pipeline!$W$19*Pipeline!$D$19*MIN(1,MAX(0,(15-Pipeline!$E$19+1)/MAX(Pipeline!$F$19,1)))+Pipeline!$W$20*Pipeline!$D$20*MIN(1,MAX(0,(15-Pipeline!$E$20+1)/MAX(Pipeline!$F$20,1)))+Pipeline!$W$21*Pipeline!$D$21*MIN(1,MAX(0,(15-Pipeline!$E$21+1)/MAX(Pipeline!$F$21,1)))+Pipeline!$W$22*Pipeline!$D$22*MIN(1,MAX(0,(15-Pipeline!$E$22+1)/MAX(Pipeline!$F$22,1)))</f>
        <v>4746.54308773228</v>
      </c>
      <c r="R19" s="138" t="n">
        <f aca="false">Pipeline!$W$16*Pipeline!$D$16*MIN(1,MAX(0,(16-Pipeline!$E$16+1)/MAX(Pipeline!$F$16,1)))+Pipeline!$W$17*Pipeline!$D$17*MIN(1,MAX(0,(16-Pipeline!$E$17+1)/MAX(Pipeline!$F$17,1)))+Pipeline!$W$18*Pipeline!$D$18*MIN(1,MAX(0,(16-Pipeline!$E$18+1)/MAX(Pipeline!$F$18,1)))+Pipeline!$W$19*Pipeline!$D$19*MIN(1,MAX(0,(16-Pipeline!$E$19+1)/MAX(Pipeline!$F$19,1)))+Pipeline!$W$20*Pipeline!$D$20*MIN(1,MAX(0,(16-Pipeline!$E$20+1)/MAX(Pipeline!$F$20,1)))+Pipeline!$W$21*Pipeline!$D$21*MIN(1,MAX(0,(16-Pipeline!$E$21+1)/MAX(Pipeline!$F$21,1)))+Pipeline!$W$22*Pipeline!$D$22*MIN(1,MAX(0,(16-Pipeline!$E$22+1)/MAX(Pipeline!$F$22,1)))</f>
        <v>5095.93026614745</v>
      </c>
      <c r="S19" s="138" t="n">
        <f aca="false">Pipeline!$W$16*Pipeline!$D$16*MIN(1,MAX(0,(17-Pipeline!$E$16+1)/MAX(Pipeline!$F$16,1)))+Pipeline!$W$17*Pipeline!$D$17*MIN(1,MAX(0,(17-Pipeline!$E$17+1)/MAX(Pipeline!$F$17,1)))+Pipeline!$W$18*Pipeline!$D$18*MIN(1,MAX(0,(17-Pipeline!$E$18+1)/MAX(Pipeline!$F$18,1)))+Pipeline!$W$19*Pipeline!$D$19*MIN(1,MAX(0,(17-Pipeline!$E$19+1)/MAX(Pipeline!$F$19,1)))+Pipeline!$W$20*Pipeline!$D$20*MIN(1,MAX(0,(17-Pipeline!$E$20+1)/MAX(Pipeline!$F$20,1)))+Pipeline!$W$21*Pipeline!$D$21*MIN(1,MAX(0,(17-Pipeline!$E$21+1)/MAX(Pipeline!$F$21,1)))+Pipeline!$W$22*Pipeline!$D$22*MIN(1,MAX(0,(17-Pipeline!$E$22+1)/MAX(Pipeline!$F$22,1)))</f>
        <v>5445.31744456262</v>
      </c>
      <c r="T19" s="138" t="n">
        <f aca="false">Pipeline!$W$16*Pipeline!$D$16*MIN(1,MAX(0,(18-Pipeline!$E$16+1)/MAX(Pipeline!$F$16,1)))+Pipeline!$W$17*Pipeline!$D$17*MIN(1,MAX(0,(18-Pipeline!$E$17+1)/MAX(Pipeline!$F$17,1)))+Pipeline!$W$18*Pipeline!$D$18*MIN(1,MAX(0,(18-Pipeline!$E$18+1)/MAX(Pipeline!$F$18,1)))+Pipeline!$W$19*Pipeline!$D$19*MIN(1,MAX(0,(18-Pipeline!$E$19+1)/MAX(Pipeline!$F$19,1)))+Pipeline!$W$20*Pipeline!$D$20*MIN(1,MAX(0,(18-Pipeline!$E$20+1)/MAX(Pipeline!$F$20,1)))+Pipeline!$W$21*Pipeline!$D$21*MIN(1,MAX(0,(18-Pipeline!$E$21+1)/MAX(Pipeline!$F$21,1)))+Pipeline!$W$22*Pipeline!$D$22*MIN(1,MAX(0,(18-Pipeline!$E$22+1)/MAX(Pipeline!$F$22,1)))</f>
        <v>5794.70462297779</v>
      </c>
      <c r="U19" s="138" t="n">
        <f aca="false">Pipeline!$W$16*Pipeline!$D$16*MIN(1,MAX(0,(19-Pipeline!$E$16+1)/MAX(Pipeline!$F$16,1)))+Pipeline!$W$17*Pipeline!$D$17*MIN(1,MAX(0,(19-Pipeline!$E$17+1)/MAX(Pipeline!$F$17,1)))+Pipeline!$W$18*Pipeline!$D$18*MIN(1,MAX(0,(19-Pipeline!$E$18+1)/MAX(Pipeline!$F$18,1)))+Pipeline!$W$19*Pipeline!$D$19*MIN(1,MAX(0,(19-Pipeline!$E$19+1)/MAX(Pipeline!$F$19,1)))+Pipeline!$W$20*Pipeline!$D$20*MIN(1,MAX(0,(19-Pipeline!$E$20+1)/MAX(Pipeline!$F$20,1)))+Pipeline!$W$21*Pipeline!$D$21*MIN(1,MAX(0,(19-Pipeline!$E$21+1)/MAX(Pipeline!$F$21,1)))+Pipeline!$W$22*Pipeline!$D$22*MIN(1,MAX(0,(19-Pipeline!$E$22+1)/MAX(Pipeline!$F$22,1)))</f>
        <v>6144.09180139295</v>
      </c>
      <c r="V19" s="138" t="n">
        <f aca="false">Pipeline!$W$16*Pipeline!$D$16*MIN(1,MAX(0,(20-Pipeline!$E$16+1)/MAX(Pipeline!$F$16,1)))+Pipeline!$W$17*Pipeline!$D$17*MIN(1,MAX(0,(20-Pipeline!$E$17+1)/MAX(Pipeline!$F$17,1)))+Pipeline!$W$18*Pipeline!$D$18*MIN(1,MAX(0,(20-Pipeline!$E$18+1)/MAX(Pipeline!$F$18,1)))+Pipeline!$W$19*Pipeline!$D$19*MIN(1,MAX(0,(20-Pipeline!$E$19+1)/MAX(Pipeline!$F$19,1)))+Pipeline!$W$20*Pipeline!$D$20*MIN(1,MAX(0,(20-Pipeline!$E$20+1)/MAX(Pipeline!$F$20,1)))+Pipeline!$W$21*Pipeline!$D$21*MIN(1,MAX(0,(20-Pipeline!$E$21+1)/MAX(Pipeline!$F$21,1)))+Pipeline!$W$22*Pipeline!$D$22*MIN(1,MAX(0,(20-Pipeline!$E$22+1)/MAX(Pipeline!$F$22,1)))</f>
        <v>6493.47897980812</v>
      </c>
      <c r="W19" s="138" t="n">
        <f aca="false">Pipeline!$W$16*Pipeline!$D$16*MIN(1,MAX(0,(21-Pipeline!$E$16+1)/MAX(Pipeline!$F$16,1)))+Pipeline!$W$17*Pipeline!$D$17*MIN(1,MAX(0,(21-Pipeline!$E$17+1)/MAX(Pipeline!$F$17,1)))+Pipeline!$W$18*Pipeline!$D$18*MIN(1,MAX(0,(21-Pipeline!$E$18+1)/MAX(Pipeline!$F$18,1)))+Pipeline!$W$19*Pipeline!$D$19*MIN(1,MAX(0,(21-Pipeline!$E$19+1)/MAX(Pipeline!$F$19,1)))+Pipeline!$W$20*Pipeline!$D$20*MIN(1,MAX(0,(21-Pipeline!$E$20+1)/MAX(Pipeline!$F$20,1)))+Pipeline!$W$21*Pipeline!$D$21*MIN(1,MAX(0,(21-Pipeline!$E$21+1)/MAX(Pipeline!$F$21,1)))+Pipeline!$W$22*Pipeline!$D$22*MIN(1,MAX(0,(21-Pipeline!$E$22+1)/MAX(Pipeline!$F$22,1)))</f>
        <v>6842.86615822329</v>
      </c>
      <c r="X19" s="138" t="n">
        <f aca="false">Pipeline!$W$16*Pipeline!$D$16*MIN(1,MAX(0,(22-Pipeline!$E$16+1)/MAX(Pipeline!$F$16,1)))+Pipeline!$W$17*Pipeline!$D$17*MIN(1,MAX(0,(22-Pipeline!$E$17+1)/MAX(Pipeline!$F$17,1)))+Pipeline!$W$18*Pipeline!$D$18*MIN(1,MAX(0,(22-Pipeline!$E$18+1)/MAX(Pipeline!$F$18,1)))+Pipeline!$W$19*Pipeline!$D$19*MIN(1,MAX(0,(22-Pipeline!$E$19+1)/MAX(Pipeline!$F$19,1)))+Pipeline!$W$20*Pipeline!$D$20*MIN(1,MAX(0,(22-Pipeline!$E$20+1)/MAX(Pipeline!$F$20,1)))+Pipeline!$W$21*Pipeline!$D$21*MIN(1,MAX(0,(22-Pipeline!$E$21+1)/MAX(Pipeline!$F$21,1)))+Pipeline!$W$22*Pipeline!$D$22*MIN(1,MAX(0,(22-Pipeline!$E$22+1)/MAX(Pipeline!$F$22,1)))</f>
        <v>6942.69106634191</v>
      </c>
      <c r="Y19" s="138" t="n">
        <f aca="false">Pipeline!$W$16*Pipeline!$D$16*MIN(1,MAX(0,(23-Pipeline!$E$16+1)/MAX(Pipeline!$F$16,1)))+Pipeline!$W$17*Pipeline!$D$17*MIN(1,MAX(0,(23-Pipeline!$E$17+1)/MAX(Pipeline!$F$17,1)))+Pipeline!$W$18*Pipeline!$D$18*MIN(1,MAX(0,(23-Pipeline!$E$18+1)/MAX(Pipeline!$F$18,1)))+Pipeline!$W$19*Pipeline!$D$19*MIN(1,MAX(0,(23-Pipeline!$E$19+1)/MAX(Pipeline!$F$19,1)))+Pipeline!$W$20*Pipeline!$D$20*MIN(1,MAX(0,(23-Pipeline!$E$20+1)/MAX(Pipeline!$F$20,1)))+Pipeline!$W$21*Pipeline!$D$21*MIN(1,MAX(0,(23-Pipeline!$E$21+1)/MAX(Pipeline!$F$21,1)))+Pipeline!$W$22*Pipeline!$D$22*MIN(1,MAX(0,(23-Pipeline!$E$22+1)/MAX(Pipeline!$F$22,1)))</f>
        <v>7042.51597446053</v>
      </c>
      <c r="Z19" s="138" t="n">
        <f aca="false">Pipeline!$W$16*Pipeline!$D$16*MIN(1,MAX(0,(24-Pipeline!$E$16+1)/MAX(Pipeline!$F$16,1)))+Pipeline!$W$17*Pipeline!$D$17*MIN(1,MAX(0,(24-Pipeline!$E$17+1)/MAX(Pipeline!$F$17,1)))+Pipeline!$W$18*Pipeline!$D$18*MIN(1,MAX(0,(24-Pipeline!$E$18+1)/MAX(Pipeline!$F$18,1)))+Pipeline!$W$19*Pipeline!$D$19*MIN(1,MAX(0,(24-Pipeline!$E$19+1)/MAX(Pipeline!$F$19,1)))+Pipeline!$W$20*Pipeline!$D$20*MIN(1,MAX(0,(24-Pipeline!$E$20+1)/MAX(Pipeline!$F$20,1)))+Pipeline!$W$21*Pipeline!$D$21*MIN(1,MAX(0,(24-Pipeline!$E$21+1)/MAX(Pipeline!$F$21,1)))+Pipeline!$W$22*Pipeline!$D$22*MIN(1,MAX(0,(24-Pipeline!$E$22+1)/MAX(Pipeline!$F$22,1)))</f>
        <v>7042.51597446053</v>
      </c>
      <c r="AA19" s="138" t="n">
        <f aca="false">Pipeline!$W$16*Pipeline!$D$16*MIN(1,MAX(0,(25-Pipeline!$E$16+1)/MAX(Pipeline!$F$16,1)))+Pipeline!$W$17*Pipeline!$D$17*MIN(1,MAX(0,(25-Pipeline!$E$17+1)/MAX(Pipeline!$F$17,1)))+Pipeline!$W$18*Pipeline!$D$18*MIN(1,MAX(0,(25-Pipeline!$E$18+1)/MAX(Pipeline!$F$18,1)))+Pipeline!$W$19*Pipeline!$D$19*MIN(1,MAX(0,(25-Pipeline!$E$19+1)/MAX(Pipeline!$F$19,1)))+Pipeline!$W$20*Pipeline!$D$20*MIN(1,MAX(0,(25-Pipeline!$E$20+1)/MAX(Pipeline!$F$20,1)))+Pipeline!$W$21*Pipeline!$D$21*MIN(1,MAX(0,(25-Pipeline!$E$21+1)/MAX(Pipeline!$F$21,1)))+Pipeline!$W$22*Pipeline!$D$22*MIN(1,MAX(0,(25-Pipeline!$E$22+1)/MAX(Pipeline!$F$22,1)))</f>
        <v>7042.51597446053</v>
      </c>
      <c r="AB19" s="138" t="n">
        <f aca="false">Pipeline!$W$16*Pipeline!$D$16*MIN(1,MAX(0,(26-Pipeline!$E$16+1)/MAX(Pipeline!$F$16,1)))+Pipeline!$W$17*Pipeline!$D$17*MIN(1,MAX(0,(26-Pipeline!$E$17+1)/MAX(Pipeline!$F$17,1)))+Pipeline!$W$18*Pipeline!$D$18*MIN(1,MAX(0,(26-Pipeline!$E$18+1)/MAX(Pipeline!$F$18,1)))+Pipeline!$W$19*Pipeline!$D$19*MIN(1,MAX(0,(26-Pipeline!$E$19+1)/MAX(Pipeline!$F$19,1)))+Pipeline!$W$20*Pipeline!$D$20*MIN(1,MAX(0,(26-Pipeline!$E$20+1)/MAX(Pipeline!$F$20,1)))+Pipeline!$W$21*Pipeline!$D$21*MIN(1,MAX(0,(26-Pipeline!$E$21+1)/MAX(Pipeline!$F$21,1)))+Pipeline!$W$22*Pipeline!$D$22*MIN(1,MAX(0,(26-Pipeline!$E$22+1)/MAX(Pipeline!$F$22,1)))</f>
        <v>7042.51597446053</v>
      </c>
      <c r="AC19" s="138" t="n">
        <f aca="false">Pipeline!$W$16*Pipeline!$D$16*MIN(1,MAX(0,(27-Pipeline!$E$16+1)/MAX(Pipeline!$F$16,1)))+Pipeline!$W$17*Pipeline!$D$17*MIN(1,MAX(0,(27-Pipeline!$E$17+1)/MAX(Pipeline!$F$17,1)))+Pipeline!$W$18*Pipeline!$D$18*MIN(1,MAX(0,(27-Pipeline!$E$18+1)/MAX(Pipeline!$F$18,1)))+Pipeline!$W$19*Pipeline!$D$19*MIN(1,MAX(0,(27-Pipeline!$E$19+1)/MAX(Pipeline!$F$19,1)))+Pipeline!$W$20*Pipeline!$D$20*MIN(1,MAX(0,(27-Pipeline!$E$20+1)/MAX(Pipeline!$F$20,1)))+Pipeline!$W$21*Pipeline!$D$21*MIN(1,MAX(0,(27-Pipeline!$E$21+1)/MAX(Pipeline!$F$21,1)))+Pipeline!$W$22*Pipeline!$D$22*MIN(1,MAX(0,(27-Pipeline!$E$22+1)/MAX(Pipeline!$F$22,1)))</f>
        <v>7042.51597446053</v>
      </c>
      <c r="AD19" s="138" t="n">
        <f aca="false">Pipeline!$W$16*Pipeline!$D$16*MIN(1,MAX(0,(28-Pipeline!$E$16+1)/MAX(Pipeline!$F$16,1)))+Pipeline!$W$17*Pipeline!$D$17*MIN(1,MAX(0,(28-Pipeline!$E$17+1)/MAX(Pipeline!$F$17,1)))+Pipeline!$W$18*Pipeline!$D$18*MIN(1,MAX(0,(28-Pipeline!$E$18+1)/MAX(Pipeline!$F$18,1)))+Pipeline!$W$19*Pipeline!$D$19*MIN(1,MAX(0,(28-Pipeline!$E$19+1)/MAX(Pipeline!$F$19,1)))+Pipeline!$W$20*Pipeline!$D$20*MIN(1,MAX(0,(28-Pipeline!$E$20+1)/MAX(Pipeline!$F$20,1)))+Pipeline!$W$21*Pipeline!$D$21*MIN(1,MAX(0,(28-Pipeline!$E$21+1)/MAX(Pipeline!$F$21,1)))+Pipeline!$W$22*Pipeline!$D$22*MIN(1,MAX(0,(28-Pipeline!$E$22+1)/MAX(Pipeline!$F$22,1)))</f>
        <v>7042.51597446053</v>
      </c>
      <c r="AE19" s="138" t="n">
        <f aca="false">Pipeline!$W$16*Pipeline!$D$16*MIN(1,MAX(0,(29-Pipeline!$E$16+1)/MAX(Pipeline!$F$16,1)))+Pipeline!$W$17*Pipeline!$D$17*MIN(1,MAX(0,(29-Pipeline!$E$17+1)/MAX(Pipeline!$F$17,1)))+Pipeline!$W$18*Pipeline!$D$18*MIN(1,MAX(0,(29-Pipeline!$E$18+1)/MAX(Pipeline!$F$18,1)))+Pipeline!$W$19*Pipeline!$D$19*MIN(1,MAX(0,(29-Pipeline!$E$19+1)/MAX(Pipeline!$F$19,1)))+Pipeline!$W$20*Pipeline!$D$20*MIN(1,MAX(0,(29-Pipeline!$E$20+1)/MAX(Pipeline!$F$20,1)))+Pipeline!$W$21*Pipeline!$D$21*MIN(1,MAX(0,(29-Pipeline!$E$21+1)/MAX(Pipeline!$F$21,1)))+Pipeline!$W$22*Pipeline!$D$22*MIN(1,MAX(0,(29-Pipeline!$E$22+1)/MAX(Pipeline!$F$22,1)))</f>
        <v>7042.51597446053</v>
      </c>
      <c r="AF19" s="138" t="n">
        <f aca="false">Pipeline!$W$16*Pipeline!$D$16*MIN(1,MAX(0,(30-Pipeline!$E$16+1)/MAX(Pipeline!$F$16,1)))+Pipeline!$W$17*Pipeline!$D$17*MIN(1,MAX(0,(30-Pipeline!$E$17+1)/MAX(Pipeline!$F$17,1)))+Pipeline!$W$18*Pipeline!$D$18*MIN(1,MAX(0,(30-Pipeline!$E$18+1)/MAX(Pipeline!$F$18,1)))+Pipeline!$W$19*Pipeline!$D$19*MIN(1,MAX(0,(30-Pipeline!$E$19+1)/MAX(Pipeline!$F$19,1)))+Pipeline!$W$20*Pipeline!$D$20*MIN(1,MAX(0,(30-Pipeline!$E$20+1)/MAX(Pipeline!$F$20,1)))+Pipeline!$W$21*Pipeline!$D$21*MIN(1,MAX(0,(30-Pipeline!$E$21+1)/MAX(Pipeline!$F$21,1)))+Pipeline!$W$22*Pipeline!$D$22*MIN(1,MAX(0,(30-Pipeline!$E$22+1)/MAX(Pipeline!$F$22,1)))</f>
        <v>7042.51597446053</v>
      </c>
      <c r="AG19" s="138" t="n">
        <f aca="false">Pipeline!$W$16*Pipeline!$D$16*MIN(1,MAX(0,(31-Pipeline!$E$16+1)/MAX(Pipeline!$F$16,1)))+Pipeline!$W$17*Pipeline!$D$17*MIN(1,MAX(0,(31-Pipeline!$E$17+1)/MAX(Pipeline!$F$17,1)))+Pipeline!$W$18*Pipeline!$D$18*MIN(1,MAX(0,(31-Pipeline!$E$18+1)/MAX(Pipeline!$F$18,1)))+Pipeline!$W$19*Pipeline!$D$19*MIN(1,MAX(0,(31-Pipeline!$E$19+1)/MAX(Pipeline!$F$19,1)))+Pipeline!$W$20*Pipeline!$D$20*MIN(1,MAX(0,(31-Pipeline!$E$20+1)/MAX(Pipeline!$F$20,1)))+Pipeline!$W$21*Pipeline!$D$21*MIN(1,MAX(0,(31-Pipeline!$E$21+1)/MAX(Pipeline!$F$21,1)))+Pipeline!$W$22*Pipeline!$D$22*MIN(1,MAX(0,(31-Pipeline!$E$22+1)/MAX(Pipeline!$F$22,1)))</f>
        <v>7042.51597446053</v>
      </c>
      <c r="AH19" s="138" t="n">
        <f aca="false">Pipeline!$W$16*Pipeline!$D$16*MIN(1,MAX(0,(32-Pipeline!$E$16+1)/MAX(Pipeline!$F$16,1)))+Pipeline!$W$17*Pipeline!$D$17*MIN(1,MAX(0,(32-Pipeline!$E$17+1)/MAX(Pipeline!$F$17,1)))+Pipeline!$W$18*Pipeline!$D$18*MIN(1,MAX(0,(32-Pipeline!$E$18+1)/MAX(Pipeline!$F$18,1)))+Pipeline!$W$19*Pipeline!$D$19*MIN(1,MAX(0,(32-Pipeline!$E$19+1)/MAX(Pipeline!$F$19,1)))+Pipeline!$W$20*Pipeline!$D$20*MIN(1,MAX(0,(32-Pipeline!$E$20+1)/MAX(Pipeline!$F$20,1)))+Pipeline!$W$21*Pipeline!$D$21*MIN(1,MAX(0,(32-Pipeline!$E$21+1)/MAX(Pipeline!$F$21,1)))+Pipeline!$W$22*Pipeline!$D$22*MIN(1,MAX(0,(32-Pipeline!$E$22+1)/MAX(Pipeline!$F$22,1)))</f>
        <v>7042.51597446053</v>
      </c>
      <c r="AI19" s="138" t="n">
        <f aca="false">Pipeline!$W$16*Pipeline!$D$16*MIN(1,MAX(0,(33-Pipeline!$E$16+1)/MAX(Pipeline!$F$16,1)))+Pipeline!$W$17*Pipeline!$D$17*MIN(1,MAX(0,(33-Pipeline!$E$17+1)/MAX(Pipeline!$F$17,1)))+Pipeline!$W$18*Pipeline!$D$18*MIN(1,MAX(0,(33-Pipeline!$E$18+1)/MAX(Pipeline!$F$18,1)))+Pipeline!$W$19*Pipeline!$D$19*MIN(1,MAX(0,(33-Pipeline!$E$19+1)/MAX(Pipeline!$F$19,1)))+Pipeline!$W$20*Pipeline!$D$20*MIN(1,MAX(0,(33-Pipeline!$E$20+1)/MAX(Pipeline!$F$20,1)))+Pipeline!$W$21*Pipeline!$D$21*MIN(1,MAX(0,(33-Pipeline!$E$21+1)/MAX(Pipeline!$F$21,1)))+Pipeline!$W$22*Pipeline!$D$22*MIN(1,MAX(0,(33-Pipeline!$E$22+1)/MAX(Pipeline!$F$22,1)))</f>
        <v>7042.51597446053</v>
      </c>
      <c r="AJ19" s="138" t="n">
        <f aca="false">Pipeline!$W$16*Pipeline!$D$16*MIN(1,MAX(0,(34-Pipeline!$E$16+1)/MAX(Pipeline!$F$16,1)))+Pipeline!$W$17*Pipeline!$D$17*MIN(1,MAX(0,(34-Pipeline!$E$17+1)/MAX(Pipeline!$F$17,1)))+Pipeline!$W$18*Pipeline!$D$18*MIN(1,MAX(0,(34-Pipeline!$E$18+1)/MAX(Pipeline!$F$18,1)))+Pipeline!$W$19*Pipeline!$D$19*MIN(1,MAX(0,(34-Pipeline!$E$19+1)/MAX(Pipeline!$F$19,1)))+Pipeline!$W$20*Pipeline!$D$20*MIN(1,MAX(0,(34-Pipeline!$E$20+1)/MAX(Pipeline!$F$20,1)))+Pipeline!$W$21*Pipeline!$D$21*MIN(1,MAX(0,(34-Pipeline!$E$21+1)/MAX(Pipeline!$F$21,1)))+Pipeline!$W$22*Pipeline!$D$22*MIN(1,MAX(0,(34-Pipeline!$E$22+1)/MAX(Pipeline!$F$22,1)))</f>
        <v>7042.51597446053</v>
      </c>
      <c r="AK19" s="138" t="n">
        <f aca="false">Pipeline!$W$16*Pipeline!$D$16*MIN(1,MAX(0,(35-Pipeline!$E$16+1)/MAX(Pipeline!$F$16,1)))+Pipeline!$W$17*Pipeline!$D$17*MIN(1,MAX(0,(35-Pipeline!$E$17+1)/MAX(Pipeline!$F$17,1)))+Pipeline!$W$18*Pipeline!$D$18*MIN(1,MAX(0,(35-Pipeline!$E$18+1)/MAX(Pipeline!$F$18,1)))+Pipeline!$W$19*Pipeline!$D$19*MIN(1,MAX(0,(35-Pipeline!$E$19+1)/MAX(Pipeline!$F$19,1)))+Pipeline!$W$20*Pipeline!$D$20*MIN(1,MAX(0,(35-Pipeline!$E$20+1)/MAX(Pipeline!$F$20,1)))+Pipeline!$W$21*Pipeline!$D$21*MIN(1,MAX(0,(35-Pipeline!$E$21+1)/MAX(Pipeline!$F$21,1)))+Pipeline!$W$22*Pipeline!$D$22*MIN(1,MAX(0,(35-Pipeline!$E$22+1)/MAX(Pipeline!$F$22,1)))</f>
        <v>7042.51597446053</v>
      </c>
      <c r="AL19" s="138" t="n">
        <f aca="false">Pipeline!$W$16*Pipeline!$D$16*MIN(1,MAX(0,(36-Pipeline!$E$16+1)/MAX(Pipeline!$F$16,1)))+Pipeline!$W$17*Pipeline!$D$17*MIN(1,MAX(0,(36-Pipeline!$E$17+1)/MAX(Pipeline!$F$17,1)))+Pipeline!$W$18*Pipeline!$D$18*MIN(1,MAX(0,(36-Pipeline!$E$18+1)/MAX(Pipeline!$F$18,1)))+Pipeline!$W$19*Pipeline!$D$19*MIN(1,MAX(0,(36-Pipeline!$E$19+1)/MAX(Pipeline!$F$19,1)))+Pipeline!$W$20*Pipeline!$D$20*MIN(1,MAX(0,(36-Pipeline!$E$20+1)/MAX(Pipeline!$F$20,1)))+Pipeline!$W$21*Pipeline!$D$21*MIN(1,MAX(0,(36-Pipeline!$E$21+1)/MAX(Pipeline!$F$21,1)))+Pipeline!$W$22*Pipeline!$D$22*MIN(1,MAX(0,(36-Pipeline!$E$22+1)/MAX(Pipeline!$F$22,1)))</f>
        <v>7042.51597446053</v>
      </c>
      <c r="AM19" s="138" t="n">
        <f aca="false">Pipeline!$W$16*Pipeline!$D$16*MIN(1,MAX(0,(37-Pipeline!$E$16+1)/MAX(Pipeline!$F$16,1)))+Pipeline!$W$17*Pipeline!$D$17*MIN(1,MAX(0,(37-Pipeline!$E$17+1)/MAX(Pipeline!$F$17,1)))+Pipeline!$W$18*Pipeline!$D$18*MIN(1,MAX(0,(37-Pipeline!$E$18+1)/MAX(Pipeline!$F$18,1)))+Pipeline!$W$19*Pipeline!$D$19*MIN(1,MAX(0,(37-Pipeline!$E$19+1)/MAX(Pipeline!$F$19,1)))+Pipeline!$W$20*Pipeline!$D$20*MIN(1,MAX(0,(37-Pipeline!$E$20+1)/MAX(Pipeline!$F$20,1)))+Pipeline!$W$21*Pipeline!$D$21*MIN(1,MAX(0,(37-Pipeline!$E$21+1)/MAX(Pipeline!$F$21,1)))+Pipeline!$W$22*Pipeline!$D$22*MIN(1,MAX(0,(37-Pipeline!$E$22+1)/MAX(Pipeline!$F$22,1)))</f>
        <v>7042.51597446053</v>
      </c>
      <c r="AN19" s="138" t="n">
        <f aca="false">Pipeline!$W$16*Pipeline!$D$16*MIN(1,MAX(0,(38-Pipeline!$E$16+1)/MAX(Pipeline!$F$16,1)))+Pipeline!$W$17*Pipeline!$D$17*MIN(1,MAX(0,(38-Pipeline!$E$17+1)/MAX(Pipeline!$F$17,1)))+Pipeline!$W$18*Pipeline!$D$18*MIN(1,MAX(0,(38-Pipeline!$E$18+1)/MAX(Pipeline!$F$18,1)))+Pipeline!$W$19*Pipeline!$D$19*MIN(1,MAX(0,(38-Pipeline!$E$19+1)/MAX(Pipeline!$F$19,1)))+Pipeline!$W$20*Pipeline!$D$20*MIN(1,MAX(0,(38-Pipeline!$E$20+1)/MAX(Pipeline!$F$20,1)))+Pipeline!$W$21*Pipeline!$D$21*MIN(1,MAX(0,(38-Pipeline!$E$21+1)/MAX(Pipeline!$F$21,1)))+Pipeline!$W$22*Pipeline!$D$22*MIN(1,MAX(0,(38-Pipeline!$E$22+1)/MAX(Pipeline!$F$22,1)))</f>
        <v>7042.51597446053</v>
      </c>
      <c r="AO19" s="138" t="n">
        <f aca="false">Pipeline!$W$16*Pipeline!$D$16*MIN(1,MAX(0,(39-Pipeline!$E$16+1)/MAX(Pipeline!$F$16,1)))+Pipeline!$W$17*Pipeline!$D$17*MIN(1,MAX(0,(39-Pipeline!$E$17+1)/MAX(Pipeline!$F$17,1)))+Pipeline!$W$18*Pipeline!$D$18*MIN(1,MAX(0,(39-Pipeline!$E$18+1)/MAX(Pipeline!$F$18,1)))+Pipeline!$W$19*Pipeline!$D$19*MIN(1,MAX(0,(39-Pipeline!$E$19+1)/MAX(Pipeline!$F$19,1)))+Pipeline!$W$20*Pipeline!$D$20*MIN(1,MAX(0,(39-Pipeline!$E$20+1)/MAX(Pipeline!$F$20,1)))+Pipeline!$W$21*Pipeline!$D$21*MIN(1,MAX(0,(39-Pipeline!$E$21+1)/MAX(Pipeline!$F$21,1)))+Pipeline!$W$22*Pipeline!$D$22*MIN(1,MAX(0,(39-Pipeline!$E$22+1)/MAX(Pipeline!$F$22,1)))</f>
        <v>7042.51597446053</v>
      </c>
      <c r="AP19" s="138" t="n">
        <f aca="false">Pipeline!$W$16*Pipeline!$D$16*MIN(1,MAX(0,(40-Pipeline!$E$16+1)/MAX(Pipeline!$F$16,1)))+Pipeline!$W$17*Pipeline!$D$17*MIN(1,MAX(0,(40-Pipeline!$E$17+1)/MAX(Pipeline!$F$17,1)))+Pipeline!$W$18*Pipeline!$D$18*MIN(1,MAX(0,(40-Pipeline!$E$18+1)/MAX(Pipeline!$F$18,1)))+Pipeline!$W$19*Pipeline!$D$19*MIN(1,MAX(0,(40-Pipeline!$E$19+1)/MAX(Pipeline!$F$19,1)))+Pipeline!$W$20*Pipeline!$D$20*MIN(1,MAX(0,(40-Pipeline!$E$20+1)/MAX(Pipeline!$F$20,1)))+Pipeline!$W$21*Pipeline!$D$21*MIN(1,MAX(0,(40-Pipeline!$E$21+1)/MAX(Pipeline!$F$21,1)))+Pipeline!$W$22*Pipeline!$D$22*MIN(1,MAX(0,(40-Pipeline!$E$22+1)/MAX(Pipeline!$F$22,1)))</f>
        <v>7042.51597446053</v>
      </c>
      <c r="AQ19" s="138" t="n">
        <f aca="false">Pipeline!$W$16*Pipeline!$D$16*MIN(1,MAX(0,(41-Pipeline!$E$16+1)/MAX(Pipeline!$F$16,1)))+Pipeline!$W$17*Pipeline!$D$17*MIN(1,MAX(0,(41-Pipeline!$E$17+1)/MAX(Pipeline!$F$17,1)))+Pipeline!$W$18*Pipeline!$D$18*MIN(1,MAX(0,(41-Pipeline!$E$18+1)/MAX(Pipeline!$F$18,1)))+Pipeline!$W$19*Pipeline!$D$19*MIN(1,MAX(0,(41-Pipeline!$E$19+1)/MAX(Pipeline!$F$19,1)))+Pipeline!$W$20*Pipeline!$D$20*MIN(1,MAX(0,(41-Pipeline!$E$20+1)/MAX(Pipeline!$F$20,1)))+Pipeline!$W$21*Pipeline!$D$21*MIN(1,MAX(0,(41-Pipeline!$E$21+1)/MAX(Pipeline!$F$21,1)))+Pipeline!$W$22*Pipeline!$D$22*MIN(1,MAX(0,(41-Pipeline!$E$22+1)/MAX(Pipeline!$F$22,1)))</f>
        <v>7042.51597446053</v>
      </c>
      <c r="AR19" s="138" t="n">
        <f aca="false">Pipeline!$W$16*Pipeline!$D$16*MIN(1,MAX(0,(42-Pipeline!$E$16+1)/MAX(Pipeline!$F$16,1)))+Pipeline!$W$17*Pipeline!$D$17*MIN(1,MAX(0,(42-Pipeline!$E$17+1)/MAX(Pipeline!$F$17,1)))+Pipeline!$W$18*Pipeline!$D$18*MIN(1,MAX(0,(42-Pipeline!$E$18+1)/MAX(Pipeline!$F$18,1)))+Pipeline!$W$19*Pipeline!$D$19*MIN(1,MAX(0,(42-Pipeline!$E$19+1)/MAX(Pipeline!$F$19,1)))+Pipeline!$W$20*Pipeline!$D$20*MIN(1,MAX(0,(42-Pipeline!$E$20+1)/MAX(Pipeline!$F$20,1)))+Pipeline!$W$21*Pipeline!$D$21*MIN(1,MAX(0,(42-Pipeline!$E$21+1)/MAX(Pipeline!$F$21,1)))+Pipeline!$W$22*Pipeline!$D$22*MIN(1,MAX(0,(42-Pipeline!$E$22+1)/MAX(Pipeline!$F$22,1)))</f>
        <v>7042.51597446053</v>
      </c>
      <c r="AS19" s="138" t="n">
        <f aca="false">Pipeline!$W$16*Pipeline!$D$16*MIN(1,MAX(0,(43-Pipeline!$E$16+1)/MAX(Pipeline!$F$16,1)))+Pipeline!$W$17*Pipeline!$D$17*MIN(1,MAX(0,(43-Pipeline!$E$17+1)/MAX(Pipeline!$F$17,1)))+Pipeline!$W$18*Pipeline!$D$18*MIN(1,MAX(0,(43-Pipeline!$E$18+1)/MAX(Pipeline!$F$18,1)))+Pipeline!$W$19*Pipeline!$D$19*MIN(1,MAX(0,(43-Pipeline!$E$19+1)/MAX(Pipeline!$F$19,1)))+Pipeline!$W$20*Pipeline!$D$20*MIN(1,MAX(0,(43-Pipeline!$E$20+1)/MAX(Pipeline!$F$20,1)))+Pipeline!$W$21*Pipeline!$D$21*MIN(1,MAX(0,(43-Pipeline!$E$21+1)/MAX(Pipeline!$F$21,1)))+Pipeline!$W$22*Pipeline!$D$22*MIN(1,MAX(0,(43-Pipeline!$E$22+1)/MAX(Pipeline!$F$22,1)))</f>
        <v>7042.51597446053</v>
      </c>
      <c r="AT19" s="138" t="n">
        <f aca="false">Pipeline!$W$16*Pipeline!$D$16*MIN(1,MAX(0,(44-Pipeline!$E$16+1)/MAX(Pipeline!$F$16,1)))+Pipeline!$W$17*Pipeline!$D$17*MIN(1,MAX(0,(44-Pipeline!$E$17+1)/MAX(Pipeline!$F$17,1)))+Pipeline!$W$18*Pipeline!$D$18*MIN(1,MAX(0,(44-Pipeline!$E$18+1)/MAX(Pipeline!$F$18,1)))+Pipeline!$W$19*Pipeline!$D$19*MIN(1,MAX(0,(44-Pipeline!$E$19+1)/MAX(Pipeline!$F$19,1)))+Pipeline!$W$20*Pipeline!$D$20*MIN(1,MAX(0,(44-Pipeline!$E$20+1)/MAX(Pipeline!$F$20,1)))+Pipeline!$W$21*Pipeline!$D$21*MIN(1,MAX(0,(44-Pipeline!$E$21+1)/MAX(Pipeline!$F$21,1)))+Pipeline!$W$22*Pipeline!$D$22*MIN(1,MAX(0,(44-Pipeline!$E$22+1)/MAX(Pipeline!$F$22,1)))</f>
        <v>7042.51597446053</v>
      </c>
      <c r="AU19" s="138" t="n">
        <f aca="false">Pipeline!$W$16*Pipeline!$D$16*MIN(1,MAX(0,(45-Pipeline!$E$16+1)/MAX(Pipeline!$F$16,1)))+Pipeline!$W$17*Pipeline!$D$17*MIN(1,MAX(0,(45-Pipeline!$E$17+1)/MAX(Pipeline!$F$17,1)))+Pipeline!$W$18*Pipeline!$D$18*MIN(1,MAX(0,(45-Pipeline!$E$18+1)/MAX(Pipeline!$F$18,1)))+Pipeline!$W$19*Pipeline!$D$19*MIN(1,MAX(0,(45-Pipeline!$E$19+1)/MAX(Pipeline!$F$19,1)))+Pipeline!$W$20*Pipeline!$D$20*MIN(1,MAX(0,(45-Pipeline!$E$20+1)/MAX(Pipeline!$F$20,1)))+Pipeline!$W$21*Pipeline!$D$21*MIN(1,MAX(0,(45-Pipeline!$E$21+1)/MAX(Pipeline!$F$21,1)))+Pipeline!$W$22*Pipeline!$D$22*MIN(1,MAX(0,(45-Pipeline!$E$22+1)/MAX(Pipeline!$F$22,1)))</f>
        <v>7042.51597446053</v>
      </c>
      <c r="AV19" s="138" t="n">
        <f aca="false">Pipeline!$W$16*Pipeline!$D$16*MIN(1,MAX(0,(46-Pipeline!$E$16+1)/MAX(Pipeline!$F$16,1)))+Pipeline!$W$17*Pipeline!$D$17*MIN(1,MAX(0,(46-Pipeline!$E$17+1)/MAX(Pipeline!$F$17,1)))+Pipeline!$W$18*Pipeline!$D$18*MIN(1,MAX(0,(46-Pipeline!$E$18+1)/MAX(Pipeline!$F$18,1)))+Pipeline!$W$19*Pipeline!$D$19*MIN(1,MAX(0,(46-Pipeline!$E$19+1)/MAX(Pipeline!$F$19,1)))+Pipeline!$W$20*Pipeline!$D$20*MIN(1,MAX(0,(46-Pipeline!$E$20+1)/MAX(Pipeline!$F$20,1)))+Pipeline!$W$21*Pipeline!$D$21*MIN(1,MAX(0,(46-Pipeline!$E$21+1)/MAX(Pipeline!$F$21,1)))+Pipeline!$W$22*Pipeline!$D$22*MIN(1,MAX(0,(46-Pipeline!$E$22+1)/MAX(Pipeline!$F$22,1)))</f>
        <v>7042.51597446053</v>
      </c>
      <c r="AW19" s="138" t="n">
        <f aca="false">Pipeline!$W$16*Pipeline!$D$16*MIN(1,MAX(0,(47-Pipeline!$E$16+1)/MAX(Pipeline!$F$16,1)))+Pipeline!$W$17*Pipeline!$D$17*MIN(1,MAX(0,(47-Pipeline!$E$17+1)/MAX(Pipeline!$F$17,1)))+Pipeline!$W$18*Pipeline!$D$18*MIN(1,MAX(0,(47-Pipeline!$E$18+1)/MAX(Pipeline!$F$18,1)))+Pipeline!$W$19*Pipeline!$D$19*MIN(1,MAX(0,(47-Pipeline!$E$19+1)/MAX(Pipeline!$F$19,1)))+Pipeline!$W$20*Pipeline!$D$20*MIN(1,MAX(0,(47-Pipeline!$E$20+1)/MAX(Pipeline!$F$20,1)))+Pipeline!$W$21*Pipeline!$D$21*MIN(1,MAX(0,(47-Pipeline!$E$21+1)/MAX(Pipeline!$F$21,1)))+Pipeline!$W$22*Pipeline!$D$22*MIN(1,MAX(0,(47-Pipeline!$E$22+1)/MAX(Pipeline!$F$22,1)))</f>
        <v>7042.51597446053</v>
      </c>
      <c r="AX19" s="138" t="n">
        <f aca="false">Pipeline!$W$16*Pipeline!$D$16*MIN(1,MAX(0,(48-Pipeline!$E$16+1)/MAX(Pipeline!$F$16,1)))+Pipeline!$W$17*Pipeline!$D$17*MIN(1,MAX(0,(48-Pipeline!$E$17+1)/MAX(Pipeline!$F$17,1)))+Pipeline!$W$18*Pipeline!$D$18*MIN(1,MAX(0,(48-Pipeline!$E$18+1)/MAX(Pipeline!$F$18,1)))+Pipeline!$W$19*Pipeline!$D$19*MIN(1,MAX(0,(48-Pipeline!$E$19+1)/MAX(Pipeline!$F$19,1)))+Pipeline!$W$20*Pipeline!$D$20*MIN(1,MAX(0,(48-Pipeline!$E$20+1)/MAX(Pipeline!$F$20,1)))+Pipeline!$W$21*Pipeline!$D$21*MIN(1,MAX(0,(48-Pipeline!$E$21+1)/MAX(Pipeline!$F$21,1)))+Pipeline!$W$22*Pipeline!$D$22*MIN(1,MAX(0,(48-Pipeline!$E$22+1)/MAX(Pipeline!$F$22,1)))</f>
        <v>7042.51597446053</v>
      </c>
      <c r="AY19" s="138" t="n">
        <f aca="false">Pipeline!$W$16*Pipeline!$D$16*MIN(1,MAX(0,(49-Pipeline!$E$16+1)/MAX(Pipeline!$F$16,1)))+Pipeline!$W$17*Pipeline!$D$17*MIN(1,MAX(0,(49-Pipeline!$E$17+1)/MAX(Pipeline!$F$17,1)))+Pipeline!$W$18*Pipeline!$D$18*MIN(1,MAX(0,(49-Pipeline!$E$18+1)/MAX(Pipeline!$F$18,1)))+Pipeline!$W$19*Pipeline!$D$19*MIN(1,MAX(0,(49-Pipeline!$E$19+1)/MAX(Pipeline!$F$19,1)))+Pipeline!$W$20*Pipeline!$D$20*MIN(1,MAX(0,(49-Pipeline!$E$20+1)/MAX(Pipeline!$F$20,1)))+Pipeline!$W$21*Pipeline!$D$21*MIN(1,MAX(0,(49-Pipeline!$E$21+1)/MAX(Pipeline!$F$21,1)))+Pipeline!$W$22*Pipeline!$D$22*MIN(1,MAX(0,(49-Pipeline!$E$22+1)/MAX(Pipeline!$F$22,1)))</f>
        <v>7042.51597446053</v>
      </c>
      <c r="AZ19" s="138" t="n">
        <f aca="false">Pipeline!$W$16*Pipeline!$D$16*MIN(1,MAX(0,(50-Pipeline!$E$16+1)/MAX(Pipeline!$F$16,1)))+Pipeline!$W$17*Pipeline!$D$17*MIN(1,MAX(0,(50-Pipeline!$E$17+1)/MAX(Pipeline!$F$17,1)))+Pipeline!$W$18*Pipeline!$D$18*MIN(1,MAX(0,(50-Pipeline!$E$18+1)/MAX(Pipeline!$F$18,1)))+Pipeline!$W$19*Pipeline!$D$19*MIN(1,MAX(0,(50-Pipeline!$E$19+1)/MAX(Pipeline!$F$19,1)))+Pipeline!$W$20*Pipeline!$D$20*MIN(1,MAX(0,(50-Pipeline!$E$20+1)/MAX(Pipeline!$F$20,1)))+Pipeline!$W$21*Pipeline!$D$21*MIN(1,MAX(0,(50-Pipeline!$E$21+1)/MAX(Pipeline!$F$21,1)))+Pipeline!$W$22*Pipeline!$D$22*MIN(1,MAX(0,(50-Pipeline!$E$22+1)/MAX(Pipeline!$F$22,1)))</f>
        <v>7042.51597446053</v>
      </c>
      <c r="BA19" s="138" t="n">
        <f aca="false">Pipeline!$W$16*Pipeline!$D$16*MIN(1,MAX(0,(51-Pipeline!$E$16+1)/MAX(Pipeline!$F$16,1)))+Pipeline!$W$17*Pipeline!$D$17*MIN(1,MAX(0,(51-Pipeline!$E$17+1)/MAX(Pipeline!$F$17,1)))+Pipeline!$W$18*Pipeline!$D$18*MIN(1,MAX(0,(51-Pipeline!$E$18+1)/MAX(Pipeline!$F$18,1)))+Pipeline!$W$19*Pipeline!$D$19*MIN(1,MAX(0,(51-Pipeline!$E$19+1)/MAX(Pipeline!$F$19,1)))+Pipeline!$W$20*Pipeline!$D$20*MIN(1,MAX(0,(51-Pipeline!$E$20+1)/MAX(Pipeline!$F$20,1)))+Pipeline!$W$21*Pipeline!$D$21*MIN(1,MAX(0,(51-Pipeline!$E$21+1)/MAX(Pipeline!$F$21,1)))+Pipeline!$W$22*Pipeline!$D$22*MIN(1,MAX(0,(51-Pipeline!$E$22+1)/MAX(Pipeline!$F$22,1)))</f>
        <v>7042.51597446053</v>
      </c>
      <c r="BB19" s="138" t="n">
        <f aca="false">Pipeline!$W$16*Pipeline!$D$16*MIN(1,MAX(0,(52-Pipeline!$E$16+1)/MAX(Pipeline!$F$16,1)))+Pipeline!$W$17*Pipeline!$D$17*MIN(1,MAX(0,(52-Pipeline!$E$17+1)/MAX(Pipeline!$F$17,1)))+Pipeline!$W$18*Pipeline!$D$18*MIN(1,MAX(0,(52-Pipeline!$E$18+1)/MAX(Pipeline!$F$18,1)))+Pipeline!$W$19*Pipeline!$D$19*MIN(1,MAX(0,(52-Pipeline!$E$19+1)/MAX(Pipeline!$F$19,1)))+Pipeline!$W$20*Pipeline!$D$20*MIN(1,MAX(0,(52-Pipeline!$E$20+1)/MAX(Pipeline!$F$20,1)))+Pipeline!$W$21*Pipeline!$D$21*MIN(1,MAX(0,(52-Pipeline!$E$21+1)/MAX(Pipeline!$F$21,1)))+Pipeline!$W$22*Pipeline!$D$22*MIN(1,MAX(0,(52-Pipeline!$E$22+1)/MAX(Pipeline!$F$22,1)))</f>
        <v>7042.51597446053</v>
      </c>
      <c r="BC19" s="138" t="n">
        <f aca="false">Pipeline!$W$16*Pipeline!$D$16*MIN(1,MAX(0,(53-Pipeline!$E$16+1)/MAX(Pipeline!$F$16,1)))+Pipeline!$W$17*Pipeline!$D$17*MIN(1,MAX(0,(53-Pipeline!$E$17+1)/MAX(Pipeline!$F$17,1)))+Pipeline!$W$18*Pipeline!$D$18*MIN(1,MAX(0,(53-Pipeline!$E$18+1)/MAX(Pipeline!$F$18,1)))+Pipeline!$W$19*Pipeline!$D$19*MIN(1,MAX(0,(53-Pipeline!$E$19+1)/MAX(Pipeline!$F$19,1)))+Pipeline!$W$20*Pipeline!$D$20*MIN(1,MAX(0,(53-Pipeline!$E$20+1)/MAX(Pipeline!$F$20,1)))+Pipeline!$W$21*Pipeline!$D$21*MIN(1,MAX(0,(53-Pipeline!$E$21+1)/MAX(Pipeline!$F$21,1)))+Pipeline!$W$22*Pipeline!$D$22*MIN(1,MAX(0,(53-Pipeline!$E$22+1)/MAX(Pipeline!$F$22,1)))</f>
        <v>7042.51597446053</v>
      </c>
      <c r="BD19" s="138" t="n">
        <f aca="false">Pipeline!$W$16*Pipeline!$D$16*MIN(1,MAX(0,(54-Pipeline!$E$16+1)/MAX(Pipeline!$F$16,1)))+Pipeline!$W$17*Pipeline!$D$17*MIN(1,MAX(0,(54-Pipeline!$E$17+1)/MAX(Pipeline!$F$17,1)))+Pipeline!$W$18*Pipeline!$D$18*MIN(1,MAX(0,(54-Pipeline!$E$18+1)/MAX(Pipeline!$F$18,1)))+Pipeline!$W$19*Pipeline!$D$19*MIN(1,MAX(0,(54-Pipeline!$E$19+1)/MAX(Pipeline!$F$19,1)))+Pipeline!$W$20*Pipeline!$D$20*MIN(1,MAX(0,(54-Pipeline!$E$20+1)/MAX(Pipeline!$F$20,1)))+Pipeline!$W$21*Pipeline!$D$21*MIN(1,MAX(0,(54-Pipeline!$E$21+1)/MAX(Pipeline!$F$21,1)))+Pipeline!$W$22*Pipeline!$D$22*MIN(1,MAX(0,(54-Pipeline!$E$22+1)/MAX(Pipeline!$F$22,1)))</f>
        <v>7042.51597446053</v>
      </c>
      <c r="BE19" s="138" t="n">
        <f aca="false">Pipeline!$W$16*Pipeline!$D$16*MIN(1,MAX(0,(55-Pipeline!$E$16+1)/MAX(Pipeline!$F$16,1)))+Pipeline!$W$17*Pipeline!$D$17*MIN(1,MAX(0,(55-Pipeline!$E$17+1)/MAX(Pipeline!$F$17,1)))+Pipeline!$W$18*Pipeline!$D$18*MIN(1,MAX(0,(55-Pipeline!$E$18+1)/MAX(Pipeline!$F$18,1)))+Pipeline!$W$19*Pipeline!$D$19*MIN(1,MAX(0,(55-Pipeline!$E$19+1)/MAX(Pipeline!$F$19,1)))+Pipeline!$W$20*Pipeline!$D$20*MIN(1,MAX(0,(55-Pipeline!$E$20+1)/MAX(Pipeline!$F$20,1)))+Pipeline!$W$21*Pipeline!$D$21*MIN(1,MAX(0,(55-Pipeline!$E$21+1)/MAX(Pipeline!$F$21,1)))+Pipeline!$W$22*Pipeline!$D$22*MIN(1,MAX(0,(55-Pipeline!$E$22+1)/MAX(Pipeline!$F$22,1)))</f>
        <v>7042.51597446053</v>
      </c>
      <c r="BF19" s="138" t="n">
        <f aca="false">Pipeline!$W$16*Pipeline!$D$16*MIN(1,MAX(0,(56-Pipeline!$E$16+1)/MAX(Pipeline!$F$16,1)))+Pipeline!$W$17*Pipeline!$D$17*MIN(1,MAX(0,(56-Pipeline!$E$17+1)/MAX(Pipeline!$F$17,1)))+Pipeline!$W$18*Pipeline!$D$18*MIN(1,MAX(0,(56-Pipeline!$E$18+1)/MAX(Pipeline!$F$18,1)))+Pipeline!$W$19*Pipeline!$D$19*MIN(1,MAX(0,(56-Pipeline!$E$19+1)/MAX(Pipeline!$F$19,1)))+Pipeline!$W$20*Pipeline!$D$20*MIN(1,MAX(0,(56-Pipeline!$E$20+1)/MAX(Pipeline!$F$20,1)))+Pipeline!$W$21*Pipeline!$D$21*MIN(1,MAX(0,(56-Pipeline!$E$21+1)/MAX(Pipeline!$F$21,1)))+Pipeline!$W$22*Pipeline!$D$22*MIN(1,MAX(0,(56-Pipeline!$E$22+1)/MAX(Pipeline!$F$22,1)))</f>
        <v>7042.51597446053</v>
      </c>
      <c r="BG19" s="138" t="n">
        <f aca="false">Pipeline!$W$16*Pipeline!$D$16*MIN(1,MAX(0,(57-Pipeline!$E$16+1)/MAX(Pipeline!$F$16,1)))+Pipeline!$W$17*Pipeline!$D$17*MIN(1,MAX(0,(57-Pipeline!$E$17+1)/MAX(Pipeline!$F$17,1)))+Pipeline!$W$18*Pipeline!$D$18*MIN(1,MAX(0,(57-Pipeline!$E$18+1)/MAX(Pipeline!$F$18,1)))+Pipeline!$W$19*Pipeline!$D$19*MIN(1,MAX(0,(57-Pipeline!$E$19+1)/MAX(Pipeline!$F$19,1)))+Pipeline!$W$20*Pipeline!$D$20*MIN(1,MAX(0,(57-Pipeline!$E$20+1)/MAX(Pipeline!$F$20,1)))+Pipeline!$W$21*Pipeline!$D$21*MIN(1,MAX(0,(57-Pipeline!$E$21+1)/MAX(Pipeline!$F$21,1)))+Pipeline!$W$22*Pipeline!$D$22*MIN(1,MAX(0,(57-Pipeline!$E$22+1)/MAX(Pipeline!$F$22,1)))</f>
        <v>7042.51597446053</v>
      </c>
      <c r="BH19" s="138" t="n">
        <f aca="false">Pipeline!$W$16*Pipeline!$D$16*MIN(1,MAX(0,(58-Pipeline!$E$16+1)/MAX(Pipeline!$F$16,1)))+Pipeline!$W$17*Pipeline!$D$17*MIN(1,MAX(0,(58-Pipeline!$E$17+1)/MAX(Pipeline!$F$17,1)))+Pipeline!$W$18*Pipeline!$D$18*MIN(1,MAX(0,(58-Pipeline!$E$18+1)/MAX(Pipeline!$F$18,1)))+Pipeline!$W$19*Pipeline!$D$19*MIN(1,MAX(0,(58-Pipeline!$E$19+1)/MAX(Pipeline!$F$19,1)))+Pipeline!$W$20*Pipeline!$D$20*MIN(1,MAX(0,(58-Pipeline!$E$20+1)/MAX(Pipeline!$F$20,1)))+Pipeline!$W$21*Pipeline!$D$21*MIN(1,MAX(0,(58-Pipeline!$E$21+1)/MAX(Pipeline!$F$21,1)))+Pipeline!$W$22*Pipeline!$D$22*MIN(1,MAX(0,(58-Pipeline!$E$22+1)/MAX(Pipeline!$F$22,1)))</f>
        <v>7042.51597446053</v>
      </c>
      <c r="BI19" s="138" t="n">
        <f aca="false">Pipeline!$W$16*Pipeline!$D$16*MIN(1,MAX(0,(59-Pipeline!$E$16+1)/MAX(Pipeline!$F$16,1)))+Pipeline!$W$17*Pipeline!$D$17*MIN(1,MAX(0,(59-Pipeline!$E$17+1)/MAX(Pipeline!$F$17,1)))+Pipeline!$W$18*Pipeline!$D$18*MIN(1,MAX(0,(59-Pipeline!$E$18+1)/MAX(Pipeline!$F$18,1)))+Pipeline!$W$19*Pipeline!$D$19*MIN(1,MAX(0,(59-Pipeline!$E$19+1)/MAX(Pipeline!$F$19,1)))+Pipeline!$W$20*Pipeline!$D$20*MIN(1,MAX(0,(59-Pipeline!$E$20+1)/MAX(Pipeline!$F$20,1)))+Pipeline!$W$21*Pipeline!$D$21*MIN(1,MAX(0,(59-Pipeline!$E$21+1)/MAX(Pipeline!$F$21,1)))+Pipeline!$W$22*Pipeline!$D$22*MIN(1,MAX(0,(59-Pipeline!$E$22+1)/MAX(Pipeline!$F$22,1)))</f>
        <v>7042.51597446053</v>
      </c>
      <c r="BJ19" s="138" t="n">
        <f aca="false">Pipeline!$W$16*Pipeline!$D$16*MIN(1,MAX(0,(60-Pipeline!$E$16+1)/MAX(Pipeline!$F$16,1)))+Pipeline!$W$17*Pipeline!$D$17*MIN(1,MAX(0,(60-Pipeline!$E$17+1)/MAX(Pipeline!$F$17,1)))+Pipeline!$W$18*Pipeline!$D$18*MIN(1,MAX(0,(60-Pipeline!$E$18+1)/MAX(Pipeline!$F$18,1)))+Pipeline!$W$19*Pipeline!$D$19*MIN(1,MAX(0,(60-Pipeline!$E$19+1)/MAX(Pipeline!$F$19,1)))+Pipeline!$W$20*Pipeline!$D$20*MIN(1,MAX(0,(60-Pipeline!$E$20+1)/MAX(Pipeline!$F$20,1)))+Pipeline!$W$21*Pipeline!$D$21*MIN(1,MAX(0,(60-Pipeline!$E$21+1)/MAX(Pipeline!$F$21,1)))+Pipeline!$W$22*Pipeline!$D$22*MIN(1,MAX(0,(60-Pipeline!$E$22+1)/MAX(Pipeline!$F$22,1)))</f>
        <v>7042.51597446053</v>
      </c>
      <c r="BK19" s="138" t="n">
        <f aca="false">Pipeline!$W$16*Pipeline!$D$16*MIN(1,MAX(0,(61-Pipeline!$E$16+1)/MAX(Pipeline!$F$16,1)))+Pipeline!$W$17*Pipeline!$D$17*MIN(1,MAX(0,(61-Pipeline!$E$17+1)/MAX(Pipeline!$F$17,1)))+Pipeline!$W$18*Pipeline!$D$18*MIN(1,MAX(0,(61-Pipeline!$E$18+1)/MAX(Pipeline!$F$18,1)))+Pipeline!$W$19*Pipeline!$D$19*MIN(1,MAX(0,(61-Pipeline!$E$19+1)/MAX(Pipeline!$F$19,1)))+Pipeline!$W$20*Pipeline!$D$20*MIN(1,MAX(0,(61-Pipeline!$E$20+1)/MAX(Pipeline!$F$20,1)))+Pipeline!$W$21*Pipeline!$D$21*MIN(1,MAX(0,(61-Pipeline!$E$21+1)/MAX(Pipeline!$F$21,1)))+Pipeline!$W$22*Pipeline!$D$22*MIN(1,MAX(0,(61-Pipeline!$E$22+1)/MAX(Pipeline!$F$22,1)))</f>
        <v>7042.51597446053</v>
      </c>
      <c r="BL19" s="138" t="n">
        <f aca="false">Pipeline!$W$16*Pipeline!$D$16*MIN(1,MAX(0,(62-Pipeline!$E$16+1)/MAX(Pipeline!$F$16,1)))+Pipeline!$W$17*Pipeline!$D$17*MIN(1,MAX(0,(62-Pipeline!$E$17+1)/MAX(Pipeline!$F$17,1)))+Pipeline!$W$18*Pipeline!$D$18*MIN(1,MAX(0,(62-Pipeline!$E$18+1)/MAX(Pipeline!$F$18,1)))+Pipeline!$W$19*Pipeline!$D$19*MIN(1,MAX(0,(62-Pipeline!$E$19+1)/MAX(Pipeline!$F$19,1)))+Pipeline!$W$20*Pipeline!$D$20*MIN(1,MAX(0,(62-Pipeline!$E$20+1)/MAX(Pipeline!$F$20,1)))+Pipeline!$W$21*Pipeline!$D$21*MIN(1,MAX(0,(62-Pipeline!$E$21+1)/MAX(Pipeline!$F$21,1)))+Pipeline!$W$22*Pipeline!$D$22*MIN(1,MAX(0,(62-Pipeline!$E$22+1)/MAX(Pipeline!$F$22,1)))</f>
        <v>7042.51597446053</v>
      </c>
      <c r="BM19" s="138" t="n">
        <f aca="false">Pipeline!$W$16*Pipeline!$D$16*MIN(1,MAX(0,(63-Pipeline!$E$16+1)/MAX(Pipeline!$F$16,1)))+Pipeline!$W$17*Pipeline!$D$17*MIN(1,MAX(0,(63-Pipeline!$E$17+1)/MAX(Pipeline!$F$17,1)))+Pipeline!$W$18*Pipeline!$D$18*MIN(1,MAX(0,(63-Pipeline!$E$18+1)/MAX(Pipeline!$F$18,1)))+Pipeline!$W$19*Pipeline!$D$19*MIN(1,MAX(0,(63-Pipeline!$E$19+1)/MAX(Pipeline!$F$19,1)))+Pipeline!$W$20*Pipeline!$D$20*MIN(1,MAX(0,(63-Pipeline!$E$20+1)/MAX(Pipeline!$F$20,1)))+Pipeline!$W$21*Pipeline!$D$21*MIN(1,MAX(0,(63-Pipeline!$E$21+1)/MAX(Pipeline!$F$21,1)))+Pipeline!$W$22*Pipeline!$D$22*MIN(1,MAX(0,(63-Pipeline!$E$22+1)/MAX(Pipeline!$F$22,1)))</f>
        <v>7042.51597446053</v>
      </c>
      <c r="BN19" s="138" t="n">
        <f aca="false">Pipeline!$W$16*Pipeline!$D$16*MIN(1,MAX(0,(64-Pipeline!$E$16+1)/MAX(Pipeline!$F$16,1)))+Pipeline!$W$17*Pipeline!$D$17*MIN(1,MAX(0,(64-Pipeline!$E$17+1)/MAX(Pipeline!$F$17,1)))+Pipeline!$W$18*Pipeline!$D$18*MIN(1,MAX(0,(64-Pipeline!$E$18+1)/MAX(Pipeline!$F$18,1)))+Pipeline!$W$19*Pipeline!$D$19*MIN(1,MAX(0,(64-Pipeline!$E$19+1)/MAX(Pipeline!$F$19,1)))+Pipeline!$W$20*Pipeline!$D$20*MIN(1,MAX(0,(64-Pipeline!$E$20+1)/MAX(Pipeline!$F$20,1)))+Pipeline!$W$21*Pipeline!$D$21*MIN(1,MAX(0,(64-Pipeline!$E$21+1)/MAX(Pipeline!$F$21,1)))+Pipeline!$W$22*Pipeline!$D$22*MIN(1,MAX(0,(64-Pipeline!$E$22+1)/MAX(Pipeline!$F$22,1)))</f>
        <v>7042.51597446053</v>
      </c>
      <c r="BO19" s="138" t="n">
        <f aca="false">Pipeline!$W$16*Pipeline!$D$16*MIN(1,MAX(0,(65-Pipeline!$E$16+1)/MAX(Pipeline!$F$16,1)))+Pipeline!$W$17*Pipeline!$D$17*MIN(1,MAX(0,(65-Pipeline!$E$17+1)/MAX(Pipeline!$F$17,1)))+Pipeline!$W$18*Pipeline!$D$18*MIN(1,MAX(0,(65-Pipeline!$E$18+1)/MAX(Pipeline!$F$18,1)))+Pipeline!$W$19*Pipeline!$D$19*MIN(1,MAX(0,(65-Pipeline!$E$19+1)/MAX(Pipeline!$F$19,1)))+Pipeline!$W$20*Pipeline!$D$20*MIN(1,MAX(0,(65-Pipeline!$E$20+1)/MAX(Pipeline!$F$20,1)))+Pipeline!$W$21*Pipeline!$D$21*MIN(1,MAX(0,(65-Pipeline!$E$21+1)/MAX(Pipeline!$F$21,1)))+Pipeline!$W$22*Pipeline!$D$22*MIN(1,MAX(0,(65-Pipeline!$E$22+1)/MAX(Pipeline!$F$22,1)))</f>
        <v>7042.51597446053</v>
      </c>
      <c r="BP19" s="138" t="n">
        <f aca="false">Pipeline!$W$16*Pipeline!$D$16*MIN(1,MAX(0,(66-Pipeline!$E$16+1)/MAX(Pipeline!$F$16,1)))+Pipeline!$W$17*Pipeline!$D$17*MIN(1,MAX(0,(66-Pipeline!$E$17+1)/MAX(Pipeline!$F$17,1)))+Pipeline!$W$18*Pipeline!$D$18*MIN(1,MAX(0,(66-Pipeline!$E$18+1)/MAX(Pipeline!$F$18,1)))+Pipeline!$W$19*Pipeline!$D$19*MIN(1,MAX(0,(66-Pipeline!$E$19+1)/MAX(Pipeline!$F$19,1)))+Pipeline!$W$20*Pipeline!$D$20*MIN(1,MAX(0,(66-Pipeline!$E$20+1)/MAX(Pipeline!$F$20,1)))+Pipeline!$W$21*Pipeline!$D$21*MIN(1,MAX(0,(66-Pipeline!$E$21+1)/MAX(Pipeline!$F$21,1)))+Pipeline!$W$22*Pipeline!$D$22*MIN(1,MAX(0,(66-Pipeline!$E$22+1)/MAX(Pipeline!$F$22,1)))</f>
        <v>7042.51597446053</v>
      </c>
      <c r="BQ19" s="138" t="n">
        <f aca="false">Pipeline!$W$16*Pipeline!$D$16*MIN(1,MAX(0,(67-Pipeline!$E$16+1)/MAX(Pipeline!$F$16,1)))+Pipeline!$W$17*Pipeline!$D$17*MIN(1,MAX(0,(67-Pipeline!$E$17+1)/MAX(Pipeline!$F$17,1)))+Pipeline!$W$18*Pipeline!$D$18*MIN(1,MAX(0,(67-Pipeline!$E$18+1)/MAX(Pipeline!$F$18,1)))+Pipeline!$W$19*Pipeline!$D$19*MIN(1,MAX(0,(67-Pipeline!$E$19+1)/MAX(Pipeline!$F$19,1)))+Pipeline!$W$20*Pipeline!$D$20*MIN(1,MAX(0,(67-Pipeline!$E$20+1)/MAX(Pipeline!$F$20,1)))+Pipeline!$W$21*Pipeline!$D$21*MIN(1,MAX(0,(67-Pipeline!$E$21+1)/MAX(Pipeline!$F$21,1)))+Pipeline!$W$22*Pipeline!$D$22*MIN(1,MAX(0,(67-Pipeline!$E$22+1)/MAX(Pipeline!$F$22,1)))</f>
        <v>7042.51597446053</v>
      </c>
      <c r="BR19" s="138" t="n">
        <f aca="false">Pipeline!$W$16*Pipeline!$D$16*MIN(1,MAX(0,(68-Pipeline!$E$16+1)/MAX(Pipeline!$F$16,1)))+Pipeline!$W$17*Pipeline!$D$17*MIN(1,MAX(0,(68-Pipeline!$E$17+1)/MAX(Pipeline!$F$17,1)))+Pipeline!$W$18*Pipeline!$D$18*MIN(1,MAX(0,(68-Pipeline!$E$18+1)/MAX(Pipeline!$F$18,1)))+Pipeline!$W$19*Pipeline!$D$19*MIN(1,MAX(0,(68-Pipeline!$E$19+1)/MAX(Pipeline!$F$19,1)))+Pipeline!$W$20*Pipeline!$D$20*MIN(1,MAX(0,(68-Pipeline!$E$20+1)/MAX(Pipeline!$F$20,1)))+Pipeline!$W$21*Pipeline!$D$21*MIN(1,MAX(0,(68-Pipeline!$E$21+1)/MAX(Pipeline!$F$21,1)))+Pipeline!$W$22*Pipeline!$D$22*MIN(1,MAX(0,(68-Pipeline!$E$22+1)/MAX(Pipeline!$F$22,1)))</f>
        <v>7042.51597446053</v>
      </c>
      <c r="BS19" s="138" t="n">
        <f aca="false">Pipeline!$W$16*Pipeline!$D$16*MIN(1,MAX(0,(69-Pipeline!$E$16+1)/MAX(Pipeline!$F$16,1)))+Pipeline!$W$17*Pipeline!$D$17*MIN(1,MAX(0,(69-Pipeline!$E$17+1)/MAX(Pipeline!$F$17,1)))+Pipeline!$W$18*Pipeline!$D$18*MIN(1,MAX(0,(69-Pipeline!$E$18+1)/MAX(Pipeline!$F$18,1)))+Pipeline!$W$19*Pipeline!$D$19*MIN(1,MAX(0,(69-Pipeline!$E$19+1)/MAX(Pipeline!$F$19,1)))+Pipeline!$W$20*Pipeline!$D$20*MIN(1,MAX(0,(69-Pipeline!$E$20+1)/MAX(Pipeline!$F$20,1)))+Pipeline!$W$21*Pipeline!$D$21*MIN(1,MAX(0,(69-Pipeline!$E$21+1)/MAX(Pipeline!$F$21,1)))+Pipeline!$W$22*Pipeline!$D$22*MIN(1,MAX(0,(69-Pipeline!$E$22+1)/MAX(Pipeline!$F$22,1)))</f>
        <v>7042.51597446053</v>
      </c>
      <c r="BT19" s="138" t="n">
        <f aca="false">Pipeline!$W$16*Pipeline!$D$16*MIN(1,MAX(0,(70-Pipeline!$E$16+1)/MAX(Pipeline!$F$16,1)))+Pipeline!$W$17*Pipeline!$D$17*MIN(1,MAX(0,(70-Pipeline!$E$17+1)/MAX(Pipeline!$F$17,1)))+Pipeline!$W$18*Pipeline!$D$18*MIN(1,MAX(0,(70-Pipeline!$E$18+1)/MAX(Pipeline!$F$18,1)))+Pipeline!$W$19*Pipeline!$D$19*MIN(1,MAX(0,(70-Pipeline!$E$19+1)/MAX(Pipeline!$F$19,1)))+Pipeline!$W$20*Pipeline!$D$20*MIN(1,MAX(0,(70-Pipeline!$E$20+1)/MAX(Pipeline!$F$20,1)))+Pipeline!$W$21*Pipeline!$D$21*MIN(1,MAX(0,(70-Pipeline!$E$21+1)/MAX(Pipeline!$F$21,1)))+Pipeline!$W$22*Pipeline!$D$22*MIN(1,MAX(0,(70-Pipeline!$E$22+1)/MAX(Pipeline!$F$22,1)))</f>
        <v>7042.51597446053</v>
      </c>
      <c r="BU19" s="138" t="n">
        <f aca="false">Pipeline!$W$16*Pipeline!$D$16*MIN(1,MAX(0,(71-Pipeline!$E$16+1)/MAX(Pipeline!$F$16,1)))+Pipeline!$W$17*Pipeline!$D$17*MIN(1,MAX(0,(71-Pipeline!$E$17+1)/MAX(Pipeline!$F$17,1)))+Pipeline!$W$18*Pipeline!$D$18*MIN(1,MAX(0,(71-Pipeline!$E$18+1)/MAX(Pipeline!$F$18,1)))+Pipeline!$W$19*Pipeline!$D$19*MIN(1,MAX(0,(71-Pipeline!$E$19+1)/MAX(Pipeline!$F$19,1)))+Pipeline!$W$20*Pipeline!$D$20*MIN(1,MAX(0,(71-Pipeline!$E$20+1)/MAX(Pipeline!$F$20,1)))+Pipeline!$W$21*Pipeline!$D$21*MIN(1,MAX(0,(71-Pipeline!$E$21+1)/MAX(Pipeline!$F$21,1)))+Pipeline!$W$22*Pipeline!$D$22*MIN(1,MAX(0,(71-Pipeline!$E$22+1)/MAX(Pipeline!$F$22,1)))</f>
        <v>7042.51597446053</v>
      </c>
      <c r="BV19" s="138" t="n">
        <f aca="false">Pipeline!$W$16*Pipeline!$D$16*MIN(1,MAX(0,(72-Pipeline!$E$16+1)/MAX(Pipeline!$F$16,1)))+Pipeline!$W$17*Pipeline!$D$17*MIN(1,MAX(0,(72-Pipeline!$E$17+1)/MAX(Pipeline!$F$17,1)))+Pipeline!$W$18*Pipeline!$D$18*MIN(1,MAX(0,(72-Pipeline!$E$18+1)/MAX(Pipeline!$F$18,1)))+Pipeline!$W$19*Pipeline!$D$19*MIN(1,MAX(0,(72-Pipeline!$E$19+1)/MAX(Pipeline!$F$19,1)))+Pipeline!$W$20*Pipeline!$D$20*MIN(1,MAX(0,(72-Pipeline!$E$20+1)/MAX(Pipeline!$F$20,1)))+Pipeline!$W$21*Pipeline!$D$21*MIN(1,MAX(0,(72-Pipeline!$E$21+1)/MAX(Pipeline!$F$21,1)))+Pipeline!$W$22*Pipeline!$D$22*MIN(1,MAX(0,(72-Pipeline!$E$22+1)/MAX(Pipeline!$F$22,1)))</f>
        <v>7042.51597446053</v>
      </c>
      <c r="BW19" s="138" t="n">
        <f aca="false">Pipeline!$W$16*Pipeline!$D$16*MIN(1,MAX(0,(73-Pipeline!$E$16+1)/MAX(Pipeline!$F$16,1)))+Pipeline!$W$17*Pipeline!$D$17*MIN(1,MAX(0,(73-Pipeline!$E$17+1)/MAX(Pipeline!$F$17,1)))+Pipeline!$W$18*Pipeline!$D$18*MIN(1,MAX(0,(73-Pipeline!$E$18+1)/MAX(Pipeline!$F$18,1)))+Pipeline!$W$19*Pipeline!$D$19*MIN(1,MAX(0,(73-Pipeline!$E$19+1)/MAX(Pipeline!$F$19,1)))+Pipeline!$W$20*Pipeline!$D$20*MIN(1,MAX(0,(73-Pipeline!$E$20+1)/MAX(Pipeline!$F$20,1)))+Pipeline!$W$21*Pipeline!$D$21*MIN(1,MAX(0,(73-Pipeline!$E$21+1)/MAX(Pipeline!$F$21,1)))+Pipeline!$W$22*Pipeline!$D$22*MIN(1,MAX(0,(73-Pipeline!$E$22+1)/MAX(Pipeline!$F$22,1)))</f>
        <v>7042.51597446053</v>
      </c>
      <c r="BX19" s="138" t="n">
        <f aca="false">Pipeline!$W$16*Pipeline!$D$16*MIN(1,MAX(0,(74-Pipeline!$E$16+1)/MAX(Pipeline!$F$16,1)))+Pipeline!$W$17*Pipeline!$D$17*MIN(1,MAX(0,(74-Pipeline!$E$17+1)/MAX(Pipeline!$F$17,1)))+Pipeline!$W$18*Pipeline!$D$18*MIN(1,MAX(0,(74-Pipeline!$E$18+1)/MAX(Pipeline!$F$18,1)))+Pipeline!$W$19*Pipeline!$D$19*MIN(1,MAX(0,(74-Pipeline!$E$19+1)/MAX(Pipeline!$F$19,1)))+Pipeline!$W$20*Pipeline!$D$20*MIN(1,MAX(0,(74-Pipeline!$E$20+1)/MAX(Pipeline!$F$20,1)))+Pipeline!$W$21*Pipeline!$D$21*MIN(1,MAX(0,(74-Pipeline!$E$21+1)/MAX(Pipeline!$F$21,1)))+Pipeline!$W$22*Pipeline!$D$22*MIN(1,MAX(0,(74-Pipeline!$E$22+1)/MAX(Pipeline!$F$22,1)))</f>
        <v>7042.51597446053</v>
      </c>
      <c r="BY19" s="138" t="n">
        <f aca="false">Pipeline!$W$16*Pipeline!$D$16*MIN(1,MAX(0,(75-Pipeline!$E$16+1)/MAX(Pipeline!$F$16,1)))+Pipeline!$W$17*Pipeline!$D$17*MIN(1,MAX(0,(75-Pipeline!$E$17+1)/MAX(Pipeline!$F$17,1)))+Pipeline!$W$18*Pipeline!$D$18*MIN(1,MAX(0,(75-Pipeline!$E$18+1)/MAX(Pipeline!$F$18,1)))+Pipeline!$W$19*Pipeline!$D$19*MIN(1,MAX(0,(75-Pipeline!$E$19+1)/MAX(Pipeline!$F$19,1)))+Pipeline!$W$20*Pipeline!$D$20*MIN(1,MAX(0,(75-Pipeline!$E$20+1)/MAX(Pipeline!$F$20,1)))+Pipeline!$W$21*Pipeline!$D$21*MIN(1,MAX(0,(75-Pipeline!$E$21+1)/MAX(Pipeline!$F$21,1)))+Pipeline!$W$22*Pipeline!$D$22*MIN(1,MAX(0,(75-Pipeline!$E$22+1)/MAX(Pipeline!$F$22,1)))</f>
        <v>7042.51597446053</v>
      </c>
      <c r="BZ19" s="138" t="n">
        <f aca="false">Pipeline!$W$16*Pipeline!$D$16*MIN(1,MAX(0,(76-Pipeline!$E$16+1)/MAX(Pipeline!$F$16,1)))+Pipeline!$W$17*Pipeline!$D$17*MIN(1,MAX(0,(76-Pipeline!$E$17+1)/MAX(Pipeline!$F$17,1)))+Pipeline!$W$18*Pipeline!$D$18*MIN(1,MAX(0,(76-Pipeline!$E$18+1)/MAX(Pipeline!$F$18,1)))+Pipeline!$W$19*Pipeline!$D$19*MIN(1,MAX(0,(76-Pipeline!$E$19+1)/MAX(Pipeline!$F$19,1)))+Pipeline!$W$20*Pipeline!$D$20*MIN(1,MAX(0,(76-Pipeline!$E$20+1)/MAX(Pipeline!$F$20,1)))+Pipeline!$W$21*Pipeline!$D$21*MIN(1,MAX(0,(76-Pipeline!$E$21+1)/MAX(Pipeline!$F$21,1)))+Pipeline!$W$22*Pipeline!$D$22*MIN(1,MAX(0,(76-Pipeline!$E$22+1)/MAX(Pipeline!$F$22,1)))</f>
        <v>7042.51597446053</v>
      </c>
      <c r="CA19" s="138" t="n">
        <f aca="false">Pipeline!$W$16*Pipeline!$D$16*MIN(1,MAX(0,(77-Pipeline!$E$16+1)/MAX(Pipeline!$F$16,1)))+Pipeline!$W$17*Pipeline!$D$17*MIN(1,MAX(0,(77-Pipeline!$E$17+1)/MAX(Pipeline!$F$17,1)))+Pipeline!$W$18*Pipeline!$D$18*MIN(1,MAX(0,(77-Pipeline!$E$18+1)/MAX(Pipeline!$F$18,1)))+Pipeline!$W$19*Pipeline!$D$19*MIN(1,MAX(0,(77-Pipeline!$E$19+1)/MAX(Pipeline!$F$19,1)))+Pipeline!$W$20*Pipeline!$D$20*MIN(1,MAX(0,(77-Pipeline!$E$20+1)/MAX(Pipeline!$F$20,1)))+Pipeline!$W$21*Pipeline!$D$21*MIN(1,MAX(0,(77-Pipeline!$E$21+1)/MAX(Pipeline!$F$21,1)))+Pipeline!$W$22*Pipeline!$D$22*MIN(1,MAX(0,(77-Pipeline!$E$22+1)/MAX(Pipeline!$F$22,1)))</f>
        <v>7042.51597446053</v>
      </c>
      <c r="CB19" s="138" t="n">
        <f aca="false">Pipeline!$W$16*Pipeline!$D$16*MIN(1,MAX(0,(78-Pipeline!$E$16+1)/MAX(Pipeline!$F$16,1)))+Pipeline!$W$17*Pipeline!$D$17*MIN(1,MAX(0,(78-Pipeline!$E$17+1)/MAX(Pipeline!$F$17,1)))+Pipeline!$W$18*Pipeline!$D$18*MIN(1,MAX(0,(78-Pipeline!$E$18+1)/MAX(Pipeline!$F$18,1)))+Pipeline!$W$19*Pipeline!$D$19*MIN(1,MAX(0,(78-Pipeline!$E$19+1)/MAX(Pipeline!$F$19,1)))+Pipeline!$W$20*Pipeline!$D$20*MIN(1,MAX(0,(78-Pipeline!$E$20+1)/MAX(Pipeline!$F$20,1)))+Pipeline!$W$21*Pipeline!$D$21*MIN(1,MAX(0,(78-Pipeline!$E$21+1)/MAX(Pipeline!$F$21,1)))+Pipeline!$W$22*Pipeline!$D$22*MIN(1,MAX(0,(78-Pipeline!$E$22+1)/MAX(Pipeline!$F$22,1)))</f>
        <v>7042.51597446053</v>
      </c>
      <c r="CC19" s="138" t="n">
        <f aca="false">Pipeline!$W$16*Pipeline!$D$16*MIN(1,MAX(0,(79-Pipeline!$E$16+1)/MAX(Pipeline!$F$16,1)))+Pipeline!$W$17*Pipeline!$D$17*MIN(1,MAX(0,(79-Pipeline!$E$17+1)/MAX(Pipeline!$F$17,1)))+Pipeline!$W$18*Pipeline!$D$18*MIN(1,MAX(0,(79-Pipeline!$E$18+1)/MAX(Pipeline!$F$18,1)))+Pipeline!$W$19*Pipeline!$D$19*MIN(1,MAX(0,(79-Pipeline!$E$19+1)/MAX(Pipeline!$F$19,1)))+Pipeline!$W$20*Pipeline!$D$20*MIN(1,MAX(0,(79-Pipeline!$E$20+1)/MAX(Pipeline!$F$20,1)))+Pipeline!$W$21*Pipeline!$D$21*MIN(1,MAX(0,(79-Pipeline!$E$21+1)/MAX(Pipeline!$F$21,1)))+Pipeline!$W$22*Pipeline!$D$22*MIN(1,MAX(0,(79-Pipeline!$E$22+1)/MAX(Pipeline!$F$22,1)))</f>
        <v>7042.51597446053</v>
      </c>
      <c r="CD19" s="138" t="n">
        <f aca="false">Pipeline!$W$16*Pipeline!$D$16*MIN(1,MAX(0,(80-Pipeline!$E$16+1)/MAX(Pipeline!$F$16,1)))+Pipeline!$W$17*Pipeline!$D$17*MIN(1,MAX(0,(80-Pipeline!$E$17+1)/MAX(Pipeline!$F$17,1)))+Pipeline!$W$18*Pipeline!$D$18*MIN(1,MAX(0,(80-Pipeline!$E$18+1)/MAX(Pipeline!$F$18,1)))+Pipeline!$W$19*Pipeline!$D$19*MIN(1,MAX(0,(80-Pipeline!$E$19+1)/MAX(Pipeline!$F$19,1)))+Pipeline!$W$20*Pipeline!$D$20*MIN(1,MAX(0,(80-Pipeline!$E$20+1)/MAX(Pipeline!$F$20,1)))+Pipeline!$W$21*Pipeline!$D$21*MIN(1,MAX(0,(80-Pipeline!$E$21+1)/MAX(Pipeline!$F$21,1)))+Pipeline!$W$22*Pipeline!$D$22*MIN(1,MAX(0,(80-Pipeline!$E$22+1)/MAX(Pipeline!$F$22,1)))</f>
        <v>7042.51597446053</v>
      </c>
      <c r="CE19" s="138" t="n">
        <f aca="false">Pipeline!$W$16*Pipeline!$D$16*MIN(1,MAX(0,(81-Pipeline!$E$16+1)/MAX(Pipeline!$F$16,1)))+Pipeline!$W$17*Pipeline!$D$17*MIN(1,MAX(0,(81-Pipeline!$E$17+1)/MAX(Pipeline!$F$17,1)))+Pipeline!$W$18*Pipeline!$D$18*MIN(1,MAX(0,(81-Pipeline!$E$18+1)/MAX(Pipeline!$F$18,1)))+Pipeline!$W$19*Pipeline!$D$19*MIN(1,MAX(0,(81-Pipeline!$E$19+1)/MAX(Pipeline!$F$19,1)))+Pipeline!$W$20*Pipeline!$D$20*MIN(1,MAX(0,(81-Pipeline!$E$20+1)/MAX(Pipeline!$F$20,1)))+Pipeline!$W$21*Pipeline!$D$21*MIN(1,MAX(0,(81-Pipeline!$E$21+1)/MAX(Pipeline!$F$21,1)))+Pipeline!$W$22*Pipeline!$D$22*MIN(1,MAX(0,(81-Pipeline!$E$22+1)/MAX(Pipeline!$F$22,1)))</f>
        <v>7042.51597446053</v>
      </c>
      <c r="CF19" s="138" t="n">
        <f aca="false">Pipeline!$W$16*Pipeline!$D$16*MIN(1,MAX(0,(82-Pipeline!$E$16+1)/MAX(Pipeline!$F$16,1)))+Pipeline!$W$17*Pipeline!$D$17*MIN(1,MAX(0,(82-Pipeline!$E$17+1)/MAX(Pipeline!$F$17,1)))+Pipeline!$W$18*Pipeline!$D$18*MIN(1,MAX(0,(82-Pipeline!$E$18+1)/MAX(Pipeline!$F$18,1)))+Pipeline!$W$19*Pipeline!$D$19*MIN(1,MAX(0,(82-Pipeline!$E$19+1)/MAX(Pipeline!$F$19,1)))+Pipeline!$W$20*Pipeline!$D$20*MIN(1,MAX(0,(82-Pipeline!$E$20+1)/MAX(Pipeline!$F$20,1)))+Pipeline!$W$21*Pipeline!$D$21*MIN(1,MAX(0,(82-Pipeline!$E$21+1)/MAX(Pipeline!$F$21,1)))+Pipeline!$W$22*Pipeline!$D$22*MIN(1,MAX(0,(82-Pipeline!$E$22+1)/MAX(Pipeline!$F$22,1)))</f>
        <v>7042.51597446053</v>
      </c>
      <c r="CG19" s="138" t="n">
        <f aca="false">Pipeline!$W$16*Pipeline!$D$16*MIN(1,MAX(0,(83-Pipeline!$E$16+1)/MAX(Pipeline!$F$16,1)))+Pipeline!$W$17*Pipeline!$D$17*MIN(1,MAX(0,(83-Pipeline!$E$17+1)/MAX(Pipeline!$F$17,1)))+Pipeline!$W$18*Pipeline!$D$18*MIN(1,MAX(0,(83-Pipeline!$E$18+1)/MAX(Pipeline!$F$18,1)))+Pipeline!$W$19*Pipeline!$D$19*MIN(1,MAX(0,(83-Pipeline!$E$19+1)/MAX(Pipeline!$F$19,1)))+Pipeline!$W$20*Pipeline!$D$20*MIN(1,MAX(0,(83-Pipeline!$E$20+1)/MAX(Pipeline!$F$20,1)))+Pipeline!$W$21*Pipeline!$D$21*MIN(1,MAX(0,(83-Pipeline!$E$21+1)/MAX(Pipeline!$F$21,1)))+Pipeline!$W$22*Pipeline!$D$22*MIN(1,MAX(0,(83-Pipeline!$E$22+1)/MAX(Pipeline!$F$22,1)))</f>
        <v>7042.51597446053</v>
      </c>
      <c r="CH19" s="138" t="n">
        <f aca="false">Pipeline!$W$16*Pipeline!$D$16*MIN(1,MAX(0,(84-Pipeline!$E$16+1)/MAX(Pipeline!$F$16,1)))+Pipeline!$W$17*Pipeline!$D$17*MIN(1,MAX(0,(84-Pipeline!$E$17+1)/MAX(Pipeline!$F$17,1)))+Pipeline!$W$18*Pipeline!$D$18*MIN(1,MAX(0,(84-Pipeline!$E$18+1)/MAX(Pipeline!$F$18,1)))+Pipeline!$W$19*Pipeline!$D$19*MIN(1,MAX(0,(84-Pipeline!$E$19+1)/MAX(Pipeline!$F$19,1)))+Pipeline!$W$20*Pipeline!$D$20*MIN(1,MAX(0,(84-Pipeline!$E$20+1)/MAX(Pipeline!$F$20,1)))+Pipeline!$W$21*Pipeline!$D$21*MIN(1,MAX(0,(84-Pipeline!$E$21+1)/MAX(Pipeline!$F$21,1)))+Pipeline!$W$22*Pipeline!$D$22*MIN(1,MAX(0,(84-Pipeline!$E$22+1)/MAX(Pipeline!$F$22,1)))</f>
        <v>7042.51597446053</v>
      </c>
    </row>
    <row r="20" customFormat="false" ht="13.5" hidden="false" customHeight="true" outlineLevel="0" collapsed="false">
      <c r="A20" s="13" t="s">
        <v>703</v>
      </c>
      <c r="C20" s="150" t="n">
        <f aca="false">Pipeline!$S$16*Pipeline!$D$16*MIN(1,MAX(0,(1-Pipeline!$E$16+1)/MAX(Pipeline!$F$16,1)))+Pipeline!$S$17*Pipeline!$D$17*MIN(1,MAX(0,(1-Pipeline!$E$17+1)/MAX(Pipeline!$F$17,1)))+Pipeline!$S$18*Pipeline!$D$18*MIN(1,MAX(0,(1-Pipeline!$E$18+1)/MAX(Pipeline!$F$18,1)))+Pipeline!$S$19*Pipeline!$D$19*MIN(1,MAX(0,(1-Pipeline!$E$19+1)/MAX(Pipeline!$F$19,1)))+Pipeline!$S$20*Pipeline!$D$20*MIN(1,MAX(0,(1-Pipeline!$E$20+1)/MAX(Pipeline!$F$20,1)))+Pipeline!$S$21*Pipeline!$D$21*MIN(1,MAX(0,(1-Pipeline!$E$21+1)/MAX(Pipeline!$F$21,1)))+Pipeline!$S$22*Pipeline!$D$22*MIN(1,MAX(0,(1-Pipeline!$E$22+1)/MAX(Pipeline!$F$22,1)))</f>
        <v>12.3975</v>
      </c>
      <c r="D20" s="150" t="n">
        <f aca="false">Pipeline!$S$16*Pipeline!$D$16*MIN(1,MAX(0,(2-Pipeline!$E$16+1)/MAX(Pipeline!$F$16,1)))+Pipeline!$S$17*Pipeline!$D$17*MIN(1,MAX(0,(2-Pipeline!$E$17+1)/MAX(Pipeline!$F$17,1)))+Pipeline!$S$18*Pipeline!$D$18*MIN(1,MAX(0,(2-Pipeline!$E$18+1)/MAX(Pipeline!$F$18,1)))+Pipeline!$S$19*Pipeline!$D$19*MIN(1,MAX(0,(2-Pipeline!$E$19+1)/MAX(Pipeline!$F$19,1)))+Pipeline!$S$20*Pipeline!$D$20*MIN(1,MAX(0,(2-Pipeline!$E$20+1)/MAX(Pipeline!$F$20,1)))+Pipeline!$S$21*Pipeline!$D$21*MIN(1,MAX(0,(2-Pipeline!$E$21+1)/MAX(Pipeline!$F$21,1)))+Pipeline!$S$22*Pipeline!$D$22*MIN(1,MAX(0,(2-Pipeline!$E$22+1)/MAX(Pipeline!$F$22,1)))</f>
        <v>27.405</v>
      </c>
      <c r="E20" s="150" t="n">
        <f aca="false">Pipeline!$S$16*Pipeline!$D$16*MIN(1,MAX(0,(3-Pipeline!$E$16+1)/MAX(Pipeline!$F$16,1)))+Pipeline!$S$17*Pipeline!$D$17*MIN(1,MAX(0,(3-Pipeline!$E$17+1)/MAX(Pipeline!$F$17,1)))+Pipeline!$S$18*Pipeline!$D$18*MIN(1,MAX(0,(3-Pipeline!$E$18+1)/MAX(Pipeline!$F$18,1)))+Pipeline!$S$19*Pipeline!$D$19*MIN(1,MAX(0,(3-Pipeline!$E$19+1)/MAX(Pipeline!$F$19,1)))+Pipeline!$S$20*Pipeline!$D$20*MIN(1,MAX(0,(3-Pipeline!$E$20+1)/MAX(Pipeline!$F$20,1)))+Pipeline!$S$21*Pipeline!$D$21*MIN(1,MAX(0,(3-Pipeline!$E$21+1)/MAX(Pipeline!$F$21,1)))+Pipeline!$S$22*Pipeline!$D$22*MIN(1,MAX(0,(3-Pipeline!$E$22+1)/MAX(Pipeline!$F$22,1)))</f>
        <v>75.69</v>
      </c>
      <c r="F20" s="150" t="n">
        <f aca="false">Pipeline!$S$16*Pipeline!$D$16*MIN(1,MAX(0,(4-Pipeline!$E$16+1)/MAX(Pipeline!$F$16,1)))+Pipeline!$S$17*Pipeline!$D$17*MIN(1,MAX(0,(4-Pipeline!$E$17+1)/MAX(Pipeline!$F$17,1)))+Pipeline!$S$18*Pipeline!$D$18*MIN(1,MAX(0,(4-Pipeline!$E$18+1)/MAX(Pipeline!$F$18,1)))+Pipeline!$S$19*Pipeline!$D$19*MIN(1,MAX(0,(4-Pipeline!$E$19+1)/MAX(Pipeline!$F$19,1)))+Pipeline!$S$20*Pipeline!$D$20*MIN(1,MAX(0,(4-Pipeline!$E$20+1)/MAX(Pipeline!$F$20,1)))+Pipeline!$S$21*Pipeline!$D$21*MIN(1,MAX(0,(4-Pipeline!$E$21+1)/MAX(Pipeline!$F$21,1)))+Pipeline!$S$22*Pipeline!$D$22*MIN(1,MAX(0,(4-Pipeline!$E$22+1)/MAX(Pipeline!$F$22,1)))</f>
        <v>111.5775</v>
      </c>
      <c r="G20" s="150" t="n">
        <f aca="false">Pipeline!$S$16*Pipeline!$D$16*MIN(1,MAX(0,(5-Pipeline!$E$16+1)/MAX(Pipeline!$F$16,1)))+Pipeline!$S$17*Pipeline!$D$17*MIN(1,MAX(0,(5-Pipeline!$E$17+1)/MAX(Pipeline!$F$17,1)))+Pipeline!$S$18*Pipeline!$D$18*MIN(1,MAX(0,(5-Pipeline!$E$18+1)/MAX(Pipeline!$F$18,1)))+Pipeline!$S$19*Pipeline!$D$19*MIN(1,MAX(0,(5-Pipeline!$E$19+1)/MAX(Pipeline!$F$19,1)))+Pipeline!$S$20*Pipeline!$D$20*MIN(1,MAX(0,(5-Pipeline!$E$20+1)/MAX(Pipeline!$F$20,1)))+Pipeline!$S$21*Pipeline!$D$21*MIN(1,MAX(0,(5-Pipeline!$E$21+1)/MAX(Pipeline!$F$21,1)))+Pipeline!$S$22*Pipeline!$D$22*MIN(1,MAX(0,(5-Pipeline!$E$22+1)/MAX(Pipeline!$F$22,1)))</f>
        <v>144.855</v>
      </c>
      <c r="H20" s="150" t="n">
        <f aca="false">Pipeline!$S$16*Pipeline!$D$16*MIN(1,MAX(0,(6-Pipeline!$E$16+1)/MAX(Pipeline!$F$16,1)))+Pipeline!$S$17*Pipeline!$D$17*MIN(1,MAX(0,(6-Pipeline!$E$17+1)/MAX(Pipeline!$F$17,1)))+Pipeline!$S$18*Pipeline!$D$18*MIN(1,MAX(0,(6-Pipeline!$E$18+1)/MAX(Pipeline!$F$18,1)))+Pipeline!$S$19*Pipeline!$D$19*MIN(1,MAX(0,(6-Pipeline!$E$19+1)/MAX(Pipeline!$F$19,1)))+Pipeline!$S$20*Pipeline!$D$20*MIN(1,MAX(0,(6-Pipeline!$E$20+1)/MAX(Pipeline!$F$20,1)))+Pipeline!$S$21*Pipeline!$D$21*MIN(1,MAX(0,(6-Pipeline!$E$21+1)/MAX(Pipeline!$F$21,1)))+Pipeline!$S$22*Pipeline!$D$22*MIN(1,MAX(0,(6-Pipeline!$E$22+1)/MAX(Pipeline!$F$22,1)))</f>
        <v>208.03875</v>
      </c>
      <c r="I20" s="150" t="n">
        <f aca="false">Pipeline!$S$16*Pipeline!$D$16*MIN(1,MAX(0,(7-Pipeline!$E$16+1)/MAX(Pipeline!$F$16,1)))+Pipeline!$S$17*Pipeline!$D$17*MIN(1,MAX(0,(7-Pipeline!$E$17+1)/MAX(Pipeline!$F$17,1)))+Pipeline!$S$18*Pipeline!$D$18*MIN(1,MAX(0,(7-Pipeline!$E$18+1)/MAX(Pipeline!$F$18,1)))+Pipeline!$S$19*Pipeline!$D$19*MIN(1,MAX(0,(7-Pipeline!$E$19+1)/MAX(Pipeline!$F$19,1)))+Pipeline!$S$20*Pipeline!$D$20*MIN(1,MAX(0,(7-Pipeline!$E$20+1)/MAX(Pipeline!$F$20,1)))+Pipeline!$S$21*Pipeline!$D$21*MIN(1,MAX(0,(7-Pipeline!$E$21+1)/MAX(Pipeline!$F$21,1)))+Pipeline!$S$22*Pipeline!$D$22*MIN(1,MAX(0,(7-Pipeline!$E$22+1)/MAX(Pipeline!$F$22,1)))</f>
        <v>271.2225</v>
      </c>
      <c r="J20" s="150" t="n">
        <f aca="false">Pipeline!$S$16*Pipeline!$D$16*MIN(1,MAX(0,(8-Pipeline!$E$16+1)/MAX(Pipeline!$F$16,1)))+Pipeline!$S$17*Pipeline!$D$17*MIN(1,MAX(0,(8-Pipeline!$E$17+1)/MAX(Pipeline!$F$17,1)))+Pipeline!$S$18*Pipeline!$D$18*MIN(1,MAX(0,(8-Pipeline!$E$18+1)/MAX(Pipeline!$F$18,1)))+Pipeline!$S$19*Pipeline!$D$19*MIN(1,MAX(0,(8-Pipeline!$E$19+1)/MAX(Pipeline!$F$19,1)))+Pipeline!$S$20*Pipeline!$D$20*MIN(1,MAX(0,(8-Pipeline!$E$20+1)/MAX(Pipeline!$F$20,1)))+Pipeline!$S$21*Pipeline!$D$21*MIN(1,MAX(0,(8-Pipeline!$E$21+1)/MAX(Pipeline!$F$21,1)))+Pipeline!$S$22*Pipeline!$D$22*MIN(1,MAX(0,(8-Pipeline!$E$22+1)/MAX(Pipeline!$F$22,1)))</f>
        <v>334.40625</v>
      </c>
      <c r="K20" s="150" t="n">
        <f aca="false">Pipeline!$S$16*Pipeline!$D$16*MIN(1,MAX(0,(9-Pipeline!$E$16+1)/MAX(Pipeline!$F$16,1)))+Pipeline!$S$17*Pipeline!$D$17*MIN(1,MAX(0,(9-Pipeline!$E$17+1)/MAX(Pipeline!$F$17,1)))+Pipeline!$S$18*Pipeline!$D$18*MIN(1,MAX(0,(9-Pipeline!$E$18+1)/MAX(Pipeline!$F$18,1)))+Pipeline!$S$19*Pipeline!$D$19*MIN(1,MAX(0,(9-Pipeline!$E$19+1)/MAX(Pipeline!$F$19,1)))+Pipeline!$S$20*Pipeline!$D$20*MIN(1,MAX(0,(9-Pipeline!$E$20+1)/MAX(Pipeline!$F$20,1)))+Pipeline!$S$21*Pipeline!$D$21*MIN(1,MAX(0,(9-Pipeline!$E$21+1)/MAX(Pipeline!$F$21,1)))+Pipeline!$S$22*Pipeline!$D$22*MIN(1,MAX(0,(9-Pipeline!$E$22+1)/MAX(Pipeline!$F$22,1)))</f>
        <v>397.59</v>
      </c>
      <c r="L20" s="150" t="n">
        <f aca="false">Pipeline!$S$16*Pipeline!$D$16*MIN(1,MAX(0,(10-Pipeline!$E$16+1)/MAX(Pipeline!$F$16,1)))+Pipeline!$S$17*Pipeline!$D$17*MIN(1,MAX(0,(10-Pipeline!$E$17+1)/MAX(Pipeline!$F$17,1)))+Pipeline!$S$18*Pipeline!$D$18*MIN(1,MAX(0,(10-Pipeline!$E$18+1)/MAX(Pipeline!$F$18,1)))+Pipeline!$S$19*Pipeline!$D$19*MIN(1,MAX(0,(10-Pipeline!$E$19+1)/MAX(Pipeline!$F$19,1)))+Pipeline!$S$20*Pipeline!$D$20*MIN(1,MAX(0,(10-Pipeline!$E$20+1)/MAX(Pipeline!$F$20,1)))+Pipeline!$S$21*Pipeline!$D$21*MIN(1,MAX(0,(10-Pipeline!$E$21+1)/MAX(Pipeline!$F$21,1)))+Pipeline!$S$22*Pipeline!$D$22*MIN(1,MAX(0,(10-Pipeline!$E$22+1)/MAX(Pipeline!$F$22,1)))</f>
        <v>460.77375</v>
      </c>
      <c r="M20" s="150" t="n">
        <f aca="false">Pipeline!$S$16*Pipeline!$D$16*MIN(1,MAX(0,(11-Pipeline!$E$16+1)/MAX(Pipeline!$F$16,1)))+Pipeline!$S$17*Pipeline!$D$17*MIN(1,MAX(0,(11-Pipeline!$E$17+1)/MAX(Pipeline!$F$17,1)))+Pipeline!$S$18*Pipeline!$D$18*MIN(1,MAX(0,(11-Pipeline!$E$18+1)/MAX(Pipeline!$F$18,1)))+Pipeline!$S$19*Pipeline!$D$19*MIN(1,MAX(0,(11-Pipeline!$E$19+1)/MAX(Pipeline!$F$19,1)))+Pipeline!$S$20*Pipeline!$D$20*MIN(1,MAX(0,(11-Pipeline!$E$20+1)/MAX(Pipeline!$F$20,1)))+Pipeline!$S$21*Pipeline!$D$21*MIN(1,MAX(0,(11-Pipeline!$E$21+1)/MAX(Pipeline!$F$21,1)))+Pipeline!$S$22*Pipeline!$D$22*MIN(1,MAX(0,(11-Pipeline!$E$22+1)/MAX(Pipeline!$F$22,1)))</f>
        <v>490.68</v>
      </c>
      <c r="N20" s="150" t="n">
        <f aca="false">Pipeline!$S$16*Pipeline!$D$16*MIN(1,MAX(0,(12-Pipeline!$E$16+1)/MAX(Pipeline!$F$16,1)))+Pipeline!$S$17*Pipeline!$D$17*MIN(1,MAX(0,(12-Pipeline!$E$17+1)/MAX(Pipeline!$F$17,1)))+Pipeline!$S$18*Pipeline!$D$18*MIN(1,MAX(0,(12-Pipeline!$E$18+1)/MAX(Pipeline!$F$18,1)))+Pipeline!$S$19*Pipeline!$D$19*MIN(1,MAX(0,(12-Pipeline!$E$19+1)/MAX(Pipeline!$F$19,1)))+Pipeline!$S$20*Pipeline!$D$20*MIN(1,MAX(0,(12-Pipeline!$E$20+1)/MAX(Pipeline!$F$20,1)))+Pipeline!$S$21*Pipeline!$D$21*MIN(1,MAX(0,(12-Pipeline!$E$21+1)/MAX(Pipeline!$F$21,1)))+Pipeline!$S$22*Pipeline!$D$22*MIN(1,MAX(0,(12-Pipeline!$E$22+1)/MAX(Pipeline!$F$22,1)))</f>
        <v>564.08625</v>
      </c>
      <c r="O20" s="150" t="n">
        <f aca="false">Pipeline!$S$16*Pipeline!$D$16*MIN(1,MAX(0,(13-Pipeline!$E$16+1)/MAX(Pipeline!$F$16,1)))+Pipeline!$S$17*Pipeline!$D$17*MIN(1,MAX(0,(13-Pipeline!$E$17+1)/MAX(Pipeline!$F$17,1)))+Pipeline!$S$18*Pipeline!$D$18*MIN(1,MAX(0,(13-Pipeline!$E$18+1)/MAX(Pipeline!$F$18,1)))+Pipeline!$S$19*Pipeline!$D$19*MIN(1,MAX(0,(13-Pipeline!$E$19+1)/MAX(Pipeline!$F$19,1)))+Pipeline!$S$20*Pipeline!$D$20*MIN(1,MAX(0,(13-Pipeline!$E$20+1)/MAX(Pipeline!$F$20,1)))+Pipeline!$S$21*Pipeline!$D$21*MIN(1,MAX(0,(13-Pipeline!$E$21+1)/MAX(Pipeline!$F$21,1)))+Pipeline!$S$22*Pipeline!$D$22*MIN(1,MAX(0,(13-Pipeline!$E$22+1)/MAX(Pipeline!$F$22,1)))</f>
        <v>637.4925</v>
      </c>
      <c r="P20" s="150" t="n">
        <f aca="false">Pipeline!$S$16*Pipeline!$D$16*MIN(1,MAX(0,(14-Pipeline!$E$16+1)/MAX(Pipeline!$F$16,1)))+Pipeline!$S$17*Pipeline!$D$17*MIN(1,MAX(0,(14-Pipeline!$E$17+1)/MAX(Pipeline!$F$17,1)))+Pipeline!$S$18*Pipeline!$D$18*MIN(1,MAX(0,(14-Pipeline!$E$18+1)/MAX(Pipeline!$F$18,1)))+Pipeline!$S$19*Pipeline!$D$19*MIN(1,MAX(0,(14-Pipeline!$E$19+1)/MAX(Pipeline!$F$19,1)))+Pipeline!$S$20*Pipeline!$D$20*MIN(1,MAX(0,(14-Pipeline!$E$20+1)/MAX(Pipeline!$F$20,1)))+Pipeline!$S$21*Pipeline!$D$21*MIN(1,MAX(0,(14-Pipeline!$E$21+1)/MAX(Pipeline!$F$21,1)))+Pipeline!$S$22*Pipeline!$D$22*MIN(1,MAX(0,(14-Pipeline!$E$22+1)/MAX(Pipeline!$F$22,1)))</f>
        <v>698.3925</v>
      </c>
      <c r="Q20" s="150" t="n">
        <f aca="false">Pipeline!$S$16*Pipeline!$D$16*MIN(1,MAX(0,(15-Pipeline!$E$16+1)/MAX(Pipeline!$F$16,1)))+Pipeline!$S$17*Pipeline!$D$17*MIN(1,MAX(0,(15-Pipeline!$E$17+1)/MAX(Pipeline!$F$17,1)))+Pipeline!$S$18*Pipeline!$D$18*MIN(1,MAX(0,(15-Pipeline!$E$18+1)/MAX(Pipeline!$F$18,1)))+Pipeline!$S$19*Pipeline!$D$19*MIN(1,MAX(0,(15-Pipeline!$E$19+1)/MAX(Pipeline!$F$19,1)))+Pipeline!$S$20*Pipeline!$D$20*MIN(1,MAX(0,(15-Pipeline!$E$20+1)/MAX(Pipeline!$F$20,1)))+Pipeline!$S$21*Pipeline!$D$21*MIN(1,MAX(0,(15-Pipeline!$E$21+1)/MAX(Pipeline!$F$21,1)))+Pipeline!$S$22*Pipeline!$D$22*MIN(1,MAX(0,(15-Pipeline!$E$22+1)/MAX(Pipeline!$F$22,1)))</f>
        <v>759.2925</v>
      </c>
      <c r="R20" s="150" t="n">
        <f aca="false">Pipeline!$S$16*Pipeline!$D$16*MIN(1,MAX(0,(16-Pipeline!$E$16+1)/MAX(Pipeline!$F$16,1)))+Pipeline!$S$17*Pipeline!$D$17*MIN(1,MAX(0,(16-Pipeline!$E$17+1)/MAX(Pipeline!$F$17,1)))+Pipeline!$S$18*Pipeline!$D$18*MIN(1,MAX(0,(16-Pipeline!$E$18+1)/MAX(Pipeline!$F$18,1)))+Pipeline!$S$19*Pipeline!$D$19*MIN(1,MAX(0,(16-Pipeline!$E$19+1)/MAX(Pipeline!$F$19,1)))+Pipeline!$S$20*Pipeline!$D$20*MIN(1,MAX(0,(16-Pipeline!$E$20+1)/MAX(Pipeline!$F$20,1)))+Pipeline!$S$21*Pipeline!$D$21*MIN(1,MAX(0,(16-Pipeline!$E$21+1)/MAX(Pipeline!$F$21,1)))+Pipeline!$S$22*Pipeline!$D$22*MIN(1,MAX(0,(16-Pipeline!$E$22+1)/MAX(Pipeline!$F$22,1)))</f>
        <v>820.1925</v>
      </c>
      <c r="S20" s="150" t="n">
        <f aca="false">Pipeline!$S$16*Pipeline!$D$16*MIN(1,MAX(0,(17-Pipeline!$E$16+1)/MAX(Pipeline!$F$16,1)))+Pipeline!$S$17*Pipeline!$D$17*MIN(1,MAX(0,(17-Pipeline!$E$17+1)/MAX(Pipeline!$F$17,1)))+Pipeline!$S$18*Pipeline!$D$18*MIN(1,MAX(0,(17-Pipeline!$E$18+1)/MAX(Pipeline!$F$18,1)))+Pipeline!$S$19*Pipeline!$D$19*MIN(1,MAX(0,(17-Pipeline!$E$19+1)/MAX(Pipeline!$F$19,1)))+Pipeline!$S$20*Pipeline!$D$20*MIN(1,MAX(0,(17-Pipeline!$E$20+1)/MAX(Pipeline!$F$20,1)))+Pipeline!$S$21*Pipeline!$D$21*MIN(1,MAX(0,(17-Pipeline!$E$21+1)/MAX(Pipeline!$F$21,1)))+Pipeline!$S$22*Pipeline!$D$22*MIN(1,MAX(0,(17-Pipeline!$E$22+1)/MAX(Pipeline!$F$22,1)))</f>
        <v>881.0925</v>
      </c>
      <c r="T20" s="150" t="n">
        <f aca="false">Pipeline!$S$16*Pipeline!$D$16*MIN(1,MAX(0,(18-Pipeline!$E$16+1)/MAX(Pipeline!$F$16,1)))+Pipeline!$S$17*Pipeline!$D$17*MIN(1,MAX(0,(18-Pipeline!$E$17+1)/MAX(Pipeline!$F$17,1)))+Pipeline!$S$18*Pipeline!$D$18*MIN(1,MAX(0,(18-Pipeline!$E$18+1)/MAX(Pipeline!$F$18,1)))+Pipeline!$S$19*Pipeline!$D$19*MIN(1,MAX(0,(18-Pipeline!$E$19+1)/MAX(Pipeline!$F$19,1)))+Pipeline!$S$20*Pipeline!$D$20*MIN(1,MAX(0,(18-Pipeline!$E$20+1)/MAX(Pipeline!$F$20,1)))+Pipeline!$S$21*Pipeline!$D$21*MIN(1,MAX(0,(18-Pipeline!$E$21+1)/MAX(Pipeline!$F$21,1)))+Pipeline!$S$22*Pipeline!$D$22*MIN(1,MAX(0,(18-Pipeline!$E$22+1)/MAX(Pipeline!$F$22,1)))</f>
        <v>941.9925</v>
      </c>
      <c r="U20" s="150" t="n">
        <f aca="false">Pipeline!$S$16*Pipeline!$D$16*MIN(1,MAX(0,(19-Pipeline!$E$16+1)/MAX(Pipeline!$F$16,1)))+Pipeline!$S$17*Pipeline!$D$17*MIN(1,MAX(0,(19-Pipeline!$E$17+1)/MAX(Pipeline!$F$17,1)))+Pipeline!$S$18*Pipeline!$D$18*MIN(1,MAX(0,(19-Pipeline!$E$18+1)/MAX(Pipeline!$F$18,1)))+Pipeline!$S$19*Pipeline!$D$19*MIN(1,MAX(0,(19-Pipeline!$E$19+1)/MAX(Pipeline!$F$19,1)))+Pipeline!$S$20*Pipeline!$D$20*MIN(1,MAX(0,(19-Pipeline!$E$20+1)/MAX(Pipeline!$F$20,1)))+Pipeline!$S$21*Pipeline!$D$21*MIN(1,MAX(0,(19-Pipeline!$E$21+1)/MAX(Pipeline!$F$21,1)))+Pipeline!$S$22*Pipeline!$D$22*MIN(1,MAX(0,(19-Pipeline!$E$22+1)/MAX(Pipeline!$F$22,1)))</f>
        <v>1002.8925</v>
      </c>
      <c r="V20" s="150" t="n">
        <f aca="false">Pipeline!$S$16*Pipeline!$D$16*MIN(1,MAX(0,(20-Pipeline!$E$16+1)/MAX(Pipeline!$F$16,1)))+Pipeline!$S$17*Pipeline!$D$17*MIN(1,MAX(0,(20-Pipeline!$E$17+1)/MAX(Pipeline!$F$17,1)))+Pipeline!$S$18*Pipeline!$D$18*MIN(1,MAX(0,(20-Pipeline!$E$18+1)/MAX(Pipeline!$F$18,1)))+Pipeline!$S$19*Pipeline!$D$19*MIN(1,MAX(0,(20-Pipeline!$E$19+1)/MAX(Pipeline!$F$19,1)))+Pipeline!$S$20*Pipeline!$D$20*MIN(1,MAX(0,(20-Pipeline!$E$20+1)/MAX(Pipeline!$F$20,1)))+Pipeline!$S$21*Pipeline!$D$21*MIN(1,MAX(0,(20-Pipeline!$E$21+1)/MAX(Pipeline!$F$21,1)))+Pipeline!$S$22*Pipeline!$D$22*MIN(1,MAX(0,(20-Pipeline!$E$22+1)/MAX(Pipeline!$F$22,1)))</f>
        <v>1063.7925</v>
      </c>
      <c r="W20" s="150" t="n">
        <f aca="false">Pipeline!$S$16*Pipeline!$D$16*MIN(1,MAX(0,(21-Pipeline!$E$16+1)/MAX(Pipeline!$F$16,1)))+Pipeline!$S$17*Pipeline!$D$17*MIN(1,MAX(0,(21-Pipeline!$E$17+1)/MAX(Pipeline!$F$17,1)))+Pipeline!$S$18*Pipeline!$D$18*MIN(1,MAX(0,(21-Pipeline!$E$18+1)/MAX(Pipeline!$F$18,1)))+Pipeline!$S$19*Pipeline!$D$19*MIN(1,MAX(0,(21-Pipeline!$E$19+1)/MAX(Pipeline!$F$19,1)))+Pipeline!$S$20*Pipeline!$D$20*MIN(1,MAX(0,(21-Pipeline!$E$20+1)/MAX(Pipeline!$F$20,1)))+Pipeline!$S$21*Pipeline!$D$21*MIN(1,MAX(0,(21-Pipeline!$E$21+1)/MAX(Pipeline!$F$21,1)))+Pipeline!$S$22*Pipeline!$D$22*MIN(1,MAX(0,(21-Pipeline!$E$22+1)/MAX(Pipeline!$F$22,1)))</f>
        <v>1124.6925</v>
      </c>
      <c r="X20" s="150" t="n">
        <f aca="false">Pipeline!$S$16*Pipeline!$D$16*MIN(1,MAX(0,(22-Pipeline!$E$16+1)/MAX(Pipeline!$F$16,1)))+Pipeline!$S$17*Pipeline!$D$17*MIN(1,MAX(0,(22-Pipeline!$E$17+1)/MAX(Pipeline!$F$17,1)))+Pipeline!$S$18*Pipeline!$D$18*MIN(1,MAX(0,(22-Pipeline!$E$18+1)/MAX(Pipeline!$F$18,1)))+Pipeline!$S$19*Pipeline!$D$19*MIN(1,MAX(0,(22-Pipeline!$E$19+1)/MAX(Pipeline!$F$19,1)))+Pipeline!$S$20*Pipeline!$D$20*MIN(1,MAX(0,(22-Pipeline!$E$20+1)/MAX(Pipeline!$F$20,1)))+Pipeline!$S$21*Pipeline!$D$21*MIN(1,MAX(0,(22-Pipeline!$E$21+1)/MAX(Pipeline!$F$21,1)))+Pipeline!$S$22*Pipeline!$D$22*MIN(1,MAX(0,(22-Pipeline!$E$22+1)/MAX(Pipeline!$F$22,1)))</f>
        <v>1142.0925</v>
      </c>
      <c r="Y20" s="150" t="n">
        <f aca="false">Pipeline!$S$16*Pipeline!$D$16*MIN(1,MAX(0,(23-Pipeline!$E$16+1)/MAX(Pipeline!$F$16,1)))+Pipeline!$S$17*Pipeline!$D$17*MIN(1,MAX(0,(23-Pipeline!$E$17+1)/MAX(Pipeline!$F$17,1)))+Pipeline!$S$18*Pipeline!$D$18*MIN(1,MAX(0,(23-Pipeline!$E$18+1)/MAX(Pipeline!$F$18,1)))+Pipeline!$S$19*Pipeline!$D$19*MIN(1,MAX(0,(23-Pipeline!$E$19+1)/MAX(Pipeline!$F$19,1)))+Pipeline!$S$20*Pipeline!$D$20*MIN(1,MAX(0,(23-Pipeline!$E$20+1)/MAX(Pipeline!$F$20,1)))+Pipeline!$S$21*Pipeline!$D$21*MIN(1,MAX(0,(23-Pipeline!$E$21+1)/MAX(Pipeline!$F$21,1)))+Pipeline!$S$22*Pipeline!$D$22*MIN(1,MAX(0,(23-Pipeline!$E$22+1)/MAX(Pipeline!$F$22,1)))</f>
        <v>1159.4925</v>
      </c>
      <c r="Z20" s="150" t="n">
        <f aca="false">Pipeline!$S$16*Pipeline!$D$16*MIN(1,MAX(0,(24-Pipeline!$E$16+1)/MAX(Pipeline!$F$16,1)))+Pipeline!$S$17*Pipeline!$D$17*MIN(1,MAX(0,(24-Pipeline!$E$17+1)/MAX(Pipeline!$F$17,1)))+Pipeline!$S$18*Pipeline!$D$18*MIN(1,MAX(0,(24-Pipeline!$E$18+1)/MAX(Pipeline!$F$18,1)))+Pipeline!$S$19*Pipeline!$D$19*MIN(1,MAX(0,(24-Pipeline!$E$19+1)/MAX(Pipeline!$F$19,1)))+Pipeline!$S$20*Pipeline!$D$20*MIN(1,MAX(0,(24-Pipeline!$E$20+1)/MAX(Pipeline!$F$20,1)))+Pipeline!$S$21*Pipeline!$D$21*MIN(1,MAX(0,(24-Pipeline!$E$21+1)/MAX(Pipeline!$F$21,1)))+Pipeline!$S$22*Pipeline!$D$22*MIN(1,MAX(0,(24-Pipeline!$E$22+1)/MAX(Pipeline!$F$22,1)))</f>
        <v>1159.4925</v>
      </c>
      <c r="AA20" s="150" t="n">
        <f aca="false">Pipeline!$S$16*Pipeline!$D$16*MIN(1,MAX(0,(25-Pipeline!$E$16+1)/MAX(Pipeline!$F$16,1)))+Pipeline!$S$17*Pipeline!$D$17*MIN(1,MAX(0,(25-Pipeline!$E$17+1)/MAX(Pipeline!$F$17,1)))+Pipeline!$S$18*Pipeline!$D$18*MIN(1,MAX(0,(25-Pipeline!$E$18+1)/MAX(Pipeline!$F$18,1)))+Pipeline!$S$19*Pipeline!$D$19*MIN(1,MAX(0,(25-Pipeline!$E$19+1)/MAX(Pipeline!$F$19,1)))+Pipeline!$S$20*Pipeline!$D$20*MIN(1,MAX(0,(25-Pipeline!$E$20+1)/MAX(Pipeline!$F$20,1)))+Pipeline!$S$21*Pipeline!$D$21*MIN(1,MAX(0,(25-Pipeline!$E$21+1)/MAX(Pipeline!$F$21,1)))+Pipeline!$S$22*Pipeline!$D$22*MIN(1,MAX(0,(25-Pipeline!$E$22+1)/MAX(Pipeline!$F$22,1)))</f>
        <v>1159.4925</v>
      </c>
      <c r="AB20" s="150" t="n">
        <f aca="false">Pipeline!$S$16*Pipeline!$D$16*MIN(1,MAX(0,(26-Pipeline!$E$16+1)/MAX(Pipeline!$F$16,1)))+Pipeline!$S$17*Pipeline!$D$17*MIN(1,MAX(0,(26-Pipeline!$E$17+1)/MAX(Pipeline!$F$17,1)))+Pipeline!$S$18*Pipeline!$D$18*MIN(1,MAX(0,(26-Pipeline!$E$18+1)/MAX(Pipeline!$F$18,1)))+Pipeline!$S$19*Pipeline!$D$19*MIN(1,MAX(0,(26-Pipeline!$E$19+1)/MAX(Pipeline!$F$19,1)))+Pipeline!$S$20*Pipeline!$D$20*MIN(1,MAX(0,(26-Pipeline!$E$20+1)/MAX(Pipeline!$F$20,1)))+Pipeline!$S$21*Pipeline!$D$21*MIN(1,MAX(0,(26-Pipeline!$E$21+1)/MAX(Pipeline!$F$21,1)))+Pipeline!$S$22*Pipeline!$D$22*MIN(1,MAX(0,(26-Pipeline!$E$22+1)/MAX(Pipeline!$F$22,1)))</f>
        <v>1159.4925</v>
      </c>
      <c r="AC20" s="150" t="n">
        <f aca="false">Pipeline!$S$16*Pipeline!$D$16*MIN(1,MAX(0,(27-Pipeline!$E$16+1)/MAX(Pipeline!$F$16,1)))+Pipeline!$S$17*Pipeline!$D$17*MIN(1,MAX(0,(27-Pipeline!$E$17+1)/MAX(Pipeline!$F$17,1)))+Pipeline!$S$18*Pipeline!$D$18*MIN(1,MAX(0,(27-Pipeline!$E$18+1)/MAX(Pipeline!$F$18,1)))+Pipeline!$S$19*Pipeline!$D$19*MIN(1,MAX(0,(27-Pipeline!$E$19+1)/MAX(Pipeline!$F$19,1)))+Pipeline!$S$20*Pipeline!$D$20*MIN(1,MAX(0,(27-Pipeline!$E$20+1)/MAX(Pipeline!$F$20,1)))+Pipeline!$S$21*Pipeline!$D$21*MIN(1,MAX(0,(27-Pipeline!$E$21+1)/MAX(Pipeline!$F$21,1)))+Pipeline!$S$22*Pipeline!$D$22*MIN(1,MAX(0,(27-Pipeline!$E$22+1)/MAX(Pipeline!$F$22,1)))</f>
        <v>1159.4925</v>
      </c>
      <c r="AD20" s="150" t="n">
        <f aca="false">Pipeline!$S$16*Pipeline!$D$16*MIN(1,MAX(0,(28-Pipeline!$E$16+1)/MAX(Pipeline!$F$16,1)))+Pipeline!$S$17*Pipeline!$D$17*MIN(1,MAX(0,(28-Pipeline!$E$17+1)/MAX(Pipeline!$F$17,1)))+Pipeline!$S$18*Pipeline!$D$18*MIN(1,MAX(0,(28-Pipeline!$E$18+1)/MAX(Pipeline!$F$18,1)))+Pipeline!$S$19*Pipeline!$D$19*MIN(1,MAX(0,(28-Pipeline!$E$19+1)/MAX(Pipeline!$F$19,1)))+Pipeline!$S$20*Pipeline!$D$20*MIN(1,MAX(0,(28-Pipeline!$E$20+1)/MAX(Pipeline!$F$20,1)))+Pipeline!$S$21*Pipeline!$D$21*MIN(1,MAX(0,(28-Pipeline!$E$21+1)/MAX(Pipeline!$F$21,1)))+Pipeline!$S$22*Pipeline!$D$22*MIN(1,MAX(0,(28-Pipeline!$E$22+1)/MAX(Pipeline!$F$22,1)))</f>
        <v>1159.4925</v>
      </c>
      <c r="AE20" s="150" t="n">
        <f aca="false">Pipeline!$S$16*Pipeline!$D$16*MIN(1,MAX(0,(29-Pipeline!$E$16+1)/MAX(Pipeline!$F$16,1)))+Pipeline!$S$17*Pipeline!$D$17*MIN(1,MAX(0,(29-Pipeline!$E$17+1)/MAX(Pipeline!$F$17,1)))+Pipeline!$S$18*Pipeline!$D$18*MIN(1,MAX(0,(29-Pipeline!$E$18+1)/MAX(Pipeline!$F$18,1)))+Pipeline!$S$19*Pipeline!$D$19*MIN(1,MAX(0,(29-Pipeline!$E$19+1)/MAX(Pipeline!$F$19,1)))+Pipeline!$S$20*Pipeline!$D$20*MIN(1,MAX(0,(29-Pipeline!$E$20+1)/MAX(Pipeline!$F$20,1)))+Pipeline!$S$21*Pipeline!$D$21*MIN(1,MAX(0,(29-Pipeline!$E$21+1)/MAX(Pipeline!$F$21,1)))+Pipeline!$S$22*Pipeline!$D$22*MIN(1,MAX(0,(29-Pipeline!$E$22+1)/MAX(Pipeline!$F$22,1)))</f>
        <v>1159.4925</v>
      </c>
      <c r="AF20" s="150" t="n">
        <f aca="false">Pipeline!$S$16*Pipeline!$D$16*MIN(1,MAX(0,(30-Pipeline!$E$16+1)/MAX(Pipeline!$F$16,1)))+Pipeline!$S$17*Pipeline!$D$17*MIN(1,MAX(0,(30-Pipeline!$E$17+1)/MAX(Pipeline!$F$17,1)))+Pipeline!$S$18*Pipeline!$D$18*MIN(1,MAX(0,(30-Pipeline!$E$18+1)/MAX(Pipeline!$F$18,1)))+Pipeline!$S$19*Pipeline!$D$19*MIN(1,MAX(0,(30-Pipeline!$E$19+1)/MAX(Pipeline!$F$19,1)))+Pipeline!$S$20*Pipeline!$D$20*MIN(1,MAX(0,(30-Pipeline!$E$20+1)/MAX(Pipeline!$F$20,1)))+Pipeline!$S$21*Pipeline!$D$21*MIN(1,MAX(0,(30-Pipeline!$E$21+1)/MAX(Pipeline!$F$21,1)))+Pipeline!$S$22*Pipeline!$D$22*MIN(1,MAX(0,(30-Pipeline!$E$22+1)/MAX(Pipeline!$F$22,1)))</f>
        <v>1159.4925</v>
      </c>
      <c r="AG20" s="150" t="n">
        <f aca="false">Pipeline!$S$16*Pipeline!$D$16*MIN(1,MAX(0,(31-Pipeline!$E$16+1)/MAX(Pipeline!$F$16,1)))+Pipeline!$S$17*Pipeline!$D$17*MIN(1,MAX(0,(31-Pipeline!$E$17+1)/MAX(Pipeline!$F$17,1)))+Pipeline!$S$18*Pipeline!$D$18*MIN(1,MAX(0,(31-Pipeline!$E$18+1)/MAX(Pipeline!$F$18,1)))+Pipeline!$S$19*Pipeline!$D$19*MIN(1,MAX(0,(31-Pipeline!$E$19+1)/MAX(Pipeline!$F$19,1)))+Pipeline!$S$20*Pipeline!$D$20*MIN(1,MAX(0,(31-Pipeline!$E$20+1)/MAX(Pipeline!$F$20,1)))+Pipeline!$S$21*Pipeline!$D$21*MIN(1,MAX(0,(31-Pipeline!$E$21+1)/MAX(Pipeline!$F$21,1)))+Pipeline!$S$22*Pipeline!$D$22*MIN(1,MAX(0,(31-Pipeline!$E$22+1)/MAX(Pipeline!$F$22,1)))</f>
        <v>1159.4925</v>
      </c>
      <c r="AH20" s="150" t="n">
        <f aca="false">Pipeline!$S$16*Pipeline!$D$16*MIN(1,MAX(0,(32-Pipeline!$E$16+1)/MAX(Pipeline!$F$16,1)))+Pipeline!$S$17*Pipeline!$D$17*MIN(1,MAX(0,(32-Pipeline!$E$17+1)/MAX(Pipeline!$F$17,1)))+Pipeline!$S$18*Pipeline!$D$18*MIN(1,MAX(0,(32-Pipeline!$E$18+1)/MAX(Pipeline!$F$18,1)))+Pipeline!$S$19*Pipeline!$D$19*MIN(1,MAX(0,(32-Pipeline!$E$19+1)/MAX(Pipeline!$F$19,1)))+Pipeline!$S$20*Pipeline!$D$20*MIN(1,MAX(0,(32-Pipeline!$E$20+1)/MAX(Pipeline!$F$20,1)))+Pipeline!$S$21*Pipeline!$D$21*MIN(1,MAX(0,(32-Pipeline!$E$21+1)/MAX(Pipeline!$F$21,1)))+Pipeline!$S$22*Pipeline!$D$22*MIN(1,MAX(0,(32-Pipeline!$E$22+1)/MAX(Pipeline!$F$22,1)))</f>
        <v>1159.4925</v>
      </c>
      <c r="AI20" s="150" t="n">
        <f aca="false">Pipeline!$S$16*Pipeline!$D$16*MIN(1,MAX(0,(33-Pipeline!$E$16+1)/MAX(Pipeline!$F$16,1)))+Pipeline!$S$17*Pipeline!$D$17*MIN(1,MAX(0,(33-Pipeline!$E$17+1)/MAX(Pipeline!$F$17,1)))+Pipeline!$S$18*Pipeline!$D$18*MIN(1,MAX(0,(33-Pipeline!$E$18+1)/MAX(Pipeline!$F$18,1)))+Pipeline!$S$19*Pipeline!$D$19*MIN(1,MAX(0,(33-Pipeline!$E$19+1)/MAX(Pipeline!$F$19,1)))+Pipeline!$S$20*Pipeline!$D$20*MIN(1,MAX(0,(33-Pipeline!$E$20+1)/MAX(Pipeline!$F$20,1)))+Pipeline!$S$21*Pipeline!$D$21*MIN(1,MAX(0,(33-Pipeline!$E$21+1)/MAX(Pipeline!$F$21,1)))+Pipeline!$S$22*Pipeline!$D$22*MIN(1,MAX(0,(33-Pipeline!$E$22+1)/MAX(Pipeline!$F$22,1)))</f>
        <v>1159.4925</v>
      </c>
      <c r="AJ20" s="150" t="n">
        <f aca="false">Pipeline!$S$16*Pipeline!$D$16*MIN(1,MAX(0,(34-Pipeline!$E$16+1)/MAX(Pipeline!$F$16,1)))+Pipeline!$S$17*Pipeline!$D$17*MIN(1,MAX(0,(34-Pipeline!$E$17+1)/MAX(Pipeline!$F$17,1)))+Pipeline!$S$18*Pipeline!$D$18*MIN(1,MAX(0,(34-Pipeline!$E$18+1)/MAX(Pipeline!$F$18,1)))+Pipeline!$S$19*Pipeline!$D$19*MIN(1,MAX(0,(34-Pipeline!$E$19+1)/MAX(Pipeline!$F$19,1)))+Pipeline!$S$20*Pipeline!$D$20*MIN(1,MAX(0,(34-Pipeline!$E$20+1)/MAX(Pipeline!$F$20,1)))+Pipeline!$S$21*Pipeline!$D$21*MIN(1,MAX(0,(34-Pipeline!$E$21+1)/MAX(Pipeline!$F$21,1)))+Pipeline!$S$22*Pipeline!$D$22*MIN(1,MAX(0,(34-Pipeline!$E$22+1)/MAX(Pipeline!$F$22,1)))</f>
        <v>1159.4925</v>
      </c>
      <c r="AK20" s="150" t="n">
        <f aca="false">Pipeline!$S$16*Pipeline!$D$16*MIN(1,MAX(0,(35-Pipeline!$E$16+1)/MAX(Pipeline!$F$16,1)))+Pipeline!$S$17*Pipeline!$D$17*MIN(1,MAX(0,(35-Pipeline!$E$17+1)/MAX(Pipeline!$F$17,1)))+Pipeline!$S$18*Pipeline!$D$18*MIN(1,MAX(0,(35-Pipeline!$E$18+1)/MAX(Pipeline!$F$18,1)))+Pipeline!$S$19*Pipeline!$D$19*MIN(1,MAX(0,(35-Pipeline!$E$19+1)/MAX(Pipeline!$F$19,1)))+Pipeline!$S$20*Pipeline!$D$20*MIN(1,MAX(0,(35-Pipeline!$E$20+1)/MAX(Pipeline!$F$20,1)))+Pipeline!$S$21*Pipeline!$D$21*MIN(1,MAX(0,(35-Pipeline!$E$21+1)/MAX(Pipeline!$F$21,1)))+Pipeline!$S$22*Pipeline!$D$22*MIN(1,MAX(0,(35-Pipeline!$E$22+1)/MAX(Pipeline!$F$22,1)))</f>
        <v>1159.4925</v>
      </c>
      <c r="AL20" s="150" t="n">
        <f aca="false">Pipeline!$S$16*Pipeline!$D$16*MIN(1,MAX(0,(36-Pipeline!$E$16+1)/MAX(Pipeline!$F$16,1)))+Pipeline!$S$17*Pipeline!$D$17*MIN(1,MAX(0,(36-Pipeline!$E$17+1)/MAX(Pipeline!$F$17,1)))+Pipeline!$S$18*Pipeline!$D$18*MIN(1,MAX(0,(36-Pipeline!$E$18+1)/MAX(Pipeline!$F$18,1)))+Pipeline!$S$19*Pipeline!$D$19*MIN(1,MAX(0,(36-Pipeline!$E$19+1)/MAX(Pipeline!$F$19,1)))+Pipeline!$S$20*Pipeline!$D$20*MIN(1,MAX(0,(36-Pipeline!$E$20+1)/MAX(Pipeline!$F$20,1)))+Pipeline!$S$21*Pipeline!$D$21*MIN(1,MAX(0,(36-Pipeline!$E$21+1)/MAX(Pipeline!$F$21,1)))+Pipeline!$S$22*Pipeline!$D$22*MIN(1,MAX(0,(36-Pipeline!$E$22+1)/MAX(Pipeline!$F$22,1)))</f>
        <v>1159.4925</v>
      </c>
      <c r="AM20" s="150" t="n">
        <f aca="false">Pipeline!$S$16*Pipeline!$D$16*MIN(1,MAX(0,(37-Pipeline!$E$16+1)/MAX(Pipeline!$F$16,1)))+Pipeline!$S$17*Pipeline!$D$17*MIN(1,MAX(0,(37-Pipeline!$E$17+1)/MAX(Pipeline!$F$17,1)))+Pipeline!$S$18*Pipeline!$D$18*MIN(1,MAX(0,(37-Pipeline!$E$18+1)/MAX(Pipeline!$F$18,1)))+Pipeline!$S$19*Pipeline!$D$19*MIN(1,MAX(0,(37-Pipeline!$E$19+1)/MAX(Pipeline!$F$19,1)))+Pipeline!$S$20*Pipeline!$D$20*MIN(1,MAX(0,(37-Pipeline!$E$20+1)/MAX(Pipeline!$F$20,1)))+Pipeline!$S$21*Pipeline!$D$21*MIN(1,MAX(0,(37-Pipeline!$E$21+1)/MAX(Pipeline!$F$21,1)))+Pipeline!$S$22*Pipeline!$D$22*MIN(1,MAX(0,(37-Pipeline!$E$22+1)/MAX(Pipeline!$F$22,1)))</f>
        <v>1159.4925</v>
      </c>
      <c r="AN20" s="150" t="n">
        <f aca="false">Pipeline!$S$16*Pipeline!$D$16*MIN(1,MAX(0,(38-Pipeline!$E$16+1)/MAX(Pipeline!$F$16,1)))+Pipeline!$S$17*Pipeline!$D$17*MIN(1,MAX(0,(38-Pipeline!$E$17+1)/MAX(Pipeline!$F$17,1)))+Pipeline!$S$18*Pipeline!$D$18*MIN(1,MAX(0,(38-Pipeline!$E$18+1)/MAX(Pipeline!$F$18,1)))+Pipeline!$S$19*Pipeline!$D$19*MIN(1,MAX(0,(38-Pipeline!$E$19+1)/MAX(Pipeline!$F$19,1)))+Pipeline!$S$20*Pipeline!$D$20*MIN(1,MAX(0,(38-Pipeline!$E$20+1)/MAX(Pipeline!$F$20,1)))+Pipeline!$S$21*Pipeline!$D$21*MIN(1,MAX(0,(38-Pipeline!$E$21+1)/MAX(Pipeline!$F$21,1)))+Pipeline!$S$22*Pipeline!$D$22*MIN(1,MAX(0,(38-Pipeline!$E$22+1)/MAX(Pipeline!$F$22,1)))</f>
        <v>1159.4925</v>
      </c>
      <c r="AO20" s="150" t="n">
        <f aca="false">Pipeline!$S$16*Pipeline!$D$16*MIN(1,MAX(0,(39-Pipeline!$E$16+1)/MAX(Pipeline!$F$16,1)))+Pipeline!$S$17*Pipeline!$D$17*MIN(1,MAX(0,(39-Pipeline!$E$17+1)/MAX(Pipeline!$F$17,1)))+Pipeline!$S$18*Pipeline!$D$18*MIN(1,MAX(0,(39-Pipeline!$E$18+1)/MAX(Pipeline!$F$18,1)))+Pipeline!$S$19*Pipeline!$D$19*MIN(1,MAX(0,(39-Pipeline!$E$19+1)/MAX(Pipeline!$F$19,1)))+Pipeline!$S$20*Pipeline!$D$20*MIN(1,MAX(0,(39-Pipeline!$E$20+1)/MAX(Pipeline!$F$20,1)))+Pipeline!$S$21*Pipeline!$D$21*MIN(1,MAX(0,(39-Pipeline!$E$21+1)/MAX(Pipeline!$F$21,1)))+Pipeline!$S$22*Pipeline!$D$22*MIN(1,MAX(0,(39-Pipeline!$E$22+1)/MAX(Pipeline!$F$22,1)))</f>
        <v>1159.4925</v>
      </c>
      <c r="AP20" s="150" t="n">
        <f aca="false">Pipeline!$S$16*Pipeline!$D$16*MIN(1,MAX(0,(40-Pipeline!$E$16+1)/MAX(Pipeline!$F$16,1)))+Pipeline!$S$17*Pipeline!$D$17*MIN(1,MAX(0,(40-Pipeline!$E$17+1)/MAX(Pipeline!$F$17,1)))+Pipeline!$S$18*Pipeline!$D$18*MIN(1,MAX(0,(40-Pipeline!$E$18+1)/MAX(Pipeline!$F$18,1)))+Pipeline!$S$19*Pipeline!$D$19*MIN(1,MAX(0,(40-Pipeline!$E$19+1)/MAX(Pipeline!$F$19,1)))+Pipeline!$S$20*Pipeline!$D$20*MIN(1,MAX(0,(40-Pipeline!$E$20+1)/MAX(Pipeline!$F$20,1)))+Pipeline!$S$21*Pipeline!$D$21*MIN(1,MAX(0,(40-Pipeline!$E$21+1)/MAX(Pipeline!$F$21,1)))+Pipeline!$S$22*Pipeline!$D$22*MIN(1,MAX(0,(40-Pipeline!$E$22+1)/MAX(Pipeline!$F$22,1)))</f>
        <v>1159.4925</v>
      </c>
      <c r="AQ20" s="150" t="n">
        <f aca="false">Pipeline!$S$16*Pipeline!$D$16*MIN(1,MAX(0,(41-Pipeline!$E$16+1)/MAX(Pipeline!$F$16,1)))+Pipeline!$S$17*Pipeline!$D$17*MIN(1,MAX(0,(41-Pipeline!$E$17+1)/MAX(Pipeline!$F$17,1)))+Pipeline!$S$18*Pipeline!$D$18*MIN(1,MAX(0,(41-Pipeline!$E$18+1)/MAX(Pipeline!$F$18,1)))+Pipeline!$S$19*Pipeline!$D$19*MIN(1,MAX(0,(41-Pipeline!$E$19+1)/MAX(Pipeline!$F$19,1)))+Pipeline!$S$20*Pipeline!$D$20*MIN(1,MAX(0,(41-Pipeline!$E$20+1)/MAX(Pipeline!$F$20,1)))+Pipeline!$S$21*Pipeline!$D$21*MIN(1,MAX(0,(41-Pipeline!$E$21+1)/MAX(Pipeline!$F$21,1)))+Pipeline!$S$22*Pipeline!$D$22*MIN(1,MAX(0,(41-Pipeline!$E$22+1)/MAX(Pipeline!$F$22,1)))</f>
        <v>1159.4925</v>
      </c>
      <c r="AR20" s="150" t="n">
        <f aca="false">Pipeline!$S$16*Pipeline!$D$16*MIN(1,MAX(0,(42-Pipeline!$E$16+1)/MAX(Pipeline!$F$16,1)))+Pipeline!$S$17*Pipeline!$D$17*MIN(1,MAX(0,(42-Pipeline!$E$17+1)/MAX(Pipeline!$F$17,1)))+Pipeline!$S$18*Pipeline!$D$18*MIN(1,MAX(0,(42-Pipeline!$E$18+1)/MAX(Pipeline!$F$18,1)))+Pipeline!$S$19*Pipeline!$D$19*MIN(1,MAX(0,(42-Pipeline!$E$19+1)/MAX(Pipeline!$F$19,1)))+Pipeline!$S$20*Pipeline!$D$20*MIN(1,MAX(0,(42-Pipeline!$E$20+1)/MAX(Pipeline!$F$20,1)))+Pipeline!$S$21*Pipeline!$D$21*MIN(1,MAX(0,(42-Pipeline!$E$21+1)/MAX(Pipeline!$F$21,1)))+Pipeline!$S$22*Pipeline!$D$22*MIN(1,MAX(0,(42-Pipeline!$E$22+1)/MAX(Pipeline!$F$22,1)))</f>
        <v>1159.4925</v>
      </c>
      <c r="AS20" s="150" t="n">
        <f aca="false">Pipeline!$S$16*Pipeline!$D$16*MIN(1,MAX(0,(43-Pipeline!$E$16+1)/MAX(Pipeline!$F$16,1)))+Pipeline!$S$17*Pipeline!$D$17*MIN(1,MAX(0,(43-Pipeline!$E$17+1)/MAX(Pipeline!$F$17,1)))+Pipeline!$S$18*Pipeline!$D$18*MIN(1,MAX(0,(43-Pipeline!$E$18+1)/MAX(Pipeline!$F$18,1)))+Pipeline!$S$19*Pipeline!$D$19*MIN(1,MAX(0,(43-Pipeline!$E$19+1)/MAX(Pipeline!$F$19,1)))+Pipeline!$S$20*Pipeline!$D$20*MIN(1,MAX(0,(43-Pipeline!$E$20+1)/MAX(Pipeline!$F$20,1)))+Pipeline!$S$21*Pipeline!$D$21*MIN(1,MAX(0,(43-Pipeline!$E$21+1)/MAX(Pipeline!$F$21,1)))+Pipeline!$S$22*Pipeline!$D$22*MIN(1,MAX(0,(43-Pipeline!$E$22+1)/MAX(Pipeline!$F$22,1)))</f>
        <v>1159.4925</v>
      </c>
      <c r="AT20" s="150" t="n">
        <f aca="false">Pipeline!$S$16*Pipeline!$D$16*MIN(1,MAX(0,(44-Pipeline!$E$16+1)/MAX(Pipeline!$F$16,1)))+Pipeline!$S$17*Pipeline!$D$17*MIN(1,MAX(0,(44-Pipeline!$E$17+1)/MAX(Pipeline!$F$17,1)))+Pipeline!$S$18*Pipeline!$D$18*MIN(1,MAX(0,(44-Pipeline!$E$18+1)/MAX(Pipeline!$F$18,1)))+Pipeline!$S$19*Pipeline!$D$19*MIN(1,MAX(0,(44-Pipeline!$E$19+1)/MAX(Pipeline!$F$19,1)))+Pipeline!$S$20*Pipeline!$D$20*MIN(1,MAX(0,(44-Pipeline!$E$20+1)/MAX(Pipeline!$F$20,1)))+Pipeline!$S$21*Pipeline!$D$21*MIN(1,MAX(0,(44-Pipeline!$E$21+1)/MAX(Pipeline!$F$21,1)))+Pipeline!$S$22*Pipeline!$D$22*MIN(1,MAX(0,(44-Pipeline!$E$22+1)/MAX(Pipeline!$F$22,1)))</f>
        <v>1159.4925</v>
      </c>
      <c r="AU20" s="150" t="n">
        <f aca="false">Pipeline!$S$16*Pipeline!$D$16*MIN(1,MAX(0,(45-Pipeline!$E$16+1)/MAX(Pipeline!$F$16,1)))+Pipeline!$S$17*Pipeline!$D$17*MIN(1,MAX(0,(45-Pipeline!$E$17+1)/MAX(Pipeline!$F$17,1)))+Pipeline!$S$18*Pipeline!$D$18*MIN(1,MAX(0,(45-Pipeline!$E$18+1)/MAX(Pipeline!$F$18,1)))+Pipeline!$S$19*Pipeline!$D$19*MIN(1,MAX(0,(45-Pipeline!$E$19+1)/MAX(Pipeline!$F$19,1)))+Pipeline!$S$20*Pipeline!$D$20*MIN(1,MAX(0,(45-Pipeline!$E$20+1)/MAX(Pipeline!$F$20,1)))+Pipeline!$S$21*Pipeline!$D$21*MIN(1,MAX(0,(45-Pipeline!$E$21+1)/MAX(Pipeline!$F$21,1)))+Pipeline!$S$22*Pipeline!$D$22*MIN(1,MAX(0,(45-Pipeline!$E$22+1)/MAX(Pipeline!$F$22,1)))</f>
        <v>1159.4925</v>
      </c>
      <c r="AV20" s="150" t="n">
        <f aca="false">Pipeline!$S$16*Pipeline!$D$16*MIN(1,MAX(0,(46-Pipeline!$E$16+1)/MAX(Pipeline!$F$16,1)))+Pipeline!$S$17*Pipeline!$D$17*MIN(1,MAX(0,(46-Pipeline!$E$17+1)/MAX(Pipeline!$F$17,1)))+Pipeline!$S$18*Pipeline!$D$18*MIN(1,MAX(0,(46-Pipeline!$E$18+1)/MAX(Pipeline!$F$18,1)))+Pipeline!$S$19*Pipeline!$D$19*MIN(1,MAX(0,(46-Pipeline!$E$19+1)/MAX(Pipeline!$F$19,1)))+Pipeline!$S$20*Pipeline!$D$20*MIN(1,MAX(0,(46-Pipeline!$E$20+1)/MAX(Pipeline!$F$20,1)))+Pipeline!$S$21*Pipeline!$D$21*MIN(1,MAX(0,(46-Pipeline!$E$21+1)/MAX(Pipeline!$F$21,1)))+Pipeline!$S$22*Pipeline!$D$22*MIN(1,MAX(0,(46-Pipeline!$E$22+1)/MAX(Pipeline!$F$22,1)))</f>
        <v>1159.4925</v>
      </c>
      <c r="AW20" s="150" t="n">
        <f aca="false">Pipeline!$S$16*Pipeline!$D$16*MIN(1,MAX(0,(47-Pipeline!$E$16+1)/MAX(Pipeline!$F$16,1)))+Pipeline!$S$17*Pipeline!$D$17*MIN(1,MAX(0,(47-Pipeline!$E$17+1)/MAX(Pipeline!$F$17,1)))+Pipeline!$S$18*Pipeline!$D$18*MIN(1,MAX(0,(47-Pipeline!$E$18+1)/MAX(Pipeline!$F$18,1)))+Pipeline!$S$19*Pipeline!$D$19*MIN(1,MAX(0,(47-Pipeline!$E$19+1)/MAX(Pipeline!$F$19,1)))+Pipeline!$S$20*Pipeline!$D$20*MIN(1,MAX(0,(47-Pipeline!$E$20+1)/MAX(Pipeline!$F$20,1)))+Pipeline!$S$21*Pipeline!$D$21*MIN(1,MAX(0,(47-Pipeline!$E$21+1)/MAX(Pipeline!$F$21,1)))+Pipeline!$S$22*Pipeline!$D$22*MIN(1,MAX(0,(47-Pipeline!$E$22+1)/MAX(Pipeline!$F$22,1)))</f>
        <v>1159.4925</v>
      </c>
      <c r="AX20" s="150" t="n">
        <f aca="false">Pipeline!$S$16*Pipeline!$D$16*MIN(1,MAX(0,(48-Pipeline!$E$16+1)/MAX(Pipeline!$F$16,1)))+Pipeline!$S$17*Pipeline!$D$17*MIN(1,MAX(0,(48-Pipeline!$E$17+1)/MAX(Pipeline!$F$17,1)))+Pipeline!$S$18*Pipeline!$D$18*MIN(1,MAX(0,(48-Pipeline!$E$18+1)/MAX(Pipeline!$F$18,1)))+Pipeline!$S$19*Pipeline!$D$19*MIN(1,MAX(0,(48-Pipeline!$E$19+1)/MAX(Pipeline!$F$19,1)))+Pipeline!$S$20*Pipeline!$D$20*MIN(1,MAX(0,(48-Pipeline!$E$20+1)/MAX(Pipeline!$F$20,1)))+Pipeline!$S$21*Pipeline!$D$21*MIN(1,MAX(0,(48-Pipeline!$E$21+1)/MAX(Pipeline!$F$21,1)))+Pipeline!$S$22*Pipeline!$D$22*MIN(1,MAX(0,(48-Pipeline!$E$22+1)/MAX(Pipeline!$F$22,1)))</f>
        <v>1159.4925</v>
      </c>
      <c r="AY20" s="150" t="n">
        <f aca="false">Pipeline!$S$16*Pipeline!$D$16*MIN(1,MAX(0,(49-Pipeline!$E$16+1)/MAX(Pipeline!$F$16,1)))+Pipeline!$S$17*Pipeline!$D$17*MIN(1,MAX(0,(49-Pipeline!$E$17+1)/MAX(Pipeline!$F$17,1)))+Pipeline!$S$18*Pipeline!$D$18*MIN(1,MAX(0,(49-Pipeline!$E$18+1)/MAX(Pipeline!$F$18,1)))+Pipeline!$S$19*Pipeline!$D$19*MIN(1,MAX(0,(49-Pipeline!$E$19+1)/MAX(Pipeline!$F$19,1)))+Pipeline!$S$20*Pipeline!$D$20*MIN(1,MAX(0,(49-Pipeline!$E$20+1)/MAX(Pipeline!$F$20,1)))+Pipeline!$S$21*Pipeline!$D$21*MIN(1,MAX(0,(49-Pipeline!$E$21+1)/MAX(Pipeline!$F$21,1)))+Pipeline!$S$22*Pipeline!$D$22*MIN(1,MAX(0,(49-Pipeline!$E$22+1)/MAX(Pipeline!$F$22,1)))</f>
        <v>1159.4925</v>
      </c>
      <c r="AZ20" s="150" t="n">
        <f aca="false">Pipeline!$S$16*Pipeline!$D$16*MIN(1,MAX(0,(50-Pipeline!$E$16+1)/MAX(Pipeline!$F$16,1)))+Pipeline!$S$17*Pipeline!$D$17*MIN(1,MAX(0,(50-Pipeline!$E$17+1)/MAX(Pipeline!$F$17,1)))+Pipeline!$S$18*Pipeline!$D$18*MIN(1,MAX(0,(50-Pipeline!$E$18+1)/MAX(Pipeline!$F$18,1)))+Pipeline!$S$19*Pipeline!$D$19*MIN(1,MAX(0,(50-Pipeline!$E$19+1)/MAX(Pipeline!$F$19,1)))+Pipeline!$S$20*Pipeline!$D$20*MIN(1,MAX(0,(50-Pipeline!$E$20+1)/MAX(Pipeline!$F$20,1)))+Pipeline!$S$21*Pipeline!$D$21*MIN(1,MAX(0,(50-Pipeline!$E$21+1)/MAX(Pipeline!$F$21,1)))+Pipeline!$S$22*Pipeline!$D$22*MIN(1,MAX(0,(50-Pipeline!$E$22+1)/MAX(Pipeline!$F$22,1)))</f>
        <v>1159.4925</v>
      </c>
      <c r="BA20" s="150" t="n">
        <f aca="false">Pipeline!$S$16*Pipeline!$D$16*MIN(1,MAX(0,(51-Pipeline!$E$16+1)/MAX(Pipeline!$F$16,1)))+Pipeline!$S$17*Pipeline!$D$17*MIN(1,MAX(0,(51-Pipeline!$E$17+1)/MAX(Pipeline!$F$17,1)))+Pipeline!$S$18*Pipeline!$D$18*MIN(1,MAX(0,(51-Pipeline!$E$18+1)/MAX(Pipeline!$F$18,1)))+Pipeline!$S$19*Pipeline!$D$19*MIN(1,MAX(0,(51-Pipeline!$E$19+1)/MAX(Pipeline!$F$19,1)))+Pipeline!$S$20*Pipeline!$D$20*MIN(1,MAX(0,(51-Pipeline!$E$20+1)/MAX(Pipeline!$F$20,1)))+Pipeline!$S$21*Pipeline!$D$21*MIN(1,MAX(0,(51-Pipeline!$E$21+1)/MAX(Pipeline!$F$21,1)))+Pipeline!$S$22*Pipeline!$D$22*MIN(1,MAX(0,(51-Pipeline!$E$22+1)/MAX(Pipeline!$F$22,1)))</f>
        <v>1159.4925</v>
      </c>
      <c r="BB20" s="150" t="n">
        <f aca="false">Pipeline!$S$16*Pipeline!$D$16*MIN(1,MAX(0,(52-Pipeline!$E$16+1)/MAX(Pipeline!$F$16,1)))+Pipeline!$S$17*Pipeline!$D$17*MIN(1,MAX(0,(52-Pipeline!$E$17+1)/MAX(Pipeline!$F$17,1)))+Pipeline!$S$18*Pipeline!$D$18*MIN(1,MAX(0,(52-Pipeline!$E$18+1)/MAX(Pipeline!$F$18,1)))+Pipeline!$S$19*Pipeline!$D$19*MIN(1,MAX(0,(52-Pipeline!$E$19+1)/MAX(Pipeline!$F$19,1)))+Pipeline!$S$20*Pipeline!$D$20*MIN(1,MAX(0,(52-Pipeline!$E$20+1)/MAX(Pipeline!$F$20,1)))+Pipeline!$S$21*Pipeline!$D$21*MIN(1,MAX(0,(52-Pipeline!$E$21+1)/MAX(Pipeline!$F$21,1)))+Pipeline!$S$22*Pipeline!$D$22*MIN(1,MAX(0,(52-Pipeline!$E$22+1)/MAX(Pipeline!$F$22,1)))</f>
        <v>1159.4925</v>
      </c>
      <c r="BC20" s="150" t="n">
        <f aca="false">Pipeline!$S$16*Pipeline!$D$16*MIN(1,MAX(0,(53-Pipeline!$E$16+1)/MAX(Pipeline!$F$16,1)))+Pipeline!$S$17*Pipeline!$D$17*MIN(1,MAX(0,(53-Pipeline!$E$17+1)/MAX(Pipeline!$F$17,1)))+Pipeline!$S$18*Pipeline!$D$18*MIN(1,MAX(0,(53-Pipeline!$E$18+1)/MAX(Pipeline!$F$18,1)))+Pipeline!$S$19*Pipeline!$D$19*MIN(1,MAX(0,(53-Pipeline!$E$19+1)/MAX(Pipeline!$F$19,1)))+Pipeline!$S$20*Pipeline!$D$20*MIN(1,MAX(0,(53-Pipeline!$E$20+1)/MAX(Pipeline!$F$20,1)))+Pipeline!$S$21*Pipeline!$D$21*MIN(1,MAX(0,(53-Pipeline!$E$21+1)/MAX(Pipeline!$F$21,1)))+Pipeline!$S$22*Pipeline!$D$22*MIN(1,MAX(0,(53-Pipeline!$E$22+1)/MAX(Pipeline!$F$22,1)))</f>
        <v>1159.4925</v>
      </c>
      <c r="BD20" s="150" t="n">
        <f aca="false">Pipeline!$S$16*Pipeline!$D$16*MIN(1,MAX(0,(54-Pipeline!$E$16+1)/MAX(Pipeline!$F$16,1)))+Pipeline!$S$17*Pipeline!$D$17*MIN(1,MAX(0,(54-Pipeline!$E$17+1)/MAX(Pipeline!$F$17,1)))+Pipeline!$S$18*Pipeline!$D$18*MIN(1,MAX(0,(54-Pipeline!$E$18+1)/MAX(Pipeline!$F$18,1)))+Pipeline!$S$19*Pipeline!$D$19*MIN(1,MAX(0,(54-Pipeline!$E$19+1)/MAX(Pipeline!$F$19,1)))+Pipeline!$S$20*Pipeline!$D$20*MIN(1,MAX(0,(54-Pipeline!$E$20+1)/MAX(Pipeline!$F$20,1)))+Pipeline!$S$21*Pipeline!$D$21*MIN(1,MAX(0,(54-Pipeline!$E$21+1)/MAX(Pipeline!$F$21,1)))+Pipeline!$S$22*Pipeline!$D$22*MIN(1,MAX(0,(54-Pipeline!$E$22+1)/MAX(Pipeline!$F$22,1)))</f>
        <v>1159.4925</v>
      </c>
      <c r="BE20" s="150" t="n">
        <f aca="false">Pipeline!$S$16*Pipeline!$D$16*MIN(1,MAX(0,(55-Pipeline!$E$16+1)/MAX(Pipeline!$F$16,1)))+Pipeline!$S$17*Pipeline!$D$17*MIN(1,MAX(0,(55-Pipeline!$E$17+1)/MAX(Pipeline!$F$17,1)))+Pipeline!$S$18*Pipeline!$D$18*MIN(1,MAX(0,(55-Pipeline!$E$18+1)/MAX(Pipeline!$F$18,1)))+Pipeline!$S$19*Pipeline!$D$19*MIN(1,MAX(0,(55-Pipeline!$E$19+1)/MAX(Pipeline!$F$19,1)))+Pipeline!$S$20*Pipeline!$D$20*MIN(1,MAX(0,(55-Pipeline!$E$20+1)/MAX(Pipeline!$F$20,1)))+Pipeline!$S$21*Pipeline!$D$21*MIN(1,MAX(0,(55-Pipeline!$E$21+1)/MAX(Pipeline!$F$21,1)))+Pipeline!$S$22*Pipeline!$D$22*MIN(1,MAX(0,(55-Pipeline!$E$22+1)/MAX(Pipeline!$F$22,1)))</f>
        <v>1159.4925</v>
      </c>
      <c r="BF20" s="150" t="n">
        <f aca="false">Pipeline!$S$16*Pipeline!$D$16*MIN(1,MAX(0,(56-Pipeline!$E$16+1)/MAX(Pipeline!$F$16,1)))+Pipeline!$S$17*Pipeline!$D$17*MIN(1,MAX(0,(56-Pipeline!$E$17+1)/MAX(Pipeline!$F$17,1)))+Pipeline!$S$18*Pipeline!$D$18*MIN(1,MAX(0,(56-Pipeline!$E$18+1)/MAX(Pipeline!$F$18,1)))+Pipeline!$S$19*Pipeline!$D$19*MIN(1,MAX(0,(56-Pipeline!$E$19+1)/MAX(Pipeline!$F$19,1)))+Pipeline!$S$20*Pipeline!$D$20*MIN(1,MAX(0,(56-Pipeline!$E$20+1)/MAX(Pipeline!$F$20,1)))+Pipeline!$S$21*Pipeline!$D$21*MIN(1,MAX(0,(56-Pipeline!$E$21+1)/MAX(Pipeline!$F$21,1)))+Pipeline!$S$22*Pipeline!$D$22*MIN(1,MAX(0,(56-Pipeline!$E$22+1)/MAX(Pipeline!$F$22,1)))</f>
        <v>1159.4925</v>
      </c>
      <c r="BG20" s="150" t="n">
        <f aca="false">Pipeline!$S$16*Pipeline!$D$16*MIN(1,MAX(0,(57-Pipeline!$E$16+1)/MAX(Pipeline!$F$16,1)))+Pipeline!$S$17*Pipeline!$D$17*MIN(1,MAX(0,(57-Pipeline!$E$17+1)/MAX(Pipeline!$F$17,1)))+Pipeline!$S$18*Pipeline!$D$18*MIN(1,MAX(0,(57-Pipeline!$E$18+1)/MAX(Pipeline!$F$18,1)))+Pipeline!$S$19*Pipeline!$D$19*MIN(1,MAX(0,(57-Pipeline!$E$19+1)/MAX(Pipeline!$F$19,1)))+Pipeline!$S$20*Pipeline!$D$20*MIN(1,MAX(0,(57-Pipeline!$E$20+1)/MAX(Pipeline!$F$20,1)))+Pipeline!$S$21*Pipeline!$D$21*MIN(1,MAX(0,(57-Pipeline!$E$21+1)/MAX(Pipeline!$F$21,1)))+Pipeline!$S$22*Pipeline!$D$22*MIN(1,MAX(0,(57-Pipeline!$E$22+1)/MAX(Pipeline!$F$22,1)))</f>
        <v>1159.4925</v>
      </c>
      <c r="BH20" s="150" t="n">
        <f aca="false">Pipeline!$S$16*Pipeline!$D$16*MIN(1,MAX(0,(58-Pipeline!$E$16+1)/MAX(Pipeline!$F$16,1)))+Pipeline!$S$17*Pipeline!$D$17*MIN(1,MAX(0,(58-Pipeline!$E$17+1)/MAX(Pipeline!$F$17,1)))+Pipeline!$S$18*Pipeline!$D$18*MIN(1,MAX(0,(58-Pipeline!$E$18+1)/MAX(Pipeline!$F$18,1)))+Pipeline!$S$19*Pipeline!$D$19*MIN(1,MAX(0,(58-Pipeline!$E$19+1)/MAX(Pipeline!$F$19,1)))+Pipeline!$S$20*Pipeline!$D$20*MIN(1,MAX(0,(58-Pipeline!$E$20+1)/MAX(Pipeline!$F$20,1)))+Pipeline!$S$21*Pipeline!$D$21*MIN(1,MAX(0,(58-Pipeline!$E$21+1)/MAX(Pipeline!$F$21,1)))+Pipeline!$S$22*Pipeline!$D$22*MIN(1,MAX(0,(58-Pipeline!$E$22+1)/MAX(Pipeline!$F$22,1)))</f>
        <v>1159.4925</v>
      </c>
      <c r="BI20" s="150" t="n">
        <f aca="false">Pipeline!$S$16*Pipeline!$D$16*MIN(1,MAX(0,(59-Pipeline!$E$16+1)/MAX(Pipeline!$F$16,1)))+Pipeline!$S$17*Pipeline!$D$17*MIN(1,MAX(0,(59-Pipeline!$E$17+1)/MAX(Pipeline!$F$17,1)))+Pipeline!$S$18*Pipeline!$D$18*MIN(1,MAX(0,(59-Pipeline!$E$18+1)/MAX(Pipeline!$F$18,1)))+Pipeline!$S$19*Pipeline!$D$19*MIN(1,MAX(0,(59-Pipeline!$E$19+1)/MAX(Pipeline!$F$19,1)))+Pipeline!$S$20*Pipeline!$D$20*MIN(1,MAX(0,(59-Pipeline!$E$20+1)/MAX(Pipeline!$F$20,1)))+Pipeline!$S$21*Pipeline!$D$21*MIN(1,MAX(0,(59-Pipeline!$E$21+1)/MAX(Pipeline!$F$21,1)))+Pipeline!$S$22*Pipeline!$D$22*MIN(1,MAX(0,(59-Pipeline!$E$22+1)/MAX(Pipeline!$F$22,1)))</f>
        <v>1159.4925</v>
      </c>
      <c r="BJ20" s="150" t="n">
        <f aca="false">Pipeline!$S$16*Pipeline!$D$16*MIN(1,MAX(0,(60-Pipeline!$E$16+1)/MAX(Pipeline!$F$16,1)))+Pipeline!$S$17*Pipeline!$D$17*MIN(1,MAX(0,(60-Pipeline!$E$17+1)/MAX(Pipeline!$F$17,1)))+Pipeline!$S$18*Pipeline!$D$18*MIN(1,MAX(0,(60-Pipeline!$E$18+1)/MAX(Pipeline!$F$18,1)))+Pipeline!$S$19*Pipeline!$D$19*MIN(1,MAX(0,(60-Pipeline!$E$19+1)/MAX(Pipeline!$F$19,1)))+Pipeline!$S$20*Pipeline!$D$20*MIN(1,MAX(0,(60-Pipeline!$E$20+1)/MAX(Pipeline!$F$20,1)))+Pipeline!$S$21*Pipeline!$D$21*MIN(1,MAX(0,(60-Pipeline!$E$21+1)/MAX(Pipeline!$F$21,1)))+Pipeline!$S$22*Pipeline!$D$22*MIN(1,MAX(0,(60-Pipeline!$E$22+1)/MAX(Pipeline!$F$22,1)))</f>
        <v>1159.4925</v>
      </c>
      <c r="BK20" s="150" t="n">
        <f aca="false">Pipeline!$S$16*Pipeline!$D$16*MIN(1,MAX(0,(61-Pipeline!$E$16+1)/MAX(Pipeline!$F$16,1)))+Pipeline!$S$17*Pipeline!$D$17*MIN(1,MAX(0,(61-Pipeline!$E$17+1)/MAX(Pipeline!$F$17,1)))+Pipeline!$S$18*Pipeline!$D$18*MIN(1,MAX(0,(61-Pipeline!$E$18+1)/MAX(Pipeline!$F$18,1)))+Pipeline!$S$19*Pipeline!$D$19*MIN(1,MAX(0,(61-Pipeline!$E$19+1)/MAX(Pipeline!$F$19,1)))+Pipeline!$S$20*Pipeline!$D$20*MIN(1,MAX(0,(61-Pipeline!$E$20+1)/MAX(Pipeline!$F$20,1)))+Pipeline!$S$21*Pipeline!$D$21*MIN(1,MAX(0,(61-Pipeline!$E$21+1)/MAX(Pipeline!$F$21,1)))+Pipeline!$S$22*Pipeline!$D$22*MIN(1,MAX(0,(61-Pipeline!$E$22+1)/MAX(Pipeline!$F$22,1)))</f>
        <v>1159.4925</v>
      </c>
      <c r="BL20" s="150" t="n">
        <f aca="false">Pipeline!$S$16*Pipeline!$D$16*MIN(1,MAX(0,(62-Pipeline!$E$16+1)/MAX(Pipeline!$F$16,1)))+Pipeline!$S$17*Pipeline!$D$17*MIN(1,MAX(0,(62-Pipeline!$E$17+1)/MAX(Pipeline!$F$17,1)))+Pipeline!$S$18*Pipeline!$D$18*MIN(1,MAX(0,(62-Pipeline!$E$18+1)/MAX(Pipeline!$F$18,1)))+Pipeline!$S$19*Pipeline!$D$19*MIN(1,MAX(0,(62-Pipeline!$E$19+1)/MAX(Pipeline!$F$19,1)))+Pipeline!$S$20*Pipeline!$D$20*MIN(1,MAX(0,(62-Pipeline!$E$20+1)/MAX(Pipeline!$F$20,1)))+Pipeline!$S$21*Pipeline!$D$21*MIN(1,MAX(0,(62-Pipeline!$E$21+1)/MAX(Pipeline!$F$21,1)))+Pipeline!$S$22*Pipeline!$D$22*MIN(1,MAX(0,(62-Pipeline!$E$22+1)/MAX(Pipeline!$F$22,1)))</f>
        <v>1159.4925</v>
      </c>
      <c r="BM20" s="150" t="n">
        <f aca="false">Pipeline!$S$16*Pipeline!$D$16*MIN(1,MAX(0,(63-Pipeline!$E$16+1)/MAX(Pipeline!$F$16,1)))+Pipeline!$S$17*Pipeline!$D$17*MIN(1,MAX(0,(63-Pipeline!$E$17+1)/MAX(Pipeline!$F$17,1)))+Pipeline!$S$18*Pipeline!$D$18*MIN(1,MAX(0,(63-Pipeline!$E$18+1)/MAX(Pipeline!$F$18,1)))+Pipeline!$S$19*Pipeline!$D$19*MIN(1,MAX(0,(63-Pipeline!$E$19+1)/MAX(Pipeline!$F$19,1)))+Pipeline!$S$20*Pipeline!$D$20*MIN(1,MAX(0,(63-Pipeline!$E$20+1)/MAX(Pipeline!$F$20,1)))+Pipeline!$S$21*Pipeline!$D$21*MIN(1,MAX(0,(63-Pipeline!$E$21+1)/MAX(Pipeline!$F$21,1)))+Pipeline!$S$22*Pipeline!$D$22*MIN(1,MAX(0,(63-Pipeline!$E$22+1)/MAX(Pipeline!$F$22,1)))</f>
        <v>1159.4925</v>
      </c>
      <c r="BN20" s="150" t="n">
        <f aca="false">Pipeline!$S$16*Pipeline!$D$16*MIN(1,MAX(0,(64-Pipeline!$E$16+1)/MAX(Pipeline!$F$16,1)))+Pipeline!$S$17*Pipeline!$D$17*MIN(1,MAX(0,(64-Pipeline!$E$17+1)/MAX(Pipeline!$F$17,1)))+Pipeline!$S$18*Pipeline!$D$18*MIN(1,MAX(0,(64-Pipeline!$E$18+1)/MAX(Pipeline!$F$18,1)))+Pipeline!$S$19*Pipeline!$D$19*MIN(1,MAX(0,(64-Pipeline!$E$19+1)/MAX(Pipeline!$F$19,1)))+Pipeline!$S$20*Pipeline!$D$20*MIN(1,MAX(0,(64-Pipeline!$E$20+1)/MAX(Pipeline!$F$20,1)))+Pipeline!$S$21*Pipeline!$D$21*MIN(1,MAX(0,(64-Pipeline!$E$21+1)/MAX(Pipeline!$F$21,1)))+Pipeline!$S$22*Pipeline!$D$22*MIN(1,MAX(0,(64-Pipeline!$E$22+1)/MAX(Pipeline!$F$22,1)))</f>
        <v>1159.4925</v>
      </c>
      <c r="BO20" s="150" t="n">
        <f aca="false">Pipeline!$S$16*Pipeline!$D$16*MIN(1,MAX(0,(65-Pipeline!$E$16+1)/MAX(Pipeline!$F$16,1)))+Pipeline!$S$17*Pipeline!$D$17*MIN(1,MAX(0,(65-Pipeline!$E$17+1)/MAX(Pipeline!$F$17,1)))+Pipeline!$S$18*Pipeline!$D$18*MIN(1,MAX(0,(65-Pipeline!$E$18+1)/MAX(Pipeline!$F$18,1)))+Pipeline!$S$19*Pipeline!$D$19*MIN(1,MAX(0,(65-Pipeline!$E$19+1)/MAX(Pipeline!$F$19,1)))+Pipeline!$S$20*Pipeline!$D$20*MIN(1,MAX(0,(65-Pipeline!$E$20+1)/MAX(Pipeline!$F$20,1)))+Pipeline!$S$21*Pipeline!$D$21*MIN(1,MAX(0,(65-Pipeline!$E$21+1)/MAX(Pipeline!$F$21,1)))+Pipeline!$S$22*Pipeline!$D$22*MIN(1,MAX(0,(65-Pipeline!$E$22+1)/MAX(Pipeline!$F$22,1)))</f>
        <v>1159.4925</v>
      </c>
      <c r="BP20" s="150" t="n">
        <f aca="false">Pipeline!$S$16*Pipeline!$D$16*MIN(1,MAX(0,(66-Pipeline!$E$16+1)/MAX(Pipeline!$F$16,1)))+Pipeline!$S$17*Pipeline!$D$17*MIN(1,MAX(0,(66-Pipeline!$E$17+1)/MAX(Pipeline!$F$17,1)))+Pipeline!$S$18*Pipeline!$D$18*MIN(1,MAX(0,(66-Pipeline!$E$18+1)/MAX(Pipeline!$F$18,1)))+Pipeline!$S$19*Pipeline!$D$19*MIN(1,MAX(0,(66-Pipeline!$E$19+1)/MAX(Pipeline!$F$19,1)))+Pipeline!$S$20*Pipeline!$D$20*MIN(1,MAX(0,(66-Pipeline!$E$20+1)/MAX(Pipeline!$F$20,1)))+Pipeline!$S$21*Pipeline!$D$21*MIN(1,MAX(0,(66-Pipeline!$E$21+1)/MAX(Pipeline!$F$21,1)))+Pipeline!$S$22*Pipeline!$D$22*MIN(1,MAX(0,(66-Pipeline!$E$22+1)/MAX(Pipeline!$F$22,1)))</f>
        <v>1159.4925</v>
      </c>
      <c r="BQ20" s="150" t="n">
        <f aca="false">Pipeline!$S$16*Pipeline!$D$16*MIN(1,MAX(0,(67-Pipeline!$E$16+1)/MAX(Pipeline!$F$16,1)))+Pipeline!$S$17*Pipeline!$D$17*MIN(1,MAX(0,(67-Pipeline!$E$17+1)/MAX(Pipeline!$F$17,1)))+Pipeline!$S$18*Pipeline!$D$18*MIN(1,MAX(0,(67-Pipeline!$E$18+1)/MAX(Pipeline!$F$18,1)))+Pipeline!$S$19*Pipeline!$D$19*MIN(1,MAX(0,(67-Pipeline!$E$19+1)/MAX(Pipeline!$F$19,1)))+Pipeline!$S$20*Pipeline!$D$20*MIN(1,MAX(0,(67-Pipeline!$E$20+1)/MAX(Pipeline!$F$20,1)))+Pipeline!$S$21*Pipeline!$D$21*MIN(1,MAX(0,(67-Pipeline!$E$21+1)/MAX(Pipeline!$F$21,1)))+Pipeline!$S$22*Pipeline!$D$22*MIN(1,MAX(0,(67-Pipeline!$E$22+1)/MAX(Pipeline!$F$22,1)))</f>
        <v>1159.4925</v>
      </c>
      <c r="BR20" s="150" t="n">
        <f aca="false">Pipeline!$S$16*Pipeline!$D$16*MIN(1,MAX(0,(68-Pipeline!$E$16+1)/MAX(Pipeline!$F$16,1)))+Pipeline!$S$17*Pipeline!$D$17*MIN(1,MAX(0,(68-Pipeline!$E$17+1)/MAX(Pipeline!$F$17,1)))+Pipeline!$S$18*Pipeline!$D$18*MIN(1,MAX(0,(68-Pipeline!$E$18+1)/MAX(Pipeline!$F$18,1)))+Pipeline!$S$19*Pipeline!$D$19*MIN(1,MAX(0,(68-Pipeline!$E$19+1)/MAX(Pipeline!$F$19,1)))+Pipeline!$S$20*Pipeline!$D$20*MIN(1,MAX(0,(68-Pipeline!$E$20+1)/MAX(Pipeline!$F$20,1)))+Pipeline!$S$21*Pipeline!$D$21*MIN(1,MAX(0,(68-Pipeline!$E$21+1)/MAX(Pipeline!$F$21,1)))+Pipeline!$S$22*Pipeline!$D$22*MIN(1,MAX(0,(68-Pipeline!$E$22+1)/MAX(Pipeline!$F$22,1)))</f>
        <v>1159.4925</v>
      </c>
      <c r="BS20" s="150" t="n">
        <f aca="false">Pipeline!$S$16*Pipeline!$D$16*MIN(1,MAX(0,(69-Pipeline!$E$16+1)/MAX(Pipeline!$F$16,1)))+Pipeline!$S$17*Pipeline!$D$17*MIN(1,MAX(0,(69-Pipeline!$E$17+1)/MAX(Pipeline!$F$17,1)))+Pipeline!$S$18*Pipeline!$D$18*MIN(1,MAX(0,(69-Pipeline!$E$18+1)/MAX(Pipeline!$F$18,1)))+Pipeline!$S$19*Pipeline!$D$19*MIN(1,MAX(0,(69-Pipeline!$E$19+1)/MAX(Pipeline!$F$19,1)))+Pipeline!$S$20*Pipeline!$D$20*MIN(1,MAX(0,(69-Pipeline!$E$20+1)/MAX(Pipeline!$F$20,1)))+Pipeline!$S$21*Pipeline!$D$21*MIN(1,MAX(0,(69-Pipeline!$E$21+1)/MAX(Pipeline!$F$21,1)))+Pipeline!$S$22*Pipeline!$D$22*MIN(1,MAX(0,(69-Pipeline!$E$22+1)/MAX(Pipeline!$F$22,1)))</f>
        <v>1159.4925</v>
      </c>
      <c r="BT20" s="150" t="n">
        <f aca="false">Pipeline!$S$16*Pipeline!$D$16*MIN(1,MAX(0,(70-Pipeline!$E$16+1)/MAX(Pipeline!$F$16,1)))+Pipeline!$S$17*Pipeline!$D$17*MIN(1,MAX(0,(70-Pipeline!$E$17+1)/MAX(Pipeline!$F$17,1)))+Pipeline!$S$18*Pipeline!$D$18*MIN(1,MAX(0,(70-Pipeline!$E$18+1)/MAX(Pipeline!$F$18,1)))+Pipeline!$S$19*Pipeline!$D$19*MIN(1,MAX(0,(70-Pipeline!$E$19+1)/MAX(Pipeline!$F$19,1)))+Pipeline!$S$20*Pipeline!$D$20*MIN(1,MAX(0,(70-Pipeline!$E$20+1)/MAX(Pipeline!$F$20,1)))+Pipeline!$S$21*Pipeline!$D$21*MIN(1,MAX(0,(70-Pipeline!$E$21+1)/MAX(Pipeline!$F$21,1)))+Pipeline!$S$22*Pipeline!$D$22*MIN(1,MAX(0,(70-Pipeline!$E$22+1)/MAX(Pipeline!$F$22,1)))</f>
        <v>1159.4925</v>
      </c>
      <c r="BU20" s="150" t="n">
        <f aca="false">Pipeline!$S$16*Pipeline!$D$16*MIN(1,MAX(0,(71-Pipeline!$E$16+1)/MAX(Pipeline!$F$16,1)))+Pipeline!$S$17*Pipeline!$D$17*MIN(1,MAX(0,(71-Pipeline!$E$17+1)/MAX(Pipeline!$F$17,1)))+Pipeline!$S$18*Pipeline!$D$18*MIN(1,MAX(0,(71-Pipeline!$E$18+1)/MAX(Pipeline!$F$18,1)))+Pipeline!$S$19*Pipeline!$D$19*MIN(1,MAX(0,(71-Pipeline!$E$19+1)/MAX(Pipeline!$F$19,1)))+Pipeline!$S$20*Pipeline!$D$20*MIN(1,MAX(0,(71-Pipeline!$E$20+1)/MAX(Pipeline!$F$20,1)))+Pipeline!$S$21*Pipeline!$D$21*MIN(1,MAX(0,(71-Pipeline!$E$21+1)/MAX(Pipeline!$F$21,1)))+Pipeline!$S$22*Pipeline!$D$22*MIN(1,MAX(0,(71-Pipeline!$E$22+1)/MAX(Pipeline!$F$22,1)))</f>
        <v>1159.4925</v>
      </c>
      <c r="BV20" s="150" t="n">
        <f aca="false">Pipeline!$S$16*Pipeline!$D$16*MIN(1,MAX(0,(72-Pipeline!$E$16+1)/MAX(Pipeline!$F$16,1)))+Pipeline!$S$17*Pipeline!$D$17*MIN(1,MAX(0,(72-Pipeline!$E$17+1)/MAX(Pipeline!$F$17,1)))+Pipeline!$S$18*Pipeline!$D$18*MIN(1,MAX(0,(72-Pipeline!$E$18+1)/MAX(Pipeline!$F$18,1)))+Pipeline!$S$19*Pipeline!$D$19*MIN(1,MAX(0,(72-Pipeline!$E$19+1)/MAX(Pipeline!$F$19,1)))+Pipeline!$S$20*Pipeline!$D$20*MIN(1,MAX(0,(72-Pipeline!$E$20+1)/MAX(Pipeline!$F$20,1)))+Pipeline!$S$21*Pipeline!$D$21*MIN(1,MAX(0,(72-Pipeline!$E$21+1)/MAX(Pipeline!$F$21,1)))+Pipeline!$S$22*Pipeline!$D$22*MIN(1,MAX(0,(72-Pipeline!$E$22+1)/MAX(Pipeline!$F$22,1)))</f>
        <v>1159.4925</v>
      </c>
      <c r="BW20" s="150" t="n">
        <f aca="false">Pipeline!$S$16*Pipeline!$D$16*MIN(1,MAX(0,(73-Pipeline!$E$16+1)/MAX(Pipeline!$F$16,1)))+Pipeline!$S$17*Pipeline!$D$17*MIN(1,MAX(0,(73-Pipeline!$E$17+1)/MAX(Pipeline!$F$17,1)))+Pipeline!$S$18*Pipeline!$D$18*MIN(1,MAX(0,(73-Pipeline!$E$18+1)/MAX(Pipeline!$F$18,1)))+Pipeline!$S$19*Pipeline!$D$19*MIN(1,MAX(0,(73-Pipeline!$E$19+1)/MAX(Pipeline!$F$19,1)))+Pipeline!$S$20*Pipeline!$D$20*MIN(1,MAX(0,(73-Pipeline!$E$20+1)/MAX(Pipeline!$F$20,1)))+Pipeline!$S$21*Pipeline!$D$21*MIN(1,MAX(0,(73-Pipeline!$E$21+1)/MAX(Pipeline!$F$21,1)))+Pipeline!$S$22*Pipeline!$D$22*MIN(1,MAX(0,(73-Pipeline!$E$22+1)/MAX(Pipeline!$F$22,1)))</f>
        <v>1159.4925</v>
      </c>
      <c r="BX20" s="150" t="n">
        <f aca="false">Pipeline!$S$16*Pipeline!$D$16*MIN(1,MAX(0,(74-Pipeline!$E$16+1)/MAX(Pipeline!$F$16,1)))+Pipeline!$S$17*Pipeline!$D$17*MIN(1,MAX(0,(74-Pipeline!$E$17+1)/MAX(Pipeline!$F$17,1)))+Pipeline!$S$18*Pipeline!$D$18*MIN(1,MAX(0,(74-Pipeline!$E$18+1)/MAX(Pipeline!$F$18,1)))+Pipeline!$S$19*Pipeline!$D$19*MIN(1,MAX(0,(74-Pipeline!$E$19+1)/MAX(Pipeline!$F$19,1)))+Pipeline!$S$20*Pipeline!$D$20*MIN(1,MAX(0,(74-Pipeline!$E$20+1)/MAX(Pipeline!$F$20,1)))+Pipeline!$S$21*Pipeline!$D$21*MIN(1,MAX(0,(74-Pipeline!$E$21+1)/MAX(Pipeline!$F$21,1)))+Pipeline!$S$22*Pipeline!$D$22*MIN(1,MAX(0,(74-Pipeline!$E$22+1)/MAX(Pipeline!$F$22,1)))</f>
        <v>1159.4925</v>
      </c>
      <c r="BY20" s="150" t="n">
        <f aca="false">Pipeline!$S$16*Pipeline!$D$16*MIN(1,MAX(0,(75-Pipeline!$E$16+1)/MAX(Pipeline!$F$16,1)))+Pipeline!$S$17*Pipeline!$D$17*MIN(1,MAX(0,(75-Pipeline!$E$17+1)/MAX(Pipeline!$F$17,1)))+Pipeline!$S$18*Pipeline!$D$18*MIN(1,MAX(0,(75-Pipeline!$E$18+1)/MAX(Pipeline!$F$18,1)))+Pipeline!$S$19*Pipeline!$D$19*MIN(1,MAX(0,(75-Pipeline!$E$19+1)/MAX(Pipeline!$F$19,1)))+Pipeline!$S$20*Pipeline!$D$20*MIN(1,MAX(0,(75-Pipeline!$E$20+1)/MAX(Pipeline!$F$20,1)))+Pipeline!$S$21*Pipeline!$D$21*MIN(1,MAX(0,(75-Pipeline!$E$21+1)/MAX(Pipeline!$F$21,1)))+Pipeline!$S$22*Pipeline!$D$22*MIN(1,MAX(0,(75-Pipeline!$E$22+1)/MAX(Pipeline!$F$22,1)))</f>
        <v>1159.4925</v>
      </c>
      <c r="BZ20" s="150" t="n">
        <f aca="false">Pipeline!$S$16*Pipeline!$D$16*MIN(1,MAX(0,(76-Pipeline!$E$16+1)/MAX(Pipeline!$F$16,1)))+Pipeline!$S$17*Pipeline!$D$17*MIN(1,MAX(0,(76-Pipeline!$E$17+1)/MAX(Pipeline!$F$17,1)))+Pipeline!$S$18*Pipeline!$D$18*MIN(1,MAX(0,(76-Pipeline!$E$18+1)/MAX(Pipeline!$F$18,1)))+Pipeline!$S$19*Pipeline!$D$19*MIN(1,MAX(0,(76-Pipeline!$E$19+1)/MAX(Pipeline!$F$19,1)))+Pipeline!$S$20*Pipeline!$D$20*MIN(1,MAX(0,(76-Pipeline!$E$20+1)/MAX(Pipeline!$F$20,1)))+Pipeline!$S$21*Pipeline!$D$21*MIN(1,MAX(0,(76-Pipeline!$E$21+1)/MAX(Pipeline!$F$21,1)))+Pipeline!$S$22*Pipeline!$D$22*MIN(1,MAX(0,(76-Pipeline!$E$22+1)/MAX(Pipeline!$F$22,1)))</f>
        <v>1159.4925</v>
      </c>
      <c r="CA20" s="150" t="n">
        <f aca="false">Pipeline!$S$16*Pipeline!$D$16*MIN(1,MAX(0,(77-Pipeline!$E$16+1)/MAX(Pipeline!$F$16,1)))+Pipeline!$S$17*Pipeline!$D$17*MIN(1,MAX(0,(77-Pipeline!$E$17+1)/MAX(Pipeline!$F$17,1)))+Pipeline!$S$18*Pipeline!$D$18*MIN(1,MAX(0,(77-Pipeline!$E$18+1)/MAX(Pipeline!$F$18,1)))+Pipeline!$S$19*Pipeline!$D$19*MIN(1,MAX(0,(77-Pipeline!$E$19+1)/MAX(Pipeline!$F$19,1)))+Pipeline!$S$20*Pipeline!$D$20*MIN(1,MAX(0,(77-Pipeline!$E$20+1)/MAX(Pipeline!$F$20,1)))+Pipeline!$S$21*Pipeline!$D$21*MIN(1,MAX(0,(77-Pipeline!$E$21+1)/MAX(Pipeline!$F$21,1)))+Pipeline!$S$22*Pipeline!$D$22*MIN(1,MAX(0,(77-Pipeline!$E$22+1)/MAX(Pipeline!$F$22,1)))</f>
        <v>1159.4925</v>
      </c>
      <c r="CB20" s="150" t="n">
        <f aca="false">Pipeline!$S$16*Pipeline!$D$16*MIN(1,MAX(0,(78-Pipeline!$E$16+1)/MAX(Pipeline!$F$16,1)))+Pipeline!$S$17*Pipeline!$D$17*MIN(1,MAX(0,(78-Pipeline!$E$17+1)/MAX(Pipeline!$F$17,1)))+Pipeline!$S$18*Pipeline!$D$18*MIN(1,MAX(0,(78-Pipeline!$E$18+1)/MAX(Pipeline!$F$18,1)))+Pipeline!$S$19*Pipeline!$D$19*MIN(1,MAX(0,(78-Pipeline!$E$19+1)/MAX(Pipeline!$F$19,1)))+Pipeline!$S$20*Pipeline!$D$20*MIN(1,MAX(0,(78-Pipeline!$E$20+1)/MAX(Pipeline!$F$20,1)))+Pipeline!$S$21*Pipeline!$D$21*MIN(1,MAX(0,(78-Pipeline!$E$21+1)/MAX(Pipeline!$F$21,1)))+Pipeline!$S$22*Pipeline!$D$22*MIN(1,MAX(0,(78-Pipeline!$E$22+1)/MAX(Pipeline!$F$22,1)))</f>
        <v>1159.4925</v>
      </c>
      <c r="CC20" s="150" t="n">
        <f aca="false">Pipeline!$S$16*Pipeline!$D$16*MIN(1,MAX(0,(79-Pipeline!$E$16+1)/MAX(Pipeline!$F$16,1)))+Pipeline!$S$17*Pipeline!$D$17*MIN(1,MAX(0,(79-Pipeline!$E$17+1)/MAX(Pipeline!$F$17,1)))+Pipeline!$S$18*Pipeline!$D$18*MIN(1,MAX(0,(79-Pipeline!$E$18+1)/MAX(Pipeline!$F$18,1)))+Pipeline!$S$19*Pipeline!$D$19*MIN(1,MAX(0,(79-Pipeline!$E$19+1)/MAX(Pipeline!$F$19,1)))+Pipeline!$S$20*Pipeline!$D$20*MIN(1,MAX(0,(79-Pipeline!$E$20+1)/MAX(Pipeline!$F$20,1)))+Pipeline!$S$21*Pipeline!$D$21*MIN(1,MAX(0,(79-Pipeline!$E$21+1)/MAX(Pipeline!$F$21,1)))+Pipeline!$S$22*Pipeline!$D$22*MIN(1,MAX(0,(79-Pipeline!$E$22+1)/MAX(Pipeline!$F$22,1)))</f>
        <v>1159.4925</v>
      </c>
      <c r="CD20" s="150" t="n">
        <f aca="false">Pipeline!$S$16*Pipeline!$D$16*MIN(1,MAX(0,(80-Pipeline!$E$16+1)/MAX(Pipeline!$F$16,1)))+Pipeline!$S$17*Pipeline!$D$17*MIN(1,MAX(0,(80-Pipeline!$E$17+1)/MAX(Pipeline!$F$17,1)))+Pipeline!$S$18*Pipeline!$D$18*MIN(1,MAX(0,(80-Pipeline!$E$18+1)/MAX(Pipeline!$F$18,1)))+Pipeline!$S$19*Pipeline!$D$19*MIN(1,MAX(0,(80-Pipeline!$E$19+1)/MAX(Pipeline!$F$19,1)))+Pipeline!$S$20*Pipeline!$D$20*MIN(1,MAX(0,(80-Pipeline!$E$20+1)/MAX(Pipeline!$F$20,1)))+Pipeline!$S$21*Pipeline!$D$21*MIN(1,MAX(0,(80-Pipeline!$E$21+1)/MAX(Pipeline!$F$21,1)))+Pipeline!$S$22*Pipeline!$D$22*MIN(1,MAX(0,(80-Pipeline!$E$22+1)/MAX(Pipeline!$F$22,1)))</f>
        <v>1159.4925</v>
      </c>
      <c r="CE20" s="150" t="n">
        <f aca="false">Pipeline!$S$16*Pipeline!$D$16*MIN(1,MAX(0,(81-Pipeline!$E$16+1)/MAX(Pipeline!$F$16,1)))+Pipeline!$S$17*Pipeline!$D$17*MIN(1,MAX(0,(81-Pipeline!$E$17+1)/MAX(Pipeline!$F$17,1)))+Pipeline!$S$18*Pipeline!$D$18*MIN(1,MAX(0,(81-Pipeline!$E$18+1)/MAX(Pipeline!$F$18,1)))+Pipeline!$S$19*Pipeline!$D$19*MIN(1,MAX(0,(81-Pipeline!$E$19+1)/MAX(Pipeline!$F$19,1)))+Pipeline!$S$20*Pipeline!$D$20*MIN(1,MAX(0,(81-Pipeline!$E$20+1)/MAX(Pipeline!$F$20,1)))+Pipeline!$S$21*Pipeline!$D$21*MIN(1,MAX(0,(81-Pipeline!$E$21+1)/MAX(Pipeline!$F$21,1)))+Pipeline!$S$22*Pipeline!$D$22*MIN(1,MAX(0,(81-Pipeline!$E$22+1)/MAX(Pipeline!$F$22,1)))</f>
        <v>1159.4925</v>
      </c>
      <c r="CF20" s="150" t="n">
        <f aca="false">Pipeline!$S$16*Pipeline!$D$16*MIN(1,MAX(0,(82-Pipeline!$E$16+1)/MAX(Pipeline!$F$16,1)))+Pipeline!$S$17*Pipeline!$D$17*MIN(1,MAX(0,(82-Pipeline!$E$17+1)/MAX(Pipeline!$F$17,1)))+Pipeline!$S$18*Pipeline!$D$18*MIN(1,MAX(0,(82-Pipeline!$E$18+1)/MAX(Pipeline!$F$18,1)))+Pipeline!$S$19*Pipeline!$D$19*MIN(1,MAX(0,(82-Pipeline!$E$19+1)/MAX(Pipeline!$F$19,1)))+Pipeline!$S$20*Pipeline!$D$20*MIN(1,MAX(0,(82-Pipeline!$E$20+1)/MAX(Pipeline!$F$20,1)))+Pipeline!$S$21*Pipeline!$D$21*MIN(1,MAX(0,(82-Pipeline!$E$21+1)/MAX(Pipeline!$F$21,1)))+Pipeline!$S$22*Pipeline!$D$22*MIN(1,MAX(0,(82-Pipeline!$E$22+1)/MAX(Pipeline!$F$22,1)))</f>
        <v>1159.4925</v>
      </c>
      <c r="CG20" s="150" t="n">
        <f aca="false">Pipeline!$S$16*Pipeline!$D$16*MIN(1,MAX(0,(83-Pipeline!$E$16+1)/MAX(Pipeline!$F$16,1)))+Pipeline!$S$17*Pipeline!$D$17*MIN(1,MAX(0,(83-Pipeline!$E$17+1)/MAX(Pipeline!$F$17,1)))+Pipeline!$S$18*Pipeline!$D$18*MIN(1,MAX(0,(83-Pipeline!$E$18+1)/MAX(Pipeline!$F$18,1)))+Pipeline!$S$19*Pipeline!$D$19*MIN(1,MAX(0,(83-Pipeline!$E$19+1)/MAX(Pipeline!$F$19,1)))+Pipeline!$S$20*Pipeline!$D$20*MIN(1,MAX(0,(83-Pipeline!$E$20+1)/MAX(Pipeline!$F$20,1)))+Pipeline!$S$21*Pipeline!$D$21*MIN(1,MAX(0,(83-Pipeline!$E$21+1)/MAX(Pipeline!$F$21,1)))+Pipeline!$S$22*Pipeline!$D$22*MIN(1,MAX(0,(83-Pipeline!$E$22+1)/MAX(Pipeline!$F$22,1)))</f>
        <v>1159.4925</v>
      </c>
      <c r="CH20" s="150" t="n">
        <f aca="false">Pipeline!$S$16*Pipeline!$D$16*MIN(1,MAX(0,(84-Pipeline!$E$16+1)/MAX(Pipeline!$F$16,1)))+Pipeline!$S$17*Pipeline!$D$17*MIN(1,MAX(0,(84-Pipeline!$E$17+1)/MAX(Pipeline!$F$17,1)))+Pipeline!$S$18*Pipeline!$D$18*MIN(1,MAX(0,(84-Pipeline!$E$18+1)/MAX(Pipeline!$F$18,1)))+Pipeline!$S$19*Pipeline!$D$19*MIN(1,MAX(0,(84-Pipeline!$E$19+1)/MAX(Pipeline!$F$19,1)))+Pipeline!$S$20*Pipeline!$D$20*MIN(1,MAX(0,(84-Pipeline!$E$20+1)/MAX(Pipeline!$F$20,1)))+Pipeline!$S$21*Pipeline!$D$21*MIN(1,MAX(0,(84-Pipeline!$E$21+1)/MAX(Pipeline!$F$21,1)))+Pipeline!$S$22*Pipeline!$D$22*MIN(1,MAX(0,(84-Pipeline!$E$22+1)/MAX(Pipeline!$F$22,1)))</f>
        <v>1159.4925</v>
      </c>
    </row>
    <row r="21" customFormat="false" ht="13.5" hidden="false" customHeight="true" outlineLevel="0" collapsed="false">
      <c r="A21" s="13" t="s">
        <v>704</v>
      </c>
      <c r="C21" s="151" t="n">
        <f aca="false">IF(C18=0,1,MIN(1,C8/C18))</f>
        <v>1</v>
      </c>
      <c r="D21" s="151" t="n">
        <f aca="false">IF(D18=0,1,MIN(1,D8/D18))</f>
        <v>1</v>
      </c>
      <c r="E21" s="151" t="n">
        <f aca="false">IF(E18=0,1,MIN(1,E8/E18))</f>
        <v>1</v>
      </c>
      <c r="F21" s="151" t="n">
        <f aca="false">IF(F18=0,1,MIN(1,F8/F18))</f>
        <v>1</v>
      </c>
      <c r="G21" s="151" t="n">
        <f aca="false">IF(G18=0,1,MIN(1,G8/G18))</f>
        <v>1</v>
      </c>
      <c r="H21" s="151" t="n">
        <f aca="false">IF(H18=0,1,MIN(1,H8/H18))</f>
        <v>1</v>
      </c>
      <c r="I21" s="151" t="n">
        <f aca="false">IF(I18=0,1,MIN(1,I8/I18))</f>
        <v>1</v>
      </c>
      <c r="J21" s="151" t="n">
        <f aca="false">IF(J18=0,1,MIN(1,J8/J18))</f>
        <v>1</v>
      </c>
      <c r="K21" s="151" t="n">
        <f aca="false">IF(K18=0,1,MIN(1,K8/K18))</f>
        <v>1</v>
      </c>
      <c r="L21" s="151" t="n">
        <f aca="false">IF(L18=0,1,MIN(1,L8/L18))</f>
        <v>1</v>
      </c>
      <c r="M21" s="151" t="n">
        <f aca="false">IF(M18=0,1,MIN(1,M8/M18))</f>
        <v>1</v>
      </c>
      <c r="N21" s="151" t="n">
        <f aca="false">IF(N18=0,1,MIN(1,N8/N18))</f>
        <v>1</v>
      </c>
      <c r="O21" s="151" t="n">
        <f aca="false">IF(O18=0,1,MIN(1,O8/O18))</f>
        <v>1</v>
      </c>
      <c r="P21" s="151" t="n">
        <f aca="false">IF(P18=0,1,MIN(1,P8/P18))</f>
        <v>1</v>
      </c>
      <c r="Q21" s="151" t="n">
        <f aca="false">IF(Q18=0,1,MIN(1,Q8/Q18))</f>
        <v>1</v>
      </c>
      <c r="R21" s="151" t="n">
        <f aca="false">IF(R18=0,1,MIN(1,R8/R18))</f>
        <v>1</v>
      </c>
      <c r="S21" s="151" t="n">
        <f aca="false">IF(S18=0,1,MIN(1,S8/S18))</f>
        <v>1</v>
      </c>
      <c r="T21" s="151" t="n">
        <f aca="false">IF(T18=0,1,MIN(1,T8/T18))</f>
        <v>1</v>
      </c>
      <c r="U21" s="151" t="n">
        <f aca="false">IF(U18=0,1,MIN(1,U8/U18))</f>
        <v>1</v>
      </c>
      <c r="V21" s="151" t="n">
        <f aca="false">IF(V18=0,1,MIN(1,V8/V18))</f>
        <v>1</v>
      </c>
      <c r="W21" s="151" t="n">
        <f aca="false">IF(W18=0,1,MIN(1,W8/W18))</f>
        <v>1</v>
      </c>
      <c r="X21" s="151" t="n">
        <f aca="false">IF(X18=0,1,MIN(1,X8/X18))</f>
        <v>1</v>
      </c>
      <c r="Y21" s="151" t="n">
        <f aca="false">IF(Y18=0,1,MIN(1,Y8/Y18))</f>
        <v>1</v>
      </c>
      <c r="Z21" s="151" t="n">
        <f aca="false">IF(Z18=0,1,MIN(1,Z8/Z18))</f>
        <v>1</v>
      </c>
      <c r="AA21" s="151" t="n">
        <f aca="false">IF(AA18=0,1,MIN(1,AA8/AA18))</f>
        <v>1</v>
      </c>
      <c r="AB21" s="151" t="n">
        <f aca="false">IF(AB18=0,1,MIN(1,AB8/AB18))</f>
        <v>1</v>
      </c>
      <c r="AC21" s="151" t="n">
        <f aca="false">IF(AC18=0,1,MIN(1,AC8/AC18))</f>
        <v>1</v>
      </c>
      <c r="AD21" s="151" t="n">
        <f aca="false">IF(AD18=0,1,MIN(1,AD8/AD18))</f>
        <v>1</v>
      </c>
      <c r="AE21" s="151" t="n">
        <f aca="false">IF(AE18=0,1,MIN(1,AE8/AE18))</f>
        <v>1</v>
      </c>
      <c r="AF21" s="151" t="n">
        <f aca="false">IF(AF18=0,1,MIN(1,AF8/AF18))</f>
        <v>1</v>
      </c>
      <c r="AG21" s="151" t="n">
        <f aca="false">IF(AG18=0,1,MIN(1,AG8/AG18))</f>
        <v>1</v>
      </c>
      <c r="AH21" s="151" t="n">
        <f aca="false">IF(AH18=0,1,MIN(1,AH8/AH18))</f>
        <v>1</v>
      </c>
      <c r="AI21" s="151" t="n">
        <f aca="false">IF(AI18=0,1,MIN(1,AI8/AI18))</f>
        <v>1</v>
      </c>
      <c r="AJ21" s="151" t="n">
        <f aca="false">IF(AJ18=0,1,MIN(1,AJ8/AJ18))</f>
        <v>1</v>
      </c>
      <c r="AK21" s="151" t="n">
        <f aca="false">IF(AK18=0,1,MIN(1,AK8/AK18))</f>
        <v>1</v>
      </c>
      <c r="AL21" s="151" t="n">
        <f aca="false">IF(AL18=0,1,MIN(1,AL8/AL18))</f>
        <v>1</v>
      </c>
      <c r="AM21" s="151" t="n">
        <f aca="false">IF(AM18=0,1,MIN(1,AM8/AM18))</f>
        <v>1</v>
      </c>
      <c r="AN21" s="151" t="n">
        <f aca="false">IF(AN18=0,1,MIN(1,AN8/AN18))</f>
        <v>1</v>
      </c>
      <c r="AO21" s="151" t="n">
        <f aca="false">IF(AO18=0,1,MIN(1,AO8/AO18))</f>
        <v>1</v>
      </c>
      <c r="AP21" s="151" t="n">
        <f aca="false">IF(AP18=0,1,MIN(1,AP8/AP18))</f>
        <v>1</v>
      </c>
      <c r="AQ21" s="151" t="n">
        <f aca="false">IF(AQ18=0,1,MIN(1,AQ8/AQ18))</f>
        <v>1</v>
      </c>
      <c r="AR21" s="151" t="n">
        <f aca="false">IF(AR18=0,1,MIN(1,AR8/AR18))</f>
        <v>1</v>
      </c>
      <c r="AS21" s="151" t="n">
        <f aca="false">IF(AS18=0,1,MIN(1,AS8/AS18))</f>
        <v>1</v>
      </c>
      <c r="AT21" s="151" t="n">
        <f aca="false">IF(AT18=0,1,MIN(1,AT8/AT18))</f>
        <v>1</v>
      </c>
      <c r="AU21" s="151" t="n">
        <f aca="false">IF(AU18=0,1,MIN(1,AU8/AU18))</f>
        <v>1</v>
      </c>
      <c r="AV21" s="151" t="n">
        <f aca="false">IF(AV18=0,1,MIN(1,AV8/AV18))</f>
        <v>1</v>
      </c>
      <c r="AW21" s="151" t="n">
        <f aca="false">IF(AW18=0,1,MIN(1,AW8/AW18))</f>
        <v>1</v>
      </c>
      <c r="AX21" s="151" t="n">
        <f aca="false">IF(AX18=0,1,MIN(1,AX8/AX18))</f>
        <v>1</v>
      </c>
      <c r="AY21" s="151" t="n">
        <f aca="false">IF(AY18=0,1,MIN(1,AY8/AY18))</f>
        <v>1</v>
      </c>
      <c r="AZ21" s="151" t="n">
        <f aca="false">IF(AZ18=0,1,MIN(1,AZ8/AZ18))</f>
        <v>1</v>
      </c>
      <c r="BA21" s="151" t="n">
        <f aca="false">IF(BA18=0,1,MIN(1,BA8/BA18))</f>
        <v>1</v>
      </c>
      <c r="BB21" s="151" t="n">
        <f aca="false">IF(BB18=0,1,MIN(1,BB8/BB18))</f>
        <v>1</v>
      </c>
      <c r="BC21" s="151" t="n">
        <f aca="false">IF(BC18=0,1,MIN(1,BC8/BC18))</f>
        <v>1</v>
      </c>
      <c r="BD21" s="151" t="n">
        <f aca="false">IF(BD18=0,1,MIN(1,BD8/BD18))</f>
        <v>1</v>
      </c>
      <c r="BE21" s="151" t="n">
        <f aca="false">IF(BE18=0,1,MIN(1,BE8/BE18))</f>
        <v>1</v>
      </c>
      <c r="BF21" s="151" t="n">
        <f aca="false">IF(BF18=0,1,MIN(1,BF8/BF18))</f>
        <v>1</v>
      </c>
      <c r="BG21" s="151" t="n">
        <f aca="false">IF(BG18=0,1,MIN(1,BG8/BG18))</f>
        <v>1</v>
      </c>
      <c r="BH21" s="151" t="n">
        <f aca="false">IF(BH18=0,1,MIN(1,BH8/BH18))</f>
        <v>1</v>
      </c>
      <c r="BI21" s="151" t="n">
        <f aca="false">IF(BI18=0,1,MIN(1,BI8/BI18))</f>
        <v>1</v>
      </c>
      <c r="BJ21" s="151" t="n">
        <f aca="false">IF(BJ18=0,1,MIN(1,BJ8/BJ18))</f>
        <v>1</v>
      </c>
      <c r="BK21" s="151" t="n">
        <f aca="false">IF(BK18=0,1,MIN(1,BK8/BK18))</f>
        <v>1</v>
      </c>
      <c r="BL21" s="151" t="n">
        <f aca="false">IF(BL18=0,1,MIN(1,BL8/BL18))</f>
        <v>1</v>
      </c>
      <c r="BM21" s="151" t="n">
        <f aca="false">IF(BM18=0,1,MIN(1,BM8/BM18))</f>
        <v>1</v>
      </c>
      <c r="BN21" s="151" t="n">
        <f aca="false">IF(BN18=0,1,MIN(1,BN8/BN18))</f>
        <v>1</v>
      </c>
      <c r="BO21" s="151" t="n">
        <f aca="false">IF(BO18=0,1,MIN(1,BO8/BO18))</f>
        <v>1</v>
      </c>
      <c r="BP21" s="151" t="n">
        <f aca="false">IF(BP18=0,1,MIN(1,BP8/BP18))</f>
        <v>1</v>
      </c>
      <c r="BQ21" s="151" t="n">
        <f aca="false">IF(BQ18=0,1,MIN(1,BQ8/BQ18))</f>
        <v>1</v>
      </c>
      <c r="BR21" s="151" t="n">
        <f aca="false">IF(BR18=0,1,MIN(1,BR8/BR18))</f>
        <v>1</v>
      </c>
      <c r="BS21" s="151" t="n">
        <f aca="false">IF(BS18=0,1,MIN(1,BS8/BS18))</f>
        <v>1</v>
      </c>
      <c r="BT21" s="151" t="n">
        <f aca="false">IF(BT18=0,1,MIN(1,BT8/BT18))</f>
        <v>1</v>
      </c>
      <c r="BU21" s="151" t="n">
        <f aca="false">IF(BU18=0,1,MIN(1,BU8/BU18))</f>
        <v>1</v>
      </c>
      <c r="BV21" s="151" t="n">
        <f aca="false">IF(BV18=0,1,MIN(1,BV8/BV18))</f>
        <v>1</v>
      </c>
      <c r="BW21" s="151" t="n">
        <f aca="false">IF(BW18=0,1,MIN(1,BW8/BW18))</f>
        <v>1</v>
      </c>
      <c r="BX21" s="151" t="n">
        <f aca="false">IF(BX18=0,1,MIN(1,BX8/BX18))</f>
        <v>1</v>
      </c>
      <c r="BY21" s="151" t="n">
        <f aca="false">IF(BY18=0,1,MIN(1,BY8/BY18))</f>
        <v>1</v>
      </c>
      <c r="BZ21" s="151" t="n">
        <f aca="false">IF(BZ18=0,1,MIN(1,BZ8/BZ18))</f>
        <v>1</v>
      </c>
      <c r="CA21" s="151" t="n">
        <f aca="false">IF(CA18=0,1,MIN(1,CA8/CA18))</f>
        <v>1</v>
      </c>
      <c r="CB21" s="151" t="n">
        <f aca="false">IF(CB18=0,1,MIN(1,CB8/CB18))</f>
        <v>1</v>
      </c>
      <c r="CC21" s="151" t="n">
        <f aca="false">IF(CC18=0,1,MIN(1,CC8/CC18))</f>
        <v>1</v>
      </c>
      <c r="CD21" s="151" t="n">
        <f aca="false">IF(CD18=0,1,MIN(1,CD8/CD18))</f>
        <v>1</v>
      </c>
      <c r="CE21" s="151" t="n">
        <f aca="false">IF(CE18=0,1,MIN(1,CE8/CE18))</f>
        <v>1</v>
      </c>
      <c r="CF21" s="151" t="n">
        <f aca="false">IF(CF18=0,1,MIN(1,CF8/CF18))</f>
        <v>1</v>
      </c>
      <c r="CG21" s="151" t="n">
        <f aca="false">IF(CG18=0,1,MIN(1,CG8/CG18))</f>
        <v>1</v>
      </c>
      <c r="CH21" s="151" t="n">
        <f aca="false">IF(CH18=0,1,MIN(1,CH8/CH18))</f>
        <v>1</v>
      </c>
    </row>
    <row r="22" customFormat="false" ht="13.5" hidden="false" customHeight="true" outlineLevel="0" collapsed="false">
      <c r="A22" s="13" t="s">
        <v>705</v>
      </c>
      <c r="C22" s="151" t="n">
        <f aca="false">MIN(Hipótesis!$E$32,Hipótesis!$E$31+(Hipótesis!$E$32-Hipótesis!$E$31)*MAX(0,1-Hipótesis!$E$29)/Hipótesis!$E$33)</f>
        <v>0</v>
      </c>
      <c r="D22" s="151" t="n">
        <f aca="false">MIN(Hipótesis!$E$32,Hipótesis!$E$31+(Hipótesis!$E$32-Hipótesis!$E$31)*MAX(0,2-Hipótesis!$E$29)/Hipótesis!$E$33)</f>
        <v>0</v>
      </c>
      <c r="E22" s="151" t="n">
        <f aca="false">MIN(Hipótesis!$E$32,Hipótesis!$E$31+(Hipótesis!$E$32-Hipótesis!$E$31)*MAX(0,3-Hipótesis!$E$29)/Hipótesis!$E$33)</f>
        <v>0</v>
      </c>
      <c r="F22" s="151" t="n">
        <f aca="false">MIN(Hipótesis!$E$32,Hipótesis!$E$31+(Hipótesis!$E$32-Hipótesis!$E$31)*MAX(0,4-Hipótesis!$E$29)/Hipótesis!$E$33)</f>
        <v>0</v>
      </c>
      <c r="G22" s="151" t="n">
        <f aca="false">MIN(Hipótesis!$E$32,Hipótesis!$E$31+(Hipótesis!$E$32-Hipótesis!$E$31)*MAX(0,5-Hipótesis!$E$29)/Hipótesis!$E$33)</f>
        <v>0</v>
      </c>
      <c r="H22" s="151" t="n">
        <f aca="false">MIN(Hipótesis!$E$32,Hipótesis!$E$31+(Hipótesis!$E$32-Hipótesis!$E$31)*MAX(0,6-Hipótesis!$E$29)/Hipótesis!$E$33)</f>
        <v>0</v>
      </c>
      <c r="I22" s="151" t="n">
        <f aca="false">MIN(Hipótesis!$E$32,Hipótesis!$E$31+(Hipótesis!$E$32-Hipótesis!$E$31)*MAX(0,7-Hipótesis!$E$29)/Hipótesis!$E$33)</f>
        <v>0.0152777777777778</v>
      </c>
      <c r="J22" s="151" t="n">
        <f aca="false">MIN(Hipótesis!$E$32,Hipótesis!$E$31+(Hipótesis!$E$32-Hipótesis!$E$31)*MAX(0,8-Hipótesis!$E$29)/Hipótesis!$E$33)</f>
        <v>0.0305555555555556</v>
      </c>
      <c r="K22" s="151" t="n">
        <f aca="false">MIN(Hipótesis!$E$32,Hipótesis!$E$31+(Hipótesis!$E$32-Hipótesis!$E$31)*MAX(0,9-Hipótesis!$E$29)/Hipótesis!$E$33)</f>
        <v>0.0458333333333333</v>
      </c>
      <c r="L22" s="151" t="n">
        <f aca="false">MIN(Hipótesis!$E$32,Hipótesis!$E$31+(Hipótesis!$E$32-Hipótesis!$E$31)*MAX(0,10-Hipótesis!$E$29)/Hipótesis!$E$33)</f>
        <v>0.0611111111111111</v>
      </c>
      <c r="M22" s="151" t="n">
        <f aca="false">MIN(Hipótesis!$E$32,Hipótesis!$E$31+(Hipótesis!$E$32-Hipótesis!$E$31)*MAX(0,11-Hipótesis!$E$29)/Hipótesis!$E$33)</f>
        <v>0.0763888888888889</v>
      </c>
      <c r="N22" s="151" t="n">
        <f aca="false">MIN(Hipótesis!$E$32,Hipótesis!$E$31+(Hipótesis!$E$32-Hipótesis!$E$31)*MAX(0,12-Hipótesis!$E$29)/Hipótesis!$E$33)</f>
        <v>0.0916666666666667</v>
      </c>
      <c r="O22" s="151" t="n">
        <f aca="false">MIN(Hipótesis!$E$32,Hipótesis!$E$31+(Hipótesis!$E$32-Hipótesis!$E$31)*MAX(0,13-Hipótesis!$E$29)/Hipótesis!$E$33)</f>
        <v>0.106944444444444</v>
      </c>
      <c r="P22" s="151" t="n">
        <f aca="false">MIN(Hipótesis!$E$32,Hipótesis!$E$31+(Hipótesis!$E$32-Hipótesis!$E$31)*MAX(0,14-Hipótesis!$E$29)/Hipótesis!$E$33)</f>
        <v>0.122222222222222</v>
      </c>
      <c r="Q22" s="151" t="n">
        <f aca="false">MIN(Hipótesis!$E$32,Hipótesis!$E$31+(Hipótesis!$E$32-Hipótesis!$E$31)*MAX(0,15-Hipótesis!$E$29)/Hipótesis!$E$33)</f>
        <v>0.1375</v>
      </c>
      <c r="R22" s="151" t="n">
        <f aca="false">MIN(Hipótesis!$E$32,Hipótesis!$E$31+(Hipótesis!$E$32-Hipótesis!$E$31)*MAX(0,16-Hipótesis!$E$29)/Hipótesis!$E$33)</f>
        <v>0.152777777777778</v>
      </c>
      <c r="S22" s="151" t="n">
        <f aca="false">MIN(Hipótesis!$E$32,Hipótesis!$E$31+(Hipótesis!$E$32-Hipótesis!$E$31)*MAX(0,17-Hipótesis!$E$29)/Hipótesis!$E$33)</f>
        <v>0.168055555555556</v>
      </c>
      <c r="T22" s="151" t="n">
        <f aca="false">MIN(Hipótesis!$E$32,Hipótesis!$E$31+(Hipótesis!$E$32-Hipótesis!$E$31)*MAX(0,18-Hipótesis!$E$29)/Hipótesis!$E$33)</f>
        <v>0.183333333333333</v>
      </c>
      <c r="U22" s="151" t="n">
        <f aca="false">MIN(Hipótesis!$E$32,Hipótesis!$E$31+(Hipótesis!$E$32-Hipótesis!$E$31)*MAX(0,19-Hipótesis!$E$29)/Hipótesis!$E$33)</f>
        <v>0.198611111111111</v>
      </c>
      <c r="V22" s="151" t="n">
        <f aca="false">MIN(Hipótesis!$E$32,Hipótesis!$E$31+(Hipótesis!$E$32-Hipótesis!$E$31)*MAX(0,20-Hipótesis!$E$29)/Hipótesis!$E$33)</f>
        <v>0.213888888888889</v>
      </c>
      <c r="W22" s="151" t="n">
        <f aca="false">MIN(Hipótesis!$E$32,Hipótesis!$E$31+(Hipótesis!$E$32-Hipótesis!$E$31)*MAX(0,21-Hipótesis!$E$29)/Hipótesis!$E$33)</f>
        <v>0.229166666666667</v>
      </c>
      <c r="X22" s="151" t="n">
        <f aca="false">MIN(Hipótesis!$E$32,Hipótesis!$E$31+(Hipótesis!$E$32-Hipótesis!$E$31)*MAX(0,22-Hipótesis!$E$29)/Hipótesis!$E$33)</f>
        <v>0.244444444444444</v>
      </c>
      <c r="Y22" s="151" t="n">
        <f aca="false">MIN(Hipótesis!$E$32,Hipótesis!$E$31+(Hipótesis!$E$32-Hipótesis!$E$31)*MAX(0,23-Hipótesis!$E$29)/Hipótesis!$E$33)</f>
        <v>0.259722222222222</v>
      </c>
      <c r="Z22" s="151" t="n">
        <f aca="false">MIN(Hipótesis!$E$32,Hipótesis!$E$31+(Hipótesis!$E$32-Hipótesis!$E$31)*MAX(0,24-Hipótesis!$E$29)/Hipótesis!$E$33)</f>
        <v>0.275</v>
      </c>
      <c r="AA22" s="151" t="n">
        <f aca="false">MIN(Hipótesis!$E$32,Hipótesis!$E$31+(Hipótesis!$E$32-Hipótesis!$E$31)*MAX(0,25-Hipótesis!$E$29)/Hipótesis!$E$33)</f>
        <v>0.290277777777778</v>
      </c>
      <c r="AB22" s="151" t="n">
        <f aca="false">MIN(Hipótesis!$E$32,Hipótesis!$E$31+(Hipótesis!$E$32-Hipótesis!$E$31)*MAX(0,26-Hipótesis!$E$29)/Hipótesis!$E$33)</f>
        <v>0.305555555555556</v>
      </c>
      <c r="AC22" s="151" t="n">
        <f aca="false">MIN(Hipótesis!$E$32,Hipótesis!$E$31+(Hipótesis!$E$32-Hipótesis!$E$31)*MAX(0,27-Hipótesis!$E$29)/Hipótesis!$E$33)</f>
        <v>0.320833333333333</v>
      </c>
      <c r="AD22" s="151" t="n">
        <f aca="false">MIN(Hipótesis!$E$32,Hipótesis!$E$31+(Hipótesis!$E$32-Hipótesis!$E$31)*MAX(0,28-Hipótesis!$E$29)/Hipótesis!$E$33)</f>
        <v>0.336111111111111</v>
      </c>
      <c r="AE22" s="151" t="n">
        <f aca="false">MIN(Hipótesis!$E$32,Hipótesis!$E$31+(Hipótesis!$E$32-Hipótesis!$E$31)*MAX(0,29-Hipótesis!$E$29)/Hipótesis!$E$33)</f>
        <v>0.351388888888889</v>
      </c>
      <c r="AF22" s="151" t="n">
        <f aca="false">MIN(Hipótesis!$E$32,Hipótesis!$E$31+(Hipótesis!$E$32-Hipótesis!$E$31)*MAX(0,30-Hipótesis!$E$29)/Hipótesis!$E$33)</f>
        <v>0.366666666666667</v>
      </c>
      <c r="AG22" s="151" t="n">
        <f aca="false">MIN(Hipótesis!$E$32,Hipótesis!$E$31+(Hipótesis!$E$32-Hipótesis!$E$31)*MAX(0,31-Hipótesis!$E$29)/Hipótesis!$E$33)</f>
        <v>0.381944444444445</v>
      </c>
      <c r="AH22" s="151" t="n">
        <f aca="false">MIN(Hipótesis!$E$32,Hipótesis!$E$31+(Hipótesis!$E$32-Hipótesis!$E$31)*MAX(0,32-Hipótesis!$E$29)/Hipótesis!$E$33)</f>
        <v>0.397222222222222</v>
      </c>
      <c r="AI22" s="151" t="n">
        <f aca="false">MIN(Hipótesis!$E$32,Hipótesis!$E$31+(Hipótesis!$E$32-Hipótesis!$E$31)*MAX(0,33-Hipótesis!$E$29)/Hipótesis!$E$33)</f>
        <v>0.4125</v>
      </c>
      <c r="AJ22" s="151" t="n">
        <f aca="false">MIN(Hipótesis!$E$32,Hipótesis!$E$31+(Hipótesis!$E$32-Hipótesis!$E$31)*MAX(0,34-Hipótesis!$E$29)/Hipótesis!$E$33)</f>
        <v>0.427777777777778</v>
      </c>
      <c r="AK22" s="151" t="n">
        <f aca="false">MIN(Hipótesis!$E$32,Hipótesis!$E$31+(Hipótesis!$E$32-Hipótesis!$E$31)*MAX(0,35-Hipótesis!$E$29)/Hipótesis!$E$33)</f>
        <v>0.443055555555556</v>
      </c>
      <c r="AL22" s="151" t="n">
        <f aca="false">MIN(Hipótesis!$E$32,Hipótesis!$E$31+(Hipótesis!$E$32-Hipótesis!$E$31)*MAX(0,36-Hipótesis!$E$29)/Hipótesis!$E$33)</f>
        <v>0.458333333333333</v>
      </c>
      <c r="AM22" s="151" t="n">
        <f aca="false">MIN(Hipótesis!$E$32,Hipótesis!$E$31+(Hipótesis!$E$32-Hipótesis!$E$31)*MAX(0,37-Hipótesis!$E$29)/Hipótesis!$E$33)</f>
        <v>0.473611111111111</v>
      </c>
      <c r="AN22" s="151" t="n">
        <f aca="false">MIN(Hipótesis!$E$32,Hipótesis!$E$31+(Hipótesis!$E$32-Hipótesis!$E$31)*MAX(0,38-Hipótesis!$E$29)/Hipótesis!$E$33)</f>
        <v>0.488888888888889</v>
      </c>
      <c r="AO22" s="151" t="n">
        <f aca="false">MIN(Hipótesis!$E$32,Hipótesis!$E$31+(Hipótesis!$E$32-Hipótesis!$E$31)*MAX(0,39-Hipótesis!$E$29)/Hipótesis!$E$33)</f>
        <v>0.504166666666667</v>
      </c>
      <c r="AP22" s="151" t="n">
        <f aca="false">MIN(Hipótesis!$E$32,Hipótesis!$E$31+(Hipótesis!$E$32-Hipótesis!$E$31)*MAX(0,40-Hipótesis!$E$29)/Hipótesis!$E$33)</f>
        <v>0.519444444444445</v>
      </c>
      <c r="AQ22" s="151" t="n">
        <f aca="false">MIN(Hipótesis!$E$32,Hipótesis!$E$31+(Hipótesis!$E$32-Hipótesis!$E$31)*MAX(0,41-Hipótesis!$E$29)/Hipótesis!$E$33)</f>
        <v>0.534722222222222</v>
      </c>
      <c r="AR22" s="151" t="n">
        <f aca="false">MIN(Hipótesis!$E$32,Hipótesis!$E$31+(Hipótesis!$E$32-Hipótesis!$E$31)*MAX(0,42-Hipótesis!$E$29)/Hipótesis!$E$33)</f>
        <v>0.55</v>
      </c>
      <c r="AS22" s="151" t="n">
        <f aca="false">MIN(Hipótesis!$E$32,Hipótesis!$E$31+(Hipótesis!$E$32-Hipótesis!$E$31)*MAX(0,43-Hipótesis!$E$29)/Hipótesis!$E$33)</f>
        <v>0.55</v>
      </c>
      <c r="AT22" s="151" t="n">
        <f aca="false">MIN(Hipótesis!$E$32,Hipótesis!$E$31+(Hipótesis!$E$32-Hipótesis!$E$31)*MAX(0,44-Hipótesis!$E$29)/Hipótesis!$E$33)</f>
        <v>0.55</v>
      </c>
      <c r="AU22" s="151" t="n">
        <f aca="false">MIN(Hipótesis!$E$32,Hipótesis!$E$31+(Hipótesis!$E$32-Hipótesis!$E$31)*MAX(0,45-Hipótesis!$E$29)/Hipótesis!$E$33)</f>
        <v>0.55</v>
      </c>
      <c r="AV22" s="151" t="n">
        <f aca="false">MIN(Hipótesis!$E$32,Hipótesis!$E$31+(Hipótesis!$E$32-Hipótesis!$E$31)*MAX(0,46-Hipótesis!$E$29)/Hipótesis!$E$33)</f>
        <v>0.55</v>
      </c>
      <c r="AW22" s="151" t="n">
        <f aca="false">MIN(Hipótesis!$E$32,Hipótesis!$E$31+(Hipótesis!$E$32-Hipótesis!$E$31)*MAX(0,47-Hipótesis!$E$29)/Hipótesis!$E$33)</f>
        <v>0.55</v>
      </c>
      <c r="AX22" s="151" t="n">
        <f aca="false">MIN(Hipótesis!$E$32,Hipótesis!$E$31+(Hipótesis!$E$32-Hipótesis!$E$31)*MAX(0,48-Hipótesis!$E$29)/Hipótesis!$E$33)</f>
        <v>0.55</v>
      </c>
      <c r="AY22" s="151" t="n">
        <f aca="false">MIN(Hipótesis!$E$32,Hipótesis!$E$31+(Hipótesis!$E$32-Hipótesis!$E$31)*MAX(0,49-Hipótesis!$E$29)/Hipótesis!$E$33)</f>
        <v>0.55</v>
      </c>
      <c r="AZ22" s="151" t="n">
        <f aca="false">MIN(Hipótesis!$E$32,Hipótesis!$E$31+(Hipótesis!$E$32-Hipótesis!$E$31)*MAX(0,50-Hipótesis!$E$29)/Hipótesis!$E$33)</f>
        <v>0.55</v>
      </c>
      <c r="BA22" s="151" t="n">
        <f aca="false">MIN(Hipótesis!$E$32,Hipótesis!$E$31+(Hipótesis!$E$32-Hipótesis!$E$31)*MAX(0,51-Hipótesis!$E$29)/Hipótesis!$E$33)</f>
        <v>0.55</v>
      </c>
      <c r="BB22" s="151" t="n">
        <f aca="false">MIN(Hipótesis!$E$32,Hipótesis!$E$31+(Hipótesis!$E$32-Hipótesis!$E$31)*MAX(0,52-Hipótesis!$E$29)/Hipótesis!$E$33)</f>
        <v>0.55</v>
      </c>
      <c r="BC22" s="151" t="n">
        <f aca="false">MIN(Hipótesis!$E$32,Hipótesis!$E$31+(Hipótesis!$E$32-Hipótesis!$E$31)*MAX(0,53-Hipótesis!$E$29)/Hipótesis!$E$33)</f>
        <v>0.55</v>
      </c>
      <c r="BD22" s="151" t="n">
        <f aca="false">MIN(Hipótesis!$E$32,Hipótesis!$E$31+(Hipótesis!$E$32-Hipótesis!$E$31)*MAX(0,54-Hipótesis!$E$29)/Hipótesis!$E$33)</f>
        <v>0.55</v>
      </c>
      <c r="BE22" s="151" t="n">
        <f aca="false">MIN(Hipótesis!$E$32,Hipótesis!$E$31+(Hipótesis!$E$32-Hipótesis!$E$31)*MAX(0,55-Hipótesis!$E$29)/Hipótesis!$E$33)</f>
        <v>0.55</v>
      </c>
      <c r="BF22" s="151" t="n">
        <f aca="false">MIN(Hipótesis!$E$32,Hipótesis!$E$31+(Hipótesis!$E$32-Hipótesis!$E$31)*MAX(0,56-Hipótesis!$E$29)/Hipótesis!$E$33)</f>
        <v>0.55</v>
      </c>
      <c r="BG22" s="151" t="n">
        <f aca="false">MIN(Hipótesis!$E$32,Hipótesis!$E$31+(Hipótesis!$E$32-Hipótesis!$E$31)*MAX(0,57-Hipótesis!$E$29)/Hipótesis!$E$33)</f>
        <v>0.55</v>
      </c>
      <c r="BH22" s="151" t="n">
        <f aca="false">MIN(Hipótesis!$E$32,Hipótesis!$E$31+(Hipótesis!$E$32-Hipótesis!$E$31)*MAX(0,58-Hipótesis!$E$29)/Hipótesis!$E$33)</f>
        <v>0.55</v>
      </c>
      <c r="BI22" s="151" t="n">
        <f aca="false">MIN(Hipótesis!$E$32,Hipótesis!$E$31+(Hipótesis!$E$32-Hipótesis!$E$31)*MAX(0,59-Hipótesis!$E$29)/Hipótesis!$E$33)</f>
        <v>0.55</v>
      </c>
      <c r="BJ22" s="151" t="n">
        <f aca="false">MIN(Hipótesis!$E$32,Hipótesis!$E$31+(Hipótesis!$E$32-Hipótesis!$E$31)*MAX(0,60-Hipótesis!$E$29)/Hipótesis!$E$33)</f>
        <v>0.55</v>
      </c>
      <c r="BK22" s="151" t="n">
        <f aca="false">MIN(Hipótesis!$E$32,Hipótesis!$E$31+(Hipótesis!$E$32-Hipótesis!$E$31)*MAX(0,61-Hipótesis!$E$29)/Hipótesis!$E$33)</f>
        <v>0.55</v>
      </c>
      <c r="BL22" s="151" t="n">
        <f aca="false">MIN(Hipótesis!$E$32,Hipótesis!$E$31+(Hipótesis!$E$32-Hipótesis!$E$31)*MAX(0,62-Hipótesis!$E$29)/Hipótesis!$E$33)</f>
        <v>0.55</v>
      </c>
      <c r="BM22" s="151" t="n">
        <f aca="false">MIN(Hipótesis!$E$32,Hipótesis!$E$31+(Hipótesis!$E$32-Hipótesis!$E$31)*MAX(0,63-Hipótesis!$E$29)/Hipótesis!$E$33)</f>
        <v>0.55</v>
      </c>
      <c r="BN22" s="151" t="n">
        <f aca="false">MIN(Hipótesis!$E$32,Hipótesis!$E$31+(Hipótesis!$E$32-Hipótesis!$E$31)*MAX(0,64-Hipótesis!$E$29)/Hipótesis!$E$33)</f>
        <v>0.55</v>
      </c>
      <c r="BO22" s="151" t="n">
        <f aca="false">MIN(Hipótesis!$E$32,Hipótesis!$E$31+(Hipótesis!$E$32-Hipótesis!$E$31)*MAX(0,65-Hipótesis!$E$29)/Hipótesis!$E$33)</f>
        <v>0.55</v>
      </c>
      <c r="BP22" s="151" t="n">
        <f aca="false">MIN(Hipótesis!$E$32,Hipótesis!$E$31+(Hipótesis!$E$32-Hipótesis!$E$31)*MAX(0,66-Hipótesis!$E$29)/Hipótesis!$E$33)</f>
        <v>0.55</v>
      </c>
      <c r="BQ22" s="151" t="n">
        <f aca="false">MIN(Hipótesis!$E$32,Hipótesis!$E$31+(Hipótesis!$E$32-Hipótesis!$E$31)*MAX(0,67-Hipótesis!$E$29)/Hipótesis!$E$33)</f>
        <v>0.55</v>
      </c>
      <c r="BR22" s="151" t="n">
        <f aca="false">MIN(Hipótesis!$E$32,Hipótesis!$E$31+(Hipótesis!$E$32-Hipótesis!$E$31)*MAX(0,68-Hipótesis!$E$29)/Hipótesis!$E$33)</f>
        <v>0.55</v>
      </c>
      <c r="BS22" s="151" t="n">
        <f aca="false">MIN(Hipótesis!$E$32,Hipótesis!$E$31+(Hipótesis!$E$32-Hipótesis!$E$31)*MAX(0,69-Hipótesis!$E$29)/Hipótesis!$E$33)</f>
        <v>0.55</v>
      </c>
      <c r="BT22" s="151" t="n">
        <f aca="false">MIN(Hipótesis!$E$32,Hipótesis!$E$31+(Hipótesis!$E$32-Hipótesis!$E$31)*MAX(0,70-Hipótesis!$E$29)/Hipótesis!$E$33)</f>
        <v>0.55</v>
      </c>
      <c r="BU22" s="151" t="n">
        <f aca="false">MIN(Hipótesis!$E$32,Hipótesis!$E$31+(Hipótesis!$E$32-Hipótesis!$E$31)*MAX(0,71-Hipótesis!$E$29)/Hipótesis!$E$33)</f>
        <v>0.55</v>
      </c>
      <c r="BV22" s="151" t="n">
        <f aca="false">MIN(Hipótesis!$E$32,Hipótesis!$E$31+(Hipótesis!$E$32-Hipótesis!$E$31)*MAX(0,72-Hipótesis!$E$29)/Hipótesis!$E$33)</f>
        <v>0.55</v>
      </c>
      <c r="BW22" s="151" t="n">
        <f aca="false">MIN(Hipótesis!$E$32,Hipótesis!$E$31+(Hipótesis!$E$32-Hipótesis!$E$31)*MAX(0,73-Hipótesis!$E$29)/Hipótesis!$E$33)</f>
        <v>0.55</v>
      </c>
      <c r="BX22" s="151" t="n">
        <f aca="false">MIN(Hipótesis!$E$32,Hipótesis!$E$31+(Hipótesis!$E$32-Hipótesis!$E$31)*MAX(0,74-Hipótesis!$E$29)/Hipótesis!$E$33)</f>
        <v>0.55</v>
      </c>
      <c r="BY22" s="151" t="n">
        <f aca="false">MIN(Hipótesis!$E$32,Hipótesis!$E$31+(Hipótesis!$E$32-Hipótesis!$E$31)*MAX(0,75-Hipótesis!$E$29)/Hipótesis!$E$33)</f>
        <v>0.55</v>
      </c>
      <c r="BZ22" s="151" t="n">
        <f aca="false">MIN(Hipótesis!$E$32,Hipótesis!$E$31+(Hipótesis!$E$32-Hipótesis!$E$31)*MAX(0,76-Hipótesis!$E$29)/Hipótesis!$E$33)</f>
        <v>0.55</v>
      </c>
      <c r="CA22" s="151" t="n">
        <f aca="false">MIN(Hipótesis!$E$32,Hipótesis!$E$31+(Hipótesis!$E$32-Hipótesis!$E$31)*MAX(0,77-Hipótesis!$E$29)/Hipótesis!$E$33)</f>
        <v>0.55</v>
      </c>
      <c r="CB22" s="151" t="n">
        <f aca="false">MIN(Hipótesis!$E$32,Hipótesis!$E$31+(Hipótesis!$E$32-Hipótesis!$E$31)*MAX(0,78-Hipótesis!$E$29)/Hipótesis!$E$33)</f>
        <v>0.55</v>
      </c>
      <c r="CC22" s="151" t="n">
        <f aca="false">MIN(Hipótesis!$E$32,Hipótesis!$E$31+(Hipótesis!$E$32-Hipótesis!$E$31)*MAX(0,79-Hipótesis!$E$29)/Hipótesis!$E$33)</f>
        <v>0.55</v>
      </c>
      <c r="CD22" s="151" t="n">
        <f aca="false">MIN(Hipótesis!$E$32,Hipótesis!$E$31+(Hipótesis!$E$32-Hipótesis!$E$31)*MAX(0,80-Hipótesis!$E$29)/Hipótesis!$E$33)</f>
        <v>0.55</v>
      </c>
      <c r="CE22" s="151" t="n">
        <f aca="false">MIN(Hipótesis!$E$32,Hipótesis!$E$31+(Hipótesis!$E$32-Hipótesis!$E$31)*MAX(0,81-Hipótesis!$E$29)/Hipótesis!$E$33)</f>
        <v>0.55</v>
      </c>
      <c r="CF22" s="151" t="n">
        <f aca="false">MIN(Hipótesis!$E$32,Hipótesis!$E$31+(Hipótesis!$E$32-Hipótesis!$E$31)*MAX(0,82-Hipótesis!$E$29)/Hipótesis!$E$33)</f>
        <v>0.55</v>
      </c>
      <c r="CG22" s="151" t="n">
        <f aca="false">MIN(Hipótesis!$E$32,Hipótesis!$E$31+(Hipótesis!$E$32-Hipótesis!$E$31)*MAX(0,83-Hipótesis!$E$29)/Hipótesis!$E$33)</f>
        <v>0.55</v>
      </c>
      <c r="CH22" s="151" t="n">
        <f aca="false">MIN(Hipótesis!$E$32,Hipótesis!$E$31+(Hipótesis!$E$32-Hipótesis!$E$31)*MAX(0,84-Hipótesis!$E$29)/Hipótesis!$E$33)</f>
        <v>0.55</v>
      </c>
    </row>
    <row r="23" customFormat="false" ht="13.5" hidden="false" customHeight="true" outlineLevel="0" collapsed="false">
      <c r="A23" s="13" t="s">
        <v>706</v>
      </c>
      <c r="C23" s="139" t="n">
        <f aca="false">MAX(0,MIN(C8*C22-C177,C8-C18*C21-C178))</f>
        <v>0</v>
      </c>
      <c r="D23" s="139" t="n">
        <f aca="false">MAX(0,MIN(D8*D22-D177,D8-D18*D21-D178))</f>
        <v>0</v>
      </c>
      <c r="E23" s="139" t="n">
        <f aca="false">MAX(0,MIN(E8*E22-E177,E8-E18*E21-E178))</f>
        <v>0</v>
      </c>
      <c r="F23" s="139" t="n">
        <f aca="false">MAX(0,MIN(F8*F22-F177,F8-F18*F21-F178))</f>
        <v>0</v>
      </c>
      <c r="G23" s="139" t="n">
        <f aca="false">MAX(0,MIN(G8*G22-G177,G8-G18*G21-G178))</f>
        <v>0</v>
      </c>
      <c r="H23" s="139" t="n">
        <f aca="false">MAX(0,MIN(H8*H22-H177,H8-H18*H21-H178))</f>
        <v>0</v>
      </c>
      <c r="I23" s="139" t="n">
        <f aca="false">MAX(0,MIN(I8*I22-I177,I8-I18*I21-I178))</f>
        <v>0</v>
      </c>
      <c r="J23" s="139" t="n">
        <f aca="false">MAX(0,MIN(J8*J22-J177,J8-J18*J21-J178))</f>
        <v>24</v>
      </c>
      <c r="K23" s="139" t="n">
        <f aca="false">MAX(0,MIN(K8*K22-K177,K8-K18*K21-K178))</f>
        <v>60</v>
      </c>
      <c r="L23" s="139" t="n">
        <f aca="false">MAX(0,MIN(L8*L22-L177,L8-L18*L21-L178))</f>
        <v>96</v>
      </c>
      <c r="M23" s="139" t="n">
        <f aca="false">MAX(0,MIN(M8*M22-M177,M8-M18*M21-M178))</f>
        <v>132</v>
      </c>
      <c r="N23" s="139" t="n">
        <f aca="false">MAX(0,MIN(N8*N22-N177,N8-N18*N21-N178))</f>
        <v>168</v>
      </c>
      <c r="O23" s="139" t="n">
        <f aca="false">MAX(0,MIN(O8*O22-O177,O8-O18*O21-O178))</f>
        <v>204</v>
      </c>
      <c r="P23" s="139" t="n">
        <f aca="false">MAX(0,MIN(P8*P22-P177,P8-P18*P21-P178))</f>
        <v>240</v>
      </c>
      <c r="Q23" s="139" t="n">
        <f aca="false">MAX(0,MIN(Q8*Q22-Q177,Q8-Q18*Q21-Q178))</f>
        <v>276</v>
      </c>
      <c r="R23" s="139" t="n">
        <f aca="false">MAX(0,MIN(R8*R22-R177,R8-R18*R21-R178))</f>
        <v>312</v>
      </c>
      <c r="S23" s="139" t="n">
        <f aca="false">MAX(0,MIN(S8*S22-S177,S8-S18*S21-S178))</f>
        <v>348</v>
      </c>
      <c r="T23" s="139" t="n">
        <f aca="false">MAX(0,MIN(T8*T22-T177,T8-T18*T21-T178))</f>
        <v>384</v>
      </c>
      <c r="U23" s="139" t="n">
        <f aca="false">MAX(0,MIN(U8*U22-U177,U8-U18*U21-U178))</f>
        <v>428</v>
      </c>
      <c r="V23" s="139" t="n">
        <f aca="false">MAX(0,MIN(V8*V22-V177,V8-V18*V21-V178))</f>
        <v>472</v>
      </c>
      <c r="W23" s="139" t="n">
        <f aca="false">MAX(0,MIN(W8*W22-W177,W8-W18*W21-W178))</f>
        <v>516</v>
      </c>
      <c r="X23" s="139" t="n">
        <f aca="false">MAX(0,MIN(X8*X22-X177,X8-X18*X21-X178))</f>
        <v>560</v>
      </c>
      <c r="Y23" s="139" t="n">
        <f aca="false">MAX(0,MIN(Y8*Y22-Y177,Y8-Y18*Y21-Y178))</f>
        <v>604</v>
      </c>
      <c r="Z23" s="139" t="n">
        <f aca="false">MAX(0,MIN(Z8*Z22-Z177,Z8-Z18*Z21-Z178))</f>
        <v>648</v>
      </c>
      <c r="AA23" s="139" t="n">
        <f aca="false">MAX(0,MIN(AA8*AA22-AA177,AA8-AA18*AA21-AA178))</f>
        <v>692</v>
      </c>
      <c r="AB23" s="139" t="n">
        <f aca="false">MAX(0,MIN(AB8*AB22-AB177,AB8-AB18*AB21-AB178))</f>
        <v>736</v>
      </c>
      <c r="AC23" s="139" t="n">
        <f aca="false">MAX(0,MIN(AC8*AC22-AC177,AC8-AC18*AC21-AC178))</f>
        <v>780</v>
      </c>
      <c r="AD23" s="139" t="n">
        <f aca="false">MAX(0,MIN(AD8*AD22-AD177,AD8-AD18*AD21-AD178))</f>
        <v>824</v>
      </c>
      <c r="AE23" s="139" t="n">
        <f aca="false">MAX(0,MIN(AE8*AE22-AE177,AE8-AE18*AE21-AE178))</f>
        <v>868</v>
      </c>
      <c r="AF23" s="139" t="n">
        <f aca="false">MAX(0,MIN(AF8*AF22-AF177,AF8-AF18*AF21-AF178))</f>
        <v>912</v>
      </c>
      <c r="AG23" s="139" t="n">
        <f aca="false">MAX(0,MIN(AG8*AG22-AG177,AG8-AG18*AG21-AG178))</f>
        <v>956</v>
      </c>
      <c r="AH23" s="139" t="n">
        <f aca="false">MAX(0,MIN(AH8*AH22-AH177,AH8-AH18*AH21-AH178))</f>
        <v>1000</v>
      </c>
      <c r="AI23" s="139" t="n">
        <f aca="false">MAX(0,MIN(AI8*AI22-AI177,AI8-AI18*AI21-AI178))</f>
        <v>1044</v>
      </c>
      <c r="AJ23" s="139" t="n">
        <f aca="false">MAX(0,MIN(AJ8*AJ22-AJ177,AJ8-AJ18*AJ21-AJ178))</f>
        <v>1088</v>
      </c>
      <c r="AK23" s="139" t="n">
        <f aca="false">MAX(0,MIN(AK8*AK22-AK177,AK8-AK18*AK21-AK178))</f>
        <v>1132</v>
      </c>
      <c r="AL23" s="139" t="n">
        <f aca="false">MAX(0,MIN(AL8*AL22-AL177,AL8-AL18*AL21-AL178))</f>
        <v>1176</v>
      </c>
      <c r="AM23" s="139" t="n">
        <f aca="false">MAX(0,MIN(AM8*AM22-AM177,AM8-AM18*AM21-AM178))</f>
        <v>1220</v>
      </c>
      <c r="AN23" s="139" t="n">
        <f aca="false">MAX(0,MIN(AN8*AN22-AN177,AN8-AN18*AN21-AN178))</f>
        <v>1264</v>
      </c>
      <c r="AO23" s="139" t="n">
        <f aca="false">MAX(0,MIN(AO8*AO22-AO177,AO8-AO18*AO21-AO178))</f>
        <v>1308</v>
      </c>
      <c r="AP23" s="139" t="n">
        <f aca="false">MAX(0,MIN(AP8*AP22-AP177,AP8-AP18*AP21-AP178))</f>
        <v>1352</v>
      </c>
      <c r="AQ23" s="139" t="n">
        <f aca="false">MAX(0,MIN(AQ8*AQ22-AQ177,AQ8-AQ18*AQ21-AQ178))</f>
        <v>1396</v>
      </c>
      <c r="AR23" s="139" t="n">
        <f aca="false">MAX(0,MIN(AR8*AR22-AR177,AR8-AR18*AR21-AR178))</f>
        <v>1440</v>
      </c>
      <c r="AS23" s="139" t="n">
        <f aca="false">MAX(0,MIN(AS8*AS22-AS177,AS8-AS18*AS21-AS178))</f>
        <v>1440</v>
      </c>
      <c r="AT23" s="139" t="n">
        <f aca="false">MAX(0,MIN(AT8*AT22-AT177,AT8-AT18*AT21-AT178))</f>
        <v>1440</v>
      </c>
      <c r="AU23" s="139" t="n">
        <f aca="false">MAX(0,MIN(AU8*AU22-AU177,AU8-AU18*AU21-AU178))</f>
        <v>1440</v>
      </c>
      <c r="AV23" s="139" t="n">
        <f aca="false">MAX(0,MIN(AV8*AV22-AV177,AV8-AV18*AV21-AV178))</f>
        <v>1440</v>
      </c>
      <c r="AW23" s="139" t="n">
        <f aca="false">MAX(0,MIN(AW8*AW22-AW177,AW8-AW18*AW21-AW178))</f>
        <v>1440</v>
      </c>
      <c r="AX23" s="139" t="n">
        <f aca="false">MAX(0,MIN(AX8*AX22-AX177,AX8-AX18*AX21-AX178))</f>
        <v>1440</v>
      </c>
      <c r="AY23" s="139" t="n">
        <f aca="false">MAX(0,MIN(AY8*AY22-AY177,AY8-AY18*AY21-AY178))</f>
        <v>1440</v>
      </c>
      <c r="AZ23" s="139" t="n">
        <f aca="false">MAX(0,MIN(AZ8*AZ22-AZ177,AZ8-AZ18*AZ21-AZ178))</f>
        <v>1440</v>
      </c>
      <c r="BA23" s="139" t="n">
        <f aca="false">MAX(0,MIN(BA8*BA22-BA177,BA8-BA18*BA21-BA178))</f>
        <v>1440</v>
      </c>
      <c r="BB23" s="139" t="n">
        <f aca="false">MAX(0,MIN(BB8*BB22-BB177,BB8-BB18*BB21-BB178))</f>
        <v>1440</v>
      </c>
      <c r="BC23" s="139" t="n">
        <f aca="false">MAX(0,MIN(BC8*BC22-BC177,BC8-BC18*BC21-BC178))</f>
        <v>1440</v>
      </c>
      <c r="BD23" s="139" t="n">
        <f aca="false">MAX(0,MIN(BD8*BD22-BD177,BD8-BD18*BD21-BD178))</f>
        <v>1440</v>
      </c>
      <c r="BE23" s="139" t="n">
        <f aca="false">MAX(0,MIN(BE8*BE22-BE177,BE8-BE18*BE21-BE178))</f>
        <v>1440</v>
      </c>
      <c r="BF23" s="139" t="n">
        <f aca="false">MAX(0,MIN(BF8*BF22-BF177,BF8-BF18*BF21-BF178))</f>
        <v>1440</v>
      </c>
      <c r="BG23" s="139" t="n">
        <f aca="false">MAX(0,MIN(BG8*BG22-BG177,BG8-BG18*BG21-BG178))</f>
        <v>1440</v>
      </c>
      <c r="BH23" s="139" t="n">
        <f aca="false">MAX(0,MIN(BH8*BH22-BH177,BH8-BH18*BH21-BH178))</f>
        <v>1440</v>
      </c>
      <c r="BI23" s="139" t="n">
        <f aca="false">MAX(0,MIN(BI8*BI22-BI177,BI8-BI18*BI21-BI178))</f>
        <v>1440</v>
      </c>
      <c r="BJ23" s="139" t="n">
        <f aca="false">MAX(0,MIN(BJ8*BJ22-BJ177,BJ8-BJ18*BJ21-BJ178))</f>
        <v>1440</v>
      </c>
      <c r="BK23" s="139" t="n">
        <f aca="false">MAX(0,MIN(BK8*BK22-BK177,BK8-BK18*BK21-BK178))</f>
        <v>1440</v>
      </c>
      <c r="BL23" s="139" t="n">
        <f aca="false">MAX(0,MIN(BL8*BL22-BL177,BL8-BL18*BL21-BL178))</f>
        <v>1440</v>
      </c>
      <c r="BM23" s="139" t="n">
        <f aca="false">MAX(0,MIN(BM8*BM22-BM177,BM8-BM18*BM21-BM178))</f>
        <v>1440</v>
      </c>
      <c r="BN23" s="139" t="n">
        <f aca="false">MAX(0,MIN(BN8*BN22-BN177,BN8-BN18*BN21-BN178))</f>
        <v>1440</v>
      </c>
      <c r="BO23" s="139" t="n">
        <f aca="false">MAX(0,MIN(BO8*BO22-BO177,BO8-BO18*BO21-BO178))</f>
        <v>1440</v>
      </c>
      <c r="BP23" s="139" t="n">
        <f aca="false">MAX(0,MIN(BP8*BP22-BP177,BP8-BP18*BP21-BP178))</f>
        <v>1440</v>
      </c>
      <c r="BQ23" s="139" t="n">
        <f aca="false">MAX(0,MIN(BQ8*BQ22-BQ177,BQ8-BQ18*BQ21-BQ178))</f>
        <v>1440</v>
      </c>
      <c r="BR23" s="139" t="n">
        <f aca="false">MAX(0,MIN(BR8*BR22-BR177,BR8-BR18*BR21-BR178))</f>
        <v>1440</v>
      </c>
      <c r="BS23" s="139" t="n">
        <f aca="false">MAX(0,MIN(BS8*BS22-BS177,BS8-BS18*BS21-BS178))</f>
        <v>1440</v>
      </c>
      <c r="BT23" s="139" t="n">
        <f aca="false">MAX(0,MIN(BT8*BT22-BT177,BT8-BT18*BT21-BT178))</f>
        <v>1440</v>
      </c>
      <c r="BU23" s="139" t="n">
        <f aca="false">MAX(0,MIN(BU8*BU22-BU177,BU8-BU18*BU21-BU178))</f>
        <v>1440</v>
      </c>
      <c r="BV23" s="139" t="n">
        <f aca="false">MAX(0,MIN(BV8*BV22-BV177,BV8-BV18*BV21-BV178))</f>
        <v>1440</v>
      </c>
      <c r="BW23" s="139" t="n">
        <f aca="false">MAX(0,MIN(BW8*BW22-BW177,BW8-BW18*BW21-BW178))</f>
        <v>1440</v>
      </c>
      <c r="BX23" s="139" t="n">
        <f aca="false">MAX(0,MIN(BX8*BX22-BX177,BX8-BX18*BX21-BX178))</f>
        <v>1440</v>
      </c>
      <c r="BY23" s="139" t="n">
        <f aca="false">MAX(0,MIN(BY8*BY22-BY177,BY8-BY18*BY21-BY178))</f>
        <v>1440</v>
      </c>
      <c r="BZ23" s="139" t="n">
        <f aca="false">MAX(0,MIN(BZ8*BZ22-BZ177,BZ8-BZ18*BZ21-BZ178))</f>
        <v>1440</v>
      </c>
      <c r="CA23" s="139" t="n">
        <f aca="false">MAX(0,MIN(CA8*CA22-CA177,CA8-CA18*CA21-CA178))</f>
        <v>1440</v>
      </c>
      <c r="CB23" s="139" t="n">
        <f aca="false">MAX(0,MIN(CB8*CB22-CB177,CB8-CB18*CB21-CB178))</f>
        <v>1440</v>
      </c>
      <c r="CC23" s="139" t="n">
        <f aca="false">MAX(0,MIN(CC8*CC22-CC177,CC8-CC18*CC21-CC178))</f>
        <v>1440</v>
      </c>
      <c r="CD23" s="139" t="n">
        <f aca="false">MAX(0,MIN(CD8*CD22-CD177,CD8-CD18*CD21-CD178))</f>
        <v>1440</v>
      </c>
      <c r="CE23" s="139" t="n">
        <f aca="false">MAX(0,MIN(CE8*CE22-CE177,CE8-CE18*CE21-CE178))</f>
        <v>1440</v>
      </c>
      <c r="CF23" s="139" t="n">
        <f aca="false">MAX(0,MIN(CF8*CF22-CF177,CF8-CF18*CF21-CF178))</f>
        <v>1440</v>
      </c>
      <c r="CG23" s="139" t="n">
        <f aca="false">MAX(0,MIN(CG8*CG22-CG177,CG8-CG18*CG21-CG178))</f>
        <v>1440</v>
      </c>
      <c r="CH23" s="139" t="n">
        <f aca="false">MAX(0,MIN(CH8*CH22-CH177,CH8-CH18*CH21-CH178))</f>
        <v>1440</v>
      </c>
    </row>
    <row r="24" customFormat="false" ht="13.5" hidden="false" customHeight="true" outlineLevel="0" collapsed="false">
      <c r="A24" s="30" t="s">
        <v>707</v>
      </c>
      <c r="C24" s="139" t="n">
        <f aca="false">C18*C21+C23+C178</f>
        <v>44.1888487795599</v>
      </c>
      <c r="D24" s="139" t="n">
        <f aca="false">D18*D21+D23+D178</f>
        <v>90.1393824720043</v>
      </c>
      <c r="E24" s="139" t="n">
        <f aca="false">E18*E21+E23+E178</f>
        <v>165.037647381903</v>
      </c>
      <c r="F24" s="139" t="n">
        <f aca="false">F18*F21+F23+F178</f>
        <v>203.747063512242</v>
      </c>
      <c r="G24" s="139" t="n">
        <f aca="false">G18*G21+G23+G178</f>
        <v>206.694794729696</v>
      </c>
      <c r="H24" s="139" t="n">
        <f aca="false">H18*H21+H23+H178</f>
        <v>297.828498907285</v>
      </c>
      <c r="I24" s="139" t="n">
        <f aca="false">I18*I21+I23+I178</f>
        <v>354.962203084874</v>
      </c>
      <c r="J24" s="139" t="n">
        <f aca="false">J18*J21+J23+J178</f>
        <v>436.095907262462</v>
      </c>
      <c r="K24" s="139" t="n">
        <f aca="false">K18*K21+K23+K178</f>
        <v>529.229611440051</v>
      </c>
      <c r="L24" s="139" t="n">
        <f aca="false">L18*L21+L23+L178</f>
        <v>622.363315617639</v>
      </c>
      <c r="M24" s="139" t="n">
        <f aca="false">M18*M21+M23+M178</f>
        <v>686.549288577773</v>
      </c>
      <c r="N24" s="139" t="n">
        <f aca="false">N18*N21+N23+N178</f>
        <v>780.096676752648</v>
      </c>
      <c r="O24" s="139" t="n">
        <f aca="false">O18*O21+O23+O178</f>
        <v>873.644064927523</v>
      </c>
      <c r="P24" s="139" t="n">
        <f aca="false">P18*P21+P23+P178</f>
        <v>958.75004622816</v>
      </c>
      <c r="Q24" s="139" t="n">
        <f aca="false">Q18*Q21+Q23+Q178</f>
        <v>1043.8560275288</v>
      </c>
      <c r="R24" s="139" t="n">
        <f aca="false">R18*R21+R23+R178</f>
        <v>1128.96200882943</v>
      </c>
      <c r="S24" s="139" t="n">
        <f aca="false">S18*S21+S23+S178</f>
        <v>1098.46799013007</v>
      </c>
      <c r="T24" s="139" t="n">
        <f aca="false">T18*T21+T23+T178</f>
        <v>1299.17397143071</v>
      </c>
      <c r="U24" s="139" t="n">
        <f aca="false">U18*U21+U23+U178</f>
        <v>1384.27995273134</v>
      </c>
      <c r="V24" s="139" t="n">
        <f aca="false">V18*V21+V23+V178</f>
        <v>1469.38593403198</v>
      </c>
      <c r="W24" s="139" t="n">
        <f aca="false">W18*W21+W23+W178</f>
        <v>1554.49191533262</v>
      </c>
      <c r="X24" s="139" t="n">
        <f aca="false">X18*X21+X23+X178</f>
        <v>1610.23648141851</v>
      </c>
      <c r="Y24" s="139" t="n">
        <f aca="false">Y18*Y21+Y23+Y178</f>
        <v>1665.98104750441</v>
      </c>
      <c r="Z24" s="139" t="n">
        <f aca="false">Z18*Z21+Z23+Z178</f>
        <v>1709.98104750441</v>
      </c>
      <c r="AA24" s="139" t="n">
        <f aca="false">AA18*AA21+AA23+AA178</f>
        <v>1753.98104750441</v>
      </c>
      <c r="AB24" s="139" t="n">
        <f aca="false">AB18*AB21+AB23+AB178</f>
        <v>1797.98104750441</v>
      </c>
      <c r="AC24" s="139" t="n">
        <f aca="false">AC18*AC21+AC23+AC178</f>
        <v>1841.98104750441</v>
      </c>
      <c r="AD24" s="139" t="n">
        <f aca="false">AD18*AD21+AD23+AD178</f>
        <v>1885.98104750441</v>
      </c>
      <c r="AE24" s="139" t="n">
        <f aca="false">AE18*AE21+AE23+AE178</f>
        <v>1807.58104750441</v>
      </c>
      <c r="AF24" s="139" t="n">
        <f aca="false">AF18*AF21+AF23+AF178</f>
        <v>1973.98104750441</v>
      </c>
      <c r="AG24" s="139" t="n">
        <f aca="false">AG18*AG21+AG23+AG178</f>
        <v>2017.98104750441</v>
      </c>
      <c r="AH24" s="139" t="n">
        <f aca="false">AH18*AH21+AH23+AH178</f>
        <v>2061.98104750441</v>
      </c>
      <c r="AI24" s="139" t="n">
        <f aca="false">AI18*AI21+AI23+AI178</f>
        <v>2105.98104750441</v>
      </c>
      <c r="AJ24" s="139" t="n">
        <f aca="false">AJ18*AJ21+AJ23+AJ178</f>
        <v>2149.98104750441</v>
      </c>
      <c r="AK24" s="139" t="n">
        <f aca="false">AK18*AK21+AK23+AK178</f>
        <v>2193.98104750441</v>
      </c>
      <c r="AL24" s="139" t="n">
        <f aca="false">AL18*AL21+AL23+AL178</f>
        <v>2237.98104750441</v>
      </c>
      <c r="AM24" s="139" t="n">
        <f aca="false">AM18*AM21+AM23+AM178</f>
        <v>2281.98104750441</v>
      </c>
      <c r="AN24" s="139" t="n">
        <f aca="false">AN18*AN21+AN23+AN178</f>
        <v>2325.98104750441</v>
      </c>
      <c r="AO24" s="139" t="n">
        <f aca="false">AO18*AO21+AO23+AO178</f>
        <v>2369.98104750441</v>
      </c>
      <c r="AP24" s="139" t="n">
        <f aca="false">AP18*AP21+AP23+AP178</f>
        <v>2413.98104750441</v>
      </c>
      <c r="AQ24" s="139" t="n">
        <f aca="false">AQ18*AQ21+AQ23+AQ178</f>
        <v>2335.58104750441</v>
      </c>
      <c r="AR24" s="139" t="n">
        <f aca="false">AR18*AR21+AR23+AR178</f>
        <v>2501.98104750441</v>
      </c>
      <c r="AS24" s="139" t="n">
        <f aca="false">AS18*AS21+AS23+AS178</f>
        <v>2501.98104750441</v>
      </c>
      <c r="AT24" s="139" t="n">
        <f aca="false">AT18*AT21+AT23+AT178</f>
        <v>2501.98104750441</v>
      </c>
      <c r="AU24" s="139" t="n">
        <f aca="false">AU18*AU21+AU23+AU178</f>
        <v>2501.98104750441</v>
      </c>
      <c r="AV24" s="139" t="n">
        <f aca="false">AV18*AV21+AV23+AV178</f>
        <v>2501.98104750441</v>
      </c>
      <c r="AW24" s="139" t="n">
        <f aca="false">AW18*AW21+AW23+AW178</f>
        <v>2501.98104750441</v>
      </c>
      <c r="AX24" s="139" t="n">
        <f aca="false">AX18*AX21+AX23+AX178</f>
        <v>2501.98104750441</v>
      </c>
      <c r="AY24" s="139" t="n">
        <f aca="false">AY18*AY21+AY23+AY178</f>
        <v>2501.98104750441</v>
      </c>
      <c r="AZ24" s="139" t="n">
        <f aca="false">AZ18*AZ21+AZ23+AZ178</f>
        <v>2501.98104750441</v>
      </c>
      <c r="BA24" s="139" t="n">
        <f aca="false">BA18*BA21+BA23+BA178</f>
        <v>2501.98104750441</v>
      </c>
      <c r="BB24" s="139" t="n">
        <f aca="false">BB18*BB21+BB23+BB178</f>
        <v>2501.98104750441</v>
      </c>
      <c r="BC24" s="139" t="n">
        <f aca="false">BC18*BC21+BC23+BC178</f>
        <v>2379.58104750441</v>
      </c>
      <c r="BD24" s="139" t="n">
        <f aca="false">BD18*BD21+BD23+BD178</f>
        <v>2501.98104750441</v>
      </c>
      <c r="BE24" s="139" t="n">
        <f aca="false">BE18*BE21+BE23+BE178</f>
        <v>2501.98104750441</v>
      </c>
      <c r="BF24" s="139" t="n">
        <f aca="false">BF18*BF21+BF23+BF178</f>
        <v>2501.98104750441</v>
      </c>
      <c r="BG24" s="139" t="n">
        <f aca="false">BG18*BG21+BG23+BG178</f>
        <v>2501.98104750441</v>
      </c>
      <c r="BH24" s="139" t="n">
        <f aca="false">BH18*BH21+BH23+BH178</f>
        <v>2501.98104750441</v>
      </c>
      <c r="BI24" s="139" t="n">
        <f aca="false">BI18*BI21+BI23+BI178</f>
        <v>2501.98104750441</v>
      </c>
      <c r="BJ24" s="139" t="n">
        <f aca="false">BJ18*BJ21+BJ23+BJ178</f>
        <v>2501.98104750441</v>
      </c>
      <c r="BK24" s="139" t="n">
        <f aca="false">BK18*BK21+BK23+BK178</f>
        <v>2501.98104750441</v>
      </c>
      <c r="BL24" s="139" t="n">
        <f aca="false">BL18*BL21+BL23+BL178</f>
        <v>2501.98104750441</v>
      </c>
      <c r="BM24" s="139" t="n">
        <f aca="false">BM18*BM21+BM23+BM178</f>
        <v>2501.98104750441</v>
      </c>
      <c r="BN24" s="139" t="n">
        <f aca="false">BN18*BN21+BN23+BN178</f>
        <v>2501.98104750441</v>
      </c>
      <c r="BO24" s="139" t="n">
        <f aca="false">BO18*BO21+BO23+BO178</f>
        <v>2379.58104750441</v>
      </c>
      <c r="BP24" s="139" t="n">
        <f aca="false">BP18*BP21+BP23+BP178</f>
        <v>2501.98104750441</v>
      </c>
      <c r="BQ24" s="139" t="n">
        <f aca="false">BQ18*BQ21+BQ23+BQ178</f>
        <v>2501.98104750441</v>
      </c>
      <c r="BR24" s="139" t="n">
        <f aca="false">BR18*BR21+BR23+BR178</f>
        <v>2501.98104750441</v>
      </c>
      <c r="BS24" s="139" t="n">
        <f aca="false">BS18*BS21+BS23+BS178</f>
        <v>2501.98104750441</v>
      </c>
      <c r="BT24" s="139" t="n">
        <f aca="false">BT18*BT21+BT23+BT178</f>
        <v>2501.98104750441</v>
      </c>
      <c r="BU24" s="139" t="n">
        <f aca="false">BU18*BU21+BU23+BU178</f>
        <v>2501.98104750441</v>
      </c>
      <c r="BV24" s="139" t="n">
        <f aca="false">BV18*BV21+BV23+BV178</f>
        <v>2501.98104750441</v>
      </c>
      <c r="BW24" s="139" t="n">
        <f aca="false">BW18*BW21+BW23+BW178</f>
        <v>2501.98104750441</v>
      </c>
      <c r="BX24" s="139" t="n">
        <f aca="false">BX18*BX21+BX23+BX178</f>
        <v>2501.98104750441</v>
      </c>
      <c r="BY24" s="139" t="n">
        <f aca="false">BY18*BY21+BY23+BY178</f>
        <v>2501.98104750441</v>
      </c>
      <c r="BZ24" s="139" t="n">
        <f aca="false">BZ18*BZ21+BZ23+BZ178</f>
        <v>2501.98104750441</v>
      </c>
      <c r="CA24" s="139" t="n">
        <f aca="false">CA18*CA21+CA23+CA178</f>
        <v>2379.58104750441</v>
      </c>
      <c r="CB24" s="139" t="n">
        <f aca="false">CB18*CB21+CB23+CB178</f>
        <v>2501.98104750441</v>
      </c>
      <c r="CC24" s="139" t="n">
        <f aca="false">CC18*CC21+CC23+CC178</f>
        <v>2501.98104750441</v>
      </c>
      <c r="CD24" s="139" t="n">
        <f aca="false">CD18*CD21+CD23+CD178</f>
        <v>2501.98104750441</v>
      </c>
      <c r="CE24" s="139" t="n">
        <f aca="false">CE18*CE21+CE23+CE178</f>
        <v>2501.98104750441</v>
      </c>
      <c r="CF24" s="139" t="n">
        <f aca="false">CF18*CF21+CF23+CF178</f>
        <v>2501.98104750441</v>
      </c>
      <c r="CG24" s="139" t="n">
        <f aca="false">CG18*CG21+CG23+CG178</f>
        <v>2501.98104750441</v>
      </c>
      <c r="CH24" s="139" t="n">
        <f aca="false">CH18*CH21+CH23+CH178</f>
        <v>2501.98104750441</v>
      </c>
    </row>
    <row r="25" customFormat="false" ht="13.5" hidden="false" customHeight="true" outlineLevel="0" collapsed="false">
      <c r="A25" s="13" t="s">
        <v>708</v>
      </c>
      <c r="C25" s="151" t="n">
        <f aca="false">IFERROR(C24/C8,0)</f>
        <v>0.0460300508120416</v>
      </c>
      <c r="D25" s="151" t="n">
        <f aca="false">IFERROR(D24/D8,0)</f>
        <v>0.0625967933833363</v>
      </c>
      <c r="E25" s="151" t="n">
        <f aca="false">IFERROR(E24/E8,0)</f>
        <v>0.0859571080114079</v>
      </c>
      <c r="F25" s="151" t="n">
        <f aca="false">IFERROR(F24/F8,0)</f>
        <v>0.0848946097967675</v>
      </c>
      <c r="G25" s="151" t="n">
        <f aca="false">IFERROR(G24/G8,0)</f>
        <v>0.0717690259478113</v>
      </c>
      <c r="H25" s="151" t="n">
        <f aca="false">IFERROR(H24/H8,0)</f>
        <v>0.103412673231696</v>
      </c>
      <c r="I25" s="151" t="n">
        <f aca="false">IFERROR(I24/I8,0)</f>
        <v>0.123250764960026</v>
      </c>
      <c r="J25" s="151" t="n">
        <f aca="false">IFERROR(J24/J8,0)</f>
        <v>0.151422190021688</v>
      </c>
      <c r="K25" s="151" t="n">
        <f aca="false">IFERROR(K24/K8,0)</f>
        <v>0.183760281750018</v>
      </c>
      <c r="L25" s="151" t="n">
        <f aca="false">IFERROR(L24/L8,0)</f>
        <v>0.216098373478347</v>
      </c>
      <c r="M25" s="151" t="n">
        <f aca="false">IFERROR(M24/M8,0)</f>
        <v>0.23838516964506</v>
      </c>
      <c r="N25" s="151" t="n">
        <f aca="false">IFERROR(N24/N8,0)</f>
        <v>0.270866901650225</v>
      </c>
      <c r="O25" s="151" t="n">
        <f aca="false">IFERROR(O24/O8,0)</f>
        <v>0.30334863365539</v>
      </c>
      <c r="P25" s="151" t="n">
        <f aca="false">IFERROR(P24/P8,0)</f>
        <v>0.332899321607</v>
      </c>
      <c r="Q25" s="151" t="n">
        <f aca="false">IFERROR(Q24/Q8,0)</f>
        <v>0.36245000955861</v>
      </c>
      <c r="R25" s="151" t="n">
        <f aca="false">IFERROR(R24/R8,0)</f>
        <v>0.39200069751022</v>
      </c>
      <c r="S25" s="151" t="n">
        <f aca="false">IFERROR(S24/S8,0)</f>
        <v>0.381412496572941</v>
      </c>
      <c r="T25" s="151" t="n">
        <f aca="false">IFERROR(T24/T8,0)</f>
        <v>0.45110207341344</v>
      </c>
      <c r="U25" s="151" t="n">
        <f aca="false">IFERROR(U24/U8,0)</f>
        <v>0.48065276136505</v>
      </c>
      <c r="V25" s="151" t="n">
        <f aca="false">IFERROR(V24/V8,0)</f>
        <v>0.51020344931666</v>
      </c>
      <c r="W25" s="151" t="n">
        <f aca="false">IFERROR(W24/W8,0)</f>
        <v>0.53975413726827</v>
      </c>
      <c r="X25" s="151" t="n">
        <f aca="false">IFERROR(X24/X8,0)</f>
        <v>0.559109889381428</v>
      </c>
      <c r="Y25" s="151" t="n">
        <f aca="false">IFERROR(Y24/Y8,0)</f>
        <v>0.578465641494587</v>
      </c>
      <c r="Z25" s="151" t="n">
        <f aca="false">IFERROR(Z24/Z8,0)</f>
        <v>0.593743419272365</v>
      </c>
      <c r="AA25" s="151" t="n">
        <f aca="false">IFERROR(AA24/AA8,0)</f>
        <v>0.609021197050142</v>
      </c>
      <c r="AB25" s="151" t="n">
        <f aca="false">IFERROR(AB24/AB8,0)</f>
        <v>0.62429897482792</v>
      </c>
      <c r="AC25" s="151" t="n">
        <f aca="false">IFERROR(AC24/AC8,0)</f>
        <v>0.639576752605698</v>
      </c>
      <c r="AD25" s="151" t="n">
        <f aca="false">IFERROR(AD24/AD8,0)</f>
        <v>0.654854530383476</v>
      </c>
      <c r="AE25" s="151" t="n">
        <f aca="false">IFERROR(AE24/AE8,0)</f>
        <v>0.627632308161253</v>
      </c>
      <c r="AF25" s="151" t="n">
        <f aca="false">IFERROR(AF24/AF8,0)</f>
        <v>0.685410085939031</v>
      </c>
      <c r="AG25" s="151" t="n">
        <f aca="false">IFERROR(AG24/AG8,0)</f>
        <v>0.700687863716809</v>
      </c>
      <c r="AH25" s="151" t="n">
        <f aca="false">IFERROR(AH24/AH8,0)</f>
        <v>0.715965641494587</v>
      </c>
      <c r="AI25" s="151" t="n">
        <f aca="false">IFERROR(AI24/AI8,0)</f>
        <v>0.731243419272365</v>
      </c>
      <c r="AJ25" s="151" t="n">
        <f aca="false">IFERROR(AJ24/AJ8,0)</f>
        <v>0.746521197050142</v>
      </c>
      <c r="AK25" s="151" t="n">
        <f aca="false">IFERROR(AK24/AK8,0)</f>
        <v>0.76179897482792</v>
      </c>
      <c r="AL25" s="151" t="n">
        <f aca="false">IFERROR(AL24/AL8,0)</f>
        <v>0.777076752605698</v>
      </c>
      <c r="AM25" s="151" t="n">
        <f aca="false">IFERROR(AM24/AM8,0)</f>
        <v>0.792354530383476</v>
      </c>
      <c r="AN25" s="151" t="n">
        <f aca="false">IFERROR(AN24/AN8,0)</f>
        <v>0.807632308161253</v>
      </c>
      <c r="AO25" s="151" t="n">
        <f aca="false">IFERROR(AO24/AO8,0)</f>
        <v>0.822910085939031</v>
      </c>
      <c r="AP25" s="151" t="n">
        <f aca="false">IFERROR(AP24/AP8,0)</f>
        <v>0.838187863716809</v>
      </c>
      <c r="AQ25" s="151" t="n">
        <f aca="false">IFERROR(AQ24/AQ8,0)</f>
        <v>0.810965641494587</v>
      </c>
      <c r="AR25" s="151" t="n">
        <f aca="false">IFERROR(AR24/AR8,0)</f>
        <v>0.868743419272365</v>
      </c>
      <c r="AS25" s="151" t="n">
        <f aca="false">IFERROR(AS24/AS8,0)</f>
        <v>0.868743419272365</v>
      </c>
      <c r="AT25" s="151" t="n">
        <f aca="false">IFERROR(AT24/AT8,0)</f>
        <v>0.868743419272365</v>
      </c>
      <c r="AU25" s="151" t="n">
        <f aca="false">IFERROR(AU24/AU8,0)</f>
        <v>0.868743419272365</v>
      </c>
      <c r="AV25" s="151" t="n">
        <f aca="false">IFERROR(AV24/AV8,0)</f>
        <v>0.868743419272365</v>
      </c>
      <c r="AW25" s="151" t="n">
        <f aca="false">IFERROR(AW24/AW8,0)</f>
        <v>0.868743419272365</v>
      </c>
      <c r="AX25" s="151" t="n">
        <f aca="false">IFERROR(AX24/AX8,0)</f>
        <v>0.868743419272365</v>
      </c>
      <c r="AY25" s="151" t="n">
        <f aca="false">IFERROR(AY24/AY8,0)</f>
        <v>0.868743419272365</v>
      </c>
      <c r="AZ25" s="151" t="n">
        <f aca="false">IFERROR(AZ24/AZ8,0)</f>
        <v>0.868743419272365</v>
      </c>
      <c r="BA25" s="151" t="n">
        <f aca="false">IFERROR(BA24/BA8,0)</f>
        <v>0.868743419272365</v>
      </c>
      <c r="BB25" s="151" t="n">
        <f aca="false">IFERROR(BB24/BB8,0)</f>
        <v>0.868743419272365</v>
      </c>
      <c r="BC25" s="151" t="n">
        <f aca="false">IFERROR(BC24/BC8,0)</f>
        <v>0.826243419272365</v>
      </c>
      <c r="BD25" s="151" t="n">
        <f aca="false">IFERROR(BD24/BD8,0)</f>
        <v>0.868743419272365</v>
      </c>
      <c r="BE25" s="151" t="n">
        <f aca="false">IFERROR(BE24/BE8,0)</f>
        <v>0.868743419272365</v>
      </c>
      <c r="BF25" s="151" t="n">
        <f aca="false">IFERROR(BF24/BF8,0)</f>
        <v>0.868743419272365</v>
      </c>
      <c r="BG25" s="151" t="n">
        <f aca="false">IFERROR(BG24/BG8,0)</f>
        <v>0.868743419272365</v>
      </c>
      <c r="BH25" s="151" t="n">
        <f aca="false">IFERROR(BH24/BH8,0)</f>
        <v>0.868743419272365</v>
      </c>
      <c r="BI25" s="151" t="n">
        <f aca="false">IFERROR(BI24/BI8,0)</f>
        <v>0.868743419272365</v>
      </c>
      <c r="BJ25" s="151" t="n">
        <f aca="false">IFERROR(BJ24/BJ8,0)</f>
        <v>0.868743419272365</v>
      </c>
      <c r="BK25" s="151" t="n">
        <f aca="false">IFERROR(BK24/BK8,0)</f>
        <v>0.868743419272365</v>
      </c>
      <c r="BL25" s="151" t="n">
        <f aca="false">IFERROR(BL24/BL8,0)</f>
        <v>0.868743419272365</v>
      </c>
      <c r="BM25" s="151" t="n">
        <f aca="false">IFERROR(BM24/BM8,0)</f>
        <v>0.868743419272365</v>
      </c>
      <c r="BN25" s="151" t="n">
        <f aca="false">IFERROR(BN24/BN8,0)</f>
        <v>0.868743419272365</v>
      </c>
      <c r="BO25" s="151" t="n">
        <f aca="false">IFERROR(BO24/BO8,0)</f>
        <v>0.826243419272365</v>
      </c>
      <c r="BP25" s="151" t="n">
        <f aca="false">IFERROR(BP24/BP8,0)</f>
        <v>0.868743419272365</v>
      </c>
      <c r="BQ25" s="151" t="n">
        <f aca="false">IFERROR(BQ24/BQ8,0)</f>
        <v>0.868743419272365</v>
      </c>
      <c r="BR25" s="151" t="n">
        <f aca="false">IFERROR(BR24/BR8,0)</f>
        <v>0.868743419272365</v>
      </c>
      <c r="BS25" s="151" t="n">
        <f aca="false">IFERROR(BS24/BS8,0)</f>
        <v>0.868743419272365</v>
      </c>
      <c r="BT25" s="151" t="n">
        <f aca="false">IFERROR(BT24/BT8,0)</f>
        <v>0.868743419272365</v>
      </c>
      <c r="BU25" s="151" t="n">
        <f aca="false">IFERROR(BU24/BU8,0)</f>
        <v>0.868743419272365</v>
      </c>
      <c r="BV25" s="151" t="n">
        <f aca="false">IFERROR(BV24/BV8,0)</f>
        <v>0.868743419272365</v>
      </c>
      <c r="BW25" s="151" t="n">
        <f aca="false">IFERROR(BW24/BW8,0)</f>
        <v>0.868743419272365</v>
      </c>
      <c r="BX25" s="151" t="n">
        <f aca="false">IFERROR(BX24/BX8,0)</f>
        <v>0.868743419272365</v>
      </c>
      <c r="BY25" s="151" t="n">
        <f aca="false">IFERROR(BY24/BY8,0)</f>
        <v>0.868743419272365</v>
      </c>
      <c r="BZ25" s="151" t="n">
        <f aca="false">IFERROR(BZ24/BZ8,0)</f>
        <v>0.868743419272365</v>
      </c>
      <c r="CA25" s="151" t="n">
        <f aca="false">IFERROR(CA24/CA8,0)</f>
        <v>0.826243419272365</v>
      </c>
      <c r="CB25" s="151" t="n">
        <f aca="false">IFERROR(CB24/CB8,0)</f>
        <v>0.868743419272365</v>
      </c>
      <c r="CC25" s="151" t="n">
        <f aca="false">IFERROR(CC24/CC8,0)</f>
        <v>0.868743419272365</v>
      </c>
      <c r="CD25" s="151" t="n">
        <f aca="false">IFERROR(CD24/CD8,0)</f>
        <v>0.868743419272365</v>
      </c>
      <c r="CE25" s="151" t="n">
        <f aca="false">IFERROR(CE24/CE8,0)</f>
        <v>0.868743419272365</v>
      </c>
      <c r="CF25" s="151" t="n">
        <f aca="false">IFERROR(CF24/CF8,0)</f>
        <v>0.868743419272365</v>
      </c>
      <c r="CG25" s="151" t="n">
        <f aca="false">IFERROR(CG24/CG8,0)</f>
        <v>0.868743419272365</v>
      </c>
      <c r="CH25" s="151" t="n">
        <f aca="false">IFERROR(CH24/CH8,0)</f>
        <v>0.868743419272365</v>
      </c>
    </row>
    <row r="26" customFormat="false" ht="13.5" hidden="false" customHeight="true" outlineLevel="0" collapsed="false">
      <c r="A26" s="13" t="s">
        <v>709</v>
      </c>
      <c r="C26" s="139" t="n">
        <f aca="false">C20*C21+C23*Hipótesis!$E$23+C181</f>
        <v>22.9384178918919</v>
      </c>
      <c r="D26" s="139" t="n">
        <f aca="false">D20*D21+D23*Hipótesis!$E$23+D181</f>
        <v>48.4868357837838</v>
      </c>
      <c r="E26" s="139" t="n">
        <f aca="false">E20*E21+E23*Hipótesis!$E$23+E181</f>
        <v>107.312753675676</v>
      </c>
      <c r="F26" s="139" t="n">
        <f aca="false">F20*F21+F23*Hipótesis!$E$23+F181</f>
        <v>153.741171567568</v>
      </c>
      <c r="G26" s="139" t="n">
        <f aca="false">G20*G21+G23*Hipótesis!$E$23+G181</f>
        <v>152.760688418919</v>
      </c>
      <c r="H26" s="139" t="n">
        <f aca="false">H20*H21+H23*Hipótesis!$E$23+H181</f>
        <v>271.284257351351</v>
      </c>
      <c r="I26" s="139" t="n">
        <f aca="false">I20*I21+I23*Hipótesis!$E$23+I181</f>
        <v>345.008925243243</v>
      </c>
      <c r="J26" s="139" t="n">
        <f aca="false">J20*J21+J23*Hipótesis!$E$23+J181</f>
        <v>450.356346810811</v>
      </c>
      <c r="K26" s="139" t="n">
        <f aca="false">K20*K21+K23*Hipótesis!$E$23+K181</f>
        <v>571.515145216216</v>
      </c>
      <c r="L26" s="139" t="n">
        <f aca="false">L20*L21+L23*Hipótesis!$E$23+L181</f>
        <v>692.673943621622</v>
      </c>
      <c r="M26" s="139" t="n">
        <f aca="false">M20*M21+M23*Hipótesis!$E$23+M181</f>
        <v>780.555242027027</v>
      </c>
      <c r="N26" s="139" t="n">
        <f aca="false">N20*N21+N23*Hipótesis!$E$23+N181</f>
        <v>911.936540432433</v>
      </c>
      <c r="O26" s="139" t="n">
        <f aca="false">O20*O21+O23*Hipótesis!$E$23+O181</f>
        <v>1043.31783883784</v>
      </c>
      <c r="P26" s="139" t="n">
        <f aca="false">P20*P21+P23*Hipótesis!$E$23+P181</f>
        <v>1162.19288724324</v>
      </c>
      <c r="Q26" s="139" t="n">
        <f aca="false">Q20*Q21+Q23*Hipótesis!$E$23+Q181</f>
        <v>1281.06793564865</v>
      </c>
      <c r="R26" s="139" t="n">
        <f aca="false">R20*R21+R23*Hipótesis!$E$23+R181</f>
        <v>1399.94298405405</v>
      </c>
      <c r="S26" s="139" t="n">
        <f aca="false">S20*S21+S23*Hipótesis!$E$23+S181</f>
        <v>1366.50176892162</v>
      </c>
      <c r="T26" s="139" t="n">
        <f aca="false">T20*T21+T23*Hipótesis!$E$23+T181</f>
        <v>1637.69308086487</v>
      </c>
      <c r="U26" s="139" t="n">
        <f aca="false">U20*U21+U23*Hipótesis!$E$23+U181</f>
        <v>1756.56812927027</v>
      </c>
      <c r="V26" s="139" t="n">
        <f aca="false">V20*V21+V23*Hipótesis!$E$23+V181</f>
        <v>1875.44317767568</v>
      </c>
      <c r="W26" s="139" t="n">
        <f aca="false">W20*W21+W23*Hipótesis!$E$23+W181</f>
        <v>1994.31822608108</v>
      </c>
      <c r="X26" s="139" t="n">
        <f aca="false">X20*X21+X23*Hipótesis!$E$23+X181</f>
        <v>2069.69327448649</v>
      </c>
      <c r="Y26" s="139" t="n">
        <f aca="false">Y20*Y21+Y23*Hipótesis!$E$23+Y181</f>
        <v>2145.06832289189</v>
      </c>
      <c r="Z26" s="139" t="n">
        <f aca="false">Z20*Z21+Z23*Hipótesis!$E$23+Z181</f>
        <v>2203.0433712973</v>
      </c>
      <c r="AA26" s="139" t="n">
        <f aca="false">AA20*AA21+AA23*Hipótesis!$E$23+AA181</f>
        <v>2261.0184197027</v>
      </c>
      <c r="AB26" s="139" t="n">
        <f aca="false">AB20*AB21+AB23*Hipótesis!$E$23+AB181</f>
        <v>2318.99346810811</v>
      </c>
      <c r="AC26" s="139" t="n">
        <f aca="false">AC20*AC21+AC23*Hipótesis!$E$23+AC181</f>
        <v>2376.96851651351</v>
      </c>
      <c r="AD26" s="139" t="n">
        <f aca="false">AD20*AD21+AD23*Hipótesis!$E$23+AD181</f>
        <v>2434.94356491892</v>
      </c>
      <c r="AE26" s="139" t="n">
        <f aca="false">AE20*AE21+AE23*Hipótesis!$E$23+AE181</f>
        <v>2331.64256957838</v>
      </c>
      <c r="AF26" s="139" t="n">
        <f aca="false">AF20*AF21+AF23*Hipótesis!$E$23+AF181</f>
        <v>2550.89366172973</v>
      </c>
      <c r="AG26" s="139" t="n">
        <f aca="false">AG20*AG21+AG23*Hipótesis!$E$23+AG181</f>
        <v>2608.86871013514</v>
      </c>
      <c r="AH26" s="139" t="n">
        <f aca="false">AH20*AH21+AH23*Hipótesis!$E$23+AH181</f>
        <v>2666.84375854054</v>
      </c>
      <c r="AI26" s="139" t="n">
        <f aca="false">AI20*AI21+AI23*Hipótesis!$E$23+AI181</f>
        <v>2724.81880694595</v>
      </c>
      <c r="AJ26" s="139" t="n">
        <f aca="false">AJ20*AJ21+AJ23*Hipótesis!$E$23+AJ181</f>
        <v>2782.79385535135</v>
      </c>
      <c r="AK26" s="139" t="n">
        <f aca="false">AK20*AK21+AK23*Hipótesis!$E$23+AK181</f>
        <v>2840.76890375676</v>
      </c>
      <c r="AL26" s="139" t="n">
        <f aca="false">AL20*AL21+AL23*Hipótesis!$E$23+AL181</f>
        <v>2898.74395216216</v>
      </c>
      <c r="AM26" s="139" t="n">
        <f aca="false">AM20*AM21+AM23*Hipótesis!$E$23+AM181</f>
        <v>2956.71900056757</v>
      </c>
      <c r="AN26" s="139" t="n">
        <f aca="false">AN20*AN21+AN23*Hipótesis!$E$23+AN181</f>
        <v>3014.69404897297</v>
      </c>
      <c r="AO26" s="139" t="n">
        <f aca="false">AO20*AO21+AO23*Hipótesis!$E$23+AO181</f>
        <v>3072.66909737838</v>
      </c>
      <c r="AP26" s="139" t="n">
        <f aca="false">AP20*AP21+AP23*Hipótesis!$E$23+AP181</f>
        <v>3130.64414578378</v>
      </c>
      <c r="AQ26" s="139" t="n">
        <f aca="false">AQ20*AQ21+AQ23*Hipótesis!$E$23+AQ181</f>
        <v>3027.34315044324</v>
      </c>
      <c r="AR26" s="139" t="n">
        <f aca="false">AR20*AR21+AR23*Hipótesis!$E$23+AR181</f>
        <v>3246.5942425946</v>
      </c>
      <c r="AS26" s="139" t="n">
        <f aca="false">AS20*AS21+AS23*Hipótesis!$E$23+AS181</f>
        <v>3246.5942425946</v>
      </c>
      <c r="AT26" s="139" t="n">
        <f aca="false">AT20*AT21+AT23*Hipótesis!$E$23+AT181</f>
        <v>3246.5942425946</v>
      </c>
      <c r="AU26" s="139" t="n">
        <f aca="false">AU20*AU21+AU23*Hipótesis!$E$23+AU181</f>
        <v>3246.5942425946</v>
      </c>
      <c r="AV26" s="139" t="n">
        <f aca="false">AV20*AV21+AV23*Hipótesis!$E$23+AV181</f>
        <v>3246.5942425946</v>
      </c>
      <c r="AW26" s="139" t="n">
        <f aca="false">AW20*AW21+AW23*Hipótesis!$E$23+AW181</f>
        <v>3246.5942425946</v>
      </c>
      <c r="AX26" s="139" t="n">
        <f aca="false">AX20*AX21+AX23*Hipótesis!$E$23+AX181</f>
        <v>3246.5942425946</v>
      </c>
      <c r="AY26" s="139" t="n">
        <f aca="false">AY20*AY21+AY23*Hipótesis!$E$23+AY181</f>
        <v>3246.5942425946</v>
      </c>
      <c r="AZ26" s="139" t="n">
        <f aca="false">AZ20*AZ21+AZ23*Hipótesis!$E$23+AZ181</f>
        <v>3246.5942425946</v>
      </c>
      <c r="BA26" s="139" t="n">
        <f aca="false">BA20*BA21+BA23*Hipótesis!$E$23+BA181</f>
        <v>3246.5942425946</v>
      </c>
      <c r="BB26" s="139" t="n">
        <f aca="false">BB20*BB21+BB23*Hipótesis!$E$23+BB181</f>
        <v>3246.5942425946</v>
      </c>
      <c r="BC26" s="139" t="n">
        <f aca="false">BC20*BC21+BC23*Hipótesis!$E$23+BC181</f>
        <v>3085.31819884865</v>
      </c>
      <c r="BD26" s="139" t="n">
        <f aca="false">BD20*BD21+BD23*Hipótesis!$E$23+BD181</f>
        <v>3246.5942425946</v>
      </c>
      <c r="BE26" s="139" t="n">
        <f aca="false">BE20*BE21+BE23*Hipótesis!$E$23+BE181</f>
        <v>3246.5942425946</v>
      </c>
      <c r="BF26" s="139" t="n">
        <f aca="false">BF20*BF21+BF23*Hipótesis!$E$23+BF181</f>
        <v>3246.5942425946</v>
      </c>
      <c r="BG26" s="139" t="n">
        <f aca="false">BG20*BG21+BG23*Hipótesis!$E$23+BG181</f>
        <v>3246.5942425946</v>
      </c>
      <c r="BH26" s="139" t="n">
        <f aca="false">BH20*BH21+BH23*Hipótesis!$E$23+BH181</f>
        <v>3246.5942425946</v>
      </c>
      <c r="BI26" s="139" t="n">
        <f aca="false">BI20*BI21+BI23*Hipótesis!$E$23+BI181</f>
        <v>3246.5942425946</v>
      </c>
      <c r="BJ26" s="139" t="n">
        <f aca="false">BJ20*BJ21+BJ23*Hipótesis!$E$23+BJ181</f>
        <v>3246.5942425946</v>
      </c>
      <c r="BK26" s="139" t="n">
        <f aca="false">BK20*BK21+BK23*Hipótesis!$E$23+BK181</f>
        <v>3246.5942425946</v>
      </c>
      <c r="BL26" s="139" t="n">
        <f aca="false">BL20*BL21+BL23*Hipótesis!$E$23+BL181</f>
        <v>3246.5942425946</v>
      </c>
      <c r="BM26" s="139" t="n">
        <f aca="false">BM20*BM21+BM23*Hipótesis!$E$23+BM181</f>
        <v>3246.5942425946</v>
      </c>
      <c r="BN26" s="139" t="n">
        <f aca="false">BN20*BN21+BN23*Hipótesis!$E$23+BN181</f>
        <v>3246.5942425946</v>
      </c>
      <c r="BO26" s="139" t="n">
        <f aca="false">BO20*BO21+BO23*Hipótesis!$E$23+BO181</f>
        <v>3085.31819884865</v>
      </c>
      <c r="BP26" s="139" t="n">
        <f aca="false">BP20*BP21+BP23*Hipótesis!$E$23+BP181</f>
        <v>3246.5942425946</v>
      </c>
      <c r="BQ26" s="139" t="n">
        <f aca="false">BQ20*BQ21+BQ23*Hipótesis!$E$23+BQ181</f>
        <v>3246.5942425946</v>
      </c>
      <c r="BR26" s="139" t="n">
        <f aca="false">BR20*BR21+BR23*Hipótesis!$E$23+BR181</f>
        <v>3246.5942425946</v>
      </c>
      <c r="BS26" s="139" t="n">
        <f aca="false">BS20*BS21+BS23*Hipótesis!$E$23+BS181</f>
        <v>3246.5942425946</v>
      </c>
      <c r="BT26" s="139" t="n">
        <f aca="false">BT20*BT21+BT23*Hipótesis!$E$23+BT181</f>
        <v>3246.5942425946</v>
      </c>
      <c r="BU26" s="139" t="n">
        <f aca="false">BU20*BU21+BU23*Hipótesis!$E$23+BU181</f>
        <v>3246.5942425946</v>
      </c>
      <c r="BV26" s="139" t="n">
        <f aca="false">BV20*BV21+BV23*Hipótesis!$E$23+BV181</f>
        <v>3246.5942425946</v>
      </c>
      <c r="BW26" s="139" t="n">
        <f aca="false">BW20*BW21+BW23*Hipótesis!$E$23+BW181</f>
        <v>3246.5942425946</v>
      </c>
      <c r="BX26" s="139" t="n">
        <f aca="false">BX20*BX21+BX23*Hipótesis!$E$23+BX181</f>
        <v>3246.5942425946</v>
      </c>
      <c r="BY26" s="139" t="n">
        <f aca="false">BY20*BY21+BY23*Hipótesis!$E$23+BY181</f>
        <v>3246.5942425946</v>
      </c>
      <c r="BZ26" s="139" t="n">
        <f aca="false">BZ20*BZ21+BZ23*Hipótesis!$E$23+BZ181</f>
        <v>3246.5942425946</v>
      </c>
      <c r="CA26" s="139" t="n">
        <f aca="false">CA20*CA21+CA23*Hipótesis!$E$23+CA181</f>
        <v>3085.31819884865</v>
      </c>
      <c r="CB26" s="139" t="n">
        <f aca="false">CB20*CB21+CB23*Hipótesis!$E$23+CB181</f>
        <v>3246.5942425946</v>
      </c>
      <c r="CC26" s="139" t="n">
        <f aca="false">CC20*CC21+CC23*Hipótesis!$E$23+CC181</f>
        <v>3246.5942425946</v>
      </c>
      <c r="CD26" s="139" t="n">
        <f aca="false">CD20*CD21+CD23*Hipótesis!$E$23+CD181</f>
        <v>3246.5942425946</v>
      </c>
      <c r="CE26" s="139" t="n">
        <f aca="false">CE20*CE21+CE23*Hipótesis!$E$23+CE181</f>
        <v>3246.5942425946</v>
      </c>
      <c r="CF26" s="139" t="n">
        <f aca="false">CF20*CF21+CF23*Hipótesis!$E$23+CF181</f>
        <v>3246.5942425946</v>
      </c>
      <c r="CG26" s="139" t="n">
        <f aca="false">CG20*CG21+CG23*Hipótesis!$E$23+CG181</f>
        <v>3246.5942425946</v>
      </c>
      <c r="CH26" s="139" t="n">
        <f aca="false">CH20*CH21+CH23*Hipótesis!$E$23+CH181</f>
        <v>3246.5942425946</v>
      </c>
    </row>
    <row r="27" customFormat="false" ht="13.5" hidden="false" customHeight="true" outlineLevel="0" collapsed="false">
      <c r="A27" s="13" t="s">
        <v>611</v>
      </c>
      <c r="C27" s="139" t="n">
        <f aca="false">C17*C21+C23*Hipótesis!$E$24+C178*Hipótesis!$E$24</f>
        <v>152.244784157743</v>
      </c>
      <c r="D27" s="139" t="n">
        <f aca="false">D17*D21+D23*Hipótesis!$E$24+D178*Hipótesis!$E$24</f>
        <v>318.973475085741</v>
      </c>
      <c r="E27" s="139" t="n">
        <f aca="false">E17*E21+E23*Hipótesis!$E$24+E178*Hipótesis!$E$24</f>
        <v>673.82728634489</v>
      </c>
      <c r="F27" s="139" t="n">
        <f aca="false">F17*F21+F23*Hipótesis!$E$24+F178*Hipótesis!$E$24</f>
        <v>931.589902635486</v>
      </c>
      <c r="G27" s="139" t="n">
        <f aca="false">G17*G21+G23*Hipótesis!$E$24+G178*Hipótesis!$E$24</f>
        <v>940.465858101772</v>
      </c>
      <c r="H27" s="139" t="n">
        <f aca="false">H17*H21+H23*Hipótesis!$E$24+H178*Hipótesis!$E$24</f>
        <v>1584.10875341868</v>
      </c>
      <c r="I27" s="139" t="n">
        <f aca="false">I17*I21+I23*Hipótesis!$E$24+I178*Hipótesis!$E$24</f>
        <v>1993.34889468152</v>
      </c>
      <c r="J27" s="139" t="n">
        <f aca="false">J17*J21+J23*Hipótesis!$E$24+J178*Hipótesis!$E$24</f>
        <v>2568.04980351194</v>
      </c>
      <c r="K27" s="139" t="n">
        <f aca="false">K17*K21+K23*Hipótesis!$E$24+K178*Hipótesis!$E$24</f>
        <v>3225.48109612614</v>
      </c>
      <c r="L27" s="139" t="n">
        <f aca="false">L17*L21+L23*Hipótesis!$E$24+L178*Hipótesis!$E$24</f>
        <v>3882.91238874034</v>
      </c>
      <c r="M27" s="139" t="n">
        <f aca="false">M17*M21+M23*Hipótesis!$E$24+M178*Hipótesis!$E$24</f>
        <v>4352.21856102339</v>
      </c>
      <c r="N27" s="139" t="n">
        <f aca="false">N17*N21+N23*Hipótesis!$E$24+N178*Hipótesis!$E$24</f>
        <v>5062.92317947736</v>
      </c>
      <c r="O27" s="139" t="n">
        <f aca="false">O17*O21+O23*Hipótesis!$E$24+O178*Hipótesis!$E$24</f>
        <v>5773.62779793133</v>
      </c>
      <c r="P27" s="139" t="n">
        <f aca="false">P17*P21+P23*Hipótesis!$E$24+P178*Hipótesis!$E$24</f>
        <v>6414.93036311116</v>
      </c>
      <c r="Q27" s="139" t="n">
        <f aca="false">Q17*Q21+Q23*Hipótesis!$E$24+Q178*Hipótesis!$E$24</f>
        <v>7056.23292829099</v>
      </c>
      <c r="R27" s="139" t="n">
        <f aca="false">R17*R21+R23*Hipótesis!$E$24+R178*Hipótesis!$E$24</f>
        <v>7697.53549347082</v>
      </c>
      <c r="S27" s="139" t="n">
        <f aca="false">S17*S21+S23*Hipótesis!$E$24+S178*Hipótesis!$E$24</f>
        <v>7541.86869486687</v>
      </c>
      <c r="T27" s="139" t="n">
        <f aca="false">T17*T21+T23*Hipótesis!$E$24+T178*Hipótesis!$E$24</f>
        <v>8980.14062383048</v>
      </c>
      <c r="U27" s="139" t="n">
        <f aca="false">U17*U21+U23*Hipótesis!$E$24+U178*Hipótesis!$E$24</f>
        <v>9621.44318901031</v>
      </c>
      <c r="V27" s="139" t="n">
        <f aca="false">V17*V21+V23*Hipótesis!$E$24+V178*Hipótesis!$E$24</f>
        <v>10262.7457541901</v>
      </c>
      <c r="W27" s="139" t="n">
        <f aca="false">W17*W21+W23*Hipótesis!$E$24+W178*Hipótesis!$E$24</f>
        <v>10904.04831937</v>
      </c>
      <c r="X27" s="139" t="n">
        <f aca="false">X17*X21+X23*Hipótesis!$E$24+X178*Hipótesis!$E$24</f>
        <v>11303.9524383789</v>
      </c>
      <c r="Y27" s="139" t="n">
        <f aca="false">Y17*Y21+Y23*Hipótesis!$E$24+Y178*Hipótesis!$E$24</f>
        <v>11703.8565573878</v>
      </c>
      <c r="Z27" s="139" t="n">
        <f aca="false">Z17*Z21+Z23*Hipótesis!$E$24+Z178*Hipótesis!$E$24</f>
        <v>12007.2012979283</v>
      </c>
      <c r="AA27" s="139" t="n">
        <f aca="false">AA17*AA21+AA23*Hipótesis!$E$24+AA178*Hipótesis!$E$24</f>
        <v>12310.5460384689</v>
      </c>
      <c r="AB27" s="139" t="n">
        <f aca="false">AB17*AB21+AB23*Hipótesis!$E$24+AB178*Hipótesis!$E$24</f>
        <v>12613.8907790094</v>
      </c>
      <c r="AC27" s="139" t="n">
        <f aca="false">AC17*AC21+AC23*Hipótesis!$E$24+AC178*Hipótesis!$E$24</f>
        <v>12917.23551955</v>
      </c>
      <c r="AD27" s="139" t="n">
        <f aca="false">AD17*AD21+AD23*Hipótesis!$E$24+AD178*Hipótesis!$E$24</f>
        <v>13220.5802600905</v>
      </c>
      <c r="AE27" s="139" t="n">
        <f aca="false">AE17*AE21+AE23*Hipótesis!$E$24+AE178*Hipótesis!$E$24</f>
        <v>12680.0750860364</v>
      </c>
      <c r="AF27" s="139" t="n">
        <f aca="false">AF17*AF21+AF23*Hipótesis!$E$24+AF178*Hipótesis!$E$24</f>
        <v>13827.2697411716</v>
      </c>
      <c r="AG27" s="139" t="n">
        <f aca="false">AG17*AG21+AG23*Hipótesis!$E$24+AG178*Hipótesis!$E$24</f>
        <v>14130.6144817121</v>
      </c>
      <c r="AH27" s="139" t="n">
        <f aca="false">AH17*AH21+AH23*Hipótesis!$E$24+AH178*Hipótesis!$E$24</f>
        <v>14433.9592222527</v>
      </c>
      <c r="AI27" s="139" t="n">
        <f aca="false">AI17*AI21+AI23*Hipótesis!$E$24+AI178*Hipótesis!$E$24</f>
        <v>14737.3039627932</v>
      </c>
      <c r="AJ27" s="139" t="n">
        <f aca="false">AJ17*AJ21+AJ23*Hipótesis!$E$24+AJ178*Hipótesis!$E$24</f>
        <v>15040.6487033337</v>
      </c>
      <c r="AK27" s="139" t="n">
        <f aca="false">AK17*AK21+AK23*Hipótesis!$E$24+AK178*Hipótesis!$E$24</f>
        <v>15343.9934438743</v>
      </c>
      <c r="AL27" s="139" t="n">
        <f aca="false">AL17*AL21+AL23*Hipótesis!$E$24+AL178*Hipótesis!$E$24</f>
        <v>15647.3381844148</v>
      </c>
      <c r="AM27" s="139" t="n">
        <f aca="false">AM17*AM21+AM23*Hipótesis!$E$24+AM178*Hipótesis!$E$24</f>
        <v>15950.6829249554</v>
      </c>
      <c r="AN27" s="139" t="n">
        <f aca="false">AN17*AN21+AN23*Hipótesis!$E$24+AN178*Hipótesis!$E$24</f>
        <v>16254.0276654959</v>
      </c>
      <c r="AO27" s="139" t="n">
        <f aca="false">AO17*AO21+AO23*Hipótesis!$E$24+AO178*Hipótesis!$E$24</f>
        <v>16557.3724060364</v>
      </c>
      <c r="AP27" s="139" t="n">
        <f aca="false">AP17*AP21+AP23*Hipótesis!$E$24+AP178*Hipótesis!$E$24</f>
        <v>16860.717146577</v>
      </c>
      <c r="AQ27" s="139" t="n">
        <f aca="false">AQ17*AQ21+AQ23*Hipótesis!$E$24+AQ178*Hipótesis!$E$24</f>
        <v>16320.2119725229</v>
      </c>
      <c r="AR27" s="139" t="n">
        <f aca="false">AR17*AR21+AR23*Hipótesis!$E$24+AR178*Hipótesis!$E$24</f>
        <v>17467.4066276581</v>
      </c>
      <c r="AS27" s="139" t="n">
        <f aca="false">AS17*AS21+AS23*Hipótesis!$E$24+AS178*Hipótesis!$E$24</f>
        <v>17467.4066276581</v>
      </c>
      <c r="AT27" s="139" t="n">
        <f aca="false">AT17*AT21+AT23*Hipótesis!$E$24+AT178*Hipótesis!$E$24</f>
        <v>17467.4066276581</v>
      </c>
      <c r="AU27" s="139" t="n">
        <f aca="false">AU17*AU21+AU23*Hipótesis!$E$24+AU178*Hipótesis!$E$24</f>
        <v>17467.4066276581</v>
      </c>
      <c r="AV27" s="139" t="n">
        <f aca="false">AV17*AV21+AV23*Hipótesis!$E$24+AV178*Hipótesis!$E$24</f>
        <v>17467.4066276581</v>
      </c>
      <c r="AW27" s="139" t="n">
        <f aca="false">AW17*AW21+AW23*Hipótesis!$E$24+AW178*Hipótesis!$E$24</f>
        <v>17467.4066276581</v>
      </c>
      <c r="AX27" s="139" t="n">
        <f aca="false">AX17*AX21+AX23*Hipótesis!$E$24+AX178*Hipótesis!$E$24</f>
        <v>17467.4066276581</v>
      </c>
      <c r="AY27" s="139" t="n">
        <f aca="false">AY17*AY21+AY23*Hipótesis!$E$24+AY178*Hipótesis!$E$24</f>
        <v>17467.4066276581</v>
      </c>
      <c r="AZ27" s="139" t="n">
        <f aca="false">AZ17*AZ21+AZ23*Hipótesis!$E$24+AZ178*Hipótesis!$E$24</f>
        <v>17467.4066276581</v>
      </c>
      <c r="BA27" s="139" t="n">
        <f aca="false">BA17*BA21+BA23*Hipótesis!$E$24+BA178*Hipótesis!$E$24</f>
        <v>17467.4066276581</v>
      </c>
      <c r="BB27" s="139" t="n">
        <f aca="false">BB17*BB21+BB23*Hipótesis!$E$24+BB178*Hipótesis!$E$24</f>
        <v>17467.4066276581</v>
      </c>
      <c r="BC27" s="139" t="n">
        <f aca="false">BC17*BC21+BC23*Hipótesis!$E$24+BC178*Hipótesis!$E$24</f>
        <v>16623.5567130635</v>
      </c>
      <c r="BD27" s="139" t="n">
        <f aca="false">BD17*BD21+BD23*Hipótesis!$E$24+BD178*Hipótesis!$E$24</f>
        <v>17467.4066276581</v>
      </c>
      <c r="BE27" s="139" t="n">
        <f aca="false">BE17*BE21+BE23*Hipótesis!$E$24+BE178*Hipótesis!$E$24</f>
        <v>17467.4066276581</v>
      </c>
      <c r="BF27" s="139" t="n">
        <f aca="false">BF17*BF21+BF23*Hipótesis!$E$24+BF178*Hipótesis!$E$24</f>
        <v>17467.4066276581</v>
      </c>
      <c r="BG27" s="139" t="n">
        <f aca="false">BG17*BG21+BG23*Hipótesis!$E$24+BG178*Hipótesis!$E$24</f>
        <v>17467.4066276581</v>
      </c>
      <c r="BH27" s="139" t="n">
        <f aca="false">BH17*BH21+BH23*Hipótesis!$E$24+BH178*Hipótesis!$E$24</f>
        <v>17467.4066276581</v>
      </c>
      <c r="BI27" s="139" t="n">
        <f aca="false">BI17*BI21+BI23*Hipótesis!$E$24+BI178*Hipótesis!$E$24</f>
        <v>17467.4066276581</v>
      </c>
      <c r="BJ27" s="139" t="n">
        <f aca="false">BJ17*BJ21+BJ23*Hipótesis!$E$24+BJ178*Hipótesis!$E$24</f>
        <v>17467.4066276581</v>
      </c>
      <c r="BK27" s="139" t="n">
        <f aca="false">BK17*BK21+BK23*Hipótesis!$E$24+BK178*Hipótesis!$E$24</f>
        <v>17467.4066276581</v>
      </c>
      <c r="BL27" s="139" t="n">
        <f aca="false">BL17*BL21+BL23*Hipótesis!$E$24+BL178*Hipótesis!$E$24</f>
        <v>17467.4066276581</v>
      </c>
      <c r="BM27" s="139" t="n">
        <f aca="false">BM17*BM21+BM23*Hipótesis!$E$24+BM178*Hipótesis!$E$24</f>
        <v>17467.4066276581</v>
      </c>
      <c r="BN27" s="139" t="n">
        <f aca="false">BN17*BN21+BN23*Hipótesis!$E$24+BN178*Hipótesis!$E$24</f>
        <v>17467.4066276581</v>
      </c>
      <c r="BO27" s="139" t="n">
        <f aca="false">BO17*BO21+BO23*Hipótesis!$E$24+BO178*Hipótesis!$E$24</f>
        <v>16623.5567130635</v>
      </c>
      <c r="BP27" s="139" t="n">
        <f aca="false">BP17*BP21+BP23*Hipótesis!$E$24+BP178*Hipótesis!$E$24</f>
        <v>17467.4066276581</v>
      </c>
      <c r="BQ27" s="139" t="n">
        <f aca="false">BQ17*BQ21+BQ23*Hipótesis!$E$24+BQ178*Hipótesis!$E$24</f>
        <v>17467.4066276581</v>
      </c>
      <c r="BR27" s="139" t="n">
        <f aca="false">BR17*BR21+BR23*Hipótesis!$E$24+BR178*Hipótesis!$E$24</f>
        <v>17467.4066276581</v>
      </c>
      <c r="BS27" s="139" t="n">
        <f aca="false">BS17*BS21+BS23*Hipótesis!$E$24+BS178*Hipótesis!$E$24</f>
        <v>17467.4066276581</v>
      </c>
      <c r="BT27" s="139" t="n">
        <f aca="false">BT17*BT21+BT23*Hipótesis!$E$24+BT178*Hipótesis!$E$24</f>
        <v>17467.4066276581</v>
      </c>
      <c r="BU27" s="139" t="n">
        <f aca="false">BU17*BU21+BU23*Hipótesis!$E$24+BU178*Hipótesis!$E$24</f>
        <v>17467.4066276581</v>
      </c>
      <c r="BV27" s="139" t="n">
        <f aca="false">BV17*BV21+BV23*Hipótesis!$E$24+BV178*Hipótesis!$E$24</f>
        <v>17467.4066276581</v>
      </c>
      <c r="BW27" s="139" t="n">
        <f aca="false">BW17*BW21+BW23*Hipótesis!$E$24+BW178*Hipótesis!$E$24</f>
        <v>17467.4066276581</v>
      </c>
      <c r="BX27" s="139" t="n">
        <f aca="false">BX17*BX21+BX23*Hipótesis!$E$24+BX178*Hipótesis!$E$24</f>
        <v>17467.4066276581</v>
      </c>
      <c r="BY27" s="139" t="n">
        <f aca="false">BY17*BY21+BY23*Hipótesis!$E$24+BY178*Hipótesis!$E$24</f>
        <v>17467.4066276581</v>
      </c>
      <c r="BZ27" s="139" t="n">
        <f aca="false">BZ17*BZ21+BZ23*Hipótesis!$E$24+BZ178*Hipótesis!$E$24</f>
        <v>17467.4066276581</v>
      </c>
      <c r="CA27" s="139" t="n">
        <f aca="false">CA17*CA21+CA23*Hipótesis!$E$24+CA178*Hipótesis!$E$24</f>
        <v>16623.5567130635</v>
      </c>
      <c r="CB27" s="139" t="n">
        <f aca="false">CB17*CB21+CB23*Hipótesis!$E$24+CB178*Hipótesis!$E$24</f>
        <v>17467.4066276581</v>
      </c>
      <c r="CC27" s="139" t="n">
        <f aca="false">CC17*CC21+CC23*Hipótesis!$E$24+CC178*Hipótesis!$E$24</f>
        <v>17467.4066276581</v>
      </c>
      <c r="CD27" s="139" t="n">
        <f aca="false">CD17*CD21+CD23*Hipótesis!$E$24+CD178*Hipótesis!$E$24</f>
        <v>17467.4066276581</v>
      </c>
      <c r="CE27" s="139" t="n">
        <f aca="false">CE17*CE21+CE23*Hipótesis!$E$24+CE178*Hipótesis!$E$24</f>
        <v>17467.4066276581</v>
      </c>
      <c r="CF27" s="139" t="n">
        <f aca="false">CF17*CF21+CF23*Hipótesis!$E$24+CF178*Hipótesis!$E$24</f>
        <v>17467.4066276581</v>
      </c>
      <c r="CG27" s="139" t="n">
        <f aca="false">CG17*CG21+CG23*Hipótesis!$E$24+CG178*Hipótesis!$E$24</f>
        <v>17467.4066276581</v>
      </c>
      <c r="CH27" s="139" t="n">
        <f aca="false">CH17*CH21+CH23*Hipótesis!$E$24+CH178*Hipótesis!$E$24</f>
        <v>17467.4066276581</v>
      </c>
    </row>
    <row r="28" customFormat="false" ht="13.5" hidden="false" customHeight="true" outlineLevel="0" collapsed="false">
      <c r="A28" s="13" t="s">
        <v>710</v>
      </c>
      <c r="C28" s="139" t="n">
        <f aca="false">C27*Producto!$D$10/60</f>
        <v>5.07482613859142</v>
      </c>
      <c r="D28" s="139" t="n">
        <f aca="false">D27*Producto!$D$10/60</f>
        <v>10.6324491695247</v>
      </c>
      <c r="E28" s="139" t="n">
        <f aca="false">E27*Producto!$D$10/60</f>
        <v>22.4609095448297</v>
      </c>
      <c r="F28" s="139" t="n">
        <f aca="false">F27*Producto!$D$10/60</f>
        <v>31.0529967545162</v>
      </c>
      <c r="G28" s="139" t="n">
        <f aca="false">G27*Producto!$D$10/60</f>
        <v>31.3488619367257</v>
      </c>
      <c r="H28" s="139" t="n">
        <f aca="false">H27*Producto!$D$10/60</f>
        <v>52.8036251139558</v>
      </c>
      <c r="I28" s="139" t="n">
        <f aca="false">I27*Producto!$D$10/60</f>
        <v>66.4449631560508</v>
      </c>
      <c r="J28" s="139" t="n">
        <f aca="false">J27*Producto!$D$10/60</f>
        <v>85.6016601170647</v>
      </c>
      <c r="K28" s="139" t="n">
        <f aca="false">K27*Producto!$D$10/60</f>
        <v>107.516036537538</v>
      </c>
      <c r="L28" s="139" t="n">
        <f aca="false">L27*Producto!$D$10/60</f>
        <v>129.430412958011</v>
      </c>
      <c r="M28" s="139" t="n">
        <f aca="false">M27*Producto!$D$10/60</f>
        <v>145.073952034113</v>
      </c>
      <c r="N28" s="139" t="n">
        <f aca="false">N27*Producto!$D$10/60</f>
        <v>168.764105982579</v>
      </c>
      <c r="O28" s="139" t="n">
        <f aca="false">O27*Producto!$D$10/60</f>
        <v>192.454259931044</v>
      </c>
      <c r="P28" s="139" t="n">
        <f aca="false">P27*Producto!$D$10/60</f>
        <v>213.831012103705</v>
      </c>
      <c r="Q28" s="139" t="n">
        <f aca="false">Q27*Producto!$D$10/60</f>
        <v>235.207764276366</v>
      </c>
      <c r="R28" s="139" t="n">
        <f aca="false">R27*Producto!$D$10/60</f>
        <v>256.584516449027</v>
      </c>
      <c r="S28" s="139" t="n">
        <f aca="false">S27*Producto!$D$10/60</f>
        <v>251.395623162229</v>
      </c>
      <c r="T28" s="139" t="n">
        <f aca="false">T27*Producto!$D$10/60</f>
        <v>299.338020794349</v>
      </c>
      <c r="U28" s="139" t="n">
        <f aca="false">U27*Producto!$D$10/60</f>
        <v>320.71477296701</v>
      </c>
      <c r="V28" s="139" t="n">
        <f aca="false">V27*Producto!$D$10/60</f>
        <v>342.091525139671</v>
      </c>
      <c r="W28" s="139" t="n">
        <f aca="false">W27*Producto!$D$10/60</f>
        <v>363.468277312332</v>
      </c>
      <c r="X28" s="139" t="n">
        <f aca="false">X27*Producto!$D$10/60</f>
        <v>376.798414612629</v>
      </c>
      <c r="Y28" s="139" t="n">
        <f aca="false">Y27*Producto!$D$10/60</f>
        <v>390.128551912926</v>
      </c>
      <c r="Z28" s="139" t="n">
        <f aca="false">Z27*Producto!$D$10/60</f>
        <v>400.240043264278</v>
      </c>
      <c r="AA28" s="139" t="n">
        <f aca="false">AA27*Producto!$D$10/60</f>
        <v>410.351534615629</v>
      </c>
      <c r="AB28" s="139" t="n">
        <f aca="false">AB27*Producto!$D$10/60</f>
        <v>420.46302596698</v>
      </c>
      <c r="AC28" s="139" t="n">
        <f aca="false">AC27*Producto!$D$10/60</f>
        <v>430.574517318332</v>
      </c>
      <c r="AD28" s="139" t="n">
        <f aca="false">AD27*Producto!$D$10/60</f>
        <v>440.686008669683</v>
      </c>
      <c r="AE28" s="139" t="n">
        <f aca="false">AE27*Producto!$D$10/60</f>
        <v>422.669169534548</v>
      </c>
      <c r="AF28" s="139" t="n">
        <f aca="false">AF27*Producto!$D$10/60</f>
        <v>460.908991372386</v>
      </c>
      <c r="AG28" s="139" t="n">
        <f aca="false">AG27*Producto!$D$10/60</f>
        <v>471.020482723737</v>
      </c>
      <c r="AH28" s="139" t="n">
        <f aca="false">AH27*Producto!$D$10/60</f>
        <v>481.131974075089</v>
      </c>
      <c r="AI28" s="139" t="n">
        <f aca="false">AI27*Producto!$D$10/60</f>
        <v>491.24346542644</v>
      </c>
      <c r="AJ28" s="139" t="n">
        <f aca="false">AJ27*Producto!$D$10/60</f>
        <v>501.354956777791</v>
      </c>
      <c r="AK28" s="139" t="n">
        <f aca="false">AK27*Producto!$D$10/60</f>
        <v>511.466448129143</v>
      </c>
      <c r="AL28" s="139" t="n">
        <f aca="false">AL27*Producto!$D$10/60</f>
        <v>521.577939480494</v>
      </c>
      <c r="AM28" s="139" t="n">
        <f aca="false">AM27*Producto!$D$10/60</f>
        <v>531.689430831845</v>
      </c>
      <c r="AN28" s="139" t="n">
        <f aca="false">AN27*Producto!$D$10/60</f>
        <v>541.800922183197</v>
      </c>
      <c r="AO28" s="139" t="n">
        <f aca="false">AO27*Producto!$D$10/60</f>
        <v>551.912413534548</v>
      </c>
      <c r="AP28" s="139" t="n">
        <f aca="false">AP27*Producto!$D$10/60</f>
        <v>562.0239048859</v>
      </c>
      <c r="AQ28" s="139" t="n">
        <f aca="false">AQ27*Producto!$D$10/60</f>
        <v>544.007065750764</v>
      </c>
      <c r="AR28" s="139" t="n">
        <f aca="false">AR27*Producto!$D$10/60</f>
        <v>582.246887588602</v>
      </c>
      <c r="AS28" s="139" t="n">
        <f aca="false">AS27*Producto!$D$10/60</f>
        <v>582.246887588602</v>
      </c>
      <c r="AT28" s="139" t="n">
        <f aca="false">AT27*Producto!$D$10/60</f>
        <v>582.246887588602</v>
      </c>
      <c r="AU28" s="139" t="n">
        <f aca="false">AU27*Producto!$D$10/60</f>
        <v>582.246887588602</v>
      </c>
      <c r="AV28" s="139" t="n">
        <f aca="false">AV27*Producto!$D$10/60</f>
        <v>582.246887588602</v>
      </c>
      <c r="AW28" s="139" t="n">
        <f aca="false">AW27*Producto!$D$10/60</f>
        <v>582.246887588602</v>
      </c>
      <c r="AX28" s="139" t="n">
        <f aca="false">AX27*Producto!$D$10/60</f>
        <v>582.246887588602</v>
      </c>
      <c r="AY28" s="139" t="n">
        <f aca="false">AY27*Producto!$D$10/60</f>
        <v>582.246887588602</v>
      </c>
      <c r="AZ28" s="139" t="n">
        <f aca="false">AZ27*Producto!$D$10/60</f>
        <v>582.246887588602</v>
      </c>
      <c r="BA28" s="139" t="n">
        <f aca="false">BA27*Producto!$D$10/60</f>
        <v>582.246887588602</v>
      </c>
      <c r="BB28" s="139" t="n">
        <f aca="false">BB27*Producto!$D$10/60</f>
        <v>582.246887588602</v>
      </c>
      <c r="BC28" s="139" t="n">
        <f aca="false">BC27*Producto!$D$10/60</f>
        <v>554.118557102116</v>
      </c>
      <c r="BD28" s="139" t="n">
        <f aca="false">BD27*Producto!$D$10/60</f>
        <v>582.246887588602</v>
      </c>
      <c r="BE28" s="139" t="n">
        <f aca="false">BE27*Producto!$D$10/60</f>
        <v>582.246887588602</v>
      </c>
      <c r="BF28" s="139" t="n">
        <f aca="false">BF27*Producto!$D$10/60</f>
        <v>582.246887588602</v>
      </c>
      <c r="BG28" s="139" t="n">
        <f aca="false">BG27*Producto!$D$10/60</f>
        <v>582.246887588602</v>
      </c>
      <c r="BH28" s="139" t="n">
        <f aca="false">BH27*Producto!$D$10/60</f>
        <v>582.246887588602</v>
      </c>
      <c r="BI28" s="139" t="n">
        <f aca="false">BI27*Producto!$D$10/60</f>
        <v>582.246887588602</v>
      </c>
      <c r="BJ28" s="139" t="n">
        <f aca="false">BJ27*Producto!$D$10/60</f>
        <v>582.246887588602</v>
      </c>
      <c r="BK28" s="139" t="n">
        <f aca="false">BK27*Producto!$D$10/60</f>
        <v>582.246887588602</v>
      </c>
      <c r="BL28" s="139" t="n">
        <f aca="false">BL27*Producto!$D$10/60</f>
        <v>582.246887588602</v>
      </c>
      <c r="BM28" s="139" t="n">
        <f aca="false">BM27*Producto!$D$10/60</f>
        <v>582.246887588602</v>
      </c>
      <c r="BN28" s="139" t="n">
        <f aca="false">BN27*Producto!$D$10/60</f>
        <v>582.246887588602</v>
      </c>
      <c r="BO28" s="139" t="n">
        <f aca="false">BO27*Producto!$D$10/60</f>
        <v>554.118557102116</v>
      </c>
      <c r="BP28" s="139" t="n">
        <f aca="false">BP27*Producto!$D$10/60</f>
        <v>582.246887588602</v>
      </c>
      <c r="BQ28" s="139" t="n">
        <f aca="false">BQ27*Producto!$D$10/60</f>
        <v>582.246887588602</v>
      </c>
      <c r="BR28" s="139" t="n">
        <f aca="false">BR27*Producto!$D$10/60</f>
        <v>582.246887588602</v>
      </c>
      <c r="BS28" s="139" t="n">
        <f aca="false">BS27*Producto!$D$10/60</f>
        <v>582.246887588602</v>
      </c>
      <c r="BT28" s="139" t="n">
        <f aca="false">BT27*Producto!$D$10/60</f>
        <v>582.246887588602</v>
      </c>
      <c r="BU28" s="139" t="n">
        <f aca="false">BU27*Producto!$D$10/60</f>
        <v>582.246887588602</v>
      </c>
      <c r="BV28" s="139" t="n">
        <f aca="false">BV27*Producto!$D$10/60</f>
        <v>582.246887588602</v>
      </c>
      <c r="BW28" s="139" t="n">
        <f aca="false">BW27*Producto!$D$10/60</f>
        <v>582.246887588602</v>
      </c>
      <c r="BX28" s="139" t="n">
        <f aca="false">BX27*Producto!$D$10/60</f>
        <v>582.246887588602</v>
      </c>
      <c r="BY28" s="139" t="n">
        <f aca="false">BY27*Producto!$D$10/60</f>
        <v>582.246887588602</v>
      </c>
      <c r="BZ28" s="139" t="n">
        <f aca="false">BZ27*Producto!$D$10/60</f>
        <v>582.246887588602</v>
      </c>
      <c r="CA28" s="139" t="n">
        <f aca="false">CA27*Producto!$D$10/60</f>
        <v>554.118557102116</v>
      </c>
      <c r="CB28" s="139" t="n">
        <f aca="false">CB27*Producto!$D$10/60</f>
        <v>582.246887588602</v>
      </c>
      <c r="CC28" s="139" t="n">
        <f aca="false">CC27*Producto!$D$10/60</f>
        <v>582.246887588602</v>
      </c>
      <c r="CD28" s="139" t="n">
        <f aca="false">CD27*Producto!$D$10/60</f>
        <v>582.246887588602</v>
      </c>
      <c r="CE28" s="139" t="n">
        <f aca="false">CE27*Producto!$D$10/60</f>
        <v>582.246887588602</v>
      </c>
      <c r="CF28" s="139" t="n">
        <f aca="false">CF27*Producto!$D$10/60</f>
        <v>582.246887588602</v>
      </c>
      <c r="CG28" s="139" t="n">
        <f aca="false">CG27*Producto!$D$10/60</f>
        <v>582.246887588602</v>
      </c>
      <c r="CH28" s="139" t="n">
        <f aca="false">CH27*Producto!$D$10/60</f>
        <v>582.246887588602</v>
      </c>
    </row>
    <row r="29" customFormat="false" ht="13.5" hidden="false" customHeight="true" outlineLevel="0" collapsed="false">
      <c r="A29" s="13" t="s">
        <v>711</v>
      </c>
      <c r="C29" s="139" t="n">
        <f aca="false">SUMPRODUCT((Hipótesis!$D$48:$D$53&lt;=1)*(Hipótesis!$B$48:$B$53)*(Hipótesis!$F$48:$F$53))</f>
        <v>320</v>
      </c>
      <c r="D29" s="139" t="n">
        <f aca="false">SUMPRODUCT((Hipótesis!$D$48:$D$53&lt;=2)*(Hipótesis!$B$48:$B$53)*(Hipótesis!$F$48:$F$53))</f>
        <v>320</v>
      </c>
      <c r="E29" s="139" t="n">
        <f aca="false">SUMPRODUCT((Hipótesis!$D$48:$D$53&lt;=3)*(Hipótesis!$B$48:$B$53)*(Hipótesis!$F$48:$F$53))</f>
        <v>320</v>
      </c>
      <c r="F29" s="139" t="n">
        <f aca="false">SUMPRODUCT((Hipótesis!$D$48:$D$53&lt;=4)*(Hipótesis!$B$48:$B$53)*(Hipótesis!$F$48:$F$53))</f>
        <v>320</v>
      </c>
      <c r="G29" s="139" t="n">
        <f aca="false">SUMPRODUCT((Hipótesis!$D$48:$D$53&lt;=5)*(Hipótesis!$B$48:$B$53)*(Hipótesis!$F$48:$F$53))</f>
        <v>320</v>
      </c>
      <c r="H29" s="139" t="n">
        <f aca="false">SUMPRODUCT((Hipótesis!$D$48:$D$53&lt;=6)*(Hipótesis!$B$48:$B$53)*(Hipótesis!$F$48:$F$53))</f>
        <v>320</v>
      </c>
      <c r="I29" s="139" t="n">
        <f aca="false">SUMPRODUCT((Hipótesis!$D$48:$D$53&lt;=7)*(Hipótesis!$B$48:$B$53)*(Hipótesis!$F$48:$F$53))</f>
        <v>320</v>
      </c>
      <c r="J29" s="139" t="n">
        <f aca="false">SUMPRODUCT((Hipótesis!$D$48:$D$53&lt;=8)*(Hipótesis!$B$48:$B$53)*(Hipótesis!$F$48:$F$53))</f>
        <v>320</v>
      </c>
      <c r="K29" s="139" t="n">
        <f aca="false">SUMPRODUCT((Hipótesis!$D$48:$D$53&lt;=9)*(Hipótesis!$B$48:$B$53)*(Hipótesis!$F$48:$F$53))</f>
        <v>320</v>
      </c>
      <c r="L29" s="139" t="n">
        <f aca="false">SUMPRODUCT((Hipótesis!$D$48:$D$53&lt;=10)*(Hipótesis!$B$48:$B$53)*(Hipótesis!$F$48:$F$53))</f>
        <v>320</v>
      </c>
      <c r="M29" s="139" t="n">
        <f aca="false">SUMPRODUCT((Hipótesis!$D$48:$D$53&lt;=11)*(Hipótesis!$B$48:$B$53)*(Hipótesis!$F$48:$F$53))</f>
        <v>320</v>
      </c>
      <c r="N29" s="139" t="n">
        <f aca="false">SUMPRODUCT((Hipótesis!$D$48:$D$53&lt;=12)*(Hipótesis!$B$48:$B$53)*(Hipótesis!$F$48:$F$53))</f>
        <v>320</v>
      </c>
      <c r="O29" s="139" t="n">
        <f aca="false">SUMPRODUCT((Hipótesis!$D$48:$D$53&lt;=13)*(Hipótesis!$B$48:$B$53)*(Hipótesis!$F$48:$F$53))</f>
        <v>320</v>
      </c>
      <c r="P29" s="139" t="n">
        <f aca="false">SUMPRODUCT((Hipótesis!$D$48:$D$53&lt;=14)*(Hipótesis!$B$48:$B$53)*(Hipótesis!$F$48:$F$53))</f>
        <v>320</v>
      </c>
      <c r="Q29" s="139" t="n">
        <f aca="false">SUMPRODUCT((Hipótesis!$D$48:$D$53&lt;=15)*(Hipótesis!$B$48:$B$53)*(Hipótesis!$F$48:$F$53))</f>
        <v>320</v>
      </c>
      <c r="R29" s="139" t="n">
        <f aca="false">SUMPRODUCT((Hipótesis!$D$48:$D$53&lt;=16)*(Hipótesis!$B$48:$B$53)*(Hipótesis!$F$48:$F$53))</f>
        <v>320</v>
      </c>
      <c r="S29" s="139" t="n">
        <f aca="false">SUMPRODUCT((Hipótesis!$D$48:$D$53&lt;=17)*(Hipótesis!$B$48:$B$53)*(Hipótesis!$F$48:$F$53))</f>
        <v>320</v>
      </c>
      <c r="T29" s="139" t="n">
        <f aca="false">SUMPRODUCT((Hipótesis!$D$48:$D$53&lt;=18)*(Hipótesis!$B$48:$B$53)*(Hipótesis!$F$48:$F$53))</f>
        <v>320</v>
      </c>
      <c r="U29" s="139" t="n">
        <f aca="false">SUMPRODUCT((Hipótesis!$D$48:$D$53&lt;=19)*(Hipótesis!$B$48:$B$53)*(Hipótesis!$F$48:$F$53))</f>
        <v>320</v>
      </c>
      <c r="V29" s="139" t="n">
        <f aca="false">SUMPRODUCT((Hipótesis!$D$48:$D$53&lt;=20)*(Hipótesis!$B$48:$B$53)*(Hipótesis!$F$48:$F$53))</f>
        <v>320</v>
      </c>
      <c r="W29" s="139" t="n">
        <f aca="false">SUMPRODUCT((Hipótesis!$D$48:$D$53&lt;=21)*(Hipótesis!$B$48:$B$53)*(Hipótesis!$F$48:$F$53))</f>
        <v>320</v>
      </c>
      <c r="X29" s="139" t="n">
        <f aca="false">SUMPRODUCT((Hipótesis!$D$48:$D$53&lt;=22)*(Hipótesis!$B$48:$B$53)*(Hipótesis!$F$48:$F$53))</f>
        <v>320</v>
      </c>
      <c r="Y29" s="139" t="n">
        <f aca="false">SUMPRODUCT((Hipótesis!$D$48:$D$53&lt;=23)*(Hipótesis!$B$48:$B$53)*(Hipótesis!$F$48:$F$53))</f>
        <v>320</v>
      </c>
      <c r="Z29" s="139" t="n">
        <f aca="false">SUMPRODUCT((Hipótesis!$D$48:$D$53&lt;=24)*(Hipótesis!$B$48:$B$53)*(Hipótesis!$F$48:$F$53))</f>
        <v>320</v>
      </c>
      <c r="AA29" s="139" t="n">
        <f aca="false">SUMPRODUCT((Hipótesis!$D$48:$D$53&lt;=25)*(Hipótesis!$B$48:$B$53)*(Hipótesis!$F$48:$F$53))</f>
        <v>320</v>
      </c>
      <c r="AB29" s="139" t="n">
        <f aca="false">SUMPRODUCT((Hipótesis!$D$48:$D$53&lt;=26)*(Hipótesis!$B$48:$B$53)*(Hipótesis!$F$48:$F$53))</f>
        <v>320</v>
      </c>
      <c r="AC29" s="139" t="n">
        <f aca="false">SUMPRODUCT((Hipótesis!$D$48:$D$53&lt;=27)*(Hipótesis!$B$48:$B$53)*(Hipótesis!$F$48:$F$53))</f>
        <v>320</v>
      </c>
      <c r="AD29" s="139" t="n">
        <f aca="false">SUMPRODUCT((Hipótesis!$D$48:$D$53&lt;=28)*(Hipótesis!$B$48:$B$53)*(Hipótesis!$F$48:$F$53))</f>
        <v>320</v>
      </c>
      <c r="AE29" s="139" t="n">
        <f aca="false">SUMPRODUCT((Hipótesis!$D$48:$D$53&lt;=29)*(Hipótesis!$B$48:$B$53)*(Hipótesis!$F$48:$F$53))</f>
        <v>320</v>
      </c>
      <c r="AF29" s="139" t="n">
        <f aca="false">SUMPRODUCT((Hipótesis!$D$48:$D$53&lt;=30)*(Hipótesis!$B$48:$B$53)*(Hipótesis!$F$48:$F$53))</f>
        <v>320</v>
      </c>
      <c r="AG29" s="139" t="n">
        <f aca="false">SUMPRODUCT((Hipótesis!$D$48:$D$53&lt;=31)*(Hipótesis!$B$48:$B$53)*(Hipótesis!$F$48:$F$53))</f>
        <v>320</v>
      </c>
      <c r="AH29" s="139" t="n">
        <f aca="false">SUMPRODUCT((Hipótesis!$D$48:$D$53&lt;=32)*(Hipótesis!$B$48:$B$53)*(Hipótesis!$F$48:$F$53))</f>
        <v>320</v>
      </c>
      <c r="AI29" s="139" t="n">
        <f aca="false">SUMPRODUCT((Hipótesis!$D$48:$D$53&lt;=33)*(Hipótesis!$B$48:$B$53)*(Hipótesis!$F$48:$F$53))</f>
        <v>320</v>
      </c>
      <c r="AJ29" s="139" t="n">
        <f aca="false">SUMPRODUCT((Hipótesis!$D$48:$D$53&lt;=34)*(Hipótesis!$B$48:$B$53)*(Hipótesis!$F$48:$F$53))</f>
        <v>320</v>
      </c>
      <c r="AK29" s="139" t="n">
        <f aca="false">SUMPRODUCT((Hipótesis!$D$48:$D$53&lt;=35)*(Hipótesis!$B$48:$B$53)*(Hipótesis!$F$48:$F$53))</f>
        <v>320</v>
      </c>
      <c r="AL29" s="139" t="n">
        <f aca="false">SUMPRODUCT((Hipótesis!$D$48:$D$53&lt;=36)*(Hipótesis!$B$48:$B$53)*(Hipótesis!$F$48:$F$53))</f>
        <v>320</v>
      </c>
      <c r="AM29" s="139" t="n">
        <f aca="false">SUMPRODUCT((Hipótesis!$D$48:$D$53&lt;=37)*(Hipótesis!$B$48:$B$53)*(Hipótesis!$F$48:$F$53))</f>
        <v>320</v>
      </c>
      <c r="AN29" s="139" t="n">
        <f aca="false">SUMPRODUCT((Hipótesis!$D$48:$D$53&lt;=38)*(Hipótesis!$B$48:$B$53)*(Hipótesis!$F$48:$F$53))</f>
        <v>320</v>
      </c>
      <c r="AO29" s="139" t="n">
        <f aca="false">SUMPRODUCT((Hipótesis!$D$48:$D$53&lt;=39)*(Hipótesis!$B$48:$B$53)*(Hipótesis!$F$48:$F$53))</f>
        <v>320</v>
      </c>
      <c r="AP29" s="139" t="n">
        <f aca="false">SUMPRODUCT((Hipótesis!$D$48:$D$53&lt;=40)*(Hipótesis!$B$48:$B$53)*(Hipótesis!$F$48:$F$53))</f>
        <v>320</v>
      </c>
      <c r="AQ29" s="139" t="n">
        <f aca="false">SUMPRODUCT((Hipótesis!$D$48:$D$53&lt;=41)*(Hipótesis!$B$48:$B$53)*(Hipótesis!$F$48:$F$53))</f>
        <v>320</v>
      </c>
      <c r="AR29" s="139" t="n">
        <f aca="false">SUMPRODUCT((Hipótesis!$D$48:$D$53&lt;=42)*(Hipótesis!$B$48:$B$53)*(Hipótesis!$F$48:$F$53))</f>
        <v>320</v>
      </c>
      <c r="AS29" s="139" t="n">
        <f aca="false">SUMPRODUCT((Hipótesis!$D$48:$D$53&lt;=43)*(Hipótesis!$B$48:$B$53)*(Hipótesis!$F$48:$F$53))</f>
        <v>320</v>
      </c>
      <c r="AT29" s="139" t="n">
        <f aca="false">SUMPRODUCT((Hipótesis!$D$48:$D$53&lt;=44)*(Hipótesis!$B$48:$B$53)*(Hipótesis!$F$48:$F$53))</f>
        <v>320</v>
      </c>
      <c r="AU29" s="139" t="n">
        <f aca="false">SUMPRODUCT((Hipótesis!$D$48:$D$53&lt;=45)*(Hipótesis!$B$48:$B$53)*(Hipótesis!$F$48:$F$53))</f>
        <v>320</v>
      </c>
      <c r="AV29" s="139" t="n">
        <f aca="false">SUMPRODUCT((Hipótesis!$D$48:$D$53&lt;=46)*(Hipótesis!$B$48:$B$53)*(Hipótesis!$F$48:$F$53))</f>
        <v>320</v>
      </c>
      <c r="AW29" s="139" t="n">
        <f aca="false">SUMPRODUCT((Hipótesis!$D$48:$D$53&lt;=47)*(Hipótesis!$B$48:$B$53)*(Hipótesis!$F$48:$F$53))</f>
        <v>320</v>
      </c>
      <c r="AX29" s="139" t="n">
        <f aca="false">SUMPRODUCT((Hipótesis!$D$48:$D$53&lt;=48)*(Hipótesis!$B$48:$B$53)*(Hipótesis!$F$48:$F$53))</f>
        <v>320</v>
      </c>
      <c r="AY29" s="139" t="n">
        <f aca="false">SUMPRODUCT((Hipótesis!$D$48:$D$53&lt;=49)*(Hipótesis!$B$48:$B$53)*(Hipótesis!$F$48:$F$53))</f>
        <v>320</v>
      </c>
      <c r="AZ29" s="139" t="n">
        <f aca="false">SUMPRODUCT((Hipótesis!$D$48:$D$53&lt;=50)*(Hipótesis!$B$48:$B$53)*(Hipótesis!$F$48:$F$53))</f>
        <v>320</v>
      </c>
      <c r="BA29" s="139" t="n">
        <f aca="false">SUMPRODUCT((Hipótesis!$D$48:$D$53&lt;=51)*(Hipótesis!$B$48:$B$53)*(Hipótesis!$F$48:$F$53))</f>
        <v>320</v>
      </c>
      <c r="BB29" s="139" t="n">
        <f aca="false">SUMPRODUCT((Hipótesis!$D$48:$D$53&lt;=52)*(Hipótesis!$B$48:$B$53)*(Hipótesis!$F$48:$F$53))</f>
        <v>320</v>
      </c>
      <c r="BC29" s="139" t="n">
        <f aca="false">SUMPRODUCT((Hipótesis!$D$48:$D$53&lt;=53)*(Hipótesis!$B$48:$B$53)*(Hipótesis!$F$48:$F$53))</f>
        <v>320</v>
      </c>
      <c r="BD29" s="139" t="n">
        <f aca="false">SUMPRODUCT((Hipótesis!$D$48:$D$53&lt;=54)*(Hipótesis!$B$48:$B$53)*(Hipótesis!$F$48:$F$53))</f>
        <v>320</v>
      </c>
      <c r="BE29" s="139" t="n">
        <f aca="false">SUMPRODUCT((Hipótesis!$D$48:$D$53&lt;=55)*(Hipótesis!$B$48:$B$53)*(Hipótesis!$F$48:$F$53))</f>
        <v>320</v>
      </c>
      <c r="BF29" s="139" t="n">
        <f aca="false">SUMPRODUCT((Hipótesis!$D$48:$D$53&lt;=56)*(Hipótesis!$B$48:$B$53)*(Hipótesis!$F$48:$F$53))</f>
        <v>320</v>
      </c>
      <c r="BG29" s="139" t="n">
        <f aca="false">SUMPRODUCT((Hipótesis!$D$48:$D$53&lt;=57)*(Hipótesis!$B$48:$B$53)*(Hipótesis!$F$48:$F$53))</f>
        <v>320</v>
      </c>
      <c r="BH29" s="139" t="n">
        <f aca="false">SUMPRODUCT((Hipótesis!$D$48:$D$53&lt;=58)*(Hipótesis!$B$48:$B$53)*(Hipótesis!$F$48:$F$53))</f>
        <v>320</v>
      </c>
      <c r="BI29" s="139" t="n">
        <f aca="false">SUMPRODUCT((Hipótesis!$D$48:$D$53&lt;=59)*(Hipótesis!$B$48:$B$53)*(Hipótesis!$F$48:$F$53))</f>
        <v>320</v>
      </c>
      <c r="BJ29" s="139" t="n">
        <f aca="false">SUMPRODUCT((Hipótesis!$D$48:$D$53&lt;=60)*(Hipótesis!$B$48:$B$53)*(Hipótesis!$F$48:$F$53))</f>
        <v>320</v>
      </c>
      <c r="BK29" s="139" t="n">
        <f aca="false">SUMPRODUCT((Hipótesis!$D$48:$D$53&lt;=61)*(Hipótesis!$B$48:$B$53)*(Hipótesis!$F$48:$F$53))</f>
        <v>320</v>
      </c>
      <c r="BL29" s="139" t="n">
        <f aca="false">SUMPRODUCT((Hipótesis!$D$48:$D$53&lt;=62)*(Hipótesis!$B$48:$B$53)*(Hipótesis!$F$48:$F$53))</f>
        <v>320</v>
      </c>
      <c r="BM29" s="139" t="n">
        <f aca="false">SUMPRODUCT((Hipótesis!$D$48:$D$53&lt;=63)*(Hipótesis!$B$48:$B$53)*(Hipótesis!$F$48:$F$53))</f>
        <v>320</v>
      </c>
      <c r="BN29" s="139" t="n">
        <f aca="false">SUMPRODUCT((Hipótesis!$D$48:$D$53&lt;=64)*(Hipótesis!$B$48:$B$53)*(Hipótesis!$F$48:$F$53))</f>
        <v>320</v>
      </c>
      <c r="BO29" s="139" t="n">
        <f aca="false">SUMPRODUCT((Hipótesis!$D$48:$D$53&lt;=65)*(Hipótesis!$B$48:$B$53)*(Hipótesis!$F$48:$F$53))</f>
        <v>320</v>
      </c>
      <c r="BP29" s="139" t="n">
        <f aca="false">SUMPRODUCT((Hipótesis!$D$48:$D$53&lt;=66)*(Hipótesis!$B$48:$B$53)*(Hipótesis!$F$48:$F$53))</f>
        <v>320</v>
      </c>
      <c r="BQ29" s="139" t="n">
        <f aca="false">SUMPRODUCT((Hipótesis!$D$48:$D$53&lt;=67)*(Hipótesis!$B$48:$B$53)*(Hipótesis!$F$48:$F$53))</f>
        <v>320</v>
      </c>
      <c r="BR29" s="139" t="n">
        <f aca="false">SUMPRODUCT((Hipótesis!$D$48:$D$53&lt;=68)*(Hipótesis!$B$48:$B$53)*(Hipótesis!$F$48:$F$53))</f>
        <v>320</v>
      </c>
      <c r="BS29" s="139" t="n">
        <f aca="false">SUMPRODUCT((Hipótesis!$D$48:$D$53&lt;=69)*(Hipótesis!$B$48:$B$53)*(Hipótesis!$F$48:$F$53))</f>
        <v>320</v>
      </c>
      <c r="BT29" s="139" t="n">
        <f aca="false">SUMPRODUCT((Hipótesis!$D$48:$D$53&lt;=70)*(Hipótesis!$B$48:$B$53)*(Hipótesis!$F$48:$F$53))</f>
        <v>320</v>
      </c>
      <c r="BU29" s="139" t="n">
        <f aca="false">SUMPRODUCT((Hipótesis!$D$48:$D$53&lt;=71)*(Hipótesis!$B$48:$B$53)*(Hipótesis!$F$48:$F$53))</f>
        <v>320</v>
      </c>
      <c r="BV29" s="139" t="n">
        <f aca="false">SUMPRODUCT((Hipótesis!$D$48:$D$53&lt;=72)*(Hipótesis!$B$48:$B$53)*(Hipótesis!$F$48:$F$53))</f>
        <v>320</v>
      </c>
      <c r="BW29" s="139" t="n">
        <f aca="false">SUMPRODUCT((Hipótesis!$D$48:$D$53&lt;=73)*(Hipótesis!$B$48:$B$53)*(Hipótesis!$F$48:$F$53))</f>
        <v>320</v>
      </c>
      <c r="BX29" s="139" t="n">
        <f aca="false">SUMPRODUCT((Hipótesis!$D$48:$D$53&lt;=74)*(Hipótesis!$B$48:$B$53)*(Hipótesis!$F$48:$F$53))</f>
        <v>320</v>
      </c>
      <c r="BY29" s="139" t="n">
        <f aca="false">SUMPRODUCT((Hipótesis!$D$48:$D$53&lt;=75)*(Hipótesis!$B$48:$B$53)*(Hipótesis!$F$48:$F$53))</f>
        <v>320</v>
      </c>
      <c r="BZ29" s="139" t="n">
        <f aca="false">SUMPRODUCT((Hipótesis!$D$48:$D$53&lt;=76)*(Hipótesis!$B$48:$B$53)*(Hipótesis!$F$48:$F$53))</f>
        <v>320</v>
      </c>
      <c r="CA29" s="139" t="n">
        <f aca="false">SUMPRODUCT((Hipótesis!$D$48:$D$53&lt;=77)*(Hipótesis!$B$48:$B$53)*(Hipótesis!$F$48:$F$53))</f>
        <v>320</v>
      </c>
      <c r="CB29" s="139" t="n">
        <f aca="false">SUMPRODUCT((Hipótesis!$D$48:$D$53&lt;=78)*(Hipótesis!$B$48:$B$53)*(Hipótesis!$F$48:$F$53))</f>
        <v>320</v>
      </c>
      <c r="CC29" s="139" t="n">
        <f aca="false">SUMPRODUCT((Hipótesis!$D$48:$D$53&lt;=79)*(Hipótesis!$B$48:$B$53)*(Hipótesis!$F$48:$F$53))</f>
        <v>320</v>
      </c>
      <c r="CD29" s="139" t="n">
        <f aca="false">SUMPRODUCT((Hipótesis!$D$48:$D$53&lt;=80)*(Hipótesis!$B$48:$B$53)*(Hipótesis!$F$48:$F$53))</f>
        <v>320</v>
      </c>
      <c r="CE29" s="139" t="n">
        <f aca="false">SUMPRODUCT((Hipótesis!$D$48:$D$53&lt;=81)*(Hipótesis!$B$48:$B$53)*(Hipótesis!$F$48:$F$53))</f>
        <v>320</v>
      </c>
      <c r="CF29" s="139" t="n">
        <f aca="false">SUMPRODUCT((Hipótesis!$D$48:$D$53&lt;=82)*(Hipótesis!$B$48:$B$53)*(Hipótesis!$F$48:$F$53))</f>
        <v>320</v>
      </c>
      <c r="CG29" s="139" t="n">
        <f aca="false">SUMPRODUCT((Hipótesis!$D$48:$D$53&lt;=83)*(Hipótesis!$B$48:$B$53)*(Hipótesis!$F$48:$F$53))</f>
        <v>320</v>
      </c>
      <c r="CH29" s="139" t="n">
        <f aca="false">SUMPRODUCT((Hipótesis!$D$48:$D$53&lt;=84)*(Hipótesis!$B$48:$B$53)*(Hipótesis!$F$48:$F$53))</f>
        <v>320</v>
      </c>
    </row>
    <row r="30" customFormat="false" ht="13.5" hidden="false" customHeight="true" outlineLevel="0" collapsed="false">
      <c r="A30" s="30" t="s">
        <v>712</v>
      </c>
      <c r="C30" s="139" t="n">
        <f aca="false">ROUNDUP(MAX(0,C28-C29)/Hipótesis!$D$63,0)</f>
        <v>0</v>
      </c>
      <c r="D30" s="139" t="n">
        <f aca="false">ROUNDUP(MAX(0,D28-D29)/Hipótesis!$D$63,0)</f>
        <v>0</v>
      </c>
      <c r="E30" s="139" t="n">
        <f aca="false">ROUNDUP(MAX(0,E28-E29)/Hipótesis!$D$63,0)</f>
        <v>0</v>
      </c>
      <c r="F30" s="139" t="n">
        <f aca="false">ROUNDUP(MAX(0,F28-F29)/Hipótesis!$D$63,0)</f>
        <v>0</v>
      </c>
      <c r="G30" s="139" t="n">
        <f aca="false">ROUNDUP(MAX(0,G28-G29)/Hipótesis!$D$63,0)</f>
        <v>0</v>
      </c>
      <c r="H30" s="139" t="n">
        <f aca="false">ROUNDUP(MAX(0,H28-H29)/Hipótesis!$D$63,0)</f>
        <v>0</v>
      </c>
      <c r="I30" s="139" t="n">
        <f aca="false">ROUNDUP(MAX(0,I28-I29)/Hipótesis!$D$63,0)</f>
        <v>0</v>
      </c>
      <c r="J30" s="139" t="n">
        <f aca="false">ROUNDUP(MAX(0,J28-J29)/Hipótesis!$D$63,0)</f>
        <v>0</v>
      </c>
      <c r="K30" s="139" t="n">
        <f aca="false">ROUNDUP(MAX(0,K28-K29)/Hipótesis!$D$63,0)</f>
        <v>0</v>
      </c>
      <c r="L30" s="139" t="n">
        <f aca="false">ROUNDUP(MAX(0,L28-L29)/Hipótesis!$D$63,0)</f>
        <v>0</v>
      </c>
      <c r="M30" s="139" t="n">
        <f aca="false">ROUNDUP(MAX(0,M28-M29)/Hipótesis!$D$63,0)</f>
        <v>0</v>
      </c>
      <c r="N30" s="139" t="n">
        <f aca="false">ROUNDUP(MAX(0,N28-N29)/Hipótesis!$D$63,0)</f>
        <v>0</v>
      </c>
      <c r="O30" s="139" t="n">
        <f aca="false">ROUNDUP(MAX(0,O28-O29)/Hipótesis!$D$63,0)</f>
        <v>0</v>
      </c>
      <c r="P30" s="139" t="n">
        <f aca="false">ROUNDUP(MAX(0,P28-P29)/Hipótesis!$D$63,0)</f>
        <v>0</v>
      </c>
      <c r="Q30" s="139" t="n">
        <f aca="false">ROUNDUP(MAX(0,Q28-Q29)/Hipótesis!$D$63,0)</f>
        <v>0</v>
      </c>
      <c r="R30" s="139" t="n">
        <f aca="false">ROUNDUP(MAX(0,R28-R29)/Hipótesis!$D$63,0)</f>
        <v>0</v>
      </c>
      <c r="S30" s="139" t="n">
        <f aca="false">ROUNDUP(MAX(0,S28-S29)/Hipótesis!$D$63,0)</f>
        <v>0</v>
      </c>
      <c r="T30" s="139" t="n">
        <f aca="false">ROUNDUP(MAX(0,T28-T29)/Hipótesis!$D$63,0)</f>
        <v>0</v>
      </c>
      <c r="U30" s="139" t="n">
        <f aca="false">ROUNDUP(MAX(0,U28-U29)/Hipótesis!$D$63,0)</f>
        <v>1</v>
      </c>
      <c r="V30" s="139" t="n">
        <f aca="false">ROUNDUP(MAX(0,V28-V29)/Hipótesis!$D$63,0)</f>
        <v>1</v>
      </c>
      <c r="W30" s="139" t="n">
        <f aca="false">ROUNDUP(MAX(0,W28-W29)/Hipótesis!$D$63,0)</f>
        <v>1</v>
      </c>
      <c r="X30" s="139" t="n">
        <f aca="false">ROUNDUP(MAX(0,X28-X29)/Hipótesis!$D$63,0)</f>
        <v>1</v>
      </c>
      <c r="Y30" s="139" t="n">
        <f aca="false">ROUNDUP(MAX(0,Y28-Y29)/Hipótesis!$D$63,0)</f>
        <v>1</v>
      </c>
      <c r="Z30" s="139" t="n">
        <f aca="false">ROUNDUP(MAX(0,Z28-Z29)/Hipótesis!$D$63,0)</f>
        <v>1</v>
      </c>
      <c r="AA30" s="139" t="n">
        <f aca="false">ROUNDUP(MAX(0,AA28-AA29)/Hipótesis!$D$63,0)</f>
        <v>1</v>
      </c>
      <c r="AB30" s="139" t="n">
        <f aca="false">ROUNDUP(MAX(0,AB28-AB29)/Hipótesis!$D$63,0)</f>
        <v>1</v>
      </c>
      <c r="AC30" s="139" t="n">
        <f aca="false">ROUNDUP(MAX(0,AC28-AC29)/Hipótesis!$D$63,0)</f>
        <v>1</v>
      </c>
      <c r="AD30" s="139" t="n">
        <f aca="false">ROUNDUP(MAX(0,AD28-AD29)/Hipótesis!$D$63,0)</f>
        <v>1</v>
      </c>
      <c r="AE30" s="139" t="n">
        <f aca="false">ROUNDUP(MAX(0,AE28-AE29)/Hipótesis!$D$63,0)</f>
        <v>1</v>
      </c>
      <c r="AF30" s="139" t="n">
        <f aca="false">ROUNDUP(MAX(0,AF28-AF29)/Hipótesis!$D$63,0)</f>
        <v>1</v>
      </c>
      <c r="AG30" s="139" t="n">
        <f aca="false">ROUNDUP(MAX(0,AG28-AG29)/Hipótesis!$D$63,0)</f>
        <v>1</v>
      </c>
      <c r="AH30" s="139" t="n">
        <f aca="false">ROUNDUP(MAX(0,AH28-AH29)/Hipótesis!$D$63,0)</f>
        <v>2</v>
      </c>
      <c r="AI30" s="139" t="n">
        <f aca="false">ROUNDUP(MAX(0,AI28-AI29)/Hipótesis!$D$63,0)</f>
        <v>2</v>
      </c>
      <c r="AJ30" s="139" t="n">
        <f aca="false">ROUNDUP(MAX(0,AJ28-AJ29)/Hipótesis!$D$63,0)</f>
        <v>2</v>
      </c>
      <c r="AK30" s="139" t="n">
        <f aca="false">ROUNDUP(MAX(0,AK28-AK29)/Hipótesis!$D$63,0)</f>
        <v>2</v>
      </c>
      <c r="AL30" s="139" t="n">
        <f aca="false">ROUNDUP(MAX(0,AL28-AL29)/Hipótesis!$D$63,0)</f>
        <v>2</v>
      </c>
      <c r="AM30" s="139" t="n">
        <f aca="false">ROUNDUP(MAX(0,AM28-AM29)/Hipótesis!$D$63,0)</f>
        <v>2</v>
      </c>
      <c r="AN30" s="139" t="n">
        <f aca="false">ROUNDUP(MAX(0,AN28-AN29)/Hipótesis!$D$63,0)</f>
        <v>2</v>
      </c>
      <c r="AO30" s="139" t="n">
        <f aca="false">ROUNDUP(MAX(0,AO28-AO29)/Hipótesis!$D$63,0)</f>
        <v>2</v>
      </c>
      <c r="AP30" s="139" t="n">
        <f aca="false">ROUNDUP(MAX(0,AP28-AP29)/Hipótesis!$D$63,0)</f>
        <v>2</v>
      </c>
      <c r="AQ30" s="139" t="n">
        <f aca="false">ROUNDUP(MAX(0,AQ28-AQ29)/Hipótesis!$D$63,0)</f>
        <v>2</v>
      </c>
      <c r="AR30" s="139" t="n">
        <f aca="false">ROUNDUP(MAX(0,AR28-AR29)/Hipótesis!$D$63,0)</f>
        <v>2</v>
      </c>
      <c r="AS30" s="139" t="n">
        <f aca="false">ROUNDUP(MAX(0,AS28-AS29)/Hipótesis!$D$63,0)</f>
        <v>2</v>
      </c>
      <c r="AT30" s="139" t="n">
        <f aca="false">ROUNDUP(MAX(0,AT28-AT29)/Hipótesis!$D$63,0)</f>
        <v>2</v>
      </c>
      <c r="AU30" s="139" t="n">
        <f aca="false">ROUNDUP(MAX(0,AU28-AU29)/Hipótesis!$D$63,0)</f>
        <v>2</v>
      </c>
      <c r="AV30" s="139" t="n">
        <f aca="false">ROUNDUP(MAX(0,AV28-AV29)/Hipótesis!$D$63,0)</f>
        <v>2</v>
      </c>
      <c r="AW30" s="139" t="n">
        <f aca="false">ROUNDUP(MAX(0,AW28-AW29)/Hipótesis!$D$63,0)</f>
        <v>2</v>
      </c>
      <c r="AX30" s="139" t="n">
        <f aca="false">ROUNDUP(MAX(0,AX28-AX29)/Hipótesis!$D$63,0)</f>
        <v>2</v>
      </c>
      <c r="AY30" s="139" t="n">
        <f aca="false">ROUNDUP(MAX(0,AY28-AY29)/Hipótesis!$D$63,0)</f>
        <v>2</v>
      </c>
      <c r="AZ30" s="139" t="n">
        <f aca="false">ROUNDUP(MAX(0,AZ28-AZ29)/Hipótesis!$D$63,0)</f>
        <v>2</v>
      </c>
      <c r="BA30" s="139" t="n">
        <f aca="false">ROUNDUP(MAX(0,BA28-BA29)/Hipótesis!$D$63,0)</f>
        <v>2</v>
      </c>
      <c r="BB30" s="139" t="n">
        <f aca="false">ROUNDUP(MAX(0,BB28-BB29)/Hipótesis!$D$63,0)</f>
        <v>2</v>
      </c>
      <c r="BC30" s="139" t="n">
        <f aca="false">ROUNDUP(MAX(0,BC28-BC29)/Hipótesis!$D$63,0)</f>
        <v>2</v>
      </c>
      <c r="BD30" s="139" t="n">
        <f aca="false">ROUNDUP(MAX(0,BD28-BD29)/Hipótesis!$D$63,0)</f>
        <v>2</v>
      </c>
      <c r="BE30" s="139" t="n">
        <f aca="false">ROUNDUP(MAX(0,BE28-BE29)/Hipótesis!$D$63,0)</f>
        <v>2</v>
      </c>
      <c r="BF30" s="139" t="n">
        <f aca="false">ROUNDUP(MAX(0,BF28-BF29)/Hipótesis!$D$63,0)</f>
        <v>2</v>
      </c>
      <c r="BG30" s="139" t="n">
        <f aca="false">ROUNDUP(MAX(0,BG28-BG29)/Hipótesis!$D$63,0)</f>
        <v>2</v>
      </c>
      <c r="BH30" s="139" t="n">
        <f aca="false">ROUNDUP(MAX(0,BH28-BH29)/Hipótesis!$D$63,0)</f>
        <v>2</v>
      </c>
      <c r="BI30" s="139" t="n">
        <f aca="false">ROUNDUP(MAX(0,BI28-BI29)/Hipótesis!$D$63,0)</f>
        <v>2</v>
      </c>
      <c r="BJ30" s="139" t="n">
        <f aca="false">ROUNDUP(MAX(0,BJ28-BJ29)/Hipótesis!$D$63,0)</f>
        <v>2</v>
      </c>
      <c r="BK30" s="139" t="n">
        <f aca="false">ROUNDUP(MAX(0,BK28-BK29)/Hipótesis!$D$63,0)</f>
        <v>2</v>
      </c>
      <c r="BL30" s="139" t="n">
        <f aca="false">ROUNDUP(MAX(0,BL28-BL29)/Hipótesis!$D$63,0)</f>
        <v>2</v>
      </c>
      <c r="BM30" s="139" t="n">
        <f aca="false">ROUNDUP(MAX(0,BM28-BM29)/Hipótesis!$D$63,0)</f>
        <v>2</v>
      </c>
      <c r="BN30" s="139" t="n">
        <f aca="false">ROUNDUP(MAX(0,BN28-BN29)/Hipótesis!$D$63,0)</f>
        <v>2</v>
      </c>
      <c r="BO30" s="139" t="n">
        <f aca="false">ROUNDUP(MAX(0,BO28-BO29)/Hipótesis!$D$63,0)</f>
        <v>2</v>
      </c>
      <c r="BP30" s="139" t="n">
        <f aca="false">ROUNDUP(MAX(0,BP28-BP29)/Hipótesis!$D$63,0)</f>
        <v>2</v>
      </c>
      <c r="BQ30" s="139" t="n">
        <f aca="false">ROUNDUP(MAX(0,BQ28-BQ29)/Hipótesis!$D$63,0)</f>
        <v>2</v>
      </c>
      <c r="BR30" s="139" t="n">
        <f aca="false">ROUNDUP(MAX(0,BR28-BR29)/Hipótesis!$D$63,0)</f>
        <v>2</v>
      </c>
      <c r="BS30" s="139" t="n">
        <f aca="false">ROUNDUP(MAX(0,BS28-BS29)/Hipótesis!$D$63,0)</f>
        <v>2</v>
      </c>
      <c r="BT30" s="139" t="n">
        <f aca="false">ROUNDUP(MAX(0,BT28-BT29)/Hipótesis!$D$63,0)</f>
        <v>2</v>
      </c>
      <c r="BU30" s="139" t="n">
        <f aca="false">ROUNDUP(MAX(0,BU28-BU29)/Hipótesis!$D$63,0)</f>
        <v>2</v>
      </c>
      <c r="BV30" s="139" t="n">
        <f aca="false">ROUNDUP(MAX(0,BV28-BV29)/Hipótesis!$D$63,0)</f>
        <v>2</v>
      </c>
      <c r="BW30" s="139" t="n">
        <f aca="false">ROUNDUP(MAX(0,BW28-BW29)/Hipótesis!$D$63,0)</f>
        <v>2</v>
      </c>
      <c r="BX30" s="139" t="n">
        <f aca="false">ROUNDUP(MAX(0,BX28-BX29)/Hipótesis!$D$63,0)</f>
        <v>2</v>
      </c>
      <c r="BY30" s="139" t="n">
        <f aca="false">ROUNDUP(MAX(0,BY28-BY29)/Hipótesis!$D$63,0)</f>
        <v>2</v>
      </c>
      <c r="BZ30" s="139" t="n">
        <f aca="false">ROUNDUP(MAX(0,BZ28-BZ29)/Hipótesis!$D$63,0)</f>
        <v>2</v>
      </c>
      <c r="CA30" s="139" t="n">
        <f aca="false">ROUNDUP(MAX(0,CA28-CA29)/Hipótesis!$D$63,0)</f>
        <v>2</v>
      </c>
      <c r="CB30" s="139" t="n">
        <f aca="false">ROUNDUP(MAX(0,CB28-CB29)/Hipótesis!$D$63,0)</f>
        <v>2</v>
      </c>
      <c r="CC30" s="139" t="n">
        <f aca="false">ROUNDUP(MAX(0,CC28-CC29)/Hipótesis!$D$63,0)</f>
        <v>2</v>
      </c>
      <c r="CD30" s="139" t="n">
        <f aca="false">ROUNDUP(MAX(0,CD28-CD29)/Hipótesis!$D$63,0)</f>
        <v>2</v>
      </c>
      <c r="CE30" s="139" t="n">
        <f aca="false">ROUNDUP(MAX(0,CE28-CE29)/Hipótesis!$D$63,0)</f>
        <v>2</v>
      </c>
      <c r="CF30" s="139" t="n">
        <f aca="false">ROUNDUP(MAX(0,CF28-CF29)/Hipótesis!$D$63,0)</f>
        <v>2</v>
      </c>
      <c r="CG30" s="139" t="n">
        <f aca="false">ROUNDUP(MAX(0,CG28-CG29)/Hipótesis!$D$63,0)</f>
        <v>2</v>
      </c>
      <c r="CH30" s="139" t="n">
        <f aca="false">ROUNDUP(MAX(0,CH28-CH29)/Hipótesis!$D$63,0)</f>
        <v>2</v>
      </c>
    </row>
    <row r="31" customFormat="false" ht="13.5" hidden="false" customHeight="true" outlineLevel="0" collapsed="false">
      <c r="A31" s="30" t="s">
        <v>713</v>
      </c>
      <c r="C31" s="139" t="n">
        <f aca="false">SUMPRODUCT((Hipótesis!$D$48:$D$53&lt;=1)*(Hipótesis!$B$48:$B$53))+C30</f>
        <v>4</v>
      </c>
      <c r="D31" s="139" t="n">
        <f aca="false">SUMPRODUCT((Hipótesis!$D$48:$D$53&lt;=2)*(Hipótesis!$B$48:$B$53))+D30</f>
        <v>4</v>
      </c>
      <c r="E31" s="139" t="n">
        <f aca="false">SUMPRODUCT((Hipótesis!$D$48:$D$53&lt;=3)*(Hipótesis!$B$48:$B$53))+E30</f>
        <v>4</v>
      </c>
      <c r="F31" s="139" t="n">
        <f aca="false">SUMPRODUCT((Hipótesis!$D$48:$D$53&lt;=4)*(Hipótesis!$B$48:$B$53))+F30</f>
        <v>4</v>
      </c>
      <c r="G31" s="139" t="n">
        <f aca="false">SUMPRODUCT((Hipótesis!$D$48:$D$53&lt;=5)*(Hipótesis!$B$48:$B$53))+G30</f>
        <v>4</v>
      </c>
      <c r="H31" s="139" t="n">
        <f aca="false">SUMPRODUCT((Hipótesis!$D$48:$D$53&lt;=6)*(Hipótesis!$B$48:$B$53))+H30</f>
        <v>4</v>
      </c>
      <c r="I31" s="139" t="n">
        <f aca="false">SUMPRODUCT((Hipótesis!$D$48:$D$53&lt;=7)*(Hipótesis!$B$48:$B$53))+I30</f>
        <v>4</v>
      </c>
      <c r="J31" s="139" t="n">
        <f aca="false">SUMPRODUCT((Hipótesis!$D$48:$D$53&lt;=8)*(Hipótesis!$B$48:$B$53))+J30</f>
        <v>4</v>
      </c>
      <c r="K31" s="139" t="n">
        <f aca="false">SUMPRODUCT((Hipótesis!$D$48:$D$53&lt;=9)*(Hipótesis!$B$48:$B$53))+K30</f>
        <v>4</v>
      </c>
      <c r="L31" s="139" t="n">
        <f aca="false">SUMPRODUCT((Hipótesis!$D$48:$D$53&lt;=10)*(Hipótesis!$B$48:$B$53))+L30</f>
        <v>4</v>
      </c>
      <c r="M31" s="139" t="n">
        <f aca="false">SUMPRODUCT((Hipótesis!$D$48:$D$53&lt;=11)*(Hipótesis!$B$48:$B$53))+M30</f>
        <v>4</v>
      </c>
      <c r="N31" s="139" t="n">
        <f aca="false">SUMPRODUCT((Hipótesis!$D$48:$D$53&lt;=12)*(Hipótesis!$B$48:$B$53))+N30</f>
        <v>4</v>
      </c>
      <c r="O31" s="139" t="n">
        <f aca="false">SUMPRODUCT((Hipótesis!$D$48:$D$53&lt;=13)*(Hipótesis!$B$48:$B$53))+O30</f>
        <v>4</v>
      </c>
      <c r="P31" s="139" t="n">
        <f aca="false">SUMPRODUCT((Hipótesis!$D$48:$D$53&lt;=14)*(Hipótesis!$B$48:$B$53))+P30</f>
        <v>4</v>
      </c>
      <c r="Q31" s="139" t="n">
        <f aca="false">SUMPRODUCT((Hipótesis!$D$48:$D$53&lt;=15)*(Hipótesis!$B$48:$B$53))+Q30</f>
        <v>4</v>
      </c>
      <c r="R31" s="139" t="n">
        <f aca="false">SUMPRODUCT((Hipótesis!$D$48:$D$53&lt;=16)*(Hipótesis!$B$48:$B$53))+R30</f>
        <v>4</v>
      </c>
      <c r="S31" s="139" t="n">
        <f aca="false">SUMPRODUCT((Hipótesis!$D$48:$D$53&lt;=17)*(Hipótesis!$B$48:$B$53))+S30</f>
        <v>4</v>
      </c>
      <c r="T31" s="139" t="n">
        <f aca="false">SUMPRODUCT((Hipótesis!$D$48:$D$53&lt;=18)*(Hipótesis!$B$48:$B$53))+T30</f>
        <v>4</v>
      </c>
      <c r="U31" s="139" t="n">
        <f aca="false">SUMPRODUCT((Hipótesis!$D$48:$D$53&lt;=19)*(Hipótesis!$B$48:$B$53))+U30</f>
        <v>5</v>
      </c>
      <c r="V31" s="139" t="n">
        <f aca="false">SUMPRODUCT((Hipótesis!$D$48:$D$53&lt;=20)*(Hipótesis!$B$48:$B$53))+V30</f>
        <v>6</v>
      </c>
      <c r="W31" s="139" t="n">
        <f aca="false">SUMPRODUCT((Hipótesis!$D$48:$D$53&lt;=21)*(Hipótesis!$B$48:$B$53))+W30</f>
        <v>6</v>
      </c>
      <c r="X31" s="139" t="n">
        <f aca="false">SUMPRODUCT((Hipótesis!$D$48:$D$53&lt;=22)*(Hipótesis!$B$48:$B$53))+X30</f>
        <v>6</v>
      </c>
      <c r="Y31" s="139" t="n">
        <f aca="false">SUMPRODUCT((Hipótesis!$D$48:$D$53&lt;=23)*(Hipótesis!$B$48:$B$53))+Y30</f>
        <v>6</v>
      </c>
      <c r="Z31" s="139" t="n">
        <f aca="false">SUMPRODUCT((Hipótesis!$D$48:$D$53&lt;=24)*(Hipótesis!$B$48:$B$53))+Z30</f>
        <v>6</v>
      </c>
      <c r="AA31" s="139" t="n">
        <f aca="false">SUMPRODUCT((Hipótesis!$D$48:$D$53&lt;=25)*(Hipótesis!$B$48:$B$53))+AA30</f>
        <v>6</v>
      </c>
      <c r="AB31" s="139" t="n">
        <f aca="false">SUMPRODUCT((Hipótesis!$D$48:$D$53&lt;=26)*(Hipótesis!$B$48:$B$53))+AB30</f>
        <v>6</v>
      </c>
      <c r="AC31" s="139" t="n">
        <f aca="false">SUMPRODUCT((Hipótesis!$D$48:$D$53&lt;=27)*(Hipótesis!$B$48:$B$53))+AC30</f>
        <v>6</v>
      </c>
      <c r="AD31" s="139" t="n">
        <f aca="false">SUMPRODUCT((Hipótesis!$D$48:$D$53&lt;=28)*(Hipótesis!$B$48:$B$53))+AD30</f>
        <v>6</v>
      </c>
      <c r="AE31" s="139" t="n">
        <f aca="false">SUMPRODUCT((Hipótesis!$D$48:$D$53&lt;=29)*(Hipótesis!$B$48:$B$53))+AE30</f>
        <v>6</v>
      </c>
      <c r="AF31" s="139" t="n">
        <f aca="false">SUMPRODUCT((Hipótesis!$D$48:$D$53&lt;=30)*(Hipótesis!$B$48:$B$53))+AF30</f>
        <v>6</v>
      </c>
      <c r="AG31" s="139" t="n">
        <f aca="false">SUMPRODUCT((Hipótesis!$D$48:$D$53&lt;=31)*(Hipótesis!$B$48:$B$53))+AG30</f>
        <v>6</v>
      </c>
      <c r="AH31" s="139" t="n">
        <f aca="false">SUMPRODUCT((Hipótesis!$D$48:$D$53&lt;=32)*(Hipótesis!$B$48:$B$53))+AH30</f>
        <v>7</v>
      </c>
      <c r="AI31" s="139" t="n">
        <f aca="false">SUMPRODUCT((Hipótesis!$D$48:$D$53&lt;=33)*(Hipótesis!$B$48:$B$53))+AI30</f>
        <v>7</v>
      </c>
      <c r="AJ31" s="139" t="n">
        <f aca="false">SUMPRODUCT((Hipótesis!$D$48:$D$53&lt;=34)*(Hipótesis!$B$48:$B$53))+AJ30</f>
        <v>7</v>
      </c>
      <c r="AK31" s="139" t="n">
        <f aca="false">SUMPRODUCT((Hipótesis!$D$48:$D$53&lt;=35)*(Hipótesis!$B$48:$B$53))+AK30</f>
        <v>7</v>
      </c>
      <c r="AL31" s="139" t="n">
        <f aca="false">SUMPRODUCT((Hipótesis!$D$48:$D$53&lt;=36)*(Hipótesis!$B$48:$B$53))+AL30</f>
        <v>7</v>
      </c>
      <c r="AM31" s="139" t="n">
        <f aca="false">SUMPRODUCT((Hipótesis!$D$48:$D$53&lt;=37)*(Hipótesis!$B$48:$B$53))+AM30</f>
        <v>7</v>
      </c>
      <c r="AN31" s="139" t="n">
        <f aca="false">SUMPRODUCT((Hipótesis!$D$48:$D$53&lt;=38)*(Hipótesis!$B$48:$B$53))+AN30</f>
        <v>7</v>
      </c>
      <c r="AO31" s="139" t="n">
        <f aca="false">SUMPRODUCT((Hipótesis!$D$48:$D$53&lt;=39)*(Hipótesis!$B$48:$B$53))+AO30</f>
        <v>7</v>
      </c>
      <c r="AP31" s="139" t="n">
        <f aca="false">SUMPRODUCT((Hipótesis!$D$48:$D$53&lt;=40)*(Hipótesis!$B$48:$B$53))+AP30</f>
        <v>7</v>
      </c>
      <c r="AQ31" s="139" t="n">
        <f aca="false">SUMPRODUCT((Hipótesis!$D$48:$D$53&lt;=41)*(Hipótesis!$B$48:$B$53))+AQ30</f>
        <v>7</v>
      </c>
      <c r="AR31" s="139" t="n">
        <f aca="false">SUMPRODUCT((Hipótesis!$D$48:$D$53&lt;=42)*(Hipótesis!$B$48:$B$53))+AR30</f>
        <v>7</v>
      </c>
      <c r="AS31" s="139" t="n">
        <f aca="false">SUMPRODUCT((Hipótesis!$D$48:$D$53&lt;=43)*(Hipótesis!$B$48:$B$53))+AS30</f>
        <v>7</v>
      </c>
      <c r="AT31" s="139" t="n">
        <f aca="false">SUMPRODUCT((Hipótesis!$D$48:$D$53&lt;=44)*(Hipótesis!$B$48:$B$53))+AT30</f>
        <v>7</v>
      </c>
      <c r="AU31" s="139" t="n">
        <f aca="false">SUMPRODUCT((Hipótesis!$D$48:$D$53&lt;=45)*(Hipótesis!$B$48:$B$53))+AU30</f>
        <v>7</v>
      </c>
      <c r="AV31" s="139" t="n">
        <f aca="false">SUMPRODUCT((Hipótesis!$D$48:$D$53&lt;=46)*(Hipótesis!$B$48:$B$53))+AV30</f>
        <v>7</v>
      </c>
      <c r="AW31" s="139" t="n">
        <f aca="false">SUMPRODUCT((Hipótesis!$D$48:$D$53&lt;=47)*(Hipótesis!$B$48:$B$53))+AW30</f>
        <v>7</v>
      </c>
      <c r="AX31" s="139" t="n">
        <f aca="false">SUMPRODUCT((Hipótesis!$D$48:$D$53&lt;=48)*(Hipótesis!$B$48:$B$53))+AX30</f>
        <v>7</v>
      </c>
      <c r="AY31" s="139" t="n">
        <f aca="false">SUMPRODUCT((Hipótesis!$D$48:$D$53&lt;=49)*(Hipótesis!$B$48:$B$53))+AY30</f>
        <v>7</v>
      </c>
      <c r="AZ31" s="139" t="n">
        <f aca="false">SUMPRODUCT((Hipótesis!$D$48:$D$53&lt;=50)*(Hipótesis!$B$48:$B$53))+AZ30</f>
        <v>7</v>
      </c>
      <c r="BA31" s="139" t="n">
        <f aca="false">SUMPRODUCT((Hipótesis!$D$48:$D$53&lt;=51)*(Hipótesis!$B$48:$B$53))+BA30</f>
        <v>7</v>
      </c>
      <c r="BB31" s="139" t="n">
        <f aca="false">SUMPRODUCT((Hipótesis!$D$48:$D$53&lt;=52)*(Hipótesis!$B$48:$B$53))+BB30</f>
        <v>7</v>
      </c>
      <c r="BC31" s="139" t="n">
        <f aca="false">SUMPRODUCT((Hipótesis!$D$48:$D$53&lt;=53)*(Hipótesis!$B$48:$B$53))+BC30</f>
        <v>7</v>
      </c>
      <c r="BD31" s="139" t="n">
        <f aca="false">SUMPRODUCT((Hipótesis!$D$48:$D$53&lt;=54)*(Hipótesis!$B$48:$B$53))+BD30</f>
        <v>7</v>
      </c>
      <c r="BE31" s="139" t="n">
        <f aca="false">SUMPRODUCT((Hipótesis!$D$48:$D$53&lt;=55)*(Hipótesis!$B$48:$B$53))+BE30</f>
        <v>7</v>
      </c>
      <c r="BF31" s="139" t="n">
        <f aca="false">SUMPRODUCT((Hipótesis!$D$48:$D$53&lt;=56)*(Hipótesis!$B$48:$B$53))+BF30</f>
        <v>7</v>
      </c>
      <c r="BG31" s="139" t="n">
        <f aca="false">SUMPRODUCT((Hipótesis!$D$48:$D$53&lt;=57)*(Hipótesis!$B$48:$B$53))+BG30</f>
        <v>7</v>
      </c>
      <c r="BH31" s="139" t="n">
        <f aca="false">SUMPRODUCT((Hipótesis!$D$48:$D$53&lt;=58)*(Hipótesis!$B$48:$B$53))+BH30</f>
        <v>7</v>
      </c>
      <c r="BI31" s="139" t="n">
        <f aca="false">SUMPRODUCT((Hipótesis!$D$48:$D$53&lt;=59)*(Hipótesis!$B$48:$B$53))+BI30</f>
        <v>7</v>
      </c>
      <c r="BJ31" s="139" t="n">
        <f aca="false">SUMPRODUCT((Hipótesis!$D$48:$D$53&lt;=60)*(Hipótesis!$B$48:$B$53))+BJ30</f>
        <v>7</v>
      </c>
      <c r="BK31" s="139" t="n">
        <f aca="false">SUMPRODUCT((Hipótesis!$D$48:$D$53&lt;=61)*(Hipótesis!$B$48:$B$53))+BK30</f>
        <v>7</v>
      </c>
      <c r="BL31" s="139" t="n">
        <f aca="false">SUMPRODUCT((Hipótesis!$D$48:$D$53&lt;=62)*(Hipótesis!$B$48:$B$53))+BL30</f>
        <v>7</v>
      </c>
      <c r="BM31" s="139" t="n">
        <f aca="false">SUMPRODUCT((Hipótesis!$D$48:$D$53&lt;=63)*(Hipótesis!$B$48:$B$53))+BM30</f>
        <v>7</v>
      </c>
      <c r="BN31" s="139" t="n">
        <f aca="false">SUMPRODUCT((Hipótesis!$D$48:$D$53&lt;=64)*(Hipótesis!$B$48:$B$53))+BN30</f>
        <v>7</v>
      </c>
      <c r="BO31" s="139" t="n">
        <f aca="false">SUMPRODUCT((Hipótesis!$D$48:$D$53&lt;=65)*(Hipótesis!$B$48:$B$53))+BO30</f>
        <v>7</v>
      </c>
      <c r="BP31" s="139" t="n">
        <f aca="false">SUMPRODUCT((Hipótesis!$D$48:$D$53&lt;=66)*(Hipótesis!$B$48:$B$53))+BP30</f>
        <v>7</v>
      </c>
      <c r="BQ31" s="139" t="n">
        <f aca="false">SUMPRODUCT((Hipótesis!$D$48:$D$53&lt;=67)*(Hipótesis!$B$48:$B$53))+BQ30</f>
        <v>7</v>
      </c>
      <c r="BR31" s="139" t="n">
        <f aca="false">SUMPRODUCT((Hipótesis!$D$48:$D$53&lt;=68)*(Hipótesis!$B$48:$B$53))+BR30</f>
        <v>7</v>
      </c>
      <c r="BS31" s="139" t="n">
        <f aca="false">SUMPRODUCT((Hipótesis!$D$48:$D$53&lt;=69)*(Hipótesis!$B$48:$B$53))+BS30</f>
        <v>7</v>
      </c>
      <c r="BT31" s="139" t="n">
        <f aca="false">SUMPRODUCT((Hipótesis!$D$48:$D$53&lt;=70)*(Hipótesis!$B$48:$B$53))+BT30</f>
        <v>7</v>
      </c>
      <c r="BU31" s="139" t="n">
        <f aca="false">SUMPRODUCT((Hipótesis!$D$48:$D$53&lt;=71)*(Hipótesis!$B$48:$B$53))+BU30</f>
        <v>7</v>
      </c>
      <c r="BV31" s="139" t="n">
        <f aca="false">SUMPRODUCT((Hipótesis!$D$48:$D$53&lt;=72)*(Hipótesis!$B$48:$B$53))+BV30</f>
        <v>7</v>
      </c>
      <c r="BW31" s="139" t="n">
        <f aca="false">SUMPRODUCT((Hipótesis!$D$48:$D$53&lt;=73)*(Hipótesis!$B$48:$B$53))+BW30</f>
        <v>7</v>
      </c>
      <c r="BX31" s="139" t="n">
        <f aca="false">SUMPRODUCT((Hipótesis!$D$48:$D$53&lt;=74)*(Hipótesis!$B$48:$B$53))+BX30</f>
        <v>7</v>
      </c>
      <c r="BY31" s="139" t="n">
        <f aca="false">SUMPRODUCT((Hipótesis!$D$48:$D$53&lt;=75)*(Hipótesis!$B$48:$B$53))+BY30</f>
        <v>7</v>
      </c>
      <c r="BZ31" s="139" t="n">
        <f aca="false">SUMPRODUCT((Hipótesis!$D$48:$D$53&lt;=76)*(Hipótesis!$B$48:$B$53))+BZ30</f>
        <v>7</v>
      </c>
      <c r="CA31" s="139" t="n">
        <f aca="false">SUMPRODUCT((Hipótesis!$D$48:$D$53&lt;=77)*(Hipótesis!$B$48:$B$53))+CA30</f>
        <v>7</v>
      </c>
      <c r="CB31" s="139" t="n">
        <f aca="false">SUMPRODUCT((Hipótesis!$D$48:$D$53&lt;=78)*(Hipótesis!$B$48:$B$53))+CB30</f>
        <v>7</v>
      </c>
      <c r="CC31" s="139" t="n">
        <f aca="false">SUMPRODUCT((Hipótesis!$D$48:$D$53&lt;=79)*(Hipótesis!$B$48:$B$53))+CC30</f>
        <v>7</v>
      </c>
      <c r="CD31" s="139" t="n">
        <f aca="false">SUMPRODUCT((Hipótesis!$D$48:$D$53&lt;=80)*(Hipótesis!$B$48:$B$53))+CD30</f>
        <v>7</v>
      </c>
      <c r="CE31" s="139" t="n">
        <f aca="false">SUMPRODUCT((Hipótesis!$D$48:$D$53&lt;=81)*(Hipótesis!$B$48:$B$53))+CE30</f>
        <v>7</v>
      </c>
      <c r="CF31" s="139" t="n">
        <f aca="false">SUMPRODUCT((Hipótesis!$D$48:$D$53&lt;=82)*(Hipótesis!$B$48:$B$53))+CF30</f>
        <v>7</v>
      </c>
      <c r="CG31" s="139" t="n">
        <f aca="false">SUMPRODUCT((Hipótesis!$D$48:$D$53&lt;=83)*(Hipótesis!$B$48:$B$53))+CG30</f>
        <v>7</v>
      </c>
      <c r="CH31" s="139" t="n">
        <f aca="false">SUMPRODUCT((Hipótesis!$D$48:$D$53&lt;=84)*(Hipótesis!$B$48:$B$53))+CH30</f>
        <v>7</v>
      </c>
    </row>
    <row r="32" customFormat="false" ht="13.5" hidden="false" customHeight="true" outlineLevel="0" collapsed="false"/>
    <row r="33" customFormat="false" ht="12.75" hidden="false" customHeight="true" outlineLevel="0" collapsed="false">
      <c r="A33" s="10" t="s">
        <v>714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</row>
    <row r="34" customFormat="false" ht="13.5" hidden="false" customHeight="true" outlineLevel="0" collapsed="false">
      <c r="A34" s="13" t="s">
        <v>715</v>
      </c>
      <c r="C34" s="138" t="n">
        <f aca="false">C186</f>
        <v>1136.4375</v>
      </c>
      <c r="D34" s="138" t="n">
        <f aca="false">D186</f>
        <v>2359.005</v>
      </c>
      <c r="E34" s="138" t="n">
        <f aca="false">E186</f>
        <v>4903.42875</v>
      </c>
      <c r="F34" s="138" t="n">
        <f aca="false">F186</f>
        <v>6311.415</v>
      </c>
      <c r="G34" s="138" t="n">
        <f aca="false">G186</f>
        <v>7633.27125</v>
      </c>
      <c r="H34" s="138" t="n">
        <f aca="false">H186</f>
        <v>9744.6525</v>
      </c>
      <c r="I34" s="138" t="n">
        <f aca="false">I186</f>
        <v>11856.03375</v>
      </c>
      <c r="J34" s="138" t="n">
        <f aca="false">J186</f>
        <v>15570.2144393222</v>
      </c>
      <c r="K34" s="138" t="n">
        <f aca="false">K186</f>
        <v>20085.7948483054</v>
      </c>
      <c r="L34" s="138" t="n">
        <f aca="false">L186</f>
        <v>24601.3752572886</v>
      </c>
      <c r="M34" s="138" t="n">
        <f aca="false">M186</f>
        <v>27795.0994162719</v>
      </c>
      <c r="N34" s="138" t="n">
        <f aca="false">N186</f>
        <v>32065.4485752551</v>
      </c>
      <c r="O34" s="138" t="n">
        <f aca="false">O186</f>
        <v>36335.7977342384</v>
      </c>
      <c r="P34" s="138" t="n">
        <f aca="false">P186</f>
        <v>40218.5618932216</v>
      </c>
      <c r="Q34" s="138" t="n">
        <f aca="false">Q186</f>
        <v>44101.3260522049</v>
      </c>
      <c r="R34" s="138" t="n">
        <f aca="false">R186</f>
        <v>47984.0902111881</v>
      </c>
      <c r="S34" s="138" t="n">
        <f aca="false">S186</f>
        <v>51866.8543701714</v>
      </c>
      <c r="T34" s="138" t="n">
        <f aca="false">T186</f>
        <v>55749.6185291546</v>
      </c>
      <c r="U34" s="138" t="n">
        <f aca="false">U186</f>
        <v>60166.6491679119</v>
      </c>
      <c r="V34" s="138" t="n">
        <f aca="false">V186</f>
        <v>64583.6798066692</v>
      </c>
      <c r="W34" s="138" t="n">
        <f aca="false">W186</f>
        <v>69000.7104454265</v>
      </c>
      <c r="X34" s="138" t="n">
        <f aca="false">X186</f>
        <v>72341.1160841838</v>
      </c>
      <c r="Y34" s="138" t="n">
        <f aca="false">Y186</f>
        <v>75681.5217229411</v>
      </c>
      <c r="Z34" s="138" t="n">
        <f aca="false">Z186</f>
        <v>78619.9873616984</v>
      </c>
      <c r="AA34" s="138" t="n">
        <f aca="false">AA186</f>
        <v>81558.4530004557</v>
      </c>
      <c r="AB34" s="138" t="n">
        <f aca="false">AB186</f>
        <v>84496.918639213</v>
      </c>
      <c r="AC34" s="138" t="n">
        <f aca="false">AC186</f>
        <v>87435.3842779703</v>
      </c>
      <c r="AD34" s="138" t="n">
        <f aca="false">AD186</f>
        <v>90373.8499167276</v>
      </c>
      <c r="AE34" s="138" t="n">
        <f aca="false">AE186</f>
        <v>93312.3155554849</v>
      </c>
      <c r="AF34" s="138" t="n">
        <f aca="false">AF186</f>
        <v>96250.7811942422</v>
      </c>
      <c r="AG34" s="138" t="n">
        <f aca="false">AG186</f>
        <v>99189.2468329995</v>
      </c>
      <c r="AH34" s="138" t="n">
        <f aca="false">AH186</f>
        <v>102127.712471757</v>
      </c>
      <c r="AI34" s="138" t="n">
        <f aca="false">AI186</f>
        <v>105066.178110514</v>
      </c>
      <c r="AJ34" s="138" t="n">
        <f aca="false">AJ186</f>
        <v>108004.643749271</v>
      </c>
      <c r="AK34" s="138" t="n">
        <f aca="false">AK186</f>
        <v>110943.109388029</v>
      </c>
      <c r="AL34" s="138" t="n">
        <f aca="false">AL186</f>
        <v>113881.575026786</v>
      </c>
      <c r="AM34" s="138" t="n">
        <f aca="false">AM186</f>
        <v>116820.040665543</v>
      </c>
      <c r="AN34" s="138" t="n">
        <f aca="false">AN186</f>
        <v>119758.506304301</v>
      </c>
      <c r="AO34" s="138" t="n">
        <f aca="false">AO186</f>
        <v>122696.971943058</v>
      </c>
      <c r="AP34" s="138" t="n">
        <f aca="false">AP186</f>
        <v>125635.437581815</v>
      </c>
      <c r="AQ34" s="138" t="n">
        <f aca="false">AQ186</f>
        <v>128573.903220572</v>
      </c>
      <c r="AR34" s="138" t="n">
        <f aca="false">AR186</f>
        <v>131512.36885933</v>
      </c>
      <c r="AS34" s="138" t="n">
        <f aca="false">AS186</f>
        <v>131512.36885933</v>
      </c>
      <c r="AT34" s="138" t="n">
        <f aca="false">AT186</f>
        <v>131512.36885933</v>
      </c>
      <c r="AU34" s="138" t="n">
        <f aca="false">AU186</f>
        <v>131512.36885933</v>
      </c>
      <c r="AV34" s="138" t="n">
        <f aca="false">AV186</f>
        <v>131512.36885933</v>
      </c>
      <c r="AW34" s="138" t="n">
        <f aca="false">AW186</f>
        <v>131512.36885933</v>
      </c>
      <c r="AX34" s="138" t="n">
        <f aca="false">AX186</f>
        <v>131512.36885933</v>
      </c>
      <c r="AY34" s="138" t="n">
        <f aca="false">AY186</f>
        <v>131512.36885933</v>
      </c>
      <c r="AZ34" s="138" t="n">
        <f aca="false">AZ186</f>
        <v>131512.36885933</v>
      </c>
      <c r="BA34" s="138" t="n">
        <f aca="false">BA186</f>
        <v>131512.36885933</v>
      </c>
      <c r="BB34" s="138" t="n">
        <f aca="false">BB186</f>
        <v>131512.36885933</v>
      </c>
      <c r="BC34" s="138" t="n">
        <f aca="false">BC186</f>
        <v>131512.36885933</v>
      </c>
      <c r="BD34" s="138" t="n">
        <f aca="false">BD186</f>
        <v>131512.36885933</v>
      </c>
      <c r="BE34" s="138" t="n">
        <f aca="false">BE186</f>
        <v>131512.36885933</v>
      </c>
      <c r="BF34" s="138" t="n">
        <f aca="false">BF186</f>
        <v>131512.36885933</v>
      </c>
      <c r="BG34" s="138" t="n">
        <f aca="false">BG186</f>
        <v>131512.36885933</v>
      </c>
      <c r="BH34" s="138" t="n">
        <f aca="false">BH186</f>
        <v>131512.36885933</v>
      </c>
      <c r="BI34" s="138" t="n">
        <f aca="false">BI186</f>
        <v>131512.36885933</v>
      </c>
      <c r="BJ34" s="138" t="n">
        <f aca="false">BJ186</f>
        <v>131512.36885933</v>
      </c>
      <c r="BK34" s="138" t="n">
        <f aca="false">BK186</f>
        <v>131512.36885933</v>
      </c>
      <c r="BL34" s="138" t="n">
        <f aca="false">BL186</f>
        <v>131512.36885933</v>
      </c>
      <c r="BM34" s="138" t="n">
        <f aca="false">BM186</f>
        <v>131512.36885933</v>
      </c>
      <c r="BN34" s="138" t="n">
        <f aca="false">BN186</f>
        <v>131512.36885933</v>
      </c>
      <c r="BO34" s="138" t="n">
        <f aca="false">BO186</f>
        <v>131512.36885933</v>
      </c>
      <c r="BP34" s="138" t="n">
        <f aca="false">BP186</f>
        <v>131512.36885933</v>
      </c>
      <c r="BQ34" s="138" t="n">
        <f aca="false">BQ186</f>
        <v>131512.36885933</v>
      </c>
      <c r="BR34" s="138" t="n">
        <f aca="false">BR186</f>
        <v>131512.36885933</v>
      </c>
      <c r="BS34" s="138" t="n">
        <f aca="false">BS186</f>
        <v>131512.36885933</v>
      </c>
      <c r="BT34" s="138" t="n">
        <f aca="false">BT186</f>
        <v>131512.36885933</v>
      </c>
      <c r="BU34" s="138" t="n">
        <f aca="false">BU186</f>
        <v>131512.36885933</v>
      </c>
      <c r="BV34" s="138" t="n">
        <f aca="false">BV186</f>
        <v>131512.36885933</v>
      </c>
      <c r="BW34" s="138" t="n">
        <f aca="false">BW186</f>
        <v>131512.36885933</v>
      </c>
      <c r="BX34" s="138" t="n">
        <f aca="false">BX186</f>
        <v>131512.36885933</v>
      </c>
      <c r="BY34" s="138" t="n">
        <f aca="false">BY186</f>
        <v>131512.36885933</v>
      </c>
      <c r="BZ34" s="138" t="n">
        <f aca="false">BZ186</f>
        <v>131512.36885933</v>
      </c>
      <c r="CA34" s="138" t="n">
        <f aca="false">CA186</f>
        <v>131512.36885933</v>
      </c>
      <c r="CB34" s="138" t="n">
        <f aca="false">CB186</f>
        <v>131512.36885933</v>
      </c>
      <c r="CC34" s="138" t="n">
        <f aca="false">CC186</f>
        <v>131512.36885933</v>
      </c>
      <c r="CD34" s="138" t="n">
        <f aca="false">CD186</f>
        <v>131512.36885933</v>
      </c>
      <c r="CE34" s="138" t="n">
        <f aca="false">CE186</f>
        <v>131512.36885933</v>
      </c>
      <c r="CF34" s="138" t="n">
        <f aca="false">CF186</f>
        <v>131512.36885933</v>
      </c>
      <c r="CG34" s="138" t="n">
        <f aca="false">CG186</f>
        <v>131512.36885933</v>
      </c>
      <c r="CH34" s="138" t="n">
        <f aca="false">CH186</f>
        <v>131512.36885933</v>
      </c>
    </row>
    <row r="35" customFormat="false" ht="13.5" hidden="false" customHeight="true" outlineLevel="0" collapsed="false">
      <c r="A35" s="13" t="s">
        <v>716</v>
      </c>
      <c r="C35" s="138" t="n">
        <f aca="false">C190</f>
        <v>2004.06308047892</v>
      </c>
      <c r="D35" s="138" t="n">
        <f aca="false">D190</f>
        <v>4008.12616095784</v>
      </c>
      <c r="E35" s="138" t="n">
        <f aca="false">E190</f>
        <v>6012.18924143676</v>
      </c>
      <c r="F35" s="138" t="n">
        <f aca="false">F190</f>
        <v>8016.25232191568</v>
      </c>
      <c r="G35" s="138" t="n">
        <f aca="false">G190</f>
        <v>1503.04731035919</v>
      </c>
      <c r="H35" s="138" t="n">
        <f aca="false">H190</f>
        <v>12024.3784828735</v>
      </c>
      <c r="I35" s="138" t="n">
        <f aca="false">I190</f>
        <v>14028.4415633524</v>
      </c>
      <c r="J35" s="138" t="n">
        <f aca="false">J190</f>
        <v>16032.5046438314</v>
      </c>
      <c r="K35" s="138" t="n">
        <f aca="false">K190</f>
        <v>18036.5677243103</v>
      </c>
      <c r="L35" s="138" t="n">
        <f aca="false">L190</f>
        <v>20040.6308047892</v>
      </c>
      <c r="M35" s="138" t="n">
        <f aca="false">M190</f>
        <v>22044.6938852681</v>
      </c>
      <c r="N35" s="138" t="n">
        <f aca="false">N190</f>
        <v>24048.756965747</v>
      </c>
      <c r="O35" s="138" t="n">
        <f aca="false">O190</f>
        <v>26052.820046226</v>
      </c>
      <c r="P35" s="138" t="n">
        <f aca="false">P190</f>
        <v>28056.8831267049</v>
      </c>
      <c r="Q35" s="138" t="n">
        <f aca="false">Q190</f>
        <v>30060.9462071838</v>
      </c>
      <c r="R35" s="138" t="n">
        <f aca="false">R190</f>
        <v>32065.0092876627</v>
      </c>
      <c r="S35" s="138" t="n">
        <f aca="false">S190</f>
        <v>5110.36085522124</v>
      </c>
      <c r="T35" s="138" t="n">
        <f aca="false">T190</f>
        <v>36073.1354486205</v>
      </c>
      <c r="U35" s="138" t="n">
        <f aca="false">U190</f>
        <v>36073.1354486205</v>
      </c>
      <c r="V35" s="138" t="n">
        <f aca="false">V190</f>
        <v>36073.1354486205</v>
      </c>
      <c r="W35" s="138" t="n">
        <f aca="false">W190</f>
        <v>36073.1354486205</v>
      </c>
      <c r="X35" s="138" t="n">
        <f aca="false">X190</f>
        <v>36073.1354486205</v>
      </c>
      <c r="Y35" s="138" t="n">
        <f aca="false">Y190</f>
        <v>36073.1354486205</v>
      </c>
      <c r="Z35" s="138" t="n">
        <f aca="false">Z190</f>
        <v>36073.1354486205</v>
      </c>
      <c r="AA35" s="138" t="n">
        <f aca="false">AA190</f>
        <v>36073.1354486205</v>
      </c>
      <c r="AB35" s="138" t="n">
        <f aca="false">AB190</f>
        <v>36073.1354486205</v>
      </c>
      <c r="AC35" s="138" t="n">
        <f aca="false">AC190</f>
        <v>36073.1354486205</v>
      </c>
      <c r="AD35" s="138" t="n">
        <f aca="false">AD190</f>
        <v>36073.1354486205</v>
      </c>
      <c r="AE35" s="138" t="n">
        <f aca="false">AE190</f>
        <v>5410.97031729308</v>
      </c>
      <c r="AF35" s="138" t="n">
        <f aca="false">AF190</f>
        <v>36073.1354486205</v>
      </c>
      <c r="AG35" s="138" t="n">
        <f aca="false">AG190</f>
        <v>36073.1354486205</v>
      </c>
      <c r="AH35" s="138" t="n">
        <f aca="false">AH190</f>
        <v>36073.1354486205</v>
      </c>
      <c r="AI35" s="138" t="n">
        <f aca="false">AI190</f>
        <v>36073.1354486205</v>
      </c>
      <c r="AJ35" s="138" t="n">
        <f aca="false">AJ190</f>
        <v>36073.1354486205</v>
      </c>
      <c r="AK35" s="138" t="n">
        <f aca="false">AK190</f>
        <v>36073.1354486205</v>
      </c>
      <c r="AL35" s="138" t="n">
        <f aca="false">AL190</f>
        <v>36073.1354486205</v>
      </c>
      <c r="AM35" s="138" t="n">
        <f aca="false">AM190</f>
        <v>36073.1354486205</v>
      </c>
      <c r="AN35" s="138" t="n">
        <f aca="false">AN190</f>
        <v>36073.1354486205</v>
      </c>
      <c r="AO35" s="138" t="n">
        <f aca="false">AO190</f>
        <v>36073.1354486205</v>
      </c>
      <c r="AP35" s="138" t="n">
        <f aca="false">AP190</f>
        <v>36073.1354486205</v>
      </c>
      <c r="AQ35" s="138" t="n">
        <f aca="false">AQ190</f>
        <v>5410.97031729308</v>
      </c>
      <c r="AR35" s="138" t="n">
        <f aca="false">AR190</f>
        <v>36073.1354486205</v>
      </c>
      <c r="AS35" s="138" t="n">
        <f aca="false">AS190</f>
        <v>36073.1354486205</v>
      </c>
      <c r="AT35" s="138" t="n">
        <f aca="false">AT190</f>
        <v>36073.1354486205</v>
      </c>
      <c r="AU35" s="138" t="n">
        <f aca="false">AU190</f>
        <v>36073.1354486205</v>
      </c>
      <c r="AV35" s="138" t="n">
        <f aca="false">AV190</f>
        <v>36073.1354486205</v>
      </c>
      <c r="AW35" s="138" t="n">
        <f aca="false">AW190</f>
        <v>36073.1354486205</v>
      </c>
      <c r="AX35" s="138" t="n">
        <f aca="false">AX190</f>
        <v>36073.1354486205</v>
      </c>
      <c r="AY35" s="138" t="n">
        <f aca="false">AY190</f>
        <v>36073.1354486205</v>
      </c>
      <c r="AZ35" s="138" t="n">
        <f aca="false">AZ190</f>
        <v>36073.1354486205</v>
      </c>
      <c r="BA35" s="138" t="n">
        <f aca="false">BA190</f>
        <v>36073.1354486205</v>
      </c>
      <c r="BB35" s="138" t="n">
        <f aca="false">BB190</f>
        <v>36073.1354486205</v>
      </c>
      <c r="BC35" s="138" t="n">
        <f aca="false">BC190</f>
        <v>5410.97031729308</v>
      </c>
      <c r="BD35" s="138" t="n">
        <f aca="false">BD190</f>
        <v>36073.1354486205</v>
      </c>
      <c r="BE35" s="138" t="n">
        <f aca="false">BE190</f>
        <v>36073.1354486205</v>
      </c>
      <c r="BF35" s="138" t="n">
        <f aca="false">BF190</f>
        <v>36073.1354486205</v>
      </c>
      <c r="BG35" s="138" t="n">
        <f aca="false">BG190</f>
        <v>36073.1354486205</v>
      </c>
      <c r="BH35" s="138" t="n">
        <f aca="false">BH190</f>
        <v>36073.1354486205</v>
      </c>
      <c r="BI35" s="138" t="n">
        <f aca="false">BI190</f>
        <v>36073.1354486205</v>
      </c>
      <c r="BJ35" s="138" t="n">
        <f aca="false">BJ190</f>
        <v>36073.1354486205</v>
      </c>
      <c r="BK35" s="138" t="n">
        <f aca="false">BK190</f>
        <v>36073.1354486205</v>
      </c>
      <c r="BL35" s="138" t="n">
        <f aca="false">BL190</f>
        <v>36073.1354486205</v>
      </c>
      <c r="BM35" s="138" t="n">
        <f aca="false">BM190</f>
        <v>36073.1354486205</v>
      </c>
      <c r="BN35" s="138" t="n">
        <f aca="false">BN190</f>
        <v>36073.1354486205</v>
      </c>
      <c r="BO35" s="138" t="n">
        <f aca="false">BO190</f>
        <v>5410.97031729308</v>
      </c>
      <c r="BP35" s="138" t="n">
        <f aca="false">BP190</f>
        <v>36073.1354486205</v>
      </c>
      <c r="BQ35" s="138" t="n">
        <f aca="false">BQ190</f>
        <v>36073.1354486205</v>
      </c>
      <c r="BR35" s="138" t="n">
        <f aca="false">BR190</f>
        <v>36073.1354486205</v>
      </c>
      <c r="BS35" s="138" t="n">
        <f aca="false">BS190</f>
        <v>36073.1354486205</v>
      </c>
      <c r="BT35" s="138" t="n">
        <f aca="false">BT190</f>
        <v>36073.1354486205</v>
      </c>
      <c r="BU35" s="138" t="n">
        <f aca="false">BU190</f>
        <v>36073.1354486205</v>
      </c>
      <c r="BV35" s="138" t="n">
        <f aca="false">BV190</f>
        <v>36073.1354486205</v>
      </c>
      <c r="BW35" s="138" t="n">
        <f aca="false">BW190</f>
        <v>36073.1354486205</v>
      </c>
      <c r="BX35" s="138" t="n">
        <f aca="false">BX190</f>
        <v>36073.1354486205</v>
      </c>
      <c r="BY35" s="138" t="n">
        <f aca="false">BY190</f>
        <v>36073.1354486205</v>
      </c>
      <c r="BZ35" s="138" t="n">
        <f aca="false">BZ190</f>
        <v>36073.1354486205</v>
      </c>
      <c r="CA35" s="138" t="n">
        <f aca="false">CA190</f>
        <v>5410.97031729308</v>
      </c>
      <c r="CB35" s="138" t="n">
        <f aca="false">CB190</f>
        <v>36073.1354486205</v>
      </c>
      <c r="CC35" s="138" t="n">
        <f aca="false">CC190</f>
        <v>36073.1354486205</v>
      </c>
      <c r="CD35" s="138" t="n">
        <f aca="false">CD190</f>
        <v>36073.1354486205</v>
      </c>
      <c r="CE35" s="138" t="n">
        <f aca="false">CE190</f>
        <v>36073.1354486205</v>
      </c>
      <c r="CF35" s="138" t="n">
        <f aca="false">CF190</f>
        <v>36073.1354486205</v>
      </c>
      <c r="CG35" s="138" t="n">
        <f aca="false">CG190</f>
        <v>36073.1354486205</v>
      </c>
      <c r="CH35" s="138" t="n">
        <f aca="false">CH190</f>
        <v>36073.1354486205</v>
      </c>
    </row>
    <row r="36" customFormat="false" ht="13.5" hidden="false" customHeight="true" outlineLevel="0" collapsed="false">
      <c r="A36" s="30" t="s">
        <v>717</v>
      </c>
      <c r="C36" s="138" t="n">
        <f aca="false">C34+C35</f>
        <v>3140.50058047892</v>
      </c>
      <c r="D36" s="138" t="n">
        <f aca="false">D34+D35</f>
        <v>6367.13116095784</v>
      </c>
      <c r="E36" s="138" t="n">
        <f aca="false">E34+E35</f>
        <v>10915.6179914368</v>
      </c>
      <c r="F36" s="138" t="n">
        <f aca="false">F34+F35</f>
        <v>14327.6673219157</v>
      </c>
      <c r="G36" s="138" t="n">
        <f aca="false">G34+G35</f>
        <v>9136.31856035919</v>
      </c>
      <c r="H36" s="138" t="n">
        <f aca="false">H34+H35</f>
        <v>21769.0309828735</v>
      </c>
      <c r="I36" s="138" t="n">
        <f aca="false">I34+I35</f>
        <v>25884.4753133524</v>
      </c>
      <c r="J36" s="138" t="n">
        <f aca="false">J34+J35</f>
        <v>31602.7190831535</v>
      </c>
      <c r="K36" s="138" t="n">
        <f aca="false">K34+K35</f>
        <v>38122.3625726157</v>
      </c>
      <c r="L36" s="138" t="n">
        <f aca="false">L34+L35</f>
        <v>44642.0060620778</v>
      </c>
      <c r="M36" s="138" t="n">
        <f aca="false">M34+M35</f>
        <v>49839.79330154</v>
      </c>
      <c r="N36" s="138" t="n">
        <f aca="false">N34+N35</f>
        <v>56114.2055410022</v>
      </c>
      <c r="O36" s="138" t="n">
        <f aca="false">O34+O35</f>
        <v>62388.6177804643</v>
      </c>
      <c r="P36" s="138" t="n">
        <f aca="false">P34+P35</f>
        <v>68275.4450199265</v>
      </c>
      <c r="Q36" s="138" t="n">
        <f aca="false">Q34+Q35</f>
        <v>74162.2722593887</v>
      </c>
      <c r="R36" s="138" t="n">
        <f aca="false">R34+R35</f>
        <v>80049.0994988508</v>
      </c>
      <c r="S36" s="138" t="n">
        <f aca="false">S34+S35</f>
        <v>56977.2152253926</v>
      </c>
      <c r="T36" s="138" t="n">
        <f aca="false">T34+T35</f>
        <v>91822.7539777751</v>
      </c>
      <c r="U36" s="138" t="n">
        <f aca="false">U34+U35</f>
        <v>96239.7846165324</v>
      </c>
      <c r="V36" s="138" t="n">
        <f aca="false">V34+V35</f>
        <v>100656.81525529</v>
      </c>
      <c r="W36" s="138" t="n">
        <f aca="false">W34+W35</f>
        <v>105073.845894047</v>
      </c>
      <c r="X36" s="138" t="n">
        <f aca="false">X34+X35</f>
        <v>108414.251532804</v>
      </c>
      <c r="Y36" s="138" t="n">
        <f aca="false">Y34+Y35</f>
        <v>111754.657171562</v>
      </c>
      <c r="Z36" s="138" t="n">
        <f aca="false">Z34+Z35</f>
        <v>114693.122810319</v>
      </c>
      <c r="AA36" s="138" t="n">
        <f aca="false">AA34+AA35</f>
        <v>117631.588449076</v>
      </c>
      <c r="AB36" s="138" t="n">
        <f aca="false">AB34+AB35</f>
        <v>120570.054087834</v>
      </c>
      <c r="AC36" s="138" t="n">
        <f aca="false">AC34+AC35</f>
        <v>123508.519726591</v>
      </c>
      <c r="AD36" s="138" t="n">
        <f aca="false">AD34+AD35</f>
        <v>126446.985365348</v>
      </c>
      <c r="AE36" s="138" t="n">
        <f aca="false">AE34+AE35</f>
        <v>98723.285872778</v>
      </c>
      <c r="AF36" s="138" t="n">
        <f aca="false">AF34+AF35</f>
        <v>132323.916642863</v>
      </c>
      <c r="AG36" s="138" t="n">
        <f aca="false">AG34+AG35</f>
        <v>135262.38228162</v>
      </c>
      <c r="AH36" s="138" t="n">
        <f aca="false">AH34+AH35</f>
        <v>138200.847920377</v>
      </c>
      <c r="AI36" s="138" t="n">
        <f aca="false">AI34+AI35</f>
        <v>141139.313559135</v>
      </c>
      <c r="AJ36" s="138" t="n">
        <f aca="false">AJ34+AJ35</f>
        <v>144077.779197892</v>
      </c>
      <c r="AK36" s="138" t="n">
        <f aca="false">AK34+AK35</f>
        <v>147016.244836649</v>
      </c>
      <c r="AL36" s="138" t="n">
        <f aca="false">AL34+AL35</f>
        <v>149954.710475407</v>
      </c>
      <c r="AM36" s="138" t="n">
        <f aca="false">AM34+AM35</f>
        <v>152893.176114164</v>
      </c>
      <c r="AN36" s="138" t="n">
        <f aca="false">AN34+AN35</f>
        <v>155831.641752921</v>
      </c>
      <c r="AO36" s="138" t="n">
        <f aca="false">AO34+AO35</f>
        <v>158770.107391678</v>
      </c>
      <c r="AP36" s="138" t="n">
        <f aca="false">AP34+AP35</f>
        <v>161708.573030436</v>
      </c>
      <c r="AQ36" s="138" t="n">
        <f aca="false">AQ34+AQ35</f>
        <v>133984.873537866</v>
      </c>
      <c r="AR36" s="138" t="n">
        <f aca="false">AR34+AR35</f>
        <v>167585.50430795</v>
      </c>
      <c r="AS36" s="138" t="n">
        <f aca="false">AS34+AS35</f>
        <v>167585.50430795</v>
      </c>
      <c r="AT36" s="138" t="n">
        <f aca="false">AT34+AT35</f>
        <v>167585.50430795</v>
      </c>
      <c r="AU36" s="138" t="n">
        <f aca="false">AU34+AU35</f>
        <v>167585.50430795</v>
      </c>
      <c r="AV36" s="138" t="n">
        <f aca="false">AV34+AV35</f>
        <v>167585.50430795</v>
      </c>
      <c r="AW36" s="138" t="n">
        <f aca="false">AW34+AW35</f>
        <v>167585.50430795</v>
      </c>
      <c r="AX36" s="138" t="n">
        <f aca="false">AX34+AX35</f>
        <v>167585.50430795</v>
      </c>
      <c r="AY36" s="138" t="n">
        <f aca="false">AY34+AY35</f>
        <v>167585.50430795</v>
      </c>
      <c r="AZ36" s="138" t="n">
        <f aca="false">AZ34+AZ35</f>
        <v>167585.50430795</v>
      </c>
      <c r="BA36" s="138" t="n">
        <f aca="false">BA34+BA35</f>
        <v>167585.50430795</v>
      </c>
      <c r="BB36" s="138" t="n">
        <f aca="false">BB34+BB35</f>
        <v>167585.50430795</v>
      </c>
      <c r="BC36" s="138" t="n">
        <f aca="false">BC34+BC35</f>
        <v>136923.339176623</v>
      </c>
      <c r="BD36" s="138" t="n">
        <f aca="false">BD34+BD35</f>
        <v>167585.50430795</v>
      </c>
      <c r="BE36" s="138" t="n">
        <f aca="false">BE34+BE35</f>
        <v>167585.50430795</v>
      </c>
      <c r="BF36" s="138" t="n">
        <f aca="false">BF34+BF35</f>
        <v>167585.50430795</v>
      </c>
      <c r="BG36" s="138" t="n">
        <f aca="false">BG34+BG35</f>
        <v>167585.50430795</v>
      </c>
      <c r="BH36" s="138" t="n">
        <f aca="false">BH34+BH35</f>
        <v>167585.50430795</v>
      </c>
      <c r="BI36" s="138" t="n">
        <f aca="false">BI34+BI35</f>
        <v>167585.50430795</v>
      </c>
      <c r="BJ36" s="138" t="n">
        <f aca="false">BJ34+BJ35</f>
        <v>167585.50430795</v>
      </c>
      <c r="BK36" s="138" t="n">
        <f aca="false">BK34+BK35</f>
        <v>167585.50430795</v>
      </c>
      <c r="BL36" s="138" t="n">
        <f aca="false">BL34+BL35</f>
        <v>167585.50430795</v>
      </c>
      <c r="BM36" s="138" t="n">
        <f aca="false">BM34+BM35</f>
        <v>167585.50430795</v>
      </c>
      <c r="BN36" s="138" t="n">
        <f aca="false">BN34+BN35</f>
        <v>167585.50430795</v>
      </c>
      <c r="BO36" s="138" t="n">
        <f aca="false">BO34+BO35</f>
        <v>136923.339176623</v>
      </c>
      <c r="BP36" s="138" t="n">
        <f aca="false">BP34+BP35</f>
        <v>167585.50430795</v>
      </c>
      <c r="BQ36" s="138" t="n">
        <f aca="false">BQ34+BQ35</f>
        <v>167585.50430795</v>
      </c>
      <c r="BR36" s="138" t="n">
        <f aca="false">BR34+BR35</f>
        <v>167585.50430795</v>
      </c>
      <c r="BS36" s="138" t="n">
        <f aca="false">BS34+BS35</f>
        <v>167585.50430795</v>
      </c>
      <c r="BT36" s="138" t="n">
        <f aca="false">BT34+BT35</f>
        <v>167585.50430795</v>
      </c>
      <c r="BU36" s="138" t="n">
        <f aca="false">BU34+BU35</f>
        <v>167585.50430795</v>
      </c>
      <c r="BV36" s="138" t="n">
        <f aca="false">BV34+BV35</f>
        <v>167585.50430795</v>
      </c>
      <c r="BW36" s="138" t="n">
        <f aca="false">BW34+BW35</f>
        <v>167585.50430795</v>
      </c>
      <c r="BX36" s="138" t="n">
        <f aca="false">BX34+BX35</f>
        <v>167585.50430795</v>
      </c>
      <c r="BY36" s="138" t="n">
        <f aca="false">BY34+BY35</f>
        <v>167585.50430795</v>
      </c>
      <c r="BZ36" s="138" t="n">
        <f aca="false">BZ34+BZ35</f>
        <v>167585.50430795</v>
      </c>
      <c r="CA36" s="138" t="n">
        <f aca="false">CA34+CA35</f>
        <v>136923.339176623</v>
      </c>
      <c r="CB36" s="138" t="n">
        <f aca="false">CB34+CB35</f>
        <v>167585.50430795</v>
      </c>
      <c r="CC36" s="138" t="n">
        <f aca="false">CC34+CC35</f>
        <v>167585.50430795</v>
      </c>
      <c r="CD36" s="138" t="n">
        <f aca="false">CD34+CD35</f>
        <v>167585.50430795</v>
      </c>
      <c r="CE36" s="138" t="n">
        <f aca="false">CE34+CE35</f>
        <v>167585.50430795</v>
      </c>
      <c r="CF36" s="138" t="n">
        <f aca="false">CF34+CF35</f>
        <v>167585.50430795</v>
      </c>
      <c r="CG36" s="138" t="n">
        <f aca="false">CG34+CG35</f>
        <v>167585.50430795</v>
      </c>
      <c r="CH36" s="138" t="n">
        <f aca="false">CH34+CH35</f>
        <v>167585.50430795</v>
      </c>
    </row>
    <row r="37" customFormat="false" ht="13.5" hidden="false" customHeight="true" outlineLevel="0" collapsed="false">
      <c r="A37" s="13" t="s">
        <v>718</v>
      </c>
      <c r="C37" s="138" t="n">
        <f aca="false">C192+C193</f>
        <v>-314.050058047892</v>
      </c>
      <c r="D37" s="138" t="n">
        <f aca="false">D192+D193</f>
        <v>-636.713116095784</v>
      </c>
      <c r="E37" s="138" t="n">
        <f aca="false">E192+E193</f>
        <v>-1091.56179914368</v>
      </c>
      <c r="F37" s="138" t="n">
        <f aca="false">F192+F193</f>
        <v>-1432.76673219157</v>
      </c>
      <c r="G37" s="138" t="n">
        <f aca="false">G192+G193</f>
        <v>-913.631856035919</v>
      </c>
      <c r="H37" s="138" t="n">
        <f aca="false">H192+H193</f>
        <v>-2176.90309828735</v>
      </c>
      <c r="I37" s="138" t="n">
        <f aca="false">I192+I193</f>
        <v>-2588.44753133524</v>
      </c>
      <c r="J37" s="138" t="n">
        <f aca="false">J192+J193</f>
        <v>-3160.27190831535</v>
      </c>
      <c r="K37" s="138" t="n">
        <f aca="false">K192+K193</f>
        <v>-3812.23625726157</v>
      </c>
      <c r="L37" s="138" t="n">
        <f aca="false">L192+L193</f>
        <v>-4464.20060620778</v>
      </c>
      <c r="M37" s="138" t="n">
        <f aca="false">M192+M193</f>
        <v>-4983.979330154</v>
      </c>
      <c r="N37" s="138" t="n">
        <f aca="false">N192+N193</f>
        <v>-5611.42055410022</v>
      </c>
      <c r="O37" s="138" t="n">
        <f aca="false">O192+O193</f>
        <v>-6238.86177804643</v>
      </c>
      <c r="P37" s="138" t="n">
        <f aca="false">P192+P193</f>
        <v>-6827.54450199265</v>
      </c>
      <c r="Q37" s="138" t="n">
        <f aca="false">Q192+Q193</f>
        <v>-7416.22722593887</v>
      </c>
      <c r="R37" s="138" t="n">
        <f aca="false">R192+R193</f>
        <v>-8004.90994988508</v>
      </c>
      <c r="S37" s="138" t="n">
        <f aca="false">S192+S193</f>
        <v>-5697.72152253926</v>
      </c>
      <c r="T37" s="138" t="n">
        <f aca="false">T192+T193</f>
        <v>-9182.27539777752</v>
      </c>
      <c r="U37" s="138" t="n">
        <f aca="false">U192+U193</f>
        <v>-9623.97846165325</v>
      </c>
      <c r="V37" s="138" t="n">
        <f aca="false">V192+V193</f>
        <v>-10065.681525529</v>
      </c>
      <c r="W37" s="138" t="n">
        <f aca="false">W192+W193</f>
        <v>-10507.3845894047</v>
      </c>
      <c r="X37" s="138" t="n">
        <f aca="false">X192+X193</f>
        <v>-10841.4251532804</v>
      </c>
      <c r="Y37" s="138" t="n">
        <f aca="false">Y192+Y193</f>
        <v>-11175.4657171562</v>
      </c>
      <c r="Z37" s="138" t="n">
        <f aca="false">Z192+Z193</f>
        <v>-11469.3122810319</v>
      </c>
      <c r="AA37" s="138" t="n">
        <f aca="false">AA192+AA193</f>
        <v>-11763.1588449076</v>
      </c>
      <c r="AB37" s="138" t="n">
        <f aca="false">AB192+AB193</f>
        <v>-12057.0054087834</v>
      </c>
      <c r="AC37" s="138" t="n">
        <f aca="false">AC192+AC193</f>
        <v>-12350.8519726591</v>
      </c>
      <c r="AD37" s="138" t="n">
        <f aca="false">AD192+AD193</f>
        <v>-12644.6985365348</v>
      </c>
      <c r="AE37" s="138" t="n">
        <f aca="false">AE192+AE193</f>
        <v>-9872.3285872778</v>
      </c>
      <c r="AF37" s="138" t="n">
        <f aca="false">AF192+AF193</f>
        <v>-13232.3916642863</v>
      </c>
      <c r="AG37" s="138" t="n">
        <f aca="false">AG192+AG193</f>
        <v>-13526.238228162</v>
      </c>
      <c r="AH37" s="138" t="n">
        <f aca="false">AH192+AH193</f>
        <v>-13820.0847920377</v>
      </c>
      <c r="AI37" s="138" t="n">
        <f aca="false">AI192+AI193</f>
        <v>-14113.9313559135</v>
      </c>
      <c r="AJ37" s="138" t="n">
        <f aca="false">AJ192+AJ193</f>
        <v>-14407.7779197892</v>
      </c>
      <c r="AK37" s="138" t="n">
        <f aca="false">AK192+AK193</f>
        <v>-14701.6244836649</v>
      </c>
      <c r="AL37" s="138" t="n">
        <f aca="false">AL192+AL193</f>
        <v>-14995.4710475407</v>
      </c>
      <c r="AM37" s="138" t="n">
        <f aca="false">AM192+AM193</f>
        <v>-15289.3176114164</v>
      </c>
      <c r="AN37" s="138" t="n">
        <f aca="false">AN192+AN193</f>
        <v>-15583.1641752921</v>
      </c>
      <c r="AO37" s="138" t="n">
        <f aca="false">AO192+AO193</f>
        <v>-15877.0107391678</v>
      </c>
      <c r="AP37" s="138" t="n">
        <f aca="false">AP192+AP193</f>
        <v>-16170.8573030436</v>
      </c>
      <c r="AQ37" s="138" t="n">
        <f aca="false">AQ192+AQ193</f>
        <v>-13398.4873537866</v>
      </c>
      <c r="AR37" s="138" t="n">
        <f aca="false">AR192+AR193</f>
        <v>-16758.550430795</v>
      </c>
      <c r="AS37" s="138" t="n">
        <f aca="false">AS192+AS193</f>
        <v>-16758.550430795</v>
      </c>
      <c r="AT37" s="138" t="n">
        <f aca="false">AT192+AT193</f>
        <v>-16758.550430795</v>
      </c>
      <c r="AU37" s="138" t="n">
        <f aca="false">AU192+AU193</f>
        <v>-16758.550430795</v>
      </c>
      <c r="AV37" s="138" t="n">
        <f aca="false">AV192+AV193</f>
        <v>-16758.550430795</v>
      </c>
      <c r="AW37" s="138" t="n">
        <f aca="false">AW192+AW193</f>
        <v>-16758.550430795</v>
      </c>
      <c r="AX37" s="138" t="n">
        <f aca="false">AX192+AX193</f>
        <v>-16758.550430795</v>
      </c>
      <c r="AY37" s="138" t="n">
        <f aca="false">AY192+AY193</f>
        <v>-16758.550430795</v>
      </c>
      <c r="AZ37" s="138" t="n">
        <f aca="false">AZ192+AZ193</f>
        <v>-16758.550430795</v>
      </c>
      <c r="BA37" s="138" t="n">
        <f aca="false">BA192+BA193</f>
        <v>-16758.550430795</v>
      </c>
      <c r="BB37" s="138" t="n">
        <f aca="false">BB192+BB193</f>
        <v>-16758.550430795</v>
      </c>
      <c r="BC37" s="138" t="n">
        <f aca="false">BC192+BC193</f>
        <v>-13692.3339176623</v>
      </c>
      <c r="BD37" s="138" t="n">
        <f aca="false">BD192+BD193</f>
        <v>-16758.550430795</v>
      </c>
      <c r="BE37" s="138" t="n">
        <f aca="false">BE192+BE193</f>
        <v>-16758.550430795</v>
      </c>
      <c r="BF37" s="138" t="n">
        <f aca="false">BF192+BF193</f>
        <v>-16758.550430795</v>
      </c>
      <c r="BG37" s="138" t="n">
        <f aca="false">BG192+BG193</f>
        <v>-16758.550430795</v>
      </c>
      <c r="BH37" s="138" t="n">
        <f aca="false">BH192+BH193</f>
        <v>-16758.550430795</v>
      </c>
      <c r="BI37" s="138" t="n">
        <f aca="false">BI192+BI193</f>
        <v>-16758.550430795</v>
      </c>
      <c r="BJ37" s="138" t="n">
        <f aca="false">BJ192+BJ193</f>
        <v>-16758.550430795</v>
      </c>
      <c r="BK37" s="138" t="n">
        <f aca="false">BK192+BK193</f>
        <v>-16758.550430795</v>
      </c>
      <c r="BL37" s="138" t="n">
        <f aca="false">BL192+BL193</f>
        <v>-16758.550430795</v>
      </c>
      <c r="BM37" s="138" t="n">
        <f aca="false">BM192+BM193</f>
        <v>-16758.550430795</v>
      </c>
      <c r="BN37" s="138" t="n">
        <f aca="false">BN192+BN193</f>
        <v>-16758.550430795</v>
      </c>
      <c r="BO37" s="138" t="n">
        <f aca="false">BO192+BO193</f>
        <v>-13692.3339176623</v>
      </c>
      <c r="BP37" s="138" t="n">
        <f aca="false">BP192+BP193</f>
        <v>-16758.550430795</v>
      </c>
      <c r="BQ37" s="138" t="n">
        <f aca="false">BQ192+BQ193</f>
        <v>-16758.550430795</v>
      </c>
      <c r="BR37" s="138" t="n">
        <f aca="false">BR192+BR193</f>
        <v>-16758.550430795</v>
      </c>
      <c r="BS37" s="138" t="n">
        <f aca="false">BS192+BS193</f>
        <v>-16758.550430795</v>
      </c>
      <c r="BT37" s="138" t="n">
        <f aca="false">BT192+BT193</f>
        <v>-16758.550430795</v>
      </c>
      <c r="BU37" s="138" t="n">
        <f aca="false">BU192+BU193</f>
        <v>-16758.550430795</v>
      </c>
      <c r="BV37" s="138" t="n">
        <f aca="false">BV192+BV193</f>
        <v>-16758.550430795</v>
      </c>
      <c r="BW37" s="138" t="n">
        <f aca="false">BW192+BW193</f>
        <v>-16758.550430795</v>
      </c>
      <c r="BX37" s="138" t="n">
        <f aca="false">BX192+BX193</f>
        <v>-16758.550430795</v>
      </c>
      <c r="BY37" s="138" t="n">
        <f aca="false">BY192+BY193</f>
        <v>-16758.550430795</v>
      </c>
      <c r="BZ37" s="138" t="n">
        <f aca="false">BZ192+BZ193</f>
        <v>-16758.550430795</v>
      </c>
      <c r="CA37" s="138" t="n">
        <f aca="false">CA192+CA193</f>
        <v>-13692.3339176623</v>
      </c>
      <c r="CB37" s="138" t="n">
        <f aca="false">CB192+CB193</f>
        <v>-16758.550430795</v>
      </c>
      <c r="CC37" s="138" t="n">
        <f aca="false">CC192+CC193</f>
        <v>-16758.550430795</v>
      </c>
      <c r="CD37" s="138" t="n">
        <f aca="false">CD192+CD193</f>
        <v>-16758.550430795</v>
      </c>
      <c r="CE37" s="138" t="n">
        <f aca="false">CE192+CE193</f>
        <v>-16758.550430795</v>
      </c>
      <c r="CF37" s="138" t="n">
        <f aca="false">CF192+CF193</f>
        <v>-16758.550430795</v>
      </c>
      <c r="CG37" s="138" t="n">
        <f aca="false">CG192+CG193</f>
        <v>-16758.550430795</v>
      </c>
      <c r="CH37" s="138" t="n">
        <f aca="false">CH192+CH193</f>
        <v>-16758.550430795</v>
      </c>
    </row>
    <row r="38" customFormat="false" ht="13.5" hidden="false" customHeight="true" outlineLevel="0" collapsed="false">
      <c r="A38" s="30" t="s">
        <v>719</v>
      </c>
      <c r="C38" s="138" t="n">
        <f aca="false">C36+C37</f>
        <v>2826.45052243103</v>
      </c>
      <c r="D38" s="138" t="n">
        <f aca="false">D36+D37</f>
        <v>5730.41804486206</v>
      </c>
      <c r="E38" s="138" t="n">
        <f aca="false">E36+E37</f>
        <v>9824.05619229308</v>
      </c>
      <c r="F38" s="138" t="n">
        <f aca="false">F36+F37</f>
        <v>12894.9005897241</v>
      </c>
      <c r="G38" s="138" t="n">
        <f aca="false">G36+G37</f>
        <v>8222.68670432327</v>
      </c>
      <c r="H38" s="138" t="n">
        <f aca="false">H36+H37</f>
        <v>19592.1278845862</v>
      </c>
      <c r="I38" s="138" t="n">
        <f aca="false">I36+I37</f>
        <v>23296.0277820172</v>
      </c>
      <c r="J38" s="138" t="n">
        <f aca="false">J36+J37</f>
        <v>28442.4471748382</v>
      </c>
      <c r="K38" s="138" t="n">
        <f aca="false">K36+K37</f>
        <v>34310.1263153541</v>
      </c>
      <c r="L38" s="138" t="n">
        <f aca="false">L36+L37</f>
        <v>40177.8054558701</v>
      </c>
      <c r="M38" s="138" t="n">
        <f aca="false">M36+M37</f>
        <v>44855.813971386</v>
      </c>
      <c r="N38" s="138" t="n">
        <f aca="false">N36+N37</f>
        <v>50502.784986902</v>
      </c>
      <c r="O38" s="138" t="n">
        <f aca="false">O36+O37</f>
        <v>56149.7560024179</v>
      </c>
      <c r="P38" s="138" t="n">
        <f aca="false">P36+P37</f>
        <v>61447.9005179339</v>
      </c>
      <c r="Q38" s="138" t="n">
        <f aca="false">Q36+Q37</f>
        <v>66746.0450334498</v>
      </c>
      <c r="R38" s="138" t="n">
        <f aca="false">R36+R37</f>
        <v>72044.1895489658</v>
      </c>
      <c r="S38" s="138" t="n">
        <f aca="false">S36+S37</f>
        <v>51279.4937028533</v>
      </c>
      <c r="T38" s="138" t="n">
        <f aca="false">T36+T37</f>
        <v>82640.4785799976</v>
      </c>
      <c r="U38" s="138" t="n">
        <f aca="false">U36+U37</f>
        <v>86615.8061548792</v>
      </c>
      <c r="V38" s="138" t="n">
        <f aca="false">V36+V37</f>
        <v>90591.1337297608</v>
      </c>
      <c r="W38" s="138" t="n">
        <f aca="false">W36+W37</f>
        <v>94566.4613046423</v>
      </c>
      <c r="X38" s="138" t="n">
        <f aca="false">X36+X37</f>
        <v>97572.8263795239</v>
      </c>
      <c r="Y38" s="138" t="n">
        <f aca="false">Y36+Y37</f>
        <v>100579.191454405</v>
      </c>
      <c r="Z38" s="138" t="n">
        <f aca="false">Z36+Z37</f>
        <v>103223.810529287</v>
      </c>
      <c r="AA38" s="138" t="n">
        <f aca="false">AA36+AA37</f>
        <v>105868.429604169</v>
      </c>
      <c r="AB38" s="138" t="n">
        <f aca="false">AB36+AB37</f>
        <v>108513.04867905</v>
      </c>
      <c r="AC38" s="138" t="n">
        <f aca="false">AC36+AC37</f>
        <v>111157.667753932</v>
      </c>
      <c r="AD38" s="138" t="n">
        <f aca="false">AD36+AD37</f>
        <v>113802.286828813</v>
      </c>
      <c r="AE38" s="138" t="n">
        <f aca="false">AE36+AE37</f>
        <v>88850.9572855002</v>
      </c>
      <c r="AF38" s="138" t="n">
        <f aca="false">AF36+AF37</f>
        <v>119091.524978576</v>
      </c>
      <c r="AG38" s="138" t="n">
        <f aca="false">AG36+AG37</f>
        <v>121736.144053458</v>
      </c>
      <c r="AH38" s="138" t="n">
        <f aca="false">AH36+AH37</f>
        <v>124380.76312834</v>
      </c>
      <c r="AI38" s="138" t="n">
        <f aca="false">AI36+AI37</f>
        <v>127025.382203221</v>
      </c>
      <c r="AJ38" s="138" t="n">
        <f aca="false">AJ36+AJ37</f>
        <v>129670.001278103</v>
      </c>
      <c r="AK38" s="138" t="n">
        <f aca="false">AK36+AK37</f>
        <v>132314.620352984</v>
      </c>
      <c r="AL38" s="138" t="n">
        <f aca="false">AL36+AL37</f>
        <v>134959.239427866</v>
      </c>
      <c r="AM38" s="138" t="n">
        <f aca="false">AM36+AM37</f>
        <v>137603.858502747</v>
      </c>
      <c r="AN38" s="138" t="n">
        <f aca="false">AN36+AN37</f>
        <v>140248.477577629</v>
      </c>
      <c r="AO38" s="138" t="n">
        <f aca="false">AO36+AO37</f>
        <v>142893.096652511</v>
      </c>
      <c r="AP38" s="138" t="n">
        <f aca="false">AP36+AP37</f>
        <v>145537.715727392</v>
      </c>
      <c r="AQ38" s="138" t="n">
        <f aca="false">AQ36+AQ37</f>
        <v>120586.386184079</v>
      </c>
      <c r="AR38" s="138" t="n">
        <f aca="false">AR36+AR37</f>
        <v>150826.953877155</v>
      </c>
      <c r="AS38" s="138" t="n">
        <f aca="false">AS36+AS37</f>
        <v>150826.953877155</v>
      </c>
      <c r="AT38" s="138" t="n">
        <f aca="false">AT36+AT37</f>
        <v>150826.953877155</v>
      </c>
      <c r="AU38" s="138" t="n">
        <f aca="false">AU36+AU37</f>
        <v>150826.953877155</v>
      </c>
      <c r="AV38" s="138" t="n">
        <f aca="false">AV36+AV37</f>
        <v>150826.953877155</v>
      </c>
      <c r="AW38" s="138" t="n">
        <f aca="false">AW36+AW37</f>
        <v>150826.953877155</v>
      </c>
      <c r="AX38" s="138" t="n">
        <f aca="false">AX36+AX37</f>
        <v>150826.953877155</v>
      </c>
      <c r="AY38" s="138" t="n">
        <f aca="false">AY36+AY37</f>
        <v>150826.953877155</v>
      </c>
      <c r="AZ38" s="138" t="n">
        <f aca="false">AZ36+AZ37</f>
        <v>150826.953877155</v>
      </c>
      <c r="BA38" s="138" t="n">
        <f aca="false">BA36+BA37</f>
        <v>150826.953877155</v>
      </c>
      <c r="BB38" s="138" t="n">
        <f aca="false">BB36+BB37</f>
        <v>150826.953877155</v>
      </c>
      <c r="BC38" s="138" t="n">
        <f aca="false">BC36+BC37</f>
        <v>123231.005258961</v>
      </c>
      <c r="BD38" s="138" t="n">
        <f aca="false">BD36+BD37</f>
        <v>150826.953877155</v>
      </c>
      <c r="BE38" s="138" t="n">
        <f aca="false">BE36+BE37</f>
        <v>150826.953877155</v>
      </c>
      <c r="BF38" s="138" t="n">
        <f aca="false">BF36+BF37</f>
        <v>150826.953877155</v>
      </c>
      <c r="BG38" s="138" t="n">
        <f aca="false">BG36+BG37</f>
        <v>150826.953877155</v>
      </c>
      <c r="BH38" s="138" t="n">
        <f aca="false">BH36+BH37</f>
        <v>150826.953877155</v>
      </c>
      <c r="BI38" s="138" t="n">
        <f aca="false">BI36+BI37</f>
        <v>150826.953877155</v>
      </c>
      <c r="BJ38" s="138" t="n">
        <f aca="false">BJ36+BJ37</f>
        <v>150826.953877155</v>
      </c>
      <c r="BK38" s="138" t="n">
        <f aca="false">BK36+BK37</f>
        <v>150826.953877155</v>
      </c>
      <c r="BL38" s="138" t="n">
        <f aca="false">BL36+BL37</f>
        <v>150826.953877155</v>
      </c>
      <c r="BM38" s="138" t="n">
        <f aca="false">BM36+BM37</f>
        <v>150826.953877155</v>
      </c>
      <c r="BN38" s="138" t="n">
        <f aca="false">BN36+BN37</f>
        <v>150826.953877155</v>
      </c>
      <c r="BO38" s="138" t="n">
        <f aca="false">BO36+BO37</f>
        <v>123231.005258961</v>
      </c>
      <c r="BP38" s="138" t="n">
        <f aca="false">BP36+BP37</f>
        <v>150826.953877155</v>
      </c>
      <c r="BQ38" s="138" t="n">
        <f aca="false">BQ36+BQ37</f>
        <v>150826.953877155</v>
      </c>
      <c r="BR38" s="138" t="n">
        <f aca="false">BR36+BR37</f>
        <v>150826.953877155</v>
      </c>
      <c r="BS38" s="138" t="n">
        <f aca="false">BS36+BS37</f>
        <v>150826.953877155</v>
      </c>
      <c r="BT38" s="138" t="n">
        <f aca="false">BT36+BT37</f>
        <v>150826.953877155</v>
      </c>
      <c r="BU38" s="138" t="n">
        <f aca="false">BU36+BU37</f>
        <v>150826.953877155</v>
      </c>
      <c r="BV38" s="138" t="n">
        <f aca="false">BV36+BV37</f>
        <v>150826.953877155</v>
      </c>
      <c r="BW38" s="138" t="n">
        <f aca="false">BW36+BW37</f>
        <v>150826.953877155</v>
      </c>
      <c r="BX38" s="138" t="n">
        <f aca="false">BX36+BX37</f>
        <v>150826.953877155</v>
      </c>
      <c r="BY38" s="138" t="n">
        <f aca="false">BY36+BY37</f>
        <v>150826.953877155</v>
      </c>
      <c r="BZ38" s="138" t="n">
        <f aca="false">BZ36+BZ37</f>
        <v>150826.953877155</v>
      </c>
      <c r="CA38" s="138" t="n">
        <f aca="false">CA36+CA37</f>
        <v>123231.005258961</v>
      </c>
      <c r="CB38" s="138" t="n">
        <f aca="false">CB36+CB37</f>
        <v>150826.953877155</v>
      </c>
      <c r="CC38" s="138" t="n">
        <f aca="false">CC36+CC37</f>
        <v>150826.953877155</v>
      </c>
      <c r="CD38" s="138" t="n">
        <f aca="false">CD36+CD37</f>
        <v>150826.953877155</v>
      </c>
      <c r="CE38" s="138" t="n">
        <f aca="false">CE36+CE37</f>
        <v>150826.953877155</v>
      </c>
      <c r="CF38" s="138" t="n">
        <f aca="false">CF36+CF37</f>
        <v>150826.953877155</v>
      </c>
      <c r="CG38" s="138" t="n">
        <f aca="false">CG36+CG37</f>
        <v>150826.953877155</v>
      </c>
      <c r="CH38" s="138" t="n">
        <f aca="false">CH36+CH37</f>
        <v>150826.953877155</v>
      </c>
    </row>
    <row r="39" customFormat="false" ht="13.5" hidden="false" customHeight="true" outlineLevel="0" collapsed="false">
      <c r="A39" s="13" t="s">
        <v>720</v>
      </c>
      <c r="C39" s="138" t="n">
        <f aca="false">C194+C195</f>
        <v>-199.16958695562</v>
      </c>
      <c r="D39" s="138" t="n">
        <f aca="false">D194+D195</f>
        <v>-411.815536507254</v>
      </c>
      <c r="E39" s="138" t="n">
        <f aca="false">E194+E195</f>
        <v>-818.096808355545</v>
      </c>
      <c r="F39" s="138" t="n">
        <f aca="false">F194+F195</f>
        <v>-1101.39979115425</v>
      </c>
      <c r="G39" s="138" t="n">
        <f aca="false">G194+G195</f>
        <v>-1047.4133952563</v>
      </c>
      <c r="H39" s="138" t="n">
        <f aca="false">H194+H195</f>
        <v>-1795.46968630562</v>
      </c>
      <c r="I39" s="138" t="n">
        <f aca="false">I194+I195</f>
        <v>-2219.7129612543</v>
      </c>
      <c r="J39" s="138" t="n">
        <f aca="false">J194+J195</f>
        <v>-2852.64917971297</v>
      </c>
      <c r="K39" s="138" t="n">
        <f aca="false">K194+K195</f>
        <v>-3589.93186992664</v>
      </c>
      <c r="L39" s="138" t="n">
        <f aca="false">L194+L195</f>
        <v>-4327.2145601403</v>
      </c>
      <c r="M39" s="138" t="n">
        <f aca="false">M194+M195</f>
        <v>-4870.86192805732</v>
      </c>
      <c r="N39" s="138" t="n">
        <f aca="false">N194+N195</f>
        <v>-5639.11533924122</v>
      </c>
      <c r="O39" s="138" t="n">
        <f aca="false">O194+O195</f>
        <v>-6407.36875042513</v>
      </c>
      <c r="P39" s="138" t="n">
        <f aca="false">P194+P195</f>
        <v>-7111.0479241698</v>
      </c>
      <c r="Q39" s="138" t="n">
        <f aca="false">Q194+Q195</f>
        <v>-7814.72709791447</v>
      </c>
      <c r="R39" s="138" t="n">
        <f aca="false">R194+R195</f>
        <v>-8518.40627165914</v>
      </c>
      <c r="S39" s="138" t="n">
        <f aca="false">S194+S195</f>
        <v>-8121.12119066163</v>
      </c>
      <c r="T39" s="138" t="n">
        <f aca="false">T194+T195</f>
        <v>-9925.76461914849</v>
      </c>
      <c r="U39" s="138" t="n">
        <f aca="false">U194+U195</f>
        <v>-10622.8168094905</v>
      </c>
      <c r="V39" s="138" t="n">
        <f aca="false">V194+V195</f>
        <v>-11319.8689998324</v>
      </c>
      <c r="W39" s="138" t="n">
        <f aca="false">W194+W195</f>
        <v>-12016.9211901744</v>
      </c>
      <c r="X39" s="138" t="n">
        <f aca="false">X194+X195</f>
        <v>-12489.3673372495</v>
      </c>
      <c r="Y39" s="138" t="n">
        <f aca="false">Y194+Y195</f>
        <v>-12961.8134843246</v>
      </c>
      <c r="Z39" s="138" t="n">
        <f aca="false">Z194+Z195</f>
        <v>-13344.4172140929</v>
      </c>
      <c r="AA39" s="138" t="n">
        <f aca="false">AA194+AA195</f>
        <v>-13727.0209438612</v>
      </c>
      <c r="AB39" s="138" t="n">
        <f aca="false">AB194+AB195</f>
        <v>-14109.6246736295</v>
      </c>
      <c r="AC39" s="138" t="n">
        <f aca="false">AC194+AC195</f>
        <v>-14492.2284033978</v>
      </c>
      <c r="AD39" s="138" t="n">
        <f aca="false">AD194+AD195</f>
        <v>-14874.8321331662</v>
      </c>
      <c r="AE39" s="138" t="n">
        <f aca="false">AE194+AE195</f>
        <v>-14091.7090049722</v>
      </c>
      <c r="AF39" s="138" t="n">
        <f aca="false">AF194+AF195</f>
        <v>-15640.0395927028</v>
      </c>
      <c r="AG39" s="138" t="n">
        <f aca="false">AG194+AG195</f>
        <v>-16022.6433224711</v>
      </c>
      <c r="AH39" s="138" t="n">
        <f aca="false">AH194+AH195</f>
        <v>-16405.2470522394</v>
      </c>
      <c r="AI39" s="138" t="n">
        <f aca="false">AI194+AI195</f>
        <v>-16787.8507820078</v>
      </c>
      <c r="AJ39" s="138" t="n">
        <f aca="false">AJ194+AJ195</f>
        <v>-17170.4545117761</v>
      </c>
      <c r="AK39" s="138" t="n">
        <f aca="false">AK194+AK195</f>
        <v>-17553.0582415444</v>
      </c>
      <c r="AL39" s="138" t="n">
        <f aca="false">AL194+AL195</f>
        <v>-17935.6619713127</v>
      </c>
      <c r="AM39" s="138" t="n">
        <f aca="false">AM194+AM195</f>
        <v>-18318.265701081</v>
      </c>
      <c r="AN39" s="138" t="n">
        <f aca="false">AN194+AN195</f>
        <v>-18700.8694308493</v>
      </c>
      <c r="AO39" s="138" t="n">
        <f aca="false">AO194+AO195</f>
        <v>-19083.4731606177</v>
      </c>
      <c r="AP39" s="138" t="n">
        <f aca="false">AP194+AP195</f>
        <v>-19466.076890386</v>
      </c>
      <c r="AQ39" s="138" t="n">
        <f aca="false">AQ194+AQ195</f>
        <v>-18682.953762192</v>
      </c>
      <c r="AR39" s="138" t="n">
        <f aca="false">AR194+AR195</f>
        <v>-20231.2843499226</v>
      </c>
      <c r="AS39" s="138" t="n">
        <f aca="false">AS194+AS195</f>
        <v>-20231.2843499226</v>
      </c>
      <c r="AT39" s="138" t="n">
        <f aca="false">AT194+AT195</f>
        <v>-20231.2843499226</v>
      </c>
      <c r="AU39" s="138" t="n">
        <f aca="false">AU194+AU195</f>
        <v>-20231.2843499226</v>
      </c>
      <c r="AV39" s="138" t="n">
        <f aca="false">AV194+AV195</f>
        <v>-20231.2843499226</v>
      </c>
      <c r="AW39" s="138" t="n">
        <f aca="false">AW194+AW195</f>
        <v>-20231.2843499226</v>
      </c>
      <c r="AX39" s="138" t="n">
        <f aca="false">AX194+AX195</f>
        <v>-20231.2843499226</v>
      </c>
      <c r="AY39" s="138" t="n">
        <f aca="false">AY194+AY195</f>
        <v>-20231.2843499226</v>
      </c>
      <c r="AZ39" s="138" t="n">
        <f aca="false">AZ194+AZ195</f>
        <v>-20231.2843499226</v>
      </c>
      <c r="BA39" s="138" t="n">
        <f aca="false">BA194+BA195</f>
        <v>-20231.2843499226</v>
      </c>
      <c r="BB39" s="138" t="n">
        <f aca="false">BB194+BB195</f>
        <v>-20231.2843499226</v>
      </c>
      <c r="BC39" s="138" t="n">
        <f aca="false">BC194+BC195</f>
        <v>-19065.5574919603</v>
      </c>
      <c r="BD39" s="138" t="n">
        <f aca="false">BD194+BD195</f>
        <v>-20231.2843499226</v>
      </c>
      <c r="BE39" s="138" t="n">
        <f aca="false">BE194+BE195</f>
        <v>-20231.2843499226</v>
      </c>
      <c r="BF39" s="138" t="n">
        <f aca="false">BF194+BF195</f>
        <v>-20231.2843499226</v>
      </c>
      <c r="BG39" s="138" t="n">
        <f aca="false">BG194+BG195</f>
        <v>-20231.2843499226</v>
      </c>
      <c r="BH39" s="138" t="n">
        <f aca="false">BH194+BH195</f>
        <v>-20231.2843499226</v>
      </c>
      <c r="BI39" s="138" t="n">
        <f aca="false">BI194+BI195</f>
        <v>-20231.2843499226</v>
      </c>
      <c r="BJ39" s="138" t="n">
        <f aca="false">BJ194+BJ195</f>
        <v>-20231.2843499226</v>
      </c>
      <c r="BK39" s="138" t="n">
        <f aca="false">BK194+BK195</f>
        <v>-20231.2843499226</v>
      </c>
      <c r="BL39" s="138" t="n">
        <f aca="false">BL194+BL195</f>
        <v>-20231.2843499226</v>
      </c>
      <c r="BM39" s="138" t="n">
        <f aca="false">BM194+BM195</f>
        <v>-20231.2843499226</v>
      </c>
      <c r="BN39" s="138" t="n">
        <f aca="false">BN194+BN195</f>
        <v>-20231.2843499226</v>
      </c>
      <c r="BO39" s="138" t="n">
        <f aca="false">BO194+BO195</f>
        <v>-19065.5574919603</v>
      </c>
      <c r="BP39" s="138" t="n">
        <f aca="false">BP194+BP195</f>
        <v>-20231.2843499226</v>
      </c>
      <c r="BQ39" s="138" t="n">
        <f aca="false">BQ194+BQ195</f>
        <v>-20231.2843499226</v>
      </c>
      <c r="BR39" s="138" t="n">
        <f aca="false">BR194+BR195</f>
        <v>-20231.2843499226</v>
      </c>
      <c r="BS39" s="138" t="n">
        <f aca="false">BS194+BS195</f>
        <v>-20231.2843499226</v>
      </c>
      <c r="BT39" s="138" t="n">
        <f aca="false">BT194+BT195</f>
        <v>-20231.2843499226</v>
      </c>
      <c r="BU39" s="138" t="n">
        <f aca="false">BU194+BU195</f>
        <v>-20231.2843499226</v>
      </c>
      <c r="BV39" s="138" t="n">
        <f aca="false">BV194+BV195</f>
        <v>-20231.2843499226</v>
      </c>
      <c r="BW39" s="138" t="n">
        <f aca="false">BW194+BW195</f>
        <v>-20231.2843499226</v>
      </c>
      <c r="BX39" s="138" t="n">
        <f aca="false">BX194+BX195</f>
        <v>-20231.2843499226</v>
      </c>
      <c r="BY39" s="138" t="n">
        <f aca="false">BY194+BY195</f>
        <v>-20231.2843499226</v>
      </c>
      <c r="BZ39" s="138" t="n">
        <f aca="false">BZ194+BZ195</f>
        <v>-20231.2843499226</v>
      </c>
      <c r="CA39" s="138" t="n">
        <f aca="false">CA194+CA195</f>
        <v>-19065.5574919603</v>
      </c>
      <c r="CB39" s="138" t="n">
        <f aca="false">CB194+CB195</f>
        <v>-20231.2843499226</v>
      </c>
      <c r="CC39" s="138" t="n">
        <f aca="false">CC194+CC195</f>
        <v>-20231.2843499226</v>
      </c>
      <c r="CD39" s="138" t="n">
        <f aca="false">CD194+CD195</f>
        <v>-20231.2843499226</v>
      </c>
      <c r="CE39" s="138" t="n">
        <f aca="false">CE194+CE195</f>
        <v>-20231.2843499226</v>
      </c>
      <c r="CF39" s="138" t="n">
        <f aca="false">CF194+CF195</f>
        <v>-20231.2843499226</v>
      </c>
      <c r="CG39" s="138" t="n">
        <f aca="false">CG194+CG195</f>
        <v>-20231.2843499226</v>
      </c>
      <c r="CH39" s="138" t="n">
        <f aca="false">CH194+CH195</f>
        <v>-20231.2843499226</v>
      </c>
    </row>
    <row r="40" customFormat="false" ht="13.5" hidden="false" customHeight="true" outlineLevel="0" collapsed="false">
      <c r="A40" s="64" t="s">
        <v>721</v>
      </c>
      <c r="C40" s="99" t="n">
        <f aca="false">C38+C39</f>
        <v>2627.28093547541</v>
      </c>
      <c r="D40" s="99" t="n">
        <f aca="false">D38+D39</f>
        <v>5318.6025083548</v>
      </c>
      <c r="E40" s="99" t="n">
        <f aca="false">E38+E39</f>
        <v>9005.95938393754</v>
      </c>
      <c r="F40" s="99" t="n">
        <f aca="false">F38+F39</f>
        <v>11793.5007985699</v>
      </c>
      <c r="G40" s="99" t="n">
        <f aca="false">G38+G39</f>
        <v>7175.27330906697</v>
      </c>
      <c r="H40" s="99" t="n">
        <f aca="false">H38+H39</f>
        <v>17796.6581982805</v>
      </c>
      <c r="I40" s="99" t="n">
        <f aca="false">I38+I39</f>
        <v>21076.3148207629</v>
      </c>
      <c r="J40" s="99" t="n">
        <f aca="false">J38+J39</f>
        <v>25589.7979951252</v>
      </c>
      <c r="K40" s="99" t="n">
        <f aca="false">K38+K39</f>
        <v>30720.1944454275</v>
      </c>
      <c r="L40" s="99" t="n">
        <f aca="false">L38+L39</f>
        <v>35850.5908957298</v>
      </c>
      <c r="M40" s="99" t="n">
        <f aca="false">M38+M39</f>
        <v>39984.9520433287</v>
      </c>
      <c r="N40" s="99" t="n">
        <f aca="false">N38+N39</f>
        <v>44863.6696476607</v>
      </c>
      <c r="O40" s="99" t="n">
        <f aca="false">O38+O39</f>
        <v>49742.3872519928</v>
      </c>
      <c r="P40" s="99" t="n">
        <f aca="false">P38+P39</f>
        <v>54336.8525937641</v>
      </c>
      <c r="Q40" s="99" t="n">
        <f aca="false">Q38+Q39</f>
        <v>58931.3179355353</v>
      </c>
      <c r="R40" s="99" t="n">
        <f aca="false">R38+R39</f>
        <v>63525.7832773066</v>
      </c>
      <c r="S40" s="99" t="n">
        <f aca="false">S38+S39</f>
        <v>43158.3725121917</v>
      </c>
      <c r="T40" s="99" t="n">
        <f aca="false">T38+T39</f>
        <v>72714.7139608491</v>
      </c>
      <c r="U40" s="99" t="n">
        <f aca="false">U38+U39</f>
        <v>75992.9893453888</v>
      </c>
      <c r="V40" s="99" t="n">
        <f aca="false">V38+V39</f>
        <v>79271.2647299283</v>
      </c>
      <c r="W40" s="99" t="n">
        <f aca="false">W38+W39</f>
        <v>82549.5401144679</v>
      </c>
      <c r="X40" s="99" t="n">
        <f aca="false">X38+X39</f>
        <v>85083.4590422744</v>
      </c>
      <c r="Y40" s="99" t="n">
        <f aca="false">Y38+Y39</f>
        <v>87617.3779700809</v>
      </c>
      <c r="Z40" s="99" t="n">
        <f aca="false">Z38+Z39</f>
        <v>89879.3933151942</v>
      </c>
      <c r="AA40" s="99" t="n">
        <f aca="false">AA38+AA39</f>
        <v>92141.4086603074</v>
      </c>
      <c r="AB40" s="99" t="n">
        <f aca="false">AB38+AB39</f>
        <v>94403.4240054207</v>
      </c>
      <c r="AC40" s="99" t="n">
        <f aca="false">AC38+AC39</f>
        <v>96665.4393505339</v>
      </c>
      <c r="AD40" s="99" t="n">
        <f aca="false">AD38+AD39</f>
        <v>98927.4546956472</v>
      </c>
      <c r="AE40" s="99" t="n">
        <f aca="false">AE38+AE39</f>
        <v>74759.248280528</v>
      </c>
      <c r="AF40" s="99" t="n">
        <f aca="false">AF38+AF39</f>
        <v>103451.485385874</v>
      </c>
      <c r="AG40" s="99" t="n">
        <f aca="false">AG38+AG39</f>
        <v>105713.500730987</v>
      </c>
      <c r="AH40" s="99" t="n">
        <f aca="false">AH38+AH39</f>
        <v>107975.5160761</v>
      </c>
      <c r="AI40" s="99" t="n">
        <f aca="false">AI38+AI39</f>
        <v>110237.531421213</v>
      </c>
      <c r="AJ40" s="99" t="n">
        <f aca="false">AJ38+AJ39</f>
        <v>112499.546766327</v>
      </c>
      <c r="AK40" s="99" t="n">
        <f aca="false">AK38+AK39</f>
        <v>114761.56211144</v>
      </c>
      <c r="AL40" s="99" t="n">
        <f aca="false">AL38+AL39</f>
        <v>117023.577456553</v>
      </c>
      <c r="AM40" s="99" t="n">
        <f aca="false">AM38+AM39</f>
        <v>119285.592801666</v>
      </c>
      <c r="AN40" s="99" t="n">
        <f aca="false">AN38+AN39</f>
        <v>121547.60814678</v>
      </c>
      <c r="AO40" s="99" t="n">
        <f aca="false">AO38+AO39</f>
        <v>123809.623491893</v>
      </c>
      <c r="AP40" s="99" t="n">
        <f aca="false">AP38+AP39</f>
        <v>126071.638837006</v>
      </c>
      <c r="AQ40" s="99" t="n">
        <f aca="false">AQ38+AQ39</f>
        <v>101903.432421887</v>
      </c>
      <c r="AR40" s="99" t="n">
        <f aca="false">AR38+AR39</f>
        <v>130595.669527233</v>
      </c>
      <c r="AS40" s="99" t="n">
        <f aca="false">AS38+AS39</f>
        <v>130595.669527233</v>
      </c>
      <c r="AT40" s="99" t="n">
        <f aca="false">AT38+AT39</f>
        <v>130595.669527233</v>
      </c>
      <c r="AU40" s="99" t="n">
        <f aca="false">AU38+AU39</f>
        <v>130595.669527233</v>
      </c>
      <c r="AV40" s="99" t="n">
        <f aca="false">AV38+AV39</f>
        <v>130595.669527233</v>
      </c>
      <c r="AW40" s="99" t="n">
        <f aca="false">AW38+AW39</f>
        <v>130595.669527233</v>
      </c>
      <c r="AX40" s="99" t="n">
        <f aca="false">AX38+AX39</f>
        <v>130595.669527233</v>
      </c>
      <c r="AY40" s="99" t="n">
        <f aca="false">AY38+AY39</f>
        <v>130595.669527233</v>
      </c>
      <c r="AZ40" s="99" t="n">
        <f aca="false">AZ38+AZ39</f>
        <v>130595.669527233</v>
      </c>
      <c r="BA40" s="99" t="n">
        <f aca="false">BA38+BA39</f>
        <v>130595.669527233</v>
      </c>
      <c r="BB40" s="99" t="n">
        <f aca="false">BB38+BB39</f>
        <v>130595.669527233</v>
      </c>
      <c r="BC40" s="99" t="n">
        <f aca="false">BC38+BC39</f>
        <v>104165.447767</v>
      </c>
      <c r="BD40" s="99" t="n">
        <f aca="false">BD38+BD39</f>
        <v>130595.669527233</v>
      </c>
      <c r="BE40" s="99" t="n">
        <f aca="false">BE38+BE39</f>
        <v>130595.669527233</v>
      </c>
      <c r="BF40" s="99" t="n">
        <f aca="false">BF38+BF39</f>
        <v>130595.669527233</v>
      </c>
      <c r="BG40" s="99" t="n">
        <f aca="false">BG38+BG39</f>
        <v>130595.669527233</v>
      </c>
      <c r="BH40" s="99" t="n">
        <f aca="false">BH38+BH39</f>
        <v>130595.669527233</v>
      </c>
      <c r="BI40" s="99" t="n">
        <f aca="false">BI38+BI39</f>
        <v>130595.669527233</v>
      </c>
      <c r="BJ40" s="99" t="n">
        <f aca="false">BJ38+BJ39</f>
        <v>130595.669527233</v>
      </c>
      <c r="BK40" s="99" t="n">
        <f aca="false">BK38+BK39</f>
        <v>130595.669527233</v>
      </c>
      <c r="BL40" s="99" t="n">
        <f aca="false">BL38+BL39</f>
        <v>130595.669527233</v>
      </c>
      <c r="BM40" s="99" t="n">
        <f aca="false">BM38+BM39</f>
        <v>130595.669527233</v>
      </c>
      <c r="BN40" s="99" t="n">
        <f aca="false">BN38+BN39</f>
        <v>130595.669527233</v>
      </c>
      <c r="BO40" s="99" t="n">
        <f aca="false">BO38+BO39</f>
        <v>104165.447767</v>
      </c>
      <c r="BP40" s="99" t="n">
        <f aca="false">BP38+BP39</f>
        <v>130595.669527233</v>
      </c>
      <c r="BQ40" s="99" t="n">
        <f aca="false">BQ38+BQ39</f>
        <v>130595.669527233</v>
      </c>
      <c r="BR40" s="99" t="n">
        <f aca="false">BR38+BR39</f>
        <v>130595.669527233</v>
      </c>
      <c r="BS40" s="99" t="n">
        <f aca="false">BS38+BS39</f>
        <v>130595.669527233</v>
      </c>
      <c r="BT40" s="99" t="n">
        <f aca="false">BT38+BT39</f>
        <v>130595.669527233</v>
      </c>
      <c r="BU40" s="99" t="n">
        <f aca="false">BU38+BU39</f>
        <v>130595.669527233</v>
      </c>
      <c r="BV40" s="99" t="n">
        <f aca="false">BV38+BV39</f>
        <v>130595.669527233</v>
      </c>
      <c r="BW40" s="99" t="n">
        <f aca="false">BW38+BW39</f>
        <v>130595.669527233</v>
      </c>
      <c r="BX40" s="99" t="n">
        <f aca="false">BX38+BX39</f>
        <v>130595.669527233</v>
      </c>
      <c r="BY40" s="99" t="n">
        <f aca="false">BY38+BY39</f>
        <v>130595.669527233</v>
      </c>
      <c r="BZ40" s="99" t="n">
        <f aca="false">BZ38+BZ39</f>
        <v>130595.669527233</v>
      </c>
      <c r="CA40" s="99" t="n">
        <f aca="false">CA38+CA39</f>
        <v>104165.447767</v>
      </c>
      <c r="CB40" s="99" t="n">
        <f aca="false">CB38+CB39</f>
        <v>130595.669527233</v>
      </c>
      <c r="CC40" s="99" t="n">
        <f aca="false">CC38+CC39</f>
        <v>130595.669527233</v>
      </c>
      <c r="CD40" s="99" t="n">
        <f aca="false">CD38+CD39</f>
        <v>130595.669527233</v>
      </c>
      <c r="CE40" s="99" t="n">
        <f aca="false">CE38+CE39</f>
        <v>130595.669527233</v>
      </c>
      <c r="CF40" s="99" t="n">
        <f aca="false">CF38+CF39</f>
        <v>130595.669527233</v>
      </c>
      <c r="CG40" s="99" t="n">
        <f aca="false">CG38+CG39</f>
        <v>130595.669527233</v>
      </c>
      <c r="CH40" s="99" t="n">
        <f aca="false">CH38+CH39</f>
        <v>130595.669527233</v>
      </c>
    </row>
    <row r="41" customFormat="false" ht="13.5" hidden="false" customHeight="true" outlineLevel="0" collapsed="false">
      <c r="A41" s="13" t="s">
        <v>722</v>
      </c>
      <c r="C41" s="151" t="n">
        <f aca="false">IFERROR(C40/C38,0)</f>
        <v>0.929533672931832</v>
      </c>
      <c r="D41" s="151" t="n">
        <f aca="false">IFERROR(D40/D38,0)</f>
        <v>0.928135166879057</v>
      </c>
      <c r="E41" s="151" t="n">
        <f aca="false">IFERROR(E40/E38,0)</f>
        <v>0.916725149740355</v>
      </c>
      <c r="F41" s="151" t="n">
        <f aca="false">IFERROR(F40/F38,0)</f>
        <v>0.914586406968352</v>
      </c>
      <c r="G41" s="151" t="n">
        <f aca="false">IFERROR(G40/G38,0)</f>
        <v>0.87261908024471</v>
      </c>
      <c r="H41" s="151" t="n">
        <f aca="false">IFERROR(H40/H38,0)</f>
        <v>0.90835759663869</v>
      </c>
      <c r="I41" s="151" t="n">
        <f aca="false">IFERROR(I40/I38,0)</f>
        <v>0.904717105335539</v>
      </c>
      <c r="J41" s="151" t="n">
        <f aca="false">IFERROR(J40/J38,0)</f>
        <v>0.899704509876471</v>
      </c>
      <c r="K41" s="151" t="n">
        <f aca="false">IFERROR(K40/K38,0)</f>
        <v>0.89536815350283</v>
      </c>
      <c r="L41" s="151" t="n">
        <f aca="false">IFERROR(L40/L38,0)</f>
        <v>0.892298384368127</v>
      </c>
      <c r="M41" s="151" t="n">
        <f aca="false">IFERROR(M40/M38,0)</f>
        <v>0.89141068912127</v>
      </c>
      <c r="N41" s="151" t="n">
        <f aca="false">IFERROR(N40/N38,0)</f>
        <v>0.888340507544213</v>
      </c>
      <c r="O41" s="151" t="n">
        <f aca="false">IFERROR(O40/O38,0)</f>
        <v>0.88588786120194</v>
      </c>
      <c r="P41" s="151" t="n">
        <f aca="false">IFERROR(P40/P38,0)</f>
        <v>0.884275168651297</v>
      </c>
      <c r="Q41" s="151" t="n">
        <f aca="false">IFERROR(Q40/Q38,0)</f>
        <v>0.88291849960551</v>
      </c>
      <c r="R41" s="151" t="n">
        <f aca="false">IFERROR(R40/R38,0)</f>
        <v>0.881761370000984</v>
      </c>
      <c r="S41" s="151" t="n">
        <f aca="false">IFERROR(S40/S38,0)</f>
        <v>0.841630238439547</v>
      </c>
      <c r="T41" s="151" t="n">
        <f aca="false">IFERROR(T40/T38,0)</f>
        <v>0.879892217594793</v>
      </c>
      <c r="U41" s="151" t="n">
        <f aca="false">IFERROR(U40/U38,0)</f>
        <v>0.877357063553786</v>
      </c>
      <c r="V41" s="151" t="n">
        <f aca="false">IFERROR(V40/V38,0)</f>
        <v>0.875044405188698</v>
      </c>
      <c r="W41" s="151" t="n">
        <f aca="false">IFERROR(W40/W38,0)</f>
        <v>0.872926183084483</v>
      </c>
      <c r="X41" s="151" t="n">
        <f aca="false">IFERROR(X40/X38,0)</f>
        <v>0.871999533059848</v>
      </c>
      <c r="Y41" s="151" t="n">
        <f aca="false">IFERROR(Y40/Y38,0)</f>
        <v>0.871128279151057</v>
      </c>
      <c r="Z41" s="151" t="n">
        <f aca="false">IFERROR(Z40/Z38,0)</f>
        <v>0.870723458612228</v>
      </c>
      <c r="AA41" s="151" t="n">
        <f aca="false">IFERROR(AA40/AA38,0)</f>
        <v>0.870338863104089</v>
      </c>
      <c r="AB41" s="151" t="n">
        <f aca="false">IFERROR(AB40/AB38,0)</f>
        <v>0.869973013887375</v>
      </c>
      <c r="AC41" s="151" t="n">
        <f aca="false">IFERROR(AC40/AC38,0)</f>
        <v>0.869624572949128</v>
      </c>
      <c r="AD41" s="151" t="n">
        <f aca="false">IFERROR(AD40/AD38,0)</f>
        <v>0.869292326651207</v>
      </c>
      <c r="AE41" s="151" t="n">
        <f aca="false">IFERROR(AE40/AE38,0)</f>
        <v>0.841400594484402</v>
      </c>
      <c r="AF41" s="151" t="n">
        <f aca="false">IFERROR(AF40/AF38,0)</f>
        <v>0.868672102439562</v>
      </c>
      <c r="AG41" s="151" t="n">
        <f aca="false">IFERROR(AG40/AG38,0)</f>
        <v>0.868382201136295</v>
      </c>
      <c r="AH41" s="151" t="n">
        <f aca="false">IFERROR(AH40/AH38,0)</f>
        <v>0.868104627760548</v>
      </c>
      <c r="AI41" s="151" t="n">
        <f aca="false">IFERROR(AI40/AI38,0)</f>
        <v>0.867838612324348</v>
      </c>
      <c r="AJ41" s="151" t="n">
        <f aca="false">IFERROR(AJ40/AJ38,0)</f>
        <v>0.867583447655324</v>
      </c>
      <c r="AK41" s="151" t="n">
        <f aca="false">IFERROR(AK40/AK38,0)</f>
        <v>0.867338483119122</v>
      </c>
      <c r="AL41" s="151" t="n">
        <f aca="false">IFERROR(AL40/AL38,0)</f>
        <v>0.867103119079897</v>
      </c>
      <c r="AM41" s="151" t="n">
        <f aca="false">IFERROR(AM40/AM38,0)</f>
        <v>0.866876801999595</v>
      </c>
      <c r="AN41" s="151" t="n">
        <f aca="false">IFERROR(AN40/AN38,0)</f>
        <v>0.866659020091693</v>
      </c>
      <c r="AO41" s="151" t="n">
        <f aca="false">IFERROR(AO40/AO38,0)</f>
        <v>0.866449299457586</v>
      </c>
      <c r="AP41" s="151" t="n">
        <f aca="false">IFERROR(AP40/AP38,0)</f>
        <v>0.866247200644209</v>
      </c>
      <c r="AQ41" s="151" t="n">
        <f aca="false">IFERROR(AQ40/AQ38,0)</f>
        <v>0.845065812539802</v>
      </c>
      <c r="AR41" s="151" t="n">
        <f aca="false">IFERROR(AR40/AR38,0)</f>
        <v>0.865864264775907</v>
      </c>
      <c r="AS41" s="151" t="n">
        <f aca="false">IFERROR(AS40/AS38,0)</f>
        <v>0.865864264775907</v>
      </c>
      <c r="AT41" s="151" t="n">
        <f aca="false">IFERROR(AT40/AT38,0)</f>
        <v>0.865864264775907</v>
      </c>
      <c r="AU41" s="151" t="n">
        <f aca="false">IFERROR(AU40/AU38,0)</f>
        <v>0.865864264775907</v>
      </c>
      <c r="AV41" s="151" t="n">
        <f aca="false">IFERROR(AV40/AV38,0)</f>
        <v>0.865864264775907</v>
      </c>
      <c r="AW41" s="151" t="n">
        <f aca="false">IFERROR(AW40/AW38,0)</f>
        <v>0.865864264775907</v>
      </c>
      <c r="AX41" s="151" t="n">
        <f aca="false">IFERROR(AX40/AX38,0)</f>
        <v>0.865864264775907</v>
      </c>
      <c r="AY41" s="151" t="n">
        <f aca="false">IFERROR(AY40/AY38,0)</f>
        <v>0.865864264775907</v>
      </c>
      <c r="AZ41" s="151" t="n">
        <f aca="false">IFERROR(AZ40/AZ38,0)</f>
        <v>0.865864264775907</v>
      </c>
      <c r="BA41" s="151" t="n">
        <f aca="false">IFERROR(BA40/BA38,0)</f>
        <v>0.865864264775907</v>
      </c>
      <c r="BB41" s="151" t="n">
        <f aca="false">IFERROR(BB40/BB38,0)</f>
        <v>0.865864264775907</v>
      </c>
      <c r="BC41" s="151" t="n">
        <f aca="false">IFERROR(BC40/BC38,0)</f>
        <v>0.845286034534122</v>
      </c>
      <c r="BD41" s="151" t="n">
        <f aca="false">IFERROR(BD40/BD38,0)</f>
        <v>0.865864264775907</v>
      </c>
      <c r="BE41" s="151" t="n">
        <f aca="false">IFERROR(BE40/BE38,0)</f>
        <v>0.865864264775907</v>
      </c>
      <c r="BF41" s="151" t="n">
        <f aca="false">IFERROR(BF40/BF38,0)</f>
        <v>0.865864264775907</v>
      </c>
      <c r="BG41" s="151" t="n">
        <f aca="false">IFERROR(BG40/BG38,0)</f>
        <v>0.865864264775907</v>
      </c>
      <c r="BH41" s="151" t="n">
        <f aca="false">IFERROR(BH40/BH38,0)</f>
        <v>0.865864264775907</v>
      </c>
      <c r="BI41" s="151" t="n">
        <f aca="false">IFERROR(BI40/BI38,0)</f>
        <v>0.865864264775907</v>
      </c>
      <c r="BJ41" s="151" t="n">
        <f aca="false">IFERROR(BJ40/BJ38,0)</f>
        <v>0.865864264775907</v>
      </c>
      <c r="BK41" s="151" t="n">
        <f aca="false">IFERROR(BK40/BK38,0)</f>
        <v>0.865864264775907</v>
      </c>
      <c r="BL41" s="151" t="n">
        <f aca="false">IFERROR(BL40/BL38,0)</f>
        <v>0.865864264775907</v>
      </c>
      <c r="BM41" s="151" t="n">
        <f aca="false">IFERROR(BM40/BM38,0)</f>
        <v>0.865864264775907</v>
      </c>
      <c r="BN41" s="151" t="n">
        <f aca="false">IFERROR(BN40/BN38,0)</f>
        <v>0.865864264775907</v>
      </c>
      <c r="BO41" s="151" t="n">
        <f aca="false">IFERROR(BO40/BO38,0)</f>
        <v>0.845286034534122</v>
      </c>
      <c r="BP41" s="151" t="n">
        <f aca="false">IFERROR(BP40/BP38,0)</f>
        <v>0.865864264775907</v>
      </c>
      <c r="BQ41" s="151" t="n">
        <f aca="false">IFERROR(BQ40/BQ38,0)</f>
        <v>0.865864264775907</v>
      </c>
      <c r="BR41" s="151" t="n">
        <f aca="false">IFERROR(BR40/BR38,0)</f>
        <v>0.865864264775907</v>
      </c>
      <c r="BS41" s="151" t="n">
        <f aca="false">IFERROR(BS40/BS38,0)</f>
        <v>0.865864264775907</v>
      </c>
      <c r="BT41" s="151" t="n">
        <f aca="false">IFERROR(BT40/BT38,0)</f>
        <v>0.865864264775907</v>
      </c>
      <c r="BU41" s="151" t="n">
        <f aca="false">IFERROR(BU40/BU38,0)</f>
        <v>0.865864264775907</v>
      </c>
      <c r="BV41" s="151" t="n">
        <f aca="false">IFERROR(BV40/BV38,0)</f>
        <v>0.865864264775907</v>
      </c>
      <c r="BW41" s="151" t="n">
        <f aca="false">IFERROR(BW40/BW38,0)</f>
        <v>0.865864264775907</v>
      </c>
      <c r="BX41" s="151" t="n">
        <f aca="false">IFERROR(BX40/BX38,0)</f>
        <v>0.865864264775907</v>
      </c>
      <c r="BY41" s="151" t="n">
        <f aca="false">IFERROR(BY40/BY38,0)</f>
        <v>0.865864264775907</v>
      </c>
      <c r="BZ41" s="151" t="n">
        <f aca="false">IFERROR(BZ40/BZ38,0)</f>
        <v>0.865864264775907</v>
      </c>
      <c r="CA41" s="151" t="n">
        <f aca="false">IFERROR(CA40/CA38,0)</f>
        <v>0.845286034534122</v>
      </c>
      <c r="CB41" s="151" t="n">
        <f aca="false">IFERROR(CB40/CB38,0)</f>
        <v>0.865864264775907</v>
      </c>
      <c r="CC41" s="151" t="n">
        <f aca="false">IFERROR(CC40/CC38,0)</f>
        <v>0.865864264775907</v>
      </c>
      <c r="CD41" s="151" t="n">
        <f aca="false">IFERROR(CD40/CD38,0)</f>
        <v>0.865864264775907</v>
      </c>
      <c r="CE41" s="151" t="n">
        <f aca="false">IFERROR(CE40/CE38,0)</f>
        <v>0.865864264775907</v>
      </c>
      <c r="CF41" s="151" t="n">
        <f aca="false">IFERROR(CF40/CF38,0)</f>
        <v>0.865864264775907</v>
      </c>
      <c r="CG41" s="151" t="n">
        <f aca="false">IFERROR(CG40/CG38,0)</f>
        <v>0.865864264775907</v>
      </c>
      <c r="CH41" s="151" t="n">
        <f aca="false">IFERROR(CH40/CH38,0)</f>
        <v>0.865864264775907</v>
      </c>
    </row>
    <row r="42" customFormat="false" ht="13.5" hidden="false" customHeight="true" outlineLevel="0" collapsed="false">
      <c r="A42" s="13" t="s">
        <v>723</v>
      </c>
      <c r="C42" s="138" t="n">
        <f aca="false">-Hipótesis!$E$36</f>
        <v>-1800</v>
      </c>
      <c r="D42" s="138" t="n">
        <f aca="false">-Hipótesis!$E$36</f>
        <v>-1800</v>
      </c>
      <c r="E42" s="138" t="n">
        <f aca="false">-Hipótesis!$E$36</f>
        <v>-1800</v>
      </c>
      <c r="F42" s="138" t="n">
        <f aca="false">-Hipótesis!$E$36</f>
        <v>-1800</v>
      </c>
      <c r="G42" s="138" t="n">
        <f aca="false">-Hipótesis!$E$36</f>
        <v>-1800</v>
      </c>
      <c r="H42" s="138" t="n">
        <f aca="false">-Hipótesis!$E$36</f>
        <v>-1800</v>
      </c>
      <c r="I42" s="138" t="n">
        <f aca="false">-Hipótesis!$E$36</f>
        <v>-1800</v>
      </c>
      <c r="J42" s="138" t="n">
        <f aca="false">-Hipótesis!$E$36</f>
        <v>-1800</v>
      </c>
      <c r="K42" s="138" t="n">
        <f aca="false">-Hipótesis!$E$36</f>
        <v>-1800</v>
      </c>
      <c r="L42" s="138" t="n">
        <f aca="false">-Hipótesis!$E$36</f>
        <v>-1800</v>
      </c>
      <c r="M42" s="138" t="n">
        <f aca="false">-Hipótesis!$E$36</f>
        <v>-1800</v>
      </c>
      <c r="N42" s="138" t="n">
        <f aca="false">-Hipótesis!$E$36</f>
        <v>-1800</v>
      </c>
      <c r="O42" s="138" t="n">
        <f aca="false">-Hipótesis!$E$36</f>
        <v>-1800</v>
      </c>
      <c r="P42" s="138" t="n">
        <f aca="false">-Hipótesis!$E$36</f>
        <v>-1800</v>
      </c>
      <c r="Q42" s="138" t="n">
        <f aca="false">-Hipótesis!$E$36</f>
        <v>-1800</v>
      </c>
      <c r="R42" s="138" t="n">
        <f aca="false">-Hipótesis!$E$36</f>
        <v>-1800</v>
      </c>
      <c r="S42" s="138" t="n">
        <f aca="false">-Hipótesis!$E$36</f>
        <v>-1800</v>
      </c>
      <c r="T42" s="138" t="n">
        <f aca="false">-Hipótesis!$E$36</f>
        <v>-1800</v>
      </c>
      <c r="U42" s="138" t="n">
        <f aca="false">-Hipótesis!$E$36</f>
        <v>-1800</v>
      </c>
      <c r="V42" s="138" t="n">
        <f aca="false">-Hipótesis!$E$36</f>
        <v>-1800</v>
      </c>
      <c r="W42" s="138" t="n">
        <f aca="false">-Hipótesis!$E$36</f>
        <v>-1800</v>
      </c>
      <c r="X42" s="138" t="n">
        <f aca="false">-Hipótesis!$E$36</f>
        <v>-1800</v>
      </c>
      <c r="Y42" s="138" t="n">
        <f aca="false">-Hipótesis!$E$36</f>
        <v>-1800</v>
      </c>
      <c r="Z42" s="138" t="n">
        <f aca="false">-Hipótesis!$E$36</f>
        <v>-1800</v>
      </c>
      <c r="AA42" s="138" t="n">
        <f aca="false">-Hipótesis!$E$36</f>
        <v>-1800</v>
      </c>
      <c r="AB42" s="138" t="n">
        <f aca="false">-Hipótesis!$E$36</f>
        <v>-1800</v>
      </c>
      <c r="AC42" s="138" t="n">
        <f aca="false">-Hipótesis!$E$36</f>
        <v>-1800</v>
      </c>
      <c r="AD42" s="138" t="n">
        <f aca="false">-Hipótesis!$E$36</f>
        <v>-1800</v>
      </c>
      <c r="AE42" s="138" t="n">
        <f aca="false">-Hipótesis!$E$36</f>
        <v>-1800</v>
      </c>
      <c r="AF42" s="138" t="n">
        <f aca="false">-Hipótesis!$E$36</f>
        <v>-1800</v>
      </c>
      <c r="AG42" s="138" t="n">
        <f aca="false">-Hipótesis!$E$36</f>
        <v>-1800</v>
      </c>
      <c r="AH42" s="138" t="n">
        <f aca="false">-Hipótesis!$E$36</f>
        <v>-1800</v>
      </c>
      <c r="AI42" s="138" t="n">
        <f aca="false">-Hipótesis!$E$36</f>
        <v>-1800</v>
      </c>
      <c r="AJ42" s="138" t="n">
        <f aca="false">-Hipótesis!$E$36</f>
        <v>-1800</v>
      </c>
      <c r="AK42" s="138" t="n">
        <f aca="false">-Hipótesis!$E$36</f>
        <v>-1800</v>
      </c>
      <c r="AL42" s="138" t="n">
        <f aca="false">-Hipótesis!$E$36</f>
        <v>-1800</v>
      </c>
      <c r="AM42" s="138" t="n">
        <f aca="false">-Hipótesis!$E$36</f>
        <v>-1800</v>
      </c>
      <c r="AN42" s="138" t="n">
        <f aca="false">-Hipótesis!$E$36</f>
        <v>-1800</v>
      </c>
      <c r="AO42" s="138" t="n">
        <f aca="false">-Hipótesis!$E$36</f>
        <v>-1800</v>
      </c>
      <c r="AP42" s="138" t="n">
        <f aca="false">-Hipótesis!$E$36</f>
        <v>-1800</v>
      </c>
      <c r="AQ42" s="138" t="n">
        <f aca="false">-Hipótesis!$E$36</f>
        <v>-1800</v>
      </c>
      <c r="AR42" s="138" t="n">
        <f aca="false">-Hipótesis!$E$36</f>
        <v>-1800</v>
      </c>
      <c r="AS42" s="138" t="n">
        <f aca="false">-Hipótesis!$E$36</f>
        <v>-1800</v>
      </c>
      <c r="AT42" s="138" t="n">
        <f aca="false">-Hipótesis!$E$36</f>
        <v>-1800</v>
      </c>
      <c r="AU42" s="138" t="n">
        <f aca="false">-Hipótesis!$E$36</f>
        <v>-1800</v>
      </c>
      <c r="AV42" s="138" t="n">
        <f aca="false">-Hipótesis!$E$36</f>
        <v>-1800</v>
      </c>
      <c r="AW42" s="138" t="n">
        <f aca="false">-Hipótesis!$E$36</f>
        <v>-1800</v>
      </c>
      <c r="AX42" s="138" t="n">
        <f aca="false">-Hipótesis!$E$36</f>
        <v>-1800</v>
      </c>
      <c r="AY42" s="138" t="n">
        <f aca="false">-Hipótesis!$E$36</f>
        <v>-1800</v>
      </c>
      <c r="AZ42" s="138" t="n">
        <f aca="false">-Hipótesis!$E$36</f>
        <v>-1800</v>
      </c>
      <c r="BA42" s="138" t="n">
        <f aca="false">-Hipótesis!$E$36</f>
        <v>-1800</v>
      </c>
      <c r="BB42" s="138" t="n">
        <f aca="false">-Hipótesis!$E$36</f>
        <v>-1800</v>
      </c>
      <c r="BC42" s="138" t="n">
        <f aca="false">-Hipótesis!$E$36</f>
        <v>-1800</v>
      </c>
      <c r="BD42" s="138" t="n">
        <f aca="false">-Hipótesis!$E$36</f>
        <v>-1800</v>
      </c>
      <c r="BE42" s="138" t="n">
        <f aca="false">-Hipótesis!$E$36</f>
        <v>-1800</v>
      </c>
      <c r="BF42" s="138" t="n">
        <f aca="false">-Hipótesis!$E$36</f>
        <v>-1800</v>
      </c>
      <c r="BG42" s="138" t="n">
        <f aca="false">-Hipótesis!$E$36</f>
        <v>-1800</v>
      </c>
      <c r="BH42" s="138" t="n">
        <f aca="false">-Hipótesis!$E$36</f>
        <v>-1800</v>
      </c>
      <c r="BI42" s="138" t="n">
        <f aca="false">-Hipótesis!$E$36</f>
        <v>-1800</v>
      </c>
      <c r="BJ42" s="138" t="n">
        <f aca="false">-Hipótesis!$E$36</f>
        <v>-1800</v>
      </c>
      <c r="BK42" s="138" t="n">
        <f aca="false">-Hipótesis!$E$36</f>
        <v>-1800</v>
      </c>
      <c r="BL42" s="138" t="n">
        <f aca="false">-Hipótesis!$E$36</f>
        <v>-1800</v>
      </c>
      <c r="BM42" s="138" t="n">
        <f aca="false">-Hipótesis!$E$36</f>
        <v>-1800</v>
      </c>
      <c r="BN42" s="138" t="n">
        <f aca="false">-Hipótesis!$E$36</f>
        <v>-1800</v>
      </c>
      <c r="BO42" s="138" t="n">
        <f aca="false">-Hipótesis!$E$36</f>
        <v>-1800</v>
      </c>
      <c r="BP42" s="138" t="n">
        <f aca="false">-Hipótesis!$E$36</f>
        <v>-1800</v>
      </c>
      <c r="BQ42" s="138" t="n">
        <f aca="false">-Hipótesis!$E$36</f>
        <v>-1800</v>
      </c>
      <c r="BR42" s="138" t="n">
        <f aca="false">-Hipótesis!$E$36</f>
        <v>-1800</v>
      </c>
      <c r="BS42" s="138" t="n">
        <f aca="false">-Hipótesis!$E$36</f>
        <v>-1800</v>
      </c>
      <c r="BT42" s="138" t="n">
        <f aca="false">-Hipótesis!$E$36</f>
        <v>-1800</v>
      </c>
      <c r="BU42" s="138" t="n">
        <f aca="false">-Hipótesis!$E$36</f>
        <v>-1800</v>
      </c>
      <c r="BV42" s="138" t="n">
        <f aca="false">-Hipótesis!$E$36</f>
        <v>-1800</v>
      </c>
      <c r="BW42" s="138" t="n">
        <f aca="false">-Hipótesis!$E$36</f>
        <v>-1800</v>
      </c>
      <c r="BX42" s="138" t="n">
        <f aca="false">-Hipótesis!$E$36</f>
        <v>-1800</v>
      </c>
      <c r="BY42" s="138" t="n">
        <f aca="false">-Hipótesis!$E$36</f>
        <v>-1800</v>
      </c>
      <c r="BZ42" s="138" t="n">
        <f aca="false">-Hipótesis!$E$36</f>
        <v>-1800</v>
      </c>
      <c r="CA42" s="138" t="n">
        <f aca="false">-Hipótesis!$E$36</f>
        <v>-1800</v>
      </c>
      <c r="CB42" s="138" t="n">
        <f aca="false">-Hipótesis!$E$36</f>
        <v>-1800</v>
      </c>
      <c r="CC42" s="138" t="n">
        <f aca="false">-Hipótesis!$E$36</f>
        <v>-1800</v>
      </c>
      <c r="CD42" s="138" t="n">
        <f aca="false">-Hipótesis!$E$36</f>
        <v>-1800</v>
      </c>
      <c r="CE42" s="138" t="n">
        <f aca="false">-Hipótesis!$E$36</f>
        <v>-1800</v>
      </c>
      <c r="CF42" s="138" t="n">
        <f aca="false">-Hipótesis!$E$36</f>
        <v>-1800</v>
      </c>
      <c r="CG42" s="138" t="n">
        <f aca="false">-Hipótesis!$E$36</f>
        <v>-1800</v>
      </c>
      <c r="CH42" s="138" t="n">
        <f aca="false">-Hipótesis!$E$36</f>
        <v>-1800</v>
      </c>
    </row>
    <row r="43" customFormat="false" ht="13.5" hidden="false" customHeight="true" outlineLevel="0" collapsed="false">
      <c r="A43" s="13" t="s">
        <v>724</v>
      </c>
      <c r="C43" s="138" t="n">
        <f aca="false">-(Hipótesis!$E$37+C24*Hipótesis!$E$38)</f>
        <v>-324.303866828758</v>
      </c>
      <c r="D43" s="138" t="n">
        <f aca="false">-(Hipótesis!$E$37+D24*Hipótesis!$E$38)</f>
        <v>-349.576660359602</v>
      </c>
      <c r="E43" s="138" t="n">
        <f aca="false">-(Hipótesis!$E$37+E24*Hipótesis!$E$38)</f>
        <v>-390.770706060047</v>
      </c>
      <c r="F43" s="138" t="n">
        <f aca="false">-(Hipótesis!$E$37+F24*Hipótesis!$E$38)</f>
        <v>-412.060884931733</v>
      </c>
      <c r="G43" s="138" t="n">
        <f aca="false">-(Hipótesis!$E$37+G24*Hipótesis!$E$38)</f>
        <v>-413.682137101333</v>
      </c>
      <c r="H43" s="138" t="n">
        <f aca="false">-(Hipótesis!$E$37+H24*Hipótesis!$E$38)</f>
        <v>-463.805674399007</v>
      </c>
      <c r="I43" s="138" t="n">
        <f aca="false">-(Hipótesis!$E$37+I24*Hipótesis!$E$38)</f>
        <v>-495.22921169668</v>
      </c>
      <c r="J43" s="138" t="n">
        <f aca="false">-(Hipótesis!$E$37+J24*Hipótesis!$E$38)</f>
        <v>-539.852748994354</v>
      </c>
      <c r="K43" s="138" t="n">
        <f aca="false">-(Hipótesis!$E$37+K24*Hipótesis!$E$38)</f>
        <v>-591.076286292028</v>
      </c>
      <c r="L43" s="138" t="n">
        <f aca="false">-(Hipótesis!$E$37+L24*Hipótesis!$E$38)</f>
        <v>-642.299823589702</v>
      </c>
      <c r="M43" s="138" t="n">
        <f aca="false">-(Hipótesis!$E$37+M24*Hipótesis!$E$38)</f>
        <v>-677.602108717775</v>
      </c>
      <c r="N43" s="138" t="n">
        <f aca="false">-(Hipótesis!$E$37+N24*Hipótesis!$E$38)</f>
        <v>-729.053172213957</v>
      </c>
      <c r="O43" s="138" t="n">
        <f aca="false">-(Hipótesis!$E$37+O24*Hipótesis!$E$38)</f>
        <v>-780.504235710138</v>
      </c>
      <c r="P43" s="138" t="n">
        <f aca="false">-(Hipótesis!$E$37+P24*Hipótesis!$E$38)</f>
        <v>-827.312525425488</v>
      </c>
      <c r="Q43" s="138" t="n">
        <f aca="false">-(Hipótesis!$E$37+Q24*Hipótesis!$E$38)</f>
        <v>-874.120815140838</v>
      </c>
      <c r="R43" s="138" t="n">
        <f aca="false">-(Hipótesis!$E$37+R24*Hipótesis!$E$38)</f>
        <v>-920.929104856188</v>
      </c>
      <c r="S43" s="138" t="n">
        <f aca="false">-(Hipótesis!$E$37+S24*Hipótesis!$E$38)</f>
        <v>-904.157394571539</v>
      </c>
      <c r="T43" s="138" t="n">
        <f aca="false">-(Hipótesis!$E$37+T24*Hipótesis!$E$38)</f>
        <v>-1014.54568428689</v>
      </c>
      <c r="U43" s="138" t="n">
        <f aca="false">-(Hipótesis!$E$37+U24*Hipótesis!$E$38)</f>
        <v>-1061.35397400224</v>
      </c>
      <c r="V43" s="138" t="n">
        <f aca="false">-(Hipótesis!$E$37+V24*Hipótesis!$E$38)</f>
        <v>-1108.16226371759</v>
      </c>
      <c r="W43" s="138" t="n">
        <f aca="false">-(Hipótesis!$E$37+W24*Hipótesis!$E$38)</f>
        <v>-1154.97055343294</v>
      </c>
      <c r="X43" s="138" t="n">
        <f aca="false">-(Hipótesis!$E$37+X24*Hipótesis!$E$38)</f>
        <v>-1185.63006478018</v>
      </c>
      <c r="Y43" s="138" t="n">
        <f aca="false">-(Hipótesis!$E$37+Y24*Hipótesis!$E$38)</f>
        <v>-1216.28957612743</v>
      </c>
      <c r="Z43" s="138" t="n">
        <f aca="false">-(Hipótesis!$E$37+Z24*Hipótesis!$E$38)</f>
        <v>-1240.48957612743</v>
      </c>
      <c r="AA43" s="138" t="n">
        <f aca="false">-(Hipótesis!$E$37+AA24*Hipótesis!$E$38)</f>
        <v>-1264.68957612743</v>
      </c>
      <c r="AB43" s="138" t="n">
        <f aca="false">-(Hipótesis!$E$37+AB24*Hipótesis!$E$38)</f>
        <v>-1288.88957612743</v>
      </c>
      <c r="AC43" s="138" t="n">
        <f aca="false">-(Hipótesis!$E$37+AC24*Hipótesis!$E$38)</f>
        <v>-1313.08957612743</v>
      </c>
      <c r="AD43" s="138" t="n">
        <f aca="false">-(Hipótesis!$E$37+AD24*Hipótesis!$E$38)</f>
        <v>-1337.28957612743</v>
      </c>
      <c r="AE43" s="138" t="n">
        <f aca="false">-(Hipótesis!$E$37+AE24*Hipótesis!$E$38)</f>
        <v>-1294.16957612743</v>
      </c>
      <c r="AF43" s="138" t="n">
        <f aca="false">-(Hipótesis!$E$37+AF24*Hipótesis!$E$38)</f>
        <v>-1385.68957612743</v>
      </c>
      <c r="AG43" s="138" t="n">
        <f aca="false">-(Hipótesis!$E$37+AG24*Hipótesis!$E$38)</f>
        <v>-1409.88957612743</v>
      </c>
      <c r="AH43" s="138" t="n">
        <f aca="false">-(Hipótesis!$E$37+AH24*Hipótesis!$E$38)</f>
        <v>-1434.08957612743</v>
      </c>
      <c r="AI43" s="138" t="n">
        <f aca="false">-(Hipótesis!$E$37+AI24*Hipótesis!$E$38)</f>
        <v>-1458.28957612743</v>
      </c>
      <c r="AJ43" s="138" t="n">
        <f aca="false">-(Hipótesis!$E$37+AJ24*Hipótesis!$E$38)</f>
        <v>-1482.48957612743</v>
      </c>
      <c r="AK43" s="138" t="n">
        <f aca="false">-(Hipótesis!$E$37+AK24*Hipótesis!$E$38)</f>
        <v>-1506.68957612743</v>
      </c>
      <c r="AL43" s="138" t="n">
        <f aca="false">-(Hipótesis!$E$37+AL24*Hipótesis!$E$38)</f>
        <v>-1530.88957612743</v>
      </c>
      <c r="AM43" s="138" t="n">
        <f aca="false">-(Hipótesis!$E$37+AM24*Hipótesis!$E$38)</f>
        <v>-1555.08957612743</v>
      </c>
      <c r="AN43" s="138" t="n">
        <f aca="false">-(Hipótesis!$E$37+AN24*Hipótesis!$E$38)</f>
        <v>-1579.28957612743</v>
      </c>
      <c r="AO43" s="138" t="n">
        <f aca="false">-(Hipótesis!$E$37+AO24*Hipótesis!$E$38)</f>
        <v>-1603.48957612743</v>
      </c>
      <c r="AP43" s="138" t="n">
        <f aca="false">-(Hipótesis!$E$37+AP24*Hipótesis!$E$38)</f>
        <v>-1627.68957612743</v>
      </c>
      <c r="AQ43" s="138" t="n">
        <f aca="false">-(Hipótesis!$E$37+AQ24*Hipótesis!$E$38)</f>
        <v>-1584.56957612743</v>
      </c>
      <c r="AR43" s="138" t="n">
        <f aca="false">-(Hipótesis!$E$37+AR24*Hipótesis!$E$38)</f>
        <v>-1676.08957612743</v>
      </c>
      <c r="AS43" s="138" t="n">
        <f aca="false">-(Hipótesis!$E$37+AS24*Hipótesis!$E$38)</f>
        <v>-1676.08957612743</v>
      </c>
      <c r="AT43" s="138" t="n">
        <f aca="false">-(Hipótesis!$E$37+AT24*Hipótesis!$E$38)</f>
        <v>-1676.08957612743</v>
      </c>
      <c r="AU43" s="138" t="n">
        <f aca="false">-(Hipótesis!$E$37+AU24*Hipótesis!$E$38)</f>
        <v>-1676.08957612743</v>
      </c>
      <c r="AV43" s="138" t="n">
        <f aca="false">-(Hipótesis!$E$37+AV24*Hipótesis!$E$38)</f>
        <v>-1676.08957612743</v>
      </c>
      <c r="AW43" s="138" t="n">
        <f aca="false">-(Hipótesis!$E$37+AW24*Hipótesis!$E$38)</f>
        <v>-1676.08957612743</v>
      </c>
      <c r="AX43" s="138" t="n">
        <f aca="false">-(Hipótesis!$E$37+AX24*Hipótesis!$E$38)</f>
        <v>-1676.08957612743</v>
      </c>
      <c r="AY43" s="138" t="n">
        <f aca="false">-(Hipótesis!$E$37+AY24*Hipótesis!$E$38)</f>
        <v>-1676.08957612743</v>
      </c>
      <c r="AZ43" s="138" t="n">
        <f aca="false">-(Hipótesis!$E$37+AZ24*Hipótesis!$E$38)</f>
        <v>-1676.08957612743</v>
      </c>
      <c r="BA43" s="138" t="n">
        <f aca="false">-(Hipótesis!$E$37+BA24*Hipótesis!$E$38)</f>
        <v>-1676.08957612743</v>
      </c>
      <c r="BB43" s="138" t="n">
        <f aca="false">-(Hipótesis!$E$37+BB24*Hipótesis!$E$38)</f>
        <v>-1676.08957612743</v>
      </c>
      <c r="BC43" s="138" t="n">
        <f aca="false">-(Hipótesis!$E$37+BC24*Hipótesis!$E$38)</f>
        <v>-1608.76957612743</v>
      </c>
      <c r="BD43" s="138" t="n">
        <f aca="false">-(Hipótesis!$E$37+BD24*Hipótesis!$E$38)</f>
        <v>-1676.08957612743</v>
      </c>
      <c r="BE43" s="138" t="n">
        <f aca="false">-(Hipótesis!$E$37+BE24*Hipótesis!$E$38)</f>
        <v>-1676.08957612743</v>
      </c>
      <c r="BF43" s="138" t="n">
        <f aca="false">-(Hipótesis!$E$37+BF24*Hipótesis!$E$38)</f>
        <v>-1676.08957612743</v>
      </c>
      <c r="BG43" s="138" t="n">
        <f aca="false">-(Hipótesis!$E$37+BG24*Hipótesis!$E$38)</f>
        <v>-1676.08957612743</v>
      </c>
      <c r="BH43" s="138" t="n">
        <f aca="false">-(Hipótesis!$E$37+BH24*Hipótesis!$E$38)</f>
        <v>-1676.08957612743</v>
      </c>
      <c r="BI43" s="138" t="n">
        <f aca="false">-(Hipótesis!$E$37+BI24*Hipótesis!$E$38)</f>
        <v>-1676.08957612743</v>
      </c>
      <c r="BJ43" s="138" t="n">
        <f aca="false">-(Hipótesis!$E$37+BJ24*Hipótesis!$E$38)</f>
        <v>-1676.08957612743</v>
      </c>
      <c r="BK43" s="138" t="n">
        <f aca="false">-(Hipótesis!$E$37+BK24*Hipótesis!$E$38)</f>
        <v>-1676.08957612743</v>
      </c>
      <c r="BL43" s="138" t="n">
        <f aca="false">-(Hipótesis!$E$37+BL24*Hipótesis!$E$38)</f>
        <v>-1676.08957612743</v>
      </c>
      <c r="BM43" s="138" t="n">
        <f aca="false">-(Hipótesis!$E$37+BM24*Hipótesis!$E$38)</f>
        <v>-1676.08957612743</v>
      </c>
      <c r="BN43" s="138" t="n">
        <f aca="false">-(Hipótesis!$E$37+BN24*Hipótesis!$E$38)</f>
        <v>-1676.08957612743</v>
      </c>
      <c r="BO43" s="138" t="n">
        <f aca="false">-(Hipótesis!$E$37+BO24*Hipótesis!$E$38)</f>
        <v>-1608.76957612743</v>
      </c>
      <c r="BP43" s="138" t="n">
        <f aca="false">-(Hipótesis!$E$37+BP24*Hipótesis!$E$38)</f>
        <v>-1676.08957612743</v>
      </c>
      <c r="BQ43" s="138" t="n">
        <f aca="false">-(Hipótesis!$E$37+BQ24*Hipótesis!$E$38)</f>
        <v>-1676.08957612743</v>
      </c>
      <c r="BR43" s="138" t="n">
        <f aca="false">-(Hipótesis!$E$37+BR24*Hipótesis!$E$38)</f>
        <v>-1676.08957612743</v>
      </c>
      <c r="BS43" s="138" t="n">
        <f aca="false">-(Hipótesis!$E$37+BS24*Hipótesis!$E$38)</f>
        <v>-1676.08957612743</v>
      </c>
      <c r="BT43" s="138" t="n">
        <f aca="false">-(Hipótesis!$E$37+BT24*Hipótesis!$E$38)</f>
        <v>-1676.08957612743</v>
      </c>
      <c r="BU43" s="138" t="n">
        <f aca="false">-(Hipótesis!$E$37+BU24*Hipótesis!$E$38)</f>
        <v>-1676.08957612743</v>
      </c>
      <c r="BV43" s="138" t="n">
        <f aca="false">-(Hipótesis!$E$37+BV24*Hipótesis!$E$38)</f>
        <v>-1676.08957612743</v>
      </c>
      <c r="BW43" s="138" t="n">
        <f aca="false">-(Hipótesis!$E$37+BW24*Hipótesis!$E$38)</f>
        <v>-1676.08957612743</v>
      </c>
      <c r="BX43" s="138" t="n">
        <f aca="false">-(Hipótesis!$E$37+BX24*Hipótesis!$E$38)</f>
        <v>-1676.08957612743</v>
      </c>
      <c r="BY43" s="138" t="n">
        <f aca="false">-(Hipótesis!$E$37+BY24*Hipótesis!$E$38)</f>
        <v>-1676.08957612743</v>
      </c>
      <c r="BZ43" s="138" t="n">
        <f aca="false">-(Hipótesis!$E$37+BZ24*Hipótesis!$E$38)</f>
        <v>-1676.08957612743</v>
      </c>
      <c r="CA43" s="138" t="n">
        <f aca="false">-(Hipótesis!$E$37+CA24*Hipótesis!$E$38)</f>
        <v>-1608.76957612743</v>
      </c>
      <c r="CB43" s="138" t="n">
        <f aca="false">-(Hipótesis!$E$37+CB24*Hipótesis!$E$38)</f>
        <v>-1676.08957612743</v>
      </c>
      <c r="CC43" s="138" t="n">
        <f aca="false">-(Hipótesis!$E$37+CC24*Hipótesis!$E$38)</f>
        <v>-1676.08957612743</v>
      </c>
      <c r="CD43" s="138" t="n">
        <f aca="false">-(Hipótesis!$E$37+CD24*Hipótesis!$E$38)</f>
        <v>-1676.08957612743</v>
      </c>
      <c r="CE43" s="138" t="n">
        <f aca="false">-(Hipótesis!$E$37+CE24*Hipótesis!$E$38)</f>
        <v>-1676.08957612743</v>
      </c>
      <c r="CF43" s="138" t="n">
        <f aca="false">-(Hipótesis!$E$37+CF24*Hipótesis!$E$38)</f>
        <v>-1676.08957612743</v>
      </c>
      <c r="CG43" s="138" t="n">
        <f aca="false">-(Hipótesis!$E$37+CG24*Hipótesis!$E$38)</f>
        <v>-1676.08957612743</v>
      </c>
      <c r="CH43" s="138" t="n">
        <f aca="false">-(Hipótesis!$E$37+CH24*Hipótesis!$E$38)</f>
        <v>-1676.08957612743</v>
      </c>
    </row>
    <row r="44" customFormat="false" ht="13.5" hidden="false" customHeight="true" outlineLevel="0" collapsed="false">
      <c r="A44" s="13" t="s">
        <v>725</v>
      </c>
      <c r="C44" s="138" t="n">
        <f aca="false">-IF(AND(1&gt;=Hipótesis!$D$48,Hipótesis!$B$48=1),IF(Hipótesis!$G$48=1,Hipótesis!$C$44,Hipótesis!$C$48*(1+Hipótesis!$D$45)^0)*(1+Hipótesis!$D$42),0)</f>
        <v>-2904</v>
      </c>
      <c r="D44" s="138" t="n">
        <f aca="false">-IF(AND(2&gt;=Hipótesis!$D$48,Hipótesis!$B$48=1),IF(Hipótesis!$G$48=1,Hipótesis!$C$44,Hipótesis!$C$48*(1+Hipótesis!$D$45)^0)*(1+Hipótesis!$D$42),0)</f>
        <v>-2904</v>
      </c>
      <c r="E44" s="138" t="n">
        <f aca="false">-IF(AND(3&gt;=Hipótesis!$D$48,Hipótesis!$B$48=1),IF(Hipótesis!$G$48=1,Hipótesis!$C$44,Hipótesis!$C$48*(1+Hipótesis!$D$45)^0)*(1+Hipótesis!$D$42),0)</f>
        <v>-2904</v>
      </c>
      <c r="F44" s="138" t="n">
        <f aca="false">-IF(AND(4&gt;=Hipótesis!$D$48,Hipótesis!$B$48=1),IF(Hipótesis!$G$48=1,Hipótesis!$C$44,Hipótesis!$C$48*(1+Hipótesis!$D$45)^0)*(1+Hipótesis!$D$42),0)</f>
        <v>-2904</v>
      </c>
      <c r="G44" s="138" t="n">
        <f aca="false">-IF(AND(5&gt;=Hipótesis!$D$48,Hipótesis!$B$48=1),IF(Hipótesis!$G$48=1,Hipótesis!$C$44,Hipótesis!$C$48*(1+Hipótesis!$D$45)^0)*(1+Hipótesis!$D$42),0)</f>
        <v>-2904</v>
      </c>
      <c r="H44" s="138" t="n">
        <f aca="false">-IF(AND(6&gt;=Hipótesis!$D$48,Hipótesis!$B$48=1),IF(Hipótesis!$G$48=1,Hipótesis!$C$44,Hipótesis!$C$48*(1+Hipótesis!$D$45)^0)*(1+Hipótesis!$D$42),0)</f>
        <v>-2904</v>
      </c>
      <c r="I44" s="138" t="n">
        <f aca="false">-IF(AND(7&gt;=Hipótesis!$D$48,Hipótesis!$B$48=1),IF(Hipótesis!$G$48=1,Hipótesis!$C$44,Hipótesis!$C$48*(1+Hipótesis!$D$45)^0)*(1+Hipótesis!$D$42),0)</f>
        <v>-2904</v>
      </c>
      <c r="J44" s="138" t="n">
        <f aca="false">-IF(AND(8&gt;=Hipótesis!$D$48,Hipótesis!$B$48=1),IF(Hipótesis!$G$48=1,Hipótesis!$C$44,Hipótesis!$C$48*(1+Hipótesis!$D$45)^0)*(1+Hipótesis!$D$42),0)</f>
        <v>-2904</v>
      </c>
      <c r="K44" s="138" t="n">
        <f aca="false">-IF(AND(9&gt;=Hipótesis!$D$48,Hipótesis!$B$48=1),IF(Hipótesis!$G$48=1,Hipótesis!$C$44,Hipótesis!$C$48*(1+Hipótesis!$D$45)^0)*(1+Hipótesis!$D$42),0)</f>
        <v>-2904</v>
      </c>
      <c r="L44" s="138" t="n">
        <f aca="false">-IF(AND(10&gt;=Hipótesis!$D$48,Hipótesis!$B$48=1),IF(Hipótesis!$G$48=1,Hipótesis!$C$44,Hipótesis!$C$48*(1+Hipótesis!$D$45)^0)*(1+Hipótesis!$D$42),0)</f>
        <v>-2904</v>
      </c>
      <c r="M44" s="138" t="n">
        <f aca="false">-IF(AND(11&gt;=Hipótesis!$D$48,Hipótesis!$B$48=1),IF(Hipótesis!$G$48=1,Hipótesis!$C$44,Hipótesis!$C$48*(1+Hipótesis!$D$45)^0)*(1+Hipótesis!$D$42),0)</f>
        <v>-2904</v>
      </c>
      <c r="N44" s="138" t="n">
        <f aca="false">-IF(AND(12&gt;=Hipótesis!$D$48,Hipótesis!$B$48=1),IF(Hipótesis!$G$48=1,Hipótesis!$C$44,Hipótesis!$C$48*(1+Hipótesis!$D$45)^0)*(1+Hipótesis!$D$42),0)</f>
        <v>-2904</v>
      </c>
      <c r="O44" s="138" t="n">
        <f aca="false">-IF(AND(13&gt;=Hipótesis!$D$48,Hipótesis!$B$48=1),IF(Hipótesis!$G$48=1,Hipótesis!$D$44,Hipótesis!$C$48*(1+Hipótesis!$D$45)^1)*(1+Hipótesis!$D$42),0)</f>
        <v>-4620</v>
      </c>
      <c r="P44" s="138" t="n">
        <f aca="false">-IF(AND(14&gt;=Hipótesis!$D$48,Hipótesis!$B$48=1),IF(Hipótesis!$G$48=1,Hipótesis!$D$44,Hipótesis!$C$48*(1+Hipótesis!$D$45)^1)*(1+Hipótesis!$D$42),0)</f>
        <v>-4620</v>
      </c>
      <c r="Q44" s="138" t="n">
        <f aca="false">-IF(AND(15&gt;=Hipótesis!$D$48,Hipótesis!$B$48=1),IF(Hipótesis!$G$48=1,Hipótesis!$D$44,Hipótesis!$C$48*(1+Hipótesis!$D$45)^1)*(1+Hipótesis!$D$42),0)</f>
        <v>-4620</v>
      </c>
      <c r="R44" s="138" t="n">
        <f aca="false">-IF(AND(16&gt;=Hipótesis!$D$48,Hipótesis!$B$48=1),IF(Hipótesis!$G$48=1,Hipótesis!$D$44,Hipótesis!$C$48*(1+Hipótesis!$D$45)^1)*(1+Hipótesis!$D$42),0)</f>
        <v>-4620</v>
      </c>
      <c r="S44" s="138" t="n">
        <f aca="false">-IF(AND(17&gt;=Hipótesis!$D$48,Hipótesis!$B$48=1),IF(Hipótesis!$G$48=1,Hipótesis!$D$44,Hipótesis!$C$48*(1+Hipótesis!$D$45)^1)*(1+Hipótesis!$D$42),0)</f>
        <v>-4620</v>
      </c>
      <c r="T44" s="138" t="n">
        <f aca="false">-IF(AND(18&gt;=Hipótesis!$D$48,Hipótesis!$B$48=1),IF(Hipótesis!$G$48=1,Hipótesis!$D$44,Hipótesis!$C$48*(1+Hipótesis!$D$45)^1)*(1+Hipótesis!$D$42),0)</f>
        <v>-4620</v>
      </c>
      <c r="U44" s="138" t="n">
        <f aca="false">-IF(AND(19&gt;=Hipótesis!$D$48,Hipótesis!$B$48=1),IF(Hipótesis!$G$48=1,Hipótesis!$D$44,Hipótesis!$C$48*(1+Hipótesis!$D$45)^1)*(1+Hipótesis!$D$42),0)</f>
        <v>-4620</v>
      </c>
      <c r="V44" s="138" t="n">
        <f aca="false">-IF(AND(20&gt;=Hipótesis!$D$48,Hipótesis!$B$48=1),IF(Hipótesis!$G$48=1,Hipótesis!$D$44,Hipótesis!$C$48*(1+Hipótesis!$D$45)^1)*(1+Hipótesis!$D$42),0)</f>
        <v>-4620</v>
      </c>
      <c r="W44" s="138" t="n">
        <f aca="false">-IF(AND(21&gt;=Hipótesis!$D$48,Hipótesis!$B$48=1),IF(Hipótesis!$G$48=1,Hipótesis!$D$44,Hipótesis!$C$48*(1+Hipótesis!$D$45)^1)*(1+Hipótesis!$D$42),0)</f>
        <v>-4620</v>
      </c>
      <c r="X44" s="138" t="n">
        <f aca="false">-IF(AND(22&gt;=Hipótesis!$D$48,Hipótesis!$B$48=1),IF(Hipótesis!$G$48=1,Hipótesis!$D$44,Hipótesis!$C$48*(1+Hipótesis!$D$45)^1)*(1+Hipótesis!$D$42),0)</f>
        <v>-4620</v>
      </c>
      <c r="Y44" s="138" t="n">
        <f aca="false">-IF(AND(23&gt;=Hipótesis!$D$48,Hipótesis!$B$48=1),IF(Hipótesis!$G$48=1,Hipótesis!$D$44,Hipótesis!$C$48*(1+Hipótesis!$D$45)^1)*(1+Hipótesis!$D$42),0)</f>
        <v>-4620</v>
      </c>
      <c r="Z44" s="138" t="n">
        <f aca="false">-IF(AND(24&gt;=Hipótesis!$D$48,Hipótesis!$B$48=1),IF(Hipótesis!$G$48=1,Hipótesis!$D$44,Hipótesis!$C$48*(1+Hipótesis!$D$45)^1)*(1+Hipótesis!$D$42),0)</f>
        <v>-4620</v>
      </c>
      <c r="AA44" s="138" t="n">
        <f aca="false">-IF(AND(25&gt;=Hipótesis!$D$48,Hipótesis!$B$48=1),IF(Hipótesis!$G$48=1,Hipótesis!$E$44,Hipótesis!$C$48*(1+Hipótesis!$D$45)^2)*(1+Hipótesis!$D$42),0)</f>
        <v>-5280</v>
      </c>
      <c r="AB44" s="138" t="n">
        <f aca="false">-IF(AND(26&gt;=Hipótesis!$D$48,Hipótesis!$B$48=1),IF(Hipótesis!$G$48=1,Hipótesis!$E$44,Hipótesis!$C$48*(1+Hipótesis!$D$45)^2)*(1+Hipótesis!$D$42),0)</f>
        <v>-5280</v>
      </c>
      <c r="AC44" s="138" t="n">
        <f aca="false">-IF(AND(27&gt;=Hipótesis!$D$48,Hipótesis!$B$48=1),IF(Hipótesis!$G$48=1,Hipótesis!$E$44,Hipótesis!$C$48*(1+Hipótesis!$D$45)^2)*(1+Hipótesis!$D$42),0)</f>
        <v>-5280</v>
      </c>
      <c r="AD44" s="138" t="n">
        <f aca="false">-IF(AND(28&gt;=Hipótesis!$D$48,Hipótesis!$B$48=1),IF(Hipótesis!$G$48=1,Hipótesis!$E$44,Hipótesis!$C$48*(1+Hipótesis!$D$45)^2)*(1+Hipótesis!$D$42),0)</f>
        <v>-5280</v>
      </c>
      <c r="AE44" s="138" t="n">
        <f aca="false">-IF(AND(29&gt;=Hipótesis!$D$48,Hipótesis!$B$48=1),IF(Hipótesis!$G$48=1,Hipótesis!$E$44,Hipótesis!$C$48*(1+Hipótesis!$D$45)^2)*(1+Hipótesis!$D$42),0)</f>
        <v>-5280</v>
      </c>
      <c r="AF44" s="138" t="n">
        <f aca="false">-IF(AND(30&gt;=Hipótesis!$D$48,Hipótesis!$B$48=1),IF(Hipótesis!$G$48=1,Hipótesis!$E$44,Hipótesis!$C$48*(1+Hipótesis!$D$45)^2)*(1+Hipótesis!$D$42),0)</f>
        <v>-5280</v>
      </c>
      <c r="AG44" s="138" t="n">
        <f aca="false">-IF(AND(31&gt;=Hipótesis!$D$48,Hipótesis!$B$48=1),IF(Hipótesis!$G$48=1,Hipótesis!$E$44,Hipótesis!$C$48*(1+Hipótesis!$D$45)^2)*(1+Hipótesis!$D$42),0)</f>
        <v>-5280</v>
      </c>
      <c r="AH44" s="138" t="n">
        <f aca="false">-IF(AND(32&gt;=Hipótesis!$D$48,Hipótesis!$B$48=1),IF(Hipótesis!$G$48=1,Hipótesis!$E$44,Hipótesis!$C$48*(1+Hipótesis!$D$45)^2)*(1+Hipótesis!$D$42),0)</f>
        <v>-5280</v>
      </c>
      <c r="AI44" s="138" t="n">
        <f aca="false">-IF(AND(33&gt;=Hipótesis!$D$48,Hipótesis!$B$48=1),IF(Hipótesis!$G$48=1,Hipótesis!$E$44,Hipótesis!$C$48*(1+Hipótesis!$D$45)^2)*(1+Hipótesis!$D$42),0)</f>
        <v>-5280</v>
      </c>
      <c r="AJ44" s="138" t="n">
        <f aca="false">-IF(AND(34&gt;=Hipótesis!$D$48,Hipótesis!$B$48=1),IF(Hipótesis!$G$48=1,Hipótesis!$E$44,Hipótesis!$C$48*(1+Hipótesis!$D$45)^2)*(1+Hipótesis!$D$42),0)</f>
        <v>-5280</v>
      </c>
      <c r="AK44" s="138" t="n">
        <f aca="false">-IF(AND(35&gt;=Hipótesis!$D$48,Hipótesis!$B$48=1),IF(Hipótesis!$G$48=1,Hipótesis!$E$44,Hipótesis!$C$48*(1+Hipótesis!$D$45)^2)*(1+Hipótesis!$D$42),0)</f>
        <v>-5280</v>
      </c>
      <c r="AL44" s="138" t="n">
        <f aca="false">-IF(AND(36&gt;=Hipótesis!$D$48,Hipótesis!$B$48=1),IF(Hipótesis!$G$48=1,Hipótesis!$E$44,Hipótesis!$C$48*(1+Hipótesis!$D$45)^2)*(1+Hipótesis!$D$42),0)</f>
        <v>-5280</v>
      </c>
      <c r="AM44" s="138" t="n">
        <f aca="false">-IF(AND(37&gt;=Hipótesis!$D$48,Hipótesis!$B$48=1),IF(Hipótesis!$G$48=1,Hipótesis!$F$44,Hipótesis!$C$48*(1+Hipótesis!$D$45)^3)*(1+Hipótesis!$D$42),0)</f>
        <v>-5940</v>
      </c>
      <c r="AN44" s="138" t="n">
        <f aca="false">-IF(AND(38&gt;=Hipótesis!$D$48,Hipótesis!$B$48=1),IF(Hipótesis!$G$48=1,Hipótesis!$F$44,Hipótesis!$C$48*(1+Hipótesis!$D$45)^3)*(1+Hipótesis!$D$42),0)</f>
        <v>-5940</v>
      </c>
      <c r="AO44" s="138" t="n">
        <f aca="false">-IF(AND(39&gt;=Hipótesis!$D$48,Hipótesis!$B$48=1),IF(Hipótesis!$G$48=1,Hipótesis!$F$44,Hipótesis!$C$48*(1+Hipótesis!$D$45)^3)*(1+Hipótesis!$D$42),0)</f>
        <v>-5940</v>
      </c>
      <c r="AP44" s="138" t="n">
        <f aca="false">-IF(AND(40&gt;=Hipótesis!$D$48,Hipótesis!$B$48=1),IF(Hipótesis!$G$48=1,Hipótesis!$F$44,Hipótesis!$C$48*(1+Hipótesis!$D$45)^3)*(1+Hipótesis!$D$42),0)</f>
        <v>-5940</v>
      </c>
      <c r="AQ44" s="138" t="n">
        <f aca="false">-IF(AND(41&gt;=Hipótesis!$D$48,Hipótesis!$B$48=1),IF(Hipótesis!$G$48=1,Hipótesis!$F$44,Hipótesis!$C$48*(1+Hipótesis!$D$45)^3)*(1+Hipótesis!$D$42),0)</f>
        <v>-5940</v>
      </c>
      <c r="AR44" s="138" t="n">
        <f aca="false">-IF(AND(42&gt;=Hipótesis!$D$48,Hipótesis!$B$48=1),IF(Hipótesis!$G$48=1,Hipótesis!$F$44,Hipótesis!$C$48*(1+Hipótesis!$D$45)^3)*(1+Hipótesis!$D$42),0)</f>
        <v>-5940</v>
      </c>
      <c r="AS44" s="138" t="n">
        <f aca="false">-IF(AND(43&gt;=Hipótesis!$D$48,Hipótesis!$B$48=1),IF(Hipótesis!$G$48=1,Hipótesis!$F$44,Hipótesis!$C$48*(1+Hipótesis!$D$45)^3)*(1+Hipótesis!$D$42),0)</f>
        <v>-5940</v>
      </c>
      <c r="AT44" s="138" t="n">
        <f aca="false">-IF(AND(44&gt;=Hipótesis!$D$48,Hipótesis!$B$48=1),IF(Hipótesis!$G$48=1,Hipótesis!$F$44,Hipótesis!$C$48*(1+Hipótesis!$D$45)^3)*(1+Hipótesis!$D$42),0)</f>
        <v>-5940</v>
      </c>
      <c r="AU44" s="138" t="n">
        <f aca="false">-IF(AND(45&gt;=Hipótesis!$D$48,Hipótesis!$B$48=1),IF(Hipótesis!$G$48=1,Hipótesis!$F$44,Hipótesis!$C$48*(1+Hipótesis!$D$45)^3)*(1+Hipótesis!$D$42),0)</f>
        <v>-5940</v>
      </c>
      <c r="AV44" s="138" t="n">
        <f aca="false">-IF(AND(46&gt;=Hipótesis!$D$48,Hipótesis!$B$48=1),IF(Hipótesis!$G$48=1,Hipótesis!$F$44,Hipótesis!$C$48*(1+Hipótesis!$D$45)^3)*(1+Hipótesis!$D$42),0)</f>
        <v>-5940</v>
      </c>
      <c r="AW44" s="138" t="n">
        <f aca="false">-IF(AND(47&gt;=Hipótesis!$D$48,Hipótesis!$B$48=1),IF(Hipótesis!$G$48=1,Hipótesis!$F$44,Hipótesis!$C$48*(1+Hipótesis!$D$45)^3)*(1+Hipótesis!$D$42),0)</f>
        <v>-5940</v>
      </c>
      <c r="AX44" s="138" t="n">
        <f aca="false">-IF(AND(48&gt;=Hipótesis!$D$48,Hipótesis!$B$48=1),IF(Hipótesis!$G$48=1,Hipótesis!$F$44,Hipótesis!$C$48*(1+Hipótesis!$D$45)^3)*(1+Hipótesis!$D$42),0)</f>
        <v>-5940</v>
      </c>
      <c r="AY44" s="138" t="n">
        <f aca="false">-IF(AND(49&gt;=Hipótesis!$D$48,Hipótesis!$B$48=1),IF(Hipótesis!$G$48=1,Hipótesis!$G$44,Hipótesis!$C$48*(1+Hipótesis!$D$45)^4)*(1+Hipótesis!$D$42),0)</f>
        <v>-6600</v>
      </c>
      <c r="AZ44" s="138" t="n">
        <f aca="false">-IF(AND(50&gt;=Hipótesis!$D$48,Hipótesis!$B$48=1),IF(Hipótesis!$G$48=1,Hipótesis!$G$44,Hipótesis!$C$48*(1+Hipótesis!$D$45)^4)*(1+Hipótesis!$D$42),0)</f>
        <v>-6600</v>
      </c>
      <c r="BA44" s="138" t="n">
        <f aca="false">-IF(AND(51&gt;=Hipótesis!$D$48,Hipótesis!$B$48=1),IF(Hipótesis!$G$48=1,Hipótesis!$G$44,Hipótesis!$C$48*(1+Hipótesis!$D$45)^4)*(1+Hipótesis!$D$42),0)</f>
        <v>-6600</v>
      </c>
      <c r="BB44" s="138" t="n">
        <f aca="false">-IF(AND(52&gt;=Hipótesis!$D$48,Hipótesis!$B$48=1),IF(Hipótesis!$G$48=1,Hipótesis!$G$44,Hipótesis!$C$48*(1+Hipótesis!$D$45)^4)*(1+Hipótesis!$D$42),0)</f>
        <v>-6600</v>
      </c>
      <c r="BC44" s="138" t="n">
        <f aca="false">-IF(AND(53&gt;=Hipótesis!$D$48,Hipótesis!$B$48=1),IF(Hipótesis!$G$48=1,Hipótesis!$G$44,Hipótesis!$C$48*(1+Hipótesis!$D$45)^4)*(1+Hipótesis!$D$42),0)</f>
        <v>-6600</v>
      </c>
      <c r="BD44" s="138" t="n">
        <f aca="false">-IF(AND(54&gt;=Hipótesis!$D$48,Hipótesis!$B$48=1),IF(Hipótesis!$G$48=1,Hipótesis!$G$44,Hipótesis!$C$48*(1+Hipótesis!$D$45)^4)*(1+Hipótesis!$D$42),0)</f>
        <v>-6600</v>
      </c>
      <c r="BE44" s="138" t="n">
        <f aca="false">-IF(AND(55&gt;=Hipótesis!$D$48,Hipótesis!$B$48=1),IF(Hipótesis!$G$48=1,Hipótesis!$G$44,Hipótesis!$C$48*(1+Hipótesis!$D$45)^4)*(1+Hipótesis!$D$42),0)</f>
        <v>-6600</v>
      </c>
      <c r="BF44" s="138" t="n">
        <f aca="false">-IF(AND(56&gt;=Hipótesis!$D$48,Hipótesis!$B$48=1),IF(Hipótesis!$G$48=1,Hipótesis!$G$44,Hipótesis!$C$48*(1+Hipótesis!$D$45)^4)*(1+Hipótesis!$D$42),0)</f>
        <v>-6600</v>
      </c>
      <c r="BG44" s="138" t="n">
        <f aca="false">-IF(AND(57&gt;=Hipótesis!$D$48,Hipótesis!$B$48=1),IF(Hipótesis!$G$48=1,Hipótesis!$G$44,Hipótesis!$C$48*(1+Hipótesis!$D$45)^4)*(1+Hipótesis!$D$42),0)</f>
        <v>-6600</v>
      </c>
      <c r="BH44" s="138" t="n">
        <f aca="false">-IF(AND(58&gt;=Hipótesis!$D$48,Hipótesis!$B$48=1),IF(Hipótesis!$G$48=1,Hipótesis!$G$44,Hipótesis!$C$48*(1+Hipótesis!$D$45)^4)*(1+Hipótesis!$D$42),0)</f>
        <v>-6600</v>
      </c>
      <c r="BI44" s="138" t="n">
        <f aca="false">-IF(AND(59&gt;=Hipótesis!$D$48,Hipótesis!$B$48=1),IF(Hipótesis!$G$48=1,Hipótesis!$G$44,Hipótesis!$C$48*(1+Hipótesis!$D$45)^4)*(1+Hipótesis!$D$42),0)</f>
        <v>-6600</v>
      </c>
      <c r="BJ44" s="138" t="n">
        <f aca="false">-IF(AND(60&gt;=Hipótesis!$D$48,Hipótesis!$B$48=1),IF(Hipótesis!$G$48=1,Hipótesis!$G$44,Hipótesis!$C$48*(1+Hipótesis!$D$45)^4)*(1+Hipótesis!$D$42),0)</f>
        <v>-6600</v>
      </c>
      <c r="BK44" s="138" t="n">
        <f aca="false">-IF(AND(61&gt;=Hipótesis!$D$48,Hipótesis!$B$48=1),IF(Hipótesis!$G$48=1,Hipótesis!$H$44,Hipótesis!$C$48*(1+Hipótesis!$D$45)^5)*(1+Hipótesis!$D$42),0)</f>
        <v>-7260</v>
      </c>
      <c r="BL44" s="138" t="n">
        <f aca="false">-IF(AND(62&gt;=Hipótesis!$D$48,Hipótesis!$B$48=1),IF(Hipótesis!$G$48=1,Hipótesis!$H$44,Hipótesis!$C$48*(1+Hipótesis!$D$45)^5)*(1+Hipótesis!$D$42),0)</f>
        <v>-7260</v>
      </c>
      <c r="BM44" s="138" t="n">
        <f aca="false">-IF(AND(63&gt;=Hipótesis!$D$48,Hipótesis!$B$48=1),IF(Hipótesis!$G$48=1,Hipótesis!$H$44,Hipótesis!$C$48*(1+Hipótesis!$D$45)^5)*(1+Hipótesis!$D$42),0)</f>
        <v>-7260</v>
      </c>
      <c r="BN44" s="138" t="n">
        <f aca="false">-IF(AND(64&gt;=Hipótesis!$D$48,Hipótesis!$B$48=1),IF(Hipótesis!$G$48=1,Hipótesis!$H$44,Hipótesis!$C$48*(1+Hipótesis!$D$45)^5)*(1+Hipótesis!$D$42),0)</f>
        <v>-7260</v>
      </c>
      <c r="BO44" s="138" t="n">
        <f aca="false">-IF(AND(65&gt;=Hipótesis!$D$48,Hipótesis!$B$48=1),IF(Hipótesis!$G$48=1,Hipótesis!$H$44,Hipótesis!$C$48*(1+Hipótesis!$D$45)^5)*(1+Hipótesis!$D$42),0)</f>
        <v>-7260</v>
      </c>
      <c r="BP44" s="138" t="n">
        <f aca="false">-IF(AND(66&gt;=Hipótesis!$D$48,Hipótesis!$B$48=1),IF(Hipótesis!$G$48=1,Hipótesis!$H$44,Hipótesis!$C$48*(1+Hipótesis!$D$45)^5)*(1+Hipótesis!$D$42),0)</f>
        <v>-7260</v>
      </c>
      <c r="BQ44" s="138" t="n">
        <f aca="false">-IF(AND(67&gt;=Hipótesis!$D$48,Hipótesis!$B$48=1),IF(Hipótesis!$G$48=1,Hipótesis!$H$44,Hipótesis!$C$48*(1+Hipótesis!$D$45)^5)*(1+Hipótesis!$D$42),0)</f>
        <v>-7260</v>
      </c>
      <c r="BR44" s="138" t="n">
        <f aca="false">-IF(AND(68&gt;=Hipótesis!$D$48,Hipótesis!$B$48=1),IF(Hipótesis!$G$48=1,Hipótesis!$H$44,Hipótesis!$C$48*(1+Hipótesis!$D$45)^5)*(1+Hipótesis!$D$42),0)</f>
        <v>-7260</v>
      </c>
      <c r="BS44" s="138" t="n">
        <f aca="false">-IF(AND(69&gt;=Hipótesis!$D$48,Hipótesis!$B$48=1),IF(Hipótesis!$G$48=1,Hipótesis!$H$44,Hipótesis!$C$48*(1+Hipótesis!$D$45)^5)*(1+Hipótesis!$D$42),0)</f>
        <v>-7260</v>
      </c>
      <c r="BT44" s="138" t="n">
        <f aca="false">-IF(AND(70&gt;=Hipótesis!$D$48,Hipótesis!$B$48=1),IF(Hipótesis!$G$48=1,Hipótesis!$H$44,Hipótesis!$C$48*(1+Hipótesis!$D$45)^5)*(1+Hipótesis!$D$42),0)</f>
        <v>-7260</v>
      </c>
      <c r="BU44" s="138" t="n">
        <f aca="false">-IF(AND(71&gt;=Hipótesis!$D$48,Hipótesis!$B$48=1),IF(Hipótesis!$G$48=1,Hipótesis!$H$44,Hipótesis!$C$48*(1+Hipótesis!$D$45)^5)*(1+Hipótesis!$D$42),0)</f>
        <v>-7260</v>
      </c>
      <c r="BV44" s="138" t="n">
        <f aca="false">-IF(AND(72&gt;=Hipótesis!$D$48,Hipótesis!$B$48=1),IF(Hipótesis!$G$48=1,Hipótesis!$H$44,Hipótesis!$C$48*(1+Hipótesis!$D$45)^5)*(1+Hipótesis!$D$42),0)</f>
        <v>-7260</v>
      </c>
      <c r="BW44" s="138" t="n">
        <f aca="false">-IF(AND(73&gt;=Hipótesis!$D$48,Hipótesis!$B$48=1),IF(Hipótesis!$G$48=1,Hipótesis!$I$44,Hipótesis!$C$48*(1+Hipótesis!$D$45)^6)*(1+Hipótesis!$D$42),0)</f>
        <v>-7920</v>
      </c>
      <c r="BX44" s="138" t="n">
        <f aca="false">-IF(AND(74&gt;=Hipótesis!$D$48,Hipótesis!$B$48=1),IF(Hipótesis!$G$48=1,Hipótesis!$I$44,Hipótesis!$C$48*(1+Hipótesis!$D$45)^6)*(1+Hipótesis!$D$42),0)</f>
        <v>-7920</v>
      </c>
      <c r="BY44" s="138" t="n">
        <f aca="false">-IF(AND(75&gt;=Hipótesis!$D$48,Hipótesis!$B$48=1),IF(Hipótesis!$G$48=1,Hipótesis!$I$44,Hipótesis!$C$48*(1+Hipótesis!$D$45)^6)*(1+Hipótesis!$D$42),0)</f>
        <v>-7920</v>
      </c>
      <c r="BZ44" s="138" t="n">
        <f aca="false">-IF(AND(76&gt;=Hipótesis!$D$48,Hipótesis!$B$48=1),IF(Hipótesis!$G$48=1,Hipótesis!$I$44,Hipótesis!$C$48*(1+Hipótesis!$D$45)^6)*(1+Hipótesis!$D$42),0)</f>
        <v>-7920</v>
      </c>
      <c r="CA44" s="138" t="n">
        <f aca="false">-IF(AND(77&gt;=Hipótesis!$D$48,Hipótesis!$B$48=1),IF(Hipótesis!$G$48=1,Hipótesis!$I$44,Hipótesis!$C$48*(1+Hipótesis!$D$45)^6)*(1+Hipótesis!$D$42),0)</f>
        <v>-7920</v>
      </c>
      <c r="CB44" s="138" t="n">
        <f aca="false">-IF(AND(78&gt;=Hipótesis!$D$48,Hipótesis!$B$48=1),IF(Hipótesis!$G$48=1,Hipótesis!$I$44,Hipótesis!$C$48*(1+Hipótesis!$D$45)^6)*(1+Hipótesis!$D$42),0)</f>
        <v>-7920</v>
      </c>
      <c r="CC44" s="138" t="n">
        <f aca="false">-IF(AND(79&gt;=Hipótesis!$D$48,Hipótesis!$B$48=1),IF(Hipótesis!$G$48=1,Hipótesis!$I$44,Hipótesis!$C$48*(1+Hipótesis!$D$45)^6)*(1+Hipótesis!$D$42),0)</f>
        <v>-7920</v>
      </c>
      <c r="CD44" s="138" t="n">
        <f aca="false">-IF(AND(80&gt;=Hipótesis!$D$48,Hipótesis!$B$48=1),IF(Hipótesis!$G$48=1,Hipótesis!$I$44,Hipótesis!$C$48*(1+Hipótesis!$D$45)^6)*(1+Hipótesis!$D$42),0)</f>
        <v>-7920</v>
      </c>
      <c r="CE44" s="138" t="n">
        <f aca="false">-IF(AND(81&gt;=Hipótesis!$D$48,Hipótesis!$B$48=1),IF(Hipótesis!$G$48=1,Hipótesis!$I$44,Hipótesis!$C$48*(1+Hipótesis!$D$45)^6)*(1+Hipótesis!$D$42),0)</f>
        <v>-7920</v>
      </c>
      <c r="CF44" s="138" t="n">
        <f aca="false">-IF(AND(82&gt;=Hipótesis!$D$48,Hipótesis!$B$48=1),IF(Hipótesis!$G$48=1,Hipótesis!$I$44,Hipótesis!$C$48*(1+Hipótesis!$D$45)^6)*(1+Hipótesis!$D$42),0)</f>
        <v>-7920</v>
      </c>
      <c r="CG44" s="138" t="n">
        <f aca="false">-IF(AND(83&gt;=Hipótesis!$D$48,Hipótesis!$B$48=1),IF(Hipótesis!$G$48=1,Hipótesis!$I$44,Hipótesis!$C$48*(1+Hipótesis!$D$45)^6)*(1+Hipótesis!$D$42),0)</f>
        <v>-7920</v>
      </c>
      <c r="CH44" s="138" t="n">
        <f aca="false">-IF(AND(84&gt;=Hipótesis!$D$48,Hipótesis!$B$48=1),IF(Hipótesis!$G$48=1,Hipótesis!$I$44,Hipótesis!$C$48*(1+Hipótesis!$D$45)^6)*(1+Hipótesis!$D$42),0)</f>
        <v>-7920</v>
      </c>
    </row>
    <row r="45" customFormat="false" ht="13.5" hidden="false" customHeight="true" outlineLevel="0" collapsed="false">
      <c r="A45" s="13" t="s">
        <v>726</v>
      </c>
      <c r="C45" s="138" t="n">
        <f aca="false">-IF(AND(1&gt;=Hipótesis!$D$49,Hipótesis!$B$49=1),IF(Hipótesis!$G$49=1,Hipótesis!$C$44,Hipótesis!$C$49*(1+Hipótesis!$D$45)^0)*(1+Hipótesis!$D$42),0)</f>
        <v>-2904</v>
      </c>
      <c r="D45" s="138" t="n">
        <f aca="false">-IF(AND(2&gt;=Hipótesis!$D$49,Hipótesis!$B$49=1),IF(Hipótesis!$G$49=1,Hipótesis!$C$44,Hipótesis!$C$49*(1+Hipótesis!$D$45)^0)*(1+Hipótesis!$D$42),0)</f>
        <v>-2904</v>
      </c>
      <c r="E45" s="138" t="n">
        <f aca="false">-IF(AND(3&gt;=Hipótesis!$D$49,Hipótesis!$B$49=1),IF(Hipótesis!$G$49=1,Hipótesis!$C$44,Hipótesis!$C$49*(1+Hipótesis!$D$45)^0)*(1+Hipótesis!$D$42),0)</f>
        <v>-2904</v>
      </c>
      <c r="F45" s="138" t="n">
        <f aca="false">-IF(AND(4&gt;=Hipótesis!$D$49,Hipótesis!$B$49=1),IF(Hipótesis!$G$49=1,Hipótesis!$C$44,Hipótesis!$C$49*(1+Hipótesis!$D$45)^0)*(1+Hipótesis!$D$42),0)</f>
        <v>-2904</v>
      </c>
      <c r="G45" s="138" t="n">
        <f aca="false">-IF(AND(5&gt;=Hipótesis!$D$49,Hipótesis!$B$49=1),IF(Hipótesis!$G$49=1,Hipótesis!$C$44,Hipótesis!$C$49*(1+Hipótesis!$D$45)^0)*(1+Hipótesis!$D$42),0)</f>
        <v>-2904</v>
      </c>
      <c r="H45" s="138" t="n">
        <f aca="false">-IF(AND(6&gt;=Hipótesis!$D$49,Hipótesis!$B$49=1),IF(Hipótesis!$G$49=1,Hipótesis!$C$44,Hipótesis!$C$49*(1+Hipótesis!$D$45)^0)*(1+Hipótesis!$D$42),0)</f>
        <v>-2904</v>
      </c>
      <c r="I45" s="138" t="n">
        <f aca="false">-IF(AND(7&gt;=Hipótesis!$D$49,Hipótesis!$B$49=1),IF(Hipótesis!$G$49=1,Hipótesis!$C$44,Hipótesis!$C$49*(1+Hipótesis!$D$45)^0)*(1+Hipótesis!$D$42),0)</f>
        <v>-2904</v>
      </c>
      <c r="J45" s="138" t="n">
        <f aca="false">-IF(AND(8&gt;=Hipótesis!$D$49,Hipótesis!$B$49=1),IF(Hipótesis!$G$49=1,Hipótesis!$C$44,Hipótesis!$C$49*(1+Hipótesis!$D$45)^0)*(1+Hipótesis!$D$42),0)</f>
        <v>-2904</v>
      </c>
      <c r="K45" s="138" t="n">
        <f aca="false">-IF(AND(9&gt;=Hipótesis!$D$49,Hipótesis!$B$49=1),IF(Hipótesis!$G$49=1,Hipótesis!$C$44,Hipótesis!$C$49*(1+Hipótesis!$D$45)^0)*(1+Hipótesis!$D$42),0)</f>
        <v>-2904</v>
      </c>
      <c r="L45" s="138" t="n">
        <f aca="false">-IF(AND(10&gt;=Hipótesis!$D$49,Hipótesis!$B$49=1),IF(Hipótesis!$G$49=1,Hipótesis!$C$44,Hipótesis!$C$49*(1+Hipótesis!$D$45)^0)*(1+Hipótesis!$D$42),0)</f>
        <v>-2904</v>
      </c>
      <c r="M45" s="138" t="n">
        <f aca="false">-IF(AND(11&gt;=Hipótesis!$D$49,Hipótesis!$B$49=1),IF(Hipótesis!$G$49=1,Hipótesis!$C$44,Hipótesis!$C$49*(1+Hipótesis!$D$45)^0)*(1+Hipótesis!$D$42),0)</f>
        <v>-2904</v>
      </c>
      <c r="N45" s="138" t="n">
        <f aca="false">-IF(AND(12&gt;=Hipótesis!$D$49,Hipótesis!$B$49=1),IF(Hipótesis!$G$49=1,Hipótesis!$C$44,Hipótesis!$C$49*(1+Hipótesis!$D$45)^0)*(1+Hipótesis!$D$42),0)</f>
        <v>-2904</v>
      </c>
      <c r="O45" s="138" t="n">
        <f aca="false">-IF(AND(13&gt;=Hipótesis!$D$49,Hipótesis!$B$49=1),IF(Hipótesis!$G$49=1,Hipótesis!$D$44,Hipótesis!$C$49*(1+Hipótesis!$D$45)^1)*(1+Hipótesis!$D$42),0)</f>
        <v>-4620</v>
      </c>
      <c r="P45" s="138" t="n">
        <f aca="false">-IF(AND(14&gt;=Hipótesis!$D$49,Hipótesis!$B$49=1),IF(Hipótesis!$G$49=1,Hipótesis!$D$44,Hipótesis!$C$49*(1+Hipótesis!$D$45)^1)*(1+Hipótesis!$D$42),0)</f>
        <v>-4620</v>
      </c>
      <c r="Q45" s="138" t="n">
        <f aca="false">-IF(AND(15&gt;=Hipótesis!$D$49,Hipótesis!$B$49=1),IF(Hipótesis!$G$49=1,Hipótesis!$D$44,Hipótesis!$C$49*(1+Hipótesis!$D$45)^1)*(1+Hipótesis!$D$42),0)</f>
        <v>-4620</v>
      </c>
      <c r="R45" s="138" t="n">
        <f aca="false">-IF(AND(16&gt;=Hipótesis!$D$49,Hipótesis!$B$49=1),IF(Hipótesis!$G$49=1,Hipótesis!$D$44,Hipótesis!$C$49*(1+Hipótesis!$D$45)^1)*(1+Hipótesis!$D$42),0)</f>
        <v>-4620</v>
      </c>
      <c r="S45" s="138" t="n">
        <f aca="false">-IF(AND(17&gt;=Hipótesis!$D$49,Hipótesis!$B$49=1),IF(Hipótesis!$G$49=1,Hipótesis!$D$44,Hipótesis!$C$49*(1+Hipótesis!$D$45)^1)*(1+Hipótesis!$D$42),0)</f>
        <v>-4620</v>
      </c>
      <c r="T45" s="138" t="n">
        <f aca="false">-IF(AND(18&gt;=Hipótesis!$D$49,Hipótesis!$B$49=1),IF(Hipótesis!$G$49=1,Hipótesis!$D$44,Hipótesis!$C$49*(1+Hipótesis!$D$45)^1)*(1+Hipótesis!$D$42),0)</f>
        <v>-4620</v>
      </c>
      <c r="U45" s="138" t="n">
        <f aca="false">-IF(AND(19&gt;=Hipótesis!$D$49,Hipótesis!$B$49=1),IF(Hipótesis!$G$49=1,Hipótesis!$D$44,Hipótesis!$C$49*(1+Hipótesis!$D$45)^1)*(1+Hipótesis!$D$42),0)</f>
        <v>-4620</v>
      </c>
      <c r="V45" s="138" t="n">
        <f aca="false">-IF(AND(20&gt;=Hipótesis!$D$49,Hipótesis!$B$49=1),IF(Hipótesis!$G$49=1,Hipótesis!$D$44,Hipótesis!$C$49*(1+Hipótesis!$D$45)^1)*(1+Hipótesis!$D$42),0)</f>
        <v>-4620</v>
      </c>
      <c r="W45" s="138" t="n">
        <f aca="false">-IF(AND(21&gt;=Hipótesis!$D$49,Hipótesis!$B$49=1),IF(Hipótesis!$G$49=1,Hipótesis!$D$44,Hipótesis!$C$49*(1+Hipótesis!$D$45)^1)*(1+Hipótesis!$D$42),0)</f>
        <v>-4620</v>
      </c>
      <c r="X45" s="138" t="n">
        <f aca="false">-IF(AND(22&gt;=Hipótesis!$D$49,Hipótesis!$B$49=1),IF(Hipótesis!$G$49=1,Hipótesis!$D$44,Hipótesis!$C$49*(1+Hipótesis!$D$45)^1)*(1+Hipótesis!$D$42),0)</f>
        <v>-4620</v>
      </c>
      <c r="Y45" s="138" t="n">
        <f aca="false">-IF(AND(23&gt;=Hipótesis!$D$49,Hipótesis!$B$49=1),IF(Hipótesis!$G$49=1,Hipótesis!$D$44,Hipótesis!$C$49*(1+Hipótesis!$D$45)^1)*(1+Hipótesis!$D$42),0)</f>
        <v>-4620</v>
      </c>
      <c r="Z45" s="138" t="n">
        <f aca="false">-IF(AND(24&gt;=Hipótesis!$D$49,Hipótesis!$B$49=1),IF(Hipótesis!$G$49=1,Hipótesis!$D$44,Hipótesis!$C$49*(1+Hipótesis!$D$45)^1)*(1+Hipótesis!$D$42),0)</f>
        <v>-4620</v>
      </c>
      <c r="AA45" s="138" t="n">
        <f aca="false">-IF(AND(25&gt;=Hipótesis!$D$49,Hipótesis!$B$49=1),IF(Hipótesis!$G$49=1,Hipótesis!$E$44,Hipótesis!$C$49*(1+Hipótesis!$D$45)^2)*(1+Hipótesis!$D$42),0)</f>
        <v>-5280</v>
      </c>
      <c r="AB45" s="138" t="n">
        <f aca="false">-IF(AND(26&gt;=Hipótesis!$D$49,Hipótesis!$B$49=1),IF(Hipótesis!$G$49=1,Hipótesis!$E$44,Hipótesis!$C$49*(1+Hipótesis!$D$45)^2)*(1+Hipótesis!$D$42),0)</f>
        <v>-5280</v>
      </c>
      <c r="AC45" s="138" t="n">
        <f aca="false">-IF(AND(27&gt;=Hipótesis!$D$49,Hipótesis!$B$49=1),IF(Hipótesis!$G$49=1,Hipótesis!$E$44,Hipótesis!$C$49*(1+Hipótesis!$D$45)^2)*(1+Hipótesis!$D$42),0)</f>
        <v>-5280</v>
      </c>
      <c r="AD45" s="138" t="n">
        <f aca="false">-IF(AND(28&gt;=Hipótesis!$D$49,Hipótesis!$B$49=1),IF(Hipótesis!$G$49=1,Hipótesis!$E$44,Hipótesis!$C$49*(1+Hipótesis!$D$45)^2)*(1+Hipótesis!$D$42),0)</f>
        <v>-5280</v>
      </c>
      <c r="AE45" s="138" t="n">
        <f aca="false">-IF(AND(29&gt;=Hipótesis!$D$49,Hipótesis!$B$49=1),IF(Hipótesis!$G$49=1,Hipótesis!$E$44,Hipótesis!$C$49*(1+Hipótesis!$D$45)^2)*(1+Hipótesis!$D$42),0)</f>
        <v>-5280</v>
      </c>
      <c r="AF45" s="138" t="n">
        <f aca="false">-IF(AND(30&gt;=Hipótesis!$D$49,Hipótesis!$B$49=1),IF(Hipótesis!$G$49=1,Hipótesis!$E$44,Hipótesis!$C$49*(1+Hipótesis!$D$45)^2)*(1+Hipótesis!$D$42),0)</f>
        <v>-5280</v>
      </c>
      <c r="AG45" s="138" t="n">
        <f aca="false">-IF(AND(31&gt;=Hipótesis!$D$49,Hipótesis!$B$49=1),IF(Hipótesis!$G$49=1,Hipótesis!$E$44,Hipótesis!$C$49*(1+Hipótesis!$D$45)^2)*(1+Hipótesis!$D$42),0)</f>
        <v>-5280</v>
      </c>
      <c r="AH45" s="138" t="n">
        <f aca="false">-IF(AND(32&gt;=Hipótesis!$D$49,Hipótesis!$B$49=1),IF(Hipótesis!$G$49=1,Hipótesis!$E$44,Hipótesis!$C$49*(1+Hipótesis!$D$45)^2)*(1+Hipótesis!$D$42),0)</f>
        <v>-5280</v>
      </c>
      <c r="AI45" s="138" t="n">
        <f aca="false">-IF(AND(33&gt;=Hipótesis!$D$49,Hipótesis!$B$49=1),IF(Hipótesis!$G$49=1,Hipótesis!$E$44,Hipótesis!$C$49*(1+Hipótesis!$D$45)^2)*(1+Hipótesis!$D$42),0)</f>
        <v>-5280</v>
      </c>
      <c r="AJ45" s="138" t="n">
        <f aca="false">-IF(AND(34&gt;=Hipótesis!$D$49,Hipótesis!$B$49=1),IF(Hipótesis!$G$49=1,Hipótesis!$E$44,Hipótesis!$C$49*(1+Hipótesis!$D$45)^2)*(1+Hipótesis!$D$42),0)</f>
        <v>-5280</v>
      </c>
      <c r="AK45" s="138" t="n">
        <f aca="false">-IF(AND(35&gt;=Hipótesis!$D$49,Hipótesis!$B$49=1),IF(Hipótesis!$G$49=1,Hipótesis!$E$44,Hipótesis!$C$49*(1+Hipótesis!$D$45)^2)*(1+Hipótesis!$D$42),0)</f>
        <v>-5280</v>
      </c>
      <c r="AL45" s="138" t="n">
        <f aca="false">-IF(AND(36&gt;=Hipótesis!$D$49,Hipótesis!$B$49=1),IF(Hipótesis!$G$49=1,Hipótesis!$E$44,Hipótesis!$C$49*(1+Hipótesis!$D$45)^2)*(1+Hipótesis!$D$42),0)</f>
        <v>-5280</v>
      </c>
      <c r="AM45" s="138" t="n">
        <f aca="false">-IF(AND(37&gt;=Hipótesis!$D$49,Hipótesis!$B$49=1),IF(Hipótesis!$G$49=1,Hipótesis!$F$44,Hipótesis!$C$49*(1+Hipótesis!$D$45)^3)*(1+Hipótesis!$D$42),0)</f>
        <v>-5940</v>
      </c>
      <c r="AN45" s="138" t="n">
        <f aca="false">-IF(AND(38&gt;=Hipótesis!$D$49,Hipótesis!$B$49=1),IF(Hipótesis!$G$49=1,Hipótesis!$F$44,Hipótesis!$C$49*(1+Hipótesis!$D$45)^3)*(1+Hipótesis!$D$42),0)</f>
        <v>-5940</v>
      </c>
      <c r="AO45" s="138" t="n">
        <f aca="false">-IF(AND(39&gt;=Hipótesis!$D$49,Hipótesis!$B$49=1),IF(Hipótesis!$G$49=1,Hipótesis!$F$44,Hipótesis!$C$49*(1+Hipótesis!$D$45)^3)*(1+Hipótesis!$D$42),0)</f>
        <v>-5940</v>
      </c>
      <c r="AP45" s="138" t="n">
        <f aca="false">-IF(AND(40&gt;=Hipótesis!$D$49,Hipótesis!$B$49=1),IF(Hipótesis!$G$49=1,Hipótesis!$F$44,Hipótesis!$C$49*(1+Hipótesis!$D$45)^3)*(1+Hipótesis!$D$42),0)</f>
        <v>-5940</v>
      </c>
      <c r="AQ45" s="138" t="n">
        <f aca="false">-IF(AND(41&gt;=Hipótesis!$D$49,Hipótesis!$B$49=1),IF(Hipótesis!$G$49=1,Hipótesis!$F$44,Hipótesis!$C$49*(1+Hipótesis!$D$45)^3)*(1+Hipótesis!$D$42),0)</f>
        <v>-5940</v>
      </c>
      <c r="AR45" s="138" t="n">
        <f aca="false">-IF(AND(42&gt;=Hipótesis!$D$49,Hipótesis!$B$49=1),IF(Hipótesis!$G$49=1,Hipótesis!$F$44,Hipótesis!$C$49*(1+Hipótesis!$D$45)^3)*(1+Hipótesis!$D$42),0)</f>
        <v>-5940</v>
      </c>
      <c r="AS45" s="138" t="n">
        <f aca="false">-IF(AND(43&gt;=Hipótesis!$D$49,Hipótesis!$B$49=1),IF(Hipótesis!$G$49=1,Hipótesis!$F$44,Hipótesis!$C$49*(1+Hipótesis!$D$45)^3)*(1+Hipótesis!$D$42),0)</f>
        <v>-5940</v>
      </c>
      <c r="AT45" s="138" t="n">
        <f aca="false">-IF(AND(44&gt;=Hipótesis!$D$49,Hipótesis!$B$49=1),IF(Hipótesis!$G$49=1,Hipótesis!$F$44,Hipótesis!$C$49*(1+Hipótesis!$D$45)^3)*(1+Hipótesis!$D$42),0)</f>
        <v>-5940</v>
      </c>
      <c r="AU45" s="138" t="n">
        <f aca="false">-IF(AND(45&gt;=Hipótesis!$D$49,Hipótesis!$B$49=1),IF(Hipótesis!$G$49=1,Hipótesis!$F$44,Hipótesis!$C$49*(1+Hipótesis!$D$45)^3)*(1+Hipótesis!$D$42),0)</f>
        <v>-5940</v>
      </c>
      <c r="AV45" s="138" t="n">
        <f aca="false">-IF(AND(46&gt;=Hipótesis!$D$49,Hipótesis!$B$49=1),IF(Hipótesis!$G$49=1,Hipótesis!$F$44,Hipótesis!$C$49*(1+Hipótesis!$D$45)^3)*(1+Hipótesis!$D$42),0)</f>
        <v>-5940</v>
      </c>
      <c r="AW45" s="138" t="n">
        <f aca="false">-IF(AND(47&gt;=Hipótesis!$D$49,Hipótesis!$B$49=1),IF(Hipótesis!$G$49=1,Hipótesis!$F$44,Hipótesis!$C$49*(1+Hipótesis!$D$45)^3)*(1+Hipótesis!$D$42),0)</f>
        <v>-5940</v>
      </c>
      <c r="AX45" s="138" t="n">
        <f aca="false">-IF(AND(48&gt;=Hipótesis!$D$49,Hipótesis!$B$49=1),IF(Hipótesis!$G$49=1,Hipótesis!$F$44,Hipótesis!$C$49*(1+Hipótesis!$D$45)^3)*(1+Hipótesis!$D$42),0)</f>
        <v>-5940</v>
      </c>
      <c r="AY45" s="138" t="n">
        <f aca="false">-IF(AND(49&gt;=Hipótesis!$D$49,Hipótesis!$B$49=1),IF(Hipótesis!$G$49=1,Hipótesis!$G$44,Hipótesis!$C$49*(1+Hipótesis!$D$45)^4)*(1+Hipótesis!$D$42),0)</f>
        <v>-6600</v>
      </c>
      <c r="AZ45" s="138" t="n">
        <f aca="false">-IF(AND(50&gt;=Hipótesis!$D$49,Hipótesis!$B$49=1),IF(Hipótesis!$G$49=1,Hipótesis!$G$44,Hipótesis!$C$49*(1+Hipótesis!$D$45)^4)*(1+Hipótesis!$D$42),0)</f>
        <v>-6600</v>
      </c>
      <c r="BA45" s="138" t="n">
        <f aca="false">-IF(AND(51&gt;=Hipótesis!$D$49,Hipótesis!$B$49=1),IF(Hipótesis!$G$49=1,Hipótesis!$G$44,Hipótesis!$C$49*(1+Hipótesis!$D$45)^4)*(1+Hipótesis!$D$42),0)</f>
        <v>-6600</v>
      </c>
      <c r="BB45" s="138" t="n">
        <f aca="false">-IF(AND(52&gt;=Hipótesis!$D$49,Hipótesis!$B$49=1),IF(Hipótesis!$G$49=1,Hipótesis!$G$44,Hipótesis!$C$49*(1+Hipótesis!$D$45)^4)*(1+Hipótesis!$D$42),0)</f>
        <v>-6600</v>
      </c>
      <c r="BC45" s="138" t="n">
        <f aca="false">-IF(AND(53&gt;=Hipótesis!$D$49,Hipótesis!$B$49=1),IF(Hipótesis!$G$49=1,Hipótesis!$G$44,Hipótesis!$C$49*(1+Hipótesis!$D$45)^4)*(1+Hipótesis!$D$42),0)</f>
        <v>-6600</v>
      </c>
      <c r="BD45" s="138" t="n">
        <f aca="false">-IF(AND(54&gt;=Hipótesis!$D$49,Hipótesis!$B$49=1),IF(Hipótesis!$G$49=1,Hipótesis!$G$44,Hipótesis!$C$49*(1+Hipótesis!$D$45)^4)*(1+Hipótesis!$D$42),0)</f>
        <v>-6600</v>
      </c>
      <c r="BE45" s="138" t="n">
        <f aca="false">-IF(AND(55&gt;=Hipótesis!$D$49,Hipótesis!$B$49=1),IF(Hipótesis!$G$49=1,Hipótesis!$G$44,Hipótesis!$C$49*(1+Hipótesis!$D$45)^4)*(1+Hipótesis!$D$42),0)</f>
        <v>-6600</v>
      </c>
      <c r="BF45" s="138" t="n">
        <f aca="false">-IF(AND(56&gt;=Hipótesis!$D$49,Hipótesis!$B$49=1),IF(Hipótesis!$G$49=1,Hipótesis!$G$44,Hipótesis!$C$49*(1+Hipótesis!$D$45)^4)*(1+Hipótesis!$D$42),0)</f>
        <v>-6600</v>
      </c>
      <c r="BG45" s="138" t="n">
        <f aca="false">-IF(AND(57&gt;=Hipótesis!$D$49,Hipótesis!$B$49=1),IF(Hipótesis!$G$49=1,Hipótesis!$G$44,Hipótesis!$C$49*(1+Hipótesis!$D$45)^4)*(1+Hipótesis!$D$42),0)</f>
        <v>-6600</v>
      </c>
      <c r="BH45" s="138" t="n">
        <f aca="false">-IF(AND(58&gt;=Hipótesis!$D$49,Hipótesis!$B$49=1),IF(Hipótesis!$G$49=1,Hipótesis!$G$44,Hipótesis!$C$49*(1+Hipótesis!$D$45)^4)*(1+Hipótesis!$D$42),0)</f>
        <v>-6600</v>
      </c>
      <c r="BI45" s="138" t="n">
        <f aca="false">-IF(AND(59&gt;=Hipótesis!$D$49,Hipótesis!$B$49=1),IF(Hipótesis!$G$49=1,Hipótesis!$G$44,Hipótesis!$C$49*(1+Hipótesis!$D$45)^4)*(1+Hipótesis!$D$42),0)</f>
        <v>-6600</v>
      </c>
      <c r="BJ45" s="138" t="n">
        <f aca="false">-IF(AND(60&gt;=Hipótesis!$D$49,Hipótesis!$B$49=1),IF(Hipótesis!$G$49=1,Hipótesis!$G$44,Hipótesis!$C$49*(1+Hipótesis!$D$45)^4)*(1+Hipótesis!$D$42),0)</f>
        <v>-6600</v>
      </c>
      <c r="BK45" s="138" t="n">
        <f aca="false">-IF(AND(61&gt;=Hipótesis!$D$49,Hipótesis!$B$49=1),IF(Hipótesis!$G$49=1,Hipótesis!$H$44,Hipótesis!$C$49*(1+Hipótesis!$D$45)^5)*(1+Hipótesis!$D$42),0)</f>
        <v>-7260</v>
      </c>
      <c r="BL45" s="138" t="n">
        <f aca="false">-IF(AND(62&gt;=Hipótesis!$D$49,Hipótesis!$B$49=1),IF(Hipótesis!$G$49=1,Hipótesis!$H$44,Hipótesis!$C$49*(1+Hipótesis!$D$45)^5)*(1+Hipótesis!$D$42),0)</f>
        <v>-7260</v>
      </c>
      <c r="BM45" s="138" t="n">
        <f aca="false">-IF(AND(63&gt;=Hipótesis!$D$49,Hipótesis!$B$49=1),IF(Hipótesis!$G$49=1,Hipótesis!$H$44,Hipótesis!$C$49*(1+Hipótesis!$D$45)^5)*(1+Hipótesis!$D$42),0)</f>
        <v>-7260</v>
      </c>
      <c r="BN45" s="138" t="n">
        <f aca="false">-IF(AND(64&gt;=Hipótesis!$D$49,Hipótesis!$B$49=1),IF(Hipótesis!$G$49=1,Hipótesis!$H$44,Hipótesis!$C$49*(1+Hipótesis!$D$45)^5)*(1+Hipótesis!$D$42),0)</f>
        <v>-7260</v>
      </c>
      <c r="BO45" s="138" t="n">
        <f aca="false">-IF(AND(65&gt;=Hipótesis!$D$49,Hipótesis!$B$49=1),IF(Hipótesis!$G$49=1,Hipótesis!$H$44,Hipótesis!$C$49*(1+Hipótesis!$D$45)^5)*(1+Hipótesis!$D$42),0)</f>
        <v>-7260</v>
      </c>
      <c r="BP45" s="138" t="n">
        <f aca="false">-IF(AND(66&gt;=Hipótesis!$D$49,Hipótesis!$B$49=1),IF(Hipótesis!$G$49=1,Hipótesis!$H$44,Hipótesis!$C$49*(1+Hipótesis!$D$45)^5)*(1+Hipótesis!$D$42),0)</f>
        <v>-7260</v>
      </c>
      <c r="BQ45" s="138" t="n">
        <f aca="false">-IF(AND(67&gt;=Hipótesis!$D$49,Hipótesis!$B$49=1),IF(Hipótesis!$G$49=1,Hipótesis!$H$44,Hipótesis!$C$49*(1+Hipótesis!$D$45)^5)*(1+Hipótesis!$D$42),0)</f>
        <v>-7260</v>
      </c>
      <c r="BR45" s="138" t="n">
        <f aca="false">-IF(AND(68&gt;=Hipótesis!$D$49,Hipótesis!$B$49=1),IF(Hipótesis!$G$49=1,Hipótesis!$H$44,Hipótesis!$C$49*(1+Hipótesis!$D$45)^5)*(1+Hipótesis!$D$42),0)</f>
        <v>-7260</v>
      </c>
      <c r="BS45" s="138" t="n">
        <f aca="false">-IF(AND(69&gt;=Hipótesis!$D$49,Hipótesis!$B$49=1),IF(Hipótesis!$G$49=1,Hipótesis!$H$44,Hipótesis!$C$49*(1+Hipótesis!$D$45)^5)*(1+Hipótesis!$D$42),0)</f>
        <v>-7260</v>
      </c>
      <c r="BT45" s="138" t="n">
        <f aca="false">-IF(AND(70&gt;=Hipótesis!$D$49,Hipótesis!$B$49=1),IF(Hipótesis!$G$49=1,Hipótesis!$H$44,Hipótesis!$C$49*(1+Hipótesis!$D$45)^5)*(1+Hipótesis!$D$42),0)</f>
        <v>-7260</v>
      </c>
      <c r="BU45" s="138" t="n">
        <f aca="false">-IF(AND(71&gt;=Hipótesis!$D$49,Hipótesis!$B$49=1),IF(Hipótesis!$G$49=1,Hipótesis!$H$44,Hipótesis!$C$49*(1+Hipótesis!$D$45)^5)*(1+Hipótesis!$D$42),0)</f>
        <v>-7260</v>
      </c>
      <c r="BV45" s="138" t="n">
        <f aca="false">-IF(AND(72&gt;=Hipótesis!$D$49,Hipótesis!$B$49=1),IF(Hipótesis!$G$49=1,Hipótesis!$H$44,Hipótesis!$C$49*(1+Hipótesis!$D$45)^5)*(1+Hipótesis!$D$42),0)</f>
        <v>-7260</v>
      </c>
      <c r="BW45" s="138" t="n">
        <f aca="false">-IF(AND(73&gt;=Hipótesis!$D$49,Hipótesis!$B$49=1),IF(Hipótesis!$G$49=1,Hipótesis!$I$44,Hipótesis!$C$49*(1+Hipótesis!$D$45)^6)*(1+Hipótesis!$D$42),0)</f>
        <v>-7920</v>
      </c>
      <c r="BX45" s="138" t="n">
        <f aca="false">-IF(AND(74&gt;=Hipótesis!$D$49,Hipótesis!$B$49=1),IF(Hipótesis!$G$49=1,Hipótesis!$I$44,Hipótesis!$C$49*(1+Hipótesis!$D$45)^6)*(1+Hipótesis!$D$42),0)</f>
        <v>-7920</v>
      </c>
      <c r="BY45" s="138" t="n">
        <f aca="false">-IF(AND(75&gt;=Hipótesis!$D$49,Hipótesis!$B$49=1),IF(Hipótesis!$G$49=1,Hipótesis!$I$44,Hipótesis!$C$49*(1+Hipótesis!$D$45)^6)*(1+Hipótesis!$D$42),0)</f>
        <v>-7920</v>
      </c>
      <c r="BZ45" s="138" t="n">
        <f aca="false">-IF(AND(76&gt;=Hipótesis!$D$49,Hipótesis!$B$49=1),IF(Hipótesis!$G$49=1,Hipótesis!$I$44,Hipótesis!$C$49*(1+Hipótesis!$D$45)^6)*(1+Hipótesis!$D$42),0)</f>
        <v>-7920</v>
      </c>
      <c r="CA45" s="138" t="n">
        <f aca="false">-IF(AND(77&gt;=Hipótesis!$D$49,Hipótesis!$B$49=1),IF(Hipótesis!$G$49=1,Hipótesis!$I$44,Hipótesis!$C$49*(1+Hipótesis!$D$45)^6)*(1+Hipótesis!$D$42),0)</f>
        <v>-7920</v>
      </c>
      <c r="CB45" s="138" t="n">
        <f aca="false">-IF(AND(78&gt;=Hipótesis!$D$49,Hipótesis!$B$49=1),IF(Hipótesis!$G$49=1,Hipótesis!$I$44,Hipótesis!$C$49*(1+Hipótesis!$D$45)^6)*(1+Hipótesis!$D$42),0)</f>
        <v>-7920</v>
      </c>
      <c r="CC45" s="138" t="n">
        <f aca="false">-IF(AND(79&gt;=Hipótesis!$D$49,Hipótesis!$B$49=1),IF(Hipótesis!$G$49=1,Hipótesis!$I$44,Hipótesis!$C$49*(1+Hipótesis!$D$45)^6)*(1+Hipótesis!$D$42),0)</f>
        <v>-7920</v>
      </c>
      <c r="CD45" s="138" t="n">
        <f aca="false">-IF(AND(80&gt;=Hipótesis!$D$49,Hipótesis!$B$49=1),IF(Hipótesis!$G$49=1,Hipótesis!$I$44,Hipótesis!$C$49*(1+Hipótesis!$D$45)^6)*(1+Hipótesis!$D$42),0)</f>
        <v>-7920</v>
      </c>
      <c r="CE45" s="138" t="n">
        <f aca="false">-IF(AND(81&gt;=Hipótesis!$D$49,Hipótesis!$B$49=1),IF(Hipótesis!$G$49=1,Hipótesis!$I$44,Hipótesis!$C$49*(1+Hipótesis!$D$45)^6)*(1+Hipótesis!$D$42),0)</f>
        <v>-7920</v>
      </c>
      <c r="CF45" s="138" t="n">
        <f aca="false">-IF(AND(82&gt;=Hipótesis!$D$49,Hipótesis!$B$49=1),IF(Hipótesis!$G$49=1,Hipótesis!$I$44,Hipótesis!$C$49*(1+Hipótesis!$D$45)^6)*(1+Hipótesis!$D$42),0)</f>
        <v>-7920</v>
      </c>
      <c r="CG45" s="138" t="n">
        <f aca="false">-IF(AND(83&gt;=Hipótesis!$D$49,Hipótesis!$B$49=1),IF(Hipótesis!$G$49=1,Hipótesis!$I$44,Hipótesis!$C$49*(1+Hipótesis!$D$45)^6)*(1+Hipótesis!$D$42),0)</f>
        <v>-7920</v>
      </c>
      <c r="CH45" s="138" t="n">
        <f aca="false">-IF(AND(84&gt;=Hipótesis!$D$49,Hipótesis!$B$49=1),IF(Hipótesis!$G$49=1,Hipótesis!$I$44,Hipótesis!$C$49*(1+Hipótesis!$D$45)^6)*(1+Hipótesis!$D$42),0)</f>
        <v>-7920</v>
      </c>
    </row>
    <row r="46" customFormat="false" ht="13.5" hidden="false" customHeight="true" outlineLevel="0" collapsed="false">
      <c r="A46" s="13" t="s">
        <v>727</v>
      </c>
      <c r="C46" s="138" t="n">
        <f aca="false">-IF(AND(1&gt;=Hipótesis!$D$50,Hipótesis!$B$50=1),IF(Hipótesis!$G$50=1,Hipótesis!$C$44,Hipótesis!$C$50*(1+Hipótesis!$D$45)^0)*(1+Hipótesis!$D$42),0)</f>
        <v>-2904</v>
      </c>
      <c r="D46" s="138" t="n">
        <f aca="false">-IF(AND(2&gt;=Hipótesis!$D$50,Hipótesis!$B$50=1),IF(Hipótesis!$G$50=1,Hipótesis!$C$44,Hipótesis!$C$50*(1+Hipótesis!$D$45)^0)*(1+Hipótesis!$D$42),0)</f>
        <v>-2904</v>
      </c>
      <c r="E46" s="138" t="n">
        <f aca="false">-IF(AND(3&gt;=Hipótesis!$D$50,Hipótesis!$B$50=1),IF(Hipótesis!$G$50=1,Hipótesis!$C$44,Hipótesis!$C$50*(1+Hipótesis!$D$45)^0)*(1+Hipótesis!$D$42),0)</f>
        <v>-2904</v>
      </c>
      <c r="F46" s="138" t="n">
        <f aca="false">-IF(AND(4&gt;=Hipótesis!$D$50,Hipótesis!$B$50=1),IF(Hipótesis!$G$50=1,Hipótesis!$C$44,Hipótesis!$C$50*(1+Hipótesis!$D$45)^0)*(1+Hipótesis!$D$42),0)</f>
        <v>-2904</v>
      </c>
      <c r="G46" s="138" t="n">
        <f aca="false">-IF(AND(5&gt;=Hipótesis!$D$50,Hipótesis!$B$50=1),IF(Hipótesis!$G$50=1,Hipótesis!$C$44,Hipótesis!$C$50*(1+Hipótesis!$D$45)^0)*(1+Hipótesis!$D$42),0)</f>
        <v>-2904</v>
      </c>
      <c r="H46" s="138" t="n">
        <f aca="false">-IF(AND(6&gt;=Hipótesis!$D$50,Hipótesis!$B$50=1),IF(Hipótesis!$G$50=1,Hipótesis!$C$44,Hipótesis!$C$50*(1+Hipótesis!$D$45)^0)*(1+Hipótesis!$D$42),0)</f>
        <v>-2904</v>
      </c>
      <c r="I46" s="138" t="n">
        <f aca="false">-IF(AND(7&gt;=Hipótesis!$D$50,Hipótesis!$B$50=1),IF(Hipótesis!$G$50=1,Hipótesis!$C$44,Hipótesis!$C$50*(1+Hipótesis!$D$45)^0)*(1+Hipótesis!$D$42),0)</f>
        <v>-2904</v>
      </c>
      <c r="J46" s="138" t="n">
        <f aca="false">-IF(AND(8&gt;=Hipótesis!$D$50,Hipótesis!$B$50=1),IF(Hipótesis!$G$50=1,Hipótesis!$C$44,Hipótesis!$C$50*(1+Hipótesis!$D$45)^0)*(1+Hipótesis!$D$42),0)</f>
        <v>-2904</v>
      </c>
      <c r="K46" s="138" t="n">
        <f aca="false">-IF(AND(9&gt;=Hipótesis!$D$50,Hipótesis!$B$50=1),IF(Hipótesis!$G$50=1,Hipótesis!$C$44,Hipótesis!$C$50*(1+Hipótesis!$D$45)^0)*(1+Hipótesis!$D$42),0)</f>
        <v>-2904</v>
      </c>
      <c r="L46" s="138" t="n">
        <f aca="false">-IF(AND(10&gt;=Hipótesis!$D$50,Hipótesis!$B$50=1),IF(Hipótesis!$G$50=1,Hipótesis!$C$44,Hipótesis!$C$50*(1+Hipótesis!$D$45)^0)*(1+Hipótesis!$D$42),0)</f>
        <v>-2904</v>
      </c>
      <c r="M46" s="138" t="n">
        <f aca="false">-IF(AND(11&gt;=Hipótesis!$D$50,Hipótesis!$B$50=1),IF(Hipótesis!$G$50=1,Hipótesis!$C$44,Hipótesis!$C$50*(1+Hipótesis!$D$45)^0)*(1+Hipótesis!$D$42),0)</f>
        <v>-2904</v>
      </c>
      <c r="N46" s="138" t="n">
        <f aca="false">-IF(AND(12&gt;=Hipótesis!$D$50,Hipótesis!$B$50=1),IF(Hipótesis!$G$50=1,Hipótesis!$C$44,Hipótesis!$C$50*(1+Hipótesis!$D$45)^0)*(1+Hipótesis!$D$42),0)</f>
        <v>-2904</v>
      </c>
      <c r="O46" s="138" t="n">
        <f aca="false">-IF(AND(13&gt;=Hipótesis!$D$50,Hipótesis!$B$50=1),IF(Hipótesis!$G$50=1,Hipótesis!$D$44,Hipótesis!$C$50*(1+Hipótesis!$D$45)^1)*(1+Hipótesis!$D$42),0)</f>
        <v>-4620</v>
      </c>
      <c r="P46" s="138" t="n">
        <f aca="false">-IF(AND(14&gt;=Hipótesis!$D$50,Hipótesis!$B$50=1),IF(Hipótesis!$G$50=1,Hipótesis!$D$44,Hipótesis!$C$50*(1+Hipótesis!$D$45)^1)*(1+Hipótesis!$D$42),0)</f>
        <v>-4620</v>
      </c>
      <c r="Q46" s="138" t="n">
        <f aca="false">-IF(AND(15&gt;=Hipótesis!$D$50,Hipótesis!$B$50=1),IF(Hipótesis!$G$50=1,Hipótesis!$D$44,Hipótesis!$C$50*(1+Hipótesis!$D$45)^1)*(1+Hipótesis!$D$42),0)</f>
        <v>-4620</v>
      </c>
      <c r="R46" s="138" t="n">
        <f aca="false">-IF(AND(16&gt;=Hipótesis!$D$50,Hipótesis!$B$50=1),IF(Hipótesis!$G$50=1,Hipótesis!$D$44,Hipótesis!$C$50*(1+Hipótesis!$D$45)^1)*(1+Hipótesis!$D$42),0)</f>
        <v>-4620</v>
      </c>
      <c r="S46" s="138" t="n">
        <f aca="false">-IF(AND(17&gt;=Hipótesis!$D$50,Hipótesis!$B$50=1),IF(Hipótesis!$G$50=1,Hipótesis!$D$44,Hipótesis!$C$50*(1+Hipótesis!$D$45)^1)*(1+Hipótesis!$D$42),0)</f>
        <v>-4620</v>
      </c>
      <c r="T46" s="138" t="n">
        <f aca="false">-IF(AND(18&gt;=Hipótesis!$D$50,Hipótesis!$B$50=1),IF(Hipótesis!$G$50=1,Hipótesis!$D$44,Hipótesis!$C$50*(1+Hipótesis!$D$45)^1)*(1+Hipótesis!$D$42),0)</f>
        <v>-4620</v>
      </c>
      <c r="U46" s="138" t="n">
        <f aca="false">-IF(AND(19&gt;=Hipótesis!$D$50,Hipótesis!$B$50=1),IF(Hipótesis!$G$50=1,Hipótesis!$D$44,Hipótesis!$C$50*(1+Hipótesis!$D$45)^1)*(1+Hipótesis!$D$42),0)</f>
        <v>-4620</v>
      </c>
      <c r="V46" s="138" t="n">
        <f aca="false">-IF(AND(20&gt;=Hipótesis!$D$50,Hipótesis!$B$50=1),IF(Hipótesis!$G$50=1,Hipótesis!$D$44,Hipótesis!$C$50*(1+Hipótesis!$D$45)^1)*(1+Hipótesis!$D$42),0)</f>
        <v>-4620</v>
      </c>
      <c r="W46" s="138" t="n">
        <f aca="false">-IF(AND(21&gt;=Hipótesis!$D$50,Hipótesis!$B$50=1),IF(Hipótesis!$G$50=1,Hipótesis!$D$44,Hipótesis!$C$50*(1+Hipótesis!$D$45)^1)*(1+Hipótesis!$D$42),0)</f>
        <v>-4620</v>
      </c>
      <c r="X46" s="138" t="n">
        <f aca="false">-IF(AND(22&gt;=Hipótesis!$D$50,Hipótesis!$B$50=1),IF(Hipótesis!$G$50=1,Hipótesis!$D$44,Hipótesis!$C$50*(1+Hipótesis!$D$45)^1)*(1+Hipótesis!$D$42),0)</f>
        <v>-4620</v>
      </c>
      <c r="Y46" s="138" t="n">
        <f aca="false">-IF(AND(23&gt;=Hipótesis!$D$50,Hipótesis!$B$50=1),IF(Hipótesis!$G$50=1,Hipótesis!$D$44,Hipótesis!$C$50*(1+Hipótesis!$D$45)^1)*(1+Hipótesis!$D$42),0)</f>
        <v>-4620</v>
      </c>
      <c r="Z46" s="138" t="n">
        <f aca="false">-IF(AND(24&gt;=Hipótesis!$D$50,Hipótesis!$B$50=1),IF(Hipótesis!$G$50=1,Hipótesis!$D$44,Hipótesis!$C$50*(1+Hipótesis!$D$45)^1)*(1+Hipótesis!$D$42),0)</f>
        <v>-4620</v>
      </c>
      <c r="AA46" s="138" t="n">
        <f aca="false">-IF(AND(25&gt;=Hipótesis!$D$50,Hipótesis!$B$50=1),IF(Hipótesis!$G$50=1,Hipótesis!$E$44,Hipótesis!$C$50*(1+Hipótesis!$D$45)^2)*(1+Hipótesis!$D$42),0)</f>
        <v>-5280</v>
      </c>
      <c r="AB46" s="138" t="n">
        <f aca="false">-IF(AND(26&gt;=Hipótesis!$D$50,Hipótesis!$B$50=1),IF(Hipótesis!$G$50=1,Hipótesis!$E$44,Hipótesis!$C$50*(1+Hipótesis!$D$45)^2)*(1+Hipótesis!$D$42),0)</f>
        <v>-5280</v>
      </c>
      <c r="AC46" s="138" t="n">
        <f aca="false">-IF(AND(27&gt;=Hipótesis!$D$50,Hipótesis!$B$50=1),IF(Hipótesis!$G$50=1,Hipótesis!$E$44,Hipótesis!$C$50*(1+Hipótesis!$D$45)^2)*(1+Hipótesis!$D$42),0)</f>
        <v>-5280</v>
      </c>
      <c r="AD46" s="138" t="n">
        <f aca="false">-IF(AND(28&gt;=Hipótesis!$D$50,Hipótesis!$B$50=1),IF(Hipótesis!$G$50=1,Hipótesis!$E$44,Hipótesis!$C$50*(1+Hipótesis!$D$45)^2)*(1+Hipótesis!$D$42),0)</f>
        <v>-5280</v>
      </c>
      <c r="AE46" s="138" t="n">
        <f aca="false">-IF(AND(29&gt;=Hipótesis!$D$50,Hipótesis!$B$50=1),IF(Hipótesis!$G$50=1,Hipótesis!$E$44,Hipótesis!$C$50*(1+Hipótesis!$D$45)^2)*(1+Hipótesis!$D$42),0)</f>
        <v>-5280</v>
      </c>
      <c r="AF46" s="138" t="n">
        <f aca="false">-IF(AND(30&gt;=Hipótesis!$D$50,Hipótesis!$B$50=1),IF(Hipótesis!$G$50=1,Hipótesis!$E$44,Hipótesis!$C$50*(1+Hipótesis!$D$45)^2)*(1+Hipótesis!$D$42),0)</f>
        <v>-5280</v>
      </c>
      <c r="AG46" s="138" t="n">
        <f aca="false">-IF(AND(31&gt;=Hipótesis!$D$50,Hipótesis!$B$50=1),IF(Hipótesis!$G$50=1,Hipótesis!$E$44,Hipótesis!$C$50*(1+Hipótesis!$D$45)^2)*(1+Hipótesis!$D$42),0)</f>
        <v>-5280</v>
      </c>
      <c r="AH46" s="138" t="n">
        <f aca="false">-IF(AND(32&gt;=Hipótesis!$D$50,Hipótesis!$B$50=1),IF(Hipótesis!$G$50=1,Hipótesis!$E$44,Hipótesis!$C$50*(1+Hipótesis!$D$45)^2)*(1+Hipótesis!$D$42),0)</f>
        <v>-5280</v>
      </c>
      <c r="AI46" s="138" t="n">
        <f aca="false">-IF(AND(33&gt;=Hipótesis!$D$50,Hipótesis!$B$50=1),IF(Hipótesis!$G$50=1,Hipótesis!$E$44,Hipótesis!$C$50*(1+Hipótesis!$D$45)^2)*(1+Hipótesis!$D$42),0)</f>
        <v>-5280</v>
      </c>
      <c r="AJ46" s="138" t="n">
        <f aca="false">-IF(AND(34&gt;=Hipótesis!$D$50,Hipótesis!$B$50=1),IF(Hipótesis!$G$50=1,Hipótesis!$E$44,Hipótesis!$C$50*(1+Hipótesis!$D$45)^2)*(1+Hipótesis!$D$42),0)</f>
        <v>-5280</v>
      </c>
      <c r="AK46" s="138" t="n">
        <f aca="false">-IF(AND(35&gt;=Hipótesis!$D$50,Hipótesis!$B$50=1),IF(Hipótesis!$G$50=1,Hipótesis!$E$44,Hipótesis!$C$50*(1+Hipótesis!$D$45)^2)*(1+Hipótesis!$D$42),0)</f>
        <v>-5280</v>
      </c>
      <c r="AL46" s="138" t="n">
        <f aca="false">-IF(AND(36&gt;=Hipótesis!$D$50,Hipótesis!$B$50=1),IF(Hipótesis!$G$50=1,Hipótesis!$E$44,Hipótesis!$C$50*(1+Hipótesis!$D$45)^2)*(1+Hipótesis!$D$42),0)</f>
        <v>-5280</v>
      </c>
      <c r="AM46" s="138" t="n">
        <f aca="false">-IF(AND(37&gt;=Hipótesis!$D$50,Hipótesis!$B$50=1),IF(Hipótesis!$G$50=1,Hipótesis!$F$44,Hipótesis!$C$50*(1+Hipótesis!$D$45)^3)*(1+Hipótesis!$D$42),0)</f>
        <v>-5940</v>
      </c>
      <c r="AN46" s="138" t="n">
        <f aca="false">-IF(AND(38&gt;=Hipótesis!$D$50,Hipótesis!$B$50=1),IF(Hipótesis!$G$50=1,Hipótesis!$F$44,Hipótesis!$C$50*(1+Hipótesis!$D$45)^3)*(1+Hipótesis!$D$42),0)</f>
        <v>-5940</v>
      </c>
      <c r="AO46" s="138" t="n">
        <f aca="false">-IF(AND(39&gt;=Hipótesis!$D$50,Hipótesis!$B$50=1),IF(Hipótesis!$G$50=1,Hipótesis!$F$44,Hipótesis!$C$50*(1+Hipótesis!$D$45)^3)*(1+Hipótesis!$D$42),0)</f>
        <v>-5940</v>
      </c>
      <c r="AP46" s="138" t="n">
        <f aca="false">-IF(AND(40&gt;=Hipótesis!$D$50,Hipótesis!$B$50=1),IF(Hipótesis!$G$50=1,Hipótesis!$F$44,Hipótesis!$C$50*(1+Hipótesis!$D$45)^3)*(1+Hipótesis!$D$42),0)</f>
        <v>-5940</v>
      </c>
      <c r="AQ46" s="138" t="n">
        <f aca="false">-IF(AND(41&gt;=Hipótesis!$D$50,Hipótesis!$B$50=1),IF(Hipótesis!$G$50=1,Hipótesis!$F$44,Hipótesis!$C$50*(1+Hipótesis!$D$45)^3)*(1+Hipótesis!$D$42),0)</f>
        <v>-5940</v>
      </c>
      <c r="AR46" s="138" t="n">
        <f aca="false">-IF(AND(42&gt;=Hipótesis!$D$50,Hipótesis!$B$50=1),IF(Hipótesis!$G$50=1,Hipótesis!$F$44,Hipótesis!$C$50*(1+Hipótesis!$D$45)^3)*(1+Hipótesis!$D$42),0)</f>
        <v>-5940</v>
      </c>
      <c r="AS46" s="138" t="n">
        <f aca="false">-IF(AND(43&gt;=Hipótesis!$D$50,Hipótesis!$B$50=1),IF(Hipótesis!$G$50=1,Hipótesis!$F$44,Hipótesis!$C$50*(1+Hipótesis!$D$45)^3)*(1+Hipótesis!$D$42),0)</f>
        <v>-5940</v>
      </c>
      <c r="AT46" s="138" t="n">
        <f aca="false">-IF(AND(44&gt;=Hipótesis!$D$50,Hipótesis!$B$50=1),IF(Hipótesis!$G$50=1,Hipótesis!$F$44,Hipótesis!$C$50*(1+Hipótesis!$D$45)^3)*(1+Hipótesis!$D$42),0)</f>
        <v>-5940</v>
      </c>
      <c r="AU46" s="138" t="n">
        <f aca="false">-IF(AND(45&gt;=Hipótesis!$D$50,Hipótesis!$B$50=1),IF(Hipótesis!$G$50=1,Hipótesis!$F$44,Hipótesis!$C$50*(1+Hipótesis!$D$45)^3)*(1+Hipótesis!$D$42),0)</f>
        <v>-5940</v>
      </c>
      <c r="AV46" s="138" t="n">
        <f aca="false">-IF(AND(46&gt;=Hipótesis!$D$50,Hipótesis!$B$50=1),IF(Hipótesis!$G$50=1,Hipótesis!$F$44,Hipótesis!$C$50*(1+Hipótesis!$D$45)^3)*(1+Hipótesis!$D$42),0)</f>
        <v>-5940</v>
      </c>
      <c r="AW46" s="138" t="n">
        <f aca="false">-IF(AND(47&gt;=Hipótesis!$D$50,Hipótesis!$B$50=1),IF(Hipótesis!$G$50=1,Hipótesis!$F$44,Hipótesis!$C$50*(1+Hipótesis!$D$45)^3)*(1+Hipótesis!$D$42),0)</f>
        <v>-5940</v>
      </c>
      <c r="AX46" s="138" t="n">
        <f aca="false">-IF(AND(48&gt;=Hipótesis!$D$50,Hipótesis!$B$50=1),IF(Hipótesis!$G$50=1,Hipótesis!$F$44,Hipótesis!$C$50*(1+Hipótesis!$D$45)^3)*(1+Hipótesis!$D$42),0)</f>
        <v>-5940</v>
      </c>
      <c r="AY46" s="138" t="n">
        <f aca="false">-IF(AND(49&gt;=Hipótesis!$D$50,Hipótesis!$B$50=1),IF(Hipótesis!$G$50=1,Hipótesis!$G$44,Hipótesis!$C$50*(1+Hipótesis!$D$45)^4)*(1+Hipótesis!$D$42),0)</f>
        <v>-6600</v>
      </c>
      <c r="AZ46" s="138" t="n">
        <f aca="false">-IF(AND(50&gt;=Hipótesis!$D$50,Hipótesis!$B$50=1),IF(Hipótesis!$G$50=1,Hipótesis!$G$44,Hipótesis!$C$50*(1+Hipótesis!$D$45)^4)*(1+Hipótesis!$D$42),0)</f>
        <v>-6600</v>
      </c>
      <c r="BA46" s="138" t="n">
        <f aca="false">-IF(AND(51&gt;=Hipótesis!$D$50,Hipótesis!$B$50=1),IF(Hipótesis!$G$50=1,Hipótesis!$G$44,Hipótesis!$C$50*(1+Hipótesis!$D$45)^4)*(1+Hipótesis!$D$42),0)</f>
        <v>-6600</v>
      </c>
      <c r="BB46" s="138" t="n">
        <f aca="false">-IF(AND(52&gt;=Hipótesis!$D$50,Hipótesis!$B$50=1),IF(Hipótesis!$G$50=1,Hipótesis!$G$44,Hipótesis!$C$50*(1+Hipótesis!$D$45)^4)*(1+Hipótesis!$D$42),0)</f>
        <v>-6600</v>
      </c>
      <c r="BC46" s="138" t="n">
        <f aca="false">-IF(AND(53&gt;=Hipótesis!$D$50,Hipótesis!$B$50=1),IF(Hipótesis!$G$50=1,Hipótesis!$G$44,Hipótesis!$C$50*(1+Hipótesis!$D$45)^4)*(1+Hipótesis!$D$42),0)</f>
        <v>-6600</v>
      </c>
      <c r="BD46" s="138" t="n">
        <f aca="false">-IF(AND(54&gt;=Hipótesis!$D$50,Hipótesis!$B$50=1),IF(Hipótesis!$G$50=1,Hipótesis!$G$44,Hipótesis!$C$50*(1+Hipótesis!$D$45)^4)*(1+Hipótesis!$D$42),0)</f>
        <v>-6600</v>
      </c>
      <c r="BE46" s="138" t="n">
        <f aca="false">-IF(AND(55&gt;=Hipótesis!$D$50,Hipótesis!$B$50=1),IF(Hipótesis!$G$50=1,Hipótesis!$G$44,Hipótesis!$C$50*(1+Hipótesis!$D$45)^4)*(1+Hipótesis!$D$42),0)</f>
        <v>-6600</v>
      </c>
      <c r="BF46" s="138" t="n">
        <f aca="false">-IF(AND(56&gt;=Hipótesis!$D$50,Hipótesis!$B$50=1),IF(Hipótesis!$G$50=1,Hipótesis!$G$44,Hipótesis!$C$50*(1+Hipótesis!$D$45)^4)*(1+Hipótesis!$D$42),0)</f>
        <v>-6600</v>
      </c>
      <c r="BG46" s="138" t="n">
        <f aca="false">-IF(AND(57&gt;=Hipótesis!$D$50,Hipótesis!$B$50=1),IF(Hipótesis!$G$50=1,Hipótesis!$G$44,Hipótesis!$C$50*(1+Hipótesis!$D$45)^4)*(1+Hipótesis!$D$42),0)</f>
        <v>-6600</v>
      </c>
      <c r="BH46" s="138" t="n">
        <f aca="false">-IF(AND(58&gt;=Hipótesis!$D$50,Hipótesis!$B$50=1),IF(Hipótesis!$G$50=1,Hipótesis!$G$44,Hipótesis!$C$50*(1+Hipótesis!$D$45)^4)*(1+Hipótesis!$D$42),0)</f>
        <v>-6600</v>
      </c>
      <c r="BI46" s="138" t="n">
        <f aca="false">-IF(AND(59&gt;=Hipótesis!$D$50,Hipótesis!$B$50=1),IF(Hipótesis!$G$50=1,Hipótesis!$G$44,Hipótesis!$C$50*(1+Hipótesis!$D$45)^4)*(1+Hipótesis!$D$42),0)</f>
        <v>-6600</v>
      </c>
      <c r="BJ46" s="138" t="n">
        <f aca="false">-IF(AND(60&gt;=Hipótesis!$D$50,Hipótesis!$B$50=1),IF(Hipótesis!$G$50=1,Hipótesis!$G$44,Hipótesis!$C$50*(1+Hipótesis!$D$45)^4)*(1+Hipótesis!$D$42),0)</f>
        <v>-6600</v>
      </c>
      <c r="BK46" s="138" t="n">
        <f aca="false">-IF(AND(61&gt;=Hipótesis!$D$50,Hipótesis!$B$50=1),IF(Hipótesis!$G$50=1,Hipótesis!$H$44,Hipótesis!$C$50*(1+Hipótesis!$D$45)^5)*(1+Hipótesis!$D$42),0)</f>
        <v>-7260</v>
      </c>
      <c r="BL46" s="138" t="n">
        <f aca="false">-IF(AND(62&gt;=Hipótesis!$D$50,Hipótesis!$B$50=1),IF(Hipótesis!$G$50=1,Hipótesis!$H$44,Hipótesis!$C$50*(1+Hipótesis!$D$45)^5)*(1+Hipótesis!$D$42),0)</f>
        <v>-7260</v>
      </c>
      <c r="BM46" s="138" t="n">
        <f aca="false">-IF(AND(63&gt;=Hipótesis!$D$50,Hipótesis!$B$50=1),IF(Hipótesis!$G$50=1,Hipótesis!$H$44,Hipótesis!$C$50*(1+Hipótesis!$D$45)^5)*(1+Hipótesis!$D$42),0)</f>
        <v>-7260</v>
      </c>
      <c r="BN46" s="138" t="n">
        <f aca="false">-IF(AND(64&gt;=Hipótesis!$D$50,Hipótesis!$B$50=1),IF(Hipótesis!$G$50=1,Hipótesis!$H$44,Hipótesis!$C$50*(1+Hipótesis!$D$45)^5)*(1+Hipótesis!$D$42),0)</f>
        <v>-7260</v>
      </c>
      <c r="BO46" s="138" t="n">
        <f aca="false">-IF(AND(65&gt;=Hipótesis!$D$50,Hipótesis!$B$50=1),IF(Hipótesis!$G$50=1,Hipótesis!$H$44,Hipótesis!$C$50*(1+Hipótesis!$D$45)^5)*(1+Hipótesis!$D$42),0)</f>
        <v>-7260</v>
      </c>
      <c r="BP46" s="138" t="n">
        <f aca="false">-IF(AND(66&gt;=Hipótesis!$D$50,Hipótesis!$B$50=1),IF(Hipótesis!$G$50=1,Hipótesis!$H$44,Hipótesis!$C$50*(1+Hipótesis!$D$45)^5)*(1+Hipótesis!$D$42),0)</f>
        <v>-7260</v>
      </c>
      <c r="BQ46" s="138" t="n">
        <f aca="false">-IF(AND(67&gt;=Hipótesis!$D$50,Hipótesis!$B$50=1),IF(Hipótesis!$G$50=1,Hipótesis!$H$44,Hipótesis!$C$50*(1+Hipótesis!$D$45)^5)*(1+Hipótesis!$D$42),0)</f>
        <v>-7260</v>
      </c>
      <c r="BR46" s="138" t="n">
        <f aca="false">-IF(AND(68&gt;=Hipótesis!$D$50,Hipótesis!$B$50=1),IF(Hipótesis!$G$50=1,Hipótesis!$H$44,Hipótesis!$C$50*(1+Hipótesis!$D$45)^5)*(1+Hipótesis!$D$42),0)</f>
        <v>-7260</v>
      </c>
      <c r="BS46" s="138" t="n">
        <f aca="false">-IF(AND(69&gt;=Hipótesis!$D$50,Hipótesis!$B$50=1),IF(Hipótesis!$G$50=1,Hipótesis!$H$44,Hipótesis!$C$50*(1+Hipótesis!$D$45)^5)*(1+Hipótesis!$D$42),0)</f>
        <v>-7260</v>
      </c>
      <c r="BT46" s="138" t="n">
        <f aca="false">-IF(AND(70&gt;=Hipótesis!$D$50,Hipótesis!$B$50=1),IF(Hipótesis!$G$50=1,Hipótesis!$H$44,Hipótesis!$C$50*(1+Hipótesis!$D$45)^5)*(1+Hipótesis!$D$42),0)</f>
        <v>-7260</v>
      </c>
      <c r="BU46" s="138" t="n">
        <f aca="false">-IF(AND(71&gt;=Hipótesis!$D$50,Hipótesis!$B$50=1),IF(Hipótesis!$G$50=1,Hipótesis!$H$44,Hipótesis!$C$50*(1+Hipótesis!$D$45)^5)*(1+Hipótesis!$D$42),0)</f>
        <v>-7260</v>
      </c>
      <c r="BV46" s="138" t="n">
        <f aca="false">-IF(AND(72&gt;=Hipótesis!$D$50,Hipótesis!$B$50=1),IF(Hipótesis!$G$50=1,Hipótesis!$H$44,Hipótesis!$C$50*(1+Hipótesis!$D$45)^5)*(1+Hipótesis!$D$42),0)</f>
        <v>-7260</v>
      </c>
      <c r="BW46" s="138" t="n">
        <f aca="false">-IF(AND(73&gt;=Hipótesis!$D$50,Hipótesis!$B$50=1),IF(Hipótesis!$G$50=1,Hipótesis!$I$44,Hipótesis!$C$50*(1+Hipótesis!$D$45)^6)*(1+Hipótesis!$D$42),0)</f>
        <v>-7920</v>
      </c>
      <c r="BX46" s="138" t="n">
        <f aca="false">-IF(AND(74&gt;=Hipótesis!$D$50,Hipótesis!$B$50=1),IF(Hipótesis!$G$50=1,Hipótesis!$I$44,Hipótesis!$C$50*(1+Hipótesis!$D$45)^6)*(1+Hipótesis!$D$42),0)</f>
        <v>-7920</v>
      </c>
      <c r="BY46" s="138" t="n">
        <f aca="false">-IF(AND(75&gt;=Hipótesis!$D$50,Hipótesis!$B$50=1),IF(Hipótesis!$G$50=1,Hipótesis!$I$44,Hipótesis!$C$50*(1+Hipótesis!$D$45)^6)*(1+Hipótesis!$D$42),0)</f>
        <v>-7920</v>
      </c>
      <c r="BZ46" s="138" t="n">
        <f aca="false">-IF(AND(76&gt;=Hipótesis!$D$50,Hipótesis!$B$50=1),IF(Hipótesis!$G$50=1,Hipótesis!$I$44,Hipótesis!$C$50*(1+Hipótesis!$D$45)^6)*(1+Hipótesis!$D$42),0)</f>
        <v>-7920</v>
      </c>
      <c r="CA46" s="138" t="n">
        <f aca="false">-IF(AND(77&gt;=Hipótesis!$D$50,Hipótesis!$B$50=1),IF(Hipótesis!$G$50=1,Hipótesis!$I$44,Hipótesis!$C$50*(1+Hipótesis!$D$45)^6)*(1+Hipótesis!$D$42),0)</f>
        <v>-7920</v>
      </c>
      <c r="CB46" s="138" t="n">
        <f aca="false">-IF(AND(78&gt;=Hipótesis!$D$50,Hipótesis!$B$50=1),IF(Hipótesis!$G$50=1,Hipótesis!$I$44,Hipótesis!$C$50*(1+Hipótesis!$D$45)^6)*(1+Hipótesis!$D$42),0)</f>
        <v>-7920</v>
      </c>
      <c r="CC46" s="138" t="n">
        <f aca="false">-IF(AND(79&gt;=Hipótesis!$D$50,Hipótesis!$B$50=1),IF(Hipótesis!$G$50=1,Hipótesis!$I$44,Hipótesis!$C$50*(1+Hipótesis!$D$45)^6)*(1+Hipótesis!$D$42),0)</f>
        <v>-7920</v>
      </c>
      <c r="CD46" s="138" t="n">
        <f aca="false">-IF(AND(80&gt;=Hipótesis!$D$50,Hipótesis!$B$50=1),IF(Hipótesis!$G$50=1,Hipótesis!$I$44,Hipótesis!$C$50*(1+Hipótesis!$D$45)^6)*(1+Hipótesis!$D$42),0)</f>
        <v>-7920</v>
      </c>
      <c r="CE46" s="138" t="n">
        <f aca="false">-IF(AND(81&gt;=Hipótesis!$D$50,Hipótesis!$B$50=1),IF(Hipótesis!$G$50=1,Hipótesis!$I$44,Hipótesis!$C$50*(1+Hipótesis!$D$45)^6)*(1+Hipótesis!$D$42),0)</f>
        <v>-7920</v>
      </c>
      <c r="CF46" s="138" t="n">
        <f aca="false">-IF(AND(82&gt;=Hipótesis!$D$50,Hipótesis!$B$50=1),IF(Hipótesis!$G$50=1,Hipótesis!$I$44,Hipótesis!$C$50*(1+Hipótesis!$D$45)^6)*(1+Hipótesis!$D$42),0)</f>
        <v>-7920</v>
      </c>
      <c r="CG46" s="138" t="n">
        <f aca="false">-IF(AND(83&gt;=Hipótesis!$D$50,Hipótesis!$B$50=1),IF(Hipótesis!$G$50=1,Hipótesis!$I$44,Hipótesis!$C$50*(1+Hipótesis!$D$45)^6)*(1+Hipótesis!$D$42),0)</f>
        <v>-7920</v>
      </c>
      <c r="CH46" s="138" t="n">
        <f aca="false">-IF(AND(84&gt;=Hipótesis!$D$50,Hipótesis!$B$50=1),IF(Hipótesis!$G$50=1,Hipótesis!$I$44,Hipótesis!$C$50*(1+Hipótesis!$D$45)^6)*(1+Hipótesis!$D$42),0)</f>
        <v>-7920</v>
      </c>
    </row>
    <row r="47" customFormat="false" ht="13.5" hidden="false" customHeight="true" outlineLevel="0" collapsed="false">
      <c r="A47" s="13" t="s">
        <v>728</v>
      </c>
      <c r="C47" s="138" t="n">
        <f aca="false">-IF(AND(1&gt;=Hipótesis!$D$51,Hipótesis!$B$51=1),IF(Hipótesis!$G$51=1,Hipótesis!$C$44,Hipótesis!$C$51*(1+Hipótesis!$D$45)^0)*(1+Hipótesis!$D$42),0)</f>
        <v>-2640</v>
      </c>
      <c r="D47" s="138" t="n">
        <f aca="false">-IF(AND(2&gt;=Hipótesis!$D$51,Hipótesis!$B$51=1),IF(Hipótesis!$G$51=1,Hipótesis!$C$44,Hipótesis!$C$51*(1+Hipótesis!$D$45)^0)*(1+Hipótesis!$D$42),0)</f>
        <v>-2640</v>
      </c>
      <c r="E47" s="138" t="n">
        <f aca="false">-IF(AND(3&gt;=Hipótesis!$D$51,Hipótesis!$B$51=1),IF(Hipótesis!$G$51=1,Hipótesis!$C$44,Hipótesis!$C$51*(1+Hipótesis!$D$45)^0)*(1+Hipótesis!$D$42),0)</f>
        <v>-2640</v>
      </c>
      <c r="F47" s="138" t="n">
        <f aca="false">-IF(AND(4&gt;=Hipótesis!$D$51,Hipótesis!$B$51=1),IF(Hipótesis!$G$51=1,Hipótesis!$C$44,Hipótesis!$C$51*(1+Hipótesis!$D$45)^0)*(1+Hipótesis!$D$42),0)</f>
        <v>-2640</v>
      </c>
      <c r="G47" s="138" t="n">
        <f aca="false">-IF(AND(5&gt;=Hipótesis!$D$51,Hipótesis!$B$51=1),IF(Hipótesis!$G$51=1,Hipótesis!$C$44,Hipótesis!$C$51*(1+Hipótesis!$D$45)^0)*(1+Hipótesis!$D$42),0)</f>
        <v>-2640</v>
      </c>
      <c r="H47" s="138" t="n">
        <f aca="false">-IF(AND(6&gt;=Hipótesis!$D$51,Hipótesis!$B$51=1),IF(Hipótesis!$G$51=1,Hipótesis!$C$44,Hipótesis!$C$51*(1+Hipótesis!$D$45)^0)*(1+Hipótesis!$D$42),0)</f>
        <v>-2640</v>
      </c>
      <c r="I47" s="138" t="n">
        <f aca="false">-IF(AND(7&gt;=Hipótesis!$D$51,Hipótesis!$B$51=1),IF(Hipótesis!$G$51=1,Hipótesis!$C$44,Hipótesis!$C$51*(1+Hipótesis!$D$45)^0)*(1+Hipótesis!$D$42),0)</f>
        <v>-2640</v>
      </c>
      <c r="J47" s="138" t="n">
        <f aca="false">-IF(AND(8&gt;=Hipótesis!$D$51,Hipótesis!$B$51=1),IF(Hipótesis!$G$51=1,Hipótesis!$C$44,Hipótesis!$C$51*(1+Hipótesis!$D$45)^0)*(1+Hipótesis!$D$42),0)</f>
        <v>-2640</v>
      </c>
      <c r="K47" s="138" t="n">
        <f aca="false">-IF(AND(9&gt;=Hipótesis!$D$51,Hipótesis!$B$51=1),IF(Hipótesis!$G$51=1,Hipótesis!$C$44,Hipótesis!$C$51*(1+Hipótesis!$D$45)^0)*(1+Hipótesis!$D$42),0)</f>
        <v>-2640</v>
      </c>
      <c r="L47" s="138" t="n">
        <f aca="false">-IF(AND(10&gt;=Hipótesis!$D$51,Hipótesis!$B$51=1),IF(Hipótesis!$G$51=1,Hipótesis!$C$44,Hipótesis!$C$51*(1+Hipótesis!$D$45)^0)*(1+Hipótesis!$D$42),0)</f>
        <v>-2640</v>
      </c>
      <c r="M47" s="138" t="n">
        <f aca="false">-IF(AND(11&gt;=Hipótesis!$D$51,Hipótesis!$B$51=1),IF(Hipótesis!$G$51=1,Hipótesis!$C$44,Hipótesis!$C$51*(1+Hipótesis!$D$45)^0)*(1+Hipótesis!$D$42),0)</f>
        <v>-2640</v>
      </c>
      <c r="N47" s="138" t="n">
        <f aca="false">-IF(AND(12&gt;=Hipótesis!$D$51,Hipótesis!$B$51=1),IF(Hipótesis!$G$51=1,Hipótesis!$C$44,Hipótesis!$C$51*(1+Hipótesis!$D$45)^0)*(1+Hipótesis!$D$42),0)</f>
        <v>-2640</v>
      </c>
      <c r="O47" s="138" t="n">
        <f aca="false">-IF(AND(13&gt;=Hipótesis!$D$51,Hipótesis!$B$51=1),IF(Hipótesis!$G$51=1,Hipótesis!$D$44,Hipótesis!$C$51*(1+Hipótesis!$D$45)^1)*(1+Hipótesis!$D$42),0)</f>
        <v>-2719.2</v>
      </c>
      <c r="P47" s="138" t="n">
        <f aca="false">-IF(AND(14&gt;=Hipótesis!$D$51,Hipótesis!$B$51=1),IF(Hipótesis!$G$51=1,Hipótesis!$D$44,Hipótesis!$C$51*(1+Hipótesis!$D$45)^1)*(1+Hipótesis!$D$42),0)</f>
        <v>-2719.2</v>
      </c>
      <c r="Q47" s="138" t="n">
        <f aca="false">-IF(AND(15&gt;=Hipótesis!$D$51,Hipótesis!$B$51=1),IF(Hipótesis!$G$51=1,Hipótesis!$D$44,Hipótesis!$C$51*(1+Hipótesis!$D$45)^1)*(1+Hipótesis!$D$42),0)</f>
        <v>-2719.2</v>
      </c>
      <c r="R47" s="138" t="n">
        <f aca="false">-IF(AND(16&gt;=Hipótesis!$D$51,Hipótesis!$B$51=1),IF(Hipótesis!$G$51=1,Hipótesis!$D$44,Hipótesis!$C$51*(1+Hipótesis!$D$45)^1)*(1+Hipótesis!$D$42),0)</f>
        <v>-2719.2</v>
      </c>
      <c r="S47" s="138" t="n">
        <f aca="false">-IF(AND(17&gt;=Hipótesis!$D$51,Hipótesis!$B$51=1),IF(Hipótesis!$G$51=1,Hipótesis!$D$44,Hipótesis!$C$51*(1+Hipótesis!$D$45)^1)*(1+Hipótesis!$D$42),0)</f>
        <v>-2719.2</v>
      </c>
      <c r="T47" s="138" t="n">
        <f aca="false">-IF(AND(18&gt;=Hipótesis!$D$51,Hipótesis!$B$51=1),IF(Hipótesis!$G$51=1,Hipótesis!$D$44,Hipótesis!$C$51*(1+Hipótesis!$D$45)^1)*(1+Hipótesis!$D$42),0)</f>
        <v>-2719.2</v>
      </c>
      <c r="U47" s="138" t="n">
        <f aca="false">-IF(AND(19&gt;=Hipótesis!$D$51,Hipótesis!$B$51=1),IF(Hipótesis!$G$51=1,Hipótesis!$D$44,Hipótesis!$C$51*(1+Hipótesis!$D$45)^1)*(1+Hipótesis!$D$42),0)</f>
        <v>-2719.2</v>
      </c>
      <c r="V47" s="138" t="n">
        <f aca="false">-IF(AND(20&gt;=Hipótesis!$D$51,Hipótesis!$B$51=1),IF(Hipótesis!$G$51=1,Hipótesis!$D$44,Hipótesis!$C$51*(1+Hipótesis!$D$45)^1)*(1+Hipótesis!$D$42),0)</f>
        <v>-2719.2</v>
      </c>
      <c r="W47" s="138" t="n">
        <f aca="false">-IF(AND(21&gt;=Hipótesis!$D$51,Hipótesis!$B$51=1),IF(Hipótesis!$G$51=1,Hipótesis!$D$44,Hipótesis!$C$51*(1+Hipótesis!$D$45)^1)*(1+Hipótesis!$D$42),0)</f>
        <v>-2719.2</v>
      </c>
      <c r="X47" s="138" t="n">
        <f aca="false">-IF(AND(22&gt;=Hipótesis!$D$51,Hipótesis!$B$51=1),IF(Hipótesis!$G$51=1,Hipótesis!$D$44,Hipótesis!$C$51*(1+Hipótesis!$D$45)^1)*(1+Hipótesis!$D$42),0)</f>
        <v>-2719.2</v>
      </c>
      <c r="Y47" s="138" t="n">
        <f aca="false">-IF(AND(23&gt;=Hipótesis!$D$51,Hipótesis!$B$51=1),IF(Hipótesis!$G$51=1,Hipótesis!$D$44,Hipótesis!$C$51*(1+Hipótesis!$D$45)^1)*(1+Hipótesis!$D$42),0)</f>
        <v>-2719.2</v>
      </c>
      <c r="Z47" s="138" t="n">
        <f aca="false">-IF(AND(24&gt;=Hipótesis!$D$51,Hipótesis!$B$51=1),IF(Hipótesis!$G$51=1,Hipótesis!$D$44,Hipótesis!$C$51*(1+Hipótesis!$D$45)^1)*(1+Hipótesis!$D$42),0)</f>
        <v>-2719.2</v>
      </c>
      <c r="AA47" s="138" t="n">
        <f aca="false">-IF(AND(25&gt;=Hipótesis!$D$51,Hipótesis!$B$51=1),IF(Hipótesis!$G$51=1,Hipótesis!$E$44,Hipótesis!$C$51*(1+Hipótesis!$D$45)^2)*(1+Hipótesis!$D$42),0)</f>
        <v>-2800.776</v>
      </c>
      <c r="AB47" s="138" t="n">
        <f aca="false">-IF(AND(26&gt;=Hipótesis!$D$51,Hipótesis!$B$51=1),IF(Hipótesis!$G$51=1,Hipótesis!$E$44,Hipótesis!$C$51*(1+Hipótesis!$D$45)^2)*(1+Hipótesis!$D$42),0)</f>
        <v>-2800.776</v>
      </c>
      <c r="AC47" s="138" t="n">
        <f aca="false">-IF(AND(27&gt;=Hipótesis!$D$51,Hipótesis!$B$51=1),IF(Hipótesis!$G$51=1,Hipótesis!$E$44,Hipótesis!$C$51*(1+Hipótesis!$D$45)^2)*(1+Hipótesis!$D$42),0)</f>
        <v>-2800.776</v>
      </c>
      <c r="AD47" s="138" t="n">
        <f aca="false">-IF(AND(28&gt;=Hipótesis!$D$51,Hipótesis!$B$51=1),IF(Hipótesis!$G$51=1,Hipótesis!$E$44,Hipótesis!$C$51*(1+Hipótesis!$D$45)^2)*(1+Hipótesis!$D$42),0)</f>
        <v>-2800.776</v>
      </c>
      <c r="AE47" s="138" t="n">
        <f aca="false">-IF(AND(29&gt;=Hipótesis!$D$51,Hipótesis!$B$51=1),IF(Hipótesis!$G$51=1,Hipótesis!$E$44,Hipótesis!$C$51*(1+Hipótesis!$D$45)^2)*(1+Hipótesis!$D$42),0)</f>
        <v>-2800.776</v>
      </c>
      <c r="AF47" s="138" t="n">
        <f aca="false">-IF(AND(30&gt;=Hipótesis!$D$51,Hipótesis!$B$51=1),IF(Hipótesis!$G$51=1,Hipótesis!$E$44,Hipótesis!$C$51*(1+Hipótesis!$D$45)^2)*(1+Hipótesis!$D$42),0)</f>
        <v>-2800.776</v>
      </c>
      <c r="AG47" s="138" t="n">
        <f aca="false">-IF(AND(31&gt;=Hipótesis!$D$51,Hipótesis!$B$51=1),IF(Hipótesis!$G$51=1,Hipótesis!$E$44,Hipótesis!$C$51*(1+Hipótesis!$D$45)^2)*(1+Hipótesis!$D$42),0)</f>
        <v>-2800.776</v>
      </c>
      <c r="AH47" s="138" t="n">
        <f aca="false">-IF(AND(32&gt;=Hipótesis!$D$51,Hipótesis!$B$51=1),IF(Hipótesis!$G$51=1,Hipótesis!$E$44,Hipótesis!$C$51*(1+Hipótesis!$D$45)^2)*(1+Hipótesis!$D$42),0)</f>
        <v>-2800.776</v>
      </c>
      <c r="AI47" s="138" t="n">
        <f aca="false">-IF(AND(33&gt;=Hipótesis!$D$51,Hipótesis!$B$51=1),IF(Hipótesis!$G$51=1,Hipótesis!$E$44,Hipótesis!$C$51*(1+Hipótesis!$D$45)^2)*(1+Hipótesis!$D$42),0)</f>
        <v>-2800.776</v>
      </c>
      <c r="AJ47" s="138" t="n">
        <f aca="false">-IF(AND(34&gt;=Hipótesis!$D$51,Hipótesis!$B$51=1),IF(Hipótesis!$G$51=1,Hipótesis!$E$44,Hipótesis!$C$51*(1+Hipótesis!$D$45)^2)*(1+Hipótesis!$D$42),0)</f>
        <v>-2800.776</v>
      </c>
      <c r="AK47" s="138" t="n">
        <f aca="false">-IF(AND(35&gt;=Hipótesis!$D$51,Hipótesis!$B$51=1),IF(Hipótesis!$G$51=1,Hipótesis!$E$44,Hipótesis!$C$51*(1+Hipótesis!$D$45)^2)*(1+Hipótesis!$D$42),0)</f>
        <v>-2800.776</v>
      </c>
      <c r="AL47" s="138" t="n">
        <f aca="false">-IF(AND(36&gt;=Hipótesis!$D$51,Hipótesis!$B$51=1),IF(Hipótesis!$G$51=1,Hipótesis!$E$44,Hipótesis!$C$51*(1+Hipótesis!$D$45)^2)*(1+Hipótesis!$D$42),0)</f>
        <v>-2800.776</v>
      </c>
      <c r="AM47" s="138" t="n">
        <f aca="false">-IF(AND(37&gt;=Hipótesis!$D$51,Hipótesis!$B$51=1),IF(Hipótesis!$G$51=1,Hipótesis!$F$44,Hipótesis!$C$51*(1+Hipótesis!$D$45)^3)*(1+Hipótesis!$D$42),0)</f>
        <v>-2884.79928</v>
      </c>
      <c r="AN47" s="138" t="n">
        <f aca="false">-IF(AND(38&gt;=Hipótesis!$D$51,Hipótesis!$B$51=1),IF(Hipótesis!$G$51=1,Hipótesis!$F$44,Hipótesis!$C$51*(1+Hipótesis!$D$45)^3)*(1+Hipótesis!$D$42),0)</f>
        <v>-2884.79928</v>
      </c>
      <c r="AO47" s="138" t="n">
        <f aca="false">-IF(AND(39&gt;=Hipótesis!$D$51,Hipótesis!$B$51=1),IF(Hipótesis!$G$51=1,Hipótesis!$F$44,Hipótesis!$C$51*(1+Hipótesis!$D$45)^3)*(1+Hipótesis!$D$42),0)</f>
        <v>-2884.79928</v>
      </c>
      <c r="AP47" s="138" t="n">
        <f aca="false">-IF(AND(40&gt;=Hipótesis!$D$51,Hipótesis!$B$51=1),IF(Hipótesis!$G$51=1,Hipótesis!$F$44,Hipótesis!$C$51*(1+Hipótesis!$D$45)^3)*(1+Hipótesis!$D$42),0)</f>
        <v>-2884.79928</v>
      </c>
      <c r="AQ47" s="138" t="n">
        <f aca="false">-IF(AND(41&gt;=Hipótesis!$D$51,Hipótesis!$B$51=1),IF(Hipótesis!$G$51=1,Hipótesis!$F$44,Hipótesis!$C$51*(1+Hipótesis!$D$45)^3)*(1+Hipótesis!$D$42),0)</f>
        <v>-2884.79928</v>
      </c>
      <c r="AR47" s="138" t="n">
        <f aca="false">-IF(AND(42&gt;=Hipótesis!$D$51,Hipótesis!$B$51=1),IF(Hipótesis!$G$51=1,Hipótesis!$F$44,Hipótesis!$C$51*(1+Hipótesis!$D$45)^3)*(1+Hipótesis!$D$42),0)</f>
        <v>-2884.79928</v>
      </c>
      <c r="AS47" s="138" t="n">
        <f aca="false">-IF(AND(43&gt;=Hipótesis!$D$51,Hipótesis!$B$51=1),IF(Hipótesis!$G$51=1,Hipótesis!$F$44,Hipótesis!$C$51*(1+Hipótesis!$D$45)^3)*(1+Hipótesis!$D$42),0)</f>
        <v>-2884.79928</v>
      </c>
      <c r="AT47" s="138" t="n">
        <f aca="false">-IF(AND(44&gt;=Hipótesis!$D$51,Hipótesis!$B$51=1),IF(Hipótesis!$G$51=1,Hipótesis!$F$44,Hipótesis!$C$51*(1+Hipótesis!$D$45)^3)*(1+Hipótesis!$D$42),0)</f>
        <v>-2884.79928</v>
      </c>
      <c r="AU47" s="138" t="n">
        <f aca="false">-IF(AND(45&gt;=Hipótesis!$D$51,Hipótesis!$B$51=1),IF(Hipótesis!$G$51=1,Hipótesis!$F$44,Hipótesis!$C$51*(1+Hipótesis!$D$45)^3)*(1+Hipótesis!$D$42),0)</f>
        <v>-2884.79928</v>
      </c>
      <c r="AV47" s="138" t="n">
        <f aca="false">-IF(AND(46&gt;=Hipótesis!$D$51,Hipótesis!$B$51=1),IF(Hipótesis!$G$51=1,Hipótesis!$F$44,Hipótesis!$C$51*(1+Hipótesis!$D$45)^3)*(1+Hipótesis!$D$42),0)</f>
        <v>-2884.79928</v>
      </c>
      <c r="AW47" s="138" t="n">
        <f aca="false">-IF(AND(47&gt;=Hipótesis!$D$51,Hipótesis!$B$51=1),IF(Hipótesis!$G$51=1,Hipótesis!$F$44,Hipótesis!$C$51*(1+Hipótesis!$D$45)^3)*(1+Hipótesis!$D$42),0)</f>
        <v>-2884.79928</v>
      </c>
      <c r="AX47" s="138" t="n">
        <f aca="false">-IF(AND(48&gt;=Hipótesis!$D$51,Hipótesis!$B$51=1),IF(Hipótesis!$G$51=1,Hipótesis!$F$44,Hipótesis!$C$51*(1+Hipótesis!$D$45)^3)*(1+Hipótesis!$D$42),0)</f>
        <v>-2884.79928</v>
      </c>
      <c r="AY47" s="138" t="n">
        <f aca="false">-IF(AND(49&gt;=Hipótesis!$D$51,Hipótesis!$B$51=1),IF(Hipótesis!$G$51=1,Hipótesis!$G$44,Hipótesis!$C$51*(1+Hipótesis!$D$45)^4)*(1+Hipótesis!$D$42),0)</f>
        <v>-2971.3432584</v>
      </c>
      <c r="AZ47" s="138" t="n">
        <f aca="false">-IF(AND(50&gt;=Hipótesis!$D$51,Hipótesis!$B$51=1),IF(Hipótesis!$G$51=1,Hipótesis!$G$44,Hipótesis!$C$51*(1+Hipótesis!$D$45)^4)*(1+Hipótesis!$D$42),0)</f>
        <v>-2971.3432584</v>
      </c>
      <c r="BA47" s="138" t="n">
        <f aca="false">-IF(AND(51&gt;=Hipótesis!$D$51,Hipótesis!$B$51=1),IF(Hipótesis!$G$51=1,Hipótesis!$G$44,Hipótesis!$C$51*(1+Hipótesis!$D$45)^4)*(1+Hipótesis!$D$42),0)</f>
        <v>-2971.3432584</v>
      </c>
      <c r="BB47" s="138" t="n">
        <f aca="false">-IF(AND(52&gt;=Hipótesis!$D$51,Hipótesis!$B$51=1),IF(Hipótesis!$G$51=1,Hipótesis!$G$44,Hipótesis!$C$51*(1+Hipótesis!$D$45)^4)*(1+Hipótesis!$D$42),0)</f>
        <v>-2971.3432584</v>
      </c>
      <c r="BC47" s="138" t="n">
        <f aca="false">-IF(AND(53&gt;=Hipótesis!$D$51,Hipótesis!$B$51=1),IF(Hipótesis!$G$51=1,Hipótesis!$G$44,Hipótesis!$C$51*(1+Hipótesis!$D$45)^4)*(1+Hipótesis!$D$42),0)</f>
        <v>-2971.3432584</v>
      </c>
      <c r="BD47" s="138" t="n">
        <f aca="false">-IF(AND(54&gt;=Hipótesis!$D$51,Hipótesis!$B$51=1),IF(Hipótesis!$G$51=1,Hipótesis!$G$44,Hipótesis!$C$51*(1+Hipótesis!$D$45)^4)*(1+Hipótesis!$D$42),0)</f>
        <v>-2971.3432584</v>
      </c>
      <c r="BE47" s="138" t="n">
        <f aca="false">-IF(AND(55&gt;=Hipótesis!$D$51,Hipótesis!$B$51=1),IF(Hipótesis!$G$51=1,Hipótesis!$G$44,Hipótesis!$C$51*(1+Hipótesis!$D$45)^4)*(1+Hipótesis!$D$42),0)</f>
        <v>-2971.3432584</v>
      </c>
      <c r="BF47" s="138" t="n">
        <f aca="false">-IF(AND(56&gt;=Hipótesis!$D$51,Hipótesis!$B$51=1),IF(Hipótesis!$G$51=1,Hipótesis!$G$44,Hipótesis!$C$51*(1+Hipótesis!$D$45)^4)*(1+Hipótesis!$D$42),0)</f>
        <v>-2971.3432584</v>
      </c>
      <c r="BG47" s="138" t="n">
        <f aca="false">-IF(AND(57&gt;=Hipótesis!$D$51,Hipótesis!$B$51=1),IF(Hipótesis!$G$51=1,Hipótesis!$G$44,Hipótesis!$C$51*(1+Hipótesis!$D$45)^4)*(1+Hipótesis!$D$42),0)</f>
        <v>-2971.3432584</v>
      </c>
      <c r="BH47" s="138" t="n">
        <f aca="false">-IF(AND(58&gt;=Hipótesis!$D$51,Hipótesis!$B$51=1),IF(Hipótesis!$G$51=1,Hipótesis!$G$44,Hipótesis!$C$51*(1+Hipótesis!$D$45)^4)*(1+Hipótesis!$D$42),0)</f>
        <v>-2971.3432584</v>
      </c>
      <c r="BI47" s="138" t="n">
        <f aca="false">-IF(AND(59&gt;=Hipótesis!$D$51,Hipótesis!$B$51=1),IF(Hipótesis!$G$51=1,Hipótesis!$G$44,Hipótesis!$C$51*(1+Hipótesis!$D$45)^4)*(1+Hipótesis!$D$42),0)</f>
        <v>-2971.3432584</v>
      </c>
      <c r="BJ47" s="138" t="n">
        <f aca="false">-IF(AND(60&gt;=Hipótesis!$D$51,Hipótesis!$B$51=1),IF(Hipótesis!$G$51=1,Hipótesis!$G$44,Hipótesis!$C$51*(1+Hipótesis!$D$45)^4)*(1+Hipótesis!$D$42),0)</f>
        <v>-2971.3432584</v>
      </c>
      <c r="BK47" s="138" t="n">
        <f aca="false">-IF(AND(61&gt;=Hipótesis!$D$51,Hipótesis!$B$51=1),IF(Hipótesis!$G$51=1,Hipótesis!$H$44,Hipótesis!$C$51*(1+Hipótesis!$D$45)^5)*(1+Hipótesis!$D$42),0)</f>
        <v>-3060.483556152</v>
      </c>
      <c r="BL47" s="138" t="n">
        <f aca="false">-IF(AND(62&gt;=Hipótesis!$D$51,Hipótesis!$B$51=1),IF(Hipótesis!$G$51=1,Hipótesis!$H$44,Hipótesis!$C$51*(1+Hipótesis!$D$45)^5)*(1+Hipótesis!$D$42),0)</f>
        <v>-3060.483556152</v>
      </c>
      <c r="BM47" s="138" t="n">
        <f aca="false">-IF(AND(63&gt;=Hipótesis!$D$51,Hipótesis!$B$51=1),IF(Hipótesis!$G$51=1,Hipótesis!$H$44,Hipótesis!$C$51*(1+Hipótesis!$D$45)^5)*(1+Hipótesis!$D$42),0)</f>
        <v>-3060.483556152</v>
      </c>
      <c r="BN47" s="138" t="n">
        <f aca="false">-IF(AND(64&gt;=Hipótesis!$D$51,Hipótesis!$B$51=1),IF(Hipótesis!$G$51=1,Hipótesis!$H$44,Hipótesis!$C$51*(1+Hipótesis!$D$45)^5)*(1+Hipótesis!$D$42),0)</f>
        <v>-3060.483556152</v>
      </c>
      <c r="BO47" s="138" t="n">
        <f aca="false">-IF(AND(65&gt;=Hipótesis!$D$51,Hipótesis!$B$51=1),IF(Hipótesis!$G$51=1,Hipótesis!$H$44,Hipótesis!$C$51*(1+Hipótesis!$D$45)^5)*(1+Hipótesis!$D$42),0)</f>
        <v>-3060.483556152</v>
      </c>
      <c r="BP47" s="138" t="n">
        <f aca="false">-IF(AND(66&gt;=Hipótesis!$D$51,Hipótesis!$B$51=1),IF(Hipótesis!$G$51=1,Hipótesis!$H$44,Hipótesis!$C$51*(1+Hipótesis!$D$45)^5)*(1+Hipótesis!$D$42),0)</f>
        <v>-3060.483556152</v>
      </c>
      <c r="BQ47" s="138" t="n">
        <f aca="false">-IF(AND(67&gt;=Hipótesis!$D$51,Hipótesis!$B$51=1),IF(Hipótesis!$G$51=1,Hipótesis!$H$44,Hipótesis!$C$51*(1+Hipótesis!$D$45)^5)*(1+Hipótesis!$D$42),0)</f>
        <v>-3060.483556152</v>
      </c>
      <c r="BR47" s="138" t="n">
        <f aca="false">-IF(AND(68&gt;=Hipótesis!$D$51,Hipótesis!$B$51=1),IF(Hipótesis!$G$51=1,Hipótesis!$H$44,Hipótesis!$C$51*(1+Hipótesis!$D$45)^5)*(1+Hipótesis!$D$42),0)</f>
        <v>-3060.483556152</v>
      </c>
      <c r="BS47" s="138" t="n">
        <f aca="false">-IF(AND(69&gt;=Hipótesis!$D$51,Hipótesis!$B$51=1),IF(Hipótesis!$G$51=1,Hipótesis!$H$44,Hipótesis!$C$51*(1+Hipótesis!$D$45)^5)*(1+Hipótesis!$D$42),0)</f>
        <v>-3060.483556152</v>
      </c>
      <c r="BT47" s="138" t="n">
        <f aca="false">-IF(AND(70&gt;=Hipótesis!$D$51,Hipótesis!$B$51=1),IF(Hipótesis!$G$51=1,Hipótesis!$H$44,Hipótesis!$C$51*(1+Hipótesis!$D$45)^5)*(1+Hipótesis!$D$42),0)</f>
        <v>-3060.483556152</v>
      </c>
      <c r="BU47" s="138" t="n">
        <f aca="false">-IF(AND(71&gt;=Hipótesis!$D$51,Hipótesis!$B$51=1),IF(Hipótesis!$G$51=1,Hipótesis!$H$44,Hipótesis!$C$51*(1+Hipótesis!$D$45)^5)*(1+Hipótesis!$D$42),0)</f>
        <v>-3060.483556152</v>
      </c>
      <c r="BV47" s="138" t="n">
        <f aca="false">-IF(AND(72&gt;=Hipótesis!$D$51,Hipótesis!$B$51=1),IF(Hipótesis!$G$51=1,Hipótesis!$H$44,Hipótesis!$C$51*(1+Hipótesis!$D$45)^5)*(1+Hipótesis!$D$42),0)</f>
        <v>-3060.483556152</v>
      </c>
      <c r="BW47" s="138" t="n">
        <f aca="false">-IF(AND(73&gt;=Hipótesis!$D$51,Hipótesis!$B$51=1),IF(Hipótesis!$G$51=1,Hipótesis!$I$44,Hipótesis!$C$51*(1+Hipótesis!$D$45)^6)*(1+Hipótesis!$D$42),0)</f>
        <v>-3152.29806283656</v>
      </c>
      <c r="BX47" s="138" t="n">
        <f aca="false">-IF(AND(74&gt;=Hipótesis!$D$51,Hipótesis!$B$51=1),IF(Hipótesis!$G$51=1,Hipótesis!$I$44,Hipótesis!$C$51*(1+Hipótesis!$D$45)^6)*(1+Hipótesis!$D$42),0)</f>
        <v>-3152.29806283656</v>
      </c>
      <c r="BY47" s="138" t="n">
        <f aca="false">-IF(AND(75&gt;=Hipótesis!$D$51,Hipótesis!$B$51=1),IF(Hipótesis!$G$51=1,Hipótesis!$I$44,Hipótesis!$C$51*(1+Hipótesis!$D$45)^6)*(1+Hipótesis!$D$42),0)</f>
        <v>-3152.29806283656</v>
      </c>
      <c r="BZ47" s="138" t="n">
        <f aca="false">-IF(AND(76&gt;=Hipótesis!$D$51,Hipótesis!$B$51=1),IF(Hipótesis!$G$51=1,Hipótesis!$I$44,Hipótesis!$C$51*(1+Hipótesis!$D$45)^6)*(1+Hipótesis!$D$42),0)</f>
        <v>-3152.29806283656</v>
      </c>
      <c r="CA47" s="138" t="n">
        <f aca="false">-IF(AND(77&gt;=Hipótesis!$D$51,Hipótesis!$B$51=1),IF(Hipótesis!$G$51=1,Hipótesis!$I$44,Hipótesis!$C$51*(1+Hipótesis!$D$45)^6)*(1+Hipótesis!$D$42),0)</f>
        <v>-3152.29806283656</v>
      </c>
      <c r="CB47" s="138" t="n">
        <f aca="false">-IF(AND(78&gt;=Hipótesis!$D$51,Hipótesis!$B$51=1),IF(Hipótesis!$G$51=1,Hipótesis!$I$44,Hipótesis!$C$51*(1+Hipótesis!$D$45)^6)*(1+Hipótesis!$D$42),0)</f>
        <v>-3152.29806283656</v>
      </c>
      <c r="CC47" s="138" t="n">
        <f aca="false">-IF(AND(79&gt;=Hipótesis!$D$51,Hipótesis!$B$51=1),IF(Hipótesis!$G$51=1,Hipótesis!$I$44,Hipótesis!$C$51*(1+Hipótesis!$D$45)^6)*(1+Hipótesis!$D$42),0)</f>
        <v>-3152.29806283656</v>
      </c>
      <c r="CD47" s="138" t="n">
        <f aca="false">-IF(AND(80&gt;=Hipótesis!$D$51,Hipótesis!$B$51=1),IF(Hipótesis!$G$51=1,Hipótesis!$I$44,Hipótesis!$C$51*(1+Hipótesis!$D$45)^6)*(1+Hipótesis!$D$42),0)</f>
        <v>-3152.29806283656</v>
      </c>
      <c r="CE47" s="138" t="n">
        <f aca="false">-IF(AND(81&gt;=Hipótesis!$D$51,Hipótesis!$B$51=1),IF(Hipótesis!$G$51=1,Hipótesis!$I$44,Hipótesis!$C$51*(1+Hipótesis!$D$45)^6)*(1+Hipótesis!$D$42),0)</f>
        <v>-3152.29806283656</v>
      </c>
      <c r="CF47" s="138" t="n">
        <f aca="false">-IF(AND(82&gt;=Hipótesis!$D$51,Hipótesis!$B$51=1),IF(Hipótesis!$G$51=1,Hipótesis!$I$44,Hipótesis!$C$51*(1+Hipótesis!$D$45)^6)*(1+Hipótesis!$D$42),0)</f>
        <v>-3152.29806283656</v>
      </c>
      <c r="CG47" s="138" t="n">
        <f aca="false">-IF(AND(83&gt;=Hipótesis!$D$51,Hipótesis!$B$51=1),IF(Hipótesis!$G$51=1,Hipótesis!$I$44,Hipótesis!$C$51*(1+Hipótesis!$D$45)^6)*(1+Hipótesis!$D$42),0)</f>
        <v>-3152.29806283656</v>
      </c>
      <c r="CH47" s="138" t="n">
        <f aca="false">-IF(AND(84&gt;=Hipótesis!$D$51,Hipótesis!$B$51=1),IF(Hipótesis!$G$51=1,Hipótesis!$I$44,Hipótesis!$C$51*(1+Hipótesis!$D$45)^6)*(1+Hipótesis!$D$42),0)</f>
        <v>-3152.29806283656</v>
      </c>
    </row>
    <row r="48" customFormat="false" ht="13.5" hidden="false" customHeight="true" outlineLevel="0" collapsed="false">
      <c r="A48" s="13" t="s">
        <v>729</v>
      </c>
      <c r="C48" s="138" t="n">
        <f aca="false">-IF(AND(1&gt;=Hipótesis!$D$52,Hipótesis!$B$52=1),IF(Hipótesis!$G$52=1,Hipótesis!$C$44,Hipótesis!$C$52*(1+Hipótesis!$D$45)^0)*(1+Hipótesis!$D$42),0)</f>
        <v>-0</v>
      </c>
      <c r="D48" s="138" t="n">
        <f aca="false">-IF(AND(2&gt;=Hipótesis!$D$52,Hipótesis!$B$52=1),IF(Hipótesis!$G$52=1,Hipótesis!$C$44,Hipótesis!$C$52*(1+Hipótesis!$D$45)^0)*(1+Hipótesis!$D$42),0)</f>
        <v>-0</v>
      </c>
      <c r="E48" s="138" t="n">
        <f aca="false">-IF(AND(3&gt;=Hipótesis!$D$52,Hipótesis!$B$52=1),IF(Hipótesis!$G$52=1,Hipótesis!$C$44,Hipótesis!$C$52*(1+Hipótesis!$D$45)^0)*(1+Hipótesis!$D$42),0)</f>
        <v>-0</v>
      </c>
      <c r="F48" s="138" t="n">
        <f aca="false">-IF(AND(4&gt;=Hipótesis!$D$52,Hipótesis!$B$52=1),IF(Hipótesis!$G$52=1,Hipótesis!$C$44,Hipótesis!$C$52*(1+Hipótesis!$D$45)^0)*(1+Hipótesis!$D$42),0)</f>
        <v>-0</v>
      </c>
      <c r="G48" s="138" t="n">
        <f aca="false">-IF(AND(5&gt;=Hipótesis!$D$52,Hipótesis!$B$52=1),IF(Hipótesis!$G$52=1,Hipótesis!$C$44,Hipótesis!$C$52*(1+Hipótesis!$D$45)^0)*(1+Hipótesis!$D$42),0)</f>
        <v>-0</v>
      </c>
      <c r="H48" s="138" t="n">
        <f aca="false">-IF(AND(6&gt;=Hipótesis!$D$52,Hipótesis!$B$52=1),IF(Hipótesis!$G$52=1,Hipótesis!$C$44,Hipótesis!$C$52*(1+Hipótesis!$D$45)^0)*(1+Hipótesis!$D$42),0)</f>
        <v>-0</v>
      </c>
      <c r="I48" s="138" t="n">
        <f aca="false">-IF(AND(7&gt;=Hipótesis!$D$52,Hipótesis!$B$52=1),IF(Hipótesis!$G$52=1,Hipótesis!$C$44,Hipótesis!$C$52*(1+Hipótesis!$D$45)^0)*(1+Hipótesis!$D$42),0)</f>
        <v>-0</v>
      </c>
      <c r="J48" s="138" t="n">
        <f aca="false">-IF(AND(8&gt;=Hipótesis!$D$52,Hipótesis!$B$52=1),IF(Hipótesis!$G$52=1,Hipótesis!$C$44,Hipótesis!$C$52*(1+Hipótesis!$D$45)^0)*(1+Hipótesis!$D$42),0)</f>
        <v>-0</v>
      </c>
      <c r="K48" s="138" t="n">
        <f aca="false">-IF(AND(9&gt;=Hipótesis!$D$52,Hipótesis!$B$52=1),IF(Hipótesis!$G$52=1,Hipótesis!$C$44,Hipótesis!$C$52*(1+Hipótesis!$D$45)^0)*(1+Hipótesis!$D$42),0)</f>
        <v>-0</v>
      </c>
      <c r="L48" s="138" t="n">
        <f aca="false">-IF(AND(10&gt;=Hipótesis!$D$52,Hipótesis!$B$52=1),IF(Hipótesis!$G$52=1,Hipótesis!$C$44,Hipótesis!$C$52*(1+Hipótesis!$D$45)^0)*(1+Hipótesis!$D$42),0)</f>
        <v>-0</v>
      </c>
      <c r="M48" s="138" t="n">
        <f aca="false">-IF(AND(11&gt;=Hipótesis!$D$52,Hipótesis!$B$52=1),IF(Hipótesis!$G$52=1,Hipótesis!$C$44,Hipótesis!$C$52*(1+Hipótesis!$D$45)^0)*(1+Hipótesis!$D$42),0)</f>
        <v>-0</v>
      </c>
      <c r="N48" s="138" t="n">
        <f aca="false">-IF(AND(12&gt;=Hipótesis!$D$52,Hipótesis!$B$52=1),IF(Hipótesis!$G$52=1,Hipótesis!$C$44,Hipótesis!$C$52*(1+Hipótesis!$D$45)^0)*(1+Hipótesis!$D$42),0)</f>
        <v>-0</v>
      </c>
      <c r="O48" s="138" t="n">
        <f aca="false">-IF(AND(13&gt;=Hipótesis!$D$52,Hipótesis!$B$52=1),IF(Hipótesis!$G$52=1,Hipótesis!$D$44,Hipótesis!$C$52*(1+Hipótesis!$D$45)^1)*(1+Hipótesis!$D$42),0)</f>
        <v>-0</v>
      </c>
      <c r="P48" s="138" t="n">
        <f aca="false">-IF(AND(14&gt;=Hipótesis!$D$52,Hipótesis!$B$52=1),IF(Hipótesis!$G$52=1,Hipótesis!$D$44,Hipótesis!$C$52*(1+Hipótesis!$D$45)^1)*(1+Hipótesis!$D$42),0)</f>
        <v>-0</v>
      </c>
      <c r="Q48" s="138" t="n">
        <f aca="false">-IF(AND(15&gt;=Hipótesis!$D$52,Hipótesis!$B$52=1),IF(Hipótesis!$G$52=1,Hipótesis!$D$44,Hipótesis!$C$52*(1+Hipótesis!$D$45)^1)*(1+Hipótesis!$D$42),0)</f>
        <v>-0</v>
      </c>
      <c r="R48" s="138" t="n">
        <f aca="false">-IF(AND(16&gt;=Hipótesis!$D$52,Hipótesis!$B$52=1),IF(Hipótesis!$G$52=1,Hipótesis!$D$44,Hipótesis!$C$52*(1+Hipótesis!$D$45)^1)*(1+Hipótesis!$D$42),0)</f>
        <v>-0</v>
      </c>
      <c r="S48" s="138" t="n">
        <f aca="false">-IF(AND(17&gt;=Hipótesis!$D$52,Hipótesis!$B$52=1),IF(Hipótesis!$G$52=1,Hipótesis!$D$44,Hipótesis!$C$52*(1+Hipótesis!$D$45)^1)*(1+Hipótesis!$D$42),0)</f>
        <v>-0</v>
      </c>
      <c r="T48" s="138" t="n">
        <f aca="false">-IF(AND(18&gt;=Hipótesis!$D$52,Hipótesis!$B$52=1),IF(Hipótesis!$G$52=1,Hipótesis!$D$44,Hipótesis!$C$52*(1+Hipótesis!$D$45)^1)*(1+Hipótesis!$D$42),0)</f>
        <v>-0</v>
      </c>
      <c r="U48" s="138" t="n">
        <f aca="false">-IF(AND(19&gt;=Hipótesis!$D$52,Hipótesis!$B$52=1),IF(Hipótesis!$G$52=1,Hipótesis!$D$44,Hipótesis!$C$52*(1+Hipótesis!$D$45)^1)*(1+Hipótesis!$D$42),0)</f>
        <v>-0</v>
      </c>
      <c r="V48" s="138" t="n">
        <f aca="false">-IF(AND(20&gt;=Hipótesis!$D$52,Hipótesis!$B$52=1),IF(Hipótesis!$G$52=1,Hipótesis!$D$44,Hipótesis!$C$52*(1+Hipótesis!$D$45)^1)*(1+Hipótesis!$D$42),0)</f>
        <v>-2719.2</v>
      </c>
      <c r="W48" s="138" t="n">
        <f aca="false">-IF(AND(21&gt;=Hipótesis!$D$52,Hipótesis!$B$52=1),IF(Hipótesis!$G$52=1,Hipótesis!$D$44,Hipótesis!$C$52*(1+Hipótesis!$D$45)^1)*(1+Hipótesis!$D$42),0)</f>
        <v>-2719.2</v>
      </c>
      <c r="X48" s="138" t="n">
        <f aca="false">-IF(AND(22&gt;=Hipótesis!$D$52,Hipótesis!$B$52=1),IF(Hipótesis!$G$52=1,Hipótesis!$D$44,Hipótesis!$C$52*(1+Hipótesis!$D$45)^1)*(1+Hipótesis!$D$42),0)</f>
        <v>-2719.2</v>
      </c>
      <c r="Y48" s="138" t="n">
        <f aca="false">-IF(AND(23&gt;=Hipótesis!$D$52,Hipótesis!$B$52=1),IF(Hipótesis!$G$52=1,Hipótesis!$D$44,Hipótesis!$C$52*(1+Hipótesis!$D$45)^1)*(1+Hipótesis!$D$42),0)</f>
        <v>-2719.2</v>
      </c>
      <c r="Z48" s="138" t="n">
        <f aca="false">-IF(AND(24&gt;=Hipótesis!$D$52,Hipótesis!$B$52=1),IF(Hipótesis!$G$52=1,Hipótesis!$D$44,Hipótesis!$C$52*(1+Hipótesis!$D$45)^1)*(1+Hipótesis!$D$42),0)</f>
        <v>-2719.2</v>
      </c>
      <c r="AA48" s="138" t="n">
        <f aca="false">-IF(AND(25&gt;=Hipótesis!$D$52,Hipótesis!$B$52=1),IF(Hipótesis!$G$52=1,Hipótesis!$E$44,Hipótesis!$C$52*(1+Hipótesis!$D$45)^2)*(1+Hipótesis!$D$42),0)</f>
        <v>-2800.776</v>
      </c>
      <c r="AB48" s="138" t="n">
        <f aca="false">-IF(AND(26&gt;=Hipótesis!$D$52,Hipótesis!$B$52=1),IF(Hipótesis!$G$52=1,Hipótesis!$E$44,Hipótesis!$C$52*(1+Hipótesis!$D$45)^2)*(1+Hipótesis!$D$42),0)</f>
        <v>-2800.776</v>
      </c>
      <c r="AC48" s="138" t="n">
        <f aca="false">-IF(AND(27&gt;=Hipótesis!$D$52,Hipótesis!$B$52=1),IF(Hipótesis!$G$52=1,Hipótesis!$E$44,Hipótesis!$C$52*(1+Hipótesis!$D$45)^2)*(1+Hipótesis!$D$42),0)</f>
        <v>-2800.776</v>
      </c>
      <c r="AD48" s="138" t="n">
        <f aca="false">-IF(AND(28&gt;=Hipótesis!$D$52,Hipótesis!$B$52=1),IF(Hipótesis!$G$52=1,Hipótesis!$E$44,Hipótesis!$C$52*(1+Hipótesis!$D$45)^2)*(1+Hipótesis!$D$42),0)</f>
        <v>-2800.776</v>
      </c>
      <c r="AE48" s="138" t="n">
        <f aca="false">-IF(AND(29&gt;=Hipótesis!$D$52,Hipótesis!$B$52=1),IF(Hipótesis!$G$52=1,Hipótesis!$E$44,Hipótesis!$C$52*(1+Hipótesis!$D$45)^2)*(1+Hipótesis!$D$42),0)</f>
        <v>-2800.776</v>
      </c>
      <c r="AF48" s="138" t="n">
        <f aca="false">-IF(AND(30&gt;=Hipótesis!$D$52,Hipótesis!$B$52=1),IF(Hipótesis!$G$52=1,Hipótesis!$E$44,Hipótesis!$C$52*(1+Hipótesis!$D$45)^2)*(1+Hipótesis!$D$42),0)</f>
        <v>-2800.776</v>
      </c>
      <c r="AG48" s="138" t="n">
        <f aca="false">-IF(AND(31&gt;=Hipótesis!$D$52,Hipótesis!$B$52=1),IF(Hipótesis!$G$52=1,Hipótesis!$E$44,Hipótesis!$C$52*(1+Hipótesis!$D$45)^2)*(1+Hipótesis!$D$42),0)</f>
        <v>-2800.776</v>
      </c>
      <c r="AH48" s="138" t="n">
        <f aca="false">-IF(AND(32&gt;=Hipótesis!$D$52,Hipótesis!$B$52=1),IF(Hipótesis!$G$52=1,Hipótesis!$E$44,Hipótesis!$C$52*(1+Hipótesis!$D$45)^2)*(1+Hipótesis!$D$42),0)</f>
        <v>-2800.776</v>
      </c>
      <c r="AI48" s="138" t="n">
        <f aca="false">-IF(AND(33&gt;=Hipótesis!$D$52,Hipótesis!$B$52=1),IF(Hipótesis!$G$52=1,Hipótesis!$E$44,Hipótesis!$C$52*(1+Hipótesis!$D$45)^2)*(1+Hipótesis!$D$42),0)</f>
        <v>-2800.776</v>
      </c>
      <c r="AJ48" s="138" t="n">
        <f aca="false">-IF(AND(34&gt;=Hipótesis!$D$52,Hipótesis!$B$52=1),IF(Hipótesis!$G$52=1,Hipótesis!$E$44,Hipótesis!$C$52*(1+Hipótesis!$D$45)^2)*(1+Hipótesis!$D$42),0)</f>
        <v>-2800.776</v>
      </c>
      <c r="AK48" s="138" t="n">
        <f aca="false">-IF(AND(35&gt;=Hipótesis!$D$52,Hipótesis!$B$52=1),IF(Hipótesis!$G$52=1,Hipótesis!$E$44,Hipótesis!$C$52*(1+Hipótesis!$D$45)^2)*(1+Hipótesis!$D$42),0)</f>
        <v>-2800.776</v>
      </c>
      <c r="AL48" s="138" t="n">
        <f aca="false">-IF(AND(36&gt;=Hipótesis!$D$52,Hipótesis!$B$52=1),IF(Hipótesis!$G$52=1,Hipótesis!$E$44,Hipótesis!$C$52*(1+Hipótesis!$D$45)^2)*(1+Hipótesis!$D$42),0)</f>
        <v>-2800.776</v>
      </c>
      <c r="AM48" s="138" t="n">
        <f aca="false">-IF(AND(37&gt;=Hipótesis!$D$52,Hipótesis!$B$52=1),IF(Hipótesis!$G$52=1,Hipótesis!$F$44,Hipótesis!$C$52*(1+Hipótesis!$D$45)^3)*(1+Hipótesis!$D$42),0)</f>
        <v>-2884.79928</v>
      </c>
      <c r="AN48" s="138" t="n">
        <f aca="false">-IF(AND(38&gt;=Hipótesis!$D$52,Hipótesis!$B$52=1),IF(Hipótesis!$G$52=1,Hipótesis!$F$44,Hipótesis!$C$52*(1+Hipótesis!$D$45)^3)*(1+Hipótesis!$D$42),0)</f>
        <v>-2884.79928</v>
      </c>
      <c r="AO48" s="138" t="n">
        <f aca="false">-IF(AND(39&gt;=Hipótesis!$D$52,Hipótesis!$B$52=1),IF(Hipótesis!$G$52=1,Hipótesis!$F$44,Hipótesis!$C$52*(1+Hipótesis!$D$45)^3)*(1+Hipótesis!$D$42),0)</f>
        <v>-2884.79928</v>
      </c>
      <c r="AP48" s="138" t="n">
        <f aca="false">-IF(AND(40&gt;=Hipótesis!$D$52,Hipótesis!$B$52=1),IF(Hipótesis!$G$52=1,Hipótesis!$F$44,Hipótesis!$C$52*(1+Hipótesis!$D$45)^3)*(1+Hipótesis!$D$42),0)</f>
        <v>-2884.79928</v>
      </c>
      <c r="AQ48" s="138" t="n">
        <f aca="false">-IF(AND(41&gt;=Hipótesis!$D$52,Hipótesis!$B$52=1),IF(Hipótesis!$G$52=1,Hipótesis!$F$44,Hipótesis!$C$52*(1+Hipótesis!$D$45)^3)*(1+Hipótesis!$D$42),0)</f>
        <v>-2884.79928</v>
      </c>
      <c r="AR48" s="138" t="n">
        <f aca="false">-IF(AND(42&gt;=Hipótesis!$D$52,Hipótesis!$B$52=1),IF(Hipótesis!$G$52=1,Hipótesis!$F$44,Hipótesis!$C$52*(1+Hipótesis!$D$45)^3)*(1+Hipótesis!$D$42),0)</f>
        <v>-2884.79928</v>
      </c>
      <c r="AS48" s="138" t="n">
        <f aca="false">-IF(AND(43&gt;=Hipótesis!$D$52,Hipótesis!$B$52=1),IF(Hipótesis!$G$52=1,Hipótesis!$F$44,Hipótesis!$C$52*(1+Hipótesis!$D$45)^3)*(1+Hipótesis!$D$42),0)</f>
        <v>-2884.79928</v>
      </c>
      <c r="AT48" s="138" t="n">
        <f aca="false">-IF(AND(44&gt;=Hipótesis!$D$52,Hipótesis!$B$52=1),IF(Hipótesis!$G$52=1,Hipótesis!$F$44,Hipótesis!$C$52*(1+Hipótesis!$D$45)^3)*(1+Hipótesis!$D$42),0)</f>
        <v>-2884.79928</v>
      </c>
      <c r="AU48" s="138" t="n">
        <f aca="false">-IF(AND(45&gt;=Hipótesis!$D$52,Hipótesis!$B$52=1),IF(Hipótesis!$G$52=1,Hipótesis!$F$44,Hipótesis!$C$52*(1+Hipótesis!$D$45)^3)*(1+Hipótesis!$D$42),0)</f>
        <v>-2884.79928</v>
      </c>
      <c r="AV48" s="138" t="n">
        <f aca="false">-IF(AND(46&gt;=Hipótesis!$D$52,Hipótesis!$B$52=1),IF(Hipótesis!$G$52=1,Hipótesis!$F$44,Hipótesis!$C$52*(1+Hipótesis!$D$45)^3)*(1+Hipótesis!$D$42),0)</f>
        <v>-2884.79928</v>
      </c>
      <c r="AW48" s="138" t="n">
        <f aca="false">-IF(AND(47&gt;=Hipótesis!$D$52,Hipótesis!$B$52=1),IF(Hipótesis!$G$52=1,Hipótesis!$F$44,Hipótesis!$C$52*(1+Hipótesis!$D$45)^3)*(1+Hipótesis!$D$42),0)</f>
        <v>-2884.79928</v>
      </c>
      <c r="AX48" s="138" t="n">
        <f aca="false">-IF(AND(48&gt;=Hipótesis!$D$52,Hipótesis!$B$52=1),IF(Hipótesis!$G$52=1,Hipótesis!$F$44,Hipótesis!$C$52*(1+Hipótesis!$D$45)^3)*(1+Hipótesis!$D$42),0)</f>
        <v>-2884.79928</v>
      </c>
      <c r="AY48" s="138" t="n">
        <f aca="false">-IF(AND(49&gt;=Hipótesis!$D$52,Hipótesis!$B$52=1),IF(Hipótesis!$G$52=1,Hipótesis!$G$44,Hipótesis!$C$52*(1+Hipótesis!$D$45)^4)*(1+Hipótesis!$D$42),0)</f>
        <v>-2971.3432584</v>
      </c>
      <c r="AZ48" s="138" t="n">
        <f aca="false">-IF(AND(50&gt;=Hipótesis!$D$52,Hipótesis!$B$52=1),IF(Hipótesis!$G$52=1,Hipótesis!$G$44,Hipótesis!$C$52*(1+Hipótesis!$D$45)^4)*(1+Hipótesis!$D$42),0)</f>
        <v>-2971.3432584</v>
      </c>
      <c r="BA48" s="138" t="n">
        <f aca="false">-IF(AND(51&gt;=Hipótesis!$D$52,Hipótesis!$B$52=1),IF(Hipótesis!$G$52=1,Hipótesis!$G$44,Hipótesis!$C$52*(1+Hipótesis!$D$45)^4)*(1+Hipótesis!$D$42),0)</f>
        <v>-2971.3432584</v>
      </c>
      <c r="BB48" s="138" t="n">
        <f aca="false">-IF(AND(52&gt;=Hipótesis!$D$52,Hipótesis!$B$52=1),IF(Hipótesis!$G$52=1,Hipótesis!$G$44,Hipótesis!$C$52*(1+Hipótesis!$D$45)^4)*(1+Hipótesis!$D$42),0)</f>
        <v>-2971.3432584</v>
      </c>
      <c r="BC48" s="138" t="n">
        <f aca="false">-IF(AND(53&gt;=Hipótesis!$D$52,Hipótesis!$B$52=1),IF(Hipótesis!$G$52=1,Hipótesis!$G$44,Hipótesis!$C$52*(1+Hipótesis!$D$45)^4)*(1+Hipótesis!$D$42),0)</f>
        <v>-2971.3432584</v>
      </c>
      <c r="BD48" s="138" t="n">
        <f aca="false">-IF(AND(54&gt;=Hipótesis!$D$52,Hipótesis!$B$52=1),IF(Hipótesis!$G$52=1,Hipótesis!$G$44,Hipótesis!$C$52*(1+Hipótesis!$D$45)^4)*(1+Hipótesis!$D$42),0)</f>
        <v>-2971.3432584</v>
      </c>
      <c r="BE48" s="138" t="n">
        <f aca="false">-IF(AND(55&gt;=Hipótesis!$D$52,Hipótesis!$B$52=1),IF(Hipótesis!$G$52=1,Hipótesis!$G$44,Hipótesis!$C$52*(1+Hipótesis!$D$45)^4)*(1+Hipótesis!$D$42),0)</f>
        <v>-2971.3432584</v>
      </c>
      <c r="BF48" s="138" t="n">
        <f aca="false">-IF(AND(56&gt;=Hipótesis!$D$52,Hipótesis!$B$52=1),IF(Hipótesis!$G$52=1,Hipótesis!$G$44,Hipótesis!$C$52*(1+Hipótesis!$D$45)^4)*(1+Hipótesis!$D$42),0)</f>
        <v>-2971.3432584</v>
      </c>
      <c r="BG48" s="138" t="n">
        <f aca="false">-IF(AND(57&gt;=Hipótesis!$D$52,Hipótesis!$B$52=1),IF(Hipótesis!$G$52=1,Hipótesis!$G$44,Hipótesis!$C$52*(1+Hipótesis!$D$45)^4)*(1+Hipótesis!$D$42),0)</f>
        <v>-2971.3432584</v>
      </c>
      <c r="BH48" s="138" t="n">
        <f aca="false">-IF(AND(58&gt;=Hipótesis!$D$52,Hipótesis!$B$52=1),IF(Hipótesis!$G$52=1,Hipótesis!$G$44,Hipótesis!$C$52*(1+Hipótesis!$D$45)^4)*(1+Hipótesis!$D$42),0)</f>
        <v>-2971.3432584</v>
      </c>
      <c r="BI48" s="138" t="n">
        <f aca="false">-IF(AND(59&gt;=Hipótesis!$D$52,Hipótesis!$B$52=1),IF(Hipótesis!$G$52=1,Hipótesis!$G$44,Hipótesis!$C$52*(1+Hipótesis!$D$45)^4)*(1+Hipótesis!$D$42),0)</f>
        <v>-2971.3432584</v>
      </c>
      <c r="BJ48" s="138" t="n">
        <f aca="false">-IF(AND(60&gt;=Hipótesis!$D$52,Hipótesis!$B$52=1),IF(Hipótesis!$G$52=1,Hipótesis!$G$44,Hipótesis!$C$52*(1+Hipótesis!$D$45)^4)*(1+Hipótesis!$D$42),0)</f>
        <v>-2971.3432584</v>
      </c>
      <c r="BK48" s="138" t="n">
        <f aca="false">-IF(AND(61&gt;=Hipótesis!$D$52,Hipótesis!$B$52=1),IF(Hipótesis!$G$52=1,Hipótesis!$H$44,Hipótesis!$C$52*(1+Hipótesis!$D$45)^5)*(1+Hipótesis!$D$42),0)</f>
        <v>-3060.483556152</v>
      </c>
      <c r="BL48" s="138" t="n">
        <f aca="false">-IF(AND(62&gt;=Hipótesis!$D$52,Hipótesis!$B$52=1),IF(Hipótesis!$G$52=1,Hipótesis!$H$44,Hipótesis!$C$52*(1+Hipótesis!$D$45)^5)*(1+Hipótesis!$D$42),0)</f>
        <v>-3060.483556152</v>
      </c>
      <c r="BM48" s="138" t="n">
        <f aca="false">-IF(AND(63&gt;=Hipótesis!$D$52,Hipótesis!$B$52=1),IF(Hipótesis!$G$52=1,Hipótesis!$H$44,Hipótesis!$C$52*(1+Hipótesis!$D$45)^5)*(1+Hipótesis!$D$42),0)</f>
        <v>-3060.483556152</v>
      </c>
      <c r="BN48" s="138" t="n">
        <f aca="false">-IF(AND(64&gt;=Hipótesis!$D$52,Hipótesis!$B$52=1),IF(Hipótesis!$G$52=1,Hipótesis!$H$44,Hipótesis!$C$52*(1+Hipótesis!$D$45)^5)*(1+Hipótesis!$D$42),0)</f>
        <v>-3060.483556152</v>
      </c>
      <c r="BO48" s="138" t="n">
        <f aca="false">-IF(AND(65&gt;=Hipótesis!$D$52,Hipótesis!$B$52=1),IF(Hipótesis!$G$52=1,Hipótesis!$H$44,Hipótesis!$C$52*(1+Hipótesis!$D$45)^5)*(1+Hipótesis!$D$42),0)</f>
        <v>-3060.483556152</v>
      </c>
      <c r="BP48" s="138" t="n">
        <f aca="false">-IF(AND(66&gt;=Hipótesis!$D$52,Hipótesis!$B$52=1),IF(Hipótesis!$G$52=1,Hipótesis!$H$44,Hipótesis!$C$52*(1+Hipótesis!$D$45)^5)*(1+Hipótesis!$D$42),0)</f>
        <v>-3060.483556152</v>
      </c>
      <c r="BQ48" s="138" t="n">
        <f aca="false">-IF(AND(67&gt;=Hipótesis!$D$52,Hipótesis!$B$52=1),IF(Hipótesis!$G$52=1,Hipótesis!$H$44,Hipótesis!$C$52*(1+Hipótesis!$D$45)^5)*(1+Hipótesis!$D$42),0)</f>
        <v>-3060.483556152</v>
      </c>
      <c r="BR48" s="138" t="n">
        <f aca="false">-IF(AND(68&gt;=Hipótesis!$D$52,Hipótesis!$B$52=1),IF(Hipótesis!$G$52=1,Hipótesis!$H$44,Hipótesis!$C$52*(1+Hipótesis!$D$45)^5)*(1+Hipótesis!$D$42),0)</f>
        <v>-3060.483556152</v>
      </c>
      <c r="BS48" s="138" t="n">
        <f aca="false">-IF(AND(69&gt;=Hipótesis!$D$52,Hipótesis!$B$52=1),IF(Hipótesis!$G$52=1,Hipótesis!$H$44,Hipótesis!$C$52*(1+Hipótesis!$D$45)^5)*(1+Hipótesis!$D$42),0)</f>
        <v>-3060.483556152</v>
      </c>
      <c r="BT48" s="138" t="n">
        <f aca="false">-IF(AND(70&gt;=Hipótesis!$D$52,Hipótesis!$B$52=1),IF(Hipótesis!$G$52=1,Hipótesis!$H$44,Hipótesis!$C$52*(1+Hipótesis!$D$45)^5)*(1+Hipótesis!$D$42),0)</f>
        <v>-3060.483556152</v>
      </c>
      <c r="BU48" s="138" t="n">
        <f aca="false">-IF(AND(71&gt;=Hipótesis!$D$52,Hipótesis!$B$52=1),IF(Hipótesis!$G$52=1,Hipótesis!$H$44,Hipótesis!$C$52*(1+Hipótesis!$D$45)^5)*(1+Hipótesis!$D$42),0)</f>
        <v>-3060.483556152</v>
      </c>
      <c r="BV48" s="138" t="n">
        <f aca="false">-IF(AND(72&gt;=Hipótesis!$D$52,Hipótesis!$B$52=1),IF(Hipótesis!$G$52=1,Hipótesis!$H$44,Hipótesis!$C$52*(1+Hipótesis!$D$45)^5)*(1+Hipótesis!$D$42),0)</f>
        <v>-3060.483556152</v>
      </c>
      <c r="BW48" s="138" t="n">
        <f aca="false">-IF(AND(73&gt;=Hipótesis!$D$52,Hipótesis!$B$52=1),IF(Hipótesis!$G$52=1,Hipótesis!$I$44,Hipótesis!$C$52*(1+Hipótesis!$D$45)^6)*(1+Hipótesis!$D$42),0)</f>
        <v>-3152.29806283656</v>
      </c>
      <c r="BX48" s="138" t="n">
        <f aca="false">-IF(AND(74&gt;=Hipótesis!$D$52,Hipótesis!$B$52=1),IF(Hipótesis!$G$52=1,Hipótesis!$I$44,Hipótesis!$C$52*(1+Hipótesis!$D$45)^6)*(1+Hipótesis!$D$42),0)</f>
        <v>-3152.29806283656</v>
      </c>
      <c r="BY48" s="138" t="n">
        <f aca="false">-IF(AND(75&gt;=Hipótesis!$D$52,Hipótesis!$B$52=1),IF(Hipótesis!$G$52=1,Hipótesis!$I$44,Hipótesis!$C$52*(1+Hipótesis!$D$45)^6)*(1+Hipótesis!$D$42),0)</f>
        <v>-3152.29806283656</v>
      </c>
      <c r="BZ48" s="138" t="n">
        <f aca="false">-IF(AND(76&gt;=Hipótesis!$D$52,Hipótesis!$B$52=1),IF(Hipótesis!$G$52=1,Hipótesis!$I$44,Hipótesis!$C$52*(1+Hipótesis!$D$45)^6)*(1+Hipótesis!$D$42),0)</f>
        <v>-3152.29806283656</v>
      </c>
      <c r="CA48" s="138" t="n">
        <f aca="false">-IF(AND(77&gt;=Hipótesis!$D$52,Hipótesis!$B$52=1),IF(Hipótesis!$G$52=1,Hipótesis!$I$44,Hipótesis!$C$52*(1+Hipótesis!$D$45)^6)*(1+Hipótesis!$D$42),0)</f>
        <v>-3152.29806283656</v>
      </c>
      <c r="CB48" s="138" t="n">
        <f aca="false">-IF(AND(78&gt;=Hipótesis!$D$52,Hipótesis!$B$52=1),IF(Hipótesis!$G$52=1,Hipótesis!$I$44,Hipótesis!$C$52*(1+Hipótesis!$D$45)^6)*(1+Hipótesis!$D$42),0)</f>
        <v>-3152.29806283656</v>
      </c>
      <c r="CC48" s="138" t="n">
        <f aca="false">-IF(AND(79&gt;=Hipótesis!$D$52,Hipótesis!$B$52=1),IF(Hipótesis!$G$52=1,Hipótesis!$I$44,Hipótesis!$C$52*(1+Hipótesis!$D$45)^6)*(1+Hipótesis!$D$42),0)</f>
        <v>-3152.29806283656</v>
      </c>
      <c r="CD48" s="138" t="n">
        <f aca="false">-IF(AND(80&gt;=Hipótesis!$D$52,Hipótesis!$B$52=1),IF(Hipótesis!$G$52=1,Hipótesis!$I$44,Hipótesis!$C$52*(1+Hipótesis!$D$45)^6)*(1+Hipótesis!$D$42),0)</f>
        <v>-3152.29806283656</v>
      </c>
      <c r="CE48" s="138" t="n">
        <f aca="false">-IF(AND(81&gt;=Hipótesis!$D$52,Hipótesis!$B$52=1),IF(Hipótesis!$G$52=1,Hipótesis!$I$44,Hipótesis!$C$52*(1+Hipótesis!$D$45)^6)*(1+Hipótesis!$D$42),0)</f>
        <v>-3152.29806283656</v>
      </c>
      <c r="CF48" s="138" t="n">
        <f aca="false">-IF(AND(82&gt;=Hipótesis!$D$52,Hipótesis!$B$52=1),IF(Hipótesis!$G$52=1,Hipótesis!$I$44,Hipótesis!$C$52*(1+Hipótesis!$D$45)^6)*(1+Hipótesis!$D$42),0)</f>
        <v>-3152.29806283656</v>
      </c>
      <c r="CG48" s="138" t="n">
        <f aca="false">-IF(AND(83&gt;=Hipótesis!$D$52,Hipótesis!$B$52=1),IF(Hipótesis!$G$52=1,Hipótesis!$I$44,Hipótesis!$C$52*(1+Hipótesis!$D$45)^6)*(1+Hipótesis!$D$42),0)</f>
        <v>-3152.29806283656</v>
      </c>
      <c r="CH48" s="138" t="n">
        <f aca="false">-IF(AND(84&gt;=Hipótesis!$D$52,Hipótesis!$B$52=1),IF(Hipótesis!$G$52=1,Hipótesis!$I$44,Hipótesis!$C$52*(1+Hipótesis!$D$45)^6)*(1+Hipótesis!$D$42),0)</f>
        <v>-3152.29806283656</v>
      </c>
    </row>
    <row r="49" customFormat="false" ht="13.5" hidden="false" customHeight="true" outlineLevel="0" collapsed="false">
      <c r="A49" s="13" t="s">
        <v>730</v>
      </c>
      <c r="C49" s="138" t="n">
        <f aca="false">-IF(AND(1&gt;=Hipótesis!$D$53,Hipótesis!$B$53=1),IF(Hipótesis!$G$53=1,Hipótesis!$C$44,Hipótesis!$C$53*(1+Hipótesis!$D$45)^0)*(1+Hipótesis!$D$42),0)</f>
        <v>-0</v>
      </c>
      <c r="D49" s="138" t="n">
        <f aca="false">-IF(AND(2&gt;=Hipótesis!$D$53,Hipótesis!$B$53=1),IF(Hipótesis!$G$53=1,Hipótesis!$C$44,Hipótesis!$C$53*(1+Hipótesis!$D$45)^0)*(1+Hipótesis!$D$42),0)</f>
        <v>-0</v>
      </c>
      <c r="E49" s="138" t="n">
        <f aca="false">-IF(AND(3&gt;=Hipótesis!$D$53,Hipótesis!$B$53=1),IF(Hipótesis!$G$53=1,Hipótesis!$C$44,Hipótesis!$C$53*(1+Hipótesis!$D$45)^0)*(1+Hipótesis!$D$42),0)</f>
        <v>-0</v>
      </c>
      <c r="F49" s="138" t="n">
        <f aca="false">-IF(AND(4&gt;=Hipótesis!$D$53,Hipótesis!$B$53=1),IF(Hipótesis!$G$53=1,Hipótesis!$C$44,Hipótesis!$C$53*(1+Hipótesis!$D$45)^0)*(1+Hipótesis!$D$42),0)</f>
        <v>-0</v>
      </c>
      <c r="G49" s="138" t="n">
        <f aca="false">-IF(AND(5&gt;=Hipótesis!$D$53,Hipótesis!$B$53=1),IF(Hipótesis!$G$53=1,Hipótesis!$C$44,Hipótesis!$C$53*(1+Hipótesis!$D$45)^0)*(1+Hipótesis!$D$42),0)</f>
        <v>-0</v>
      </c>
      <c r="H49" s="138" t="n">
        <f aca="false">-IF(AND(6&gt;=Hipótesis!$D$53,Hipótesis!$B$53=1),IF(Hipótesis!$G$53=1,Hipótesis!$C$44,Hipótesis!$C$53*(1+Hipótesis!$D$45)^0)*(1+Hipótesis!$D$42),0)</f>
        <v>-0</v>
      </c>
      <c r="I49" s="138" t="n">
        <f aca="false">-IF(AND(7&gt;=Hipótesis!$D$53,Hipótesis!$B$53=1),IF(Hipótesis!$G$53=1,Hipótesis!$C$44,Hipótesis!$C$53*(1+Hipótesis!$D$45)^0)*(1+Hipótesis!$D$42),0)</f>
        <v>-0</v>
      </c>
      <c r="J49" s="138" t="n">
        <f aca="false">-IF(AND(8&gt;=Hipótesis!$D$53,Hipótesis!$B$53=1),IF(Hipótesis!$G$53=1,Hipótesis!$C$44,Hipótesis!$C$53*(1+Hipótesis!$D$45)^0)*(1+Hipótesis!$D$42),0)</f>
        <v>-0</v>
      </c>
      <c r="K49" s="138" t="n">
        <f aca="false">-IF(AND(9&gt;=Hipótesis!$D$53,Hipótesis!$B$53=1),IF(Hipótesis!$G$53=1,Hipótesis!$C$44,Hipótesis!$C$53*(1+Hipótesis!$D$45)^0)*(1+Hipótesis!$D$42),0)</f>
        <v>-0</v>
      </c>
      <c r="L49" s="138" t="n">
        <f aca="false">-IF(AND(10&gt;=Hipótesis!$D$53,Hipótesis!$B$53=1),IF(Hipótesis!$G$53=1,Hipótesis!$C$44,Hipótesis!$C$53*(1+Hipótesis!$D$45)^0)*(1+Hipótesis!$D$42),0)</f>
        <v>-0</v>
      </c>
      <c r="M49" s="138" t="n">
        <f aca="false">-IF(AND(11&gt;=Hipótesis!$D$53,Hipótesis!$B$53=1),IF(Hipótesis!$G$53=1,Hipótesis!$C$44,Hipótesis!$C$53*(1+Hipótesis!$D$45)^0)*(1+Hipótesis!$D$42),0)</f>
        <v>-0</v>
      </c>
      <c r="N49" s="138" t="n">
        <f aca="false">-IF(AND(12&gt;=Hipótesis!$D$53,Hipótesis!$B$53=1),IF(Hipótesis!$G$53=1,Hipótesis!$C$44,Hipótesis!$C$53*(1+Hipótesis!$D$45)^0)*(1+Hipótesis!$D$42),0)</f>
        <v>-0</v>
      </c>
      <c r="O49" s="138" t="n">
        <f aca="false">-IF(AND(13&gt;=Hipótesis!$D$53,Hipótesis!$B$53=1),IF(Hipótesis!$G$53=1,Hipótesis!$D$44,Hipótesis!$C$53*(1+Hipótesis!$D$45)^1)*(1+Hipótesis!$D$42),0)</f>
        <v>-0</v>
      </c>
      <c r="P49" s="138" t="n">
        <f aca="false">-IF(AND(14&gt;=Hipótesis!$D$53,Hipótesis!$B$53=1),IF(Hipótesis!$G$53=1,Hipótesis!$D$44,Hipótesis!$C$53*(1+Hipótesis!$D$45)^1)*(1+Hipótesis!$D$42),0)</f>
        <v>-0</v>
      </c>
      <c r="Q49" s="138" t="n">
        <f aca="false">-IF(AND(15&gt;=Hipótesis!$D$53,Hipótesis!$B$53=1),IF(Hipótesis!$G$53=1,Hipótesis!$D$44,Hipótesis!$C$53*(1+Hipótesis!$D$45)^1)*(1+Hipótesis!$D$42),0)</f>
        <v>-0</v>
      </c>
      <c r="R49" s="138" t="n">
        <f aca="false">-IF(AND(16&gt;=Hipótesis!$D$53,Hipótesis!$B$53=1),IF(Hipótesis!$G$53=1,Hipótesis!$D$44,Hipótesis!$C$53*(1+Hipótesis!$D$45)^1)*(1+Hipótesis!$D$42),0)</f>
        <v>-0</v>
      </c>
      <c r="S49" s="138" t="n">
        <f aca="false">-IF(AND(17&gt;=Hipótesis!$D$53,Hipótesis!$B$53=1),IF(Hipótesis!$G$53=1,Hipótesis!$D$44,Hipótesis!$C$53*(1+Hipótesis!$D$45)^1)*(1+Hipótesis!$D$42),0)</f>
        <v>-0</v>
      </c>
      <c r="T49" s="138" t="n">
        <f aca="false">-IF(AND(18&gt;=Hipótesis!$D$53,Hipótesis!$B$53=1),IF(Hipótesis!$G$53=1,Hipótesis!$D$44,Hipótesis!$C$53*(1+Hipótesis!$D$45)^1)*(1+Hipótesis!$D$42),0)</f>
        <v>-0</v>
      </c>
      <c r="U49" s="138" t="n">
        <f aca="false">-IF(AND(19&gt;=Hipótesis!$D$53,Hipótesis!$B$53=1),IF(Hipótesis!$G$53=1,Hipótesis!$D$44,Hipótesis!$C$53*(1+Hipótesis!$D$45)^1)*(1+Hipótesis!$D$42),0)</f>
        <v>-0</v>
      </c>
      <c r="V49" s="138" t="n">
        <f aca="false">-IF(AND(20&gt;=Hipótesis!$D$53,Hipótesis!$B$53=1),IF(Hipótesis!$G$53=1,Hipótesis!$D$44,Hipótesis!$C$53*(1+Hipótesis!$D$45)^1)*(1+Hipótesis!$D$42),0)</f>
        <v>-0</v>
      </c>
      <c r="W49" s="138" t="n">
        <f aca="false">-IF(AND(21&gt;=Hipótesis!$D$53,Hipótesis!$B$53=1),IF(Hipótesis!$G$53=1,Hipótesis!$D$44,Hipótesis!$C$53*(1+Hipótesis!$D$45)^1)*(1+Hipótesis!$D$42),0)</f>
        <v>-0</v>
      </c>
      <c r="X49" s="138" t="n">
        <f aca="false">-IF(AND(22&gt;=Hipótesis!$D$53,Hipótesis!$B$53=1),IF(Hipótesis!$G$53=1,Hipótesis!$D$44,Hipótesis!$C$53*(1+Hipótesis!$D$45)^1)*(1+Hipótesis!$D$42),0)</f>
        <v>-0</v>
      </c>
      <c r="Y49" s="138" t="n">
        <f aca="false">-IF(AND(23&gt;=Hipótesis!$D$53,Hipótesis!$B$53=1),IF(Hipótesis!$G$53=1,Hipótesis!$D$44,Hipótesis!$C$53*(1+Hipótesis!$D$45)^1)*(1+Hipótesis!$D$42),0)</f>
        <v>-0</v>
      </c>
      <c r="Z49" s="138" t="n">
        <f aca="false">-IF(AND(24&gt;=Hipótesis!$D$53,Hipótesis!$B$53=1),IF(Hipótesis!$G$53=1,Hipótesis!$D$44,Hipótesis!$C$53*(1+Hipótesis!$D$45)^1)*(1+Hipótesis!$D$42),0)</f>
        <v>-0</v>
      </c>
      <c r="AA49" s="138" t="n">
        <f aca="false">-IF(AND(25&gt;=Hipótesis!$D$53,Hipótesis!$B$53=1),IF(Hipótesis!$G$53=1,Hipótesis!$E$44,Hipótesis!$C$53*(1+Hipótesis!$D$45)^2)*(1+Hipótesis!$D$42),0)</f>
        <v>-0</v>
      </c>
      <c r="AB49" s="138" t="n">
        <f aca="false">-IF(AND(26&gt;=Hipótesis!$D$53,Hipótesis!$B$53=1),IF(Hipótesis!$G$53=1,Hipótesis!$E$44,Hipótesis!$C$53*(1+Hipótesis!$D$45)^2)*(1+Hipótesis!$D$42),0)</f>
        <v>-0</v>
      </c>
      <c r="AC49" s="138" t="n">
        <f aca="false">-IF(AND(27&gt;=Hipótesis!$D$53,Hipótesis!$B$53=1),IF(Hipótesis!$G$53=1,Hipótesis!$E$44,Hipótesis!$C$53*(1+Hipótesis!$D$45)^2)*(1+Hipótesis!$D$42),0)</f>
        <v>-0</v>
      </c>
      <c r="AD49" s="138" t="n">
        <f aca="false">-IF(AND(28&gt;=Hipótesis!$D$53,Hipótesis!$B$53=1),IF(Hipótesis!$G$53=1,Hipótesis!$E$44,Hipótesis!$C$53*(1+Hipótesis!$D$45)^2)*(1+Hipótesis!$D$42),0)</f>
        <v>-0</v>
      </c>
      <c r="AE49" s="138" t="n">
        <f aca="false">-IF(AND(29&gt;=Hipótesis!$D$53,Hipótesis!$B$53=1),IF(Hipótesis!$G$53=1,Hipótesis!$E$44,Hipótesis!$C$53*(1+Hipótesis!$D$45)^2)*(1+Hipótesis!$D$42),0)</f>
        <v>-0</v>
      </c>
      <c r="AF49" s="138" t="n">
        <f aca="false">-IF(AND(30&gt;=Hipótesis!$D$53,Hipótesis!$B$53=1),IF(Hipótesis!$G$53=1,Hipótesis!$E$44,Hipótesis!$C$53*(1+Hipótesis!$D$45)^2)*(1+Hipótesis!$D$42),0)</f>
        <v>-0</v>
      </c>
      <c r="AG49" s="138" t="n">
        <f aca="false">-IF(AND(31&gt;=Hipótesis!$D$53,Hipótesis!$B$53=1),IF(Hipótesis!$G$53=1,Hipótesis!$E$44,Hipótesis!$C$53*(1+Hipótesis!$D$45)^2)*(1+Hipótesis!$D$42),0)</f>
        <v>-0</v>
      </c>
      <c r="AH49" s="138" t="n">
        <f aca="false">-IF(AND(32&gt;=Hipótesis!$D$53,Hipótesis!$B$53=1),IF(Hipótesis!$G$53=1,Hipótesis!$E$44,Hipótesis!$C$53*(1+Hipótesis!$D$45)^2)*(1+Hipótesis!$D$42),0)</f>
        <v>-0</v>
      </c>
      <c r="AI49" s="138" t="n">
        <f aca="false">-IF(AND(33&gt;=Hipótesis!$D$53,Hipótesis!$B$53=1),IF(Hipótesis!$G$53=1,Hipótesis!$E$44,Hipótesis!$C$53*(1+Hipótesis!$D$45)^2)*(1+Hipótesis!$D$42),0)</f>
        <v>-0</v>
      </c>
      <c r="AJ49" s="138" t="n">
        <f aca="false">-IF(AND(34&gt;=Hipótesis!$D$53,Hipótesis!$B$53=1),IF(Hipótesis!$G$53=1,Hipótesis!$E$44,Hipótesis!$C$53*(1+Hipótesis!$D$45)^2)*(1+Hipótesis!$D$42),0)</f>
        <v>-0</v>
      </c>
      <c r="AK49" s="138" t="n">
        <f aca="false">-IF(AND(35&gt;=Hipótesis!$D$53,Hipótesis!$B$53=1),IF(Hipótesis!$G$53=1,Hipótesis!$E$44,Hipótesis!$C$53*(1+Hipótesis!$D$45)^2)*(1+Hipótesis!$D$42),0)</f>
        <v>-0</v>
      </c>
      <c r="AL49" s="138" t="n">
        <f aca="false">-IF(AND(36&gt;=Hipótesis!$D$53,Hipótesis!$B$53=1),IF(Hipótesis!$G$53=1,Hipótesis!$E$44,Hipótesis!$C$53*(1+Hipótesis!$D$45)^2)*(1+Hipótesis!$D$42),0)</f>
        <v>-0</v>
      </c>
      <c r="AM49" s="138" t="n">
        <f aca="false">-IF(AND(37&gt;=Hipótesis!$D$53,Hipótesis!$B$53=1),IF(Hipótesis!$G$53=1,Hipótesis!$F$44,Hipótesis!$C$53*(1+Hipótesis!$D$45)^3)*(1+Hipótesis!$D$42),0)</f>
        <v>-0</v>
      </c>
      <c r="AN49" s="138" t="n">
        <f aca="false">-IF(AND(38&gt;=Hipótesis!$D$53,Hipótesis!$B$53=1),IF(Hipótesis!$G$53=1,Hipótesis!$F$44,Hipótesis!$C$53*(1+Hipótesis!$D$45)^3)*(1+Hipótesis!$D$42),0)</f>
        <v>-0</v>
      </c>
      <c r="AO49" s="138" t="n">
        <f aca="false">-IF(AND(39&gt;=Hipótesis!$D$53,Hipótesis!$B$53=1),IF(Hipótesis!$G$53=1,Hipótesis!$F$44,Hipótesis!$C$53*(1+Hipótesis!$D$45)^3)*(1+Hipótesis!$D$42),0)</f>
        <v>-0</v>
      </c>
      <c r="AP49" s="138" t="n">
        <f aca="false">-IF(AND(40&gt;=Hipótesis!$D$53,Hipótesis!$B$53=1),IF(Hipótesis!$G$53=1,Hipótesis!$F$44,Hipótesis!$C$53*(1+Hipótesis!$D$45)^3)*(1+Hipótesis!$D$42),0)</f>
        <v>-0</v>
      </c>
      <c r="AQ49" s="138" t="n">
        <f aca="false">-IF(AND(41&gt;=Hipótesis!$D$53,Hipótesis!$B$53=1),IF(Hipótesis!$G$53=1,Hipótesis!$F$44,Hipótesis!$C$53*(1+Hipótesis!$D$45)^3)*(1+Hipótesis!$D$42),0)</f>
        <v>-0</v>
      </c>
      <c r="AR49" s="138" t="n">
        <f aca="false">-IF(AND(42&gt;=Hipótesis!$D$53,Hipótesis!$B$53=1),IF(Hipótesis!$G$53=1,Hipótesis!$F$44,Hipótesis!$C$53*(1+Hipótesis!$D$45)^3)*(1+Hipótesis!$D$42),0)</f>
        <v>-0</v>
      </c>
      <c r="AS49" s="138" t="n">
        <f aca="false">-IF(AND(43&gt;=Hipótesis!$D$53,Hipótesis!$B$53=1),IF(Hipótesis!$G$53=1,Hipótesis!$F$44,Hipótesis!$C$53*(1+Hipótesis!$D$45)^3)*(1+Hipótesis!$D$42),0)</f>
        <v>-0</v>
      </c>
      <c r="AT49" s="138" t="n">
        <f aca="false">-IF(AND(44&gt;=Hipótesis!$D$53,Hipótesis!$B$53=1),IF(Hipótesis!$G$53=1,Hipótesis!$F$44,Hipótesis!$C$53*(1+Hipótesis!$D$45)^3)*(1+Hipótesis!$D$42),0)</f>
        <v>-0</v>
      </c>
      <c r="AU49" s="138" t="n">
        <f aca="false">-IF(AND(45&gt;=Hipótesis!$D$53,Hipótesis!$B$53=1),IF(Hipótesis!$G$53=1,Hipótesis!$F$44,Hipótesis!$C$53*(1+Hipótesis!$D$45)^3)*(1+Hipótesis!$D$42),0)</f>
        <v>-0</v>
      </c>
      <c r="AV49" s="138" t="n">
        <f aca="false">-IF(AND(46&gt;=Hipótesis!$D$53,Hipótesis!$B$53=1),IF(Hipótesis!$G$53=1,Hipótesis!$F$44,Hipótesis!$C$53*(1+Hipótesis!$D$45)^3)*(1+Hipótesis!$D$42),0)</f>
        <v>-0</v>
      </c>
      <c r="AW49" s="138" t="n">
        <f aca="false">-IF(AND(47&gt;=Hipótesis!$D$53,Hipótesis!$B$53=1),IF(Hipótesis!$G$53=1,Hipótesis!$F$44,Hipótesis!$C$53*(1+Hipótesis!$D$45)^3)*(1+Hipótesis!$D$42),0)</f>
        <v>-0</v>
      </c>
      <c r="AX49" s="138" t="n">
        <f aca="false">-IF(AND(48&gt;=Hipótesis!$D$53,Hipótesis!$B$53=1),IF(Hipótesis!$G$53=1,Hipótesis!$F$44,Hipótesis!$C$53*(1+Hipótesis!$D$45)^3)*(1+Hipótesis!$D$42),0)</f>
        <v>-0</v>
      </c>
      <c r="AY49" s="138" t="n">
        <f aca="false">-IF(AND(49&gt;=Hipótesis!$D$53,Hipótesis!$B$53=1),IF(Hipótesis!$G$53=1,Hipótesis!$G$44,Hipótesis!$C$53*(1+Hipótesis!$D$45)^4)*(1+Hipótesis!$D$42),0)</f>
        <v>-0</v>
      </c>
      <c r="AZ49" s="138" t="n">
        <f aca="false">-IF(AND(50&gt;=Hipótesis!$D$53,Hipótesis!$B$53=1),IF(Hipótesis!$G$53=1,Hipótesis!$G$44,Hipótesis!$C$53*(1+Hipótesis!$D$45)^4)*(1+Hipótesis!$D$42),0)</f>
        <v>-0</v>
      </c>
      <c r="BA49" s="138" t="n">
        <f aca="false">-IF(AND(51&gt;=Hipótesis!$D$53,Hipótesis!$B$53=1),IF(Hipótesis!$G$53=1,Hipótesis!$G$44,Hipótesis!$C$53*(1+Hipótesis!$D$45)^4)*(1+Hipótesis!$D$42),0)</f>
        <v>-0</v>
      </c>
      <c r="BB49" s="138" t="n">
        <f aca="false">-IF(AND(52&gt;=Hipótesis!$D$53,Hipótesis!$B$53=1),IF(Hipótesis!$G$53=1,Hipótesis!$G$44,Hipótesis!$C$53*(1+Hipótesis!$D$45)^4)*(1+Hipótesis!$D$42),0)</f>
        <v>-0</v>
      </c>
      <c r="BC49" s="138" t="n">
        <f aca="false">-IF(AND(53&gt;=Hipótesis!$D$53,Hipótesis!$B$53=1),IF(Hipótesis!$G$53=1,Hipótesis!$G$44,Hipótesis!$C$53*(1+Hipótesis!$D$45)^4)*(1+Hipótesis!$D$42),0)</f>
        <v>-0</v>
      </c>
      <c r="BD49" s="138" t="n">
        <f aca="false">-IF(AND(54&gt;=Hipótesis!$D$53,Hipótesis!$B$53=1),IF(Hipótesis!$G$53=1,Hipótesis!$G$44,Hipótesis!$C$53*(1+Hipótesis!$D$45)^4)*(1+Hipótesis!$D$42),0)</f>
        <v>-0</v>
      </c>
      <c r="BE49" s="138" t="n">
        <f aca="false">-IF(AND(55&gt;=Hipótesis!$D$53,Hipótesis!$B$53=1),IF(Hipótesis!$G$53=1,Hipótesis!$G$44,Hipótesis!$C$53*(1+Hipótesis!$D$45)^4)*(1+Hipótesis!$D$42),0)</f>
        <v>-0</v>
      </c>
      <c r="BF49" s="138" t="n">
        <f aca="false">-IF(AND(56&gt;=Hipótesis!$D$53,Hipótesis!$B$53=1),IF(Hipótesis!$G$53=1,Hipótesis!$G$44,Hipótesis!$C$53*(1+Hipótesis!$D$45)^4)*(1+Hipótesis!$D$42),0)</f>
        <v>-0</v>
      </c>
      <c r="BG49" s="138" t="n">
        <f aca="false">-IF(AND(57&gt;=Hipótesis!$D$53,Hipótesis!$B$53=1),IF(Hipótesis!$G$53=1,Hipótesis!$G$44,Hipótesis!$C$53*(1+Hipótesis!$D$45)^4)*(1+Hipótesis!$D$42),0)</f>
        <v>-0</v>
      </c>
      <c r="BH49" s="138" t="n">
        <f aca="false">-IF(AND(58&gt;=Hipótesis!$D$53,Hipótesis!$B$53=1),IF(Hipótesis!$G$53=1,Hipótesis!$G$44,Hipótesis!$C$53*(1+Hipótesis!$D$45)^4)*(1+Hipótesis!$D$42),0)</f>
        <v>-0</v>
      </c>
      <c r="BI49" s="138" t="n">
        <f aca="false">-IF(AND(59&gt;=Hipótesis!$D$53,Hipótesis!$B$53=1),IF(Hipótesis!$G$53=1,Hipótesis!$G$44,Hipótesis!$C$53*(1+Hipótesis!$D$45)^4)*(1+Hipótesis!$D$42),0)</f>
        <v>-0</v>
      </c>
      <c r="BJ49" s="138" t="n">
        <f aca="false">-IF(AND(60&gt;=Hipótesis!$D$53,Hipótesis!$B$53=1),IF(Hipótesis!$G$53=1,Hipótesis!$G$44,Hipótesis!$C$53*(1+Hipótesis!$D$45)^4)*(1+Hipótesis!$D$42),0)</f>
        <v>-0</v>
      </c>
      <c r="BK49" s="138" t="n">
        <f aca="false">-IF(AND(61&gt;=Hipótesis!$D$53,Hipótesis!$B$53=1),IF(Hipótesis!$G$53=1,Hipótesis!$H$44,Hipótesis!$C$53*(1+Hipótesis!$D$45)^5)*(1+Hipótesis!$D$42),0)</f>
        <v>-0</v>
      </c>
      <c r="BL49" s="138" t="n">
        <f aca="false">-IF(AND(62&gt;=Hipótesis!$D$53,Hipótesis!$B$53=1),IF(Hipótesis!$G$53=1,Hipótesis!$H$44,Hipótesis!$C$53*(1+Hipótesis!$D$45)^5)*(1+Hipótesis!$D$42),0)</f>
        <v>-0</v>
      </c>
      <c r="BM49" s="138" t="n">
        <f aca="false">-IF(AND(63&gt;=Hipótesis!$D$53,Hipótesis!$B$53=1),IF(Hipótesis!$G$53=1,Hipótesis!$H$44,Hipótesis!$C$53*(1+Hipótesis!$D$45)^5)*(1+Hipótesis!$D$42),0)</f>
        <v>-0</v>
      </c>
      <c r="BN49" s="138" t="n">
        <f aca="false">-IF(AND(64&gt;=Hipótesis!$D$53,Hipótesis!$B$53=1),IF(Hipótesis!$G$53=1,Hipótesis!$H$44,Hipótesis!$C$53*(1+Hipótesis!$D$45)^5)*(1+Hipótesis!$D$42),0)</f>
        <v>-0</v>
      </c>
      <c r="BO49" s="138" t="n">
        <f aca="false">-IF(AND(65&gt;=Hipótesis!$D$53,Hipótesis!$B$53=1),IF(Hipótesis!$G$53=1,Hipótesis!$H$44,Hipótesis!$C$53*(1+Hipótesis!$D$45)^5)*(1+Hipótesis!$D$42),0)</f>
        <v>-0</v>
      </c>
      <c r="BP49" s="138" t="n">
        <f aca="false">-IF(AND(66&gt;=Hipótesis!$D$53,Hipótesis!$B$53=1),IF(Hipótesis!$G$53=1,Hipótesis!$H$44,Hipótesis!$C$53*(1+Hipótesis!$D$45)^5)*(1+Hipótesis!$D$42),0)</f>
        <v>-0</v>
      </c>
      <c r="BQ49" s="138" t="n">
        <f aca="false">-IF(AND(67&gt;=Hipótesis!$D$53,Hipótesis!$B$53=1),IF(Hipótesis!$G$53=1,Hipótesis!$H$44,Hipótesis!$C$53*(1+Hipótesis!$D$45)^5)*(1+Hipótesis!$D$42),0)</f>
        <v>-0</v>
      </c>
      <c r="BR49" s="138" t="n">
        <f aca="false">-IF(AND(68&gt;=Hipótesis!$D$53,Hipótesis!$B$53=1),IF(Hipótesis!$G$53=1,Hipótesis!$H$44,Hipótesis!$C$53*(1+Hipótesis!$D$45)^5)*(1+Hipótesis!$D$42),0)</f>
        <v>-0</v>
      </c>
      <c r="BS49" s="138" t="n">
        <f aca="false">-IF(AND(69&gt;=Hipótesis!$D$53,Hipótesis!$B$53=1),IF(Hipótesis!$G$53=1,Hipótesis!$H$44,Hipótesis!$C$53*(1+Hipótesis!$D$45)^5)*(1+Hipótesis!$D$42),0)</f>
        <v>-0</v>
      </c>
      <c r="BT49" s="138" t="n">
        <f aca="false">-IF(AND(70&gt;=Hipótesis!$D$53,Hipótesis!$B$53=1),IF(Hipótesis!$G$53=1,Hipótesis!$H$44,Hipótesis!$C$53*(1+Hipótesis!$D$45)^5)*(1+Hipótesis!$D$42),0)</f>
        <v>-0</v>
      </c>
      <c r="BU49" s="138" t="n">
        <f aca="false">-IF(AND(71&gt;=Hipótesis!$D$53,Hipótesis!$B$53=1),IF(Hipótesis!$G$53=1,Hipótesis!$H$44,Hipótesis!$C$53*(1+Hipótesis!$D$45)^5)*(1+Hipótesis!$D$42),0)</f>
        <v>-0</v>
      </c>
      <c r="BV49" s="138" t="n">
        <f aca="false">-IF(AND(72&gt;=Hipótesis!$D$53,Hipótesis!$B$53=1),IF(Hipótesis!$G$53=1,Hipótesis!$H$44,Hipótesis!$C$53*(1+Hipótesis!$D$45)^5)*(1+Hipótesis!$D$42),0)</f>
        <v>-0</v>
      </c>
      <c r="BW49" s="138" t="n">
        <f aca="false">-IF(AND(73&gt;=Hipótesis!$D$53,Hipótesis!$B$53=1),IF(Hipótesis!$G$53=1,Hipótesis!$I$44,Hipótesis!$C$53*(1+Hipótesis!$D$45)^6)*(1+Hipótesis!$D$42),0)</f>
        <v>-0</v>
      </c>
      <c r="BX49" s="138" t="n">
        <f aca="false">-IF(AND(74&gt;=Hipótesis!$D$53,Hipótesis!$B$53=1),IF(Hipótesis!$G$53=1,Hipótesis!$I$44,Hipótesis!$C$53*(1+Hipótesis!$D$45)^6)*(1+Hipótesis!$D$42),0)</f>
        <v>-0</v>
      </c>
      <c r="BY49" s="138" t="n">
        <f aca="false">-IF(AND(75&gt;=Hipótesis!$D$53,Hipótesis!$B$53=1),IF(Hipótesis!$G$53=1,Hipótesis!$I$44,Hipótesis!$C$53*(1+Hipótesis!$D$45)^6)*(1+Hipótesis!$D$42),0)</f>
        <v>-0</v>
      </c>
      <c r="BZ49" s="138" t="n">
        <f aca="false">-IF(AND(76&gt;=Hipótesis!$D$53,Hipótesis!$B$53=1),IF(Hipótesis!$G$53=1,Hipótesis!$I$44,Hipótesis!$C$53*(1+Hipótesis!$D$45)^6)*(1+Hipótesis!$D$42),0)</f>
        <v>-0</v>
      </c>
      <c r="CA49" s="138" t="n">
        <f aca="false">-IF(AND(77&gt;=Hipótesis!$D$53,Hipótesis!$B$53=1),IF(Hipótesis!$G$53=1,Hipótesis!$I$44,Hipótesis!$C$53*(1+Hipótesis!$D$45)^6)*(1+Hipótesis!$D$42),0)</f>
        <v>-0</v>
      </c>
      <c r="CB49" s="138" t="n">
        <f aca="false">-IF(AND(78&gt;=Hipótesis!$D$53,Hipótesis!$B$53=1),IF(Hipótesis!$G$53=1,Hipótesis!$I$44,Hipótesis!$C$53*(1+Hipótesis!$D$45)^6)*(1+Hipótesis!$D$42),0)</f>
        <v>-0</v>
      </c>
      <c r="CC49" s="138" t="n">
        <f aca="false">-IF(AND(79&gt;=Hipótesis!$D$53,Hipótesis!$B$53=1),IF(Hipótesis!$G$53=1,Hipótesis!$I$44,Hipótesis!$C$53*(1+Hipótesis!$D$45)^6)*(1+Hipótesis!$D$42),0)</f>
        <v>-0</v>
      </c>
      <c r="CD49" s="138" t="n">
        <f aca="false">-IF(AND(80&gt;=Hipótesis!$D$53,Hipótesis!$B$53=1),IF(Hipótesis!$G$53=1,Hipótesis!$I$44,Hipótesis!$C$53*(1+Hipótesis!$D$45)^6)*(1+Hipótesis!$D$42),0)</f>
        <v>-0</v>
      </c>
      <c r="CE49" s="138" t="n">
        <f aca="false">-IF(AND(81&gt;=Hipótesis!$D$53,Hipótesis!$B$53=1),IF(Hipótesis!$G$53=1,Hipótesis!$I$44,Hipótesis!$C$53*(1+Hipótesis!$D$45)^6)*(1+Hipótesis!$D$42),0)</f>
        <v>-0</v>
      </c>
      <c r="CF49" s="138" t="n">
        <f aca="false">-IF(AND(82&gt;=Hipótesis!$D$53,Hipótesis!$B$53=1),IF(Hipótesis!$G$53=1,Hipótesis!$I$44,Hipótesis!$C$53*(1+Hipótesis!$D$45)^6)*(1+Hipótesis!$D$42),0)</f>
        <v>-0</v>
      </c>
      <c r="CG49" s="138" t="n">
        <f aca="false">-IF(AND(83&gt;=Hipótesis!$D$53,Hipótesis!$B$53=1),IF(Hipótesis!$G$53=1,Hipótesis!$I$44,Hipótesis!$C$53*(1+Hipótesis!$D$45)^6)*(1+Hipótesis!$D$42),0)</f>
        <v>-0</v>
      </c>
      <c r="CH49" s="138" t="n">
        <f aca="false">-IF(AND(84&gt;=Hipótesis!$D$53,Hipótesis!$B$53=1),IF(Hipótesis!$G$53=1,Hipótesis!$I$44,Hipótesis!$C$53*(1+Hipótesis!$D$45)^6)*(1+Hipótesis!$D$42),0)</f>
        <v>-0</v>
      </c>
    </row>
    <row r="50" customFormat="false" ht="13.5" hidden="false" customHeight="true" outlineLevel="0" collapsed="false">
      <c r="A50" s="30" t="s">
        <v>731</v>
      </c>
      <c r="C50" s="138" t="n">
        <f aca="false">-C30*Hipótesis!$D$61*(1+Hipótesis!$D$45)^0*(1+Hipótesis!$D$42)</f>
        <v>-0</v>
      </c>
      <c r="D50" s="138" t="n">
        <f aca="false">-D30*Hipótesis!$D$61*(1+Hipótesis!$D$45)^0*(1+Hipótesis!$D$42)</f>
        <v>-0</v>
      </c>
      <c r="E50" s="138" t="n">
        <f aca="false">-E30*Hipótesis!$D$61*(1+Hipótesis!$D$45)^0*(1+Hipótesis!$D$42)</f>
        <v>-0</v>
      </c>
      <c r="F50" s="138" t="n">
        <f aca="false">-F30*Hipótesis!$D$61*(1+Hipótesis!$D$45)^0*(1+Hipótesis!$D$42)</f>
        <v>-0</v>
      </c>
      <c r="G50" s="138" t="n">
        <f aca="false">-G30*Hipótesis!$D$61*(1+Hipótesis!$D$45)^0*(1+Hipótesis!$D$42)</f>
        <v>-0</v>
      </c>
      <c r="H50" s="138" t="n">
        <f aca="false">-H30*Hipótesis!$D$61*(1+Hipótesis!$D$45)^0*(1+Hipótesis!$D$42)</f>
        <v>-0</v>
      </c>
      <c r="I50" s="138" t="n">
        <f aca="false">-I30*Hipótesis!$D$61*(1+Hipótesis!$D$45)^0*(1+Hipótesis!$D$42)</f>
        <v>-0</v>
      </c>
      <c r="J50" s="138" t="n">
        <f aca="false">-J30*Hipótesis!$D$61*(1+Hipótesis!$D$45)^0*(1+Hipótesis!$D$42)</f>
        <v>-0</v>
      </c>
      <c r="K50" s="138" t="n">
        <f aca="false">-K30*Hipótesis!$D$61*(1+Hipótesis!$D$45)^0*(1+Hipótesis!$D$42)</f>
        <v>-0</v>
      </c>
      <c r="L50" s="138" t="n">
        <f aca="false">-L30*Hipótesis!$D$61*(1+Hipótesis!$D$45)^0*(1+Hipótesis!$D$42)</f>
        <v>-0</v>
      </c>
      <c r="M50" s="138" t="n">
        <f aca="false">-M30*Hipótesis!$D$61*(1+Hipótesis!$D$45)^0*(1+Hipótesis!$D$42)</f>
        <v>-0</v>
      </c>
      <c r="N50" s="138" t="n">
        <f aca="false">-N30*Hipótesis!$D$61*(1+Hipótesis!$D$45)^0*(1+Hipótesis!$D$42)</f>
        <v>-0</v>
      </c>
      <c r="O50" s="138" t="n">
        <f aca="false">-O30*Hipótesis!$D$61*(1+Hipótesis!$D$45)^1*(1+Hipótesis!$D$42)</f>
        <v>-0</v>
      </c>
      <c r="P50" s="138" t="n">
        <f aca="false">-P30*Hipótesis!$D$61*(1+Hipótesis!$D$45)^1*(1+Hipótesis!$D$42)</f>
        <v>-0</v>
      </c>
      <c r="Q50" s="138" t="n">
        <f aca="false">-Q30*Hipótesis!$D$61*(1+Hipótesis!$D$45)^1*(1+Hipótesis!$D$42)</f>
        <v>-0</v>
      </c>
      <c r="R50" s="138" t="n">
        <f aca="false">-R30*Hipótesis!$D$61*(1+Hipótesis!$D$45)^1*(1+Hipótesis!$D$42)</f>
        <v>-0</v>
      </c>
      <c r="S50" s="138" t="n">
        <f aca="false">-S30*Hipótesis!$D$61*(1+Hipótesis!$D$45)^1*(1+Hipótesis!$D$42)</f>
        <v>-0</v>
      </c>
      <c r="T50" s="138" t="n">
        <f aca="false">-T30*Hipótesis!$D$61*(1+Hipótesis!$D$45)^1*(1+Hipótesis!$D$42)</f>
        <v>-0</v>
      </c>
      <c r="U50" s="138" t="n">
        <f aca="false">-U30*Hipótesis!$D$61*(1+Hipótesis!$D$45)^1*(1+Hipótesis!$D$42)</f>
        <v>-2311.32</v>
      </c>
      <c r="V50" s="138" t="n">
        <f aca="false">-V30*Hipótesis!$D$61*(1+Hipótesis!$D$45)^1*(1+Hipótesis!$D$42)</f>
        <v>-2311.32</v>
      </c>
      <c r="W50" s="138" t="n">
        <f aca="false">-W30*Hipótesis!$D$61*(1+Hipótesis!$D$45)^1*(1+Hipótesis!$D$42)</f>
        <v>-2311.32</v>
      </c>
      <c r="X50" s="138" t="n">
        <f aca="false">-X30*Hipótesis!$D$61*(1+Hipótesis!$D$45)^1*(1+Hipótesis!$D$42)</f>
        <v>-2311.32</v>
      </c>
      <c r="Y50" s="138" t="n">
        <f aca="false">-Y30*Hipótesis!$D$61*(1+Hipótesis!$D$45)^1*(1+Hipótesis!$D$42)</f>
        <v>-2311.32</v>
      </c>
      <c r="Z50" s="138" t="n">
        <f aca="false">-Z30*Hipótesis!$D$61*(1+Hipótesis!$D$45)^1*(1+Hipótesis!$D$42)</f>
        <v>-2311.32</v>
      </c>
      <c r="AA50" s="138" t="n">
        <f aca="false">-AA30*Hipótesis!$D$61*(1+Hipótesis!$D$45)^2*(1+Hipótesis!$D$42)</f>
        <v>-2380.6596</v>
      </c>
      <c r="AB50" s="138" t="n">
        <f aca="false">-AB30*Hipótesis!$D$61*(1+Hipótesis!$D$45)^2*(1+Hipótesis!$D$42)</f>
        <v>-2380.6596</v>
      </c>
      <c r="AC50" s="138" t="n">
        <f aca="false">-AC30*Hipótesis!$D$61*(1+Hipótesis!$D$45)^2*(1+Hipótesis!$D$42)</f>
        <v>-2380.6596</v>
      </c>
      <c r="AD50" s="138" t="n">
        <f aca="false">-AD30*Hipótesis!$D$61*(1+Hipótesis!$D$45)^2*(1+Hipótesis!$D$42)</f>
        <v>-2380.6596</v>
      </c>
      <c r="AE50" s="138" t="n">
        <f aca="false">-AE30*Hipótesis!$D$61*(1+Hipótesis!$D$45)^2*(1+Hipótesis!$D$42)</f>
        <v>-2380.6596</v>
      </c>
      <c r="AF50" s="138" t="n">
        <f aca="false">-AF30*Hipótesis!$D$61*(1+Hipótesis!$D$45)^2*(1+Hipótesis!$D$42)</f>
        <v>-2380.6596</v>
      </c>
      <c r="AG50" s="138" t="n">
        <f aca="false">-AG30*Hipótesis!$D$61*(1+Hipótesis!$D$45)^2*(1+Hipótesis!$D$42)</f>
        <v>-2380.6596</v>
      </c>
      <c r="AH50" s="138" t="n">
        <f aca="false">-AH30*Hipótesis!$D$61*(1+Hipótesis!$D$45)^2*(1+Hipótesis!$D$42)</f>
        <v>-4761.3192</v>
      </c>
      <c r="AI50" s="138" t="n">
        <f aca="false">-AI30*Hipótesis!$D$61*(1+Hipótesis!$D$45)^2*(1+Hipótesis!$D$42)</f>
        <v>-4761.3192</v>
      </c>
      <c r="AJ50" s="138" t="n">
        <f aca="false">-AJ30*Hipótesis!$D$61*(1+Hipótesis!$D$45)^2*(1+Hipótesis!$D$42)</f>
        <v>-4761.3192</v>
      </c>
      <c r="AK50" s="138" t="n">
        <f aca="false">-AK30*Hipótesis!$D$61*(1+Hipótesis!$D$45)^2*(1+Hipótesis!$D$42)</f>
        <v>-4761.3192</v>
      </c>
      <c r="AL50" s="138" t="n">
        <f aca="false">-AL30*Hipótesis!$D$61*(1+Hipótesis!$D$45)^2*(1+Hipótesis!$D$42)</f>
        <v>-4761.3192</v>
      </c>
      <c r="AM50" s="138" t="n">
        <f aca="false">-AM30*Hipótesis!$D$61*(1+Hipótesis!$D$45)^3*(1+Hipótesis!$D$42)</f>
        <v>-4904.158776</v>
      </c>
      <c r="AN50" s="138" t="n">
        <f aca="false">-AN30*Hipótesis!$D$61*(1+Hipótesis!$D$45)^3*(1+Hipótesis!$D$42)</f>
        <v>-4904.158776</v>
      </c>
      <c r="AO50" s="138" t="n">
        <f aca="false">-AO30*Hipótesis!$D$61*(1+Hipótesis!$D$45)^3*(1+Hipótesis!$D$42)</f>
        <v>-4904.158776</v>
      </c>
      <c r="AP50" s="138" t="n">
        <f aca="false">-AP30*Hipótesis!$D$61*(1+Hipótesis!$D$45)^3*(1+Hipótesis!$D$42)</f>
        <v>-4904.158776</v>
      </c>
      <c r="AQ50" s="138" t="n">
        <f aca="false">-AQ30*Hipótesis!$D$61*(1+Hipótesis!$D$45)^3*(1+Hipótesis!$D$42)</f>
        <v>-4904.158776</v>
      </c>
      <c r="AR50" s="138" t="n">
        <f aca="false">-AR30*Hipótesis!$D$61*(1+Hipótesis!$D$45)^3*(1+Hipótesis!$D$42)</f>
        <v>-4904.158776</v>
      </c>
      <c r="AS50" s="138" t="n">
        <f aca="false">-AS30*Hipótesis!$D$61*(1+Hipótesis!$D$45)^3*(1+Hipótesis!$D$42)</f>
        <v>-4904.158776</v>
      </c>
      <c r="AT50" s="138" t="n">
        <f aca="false">-AT30*Hipótesis!$D$61*(1+Hipótesis!$D$45)^3*(1+Hipótesis!$D$42)</f>
        <v>-4904.158776</v>
      </c>
      <c r="AU50" s="138" t="n">
        <f aca="false">-AU30*Hipótesis!$D$61*(1+Hipótesis!$D$45)^3*(1+Hipótesis!$D$42)</f>
        <v>-4904.158776</v>
      </c>
      <c r="AV50" s="138" t="n">
        <f aca="false">-AV30*Hipótesis!$D$61*(1+Hipótesis!$D$45)^3*(1+Hipótesis!$D$42)</f>
        <v>-4904.158776</v>
      </c>
      <c r="AW50" s="138" t="n">
        <f aca="false">-AW30*Hipótesis!$D$61*(1+Hipótesis!$D$45)^3*(1+Hipótesis!$D$42)</f>
        <v>-4904.158776</v>
      </c>
      <c r="AX50" s="138" t="n">
        <f aca="false">-AX30*Hipótesis!$D$61*(1+Hipótesis!$D$45)^3*(1+Hipótesis!$D$42)</f>
        <v>-4904.158776</v>
      </c>
      <c r="AY50" s="138" t="n">
        <f aca="false">-AY30*Hipótesis!$D$61*(1+Hipótesis!$D$45)^4*(1+Hipótesis!$D$42)</f>
        <v>-5051.28353928</v>
      </c>
      <c r="AZ50" s="138" t="n">
        <f aca="false">-AZ30*Hipótesis!$D$61*(1+Hipótesis!$D$45)^4*(1+Hipótesis!$D$42)</f>
        <v>-5051.28353928</v>
      </c>
      <c r="BA50" s="138" t="n">
        <f aca="false">-BA30*Hipótesis!$D$61*(1+Hipótesis!$D$45)^4*(1+Hipótesis!$D$42)</f>
        <v>-5051.28353928</v>
      </c>
      <c r="BB50" s="138" t="n">
        <f aca="false">-BB30*Hipótesis!$D$61*(1+Hipótesis!$D$45)^4*(1+Hipótesis!$D$42)</f>
        <v>-5051.28353928</v>
      </c>
      <c r="BC50" s="138" t="n">
        <f aca="false">-BC30*Hipótesis!$D$61*(1+Hipótesis!$D$45)^4*(1+Hipótesis!$D$42)</f>
        <v>-5051.28353928</v>
      </c>
      <c r="BD50" s="138" t="n">
        <f aca="false">-BD30*Hipótesis!$D$61*(1+Hipótesis!$D$45)^4*(1+Hipótesis!$D$42)</f>
        <v>-5051.28353928</v>
      </c>
      <c r="BE50" s="138" t="n">
        <f aca="false">-BE30*Hipótesis!$D$61*(1+Hipótesis!$D$45)^4*(1+Hipótesis!$D$42)</f>
        <v>-5051.28353928</v>
      </c>
      <c r="BF50" s="138" t="n">
        <f aca="false">-BF30*Hipótesis!$D$61*(1+Hipótesis!$D$45)^4*(1+Hipótesis!$D$42)</f>
        <v>-5051.28353928</v>
      </c>
      <c r="BG50" s="138" t="n">
        <f aca="false">-BG30*Hipótesis!$D$61*(1+Hipótesis!$D$45)^4*(1+Hipótesis!$D$42)</f>
        <v>-5051.28353928</v>
      </c>
      <c r="BH50" s="138" t="n">
        <f aca="false">-BH30*Hipótesis!$D$61*(1+Hipótesis!$D$45)^4*(1+Hipótesis!$D$42)</f>
        <v>-5051.28353928</v>
      </c>
      <c r="BI50" s="138" t="n">
        <f aca="false">-BI30*Hipótesis!$D$61*(1+Hipótesis!$D$45)^4*(1+Hipótesis!$D$42)</f>
        <v>-5051.28353928</v>
      </c>
      <c r="BJ50" s="138" t="n">
        <f aca="false">-BJ30*Hipótesis!$D$61*(1+Hipótesis!$D$45)^4*(1+Hipótesis!$D$42)</f>
        <v>-5051.28353928</v>
      </c>
      <c r="BK50" s="138" t="n">
        <f aca="false">-BK30*Hipótesis!$D$61*(1+Hipótesis!$D$45)^5*(1+Hipótesis!$D$42)</f>
        <v>-5202.8220454584</v>
      </c>
      <c r="BL50" s="138" t="n">
        <f aca="false">-BL30*Hipótesis!$D$61*(1+Hipótesis!$D$45)^5*(1+Hipótesis!$D$42)</f>
        <v>-5202.8220454584</v>
      </c>
      <c r="BM50" s="138" t="n">
        <f aca="false">-BM30*Hipótesis!$D$61*(1+Hipótesis!$D$45)^5*(1+Hipótesis!$D$42)</f>
        <v>-5202.8220454584</v>
      </c>
      <c r="BN50" s="138" t="n">
        <f aca="false">-BN30*Hipótesis!$D$61*(1+Hipótesis!$D$45)^5*(1+Hipótesis!$D$42)</f>
        <v>-5202.8220454584</v>
      </c>
      <c r="BO50" s="138" t="n">
        <f aca="false">-BO30*Hipótesis!$D$61*(1+Hipótesis!$D$45)^5*(1+Hipótesis!$D$42)</f>
        <v>-5202.8220454584</v>
      </c>
      <c r="BP50" s="138" t="n">
        <f aca="false">-BP30*Hipótesis!$D$61*(1+Hipótesis!$D$45)^5*(1+Hipótesis!$D$42)</f>
        <v>-5202.8220454584</v>
      </c>
      <c r="BQ50" s="138" t="n">
        <f aca="false">-BQ30*Hipótesis!$D$61*(1+Hipótesis!$D$45)^5*(1+Hipótesis!$D$42)</f>
        <v>-5202.8220454584</v>
      </c>
      <c r="BR50" s="138" t="n">
        <f aca="false">-BR30*Hipótesis!$D$61*(1+Hipótesis!$D$45)^5*(1+Hipótesis!$D$42)</f>
        <v>-5202.8220454584</v>
      </c>
      <c r="BS50" s="138" t="n">
        <f aca="false">-BS30*Hipótesis!$D$61*(1+Hipótesis!$D$45)^5*(1+Hipótesis!$D$42)</f>
        <v>-5202.8220454584</v>
      </c>
      <c r="BT50" s="138" t="n">
        <f aca="false">-BT30*Hipótesis!$D$61*(1+Hipótesis!$D$45)^5*(1+Hipótesis!$D$42)</f>
        <v>-5202.8220454584</v>
      </c>
      <c r="BU50" s="138" t="n">
        <f aca="false">-BU30*Hipótesis!$D$61*(1+Hipótesis!$D$45)^5*(1+Hipótesis!$D$42)</f>
        <v>-5202.8220454584</v>
      </c>
      <c r="BV50" s="138" t="n">
        <f aca="false">-BV30*Hipótesis!$D$61*(1+Hipótesis!$D$45)^5*(1+Hipótesis!$D$42)</f>
        <v>-5202.8220454584</v>
      </c>
      <c r="BW50" s="138" t="n">
        <f aca="false">-BW30*Hipótesis!$D$61*(1+Hipótesis!$D$45)^6*(1+Hipótesis!$D$42)</f>
        <v>-5358.90670682215</v>
      </c>
      <c r="BX50" s="138" t="n">
        <f aca="false">-BX30*Hipótesis!$D$61*(1+Hipótesis!$D$45)^6*(1+Hipótesis!$D$42)</f>
        <v>-5358.90670682215</v>
      </c>
      <c r="BY50" s="138" t="n">
        <f aca="false">-BY30*Hipótesis!$D$61*(1+Hipótesis!$D$45)^6*(1+Hipótesis!$D$42)</f>
        <v>-5358.90670682215</v>
      </c>
      <c r="BZ50" s="138" t="n">
        <f aca="false">-BZ30*Hipótesis!$D$61*(1+Hipótesis!$D$45)^6*(1+Hipótesis!$D$42)</f>
        <v>-5358.90670682215</v>
      </c>
      <c r="CA50" s="138" t="n">
        <f aca="false">-CA30*Hipótesis!$D$61*(1+Hipótesis!$D$45)^6*(1+Hipótesis!$D$42)</f>
        <v>-5358.90670682215</v>
      </c>
      <c r="CB50" s="138" t="n">
        <f aca="false">-CB30*Hipótesis!$D$61*(1+Hipótesis!$D$45)^6*(1+Hipótesis!$D$42)</f>
        <v>-5358.90670682215</v>
      </c>
      <c r="CC50" s="138" t="n">
        <f aca="false">-CC30*Hipótesis!$D$61*(1+Hipótesis!$D$45)^6*(1+Hipótesis!$D$42)</f>
        <v>-5358.90670682215</v>
      </c>
      <c r="CD50" s="138" t="n">
        <f aca="false">-CD30*Hipótesis!$D$61*(1+Hipótesis!$D$45)^6*(1+Hipótesis!$D$42)</f>
        <v>-5358.90670682215</v>
      </c>
      <c r="CE50" s="138" t="n">
        <f aca="false">-CE30*Hipótesis!$D$61*(1+Hipótesis!$D$45)^6*(1+Hipótesis!$D$42)</f>
        <v>-5358.90670682215</v>
      </c>
      <c r="CF50" s="138" t="n">
        <f aca="false">-CF30*Hipótesis!$D$61*(1+Hipótesis!$D$45)^6*(1+Hipótesis!$D$42)</f>
        <v>-5358.90670682215</v>
      </c>
      <c r="CG50" s="138" t="n">
        <f aca="false">-CG30*Hipótesis!$D$61*(1+Hipótesis!$D$45)^6*(1+Hipótesis!$D$42)</f>
        <v>-5358.90670682215</v>
      </c>
      <c r="CH50" s="138" t="n">
        <f aca="false">-CH30*Hipótesis!$D$61*(1+Hipótesis!$D$45)^6*(1+Hipótesis!$D$42)</f>
        <v>-5358.90670682215</v>
      </c>
    </row>
    <row r="51" customFormat="false" ht="13.5" hidden="false" customHeight="true" outlineLevel="0" collapsed="false">
      <c r="A51" s="30" t="s">
        <v>732</v>
      </c>
      <c r="C51" s="138" t="n">
        <f aca="false">SUM(C44:C49)+C50</f>
        <v>-11352</v>
      </c>
      <c r="D51" s="138" t="n">
        <f aca="false">SUM(D44:D49)+D50</f>
        <v>-11352</v>
      </c>
      <c r="E51" s="138" t="n">
        <f aca="false">SUM(E44:E49)+E50</f>
        <v>-11352</v>
      </c>
      <c r="F51" s="138" t="n">
        <f aca="false">SUM(F44:F49)+F50</f>
        <v>-11352</v>
      </c>
      <c r="G51" s="138" t="n">
        <f aca="false">SUM(G44:G49)+G50</f>
        <v>-11352</v>
      </c>
      <c r="H51" s="138" t="n">
        <f aca="false">SUM(H44:H49)+H50</f>
        <v>-11352</v>
      </c>
      <c r="I51" s="138" t="n">
        <f aca="false">SUM(I44:I49)+I50</f>
        <v>-11352</v>
      </c>
      <c r="J51" s="138" t="n">
        <f aca="false">SUM(J44:J49)+J50</f>
        <v>-11352</v>
      </c>
      <c r="K51" s="138" t="n">
        <f aca="false">SUM(K44:K49)+K50</f>
        <v>-11352</v>
      </c>
      <c r="L51" s="138" t="n">
        <f aca="false">SUM(L44:L49)+L50</f>
        <v>-11352</v>
      </c>
      <c r="M51" s="138" t="n">
        <f aca="false">SUM(M44:M49)+M50</f>
        <v>-11352</v>
      </c>
      <c r="N51" s="138" t="n">
        <f aca="false">SUM(N44:N49)+N50</f>
        <v>-11352</v>
      </c>
      <c r="O51" s="138" t="n">
        <f aca="false">SUM(O44:O49)+O50</f>
        <v>-16579.2</v>
      </c>
      <c r="P51" s="138" t="n">
        <f aca="false">SUM(P44:P49)+P50</f>
        <v>-16579.2</v>
      </c>
      <c r="Q51" s="138" t="n">
        <f aca="false">SUM(Q44:Q49)+Q50</f>
        <v>-16579.2</v>
      </c>
      <c r="R51" s="138" t="n">
        <f aca="false">SUM(R44:R49)+R50</f>
        <v>-16579.2</v>
      </c>
      <c r="S51" s="138" t="n">
        <f aca="false">SUM(S44:S49)+S50</f>
        <v>-16579.2</v>
      </c>
      <c r="T51" s="138" t="n">
        <f aca="false">SUM(T44:T49)+T50</f>
        <v>-16579.2</v>
      </c>
      <c r="U51" s="138" t="n">
        <f aca="false">SUM(U44:U49)+U50</f>
        <v>-18890.52</v>
      </c>
      <c r="V51" s="138" t="n">
        <f aca="false">SUM(V44:V49)+V50</f>
        <v>-21609.72</v>
      </c>
      <c r="W51" s="138" t="n">
        <f aca="false">SUM(W44:W49)+W50</f>
        <v>-21609.72</v>
      </c>
      <c r="X51" s="138" t="n">
        <f aca="false">SUM(X44:X49)+X50</f>
        <v>-21609.72</v>
      </c>
      <c r="Y51" s="138" t="n">
        <f aca="false">SUM(Y44:Y49)+Y50</f>
        <v>-21609.72</v>
      </c>
      <c r="Z51" s="138" t="n">
        <f aca="false">SUM(Z44:Z49)+Z50</f>
        <v>-21609.72</v>
      </c>
      <c r="AA51" s="138" t="n">
        <f aca="false">SUM(AA44:AA49)+AA50</f>
        <v>-23822.2116</v>
      </c>
      <c r="AB51" s="138" t="n">
        <f aca="false">SUM(AB44:AB49)+AB50</f>
        <v>-23822.2116</v>
      </c>
      <c r="AC51" s="138" t="n">
        <f aca="false">SUM(AC44:AC49)+AC50</f>
        <v>-23822.2116</v>
      </c>
      <c r="AD51" s="138" t="n">
        <f aca="false">SUM(AD44:AD49)+AD50</f>
        <v>-23822.2116</v>
      </c>
      <c r="AE51" s="138" t="n">
        <f aca="false">SUM(AE44:AE49)+AE50</f>
        <v>-23822.2116</v>
      </c>
      <c r="AF51" s="138" t="n">
        <f aca="false">SUM(AF44:AF49)+AF50</f>
        <v>-23822.2116</v>
      </c>
      <c r="AG51" s="138" t="n">
        <f aca="false">SUM(AG44:AG49)+AG50</f>
        <v>-23822.2116</v>
      </c>
      <c r="AH51" s="138" t="n">
        <f aca="false">SUM(AH44:AH49)+AH50</f>
        <v>-26202.8712</v>
      </c>
      <c r="AI51" s="138" t="n">
        <f aca="false">SUM(AI44:AI49)+AI50</f>
        <v>-26202.8712</v>
      </c>
      <c r="AJ51" s="138" t="n">
        <f aca="false">SUM(AJ44:AJ49)+AJ50</f>
        <v>-26202.8712</v>
      </c>
      <c r="AK51" s="138" t="n">
        <f aca="false">SUM(AK44:AK49)+AK50</f>
        <v>-26202.8712</v>
      </c>
      <c r="AL51" s="138" t="n">
        <f aca="false">SUM(AL44:AL49)+AL50</f>
        <v>-26202.8712</v>
      </c>
      <c r="AM51" s="138" t="n">
        <f aca="false">SUM(AM44:AM49)+AM50</f>
        <v>-28493.757336</v>
      </c>
      <c r="AN51" s="138" t="n">
        <f aca="false">SUM(AN44:AN49)+AN50</f>
        <v>-28493.757336</v>
      </c>
      <c r="AO51" s="138" t="n">
        <f aca="false">SUM(AO44:AO49)+AO50</f>
        <v>-28493.757336</v>
      </c>
      <c r="AP51" s="138" t="n">
        <f aca="false">SUM(AP44:AP49)+AP50</f>
        <v>-28493.757336</v>
      </c>
      <c r="AQ51" s="138" t="n">
        <f aca="false">SUM(AQ44:AQ49)+AQ50</f>
        <v>-28493.757336</v>
      </c>
      <c r="AR51" s="138" t="n">
        <f aca="false">SUM(AR44:AR49)+AR50</f>
        <v>-28493.757336</v>
      </c>
      <c r="AS51" s="138" t="n">
        <f aca="false">SUM(AS44:AS49)+AS50</f>
        <v>-28493.757336</v>
      </c>
      <c r="AT51" s="138" t="n">
        <f aca="false">SUM(AT44:AT49)+AT50</f>
        <v>-28493.757336</v>
      </c>
      <c r="AU51" s="138" t="n">
        <f aca="false">SUM(AU44:AU49)+AU50</f>
        <v>-28493.757336</v>
      </c>
      <c r="AV51" s="138" t="n">
        <f aca="false">SUM(AV44:AV49)+AV50</f>
        <v>-28493.757336</v>
      </c>
      <c r="AW51" s="138" t="n">
        <f aca="false">SUM(AW44:AW49)+AW50</f>
        <v>-28493.757336</v>
      </c>
      <c r="AX51" s="138" t="n">
        <f aca="false">SUM(AX44:AX49)+AX50</f>
        <v>-28493.757336</v>
      </c>
      <c r="AY51" s="138" t="n">
        <f aca="false">SUM(AY44:AY49)+AY50</f>
        <v>-30793.97005608</v>
      </c>
      <c r="AZ51" s="138" t="n">
        <f aca="false">SUM(AZ44:AZ49)+AZ50</f>
        <v>-30793.97005608</v>
      </c>
      <c r="BA51" s="138" t="n">
        <f aca="false">SUM(BA44:BA49)+BA50</f>
        <v>-30793.97005608</v>
      </c>
      <c r="BB51" s="138" t="n">
        <f aca="false">SUM(BB44:BB49)+BB50</f>
        <v>-30793.97005608</v>
      </c>
      <c r="BC51" s="138" t="n">
        <f aca="false">SUM(BC44:BC49)+BC50</f>
        <v>-30793.97005608</v>
      </c>
      <c r="BD51" s="138" t="n">
        <f aca="false">SUM(BD44:BD49)+BD50</f>
        <v>-30793.97005608</v>
      </c>
      <c r="BE51" s="138" t="n">
        <f aca="false">SUM(BE44:BE49)+BE50</f>
        <v>-30793.97005608</v>
      </c>
      <c r="BF51" s="138" t="n">
        <f aca="false">SUM(BF44:BF49)+BF50</f>
        <v>-30793.97005608</v>
      </c>
      <c r="BG51" s="138" t="n">
        <f aca="false">SUM(BG44:BG49)+BG50</f>
        <v>-30793.97005608</v>
      </c>
      <c r="BH51" s="138" t="n">
        <f aca="false">SUM(BH44:BH49)+BH50</f>
        <v>-30793.97005608</v>
      </c>
      <c r="BI51" s="138" t="n">
        <f aca="false">SUM(BI44:BI49)+BI50</f>
        <v>-30793.97005608</v>
      </c>
      <c r="BJ51" s="138" t="n">
        <f aca="false">SUM(BJ44:BJ49)+BJ50</f>
        <v>-30793.97005608</v>
      </c>
      <c r="BK51" s="138" t="n">
        <f aca="false">SUM(BK44:BK49)+BK50</f>
        <v>-33103.7891577624</v>
      </c>
      <c r="BL51" s="138" t="n">
        <f aca="false">SUM(BL44:BL49)+BL50</f>
        <v>-33103.7891577624</v>
      </c>
      <c r="BM51" s="138" t="n">
        <f aca="false">SUM(BM44:BM49)+BM50</f>
        <v>-33103.7891577624</v>
      </c>
      <c r="BN51" s="138" t="n">
        <f aca="false">SUM(BN44:BN49)+BN50</f>
        <v>-33103.7891577624</v>
      </c>
      <c r="BO51" s="138" t="n">
        <f aca="false">SUM(BO44:BO49)+BO50</f>
        <v>-33103.7891577624</v>
      </c>
      <c r="BP51" s="138" t="n">
        <f aca="false">SUM(BP44:BP49)+BP50</f>
        <v>-33103.7891577624</v>
      </c>
      <c r="BQ51" s="138" t="n">
        <f aca="false">SUM(BQ44:BQ49)+BQ50</f>
        <v>-33103.7891577624</v>
      </c>
      <c r="BR51" s="138" t="n">
        <f aca="false">SUM(BR44:BR49)+BR50</f>
        <v>-33103.7891577624</v>
      </c>
      <c r="BS51" s="138" t="n">
        <f aca="false">SUM(BS44:BS49)+BS50</f>
        <v>-33103.7891577624</v>
      </c>
      <c r="BT51" s="138" t="n">
        <f aca="false">SUM(BT44:BT49)+BT50</f>
        <v>-33103.7891577624</v>
      </c>
      <c r="BU51" s="138" t="n">
        <f aca="false">SUM(BU44:BU49)+BU50</f>
        <v>-33103.7891577624</v>
      </c>
      <c r="BV51" s="138" t="n">
        <f aca="false">SUM(BV44:BV49)+BV50</f>
        <v>-33103.7891577624</v>
      </c>
      <c r="BW51" s="138" t="n">
        <f aca="false">SUM(BW44:BW49)+BW50</f>
        <v>-35423.5028324953</v>
      </c>
      <c r="BX51" s="138" t="n">
        <f aca="false">SUM(BX44:BX49)+BX50</f>
        <v>-35423.5028324953</v>
      </c>
      <c r="BY51" s="138" t="n">
        <f aca="false">SUM(BY44:BY49)+BY50</f>
        <v>-35423.5028324953</v>
      </c>
      <c r="BZ51" s="138" t="n">
        <f aca="false">SUM(BZ44:BZ49)+BZ50</f>
        <v>-35423.5028324953</v>
      </c>
      <c r="CA51" s="138" t="n">
        <f aca="false">SUM(CA44:CA49)+CA50</f>
        <v>-35423.5028324953</v>
      </c>
      <c r="CB51" s="138" t="n">
        <f aca="false">SUM(CB44:CB49)+CB50</f>
        <v>-35423.5028324953</v>
      </c>
      <c r="CC51" s="138" t="n">
        <f aca="false">SUM(CC44:CC49)+CC50</f>
        <v>-35423.5028324953</v>
      </c>
      <c r="CD51" s="138" t="n">
        <f aca="false">SUM(CD44:CD49)+CD50</f>
        <v>-35423.5028324953</v>
      </c>
      <c r="CE51" s="138" t="n">
        <f aca="false">SUM(CE44:CE49)+CE50</f>
        <v>-35423.5028324953</v>
      </c>
      <c r="CF51" s="138" t="n">
        <f aca="false">SUM(CF44:CF49)+CF50</f>
        <v>-35423.5028324953</v>
      </c>
      <c r="CG51" s="138" t="n">
        <f aca="false">SUM(CG44:CG49)+CG50</f>
        <v>-35423.5028324953</v>
      </c>
      <c r="CH51" s="138" t="n">
        <f aca="false">SUM(CH44:CH49)+CH50</f>
        <v>-35423.5028324953</v>
      </c>
    </row>
    <row r="52" customFormat="false" ht="13.5" hidden="false" customHeight="true" outlineLevel="0" collapsed="false">
      <c r="A52" s="13" t="s">
        <v>733</v>
      </c>
      <c r="C52" s="138" t="n">
        <f aca="false">C211+C207</f>
        <v>-2005.69235315674</v>
      </c>
      <c r="D52" s="138" t="n">
        <f aca="false">D211+D207</f>
        <v>-2071.3161217344</v>
      </c>
      <c r="E52" s="138" t="n">
        <f aca="false">E211+E207</f>
        <v>-2149.7716869286</v>
      </c>
      <c r="F52" s="138" t="n">
        <f aca="false">F211+F207</f>
        <v>-2223.4467788735</v>
      </c>
      <c r="G52" s="138" t="n">
        <f aca="false">G211+G207</f>
        <v>-2041.80871579088</v>
      </c>
      <c r="H52" s="138" t="n">
        <f aca="false">H211+H207</f>
        <v>-2380.31597528604</v>
      </c>
      <c r="I52" s="138" t="n">
        <f aca="false">I211+I207</f>
        <v>-2546.32314644213</v>
      </c>
      <c r="J52" s="138" t="n">
        <f aca="false">J211+J207</f>
        <v>-2768.68977188422</v>
      </c>
      <c r="K52" s="138" t="n">
        <f aca="false">K211+K207</f>
        <v>-2997.15326072683</v>
      </c>
      <c r="L52" s="138" t="n">
        <f aca="false">L211+L207</f>
        <v>-3225.61674956945</v>
      </c>
      <c r="M52" s="138" t="n">
        <f aca="false">M211+M207</f>
        <v>-3441.24844179551</v>
      </c>
      <c r="N52" s="138" t="n">
        <f aca="false">N211+N207</f>
        <v>-3673.65372437</v>
      </c>
      <c r="O52" s="138" t="n">
        <f aca="false">O211+O207</f>
        <v>-3906.0590069445</v>
      </c>
      <c r="P52" s="138" t="n">
        <f aca="false">P211+P207</f>
        <v>-4133.64188229382</v>
      </c>
      <c r="Q52" s="138" t="n">
        <f aca="false">Q211+Q207</f>
        <v>-4361.22475764314</v>
      </c>
      <c r="R52" s="138" t="n">
        <f aca="false">R211+R207</f>
        <v>-4588.80763299246</v>
      </c>
      <c r="S52" s="138" t="n">
        <f aca="false">S211+S207</f>
        <v>-2610.21715488668</v>
      </c>
      <c r="T52" s="138" t="n">
        <f aca="false">T211+T207</f>
        <v>-5043.9733836911</v>
      </c>
      <c r="U52" s="138" t="n">
        <f aca="false">U211+U207</f>
        <v>-5089.81157598083</v>
      </c>
      <c r="V52" s="138" t="n">
        <f aca="false">V211+V207</f>
        <v>-5135.64976827055</v>
      </c>
      <c r="W52" s="138" t="n">
        <f aca="false">W211+W207</f>
        <v>-5181.48796056027</v>
      </c>
      <c r="X52" s="138" t="n">
        <f aca="false">X211+X207</f>
        <v>-5210.55256250156</v>
      </c>
      <c r="Y52" s="138" t="n">
        <f aca="false">Y211+Y207</f>
        <v>-5239.61716444284</v>
      </c>
      <c r="Z52" s="138" t="n">
        <f aca="false">Z211+Z207</f>
        <v>-5261.97233024476</v>
      </c>
      <c r="AA52" s="138" t="n">
        <f aca="false">AA211+AA207</f>
        <v>-5284.32749604667</v>
      </c>
      <c r="AB52" s="138" t="n">
        <f aca="false">AB211+AB207</f>
        <v>-5306.68266184858</v>
      </c>
      <c r="AC52" s="138" t="n">
        <f aca="false">AC211+AC207</f>
        <v>-5329.03782765049</v>
      </c>
      <c r="AD52" s="138" t="n">
        <f aca="false">AD211+AD207</f>
        <v>-5351.3929934524</v>
      </c>
      <c r="AE52" s="138" t="n">
        <f aca="false">AE211+AE207</f>
        <v>-2990.74107912538</v>
      </c>
      <c r="AF52" s="138" t="n">
        <f aca="false">AF211+AF207</f>
        <v>-5396.10332505622</v>
      </c>
      <c r="AG52" s="138" t="n">
        <f aca="false">AG211+AG207</f>
        <v>-5418.45849085813</v>
      </c>
      <c r="AH52" s="138" t="n">
        <f aca="false">AH211+AH207</f>
        <v>-5440.81365666004</v>
      </c>
      <c r="AI52" s="138" t="n">
        <f aca="false">AI211+AI207</f>
        <v>-5463.16882246195</v>
      </c>
      <c r="AJ52" s="138" t="n">
        <f aca="false">AJ211+AJ207</f>
        <v>-5485.52398826386</v>
      </c>
      <c r="AK52" s="138" t="n">
        <f aca="false">AK211+AK207</f>
        <v>-5507.87915406577</v>
      </c>
      <c r="AL52" s="138" t="n">
        <f aca="false">AL211+AL207</f>
        <v>-5530.23431986768</v>
      </c>
      <c r="AM52" s="138" t="n">
        <f aca="false">AM211+AM207</f>
        <v>-5552.58948566959</v>
      </c>
      <c r="AN52" s="138" t="n">
        <f aca="false">AN211+AN207</f>
        <v>-5574.9446514715</v>
      </c>
      <c r="AO52" s="138" t="n">
        <f aca="false">AO211+AO207</f>
        <v>-5597.29981727341</v>
      </c>
      <c r="AP52" s="138" t="n">
        <f aca="false">AP211+AP207</f>
        <v>-5619.65498307532</v>
      </c>
      <c r="AQ52" s="138" t="n">
        <f aca="false">AQ211+AQ207</f>
        <v>-3259.0030687483</v>
      </c>
      <c r="AR52" s="138" t="n">
        <f aca="false">AR211+AR207</f>
        <v>-5664.36531467914</v>
      </c>
      <c r="AS52" s="138" t="n">
        <f aca="false">AS211+AS207</f>
        <v>-5664.36531467914</v>
      </c>
      <c r="AT52" s="138" t="n">
        <f aca="false">AT211+AT207</f>
        <v>-5664.36531467914</v>
      </c>
      <c r="AU52" s="138" t="n">
        <f aca="false">AU211+AU207</f>
        <v>-5664.36531467914</v>
      </c>
      <c r="AV52" s="138" t="n">
        <f aca="false">AV211+AV207</f>
        <v>-5664.36531467914</v>
      </c>
      <c r="AW52" s="138" t="n">
        <f aca="false">AW211+AW207</f>
        <v>-5664.36531467914</v>
      </c>
      <c r="AX52" s="138" t="n">
        <f aca="false">AX211+AX207</f>
        <v>-5664.36531467914</v>
      </c>
      <c r="AY52" s="138" t="n">
        <f aca="false">AY211+AY207</f>
        <v>-5664.36531467914</v>
      </c>
      <c r="AZ52" s="138" t="n">
        <f aca="false">AZ211+AZ207</f>
        <v>-5664.36531467914</v>
      </c>
      <c r="BA52" s="138" t="n">
        <f aca="false">BA211+BA207</f>
        <v>-5664.36531467914</v>
      </c>
      <c r="BB52" s="138" t="n">
        <f aca="false">BB211+BB207</f>
        <v>-5664.36531467914</v>
      </c>
      <c r="BC52" s="138" t="n">
        <f aca="false">BC211+BC207</f>
        <v>-3281.35823455021</v>
      </c>
      <c r="BD52" s="138" t="n">
        <f aca="false">BD211+BD207</f>
        <v>-5664.36531467914</v>
      </c>
      <c r="BE52" s="138" t="n">
        <f aca="false">BE211+BE207</f>
        <v>-5664.36531467914</v>
      </c>
      <c r="BF52" s="138" t="n">
        <f aca="false">BF211+BF207</f>
        <v>-5664.36531467914</v>
      </c>
      <c r="BG52" s="138" t="n">
        <f aca="false">BG211+BG207</f>
        <v>-5664.36531467914</v>
      </c>
      <c r="BH52" s="138" t="n">
        <f aca="false">BH211+BH207</f>
        <v>-5664.36531467914</v>
      </c>
      <c r="BI52" s="138" t="n">
        <f aca="false">BI211+BI207</f>
        <v>-5664.36531467914</v>
      </c>
      <c r="BJ52" s="138" t="n">
        <f aca="false">BJ211+BJ207</f>
        <v>-5664.36531467914</v>
      </c>
      <c r="BK52" s="138" t="n">
        <f aca="false">BK211+BK207</f>
        <v>-5664.36531467914</v>
      </c>
      <c r="BL52" s="138" t="n">
        <f aca="false">BL211+BL207</f>
        <v>-5664.36531467914</v>
      </c>
      <c r="BM52" s="138" t="n">
        <f aca="false">BM211+BM207</f>
        <v>-5664.36531467914</v>
      </c>
      <c r="BN52" s="138" t="n">
        <f aca="false">BN211+BN207</f>
        <v>-5664.36531467914</v>
      </c>
      <c r="BO52" s="138" t="n">
        <f aca="false">BO211+BO207</f>
        <v>-3281.35823455021</v>
      </c>
      <c r="BP52" s="138" t="n">
        <f aca="false">BP211+BP207</f>
        <v>-5664.36531467914</v>
      </c>
      <c r="BQ52" s="138" t="n">
        <f aca="false">BQ211+BQ207</f>
        <v>-5664.36531467914</v>
      </c>
      <c r="BR52" s="138" t="n">
        <f aca="false">BR211+BR207</f>
        <v>-5664.36531467914</v>
      </c>
      <c r="BS52" s="138" t="n">
        <f aca="false">BS211+BS207</f>
        <v>-5664.36531467914</v>
      </c>
      <c r="BT52" s="138" t="n">
        <f aca="false">BT211+BT207</f>
        <v>-5664.36531467914</v>
      </c>
      <c r="BU52" s="138" t="n">
        <f aca="false">BU211+BU207</f>
        <v>-5664.36531467914</v>
      </c>
      <c r="BV52" s="138" t="n">
        <f aca="false">BV211+BV207</f>
        <v>-5664.36531467914</v>
      </c>
      <c r="BW52" s="138" t="n">
        <f aca="false">BW211+BW207</f>
        <v>-5664.36531467914</v>
      </c>
      <c r="BX52" s="138" t="n">
        <f aca="false">BX211+BX207</f>
        <v>-5664.36531467914</v>
      </c>
      <c r="BY52" s="138" t="n">
        <f aca="false">BY211+BY207</f>
        <v>-5664.36531467914</v>
      </c>
      <c r="BZ52" s="138" t="n">
        <f aca="false">BZ211+BZ207</f>
        <v>-5664.36531467914</v>
      </c>
      <c r="CA52" s="138" t="n">
        <f aca="false">CA211+CA207</f>
        <v>-3281.35823455021</v>
      </c>
      <c r="CB52" s="138" t="n">
        <f aca="false">CB211+CB207</f>
        <v>-5664.36531467914</v>
      </c>
      <c r="CC52" s="138" t="n">
        <f aca="false">CC211+CC207</f>
        <v>-5664.36531467914</v>
      </c>
      <c r="CD52" s="138" t="n">
        <f aca="false">CD211+CD207</f>
        <v>-5664.36531467914</v>
      </c>
      <c r="CE52" s="138" t="n">
        <f aca="false">CE211+CE207</f>
        <v>-5664.36531467914</v>
      </c>
      <c r="CF52" s="138" t="n">
        <f aca="false">CF211+CF207</f>
        <v>-5664.36531467914</v>
      </c>
      <c r="CG52" s="138" t="n">
        <f aca="false">CG211+CG207</f>
        <v>-5664.36531467914</v>
      </c>
      <c r="CH52" s="138" t="n">
        <f aca="false">CH211+CH207</f>
        <v>-5664.36531467914</v>
      </c>
    </row>
    <row r="53" customFormat="false" ht="13.5" hidden="false" customHeight="true" outlineLevel="0" collapsed="false">
      <c r="A53" s="13" t="s">
        <v>734</v>
      </c>
      <c r="C53" s="138" t="n">
        <f aca="false">-Hipótesis!$E$39</f>
        <v>-500</v>
      </c>
      <c r="D53" s="138" t="n">
        <f aca="false">-Hipótesis!$E$39</f>
        <v>-500</v>
      </c>
      <c r="E53" s="138" t="n">
        <f aca="false">-Hipótesis!$E$39</f>
        <v>-500</v>
      </c>
      <c r="F53" s="138" t="n">
        <f aca="false">-Hipótesis!$E$39</f>
        <v>-500</v>
      </c>
      <c r="G53" s="138" t="n">
        <f aca="false">-Hipótesis!$E$39</f>
        <v>-500</v>
      </c>
      <c r="H53" s="138" t="n">
        <f aca="false">-Hipótesis!$E$39</f>
        <v>-500</v>
      </c>
      <c r="I53" s="138" t="n">
        <f aca="false">-Hipótesis!$E$39</f>
        <v>-500</v>
      </c>
      <c r="J53" s="138" t="n">
        <f aca="false">-Hipótesis!$E$39</f>
        <v>-500</v>
      </c>
      <c r="K53" s="138" t="n">
        <f aca="false">-Hipótesis!$E$39</f>
        <v>-500</v>
      </c>
      <c r="L53" s="138" t="n">
        <f aca="false">-Hipótesis!$E$39</f>
        <v>-500</v>
      </c>
      <c r="M53" s="138" t="n">
        <f aca="false">-Hipótesis!$E$39</f>
        <v>-500</v>
      </c>
      <c r="N53" s="138" t="n">
        <f aca="false">-Hipótesis!$E$39</f>
        <v>-500</v>
      </c>
      <c r="O53" s="138" t="n">
        <f aca="false">-Hipótesis!$E$39</f>
        <v>-500</v>
      </c>
      <c r="P53" s="138" t="n">
        <f aca="false">-Hipótesis!$E$39</f>
        <v>-500</v>
      </c>
      <c r="Q53" s="138" t="n">
        <f aca="false">-Hipótesis!$E$39</f>
        <v>-500</v>
      </c>
      <c r="R53" s="138" t="n">
        <f aca="false">-Hipótesis!$E$39</f>
        <v>-500</v>
      </c>
      <c r="S53" s="138" t="n">
        <f aca="false">-Hipótesis!$E$39</f>
        <v>-500</v>
      </c>
      <c r="T53" s="138" t="n">
        <f aca="false">-Hipótesis!$E$39</f>
        <v>-500</v>
      </c>
      <c r="U53" s="138" t="n">
        <f aca="false">-Hipótesis!$E$39</f>
        <v>-500</v>
      </c>
      <c r="V53" s="138" t="n">
        <f aca="false">-Hipótesis!$E$39</f>
        <v>-500</v>
      </c>
      <c r="W53" s="138" t="n">
        <f aca="false">-Hipótesis!$E$39</f>
        <v>-500</v>
      </c>
      <c r="X53" s="138" t="n">
        <f aca="false">-Hipótesis!$E$39</f>
        <v>-500</v>
      </c>
      <c r="Y53" s="138" t="n">
        <f aca="false">-Hipótesis!$E$39</f>
        <v>-500</v>
      </c>
      <c r="Z53" s="138" t="n">
        <f aca="false">-Hipótesis!$E$39</f>
        <v>-500</v>
      </c>
      <c r="AA53" s="138" t="n">
        <f aca="false">-Hipótesis!$E$39</f>
        <v>-500</v>
      </c>
      <c r="AB53" s="138" t="n">
        <f aca="false">-Hipótesis!$E$39</f>
        <v>-500</v>
      </c>
      <c r="AC53" s="138" t="n">
        <f aca="false">-Hipótesis!$E$39</f>
        <v>-500</v>
      </c>
      <c r="AD53" s="138" t="n">
        <f aca="false">-Hipótesis!$E$39</f>
        <v>-500</v>
      </c>
      <c r="AE53" s="138" t="n">
        <f aca="false">-Hipótesis!$E$39</f>
        <v>-500</v>
      </c>
      <c r="AF53" s="138" t="n">
        <f aca="false">-Hipótesis!$E$39</f>
        <v>-500</v>
      </c>
      <c r="AG53" s="138" t="n">
        <f aca="false">-Hipótesis!$E$39</f>
        <v>-500</v>
      </c>
      <c r="AH53" s="138" t="n">
        <f aca="false">-Hipótesis!$E$39</f>
        <v>-500</v>
      </c>
      <c r="AI53" s="138" t="n">
        <f aca="false">-Hipótesis!$E$39</f>
        <v>-500</v>
      </c>
      <c r="AJ53" s="138" t="n">
        <f aca="false">-Hipótesis!$E$39</f>
        <v>-500</v>
      </c>
      <c r="AK53" s="138" t="n">
        <f aca="false">-Hipótesis!$E$39</f>
        <v>-500</v>
      </c>
      <c r="AL53" s="138" t="n">
        <f aca="false">-Hipótesis!$E$39</f>
        <v>-500</v>
      </c>
      <c r="AM53" s="138" t="n">
        <f aca="false">-Hipótesis!$E$39</f>
        <v>-500</v>
      </c>
      <c r="AN53" s="138" t="n">
        <f aca="false">-Hipótesis!$E$39</f>
        <v>-500</v>
      </c>
      <c r="AO53" s="138" t="n">
        <f aca="false">-Hipótesis!$E$39</f>
        <v>-500</v>
      </c>
      <c r="AP53" s="138" t="n">
        <f aca="false">-Hipótesis!$E$39</f>
        <v>-500</v>
      </c>
      <c r="AQ53" s="138" t="n">
        <f aca="false">-Hipótesis!$E$39</f>
        <v>-500</v>
      </c>
      <c r="AR53" s="138" t="n">
        <f aca="false">-Hipótesis!$E$39</f>
        <v>-500</v>
      </c>
      <c r="AS53" s="138" t="n">
        <f aca="false">-Hipótesis!$E$39</f>
        <v>-500</v>
      </c>
      <c r="AT53" s="138" t="n">
        <f aca="false">-Hipótesis!$E$39</f>
        <v>-500</v>
      </c>
      <c r="AU53" s="138" t="n">
        <f aca="false">-Hipótesis!$E$39</f>
        <v>-500</v>
      </c>
      <c r="AV53" s="138" t="n">
        <f aca="false">-Hipótesis!$E$39</f>
        <v>-500</v>
      </c>
      <c r="AW53" s="138" t="n">
        <f aca="false">-Hipótesis!$E$39</f>
        <v>-500</v>
      </c>
      <c r="AX53" s="138" t="n">
        <f aca="false">-Hipótesis!$E$39</f>
        <v>-500</v>
      </c>
      <c r="AY53" s="138" t="n">
        <f aca="false">-Hipótesis!$E$39</f>
        <v>-500</v>
      </c>
      <c r="AZ53" s="138" t="n">
        <f aca="false">-Hipótesis!$E$39</f>
        <v>-500</v>
      </c>
      <c r="BA53" s="138" t="n">
        <f aca="false">-Hipótesis!$E$39</f>
        <v>-500</v>
      </c>
      <c r="BB53" s="138" t="n">
        <f aca="false">-Hipótesis!$E$39</f>
        <v>-500</v>
      </c>
      <c r="BC53" s="138" t="n">
        <f aca="false">-Hipótesis!$E$39</f>
        <v>-500</v>
      </c>
      <c r="BD53" s="138" t="n">
        <f aca="false">-Hipótesis!$E$39</f>
        <v>-500</v>
      </c>
      <c r="BE53" s="138" t="n">
        <f aca="false">-Hipótesis!$E$39</f>
        <v>-500</v>
      </c>
      <c r="BF53" s="138" t="n">
        <f aca="false">-Hipótesis!$E$39</f>
        <v>-500</v>
      </c>
      <c r="BG53" s="138" t="n">
        <f aca="false">-Hipótesis!$E$39</f>
        <v>-500</v>
      </c>
      <c r="BH53" s="138" t="n">
        <f aca="false">-Hipótesis!$E$39</f>
        <v>-500</v>
      </c>
      <c r="BI53" s="138" t="n">
        <f aca="false">-Hipótesis!$E$39</f>
        <v>-500</v>
      </c>
      <c r="BJ53" s="138" t="n">
        <f aca="false">-Hipótesis!$E$39</f>
        <v>-500</v>
      </c>
      <c r="BK53" s="138" t="n">
        <f aca="false">-Hipótesis!$E$39</f>
        <v>-500</v>
      </c>
      <c r="BL53" s="138" t="n">
        <f aca="false">-Hipótesis!$E$39</f>
        <v>-500</v>
      </c>
      <c r="BM53" s="138" t="n">
        <f aca="false">-Hipótesis!$E$39</f>
        <v>-500</v>
      </c>
      <c r="BN53" s="138" t="n">
        <f aca="false">-Hipótesis!$E$39</f>
        <v>-500</v>
      </c>
      <c r="BO53" s="138" t="n">
        <f aca="false">-Hipótesis!$E$39</f>
        <v>-500</v>
      </c>
      <c r="BP53" s="138" t="n">
        <f aca="false">-Hipótesis!$E$39</f>
        <v>-500</v>
      </c>
      <c r="BQ53" s="138" t="n">
        <f aca="false">-Hipótesis!$E$39</f>
        <v>-500</v>
      </c>
      <c r="BR53" s="138" t="n">
        <f aca="false">-Hipótesis!$E$39</f>
        <v>-500</v>
      </c>
      <c r="BS53" s="138" t="n">
        <f aca="false">-Hipótesis!$E$39</f>
        <v>-500</v>
      </c>
      <c r="BT53" s="138" t="n">
        <f aca="false">-Hipótesis!$E$39</f>
        <v>-500</v>
      </c>
      <c r="BU53" s="138" t="n">
        <f aca="false">-Hipótesis!$E$39</f>
        <v>-500</v>
      </c>
      <c r="BV53" s="138" t="n">
        <f aca="false">-Hipótesis!$E$39</f>
        <v>-500</v>
      </c>
      <c r="BW53" s="138" t="n">
        <f aca="false">-Hipótesis!$E$39</f>
        <v>-500</v>
      </c>
      <c r="BX53" s="138" t="n">
        <f aca="false">-Hipótesis!$E$39</f>
        <v>-500</v>
      </c>
      <c r="BY53" s="138" t="n">
        <f aca="false">-Hipótesis!$E$39</f>
        <v>-500</v>
      </c>
      <c r="BZ53" s="138" t="n">
        <f aca="false">-Hipótesis!$E$39</f>
        <v>-500</v>
      </c>
      <c r="CA53" s="138" t="n">
        <f aca="false">-Hipótesis!$E$39</f>
        <v>-500</v>
      </c>
      <c r="CB53" s="138" t="n">
        <f aca="false">-Hipótesis!$E$39</f>
        <v>-500</v>
      </c>
      <c r="CC53" s="138" t="n">
        <f aca="false">-Hipótesis!$E$39</f>
        <v>-500</v>
      </c>
      <c r="CD53" s="138" t="n">
        <f aca="false">-Hipótesis!$E$39</f>
        <v>-500</v>
      </c>
      <c r="CE53" s="138" t="n">
        <f aca="false">-Hipótesis!$E$39</f>
        <v>-500</v>
      </c>
      <c r="CF53" s="138" t="n">
        <f aca="false">-Hipótesis!$E$39</f>
        <v>-500</v>
      </c>
      <c r="CG53" s="138" t="n">
        <f aca="false">-Hipótesis!$E$39</f>
        <v>-500</v>
      </c>
      <c r="CH53" s="138" t="n">
        <f aca="false">-Hipótesis!$E$39</f>
        <v>-500</v>
      </c>
    </row>
    <row r="54" customFormat="false" ht="13.5" hidden="false" customHeight="true" outlineLevel="0" collapsed="false">
      <c r="A54" s="13" t="s">
        <v>735</v>
      </c>
      <c r="C54" s="138" t="n">
        <f aca="false">-Hipótesis!$E$40+C209</f>
        <v>-789.877268661255</v>
      </c>
      <c r="D54" s="138" t="n">
        <f aca="false">-Hipótesis!$E$40+D209</f>
        <v>-794.225427691174</v>
      </c>
      <c r="E54" s="138" t="n">
        <f aca="false">-Hipótesis!$E$40+E209</f>
        <v>-798.573586721093</v>
      </c>
      <c r="F54" s="138" t="n">
        <f aca="false">-Hipótesis!$E$40+F209</f>
        <v>-802.921745751011</v>
      </c>
      <c r="G54" s="138" t="n">
        <f aca="false">-Hipótesis!$E$40+G209</f>
        <v>-807.26990478093</v>
      </c>
      <c r="H54" s="138" t="n">
        <f aca="false">-Hipótesis!$E$40+H209</f>
        <v>-811.618063810849</v>
      </c>
      <c r="I54" s="138" t="n">
        <f aca="false">-Hipótesis!$E$40+I209</f>
        <v>-815.966222840768</v>
      </c>
      <c r="J54" s="138" t="n">
        <f aca="false">-Hipótesis!$E$40+J209</f>
        <v>-820.314381870687</v>
      </c>
      <c r="K54" s="138" t="n">
        <f aca="false">-Hipótesis!$E$40+K209</f>
        <v>-824.662540900606</v>
      </c>
      <c r="L54" s="138" t="n">
        <f aca="false">-Hipótesis!$E$40+L209</f>
        <v>-829.010699930524</v>
      </c>
      <c r="M54" s="138" t="n">
        <f aca="false">-Hipótesis!$E$40+M209</f>
        <v>-833.358858960443</v>
      </c>
      <c r="N54" s="138" t="n">
        <f aca="false">-Hipótesis!$E$40+N209</f>
        <v>-837.707017990362</v>
      </c>
      <c r="O54" s="138" t="n">
        <f aca="false">-Hipótesis!$E$40+O209</f>
        <v>-842.05517702028</v>
      </c>
      <c r="P54" s="138" t="n">
        <f aca="false">-Hipótesis!$E$40+P209</f>
        <v>-846.4033360502</v>
      </c>
      <c r="Q54" s="138" t="n">
        <f aca="false">-Hipótesis!$E$40+Q209</f>
        <v>-850.751495080119</v>
      </c>
      <c r="R54" s="138" t="n">
        <f aca="false">-Hipótesis!$E$40+R209</f>
        <v>-855.099654110037</v>
      </c>
      <c r="S54" s="138" t="n">
        <f aca="false">-Hipótesis!$E$40+S209</f>
        <v>-859.447813139956</v>
      </c>
      <c r="T54" s="138" t="n">
        <f aca="false">-Hipótesis!$E$40+T209</f>
        <v>-863.795972169875</v>
      </c>
      <c r="U54" s="138" t="n">
        <f aca="false">-Hipótesis!$E$40+U209</f>
        <v>-578.266862538539</v>
      </c>
      <c r="V54" s="138" t="n">
        <f aca="false">-Hipótesis!$E$40+V209</f>
        <v>-578.266862538539</v>
      </c>
      <c r="W54" s="138" t="n">
        <f aca="false">-Hipótesis!$E$40+W209</f>
        <v>-578.266862538539</v>
      </c>
      <c r="X54" s="138" t="n">
        <f aca="false">-Hipótesis!$E$40+X209</f>
        <v>-578.266862538539</v>
      </c>
      <c r="Y54" s="138" t="n">
        <f aca="false">-Hipótesis!$E$40+Y209</f>
        <v>-578.266862538539</v>
      </c>
      <c r="Z54" s="138" t="n">
        <f aca="false">-Hipótesis!$E$40+Z209</f>
        <v>-578.266862538539</v>
      </c>
      <c r="AA54" s="138" t="n">
        <f aca="false">-Hipótesis!$E$40+AA209</f>
        <v>-578.266862538539</v>
      </c>
      <c r="AB54" s="138" t="n">
        <f aca="false">-Hipótesis!$E$40+AB209</f>
        <v>-578.266862538539</v>
      </c>
      <c r="AC54" s="138" t="n">
        <f aca="false">-Hipótesis!$E$40+AC209</f>
        <v>-578.266862538539</v>
      </c>
      <c r="AD54" s="138" t="n">
        <f aca="false">-Hipótesis!$E$40+AD209</f>
        <v>-578.266862538539</v>
      </c>
      <c r="AE54" s="138" t="n">
        <f aca="false">-Hipótesis!$E$40+AE209</f>
        <v>-578.266862538539</v>
      </c>
      <c r="AF54" s="138" t="n">
        <f aca="false">-Hipótesis!$E$40+AF209</f>
        <v>-578.266862538539</v>
      </c>
      <c r="AG54" s="138" t="n">
        <f aca="false">-Hipótesis!$E$40+AG209</f>
        <v>-578.266862538539</v>
      </c>
      <c r="AH54" s="138" t="n">
        <f aca="false">-Hipótesis!$E$40+AH209</f>
        <v>-578.266862538539</v>
      </c>
      <c r="AI54" s="138" t="n">
        <f aca="false">-Hipótesis!$E$40+AI209</f>
        <v>-578.266862538539</v>
      </c>
      <c r="AJ54" s="138" t="n">
        <f aca="false">-Hipótesis!$E$40+AJ209</f>
        <v>-578.266862538539</v>
      </c>
      <c r="AK54" s="138" t="n">
        <f aca="false">-Hipótesis!$E$40+AK209</f>
        <v>-578.266862538539</v>
      </c>
      <c r="AL54" s="138" t="n">
        <f aca="false">-Hipótesis!$E$40+AL209</f>
        <v>-578.266862538539</v>
      </c>
      <c r="AM54" s="138" t="n">
        <f aca="false">-Hipótesis!$E$40+AM209</f>
        <v>-578.266862538539</v>
      </c>
      <c r="AN54" s="138" t="n">
        <f aca="false">-Hipótesis!$E$40+AN209</f>
        <v>-578.266862538539</v>
      </c>
      <c r="AO54" s="138" t="n">
        <f aca="false">-Hipótesis!$E$40+AO209</f>
        <v>-578.266862538539</v>
      </c>
      <c r="AP54" s="138" t="n">
        <f aca="false">-Hipótesis!$E$40+AP209</f>
        <v>-578.266862538539</v>
      </c>
      <c r="AQ54" s="138" t="n">
        <f aca="false">-Hipótesis!$E$40+AQ209</f>
        <v>-578.266862538539</v>
      </c>
      <c r="AR54" s="138" t="n">
        <f aca="false">-Hipótesis!$E$40+AR209</f>
        <v>-578.266862538539</v>
      </c>
      <c r="AS54" s="138" t="n">
        <f aca="false">-Hipótesis!$E$40+AS209</f>
        <v>-578.266862538539</v>
      </c>
      <c r="AT54" s="138" t="n">
        <f aca="false">-Hipótesis!$E$40+AT209</f>
        <v>-578.266862538539</v>
      </c>
      <c r="AU54" s="138" t="n">
        <f aca="false">-Hipótesis!$E$40+AU209</f>
        <v>-578.266862538539</v>
      </c>
      <c r="AV54" s="138" t="n">
        <f aca="false">-Hipótesis!$E$40+AV209</f>
        <v>-578.266862538539</v>
      </c>
      <c r="AW54" s="138" t="n">
        <f aca="false">-Hipótesis!$E$40+AW209</f>
        <v>-578.266862538539</v>
      </c>
      <c r="AX54" s="138" t="n">
        <f aca="false">-Hipótesis!$E$40+AX209</f>
        <v>-578.266862538539</v>
      </c>
      <c r="AY54" s="138" t="n">
        <f aca="false">-Hipótesis!$E$40+AY209</f>
        <v>-578.266862538539</v>
      </c>
      <c r="AZ54" s="138" t="n">
        <f aca="false">-Hipótesis!$E$40+AZ209</f>
        <v>-578.266862538539</v>
      </c>
      <c r="BA54" s="138" t="n">
        <f aca="false">-Hipótesis!$E$40+BA209</f>
        <v>-578.266862538539</v>
      </c>
      <c r="BB54" s="138" t="n">
        <f aca="false">-Hipótesis!$E$40+BB209</f>
        <v>-578.266862538539</v>
      </c>
      <c r="BC54" s="138" t="n">
        <f aca="false">-Hipótesis!$E$40+BC209</f>
        <v>-578.266862538539</v>
      </c>
      <c r="BD54" s="138" t="n">
        <f aca="false">-Hipótesis!$E$40+BD209</f>
        <v>-578.266862538539</v>
      </c>
      <c r="BE54" s="138" t="n">
        <f aca="false">-Hipótesis!$E$40+BE209</f>
        <v>-578.266862538539</v>
      </c>
      <c r="BF54" s="138" t="n">
        <f aca="false">-Hipótesis!$E$40+BF209</f>
        <v>-578.266862538539</v>
      </c>
      <c r="BG54" s="138" t="n">
        <f aca="false">-Hipótesis!$E$40+BG209</f>
        <v>-578.266862538539</v>
      </c>
      <c r="BH54" s="138" t="n">
        <f aca="false">-Hipótesis!$E$40+BH209</f>
        <v>-578.266862538539</v>
      </c>
      <c r="BI54" s="138" t="n">
        <f aca="false">-Hipótesis!$E$40+BI209</f>
        <v>-578.266862538539</v>
      </c>
      <c r="BJ54" s="138" t="n">
        <f aca="false">-Hipótesis!$E$40+BJ209</f>
        <v>-578.266862538539</v>
      </c>
      <c r="BK54" s="138" t="n">
        <f aca="false">-Hipótesis!$E$40+BK209</f>
        <v>-578.266862538539</v>
      </c>
      <c r="BL54" s="138" t="n">
        <f aca="false">-Hipótesis!$E$40+BL209</f>
        <v>-578.266862538539</v>
      </c>
      <c r="BM54" s="138" t="n">
        <f aca="false">-Hipótesis!$E$40+BM209</f>
        <v>-578.266862538539</v>
      </c>
      <c r="BN54" s="138" t="n">
        <f aca="false">-Hipótesis!$E$40+BN209</f>
        <v>-578.266862538539</v>
      </c>
      <c r="BO54" s="138" t="n">
        <f aca="false">-Hipótesis!$E$40+BO209</f>
        <v>-578.266862538539</v>
      </c>
      <c r="BP54" s="138" t="n">
        <f aca="false">-Hipótesis!$E$40+BP209</f>
        <v>-578.266862538539</v>
      </c>
      <c r="BQ54" s="138" t="n">
        <f aca="false">-Hipótesis!$E$40+BQ209</f>
        <v>-578.266862538539</v>
      </c>
      <c r="BR54" s="138" t="n">
        <f aca="false">-Hipótesis!$E$40+BR209</f>
        <v>-578.266862538539</v>
      </c>
      <c r="BS54" s="138" t="n">
        <f aca="false">-Hipótesis!$E$40+BS209</f>
        <v>-578.266862538539</v>
      </c>
      <c r="BT54" s="138" t="n">
        <f aca="false">-Hipótesis!$E$40+BT209</f>
        <v>-578.266862538539</v>
      </c>
      <c r="BU54" s="138" t="n">
        <f aca="false">-Hipótesis!$E$40+BU209</f>
        <v>-578.266862538539</v>
      </c>
      <c r="BV54" s="138" t="n">
        <f aca="false">-Hipótesis!$E$40+BV209</f>
        <v>-578.266862538539</v>
      </c>
      <c r="BW54" s="138" t="n">
        <f aca="false">-Hipótesis!$E$40+BW209</f>
        <v>-578.266862538539</v>
      </c>
      <c r="BX54" s="138" t="n">
        <f aca="false">-Hipótesis!$E$40+BX209</f>
        <v>-578.266862538539</v>
      </c>
      <c r="BY54" s="138" t="n">
        <f aca="false">-Hipótesis!$E$40+BY209</f>
        <v>-578.266862538539</v>
      </c>
      <c r="BZ54" s="138" t="n">
        <f aca="false">-Hipótesis!$E$40+BZ209</f>
        <v>-578.266862538539</v>
      </c>
      <c r="CA54" s="138" t="n">
        <f aca="false">-Hipótesis!$E$40+CA209</f>
        <v>-578.266862538539</v>
      </c>
      <c r="CB54" s="138" t="n">
        <f aca="false">-Hipótesis!$E$40+CB209</f>
        <v>-578.266862538539</v>
      </c>
      <c r="CC54" s="138" t="n">
        <f aca="false">-Hipótesis!$E$40+CC209</f>
        <v>-578.266862538539</v>
      </c>
      <c r="CD54" s="138" t="n">
        <f aca="false">-Hipótesis!$E$40+CD209</f>
        <v>-578.266862538539</v>
      </c>
      <c r="CE54" s="138" t="n">
        <f aca="false">-Hipótesis!$E$40+CE209</f>
        <v>-578.266862538539</v>
      </c>
      <c r="CF54" s="138" t="n">
        <f aca="false">-Hipótesis!$E$40+CF209</f>
        <v>-578.266862538539</v>
      </c>
      <c r="CG54" s="138" t="n">
        <f aca="false">-Hipótesis!$E$40+CG209</f>
        <v>-578.266862538539</v>
      </c>
      <c r="CH54" s="138" t="n">
        <f aca="false">-Hipótesis!$E$40+CH209</f>
        <v>-578.266862538539</v>
      </c>
    </row>
    <row r="55" customFormat="false" ht="13.5" hidden="false" customHeight="true" outlineLevel="0" collapsed="false">
      <c r="A55" s="30" t="s">
        <v>736</v>
      </c>
      <c r="C55" s="138" t="n">
        <f aca="false">C42+C43+C51+C52+C53+C54</f>
        <v>-16771.8734886468</v>
      </c>
      <c r="D55" s="138" t="n">
        <f aca="false">D42+D43+D51+D52+D53+D54</f>
        <v>-16867.1182097852</v>
      </c>
      <c r="E55" s="138" t="n">
        <f aca="false">E42+E43+E51+E52+E53+E54</f>
        <v>-16991.1159797097</v>
      </c>
      <c r="F55" s="138" t="n">
        <f aca="false">F42+F43+F51+F52+F53+F54</f>
        <v>-17090.4294095562</v>
      </c>
      <c r="G55" s="138" t="n">
        <f aca="false">G42+G43+G51+G52+G53+G54</f>
        <v>-16914.7607576731</v>
      </c>
      <c r="H55" s="138" t="n">
        <f aca="false">H42+H43+H51+H52+H53+H54</f>
        <v>-17307.7397134959</v>
      </c>
      <c r="I55" s="138" t="n">
        <f aca="false">I42+I43+I51+I52+I53+I54</f>
        <v>-17509.5185809796</v>
      </c>
      <c r="J55" s="138" t="n">
        <f aca="false">J42+J43+J51+J52+J53+J54</f>
        <v>-17780.8569027493</v>
      </c>
      <c r="K55" s="138" t="n">
        <f aca="false">K42+K43+K51+K52+K53+K54</f>
        <v>-18064.8920879195</v>
      </c>
      <c r="L55" s="138" t="n">
        <f aca="false">L42+L43+L51+L52+L53+L54</f>
        <v>-18348.9272730897</v>
      </c>
      <c r="M55" s="138" t="n">
        <f aca="false">M42+M43+M51+M52+M53+M54</f>
        <v>-18604.2094094737</v>
      </c>
      <c r="N55" s="138" t="n">
        <f aca="false">N42+N43+N51+N52+N53+N54</f>
        <v>-18892.4139145743</v>
      </c>
      <c r="O55" s="138" t="n">
        <f aca="false">O42+O43+O51+O52+O53+O54</f>
        <v>-24407.8184196749</v>
      </c>
      <c r="P55" s="138" t="n">
        <f aca="false">P42+P43+P51+P52+P53+P54</f>
        <v>-24686.5577437695</v>
      </c>
      <c r="Q55" s="138" t="n">
        <f aca="false">Q42+Q43+Q51+Q52+Q53+Q54</f>
        <v>-24965.2970678641</v>
      </c>
      <c r="R55" s="138" t="n">
        <f aca="false">R42+R43+R51+R52+R53+R54</f>
        <v>-25244.0363919587</v>
      </c>
      <c r="S55" s="138" t="n">
        <f aca="false">S42+S43+S51+S52+S53+S54</f>
        <v>-23253.0223625982</v>
      </c>
      <c r="T55" s="138" t="n">
        <f aca="false">T42+T43+T51+T52+T53+T54</f>
        <v>-25801.5150401479</v>
      </c>
      <c r="U55" s="138" t="n">
        <f aca="false">U42+U43+U51+U52+U53+U54</f>
        <v>-27919.9524125216</v>
      </c>
      <c r="V55" s="138" t="n">
        <f aca="false">V42+V43+V51+V52+V53+V54</f>
        <v>-30731.7988945267</v>
      </c>
      <c r="W55" s="138" t="n">
        <f aca="false">W42+W43+W51+W52+W53+W54</f>
        <v>-30824.4453765318</v>
      </c>
      <c r="X55" s="138" t="n">
        <f aca="false">X42+X43+X51+X52+X53+X54</f>
        <v>-30884.1694898203</v>
      </c>
      <c r="Y55" s="138" t="n">
        <f aca="false">Y42+Y43+Y51+Y52+Y53+Y54</f>
        <v>-30943.8936031088</v>
      </c>
      <c r="Z55" s="138" t="n">
        <f aca="false">Z42+Z43+Z51+Z52+Z53+Z54</f>
        <v>-30990.4487689107</v>
      </c>
      <c r="AA55" s="138" t="n">
        <f aca="false">AA42+AA43+AA51+AA52+AA53+AA54</f>
        <v>-33249.4955347126</v>
      </c>
      <c r="AB55" s="138" t="n">
        <f aca="false">AB42+AB43+AB51+AB52+AB53+AB54</f>
        <v>-33296.0507005145</v>
      </c>
      <c r="AC55" s="138" t="n">
        <f aca="false">AC42+AC43+AC51+AC52+AC53+AC54</f>
        <v>-33342.6058663164</v>
      </c>
      <c r="AD55" s="138" t="n">
        <f aca="false">AD42+AD43+AD51+AD52+AD53+AD54</f>
        <v>-33389.1610321184</v>
      </c>
      <c r="AE55" s="138" t="n">
        <f aca="false">AE42+AE43+AE51+AE52+AE53+AE54</f>
        <v>-30985.3891177913</v>
      </c>
      <c r="AF55" s="138" t="n">
        <f aca="false">AF42+AF43+AF51+AF52+AF53+AF54</f>
        <v>-33482.2713637222</v>
      </c>
      <c r="AG55" s="138" t="n">
        <f aca="false">AG42+AG43+AG51+AG52+AG53+AG54</f>
        <v>-33528.8265295241</v>
      </c>
      <c r="AH55" s="138" t="n">
        <f aca="false">AH42+AH43+AH51+AH52+AH53+AH54</f>
        <v>-35956.041295326</v>
      </c>
      <c r="AI55" s="138" t="n">
        <f aca="false">AI42+AI43+AI51+AI52+AI53+AI54</f>
        <v>-36002.5964611279</v>
      </c>
      <c r="AJ55" s="138" t="n">
        <f aca="false">AJ42+AJ43+AJ51+AJ52+AJ53+AJ54</f>
        <v>-36049.1516269298</v>
      </c>
      <c r="AK55" s="138" t="n">
        <f aca="false">AK42+AK43+AK51+AK52+AK53+AK54</f>
        <v>-36095.7067927317</v>
      </c>
      <c r="AL55" s="138" t="n">
        <f aca="false">AL42+AL43+AL51+AL52+AL53+AL54</f>
        <v>-36142.2619585336</v>
      </c>
      <c r="AM55" s="138" t="n">
        <f aca="false">AM42+AM43+AM51+AM52+AM53+AM54</f>
        <v>-38479.7032603356</v>
      </c>
      <c r="AN55" s="138" t="n">
        <f aca="false">AN42+AN43+AN51+AN52+AN53+AN54</f>
        <v>-38526.2584261375</v>
      </c>
      <c r="AO55" s="138" t="n">
        <f aca="false">AO42+AO43+AO51+AO52+AO53+AO54</f>
        <v>-38572.8135919394</v>
      </c>
      <c r="AP55" s="138" t="n">
        <f aca="false">AP42+AP43+AP51+AP52+AP53+AP54</f>
        <v>-38619.3687577413</v>
      </c>
      <c r="AQ55" s="138" t="n">
        <f aca="false">AQ42+AQ43+AQ51+AQ52+AQ53+AQ54</f>
        <v>-36215.5968434143</v>
      </c>
      <c r="AR55" s="138" t="n">
        <f aca="false">AR42+AR43+AR51+AR52+AR53+AR54</f>
        <v>-38712.4790893451</v>
      </c>
      <c r="AS55" s="138" t="n">
        <f aca="false">AS42+AS43+AS51+AS52+AS53+AS54</f>
        <v>-38712.4790893451</v>
      </c>
      <c r="AT55" s="138" t="n">
        <f aca="false">AT42+AT43+AT51+AT52+AT53+AT54</f>
        <v>-38712.4790893451</v>
      </c>
      <c r="AU55" s="138" t="n">
        <f aca="false">AU42+AU43+AU51+AU52+AU53+AU54</f>
        <v>-38712.4790893451</v>
      </c>
      <c r="AV55" s="138" t="n">
        <f aca="false">AV42+AV43+AV51+AV52+AV53+AV54</f>
        <v>-38712.4790893451</v>
      </c>
      <c r="AW55" s="138" t="n">
        <f aca="false">AW42+AW43+AW51+AW52+AW53+AW54</f>
        <v>-38712.4790893451</v>
      </c>
      <c r="AX55" s="138" t="n">
        <f aca="false">AX42+AX43+AX51+AX52+AX53+AX54</f>
        <v>-38712.4790893451</v>
      </c>
      <c r="AY55" s="138" t="n">
        <f aca="false">AY42+AY43+AY51+AY52+AY53+AY54</f>
        <v>-41012.6918094251</v>
      </c>
      <c r="AZ55" s="138" t="n">
        <f aca="false">AZ42+AZ43+AZ51+AZ52+AZ53+AZ54</f>
        <v>-41012.6918094251</v>
      </c>
      <c r="BA55" s="138" t="n">
        <f aca="false">BA42+BA43+BA51+BA52+BA53+BA54</f>
        <v>-41012.6918094251</v>
      </c>
      <c r="BB55" s="138" t="n">
        <f aca="false">BB42+BB43+BB51+BB52+BB53+BB54</f>
        <v>-41012.6918094251</v>
      </c>
      <c r="BC55" s="138" t="n">
        <f aca="false">BC42+BC43+BC51+BC52+BC53+BC54</f>
        <v>-38562.3647292962</v>
      </c>
      <c r="BD55" s="138" t="n">
        <f aca="false">BD42+BD43+BD51+BD52+BD53+BD54</f>
        <v>-41012.6918094251</v>
      </c>
      <c r="BE55" s="138" t="n">
        <f aca="false">BE42+BE43+BE51+BE52+BE53+BE54</f>
        <v>-41012.6918094251</v>
      </c>
      <c r="BF55" s="138" t="n">
        <f aca="false">BF42+BF43+BF51+BF52+BF53+BF54</f>
        <v>-41012.6918094251</v>
      </c>
      <c r="BG55" s="138" t="n">
        <f aca="false">BG42+BG43+BG51+BG52+BG53+BG54</f>
        <v>-41012.6918094251</v>
      </c>
      <c r="BH55" s="138" t="n">
        <f aca="false">BH42+BH43+BH51+BH52+BH53+BH54</f>
        <v>-41012.6918094251</v>
      </c>
      <c r="BI55" s="138" t="n">
        <f aca="false">BI42+BI43+BI51+BI52+BI53+BI54</f>
        <v>-41012.6918094251</v>
      </c>
      <c r="BJ55" s="138" t="n">
        <f aca="false">BJ42+BJ43+BJ51+BJ52+BJ53+BJ54</f>
        <v>-41012.6918094251</v>
      </c>
      <c r="BK55" s="138" t="n">
        <f aca="false">BK42+BK43+BK51+BK52+BK53+BK54</f>
        <v>-43322.5109111075</v>
      </c>
      <c r="BL55" s="138" t="n">
        <f aca="false">BL42+BL43+BL51+BL52+BL53+BL54</f>
        <v>-43322.5109111075</v>
      </c>
      <c r="BM55" s="138" t="n">
        <f aca="false">BM42+BM43+BM51+BM52+BM53+BM54</f>
        <v>-43322.5109111075</v>
      </c>
      <c r="BN55" s="138" t="n">
        <f aca="false">BN42+BN43+BN51+BN52+BN53+BN54</f>
        <v>-43322.5109111075</v>
      </c>
      <c r="BO55" s="138" t="n">
        <f aca="false">BO42+BO43+BO51+BO52+BO53+BO54</f>
        <v>-40872.1838309786</v>
      </c>
      <c r="BP55" s="138" t="n">
        <f aca="false">BP42+BP43+BP51+BP52+BP53+BP54</f>
        <v>-43322.5109111075</v>
      </c>
      <c r="BQ55" s="138" t="n">
        <f aca="false">BQ42+BQ43+BQ51+BQ52+BQ53+BQ54</f>
        <v>-43322.5109111075</v>
      </c>
      <c r="BR55" s="138" t="n">
        <f aca="false">BR42+BR43+BR51+BR52+BR53+BR54</f>
        <v>-43322.5109111075</v>
      </c>
      <c r="BS55" s="138" t="n">
        <f aca="false">BS42+BS43+BS51+BS52+BS53+BS54</f>
        <v>-43322.5109111075</v>
      </c>
      <c r="BT55" s="138" t="n">
        <f aca="false">BT42+BT43+BT51+BT52+BT53+BT54</f>
        <v>-43322.5109111075</v>
      </c>
      <c r="BU55" s="138" t="n">
        <f aca="false">BU42+BU43+BU51+BU52+BU53+BU54</f>
        <v>-43322.5109111075</v>
      </c>
      <c r="BV55" s="138" t="n">
        <f aca="false">BV42+BV43+BV51+BV52+BV53+BV54</f>
        <v>-43322.5109111075</v>
      </c>
      <c r="BW55" s="138" t="n">
        <f aca="false">BW42+BW43+BW51+BW52+BW53+BW54</f>
        <v>-45642.2245858404</v>
      </c>
      <c r="BX55" s="138" t="n">
        <f aca="false">BX42+BX43+BX51+BX52+BX53+BX54</f>
        <v>-45642.2245858404</v>
      </c>
      <c r="BY55" s="138" t="n">
        <f aca="false">BY42+BY43+BY51+BY52+BY53+BY54</f>
        <v>-45642.2245858404</v>
      </c>
      <c r="BZ55" s="138" t="n">
        <f aca="false">BZ42+BZ43+BZ51+BZ52+BZ53+BZ54</f>
        <v>-45642.2245858404</v>
      </c>
      <c r="CA55" s="138" t="n">
        <f aca="false">CA42+CA43+CA51+CA52+CA53+CA54</f>
        <v>-43191.8975057115</v>
      </c>
      <c r="CB55" s="138" t="n">
        <f aca="false">CB42+CB43+CB51+CB52+CB53+CB54</f>
        <v>-45642.2245858404</v>
      </c>
      <c r="CC55" s="138" t="n">
        <f aca="false">CC42+CC43+CC51+CC52+CC53+CC54</f>
        <v>-45642.2245858404</v>
      </c>
      <c r="CD55" s="138" t="n">
        <f aca="false">CD42+CD43+CD51+CD52+CD53+CD54</f>
        <v>-45642.2245858404</v>
      </c>
      <c r="CE55" s="138" t="n">
        <f aca="false">CE42+CE43+CE51+CE52+CE53+CE54</f>
        <v>-45642.2245858404</v>
      </c>
      <c r="CF55" s="138" t="n">
        <f aca="false">CF42+CF43+CF51+CF52+CF53+CF54</f>
        <v>-45642.2245858404</v>
      </c>
      <c r="CG55" s="138" t="n">
        <f aca="false">CG42+CG43+CG51+CG52+CG53+CG54</f>
        <v>-45642.2245858404</v>
      </c>
      <c r="CH55" s="138" t="n">
        <f aca="false">CH42+CH43+CH51+CH52+CH53+CH54</f>
        <v>-45642.2245858404</v>
      </c>
    </row>
    <row r="56" customFormat="false" ht="13.5" hidden="false" customHeight="true" outlineLevel="0" collapsed="false">
      <c r="A56" s="64" t="s">
        <v>737</v>
      </c>
      <c r="C56" s="99" t="n">
        <f aca="false">C40+C55</f>
        <v>-14144.5925531714</v>
      </c>
      <c r="D56" s="99" t="n">
        <f aca="false">D40+D55</f>
        <v>-11548.5157014304</v>
      </c>
      <c r="E56" s="99" t="n">
        <f aca="false">E40+E55</f>
        <v>-7985.15659577221</v>
      </c>
      <c r="F56" s="99" t="n">
        <f aca="false">F40+F55</f>
        <v>-5296.92861098638</v>
      </c>
      <c r="G56" s="99" t="n">
        <f aca="false">G40+G55</f>
        <v>-9739.48744860617</v>
      </c>
      <c r="H56" s="99" t="n">
        <f aca="false">H40+H55</f>
        <v>488.918484784648</v>
      </c>
      <c r="I56" s="99" t="n">
        <f aca="false">I40+I55</f>
        <v>3566.79623978332</v>
      </c>
      <c r="J56" s="99" t="n">
        <f aca="false">J40+J55</f>
        <v>7808.94109237594</v>
      </c>
      <c r="K56" s="99" t="n">
        <f aca="false">K40+K55</f>
        <v>12655.302357508</v>
      </c>
      <c r="L56" s="99" t="n">
        <f aca="false">L40+L55</f>
        <v>17501.6636226401</v>
      </c>
      <c r="M56" s="99" t="n">
        <f aca="false">M40+M55</f>
        <v>21380.742633855</v>
      </c>
      <c r="N56" s="99" t="n">
        <f aca="false">N40+N55</f>
        <v>25971.2557330864</v>
      </c>
      <c r="O56" s="99" t="n">
        <f aca="false">O40+O55</f>
        <v>25334.5688323179</v>
      </c>
      <c r="P56" s="99" t="n">
        <f aca="false">P40+P55</f>
        <v>29650.2948499945</v>
      </c>
      <c r="Q56" s="99" t="n">
        <f aca="false">Q40+Q55</f>
        <v>33966.0208676712</v>
      </c>
      <c r="R56" s="99" t="n">
        <f aca="false">R40+R55</f>
        <v>38281.7468853479</v>
      </c>
      <c r="S56" s="99" t="n">
        <f aca="false">S40+S55</f>
        <v>19905.3501495935</v>
      </c>
      <c r="T56" s="99" t="n">
        <f aca="false">T40+T55</f>
        <v>46913.1989207013</v>
      </c>
      <c r="U56" s="99" t="n">
        <f aca="false">U40+U55</f>
        <v>48073.0369328671</v>
      </c>
      <c r="V56" s="99" t="n">
        <f aca="false">V40+V55</f>
        <v>48539.4658354017</v>
      </c>
      <c r="W56" s="99" t="n">
        <f aca="false">W40+W55</f>
        <v>51725.0947379362</v>
      </c>
      <c r="X56" s="99" t="n">
        <f aca="false">X40+X55</f>
        <v>54199.2895524541</v>
      </c>
      <c r="Y56" s="99" t="n">
        <f aca="false">Y40+Y55</f>
        <v>56673.4843669721</v>
      </c>
      <c r="Z56" s="99" t="n">
        <f aca="false">Z40+Z55</f>
        <v>58888.9445462835</v>
      </c>
      <c r="AA56" s="99" t="n">
        <f aca="false">AA40+AA55</f>
        <v>58891.9131255948</v>
      </c>
      <c r="AB56" s="99" t="n">
        <f aca="false">AB40+AB55</f>
        <v>61107.3733049061</v>
      </c>
      <c r="AC56" s="99" t="n">
        <f aca="false">AC40+AC55</f>
        <v>63322.8334842175</v>
      </c>
      <c r="AD56" s="99" t="n">
        <f aca="false">AD40+AD55</f>
        <v>65538.2936635288</v>
      </c>
      <c r="AE56" s="99" t="n">
        <f aca="false">AE40+AE55</f>
        <v>43773.8591627367</v>
      </c>
      <c r="AF56" s="99" t="n">
        <f aca="false">AF40+AF55</f>
        <v>69969.2140221515</v>
      </c>
      <c r="AG56" s="99" t="n">
        <f aca="false">AG40+AG55</f>
        <v>72184.6742014628</v>
      </c>
      <c r="AH56" s="99" t="n">
        <f aca="false">AH40+AH55</f>
        <v>72019.4747807742</v>
      </c>
      <c r="AI56" s="99" t="n">
        <f aca="false">AI40+AI55</f>
        <v>74234.9349600855</v>
      </c>
      <c r="AJ56" s="99" t="n">
        <f aca="false">AJ40+AJ55</f>
        <v>76450.3951393968</v>
      </c>
      <c r="AK56" s="99" t="n">
        <f aca="false">AK40+AK55</f>
        <v>78665.8553187082</v>
      </c>
      <c r="AL56" s="99" t="n">
        <f aca="false">AL40+AL55</f>
        <v>80881.3154980195</v>
      </c>
      <c r="AM56" s="99" t="n">
        <f aca="false">AM40+AM55</f>
        <v>80805.8895413308</v>
      </c>
      <c r="AN56" s="99" t="n">
        <f aca="false">AN40+AN55</f>
        <v>83021.3497206422</v>
      </c>
      <c r="AO56" s="99" t="n">
        <f aca="false">AO40+AO55</f>
        <v>85236.8098999536</v>
      </c>
      <c r="AP56" s="99" t="n">
        <f aca="false">AP40+AP55</f>
        <v>87452.2700792649</v>
      </c>
      <c r="AQ56" s="99" t="n">
        <f aca="false">AQ40+AQ55</f>
        <v>65687.8355784727</v>
      </c>
      <c r="AR56" s="99" t="n">
        <f aca="false">AR40+AR55</f>
        <v>91883.1904378876</v>
      </c>
      <c r="AS56" s="99" t="n">
        <f aca="false">AS40+AS55</f>
        <v>91883.1904378876</v>
      </c>
      <c r="AT56" s="99" t="n">
        <f aca="false">AT40+AT55</f>
        <v>91883.1904378876</v>
      </c>
      <c r="AU56" s="99" t="n">
        <f aca="false">AU40+AU55</f>
        <v>91883.1904378876</v>
      </c>
      <c r="AV56" s="99" t="n">
        <f aca="false">AV40+AV55</f>
        <v>91883.1904378876</v>
      </c>
      <c r="AW56" s="99" t="n">
        <f aca="false">AW40+AW55</f>
        <v>91883.1904378876</v>
      </c>
      <c r="AX56" s="99" t="n">
        <f aca="false">AX40+AX55</f>
        <v>91883.1904378876</v>
      </c>
      <c r="AY56" s="99" t="n">
        <f aca="false">AY40+AY55</f>
        <v>89582.9777178076</v>
      </c>
      <c r="AZ56" s="99" t="n">
        <f aca="false">AZ40+AZ55</f>
        <v>89582.9777178076</v>
      </c>
      <c r="BA56" s="99" t="n">
        <f aca="false">BA40+BA55</f>
        <v>89582.9777178076</v>
      </c>
      <c r="BB56" s="99" t="n">
        <f aca="false">BB40+BB55</f>
        <v>89582.9777178076</v>
      </c>
      <c r="BC56" s="99" t="n">
        <f aca="false">BC40+BC55</f>
        <v>65603.0830377041</v>
      </c>
      <c r="BD56" s="99" t="n">
        <f aca="false">BD40+BD55</f>
        <v>89582.9777178076</v>
      </c>
      <c r="BE56" s="99" t="n">
        <f aca="false">BE40+BE55</f>
        <v>89582.9777178076</v>
      </c>
      <c r="BF56" s="99" t="n">
        <f aca="false">BF40+BF55</f>
        <v>89582.9777178076</v>
      </c>
      <c r="BG56" s="99" t="n">
        <f aca="false">BG40+BG55</f>
        <v>89582.9777178076</v>
      </c>
      <c r="BH56" s="99" t="n">
        <f aca="false">BH40+BH55</f>
        <v>89582.9777178076</v>
      </c>
      <c r="BI56" s="99" t="n">
        <f aca="false">BI40+BI55</f>
        <v>89582.9777178076</v>
      </c>
      <c r="BJ56" s="99" t="n">
        <f aca="false">BJ40+BJ55</f>
        <v>89582.9777178076</v>
      </c>
      <c r="BK56" s="99" t="n">
        <f aca="false">BK40+BK55</f>
        <v>87273.1586161252</v>
      </c>
      <c r="BL56" s="99" t="n">
        <f aca="false">BL40+BL55</f>
        <v>87273.1586161252</v>
      </c>
      <c r="BM56" s="99" t="n">
        <f aca="false">BM40+BM55</f>
        <v>87273.1586161252</v>
      </c>
      <c r="BN56" s="99" t="n">
        <f aca="false">BN40+BN55</f>
        <v>87273.1586161252</v>
      </c>
      <c r="BO56" s="99" t="n">
        <f aca="false">BO40+BO55</f>
        <v>63293.2639360217</v>
      </c>
      <c r="BP56" s="99" t="n">
        <f aca="false">BP40+BP55</f>
        <v>87273.1586161252</v>
      </c>
      <c r="BQ56" s="99" t="n">
        <f aca="false">BQ40+BQ55</f>
        <v>87273.1586161252</v>
      </c>
      <c r="BR56" s="99" t="n">
        <f aca="false">BR40+BR55</f>
        <v>87273.1586161252</v>
      </c>
      <c r="BS56" s="99" t="n">
        <f aca="false">BS40+BS55</f>
        <v>87273.1586161252</v>
      </c>
      <c r="BT56" s="99" t="n">
        <f aca="false">BT40+BT55</f>
        <v>87273.1586161252</v>
      </c>
      <c r="BU56" s="99" t="n">
        <f aca="false">BU40+BU55</f>
        <v>87273.1586161252</v>
      </c>
      <c r="BV56" s="99" t="n">
        <f aca="false">BV40+BV55</f>
        <v>87273.1586161252</v>
      </c>
      <c r="BW56" s="99" t="n">
        <f aca="false">BW40+BW55</f>
        <v>84953.4449413923</v>
      </c>
      <c r="BX56" s="99" t="n">
        <f aca="false">BX40+BX55</f>
        <v>84953.4449413923</v>
      </c>
      <c r="BY56" s="99" t="n">
        <f aca="false">BY40+BY55</f>
        <v>84953.4449413923</v>
      </c>
      <c r="BZ56" s="99" t="n">
        <f aca="false">BZ40+BZ55</f>
        <v>84953.4449413923</v>
      </c>
      <c r="CA56" s="99" t="n">
        <f aca="false">CA40+CA55</f>
        <v>60973.5502612888</v>
      </c>
      <c r="CB56" s="99" t="n">
        <f aca="false">CB40+CB55</f>
        <v>84953.4449413923</v>
      </c>
      <c r="CC56" s="99" t="n">
        <f aca="false">CC40+CC55</f>
        <v>84953.4449413923</v>
      </c>
      <c r="CD56" s="99" t="n">
        <f aca="false">CD40+CD55</f>
        <v>84953.4449413923</v>
      </c>
      <c r="CE56" s="99" t="n">
        <f aca="false">CE40+CE55</f>
        <v>84953.4449413923</v>
      </c>
      <c r="CF56" s="99" t="n">
        <f aca="false">CF40+CF55</f>
        <v>84953.4449413923</v>
      </c>
      <c r="CG56" s="99" t="n">
        <f aca="false">CG40+CG55</f>
        <v>84953.4449413923</v>
      </c>
      <c r="CH56" s="99" t="n">
        <f aca="false">CH40+CH55</f>
        <v>84953.4449413923</v>
      </c>
    </row>
    <row r="57" customFormat="false" ht="13.5" hidden="false" customHeight="true" outlineLevel="0" collapsed="false">
      <c r="A57" s="13" t="s">
        <v>50</v>
      </c>
      <c r="C57" s="151" t="n">
        <f aca="false">IFERROR(C56/C38,0)</f>
        <v>-5.00436587901266</v>
      </c>
      <c r="D57" s="151" t="n">
        <f aca="false">IFERROR(D56/D38,0)</f>
        <v>-2.0153007356566</v>
      </c>
      <c r="E57" s="151" t="n">
        <f aca="false">IFERROR(E56/E38,0)</f>
        <v>-0.812816665486555</v>
      </c>
      <c r="F57" s="151" t="n">
        <f aca="false">IFERROR(F56/F38,0)</f>
        <v>-0.410777002438273</v>
      </c>
      <c r="G57" s="151" t="n">
        <f aca="false">IFERROR(G56/G38,0)</f>
        <v>-1.18446534555249</v>
      </c>
      <c r="H57" s="151" t="n">
        <f aca="false">IFERROR(H56/H38,0)</f>
        <v>0.0249548434792169</v>
      </c>
      <c r="I57" s="151" t="n">
        <f aca="false">IFERROR(I56/I38,0)</f>
        <v>0.15310748566915</v>
      </c>
      <c r="J57" s="151" t="n">
        <f aca="false">IFERROR(J56/J38,0)</f>
        <v>0.2745523633875</v>
      </c>
      <c r="K57" s="151" t="n">
        <f aca="false">IFERROR(K56/K38,0)</f>
        <v>0.368850357506397</v>
      </c>
      <c r="L57" s="151" t="n">
        <f aca="false">IFERROR(L56/L38,0)</f>
        <v>0.435605265744624</v>
      </c>
      <c r="M57" s="151" t="n">
        <f aca="false">IFERROR(M56/M38,0)</f>
        <v>0.476654880178832</v>
      </c>
      <c r="N57" s="151" t="n">
        <f aca="false">IFERROR(N56/N38,0)</f>
        <v>0.514253931537085</v>
      </c>
      <c r="O57" s="151" t="n">
        <f aca="false">IFERROR(O56/O38,0)</f>
        <v>0.451196418934161</v>
      </c>
      <c r="P57" s="151" t="n">
        <f aca="false">IFERROR(P56/P38,0)</f>
        <v>0.482527386616585</v>
      </c>
      <c r="Q57" s="151" t="n">
        <f aca="false">IFERROR(Q56/Q38,0)</f>
        <v>0.508884396830541</v>
      </c>
      <c r="R57" s="151" t="n">
        <f aca="false">IFERROR(R56/R38,0)</f>
        <v>0.531364807141445</v>
      </c>
      <c r="S57" s="151" t="n">
        <f aca="false">IFERROR(S56/S38,0)</f>
        <v>0.388173687223553</v>
      </c>
      <c r="T57" s="151" t="n">
        <f aca="false">IFERROR(T56/T38,0)</f>
        <v>0.567678209599045</v>
      </c>
      <c r="U57" s="151" t="n">
        <f aca="false">IFERROR(U56/U38,0)</f>
        <v>0.555014599147261</v>
      </c>
      <c r="V57" s="151" t="n">
        <f aca="false">IFERROR(V56/V38,0)</f>
        <v>0.535808128643119</v>
      </c>
      <c r="W57" s="151" t="n">
        <f aca="false">IFERROR(W56/W38,0)</f>
        <v>0.546970818452281</v>
      </c>
      <c r="X57" s="151" t="n">
        <f aca="false">IFERROR(X56/X38,0)</f>
        <v>0.55547524411805</v>
      </c>
      <c r="Y57" s="151" t="n">
        <f aca="false">IFERROR(Y56/Y38,0)</f>
        <v>0.563471266247585</v>
      </c>
      <c r="Z57" s="151" t="n">
        <f aca="false">IFERROR(Z56/Z38,0)</f>
        <v>0.570497681148627</v>
      </c>
      <c r="AA57" s="151" t="n">
        <f aca="false">IFERROR(AA56/AA38,0)</f>
        <v>0.55627455083433</v>
      </c>
      <c r="AB57" s="151" t="n">
        <f aca="false">IFERROR(AB56/AB38,0)</f>
        <v>0.563133872366298</v>
      </c>
      <c r="AC57" s="151" t="n">
        <f aca="false">IFERROR(AC56/AC38,0)</f>
        <v>0.569666805392089</v>
      </c>
      <c r="AD57" s="151" t="n">
        <f aca="false">IFERROR(AD56/AD38,0)</f>
        <v>0.575896104461544</v>
      </c>
      <c r="AE57" s="151" t="n">
        <f aca="false">IFERROR(AE56/AE38,0)</f>
        <v>0.492666151272635</v>
      </c>
      <c r="AF57" s="151" t="n">
        <f aca="false">IFERROR(AF56/AF38,0)</f>
        <v>0.587524712902437</v>
      </c>
      <c r="AG57" s="151" t="n">
        <f aca="false">IFERROR(AG56/AG38,0)</f>
        <v>0.59296008398101</v>
      </c>
      <c r="AH57" s="151" t="n">
        <f aca="false">IFERROR(AH56/AH38,0)</f>
        <v>0.579024223436083</v>
      </c>
      <c r="AI57" s="151" t="n">
        <f aca="false">IFERROR(AI56/AI38,0)</f>
        <v>0.584410246775097</v>
      </c>
      <c r="AJ57" s="151" t="n">
        <f aca="false">IFERROR(AJ56/AJ38,0)</f>
        <v>0.589576574272055</v>
      </c>
      <c r="AK57" s="151" t="n">
        <f aca="false">IFERROR(AK56/AK38,0)</f>
        <v>0.594536379342254</v>
      </c>
      <c r="AL57" s="151" t="n">
        <f aca="false">IFERROR(AL56/AL38,0)</f>
        <v>0.599301802832474</v>
      </c>
      <c r="AM57" s="151" t="n">
        <f aca="false">IFERROR(AM56/AM38,0)</f>
        <v>0.587235637289324</v>
      </c>
      <c r="AN57" s="151" t="n">
        <f aca="false">IFERROR(AN56/AN38,0)</f>
        <v>0.591959008429799</v>
      </c>
      <c r="AO57" s="151" t="n">
        <f aca="false">IFERROR(AO56/AO38,0)</f>
        <v>0.59650754232889</v>
      </c>
      <c r="AP57" s="151" t="n">
        <f aca="false">IFERROR(AP56/AP38,0)</f>
        <v>0.600890770081018</v>
      </c>
      <c r="AQ57" s="151" t="n">
        <f aca="false">IFERROR(AQ56/AQ38,0)</f>
        <v>0.544736745640575</v>
      </c>
      <c r="AR57" s="151" t="n">
        <f aca="false">IFERROR(AR56/AR38,0)</f>
        <v>0.609196089133538</v>
      </c>
      <c r="AS57" s="151" t="n">
        <f aca="false">IFERROR(AS56/AS38,0)</f>
        <v>0.609196089133538</v>
      </c>
      <c r="AT57" s="151" t="n">
        <f aca="false">IFERROR(AT56/AT38,0)</f>
        <v>0.609196089133538</v>
      </c>
      <c r="AU57" s="151" t="n">
        <f aca="false">IFERROR(AU56/AU38,0)</f>
        <v>0.609196089133538</v>
      </c>
      <c r="AV57" s="151" t="n">
        <f aca="false">IFERROR(AV56/AV38,0)</f>
        <v>0.609196089133538</v>
      </c>
      <c r="AW57" s="151" t="n">
        <f aca="false">IFERROR(AW56/AW38,0)</f>
        <v>0.609196089133538</v>
      </c>
      <c r="AX57" s="151" t="n">
        <f aca="false">IFERROR(AX56/AX38,0)</f>
        <v>0.609196089133538</v>
      </c>
      <c r="AY57" s="151" t="n">
        <f aca="false">IFERROR(AY56/AY38,0)</f>
        <v>0.593945415026883</v>
      </c>
      <c r="AZ57" s="151" t="n">
        <f aca="false">IFERROR(AZ56/AZ38,0)</f>
        <v>0.593945415026883</v>
      </c>
      <c r="BA57" s="151" t="n">
        <f aca="false">IFERROR(BA56/BA38,0)</f>
        <v>0.593945415026883</v>
      </c>
      <c r="BB57" s="151" t="n">
        <f aca="false">IFERROR(BB56/BB38,0)</f>
        <v>0.593945415026883</v>
      </c>
      <c r="BC57" s="151" t="n">
        <f aca="false">IFERROR(BC56/BC38,0)</f>
        <v>0.532358580536158</v>
      </c>
      <c r="BD57" s="151" t="n">
        <f aca="false">IFERROR(BD56/BD38,0)</f>
        <v>0.593945415026883</v>
      </c>
      <c r="BE57" s="151" t="n">
        <f aca="false">IFERROR(BE56/BE38,0)</f>
        <v>0.593945415026883</v>
      </c>
      <c r="BF57" s="151" t="n">
        <f aca="false">IFERROR(BF56/BF38,0)</f>
        <v>0.593945415026883</v>
      </c>
      <c r="BG57" s="151" t="n">
        <f aca="false">IFERROR(BG56/BG38,0)</f>
        <v>0.593945415026883</v>
      </c>
      <c r="BH57" s="151" t="n">
        <f aca="false">IFERROR(BH56/BH38,0)</f>
        <v>0.593945415026883</v>
      </c>
      <c r="BI57" s="151" t="n">
        <f aca="false">IFERROR(BI56/BI38,0)</f>
        <v>0.593945415026883</v>
      </c>
      <c r="BJ57" s="151" t="n">
        <f aca="false">IFERROR(BJ56/BJ38,0)</f>
        <v>0.593945415026883</v>
      </c>
      <c r="BK57" s="151" t="n">
        <f aca="false">IFERROR(BK56/BK38,0)</f>
        <v>0.57863104950861</v>
      </c>
      <c r="BL57" s="151" t="n">
        <f aca="false">IFERROR(BL56/BL38,0)</f>
        <v>0.57863104950861</v>
      </c>
      <c r="BM57" s="151" t="n">
        <f aca="false">IFERROR(BM56/BM38,0)</f>
        <v>0.57863104950861</v>
      </c>
      <c r="BN57" s="151" t="n">
        <f aca="false">IFERROR(BN56/BN38,0)</f>
        <v>0.57863104950861</v>
      </c>
      <c r="BO57" s="151" t="n">
        <f aca="false">IFERROR(BO56/BO38,0)</f>
        <v>0.513614766048656</v>
      </c>
      <c r="BP57" s="151" t="n">
        <f aca="false">IFERROR(BP56/BP38,0)</f>
        <v>0.57863104950861</v>
      </c>
      <c r="BQ57" s="151" t="n">
        <f aca="false">IFERROR(BQ56/BQ38,0)</f>
        <v>0.57863104950861</v>
      </c>
      <c r="BR57" s="151" t="n">
        <f aca="false">IFERROR(BR56/BR38,0)</f>
        <v>0.57863104950861</v>
      </c>
      <c r="BS57" s="151" t="n">
        <f aca="false">IFERROR(BS56/BS38,0)</f>
        <v>0.57863104950861</v>
      </c>
      <c r="BT57" s="151" t="n">
        <f aca="false">IFERROR(BT56/BT38,0)</f>
        <v>0.57863104950861</v>
      </c>
      <c r="BU57" s="151" t="n">
        <f aca="false">IFERROR(BU56/BU38,0)</f>
        <v>0.57863104950861</v>
      </c>
      <c r="BV57" s="151" t="n">
        <f aca="false">IFERROR(BV56/BV38,0)</f>
        <v>0.57863104950861</v>
      </c>
      <c r="BW57" s="151" t="n">
        <f aca="false">IFERROR(BW56/BW38,0)</f>
        <v>0.563251081836372</v>
      </c>
      <c r="BX57" s="151" t="n">
        <f aca="false">IFERROR(BX56/BX38,0)</f>
        <v>0.563251081836372</v>
      </c>
      <c r="BY57" s="151" t="n">
        <f aca="false">IFERROR(BY56/BY38,0)</f>
        <v>0.563251081836372</v>
      </c>
      <c r="BZ57" s="151" t="n">
        <f aca="false">IFERROR(BZ56/BZ38,0)</f>
        <v>0.563251081836372</v>
      </c>
      <c r="CA57" s="151" t="n">
        <f aca="false">IFERROR(CA56/CA38,0)</f>
        <v>0.494790658675205</v>
      </c>
      <c r="CB57" s="151" t="n">
        <f aca="false">IFERROR(CB56/CB38,0)</f>
        <v>0.563251081836372</v>
      </c>
      <c r="CC57" s="151" t="n">
        <f aca="false">IFERROR(CC56/CC38,0)</f>
        <v>0.563251081836372</v>
      </c>
      <c r="CD57" s="151" t="n">
        <f aca="false">IFERROR(CD56/CD38,0)</f>
        <v>0.563251081836372</v>
      </c>
      <c r="CE57" s="151" t="n">
        <f aca="false">IFERROR(CE56/CE38,0)</f>
        <v>0.563251081836372</v>
      </c>
      <c r="CF57" s="151" t="n">
        <f aca="false">IFERROR(CF56/CF38,0)</f>
        <v>0.563251081836372</v>
      </c>
      <c r="CG57" s="151" t="n">
        <f aca="false">IFERROR(CG56/CG38,0)</f>
        <v>0.563251081836372</v>
      </c>
      <c r="CH57" s="151" t="n">
        <f aca="false">IFERROR(CH56/CH38,0)</f>
        <v>0.563251081836372</v>
      </c>
    </row>
    <row r="58" customFormat="false" ht="13.5" hidden="false" customHeight="true" outlineLevel="0" collapsed="false">
      <c r="A58" s="13" t="s">
        <v>738</v>
      </c>
      <c r="C58" s="138" t="n">
        <f aca="false">-(CAPEX!$G$22)/(Hipótesis!$E$86*12)</f>
        <v>-1568.92857142857</v>
      </c>
      <c r="D58" s="138" t="n">
        <f aca="false">-(CAPEX!$G$22)/(Hipótesis!$E$86*12)</f>
        <v>-1568.92857142857</v>
      </c>
      <c r="E58" s="138" t="n">
        <f aca="false">-(CAPEX!$G$22)/(Hipótesis!$E$86*12)</f>
        <v>-1568.92857142857</v>
      </c>
      <c r="F58" s="138" t="n">
        <f aca="false">-(CAPEX!$G$22)/(Hipótesis!$E$86*12)</f>
        <v>-1568.92857142857</v>
      </c>
      <c r="G58" s="138" t="n">
        <f aca="false">-(CAPEX!$G$22)/(Hipótesis!$E$86*12)</f>
        <v>-1568.92857142857</v>
      </c>
      <c r="H58" s="138" t="n">
        <f aca="false">-(CAPEX!$G$22)/(Hipótesis!$E$86*12)</f>
        <v>-1568.92857142857</v>
      </c>
      <c r="I58" s="138" t="n">
        <f aca="false">-(CAPEX!$G$22)/(Hipótesis!$E$86*12)</f>
        <v>-1568.92857142857</v>
      </c>
      <c r="J58" s="138" t="n">
        <f aca="false">-(CAPEX!$G$22)/(Hipótesis!$E$86*12)</f>
        <v>-1568.92857142857</v>
      </c>
      <c r="K58" s="138" t="n">
        <f aca="false">-(CAPEX!$G$22)/(Hipótesis!$E$86*12)</f>
        <v>-1568.92857142857</v>
      </c>
      <c r="L58" s="138" t="n">
        <f aca="false">-(CAPEX!$G$22)/(Hipótesis!$E$86*12)</f>
        <v>-1568.92857142857</v>
      </c>
      <c r="M58" s="138" t="n">
        <f aca="false">-(CAPEX!$G$22)/(Hipótesis!$E$86*12)</f>
        <v>-1568.92857142857</v>
      </c>
      <c r="N58" s="138" t="n">
        <f aca="false">-(CAPEX!$G$22)/(Hipótesis!$E$86*12)</f>
        <v>-1568.92857142857</v>
      </c>
      <c r="O58" s="138" t="n">
        <f aca="false">-(CAPEX!$G$22)/(Hipótesis!$E$86*12)</f>
        <v>-1568.92857142857</v>
      </c>
      <c r="P58" s="138" t="n">
        <f aca="false">-(CAPEX!$G$22)/(Hipótesis!$E$86*12)</f>
        <v>-1568.92857142857</v>
      </c>
      <c r="Q58" s="138" t="n">
        <f aca="false">-(CAPEX!$G$22)/(Hipótesis!$E$86*12)</f>
        <v>-1568.92857142857</v>
      </c>
      <c r="R58" s="138" t="n">
        <f aca="false">-(CAPEX!$G$22)/(Hipótesis!$E$86*12)</f>
        <v>-1568.92857142857</v>
      </c>
      <c r="S58" s="138" t="n">
        <f aca="false">-(CAPEX!$G$22)/(Hipótesis!$E$86*12)</f>
        <v>-1568.92857142857</v>
      </c>
      <c r="T58" s="138" t="n">
        <f aca="false">-(CAPEX!$G$22)/(Hipótesis!$E$86*12)</f>
        <v>-1568.92857142857</v>
      </c>
      <c r="U58" s="138" t="n">
        <f aca="false">-(CAPEX!$G$22)/(Hipótesis!$E$86*12)</f>
        <v>-1568.92857142857</v>
      </c>
      <c r="V58" s="138" t="n">
        <f aca="false">-(CAPEX!$G$22)/(Hipótesis!$E$86*12)</f>
        <v>-1568.92857142857</v>
      </c>
      <c r="W58" s="138" t="n">
        <f aca="false">-(CAPEX!$G$22)/(Hipótesis!$E$86*12)</f>
        <v>-1568.92857142857</v>
      </c>
      <c r="X58" s="138" t="n">
        <f aca="false">-(CAPEX!$G$22)/(Hipótesis!$E$86*12)</f>
        <v>-1568.92857142857</v>
      </c>
      <c r="Y58" s="138" t="n">
        <f aca="false">-(CAPEX!$G$22)/(Hipótesis!$E$86*12)</f>
        <v>-1568.92857142857</v>
      </c>
      <c r="Z58" s="138" t="n">
        <f aca="false">-(CAPEX!$G$22)/(Hipótesis!$E$86*12)</f>
        <v>-1568.92857142857</v>
      </c>
      <c r="AA58" s="138" t="n">
        <f aca="false">-(CAPEX!$G$22)/(Hipótesis!$E$86*12)</f>
        <v>-1568.92857142857</v>
      </c>
      <c r="AB58" s="138" t="n">
        <f aca="false">-(CAPEX!$G$22)/(Hipótesis!$E$86*12)</f>
        <v>-1568.92857142857</v>
      </c>
      <c r="AC58" s="138" t="n">
        <f aca="false">-(CAPEX!$G$22)/(Hipótesis!$E$86*12)</f>
        <v>-1568.92857142857</v>
      </c>
      <c r="AD58" s="138" t="n">
        <f aca="false">-(CAPEX!$G$22)/(Hipótesis!$E$86*12)</f>
        <v>-1568.92857142857</v>
      </c>
      <c r="AE58" s="138" t="n">
        <f aca="false">-(CAPEX!$G$22)/(Hipótesis!$E$86*12)</f>
        <v>-1568.92857142857</v>
      </c>
      <c r="AF58" s="138" t="n">
        <f aca="false">-(CAPEX!$G$22)/(Hipótesis!$E$86*12)</f>
        <v>-1568.92857142857</v>
      </c>
      <c r="AG58" s="138" t="n">
        <f aca="false">-(CAPEX!$G$22)/(Hipótesis!$E$86*12)</f>
        <v>-1568.92857142857</v>
      </c>
      <c r="AH58" s="138" t="n">
        <f aca="false">-(CAPEX!$G$22)/(Hipótesis!$E$86*12)</f>
        <v>-1568.92857142857</v>
      </c>
      <c r="AI58" s="138" t="n">
        <f aca="false">-(CAPEX!$G$22)/(Hipótesis!$E$86*12)</f>
        <v>-1568.92857142857</v>
      </c>
      <c r="AJ58" s="138" t="n">
        <f aca="false">-(CAPEX!$G$22)/(Hipótesis!$E$86*12)</f>
        <v>-1568.92857142857</v>
      </c>
      <c r="AK58" s="138" t="n">
        <f aca="false">-(CAPEX!$G$22)/(Hipótesis!$E$86*12)</f>
        <v>-1568.92857142857</v>
      </c>
      <c r="AL58" s="138" t="n">
        <f aca="false">-(CAPEX!$G$22)/(Hipótesis!$E$86*12)</f>
        <v>-1568.92857142857</v>
      </c>
      <c r="AM58" s="138" t="n">
        <f aca="false">-(CAPEX!$G$22)/(Hipótesis!$E$86*12)</f>
        <v>-1568.92857142857</v>
      </c>
      <c r="AN58" s="138" t="n">
        <f aca="false">-(CAPEX!$G$22)/(Hipótesis!$E$86*12)</f>
        <v>-1568.92857142857</v>
      </c>
      <c r="AO58" s="138" t="n">
        <f aca="false">-(CAPEX!$G$22)/(Hipótesis!$E$86*12)</f>
        <v>-1568.92857142857</v>
      </c>
      <c r="AP58" s="138" t="n">
        <f aca="false">-(CAPEX!$G$22)/(Hipótesis!$E$86*12)</f>
        <v>-1568.92857142857</v>
      </c>
      <c r="AQ58" s="138" t="n">
        <f aca="false">-(CAPEX!$G$22)/(Hipótesis!$E$86*12)</f>
        <v>-1568.92857142857</v>
      </c>
      <c r="AR58" s="138" t="n">
        <f aca="false">-(CAPEX!$G$22)/(Hipótesis!$E$86*12)</f>
        <v>-1568.92857142857</v>
      </c>
      <c r="AS58" s="138" t="n">
        <f aca="false">-(CAPEX!$G$22)/(Hipótesis!$E$86*12)</f>
        <v>-1568.92857142857</v>
      </c>
      <c r="AT58" s="138" t="n">
        <f aca="false">-(CAPEX!$G$22)/(Hipótesis!$E$86*12)</f>
        <v>-1568.92857142857</v>
      </c>
      <c r="AU58" s="138" t="n">
        <f aca="false">-(CAPEX!$G$22)/(Hipótesis!$E$86*12)</f>
        <v>-1568.92857142857</v>
      </c>
      <c r="AV58" s="138" t="n">
        <f aca="false">-(CAPEX!$G$22)/(Hipótesis!$E$86*12)</f>
        <v>-1568.92857142857</v>
      </c>
      <c r="AW58" s="138" t="n">
        <f aca="false">-(CAPEX!$G$22)/(Hipótesis!$E$86*12)</f>
        <v>-1568.92857142857</v>
      </c>
      <c r="AX58" s="138" t="n">
        <f aca="false">-(CAPEX!$G$22)/(Hipótesis!$E$86*12)</f>
        <v>-1568.92857142857</v>
      </c>
      <c r="AY58" s="138" t="n">
        <f aca="false">-(CAPEX!$G$22)/(Hipótesis!$E$86*12)</f>
        <v>-1568.92857142857</v>
      </c>
      <c r="AZ58" s="138" t="n">
        <f aca="false">-(CAPEX!$G$22)/(Hipótesis!$E$86*12)</f>
        <v>-1568.92857142857</v>
      </c>
      <c r="BA58" s="138" t="n">
        <f aca="false">-(CAPEX!$G$22)/(Hipótesis!$E$86*12)</f>
        <v>-1568.92857142857</v>
      </c>
      <c r="BB58" s="138" t="n">
        <f aca="false">-(CAPEX!$G$22)/(Hipótesis!$E$86*12)</f>
        <v>-1568.92857142857</v>
      </c>
      <c r="BC58" s="138" t="n">
        <f aca="false">-(CAPEX!$G$22)/(Hipótesis!$E$86*12)</f>
        <v>-1568.92857142857</v>
      </c>
      <c r="BD58" s="138" t="n">
        <f aca="false">-(CAPEX!$G$22)/(Hipótesis!$E$86*12)</f>
        <v>-1568.92857142857</v>
      </c>
      <c r="BE58" s="138" t="n">
        <f aca="false">-(CAPEX!$G$22)/(Hipótesis!$E$86*12)</f>
        <v>-1568.92857142857</v>
      </c>
      <c r="BF58" s="138" t="n">
        <f aca="false">-(CAPEX!$G$22)/(Hipótesis!$E$86*12)</f>
        <v>-1568.92857142857</v>
      </c>
      <c r="BG58" s="138" t="n">
        <f aca="false">-(CAPEX!$G$22)/(Hipótesis!$E$86*12)</f>
        <v>-1568.92857142857</v>
      </c>
      <c r="BH58" s="138" t="n">
        <f aca="false">-(CAPEX!$G$22)/(Hipótesis!$E$86*12)</f>
        <v>-1568.92857142857</v>
      </c>
      <c r="BI58" s="138" t="n">
        <f aca="false">-(CAPEX!$G$22)/(Hipótesis!$E$86*12)</f>
        <v>-1568.92857142857</v>
      </c>
      <c r="BJ58" s="138" t="n">
        <f aca="false">-(CAPEX!$G$22)/(Hipótesis!$E$86*12)</f>
        <v>-1568.92857142857</v>
      </c>
      <c r="BK58" s="138" t="n">
        <f aca="false">-(CAPEX!$G$22)/(Hipótesis!$E$86*12)</f>
        <v>-1568.92857142857</v>
      </c>
      <c r="BL58" s="138" t="n">
        <f aca="false">-(CAPEX!$G$22)/(Hipótesis!$E$86*12)</f>
        <v>-1568.92857142857</v>
      </c>
      <c r="BM58" s="138" t="n">
        <f aca="false">-(CAPEX!$G$22)/(Hipótesis!$E$86*12)</f>
        <v>-1568.92857142857</v>
      </c>
      <c r="BN58" s="138" t="n">
        <f aca="false">-(CAPEX!$G$22)/(Hipótesis!$E$86*12)</f>
        <v>-1568.92857142857</v>
      </c>
      <c r="BO58" s="138" t="n">
        <f aca="false">-(CAPEX!$G$22)/(Hipótesis!$E$86*12)</f>
        <v>-1568.92857142857</v>
      </c>
      <c r="BP58" s="138" t="n">
        <f aca="false">-(CAPEX!$G$22)/(Hipótesis!$E$86*12)</f>
        <v>-1568.92857142857</v>
      </c>
      <c r="BQ58" s="138" t="n">
        <f aca="false">-(CAPEX!$G$22)/(Hipótesis!$E$86*12)</f>
        <v>-1568.92857142857</v>
      </c>
      <c r="BR58" s="138" t="n">
        <f aca="false">-(CAPEX!$G$22)/(Hipótesis!$E$86*12)</f>
        <v>-1568.92857142857</v>
      </c>
      <c r="BS58" s="138" t="n">
        <f aca="false">-(CAPEX!$G$22)/(Hipótesis!$E$86*12)</f>
        <v>-1568.92857142857</v>
      </c>
      <c r="BT58" s="138" t="n">
        <f aca="false">-(CAPEX!$G$22)/(Hipótesis!$E$86*12)</f>
        <v>-1568.92857142857</v>
      </c>
      <c r="BU58" s="138" t="n">
        <f aca="false">-(CAPEX!$G$22)/(Hipótesis!$E$86*12)</f>
        <v>-1568.92857142857</v>
      </c>
      <c r="BV58" s="138" t="n">
        <f aca="false">-(CAPEX!$G$22)/(Hipótesis!$E$86*12)</f>
        <v>-1568.92857142857</v>
      </c>
      <c r="BW58" s="138" t="n">
        <f aca="false">-(CAPEX!$G$22)/(Hipótesis!$E$86*12)</f>
        <v>-1568.92857142857</v>
      </c>
      <c r="BX58" s="138" t="n">
        <f aca="false">-(CAPEX!$G$22)/(Hipótesis!$E$86*12)</f>
        <v>-1568.92857142857</v>
      </c>
      <c r="BY58" s="138" t="n">
        <f aca="false">-(CAPEX!$G$22)/(Hipótesis!$E$86*12)</f>
        <v>-1568.92857142857</v>
      </c>
      <c r="BZ58" s="138" t="n">
        <f aca="false">-(CAPEX!$G$22)/(Hipótesis!$E$86*12)</f>
        <v>-1568.92857142857</v>
      </c>
      <c r="CA58" s="138" t="n">
        <f aca="false">-(CAPEX!$G$22)/(Hipótesis!$E$86*12)</f>
        <v>-1568.92857142857</v>
      </c>
      <c r="CB58" s="138" t="n">
        <f aca="false">-(CAPEX!$G$22)/(Hipótesis!$E$86*12)</f>
        <v>-1568.92857142857</v>
      </c>
      <c r="CC58" s="138" t="n">
        <f aca="false">-(CAPEX!$G$22)/(Hipótesis!$E$86*12)</f>
        <v>-1568.92857142857</v>
      </c>
      <c r="CD58" s="138" t="n">
        <f aca="false">-(CAPEX!$G$22)/(Hipótesis!$E$86*12)</f>
        <v>-1568.92857142857</v>
      </c>
      <c r="CE58" s="138" t="n">
        <f aca="false">-(CAPEX!$G$22)/(Hipótesis!$E$86*12)</f>
        <v>-1568.92857142857</v>
      </c>
      <c r="CF58" s="138" t="n">
        <f aca="false">-(CAPEX!$G$22)/(Hipótesis!$E$86*12)</f>
        <v>-1568.92857142857</v>
      </c>
      <c r="CG58" s="138" t="n">
        <f aca="false">-(CAPEX!$G$22)/(Hipótesis!$E$86*12)</f>
        <v>-1568.92857142857</v>
      </c>
      <c r="CH58" s="138" t="n">
        <f aca="false">-(CAPEX!$G$22)/(Hipótesis!$E$86*12)</f>
        <v>-1568.92857142857</v>
      </c>
    </row>
    <row r="59" customFormat="false" ht="13.5" hidden="false" customHeight="true" outlineLevel="0" collapsed="false">
      <c r="A59" s="30" t="s">
        <v>739</v>
      </c>
      <c r="C59" s="138" t="n">
        <f aca="false">C56+C58</f>
        <v>-15713.5211245999</v>
      </c>
      <c r="D59" s="138" t="n">
        <f aca="false">D56+D58</f>
        <v>-13117.4442728589</v>
      </c>
      <c r="E59" s="138" t="n">
        <f aca="false">E56+E58</f>
        <v>-9554.08516720078</v>
      </c>
      <c r="F59" s="138" t="n">
        <f aca="false">F56+F58</f>
        <v>-6865.85718241496</v>
      </c>
      <c r="G59" s="138" t="n">
        <f aca="false">G56+G58</f>
        <v>-11308.4160200347</v>
      </c>
      <c r="H59" s="138" t="n">
        <f aca="false">H56+H58</f>
        <v>-1080.01008664392</v>
      </c>
      <c r="I59" s="138" t="n">
        <f aca="false">I56+I58</f>
        <v>1997.86766835475</v>
      </c>
      <c r="J59" s="138" t="n">
        <f aca="false">J56+J58</f>
        <v>6240.01252094737</v>
      </c>
      <c r="K59" s="138" t="n">
        <f aca="false">K56+K58</f>
        <v>11086.3737860794</v>
      </c>
      <c r="L59" s="138" t="n">
        <f aca="false">L56+L58</f>
        <v>15932.7350512115</v>
      </c>
      <c r="M59" s="138" t="n">
        <f aca="false">M56+M58</f>
        <v>19811.8140624264</v>
      </c>
      <c r="N59" s="138" t="n">
        <f aca="false">N56+N58</f>
        <v>24402.3271616578</v>
      </c>
      <c r="O59" s="138" t="n">
        <f aca="false">O56+O58</f>
        <v>23765.6402608893</v>
      </c>
      <c r="P59" s="138" t="n">
        <f aca="false">P56+P58</f>
        <v>28081.366278566</v>
      </c>
      <c r="Q59" s="138" t="n">
        <f aca="false">Q56+Q58</f>
        <v>32397.0922962427</v>
      </c>
      <c r="R59" s="138" t="n">
        <f aca="false">R56+R58</f>
        <v>36712.8183139193</v>
      </c>
      <c r="S59" s="138" t="n">
        <f aca="false">S56+S58</f>
        <v>18336.421578165</v>
      </c>
      <c r="T59" s="138" t="n">
        <f aca="false">T56+T58</f>
        <v>45344.2703492727</v>
      </c>
      <c r="U59" s="138" t="n">
        <f aca="false">U56+U58</f>
        <v>46504.1083614386</v>
      </c>
      <c r="V59" s="138" t="n">
        <f aca="false">V56+V58</f>
        <v>46970.5372639731</v>
      </c>
      <c r="W59" s="138" t="n">
        <f aca="false">W56+W58</f>
        <v>50156.1661665076</v>
      </c>
      <c r="X59" s="138" t="n">
        <f aca="false">X56+X58</f>
        <v>52630.3609810256</v>
      </c>
      <c r="Y59" s="138" t="n">
        <f aca="false">Y56+Y58</f>
        <v>55104.5557955435</v>
      </c>
      <c r="Z59" s="138" t="n">
        <f aca="false">Z56+Z58</f>
        <v>57320.0159748549</v>
      </c>
      <c r="AA59" s="138" t="n">
        <f aca="false">AA56+AA58</f>
        <v>57322.9845541662</v>
      </c>
      <c r="AB59" s="138" t="n">
        <f aca="false">AB56+AB58</f>
        <v>59538.4447334776</v>
      </c>
      <c r="AC59" s="138" t="n">
        <f aca="false">AC56+AC58</f>
        <v>61753.9049127889</v>
      </c>
      <c r="AD59" s="138" t="n">
        <f aca="false">AD56+AD58</f>
        <v>63969.3650921002</v>
      </c>
      <c r="AE59" s="138" t="n">
        <f aca="false">AE56+AE58</f>
        <v>42204.9305913081</v>
      </c>
      <c r="AF59" s="138" t="n">
        <f aca="false">AF56+AF58</f>
        <v>68400.2854507229</v>
      </c>
      <c r="AG59" s="138" t="n">
        <f aca="false">AG56+AG58</f>
        <v>70615.7456300343</v>
      </c>
      <c r="AH59" s="138" t="n">
        <f aca="false">AH56+AH58</f>
        <v>70450.5462093456</v>
      </c>
      <c r="AI59" s="138" t="n">
        <f aca="false">AI56+AI58</f>
        <v>72666.0063886569</v>
      </c>
      <c r="AJ59" s="138" t="n">
        <f aca="false">AJ56+AJ58</f>
        <v>74881.4665679683</v>
      </c>
      <c r="AK59" s="138" t="n">
        <f aca="false">AK56+AK58</f>
        <v>77096.9267472796</v>
      </c>
      <c r="AL59" s="138" t="n">
        <f aca="false">AL56+AL58</f>
        <v>79312.386926591</v>
      </c>
      <c r="AM59" s="138" t="n">
        <f aca="false">AM56+AM58</f>
        <v>79236.9609699023</v>
      </c>
      <c r="AN59" s="138" t="n">
        <f aca="false">AN56+AN58</f>
        <v>81452.4211492136</v>
      </c>
      <c r="AO59" s="138" t="n">
        <f aca="false">AO56+AO58</f>
        <v>83667.881328525</v>
      </c>
      <c r="AP59" s="138" t="n">
        <f aca="false">AP56+AP58</f>
        <v>85883.3415078363</v>
      </c>
      <c r="AQ59" s="138" t="n">
        <f aca="false">AQ56+AQ58</f>
        <v>64118.9070070442</v>
      </c>
      <c r="AR59" s="138" t="n">
        <f aca="false">AR56+AR58</f>
        <v>90314.261866459</v>
      </c>
      <c r="AS59" s="138" t="n">
        <f aca="false">AS56+AS58</f>
        <v>90314.261866459</v>
      </c>
      <c r="AT59" s="138" t="n">
        <f aca="false">AT56+AT58</f>
        <v>90314.261866459</v>
      </c>
      <c r="AU59" s="138" t="n">
        <f aca="false">AU56+AU58</f>
        <v>90314.261866459</v>
      </c>
      <c r="AV59" s="138" t="n">
        <f aca="false">AV56+AV58</f>
        <v>90314.261866459</v>
      </c>
      <c r="AW59" s="138" t="n">
        <f aca="false">AW56+AW58</f>
        <v>90314.261866459</v>
      </c>
      <c r="AX59" s="138" t="n">
        <f aca="false">AX56+AX58</f>
        <v>90314.261866459</v>
      </c>
      <c r="AY59" s="138" t="n">
        <f aca="false">AY56+AY58</f>
        <v>88014.049146379</v>
      </c>
      <c r="AZ59" s="138" t="n">
        <f aca="false">AZ56+AZ58</f>
        <v>88014.049146379</v>
      </c>
      <c r="BA59" s="138" t="n">
        <f aca="false">BA56+BA58</f>
        <v>88014.049146379</v>
      </c>
      <c r="BB59" s="138" t="n">
        <f aca="false">BB56+BB58</f>
        <v>88014.049146379</v>
      </c>
      <c r="BC59" s="138" t="n">
        <f aca="false">BC56+BC58</f>
        <v>64034.1544662755</v>
      </c>
      <c r="BD59" s="138" t="n">
        <f aca="false">BD56+BD58</f>
        <v>88014.049146379</v>
      </c>
      <c r="BE59" s="138" t="n">
        <f aca="false">BE56+BE58</f>
        <v>88014.049146379</v>
      </c>
      <c r="BF59" s="138" t="n">
        <f aca="false">BF56+BF58</f>
        <v>88014.049146379</v>
      </c>
      <c r="BG59" s="138" t="n">
        <f aca="false">BG56+BG58</f>
        <v>88014.049146379</v>
      </c>
      <c r="BH59" s="138" t="n">
        <f aca="false">BH56+BH58</f>
        <v>88014.049146379</v>
      </c>
      <c r="BI59" s="138" t="n">
        <f aca="false">BI56+BI58</f>
        <v>88014.049146379</v>
      </c>
      <c r="BJ59" s="138" t="n">
        <f aca="false">BJ56+BJ58</f>
        <v>88014.049146379</v>
      </c>
      <c r="BK59" s="138" t="n">
        <f aca="false">BK56+BK58</f>
        <v>85704.2300446966</v>
      </c>
      <c r="BL59" s="138" t="n">
        <f aca="false">BL56+BL58</f>
        <v>85704.2300446966</v>
      </c>
      <c r="BM59" s="138" t="n">
        <f aca="false">BM56+BM58</f>
        <v>85704.2300446966</v>
      </c>
      <c r="BN59" s="138" t="n">
        <f aca="false">BN56+BN58</f>
        <v>85704.2300446966</v>
      </c>
      <c r="BO59" s="138" t="n">
        <f aca="false">BO56+BO58</f>
        <v>61724.3353645931</v>
      </c>
      <c r="BP59" s="138" t="n">
        <f aca="false">BP56+BP58</f>
        <v>85704.2300446966</v>
      </c>
      <c r="BQ59" s="138" t="n">
        <f aca="false">BQ56+BQ58</f>
        <v>85704.2300446966</v>
      </c>
      <c r="BR59" s="138" t="n">
        <f aca="false">BR56+BR58</f>
        <v>85704.2300446966</v>
      </c>
      <c r="BS59" s="138" t="n">
        <f aca="false">BS56+BS58</f>
        <v>85704.2300446966</v>
      </c>
      <c r="BT59" s="138" t="n">
        <f aca="false">BT56+BT58</f>
        <v>85704.2300446966</v>
      </c>
      <c r="BU59" s="138" t="n">
        <f aca="false">BU56+BU58</f>
        <v>85704.2300446966</v>
      </c>
      <c r="BV59" s="138" t="n">
        <f aca="false">BV56+BV58</f>
        <v>85704.2300446966</v>
      </c>
      <c r="BW59" s="138" t="n">
        <f aca="false">BW56+BW58</f>
        <v>83384.5163699637</v>
      </c>
      <c r="BX59" s="138" t="n">
        <f aca="false">BX56+BX58</f>
        <v>83384.5163699637</v>
      </c>
      <c r="BY59" s="138" t="n">
        <f aca="false">BY56+BY58</f>
        <v>83384.5163699637</v>
      </c>
      <c r="BZ59" s="138" t="n">
        <f aca="false">BZ56+BZ58</f>
        <v>83384.5163699637</v>
      </c>
      <c r="CA59" s="138" t="n">
        <f aca="false">CA56+CA58</f>
        <v>59404.6216898602</v>
      </c>
      <c r="CB59" s="138" t="n">
        <f aca="false">CB56+CB58</f>
        <v>83384.5163699637</v>
      </c>
      <c r="CC59" s="138" t="n">
        <f aca="false">CC56+CC58</f>
        <v>83384.5163699637</v>
      </c>
      <c r="CD59" s="138" t="n">
        <f aca="false">CD56+CD58</f>
        <v>83384.5163699637</v>
      </c>
      <c r="CE59" s="138" t="n">
        <f aca="false">CE56+CE58</f>
        <v>83384.5163699637</v>
      </c>
      <c r="CF59" s="138" t="n">
        <f aca="false">CF56+CF58</f>
        <v>83384.5163699637</v>
      </c>
      <c r="CG59" s="138" t="n">
        <f aca="false">CG56+CG58</f>
        <v>83384.5163699637</v>
      </c>
      <c r="CH59" s="138" t="n">
        <f aca="false">CH56+CH58</f>
        <v>83384.5163699637</v>
      </c>
    </row>
    <row r="60" customFormat="false" ht="13.5" hidden="false" customHeight="true" outlineLevel="0" collapsed="false">
      <c r="A60" s="13" t="s">
        <v>740</v>
      </c>
      <c r="C60" s="138" t="n">
        <f aca="false">-(C91+C98+C103+C77+C212*Hipótesis!$D$73*Hipótesis!$D$74/12)</f>
        <v>-336.529563802083</v>
      </c>
      <c r="D60" s="138" t="n">
        <f aca="false">-(D91+D98+D103+D77+D212*Hipótesis!$D$73*Hipótesis!$D$74/12)</f>
        <v>-339.968034895833</v>
      </c>
      <c r="E60" s="138" t="n">
        <f aca="false">-(E91+E98+E103+E77+E212*Hipótesis!$D$73*Hipótesis!$D$74/12)</f>
        <v>-347.124226692708</v>
      </c>
      <c r="F60" s="138" t="n">
        <f aca="false">-(F91+F98+F103+F77+F212*Hipótesis!$D$73*Hipótesis!$D$74/12)</f>
        <v>-351.084188020833</v>
      </c>
      <c r="G60" s="138" t="n">
        <f aca="false">-(G91+G98+G103+G77+G212*Hipótesis!$D$73*Hipótesis!$D$74/12)</f>
        <v>-354.801908723958</v>
      </c>
      <c r="H60" s="138" t="n">
        <f aca="false">-(H91+H98+H103+H77+H212*Hipótesis!$D$73*Hipótesis!$D$74/12)</f>
        <v>-370.518538185276</v>
      </c>
      <c r="I60" s="138" t="n">
        <f aca="false">-(I91+I98+I103+I77+I212*Hipótesis!$D$73*Hipótesis!$D$74/12)</f>
        <v>-438.014353050875</v>
      </c>
      <c r="J60" s="138" t="n">
        <f aca="false">-(J91+J98+J103+J77+J212*Hipótesis!$D$73*Hipótesis!$D$74/12)</f>
        <v>-566.737171677988</v>
      </c>
      <c r="K60" s="138" t="n">
        <f aca="false">-(K91+K98+K103+K77+K212*Hipótesis!$D$73*Hipótesis!$D$74/12)</f>
        <v>-688.991812320325</v>
      </c>
      <c r="L60" s="138" t="n">
        <f aca="false">-(L91+L98+L103+L77+L212*Hipótesis!$D$73*Hipótesis!$D$74/12)</f>
        <v>-787.725713858796</v>
      </c>
      <c r="M60" s="138" t="n">
        <f aca="false">-(M91+M98+M103+M77+M212*Hipótesis!$D$73*Hipótesis!$D$74/12)</f>
        <v>-839.399335011289</v>
      </c>
      <c r="N60" s="138" t="n">
        <f aca="false">-(N91+N98+N103+N77+N212*Hipótesis!$D$73*Hipótesis!$D$74/12)</f>
        <v>-942.942522112967</v>
      </c>
      <c r="O60" s="138" t="n">
        <f aca="false">-(O91+O98+O103+O77+O212*Hipótesis!$D$73*Hipótesis!$D$74/12)</f>
        <v>-942.219141107236</v>
      </c>
      <c r="P60" s="138" t="n">
        <f aca="false">-(P91+P98+P103+P77+P212*Hipótesis!$D$73*Hipótesis!$D$74/12)</f>
        <v>-1039.45393565791</v>
      </c>
      <c r="Q60" s="138" t="n">
        <f aca="false">-(Q91+Q98+Q103+Q77+Q212*Hipótesis!$D$73*Hipótesis!$D$74/12)</f>
        <v>-1136.68873020858</v>
      </c>
      <c r="R60" s="138" t="n">
        <f aca="false">-(R91+R98+R103+R77+R212*Hipótesis!$D$73*Hipótesis!$D$74/12)</f>
        <v>-1233.92352475926</v>
      </c>
      <c r="S60" s="138" t="n">
        <f aca="false">-(S91+S98+S103+S77+S212*Hipótesis!$D$73*Hipótesis!$D$74/12)</f>
        <v>-877.315864241311</v>
      </c>
      <c r="T60" s="138" t="n">
        <f aca="false">-(T91+T98+T103+T77+T212*Hipótesis!$D$73*Hipótesis!$D$74/12)</f>
        <v>-1428.39311386061</v>
      </c>
      <c r="U60" s="138" t="n">
        <f aca="false">-(U91+U98+U103+U77+U212*Hipótesis!$D$73*Hipótesis!$D$74/12)</f>
        <v>-1464.01277277543</v>
      </c>
      <c r="V60" s="138" t="n">
        <f aca="false">-(V91+V98+V103+V77+V212*Hipótesis!$D$73*Hipótesis!$D$74/12)</f>
        <v>-1485.76424949762</v>
      </c>
      <c r="W60" s="138" t="n">
        <f aca="false">-(W91+W98+W103+W77+W212*Hipótesis!$D$73*Hipótesis!$D$74/12)</f>
        <v>-1561.89972621982</v>
      </c>
      <c r="X60" s="138" t="n">
        <f aca="false">-(X91+X98+X103+X77+X212*Hipótesis!$D$73*Hipótesis!$D$74/12)</f>
        <v>-1620.77851336918</v>
      </c>
      <c r="Y60" s="138" t="n">
        <f aca="false">-(Y91+Y98+Y103+Y77+Y212*Hipótesis!$D$73*Hipótesis!$D$74/12)</f>
        <v>-1679.65730051855</v>
      </c>
      <c r="Z60" s="138" t="n">
        <f aca="false">-(Z91+Z98+Z103+Z77+Z212*Hipótesis!$D$73*Hipótesis!$D$74/12)</f>
        <v>-1732.23093871378</v>
      </c>
      <c r="AA60" s="138" t="n">
        <f aca="false">-(AA91+AA98+AA103+AA77+AA212*Hipótesis!$D$73*Hipótesis!$D$74/12)</f>
        <v>-1740.55474490901</v>
      </c>
      <c r="AB60" s="138" t="n">
        <f aca="false">-(AB91+AB98+AB103+AB77+AB212*Hipótesis!$D$73*Hipótesis!$D$74/12)</f>
        <v>-1787.57282754869</v>
      </c>
      <c r="AC60" s="138" t="n">
        <f aca="false">-(AC91+AC98+AC103+AC77+AC212*Hipótesis!$D$73*Hipótesis!$D$74/12)</f>
        <v>-1834.59091018836</v>
      </c>
      <c r="AD60" s="138" t="n">
        <f aca="false">-(AD91+AD98+AD103+AD77+AD212*Hipótesis!$D$73*Hipótesis!$D$74/12)</f>
        <v>-1881.60899282804</v>
      </c>
      <c r="AE60" s="138" t="n">
        <f aca="false">-(AE91+AE98+AE103+AE77+AE212*Hipótesis!$D$73*Hipótesis!$D$74/12)</f>
        <v>-1449.02918186565</v>
      </c>
      <c r="AF60" s="138" t="n">
        <f aca="false">-(AF91+AF98+AF103+AF77+AF212*Hipótesis!$D$73*Hipótesis!$D$74/12)</f>
        <v>-1975.64515810739</v>
      </c>
      <c r="AG60" s="138" t="n">
        <f aca="false">-(AG91+AG98+AG103+AG77+AG212*Hipótesis!$D$73*Hipótesis!$D$74/12)</f>
        <v>-2022.66324074707</v>
      </c>
      <c r="AH60" s="138" t="n">
        <f aca="false">-(AH91+AH98+AH103+AH77+AH212*Hipótesis!$D$73*Hipótesis!$D$74/12)</f>
        <v>-2022.06813138674</v>
      </c>
      <c r="AI60" s="138" t="n">
        <f aca="false">-(AI91+AI98+AI103+AI77+AI212*Hipótesis!$D$73*Hipótesis!$D$74/12)</f>
        <v>-2069.08621402642</v>
      </c>
      <c r="AJ60" s="138" t="n">
        <f aca="false">-(AJ91+AJ98+AJ103+AJ77+AJ212*Hipótesis!$D$73*Hipótesis!$D$74/12)</f>
        <v>-2116.1042966661</v>
      </c>
      <c r="AK60" s="138" t="n">
        <f aca="false">-(AK91+AK98+AK103+AK77+AK212*Hipótesis!$D$73*Hipótesis!$D$74/12)</f>
        <v>-2163.12237930577</v>
      </c>
      <c r="AL60" s="138" t="n">
        <f aca="false">-(AL91+AL98+AL103+AL77+AL212*Hipótesis!$D$73*Hipótesis!$D$74/12)</f>
        <v>-2210.14046194545</v>
      </c>
      <c r="AM60" s="138" t="n">
        <f aca="false">-(AM91+AM98+AM103+AM77+AM212*Hipótesis!$D$73*Hipótesis!$D$74/12)</f>
        <v>-2211.34082186512</v>
      </c>
      <c r="AN60" s="138" t="n">
        <f aca="false">-(AN91+AN98+AN103+AN77+AN212*Hipótesis!$D$73*Hipótesis!$D$74/12)</f>
        <v>-2258.3589045048</v>
      </c>
      <c r="AO60" s="138" t="n">
        <f aca="false">-(AO91+AO98+AO103+AO77+AO212*Hipótesis!$D$73*Hipótesis!$D$74/12)</f>
        <v>-2305.37698714448</v>
      </c>
      <c r="AP60" s="138" t="n">
        <f aca="false">-(AP91+AP98+AP103+AP77+AP212*Hipótesis!$D$73*Hipótesis!$D$74/12)</f>
        <v>-2352.39506978415</v>
      </c>
      <c r="AQ60" s="138" t="n">
        <f aca="false">-(AQ91+AQ98+AQ103+AQ77+AQ212*Hipótesis!$D$73*Hipótesis!$D$74/12)</f>
        <v>-1919.81525882176</v>
      </c>
      <c r="AR60" s="138" t="n">
        <f aca="false">-(AR91+AR98+AR103+AR77+AR212*Hipótesis!$D$73*Hipótesis!$D$74/12)</f>
        <v>-2446.43123506351</v>
      </c>
      <c r="AS60" s="138" t="n">
        <f aca="false">-(AS91+AS98+AS103+AS77+AS212*Hipótesis!$D$73*Hipótesis!$D$74/12)</f>
        <v>-2440.87567950795</v>
      </c>
      <c r="AT60" s="138" t="n">
        <f aca="false">-(AT91+AT98+AT103+AT77+AT212*Hipótesis!$D$73*Hipótesis!$D$74/12)</f>
        <v>-2435.32012395239</v>
      </c>
      <c r="AU60" s="138" t="n">
        <f aca="false">-(AU91+AU98+AU103+AU77+AU212*Hipótesis!$D$73*Hipótesis!$D$74/12)</f>
        <v>-2429.76456839684</v>
      </c>
      <c r="AV60" s="138" t="n">
        <f aca="false">-(AV91+AV98+AV103+AV77+AV212*Hipótesis!$D$73*Hipótesis!$D$74/12)</f>
        <v>-2424.20901284128</v>
      </c>
      <c r="AW60" s="138" t="n">
        <f aca="false">-(AW91+AW98+AW103+AW77+AW212*Hipótesis!$D$73*Hipótesis!$D$74/12)</f>
        <v>-2418.65345728573</v>
      </c>
      <c r="AX60" s="138" t="n">
        <f aca="false">-(AX91+AX98+AX103+AX77+AX212*Hipótesis!$D$73*Hipótesis!$D$74/12)</f>
        <v>-2413.09790173017</v>
      </c>
      <c r="AY60" s="138" t="n">
        <f aca="false">-(AY91+AY98+AY103+AY77+AY212*Hipótesis!$D$73*Hipótesis!$D$74/12)</f>
        <v>-2361.53809177302</v>
      </c>
      <c r="AZ60" s="138" t="n">
        <f aca="false">-(AZ91+AZ98+AZ103+AZ77+AZ212*Hipótesis!$D$73*Hipótesis!$D$74/12)</f>
        <v>-2355.98253621746</v>
      </c>
      <c r="BA60" s="138" t="n">
        <f aca="false">-(BA91+BA98+BA103+BA77+BA212*Hipótesis!$D$73*Hipótesis!$D$74/12)</f>
        <v>-2350.4269806619</v>
      </c>
      <c r="BB60" s="138" t="n">
        <f aca="false">-(BB91+BB98+BB103+BB77+BB212*Hipótesis!$D$73*Hipótesis!$D$74/12)</f>
        <v>-2344.87142510635</v>
      </c>
      <c r="BC60" s="138" t="n">
        <f aca="false">-(BC91+BC98+BC103+BC77+BC212*Hipótesis!$D$73*Hipótesis!$D$74/12)</f>
        <v>-1859.71797594872</v>
      </c>
      <c r="BD60" s="138" t="n">
        <f aca="false">-(BD91+BD98+BD103+BD77+BD212*Hipótesis!$D$73*Hipótesis!$D$74/12)</f>
        <v>-2333.76031399524</v>
      </c>
      <c r="BE60" s="138" t="n">
        <f aca="false">-(BE91+BE98+BE103+BE77+BE212*Hipótesis!$D$73*Hipótesis!$D$74/12)</f>
        <v>-2328.20475843968</v>
      </c>
      <c r="BF60" s="138" t="n">
        <f aca="false">-(BF91+BF98+BF103+BF77+BF212*Hipótesis!$D$73*Hipótesis!$D$74/12)</f>
        <v>-2322.64920288413</v>
      </c>
      <c r="BG60" s="138" t="n">
        <f aca="false">-(BG91+BG98+BG103+BG77+BG212*Hipótesis!$D$73*Hipótesis!$D$74/12)</f>
        <v>-2317.09364732857</v>
      </c>
      <c r="BH60" s="138" t="n">
        <f aca="false">-(BH91+BH98+BH103+BH77+BH212*Hipótesis!$D$73*Hipótesis!$D$74/12)</f>
        <v>-2311.53809177302</v>
      </c>
      <c r="BI60" s="138" t="n">
        <f aca="false">-(BI91+BI98+BI103+BI77+BI212*Hipótesis!$D$73*Hipótesis!$D$74/12)</f>
        <v>-2305.98253621746</v>
      </c>
      <c r="BJ60" s="138" t="n">
        <f aca="false">-(BJ91+BJ98+BJ103+BJ77+BJ212*Hipótesis!$D$73*Hipótesis!$D$74/12)</f>
        <v>-2300.4269806619</v>
      </c>
      <c r="BK60" s="138" t="n">
        <f aca="false">-(BK91+BK98+BK103+BK77+BK212*Hipótesis!$D$73*Hipótesis!$D$74/12)</f>
        <v>-2248.6750430727</v>
      </c>
      <c r="BL60" s="138" t="n">
        <f aca="false">-(BL91+BL98+BL103+BL77+BL212*Hipótesis!$D$73*Hipótesis!$D$74/12)</f>
        <v>-2243.11948751715</v>
      </c>
      <c r="BM60" s="138" t="n">
        <f aca="false">-(BM91+BM98+BM103+BM77+BM212*Hipótesis!$D$73*Hipótesis!$D$74/12)</f>
        <v>-2237.56393196159</v>
      </c>
      <c r="BN60" s="138" t="n">
        <f aca="false">-(BN91+BN98+BN103+BN77+BN212*Hipótesis!$D$73*Hipótesis!$D$74/12)</f>
        <v>-2232.00837640603</v>
      </c>
      <c r="BO60" s="138" t="n">
        <f aca="false">-(BO91+BO98+BO103+BO77+BO212*Hipótesis!$D$73*Hipótesis!$D$74/12)</f>
        <v>-1746.85492724841</v>
      </c>
      <c r="BP60" s="138" t="n">
        <f aca="false">-(BP91+BP98+BP103+BP77+BP212*Hipótesis!$D$73*Hipótesis!$D$74/12)</f>
        <v>-2220.89726529492</v>
      </c>
      <c r="BQ60" s="138" t="n">
        <f aca="false">-(BQ91+BQ98+BQ103+BQ77+BQ212*Hipótesis!$D$73*Hipótesis!$D$74/12)</f>
        <v>-2215.34170973937</v>
      </c>
      <c r="BR60" s="138" t="n">
        <f aca="false">-(BR91+BR98+BR103+BR77+BR212*Hipótesis!$D$73*Hipótesis!$D$74/12)</f>
        <v>-2209.78615418381</v>
      </c>
      <c r="BS60" s="138" t="n">
        <f aca="false">-(BS91+BS98+BS103+BS77+BS212*Hipótesis!$D$73*Hipótesis!$D$74/12)</f>
        <v>-2204.23059862826</v>
      </c>
      <c r="BT60" s="138" t="n">
        <f aca="false">-(BT91+BT98+BT103+BT77+BT212*Hipótesis!$D$73*Hipótesis!$D$74/12)</f>
        <v>-2198.6750430727</v>
      </c>
      <c r="BU60" s="138" t="n">
        <f aca="false">-(BU91+BU98+BU103+BU77+BU212*Hipótesis!$D$73*Hipótesis!$D$74/12)</f>
        <v>-2193.11948751715</v>
      </c>
      <c r="BV60" s="138" t="n">
        <f aca="false">-(BV91+BV98+BV103+BV77+BV212*Hipótesis!$D$73*Hipótesis!$D$74/12)</f>
        <v>-2187.56393196159</v>
      </c>
      <c r="BW60" s="138" t="n">
        <f aca="false">-(BW91+BW98+BW103+BW77+BW212*Hipótesis!$D$73*Hipótesis!$D$74/12)</f>
        <v>-2135.61410291138</v>
      </c>
      <c r="BX60" s="138" t="n">
        <f aca="false">-(BX91+BX98+BX103+BX77+BX212*Hipótesis!$D$73*Hipótesis!$D$74/12)</f>
        <v>-2130.05854735582</v>
      </c>
      <c r="BY60" s="138" t="n">
        <f aca="false">-(BY91+BY98+BY103+BY77+BY212*Hipótesis!$D$73*Hipótesis!$D$74/12)</f>
        <v>-2124.50299180027</v>
      </c>
      <c r="BZ60" s="138" t="n">
        <f aca="false">-(BZ91+BZ98+BZ103+BZ77+BZ212*Hipótesis!$D$73*Hipótesis!$D$74/12)</f>
        <v>-2118.94743624471</v>
      </c>
      <c r="CA60" s="138" t="n">
        <f aca="false">-(CA91+CA98+CA103+CA77+CA212*Hipótesis!$D$73*Hipótesis!$D$74/12)</f>
        <v>-1633.79398708709</v>
      </c>
      <c r="CB60" s="138" t="n">
        <f aca="false">-(CB91+CB98+CB103+CB77+CB212*Hipótesis!$D$73*Hipótesis!$D$74/12)</f>
        <v>-2107.8363251336</v>
      </c>
      <c r="CC60" s="138" t="n">
        <f aca="false">-(CC91+CC98+CC103+CC77+CC212*Hipótesis!$D$73*Hipótesis!$D$74/12)</f>
        <v>-2102.28076957804</v>
      </c>
      <c r="CD60" s="138" t="n">
        <f aca="false">-(CD91+CD98+CD103+CD77+CD212*Hipótesis!$D$73*Hipótesis!$D$74/12)</f>
        <v>-2096.72521402249</v>
      </c>
      <c r="CE60" s="138" t="n">
        <f aca="false">-(CE91+CE98+CE103+CE77+CE212*Hipótesis!$D$73*Hipótesis!$D$74/12)</f>
        <v>-2091.16965846693</v>
      </c>
      <c r="CF60" s="138" t="n">
        <f aca="false">-(CF91+CF98+CF103+CF77+CF212*Hipótesis!$D$73*Hipótesis!$D$74/12)</f>
        <v>-2085.61410291138</v>
      </c>
      <c r="CG60" s="138" t="n">
        <f aca="false">-(CG91+CG98+CG103+CG77+CG212*Hipótesis!$D$73*Hipótesis!$D$74/12)</f>
        <v>-2080.05854735582</v>
      </c>
      <c r="CH60" s="138" t="n">
        <f aca="false">-(CH91+CH98+CH103+CH77+CH212*Hipótesis!$D$73*Hipótesis!$D$74/12)</f>
        <v>-2074.50299180027</v>
      </c>
    </row>
    <row r="61" customFormat="false" ht="13.5" hidden="false" customHeight="true" outlineLevel="0" collapsed="false">
      <c r="A61" s="30" t="s">
        <v>741</v>
      </c>
      <c r="C61" s="138" t="n">
        <f aca="false">C59+C60</f>
        <v>-16050.050688402</v>
      </c>
      <c r="D61" s="138" t="n">
        <f aca="false">D59+D60</f>
        <v>-13457.4123077548</v>
      </c>
      <c r="E61" s="138" t="n">
        <f aca="false">E59+E60</f>
        <v>-9901.20939389348</v>
      </c>
      <c r="F61" s="138" t="n">
        <f aca="false">F59+F60</f>
        <v>-7216.94137043579</v>
      </c>
      <c r="G61" s="138" t="n">
        <f aca="false">G59+G60</f>
        <v>-11663.2179287587</v>
      </c>
      <c r="H61" s="138" t="n">
        <f aca="false">H59+H60</f>
        <v>-1450.5286248292</v>
      </c>
      <c r="I61" s="138" t="n">
        <f aca="false">I59+I60</f>
        <v>1559.85331530388</v>
      </c>
      <c r="J61" s="138" t="n">
        <f aca="false">J59+J60</f>
        <v>5673.27534926938</v>
      </c>
      <c r="K61" s="138" t="n">
        <f aca="false">K59+K60</f>
        <v>10397.3819737591</v>
      </c>
      <c r="L61" s="138" t="n">
        <f aca="false">L59+L60</f>
        <v>15145.0093373527</v>
      </c>
      <c r="M61" s="138" t="n">
        <f aca="false">M59+M60</f>
        <v>18972.4147274151</v>
      </c>
      <c r="N61" s="138" t="n">
        <f aca="false">N59+N60</f>
        <v>23459.3846395449</v>
      </c>
      <c r="O61" s="138" t="n">
        <f aca="false">O59+O60</f>
        <v>22823.4211197821</v>
      </c>
      <c r="P61" s="138" t="n">
        <f aca="false">P59+P60</f>
        <v>27041.9123429081</v>
      </c>
      <c r="Q61" s="138" t="n">
        <f aca="false">Q59+Q60</f>
        <v>31260.4035660341</v>
      </c>
      <c r="R61" s="138" t="n">
        <f aca="false">R59+R60</f>
        <v>35478.8947891601</v>
      </c>
      <c r="S61" s="138" t="n">
        <f aca="false">S59+S60</f>
        <v>17459.1057139236</v>
      </c>
      <c r="T61" s="138" t="n">
        <f aca="false">T59+T60</f>
        <v>43915.8772354121</v>
      </c>
      <c r="U61" s="138" t="n">
        <f aca="false">U59+U60</f>
        <v>45040.0955886631</v>
      </c>
      <c r="V61" s="138" t="n">
        <f aca="false">V59+V60</f>
        <v>45484.7730144755</v>
      </c>
      <c r="W61" s="138" t="n">
        <f aca="false">W59+W60</f>
        <v>48594.2664402878</v>
      </c>
      <c r="X61" s="138" t="n">
        <f aca="false">X59+X60</f>
        <v>51009.5824676564</v>
      </c>
      <c r="Y61" s="138" t="n">
        <f aca="false">Y59+Y60</f>
        <v>53424.898495025</v>
      </c>
      <c r="Z61" s="138" t="n">
        <f aca="false">Z59+Z60</f>
        <v>55587.7850361411</v>
      </c>
      <c r="AA61" s="138" t="n">
        <f aca="false">AA59+AA60</f>
        <v>55582.4298092572</v>
      </c>
      <c r="AB61" s="138" t="n">
        <f aca="false">AB59+AB60</f>
        <v>57750.8719059289</v>
      </c>
      <c r="AC61" s="138" t="n">
        <f aca="false">AC59+AC60</f>
        <v>59919.3140026005</v>
      </c>
      <c r="AD61" s="138" t="n">
        <f aca="false">AD59+AD60</f>
        <v>62087.7560992722</v>
      </c>
      <c r="AE61" s="138" t="n">
        <f aca="false">AE59+AE60</f>
        <v>40755.9014094425</v>
      </c>
      <c r="AF61" s="138" t="n">
        <f aca="false">AF59+AF60</f>
        <v>66424.6402926155</v>
      </c>
      <c r="AG61" s="138" t="n">
        <f aca="false">AG59+AG60</f>
        <v>68593.0823892872</v>
      </c>
      <c r="AH61" s="138" t="n">
        <f aca="false">AH59+AH60</f>
        <v>68428.4780779589</v>
      </c>
      <c r="AI61" s="138" t="n">
        <f aca="false">AI59+AI60</f>
        <v>70596.9201746305</v>
      </c>
      <c r="AJ61" s="138" t="n">
        <f aca="false">AJ59+AJ60</f>
        <v>72765.3622713022</v>
      </c>
      <c r="AK61" s="138" t="n">
        <f aca="false">AK59+AK60</f>
        <v>74933.8043679738</v>
      </c>
      <c r="AL61" s="138" t="n">
        <f aca="false">AL59+AL60</f>
        <v>77102.2464646455</v>
      </c>
      <c r="AM61" s="138" t="n">
        <f aca="false">AM59+AM60</f>
        <v>77025.6201480372</v>
      </c>
      <c r="AN61" s="138" t="n">
        <f aca="false">AN59+AN60</f>
        <v>79194.0622447088</v>
      </c>
      <c r="AO61" s="138" t="n">
        <f aca="false">AO59+AO60</f>
        <v>81362.5043413805</v>
      </c>
      <c r="AP61" s="138" t="n">
        <f aca="false">AP59+AP60</f>
        <v>83530.9464380522</v>
      </c>
      <c r="AQ61" s="138" t="n">
        <f aca="false">AQ59+AQ60</f>
        <v>62199.0917482224</v>
      </c>
      <c r="AR61" s="138" t="n">
        <f aca="false">AR59+AR60</f>
        <v>87867.8306313955</v>
      </c>
      <c r="AS61" s="138" t="n">
        <f aca="false">AS59+AS60</f>
        <v>87873.386186951</v>
      </c>
      <c r="AT61" s="138" t="n">
        <f aca="false">AT59+AT60</f>
        <v>87878.9417425066</v>
      </c>
      <c r="AU61" s="138" t="n">
        <f aca="false">AU59+AU60</f>
        <v>87884.4972980622</v>
      </c>
      <c r="AV61" s="138" t="n">
        <f aca="false">AV59+AV60</f>
        <v>87890.0528536177</v>
      </c>
      <c r="AW61" s="138" t="n">
        <f aca="false">AW59+AW60</f>
        <v>87895.6084091733</v>
      </c>
      <c r="AX61" s="138" t="n">
        <f aca="false">AX59+AX60</f>
        <v>87901.1639647288</v>
      </c>
      <c r="AY61" s="138" t="n">
        <f aca="false">AY59+AY60</f>
        <v>85652.511054606</v>
      </c>
      <c r="AZ61" s="138" t="n">
        <f aca="false">AZ59+AZ60</f>
        <v>85658.0666101615</v>
      </c>
      <c r="BA61" s="138" t="n">
        <f aca="false">BA59+BA60</f>
        <v>85663.6221657171</v>
      </c>
      <c r="BB61" s="138" t="n">
        <f aca="false">BB59+BB60</f>
        <v>85669.1777212726</v>
      </c>
      <c r="BC61" s="138" t="n">
        <f aca="false">BC59+BC60</f>
        <v>62174.4364903268</v>
      </c>
      <c r="BD61" s="138" t="n">
        <f aca="false">BD59+BD60</f>
        <v>85680.2888323837</v>
      </c>
      <c r="BE61" s="138" t="n">
        <f aca="false">BE59+BE60</f>
        <v>85685.8443879393</v>
      </c>
      <c r="BF61" s="138" t="n">
        <f aca="false">BF59+BF60</f>
        <v>85691.3999434949</v>
      </c>
      <c r="BG61" s="138" t="n">
        <f aca="false">BG59+BG60</f>
        <v>85696.9554990504</v>
      </c>
      <c r="BH61" s="138" t="n">
        <f aca="false">BH59+BH60</f>
        <v>85702.511054606</v>
      </c>
      <c r="BI61" s="138" t="n">
        <f aca="false">BI59+BI60</f>
        <v>85708.0666101615</v>
      </c>
      <c r="BJ61" s="138" t="n">
        <f aca="false">BJ59+BJ60</f>
        <v>85713.6221657171</v>
      </c>
      <c r="BK61" s="138" t="n">
        <f aca="false">BK59+BK60</f>
        <v>83455.5550016239</v>
      </c>
      <c r="BL61" s="138" t="n">
        <f aca="false">BL59+BL60</f>
        <v>83461.1105571794</v>
      </c>
      <c r="BM61" s="138" t="n">
        <f aca="false">BM59+BM60</f>
        <v>83466.666112735</v>
      </c>
      <c r="BN61" s="138" t="n">
        <f aca="false">BN59+BN60</f>
        <v>83472.2216682905</v>
      </c>
      <c r="BO61" s="138" t="n">
        <f aca="false">BO59+BO60</f>
        <v>59977.4804373447</v>
      </c>
      <c r="BP61" s="138" t="n">
        <f aca="false">BP59+BP60</f>
        <v>83483.3327794017</v>
      </c>
      <c r="BQ61" s="138" t="n">
        <f aca="false">BQ59+BQ60</f>
        <v>83488.8883349572</v>
      </c>
      <c r="BR61" s="138" t="n">
        <f aca="false">BR59+BR60</f>
        <v>83494.4438905128</v>
      </c>
      <c r="BS61" s="138" t="n">
        <f aca="false">BS59+BS60</f>
        <v>83499.9994460683</v>
      </c>
      <c r="BT61" s="138" t="n">
        <f aca="false">BT59+BT60</f>
        <v>83505.5550016239</v>
      </c>
      <c r="BU61" s="138" t="n">
        <f aca="false">BU59+BU60</f>
        <v>83511.1105571794</v>
      </c>
      <c r="BV61" s="138" t="n">
        <f aca="false">BV59+BV60</f>
        <v>83516.666112735</v>
      </c>
      <c r="BW61" s="138" t="n">
        <f aca="false">BW59+BW60</f>
        <v>81248.9022670523</v>
      </c>
      <c r="BX61" s="138" t="n">
        <f aca="false">BX59+BX60</f>
        <v>81254.4578226079</v>
      </c>
      <c r="BY61" s="138" t="n">
        <f aca="false">BY59+BY60</f>
        <v>81260.0133781635</v>
      </c>
      <c r="BZ61" s="138" t="n">
        <f aca="false">BZ59+BZ60</f>
        <v>81265.568933719</v>
      </c>
      <c r="CA61" s="138" t="n">
        <f aca="false">CA59+CA60</f>
        <v>57770.8277027732</v>
      </c>
      <c r="CB61" s="138" t="n">
        <f aca="false">CB59+CB60</f>
        <v>81276.6800448301</v>
      </c>
      <c r="CC61" s="138" t="n">
        <f aca="false">CC59+CC60</f>
        <v>81282.2356003857</v>
      </c>
      <c r="CD61" s="138" t="n">
        <f aca="false">CD59+CD60</f>
        <v>81287.7911559412</v>
      </c>
      <c r="CE61" s="138" t="n">
        <f aca="false">CE59+CE60</f>
        <v>81293.3467114968</v>
      </c>
      <c r="CF61" s="138" t="n">
        <f aca="false">CF59+CF60</f>
        <v>81298.9022670523</v>
      </c>
      <c r="CG61" s="138" t="n">
        <f aca="false">CG59+CG60</f>
        <v>81304.4578226079</v>
      </c>
      <c r="CH61" s="138" t="n">
        <f aca="false">CH59+CH60</f>
        <v>81310.0133781635</v>
      </c>
    </row>
    <row r="62" customFormat="false" ht="13.5" hidden="false" customHeight="true" outlineLevel="0" collapsed="false">
      <c r="A62" s="13" t="s">
        <v>742</v>
      </c>
      <c r="C62" s="138" t="n">
        <f aca="false">-IF(1&lt;Hipótesis!$D$89,Hipótesis!$E$87,Hipótesis!$E$88)*MAX(0,C61)</f>
        <v>-0</v>
      </c>
      <c r="D62" s="138" t="n">
        <f aca="false">-IF(1&lt;Hipótesis!$D$89,Hipótesis!$E$87,Hipótesis!$E$88)*MAX(0,D61)</f>
        <v>-0</v>
      </c>
      <c r="E62" s="138" t="n">
        <f aca="false">-IF(1&lt;Hipótesis!$D$89,Hipótesis!$E$87,Hipótesis!$E$88)*MAX(0,E61)</f>
        <v>-0</v>
      </c>
      <c r="F62" s="138" t="n">
        <f aca="false">-IF(1&lt;Hipótesis!$D$89,Hipótesis!$E$87,Hipótesis!$E$88)*MAX(0,F61)</f>
        <v>-0</v>
      </c>
      <c r="G62" s="138" t="n">
        <f aca="false">-IF(1&lt;Hipótesis!$D$89,Hipótesis!$E$87,Hipótesis!$E$88)*MAX(0,G61)</f>
        <v>-0</v>
      </c>
      <c r="H62" s="138" t="n">
        <f aca="false">-IF(1&lt;Hipótesis!$D$89,Hipótesis!$E$87,Hipótesis!$E$88)*MAX(0,H61)</f>
        <v>-0</v>
      </c>
      <c r="I62" s="138" t="n">
        <f aca="false">-IF(1&lt;Hipótesis!$D$89,Hipótesis!$E$87,Hipótesis!$E$88)*MAX(0,I61)</f>
        <v>-233.977997295581</v>
      </c>
      <c r="J62" s="138" t="n">
        <f aca="false">-IF(1&lt;Hipótesis!$D$89,Hipótesis!$E$87,Hipótesis!$E$88)*MAX(0,J61)</f>
        <v>-850.991302390407</v>
      </c>
      <c r="K62" s="138" t="n">
        <f aca="false">-IF(1&lt;Hipótesis!$D$89,Hipótesis!$E$87,Hipótesis!$E$88)*MAX(0,K61)</f>
        <v>-1559.60729606387</v>
      </c>
      <c r="L62" s="138" t="n">
        <f aca="false">-IF(1&lt;Hipótesis!$D$89,Hipótesis!$E$87,Hipótesis!$E$88)*MAX(0,L61)</f>
        <v>-2271.75140060291</v>
      </c>
      <c r="M62" s="138" t="n">
        <f aca="false">-IF(1&lt;Hipótesis!$D$89,Hipótesis!$E$87,Hipótesis!$E$88)*MAX(0,M61)</f>
        <v>-2845.86220911226</v>
      </c>
      <c r="N62" s="138" t="n">
        <f aca="false">-IF(1&lt;Hipótesis!$D$89,Hipótesis!$E$87,Hipótesis!$E$88)*MAX(0,N61)</f>
        <v>-3518.90769593173</v>
      </c>
      <c r="O62" s="138" t="n">
        <f aca="false">-IF(2&lt;Hipótesis!$D$89,Hipótesis!$E$87,Hipótesis!$E$88)*MAX(0,O61)</f>
        <v>-3423.51316796731</v>
      </c>
      <c r="P62" s="138" t="n">
        <f aca="false">-IF(2&lt;Hipótesis!$D$89,Hipótesis!$E$87,Hipótesis!$E$88)*MAX(0,P61)</f>
        <v>-4056.28685143621</v>
      </c>
      <c r="Q62" s="138" t="n">
        <f aca="false">-IF(2&lt;Hipótesis!$D$89,Hipótesis!$E$87,Hipótesis!$E$88)*MAX(0,Q61)</f>
        <v>-4689.06053490511</v>
      </c>
      <c r="R62" s="138" t="n">
        <f aca="false">-IF(2&lt;Hipótesis!$D$89,Hipótesis!$E$87,Hipótesis!$E$88)*MAX(0,R61)</f>
        <v>-5321.83421837401</v>
      </c>
      <c r="S62" s="138" t="n">
        <f aca="false">-IF(2&lt;Hipótesis!$D$89,Hipótesis!$E$87,Hipótesis!$E$88)*MAX(0,S61)</f>
        <v>-2618.86585708855</v>
      </c>
      <c r="T62" s="138" t="n">
        <f aca="false">-IF(2&lt;Hipótesis!$D$89,Hipótesis!$E$87,Hipótesis!$E$88)*MAX(0,T61)</f>
        <v>-6587.38158531181</v>
      </c>
      <c r="U62" s="138" t="n">
        <f aca="false">-IF(2&lt;Hipótesis!$D$89,Hipótesis!$E$87,Hipótesis!$E$88)*MAX(0,U61)</f>
        <v>-6756.01433829947</v>
      </c>
      <c r="V62" s="138" t="n">
        <f aca="false">-IF(2&lt;Hipótesis!$D$89,Hipótesis!$E$87,Hipótesis!$E$88)*MAX(0,V61)</f>
        <v>-6822.71595217132</v>
      </c>
      <c r="W62" s="138" t="n">
        <f aca="false">-IF(2&lt;Hipótesis!$D$89,Hipótesis!$E$87,Hipótesis!$E$88)*MAX(0,W61)</f>
        <v>-7289.13996604317</v>
      </c>
      <c r="X62" s="138" t="n">
        <f aca="false">-IF(2&lt;Hipótesis!$D$89,Hipótesis!$E$87,Hipótesis!$E$88)*MAX(0,X61)</f>
        <v>-7651.43737014846</v>
      </c>
      <c r="Y62" s="138" t="n">
        <f aca="false">-IF(2&lt;Hipótesis!$D$89,Hipótesis!$E$87,Hipótesis!$E$88)*MAX(0,Y61)</f>
        <v>-8013.73477425375</v>
      </c>
      <c r="Z62" s="138" t="n">
        <f aca="false">-IF(2&lt;Hipótesis!$D$89,Hipótesis!$E$87,Hipótesis!$E$88)*MAX(0,Z61)</f>
        <v>-8338.16775542117</v>
      </c>
      <c r="AA62" s="138" t="n">
        <f aca="false">-IF(3&lt;Hipótesis!$D$89,Hipótesis!$E$87,Hipótesis!$E$88)*MAX(0,AA61)</f>
        <v>-8337.36447138858</v>
      </c>
      <c r="AB62" s="138" t="n">
        <f aca="false">-IF(3&lt;Hipótesis!$D$89,Hipótesis!$E$87,Hipótesis!$E$88)*MAX(0,AB61)</f>
        <v>-8662.63078588933</v>
      </c>
      <c r="AC62" s="138" t="n">
        <f aca="false">-IF(3&lt;Hipótesis!$D$89,Hipótesis!$E$87,Hipótesis!$E$88)*MAX(0,AC61)</f>
        <v>-8987.89710039008</v>
      </c>
      <c r="AD62" s="138" t="n">
        <f aca="false">-IF(3&lt;Hipótesis!$D$89,Hipótesis!$E$87,Hipótesis!$E$88)*MAX(0,AD61)</f>
        <v>-9313.16341489083</v>
      </c>
      <c r="AE62" s="138" t="n">
        <f aca="false">-IF(3&lt;Hipótesis!$D$89,Hipótesis!$E$87,Hipótesis!$E$88)*MAX(0,AE61)</f>
        <v>-6113.38521141637</v>
      </c>
      <c r="AF62" s="138" t="n">
        <f aca="false">-IF(3&lt;Hipótesis!$D$89,Hipótesis!$E$87,Hipótesis!$E$88)*MAX(0,AF61)</f>
        <v>-9963.69604389233</v>
      </c>
      <c r="AG62" s="138" t="n">
        <f aca="false">-IF(3&lt;Hipótesis!$D$89,Hipótesis!$E$87,Hipótesis!$E$88)*MAX(0,AG61)</f>
        <v>-10288.9623583931</v>
      </c>
      <c r="AH62" s="138" t="n">
        <f aca="false">-IF(3&lt;Hipótesis!$D$89,Hipótesis!$E$87,Hipótesis!$E$88)*MAX(0,AH61)</f>
        <v>-10264.2717116938</v>
      </c>
      <c r="AI62" s="138" t="n">
        <f aca="false">-IF(3&lt;Hipótesis!$D$89,Hipótesis!$E$87,Hipótesis!$E$88)*MAX(0,AI61)</f>
        <v>-10589.5380261946</v>
      </c>
      <c r="AJ62" s="138" t="n">
        <f aca="false">-IF(3&lt;Hipótesis!$D$89,Hipótesis!$E$87,Hipótesis!$E$88)*MAX(0,AJ61)</f>
        <v>-10914.8043406953</v>
      </c>
      <c r="AK62" s="138" t="n">
        <f aca="false">-IF(3&lt;Hipótesis!$D$89,Hipótesis!$E$87,Hipótesis!$E$88)*MAX(0,AK61)</f>
        <v>-11240.0706551961</v>
      </c>
      <c r="AL62" s="138" t="n">
        <f aca="false">-IF(3&lt;Hipótesis!$D$89,Hipótesis!$E$87,Hipótesis!$E$88)*MAX(0,AL61)</f>
        <v>-11565.3369696968</v>
      </c>
      <c r="AM62" s="138" t="n">
        <f aca="false">-IF(4&lt;Hipótesis!$D$89,Hipótesis!$E$87,Hipótesis!$E$88)*MAX(0,AM61)</f>
        <v>-19256.4050370093</v>
      </c>
      <c r="AN62" s="138" t="n">
        <f aca="false">-IF(4&lt;Hipótesis!$D$89,Hipótesis!$E$87,Hipótesis!$E$88)*MAX(0,AN61)</f>
        <v>-19798.5155611772</v>
      </c>
      <c r="AO62" s="138" t="n">
        <f aca="false">-IF(4&lt;Hipótesis!$D$89,Hipótesis!$E$87,Hipótesis!$E$88)*MAX(0,AO61)</f>
        <v>-20340.6260853451</v>
      </c>
      <c r="AP62" s="138" t="n">
        <f aca="false">-IF(4&lt;Hipótesis!$D$89,Hipótesis!$E$87,Hipótesis!$E$88)*MAX(0,AP61)</f>
        <v>-20882.736609513</v>
      </c>
      <c r="AQ62" s="138" t="n">
        <f aca="false">-IF(4&lt;Hipótesis!$D$89,Hipótesis!$E$87,Hipótesis!$E$88)*MAX(0,AQ61)</f>
        <v>-15549.7729370556</v>
      </c>
      <c r="AR62" s="138" t="n">
        <f aca="false">-IF(4&lt;Hipótesis!$D$89,Hipótesis!$E$87,Hipótesis!$E$88)*MAX(0,AR61)</f>
        <v>-21966.9576578489</v>
      </c>
      <c r="AS62" s="138" t="n">
        <f aca="false">-IF(4&lt;Hipótesis!$D$89,Hipótesis!$E$87,Hipótesis!$E$88)*MAX(0,AS61)</f>
        <v>-21968.3465467378</v>
      </c>
      <c r="AT62" s="138" t="n">
        <f aca="false">-IF(4&lt;Hipótesis!$D$89,Hipótesis!$E$87,Hipótesis!$E$88)*MAX(0,AT61)</f>
        <v>-21969.7354356267</v>
      </c>
      <c r="AU62" s="138" t="n">
        <f aca="false">-IF(4&lt;Hipótesis!$D$89,Hipótesis!$E$87,Hipótesis!$E$88)*MAX(0,AU61)</f>
        <v>-21971.1243245155</v>
      </c>
      <c r="AV62" s="138" t="n">
        <f aca="false">-IF(4&lt;Hipótesis!$D$89,Hipótesis!$E$87,Hipótesis!$E$88)*MAX(0,AV61)</f>
        <v>-21972.5132134044</v>
      </c>
      <c r="AW62" s="138" t="n">
        <f aca="false">-IF(4&lt;Hipótesis!$D$89,Hipótesis!$E$87,Hipótesis!$E$88)*MAX(0,AW61)</f>
        <v>-21973.9021022933</v>
      </c>
      <c r="AX62" s="138" t="n">
        <f aca="false">-IF(4&lt;Hipótesis!$D$89,Hipótesis!$E$87,Hipótesis!$E$88)*MAX(0,AX61)</f>
        <v>-21975.2909911822</v>
      </c>
      <c r="AY62" s="138" t="n">
        <f aca="false">-IF(5&lt;Hipótesis!$D$89,Hipótesis!$E$87,Hipótesis!$E$88)*MAX(0,AY61)</f>
        <v>-21413.1277636515</v>
      </c>
      <c r="AZ62" s="138" t="n">
        <f aca="false">-IF(5&lt;Hipótesis!$D$89,Hipótesis!$E$87,Hipótesis!$E$88)*MAX(0,AZ61)</f>
        <v>-21414.5166525404</v>
      </c>
      <c r="BA62" s="138" t="n">
        <f aca="false">-IF(5&lt;Hipótesis!$D$89,Hipótesis!$E$87,Hipótesis!$E$88)*MAX(0,BA61)</f>
        <v>-21415.9055414293</v>
      </c>
      <c r="BB62" s="138" t="n">
        <f aca="false">-IF(5&lt;Hipótesis!$D$89,Hipótesis!$E$87,Hipótesis!$E$88)*MAX(0,BB61)</f>
        <v>-21417.2944303182</v>
      </c>
      <c r="BC62" s="138" t="n">
        <f aca="false">-IF(5&lt;Hipótesis!$D$89,Hipótesis!$E$87,Hipótesis!$E$88)*MAX(0,BC61)</f>
        <v>-15543.6091225817</v>
      </c>
      <c r="BD62" s="138" t="n">
        <f aca="false">-IF(5&lt;Hipótesis!$D$89,Hipótesis!$E$87,Hipótesis!$E$88)*MAX(0,BD61)</f>
        <v>-21420.0722080959</v>
      </c>
      <c r="BE62" s="138" t="n">
        <f aca="false">-IF(5&lt;Hipótesis!$D$89,Hipótesis!$E$87,Hipótesis!$E$88)*MAX(0,BE61)</f>
        <v>-21421.4610969848</v>
      </c>
      <c r="BF62" s="138" t="n">
        <f aca="false">-IF(5&lt;Hipótesis!$D$89,Hipótesis!$E$87,Hipótesis!$E$88)*MAX(0,BF61)</f>
        <v>-21422.8499858737</v>
      </c>
      <c r="BG62" s="138" t="n">
        <f aca="false">-IF(5&lt;Hipótesis!$D$89,Hipótesis!$E$87,Hipótesis!$E$88)*MAX(0,BG61)</f>
        <v>-21424.2388747626</v>
      </c>
      <c r="BH62" s="138" t="n">
        <f aca="false">-IF(5&lt;Hipótesis!$D$89,Hipótesis!$E$87,Hipótesis!$E$88)*MAX(0,BH61)</f>
        <v>-21425.6277636515</v>
      </c>
      <c r="BI62" s="138" t="n">
        <f aca="false">-IF(5&lt;Hipótesis!$D$89,Hipótesis!$E$87,Hipótesis!$E$88)*MAX(0,BI61)</f>
        <v>-21427.0166525404</v>
      </c>
      <c r="BJ62" s="138" t="n">
        <f aca="false">-IF(5&lt;Hipótesis!$D$89,Hipótesis!$E$87,Hipótesis!$E$88)*MAX(0,BJ61)</f>
        <v>-21428.4055414293</v>
      </c>
      <c r="BK62" s="138" t="n">
        <f aca="false">-IF(6&lt;Hipótesis!$D$89,Hipótesis!$E$87,Hipótesis!$E$88)*MAX(0,BK61)</f>
        <v>-20863.888750406</v>
      </c>
      <c r="BL62" s="138" t="n">
        <f aca="false">-IF(6&lt;Hipótesis!$D$89,Hipótesis!$E$87,Hipótesis!$E$88)*MAX(0,BL61)</f>
        <v>-20865.2776392949</v>
      </c>
      <c r="BM62" s="138" t="n">
        <f aca="false">-IF(6&lt;Hipótesis!$D$89,Hipótesis!$E$87,Hipótesis!$E$88)*MAX(0,BM61)</f>
        <v>-20866.6665281838</v>
      </c>
      <c r="BN62" s="138" t="n">
        <f aca="false">-IF(6&lt;Hipótesis!$D$89,Hipótesis!$E$87,Hipótesis!$E$88)*MAX(0,BN61)</f>
        <v>-20868.0554170726</v>
      </c>
      <c r="BO62" s="138" t="n">
        <f aca="false">-IF(6&lt;Hipótesis!$D$89,Hipótesis!$E$87,Hipótesis!$E$88)*MAX(0,BO61)</f>
        <v>-14994.3701093362</v>
      </c>
      <c r="BP62" s="138" t="n">
        <f aca="false">-IF(6&lt;Hipótesis!$D$89,Hipótesis!$E$87,Hipótesis!$E$88)*MAX(0,BP61)</f>
        <v>-20870.8331948504</v>
      </c>
      <c r="BQ62" s="138" t="n">
        <f aca="false">-IF(6&lt;Hipótesis!$D$89,Hipótesis!$E$87,Hipótesis!$E$88)*MAX(0,BQ61)</f>
        <v>-20872.2220837393</v>
      </c>
      <c r="BR62" s="138" t="n">
        <f aca="false">-IF(6&lt;Hipótesis!$D$89,Hipótesis!$E$87,Hipótesis!$E$88)*MAX(0,BR61)</f>
        <v>-20873.6109726282</v>
      </c>
      <c r="BS62" s="138" t="n">
        <f aca="false">-IF(6&lt;Hipótesis!$D$89,Hipótesis!$E$87,Hipótesis!$E$88)*MAX(0,BS61)</f>
        <v>-20874.9998615171</v>
      </c>
      <c r="BT62" s="138" t="n">
        <f aca="false">-IF(6&lt;Hipótesis!$D$89,Hipótesis!$E$87,Hipótesis!$E$88)*MAX(0,BT61)</f>
        <v>-20876.388750406</v>
      </c>
      <c r="BU62" s="138" t="n">
        <f aca="false">-IF(6&lt;Hipótesis!$D$89,Hipótesis!$E$87,Hipótesis!$E$88)*MAX(0,BU61)</f>
        <v>-20877.7776392949</v>
      </c>
      <c r="BV62" s="138" t="n">
        <f aca="false">-IF(6&lt;Hipótesis!$D$89,Hipótesis!$E$87,Hipótesis!$E$88)*MAX(0,BV61)</f>
        <v>-20879.1665281838</v>
      </c>
      <c r="BW62" s="138" t="n">
        <f aca="false">-IF(7&lt;Hipótesis!$D$89,Hipótesis!$E$87,Hipótesis!$E$88)*MAX(0,BW61)</f>
        <v>-20312.2255667631</v>
      </c>
      <c r="BX62" s="138" t="n">
        <f aca="false">-IF(7&lt;Hipótesis!$D$89,Hipótesis!$E$87,Hipótesis!$E$88)*MAX(0,BX61)</f>
        <v>-20313.614455652</v>
      </c>
      <c r="BY62" s="138" t="n">
        <f aca="false">-IF(7&lt;Hipótesis!$D$89,Hipótesis!$E$87,Hipótesis!$E$88)*MAX(0,BY61)</f>
        <v>-20315.0033445409</v>
      </c>
      <c r="BZ62" s="138" t="n">
        <f aca="false">-IF(7&lt;Hipótesis!$D$89,Hipótesis!$E$87,Hipótesis!$E$88)*MAX(0,BZ61)</f>
        <v>-20316.3922334298</v>
      </c>
      <c r="CA62" s="138" t="n">
        <f aca="false">-IF(7&lt;Hipótesis!$D$89,Hipótesis!$E$87,Hipótesis!$E$88)*MAX(0,CA61)</f>
        <v>-14442.7069256933</v>
      </c>
      <c r="CB62" s="138" t="n">
        <f aca="false">-IF(7&lt;Hipótesis!$D$89,Hipótesis!$E$87,Hipótesis!$E$88)*MAX(0,CB61)</f>
        <v>-20319.1700112075</v>
      </c>
      <c r="CC62" s="138" t="n">
        <f aca="false">-IF(7&lt;Hipótesis!$D$89,Hipótesis!$E$87,Hipótesis!$E$88)*MAX(0,CC61)</f>
        <v>-20320.5589000964</v>
      </c>
      <c r="CD62" s="138" t="n">
        <f aca="false">-IF(7&lt;Hipótesis!$D$89,Hipótesis!$E$87,Hipótesis!$E$88)*MAX(0,CD61)</f>
        <v>-20321.9477889853</v>
      </c>
      <c r="CE62" s="138" t="n">
        <f aca="false">-IF(7&lt;Hipótesis!$D$89,Hipótesis!$E$87,Hipótesis!$E$88)*MAX(0,CE61)</f>
        <v>-20323.3366778742</v>
      </c>
      <c r="CF62" s="138" t="n">
        <f aca="false">-IF(7&lt;Hipótesis!$D$89,Hipótesis!$E$87,Hipótesis!$E$88)*MAX(0,CF61)</f>
        <v>-20324.7255667631</v>
      </c>
      <c r="CG62" s="138" t="n">
        <f aca="false">-IF(7&lt;Hipótesis!$D$89,Hipótesis!$E$87,Hipótesis!$E$88)*MAX(0,CG61)</f>
        <v>-20326.114455652</v>
      </c>
      <c r="CH62" s="138" t="n">
        <f aca="false">-IF(7&lt;Hipótesis!$D$89,Hipótesis!$E$87,Hipótesis!$E$88)*MAX(0,CH61)</f>
        <v>-20327.5033445409</v>
      </c>
    </row>
    <row r="63" customFormat="false" ht="13.5" hidden="false" customHeight="true" outlineLevel="0" collapsed="false">
      <c r="A63" s="30" t="s">
        <v>743</v>
      </c>
      <c r="C63" s="138" t="n">
        <f aca="false">C61+C62</f>
        <v>-16050.050688402</v>
      </c>
      <c r="D63" s="138" t="n">
        <f aca="false">D61+D62</f>
        <v>-13457.4123077548</v>
      </c>
      <c r="E63" s="138" t="n">
        <f aca="false">E61+E62</f>
        <v>-9901.20939389348</v>
      </c>
      <c r="F63" s="138" t="n">
        <f aca="false">F61+F62</f>
        <v>-7216.94137043579</v>
      </c>
      <c r="G63" s="138" t="n">
        <f aca="false">G61+G62</f>
        <v>-11663.2179287587</v>
      </c>
      <c r="H63" s="138" t="n">
        <f aca="false">H61+H62</f>
        <v>-1450.5286248292</v>
      </c>
      <c r="I63" s="138" t="n">
        <f aca="false">I61+I62</f>
        <v>1325.87531800829</v>
      </c>
      <c r="J63" s="138" t="n">
        <f aca="false">J61+J62</f>
        <v>4822.28404687898</v>
      </c>
      <c r="K63" s="138" t="n">
        <f aca="false">K61+K62</f>
        <v>8837.77467769524</v>
      </c>
      <c r="L63" s="138" t="n">
        <f aca="false">L61+L62</f>
        <v>12873.2579367498</v>
      </c>
      <c r="M63" s="138" t="n">
        <f aca="false">M61+M62</f>
        <v>16126.5525183028</v>
      </c>
      <c r="N63" s="138" t="n">
        <f aca="false">N61+N62</f>
        <v>19940.4769436131</v>
      </c>
      <c r="O63" s="138" t="n">
        <f aca="false">O61+O62</f>
        <v>19399.9079518148</v>
      </c>
      <c r="P63" s="138" t="n">
        <f aca="false">P61+P62</f>
        <v>22985.6254914719</v>
      </c>
      <c r="Q63" s="138" t="n">
        <f aca="false">Q61+Q62</f>
        <v>26571.343031129</v>
      </c>
      <c r="R63" s="138" t="n">
        <f aca="false">R61+R62</f>
        <v>30157.0605707861</v>
      </c>
      <c r="S63" s="138" t="n">
        <f aca="false">S61+S62</f>
        <v>14840.2398568351</v>
      </c>
      <c r="T63" s="138" t="n">
        <f aca="false">T61+T62</f>
        <v>37328.4956501003</v>
      </c>
      <c r="U63" s="138" t="n">
        <f aca="false">U61+U62</f>
        <v>38284.0812503637</v>
      </c>
      <c r="V63" s="138" t="n">
        <f aca="false">V61+V62</f>
        <v>38662.0570623041</v>
      </c>
      <c r="W63" s="138" t="n">
        <f aca="false">W61+W62</f>
        <v>41305.1264742446</v>
      </c>
      <c r="X63" s="138" t="n">
        <f aca="false">X61+X62</f>
        <v>43358.1450975079</v>
      </c>
      <c r="Y63" s="138" t="n">
        <f aca="false">Y61+Y62</f>
        <v>45411.1637207712</v>
      </c>
      <c r="Z63" s="138" t="n">
        <f aca="false">Z61+Z62</f>
        <v>47249.61728072</v>
      </c>
      <c r="AA63" s="138" t="n">
        <f aca="false">AA61+AA62</f>
        <v>47245.0653378687</v>
      </c>
      <c r="AB63" s="138" t="n">
        <f aca="false">AB61+AB62</f>
        <v>49088.2411200395</v>
      </c>
      <c r="AC63" s="138" t="n">
        <f aca="false">AC61+AC62</f>
        <v>50931.4169022105</v>
      </c>
      <c r="AD63" s="138" t="n">
        <f aca="false">AD61+AD62</f>
        <v>52774.5926843814</v>
      </c>
      <c r="AE63" s="138" t="n">
        <f aca="false">AE61+AE62</f>
        <v>34642.5161980261</v>
      </c>
      <c r="AF63" s="138" t="n">
        <f aca="false">AF61+AF62</f>
        <v>56460.9442487232</v>
      </c>
      <c r="AG63" s="138" t="n">
        <f aca="false">AG61+AG62</f>
        <v>58304.1200308941</v>
      </c>
      <c r="AH63" s="138" t="n">
        <f aca="false">AH61+AH62</f>
        <v>58164.2063662651</v>
      </c>
      <c r="AI63" s="138" t="n">
        <f aca="false">AI61+AI62</f>
        <v>60007.3821484359</v>
      </c>
      <c r="AJ63" s="138" t="n">
        <f aca="false">AJ61+AJ62</f>
        <v>61850.5579306069</v>
      </c>
      <c r="AK63" s="138" t="n">
        <f aca="false">AK61+AK62</f>
        <v>63693.7337127778</v>
      </c>
      <c r="AL63" s="138" t="n">
        <f aca="false">AL61+AL62</f>
        <v>65536.9094949487</v>
      </c>
      <c r="AM63" s="138" t="n">
        <f aca="false">AM61+AM62</f>
        <v>57769.2151110279</v>
      </c>
      <c r="AN63" s="138" t="n">
        <f aca="false">AN61+AN62</f>
        <v>59395.5466835316</v>
      </c>
      <c r="AO63" s="138" t="n">
        <f aca="false">AO61+AO62</f>
        <v>61021.8782560354</v>
      </c>
      <c r="AP63" s="138" t="n">
        <f aca="false">AP61+AP62</f>
        <v>62648.2098285391</v>
      </c>
      <c r="AQ63" s="138" t="n">
        <f aca="false">AQ61+AQ62</f>
        <v>46649.3188111668</v>
      </c>
      <c r="AR63" s="138" t="n">
        <f aca="false">AR61+AR62</f>
        <v>65900.8729735466</v>
      </c>
      <c r="AS63" s="138" t="n">
        <f aca="false">AS61+AS62</f>
        <v>65905.0396402133</v>
      </c>
      <c r="AT63" s="138" t="n">
        <f aca="false">AT61+AT62</f>
        <v>65909.20630688</v>
      </c>
      <c r="AU63" s="138" t="n">
        <f aca="false">AU61+AU62</f>
        <v>65913.3729735466</v>
      </c>
      <c r="AV63" s="138" t="n">
        <f aca="false">AV61+AV62</f>
        <v>65917.5396402133</v>
      </c>
      <c r="AW63" s="138" t="n">
        <f aca="false">AW61+AW62</f>
        <v>65921.70630688</v>
      </c>
      <c r="AX63" s="138" t="n">
        <f aca="false">AX61+AX62</f>
        <v>65925.8729735466</v>
      </c>
      <c r="AY63" s="138" t="n">
        <f aca="false">AY61+AY62</f>
        <v>64239.3832909545</v>
      </c>
      <c r="AZ63" s="138" t="n">
        <f aca="false">AZ61+AZ62</f>
        <v>64243.5499576211</v>
      </c>
      <c r="BA63" s="138" t="n">
        <f aca="false">BA61+BA62</f>
        <v>64247.7166242878</v>
      </c>
      <c r="BB63" s="138" t="n">
        <f aca="false">BB61+BB62</f>
        <v>64251.8832909545</v>
      </c>
      <c r="BC63" s="138" t="n">
        <f aca="false">BC61+BC62</f>
        <v>46630.8273677451</v>
      </c>
      <c r="BD63" s="138" t="n">
        <f aca="false">BD61+BD62</f>
        <v>64260.2166242878</v>
      </c>
      <c r="BE63" s="138" t="n">
        <f aca="false">BE61+BE62</f>
        <v>64264.3832909545</v>
      </c>
      <c r="BF63" s="138" t="n">
        <f aca="false">BF61+BF62</f>
        <v>64268.5499576211</v>
      </c>
      <c r="BG63" s="138" t="n">
        <f aca="false">BG61+BG62</f>
        <v>64272.7166242878</v>
      </c>
      <c r="BH63" s="138" t="n">
        <f aca="false">BH61+BH62</f>
        <v>64276.8832909545</v>
      </c>
      <c r="BI63" s="138" t="n">
        <f aca="false">BI61+BI62</f>
        <v>64281.0499576211</v>
      </c>
      <c r="BJ63" s="138" t="n">
        <f aca="false">BJ61+BJ62</f>
        <v>64285.2166242878</v>
      </c>
      <c r="BK63" s="138" t="n">
        <f aca="false">BK61+BK62</f>
        <v>62591.6662512179</v>
      </c>
      <c r="BL63" s="138" t="n">
        <f aca="false">BL61+BL62</f>
        <v>62595.8329178846</v>
      </c>
      <c r="BM63" s="138" t="n">
        <f aca="false">BM61+BM62</f>
        <v>62599.9995845512</v>
      </c>
      <c r="BN63" s="138" t="n">
        <f aca="false">BN61+BN62</f>
        <v>62604.1662512179</v>
      </c>
      <c r="BO63" s="138" t="n">
        <f aca="false">BO61+BO62</f>
        <v>44983.1103280085</v>
      </c>
      <c r="BP63" s="138" t="n">
        <f aca="false">BP61+BP62</f>
        <v>62612.4995845512</v>
      </c>
      <c r="BQ63" s="138" t="n">
        <f aca="false">BQ61+BQ62</f>
        <v>62616.6662512179</v>
      </c>
      <c r="BR63" s="138" t="n">
        <f aca="false">BR61+BR62</f>
        <v>62620.8329178846</v>
      </c>
      <c r="BS63" s="138" t="n">
        <f aca="false">BS61+BS62</f>
        <v>62624.9995845512</v>
      </c>
      <c r="BT63" s="138" t="n">
        <f aca="false">BT61+BT62</f>
        <v>62629.1662512179</v>
      </c>
      <c r="BU63" s="138" t="n">
        <f aca="false">BU61+BU62</f>
        <v>62633.3329178846</v>
      </c>
      <c r="BV63" s="138" t="n">
        <f aca="false">BV61+BV62</f>
        <v>62637.4995845512</v>
      </c>
      <c r="BW63" s="138" t="n">
        <f aca="false">BW61+BW62</f>
        <v>60936.6767002893</v>
      </c>
      <c r="BX63" s="138" t="n">
        <f aca="false">BX61+BX62</f>
        <v>60940.8433669559</v>
      </c>
      <c r="BY63" s="138" t="n">
        <f aca="false">BY61+BY62</f>
        <v>60945.0100336226</v>
      </c>
      <c r="BZ63" s="138" t="n">
        <f aca="false">BZ61+BZ62</f>
        <v>60949.1767002893</v>
      </c>
      <c r="CA63" s="138" t="n">
        <f aca="false">CA61+CA62</f>
        <v>43328.1207770799</v>
      </c>
      <c r="CB63" s="138" t="n">
        <f aca="false">CB61+CB62</f>
        <v>60957.5100336226</v>
      </c>
      <c r="CC63" s="138" t="n">
        <f aca="false">CC61+CC62</f>
        <v>60961.6767002893</v>
      </c>
      <c r="CD63" s="138" t="n">
        <f aca="false">CD61+CD62</f>
        <v>60965.8433669559</v>
      </c>
      <c r="CE63" s="138" t="n">
        <f aca="false">CE61+CE62</f>
        <v>60970.0100336226</v>
      </c>
      <c r="CF63" s="138" t="n">
        <f aca="false">CF61+CF62</f>
        <v>60974.1767002893</v>
      </c>
      <c r="CG63" s="138" t="n">
        <f aca="false">CG61+CG62</f>
        <v>60978.3433669559</v>
      </c>
      <c r="CH63" s="138" t="n">
        <f aca="false">CH61+CH62</f>
        <v>60982.5100336226</v>
      </c>
    </row>
    <row r="64" customFormat="false" ht="13.5" hidden="false" customHeight="true" outlineLevel="0" collapsed="false"/>
    <row r="65" customFormat="false" ht="12.75" hidden="false" customHeight="true" outlineLevel="0" collapsed="false">
      <c r="A65" s="10" t="s">
        <v>744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</row>
    <row r="66" customFormat="false" ht="13.5" hidden="false" customHeight="true" outlineLevel="0" collapsed="false">
      <c r="A66" s="13" t="s">
        <v>737</v>
      </c>
      <c r="C66" s="138" t="n">
        <f aca="false">C56</f>
        <v>-14144.5925531714</v>
      </c>
      <c r="D66" s="138" t="n">
        <f aca="false">D56</f>
        <v>-11548.5157014304</v>
      </c>
      <c r="E66" s="138" t="n">
        <f aca="false">E56</f>
        <v>-7985.15659577221</v>
      </c>
      <c r="F66" s="138" t="n">
        <f aca="false">F56</f>
        <v>-5296.92861098638</v>
      </c>
      <c r="G66" s="138" t="n">
        <f aca="false">G56</f>
        <v>-9739.48744860617</v>
      </c>
      <c r="H66" s="138" t="n">
        <f aca="false">H56</f>
        <v>488.918484784648</v>
      </c>
      <c r="I66" s="138" t="n">
        <f aca="false">I56</f>
        <v>3566.79623978332</v>
      </c>
      <c r="J66" s="138" t="n">
        <f aca="false">J56</f>
        <v>7808.94109237594</v>
      </c>
      <c r="K66" s="138" t="n">
        <f aca="false">K56</f>
        <v>12655.302357508</v>
      </c>
      <c r="L66" s="138" t="n">
        <f aca="false">L56</f>
        <v>17501.6636226401</v>
      </c>
      <c r="M66" s="138" t="n">
        <f aca="false">M56</f>
        <v>21380.742633855</v>
      </c>
      <c r="N66" s="138" t="n">
        <f aca="false">N56</f>
        <v>25971.2557330864</v>
      </c>
      <c r="O66" s="138" t="n">
        <f aca="false">O56</f>
        <v>25334.5688323179</v>
      </c>
      <c r="P66" s="138" t="n">
        <f aca="false">P56</f>
        <v>29650.2948499945</v>
      </c>
      <c r="Q66" s="138" t="n">
        <f aca="false">Q56</f>
        <v>33966.0208676712</v>
      </c>
      <c r="R66" s="138" t="n">
        <f aca="false">R56</f>
        <v>38281.7468853479</v>
      </c>
      <c r="S66" s="138" t="n">
        <f aca="false">S56</f>
        <v>19905.3501495935</v>
      </c>
      <c r="T66" s="138" t="n">
        <f aca="false">T56</f>
        <v>46913.1989207013</v>
      </c>
      <c r="U66" s="138" t="n">
        <f aca="false">U56</f>
        <v>48073.0369328671</v>
      </c>
      <c r="V66" s="138" t="n">
        <f aca="false">V56</f>
        <v>48539.4658354017</v>
      </c>
      <c r="W66" s="138" t="n">
        <f aca="false">W56</f>
        <v>51725.0947379362</v>
      </c>
      <c r="X66" s="138" t="n">
        <f aca="false">X56</f>
        <v>54199.2895524541</v>
      </c>
      <c r="Y66" s="138" t="n">
        <f aca="false">Y56</f>
        <v>56673.4843669721</v>
      </c>
      <c r="Z66" s="138" t="n">
        <f aca="false">Z56</f>
        <v>58888.9445462835</v>
      </c>
      <c r="AA66" s="138" t="n">
        <f aca="false">AA56</f>
        <v>58891.9131255948</v>
      </c>
      <c r="AB66" s="138" t="n">
        <f aca="false">AB56</f>
        <v>61107.3733049061</v>
      </c>
      <c r="AC66" s="138" t="n">
        <f aca="false">AC56</f>
        <v>63322.8334842175</v>
      </c>
      <c r="AD66" s="138" t="n">
        <f aca="false">AD56</f>
        <v>65538.2936635288</v>
      </c>
      <c r="AE66" s="138" t="n">
        <f aca="false">AE56</f>
        <v>43773.8591627367</v>
      </c>
      <c r="AF66" s="138" t="n">
        <f aca="false">AF56</f>
        <v>69969.2140221515</v>
      </c>
      <c r="AG66" s="138" t="n">
        <f aca="false">AG56</f>
        <v>72184.6742014628</v>
      </c>
      <c r="AH66" s="138" t="n">
        <f aca="false">AH56</f>
        <v>72019.4747807742</v>
      </c>
      <c r="AI66" s="138" t="n">
        <f aca="false">AI56</f>
        <v>74234.9349600855</v>
      </c>
      <c r="AJ66" s="138" t="n">
        <f aca="false">AJ56</f>
        <v>76450.3951393968</v>
      </c>
      <c r="AK66" s="138" t="n">
        <f aca="false">AK56</f>
        <v>78665.8553187082</v>
      </c>
      <c r="AL66" s="138" t="n">
        <f aca="false">AL56</f>
        <v>80881.3154980195</v>
      </c>
      <c r="AM66" s="138" t="n">
        <f aca="false">AM56</f>
        <v>80805.8895413308</v>
      </c>
      <c r="AN66" s="138" t="n">
        <f aca="false">AN56</f>
        <v>83021.3497206422</v>
      </c>
      <c r="AO66" s="138" t="n">
        <f aca="false">AO56</f>
        <v>85236.8098999536</v>
      </c>
      <c r="AP66" s="138" t="n">
        <f aca="false">AP56</f>
        <v>87452.2700792649</v>
      </c>
      <c r="AQ66" s="138" t="n">
        <f aca="false">AQ56</f>
        <v>65687.8355784727</v>
      </c>
      <c r="AR66" s="138" t="n">
        <f aca="false">AR56</f>
        <v>91883.1904378876</v>
      </c>
      <c r="AS66" s="138" t="n">
        <f aca="false">AS56</f>
        <v>91883.1904378876</v>
      </c>
      <c r="AT66" s="138" t="n">
        <f aca="false">AT56</f>
        <v>91883.1904378876</v>
      </c>
      <c r="AU66" s="138" t="n">
        <f aca="false">AU56</f>
        <v>91883.1904378876</v>
      </c>
      <c r="AV66" s="138" t="n">
        <f aca="false">AV56</f>
        <v>91883.1904378876</v>
      </c>
      <c r="AW66" s="138" t="n">
        <f aca="false">AW56</f>
        <v>91883.1904378876</v>
      </c>
      <c r="AX66" s="138" t="n">
        <f aca="false">AX56</f>
        <v>91883.1904378876</v>
      </c>
      <c r="AY66" s="138" t="n">
        <f aca="false">AY56</f>
        <v>89582.9777178076</v>
      </c>
      <c r="AZ66" s="138" t="n">
        <f aca="false">AZ56</f>
        <v>89582.9777178076</v>
      </c>
      <c r="BA66" s="138" t="n">
        <f aca="false">BA56</f>
        <v>89582.9777178076</v>
      </c>
      <c r="BB66" s="138" t="n">
        <f aca="false">BB56</f>
        <v>89582.9777178076</v>
      </c>
      <c r="BC66" s="138" t="n">
        <f aca="false">BC56</f>
        <v>65603.0830377041</v>
      </c>
      <c r="BD66" s="138" t="n">
        <f aca="false">BD56</f>
        <v>89582.9777178076</v>
      </c>
      <c r="BE66" s="138" t="n">
        <f aca="false">BE56</f>
        <v>89582.9777178076</v>
      </c>
      <c r="BF66" s="138" t="n">
        <f aca="false">BF56</f>
        <v>89582.9777178076</v>
      </c>
      <c r="BG66" s="138" t="n">
        <f aca="false">BG56</f>
        <v>89582.9777178076</v>
      </c>
      <c r="BH66" s="138" t="n">
        <f aca="false">BH56</f>
        <v>89582.9777178076</v>
      </c>
      <c r="BI66" s="138" t="n">
        <f aca="false">BI56</f>
        <v>89582.9777178076</v>
      </c>
      <c r="BJ66" s="138" t="n">
        <f aca="false">BJ56</f>
        <v>89582.9777178076</v>
      </c>
      <c r="BK66" s="138" t="n">
        <f aca="false">BK56</f>
        <v>87273.1586161252</v>
      </c>
      <c r="BL66" s="138" t="n">
        <f aca="false">BL56</f>
        <v>87273.1586161252</v>
      </c>
      <c r="BM66" s="138" t="n">
        <f aca="false">BM56</f>
        <v>87273.1586161252</v>
      </c>
      <c r="BN66" s="138" t="n">
        <f aca="false">BN56</f>
        <v>87273.1586161252</v>
      </c>
      <c r="BO66" s="138" t="n">
        <f aca="false">BO56</f>
        <v>63293.2639360217</v>
      </c>
      <c r="BP66" s="138" t="n">
        <f aca="false">BP56</f>
        <v>87273.1586161252</v>
      </c>
      <c r="BQ66" s="138" t="n">
        <f aca="false">BQ56</f>
        <v>87273.1586161252</v>
      </c>
      <c r="BR66" s="138" t="n">
        <f aca="false">BR56</f>
        <v>87273.1586161252</v>
      </c>
      <c r="BS66" s="138" t="n">
        <f aca="false">BS56</f>
        <v>87273.1586161252</v>
      </c>
      <c r="BT66" s="138" t="n">
        <f aca="false">BT56</f>
        <v>87273.1586161252</v>
      </c>
      <c r="BU66" s="138" t="n">
        <f aca="false">BU56</f>
        <v>87273.1586161252</v>
      </c>
      <c r="BV66" s="138" t="n">
        <f aca="false">BV56</f>
        <v>87273.1586161252</v>
      </c>
      <c r="BW66" s="138" t="n">
        <f aca="false">BW56</f>
        <v>84953.4449413923</v>
      </c>
      <c r="BX66" s="138" t="n">
        <f aca="false">BX56</f>
        <v>84953.4449413923</v>
      </c>
      <c r="BY66" s="138" t="n">
        <f aca="false">BY56</f>
        <v>84953.4449413923</v>
      </c>
      <c r="BZ66" s="138" t="n">
        <f aca="false">BZ56</f>
        <v>84953.4449413923</v>
      </c>
      <c r="CA66" s="138" t="n">
        <f aca="false">CA56</f>
        <v>60973.5502612888</v>
      </c>
      <c r="CB66" s="138" t="n">
        <f aca="false">CB56</f>
        <v>84953.4449413923</v>
      </c>
      <c r="CC66" s="138" t="n">
        <f aca="false">CC56</f>
        <v>84953.4449413923</v>
      </c>
      <c r="CD66" s="138" t="n">
        <f aca="false">CD56</f>
        <v>84953.4449413923</v>
      </c>
      <c r="CE66" s="138" t="n">
        <f aca="false">CE56</f>
        <v>84953.4449413923</v>
      </c>
      <c r="CF66" s="138" t="n">
        <f aca="false">CF56</f>
        <v>84953.4449413923</v>
      </c>
      <c r="CG66" s="138" t="n">
        <f aca="false">CG56</f>
        <v>84953.4449413923</v>
      </c>
      <c r="CH66" s="138" t="n">
        <f aca="false">CH56</f>
        <v>84953.4449413923</v>
      </c>
    </row>
    <row r="67" customFormat="false" ht="13.5" hidden="false" customHeight="true" outlineLevel="0" collapsed="false">
      <c r="A67" s="13" t="s">
        <v>745</v>
      </c>
      <c r="C67" s="138" t="n">
        <f aca="false">C62</f>
        <v>-0</v>
      </c>
      <c r="D67" s="138" t="n">
        <f aca="false">D62</f>
        <v>-0</v>
      </c>
      <c r="E67" s="138" t="n">
        <f aca="false">E62</f>
        <v>-0</v>
      </c>
      <c r="F67" s="138" t="n">
        <f aca="false">F62</f>
        <v>-0</v>
      </c>
      <c r="G67" s="138" t="n">
        <f aca="false">G62</f>
        <v>-0</v>
      </c>
      <c r="H67" s="138" t="n">
        <f aca="false">H62</f>
        <v>-0</v>
      </c>
      <c r="I67" s="138" t="n">
        <f aca="false">I62</f>
        <v>-233.977997295581</v>
      </c>
      <c r="J67" s="138" t="n">
        <f aca="false">J62</f>
        <v>-850.991302390407</v>
      </c>
      <c r="K67" s="138" t="n">
        <f aca="false">K62</f>
        <v>-1559.60729606387</v>
      </c>
      <c r="L67" s="138" t="n">
        <f aca="false">L62</f>
        <v>-2271.75140060291</v>
      </c>
      <c r="M67" s="138" t="n">
        <f aca="false">M62</f>
        <v>-2845.86220911226</v>
      </c>
      <c r="N67" s="138" t="n">
        <f aca="false">N62</f>
        <v>-3518.90769593173</v>
      </c>
      <c r="O67" s="138" t="n">
        <f aca="false">O62</f>
        <v>-3423.51316796731</v>
      </c>
      <c r="P67" s="138" t="n">
        <f aca="false">P62</f>
        <v>-4056.28685143621</v>
      </c>
      <c r="Q67" s="138" t="n">
        <f aca="false">Q62</f>
        <v>-4689.06053490511</v>
      </c>
      <c r="R67" s="138" t="n">
        <f aca="false">R62</f>
        <v>-5321.83421837401</v>
      </c>
      <c r="S67" s="138" t="n">
        <f aca="false">S62</f>
        <v>-2618.86585708855</v>
      </c>
      <c r="T67" s="138" t="n">
        <f aca="false">T62</f>
        <v>-6587.38158531181</v>
      </c>
      <c r="U67" s="138" t="n">
        <f aca="false">U62</f>
        <v>-6756.01433829947</v>
      </c>
      <c r="V67" s="138" t="n">
        <f aca="false">V62</f>
        <v>-6822.71595217132</v>
      </c>
      <c r="W67" s="138" t="n">
        <f aca="false">W62</f>
        <v>-7289.13996604317</v>
      </c>
      <c r="X67" s="138" t="n">
        <f aca="false">X62</f>
        <v>-7651.43737014846</v>
      </c>
      <c r="Y67" s="138" t="n">
        <f aca="false">Y62</f>
        <v>-8013.73477425375</v>
      </c>
      <c r="Z67" s="138" t="n">
        <f aca="false">Z62</f>
        <v>-8338.16775542117</v>
      </c>
      <c r="AA67" s="138" t="n">
        <f aca="false">AA62</f>
        <v>-8337.36447138858</v>
      </c>
      <c r="AB67" s="138" t="n">
        <f aca="false">AB62</f>
        <v>-8662.63078588933</v>
      </c>
      <c r="AC67" s="138" t="n">
        <f aca="false">AC62</f>
        <v>-8987.89710039008</v>
      </c>
      <c r="AD67" s="138" t="n">
        <f aca="false">AD62</f>
        <v>-9313.16341489083</v>
      </c>
      <c r="AE67" s="138" t="n">
        <f aca="false">AE62</f>
        <v>-6113.38521141637</v>
      </c>
      <c r="AF67" s="138" t="n">
        <f aca="false">AF62</f>
        <v>-9963.69604389233</v>
      </c>
      <c r="AG67" s="138" t="n">
        <f aca="false">AG62</f>
        <v>-10288.9623583931</v>
      </c>
      <c r="AH67" s="138" t="n">
        <f aca="false">AH62</f>
        <v>-10264.2717116938</v>
      </c>
      <c r="AI67" s="138" t="n">
        <f aca="false">AI62</f>
        <v>-10589.5380261946</v>
      </c>
      <c r="AJ67" s="138" t="n">
        <f aca="false">AJ62</f>
        <v>-10914.8043406953</v>
      </c>
      <c r="AK67" s="138" t="n">
        <f aca="false">AK62</f>
        <v>-11240.0706551961</v>
      </c>
      <c r="AL67" s="138" t="n">
        <f aca="false">AL62</f>
        <v>-11565.3369696968</v>
      </c>
      <c r="AM67" s="138" t="n">
        <f aca="false">AM62</f>
        <v>-19256.4050370093</v>
      </c>
      <c r="AN67" s="138" t="n">
        <f aca="false">AN62</f>
        <v>-19798.5155611772</v>
      </c>
      <c r="AO67" s="138" t="n">
        <f aca="false">AO62</f>
        <v>-20340.6260853451</v>
      </c>
      <c r="AP67" s="138" t="n">
        <f aca="false">AP62</f>
        <v>-20882.736609513</v>
      </c>
      <c r="AQ67" s="138" t="n">
        <f aca="false">AQ62</f>
        <v>-15549.7729370556</v>
      </c>
      <c r="AR67" s="138" t="n">
        <f aca="false">AR62</f>
        <v>-21966.9576578489</v>
      </c>
      <c r="AS67" s="138" t="n">
        <f aca="false">AS62</f>
        <v>-21968.3465467378</v>
      </c>
      <c r="AT67" s="138" t="n">
        <f aca="false">AT62</f>
        <v>-21969.7354356267</v>
      </c>
      <c r="AU67" s="138" t="n">
        <f aca="false">AU62</f>
        <v>-21971.1243245155</v>
      </c>
      <c r="AV67" s="138" t="n">
        <f aca="false">AV62</f>
        <v>-21972.5132134044</v>
      </c>
      <c r="AW67" s="138" t="n">
        <f aca="false">AW62</f>
        <v>-21973.9021022933</v>
      </c>
      <c r="AX67" s="138" t="n">
        <f aca="false">AX62</f>
        <v>-21975.2909911822</v>
      </c>
      <c r="AY67" s="138" t="n">
        <f aca="false">AY62</f>
        <v>-21413.1277636515</v>
      </c>
      <c r="AZ67" s="138" t="n">
        <f aca="false">AZ62</f>
        <v>-21414.5166525404</v>
      </c>
      <c r="BA67" s="138" t="n">
        <f aca="false">BA62</f>
        <v>-21415.9055414293</v>
      </c>
      <c r="BB67" s="138" t="n">
        <f aca="false">BB62</f>
        <v>-21417.2944303182</v>
      </c>
      <c r="BC67" s="138" t="n">
        <f aca="false">BC62</f>
        <v>-15543.6091225817</v>
      </c>
      <c r="BD67" s="138" t="n">
        <f aca="false">BD62</f>
        <v>-21420.0722080959</v>
      </c>
      <c r="BE67" s="138" t="n">
        <f aca="false">BE62</f>
        <v>-21421.4610969848</v>
      </c>
      <c r="BF67" s="138" t="n">
        <f aca="false">BF62</f>
        <v>-21422.8499858737</v>
      </c>
      <c r="BG67" s="138" t="n">
        <f aca="false">BG62</f>
        <v>-21424.2388747626</v>
      </c>
      <c r="BH67" s="138" t="n">
        <f aca="false">BH62</f>
        <v>-21425.6277636515</v>
      </c>
      <c r="BI67" s="138" t="n">
        <f aca="false">BI62</f>
        <v>-21427.0166525404</v>
      </c>
      <c r="BJ67" s="138" t="n">
        <f aca="false">BJ62</f>
        <v>-21428.4055414293</v>
      </c>
      <c r="BK67" s="138" t="n">
        <f aca="false">BK62</f>
        <v>-20863.888750406</v>
      </c>
      <c r="BL67" s="138" t="n">
        <f aca="false">BL62</f>
        <v>-20865.2776392949</v>
      </c>
      <c r="BM67" s="138" t="n">
        <f aca="false">BM62</f>
        <v>-20866.6665281838</v>
      </c>
      <c r="BN67" s="138" t="n">
        <f aca="false">BN62</f>
        <v>-20868.0554170726</v>
      </c>
      <c r="BO67" s="138" t="n">
        <f aca="false">BO62</f>
        <v>-14994.3701093362</v>
      </c>
      <c r="BP67" s="138" t="n">
        <f aca="false">BP62</f>
        <v>-20870.8331948504</v>
      </c>
      <c r="BQ67" s="138" t="n">
        <f aca="false">BQ62</f>
        <v>-20872.2220837393</v>
      </c>
      <c r="BR67" s="138" t="n">
        <f aca="false">BR62</f>
        <v>-20873.6109726282</v>
      </c>
      <c r="BS67" s="138" t="n">
        <f aca="false">BS62</f>
        <v>-20874.9998615171</v>
      </c>
      <c r="BT67" s="138" t="n">
        <f aca="false">BT62</f>
        <v>-20876.388750406</v>
      </c>
      <c r="BU67" s="138" t="n">
        <f aca="false">BU62</f>
        <v>-20877.7776392949</v>
      </c>
      <c r="BV67" s="138" t="n">
        <f aca="false">BV62</f>
        <v>-20879.1665281838</v>
      </c>
      <c r="BW67" s="138" t="n">
        <f aca="false">BW62</f>
        <v>-20312.2255667631</v>
      </c>
      <c r="BX67" s="138" t="n">
        <f aca="false">BX62</f>
        <v>-20313.614455652</v>
      </c>
      <c r="BY67" s="138" t="n">
        <f aca="false">BY62</f>
        <v>-20315.0033445409</v>
      </c>
      <c r="BZ67" s="138" t="n">
        <f aca="false">BZ62</f>
        <v>-20316.3922334298</v>
      </c>
      <c r="CA67" s="138" t="n">
        <f aca="false">CA62</f>
        <v>-14442.7069256933</v>
      </c>
      <c r="CB67" s="138" t="n">
        <f aca="false">CB62</f>
        <v>-20319.1700112075</v>
      </c>
      <c r="CC67" s="138" t="n">
        <f aca="false">CC62</f>
        <v>-20320.5589000964</v>
      </c>
      <c r="CD67" s="138" t="n">
        <f aca="false">CD62</f>
        <v>-20321.9477889853</v>
      </c>
      <c r="CE67" s="138" t="n">
        <f aca="false">CE62</f>
        <v>-20323.3366778742</v>
      </c>
      <c r="CF67" s="138" t="n">
        <f aca="false">CF62</f>
        <v>-20324.7255667631</v>
      </c>
      <c r="CG67" s="138" t="n">
        <f aca="false">CG62</f>
        <v>-20326.114455652</v>
      </c>
      <c r="CH67" s="138" t="n">
        <f aca="false">CH62</f>
        <v>-20327.5033445409</v>
      </c>
    </row>
    <row r="68" customFormat="false" ht="13.5" hidden="false" customHeight="true" outlineLevel="0" collapsed="false">
      <c r="A68" s="13" t="s">
        <v>746</v>
      </c>
      <c r="C68" s="139" t="n">
        <f aca="false">C212+C213</f>
        <v>2655.98489743103</v>
      </c>
      <c r="D68" s="139" t="n">
        <f aca="false">D212+D213</f>
        <v>5376.56729486205</v>
      </c>
      <c r="E68" s="139" t="n">
        <f aca="false">E212+E213</f>
        <v>9088.54187979308</v>
      </c>
      <c r="F68" s="139" t="n">
        <f aca="false">F212+F213</f>
        <v>11948.1883397241</v>
      </c>
      <c r="G68" s="139" t="n">
        <f aca="false">G212+G213</f>
        <v>7077.69601682327</v>
      </c>
      <c r="H68" s="139" t="n">
        <f aca="false">H212+H213</f>
        <v>18130.4300095862</v>
      </c>
      <c r="I68" s="139" t="n">
        <f aca="false">I212+I213</f>
        <v>21517.6227195172</v>
      </c>
      <c r="J68" s="139" t="n">
        <f aca="false">J212+J213</f>
        <v>26106.9150089398</v>
      </c>
      <c r="K68" s="139" t="n">
        <f aca="false">K212+K213</f>
        <v>31297.2570881083</v>
      </c>
      <c r="L68" s="139" t="n">
        <f aca="false">L212+L213</f>
        <v>36487.5991672768</v>
      </c>
      <c r="M68" s="139" t="n">
        <f aca="false">M212+M213</f>
        <v>40686.5490589452</v>
      </c>
      <c r="N68" s="139" t="n">
        <f aca="false">N212+N213</f>
        <v>45692.9677006137</v>
      </c>
      <c r="O68" s="139" t="n">
        <f aca="false">O212+O213</f>
        <v>50699.3863422821</v>
      </c>
      <c r="P68" s="139" t="n">
        <f aca="false">P212+P213</f>
        <v>55415.1162339506</v>
      </c>
      <c r="Q68" s="139" t="n">
        <f aca="false">Q212+Q213</f>
        <v>60130.8461256191</v>
      </c>
      <c r="R68" s="139" t="n">
        <f aca="false">R212+R213</f>
        <v>64846.5760172875</v>
      </c>
      <c r="S68" s="139" t="n">
        <f aca="false">S212+S213</f>
        <v>43499.4655473276</v>
      </c>
      <c r="T68" s="139" t="n">
        <f aca="false">T212+T213</f>
        <v>74278.0358006244</v>
      </c>
      <c r="U68" s="139" t="n">
        <f aca="false">U212+U213</f>
        <v>77590.8087796924</v>
      </c>
      <c r="V68" s="139" t="n">
        <f aca="false">V212+V213</f>
        <v>80903.5817587604</v>
      </c>
      <c r="W68" s="139" t="n">
        <f aca="false">W212+W213</f>
        <v>84216.3547378284</v>
      </c>
      <c r="X68" s="139" t="n">
        <f aca="false">X212+X213</f>
        <v>86721.6589668963</v>
      </c>
      <c r="Y68" s="139" t="n">
        <f aca="false">Y212+Y213</f>
        <v>89226.9631959643</v>
      </c>
      <c r="Z68" s="139" t="n">
        <f aca="false">Z212+Z213</f>
        <v>91430.8124250323</v>
      </c>
      <c r="AA68" s="139" t="n">
        <f aca="false">AA212+AA213</f>
        <v>93634.6616541003</v>
      </c>
      <c r="AB68" s="139" t="n">
        <f aca="false">AB212+AB213</f>
        <v>95838.5108831682</v>
      </c>
      <c r="AC68" s="139" t="n">
        <f aca="false">AC212+AC213</f>
        <v>98042.3601122362</v>
      </c>
      <c r="AD68" s="139" t="n">
        <f aca="false">AD212+AD213</f>
        <v>100246.209341304</v>
      </c>
      <c r="AE68" s="139" t="n">
        <f aca="false">AE212+AE213</f>
        <v>74854.1099521775</v>
      </c>
      <c r="AF68" s="139" t="n">
        <f aca="false">AF212+AF213</f>
        <v>104653.90779944</v>
      </c>
      <c r="AG68" s="139" t="n">
        <f aca="false">AG212+AG213</f>
        <v>106857.757028508</v>
      </c>
      <c r="AH68" s="139" t="n">
        <f aca="false">AH212+AH213</f>
        <v>109061.606257576</v>
      </c>
      <c r="AI68" s="139" t="n">
        <f aca="false">AI212+AI213</f>
        <v>111265.455486644</v>
      </c>
      <c r="AJ68" s="139" t="n">
        <f aca="false">AJ212+AJ213</f>
        <v>113469.304715712</v>
      </c>
      <c r="AK68" s="139" t="n">
        <f aca="false">AK212+AK213</f>
        <v>115673.15394478</v>
      </c>
      <c r="AL68" s="139" t="n">
        <f aca="false">AL212+AL213</f>
        <v>117877.003173848</v>
      </c>
      <c r="AM68" s="139" t="n">
        <f aca="false">AM212+AM213</f>
        <v>120080.852402916</v>
      </c>
      <c r="AN68" s="139" t="n">
        <f aca="false">AN212+AN213</f>
        <v>122284.701631984</v>
      </c>
      <c r="AO68" s="139" t="n">
        <f aca="false">AO212+AO213</f>
        <v>124488.550861052</v>
      </c>
      <c r="AP68" s="139" t="n">
        <f aca="false">AP212+AP213</f>
        <v>126692.40009012</v>
      </c>
      <c r="AQ68" s="139" t="n">
        <f aca="false">AQ212+AQ213</f>
        <v>101300.300700993</v>
      </c>
      <c r="AR68" s="139" t="n">
        <f aca="false">AR212+AR213</f>
        <v>131100.098548256</v>
      </c>
      <c r="AS68" s="139" t="n">
        <f aca="false">AS212+AS213</f>
        <v>131100.098548256</v>
      </c>
      <c r="AT68" s="139" t="n">
        <f aca="false">AT212+AT213</f>
        <v>131100.098548256</v>
      </c>
      <c r="AU68" s="139" t="n">
        <f aca="false">AU212+AU213</f>
        <v>131100.098548256</v>
      </c>
      <c r="AV68" s="139" t="n">
        <f aca="false">AV212+AV213</f>
        <v>131100.098548256</v>
      </c>
      <c r="AW68" s="139" t="n">
        <f aca="false">AW212+AW213</f>
        <v>131100.098548256</v>
      </c>
      <c r="AX68" s="139" t="n">
        <f aca="false">AX212+AX213</f>
        <v>131100.098548256</v>
      </c>
      <c r="AY68" s="139" t="n">
        <f aca="false">AY212+AY213</f>
        <v>131100.098548256</v>
      </c>
      <c r="AZ68" s="139" t="n">
        <f aca="false">AZ212+AZ213</f>
        <v>131100.098548256</v>
      </c>
      <c r="BA68" s="139" t="n">
        <f aca="false">BA212+BA213</f>
        <v>131100.098548256</v>
      </c>
      <c r="BB68" s="139" t="n">
        <f aca="false">BB212+BB213</f>
        <v>131100.098548256</v>
      </c>
      <c r="BC68" s="139" t="n">
        <f aca="false">BC212+BC213</f>
        <v>103504.149930061</v>
      </c>
      <c r="BD68" s="139" t="n">
        <f aca="false">BD212+BD213</f>
        <v>131100.098548256</v>
      </c>
      <c r="BE68" s="139" t="n">
        <f aca="false">BE212+BE213</f>
        <v>131100.098548256</v>
      </c>
      <c r="BF68" s="139" t="n">
        <f aca="false">BF212+BF213</f>
        <v>131100.098548256</v>
      </c>
      <c r="BG68" s="139" t="n">
        <f aca="false">BG212+BG213</f>
        <v>131100.098548256</v>
      </c>
      <c r="BH68" s="139" t="n">
        <f aca="false">BH212+BH213</f>
        <v>131100.098548256</v>
      </c>
      <c r="BI68" s="139" t="n">
        <f aca="false">BI212+BI213</f>
        <v>131100.098548256</v>
      </c>
      <c r="BJ68" s="139" t="n">
        <f aca="false">BJ212+BJ213</f>
        <v>131100.098548256</v>
      </c>
      <c r="BK68" s="139" t="n">
        <f aca="false">BK212+BK213</f>
        <v>131100.098548256</v>
      </c>
      <c r="BL68" s="139" t="n">
        <f aca="false">BL212+BL213</f>
        <v>131100.098548256</v>
      </c>
      <c r="BM68" s="139" t="n">
        <f aca="false">BM212+BM213</f>
        <v>131100.098548256</v>
      </c>
      <c r="BN68" s="139" t="n">
        <f aca="false">BN212+BN213</f>
        <v>131100.098548256</v>
      </c>
      <c r="BO68" s="139" t="n">
        <f aca="false">BO212+BO213</f>
        <v>103504.149930061</v>
      </c>
      <c r="BP68" s="139" t="n">
        <f aca="false">BP212+BP213</f>
        <v>131100.098548256</v>
      </c>
      <c r="BQ68" s="139" t="n">
        <f aca="false">BQ212+BQ213</f>
        <v>131100.098548256</v>
      </c>
      <c r="BR68" s="139" t="n">
        <f aca="false">BR212+BR213</f>
        <v>131100.098548256</v>
      </c>
      <c r="BS68" s="139" t="n">
        <f aca="false">BS212+BS213</f>
        <v>131100.098548256</v>
      </c>
      <c r="BT68" s="139" t="n">
        <f aca="false">BT212+BT213</f>
        <v>131100.098548256</v>
      </c>
      <c r="BU68" s="139" t="n">
        <f aca="false">BU212+BU213</f>
        <v>131100.098548256</v>
      </c>
      <c r="BV68" s="139" t="n">
        <f aca="false">BV212+BV213</f>
        <v>131100.098548256</v>
      </c>
      <c r="BW68" s="139" t="n">
        <f aca="false">BW212+BW213</f>
        <v>131100.098548256</v>
      </c>
      <c r="BX68" s="139" t="n">
        <f aca="false">BX212+BX213</f>
        <v>131100.098548256</v>
      </c>
      <c r="BY68" s="139" t="n">
        <f aca="false">BY212+BY213</f>
        <v>131100.098548256</v>
      </c>
      <c r="BZ68" s="139" t="n">
        <f aca="false">BZ212+BZ213</f>
        <v>131100.098548256</v>
      </c>
      <c r="CA68" s="139" t="n">
        <f aca="false">CA212+CA213</f>
        <v>103504.149930061</v>
      </c>
      <c r="CB68" s="139" t="n">
        <f aca="false">CB212+CB213</f>
        <v>131100.098548256</v>
      </c>
      <c r="CC68" s="139" t="n">
        <f aca="false">CC212+CC213</f>
        <v>131100.098548256</v>
      </c>
      <c r="CD68" s="139" t="n">
        <f aca="false">CD212+CD213</f>
        <v>131100.098548256</v>
      </c>
      <c r="CE68" s="139" t="n">
        <f aca="false">CE212+CE213</f>
        <v>131100.098548256</v>
      </c>
      <c r="CF68" s="139" t="n">
        <f aca="false">CF212+CF213</f>
        <v>131100.098548256</v>
      </c>
      <c r="CG68" s="139" t="n">
        <f aca="false">CG212+CG213</f>
        <v>131100.098548256</v>
      </c>
      <c r="CH68" s="139" t="n">
        <f aca="false">CH212+CH213</f>
        <v>131100.098548256</v>
      </c>
    </row>
    <row r="69" customFormat="false" ht="13.5" hidden="false" customHeight="true" outlineLevel="0" collapsed="false">
      <c r="A69" s="13" t="s">
        <v>747</v>
      </c>
      <c r="C69" s="139" t="n">
        <f aca="false">-C39*Hipótesis!$E$67/30</f>
        <v>298.75438043343</v>
      </c>
      <c r="D69" s="139" t="n">
        <f aca="false">-D39*Hipótesis!$E$67/30</f>
        <v>617.723304760881</v>
      </c>
      <c r="E69" s="139" t="n">
        <f aca="false">-E39*Hipótesis!$E$67/30</f>
        <v>1227.14521253332</v>
      </c>
      <c r="F69" s="139" t="n">
        <f aca="false">-F39*Hipótesis!$E$67/30</f>
        <v>1652.09968673137</v>
      </c>
      <c r="G69" s="139" t="n">
        <f aca="false">-G39*Hipótesis!$E$67/30</f>
        <v>1571.12009288444</v>
      </c>
      <c r="H69" s="139" t="n">
        <f aca="false">-H39*Hipótesis!$E$67/30</f>
        <v>2693.20452945842</v>
      </c>
      <c r="I69" s="139" t="n">
        <f aca="false">-I39*Hipótesis!$E$67/30</f>
        <v>3329.56944188144</v>
      </c>
      <c r="J69" s="139" t="n">
        <f aca="false">-J39*Hipótesis!$E$67/30</f>
        <v>4278.97376956945</v>
      </c>
      <c r="K69" s="139" t="n">
        <f aca="false">-K39*Hipótesis!$E$67/30</f>
        <v>5384.89780488995</v>
      </c>
      <c r="L69" s="139" t="n">
        <f aca="false">-L39*Hipótesis!$E$67/30</f>
        <v>6490.82184021045</v>
      </c>
      <c r="M69" s="139" t="n">
        <f aca="false">-M39*Hipótesis!$E$67/30</f>
        <v>7306.29289208597</v>
      </c>
      <c r="N69" s="139" t="n">
        <f aca="false">-N39*Hipótesis!$E$67/30</f>
        <v>8458.67300886183</v>
      </c>
      <c r="O69" s="139" t="n">
        <f aca="false">-O39*Hipótesis!$E$67/30</f>
        <v>9611.05312563769</v>
      </c>
      <c r="P69" s="139" t="n">
        <f aca="false">-P39*Hipótesis!$E$67/30</f>
        <v>10666.5718862547</v>
      </c>
      <c r="Q69" s="139" t="n">
        <f aca="false">-Q39*Hipótesis!$E$67/30</f>
        <v>11722.0906468717</v>
      </c>
      <c r="R69" s="139" t="n">
        <f aca="false">-R39*Hipótesis!$E$67/30</f>
        <v>12777.6094074887</v>
      </c>
      <c r="S69" s="139" t="n">
        <f aca="false">-S39*Hipótesis!$E$67/30</f>
        <v>12181.6817859925</v>
      </c>
      <c r="T69" s="139" t="n">
        <f aca="false">-T39*Hipótesis!$E$67/30</f>
        <v>14888.6469287227</v>
      </c>
      <c r="U69" s="139" t="n">
        <f aca="false">-U39*Hipótesis!$E$67/30</f>
        <v>15934.2252142357</v>
      </c>
      <c r="V69" s="139" t="n">
        <f aca="false">-V39*Hipótesis!$E$67/30</f>
        <v>16979.8034997487</v>
      </c>
      <c r="W69" s="139" t="n">
        <f aca="false">-W39*Hipótesis!$E$67/30</f>
        <v>18025.3817852616</v>
      </c>
      <c r="X69" s="139" t="n">
        <f aca="false">-X39*Hipótesis!$E$67/30</f>
        <v>18734.0510058742</v>
      </c>
      <c r="Y69" s="139" t="n">
        <f aca="false">-Y39*Hipótesis!$E$67/30</f>
        <v>19442.7202264868</v>
      </c>
      <c r="Z69" s="139" t="n">
        <f aca="false">-Z39*Hipótesis!$E$67/30</f>
        <v>20016.6258211393</v>
      </c>
      <c r="AA69" s="139" t="n">
        <f aca="false">-AA39*Hipótesis!$E$67/30</f>
        <v>20590.5314157918</v>
      </c>
      <c r="AB69" s="139" t="n">
        <f aca="false">-AB39*Hipótesis!$E$67/30</f>
        <v>21164.4370104443</v>
      </c>
      <c r="AC69" s="139" t="n">
        <f aca="false">-AC39*Hipótesis!$E$67/30</f>
        <v>21738.3426050968</v>
      </c>
      <c r="AD69" s="139" t="n">
        <f aca="false">-AD39*Hipótesis!$E$67/30</f>
        <v>22312.2481997492</v>
      </c>
      <c r="AE69" s="139" t="n">
        <f aca="false">-AE39*Hipótesis!$E$67/30</f>
        <v>21137.5635074582</v>
      </c>
      <c r="AF69" s="139" t="n">
        <f aca="false">-AF39*Hipótesis!$E$67/30</f>
        <v>23460.0593890542</v>
      </c>
      <c r="AG69" s="139" t="n">
        <f aca="false">-AG39*Hipótesis!$E$67/30</f>
        <v>24033.9649837067</v>
      </c>
      <c r="AH69" s="139" t="n">
        <f aca="false">-AH39*Hipótesis!$E$67/30</f>
        <v>24607.8705783592</v>
      </c>
      <c r="AI69" s="139" t="n">
        <f aca="false">-AI39*Hipótesis!$E$67/30</f>
        <v>25181.7761730116</v>
      </c>
      <c r="AJ69" s="139" t="n">
        <f aca="false">-AJ39*Hipótesis!$E$67/30</f>
        <v>25755.6817676641</v>
      </c>
      <c r="AK69" s="139" t="n">
        <f aca="false">-AK39*Hipótesis!$E$67/30</f>
        <v>26329.5873623166</v>
      </c>
      <c r="AL69" s="139" t="n">
        <f aca="false">-AL39*Hipótesis!$E$67/30</f>
        <v>26903.4929569691</v>
      </c>
      <c r="AM69" s="139" t="n">
        <f aca="false">-AM39*Hipótesis!$E$67/30</f>
        <v>27477.3985516215</v>
      </c>
      <c r="AN69" s="139" t="n">
        <f aca="false">-AN39*Hipótesis!$E$67/30</f>
        <v>28051.304146274</v>
      </c>
      <c r="AO69" s="139" t="n">
        <f aca="false">-AO39*Hipótesis!$E$67/30</f>
        <v>28625.2097409265</v>
      </c>
      <c r="AP69" s="139" t="n">
        <f aca="false">-AP39*Hipótesis!$E$67/30</f>
        <v>29199.115335579</v>
      </c>
      <c r="AQ69" s="139" t="n">
        <f aca="false">-AQ39*Hipótesis!$E$67/30</f>
        <v>28024.430643288</v>
      </c>
      <c r="AR69" s="139" t="n">
        <f aca="false">-AR39*Hipótesis!$E$67/30</f>
        <v>30346.9265248839</v>
      </c>
      <c r="AS69" s="139" t="n">
        <f aca="false">-AS39*Hipótesis!$E$67/30</f>
        <v>30346.9265248839</v>
      </c>
      <c r="AT69" s="139" t="n">
        <f aca="false">-AT39*Hipótesis!$E$67/30</f>
        <v>30346.9265248839</v>
      </c>
      <c r="AU69" s="139" t="n">
        <f aca="false">-AU39*Hipótesis!$E$67/30</f>
        <v>30346.9265248839</v>
      </c>
      <c r="AV69" s="139" t="n">
        <f aca="false">-AV39*Hipótesis!$E$67/30</f>
        <v>30346.9265248839</v>
      </c>
      <c r="AW69" s="139" t="n">
        <f aca="false">-AW39*Hipótesis!$E$67/30</f>
        <v>30346.9265248839</v>
      </c>
      <c r="AX69" s="139" t="n">
        <f aca="false">-AX39*Hipótesis!$E$67/30</f>
        <v>30346.9265248839</v>
      </c>
      <c r="AY69" s="139" t="n">
        <f aca="false">-AY39*Hipótesis!$E$67/30</f>
        <v>30346.9265248839</v>
      </c>
      <c r="AZ69" s="139" t="n">
        <f aca="false">-AZ39*Hipótesis!$E$67/30</f>
        <v>30346.9265248839</v>
      </c>
      <c r="BA69" s="139" t="n">
        <f aca="false">-BA39*Hipótesis!$E$67/30</f>
        <v>30346.9265248839</v>
      </c>
      <c r="BB69" s="139" t="n">
        <f aca="false">-BB39*Hipótesis!$E$67/30</f>
        <v>30346.9265248839</v>
      </c>
      <c r="BC69" s="139" t="n">
        <f aca="false">-BC39*Hipótesis!$E$67/30</f>
        <v>28598.3362379405</v>
      </c>
      <c r="BD69" s="139" t="n">
        <f aca="false">-BD39*Hipótesis!$E$67/30</f>
        <v>30346.9265248839</v>
      </c>
      <c r="BE69" s="139" t="n">
        <f aca="false">-BE39*Hipótesis!$E$67/30</f>
        <v>30346.9265248839</v>
      </c>
      <c r="BF69" s="139" t="n">
        <f aca="false">-BF39*Hipótesis!$E$67/30</f>
        <v>30346.9265248839</v>
      </c>
      <c r="BG69" s="139" t="n">
        <f aca="false">-BG39*Hipótesis!$E$67/30</f>
        <v>30346.9265248839</v>
      </c>
      <c r="BH69" s="139" t="n">
        <f aca="false">-BH39*Hipótesis!$E$67/30</f>
        <v>30346.9265248839</v>
      </c>
      <c r="BI69" s="139" t="n">
        <f aca="false">-BI39*Hipótesis!$E$67/30</f>
        <v>30346.9265248839</v>
      </c>
      <c r="BJ69" s="139" t="n">
        <f aca="false">-BJ39*Hipótesis!$E$67/30</f>
        <v>30346.9265248839</v>
      </c>
      <c r="BK69" s="139" t="n">
        <f aca="false">-BK39*Hipótesis!$E$67/30</f>
        <v>30346.9265248839</v>
      </c>
      <c r="BL69" s="139" t="n">
        <f aca="false">-BL39*Hipótesis!$E$67/30</f>
        <v>30346.9265248839</v>
      </c>
      <c r="BM69" s="139" t="n">
        <f aca="false">-BM39*Hipótesis!$E$67/30</f>
        <v>30346.9265248839</v>
      </c>
      <c r="BN69" s="139" t="n">
        <f aca="false">-BN39*Hipótesis!$E$67/30</f>
        <v>30346.9265248839</v>
      </c>
      <c r="BO69" s="139" t="n">
        <f aca="false">-BO39*Hipótesis!$E$67/30</f>
        <v>28598.3362379405</v>
      </c>
      <c r="BP69" s="139" t="n">
        <f aca="false">-BP39*Hipótesis!$E$67/30</f>
        <v>30346.9265248839</v>
      </c>
      <c r="BQ69" s="139" t="n">
        <f aca="false">-BQ39*Hipótesis!$E$67/30</f>
        <v>30346.9265248839</v>
      </c>
      <c r="BR69" s="139" t="n">
        <f aca="false">-BR39*Hipótesis!$E$67/30</f>
        <v>30346.9265248839</v>
      </c>
      <c r="BS69" s="139" t="n">
        <f aca="false">-BS39*Hipótesis!$E$67/30</f>
        <v>30346.9265248839</v>
      </c>
      <c r="BT69" s="139" t="n">
        <f aca="false">-BT39*Hipótesis!$E$67/30</f>
        <v>30346.9265248839</v>
      </c>
      <c r="BU69" s="139" t="n">
        <f aca="false">-BU39*Hipótesis!$E$67/30</f>
        <v>30346.9265248839</v>
      </c>
      <c r="BV69" s="139" t="n">
        <f aca="false">-BV39*Hipótesis!$E$67/30</f>
        <v>30346.9265248839</v>
      </c>
      <c r="BW69" s="139" t="n">
        <f aca="false">-BW39*Hipótesis!$E$67/30</f>
        <v>30346.9265248839</v>
      </c>
      <c r="BX69" s="139" t="n">
        <f aca="false">-BX39*Hipótesis!$E$67/30</f>
        <v>30346.9265248839</v>
      </c>
      <c r="BY69" s="139" t="n">
        <f aca="false">-BY39*Hipótesis!$E$67/30</f>
        <v>30346.9265248839</v>
      </c>
      <c r="BZ69" s="139" t="n">
        <f aca="false">-BZ39*Hipótesis!$E$67/30</f>
        <v>30346.9265248839</v>
      </c>
      <c r="CA69" s="139" t="n">
        <f aca="false">-CA39*Hipótesis!$E$67/30</f>
        <v>28598.3362379405</v>
      </c>
      <c r="CB69" s="139" t="n">
        <f aca="false">-CB39*Hipótesis!$E$67/30</f>
        <v>30346.9265248839</v>
      </c>
      <c r="CC69" s="139" t="n">
        <f aca="false">-CC39*Hipótesis!$E$67/30</f>
        <v>30346.9265248839</v>
      </c>
      <c r="CD69" s="139" t="n">
        <f aca="false">-CD39*Hipótesis!$E$67/30</f>
        <v>30346.9265248839</v>
      </c>
      <c r="CE69" s="139" t="n">
        <f aca="false">-CE39*Hipótesis!$E$67/30</f>
        <v>30346.9265248839</v>
      </c>
      <c r="CF69" s="139" t="n">
        <f aca="false">-CF39*Hipótesis!$E$67/30</f>
        <v>30346.9265248839</v>
      </c>
      <c r="CG69" s="139" t="n">
        <f aca="false">-CG39*Hipótesis!$E$67/30</f>
        <v>30346.9265248839</v>
      </c>
      <c r="CH69" s="139" t="n">
        <f aca="false">-CH39*Hipótesis!$E$67/30</f>
        <v>30346.9265248839</v>
      </c>
    </row>
    <row r="70" customFormat="false" ht="13.5" hidden="false" customHeight="true" outlineLevel="0" collapsed="false">
      <c r="A70" s="30" t="s">
        <v>748</v>
      </c>
      <c r="C70" s="139" t="n">
        <f aca="false">C212*(1-Hipótesis!$D$73)+C213-C69</f>
        <v>1845.8336419976</v>
      </c>
      <c r="D70" s="139" t="n">
        <f aca="false">D212*(1-Hipótesis!$D$73)+D213-D69</f>
        <v>3697.29174010117</v>
      </c>
      <c r="E70" s="139" t="n">
        <f aca="false">E212*(1-Hipótesis!$D$73)+E213-E69</f>
        <v>5654.85372975977</v>
      </c>
      <c r="F70" s="139" t="n">
        <f aca="false">F212*(1-Hipótesis!$D$73)+F213-F69</f>
        <v>7455.95190299274</v>
      </c>
      <c r="G70" s="139" t="n">
        <f aca="false">G212*(1-Hipótesis!$D$73)+G213-G69</f>
        <v>2071.60386143883</v>
      </c>
      <c r="H70" s="139" t="n">
        <f aca="false">H212*(1-Hipótesis!$D$73)+H213-H69</f>
        <v>11052.1318551277</v>
      </c>
      <c r="I70" s="139" t="n">
        <f aca="false">I212*(1-Hipótesis!$D$73)+I213-I69</f>
        <v>12852.8380901357</v>
      </c>
      <c r="J70" s="139" t="n">
        <f aca="false">J212*(1-Hipótesis!$D$73)+J213-J69</f>
        <v>14821.3447416754</v>
      </c>
      <c r="K70" s="139" t="n">
        <f aca="false">K212*(1-Hipótesis!$D$73)+K213-K69</f>
        <v>16873.7516014809</v>
      </c>
      <c r="L70" s="139" t="n">
        <f aca="false">L212*(1-Hipótesis!$D$73)+L213-L69</f>
        <v>18926.1584612864</v>
      </c>
      <c r="M70" s="139" t="n">
        <f aca="false">M212*(1-Hipótesis!$D$73)+M213-M69</f>
        <v>20872.4614295369</v>
      </c>
      <c r="N70" s="139" t="n">
        <f aca="false">N212*(1-Hipótesis!$D$73)+N213-N69</f>
        <v>22804.842832887</v>
      </c>
      <c r="O70" s="139" t="n">
        <f aca="false">O212*(1-Hipótesis!$D$73)+O213-O69</f>
        <v>24737.2242362372</v>
      </c>
      <c r="P70" s="139" t="n">
        <f aca="false">P212*(1-Hipótesis!$D$73)+P213-P69</f>
        <v>26650.1914957462</v>
      </c>
      <c r="Q70" s="139" t="n">
        <f aca="false">Q212*(1-Hipótesis!$D$73)+Q213-Q69</f>
        <v>28563.1587552552</v>
      </c>
      <c r="R70" s="139" t="n">
        <f aca="false">R212*(1-Hipótesis!$D$73)+R213-R69</f>
        <v>30476.1260147642</v>
      </c>
      <c r="S70" s="139" t="n">
        <f aca="false">S212*(1-Hipótesis!$D$73)+S213-S69</f>
        <v>7977.69929475808</v>
      </c>
      <c r="T70" s="139" t="n">
        <f aca="false">T212*(1-Hipótesis!$D$73)+T213-T69</f>
        <v>34302.0605337821</v>
      </c>
      <c r="U70" s="139" t="n">
        <f aca="false">U212*(1-Hipótesis!$D$73)+U213-U69</f>
        <v>34581.5914398964</v>
      </c>
      <c r="V70" s="139" t="n">
        <f aca="false">V212*(1-Hipótesis!$D$73)+V213-V69</f>
        <v>34861.1223460106</v>
      </c>
      <c r="W70" s="139" t="n">
        <f aca="false">W212*(1-Hipótesis!$D$73)+W213-W69</f>
        <v>35140.6532521248</v>
      </c>
      <c r="X70" s="139" t="n">
        <f aca="false">X212*(1-Hipótesis!$D$73)+X213-X69</f>
        <v>35434.1057231394</v>
      </c>
      <c r="Y70" s="139" t="n">
        <f aca="false">Y212*(1-Hipótesis!$D$73)+Y213-Y69</f>
        <v>35727.558194154</v>
      </c>
      <c r="Z70" s="139" t="n">
        <f aca="false">Z212*(1-Hipótesis!$D$73)+Z213-Z69</f>
        <v>36035.1922911287</v>
      </c>
      <c r="AA70" s="139" t="n">
        <f aca="false">AA212*(1-Hipótesis!$D$73)+AA213-AA69</f>
        <v>36342.8263881034</v>
      </c>
      <c r="AB70" s="139" t="n">
        <f aca="false">AB212*(1-Hipótesis!$D$73)+AB213-AB69</f>
        <v>36650.4604850781</v>
      </c>
      <c r="AC70" s="139" t="n">
        <f aca="false">AC212*(1-Hipótesis!$D$73)+AC213-AC69</f>
        <v>36958.0945820528</v>
      </c>
      <c r="AD70" s="139" t="n">
        <f aca="false">AD212*(1-Hipótesis!$D$73)+AD213-AD69</f>
        <v>37265.7286790276</v>
      </c>
      <c r="AE70" s="139" t="n">
        <f aca="false">AE212*(1-Hipótesis!$D$73)+AE213-AE69</f>
        <v>11726.004444751</v>
      </c>
      <c r="AF70" s="139" t="n">
        <f aca="false">AF212*(1-Hipótesis!$D$73)+AF213-AF69</f>
        <v>37880.996872977</v>
      </c>
      <c r="AG70" s="139" t="n">
        <f aca="false">AG212*(1-Hipótesis!$D$73)+AG213-AG69</f>
        <v>38188.6309699517</v>
      </c>
      <c r="AH70" s="139" t="n">
        <f aca="false">AH212*(1-Hipótesis!$D$73)+AH213-AH69</f>
        <v>38496.2650669264</v>
      </c>
      <c r="AI70" s="139" t="n">
        <f aca="false">AI212*(1-Hipótesis!$D$73)+AI213-AI69</f>
        <v>38803.8991639011</v>
      </c>
      <c r="AJ70" s="139" t="n">
        <f aca="false">AJ212*(1-Hipótesis!$D$73)+AJ213-AJ69</f>
        <v>39111.5332608758</v>
      </c>
      <c r="AK70" s="139" t="n">
        <f aca="false">AK212*(1-Hipótesis!$D$73)+AK213-AK69</f>
        <v>39419.1673578505</v>
      </c>
      <c r="AL70" s="139" t="n">
        <f aca="false">AL212*(1-Hipótesis!$D$73)+AL213-AL69</f>
        <v>39726.8014548252</v>
      </c>
      <c r="AM70" s="139" t="n">
        <f aca="false">AM212*(1-Hipótesis!$D$73)+AM213-AM69</f>
        <v>40034.4355517999</v>
      </c>
      <c r="AN70" s="139" t="n">
        <f aca="false">AN212*(1-Hipótesis!$D$73)+AN213-AN69</f>
        <v>40342.0696487746</v>
      </c>
      <c r="AO70" s="139" t="n">
        <f aca="false">AO212*(1-Hipótesis!$D$73)+AO213-AO69</f>
        <v>40649.7037457494</v>
      </c>
      <c r="AP70" s="139" t="n">
        <f aca="false">AP212*(1-Hipótesis!$D$73)+AP213-AP69</f>
        <v>40957.3378427241</v>
      </c>
      <c r="AQ70" s="139" t="n">
        <f aca="false">AQ212*(1-Hipótesis!$D$73)+AQ213-AQ69</f>
        <v>15417.6136084475</v>
      </c>
      <c r="AR70" s="139" t="n">
        <f aca="false">AR212*(1-Hipótesis!$D$73)+AR213-AR69</f>
        <v>41572.6060366735</v>
      </c>
      <c r="AS70" s="139" t="n">
        <f aca="false">AS212*(1-Hipótesis!$D$73)+AS213-AS69</f>
        <v>41572.6060366735</v>
      </c>
      <c r="AT70" s="139" t="n">
        <f aca="false">AT212*(1-Hipótesis!$D$73)+AT213-AT69</f>
        <v>41572.6060366735</v>
      </c>
      <c r="AU70" s="139" t="n">
        <f aca="false">AU212*(1-Hipótesis!$D$73)+AU213-AU69</f>
        <v>41572.6060366735</v>
      </c>
      <c r="AV70" s="139" t="n">
        <f aca="false">AV212*(1-Hipótesis!$D$73)+AV213-AV69</f>
        <v>41572.6060366735</v>
      </c>
      <c r="AW70" s="139" t="n">
        <f aca="false">AW212*(1-Hipótesis!$D$73)+AW213-AW69</f>
        <v>41572.6060366735</v>
      </c>
      <c r="AX70" s="139" t="n">
        <f aca="false">AX212*(1-Hipótesis!$D$73)+AX213-AX69</f>
        <v>41572.6060366735</v>
      </c>
      <c r="AY70" s="139" t="n">
        <f aca="false">AY212*(1-Hipótesis!$D$73)+AY213-AY69</f>
        <v>41572.6060366735</v>
      </c>
      <c r="AZ70" s="139" t="n">
        <f aca="false">AZ212*(1-Hipótesis!$D$73)+AZ213-AZ69</f>
        <v>41572.6060366735</v>
      </c>
      <c r="BA70" s="139" t="n">
        <f aca="false">BA212*(1-Hipótesis!$D$73)+BA213-BA69</f>
        <v>41572.6060366735</v>
      </c>
      <c r="BB70" s="139" t="n">
        <f aca="false">BB212*(1-Hipótesis!$D$73)+BB213-BB69</f>
        <v>41572.6060366735</v>
      </c>
      <c r="BC70" s="139" t="n">
        <f aca="false">BC212*(1-Hipótesis!$D$73)+BC213-BC69</f>
        <v>15725.2477054222</v>
      </c>
      <c r="BD70" s="139" t="n">
        <f aca="false">BD212*(1-Hipótesis!$D$73)+BD213-BD69</f>
        <v>41572.6060366735</v>
      </c>
      <c r="BE70" s="139" t="n">
        <f aca="false">BE212*(1-Hipótesis!$D$73)+BE213-BE69</f>
        <v>41572.6060366735</v>
      </c>
      <c r="BF70" s="139" t="n">
        <f aca="false">BF212*(1-Hipótesis!$D$73)+BF213-BF69</f>
        <v>41572.6060366735</v>
      </c>
      <c r="BG70" s="139" t="n">
        <f aca="false">BG212*(1-Hipótesis!$D$73)+BG213-BG69</f>
        <v>41572.6060366735</v>
      </c>
      <c r="BH70" s="139" t="n">
        <f aca="false">BH212*(1-Hipótesis!$D$73)+BH213-BH69</f>
        <v>41572.6060366735</v>
      </c>
      <c r="BI70" s="139" t="n">
        <f aca="false">BI212*(1-Hipótesis!$D$73)+BI213-BI69</f>
        <v>41572.6060366735</v>
      </c>
      <c r="BJ70" s="139" t="n">
        <f aca="false">BJ212*(1-Hipótesis!$D$73)+BJ213-BJ69</f>
        <v>41572.6060366735</v>
      </c>
      <c r="BK70" s="139" t="n">
        <f aca="false">BK212*(1-Hipótesis!$D$73)+BK213-BK69</f>
        <v>41572.6060366735</v>
      </c>
      <c r="BL70" s="139" t="n">
        <f aca="false">BL212*(1-Hipótesis!$D$73)+BL213-BL69</f>
        <v>41572.6060366735</v>
      </c>
      <c r="BM70" s="139" t="n">
        <f aca="false">BM212*(1-Hipótesis!$D$73)+BM213-BM69</f>
        <v>41572.6060366735</v>
      </c>
      <c r="BN70" s="139" t="n">
        <f aca="false">BN212*(1-Hipótesis!$D$73)+BN213-BN69</f>
        <v>41572.6060366735</v>
      </c>
      <c r="BO70" s="139" t="n">
        <f aca="false">BO212*(1-Hipótesis!$D$73)+BO213-BO69</f>
        <v>15725.2477054222</v>
      </c>
      <c r="BP70" s="139" t="n">
        <f aca="false">BP212*(1-Hipótesis!$D$73)+BP213-BP69</f>
        <v>41572.6060366735</v>
      </c>
      <c r="BQ70" s="139" t="n">
        <f aca="false">BQ212*(1-Hipótesis!$D$73)+BQ213-BQ69</f>
        <v>41572.6060366735</v>
      </c>
      <c r="BR70" s="139" t="n">
        <f aca="false">BR212*(1-Hipótesis!$D$73)+BR213-BR69</f>
        <v>41572.6060366735</v>
      </c>
      <c r="BS70" s="139" t="n">
        <f aca="false">BS212*(1-Hipótesis!$D$73)+BS213-BS69</f>
        <v>41572.6060366735</v>
      </c>
      <c r="BT70" s="139" t="n">
        <f aca="false">BT212*(1-Hipótesis!$D$73)+BT213-BT69</f>
        <v>41572.6060366735</v>
      </c>
      <c r="BU70" s="139" t="n">
        <f aca="false">BU212*(1-Hipótesis!$D$73)+BU213-BU69</f>
        <v>41572.6060366735</v>
      </c>
      <c r="BV70" s="139" t="n">
        <f aca="false">BV212*(1-Hipótesis!$D$73)+BV213-BV69</f>
        <v>41572.6060366735</v>
      </c>
      <c r="BW70" s="139" t="n">
        <f aca="false">BW212*(1-Hipótesis!$D$73)+BW213-BW69</f>
        <v>41572.6060366735</v>
      </c>
      <c r="BX70" s="139" t="n">
        <f aca="false">BX212*(1-Hipótesis!$D$73)+BX213-BX69</f>
        <v>41572.6060366735</v>
      </c>
      <c r="BY70" s="139" t="n">
        <f aca="false">BY212*(1-Hipótesis!$D$73)+BY213-BY69</f>
        <v>41572.6060366735</v>
      </c>
      <c r="BZ70" s="139" t="n">
        <f aca="false">BZ212*(1-Hipótesis!$D$73)+BZ213-BZ69</f>
        <v>41572.6060366735</v>
      </c>
      <c r="CA70" s="139" t="n">
        <f aca="false">CA212*(1-Hipótesis!$D$73)+CA213-CA69</f>
        <v>15725.2477054222</v>
      </c>
      <c r="CB70" s="139" t="n">
        <f aca="false">CB212*(1-Hipótesis!$D$73)+CB213-CB69</f>
        <v>41572.6060366735</v>
      </c>
      <c r="CC70" s="139" t="n">
        <f aca="false">CC212*(1-Hipótesis!$D$73)+CC213-CC69</f>
        <v>41572.6060366735</v>
      </c>
      <c r="CD70" s="139" t="n">
        <f aca="false">CD212*(1-Hipótesis!$D$73)+CD213-CD69</f>
        <v>41572.6060366735</v>
      </c>
      <c r="CE70" s="139" t="n">
        <f aca="false">CE212*(1-Hipótesis!$D$73)+CE213-CE69</f>
        <v>41572.6060366735</v>
      </c>
      <c r="CF70" s="139" t="n">
        <f aca="false">CF212*(1-Hipótesis!$D$73)+CF213-CF69</f>
        <v>41572.6060366735</v>
      </c>
      <c r="CG70" s="139" t="n">
        <f aca="false">CG212*(1-Hipótesis!$D$73)+CG213-CG69</f>
        <v>41572.6060366735</v>
      </c>
      <c r="CH70" s="139" t="n">
        <f aca="false">CH212*(1-Hipótesis!$D$73)+CH213-CH69</f>
        <v>41572.6060366735</v>
      </c>
    </row>
    <row r="71" customFormat="false" ht="13.5" hidden="false" customHeight="true" outlineLevel="0" collapsed="false">
      <c r="A71" s="13" t="s">
        <v>749</v>
      </c>
      <c r="C71" s="138" t="n">
        <f aca="false">-C70</f>
        <v>-1845.8336419976</v>
      </c>
      <c r="D71" s="138" t="n">
        <f aca="false">-(D70-C70)</f>
        <v>-1851.45809810358</v>
      </c>
      <c r="E71" s="138" t="n">
        <f aca="false">-(E70-D70)</f>
        <v>-1957.56198965859</v>
      </c>
      <c r="F71" s="138" t="n">
        <f aca="false">-(F70-E70)</f>
        <v>-1801.09817323297</v>
      </c>
      <c r="G71" s="138" t="n">
        <f aca="false">-(G70-F70)</f>
        <v>5384.34804155391</v>
      </c>
      <c r="H71" s="138" t="n">
        <f aca="false">-(H70-G70)</f>
        <v>-8980.52799368892</v>
      </c>
      <c r="I71" s="138" t="n">
        <f aca="false">-(I70-H70)</f>
        <v>-1800.706235008</v>
      </c>
      <c r="J71" s="138" t="n">
        <f aca="false">-(J70-I70)</f>
        <v>-1968.50665153967</v>
      </c>
      <c r="K71" s="138" t="n">
        <f aca="false">-(K70-J70)</f>
        <v>-2052.4068598055</v>
      </c>
      <c r="L71" s="138" t="n">
        <f aca="false">-(L70-K70)</f>
        <v>-2052.4068598055</v>
      </c>
      <c r="M71" s="138" t="n">
        <f aca="false">-(M70-L70)</f>
        <v>-1946.30296825049</v>
      </c>
      <c r="N71" s="138" t="n">
        <f aca="false">-(N70-M70)</f>
        <v>-1932.38140335014</v>
      </c>
      <c r="O71" s="138" t="n">
        <f aca="false">-(O70-N70)</f>
        <v>-1932.38140335015</v>
      </c>
      <c r="P71" s="138" t="n">
        <f aca="false">-(P70-O70)</f>
        <v>-1912.96725950898</v>
      </c>
      <c r="Q71" s="138" t="n">
        <f aca="false">-(Q70-P70)</f>
        <v>-1912.96725950899</v>
      </c>
      <c r="R71" s="138" t="n">
        <f aca="false">-(R70-Q70)</f>
        <v>-1912.967259509</v>
      </c>
      <c r="S71" s="138" t="n">
        <f aca="false">-(S70-R70)</f>
        <v>22498.4267200061</v>
      </c>
      <c r="T71" s="138" t="n">
        <f aca="false">-(T70-S70)</f>
        <v>-26324.3612390241</v>
      </c>
      <c r="U71" s="138" t="n">
        <f aca="false">-(U70-T70)</f>
        <v>-279.530906114233</v>
      </c>
      <c r="V71" s="138" t="n">
        <f aca="false">-(V70-U70)</f>
        <v>-279.530906114233</v>
      </c>
      <c r="W71" s="138" t="n">
        <f aca="false">-(W70-V70)</f>
        <v>-279.530906114233</v>
      </c>
      <c r="X71" s="138" t="n">
        <f aca="false">-(X70-W70)</f>
        <v>-293.452471014578</v>
      </c>
      <c r="Y71" s="138" t="n">
        <f aca="false">-(Y70-X70)</f>
        <v>-293.452471014578</v>
      </c>
      <c r="Z71" s="138" t="n">
        <f aca="false">-(Z70-Y70)</f>
        <v>-307.634096974711</v>
      </c>
      <c r="AA71" s="138" t="n">
        <f aca="false">-(AA70-Z70)</f>
        <v>-307.634096974711</v>
      </c>
      <c r="AB71" s="138" t="n">
        <f aca="false">-(AB70-AA70)</f>
        <v>-307.634096974711</v>
      </c>
      <c r="AC71" s="138" t="n">
        <f aca="false">-(AC70-AB70)</f>
        <v>-307.634096974711</v>
      </c>
      <c r="AD71" s="138" t="n">
        <f aca="false">-(AD70-AC70)</f>
        <v>-307.634096974718</v>
      </c>
      <c r="AE71" s="138" t="n">
        <f aca="false">-(AE70-AD70)</f>
        <v>25539.7242342765</v>
      </c>
      <c r="AF71" s="138" t="n">
        <f aca="false">-(AF70-AE70)</f>
        <v>-26154.992428226</v>
      </c>
      <c r="AG71" s="138" t="n">
        <f aca="false">-(AG70-AF70)</f>
        <v>-307.634096974711</v>
      </c>
      <c r="AH71" s="138" t="n">
        <f aca="false">-(AH70-AG70)</f>
        <v>-307.634096974703</v>
      </c>
      <c r="AI71" s="138" t="n">
        <f aca="false">-(AI70-AH70)</f>
        <v>-307.634096974718</v>
      </c>
      <c r="AJ71" s="138" t="n">
        <f aca="false">-(AJ70-AI70)</f>
        <v>-307.634096974711</v>
      </c>
      <c r="AK71" s="138" t="n">
        <f aca="false">-(AK70-AJ70)</f>
        <v>-307.634096974711</v>
      </c>
      <c r="AL71" s="138" t="n">
        <f aca="false">-(AL70-AK70)</f>
        <v>-307.634096974696</v>
      </c>
      <c r="AM71" s="138" t="n">
        <f aca="false">-(AM70-AL70)</f>
        <v>-307.634096974711</v>
      </c>
      <c r="AN71" s="138" t="n">
        <f aca="false">-(AN70-AM70)</f>
        <v>-307.634096974725</v>
      </c>
      <c r="AO71" s="138" t="n">
        <f aca="false">-(AO70-AN70)</f>
        <v>-307.634096974703</v>
      </c>
      <c r="AP71" s="138" t="n">
        <f aca="false">-(AP70-AO70)</f>
        <v>-307.634096974703</v>
      </c>
      <c r="AQ71" s="138" t="n">
        <f aca="false">-(AQ70-AP70)</f>
        <v>25539.7242342765</v>
      </c>
      <c r="AR71" s="138" t="n">
        <f aca="false">-(AR70-AQ70)</f>
        <v>-26154.992428226</v>
      </c>
      <c r="AS71" s="138" t="n">
        <f aca="false">-(AS70-AR70)</f>
        <v>-0</v>
      </c>
      <c r="AT71" s="138" t="n">
        <f aca="false">-(AT70-AS70)</f>
        <v>-0</v>
      </c>
      <c r="AU71" s="138" t="n">
        <f aca="false">-(AU70-AT70)</f>
        <v>-0</v>
      </c>
      <c r="AV71" s="138" t="n">
        <f aca="false">-(AV70-AU70)</f>
        <v>-0</v>
      </c>
      <c r="AW71" s="138" t="n">
        <f aca="false">-(AW70-AV70)</f>
        <v>-0</v>
      </c>
      <c r="AX71" s="138" t="n">
        <f aca="false">-(AX70-AW70)</f>
        <v>-0</v>
      </c>
      <c r="AY71" s="138" t="n">
        <f aca="false">-(AY70-AX70)</f>
        <v>-0</v>
      </c>
      <c r="AZ71" s="138" t="n">
        <f aca="false">-(AZ70-AY70)</f>
        <v>-0</v>
      </c>
      <c r="BA71" s="138" t="n">
        <f aca="false">-(BA70-AZ70)</f>
        <v>-0</v>
      </c>
      <c r="BB71" s="138" t="n">
        <f aca="false">-(BB70-BA70)</f>
        <v>-0</v>
      </c>
      <c r="BC71" s="138" t="n">
        <f aca="false">-(BC70-BB70)</f>
        <v>25847.3583312513</v>
      </c>
      <c r="BD71" s="138" t="n">
        <f aca="false">-(BD70-BC70)</f>
        <v>-25847.3583312513</v>
      </c>
      <c r="BE71" s="138" t="n">
        <f aca="false">-(BE70-BD70)</f>
        <v>-0</v>
      </c>
      <c r="BF71" s="138" t="n">
        <f aca="false">-(BF70-BE70)</f>
        <v>-0</v>
      </c>
      <c r="BG71" s="138" t="n">
        <f aca="false">-(BG70-BF70)</f>
        <v>-0</v>
      </c>
      <c r="BH71" s="138" t="n">
        <f aca="false">-(BH70-BG70)</f>
        <v>-0</v>
      </c>
      <c r="BI71" s="138" t="n">
        <f aca="false">-(BI70-BH70)</f>
        <v>-0</v>
      </c>
      <c r="BJ71" s="138" t="n">
        <f aca="false">-(BJ70-BI70)</f>
        <v>-0</v>
      </c>
      <c r="BK71" s="138" t="n">
        <f aca="false">-(BK70-BJ70)</f>
        <v>-0</v>
      </c>
      <c r="BL71" s="138" t="n">
        <f aca="false">-(BL70-BK70)</f>
        <v>-0</v>
      </c>
      <c r="BM71" s="138" t="n">
        <f aca="false">-(BM70-BL70)</f>
        <v>-0</v>
      </c>
      <c r="BN71" s="138" t="n">
        <f aca="false">-(BN70-BM70)</f>
        <v>-0</v>
      </c>
      <c r="BO71" s="138" t="n">
        <f aca="false">-(BO70-BN70)</f>
        <v>25847.3583312513</v>
      </c>
      <c r="BP71" s="138" t="n">
        <f aca="false">-(BP70-BO70)</f>
        <v>-25847.3583312513</v>
      </c>
      <c r="BQ71" s="138" t="n">
        <f aca="false">-(BQ70-BP70)</f>
        <v>-0</v>
      </c>
      <c r="BR71" s="138" t="n">
        <f aca="false">-(BR70-BQ70)</f>
        <v>-0</v>
      </c>
      <c r="BS71" s="138" t="n">
        <f aca="false">-(BS70-BR70)</f>
        <v>-0</v>
      </c>
      <c r="BT71" s="138" t="n">
        <f aca="false">-(BT70-BS70)</f>
        <v>-0</v>
      </c>
      <c r="BU71" s="138" t="n">
        <f aca="false">-(BU70-BT70)</f>
        <v>-0</v>
      </c>
      <c r="BV71" s="138" t="n">
        <f aca="false">-(BV70-BU70)</f>
        <v>-0</v>
      </c>
      <c r="BW71" s="138" t="n">
        <f aca="false">-(BW70-BV70)</f>
        <v>-0</v>
      </c>
      <c r="BX71" s="138" t="n">
        <f aca="false">-(BX70-BW70)</f>
        <v>-0</v>
      </c>
      <c r="BY71" s="138" t="n">
        <f aca="false">-(BY70-BX70)</f>
        <v>-0</v>
      </c>
      <c r="BZ71" s="138" t="n">
        <f aca="false">-(BZ70-BY70)</f>
        <v>-0</v>
      </c>
      <c r="CA71" s="138" t="n">
        <f aca="false">-(CA70-BZ70)</f>
        <v>25847.3583312513</v>
      </c>
      <c r="CB71" s="138" t="n">
        <f aca="false">-(CB70-CA70)</f>
        <v>-25847.3583312513</v>
      </c>
      <c r="CC71" s="138" t="n">
        <f aca="false">-(CC70-CB70)</f>
        <v>-0</v>
      </c>
      <c r="CD71" s="138" t="n">
        <f aca="false">-(CD70-CC70)</f>
        <v>-0</v>
      </c>
      <c r="CE71" s="138" t="n">
        <f aca="false">-(CE70-CD70)</f>
        <v>-0</v>
      </c>
      <c r="CF71" s="138" t="n">
        <f aca="false">-(CF70-CE70)</f>
        <v>-0</v>
      </c>
      <c r="CG71" s="138" t="n">
        <f aca="false">-(CG70-CF70)</f>
        <v>-0</v>
      </c>
      <c r="CH71" s="138" t="n">
        <f aca="false">-(CH70-CG70)</f>
        <v>-0</v>
      </c>
    </row>
    <row r="72" customFormat="false" ht="13.5" hidden="false" customHeight="true" outlineLevel="0" collapsed="false">
      <c r="A72" s="13" t="s">
        <v>750</v>
      </c>
      <c r="C72" s="138" t="n">
        <f aca="false">-CAPEX!$G$22*CAPEX!$C$29-CAPEX!$G$50</f>
        <v>-44137</v>
      </c>
      <c r="D72" s="138" t="n">
        <f aca="false">-CAPEX!$G$22*CAPEX!$D$29</f>
        <v>-18450.6</v>
      </c>
      <c r="E72" s="138" t="n">
        <f aca="false">-CAPEX!$G$22*CAPEX!$E$29</f>
        <v>-13179</v>
      </c>
      <c r="F72" s="138" t="n">
        <f aca="false">-CAPEX!$G$22*CAPEX!$F$29</f>
        <v>-11861.1</v>
      </c>
      <c r="G72" s="138" t="n">
        <f aca="false">-CAPEX!$G$22*CAPEX!$G$29</f>
        <v>-10543.2</v>
      </c>
      <c r="H72" s="138" t="n">
        <f aca="false">-CAPEX!$G$22*CAPEX!$H$29</f>
        <v>-9225.3</v>
      </c>
      <c r="I72" s="138" t="n">
        <f aca="false">-CAPEX!$G$22*CAPEX!$I$29</f>
        <v>-7907.4</v>
      </c>
      <c r="J72" s="138" t="n">
        <f aca="false">-CAPEX!$G$22*CAPEX!$J$29</f>
        <v>-6589.5</v>
      </c>
      <c r="K72" s="138" t="n">
        <f aca="false">-CAPEX!$G$22*CAPEX!$K$29</f>
        <v>-5271.6</v>
      </c>
      <c r="L72" s="138" t="n">
        <f aca="false">-CAPEX!$G$22*CAPEX!$L$29</f>
        <v>-3953.7</v>
      </c>
      <c r="M72" s="138" t="n">
        <f aca="false">-CAPEX!$G$22*CAPEX!$M$29</f>
        <v>-2635.8</v>
      </c>
      <c r="N72" s="138" t="n">
        <f aca="false">-CAPEX!$G$22*CAPEX!$N$29</f>
        <v>-2635.8</v>
      </c>
      <c r="O72" s="138" t="n">
        <f aca="false">0</f>
        <v>0</v>
      </c>
      <c r="P72" s="138" t="n">
        <f aca="false">0</f>
        <v>0</v>
      </c>
      <c r="Q72" s="138" t="n">
        <f aca="false">0</f>
        <v>0</v>
      </c>
      <c r="R72" s="138" t="n">
        <f aca="false">0</f>
        <v>0</v>
      </c>
      <c r="S72" s="138" t="n">
        <f aca="false">0</f>
        <v>0</v>
      </c>
      <c r="T72" s="138" t="n">
        <f aca="false">0</f>
        <v>0</v>
      </c>
      <c r="U72" s="138" t="n">
        <f aca="false">0</f>
        <v>0</v>
      </c>
      <c r="V72" s="138" t="n">
        <f aca="false">0</f>
        <v>0</v>
      </c>
      <c r="W72" s="138" t="n">
        <f aca="false">0</f>
        <v>0</v>
      </c>
      <c r="X72" s="138" t="n">
        <f aca="false">0</f>
        <v>0</v>
      </c>
      <c r="Y72" s="138" t="n">
        <f aca="false">0</f>
        <v>0</v>
      </c>
      <c r="Z72" s="138" t="n">
        <f aca="false">0</f>
        <v>0</v>
      </c>
      <c r="AA72" s="138" t="n">
        <f aca="false">0</f>
        <v>0</v>
      </c>
      <c r="AB72" s="138" t="n">
        <f aca="false">0</f>
        <v>0</v>
      </c>
      <c r="AC72" s="138" t="n">
        <f aca="false">0</f>
        <v>0</v>
      </c>
      <c r="AD72" s="138" t="n">
        <f aca="false">0</f>
        <v>0</v>
      </c>
      <c r="AE72" s="138" t="n">
        <f aca="false">0</f>
        <v>0</v>
      </c>
      <c r="AF72" s="138" t="n">
        <f aca="false">0</f>
        <v>0</v>
      </c>
      <c r="AG72" s="138" t="n">
        <f aca="false">0</f>
        <v>0</v>
      </c>
      <c r="AH72" s="138" t="n">
        <f aca="false">0</f>
        <v>0</v>
      </c>
      <c r="AI72" s="138" t="n">
        <f aca="false">0</f>
        <v>0</v>
      </c>
      <c r="AJ72" s="138" t="n">
        <f aca="false">0</f>
        <v>0</v>
      </c>
      <c r="AK72" s="138" t="n">
        <f aca="false">0</f>
        <v>0</v>
      </c>
      <c r="AL72" s="138" t="n">
        <f aca="false">0</f>
        <v>0</v>
      </c>
      <c r="AM72" s="138" t="n">
        <f aca="false">0</f>
        <v>0</v>
      </c>
      <c r="AN72" s="138" t="n">
        <f aca="false">0</f>
        <v>0</v>
      </c>
      <c r="AO72" s="138" t="n">
        <f aca="false">0</f>
        <v>0</v>
      </c>
      <c r="AP72" s="138" t="n">
        <f aca="false">0</f>
        <v>0</v>
      </c>
      <c r="AQ72" s="138" t="n">
        <f aca="false">0</f>
        <v>0</v>
      </c>
      <c r="AR72" s="138" t="n">
        <f aca="false">0</f>
        <v>0</v>
      </c>
      <c r="AS72" s="138" t="n">
        <f aca="false">0</f>
        <v>0</v>
      </c>
      <c r="AT72" s="138" t="n">
        <f aca="false">0</f>
        <v>0</v>
      </c>
      <c r="AU72" s="138" t="n">
        <f aca="false">0</f>
        <v>0</v>
      </c>
      <c r="AV72" s="138" t="n">
        <f aca="false">0</f>
        <v>0</v>
      </c>
      <c r="AW72" s="138" t="n">
        <f aca="false">0</f>
        <v>0</v>
      </c>
      <c r="AX72" s="138" t="n">
        <f aca="false">0</f>
        <v>0</v>
      </c>
      <c r="AY72" s="138" t="n">
        <f aca="false">0</f>
        <v>0</v>
      </c>
      <c r="AZ72" s="138" t="n">
        <f aca="false">0</f>
        <v>0</v>
      </c>
      <c r="BA72" s="138" t="n">
        <f aca="false">0</f>
        <v>0</v>
      </c>
      <c r="BB72" s="138" t="n">
        <f aca="false">0</f>
        <v>0</v>
      </c>
      <c r="BC72" s="138" t="n">
        <f aca="false">0</f>
        <v>0</v>
      </c>
      <c r="BD72" s="138" t="n">
        <f aca="false">0</f>
        <v>0</v>
      </c>
      <c r="BE72" s="138" t="n">
        <f aca="false">0</f>
        <v>0</v>
      </c>
      <c r="BF72" s="138" t="n">
        <f aca="false">0</f>
        <v>0</v>
      </c>
      <c r="BG72" s="138" t="n">
        <f aca="false">0</f>
        <v>0</v>
      </c>
      <c r="BH72" s="138" t="n">
        <f aca="false">0</f>
        <v>0</v>
      </c>
      <c r="BI72" s="138" t="n">
        <f aca="false">0</f>
        <v>0</v>
      </c>
      <c r="BJ72" s="138" t="n">
        <f aca="false">0</f>
        <v>0</v>
      </c>
      <c r="BK72" s="138" t="n">
        <f aca="false">0</f>
        <v>0</v>
      </c>
      <c r="BL72" s="138" t="n">
        <f aca="false">0</f>
        <v>0</v>
      </c>
      <c r="BM72" s="138" t="n">
        <f aca="false">0</f>
        <v>0</v>
      </c>
      <c r="BN72" s="138" t="n">
        <f aca="false">0</f>
        <v>0</v>
      </c>
      <c r="BO72" s="138" t="n">
        <f aca="false">0</f>
        <v>0</v>
      </c>
      <c r="BP72" s="138" t="n">
        <f aca="false">0</f>
        <v>0</v>
      </c>
      <c r="BQ72" s="138" t="n">
        <f aca="false">0</f>
        <v>0</v>
      </c>
      <c r="BR72" s="138" t="n">
        <f aca="false">0</f>
        <v>0</v>
      </c>
      <c r="BS72" s="138" t="n">
        <f aca="false">0</f>
        <v>0</v>
      </c>
      <c r="BT72" s="138" t="n">
        <f aca="false">0</f>
        <v>0</v>
      </c>
      <c r="BU72" s="138" t="n">
        <f aca="false">0</f>
        <v>0</v>
      </c>
      <c r="BV72" s="138" t="n">
        <f aca="false">0</f>
        <v>0</v>
      </c>
      <c r="BW72" s="138" t="n">
        <f aca="false">0</f>
        <v>0</v>
      </c>
      <c r="BX72" s="138" t="n">
        <f aca="false">0</f>
        <v>0</v>
      </c>
      <c r="BY72" s="138" t="n">
        <f aca="false">0</f>
        <v>0</v>
      </c>
      <c r="BZ72" s="138" t="n">
        <f aca="false">0</f>
        <v>0</v>
      </c>
      <c r="CA72" s="138" t="n">
        <f aca="false">0</f>
        <v>0</v>
      </c>
      <c r="CB72" s="138" t="n">
        <f aca="false">0</f>
        <v>0</v>
      </c>
      <c r="CC72" s="138" t="n">
        <f aca="false">0</f>
        <v>0</v>
      </c>
      <c r="CD72" s="138" t="n">
        <f aca="false">0</f>
        <v>0</v>
      </c>
      <c r="CE72" s="138" t="n">
        <f aca="false">0</f>
        <v>0</v>
      </c>
      <c r="CF72" s="138" t="n">
        <f aca="false">0</f>
        <v>0</v>
      </c>
      <c r="CG72" s="138" t="n">
        <f aca="false">0</f>
        <v>0</v>
      </c>
      <c r="CH72" s="138" t="n">
        <f aca="false">0</f>
        <v>0</v>
      </c>
    </row>
    <row r="73" customFormat="false" ht="13.5" hidden="false" customHeight="true" outlineLevel="0" collapsed="false">
      <c r="A73" s="13" t="s">
        <v>751</v>
      </c>
      <c r="C73" s="138" t="n">
        <f aca="false">-C36*Hipótesis!$D$68</f>
        <v>-62.8100116095784</v>
      </c>
      <c r="D73" s="138" t="n">
        <f aca="false">-D36*Hipótesis!$D$68</f>
        <v>-127.342623219157</v>
      </c>
      <c r="E73" s="138" t="n">
        <f aca="false">-E36*Hipótesis!$D$68</f>
        <v>-218.312359828735</v>
      </c>
      <c r="F73" s="138" t="n">
        <f aca="false">-F36*Hipótesis!$D$68</f>
        <v>-286.553346438314</v>
      </c>
      <c r="G73" s="138" t="n">
        <f aca="false">-G36*Hipótesis!$D$68</f>
        <v>-182.726371207184</v>
      </c>
      <c r="H73" s="138" t="n">
        <f aca="false">-H36*Hipótesis!$D$68</f>
        <v>-435.38061965747</v>
      </c>
      <c r="I73" s="138" t="n">
        <f aca="false">-I36*Hipótesis!$D$68</f>
        <v>-517.689506267049</v>
      </c>
      <c r="J73" s="138" t="n">
        <f aca="false">-J36*Hipótesis!$D$68</f>
        <v>-632.05438166307</v>
      </c>
      <c r="K73" s="138" t="n">
        <f aca="false">-K36*Hipótesis!$D$68</f>
        <v>-762.447251452314</v>
      </c>
      <c r="L73" s="138" t="n">
        <f aca="false">-L36*Hipótesis!$D$68</f>
        <v>-892.840121241557</v>
      </c>
      <c r="M73" s="138" t="n">
        <f aca="false">-M36*Hipótesis!$D$68</f>
        <v>-996.7958660308</v>
      </c>
      <c r="N73" s="138" t="n">
        <f aca="false">-N36*Hipótesis!$D$68</f>
        <v>-1122.28411082004</v>
      </c>
      <c r="O73" s="138" t="n">
        <f aca="false">-O36*Hipótesis!$D$68</f>
        <v>-1247.77235560929</v>
      </c>
      <c r="P73" s="138" t="n">
        <f aca="false">-P36*Hipótesis!$D$68</f>
        <v>-1365.50890039853</v>
      </c>
      <c r="Q73" s="138" t="n">
        <f aca="false">-Q36*Hipótesis!$D$68</f>
        <v>-1483.24544518777</v>
      </c>
      <c r="R73" s="138" t="n">
        <f aca="false">-R36*Hipótesis!$D$68</f>
        <v>-1600.98198997702</v>
      </c>
      <c r="S73" s="138" t="n">
        <f aca="false">-S36*Hipótesis!$D$68</f>
        <v>-1139.54430450785</v>
      </c>
      <c r="T73" s="138" t="n">
        <f aca="false">-T36*Hipótesis!$D$68</f>
        <v>-1836.4550795555</v>
      </c>
      <c r="U73" s="138" t="n">
        <f aca="false">-U36*Hipótesis!$D$68</f>
        <v>-1924.79569233065</v>
      </c>
      <c r="V73" s="138" t="n">
        <f aca="false">-V36*Hipótesis!$D$68</f>
        <v>-2013.1363051058</v>
      </c>
      <c r="W73" s="138" t="n">
        <f aca="false">-W36*Hipótesis!$D$68</f>
        <v>-2101.47691788094</v>
      </c>
      <c r="X73" s="138" t="n">
        <f aca="false">-X36*Hipótesis!$D$68</f>
        <v>-2168.28503065609</v>
      </c>
      <c r="Y73" s="138" t="n">
        <f aca="false">-Y36*Hipótesis!$D$68</f>
        <v>-2235.09314343123</v>
      </c>
      <c r="Z73" s="138" t="n">
        <f aca="false">-Z36*Hipótesis!$D$68</f>
        <v>-2293.86245620638</v>
      </c>
      <c r="AA73" s="138" t="n">
        <f aca="false">-AA36*Hipótesis!$D$68</f>
        <v>-2352.63176898153</v>
      </c>
      <c r="AB73" s="138" t="n">
        <f aca="false">-AB36*Hipótesis!$D$68</f>
        <v>-2411.40108175667</v>
      </c>
      <c r="AC73" s="138" t="n">
        <f aca="false">-AC36*Hipótesis!$D$68</f>
        <v>-2470.17039453182</v>
      </c>
      <c r="AD73" s="138" t="n">
        <f aca="false">-AD36*Hipótesis!$D$68</f>
        <v>-2528.93970730696</v>
      </c>
      <c r="AE73" s="138" t="n">
        <f aca="false">-AE36*Hipótesis!$D$68</f>
        <v>-1974.46571745556</v>
      </c>
      <c r="AF73" s="138" t="n">
        <f aca="false">-AF36*Hipótesis!$D$68</f>
        <v>-2646.47833285725</v>
      </c>
      <c r="AG73" s="138" t="n">
        <f aca="false">-AG36*Hipótesis!$D$68</f>
        <v>-2705.2476456324</v>
      </c>
      <c r="AH73" s="138" t="n">
        <f aca="false">-AH36*Hipótesis!$D$68</f>
        <v>-2764.01695840755</v>
      </c>
      <c r="AI73" s="138" t="n">
        <f aca="false">-AI36*Hipótesis!$D$68</f>
        <v>-2822.78627118269</v>
      </c>
      <c r="AJ73" s="138" t="n">
        <f aca="false">-AJ36*Hipótesis!$D$68</f>
        <v>-2881.55558395784</v>
      </c>
      <c r="AK73" s="138" t="n">
        <f aca="false">-AK36*Hipótesis!$D$68</f>
        <v>-2940.32489673298</v>
      </c>
      <c r="AL73" s="138" t="n">
        <f aca="false">-AL36*Hipótesis!$D$68</f>
        <v>-2999.09420950813</v>
      </c>
      <c r="AM73" s="138" t="n">
        <f aca="false">-AM36*Hipótesis!$D$68</f>
        <v>-3057.86352228328</v>
      </c>
      <c r="AN73" s="138" t="n">
        <f aca="false">-AN36*Hipótesis!$D$68</f>
        <v>-3116.63283505842</v>
      </c>
      <c r="AO73" s="138" t="n">
        <f aca="false">-AO36*Hipótesis!$D$68</f>
        <v>-3175.40214783357</v>
      </c>
      <c r="AP73" s="138" t="n">
        <f aca="false">-AP36*Hipótesis!$D$68</f>
        <v>-3234.17146060871</v>
      </c>
      <c r="AQ73" s="138" t="n">
        <f aca="false">-AQ36*Hipótesis!$D$68</f>
        <v>-2679.69747075731</v>
      </c>
      <c r="AR73" s="138" t="n">
        <f aca="false">-AR36*Hipótesis!$D$68</f>
        <v>-3351.71008615901</v>
      </c>
      <c r="AS73" s="138" t="n">
        <f aca="false">-AS36*Hipótesis!$D$68</f>
        <v>-3351.71008615901</v>
      </c>
      <c r="AT73" s="138" t="n">
        <f aca="false">-AT36*Hipótesis!$D$68</f>
        <v>-3351.71008615901</v>
      </c>
      <c r="AU73" s="138" t="n">
        <f aca="false">-AU36*Hipótesis!$D$68</f>
        <v>-3351.71008615901</v>
      </c>
      <c r="AV73" s="138" t="n">
        <f aca="false">-AV36*Hipótesis!$D$68</f>
        <v>-3351.71008615901</v>
      </c>
      <c r="AW73" s="138" t="n">
        <f aca="false">-AW36*Hipótesis!$D$68</f>
        <v>-3351.71008615901</v>
      </c>
      <c r="AX73" s="138" t="n">
        <f aca="false">-AX36*Hipótesis!$D$68</f>
        <v>-3351.71008615901</v>
      </c>
      <c r="AY73" s="138" t="n">
        <f aca="false">-AY36*Hipótesis!$D$68</f>
        <v>-3351.71008615901</v>
      </c>
      <c r="AZ73" s="138" t="n">
        <f aca="false">-AZ36*Hipótesis!$D$68</f>
        <v>-3351.71008615901</v>
      </c>
      <c r="BA73" s="138" t="n">
        <f aca="false">-BA36*Hipótesis!$D$68</f>
        <v>-3351.71008615901</v>
      </c>
      <c r="BB73" s="138" t="n">
        <f aca="false">-BB36*Hipótesis!$D$68</f>
        <v>-3351.71008615901</v>
      </c>
      <c r="BC73" s="138" t="n">
        <f aca="false">-BC36*Hipótesis!$D$68</f>
        <v>-2738.46678353246</v>
      </c>
      <c r="BD73" s="138" t="n">
        <f aca="false">-BD36*Hipótesis!$D$68</f>
        <v>-3351.71008615901</v>
      </c>
      <c r="BE73" s="138" t="n">
        <f aca="false">-BE36*Hipótesis!$D$68</f>
        <v>-3351.71008615901</v>
      </c>
      <c r="BF73" s="138" t="n">
        <f aca="false">-BF36*Hipótesis!$D$68</f>
        <v>-3351.71008615901</v>
      </c>
      <c r="BG73" s="138" t="n">
        <f aca="false">-BG36*Hipótesis!$D$68</f>
        <v>-3351.71008615901</v>
      </c>
      <c r="BH73" s="138" t="n">
        <f aca="false">-BH36*Hipótesis!$D$68</f>
        <v>-3351.71008615901</v>
      </c>
      <c r="BI73" s="138" t="n">
        <f aca="false">-BI36*Hipótesis!$D$68</f>
        <v>-3351.71008615901</v>
      </c>
      <c r="BJ73" s="138" t="n">
        <f aca="false">-BJ36*Hipótesis!$D$68</f>
        <v>-3351.71008615901</v>
      </c>
      <c r="BK73" s="138" t="n">
        <f aca="false">-BK36*Hipótesis!$D$68</f>
        <v>-3351.71008615901</v>
      </c>
      <c r="BL73" s="138" t="n">
        <f aca="false">-BL36*Hipótesis!$D$68</f>
        <v>-3351.71008615901</v>
      </c>
      <c r="BM73" s="138" t="n">
        <f aca="false">-BM36*Hipótesis!$D$68</f>
        <v>-3351.71008615901</v>
      </c>
      <c r="BN73" s="138" t="n">
        <f aca="false">-BN36*Hipótesis!$D$68</f>
        <v>-3351.71008615901</v>
      </c>
      <c r="BO73" s="138" t="n">
        <f aca="false">-BO36*Hipótesis!$D$68</f>
        <v>-2738.46678353246</v>
      </c>
      <c r="BP73" s="138" t="n">
        <f aca="false">-BP36*Hipótesis!$D$68</f>
        <v>-3351.71008615901</v>
      </c>
      <c r="BQ73" s="138" t="n">
        <f aca="false">-BQ36*Hipótesis!$D$68</f>
        <v>-3351.71008615901</v>
      </c>
      <c r="BR73" s="138" t="n">
        <f aca="false">-BR36*Hipótesis!$D$68</f>
        <v>-3351.71008615901</v>
      </c>
      <c r="BS73" s="138" t="n">
        <f aca="false">-BS36*Hipótesis!$D$68</f>
        <v>-3351.71008615901</v>
      </c>
      <c r="BT73" s="138" t="n">
        <f aca="false">-BT36*Hipótesis!$D$68</f>
        <v>-3351.71008615901</v>
      </c>
      <c r="BU73" s="138" t="n">
        <f aca="false">-BU36*Hipótesis!$D$68</f>
        <v>-3351.71008615901</v>
      </c>
      <c r="BV73" s="138" t="n">
        <f aca="false">-BV36*Hipótesis!$D$68</f>
        <v>-3351.71008615901</v>
      </c>
      <c r="BW73" s="138" t="n">
        <f aca="false">-BW36*Hipótesis!$D$68</f>
        <v>-3351.71008615901</v>
      </c>
      <c r="BX73" s="138" t="n">
        <f aca="false">-BX36*Hipótesis!$D$68</f>
        <v>-3351.71008615901</v>
      </c>
      <c r="BY73" s="138" t="n">
        <f aca="false">-BY36*Hipótesis!$D$68</f>
        <v>-3351.71008615901</v>
      </c>
      <c r="BZ73" s="138" t="n">
        <f aca="false">-BZ36*Hipótesis!$D$68</f>
        <v>-3351.71008615901</v>
      </c>
      <c r="CA73" s="138" t="n">
        <f aca="false">-CA36*Hipótesis!$D$68</f>
        <v>-2738.46678353246</v>
      </c>
      <c r="CB73" s="138" t="n">
        <f aca="false">-CB36*Hipótesis!$D$68</f>
        <v>-3351.71008615901</v>
      </c>
      <c r="CC73" s="138" t="n">
        <f aca="false">-CC36*Hipótesis!$D$68</f>
        <v>-3351.71008615901</v>
      </c>
      <c r="CD73" s="138" t="n">
        <f aca="false">-CD36*Hipótesis!$D$68</f>
        <v>-3351.71008615901</v>
      </c>
      <c r="CE73" s="138" t="n">
        <f aca="false">-CE36*Hipótesis!$D$68</f>
        <v>-3351.71008615901</v>
      </c>
      <c r="CF73" s="138" t="n">
        <f aca="false">-CF36*Hipótesis!$D$68</f>
        <v>-3351.71008615901</v>
      </c>
      <c r="CG73" s="138" t="n">
        <f aca="false">-CG36*Hipótesis!$D$68</f>
        <v>-3351.71008615901</v>
      </c>
      <c r="CH73" s="138" t="n">
        <f aca="false">-CH36*Hipótesis!$D$68</f>
        <v>-3351.71008615901</v>
      </c>
    </row>
    <row r="74" customFormat="false" ht="13.5" hidden="false" customHeight="true" outlineLevel="0" collapsed="false">
      <c r="A74" s="30" t="s">
        <v>752</v>
      </c>
      <c r="C74" s="138" t="n">
        <f aca="false">C66+C67+C71+C72+C73</f>
        <v>-60190.2362067785</v>
      </c>
      <c r="D74" s="138" t="n">
        <f aca="false">D66+D67+D71+D72+D73</f>
        <v>-31977.9164227531</v>
      </c>
      <c r="E74" s="138" t="n">
        <f aca="false">E66+E67+E71+E72+E73</f>
        <v>-23340.0309452595</v>
      </c>
      <c r="F74" s="138" t="n">
        <f aca="false">F66+F67+F71+F72+F73</f>
        <v>-19245.6801306577</v>
      </c>
      <c r="G74" s="138" t="n">
        <f aca="false">G66+G67+G71+G72+G73</f>
        <v>-15081.0657782594</v>
      </c>
      <c r="H74" s="138" t="n">
        <f aca="false">H66+H67+H71+H72+H73</f>
        <v>-18152.2901285617</v>
      </c>
      <c r="I74" s="138" t="n">
        <f aca="false">I66+I67+I71+I72+I73</f>
        <v>-6892.97749878731</v>
      </c>
      <c r="J74" s="138" t="n">
        <f aca="false">J66+J67+J71+J72+J73</f>
        <v>-2232.1112432172</v>
      </c>
      <c r="K74" s="138" t="n">
        <f aca="false">K66+K67+K71+K72+K73</f>
        <v>3009.24095018632</v>
      </c>
      <c r="L74" s="138" t="n">
        <f aca="false">L66+L67+L71+L72+L73</f>
        <v>8330.96524099012</v>
      </c>
      <c r="M74" s="138" t="n">
        <f aca="false">M66+M67+M71+M72+M73</f>
        <v>12955.9815904614</v>
      </c>
      <c r="N74" s="138" t="n">
        <f aca="false">N66+N67+N71+N72+N73</f>
        <v>16761.8825229845</v>
      </c>
      <c r="O74" s="138" t="n">
        <f aca="false">O66+O67+O71+O72+O73</f>
        <v>18730.9019053911</v>
      </c>
      <c r="P74" s="138" t="n">
        <f aca="false">P66+P67+P71+P72+P73</f>
        <v>22315.5318386508</v>
      </c>
      <c r="Q74" s="138" t="n">
        <f aca="false">Q66+Q67+Q71+Q72+Q73</f>
        <v>25880.7476280694</v>
      </c>
      <c r="R74" s="138" t="n">
        <f aca="false">R66+R67+R71+R72+R73</f>
        <v>29445.9634174879</v>
      </c>
      <c r="S74" s="138" t="n">
        <f aca="false">S66+S67+S71+S72+S73</f>
        <v>38645.3667080032</v>
      </c>
      <c r="T74" s="138" t="n">
        <f aca="false">T66+T67+T71+T72+T73</f>
        <v>12165.0010168099</v>
      </c>
      <c r="U74" s="138" t="n">
        <f aca="false">U66+U67+U71+U72+U73</f>
        <v>39112.6959961228</v>
      </c>
      <c r="V74" s="138" t="n">
        <f aca="false">V66+V67+V71+V72+V73</f>
        <v>39424.0826720103</v>
      </c>
      <c r="W74" s="138" t="n">
        <f aca="false">W66+W67+W71+W72+W73</f>
        <v>42054.9469478978</v>
      </c>
      <c r="X74" s="138" t="n">
        <f aca="false">X66+X67+X71+X72+X73</f>
        <v>44086.114680635</v>
      </c>
      <c r="Y74" s="138" t="n">
        <f aca="false">Y66+Y67+Y71+Y72+Y73</f>
        <v>46131.2039782726</v>
      </c>
      <c r="Z74" s="138" t="n">
        <f aca="false">Z66+Z67+Z71+Z72+Z73</f>
        <v>47949.2802376812</v>
      </c>
      <c r="AA74" s="138" t="n">
        <f aca="false">AA66+AA67+AA71+AA72+AA73</f>
        <v>47894.28278825</v>
      </c>
      <c r="AB74" s="138" t="n">
        <f aca="false">AB66+AB67+AB71+AB72+AB73</f>
        <v>49725.7073402854</v>
      </c>
      <c r="AC74" s="138" t="n">
        <f aca="false">AC66+AC67+AC71+AC72+AC73</f>
        <v>51557.1318923209</v>
      </c>
      <c r="AD74" s="138" t="n">
        <f aca="false">AD66+AD67+AD71+AD72+AD73</f>
        <v>53388.5564443563</v>
      </c>
      <c r="AE74" s="138" t="n">
        <f aca="false">AE66+AE67+AE71+AE72+AE73</f>
        <v>61225.7324681413</v>
      </c>
      <c r="AF74" s="138" t="n">
        <f aca="false">AF66+AF67+AF71+AF72+AF73</f>
        <v>31204.0472171759</v>
      </c>
      <c r="AG74" s="138" t="n">
        <f aca="false">AG66+AG67+AG71+AG72+AG73</f>
        <v>58882.8301004626</v>
      </c>
      <c r="AH74" s="138" t="n">
        <f aca="false">AH66+AH67+AH71+AH72+AH73</f>
        <v>58683.5520136981</v>
      </c>
      <c r="AI74" s="138" t="n">
        <f aca="false">AI66+AI67+AI71+AI72+AI73</f>
        <v>60514.9765657335</v>
      </c>
      <c r="AJ74" s="138" t="n">
        <f aca="false">AJ66+AJ67+AJ71+AJ72+AJ73</f>
        <v>62346.401117769</v>
      </c>
      <c r="AK74" s="138" t="n">
        <f aca="false">AK66+AK67+AK71+AK72+AK73</f>
        <v>64177.8256698044</v>
      </c>
      <c r="AL74" s="138" t="n">
        <f aca="false">AL66+AL67+AL71+AL72+AL73</f>
        <v>66009.2502218399</v>
      </c>
      <c r="AM74" s="138" t="n">
        <f aca="false">AM66+AM67+AM71+AM72+AM73</f>
        <v>58183.9868850636</v>
      </c>
      <c r="AN74" s="138" t="n">
        <f aca="false">AN66+AN67+AN71+AN72+AN73</f>
        <v>59798.5672274319</v>
      </c>
      <c r="AO74" s="138" t="n">
        <f aca="false">AO66+AO67+AO71+AO72+AO73</f>
        <v>61413.1475698002</v>
      </c>
      <c r="AP74" s="138" t="n">
        <f aca="false">AP66+AP67+AP71+AP72+AP73</f>
        <v>63027.7279121684</v>
      </c>
      <c r="AQ74" s="138" t="n">
        <f aca="false">AQ66+AQ67+AQ71+AQ72+AQ73</f>
        <v>72998.0894049364</v>
      </c>
      <c r="AR74" s="138" t="n">
        <f aca="false">AR66+AR67+AR71+AR72+AR73</f>
        <v>40409.5302656537</v>
      </c>
      <c r="AS74" s="138" t="n">
        <f aca="false">AS66+AS67+AS71+AS72+AS73</f>
        <v>66563.1338049908</v>
      </c>
      <c r="AT74" s="138" t="n">
        <f aca="false">AT66+AT67+AT71+AT72+AT73</f>
        <v>66561.7449161019</v>
      </c>
      <c r="AU74" s="138" t="n">
        <f aca="false">AU66+AU67+AU71+AU72+AU73</f>
        <v>66560.356027213</v>
      </c>
      <c r="AV74" s="138" t="n">
        <f aca="false">AV66+AV67+AV71+AV72+AV73</f>
        <v>66558.9671383241</v>
      </c>
      <c r="AW74" s="138" t="n">
        <f aca="false">AW66+AW67+AW71+AW72+AW73</f>
        <v>66557.5782494353</v>
      </c>
      <c r="AX74" s="138" t="n">
        <f aca="false">AX66+AX67+AX71+AX72+AX73</f>
        <v>66556.1893605464</v>
      </c>
      <c r="AY74" s="138" t="n">
        <f aca="false">AY66+AY67+AY71+AY72+AY73</f>
        <v>64818.1398679971</v>
      </c>
      <c r="AZ74" s="138" t="n">
        <f aca="false">AZ66+AZ67+AZ71+AZ72+AZ73</f>
        <v>64816.7509791082</v>
      </c>
      <c r="BA74" s="138" t="n">
        <f aca="false">BA66+BA67+BA71+BA72+BA73</f>
        <v>64815.3620902193</v>
      </c>
      <c r="BB74" s="138" t="n">
        <f aca="false">BB66+BB67+BB71+BB72+BB73</f>
        <v>64813.9732013304</v>
      </c>
      <c r="BC74" s="138" t="n">
        <f aca="false">BC66+BC67+BC71+BC72+BC73</f>
        <v>73168.3654628412</v>
      </c>
      <c r="BD74" s="138" t="n">
        <f aca="false">BD66+BD67+BD71+BD72+BD73</f>
        <v>38963.8370923014</v>
      </c>
      <c r="BE74" s="138" t="n">
        <f aca="false">BE66+BE67+BE71+BE72+BE73</f>
        <v>64809.8065346637</v>
      </c>
      <c r="BF74" s="138" t="n">
        <f aca="false">BF66+BF67+BF71+BF72+BF73</f>
        <v>64808.4176457748</v>
      </c>
      <c r="BG74" s="138" t="n">
        <f aca="false">BG66+BG67+BG71+BG72+BG73</f>
        <v>64807.0287568859</v>
      </c>
      <c r="BH74" s="138" t="n">
        <f aca="false">BH66+BH67+BH71+BH72+BH73</f>
        <v>64805.6398679971</v>
      </c>
      <c r="BI74" s="138" t="n">
        <f aca="false">BI66+BI67+BI71+BI72+BI73</f>
        <v>64804.2509791082</v>
      </c>
      <c r="BJ74" s="138" t="n">
        <f aca="false">BJ66+BJ67+BJ71+BJ72+BJ73</f>
        <v>64802.8620902193</v>
      </c>
      <c r="BK74" s="138" t="n">
        <f aca="false">BK66+BK67+BK71+BK72+BK73</f>
        <v>63057.5597795602</v>
      </c>
      <c r="BL74" s="138" t="n">
        <f aca="false">BL66+BL67+BL71+BL72+BL73</f>
        <v>63056.1708906713</v>
      </c>
      <c r="BM74" s="138" t="n">
        <f aca="false">BM66+BM67+BM71+BM72+BM73</f>
        <v>63054.7820017824</v>
      </c>
      <c r="BN74" s="138" t="n">
        <f aca="false">BN66+BN67+BN71+BN72+BN73</f>
        <v>63053.3931128935</v>
      </c>
      <c r="BO74" s="138" t="n">
        <f aca="false">BO66+BO67+BO71+BO72+BO73</f>
        <v>71407.7853744043</v>
      </c>
      <c r="BP74" s="138" t="n">
        <f aca="false">BP66+BP67+BP71+BP72+BP73</f>
        <v>37203.2570038645</v>
      </c>
      <c r="BQ74" s="138" t="n">
        <f aca="false">BQ66+BQ67+BQ71+BQ72+BQ73</f>
        <v>63049.2264462268</v>
      </c>
      <c r="BR74" s="138" t="n">
        <f aca="false">BR66+BR67+BR71+BR72+BR73</f>
        <v>63047.8375573379</v>
      </c>
      <c r="BS74" s="138" t="n">
        <f aca="false">BS66+BS67+BS71+BS72+BS73</f>
        <v>63046.4486684491</v>
      </c>
      <c r="BT74" s="138" t="n">
        <f aca="false">BT66+BT67+BT71+BT72+BT73</f>
        <v>63045.0597795602</v>
      </c>
      <c r="BU74" s="138" t="n">
        <f aca="false">BU66+BU67+BU71+BU72+BU73</f>
        <v>63043.6708906713</v>
      </c>
      <c r="BV74" s="138" t="n">
        <f aca="false">BV66+BV67+BV71+BV72+BV73</f>
        <v>63042.2820017824</v>
      </c>
      <c r="BW74" s="138" t="n">
        <f aca="false">BW66+BW67+BW71+BW72+BW73</f>
        <v>61289.5092884702</v>
      </c>
      <c r="BX74" s="138" t="n">
        <f aca="false">BX66+BX67+BX71+BX72+BX73</f>
        <v>61288.1203995813</v>
      </c>
      <c r="BY74" s="138" t="n">
        <f aca="false">BY66+BY67+BY71+BY72+BY73</f>
        <v>61286.7315106924</v>
      </c>
      <c r="BZ74" s="138" t="n">
        <f aca="false">BZ66+BZ67+BZ71+BZ72+BZ73</f>
        <v>61285.3426218035</v>
      </c>
      <c r="CA74" s="138" t="n">
        <f aca="false">CA66+CA67+CA71+CA72+CA73</f>
        <v>69639.7348833143</v>
      </c>
      <c r="CB74" s="138" t="n">
        <f aca="false">CB66+CB67+CB71+CB72+CB73</f>
        <v>35435.2065127745</v>
      </c>
      <c r="CC74" s="138" t="n">
        <f aca="false">CC66+CC67+CC71+CC72+CC73</f>
        <v>61281.1759551369</v>
      </c>
      <c r="CD74" s="138" t="n">
        <f aca="false">CD66+CD67+CD71+CD72+CD73</f>
        <v>61279.787066248</v>
      </c>
      <c r="CE74" s="138" t="n">
        <f aca="false">CE66+CE67+CE71+CE72+CE73</f>
        <v>61278.3981773591</v>
      </c>
      <c r="CF74" s="138" t="n">
        <f aca="false">CF66+CF67+CF71+CF72+CF73</f>
        <v>61277.0092884702</v>
      </c>
      <c r="CG74" s="138" t="n">
        <f aca="false">CG66+CG67+CG71+CG72+CG73</f>
        <v>61275.6203995813</v>
      </c>
      <c r="CH74" s="138" t="n">
        <f aca="false">CH66+CH67+CH71+CH72+CH73</f>
        <v>61274.2315106924</v>
      </c>
    </row>
    <row r="75" customFormat="false" ht="13.5" hidden="false" customHeight="true" outlineLevel="0" collapsed="false">
      <c r="A75" s="13" t="s">
        <v>753</v>
      </c>
      <c r="C75" s="138" t="n">
        <f aca="false">Hipótesis!$D$122</f>
        <v>200000</v>
      </c>
      <c r="D75" s="138" t="n">
        <f aca="false">0</f>
        <v>0</v>
      </c>
      <c r="E75" s="138" t="n">
        <f aca="false">0</f>
        <v>0</v>
      </c>
      <c r="F75" s="138" t="n">
        <f aca="false">0</f>
        <v>0</v>
      </c>
      <c r="G75" s="138" t="n">
        <f aca="false">0</f>
        <v>0</v>
      </c>
      <c r="H75" s="138" t="n">
        <f aca="false">0</f>
        <v>0</v>
      </c>
      <c r="I75" s="138" t="n">
        <f aca="false">0</f>
        <v>0</v>
      </c>
      <c r="J75" s="138" t="n">
        <f aca="false">0</f>
        <v>0</v>
      </c>
      <c r="K75" s="138" t="n">
        <f aca="false">0</f>
        <v>0</v>
      </c>
      <c r="L75" s="138" t="n">
        <f aca="false">0</f>
        <v>0</v>
      </c>
      <c r="M75" s="138" t="n">
        <f aca="false">0</f>
        <v>0</v>
      </c>
      <c r="N75" s="138" t="n">
        <f aca="false">0</f>
        <v>0</v>
      </c>
      <c r="O75" s="138" t="n">
        <f aca="false">0</f>
        <v>0</v>
      </c>
      <c r="P75" s="138" t="n">
        <f aca="false">0</f>
        <v>0</v>
      </c>
      <c r="Q75" s="138" t="n">
        <f aca="false">0</f>
        <v>0</v>
      </c>
      <c r="R75" s="138" t="n">
        <f aca="false">0</f>
        <v>0</v>
      </c>
      <c r="S75" s="138" t="n">
        <f aca="false">0</f>
        <v>0</v>
      </c>
      <c r="T75" s="138" t="n">
        <f aca="false">0</f>
        <v>0</v>
      </c>
      <c r="U75" s="138" t="n">
        <f aca="false">0</f>
        <v>0</v>
      </c>
      <c r="V75" s="138" t="n">
        <f aca="false">0</f>
        <v>0</v>
      </c>
      <c r="W75" s="138" t="n">
        <f aca="false">0</f>
        <v>0</v>
      </c>
      <c r="X75" s="138" t="n">
        <f aca="false">0</f>
        <v>0</v>
      </c>
      <c r="Y75" s="138" t="n">
        <f aca="false">0</f>
        <v>0</v>
      </c>
      <c r="Z75" s="138" t="n">
        <f aca="false">0</f>
        <v>0</v>
      </c>
      <c r="AA75" s="138" t="n">
        <f aca="false">0</f>
        <v>0</v>
      </c>
      <c r="AB75" s="138" t="n">
        <f aca="false">0</f>
        <v>0</v>
      </c>
      <c r="AC75" s="138" t="n">
        <f aca="false">0</f>
        <v>0</v>
      </c>
      <c r="AD75" s="138" t="n">
        <f aca="false">0</f>
        <v>0</v>
      </c>
      <c r="AE75" s="138" t="n">
        <f aca="false">0</f>
        <v>0</v>
      </c>
      <c r="AF75" s="138" t="n">
        <f aca="false">0</f>
        <v>0</v>
      </c>
      <c r="AG75" s="138" t="n">
        <f aca="false">0</f>
        <v>0</v>
      </c>
      <c r="AH75" s="138" t="n">
        <f aca="false">0</f>
        <v>0</v>
      </c>
      <c r="AI75" s="138" t="n">
        <f aca="false">0</f>
        <v>0</v>
      </c>
      <c r="AJ75" s="138" t="n">
        <f aca="false">0</f>
        <v>0</v>
      </c>
      <c r="AK75" s="138" t="n">
        <f aca="false">0</f>
        <v>0</v>
      </c>
      <c r="AL75" s="138" t="n">
        <f aca="false">0</f>
        <v>0</v>
      </c>
      <c r="AM75" s="138" t="n">
        <f aca="false">0</f>
        <v>0</v>
      </c>
      <c r="AN75" s="138" t="n">
        <f aca="false">0</f>
        <v>0</v>
      </c>
      <c r="AO75" s="138" t="n">
        <f aca="false">0</f>
        <v>0</v>
      </c>
      <c r="AP75" s="138" t="n">
        <f aca="false">0</f>
        <v>0</v>
      </c>
      <c r="AQ75" s="138" t="n">
        <f aca="false">0</f>
        <v>0</v>
      </c>
      <c r="AR75" s="138" t="n">
        <f aca="false">0</f>
        <v>0</v>
      </c>
      <c r="AS75" s="138" t="n">
        <f aca="false">0</f>
        <v>0</v>
      </c>
      <c r="AT75" s="138" t="n">
        <f aca="false">0</f>
        <v>0</v>
      </c>
      <c r="AU75" s="138" t="n">
        <f aca="false">0</f>
        <v>0</v>
      </c>
      <c r="AV75" s="138" t="n">
        <f aca="false">0</f>
        <v>0</v>
      </c>
      <c r="AW75" s="138" t="n">
        <f aca="false">0</f>
        <v>0</v>
      </c>
      <c r="AX75" s="138" t="n">
        <f aca="false">0</f>
        <v>0</v>
      </c>
      <c r="AY75" s="138" t="n">
        <f aca="false">0</f>
        <v>0</v>
      </c>
      <c r="AZ75" s="138" t="n">
        <f aca="false">0</f>
        <v>0</v>
      </c>
      <c r="BA75" s="138" t="n">
        <f aca="false">0</f>
        <v>0</v>
      </c>
      <c r="BB75" s="138" t="n">
        <f aca="false">0</f>
        <v>0</v>
      </c>
      <c r="BC75" s="138" t="n">
        <f aca="false">0</f>
        <v>0</v>
      </c>
      <c r="BD75" s="138" t="n">
        <f aca="false">0</f>
        <v>0</v>
      </c>
      <c r="BE75" s="138" t="n">
        <f aca="false">0</f>
        <v>0</v>
      </c>
      <c r="BF75" s="138" t="n">
        <f aca="false">0</f>
        <v>0</v>
      </c>
      <c r="BG75" s="138" t="n">
        <f aca="false">0</f>
        <v>0</v>
      </c>
      <c r="BH75" s="138" t="n">
        <f aca="false">0</f>
        <v>0</v>
      </c>
      <c r="BI75" s="138" t="n">
        <f aca="false">0</f>
        <v>0</v>
      </c>
      <c r="BJ75" s="138" t="n">
        <f aca="false">0</f>
        <v>0</v>
      </c>
      <c r="BK75" s="138" t="n">
        <f aca="false">0</f>
        <v>0</v>
      </c>
      <c r="BL75" s="138" t="n">
        <f aca="false">0</f>
        <v>0</v>
      </c>
      <c r="BM75" s="138" t="n">
        <f aca="false">0</f>
        <v>0</v>
      </c>
      <c r="BN75" s="138" t="n">
        <f aca="false">0</f>
        <v>0</v>
      </c>
      <c r="BO75" s="138" t="n">
        <f aca="false">0</f>
        <v>0</v>
      </c>
      <c r="BP75" s="138" t="n">
        <f aca="false">0</f>
        <v>0</v>
      </c>
      <c r="BQ75" s="138" t="n">
        <f aca="false">0</f>
        <v>0</v>
      </c>
      <c r="BR75" s="138" t="n">
        <f aca="false">0</f>
        <v>0</v>
      </c>
      <c r="BS75" s="138" t="n">
        <f aca="false">0</f>
        <v>0</v>
      </c>
      <c r="BT75" s="138" t="n">
        <f aca="false">0</f>
        <v>0</v>
      </c>
      <c r="BU75" s="138" t="n">
        <f aca="false">0</f>
        <v>0</v>
      </c>
      <c r="BV75" s="138" t="n">
        <f aca="false">0</f>
        <v>0</v>
      </c>
      <c r="BW75" s="138" t="n">
        <f aca="false">0</f>
        <v>0</v>
      </c>
      <c r="BX75" s="138" t="n">
        <f aca="false">0</f>
        <v>0</v>
      </c>
      <c r="BY75" s="138" t="n">
        <f aca="false">0</f>
        <v>0</v>
      </c>
      <c r="BZ75" s="138" t="n">
        <f aca="false">0</f>
        <v>0</v>
      </c>
      <c r="CA75" s="138" t="n">
        <f aca="false">0</f>
        <v>0</v>
      </c>
      <c r="CB75" s="138" t="n">
        <f aca="false">0</f>
        <v>0</v>
      </c>
      <c r="CC75" s="138" t="n">
        <f aca="false">0</f>
        <v>0</v>
      </c>
      <c r="CD75" s="138" t="n">
        <f aca="false">0</f>
        <v>0</v>
      </c>
      <c r="CE75" s="138" t="n">
        <f aca="false">0</f>
        <v>0</v>
      </c>
      <c r="CF75" s="138" t="n">
        <f aca="false">0</f>
        <v>0</v>
      </c>
      <c r="CG75" s="138" t="n">
        <f aca="false">0</f>
        <v>0</v>
      </c>
      <c r="CH75" s="138" t="n">
        <f aca="false">0</f>
        <v>0</v>
      </c>
    </row>
    <row r="76" customFormat="false" ht="13.5" hidden="false" customHeight="true" outlineLevel="0" collapsed="false">
      <c r="A76" s="13" t="s">
        <v>754</v>
      </c>
      <c r="C76" s="138" t="n">
        <f aca="false">-C106</f>
        <v>-333.333333333333</v>
      </c>
      <c r="D76" s="138" t="n">
        <f aca="false">-D106</f>
        <v>-333.333333333333</v>
      </c>
      <c r="E76" s="138" t="n">
        <f aca="false">-E106</f>
        <v>-333.333333333333</v>
      </c>
      <c r="F76" s="138" t="n">
        <f aca="false">-F106</f>
        <v>-333.333333333333</v>
      </c>
      <c r="G76" s="138" t="n">
        <f aca="false">-G106</f>
        <v>-333.333333333333</v>
      </c>
      <c r="H76" s="138" t="n">
        <f aca="false">-H106</f>
        <v>-343.111703029026</v>
      </c>
      <c r="I76" s="138" t="n">
        <f aca="false">-I106</f>
        <v>-404.669258129</v>
      </c>
      <c r="J76" s="138" t="n">
        <f aca="false">-J106</f>
        <v>-489.512155180852</v>
      </c>
      <c r="K76" s="138" t="n">
        <f aca="false">-K106</f>
        <v>-586.439380483493</v>
      </c>
      <c r="L76" s="138" t="n">
        <f aca="false">-L106</f>
        <v>-683.366605786135</v>
      </c>
      <c r="M76" s="138" t="n">
        <f aca="false">-M106</f>
        <v>-760.948186010432</v>
      </c>
      <c r="N76" s="138" t="n">
        <f aca="false">-N106</f>
        <v>-852.758447995062</v>
      </c>
      <c r="O76" s="138" t="n">
        <f aca="false">-O106</f>
        <v>-840.024709979691</v>
      </c>
      <c r="P76" s="138" t="n">
        <f aca="false">-P106</f>
        <v>-926.339230333224</v>
      </c>
      <c r="Q76" s="138" t="n">
        <f aca="false">-Q106</f>
        <v>-1012.65375068676</v>
      </c>
      <c r="R76" s="138" t="n">
        <f aca="false">-R106</f>
        <v>-1098.96827104029</v>
      </c>
      <c r="S76" s="138" t="n">
        <f aca="false">-S106</f>
        <v>-731.440336325204</v>
      </c>
      <c r="T76" s="138" t="n">
        <f aca="false">-T106</f>
        <v>-1271.59731174736</v>
      </c>
      <c r="U76" s="138" t="n">
        <f aca="false">-U106</f>
        <v>-1294.79407199068</v>
      </c>
      <c r="V76" s="138" t="n">
        <f aca="false">-V106</f>
        <v>-1304.12265004137</v>
      </c>
      <c r="W76" s="138" t="n">
        <f aca="false">-W106</f>
        <v>-1367.83522809206</v>
      </c>
      <c r="X76" s="138" t="n">
        <f aca="false">-X106</f>
        <v>-1417.31912438242</v>
      </c>
      <c r="Y76" s="138" t="n">
        <f aca="false">-Y106</f>
        <v>-1466.80302067278</v>
      </c>
      <c r="Z76" s="138" t="n">
        <f aca="false">-Z106</f>
        <v>-1511.112224259</v>
      </c>
      <c r="AA76" s="138" t="n">
        <f aca="false">-AA106</f>
        <v>-3177.8382625119</v>
      </c>
      <c r="AB76" s="138" t="n">
        <f aca="false">-AB106</f>
        <v>-3216.59191054257</v>
      </c>
      <c r="AC76" s="138" t="n">
        <f aca="false">-AC106</f>
        <v>-3255.34555857324</v>
      </c>
      <c r="AD76" s="138" t="n">
        <f aca="false">-AD106</f>
        <v>-3294.09920660391</v>
      </c>
      <c r="AE76" s="138" t="n">
        <f aca="false">-AE106</f>
        <v>-2853.25496103251</v>
      </c>
      <c r="AF76" s="138" t="n">
        <f aca="false">-AF106</f>
        <v>-3371.60650266525</v>
      </c>
      <c r="AG76" s="138" t="n">
        <f aca="false">-AG106</f>
        <v>-3410.36015069592</v>
      </c>
      <c r="AH76" s="138" t="n">
        <f aca="false">-AH106</f>
        <v>-3401.5006067266</v>
      </c>
      <c r="AI76" s="138" t="n">
        <f aca="false">-AI106</f>
        <v>-3440.25425475727</v>
      </c>
      <c r="AJ76" s="138" t="n">
        <f aca="false">-AJ106</f>
        <v>-3479.00790278794</v>
      </c>
      <c r="AK76" s="138" t="n">
        <f aca="false">-AK106</f>
        <v>-3517.76155081861</v>
      </c>
      <c r="AL76" s="138" t="n">
        <f aca="false">-AL106</f>
        <v>-3556.51519884928</v>
      </c>
      <c r="AM76" s="138" t="n">
        <f aca="false">-AM106</f>
        <v>-3549.45112415995</v>
      </c>
      <c r="AN76" s="138" t="n">
        <f aca="false">-AN106</f>
        <v>-3588.20477219062</v>
      </c>
      <c r="AO76" s="138" t="n">
        <f aca="false">-AO106</f>
        <v>-3626.95842022129</v>
      </c>
      <c r="AP76" s="138" t="n">
        <f aca="false">-AP106</f>
        <v>-3665.71206825196</v>
      </c>
      <c r="AQ76" s="138" t="n">
        <f aca="false">-AQ106</f>
        <v>-3224.86782268057</v>
      </c>
      <c r="AR76" s="138" t="n">
        <f aca="false">-AR106</f>
        <v>-3743.21936431331</v>
      </c>
      <c r="AS76" s="138" t="n">
        <f aca="false">-AS106</f>
        <v>-3737.66380875775</v>
      </c>
      <c r="AT76" s="138" t="n">
        <f aca="false">-AT106</f>
        <v>-3732.1082532022</v>
      </c>
      <c r="AU76" s="138" t="n">
        <f aca="false">-AU106</f>
        <v>-3726.55269764664</v>
      </c>
      <c r="AV76" s="138" t="n">
        <f aca="false">-AV106</f>
        <v>-3720.99714209108</v>
      </c>
      <c r="AW76" s="138" t="n">
        <f aca="false">-AW106</f>
        <v>-3715.44158653553</v>
      </c>
      <c r="AX76" s="138" t="n">
        <f aca="false">-AX106</f>
        <v>-3709.88603097997</v>
      </c>
      <c r="AY76" s="138" t="n">
        <f aca="false">-AY106</f>
        <v>-3658.32622102282</v>
      </c>
      <c r="AZ76" s="138" t="n">
        <f aca="false">-AZ106</f>
        <v>-3652.77066546726</v>
      </c>
      <c r="BA76" s="138" t="n">
        <f aca="false">-BA106</f>
        <v>-3647.21510991171</v>
      </c>
      <c r="BB76" s="138" t="n">
        <f aca="false">-BB106</f>
        <v>-3641.65955435615</v>
      </c>
      <c r="BC76" s="138" t="n">
        <f aca="false">-BC106</f>
        <v>-3156.50610519853</v>
      </c>
      <c r="BD76" s="138" t="n">
        <f aca="false">-BD106</f>
        <v>-3630.54844324504</v>
      </c>
      <c r="BE76" s="138" t="n">
        <f aca="false">-BE106</f>
        <v>-3624.99288768948</v>
      </c>
      <c r="BF76" s="138" t="n">
        <f aca="false">-BF106</f>
        <v>-3619.43733213393</v>
      </c>
      <c r="BG76" s="138" t="n">
        <f aca="false">-BG106</f>
        <v>-3613.88177657837</v>
      </c>
      <c r="BH76" s="138" t="n">
        <f aca="false">-BH106</f>
        <v>-3608.32622102282</v>
      </c>
      <c r="BI76" s="138" t="n">
        <f aca="false">-BI106</f>
        <v>-3602.77066546726</v>
      </c>
      <c r="BJ76" s="138" t="n">
        <f aca="false">-BJ106</f>
        <v>-3597.21510991171</v>
      </c>
      <c r="BK76" s="138" t="n">
        <f aca="false">-BK106</f>
        <v>-3545.4631723225</v>
      </c>
      <c r="BL76" s="138" t="n">
        <f aca="false">-BL106</f>
        <v>-3539.90761676695</v>
      </c>
      <c r="BM76" s="138" t="n">
        <f aca="false">-BM106</f>
        <v>-3534.35206121139</v>
      </c>
      <c r="BN76" s="138" t="n">
        <f aca="false">-BN106</f>
        <v>-3528.79650565584</v>
      </c>
      <c r="BO76" s="138" t="n">
        <f aca="false">-BO106</f>
        <v>-3043.64305649821</v>
      </c>
      <c r="BP76" s="138" t="n">
        <f aca="false">-BP106</f>
        <v>-3517.68539454473</v>
      </c>
      <c r="BQ76" s="138" t="n">
        <f aca="false">-BQ106</f>
        <v>-3512.12983898917</v>
      </c>
      <c r="BR76" s="138" t="n">
        <f aca="false">-BR106</f>
        <v>-3506.57428343361</v>
      </c>
      <c r="BS76" s="138" t="n">
        <f aca="false">-BS106</f>
        <v>-3501.01872787806</v>
      </c>
      <c r="BT76" s="138" t="n">
        <f aca="false">-BT106</f>
        <v>-3495.4631723225</v>
      </c>
      <c r="BU76" s="138" t="n">
        <f aca="false">-BU106</f>
        <v>-3489.90761676695</v>
      </c>
      <c r="BV76" s="138" t="n">
        <f aca="false">-BV106</f>
        <v>-3484.35206121139</v>
      </c>
      <c r="BW76" s="138" t="n">
        <f aca="false">-BW106</f>
        <v>-3432.40223216118</v>
      </c>
      <c r="BX76" s="138" t="n">
        <f aca="false">-BX106</f>
        <v>-3426.84667660562</v>
      </c>
      <c r="BY76" s="138" t="n">
        <f aca="false">-BY106</f>
        <v>-3421.29112105007</v>
      </c>
      <c r="BZ76" s="138" t="n">
        <f aca="false">-BZ106</f>
        <v>-3415.73556549451</v>
      </c>
      <c r="CA76" s="138" t="n">
        <f aca="false">-CA106</f>
        <v>-2930.58211633689</v>
      </c>
      <c r="CB76" s="138" t="n">
        <f aca="false">-CB106</f>
        <v>-3404.6244543834</v>
      </c>
      <c r="CC76" s="138" t="n">
        <f aca="false">-CC106</f>
        <v>-3399.06889882785</v>
      </c>
      <c r="CD76" s="138" t="n">
        <f aca="false">-CD106</f>
        <v>-3393.51334327229</v>
      </c>
      <c r="CE76" s="138" t="n">
        <f aca="false">-CE106</f>
        <v>-3387.95778771673</v>
      </c>
      <c r="CF76" s="138" t="n">
        <f aca="false">-CF106</f>
        <v>-3382.40223216118</v>
      </c>
      <c r="CG76" s="138" t="n">
        <f aca="false">-CG106</f>
        <v>-3376.84667660562</v>
      </c>
      <c r="CH76" s="138" t="n">
        <f aca="false">-CH106</f>
        <v>-3371.29112105001</v>
      </c>
    </row>
    <row r="77" customFormat="false" ht="13.5" hidden="false" customHeight="true" outlineLevel="0" collapsed="false">
      <c r="A77" s="13" t="s">
        <v>755</v>
      </c>
      <c r="C77" s="138" t="n">
        <f aca="false">0</f>
        <v>0</v>
      </c>
      <c r="D77" s="138" t="n">
        <f aca="false">C81*Hipótesis!$D$71/12</f>
        <v>-0</v>
      </c>
      <c r="E77" s="138" t="n">
        <f aca="false">D81*Hipótesis!$D$71/12</f>
        <v>0</v>
      </c>
      <c r="F77" s="138" t="n">
        <f aca="false">E81*Hipótesis!$D$71/12</f>
        <v>0</v>
      </c>
      <c r="G77" s="138" t="n">
        <f aca="false">F81*Hipótesis!$D$71/12</f>
        <v>0</v>
      </c>
      <c r="H77" s="138" t="n">
        <f aca="false">G81*Hipótesis!$D$71/12</f>
        <v>0</v>
      </c>
      <c r="I77" s="138" t="n">
        <f aca="false">H81*Hipótesis!$D$71/12</f>
        <v>0</v>
      </c>
      <c r="J77" s="138" t="n">
        <f aca="false">I81*Hipótesis!$D$71/12</f>
        <v>33.4337883865426</v>
      </c>
      <c r="K77" s="138" t="n">
        <f aca="false">J81*Hipótesis!$D$71/12</f>
        <v>46.061133825972</v>
      </c>
      <c r="L77" s="138" t="n">
        <f aca="false">K81*Hipótesis!$D$71/12</f>
        <v>35.1677401615365</v>
      </c>
      <c r="M77" s="138" t="n">
        <f aca="false">L81*Hipótesis!$D$71/12</f>
        <v>0.277431892591903</v>
      </c>
      <c r="N77" s="138" t="n">
        <f aca="false">M81*Hipótesis!$D$71/12</f>
        <v>0</v>
      </c>
      <c r="O77" s="138" t="n">
        <f aca="false">N81*Hipótesis!$D$71/12</f>
        <v>0</v>
      </c>
      <c r="P77" s="138" t="n">
        <f aca="false">O81*Hipótesis!$D$71/12</f>
        <v>0</v>
      </c>
      <c r="Q77" s="138" t="n">
        <f aca="false">P81*Hipótesis!$D$71/12</f>
        <v>0</v>
      </c>
      <c r="R77" s="138" t="n">
        <f aca="false">Q81*Hipótesis!$D$71/12</f>
        <v>0</v>
      </c>
      <c r="S77" s="138" t="n">
        <f aca="false">R81*Hipótesis!$D$71/12</f>
        <v>0</v>
      </c>
      <c r="T77" s="138" t="n">
        <f aca="false">S81*Hipótesis!$D$71/12</f>
        <v>0</v>
      </c>
      <c r="U77" s="138" t="n">
        <f aca="false">T81*Hipótesis!$D$71/12</f>
        <v>0</v>
      </c>
      <c r="V77" s="138" t="n">
        <f aca="false">U81*Hipótesis!$D$71/12</f>
        <v>0</v>
      </c>
      <c r="W77" s="138" t="n">
        <f aca="false">V81*Hipótesis!$D$71/12</f>
        <v>0</v>
      </c>
      <c r="X77" s="138" t="n">
        <f aca="false">W81*Hipótesis!$D$71/12</f>
        <v>0</v>
      </c>
      <c r="Y77" s="138" t="n">
        <f aca="false">X81*Hipótesis!$D$71/12</f>
        <v>0</v>
      </c>
      <c r="Z77" s="138" t="n">
        <f aca="false">Y81*Hipótesis!$D$71/12</f>
        <v>0</v>
      </c>
      <c r="AA77" s="138" t="n">
        <f aca="false">Z81*Hipótesis!$D$71/12</f>
        <v>0</v>
      </c>
      <c r="AB77" s="138" t="n">
        <f aca="false">AA81*Hipótesis!$D$71/12</f>
        <v>0</v>
      </c>
      <c r="AC77" s="138" t="n">
        <f aca="false">AB81*Hipótesis!$D$71/12</f>
        <v>0</v>
      </c>
      <c r="AD77" s="138" t="n">
        <f aca="false">AC81*Hipótesis!$D$71/12</f>
        <v>0</v>
      </c>
      <c r="AE77" s="138" t="n">
        <f aca="false">AD81*Hipótesis!$D$71/12</f>
        <v>0</v>
      </c>
      <c r="AF77" s="138" t="n">
        <f aca="false">AE81*Hipótesis!$D$71/12</f>
        <v>0</v>
      </c>
      <c r="AG77" s="138" t="n">
        <f aca="false">AF81*Hipótesis!$D$71/12</f>
        <v>0</v>
      </c>
      <c r="AH77" s="138" t="n">
        <f aca="false">AG81*Hipótesis!$D$71/12</f>
        <v>0</v>
      </c>
      <c r="AI77" s="138" t="n">
        <f aca="false">AH81*Hipótesis!$D$71/12</f>
        <v>0</v>
      </c>
      <c r="AJ77" s="138" t="n">
        <f aca="false">AI81*Hipótesis!$D$71/12</f>
        <v>0</v>
      </c>
      <c r="AK77" s="138" t="n">
        <f aca="false">AJ81*Hipótesis!$D$71/12</f>
        <v>0</v>
      </c>
      <c r="AL77" s="138" t="n">
        <f aca="false">AK81*Hipótesis!$D$71/12</f>
        <v>0</v>
      </c>
      <c r="AM77" s="138" t="n">
        <f aca="false">AL81*Hipótesis!$D$71/12</f>
        <v>0</v>
      </c>
      <c r="AN77" s="138" t="n">
        <f aca="false">AM81*Hipótesis!$D$71/12</f>
        <v>0</v>
      </c>
      <c r="AO77" s="138" t="n">
        <f aca="false">AN81*Hipótesis!$D$71/12</f>
        <v>0</v>
      </c>
      <c r="AP77" s="138" t="n">
        <f aca="false">AO81*Hipótesis!$D$71/12</f>
        <v>0</v>
      </c>
      <c r="AQ77" s="138" t="n">
        <f aca="false">AP81*Hipótesis!$D$71/12</f>
        <v>0</v>
      </c>
      <c r="AR77" s="138" t="n">
        <f aca="false">AQ81*Hipótesis!$D$71/12</f>
        <v>0</v>
      </c>
      <c r="AS77" s="138" t="n">
        <f aca="false">AR81*Hipótesis!$D$71/12</f>
        <v>0</v>
      </c>
      <c r="AT77" s="138" t="n">
        <f aca="false">AS81*Hipótesis!$D$71/12</f>
        <v>0</v>
      </c>
      <c r="AU77" s="138" t="n">
        <f aca="false">AT81*Hipótesis!$D$71/12</f>
        <v>0</v>
      </c>
      <c r="AV77" s="138" t="n">
        <f aca="false">AU81*Hipótesis!$D$71/12</f>
        <v>0</v>
      </c>
      <c r="AW77" s="138" t="n">
        <f aca="false">AV81*Hipótesis!$D$71/12</f>
        <v>0</v>
      </c>
      <c r="AX77" s="138" t="n">
        <f aca="false">AW81*Hipótesis!$D$71/12</f>
        <v>0</v>
      </c>
      <c r="AY77" s="138" t="n">
        <f aca="false">AX81*Hipótesis!$D$71/12</f>
        <v>0</v>
      </c>
      <c r="AZ77" s="138" t="n">
        <f aca="false">AY81*Hipótesis!$D$71/12</f>
        <v>0</v>
      </c>
      <c r="BA77" s="138" t="n">
        <f aca="false">AZ81*Hipótesis!$D$71/12</f>
        <v>0</v>
      </c>
      <c r="BB77" s="138" t="n">
        <f aca="false">BA81*Hipótesis!$D$71/12</f>
        <v>0</v>
      </c>
      <c r="BC77" s="138" t="n">
        <f aca="false">BB81*Hipótesis!$D$71/12</f>
        <v>0</v>
      </c>
      <c r="BD77" s="138" t="n">
        <f aca="false">BC81*Hipótesis!$D$71/12</f>
        <v>0</v>
      </c>
      <c r="BE77" s="138" t="n">
        <f aca="false">BD81*Hipótesis!$D$71/12</f>
        <v>0</v>
      </c>
      <c r="BF77" s="138" t="n">
        <f aca="false">BE81*Hipótesis!$D$71/12</f>
        <v>0</v>
      </c>
      <c r="BG77" s="138" t="n">
        <f aca="false">BF81*Hipótesis!$D$71/12</f>
        <v>0</v>
      </c>
      <c r="BH77" s="138" t="n">
        <f aca="false">BG81*Hipótesis!$D$71/12</f>
        <v>0</v>
      </c>
      <c r="BI77" s="138" t="n">
        <f aca="false">BH81*Hipótesis!$D$71/12</f>
        <v>0</v>
      </c>
      <c r="BJ77" s="138" t="n">
        <f aca="false">BI81*Hipótesis!$D$71/12</f>
        <v>0</v>
      </c>
      <c r="BK77" s="138" t="n">
        <f aca="false">BJ81*Hipótesis!$D$71/12</f>
        <v>0</v>
      </c>
      <c r="BL77" s="138" t="n">
        <f aca="false">BK81*Hipótesis!$D$71/12</f>
        <v>0</v>
      </c>
      <c r="BM77" s="138" t="n">
        <f aca="false">BL81*Hipótesis!$D$71/12</f>
        <v>0</v>
      </c>
      <c r="BN77" s="138" t="n">
        <f aca="false">BM81*Hipótesis!$D$71/12</f>
        <v>0</v>
      </c>
      <c r="BO77" s="138" t="n">
        <f aca="false">BN81*Hipótesis!$D$71/12</f>
        <v>0</v>
      </c>
      <c r="BP77" s="138" t="n">
        <f aca="false">BO81*Hipótesis!$D$71/12</f>
        <v>0</v>
      </c>
      <c r="BQ77" s="138" t="n">
        <f aca="false">BP81*Hipótesis!$D$71/12</f>
        <v>0</v>
      </c>
      <c r="BR77" s="138" t="n">
        <f aca="false">BQ81*Hipótesis!$D$71/12</f>
        <v>0</v>
      </c>
      <c r="BS77" s="138" t="n">
        <f aca="false">BR81*Hipótesis!$D$71/12</f>
        <v>0</v>
      </c>
      <c r="BT77" s="138" t="n">
        <f aca="false">BS81*Hipótesis!$D$71/12</f>
        <v>0</v>
      </c>
      <c r="BU77" s="138" t="n">
        <f aca="false">BT81*Hipótesis!$D$71/12</f>
        <v>0</v>
      </c>
      <c r="BV77" s="138" t="n">
        <f aca="false">BU81*Hipótesis!$D$71/12</f>
        <v>0</v>
      </c>
      <c r="BW77" s="138" t="n">
        <f aca="false">BV81*Hipótesis!$D$71/12</f>
        <v>0</v>
      </c>
      <c r="BX77" s="138" t="n">
        <f aca="false">BW81*Hipótesis!$D$71/12</f>
        <v>0</v>
      </c>
      <c r="BY77" s="138" t="n">
        <f aca="false">BX81*Hipótesis!$D$71/12</f>
        <v>0</v>
      </c>
      <c r="BZ77" s="138" t="n">
        <f aca="false">BY81*Hipótesis!$D$71/12</f>
        <v>0</v>
      </c>
      <c r="CA77" s="138" t="n">
        <f aca="false">BZ81*Hipótesis!$D$71/12</f>
        <v>0</v>
      </c>
      <c r="CB77" s="138" t="n">
        <f aca="false">CA81*Hipótesis!$D$71/12</f>
        <v>0</v>
      </c>
      <c r="CC77" s="138" t="n">
        <f aca="false">CB81*Hipótesis!$D$71/12</f>
        <v>0</v>
      </c>
      <c r="CD77" s="138" t="n">
        <f aca="false">CC81*Hipótesis!$D$71/12</f>
        <v>0</v>
      </c>
      <c r="CE77" s="138" t="n">
        <f aca="false">CD81*Hipótesis!$D$71/12</f>
        <v>0</v>
      </c>
      <c r="CF77" s="138" t="n">
        <f aca="false">CE81*Hipótesis!$D$71/12</f>
        <v>0</v>
      </c>
      <c r="CG77" s="138" t="n">
        <f aca="false">CF81*Hipótesis!$D$71/12</f>
        <v>0</v>
      </c>
      <c r="CH77" s="138" t="n">
        <f aca="false">CG81*Hipótesis!$D$71/12</f>
        <v>0</v>
      </c>
    </row>
    <row r="78" customFormat="false" ht="13.5" hidden="false" customHeight="true" outlineLevel="0" collapsed="false">
      <c r="A78" s="30" t="s">
        <v>756</v>
      </c>
      <c r="C78" s="138" t="n">
        <f aca="false">C74+C75+C76-C77</f>
        <v>139476.430459888</v>
      </c>
      <c r="D78" s="138" t="n">
        <f aca="false">D74+D75+D76-D77</f>
        <v>-32311.2497560864</v>
      </c>
      <c r="E78" s="138" t="n">
        <f aca="false">E74+E75+E76-E77</f>
        <v>-23673.3642785929</v>
      </c>
      <c r="F78" s="138" t="n">
        <f aca="false">F74+F75+F76-F77</f>
        <v>-19579.013463991</v>
      </c>
      <c r="G78" s="138" t="n">
        <f aca="false">G74+G75+G76-G77</f>
        <v>-15414.3991115928</v>
      </c>
      <c r="H78" s="138" t="n">
        <f aca="false">H74+H75+H76-H77</f>
        <v>-18495.4018315908</v>
      </c>
      <c r="I78" s="138" t="n">
        <f aca="false">I74+I75+I76-I77</f>
        <v>-7297.64675691631</v>
      </c>
      <c r="J78" s="138" t="n">
        <f aca="false">J74+J75+J76-J77</f>
        <v>-2755.0571867846</v>
      </c>
      <c r="K78" s="138" t="n">
        <f aca="false">K74+K75+K76-K77</f>
        <v>2376.74043587686</v>
      </c>
      <c r="L78" s="138" t="n">
        <f aca="false">L74+L75+L76-L77</f>
        <v>7612.43089504245</v>
      </c>
      <c r="M78" s="138" t="n">
        <f aca="false">M74+M75+M76-M77</f>
        <v>12194.7559725584</v>
      </c>
      <c r="N78" s="138" t="n">
        <f aca="false">N74+N75+N76-N77</f>
        <v>15909.1240749894</v>
      </c>
      <c r="O78" s="138" t="n">
        <f aca="false">O74+O75+O76-O77</f>
        <v>17890.8771954114</v>
      </c>
      <c r="P78" s="138" t="n">
        <f aca="false">P74+P75+P76-P77</f>
        <v>21389.1926083176</v>
      </c>
      <c r="Q78" s="138" t="n">
        <f aca="false">Q74+Q75+Q76-Q77</f>
        <v>24868.0938773826</v>
      </c>
      <c r="R78" s="138" t="n">
        <f aca="false">R74+R75+R76-R77</f>
        <v>28346.9951464476</v>
      </c>
      <c r="S78" s="138" t="n">
        <f aca="false">S74+S75+S76-S77</f>
        <v>37913.926371678</v>
      </c>
      <c r="T78" s="138" t="n">
        <f aca="false">T74+T75+T76-T77</f>
        <v>10893.4037050625</v>
      </c>
      <c r="U78" s="138" t="n">
        <f aca="false">U74+U75+U76-U77</f>
        <v>37817.9019241321</v>
      </c>
      <c r="V78" s="138" t="n">
        <f aca="false">V74+V75+V76-V77</f>
        <v>38119.9600219689</v>
      </c>
      <c r="W78" s="138" t="n">
        <f aca="false">W74+W75+W76-W77</f>
        <v>40687.1117198058</v>
      </c>
      <c r="X78" s="138" t="n">
        <f aca="false">X74+X75+X76-X77</f>
        <v>42668.7955562526</v>
      </c>
      <c r="Y78" s="138" t="n">
        <f aca="false">Y74+Y75+Y76-Y77</f>
        <v>44664.4009575998</v>
      </c>
      <c r="Z78" s="138" t="n">
        <f aca="false">Z74+Z75+Z76-Z77</f>
        <v>46438.1680134222</v>
      </c>
      <c r="AA78" s="138" t="n">
        <f aca="false">AA74+AA75+AA76-AA77</f>
        <v>44716.4445257381</v>
      </c>
      <c r="AB78" s="138" t="n">
        <f aca="false">AB74+AB75+AB76-AB77</f>
        <v>46509.1154297428</v>
      </c>
      <c r="AC78" s="138" t="n">
        <f aca="false">AC74+AC75+AC76-AC77</f>
        <v>48301.7863337476</v>
      </c>
      <c r="AD78" s="138" t="n">
        <f aca="false">AD74+AD75+AD76-AD77</f>
        <v>50094.4572377524</v>
      </c>
      <c r="AE78" s="138" t="n">
        <f aca="false">AE74+AE75+AE76-AE77</f>
        <v>58372.4775071088</v>
      </c>
      <c r="AF78" s="138" t="n">
        <f aca="false">AF74+AF75+AF76-AF77</f>
        <v>27832.4407145107</v>
      </c>
      <c r="AG78" s="138" t="n">
        <f aca="false">AG74+AG75+AG76-AG77</f>
        <v>55472.4699497667</v>
      </c>
      <c r="AH78" s="138" t="n">
        <f aca="false">AH74+AH75+AH76-AH77</f>
        <v>55282.0514069715</v>
      </c>
      <c r="AI78" s="138" t="n">
        <f aca="false">AI74+AI75+AI76-AI77</f>
        <v>57074.7223109762</v>
      </c>
      <c r="AJ78" s="138" t="n">
        <f aca="false">AJ74+AJ75+AJ76-AJ77</f>
        <v>58867.393214981</v>
      </c>
      <c r="AK78" s="138" t="n">
        <f aca="false">AK74+AK75+AK76-AK77</f>
        <v>60660.0641189858</v>
      </c>
      <c r="AL78" s="138" t="n">
        <f aca="false">AL74+AL75+AL76-AL77</f>
        <v>62452.7350229906</v>
      </c>
      <c r="AM78" s="138" t="n">
        <f aca="false">AM74+AM75+AM76-AM77</f>
        <v>54634.5357609036</v>
      </c>
      <c r="AN78" s="138" t="n">
        <f aca="false">AN74+AN75+AN76-AN77</f>
        <v>56210.3624552412</v>
      </c>
      <c r="AO78" s="138" t="n">
        <f aca="false">AO74+AO75+AO76-AO77</f>
        <v>57786.1891495789</v>
      </c>
      <c r="AP78" s="138" t="n">
        <f aca="false">AP74+AP75+AP76-AP77</f>
        <v>59362.0158439165</v>
      </c>
      <c r="AQ78" s="138" t="n">
        <f aca="false">AQ74+AQ75+AQ76-AQ77</f>
        <v>69773.2215822558</v>
      </c>
      <c r="AR78" s="138" t="n">
        <f aca="false">AR74+AR75+AR76-AR77</f>
        <v>36666.3109013404</v>
      </c>
      <c r="AS78" s="138" t="n">
        <f aca="false">AS74+AS75+AS76-AS77</f>
        <v>62825.469996233</v>
      </c>
      <c r="AT78" s="138" t="n">
        <f aca="false">AT74+AT75+AT76-AT77</f>
        <v>62829.6366628997</v>
      </c>
      <c r="AU78" s="138" t="n">
        <f aca="false">AU74+AU75+AU76-AU77</f>
        <v>62833.8033295664</v>
      </c>
      <c r="AV78" s="138" t="n">
        <f aca="false">AV74+AV75+AV76-AV77</f>
        <v>62837.9699962331</v>
      </c>
      <c r="AW78" s="138" t="n">
        <f aca="false">AW74+AW75+AW76-AW77</f>
        <v>62842.1366628997</v>
      </c>
      <c r="AX78" s="138" t="n">
        <f aca="false">AX74+AX75+AX76-AX77</f>
        <v>62846.3033295664</v>
      </c>
      <c r="AY78" s="138" t="n">
        <f aca="false">AY74+AY75+AY76-AY77</f>
        <v>61159.8136469742</v>
      </c>
      <c r="AZ78" s="138" t="n">
        <f aca="false">AZ74+AZ75+AZ76-AZ77</f>
        <v>61163.9803136409</v>
      </c>
      <c r="BA78" s="138" t="n">
        <f aca="false">BA74+BA75+BA76-BA77</f>
        <v>61168.1469803076</v>
      </c>
      <c r="BB78" s="138" t="n">
        <f aca="false">BB74+BB75+BB76-BB77</f>
        <v>61172.3136469742</v>
      </c>
      <c r="BC78" s="138" t="n">
        <f aca="false">BC74+BC75+BC76-BC77</f>
        <v>70011.8593576427</v>
      </c>
      <c r="BD78" s="138" t="n">
        <f aca="false">BD74+BD75+BD76-BD77</f>
        <v>35333.2886490563</v>
      </c>
      <c r="BE78" s="138" t="n">
        <f aca="false">BE74+BE75+BE76-BE77</f>
        <v>61184.8136469742</v>
      </c>
      <c r="BF78" s="138" t="n">
        <f aca="false">BF74+BF75+BF76-BF77</f>
        <v>61188.9803136409</v>
      </c>
      <c r="BG78" s="138" t="n">
        <f aca="false">BG74+BG75+BG76-BG77</f>
        <v>61193.1469803076</v>
      </c>
      <c r="BH78" s="138" t="n">
        <f aca="false">BH74+BH75+BH76-BH77</f>
        <v>61197.3136469742</v>
      </c>
      <c r="BI78" s="138" t="n">
        <f aca="false">BI74+BI75+BI76-BI77</f>
        <v>61201.4803136409</v>
      </c>
      <c r="BJ78" s="138" t="n">
        <f aca="false">BJ74+BJ75+BJ76-BJ77</f>
        <v>61205.6469803076</v>
      </c>
      <c r="BK78" s="138" t="n">
        <f aca="false">BK74+BK75+BK76-BK77</f>
        <v>59512.0966072377</v>
      </c>
      <c r="BL78" s="138" t="n">
        <f aca="false">BL74+BL75+BL76-BL77</f>
        <v>59516.2632739043</v>
      </c>
      <c r="BM78" s="138" t="n">
        <f aca="false">BM74+BM75+BM76-BM77</f>
        <v>59520.429940571</v>
      </c>
      <c r="BN78" s="138" t="n">
        <f aca="false">BN74+BN75+BN76-BN77</f>
        <v>59524.5966072377</v>
      </c>
      <c r="BO78" s="138" t="n">
        <f aca="false">BO74+BO75+BO76-BO77</f>
        <v>68364.1423179061</v>
      </c>
      <c r="BP78" s="138" t="n">
        <f aca="false">BP74+BP75+BP76-BP77</f>
        <v>33685.5716093198</v>
      </c>
      <c r="BQ78" s="138" t="n">
        <f aca="false">BQ74+BQ75+BQ76-BQ77</f>
        <v>59537.0966072377</v>
      </c>
      <c r="BR78" s="138" t="n">
        <f aca="false">BR74+BR75+BR76-BR77</f>
        <v>59541.2632739043</v>
      </c>
      <c r="BS78" s="138" t="n">
        <f aca="false">BS74+BS75+BS76-BS77</f>
        <v>59545.429940571</v>
      </c>
      <c r="BT78" s="138" t="n">
        <f aca="false">BT74+BT75+BT76-BT77</f>
        <v>59549.5966072377</v>
      </c>
      <c r="BU78" s="138" t="n">
        <f aca="false">BU74+BU75+BU76-BU77</f>
        <v>59553.7632739043</v>
      </c>
      <c r="BV78" s="138" t="n">
        <f aca="false">BV74+BV75+BV76-BV77</f>
        <v>59557.929940571</v>
      </c>
      <c r="BW78" s="138" t="n">
        <f aca="false">BW74+BW75+BW76-BW77</f>
        <v>57857.107056309</v>
      </c>
      <c r="BX78" s="138" t="n">
        <f aca="false">BX74+BX75+BX76-BX77</f>
        <v>57861.2737229757</v>
      </c>
      <c r="BY78" s="138" t="n">
        <f aca="false">BY74+BY75+BY76-BY77</f>
        <v>57865.4403896424</v>
      </c>
      <c r="BZ78" s="138" t="n">
        <f aca="false">BZ74+BZ75+BZ76-BZ77</f>
        <v>57869.607056309</v>
      </c>
      <c r="CA78" s="138" t="n">
        <f aca="false">CA74+CA75+CA76-CA77</f>
        <v>66709.1527669774</v>
      </c>
      <c r="CB78" s="138" t="n">
        <f aca="false">CB74+CB75+CB76-CB77</f>
        <v>32030.5820583911</v>
      </c>
      <c r="CC78" s="138" t="n">
        <f aca="false">CC74+CC75+CC76-CC77</f>
        <v>57882.107056309</v>
      </c>
      <c r="CD78" s="138" t="n">
        <f aca="false">CD74+CD75+CD76-CD77</f>
        <v>57886.2737229757</v>
      </c>
      <c r="CE78" s="138" t="n">
        <f aca="false">CE74+CE75+CE76-CE77</f>
        <v>57890.4403896424</v>
      </c>
      <c r="CF78" s="138" t="n">
        <f aca="false">CF74+CF75+CF76-CF77</f>
        <v>57894.607056309</v>
      </c>
      <c r="CG78" s="138" t="n">
        <f aca="false">CG74+CG75+CG76-CG77</f>
        <v>57898.7737229757</v>
      </c>
      <c r="CH78" s="138" t="n">
        <f aca="false">CH74+CH75+CH76-CH77</f>
        <v>57902.9403896424</v>
      </c>
    </row>
    <row r="79" customFormat="false" ht="13.5" hidden="false" customHeight="true" outlineLevel="0" collapsed="false">
      <c r="A79" s="13" t="s">
        <v>757</v>
      </c>
      <c r="C79" s="138" t="n">
        <f aca="false">C78</f>
        <v>139476.430459888</v>
      </c>
      <c r="D79" s="138" t="n">
        <f aca="false">C86+D78</f>
        <v>107165.180703802</v>
      </c>
      <c r="E79" s="138" t="n">
        <f aca="false">D86+E78</f>
        <v>83491.8164252088</v>
      </c>
      <c r="F79" s="138" t="n">
        <f aca="false">E86+F78</f>
        <v>63912.8029612178</v>
      </c>
      <c r="G79" s="138" t="n">
        <f aca="false">F86+G78</f>
        <v>48498.403849625</v>
      </c>
      <c r="H79" s="138" t="n">
        <f aca="false">G86+H78</f>
        <v>30003.0020180343</v>
      </c>
      <c r="I79" s="138" t="n">
        <f aca="false">H86+I78</f>
        <v>22705.355261118</v>
      </c>
      <c r="J79" s="138" t="n">
        <f aca="false">I86+J78</f>
        <v>27244.9428132154</v>
      </c>
      <c r="K79" s="138" t="n">
        <f aca="false">J86+K78</f>
        <v>32376.7404358769</v>
      </c>
      <c r="L79" s="138" t="n">
        <f aca="false">K86+L78</f>
        <v>37612.4308950424</v>
      </c>
      <c r="M79" s="138" t="n">
        <f aca="false">L86+M78</f>
        <v>42194.7559725584</v>
      </c>
      <c r="N79" s="138" t="n">
        <f aca="false">M86+N78</f>
        <v>58043.3494528005</v>
      </c>
      <c r="O79" s="138" t="n">
        <f aca="false">N86+O78</f>
        <v>75934.2266482119</v>
      </c>
      <c r="P79" s="138" t="n">
        <f aca="false">O86+P78</f>
        <v>97323.4192565295</v>
      </c>
      <c r="Q79" s="138" t="n">
        <f aca="false">P86+Q78</f>
        <v>122191.513133912</v>
      </c>
      <c r="R79" s="138" t="n">
        <f aca="false">Q86+R78</f>
        <v>150538.50828036</v>
      </c>
      <c r="S79" s="138" t="n">
        <f aca="false">R86+S78</f>
        <v>188452.434652038</v>
      </c>
      <c r="T79" s="138" t="n">
        <f aca="false">S86+T78</f>
        <v>199345.8383571</v>
      </c>
      <c r="U79" s="138" t="n">
        <f aca="false">T86+U78</f>
        <v>237163.740281232</v>
      </c>
      <c r="V79" s="138" t="n">
        <f aca="false">U86+V78</f>
        <v>275283.700303201</v>
      </c>
      <c r="W79" s="138" t="n">
        <f aca="false">V86+W78</f>
        <v>315970.812023007</v>
      </c>
      <c r="X79" s="138" t="n">
        <f aca="false">W86+X78</f>
        <v>358639.60757926</v>
      </c>
      <c r="Y79" s="138" t="n">
        <f aca="false">X86+Y78</f>
        <v>403304.008536859</v>
      </c>
      <c r="Z79" s="138" t="n">
        <f aca="false">Y86+Z78</f>
        <v>449742.176550282</v>
      </c>
      <c r="AA79" s="138" t="n">
        <f aca="false">Z86+AA78</f>
        <v>494458.62107602</v>
      </c>
      <c r="AB79" s="138" t="n">
        <f aca="false">AA86+AB78</f>
        <v>540967.736505762</v>
      </c>
      <c r="AC79" s="138" t="n">
        <f aca="false">AB86+AC78</f>
        <v>589269.52283951</v>
      </c>
      <c r="AD79" s="138" t="n">
        <f aca="false">AC86+AD78</f>
        <v>639363.980077263</v>
      </c>
      <c r="AE79" s="138" t="n">
        <f aca="false">AD86+AE78</f>
        <v>697736.457584371</v>
      </c>
      <c r="AF79" s="138" t="n">
        <f aca="false">AE86+AF78</f>
        <v>725568.898298882</v>
      </c>
      <c r="AG79" s="138" t="n">
        <f aca="false">AF86+AG78</f>
        <v>781041.368248649</v>
      </c>
      <c r="AH79" s="138" t="n">
        <f aca="false">AG86+AH78</f>
        <v>836323.41965562</v>
      </c>
      <c r="AI79" s="138" t="n">
        <f aca="false">AH86+AI78</f>
        <v>893398.141966597</v>
      </c>
      <c r="AJ79" s="138" t="n">
        <f aca="false">AI86+AJ78</f>
        <v>952265.535181578</v>
      </c>
      <c r="AK79" s="138" t="n">
        <f aca="false">AJ86+AK78</f>
        <v>1012925.59930056</v>
      </c>
      <c r="AL79" s="138" t="n">
        <f aca="false">AK86+AL78</f>
        <v>1075378.33432355</v>
      </c>
      <c r="AM79" s="138" t="n">
        <f aca="false">AL86+AM78</f>
        <v>1130012.87008446</v>
      </c>
      <c r="AN79" s="138" t="n">
        <f aca="false">AM86+AN78</f>
        <v>1186223.2325397</v>
      </c>
      <c r="AO79" s="138" t="n">
        <f aca="false">AN86+AO78</f>
        <v>1244009.42168928</v>
      </c>
      <c r="AP79" s="138" t="n">
        <f aca="false">AO86+AP78</f>
        <v>1303371.43753319</v>
      </c>
      <c r="AQ79" s="138" t="n">
        <f aca="false">AP86+AQ78</f>
        <v>1373144.65911545</v>
      </c>
      <c r="AR79" s="138" t="n">
        <f aca="false">AQ86+AR78</f>
        <v>1409810.97001679</v>
      </c>
      <c r="AS79" s="138" t="n">
        <f aca="false">AR86+AS78</f>
        <v>1472636.44001302</v>
      </c>
      <c r="AT79" s="138" t="n">
        <f aca="false">AS86+AT78</f>
        <v>1535466.07667592</v>
      </c>
      <c r="AU79" s="138" t="n">
        <f aca="false">AT86+AU78</f>
        <v>1598299.88000549</v>
      </c>
      <c r="AV79" s="138" t="n">
        <f aca="false">AU86+AV78</f>
        <v>1661137.85000172</v>
      </c>
      <c r="AW79" s="138" t="n">
        <f aca="false">AV86+AW78</f>
        <v>1723979.98666462</v>
      </c>
      <c r="AX79" s="138" t="n">
        <f aca="false">AW86+AX78</f>
        <v>1786826.28999419</v>
      </c>
      <c r="AY79" s="138" t="n">
        <f aca="false">AX86+AY78</f>
        <v>1548434.99183911</v>
      </c>
      <c r="AZ79" s="138" t="n">
        <f aca="false">AY86+AZ78</f>
        <v>1609598.97215275</v>
      </c>
      <c r="BA79" s="138" t="n">
        <f aca="false">AZ86+BA78</f>
        <v>1670767.11913306</v>
      </c>
      <c r="BB79" s="138" t="n">
        <f aca="false">BA86+BB78</f>
        <v>1731939.43278003</v>
      </c>
      <c r="BC79" s="138" t="n">
        <f aca="false">BB86+BC78</f>
        <v>1801951.29213768</v>
      </c>
      <c r="BD79" s="138" t="n">
        <f aca="false">BC86+BD78</f>
        <v>1837284.58078673</v>
      </c>
      <c r="BE79" s="138" t="n">
        <f aca="false">BD86+BE78</f>
        <v>1898469.39443371</v>
      </c>
      <c r="BF79" s="138" t="n">
        <f aca="false">BE86+BF78</f>
        <v>1959658.37474735</v>
      </c>
      <c r="BG79" s="138" t="n">
        <f aca="false">BF86+BG78</f>
        <v>2020851.52172766</v>
      </c>
      <c r="BH79" s="138" t="n">
        <f aca="false">BG86+BH78</f>
        <v>2082048.83537463</v>
      </c>
      <c r="BI79" s="138" t="n">
        <f aca="false">BH86+BI78</f>
        <v>2143250.31568827</v>
      </c>
      <c r="BJ79" s="138" t="n">
        <f aca="false">BI86+BJ78</f>
        <v>2204455.96266858</v>
      </c>
      <c r="BK79" s="138" t="n">
        <f aca="false">BJ86+BK78</f>
        <v>1962559.10851519</v>
      </c>
      <c r="BL79" s="138" t="n">
        <f aca="false">BK86+BL78</f>
        <v>2022075.37178909</v>
      </c>
      <c r="BM79" s="138" t="n">
        <f aca="false">BL86+BM78</f>
        <v>2081595.80172966</v>
      </c>
      <c r="BN79" s="138" t="n">
        <f aca="false">BM86+BN78</f>
        <v>2141120.3983369</v>
      </c>
      <c r="BO79" s="138" t="n">
        <f aca="false">BN86+BO78</f>
        <v>2209484.5406548</v>
      </c>
      <c r="BP79" s="138" t="n">
        <f aca="false">BO86+BP78</f>
        <v>2243170.11226412</v>
      </c>
      <c r="BQ79" s="138" t="n">
        <f aca="false">BP86+BQ78</f>
        <v>2302707.20887136</v>
      </c>
      <c r="BR79" s="138" t="n">
        <f aca="false">BQ86+BR78</f>
        <v>2362248.47214527</v>
      </c>
      <c r="BS79" s="138" t="n">
        <f aca="false">BR86+BS78</f>
        <v>2421793.90208584</v>
      </c>
      <c r="BT79" s="138" t="n">
        <f aca="false">BS86+BT78</f>
        <v>2481343.49869307</v>
      </c>
      <c r="BU79" s="138" t="n">
        <f aca="false">BT86+BU78</f>
        <v>2540897.26196698</v>
      </c>
      <c r="BV79" s="138" t="n">
        <f aca="false">BU86+BV78</f>
        <v>2600455.19190755</v>
      </c>
      <c r="BW79" s="138" t="n">
        <f aca="false">BV86+BW78</f>
        <v>2364812.38999396</v>
      </c>
      <c r="BX79" s="138" t="n">
        <f aca="false">BW86+BX78</f>
        <v>2422673.66371694</v>
      </c>
      <c r="BY79" s="138" t="n">
        <f aca="false">BX86+BY78</f>
        <v>2480539.10410658</v>
      </c>
      <c r="BZ79" s="138" t="n">
        <f aca="false">BY86+BZ78</f>
        <v>2538408.71116289</v>
      </c>
      <c r="CA79" s="138" t="n">
        <f aca="false">BZ86+CA78</f>
        <v>2605117.86392987</v>
      </c>
      <c r="CB79" s="138" t="n">
        <f aca="false">CA86+CB78</f>
        <v>2637148.44598826</v>
      </c>
      <c r="CC79" s="138" t="n">
        <f aca="false">CB86+CC78</f>
        <v>2695030.55304457</v>
      </c>
      <c r="CD79" s="138" t="n">
        <f aca="false">CC86+CD78</f>
        <v>2752916.82676754</v>
      </c>
      <c r="CE79" s="138" t="n">
        <f aca="false">CD86+CE78</f>
        <v>2810807.26715719</v>
      </c>
      <c r="CF79" s="138" t="n">
        <f aca="false">CE86+CF78</f>
        <v>2868701.8742135</v>
      </c>
      <c r="CG79" s="138" t="n">
        <f aca="false">CF86+CG78</f>
        <v>2926600.64793647</v>
      </c>
      <c r="CH79" s="138" t="n">
        <f aca="false">CG86+CH78</f>
        <v>2984503.58832611</v>
      </c>
    </row>
    <row r="80" customFormat="false" ht="13.5" hidden="false" customHeight="true" outlineLevel="0" collapsed="false">
      <c r="A80" s="30" t="s">
        <v>758</v>
      </c>
      <c r="C80" s="138" t="n">
        <f aca="false">IF(C79&lt;Hipótesis!$D$72,MIN(Hipótesis!$D$70-0,Hipótesis!$D$72-C79),-MIN(0,MAX(0,C79-Hipótesis!$D$72)))</f>
        <v>-0</v>
      </c>
      <c r="D80" s="138" t="n">
        <f aca="false">IF(D79&lt;Hipótesis!$D$72,MIN(Hipótesis!$D$70-C81,Hipótesis!$D$72-D79),-MIN(C81,MAX(0,D79-Hipótesis!$D$72)))</f>
        <v>0</v>
      </c>
      <c r="E80" s="138" t="n">
        <f aca="false">IF(E79&lt;Hipótesis!$D$72,MIN(Hipótesis!$D$70-D81,Hipótesis!$D$72-E79),-MIN(D81,MAX(0,E79-Hipótesis!$D$72)))</f>
        <v>-0</v>
      </c>
      <c r="F80" s="138" t="n">
        <f aca="false">IF(F79&lt;Hipótesis!$D$72,MIN(Hipótesis!$D$70-E81,Hipótesis!$D$72-F79),-MIN(E81,MAX(0,F79-Hipótesis!$D$72)))</f>
        <v>-0</v>
      </c>
      <c r="G80" s="138" t="n">
        <f aca="false">IF(G79&lt;Hipótesis!$D$72,MIN(Hipótesis!$D$70-F81,Hipótesis!$D$72-G79),-MIN(F81,MAX(0,G79-Hipótesis!$D$72)))</f>
        <v>-0</v>
      </c>
      <c r="H80" s="138" t="n">
        <f aca="false">IF(H79&lt;Hipótesis!$D$72,MIN(Hipótesis!$D$70-G81,Hipótesis!$D$72-H79),-MIN(G81,MAX(0,H79-Hipótesis!$D$72)))</f>
        <v>-0</v>
      </c>
      <c r="I80" s="138" t="n">
        <f aca="false">IF(I79&lt;Hipótesis!$D$72,MIN(Hipótesis!$D$70-H81,Hipótesis!$D$72-I79),-MIN(H81,MAX(0,I79-Hipótesis!$D$72)))</f>
        <v>7294.64473888203</v>
      </c>
      <c r="J80" s="138" t="n">
        <f aca="false">IF(J79&lt;Hipótesis!$D$72,MIN(Hipótesis!$D$70-I81,Hipótesis!$D$72-J79),-MIN(I81,MAX(0,J79-Hipótesis!$D$72)))</f>
        <v>2755.0571867846</v>
      </c>
      <c r="K80" s="138" t="n">
        <f aca="false">IF(K79&lt;Hipótesis!$D$72,MIN(Hipótesis!$D$70-J81,Hipótesis!$D$72-K79),-MIN(J81,MAX(0,K79-Hipótesis!$D$72)))</f>
        <v>-2376.74043587686</v>
      </c>
      <c r="L80" s="138" t="n">
        <f aca="false">IF(L79&lt;Hipótesis!$D$72,MIN(Hipótesis!$D$70-K81,Hipótesis!$D$72-L79),-MIN(K81,MAX(0,L79-Hipótesis!$D$72)))</f>
        <v>-7612.43089504245</v>
      </c>
      <c r="M80" s="138" t="n">
        <f aca="false">IF(M79&lt;Hipótesis!$D$72,MIN(Hipótesis!$D$70-L81,Hipótesis!$D$72-M79),-MIN(L81,MAX(0,M79-Hipótesis!$D$72)))</f>
        <v>-60.5305947473244</v>
      </c>
      <c r="N80" s="138" t="n">
        <f aca="false">IF(N79&lt;Hipótesis!$D$72,MIN(Hipótesis!$D$70-M81,Hipótesis!$D$72-N79),-MIN(M81,MAX(0,N79-Hipótesis!$D$72)))</f>
        <v>-0</v>
      </c>
      <c r="O80" s="138" t="n">
        <f aca="false">IF(O79&lt;Hipótesis!$D$72,MIN(Hipótesis!$D$70-N81,Hipótesis!$D$72-O79),-MIN(N81,MAX(0,O79-Hipótesis!$D$72)))</f>
        <v>-0</v>
      </c>
      <c r="P80" s="138" t="n">
        <f aca="false">IF(P79&lt;Hipótesis!$D$72,MIN(Hipótesis!$D$70-O81,Hipótesis!$D$72-P79),-MIN(O81,MAX(0,P79-Hipótesis!$D$72)))</f>
        <v>-0</v>
      </c>
      <c r="Q80" s="138" t="n">
        <f aca="false">IF(Q79&lt;Hipótesis!$D$72,MIN(Hipótesis!$D$70-P81,Hipótesis!$D$72-Q79),-MIN(P81,MAX(0,Q79-Hipótesis!$D$72)))</f>
        <v>-0</v>
      </c>
      <c r="R80" s="138" t="n">
        <f aca="false">IF(R79&lt;Hipótesis!$D$72,MIN(Hipótesis!$D$70-Q81,Hipótesis!$D$72-R79),-MIN(Q81,MAX(0,R79-Hipótesis!$D$72)))</f>
        <v>-0</v>
      </c>
      <c r="S80" s="138" t="n">
        <f aca="false">IF(S79&lt;Hipótesis!$D$72,MIN(Hipótesis!$D$70-R81,Hipótesis!$D$72-S79),-MIN(R81,MAX(0,S79-Hipótesis!$D$72)))</f>
        <v>-0</v>
      </c>
      <c r="T80" s="138" t="n">
        <f aca="false">IF(T79&lt;Hipótesis!$D$72,MIN(Hipótesis!$D$70-S81,Hipótesis!$D$72-T79),-MIN(S81,MAX(0,T79-Hipótesis!$D$72)))</f>
        <v>-0</v>
      </c>
      <c r="U80" s="138" t="n">
        <f aca="false">IF(U79&lt;Hipótesis!$D$72,MIN(Hipótesis!$D$70-T81,Hipótesis!$D$72-U79),-MIN(T81,MAX(0,U79-Hipótesis!$D$72)))</f>
        <v>-0</v>
      </c>
      <c r="V80" s="138" t="n">
        <f aca="false">IF(V79&lt;Hipótesis!$D$72,MIN(Hipótesis!$D$70-U81,Hipótesis!$D$72-V79),-MIN(U81,MAX(0,V79-Hipótesis!$D$72)))</f>
        <v>-0</v>
      </c>
      <c r="W80" s="138" t="n">
        <f aca="false">IF(W79&lt;Hipótesis!$D$72,MIN(Hipótesis!$D$70-V81,Hipótesis!$D$72-W79),-MIN(V81,MAX(0,W79-Hipótesis!$D$72)))</f>
        <v>-0</v>
      </c>
      <c r="X80" s="138" t="n">
        <f aca="false">IF(X79&lt;Hipótesis!$D$72,MIN(Hipótesis!$D$70-W81,Hipótesis!$D$72-X79),-MIN(W81,MAX(0,X79-Hipótesis!$D$72)))</f>
        <v>-0</v>
      </c>
      <c r="Y80" s="138" t="n">
        <f aca="false">IF(Y79&lt;Hipótesis!$D$72,MIN(Hipótesis!$D$70-X81,Hipótesis!$D$72-Y79),-MIN(X81,MAX(0,Y79-Hipótesis!$D$72)))</f>
        <v>-0</v>
      </c>
      <c r="Z80" s="138" t="n">
        <f aca="false">IF(Z79&lt;Hipótesis!$D$72,MIN(Hipótesis!$D$70-Y81,Hipótesis!$D$72-Z79),-MIN(Y81,MAX(0,Z79-Hipótesis!$D$72)))</f>
        <v>-0</v>
      </c>
      <c r="AA80" s="138" t="n">
        <f aca="false">IF(AA79&lt;Hipótesis!$D$72,MIN(Hipótesis!$D$70-Z81,Hipótesis!$D$72-AA79),-MIN(Z81,MAX(0,AA79-Hipótesis!$D$72)))</f>
        <v>-0</v>
      </c>
      <c r="AB80" s="138" t="n">
        <f aca="false">IF(AB79&lt;Hipótesis!$D$72,MIN(Hipótesis!$D$70-AA81,Hipótesis!$D$72-AB79),-MIN(AA81,MAX(0,AB79-Hipótesis!$D$72)))</f>
        <v>-0</v>
      </c>
      <c r="AC80" s="138" t="n">
        <f aca="false">IF(AC79&lt;Hipótesis!$D$72,MIN(Hipótesis!$D$70-AB81,Hipótesis!$D$72-AC79),-MIN(AB81,MAX(0,AC79-Hipótesis!$D$72)))</f>
        <v>-0</v>
      </c>
      <c r="AD80" s="138" t="n">
        <f aca="false">IF(AD79&lt;Hipótesis!$D$72,MIN(Hipótesis!$D$70-AC81,Hipótesis!$D$72-AD79),-MIN(AC81,MAX(0,AD79-Hipótesis!$D$72)))</f>
        <v>-0</v>
      </c>
      <c r="AE80" s="138" t="n">
        <f aca="false">IF(AE79&lt;Hipótesis!$D$72,MIN(Hipótesis!$D$70-AD81,Hipótesis!$D$72-AE79),-MIN(AD81,MAX(0,AE79-Hipótesis!$D$72)))</f>
        <v>-0</v>
      </c>
      <c r="AF80" s="138" t="n">
        <f aca="false">IF(AF79&lt;Hipótesis!$D$72,MIN(Hipótesis!$D$70-AE81,Hipótesis!$D$72-AF79),-MIN(AE81,MAX(0,AF79-Hipótesis!$D$72)))</f>
        <v>-0</v>
      </c>
      <c r="AG80" s="138" t="n">
        <f aca="false">IF(AG79&lt;Hipótesis!$D$72,MIN(Hipótesis!$D$70-AF81,Hipótesis!$D$72-AG79),-MIN(AF81,MAX(0,AG79-Hipótesis!$D$72)))</f>
        <v>-0</v>
      </c>
      <c r="AH80" s="138" t="n">
        <f aca="false">IF(AH79&lt;Hipótesis!$D$72,MIN(Hipótesis!$D$70-AG81,Hipótesis!$D$72-AH79),-MIN(AG81,MAX(0,AH79-Hipótesis!$D$72)))</f>
        <v>-0</v>
      </c>
      <c r="AI80" s="138" t="n">
        <f aca="false">IF(AI79&lt;Hipótesis!$D$72,MIN(Hipótesis!$D$70-AH81,Hipótesis!$D$72-AI79),-MIN(AH81,MAX(0,AI79-Hipótesis!$D$72)))</f>
        <v>-0</v>
      </c>
      <c r="AJ80" s="138" t="n">
        <f aca="false">IF(AJ79&lt;Hipótesis!$D$72,MIN(Hipótesis!$D$70-AI81,Hipótesis!$D$72-AJ79),-MIN(AI81,MAX(0,AJ79-Hipótesis!$D$72)))</f>
        <v>-0</v>
      </c>
      <c r="AK80" s="138" t="n">
        <f aca="false">IF(AK79&lt;Hipótesis!$D$72,MIN(Hipótesis!$D$70-AJ81,Hipótesis!$D$72-AK79),-MIN(AJ81,MAX(0,AK79-Hipótesis!$D$72)))</f>
        <v>-0</v>
      </c>
      <c r="AL80" s="138" t="n">
        <f aca="false">IF(AL79&lt;Hipótesis!$D$72,MIN(Hipótesis!$D$70-AK81,Hipótesis!$D$72-AL79),-MIN(AK81,MAX(0,AL79-Hipótesis!$D$72)))</f>
        <v>-0</v>
      </c>
      <c r="AM80" s="138" t="n">
        <f aca="false">IF(AM79&lt;Hipótesis!$D$72,MIN(Hipótesis!$D$70-AL81,Hipótesis!$D$72-AM79),-MIN(AL81,MAX(0,AM79-Hipótesis!$D$72)))</f>
        <v>-0</v>
      </c>
      <c r="AN80" s="138" t="n">
        <f aca="false">IF(AN79&lt;Hipótesis!$D$72,MIN(Hipótesis!$D$70-AM81,Hipótesis!$D$72-AN79),-MIN(AM81,MAX(0,AN79-Hipótesis!$D$72)))</f>
        <v>-0</v>
      </c>
      <c r="AO80" s="138" t="n">
        <f aca="false">IF(AO79&lt;Hipótesis!$D$72,MIN(Hipótesis!$D$70-AN81,Hipótesis!$D$72-AO79),-MIN(AN81,MAX(0,AO79-Hipótesis!$D$72)))</f>
        <v>-0</v>
      </c>
      <c r="AP80" s="138" t="n">
        <f aca="false">IF(AP79&lt;Hipótesis!$D$72,MIN(Hipótesis!$D$70-AO81,Hipótesis!$D$72-AP79),-MIN(AO81,MAX(0,AP79-Hipótesis!$D$72)))</f>
        <v>-0</v>
      </c>
      <c r="AQ80" s="138" t="n">
        <f aca="false">IF(AQ79&lt;Hipótesis!$D$72,MIN(Hipótesis!$D$70-AP81,Hipótesis!$D$72-AQ79),-MIN(AP81,MAX(0,AQ79-Hipótesis!$D$72)))</f>
        <v>-0</v>
      </c>
      <c r="AR80" s="138" t="n">
        <f aca="false">IF(AR79&lt;Hipótesis!$D$72,MIN(Hipótesis!$D$70-AQ81,Hipótesis!$D$72-AR79),-MIN(AQ81,MAX(0,AR79-Hipótesis!$D$72)))</f>
        <v>-0</v>
      </c>
      <c r="AS80" s="138" t="n">
        <f aca="false">IF(AS79&lt;Hipótesis!$D$72,MIN(Hipótesis!$D$70-AR81,Hipótesis!$D$72-AS79),-MIN(AR81,MAX(0,AS79-Hipótesis!$D$72)))</f>
        <v>-0</v>
      </c>
      <c r="AT80" s="138" t="n">
        <f aca="false">IF(AT79&lt;Hipótesis!$D$72,MIN(Hipótesis!$D$70-AS81,Hipótesis!$D$72-AT79),-MIN(AS81,MAX(0,AT79-Hipótesis!$D$72)))</f>
        <v>-0</v>
      </c>
      <c r="AU80" s="138" t="n">
        <f aca="false">IF(AU79&lt;Hipótesis!$D$72,MIN(Hipótesis!$D$70-AT81,Hipótesis!$D$72-AU79),-MIN(AT81,MAX(0,AU79-Hipótesis!$D$72)))</f>
        <v>-0</v>
      </c>
      <c r="AV80" s="138" t="n">
        <f aca="false">IF(AV79&lt;Hipótesis!$D$72,MIN(Hipótesis!$D$70-AU81,Hipótesis!$D$72-AV79),-MIN(AU81,MAX(0,AV79-Hipótesis!$D$72)))</f>
        <v>-0</v>
      </c>
      <c r="AW80" s="138" t="n">
        <f aca="false">IF(AW79&lt;Hipótesis!$D$72,MIN(Hipótesis!$D$70-AV81,Hipótesis!$D$72-AW79),-MIN(AV81,MAX(0,AW79-Hipótesis!$D$72)))</f>
        <v>-0</v>
      </c>
      <c r="AX80" s="138" t="n">
        <f aca="false">IF(AX79&lt;Hipótesis!$D$72,MIN(Hipótesis!$D$70-AW81,Hipótesis!$D$72-AX79),-MIN(AW81,MAX(0,AX79-Hipótesis!$D$72)))</f>
        <v>-0</v>
      </c>
      <c r="AY80" s="138" t="n">
        <f aca="false">IF(AY79&lt;Hipótesis!$D$72,MIN(Hipótesis!$D$70-AX81,Hipótesis!$D$72-AY79),-MIN(AX81,MAX(0,AY79-Hipótesis!$D$72)))</f>
        <v>-0</v>
      </c>
      <c r="AZ80" s="138" t="n">
        <f aca="false">IF(AZ79&lt;Hipótesis!$D$72,MIN(Hipótesis!$D$70-AY81,Hipótesis!$D$72-AZ79),-MIN(AY81,MAX(0,AZ79-Hipótesis!$D$72)))</f>
        <v>-0</v>
      </c>
      <c r="BA80" s="138" t="n">
        <f aca="false">IF(BA79&lt;Hipótesis!$D$72,MIN(Hipótesis!$D$70-AZ81,Hipótesis!$D$72-BA79),-MIN(AZ81,MAX(0,BA79-Hipótesis!$D$72)))</f>
        <v>-0</v>
      </c>
      <c r="BB80" s="138" t="n">
        <f aca="false">IF(BB79&lt;Hipótesis!$D$72,MIN(Hipótesis!$D$70-BA81,Hipótesis!$D$72-BB79),-MIN(BA81,MAX(0,BB79-Hipótesis!$D$72)))</f>
        <v>-0</v>
      </c>
      <c r="BC80" s="138" t="n">
        <f aca="false">IF(BC79&lt;Hipótesis!$D$72,MIN(Hipótesis!$D$70-BB81,Hipótesis!$D$72-BC79),-MIN(BB81,MAX(0,BC79-Hipótesis!$D$72)))</f>
        <v>-0</v>
      </c>
      <c r="BD80" s="138" t="n">
        <f aca="false">IF(BD79&lt;Hipótesis!$D$72,MIN(Hipótesis!$D$70-BC81,Hipótesis!$D$72-BD79),-MIN(BC81,MAX(0,BD79-Hipótesis!$D$72)))</f>
        <v>-0</v>
      </c>
      <c r="BE80" s="138" t="n">
        <f aca="false">IF(BE79&lt;Hipótesis!$D$72,MIN(Hipótesis!$D$70-BD81,Hipótesis!$D$72-BE79),-MIN(BD81,MAX(0,BE79-Hipótesis!$D$72)))</f>
        <v>-0</v>
      </c>
      <c r="BF80" s="138" t="n">
        <f aca="false">IF(BF79&lt;Hipótesis!$D$72,MIN(Hipótesis!$D$70-BE81,Hipótesis!$D$72-BF79),-MIN(BE81,MAX(0,BF79-Hipótesis!$D$72)))</f>
        <v>-0</v>
      </c>
      <c r="BG80" s="138" t="n">
        <f aca="false">IF(BG79&lt;Hipótesis!$D$72,MIN(Hipótesis!$D$70-BF81,Hipótesis!$D$72-BG79),-MIN(BF81,MAX(0,BG79-Hipótesis!$D$72)))</f>
        <v>-0</v>
      </c>
      <c r="BH80" s="138" t="n">
        <f aca="false">IF(BH79&lt;Hipótesis!$D$72,MIN(Hipótesis!$D$70-BG81,Hipótesis!$D$72-BH79),-MIN(BG81,MAX(0,BH79-Hipótesis!$D$72)))</f>
        <v>-0</v>
      </c>
      <c r="BI80" s="138" t="n">
        <f aca="false">IF(BI79&lt;Hipótesis!$D$72,MIN(Hipótesis!$D$70-BH81,Hipótesis!$D$72-BI79),-MIN(BH81,MAX(0,BI79-Hipótesis!$D$72)))</f>
        <v>-0</v>
      </c>
      <c r="BJ80" s="138" t="n">
        <f aca="false">IF(BJ79&lt;Hipótesis!$D$72,MIN(Hipótesis!$D$70-BI81,Hipótesis!$D$72-BJ79),-MIN(BI81,MAX(0,BJ79-Hipótesis!$D$72)))</f>
        <v>-0</v>
      </c>
      <c r="BK80" s="138" t="n">
        <f aca="false">IF(BK79&lt;Hipótesis!$D$72,MIN(Hipótesis!$D$70-BJ81,Hipótesis!$D$72-BK79),-MIN(BJ81,MAX(0,BK79-Hipótesis!$D$72)))</f>
        <v>-0</v>
      </c>
      <c r="BL80" s="138" t="n">
        <f aca="false">IF(BL79&lt;Hipótesis!$D$72,MIN(Hipótesis!$D$70-BK81,Hipótesis!$D$72-BL79),-MIN(BK81,MAX(0,BL79-Hipótesis!$D$72)))</f>
        <v>-0</v>
      </c>
      <c r="BM80" s="138" t="n">
        <f aca="false">IF(BM79&lt;Hipótesis!$D$72,MIN(Hipótesis!$D$70-BL81,Hipótesis!$D$72-BM79),-MIN(BL81,MAX(0,BM79-Hipótesis!$D$72)))</f>
        <v>-0</v>
      </c>
      <c r="BN80" s="138" t="n">
        <f aca="false">IF(BN79&lt;Hipótesis!$D$72,MIN(Hipótesis!$D$70-BM81,Hipótesis!$D$72-BN79),-MIN(BM81,MAX(0,BN79-Hipótesis!$D$72)))</f>
        <v>-0</v>
      </c>
      <c r="BO80" s="138" t="n">
        <f aca="false">IF(BO79&lt;Hipótesis!$D$72,MIN(Hipótesis!$D$70-BN81,Hipótesis!$D$72-BO79),-MIN(BN81,MAX(0,BO79-Hipótesis!$D$72)))</f>
        <v>-0</v>
      </c>
      <c r="BP80" s="138" t="n">
        <f aca="false">IF(BP79&lt;Hipótesis!$D$72,MIN(Hipótesis!$D$70-BO81,Hipótesis!$D$72-BP79),-MIN(BO81,MAX(0,BP79-Hipótesis!$D$72)))</f>
        <v>-0</v>
      </c>
      <c r="BQ80" s="138" t="n">
        <f aca="false">IF(BQ79&lt;Hipótesis!$D$72,MIN(Hipótesis!$D$70-BP81,Hipótesis!$D$72-BQ79),-MIN(BP81,MAX(0,BQ79-Hipótesis!$D$72)))</f>
        <v>-0</v>
      </c>
      <c r="BR80" s="138" t="n">
        <f aca="false">IF(BR79&lt;Hipótesis!$D$72,MIN(Hipótesis!$D$70-BQ81,Hipótesis!$D$72-BR79),-MIN(BQ81,MAX(0,BR79-Hipótesis!$D$72)))</f>
        <v>-0</v>
      </c>
      <c r="BS80" s="138" t="n">
        <f aca="false">IF(BS79&lt;Hipótesis!$D$72,MIN(Hipótesis!$D$70-BR81,Hipótesis!$D$72-BS79),-MIN(BR81,MAX(0,BS79-Hipótesis!$D$72)))</f>
        <v>-0</v>
      </c>
      <c r="BT80" s="138" t="n">
        <f aca="false">IF(BT79&lt;Hipótesis!$D$72,MIN(Hipótesis!$D$70-BS81,Hipótesis!$D$72-BT79),-MIN(BS81,MAX(0,BT79-Hipótesis!$D$72)))</f>
        <v>-0</v>
      </c>
      <c r="BU80" s="138" t="n">
        <f aca="false">IF(BU79&lt;Hipótesis!$D$72,MIN(Hipótesis!$D$70-BT81,Hipótesis!$D$72-BU79),-MIN(BT81,MAX(0,BU79-Hipótesis!$D$72)))</f>
        <v>-0</v>
      </c>
      <c r="BV80" s="138" t="n">
        <f aca="false">IF(BV79&lt;Hipótesis!$D$72,MIN(Hipótesis!$D$70-BU81,Hipótesis!$D$72-BV79),-MIN(BU81,MAX(0,BV79-Hipótesis!$D$72)))</f>
        <v>-0</v>
      </c>
      <c r="BW80" s="138" t="n">
        <f aca="false">IF(BW79&lt;Hipótesis!$D$72,MIN(Hipótesis!$D$70-BV81,Hipótesis!$D$72-BW79),-MIN(BV81,MAX(0,BW79-Hipótesis!$D$72)))</f>
        <v>-0</v>
      </c>
      <c r="BX80" s="138" t="n">
        <f aca="false">IF(BX79&lt;Hipótesis!$D$72,MIN(Hipótesis!$D$70-BW81,Hipótesis!$D$72-BX79),-MIN(BW81,MAX(0,BX79-Hipótesis!$D$72)))</f>
        <v>-0</v>
      </c>
      <c r="BY80" s="138" t="n">
        <f aca="false">IF(BY79&lt;Hipótesis!$D$72,MIN(Hipótesis!$D$70-BX81,Hipótesis!$D$72-BY79),-MIN(BX81,MAX(0,BY79-Hipótesis!$D$72)))</f>
        <v>-0</v>
      </c>
      <c r="BZ80" s="138" t="n">
        <f aca="false">IF(BZ79&lt;Hipótesis!$D$72,MIN(Hipótesis!$D$70-BY81,Hipótesis!$D$72-BZ79),-MIN(BY81,MAX(0,BZ79-Hipótesis!$D$72)))</f>
        <v>-0</v>
      </c>
      <c r="CA80" s="138" t="n">
        <f aca="false">IF(CA79&lt;Hipótesis!$D$72,MIN(Hipótesis!$D$70-BZ81,Hipótesis!$D$72-CA79),-MIN(BZ81,MAX(0,CA79-Hipótesis!$D$72)))</f>
        <v>-0</v>
      </c>
      <c r="CB80" s="138" t="n">
        <f aca="false">IF(CB79&lt;Hipótesis!$D$72,MIN(Hipótesis!$D$70-CA81,Hipótesis!$D$72-CB79),-MIN(CA81,MAX(0,CB79-Hipótesis!$D$72)))</f>
        <v>-0</v>
      </c>
      <c r="CC80" s="138" t="n">
        <f aca="false">IF(CC79&lt;Hipótesis!$D$72,MIN(Hipótesis!$D$70-CB81,Hipótesis!$D$72-CC79),-MIN(CB81,MAX(0,CC79-Hipótesis!$D$72)))</f>
        <v>-0</v>
      </c>
      <c r="CD80" s="138" t="n">
        <f aca="false">IF(CD79&lt;Hipótesis!$D$72,MIN(Hipótesis!$D$70-CC81,Hipótesis!$D$72-CD79),-MIN(CC81,MAX(0,CD79-Hipótesis!$D$72)))</f>
        <v>-0</v>
      </c>
      <c r="CE80" s="138" t="n">
        <f aca="false">IF(CE79&lt;Hipótesis!$D$72,MIN(Hipótesis!$D$70-CD81,Hipótesis!$D$72-CE79),-MIN(CD81,MAX(0,CE79-Hipótesis!$D$72)))</f>
        <v>-0</v>
      </c>
      <c r="CF80" s="138" t="n">
        <f aca="false">IF(CF79&lt;Hipótesis!$D$72,MIN(Hipótesis!$D$70-CE81,Hipótesis!$D$72-CF79),-MIN(CE81,MAX(0,CF79-Hipótesis!$D$72)))</f>
        <v>-0</v>
      </c>
      <c r="CG80" s="138" t="n">
        <f aca="false">IF(CG79&lt;Hipótesis!$D$72,MIN(Hipótesis!$D$70-CF81,Hipótesis!$D$72-CG79),-MIN(CF81,MAX(0,CG79-Hipótesis!$D$72)))</f>
        <v>-0</v>
      </c>
      <c r="CH80" s="138" t="n">
        <f aca="false">IF(CH79&lt;Hipótesis!$D$72,MIN(Hipótesis!$D$70-CG81,Hipótesis!$D$72-CH79),-MIN(CG81,MAX(0,CH79-Hipótesis!$D$72)))</f>
        <v>-0</v>
      </c>
    </row>
    <row r="81" customFormat="false" ht="13.5" hidden="false" customHeight="true" outlineLevel="0" collapsed="false">
      <c r="A81" s="64" t="s">
        <v>759</v>
      </c>
      <c r="C81" s="99" t="n">
        <f aca="false">C80</f>
        <v>-0</v>
      </c>
      <c r="D81" s="99" t="n">
        <f aca="false">C81+D80</f>
        <v>0</v>
      </c>
      <c r="E81" s="99" t="n">
        <f aca="false">D81+E80</f>
        <v>0</v>
      </c>
      <c r="F81" s="99" t="n">
        <f aca="false">E81+F80</f>
        <v>0</v>
      </c>
      <c r="G81" s="99" t="n">
        <f aca="false">F81+G80</f>
        <v>0</v>
      </c>
      <c r="H81" s="99" t="n">
        <f aca="false">G81+H80</f>
        <v>0</v>
      </c>
      <c r="I81" s="99" t="n">
        <f aca="false">H81+I80</f>
        <v>7294.64473888203</v>
      </c>
      <c r="J81" s="99" t="n">
        <f aca="false">I81+J80</f>
        <v>10049.7019256666</v>
      </c>
      <c r="K81" s="99" t="n">
        <f aca="false">J81+K80</f>
        <v>7672.96148978977</v>
      </c>
      <c r="L81" s="99" t="n">
        <f aca="false">K81+L80</f>
        <v>60.5305947473244</v>
      </c>
      <c r="M81" s="99" t="n">
        <f aca="false">L81+M80</f>
        <v>0</v>
      </c>
      <c r="N81" s="99" t="n">
        <f aca="false">M81+N80</f>
        <v>0</v>
      </c>
      <c r="O81" s="99" t="n">
        <f aca="false">N81+O80</f>
        <v>0</v>
      </c>
      <c r="P81" s="99" t="n">
        <f aca="false">O81+P80</f>
        <v>0</v>
      </c>
      <c r="Q81" s="99" t="n">
        <f aca="false">P81+Q80</f>
        <v>0</v>
      </c>
      <c r="R81" s="99" t="n">
        <f aca="false">Q81+R80</f>
        <v>0</v>
      </c>
      <c r="S81" s="99" t="n">
        <f aca="false">R81+S80</f>
        <v>0</v>
      </c>
      <c r="T81" s="99" t="n">
        <f aca="false">S81+T80</f>
        <v>0</v>
      </c>
      <c r="U81" s="99" t="n">
        <f aca="false">T81+U80</f>
        <v>0</v>
      </c>
      <c r="V81" s="99" t="n">
        <f aca="false">U81+V80</f>
        <v>0</v>
      </c>
      <c r="W81" s="99" t="n">
        <f aca="false">V81+W80</f>
        <v>0</v>
      </c>
      <c r="X81" s="99" t="n">
        <f aca="false">W81+X80</f>
        <v>0</v>
      </c>
      <c r="Y81" s="99" t="n">
        <f aca="false">X81+Y80</f>
        <v>0</v>
      </c>
      <c r="Z81" s="99" t="n">
        <f aca="false">Y81+Z80</f>
        <v>0</v>
      </c>
      <c r="AA81" s="99" t="n">
        <f aca="false">Z81+AA80</f>
        <v>0</v>
      </c>
      <c r="AB81" s="99" t="n">
        <f aca="false">AA81+AB80</f>
        <v>0</v>
      </c>
      <c r="AC81" s="99" t="n">
        <f aca="false">AB81+AC80</f>
        <v>0</v>
      </c>
      <c r="AD81" s="99" t="n">
        <f aca="false">AC81+AD80</f>
        <v>0</v>
      </c>
      <c r="AE81" s="99" t="n">
        <f aca="false">AD81+AE80</f>
        <v>0</v>
      </c>
      <c r="AF81" s="99" t="n">
        <f aca="false">AE81+AF80</f>
        <v>0</v>
      </c>
      <c r="AG81" s="99" t="n">
        <f aca="false">AF81+AG80</f>
        <v>0</v>
      </c>
      <c r="AH81" s="99" t="n">
        <f aca="false">AG81+AH80</f>
        <v>0</v>
      </c>
      <c r="AI81" s="99" t="n">
        <f aca="false">AH81+AI80</f>
        <v>0</v>
      </c>
      <c r="AJ81" s="99" t="n">
        <f aca="false">AI81+AJ80</f>
        <v>0</v>
      </c>
      <c r="AK81" s="99" t="n">
        <f aca="false">AJ81+AK80</f>
        <v>0</v>
      </c>
      <c r="AL81" s="99" t="n">
        <f aca="false">AK81+AL80</f>
        <v>0</v>
      </c>
      <c r="AM81" s="99" t="n">
        <f aca="false">AL81+AM80</f>
        <v>0</v>
      </c>
      <c r="AN81" s="99" t="n">
        <f aca="false">AM81+AN80</f>
        <v>0</v>
      </c>
      <c r="AO81" s="99" t="n">
        <f aca="false">AN81+AO80</f>
        <v>0</v>
      </c>
      <c r="AP81" s="99" t="n">
        <f aca="false">AO81+AP80</f>
        <v>0</v>
      </c>
      <c r="AQ81" s="99" t="n">
        <f aca="false">AP81+AQ80</f>
        <v>0</v>
      </c>
      <c r="AR81" s="99" t="n">
        <f aca="false">AQ81+AR80</f>
        <v>0</v>
      </c>
      <c r="AS81" s="99" t="n">
        <f aca="false">AR81+AS80</f>
        <v>0</v>
      </c>
      <c r="AT81" s="99" t="n">
        <f aca="false">AS81+AT80</f>
        <v>0</v>
      </c>
      <c r="AU81" s="99" t="n">
        <f aca="false">AT81+AU80</f>
        <v>0</v>
      </c>
      <c r="AV81" s="99" t="n">
        <f aca="false">AU81+AV80</f>
        <v>0</v>
      </c>
      <c r="AW81" s="99" t="n">
        <f aca="false">AV81+AW80</f>
        <v>0</v>
      </c>
      <c r="AX81" s="99" t="n">
        <f aca="false">AW81+AX80</f>
        <v>0</v>
      </c>
      <c r="AY81" s="99" t="n">
        <f aca="false">AX81+AY80</f>
        <v>0</v>
      </c>
      <c r="AZ81" s="99" t="n">
        <f aca="false">AY81+AZ80</f>
        <v>0</v>
      </c>
      <c r="BA81" s="99" t="n">
        <f aca="false">AZ81+BA80</f>
        <v>0</v>
      </c>
      <c r="BB81" s="99" t="n">
        <f aca="false">BA81+BB80</f>
        <v>0</v>
      </c>
      <c r="BC81" s="99" t="n">
        <f aca="false">BB81+BC80</f>
        <v>0</v>
      </c>
      <c r="BD81" s="99" t="n">
        <f aca="false">BC81+BD80</f>
        <v>0</v>
      </c>
      <c r="BE81" s="99" t="n">
        <f aca="false">BD81+BE80</f>
        <v>0</v>
      </c>
      <c r="BF81" s="99" t="n">
        <f aca="false">BE81+BF80</f>
        <v>0</v>
      </c>
      <c r="BG81" s="99" t="n">
        <f aca="false">BF81+BG80</f>
        <v>0</v>
      </c>
      <c r="BH81" s="99" t="n">
        <f aca="false">BG81+BH80</f>
        <v>0</v>
      </c>
      <c r="BI81" s="99" t="n">
        <f aca="false">BH81+BI80</f>
        <v>0</v>
      </c>
      <c r="BJ81" s="99" t="n">
        <f aca="false">BI81+BJ80</f>
        <v>0</v>
      </c>
      <c r="BK81" s="99" t="n">
        <f aca="false">BJ81+BK80</f>
        <v>0</v>
      </c>
      <c r="BL81" s="99" t="n">
        <f aca="false">BK81+BL80</f>
        <v>0</v>
      </c>
      <c r="BM81" s="99" t="n">
        <f aca="false">BL81+BM80</f>
        <v>0</v>
      </c>
      <c r="BN81" s="99" t="n">
        <f aca="false">BM81+BN80</f>
        <v>0</v>
      </c>
      <c r="BO81" s="99" t="n">
        <f aca="false">BN81+BO80</f>
        <v>0</v>
      </c>
      <c r="BP81" s="99" t="n">
        <f aca="false">BO81+BP80</f>
        <v>0</v>
      </c>
      <c r="BQ81" s="99" t="n">
        <f aca="false">BP81+BQ80</f>
        <v>0</v>
      </c>
      <c r="BR81" s="99" t="n">
        <f aca="false">BQ81+BR80</f>
        <v>0</v>
      </c>
      <c r="BS81" s="99" t="n">
        <f aca="false">BR81+BS80</f>
        <v>0</v>
      </c>
      <c r="BT81" s="99" t="n">
        <f aca="false">BS81+BT80</f>
        <v>0</v>
      </c>
      <c r="BU81" s="99" t="n">
        <f aca="false">BT81+BU80</f>
        <v>0</v>
      </c>
      <c r="BV81" s="99" t="n">
        <f aca="false">BU81+BV80</f>
        <v>0</v>
      </c>
      <c r="BW81" s="99" t="n">
        <f aca="false">BV81+BW80</f>
        <v>0</v>
      </c>
      <c r="BX81" s="99" t="n">
        <f aca="false">BW81+BX80</f>
        <v>0</v>
      </c>
      <c r="BY81" s="99" t="n">
        <f aca="false">BX81+BY80</f>
        <v>0</v>
      </c>
      <c r="BZ81" s="99" t="n">
        <f aca="false">BY81+BZ80</f>
        <v>0</v>
      </c>
      <c r="CA81" s="99" t="n">
        <f aca="false">BZ81+CA80</f>
        <v>0</v>
      </c>
      <c r="CB81" s="99" t="n">
        <f aca="false">CA81+CB80</f>
        <v>0</v>
      </c>
      <c r="CC81" s="99" t="n">
        <f aca="false">CB81+CC80</f>
        <v>0</v>
      </c>
      <c r="CD81" s="99" t="n">
        <f aca="false">CC81+CD80</f>
        <v>0</v>
      </c>
      <c r="CE81" s="99" t="n">
        <f aca="false">CD81+CE80</f>
        <v>0</v>
      </c>
      <c r="CF81" s="99" t="n">
        <f aca="false">CE81+CF80</f>
        <v>0</v>
      </c>
      <c r="CG81" s="99" t="n">
        <f aca="false">CF81+CG80</f>
        <v>0</v>
      </c>
      <c r="CH81" s="99" t="n">
        <f aca="false">CG81+CH80</f>
        <v>0</v>
      </c>
    </row>
    <row r="82" customFormat="false" ht="13.5" hidden="false" customHeight="true" outlineLevel="0" collapsed="false">
      <c r="A82" s="13" t="s">
        <v>760</v>
      </c>
      <c r="C82" s="138" t="n">
        <f aca="false">C79+C80</f>
        <v>139476.430459888</v>
      </c>
      <c r="D82" s="138" t="n">
        <f aca="false">D79+D80</f>
        <v>107165.180703802</v>
      </c>
      <c r="E82" s="138" t="n">
        <f aca="false">E79+E80</f>
        <v>83491.8164252088</v>
      </c>
      <c r="F82" s="138" t="n">
        <f aca="false">F79+F80</f>
        <v>63912.8029612178</v>
      </c>
      <c r="G82" s="138" t="n">
        <f aca="false">G79+G80</f>
        <v>48498.403849625</v>
      </c>
      <c r="H82" s="138" t="n">
        <f aca="false">H79+H80</f>
        <v>30003.0020180343</v>
      </c>
      <c r="I82" s="138" t="n">
        <f aca="false">I79+I80</f>
        <v>30000</v>
      </c>
      <c r="J82" s="138" t="n">
        <f aca="false">J79+J80</f>
        <v>30000</v>
      </c>
      <c r="K82" s="138" t="n">
        <f aca="false">K79+K80</f>
        <v>30000</v>
      </c>
      <c r="L82" s="138" t="n">
        <f aca="false">L79+L80</f>
        <v>30000</v>
      </c>
      <c r="M82" s="138" t="n">
        <f aca="false">M79+M80</f>
        <v>42134.2253778111</v>
      </c>
      <c r="N82" s="138" t="n">
        <f aca="false">N79+N80</f>
        <v>58043.3494528005</v>
      </c>
      <c r="O82" s="138" t="n">
        <f aca="false">O79+O80</f>
        <v>75934.2266482119</v>
      </c>
      <c r="P82" s="138" t="n">
        <f aca="false">P79+P80</f>
        <v>97323.4192565295</v>
      </c>
      <c r="Q82" s="138" t="n">
        <f aca="false">Q79+Q80</f>
        <v>122191.513133912</v>
      </c>
      <c r="R82" s="138" t="n">
        <f aca="false">R79+R80</f>
        <v>150538.50828036</v>
      </c>
      <c r="S82" s="138" t="n">
        <f aca="false">S79+S80</f>
        <v>188452.434652038</v>
      </c>
      <c r="T82" s="138" t="n">
        <f aca="false">T79+T80</f>
        <v>199345.8383571</v>
      </c>
      <c r="U82" s="138" t="n">
        <f aca="false">U79+U80</f>
        <v>237163.740281232</v>
      </c>
      <c r="V82" s="138" t="n">
        <f aca="false">V79+V80</f>
        <v>275283.700303201</v>
      </c>
      <c r="W82" s="138" t="n">
        <f aca="false">W79+W80</f>
        <v>315970.812023007</v>
      </c>
      <c r="X82" s="138" t="n">
        <f aca="false">X79+X80</f>
        <v>358639.60757926</v>
      </c>
      <c r="Y82" s="138" t="n">
        <f aca="false">Y79+Y80</f>
        <v>403304.008536859</v>
      </c>
      <c r="Z82" s="138" t="n">
        <f aca="false">Z79+Z80</f>
        <v>449742.176550282</v>
      </c>
      <c r="AA82" s="138" t="n">
        <f aca="false">AA79+AA80</f>
        <v>494458.62107602</v>
      </c>
      <c r="AB82" s="138" t="n">
        <f aca="false">AB79+AB80</f>
        <v>540967.736505762</v>
      </c>
      <c r="AC82" s="138" t="n">
        <f aca="false">AC79+AC80</f>
        <v>589269.52283951</v>
      </c>
      <c r="AD82" s="138" t="n">
        <f aca="false">AD79+AD80</f>
        <v>639363.980077263</v>
      </c>
      <c r="AE82" s="138" t="n">
        <f aca="false">AE79+AE80</f>
        <v>697736.457584371</v>
      </c>
      <c r="AF82" s="138" t="n">
        <f aca="false">AF79+AF80</f>
        <v>725568.898298882</v>
      </c>
      <c r="AG82" s="138" t="n">
        <f aca="false">AG79+AG80</f>
        <v>781041.368248649</v>
      </c>
      <c r="AH82" s="138" t="n">
        <f aca="false">AH79+AH80</f>
        <v>836323.41965562</v>
      </c>
      <c r="AI82" s="138" t="n">
        <f aca="false">AI79+AI80</f>
        <v>893398.141966597</v>
      </c>
      <c r="AJ82" s="138" t="n">
        <f aca="false">AJ79+AJ80</f>
        <v>952265.535181578</v>
      </c>
      <c r="AK82" s="138" t="n">
        <f aca="false">AK79+AK80</f>
        <v>1012925.59930056</v>
      </c>
      <c r="AL82" s="138" t="n">
        <f aca="false">AL79+AL80</f>
        <v>1075378.33432355</v>
      </c>
      <c r="AM82" s="138" t="n">
        <f aca="false">AM79+AM80</f>
        <v>1130012.87008446</v>
      </c>
      <c r="AN82" s="138" t="n">
        <f aca="false">AN79+AN80</f>
        <v>1186223.2325397</v>
      </c>
      <c r="AO82" s="138" t="n">
        <f aca="false">AO79+AO80</f>
        <v>1244009.42168928</v>
      </c>
      <c r="AP82" s="138" t="n">
        <f aca="false">AP79+AP80</f>
        <v>1303371.43753319</v>
      </c>
      <c r="AQ82" s="138" t="n">
        <f aca="false">AQ79+AQ80</f>
        <v>1373144.65911545</v>
      </c>
      <c r="AR82" s="138" t="n">
        <f aca="false">AR79+AR80</f>
        <v>1409810.97001679</v>
      </c>
      <c r="AS82" s="138" t="n">
        <f aca="false">AS79+AS80</f>
        <v>1472636.44001302</v>
      </c>
      <c r="AT82" s="138" t="n">
        <f aca="false">AT79+AT80</f>
        <v>1535466.07667592</v>
      </c>
      <c r="AU82" s="138" t="n">
        <f aca="false">AU79+AU80</f>
        <v>1598299.88000549</v>
      </c>
      <c r="AV82" s="138" t="n">
        <f aca="false">AV79+AV80</f>
        <v>1661137.85000172</v>
      </c>
      <c r="AW82" s="138" t="n">
        <f aca="false">AW79+AW80</f>
        <v>1723979.98666462</v>
      </c>
      <c r="AX82" s="138" t="n">
        <f aca="false">AX79+AX80</f>
        <v>1786826.28999419</v>
      </c>
      <c r="AY82" s="138" t="n">
        <f aca="false">AY79+AY80</f>
        <v>1548434.99183911</v>
      </c>
      <c r="AZ82" s="138" t="n">
        <f aca="false">AZ79+AZ80</f>
        <v>1609598.97215275</v>
      </c>
      <c r="BA82" s="138" t="n">
        <f aca="false">BA79+BA80</f>
        <v>1670767.11913306</v>
      </c>
      <c r="BB82" s="138" t="n">
        <f aca="false">BB79+BB80</f>
        <v>1731939.43278003</v>
      </c>
      <c r="BC82" s="138" t="n">
        <f aca="false">BC79+BC80</f>
        <v>1801951.29213768</v>
      </c>
      <c r="BD82" s="138" t="n">
        <f aca="false">BD79+BD80</f>
        <v>1837284.58078673</v>
      </c>
      <c r="BE82" s="138" t="n">
        <f aca="false">BE79+BE80</f>
        <v>1898469.39443371</v>
      </c>
      <c r="BF82" s="138" t="n">
        <f aca="false">BF79+BF80</f>
        <v>1959658.37474735</v>
      </c>
      <c r="BG82" s="138" t="n">
        <f aca="false">BG79+BG80</f>
        <v>2020851.52172766</v>
      </c>
      <c r="BH82" s="138" t="n">
        <f aca="false">BH79+BH80</f>
        <v>2082048.83537463</v>
      </c>
      <c r="BI82" s="138" t="n">
        <f aca="false">BI79+BI80</f>
        <v>2143250.31568827</v>
      </c>
      <c r="BJ82" s="138" t="n">
        <f aca="false">BJ79+BJ80</f>
        <v>2204455.96266858</v>
      </c>
      <c r="BK82" s="138" t="n">
        <f aca="false">BK79+BK80</f>
        <v>1962559.10851519</v>
      </c>
      <c r="BL82" s="138" t="n">
        <f aca="false">BL79+BL80</f>
        <v>2022075.37178909</v>
      </c>
      <c r="BM82" s="138" t="n">
        <f aca="false">BM79+BM80</f>
        <v>2081595.80172966</v>
      </c>
      <c r="BN82" s="138" t="n">
        <f aca="false">BN79+BN80</f>
        <v>2141120.3983369</v>
      </c>
      <c r="BO82" s="138" t="n">
        <f aca="false">BO79+BO80</f>
        <v>2209484.5406548</v>
      </c>
      <c r="BP82" s="138" t="n">
        <f aca="false">BP79+BP80</f>
        <v>2243170.11226412</v>
      </c>
      <c r="BQ82" s="138" t="n">
        <f aca="false">BQ79+BQ80</f>
        <v>2302707.20887136</v>
      </c>
      <c r="BR82" s="138" t="n">
        <f aca="false">BR79+BR80</f>
        <v>2362248.47214527</v>
      </c>
      <c r="BS82" s="138" t="n">
        <f aca="false">BS79+BS80</f>
        <v>2421793.90208584</v>
      </c>
      <c r="BT82" s="138" t="n">
        <f aca="false">BT79+BT80</f>
        <v>2481343.49869307</v>
      </c>
      <c r="BU82" s="138" t="n">
        <f aca="false">BU79+BU80</f>
        <v>2540897.26196698</v>
      </c>
      <c r="BV82" s="138" t="n">
        <f aca="false">BV79+BV80</f>
        <v>2600455.19190755</v>
      </c>
      <c r="BW82" s="138" t="n">
        <f aca="false">BW79+BW80</f>
        <v>2364812.38999396</v>
      </c>
      <c r="BX82" s="138" t="n">
        <f aca="false">BX79+BX80</f>
        <v>2422673.66371694</v>
      </c>
      <c r="BY82" s="138" t="n">
        <f aca="false">BY79+BY80</f>
        <v>2480539.10410658</v>
      </c>
      <c r="BZ82" s="138" t="n">
        <f aca="false">BZ79+BZ80</f>
        <v>2538408.71116289</v>
      </c>
      <c r="CA82" s="138" t="n">
        <f aca="false">CA79+CA80</f>
        <v>2605117.86392987</v>
      </c>
      <c r="CB82" s="138" t="n">
        <f aca="false">CB79+CB80</f>
        <v>2637148.44598826</v>
      </c>
      <c r="CC82" s="138" t="n">
        <f aca="false">CC79+CC80</f>
        <v>2695030.55304457</v>
      </c>
      <c r="CD82" s="138" t="n">
        <f aca="false">CD79+CD80</f>
        <v>2752916.82676754</v>
      </c>
      <c r="CE82" s="138" t="n">
        <f aca="false">CE79+CE80</f>
        <v>2810807.26715719</v>
      </c>
      <c r="CF82" s="138" t="n">
        <f aca="false">CF79+CF80</f>
        <v>2868701.8742135</v>
      </c>
      <c r="CG82" s="138" t="n">
        <f aca="false">CG79+CG80</f>
        <v>2926600.64793647</v>
      </c>
      <c r="CH82" s="138" t="n">
        <f aca="false">CH79+CH80</f>
        <v>2984503.58832611</v>
      </c>
    </row>
    <row r="83" customFormat="false" ht="13.5" hidden="false" customHeight="true" outlineLevel="0" collapsed="false">
      <c r="A83" s="13" t="s">
        <v>761</v>
      </c>
      <c r="C83" s="138" t="n">
        <f aca="false">-IF(AND(1&gt;=Hipótesis!$D$76,MOD(1,12)=0,C81=0),MIN(Hipótesis!$D$77*MAX(0,SUM(C63:C63)),MAX(0,C82-Hipótesis!$D$80)),0)</f>
        <v>-0</v>
      </c>
      <c r="D83" s="138" t="n">
        <f aca="false">-IF(AND(2&gt;=Hipótesis!$D$76,MOD(2,12)=0,D81=0),MIN(Hipótesis!$D$77*MAX(0,SUM(C63:D63)),MAX(0,D82-Hipótesis!$D$80)),0)</f>
        <v>-0</v>
      </c>
      <c r="E83" s="138" t="n">
        <f aca="false">-IF(AND(3&gt;=Hipótesis!$D$76,MOD(3,12)=0,E81=0),MIN(Hipótesis!$D$77*MAX(0,SUM(C63:E63)),MAX(0,E82-Hipótesis!$D$80)),0)</f>
        <v>-0</v>
      </c>
      <c r="F83" s="138" t="n">
        <f aca="false">-IF(AND(4&gt;=Hipótesis!$D$76,MOD(4,12)=0,F81=0),MIN(Hipótesis!$D$77*MAX(0,SUM(C63:F63)),MAX(0,F82-Hipótesis!$D$80)),0)</f>
        <v>-0</v>
      </c>
      <c r="G83" s="138" t="n">
        <f aca="false">-IF(AND(5&gt;=Hipótesis!$D$76,MOD(5,12)=0,G81=0),MIN(Hipótesis!$D$77*MAX(0,SUM(C63:G63)),MAX(0,G82-Hipótesis!$D$80)),0)</f>
        <v>-0</v>
      </c>
      <c r="H83" s="138" t="n">
        <f aca="false">-IF(AND(6&gt;=Hipótesis!$D$76,MOD(6,12)=0,H81=0),MIN(Hipótesis!$D$77*MAX(0,SUM(C63:H63)),MAX(0,H82-Hipótesis!$D$80)),0)</f>
        <v>-0</v>
      </c>
      <c r="I83" s="138" t="n">
        <f aca="false">-IF(AND(7&gt;=Hipótesis!$D$76,MOD(7,12)=0,I81=0),MIN(Hipótesis!$D$77*MAX(0,SUM(C63:I63)),MAX(0,I82-Hipótesis!$D$80)),0)</f>
        <v>-0</v>
      </c>
      <c r="J83" s="138" t="n">
        <f aca="false">-IF(AND(8&gt;=Hipótesis!$D$76,MOD(8,12)=0,J81=0),MIN(Hipótesis!$D$77*MAX(0,SUM(C63:J63)),MAX(0,J82-Hipótesis!$D$80)),0)</f>
        <v>-0</v>
      </c>
      <c r="K83" s="138" t="n">
        <f aca="false">-IF(AND(9&gt;=Hipótesis!$D$76,MOD(9,12)=0,K81=0),MIN(Hipótesis!$D$77*MAX(0,SUM(C63:K63)),MAX(0,K82-Hipótesis!$D$80)),0)</f>
        <v>-0</v>
      </c>
      <c r="L83" s="138" t="n">
        <f aca="false">-IF(AND(10&gt;=Hipótesis!$D$76,MOD(10,12)=0,L81=0),MIN(Hipótesis!$D$77*MAX(0,SUM(C63:L63)),MAX(0,L82-Hipótesis!$D$80)),0)</f>
        <v>-0</v>
      </c>
      <c r="M83" s="138" t="n">
        <f aca="false">-IF(AND(11&gt;=Hipótesis!$D$76,MOD(11,12)=0,M81=0),MIN(Hipótesis!$D$77*MAX(0,SUM(C63:M63)),MAX(0,M82-Hipótesis!$D$80)),0)</f>
        <v>-0</v>
      </c>
      <c r="N83" s="138" t="n">
        <f aca="false">-IF(AND(12&gt;=Hipótesis!$D$76,MOD(12,12)=0,N81=0),MIN(Hipótesis!$D$77*MAX(0,SUM(C63:N63)),MAX(0,N82-Hipótesis!$D$80)),0)</f>
        <v>-0</v>
      </c>
      <c r="O83" s="138" t="n">
        <f aca="false">-IF(AND(13&gt;=Hipótesis!$D$76,MOD(13,12)=0,O81=0),MIN(Hipótesis!$D$77*MAX(0,SUM(D63:O63)),MAX(0,O82-Hipótesis!$D$80)),0)</f>
        <v>-0</v>
      </c>
      <c r="P83" s="138" t="n">
        <f aca="false">-IF(AND(14&gt;=Hipótesis!$D$76,MOD(14,12)=0,P81=0),MIN(Hipótesis!$D$77*MAX(0,SUM(E63:P63)),MAX(0,P82-Hipótesis!$D$80)),0)</f>
        <v>-0</v>
      </c>
      <c r="Q83" s="138" t="n">
        <f aca="false">-IF(AND(15&gt;=Hipótesis!$D$76,MOD(15,12)=0,Q81=0),MIN(Hipótesis!$D$77*MAX(0,SUM(F63:Q63)),MAX(0,Q82-Hipótesis!$D$80)),0)</f>
        <v>-0</v>
      </c>
      <c r="R83" s="138" t="n">
        <f aca="false">-IF(AND(16&gt;=Hipótesis!$D$76,MOD(16,12)=0,R81=0),MIN(Hipótesis!$D$77*MAX(0,SUM(G63:R63)),MAX(0,R82-Hipótesis!$D$80)),0)</f>
        <v>-0</v>
      </c>
      <c r="S83" s="138" t="n">
        <f aca="false">-IF(AND(17&gt;=Hipótesis!$D$76,MOD(17,12)=0,S81=0),MIN(Hipótesis!$D$77*MAX(0,SUM(H63:S63)),MAX(0,S82-Hipótesis!$D$80)),0)</f>
        <v>-0</v>
      </c>
      <c r="T83" s="138" t="n">
        <f aca="false">-IF(AND(18&gt;=Hipótesis!$D$76,MOD(18,12)=0,T81=0),MIN(Hipótesis!$D$77*MAX(0,SUM(I63:T63)),MAX(0,T82-Hipótesis!$D$80)),0)</f>
        <v>-0</v>
      </c>
      <c r="U83" s="138" t="n">
        <f aca="false">-IF(AND(19&gt;=Hipótesis!$D$76,MOD(19,12)=0,U81=0),MIN(Hipótesis!$D$77*MAX(0,SUM(J63:U63)),MAX(0,U82-Hipótesis!$D$80)),0)</f>
        <v>-0</v>
      </c>
      <c r="V83" s="138" t="n">
        <f aca="false">-IF(AND(20&gt;=Hipótesis!$D$76,MOD(20,12)=0,V81=0),MIN(Hipótesis!$D$77*MAX(0,SUM(K63:V63)),MAX(0,V82-Hipótesis!$D$80)),0)</f>
        <v>-0</v>
      </c>
      <c r="W83" s="138" t="n">
        <f aca="false">-IF(AND(21&gt;=Hipótesis!$D$76,MOD(21,12)=0,W81=0),MIN(Hipótesis!$D$77*MAX(0,SUM(L63:W63)),MAX(0,W82-Hipótesis!$D$80)),0)</f>
        <v>-0</v>
      </c>
      <c r="X83" s="138" t="n">
        <f aca="false">-IF(AND(22&gt;=Hipótesis!$D$76,MOD(22,12)=0,X81=0),MIN(Hipótesis!$D$77*MAX(0,SUM(M63:X63)),MAX(0,X82-Hipótesis!$D$80)),0)</f>
        <v>-0</v>
      </c>
      <c r="Y83" s="138" t="n">
        <f aca="false">-IF(AND(23&gt;=Hipótesis!$D$76,MOD(23,12)=0,Y81=0),MIN(Hipótesis!$D$77*MAX(0,SUM(N63:Y63)),MAX(0,Y82-Hipótesis!$D$80)),0)</f>
        <v>-0</v>
      </c>
      <c r="Z83" s="138" t="n">
        <f aca="false">-IF(AND(24&gt;=Hipótesis!$D$76,MOD(24,12)=0,Z81=0),MIN(Hipótesis!$D$77*MAX(0,SUM(O63:Z63)),MAX(0,Z82-Hipótesis!$D$80)),0)</f>
        <v>-0</v>
      </c>
      <c r="AA83" s="138" t="n">
        <f aca="false">-IF(AND(25&gt;=Hipótesis!$D$76,MOD(25,12)=0,AA81=0),MIN(Hipótesis!$D$77*MAX(0,SUM(P63:AA63)),MAX(0,AA82-Hipótesis!$D$80)),0)</f>
        <v>-0</v>
      </c>
      <c r="AB83" s="138" t="n">
        <f aca="false">-IF(AND(26&gt;=Hipótesis!$D$76,MOD(26,12)=0,AB81=0),MIN(Hipótesis!$D$77*MAX(0,SUM(Q63:AB63)),MAX(0,AB82-Hipótesis!$D$80)),0)</f>
        <v>-0</v>
      </c>
      <c r="AC83" s="138" t="n">
        <f aca="false">-IF(AND(27&gt;=Hipótesis!$D$76,MOD(27,12)=0,AC81=0),MIN(Hipótesis!$D$77*MAX(0,SUM(R63:AC63)),MAX(0,AC82-Hipótesis!$D$80)),0)</f>
        <v>-0</v>
      </c>
      <c r="AD83" s="138" t="n">
        <f aca="false">-IF(AND(28&gt;=Hipótesis!$D$76,MOD(28,12)=0,AD81=0),MIN(Hipótesis!$D$77*MAX(0,SUM(S63:AD63)),MAX(0,AD82-Hipótesis!$D$80)),0)</f>
        <v>-0</v>
      </c>
      <c r="AE83" s="138" t="n">
        <f aca="false">-IF(AND(29&gt;=Hipótesis!$D$76,MOD(29,12)=0,AE81=0),MIN(Hipótesis!$D$77*MAX(0,SUM(T63:AE63)),MAX(0,AE82-Hipótesis!$D$80)),0)</f>
        <v>-0</v>
      </c>
      <c r="AF83" s="138" t="n">
        <f aca="false">-IF(AND(30&gt;=Hipótesis!$D$76,MOD(30,12)=0,AF81=0),MIN(Hipótesis!$D$77*MAX(0,SUM(U63:AF63)),MAX(0,AF82-Hipótesis!$D$80)),0)</f>
        <v>-0</v>
      </c>
      <c r="AG83" s="138" t="n">
        <f aca="false">-IF(AND(31&gt;=Hipótesis!$D$76,MOD(31,12)=0,AG81=0),MIN(Hipótesis!$D$77*MAX(0,SUM(V63:AG63)),MAX(0,AG82-Hipótesis!$D$80)),0)</f>
        <v>-0</v>
      </c>
      <c r="AH83" s="138" t="n">
        <f aca="false">-IF(AND(32&gt;=Hipótesis!$D$76,MOD(32,12)=0,AH81=0),MIN(Hipótesis!$D$77*MAX(0,SUM(W63:AH63)),MAX(0,AH82-Hipótesis!$D$80)),0)</f>
        <v>-0</v>
      </c>
      <c r="AI83" s="138" t="n">
        <f aca="false">-IF(AND(33&gt;=Hipótesis!$D$76,MOD(33,12)=0,AI81=0),MIN(Hipótesis!$D$77*MAX(0,SUM(X63:AI63)),MAX(0,AI82-Hipótesis!$D$80)),0)</f>
        <v>-0</v>
      </c>
      <c r="AJ83" s="138" t="n">
        <f aca="false">-IF(AND(34&gt;=Hipótesis!$D$76,MOD(34,12)=0,AJ81=0),MIN(Hipótesis!$D$77*MAX(0,SUM(Y63:AJ63)),MAX(0,AJ82-Hipótesis!$D$80)),0)</f>
        <v>-0</v>
      </c>
      <c r="AK83" s="138" t="n">
        <f aca="false">-IF(AND(35&gt;=Hipótesis!$D$76,MOD(35,12)=0,AK81=0),MIN(Hipótesis!$D$77*MAX(0,SUM(Z63:AK63)),MAX(0,AK82-Hipótesis!$D$80)),0)</f>
        <v>-0</v>
      </c>
      <c r="AL83" s="138" t="n">
        <f aca="false">-IF(AND(36&gt;=Hipótesis!$D$76,MOD(36,12)=0,AL81=0),MIN(Hipótesis!$D$77*MAX(0,SUM(AA63:AL63)),MAX(0,AL82-Hipótesis!$D$80)),0)</f>
        <v>-0</v>
      </c>
      <c r="AM83" s="138" t="n">
        <f aca="false">-IF(AND(37&gt;=Hipótesis!$D$76,MOD(37,12)=0,AM81=0),MIN(Hipótesis!$D$77*MAX(0,SUM(AB63:AM63)),MAX(0,AM82-Hipótesis!$D$80)),0)</f>
        <v>-0</v>
      </c>
      <c r="AN83" s="138" t="n">
        <f aca="false">-IF(AND(38&gt;=Hipótesis!$D$76,MOD(38,12)=0,AN81=0),MIN(Hipótesis!$D$77*MAX(0,SUM(AC63:AN63)),MAX(0,AN82-Hipótesis!$D$80)),0)</f>
        <v>-0</v>
      </c>
      <c r="AO83" s="138" t="n">
        <f aca="false">-IF(AND(39&gt;=Hipótesis!$D$76,MOD(39,12)=0,AO81=0),MIN(Hipótesis!$D$77*MAX(0,SUM(AD63:AO63)),MAX(0,AO82-Hipótesis!$D$80)),0)</f>
        <v>-0</v>
      </c>
      <c r="AP83" s="138" t="n">
        <f aca="false">-IF(AND(40&gt;=Hipótesis!$D$76,MOD(40,12)=0,AP81=0),MIN(Hipótesis!$D$77*MAX(0,SUM(AE63:AP63)),MAX(0,AP82-Hipótesis!$D$80)),0)</f>
        <v>-0</v>
      </c>
      <c r="AQ83" s="138" t="n">
        <f aca="false">-IF(AND(41&gt;=Hipótesis!$D$76,MOD(41,12)=0,AQ81=0),MIN(Hipótesis!$D$77*MAX(0,SUM(AF63:AQ63)),MAX(0,AQ82-Hipótesis!$D$80)),0)</f>
        <v>-0</v>
      </c>
      <c r="AR83" s="138" t="n">
        <f aca="false">-IF(AND(42&gt;=Hipótesis!$D$76,MOD(42,12)=0,AR81=0),MIN(Hipótesis!$D$77*MAX(0,SUM(AG63:AR63)),MAX(0,AR82-Hipótesis!$D$80)),0)</f>
        <v>-0</v>
      </c>
      <c r="AS83" s="138" t="n">
        <f aca="false">-IF(AND(43&gt;=Hipótesis!$D$76,MOD(43,12)=0,AS81=0),MIN(Hipótesis!$D$77*MAX(0,SUM(AH63:AS63)),MAX(0,AS82-Hipótesis!$D$80)),0)</f>
        <v>-0</v>
      </c>
      <c r="AT83" s="138" t="n">
        <f aca="false">-IF(AND(44&gt;=Hipótesis!$D$76,MOD(44,12)=0,AT81=0),MIN(Hipótesis!$D$77*MAX(0,SUM(AI63:AT63)),MAX(0,AT82-Hipótesis!$D$80)),0)</f>
        <v>-0</v>
      </c>
      <c r="AU83" s="138" t="n">
        <f aca="false">-IF(AND(45&gt;=Hipótesis!$D$76,MOD(45,12)=0,AU81=0),MIN(Hipótesis!$D$77*MAX(0,SUM(AJ63:AU63)),MAX(0,AU82-Hipótesis!$D$80)),0)</f>
        <v>-0</v>
      </c>
      <c r="AV83" s="138" t="n">
        <f aca="false">-IF(AND(46&gt;=Hipótesis!$D$76,MOD(46,12)=0,AV81=0),MIN(Hipótesis!$D$77*MAX(0,SUM(AK63:AV63)),MAX(0,AV82-Hipótesis!$D$80)),0)</f>
        <v>-0</v>
      </c>
      <c r="AW83" s="138" t="n">
        <f aca="false">-IF(AND(47&gt;=Hipótesis!$D$76,MOD(47,12)=0,AW81=0),MIN(Hipótesis!$D$77*MAX(0,SUM(AL63:AW63)),MAX(0,AW82-Hipótesis!$D$80)),0)</f>
        <v>-0</v>
      </c>
      <c r="AX83" s="138" t="n">
        <f aca="false">-IF(AND(48&gt;=Hipótesis!$D$76,MOD(48,12)=0,AX81=0),MIN(Hipótesis!$D$77*MAX(0,SUM(AM63:AX63)),MAX(0,AX82-Hipótesis!$D$80)),0)</f>
        <v>-299551.111802051</v>
      </c>
      <c r="AY83" s="138" t="n">
        <f aca="false">-IF(AND(49&gt;=Hipótesis!$D$76,MOD(49,12)=0,AY81=0),MIN(Hipótesis!$D$77*MAX(0,SUM(AN63:AY63)),MAX(0,AY82-Hipótesis!$D$80)),0)</f>
        <v>-0</v>
      </c>
      <c r="AZ83" s="138" t="n">
        <f aca="false">-IF(AND(50&gt;=Hipótesis!$D$76,MOD(50,12)=0,AZ81=0),MIN(Hipótesis!$D$77*MAX(0,SUM(AO63:AZ63)),MAX(0,AZ82-Hipótesis!$D$80)),0)</f>
        <v>-0</v>
      </c>
      <c r="BA83" s="138" t="n">
        <f aca="false">-IF(AND(51&gt;=Hipótesis!$D$76,MOD(51,12)=0,BA81=0),MIN(Hipótesis!$D$77*MAX(0,SUM(AP63:BA63)),MAX(0,BA82-Hipótesis!$D$80)),0)</f>
        <v>-0</v>
      </c>
      <c r="BB83" s="138" t="n">
        <f aca="false">-IF(AND(52&gt;=Hipótesis!$D$76,MOD(52,12)=0,BB81=0),MIN(Hipótesis!$D$77*MAX(0,SUM(AQ63:BB63)),MAX(0,BB82-Hipótesis!$D$80)),0)</f>
        <v>-0</v>
      </c>
      <c r="BC83" s="138" t="n">
        <f aca="false">-IF(AND(53&gt;=Hipótesis!$D$76,MOD(53,12)=0,BC81=0),MIN(Hipótesis!$D$77*MAX(0,SUM(AR63:BC63)),MAX(0,BC82-Hipótesis!$D$80)),0)</f>
        <v>-0</v>
      </c>
      <c r="BD83" s="138" t="n">
        <f aca="false">-IF(AND(54&gt;=Hipótesis!$D$76,MOD(54,12)=0,BD81=0),MIN(Hipótesis!$D$77*MAX(0,SUM(AS63:BD63)),MAX(0,BD82-Hipótesis!$D$80)),0)</f>
        <v>-0</v>
      </c>
      <c r="BE83" s="138" t="n">
        <f aca="false">-IF(AND(55&gt;=Hipótesis!$D$76,MOD(55,12)=0,BE81=0),MIN(Hipótesis!$D$77*MAX(0,SUM(AT63:BE63)),MAX(0,BE82-Hipótesis!$D$80)),0)</f>
        <v>-0</v>
      </c>
      <c r="BF83" s="138" t="n">
        <f aca="false">-IF(AND(56&gt;=Hipótesis!$D$76,MOD(56,12)=0,BF81=0),MIN(Hipótesis!$D$77*MAX(0,SUM(AU63:BF63)),MAX(0,BF82-Hipótesis!$D$80)),0)</f>
        <v>-0</v>
      </c>
      <c r="BG83" s="138" t="n">
        <f aca="false">-IF(AND(57&gt;=Hipótesis!$D$76,MOD(57,12)=0,BG81=0),MIN(Hipótesis!$D$77*MAX(0,SUM(AV63:BG63)),MAX(0,BG82-Hipótesis!$D$80)),0)</f>
        <v>-0</v>
      </c>
      <c r="BH83" s="138" t="n">
        <f aca="false">-IF(AND(58&gt;=Hipótesis!$D$76,MOD(58,12)=0,BH81=0),MIN(Hipótesis!$D$77*MAX(0,SUM(AW63:BH63)),MAX(0,BH82-Hipótesis!$D$80)),0)</f>
        <v>-0</v>
      </c>
      <c r="BI83" s="138" t="n">
        <f aca="false">-IF(AND(59&gt;=Hipótesis!$D$76,MOD(59,12)=0,BI81=0),MIN(Hipótesis!$D$77*MAX(0,SUM(AX63:BI63)),MAX(0,BI82-Hipótesis!$D$80)),0)</f>
        <v>-0</v>
      </c>
      <c r="BJ83" s="138" t="n">
        <f aca="false">-IF(AND(60&gt;=Hipótesis!$D$76,MOD(60,12)=0,BJ81=0),MIN(Hipótesis!$D$77*MAX(0,SUM(AY63:BJ63)),MAX(0,BJ82-Hipótesis!$D$80)),0)</f>
        <v>-301408.950760631</v>
      </c>
      <c r="BK83" s="138" t="n">
        <f aca="false">-IF(AND(61&gt;=Hipótesis!$D$76,MOD(61,12)=0,BK81=0),MIN(Hipótesis!$D$77*MAX(0,SUM(AZ63:BK63)),MAX(0,BK82-Hipótesis!$D$80)),0)</f>
        <v>-0</v>
      </c>
      <c r="BL83" s="138" t="n">
        <f aca="false">-IF(AND(62&gt;=Hipótesis!$D$76,MOD(62,12)=0,BL81=0),MIN(Hipótesis!$D$77*MAX(0,SUM(BA63:BL63)),MAX(0,BL82-Hipótesis!$D$80)),0)</f>
        <v>-0</v>
      </c>
      <c r="BM83" s="138" t="n">
        <f aca="false">-IF(AND(63&gt;=Hipótesis!$D$76,MOD(63,12)=0,BM81=0),MIN(Hipótesis!$D$77*MAX(0,SUM(BB63:BM63)),MAX(0,BM82-Hipótesis!$D$80)),0)</f>
        <v>-0</v>
      </c>
      <c r="BN83" s="138" t="n">
        <f aca="false">-IF(AND(64&gt;=Hipótesis!$D$76,MOD(64,12)=0,BN81=0),MIN(Hipótesis!$D$77*MAX(0,SUM(BC63:BN63)),MAX(0,BN82-Hipótesis!$D$80)),0)</f>
        <v>-0</v>
      </c>
      <c r="BO83" s="138" t="n">
        <f aca="false">-IF(AND(65&gt;=Hipótesis!$D$76,MOD(65,12)=0,BO81=0),MIN(Hipótesis!$D$77*MAX(0,SUM(BD63:BO63)),MAX(0,BO82-Hipótesis!$D$80)),0)</f>
        <v>-0</v>
      </c>
      <c r="BP83" s="138" t="n">
        <f aca="false">-IF(AND(66&gt;=Hipótesis!$D$76,MOD(66,12)=0,BP81=0),MIN(Hipótesis!$D$77*MAX(0,SUM(BE63:BP63)),MAX(0,BP82-Hipótesis!$D$80)),0)</f>
        <v>-0</v>
      </c>
      <c r="BQ83" s="138" t="n">
        <f aca="false">-IF(AND(67&gt;=Hipótesis!$D$76,MOD(67,12)=0,BQ81=0),MIN(Hipótesis!$D$77*MAX(0,SUM(BF63:BQ63)),MAX(0,BQ82-Hipótesis!$D$80)),0)</f>
        <v>-0</v>
      </c>
      <c r="BR83" s="138" t="n">
        <f aca="false">-IF(AND(68&gt;=Hipótesis!$D$76,MOD(68,12)=0,BR81=0),MIN(Hipótesis!$D$77*MAX(0,SUM(BG63:BR63)),MAX(0,BR82-Hipótesis!$D$80)),0)</f>
        <v>-0</v>
      </c>
      <c r="BS83" s="138" t="n">
        <f aca="false">-IF(AND(69&gt;=Hipótesis!$D$76,MOD(69,12)=0,BS81=0),MIN(Hipótesis!$D$77*MAX(0,SUM(BH63:BS63)),MAX(0,BS82-Hipótesis!$D$80)),0)</f>
        <v>-0</v>
      </c>
      <c r="BT83" s="138" t="n">
        <f aca="false">-IF(AND(70&gt;=Hipótesis!$D$76,MOD(70,12)=0,BT81=0),MIN(Hipótesis!$D$77*MAX(0,SUM(BI63:BT63)),MAX(0,BT82-Hipótesis!$D$80)),0)</f>
        <v>-0</v>
      </c>
      <c r="BU83" s="138" t="n">
        <f aca="false">-IF(AND(71&gt;=Hipótesis!$D$76,MOD(71,12)=0,BU81=0),MIN(Hipótesis!$D$77*MAX(0,SUM(BJ63:BU63)),MAX(0,BU82-Hipótesis!$D$80)),0)</f>
        <v>-0</v>
      </c>
      <c r="BV83" s="138" t="n">
        <f aca="false">-IF(AND(72&gt;=Hipótesis!$D$76,MOD(72,12)=0,BV81=0),MIN(Hipótesis!$D$77*MAX(0,SUM(BK63:BV63)),MAX(0,BV82-Hipótesis!$D$80)),0)</f>
        <v>-293499.908969896</v>
      </c>
      <c r="BW83" s="138" t="n">
        <f aca="false">-IF(AND(73&gt;=Hipótesis!$D$76,MOD(73,12)=0,BW81=0),MIN(Hipótesis!$D$77*MAX(0,SUM(BL63:BW63)),MAX(0,BW82-Hipótesis!$D$80)),0)</f>
        <v>-0</v>
      </c>
      <c r="BX83" s="138" t="n">
        <f aca="false">-IF(AND(74&gt;=Hipótesis!$D$76,MOD(74,12)=0,BX81=0),MIN(Hipótesis!$D$77*MAX(0,SUM(BM63:BX63)),MAX(0,BX82-Hipótesis!$D$80)),0)</f>
        <v>-0</v>
      </c>
      <c r="BY83" s="138" t="n">
        <f aca="false">-IF(AND(75&gt;=Hipótesis!$D$76,MOD(75,12)=0,BY81=0),MIN(Hipótesis!$D$77*MAX(0,SUM(BN63:BY63)),MAX(0,BY82-Hipótesis!$D$80)),0)</f>
        <v>-0</v>
      </c>
      <c r="BZ83" s="138" t="n">
        <f aca="false">-IF(AND(76&gt;=Hipótesis!$D$76,MOD(76,12)=0,BZ81=0),MIN(Hipótesis!$D$77*MAX(0,SUM(BO63:BZ63)),MAX(0,BZ82-Hipótesis!$D$80)),0)</f>
        <v>-0</v>
      </c>
      <c r="CA83" s="138" t="n">
        <f aca="false">-IF(AND(77&gt;=Hipótesis!$D$76,MOD(77,12)=0,CA81=0),MIN(Hipótesis!$D$77*MAX(0,SUM(BP63:CA63)),MAX(0,CA82-Hipótesis!$D$80)),0)</f>
        <v>-0</v>
      </c>
      <c r="CB83" s="138" t="n">
        <f aca="false">-IF(AND(78&gt;=Hipótesis!$D$76,MOD(78,12)=0,CB81=0),MIN(Hipótesis!$D$77*MAX(0,SUM(BQ63:CB63)),MAX(0,CB82-Hipótesis!$D$80)),0)</f>
        <v>-0</v>
      </c>
      <c r="CC83" s="138" t="n">
        <f aca="false">-IF(AND(79&gt;=Hipótesis!$D$76,MOD(79,12)=0,CC81=0),MIN(Hipótesis!$D$77*MAX(0,SUM(BR63:CC63)),MAX(0,CC82-Hipótesis!$D$80)),0)</f>
        <v>-0</v>
      </c>
      <c r="CD83" s="138" t="n">
        <f aca="false">-IF(AND(80&gt;=Hipótesis!$D$76,MOD(80,12)=0,CD81=0),MIN(Hipótesis!$D$77*MAX(0,SUM(BS63:CD63)),MAX(0,CD82-Hipótesis!$D$80)),0)</f>
        <v>-0</v>
      </c>
      <c r="CE83" s="138" t="n">
        <f aca="false">-IF(AND(81&gt;=Hipótesis!$D$76,MOD(81,12)=0,CE81=0),MIN(Hipótesis!$D$77*MAX(0,SUM(BT63:CE63)),MAX(0,CE82-Hipótesis!$D$80)),0)</f>
        <v>-0</v>
      </c>
      <c r="CF83" s="138" t="n">
        <f aca="false">-IF(AND(82&gt;=Hipótesis!$D$76,MOD(82,12)=0,CF81=0),MIN(Hipótesis!$D$77*MAX(0,SUM(BU63:CF63)),MAX(0,CF82-Hipótesis!$D$80)),0)</f>
        <v>-0</v>
      </c>
      <c r="CG83" s="138" t="n">
        <f aca="false">-IF(AND(83&gt;=Hipótesis!$D$76,MOD(83,12)=0,CG81=0),MIN(Hipótesis!$D$77*MAX(0,SUM(BV63:CG63)),MAX(0,CG82-Hipótesis!$D$80)),0)</f>
        <v>-0</v>
      </c>
      <c r="CH83" s="138" t="n">
        <f aca="false">-IF(AND(84&gt;=Hipótesis!$D$76,MOD(84,12)=0,CH81=0),MIN(Hipótesis!$D$77*MAX(0,SUM(BW63:CH63)),MAX(0,CH82-Hipótesis!$D$80)),0)</f>
        <v>-285555.959125438</v>
      </c>
    </row>
    <row r="84" customFormat="false" ht="13.5" hidden="false" customHeight="true" outlineLevel="0" collapsed="false">
      <c r="A84" s="30" t="s">
        <v>762</v>
      </c>
      <c r="C84" s="138" t="n">
        <f aca="false">-IF(AND(1&gt;=Hipótesis!$D$78,MOD(1,12)=0,C96=0,C89=0,C101=0,C81=0),MIN(Hipótesis!$D$79*MAX(0,C112),MAX(0,C82+C83-Hipótesis!$D$80)),0)</f>
        <v>-0</v>
      </c>
      <c r="D84" s="138" t="n">
        <f aca="false">-IF(AND(2&gt;=Hipótesis!$D$78,MOD(2,12)=0,D96=0,D89=0,D101=0,D81=0),MIN(Hipótesis!$D$79*MAX(0,D112),MAX(0,D82+D83-Hipótesis!$D$80)),0)</f>
        <v>-0</v>
      </c>
      <c r="E84" s="138" t="n">
        <f aca="false">-IF(AND(3&gt;=Hipótesis!$D$78,MOD(3,12)=0,E96=0,E89=0,E101=0,E81=0),MIN(Hipótesis!$D$79*MAX(0,E112),MAX(0,E82+E83-Hipótesis!$D$80)),0)</f>
        <v>-0</v>
      </c>
      <c r="F84" s="138" t="n">
        <f aca="false">-IF(AND(4&gt;=Hipótesis!$D$78,MOD(4,12)=0,F96=0,F89=0,F101=0,F81=0),MIN(Hipótesis!$D$79*MAX(0,F112),MAX(0,F82+F83-Hipótesis!$D$80)),0)</f>
        <v>-0</v>
      </c>
      <c r="G84" s="138" t="n">
        <f aca="false">-IF(AND(5&gt;=Hipótesis!$D$78,MOD(5,12)=0,G96=0,G89=0,G101=0,G81=0),MIN(Hipótesis!$D$79*MAX(0,G112),MAX(0,G82+G83-Hipótesis!$D$80)),0)</f>
        <v>-0</v>
      </c>
      <c r="H84" s="138" t="n">
        <f aca="false">-IF(AND(6&gt;=Hipótesis!$D$78,MOD(6,12)=0,H96=0,H89=0,H101=0,H81=0),MIN(Hipótesis!$D$79*MAX(0,H112),MAX(0,H82+H83-Hipótesis!$D$80)),0)</f>
        <v>-0</v>
      </c>
      <c r="I84" s="138" t="n">
        <f aca="false">-IF(AND(7&gt;=Hipótesis!$D$78,MOD(7,12)=0,I96=0,I89=0,I101=0,I81=0),MIN(Hipótesis!$D$79*MAX(0,I112),MAX(0,I82+I83-Hipótesis!$D$80)),0)</f>
        <v>-0</v>
      </c>
      <c r="J84" s="138" t="n">
        <f aca="false">-IF(AND(8&gt;=Hipótesis!$D$78,MOD(8,12)=0,J96=0,J89=0,J101=0,J81=0),MIN(Hipótesis!$D$79*MAX(0,J112),MAX(0,J82+J83-Hipótesis!$D$80)),0)</f>
        <v>-0</v>
      </c>
      <c r="K84" s="138" t="n">
        <f aca="false">-IF(AND(9&gt;=Hipótesis!$D$78,MOD(9,12)=0,K96=0,K89=0,K101=0,K81=0),MIN(Hipótesis!$D$79*MAX(0,K112),MAX(0,K82+K83-Hipótesis!$D$80)),0)</f>
        <v>-0</v>
      </c>
      <c r="L84" s="138" t="n">
        <f aca="false">-IF(AND(10&gt;=Hipótesis!$D$78,MOD(10,12)=0,L96=0,L89=0,L101=0,L81=0),MIN(Hipótesis!$D$79*MAX(0,L112),MAX(0,L82+L83-Hipótesis!$D$80)),0)</f>
        <v>-0</v>
      </c>
      <c r="M84" s="138" t="n">
        <f aca="false">-IF(AND(11&gt;=Hipótesis!$D$78,MOD(11,12)=0,M96=0,M89=0,M101=0,M81=0),MIN(Hipótesis!$D$79*MAX(0,M112),MAX(0,M82+M83-Hipótesis!$D$80)),0)</f>
        <v>-0</v>
      </c>
      <c r="N84" s="138" t="n">
        <f aca="false">-IF(AND(12&gt;=Hipótesis!$D$78,MOD(12,12)=0,N96=0,N89=0,N101=0,N81=0),MIN(Hipótesis!$D$79*MAX(0,N112),MAX(0,N82+N83-Hipótesis!$D$80)),0)</f>
        <v>-0</v>
      </c>
      <c r="O84" s="138" t="n">
        <f aca="false">-IF(AND(13&gt;=Hipótesis!$D$78,MOD(13,12)=0,O96=0,O89=0,O101=0,O81=0),MIN(Hipótesis!$D$79*MAX(0,O112),MAX(0,O82+O83-Hipótesis!$D$80)),0)</f>
        <v>-0</v>
      </c>
      <c r="P84" s="138" t="n">
        <f aca="false">-IF(AND(14&gt;=Hipótesis!$D$78,MOD(14,12)=0,P96=0,P89=0,P101=0,P81=0),MIN(Hipótesis!$D$79*MAX(0,P112),MAX(0,P82+P83-Hipótesis!$D$80)),0)</f>
        <v>-0</v>
      </c>
      <c r="Q84" s="138" t="n">
        <f aca="false">-IF(AND(15&gt;=Hipótesis!$D$78,MOD(15,12)=0,Q96=0,Q89=0,Q101=0,Q81=0),MIN(Hipótesis!$D$79*MAX(0,Q112),MAX(0,Q82+Q83-Hipótesis!$D$80)),0)</f>
        <v>-0</v>
      </c>
      <c r="R84" s="138" t="n">
        <f aca="false">-IF(AND(16&gt;=Hipótesis!$D$78,MOD(16,12)=0,R96=0,R89=0,R101=0,R81=0),MIN(Hipótesis!$D$79*MAX(0,R112),MAX(0,R82+R83-Hipótesis!$D$80)),0)</f>
        <v>-0</v>
      </c>
      <c r="S84" s="138" t="n">
        <f aca="false">-IF(AND(17&gt;=Hipótesis!$D$78,MOD(17,12)=0,S96=0,S89=0,S101=0,S81=0),MIN(Hipótesis!$D$79*MAX(0,S112),MAX(0,S82+S83-Hipótesis!$D$80)),0)</f>
        <v>-0</v>
      </c>
      <c r="T84" s="138" t="n">
        <f aca="false">-IF(AND(18&gt;=Hipótesis!$D$78,MOD(18,12)=0,T96=0,T89=0,T101=0,T81=0),MIN(Hipótesis!$D$79*MAX(0,T112),MAX(0,T82+T83-Hipótesis!$D$80)),0)</f>
        <v>-0</v>
      </c>
      <c r="U84" s="138" t="n">
        <f aca="false">-IF(AND(19&gt;=Hipótesis!$D$78,MOD(19,12)=0,U96=0,U89=0,U101=0,U81=0),MIN(Hipótesis!$D$79*MAX(0,U112),MAX(0,U82+U83-Hipótesis!$D$80)),0)</f>
        <v>-0</v>
      </c>
      <c r="V84" s="138" t="n">
        <f aca="false">-IF(AND(20&gt;=Hipótesis!$D$78,MOD(20,12)=0,V96=0,V89=0,V101=0,V81=0),MIN(Hipótesis!$D$79*MAX(0,V112),MAX(0,V82+V83-Hipótesis!$D$80)),0)</f>
        <v>-0</v>
      </c>
      <c r="W84" s="138" t="n">
        <f aca="false">-IF(AND(21&gt;=Hipótesis!$D$78,MOD(21,12)=0,W96=0,W89=0,W101=0,W81=0),MIN(Hipótesis!$D$79*MAX(0,W112),MAX(0,W82+W83-Hipótesis!$D$80)),0)</f>
        <v>-0</v>
      </c>
      <c r="X84" s="138" t="n">
        <f aca="false">-IF(AND(22&gt;=Hipótesis!$D$78,MOD(22,12)=0,X96=0,X89=0,X101=0,X81=0),MIN(Hipótesis!$D$79*MAX(0,X112),MAX(0,X82+X83-Hipótesis!$D$80)),0)</f>
        <v>-0</v>
      </c>
      <c r="Y84" s="138" t="n">
        <f aca="false">-IF(AND(23&gt;=Hipótesis!$D$78,MOD(23,12)=0,Y96=0,Y89=0,Y101=0,Y81=0),MIN(Hipótesis!$D$79*MAX(0,Y112),MAX(0,Y82+Y83-Hipótesis!$D$80)),0)</f>
        <v>-0</v>
      </c>
      <c r="Z84" s="138" t="n">
        <f aca="false">-IF(AND(24&gt;=Hipótesis!$D$78,MOD(24,12)=0,Z96=0,Z89=0,Z101=0,Z81=0),MIN(Hipótesis!$D$79*MAX(0,Z112),MAX(0,Z82+Z83-Hipótesis!$D$80)),0)</f>
        <v>-0</v>
      </c>
      <c r="AA84" s="138" t="n">
        <f aca="false">-IF(AND(25&gt;=Hipótesis!$D$78,MOD(25,12)=0,AA96=0,AA89=0,AA101=0,AA81=0),MIN(Hipótesis!$D$79*MAX(0,AA112),MAX(0,AA82+AA83-Hipótesis!$D$80)),0)</f>
        <v>-0</v>
      </c>
      <c r="AB84" s="138" t="n">
        <f aca="false">-IF(AND(26&gt;=Hipótesis!$D$78,MOD(26,12)=0,AB96=0,AB89=0,AB101=0,AB81=0),MIN(Hipótesis!$D$79*MAX(0,AB112),MAX(0,AB82+AB83-Hipótesis!$D$80)),0)</f>
        <v>-0</v>
      </c>
      <c r="AC84" s="138" t="n">
        <f aca="false">-IF(AND(27&gt;=Hipótesis!$D$78,MOD(27,12)=0,AC96=0,AC89=0,AC101=0,AC81=0),MIN(Hipótesis!$D$79*MAX(0,AC112),MAX(0,AC82+AC83-Hipótesis!$D$80)),0)</f>
        <v>-0</v>
      </c>
      <c r="AD84" s="138" t="n">
        <f aca="false">-IF(AND(28&gt;=Hipótesis!$D$78,MOD(28,12)=0,AD96=0,AD89=0,AD101=0,AD81=0),MIN(Hipótesis!$D$79*MAX(0,AD112),MAX(0,AD82+AD83-Hipótesis!$D$80)),0)</f>
        <v>-0</v>
      </c>
      <c r="AE84" s="138" t="n">
        <f aca="false">-IF(AND(29&gt;=Hipótesis!$D$78,MOD(29,12)=0,AE96=0,AE89=0,AE101=0,AE81=0),MIN(Hipótesis!$D$79*MAX(0,AE112),MAX(0,AE82+AE83-Hipótesis!$D$80)),0)</f>
        <v>-0</v>
      </c>
      <c r="AF84" s="138" t="n">
        <f aca="false">-IF(AND(30&gt;=Hipótesis!$D$78,MOD(30,12)=0,AF96=0,AF89=0,AF101=0,AF81=0),MIN(Hipótesis!$D$79*MAX(0,AF112),MAX(0,AF82+AF83-Hipótesis!$D$80)),0)</f>
        <v>-0</v>
      </c>
      <c r="AG84" s="138" t="n">
        <f aca="false">-IF(AND(31&gt;=Hipótesis!$D$78,MOD(31,12)=0,AG96=0,AG89=0,AG101=0,AG81=0),MIN(Hipótesis!$D$79*MAX(0,AG112),MAX(0,AG82+AG83-Hipótesis!$D$80)),0)</f>
        <v>-0</v>
      </c>
      <c r="AH84" s="138" t="n">
        <f aca="false">-IF(AND(32&gt;=Hipótesis!$D$78,MOD(32,12)=0,AH96=0,AH89=0,AH101=0,AH81=0),MIN(Hipótesis!$D$79*MAX(0,AH112),MAX(0,AH82+AH83-Hipótesis!$D$80)),0)</f>
        <v>-0</v>
      </c>
      <c r="AI84" s="138" t="n">
        <f aca="false">-IF(AND(33&gt;=Hipótesis!$D$78,MOD(33,12)=0,AI96=0,AI89=0,AI101=0,AI81=0),MIN(Hipótesis!$D$79*MAX(0,AI112),MAX(0,AI82+AI83-Hipótesis!$D$80)),0)</f>
        <v>-0</v>
      </c>
      <c r="AJ84" s="138" t="n">
        <f aca="false">-IF(AND(34&gt;=Hipótesis!$D$78,MOD(34,12)=0,AJ96=0,AJ89=0,AJ101=0,AJ81=0),MIN(Hipótesis!$D$79*MAX(0,AJ112),MAX(0,AJ82+AJ83-Hipótesis!$D$80)),0)</f>
        <v>-0</v>
      </c>
      <c r="AK84" s="138" t="n">
        <f aca="false">-IF(AND(35&gt;=Hipótesis!$D$78,MOD(35,12)=0,AK96=0,AK89=0,AK101=0,AK81=0),MIN(Hipótesis!$D$79*MAX(0,AK112),MAX(0,AK82+AK83-Hipótesis!$D$80)),0)</f>
        <v>-0</v>
      </c>
      <c r="AL84" s="138" t="n">
        <f aca="false">-IF(AND(36&gt;=Hipótesis!$D$78,MOD(36,12)=0,AL96=0,AL89=0,AL101=0,AL81=0),MIN(Hipótesis!$D$79*MAX(0,AL112),MAX(0,AL82+AL83-Hipótesis!$D$80)),0)</f>
        <v>-0</v>
      </c>
      <c r="AM84" s="138" t="n">
        <f aca="false">-IF(AND(37&gt;=Hipótesis!$D$78,MOD(37,12)=0,AM96=0,AM89=0,AM101=0,AM81=0),MIN(Hipótesis!$D$79*MAX(0,AM112),MAX(0,AM82+AM83-Hipótesis!$D$80)),0)</f>
        <v>-0</v>
      </c>
      <c r="AN84" s="138" t="n">
        <f aca="false">-IF(AND(38&gt;=Hipótesis!$D$78,MOD(38,12)=0,AN96=0,AN89=0,AN101=0,AN81=0),MIN(Hipótesis!$D$79*MAX(0,AN112),MAX(0,AN82+AN83-Hipótesis!$D$80)),0)</f>
        <v>-0</v>
      </c>
      <c r="AO84" s="138" t="n">
        <f aca="false">-IF(AND(39&gt;=Hipótesis!$D$78,MOD(39,12)=0,AO96=0,AO89=0,AO101=0,AO81=0),MIN(Hipótesis!$D$79*MAX(0,AO112),MAX(0,AO82+AO83-Hipótesis!$D$80)),0)</f>
        <v>-0</v>
      </c>
      <c r="AP84" s="138" t="n">
        <f aca="false">-IF(AND(40&gt;=Hipótesis!$D$78,MOD(40,12)=0,AP96=0,AP89=0,AP101=0,AP81=0),MIN(Hipótesis!$D$79*MAX(0,AP112),MAX(0,AP82+AP83-Hipótesis!$D$80)),0)</f>
        <v>-0</v>
      </c>
      <c r="AQ84" s="138" t="n">
        <f aca="false">-IF(AND(41&gt;=Hipótesis!$D$78,MOD(41,12)=0,AQ96=0,AQ89=0,AQ101=0,AQ81=0),MIN(Hipótesis!$D$79*MAX(0,AQ112),MAX(0,AQ82+AQ83-Hipótesis!$D$80)),0)</f>
        <v>-0</v>
      </c>
      <c r="AR84" s="138" t="n">
        <f aca="false">-IF(AND(42&gt;=Hipótesis!$D$78,MOD(42,12)=0,AR96=0,AR89=0,AR101=0,AR81=0),MIN(Hipótesis!$D$79*MAX(0,AR112),MAX(0,AR82+AR83-Hipótesis!$D$80)),0)</f>
        <v>-0</v>
      </c>
      <c r="AS84" s="138" t="n">
        <f aca="false">-IF(AND(43&gt;=Hipótesis!$D$78,MOD(43,12)=0,AS96=0,AS89=0,AS101=0,AS81=0),MIN(Hipótesis!$D$79*MAX(0,AS112),MAX(0,AS82+AS83-Hipótesis!$D$80)),0)</f>
        <v>-0</v>
      </c>
      <c r="AT84" s="138" t="n">
        <f aca="false">-IF(AND(44&gt;=Hipótesis!$D$78,MOD(44,12)=0,AT96=0,AT89=0,AT101=0,AT81=0),MIN(Hipótesis!$D$79*MAX(0,AT112),MAX(0,AT82+AT83-Hipótesis!$D$80)),0)</f>
        <v>-0</v>
      </c>
      <c r="AU84" s="138" t="n">
        <f aca="false">-IF(AND(45&gt;=Hipótesis!$D$78,MOD(45,12)=0,AU96=0,AU89=0,AU101=0,AU81=0),MIN(Hipótesis!$D$79*MAX(0,AU112),MAX(0,AU82+AU83-Hipótesis!$D$80)),0)</f>
        <v>-0</v>
      </c>
      <c r="AV84" s="138" t="n">
        <f aca="false">-IF(AND(46&gt;=Hipótesis!$D$78,MOD(46,12)=0,AV96=0,AV89=0,AV101=0,AV81=0),MIN(Hipótesis!$D$79*MAX(0,AV112),MAX(0,AV82+AV83-Hipótesis!$D$80)),0)</f>
        <v>-0</v>
      </c>
      <c r="AW84" s="138" t="n">
        <f aca="false">-IF(AND(47&gt;=Hipótesis!$D$78,MOD(47,12)=0,AW96=0,AW89=0,AW101=0,AW81=0),MIN(Hipótesis!$D$79*MAX(0,AW112),MAX(0,AW82+AW83-Hipótesis!$D$80)),0)</f>
        <v>-0</v>
      </c>
      <c r="AX84" s="138" t="n">
        <f aca="false">-IF(AND(48&gt;=Hipótesis!$D$78,MOD(48,12)=0,AX96=0,AX89=0,AX101=0,AX81=0),MIN(Hipótesis!$D$79*MAX(0,AX112),MAX(0,AX82+AX83-Hipótesis!$D$80)),0)</f>
        <v>-0</v>
      </c>
      <c r="AY84" s="138" t="n">
        <f aca="false">-IF(AND(49&gt;=Hipótesis!$D$78,MOD(49,12)=0,AY96=0,AY89=0,AY101=0,AY81=0),MIN(Hipótesis!$D$79*MAX(0,AY112),MAX(0,AY82+AY83-Hipótesis!$D$80)),0)</f>
        <v>-0</v>
      </c>
      <c r="AZ84" s="138" t="n">
        <f aca="false">-IF(AND(50&gt;=Hipótesis!$D$78,MOD(50,12)=0,AZ96=0,AZ89=0,AZ101=0,AZ81=0),MIN(Hipótesis!$D$79*MAX(0,AZ112),MAX(0,AZ82+AZ83-Hipótesis!$D$80)),0)</f>
        <v>-0</v>
      </c>
      <c r="BA84" s="138" t="n">
        <f aca="false">-IF(AND(51&gt;=Hipótesis!$D$78,MOD(51,12)=0,BA96=0,BA89=0,BA101=0,BA81=0),MIN(Hipótesis!$D$79*MAX(0,BA112),MAX(0,BA82+BA83-Hipótesis!$D$80)),0)</f>
        <v>-0</v>
      </c>
      <c r="BB84" s="138" t="n">
        <f aca="false">-IF(AND(52&gt;=Hipótesis!$D$78,MOD(52,12)=0,BB96=0,BB89=0,BB101=0,BB81=0),MIN(Hipótesis!$D$79*MAX(0,BB112),MAX(0,BB82+BB83-Hipótesis!$D$80)),0)</f>
        <v>-0</v>
      </c>
      <c r="BC84" s="138" t="n">
        <f aca="false">-IF(AND(53&gt;=Hipótesis!$D$78,MOD(53,12)=0,BC96=0,BC89=0,BC101=0,BC81=0),MIN(Hipótesis!$D$79*MAX(0,BC112),MAX(0,BC82+BC83-Hipótesis!$D$80)),0)</f>
        <v>-0</v>
      </c>
      <c r="BD84" s="138" t="n">
        <f aca="false">-IF(AND(54&gt;=Hipótesis!$D$78,MOD(54,12)=0,BD96=0,BD89=0,BD101=0,BD81=0),MIN(Hipótesis!$D$79*MAX(0,BD112),MAX(0,BD82+BD83-Hipótesis!$D$80)),0)</f>
        <v>-0</v>
      </c>
      <c r="BE84" s="138" t="n">
        <f aca="false">-IF(AND(55&gt;=Hipótesis!$D$78,MOD(55,12)=0,BE96=0,BE89=0,BE101=0,BE81=0),MIN(Hipótesis!$D$79*MAX(0,BE112),MAX(0,BE82+BE83-Hipótesis!$D$80)),0)</f>
        <v>-0</v>
      </c>
      <c r="BF84" s="138" t="n">
        <f aca="false">-IF(AND(56&gt;=Hipótesis!$D$78,MOD(56,12)=0,BF96=0,BF89=0,BF101=0,BF81=0),MIN(Hipótesis!$D$79*MAX(0,BF112),MAX(0,BF82+BF83-Hipótesis!$D$80)),0)</f>
        <v>-0</v>
      </c>
      <c r="BG84" s="138" t="n">
        <f aca="false">-IF(AND(57&gt;=Hipótesis!$D$78,MOD(57,12)=0,BG96=0,BG89=0,BG101=0,BG81=0),MIN(Hipótesis!$D$79*MAX(0,BG112),MAX(0,BG82+BG83-Hipótesis!$D$80)),0)</f>
        <v>-0</v>
      </c>
      <c r="BH84" s="138" t="n">
        <f aca="false">-IF(AND(58&gt;=Hipótesis!$D$78,MOD(58,12)=0,BH96=0,BH89=0,BH101=0,BH81=0),MIN(Hipótesis!$D$79*MAX(0,BH112),MAX(0,BH82+BH83-Hipótesis!$D$80)),0)</f>
        <v>-0</v>
      </c>
      <c r="BI84" s="138" t="n">
        <f aca="false">-IF(AND(59&gt;=Hipótesis!$D$78,MOD(59,12)=0,BI96=0,BI89=0,BI101=0,BI81=0),MIN(Hipótesis!$D$79*MAX(0,BI112),MAX(0,BI82+BI83-Hipótesis!$D$80)),0)</f>
        <v>-0</v>
      </c>
      <c r="BJ84" s="138" t="n">
        <f aca="false">-IF(AND(60&gt;=Hipótesis!$D$78,MOD(60,12)=0,BJ96=0,BJ89=0,BJ101=0,BJ81=0),MIN(Hipótesis!$D$79*MAX(0,BJ112),MAX(0,BJ82+BJ83-Hipótesis!$D$80)),0)</f>
        <v>-0</v>
      </c>
      <c r="BK84" s="138" t="n">
        <f aca="false">-IF(AND(61&gt;=Hipótesis!$D$78,MOD(61,12)=0,BK96=0,BK89=0,BK101=0,BK81=0),MIN(Hipótesis!$D$79*MAX(0,BK112),MAX(0,BK82+BK83-Hipótesis!$D$80)),0)</f>
        <v>-0</v>
      </c>
      <c r="BL84" s="138" t="n">
        <f aca="false">-IF(AND(62&gt;=Hipótesis!$D$78,MOD(62,12)=0,BL96=0,BL89=0,BL101=0,BL81=0),MIN(Hipótesis!$D$79*MAX(0,BL112),MAX(0,BL82+BL83-Hipótesis!$D$80)),0)</f>
        <v>-0</v>
      </c>
      <c r="BM84" s="138" t="n">
        <f aca="false">-IF(AND(63&gt;=Hipótesis!$D$78,MOD(63,12)=0,BM96=0,BM89=0,BM101=0,BM81=0),MIN(Hipótesis!$D$79*MAX(0,BM112),MAX(0,BM82+BM83-Hipótesis!$D$80)),0)</f>
        <v>-0</v>
      </c>
      <c r="BN84" s="138" t="n">
        <f aca="false">-IF(AND(64&gt;=Hipótesis!$D$78,MOD(64,12)=0,BN96=0,BN89=0,BN101=0,BN81=0),MIN(Hipótesis!$D$79*MAX(0,BN112),MAX(0,BN82+BN83-Hipótesis!$D$80)),0)</f>
        <v>-0</v>
      </c>
      <c r="BO84" s="138" t="n">
        <f aca="false">-IF(AND(65&gt;=Hipótesis!$D$78,MOD(65,12)=0,BO96=0,BO89=0,BO101=0,BO81=0),MIN(Hipótesis!$D$79*MAX(0,BO112),MAX(0,BO82+BO83-Hipótesis!$D$80)),0)</f>
        <v>-0</v>
      </c>
      <c r="BP84" s="138" t="n">
        <f aca="false">-IF(AND(66&gt;=Hipótesis!$D$78,MOD(66,12)=0,BP96=0,BP89=0,BP101=0,BP81=0),MIN(Hipótesis!$D$79*MAX(0,BP112),MAX(0,BP82+BP83-Hipótesis!$D$80)),0)</f>
        <v>-0</v>
      </c>
      <c r="BQ84" s="138" t="n">
        <f aca="false">-IF(AND(67&gt;=Hipótesis!$D$78,MOD(67,12)=0,BQ96=0,BQ89=0,BQ101=0,BQ81=0),MIN(Hipótesis!$D$79*MAX(0,BQ112),MAX(0,BQ82+BQ83-Hipótesis!$D$80)),0)</f>
        <v>-0</v>
      </c>
      <c r="BR84" s="138" t="n">
        <f aca="false">-IF(AND(68&gt;=Hipótesis!$D$78,MOD(68,12)=0,BR96=0,BR89=0,BR101=0,BR81=0),MIN(Hipótesis!$D$79*MAX(0,BR112),MAX(0,BR82+BR83-Hipótesis!$D$80)),0)</f>
        <v>-0</v>
      </c>
      <c r="BS84" s="138" t="n">
        <f aca="false">-IF(AND(69&gt;=Hipótesis!$D$78,MOD(69,12)=0,BS96=0,BS89=0,BS101=0,BS81=0),MIN(Hipótesis!$D$79*MAX(0,BS112),MAX(0,BS82+BS83-Hipótesis!$D$80)),0)</f>
        <v>-0</v>
      </c>
      <c r="BT84" s="138" t="n">
        <f aca="false">-IF(AND(70&gt;=Hipótesis!$D$78,MOD(70,12)=0,BT96=0,BT89=0,BT101=0,BT81=0),MIN(Hipótesis!$D$79*MAX(0,BT112),MAX(0,BT82+BT83-Hipótesis!$D$80)),0)</f>
        <v>-0</v>
      </c>
      <c r="BU84" s="138" t="n">
        <f aca="false">-IF(AND(71&gt;=Hipótesis!$D$78,MOD(71,12)=0,BU96=0,BU89=0,BU101=0,BU81=0),MIN(Hipótesis!$D$79*MAX(0,BU112),MAX(0,BU82+BU83-Hipótesis!$D$80)),0)</f>
        <v>-0</v>
      </c>
      <c r="BV84" s="138" t="n">
        <f aca="false">-IF(AND(72&gt;=Hipótesis!$D$78,MOD(72,12)=0,BV96=0,BV89=0,BV101=0,BV81=0),MIN(Hipótesis!$D$79*MAX(0,BV112),MAX(0,BV82+BV83-Hipótesis!$D$80)),0)</f>
        <v>-0</v>
      </c>
      <c r="BW84" s="138" t="n">
        <f aca="false">-IF(AND(73&gt;=Hipótesis!$D$78,MOD(73,12)=0,BW96=0,BW89=0,BW101=0,BW81=0),MIN(Hipótesis!$D$79*MAX(0,BW112),MAX(0,BW82+BW83-Hipótesis!$D$80)),0)</f>
        <v>-0</v>
      </c>
      <c r="BX84" s="138" t="n">
        <f aca="false">-IF(AND(74&gt;=Hipótesis!$D$78,MOD(74,12)=0,BX96=0,BX89=0,BX101=0,BX81=0),MIN(Hipótesis!$D$79*MAX(0,BX112),MAX(0,BX82+BX83-Hipótesis!$D$80)),0)</f>
        <v>-0</v>
      </c>
      <c r="BY84" s="138" t="n">
        <f aca="false">-IF(AND(75&gt;=Hipótesis!$D$78,MOD(75,12)=0,BY96=0,BY89=0,BY101=0,BY81=0),MIN(Hipótesis!$D$79*MAX(0,BY112),MAX(0,BY82+BY83-Hipótesis!$D$80)),0)</f>
        <v>-0</v>
      </c>
      <c r="BZ84" s="138" t="n">
        <f aca="false">-IF(AND(76&gt;=Hipótesis!$D$78,MOD(76,12)=0,BZ96=0,BZ89=0,BZ101=0,BZ81=0),MIN(Hipótesis!$D$79*MAX(0,BZ112),MAX(0,BZ82+BZ83-Hipótesis!$D$80)),0)</f>
        <v>-0</v>
      </c>
      <c r="CA84" s="138" t="n">
        <f aca="false">-IF(AND(77&gt;=Hipótesis!$D$78,MOD(77,12)=0,CA96=0,CA89=0,CA101=0,CA81=0),MIN(Hipótesis!$D$79*MAX(0,CA112),MAX(0,CA82+CA83-Hipótesis!$D$80)),0)</f>
        <v>-0</v>
      </c>
      <c r="CB84" s="138" t="n">
        <f aca="false">-IF(AND(78&gt;=Hipótesis!$D$78,MOD(78,12)=0,CB96=0,CB89=0,CB101=0,CB81=0),MIN(Hipótesis!$D$79*MAX(0,CB112),MAX(0,CB82+CB83-Hipótesis!$D$80)),0)</f>
        <v>-0</v>
      </c>
      <c r="CC84" s="138" t="n">
        <f aca="false">-IF(AND(79&gt;=Hipótesis!$D$78,MOD(79,12)=0,CC96=0,CC89=0,CC101=0,CC81=0),MIN(Hipótesis!$D$79*MAX(0,CC112),MAX(0,CC82+CC83-Hipótesis!$D$80)),0)</f>
        <v>-0</v>
      </c>
      <c r="CD84" s="138" t="n">
        <f aca="false">-IF(AND(80&gt;=Hipótesis!$D$78,MOD(80,12)=0,CD96=0,CD89=0,CD101=0,CD81=0),MIN(Hipótesis!$D$79*MAX(0,CD112),MAX(0,CD82+CD83-Hipótesis!$D$80)),0)</f>
        <v>-0</v>
      </c>
      <c r="CE84" s="138" t="n">
        <f aca="false">-IF(AND(81&gt;=Hipótesis!$D$78,MOD(81,12)=0,CE96=0,CE89=0,CE101=0,CE81=0),MIN(Hipótesis!$D$79*MAX(0,CE112),MAX(0,CE82+CE83-Hipótesis!$D$80)),0)</f>
        <v>-0</v>
      </c>
      <c r="CF84" s="138" t="n">
        <f aca="false">-IF(AND(82&gt;=Hipótesis!$D$78,MOD(82,12)=0,CF96=0,CF89=0,CF101=0,CF81=0),MIN(Hipótesis!$D$79*MAX(0,CF112),MAX(0,CF82+CF83-Hipótesis!$D$80)),0)</f>
        <v>-0</v>
      </c>
      <c r="CG84" s="138" t="n">
        <f aca="false">-IF(AND(83&gt;=Hipótesis!$D$78,MOD(83,12)=0,CG96=0,CG89=0,CG101=0,CG81=0),MIN(Hipótesis!$D$79*MAX(0,CG112),MAX(0,CG82+CG83-Hipótesis!$D$80)),0)</f>
        <v>-0</v>
      </c>
      <c r="CH84" s="138" t="n">
        <f aca="false">-IF(AND(84&gt;=Hipótesis!$D$78,MOD(84,12)=0,CH96=0,CH89=0,CH101=0,CH81=0),MIN(Hipótesis!$D$79*MAX(0,CH112),MAX(0,CH82+CH83-Hipótesis!$D$80)),0)</f>
        <v>-0</v>
      </c>
    </row>
    <row r="85" customFormat="false" ht="13.5" hidden="false" customHeight="true" outlineLevel="0" collapsed="false">
      <c r="A85" s="30" t="s">
        <v>763</v>
      </c>
      <c r="C85" s="138" t="n">
        <f aca="false">C78+C80+C83+C84</f>
        <v>139476.430459888</v>
      </c>
      <c r="D85" s="138" t="n">
        <f aca="false">D78+D80+D83+D84</f>
        <v>-32311.2497560864</v>
      </c>
      <c r="E85" s="138" t="n">
        <f aca="false">E78+E80+E83+E84</f>
        <v>-23673.3642785929</v>
      </c>
      <c r="F85" s="138" t="n">
        <f aca="false">F78+F80+F83+F84</f>
        <v>-19579.013463991</v>
      </c>
      <c r="G85" s="138" t="n">
        <f aca="false">G78+G80+G83+G84</f>
        <v>-15414.3991115928</v>
      </c>
      <c r="H85" s="138" t="n">
        <f aca="false">H78+H80+H83+H84</f>
        <v>-18495.4018315908</v>
      </c>
      <c r="I85" s="138" t="n">
        <f aca="false">I78+I80+I83+I84</f>
        <v>-3.00201803428081</v>
      </c>
      <c r="J85" s="138" t="n">
        <f aca="false">J78+J80+J83+J84</f>
        <v>0</v>
      </c>
      <c r="K85" s="138" t="n">
        <f aca="false">K78+K80+K83+K84</f>
        <v>0</v>
      </c>
      <c r="L85" s="138" t="n">
        <f aca="false">L78+L80+L83+L84</f>
        <v>0</v>
      </c>
      <c r="M85" s="138" t="n">
        <f aca="false">M78+M80+M83+M84</f>
        <v>12134.2253778111</v>
      </c>
      <c r="N85" s="138" t="n">
        <f aca="false">N78+N80+N83+N84</f>
        <v>15909.1240749894</v>
      </c>
      <c r="O85" s="138" t="n">
        <f aca="false">O78+O80+O83+O84</f>
        <v>17890.8771954114</v>
      </c>
      <c r="P85" s="138" t="n">
        <f aca="false">P78+P80+P83+P84</f>
        <v>21389.1926083176</v>
      </c>
      <c r="Q85" s="138" t="n">
        <f aca="false">Q78+Q80+Q83+Q84</f>
        <v>24868.0938773826</v>
      </c>
      <c r="R85" s="138" t="n">
        <f aca="false">R78+R80+R83+R84</f>
        <v>28346.9951464476</v>
      </c>
      <c r="S85" s="138" t="n">
        <f aca="false">S78+S80+S83+S84</f>
        <v>37913.926371678</v>
      </c>
      <c r="T85" s="138" t="n">
        <f aca="false">T78+T80+T83+T84</f>
        <v>10893.4037050625</v>
      </c>
      <c r="U85" s="138" t="n">
        <f aca="false">U78+U80+U83+U84</f>
        <v>37817.9019241321</v>
      </c>
      <c r="V85" s="138" t="n">
        <f aca="false">V78+V80+V83+V84</f>
        <v>38119.9600219689</v>
      </c>
      <c r="W85" s="138" t="n">
        <f aca="false">W78+W80+W83+W84</f>
        <v>40687.1117198058</v>
      </c>
      <c r="X85" s="138" t="n">
        <f aca="false">X78+X80+X83+X84</f>
        <v>42668.7955562526</v>
      </c>
      <c r="Y85" s="138" t="n">
        <f aca="false">Y78+Y80+Y83+Y84</f>
        <v>44664.4009575998</v>
      </c>
      <c r="Z85" s="138" t="n">
        <f aca="false">Z78+Z80+Z83+Z84</f>
        <v>46438.1680134222</v>
      </c>
      <c r="AA85" s="138" t="n">
        <f aca="false">AA78+AA80+AA83+AA84</f>
        <v>44716.4445257381</v>
      </c>
      <c r="AB85" s="138" t="n">
        <f aca="false">AB78+AB80+AB83+AB84</f>
        <v>46509.1154297428</v>
      </c>
      <c r="AC85" s="138" t="n">
        <f aca="false">AC78+AC80+AC83+AC84</f>
        <v>48301.7863337476</v>
      </c>
      <c r="AD85" s="138" t="n">
        <f aca="false">AD78+AD80+AD83+AD84</f>
        <v>50094.4572377524</v>
      </c>
      <c r="AE85" s="138" t="n">
        <f aca="false">AE78+AE80+AE83+AE84</f>
        <v>58372.4775071088</v>
      </c>
      <c r="AF85" s="138" t="n">
        <f aca="false">AF78+AF80+AF83+AF84</f>
        <v>27832.4407145107</v>
      </c>
      <c r="AG85" s="138" t="n">
        <f aca="false">AG78+AG80+AG83+AG84</f>
        <v>55472.4699497667</v>
      </c>
      <c r="AH85" s="138" t="n">
        <f aca="false">AH78+AH80+AH83+AH84</f>
        <v>55282.0514069715</v>
      </c>
      <c r="AI85" s="138" t="n">
        <f aca="false">AI78+AI80+AI83+AI84</f>
        <v>57074.7223109762</v>
      </c>
      <c r="AJ85" s="138" t="n">
        <f aca="false">AJ78+AJ80+AJ83+AJ84</f>
        <v>58867.393214981</v>
      </c>
      <c r="AK85" s="138" t="n">
        <f aca="false">AK78+AK80+AK83+AK84</f>
        <v>60660.0641189858</v>
      </c>
      <c r="AL85" s="138" t="n">
        <f aca="false">AL78+AL80+AL83+AL84</f>
        <v>62452.7350229906</v>
      </c>
      <c r="AM85" s="138" t="n">
        <f aca="false">AM78+AM80+AM83+AM84</f>
        <v>54634.5357609036</v>
      </c>
      <c r="AN85" s="138" t="n">
        <f aca="false">AN78+AN80+AN83+AN84</f>
        <v>56210.3624552412</v>
      </c>
      <c r="AO85" s="138" t="n">
        <f aca="false">AO78+AO80+AO83+AO84</f>
        <v>57786.1891495789</v>
      </c>
      <c r="AP85" s="138" t="n">
        <f aca="false">AP78+AP80+AP83+AP84</f>
        <v>59362.0158439165</v>
      </c>
      <c r="AQ85" s="138" t="n">
        <f aca="false">AQ78+AQ80+AQ83+AQ84</f>
        <v>69773.2215822558</v>
      </c>
      <c r="AR85" s="138" t="n">
        <f aca="false">AR78+AR80+AR83+AR84</f>
        <v>36666.3109013404</v>
      </c>
      <c r="AS85" s="138" t="n">
        <f aca="false">AS78+AS80+AS83+AS84</f>
        <v>62825.469996233</v>
      </c>
      <c r="AT85" s="138" t="n">
        <f aca="false">AT78+AT80+AT83+AT84</f>
        <v>62829.6366628997</v>
      </c>
      <c r="AU85" s="138" t="n">
        <f aca="false">AU78+AU80+AU83+AU84</f>
        <v>62833.8033295664</v>
      </c>
      <c r="AV85" s="138" t="n">
        <f aca="false">AV78+AV80+AV83+AV84</f>
        <v>62837.9699962331</v>
      </c>
      <c r="AW85" s="138" t="n">
        <f aca="false">AW78+AW80+AW83+AW84</f>
        <v>62842.1366628997</v>
      </c>
      <c r="AX85" s="138" t="n">
        <f aca="false">AX78+AX80+AX83+AX84</f>
        <v>-236704.808472484</v>
      </c>
      <c r="AY85" s="138" t="n">
        <f aca="false">AY78+AY80+AY83+AY84</f>
        <v>61159.8136469742</v>
      </c>
      <c r="AZ85" s="138" t="n">
        <f aca="false">AZ78+AZ80+AZ83+AZ84</f>
        <v>61163.9803136409</v>
      </c>
      <c r="BA85" s="138" t="n">
        <f aca="false">BA78+BA80+BA83+BA84</f>
        <v>61168.1469803076</v>
      </c>
      <c r="BB85" s="138" t="n">
        <f aca="false">BB78+BB80+BB83+BB84</f>
        <v>61172.3136469742</v>
      </c>
      <c r="BC85" s="138" t="n">
        <f aca="false">BC78+BC80+BC83+BC84</f>
        <v>70011.8593576427</v>
      </c>
      <c r="BD85" s="138" t="n">
        <f aca="false">BD78+BD80+BD83+BD84</f>
        <v>35333.2886490563</v>
      </c>
      <c r="BE85" s="138" t="n">
        <f aca="false">BE78+BE80+BE83+BE84</f>
        <v>61184.8136469742</v>
      </c>
      <c r="BF85" s="138" t="n">
        <f aca="false">BF78+BF80+BF83+BF84</f>
        <v>61188.9803136409</v>
      </c>
      <c r="BG85" s="138" t="n">
        <f aca="false">BG78+BG80+BG83+BG84</f>
        <v>61193.1469803076</v>
      </c>
      <c r="BH85" s="138" t="n">
        <f aca="false">BH78+BH80+BH83+BH84</f>
        <v>61197.3136469742</v>
      </c>
      <c r="BI85" s="138" t="n">
        <f aca="false">BI78+BI80+BI83+BI84</f>
        <v>61201.4803136409</v>
      </c>
      <c r="BJ85" s="138" t="n">
        <f aca="false">BJ78+BJ80+BJ83+BJ84</f>
        <v>-240203.303780324</v>
      </c>
      <c r="BK85" s="138" t="n">
        <f aca="false">BK78+BK80+BK83+BK84</f>
        <v>59512.0966072377</v>
      </c>
      <c r="BL85" s="138" t="n">
        <f aca="false">BL78+BL80+BL83+BL84</f>
        <v>59516.2632739043</v>
      </c>
      <c r="BM85" s="138" t="n">
        <f aca="false">BM78+BM80+BM83+BM84</f>
        <v>59520.429940571</v>
      </c>
      <c r="BN85" s="138" t="n">
        <f aca="false">BN78+BN80+BN83+BN84</f>
        <v>59524.5966072377</v>
      </c>
      <c r="BO85" s="138" t="n">
        <f aca="false">BO78+BO80+BO83+BO84</f>
        <v>68364.1423179061</v>
      </c>
      <c r="BP85" s="138" t="n">
        <f aca="false">BP78+BP80+BP83+BP84</f>
        <v>33685.5716093198</v>
      </c>
      <c r="BQ85" s="138" t="n">
        <f aca="false">BQ78+BQ80+BQ83+BQ84</f>
        <v>59537.0966072377</v>
      </c>
      <c r="BR85" s="138" t="n">
        <f aca="false">BR78+BR80+BR83+BR84</f>
        <v>59541.2632739043</v>
      </c>
      <c r="BS85" s="138" t="n">
        <f aca="false">BS78+BS80+BS83+BS84</f>
        <v>59545.429940571</v>
      </c>
      <c r="BT85" s="138" t="n">
        <f aca="false">BT78+BT80+BT83+BT84</f>
        <v>59549.5966072377</v>
      </c>
      <c r="BU85" s="138" t="n">
        <f aca="false">BU78+BU80+BU83+BU84</f>
        <v>59553.7632739043</v>
      </c>
      <c r="BV85" s="138" t="n">
        <f aca="false">BV78+BV80+BV83+BV84</f>
        <v>-233941.979029325</v>
      </c>
      <c r="BW85" s="138" t="n">
        <f aca="false">BW78+BW80+BW83+BW84</f>
        <v>57857.107056309</v>
      </c>
      <c r="BX85" s="138" t="n">
        <f aca="false">BX78+BX80+BX83+BX84</f>
        <v>57861.2737229757</v>
      </c>
      <c r="BY85" s="138" t="n">
        <f aca="false">BY78+BY80+BY83+BY84</f>
        <v>57865.4403896424</v>
      </c>
      <c r="BZ85" s="138" t="n">
        <f aca="false">BZ78+BZ80+BZ83+BZ84</f>
        <v>57869.607056309</v>
      </c>
      <c r="CA85" s="138" t="n">
        <f aca="false">CA78+CA80+CA83+CA84</f>
        <v>66709.1527669774</v>
      </c>
      <c r="CB85" s="138" t="n">
        <f aca="false">CB78+CB80+CB83+CB84</f>
        <v>32030.5820583911</v>
      </c>
      <c r="CC85" s="138" t="n">
        <f aca="false">CC78+CC80+CC83+CC84</f>
        <v>57882.107056309</v>
      </c>
      <c r="CD85" s="138" t="n">
        <f aca="false">CD78+CD80+CD83+CD84</f>
        <v>57886.2737229757</v>
      </c>
      <c r="CE85" s="138" t="n">
        <f aca="false">CE78+CE80+CE83+CE84</f>
        <v>57890.4403896424</v>
      </c>
      <c r="CF85" s="138" t="n">
        <f aca="false">CF78+CF80+CF83+CF84</f>
        <v>57894.607056309</v>
      </c>
      <c r="CG85" s="138" t="n">
        <f aca="false">CG78+CG80+CG83+CG84</f>
        <v>57898.7737229757</v>
      </c>
      <c r="CH85" s="138" t="n">
        <f aca="false">CH78+CH80+CH83+CH84</f>
        <v>-227653.018735796</v>
      </c>
    </row>
    <row r="86" customFormat="false" ht="13.5" hidden="false" customHeight="true" outlineLevel="0" collapsed="false">
      <c r="A86" s="64" t="s">
        <v>764</v>
      </c>
      <c r="C86" s="99" t="n">
        <f aca="false">C85</f>
        <v>139476.430459888</v>
      </c>
      <c r="D86" s="99" t="n">
        <f aca="false">C86+D85</f>
        <v>107165.180703802</v>
      </c>
      <c r="E86" s="99" t="n">
        <f aca="false">D86+E85</f>
        <v>83491.8164252088</v>
      </c>
      <c r="F86" s="99" t="n">
        <f aca="false">E86+F85</f>
        <v>63912.8029612178</v>
      </c>
      <c r="G86" s="99" t="n">
        <f aca="false">F86+G85</f>
        <v>48498.403849625</v>
      </c>
      <c r="H86" s="99" t="n">
        <f aca="false">G86+H85</f>
        <v>30003.0020180343</v>
      </c>
      <c r="I86" s="99" t="n">
        <f aca="false">H86+I85</f>
        <v>30000</v>
      </c>
      <c r="J86" s="99" t="n">
        <f aca="false">I86+J85</f>
        <v>30000</v>
      </c>
      <c r="K86" s="99" t="n">
        <f aca="false">J86+K85</f>
        <v>30000</v>
      </c>
      <c r="L86" s="99" t="n">
        <f aca="false">K86+L85</f>
        <v>30000</v>
      </c>
      <c r="M86" s="99" t="n">
        <f aca="false">L86+M85</f>
        <v>42134.2253778111</v>
      </c>
      <c r="N86" s="99" t="n">
        <f aca="false">M86+N85</f>
        <v>58043.3494528005</v>
      </c>
      <c r="O86" s="99" t="n">
        <f aca="false">N86+O85</f>
        <v>75934.2266482119</v>
      </c>
      <c r="P86" s="99" t="n">
        <f aca="false">O86+P85</f>
        <v>97323.4192565295</v>
      </c>
      <c r="Q86" s="99" t="n">
        <f aca="false">P86+Q85</f>
        <v>122191.513133912</v>
      </c>
      <c r="R86" s="99" t="n">
        <f aca="false">Q86+R85</f>
        <v>150538.50828036</v>
      </c>
      <c r="S86" s="99" t="n">
        <f aca="false">R86+S85</f>
        <v>188452.434652038</v>
      </c>
      <c r="T86" s="99" t="n">
        <f aca="false">S86+T85</f>
        <v>199345.8383571</v>
      </c>
      <c r="U86" s="99" t="n">
        <f aca="false">T86+U85</f>
        <v>237163.740281232</v>
      </c>
      <c r="V86" s="99" t="n">
        <f aca="false">U86+V85</f>
        <v>275283.700303201</v>
      </c>
      <c r="W86" s="99" t="n">
        <f aca="false">V86+W85</f>
        <v>315970.812023007</v>
      </c>
      <c r="X86" s="99" t="n">
        <f aca="false">W86+X85</f>
        <v>358639.60757926</v>
      </c>
      <c r="Y86" s="99" t="n">
        <f aca="false">X86+Y85</f>
        <v>403304.008536859</v>
      </c>
      <c r="Z86" s="99" t="n">
        <f aca="false">Y86+Z85</f>
        <v>449742.176550282</v>
      </c>
      <c r="AA86" s="99" t="n">
        <f aca="false">Z86+AA85</f>
        <v>494458.62107602</v>
      </c>
      <c r="AB86" s="99" t="n">
        <f aca="false">AA86+AB85</f>
        <v>540967.736505762</v>
      </c>
      <c r="AC86" s="99" t="n">
        <f aca="false">AB86+AC85</f>
        <v>589269.52283951</v>
      </c>
      <c r="AD86" s="99" t="n">
        <f aca="false">AC86+AD85</f>
        <v>639363.980077263</v>
      </c>
      <c r="AE86" s="99" t="n">
        <f aca="false">AD86+AE85</f>
        <v>697736.457584371</v>
      </c>
      <c r="AF86" s="99" t="n">
        <f aca="false">AE86+AF85</f>
        <v>725568.898298882</v>
      </c>
      <c r="AG86" s="99" t="n">
        <f aca="false">AF86+AG85</f>
        <v>781041.368248649</v>
      </c>
      <c r="AH86" s="99" t="n">
        <f aca="false">AG86+AH85</f>
        <v>836323.41965562</v>
      </c>
      <c r="AI86" s="99" t="n">
        <f aca="false">AH86+AI85</f>
        <v>893398.141966597</v>
      </c>
      <c r="AJ86" s="99" t="n">
        <f aca="false">AI86+AJ85</f>
        <v>952265.535181578</v>
      </c>
      <c r="AK86" s="99" t="n">
        <f aca="false">AJ86+AK85</f>
        <v>1012925.59930056</v>
      </c>
      <c r="AL86" s="99" t="n">
        <f aca="false">AK86+AL85</f>
        <v>1075378.33432355</v>
      </c>
      <c r="AM86" s="99" t="n">
        <f aca="false">AL86+AM85</f>
        <v>1130012.87008446</v>
      </c>
      <c r="AN86" s="99" t="n">
        <f aca="false">AM86+AN85</f>
        <v>1186223.2325397</v>
      </c>
      <c r="AO86" s="99" t="n">
        <f aca="false">AN86+AO85</f>
        <v>1244009.42168928</v>
      </c>
      <c r="AP86" s="99" t="n">
        <f aca="false">AO86+AP85</f>
        <v>1303371.43753319</v>
      </c>
      <c r="AQ86" s="99" t="n">
        <f aca="false">AP86+AQ85</f>
        <v>1373144.65911545</v>
      </c>
      <c r="AR86" s="99" t="n">
        <f aca="false">AQ86+AR85</f>
        <v>1409810.97001679</v>
      </c>
      <c r="AS86" s="99" t="n">
        <f aca="false">AR86+AS85</f>
        <v>1472636.44001302</v>
      </c>
      <c r="AT86" s="99" t="n">
        <f aca="false">AS86+AT85</f>
        <v>1535466.07667592</v>
      </c>
      <c r="AU86" s="99" t="n">
        <f aca="false">AT86+AU85</f>
        <v>1598299.88000549</v>
      </c>
      <c r="AV86" s="99" t="n">
        <f aca="false">AU86+AV85</f>
        <v>1661137.85000172</v>
      </c>
      <c r="AW86" s="99" t="n">
        <f aca="false">AV86+AW85</f>
        <v>1723979.98666462</v>
      </c>
      <c r="AX86" s="99" t="n">
        <f aca="false">AW86+AX85</f>
        <v>1487275.17819214</v>
      </c>
      <c r="AY86" s="99" t="n">
        <f aca="false">AX86+AY85</f>
        <v>1548434.99183911</v>
      </c>
      <c r="AZ86" s="99" t="n">
        <f aca="false">AY86+AZ85</f>
        <v>1609598.97215275</v>
      </c>
      <c r="BA86" s="99" t="n">
        <f aca="false">AZ86+BA85</f>
        <v>1670767.11913306</v>
      </c>
      <c r="BB86" s="99" t="n">
        <f aca="false">BA86+BB85</f>
        <v>1731939.43278003</v>
      </c>
      <c r="BC86" s="99" t="n">
        <f aca="false">BB86+BC85</f>
        <v>1801951.29213768</v>
      </c>
      <c r="BD86" s="99" t="n">
        <f aca="false">BC86+BD85</f>
        <v>1837284.58078673</v>
      </c>
      <c r="BE86" s="99" t="n">
        <f aca="false">BD86+BE85</f>
        <v>1898469.39443371</v>
      </c>
      <c r="BF86" s="99" t="n">
        <f aca="false">BE86+BF85</f>
        <v>1959658.37474735</v>
      </c>
      <c r="BG86" s="99" t="n">
        <f aca="false">BF86+BG85</f>
        <v>2020851.52172766</v>
      </c>
      <c r="BH86" s="99" t="n">
        <f aca="false">BG86+BH85</f>
        <v>2082048.83537463</v>
      </c>
      <c r="BI86" s="99" t="n">
        <f aca="false">BH86+BI85</f>
        <v>2143250.31568827</v>
      </c>
      <c r="BJ86" s="99" t="n">
        <f aca="false">BI86+BJ85</f>
        <v>1903047.01190795</v>
      </c>
      <c r="BK86" s="99" t="n">
        <f aca="false">BJ86+BK85</f>
        <v>1962559.10851519</v>
      </c>
      <c r="BL86" s="99" t="n">
        <f aca="false">BK86+BL85</f>
        <v>2022075.37178909</v>
      </c>
      <c r="BM86" s="99" t="n">
        <f aca="false">BL86+BM85</f>
        <v>2081595.80172966</v>
      </c>
      <c r="BN86" s="99" t="n">
        <f aca="false">BM86+BN85</f>
        <v>2141120.3983369</v>
      </c>
      <c r="BO86" s="99" t="n">
        <f aca="false">BN86+BO85</f>
        <v>2209484.5406548</v>
      </c>
      <c r="BP86" s="99" t="n">
        <f aca="false">BO86+BP85</f>
        <v>2243170.11226412</v>
      </c>
      <c r="BQ86" s="99" t="n">
        <f aca="false">BP86+BQ85</f>
        <v>2302707.20887136</v>
      </c>
      <c r="BR86" s="99" t="n">
        <f aca="false">BQ86+BR85</f>
        <v>2362248.47214527</v>
      </c>
      <c r="BS86" s="99" t="n">
        <f aca="false">BR86+BS85</f>
        <v>2421793.90208584</v>
      </c>
      <c r="BT86" s="99" t="n">
        <f aca="false">BS86+BT85</f>
        <v>2481343.49869307</v>
      </c>
      <c r="BU86" s="99" t="n">
        <f aca="false">BT86+BU85</f>
        <v>2540897.26196698</v>
      </c>
      <c r="BV86" s="99" t="n">
        <f aca="false">BU86+BV85</f>
        <v>2306955.28293765</v>
      </c>
      <c r="BW86" s="99" t="n">
        <f aca="false">BV86+BW85</f>
        <v>2364812.38999396</v>
      </c>
      <c r="BX86" s="99" t="n">
        <f aca="false">BW86+BX85</f>
        <v>2422673.66371694</v>
      </c>
      <c r="BY86" s="99" t="n">
        <f aca="false">BX86+BY85</f>
        <v>2480539.10410658</v>
      </c>
      <c r="BZ86" s="99" t="n">
        <f aca="false">BY86+BZ85</f>
        <v>2538408.71116289</v>
      </c>
      <c r="CA86" s="99" t="n">
        <f aca="false">BZ86+CA85</f>
        <v>2605117.86392987</v>
      </c>
      <c r="CB86" s="99" t="n">
        <f aca="false">CA86+CB85</f>
        <v>2637148.44598826</v>
      </c>
      <c r="CC86" s="99" t="n">
        <f aca="false">CB86+CC85</f>
        <v>2695030.55304457</v>
      </c>
      <c r="CD86" s="99" t="n">
        <f aca="false">CC86+CD85</f>
        <v>2752916.82676754</v>
      </c>
      <c r="CE86" s="99" t="n">
        <f aca="false">CD86+CE85</f>
        <v>2810807.26715719</v>
      </c>
      <c r="CF86" s="99" t="n">
        <f aca="false">CE86+CF85</f>
        <v>2868701.8742135</v>
      </c>
      <c r="CG86" s="99" t="n">
        <f aca="false">CF86+CG85</f>
        <v>2926600.64793647</v>
      </c>
      <c r="CH86" s="99" t="n">
        <f aca="false">CG86+CH85</f>
        <v>2698947.62920068</v>
      </c>
    </row>
    <row r="87" customFormat="false" ht="13.5" hidden="false" customHeight="true" outlineLevel="0" collapsed="false"/>
    <row r="88" customFormat="false" ht="12.75" hidden="false" customHeight="true" outlineLevel="0" collapsed="false">
      <c r="A88" s="10" t="s">
        <v>765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</row>
    <row r="89" customFormat="false" ht="13.5" hidden="false" customHeight="true" outlineLevel="0" collapsed="false">
      <c r="A89" s="13" t="s">
        <v>766</v>
      </c>
      <c r="C89" s="138" t="n">
        <f aca="false">IF(Hipótesis!$D$94=5,0,Hipótesis!$D$93)</f>
        <v>0</v>
      </c>
      <c r="D89" s="138" t="n">
        <f aca="false">C89-C90</f>
        <v>0</v>
      </c>
      <c r="E89" s="138" t="n">
        <f aca="false">D89-D90</f>
        <v>0</v>
      </c>
      <c r="F89" s="138" t="n">
        <f aca="false">E89-E90</f>
        <v>0</v>
      </c>
      <c r="G89" s="138" t="n">
        <f aca="false">F89-F90</f>
        <v>0</v>
      </c>
      <c r="H89" s="138" t="n">
        <f aca="false">G89-G90</f>
        <v>0</v>
      </c>
      <c r="I89" s="138" t="n">
        <f aca="false">H89-H90</f>
        <v>0</v>
      </c>
      <c r="J89" s="138" t="n">
        <f aca="false">I89-I90</f>
        <v>0</v>
      </c>
      <c r="K89" s="138" t="n">
        <f aca="false">J89-J90</f>
        <v>0</v>
      </c>
      <c r="L89" s="138" t="n">
        <f aca="false">K89-K90</f>
        <v>0</v>
      </c>
      <c r="M89" s="138" t="n">
        <f aca="false">L89-L90</f>
        <v>0</v>
      </c>
      <c r="N89" s="138" t="n">
        <f aca="false">M89-M90</f>
        <v>0</v>
      </c>
      <c r="O89" s="138" t="n">
        <f aca="false">N89-N90</f>
        <v>0</v>
      </c>
      <c r="P89" s="138" t="n">
        <f aca="false">O89-O90</f>
        <v>0</v>
      </c>
      <c r="Q89" s="138" t="n">
        <f aca="false">P89-P90</f>
        <v>0</v>
      </c>
      <c r="R89" s="138" t="n">
        <f aca="false">Q89-Q90</f>
        <v>0</v>
      </c>
      <c r="S89" s="138" t="n">
        <f aca="false">R89-R90</f>
        <v>0</v>
      </c>
      <c r="T89" s="138" t="n">
        <f aca="false">S89-S90</f>
        <v>0</v>
      </c>
      <c r="U89" s="138" t="n">
        <f aca="false">T89-T90</f>
        <v>0</v>
      </c>
      <c r="V89" s="138" t="n">
        <f aca="false">U89-U90</f>
        <v>0</v>
      </c>
      <c r="W89" s="138" t="n">
        <f aca="false">V89-V90</f>
        <v>0</v>
      </c>
      <c r="X89" s="138" t="n">
        <f aca="false">W89-W90</f>
        <v>0</v>
      </c>
      <c r="Y89" s="138" t="n">
        <f aca="false">X89-X90</f>
        <v>0</v>
      </c>
      <c r="Z89" s="138" t="n">
        <f aca="false">Y89-Y90</f>
        <v>0</v>
      </c>
      <c r="AA89" s="138" t="n">
        <f aca="false">Z89-Z90</f>
        <v>0</v>
      </c>
      <c r="AB89" s="138" t="n">
        <f aca="false">AA89-AA90</f>
        <v>0</v>
      </c>
      <c r="AC89" s="138" t="n">
        <f aca="false">AB89-AB90</f>
        <v>0</v>
      </c>
      <c r="AD89" s="138" t="n">
        <f aca="false">AC89-AC90</f>
        <v>0</v>
      </c>
      <c r="AE89" s="138" t="n">
        <f aca="false">AD89-AD90</f>
        <v>0</v>
      </c>
      <c r="AF89" s="138" t="n">
        <f aca="false">AE89-AE90</f>
        <v>0</v>
      </c>
      <c r="AG89" s="138" t="n">
        <f aca="false">AF89-AF90</f>
        <v>0</v>
      </c>
      <c r="AH89" s="138" t="n">
        <f aca="false">AG89-AG90</f>
        <v>0</v>
      </c>
      <c r="AI89" s="138" t="n">
        <f aca="false">AH89-AH90</f>
        <v>0</v>
      </c>
      <c r="AJ89" s="138" t="n">
        <f aca="false">AI89-AI90</f>
        <v>0</v>
      </c>
      <c r="AK89" s="138" t="n">
        <f aca="false">AJ89-AJ90</f>
        <v>0</v>
      </c>
      <c r="AL89" s="138" t="n">
        <f aca="false">AK89-AK90</f>
        <v>0</v>
      </c>
      <c r="AM89" s="138" t="n">
        <f aca="false">AL89-AL90</f>
        <v>0</v>
      </c>
      <c r="AN89" s="138" t="n">
        <f aca="false">AM89-AM90</f>
        <v>0</v>
      </c>
      <c r="AO89" s="138" t="n">
        <f aca="false">AN89-AN90</f>
        <v>0</v>
      </c>
      <c r="AP89" s="138" t="n">
        <f aca="false">AO89-AO90</f>
        <v>0</v>
      </c>
      <c r="AQ89" s="138" t="n">
        <f aca="false">AP89-AP90</f>
        <v>0</v>
      </c>
      <c r="AR89" s="138" t="n">
        <f aca="false">AQ89-AQ90</f>
        <v>0</v>
      </c>
      <c r="AS89" s="138" t="n">
        <f aca="false">AR89-AR90</f>
        <v>0</v>
      </c>
      <c r="AT89" s="138" t="n">
        <f aca="false">AS89-AS90</f>
        <v>0</v>
      </c>
      <c r="AU89" s="138" t="n">
        <f aca="false">AT89-AT90</f>
        <v>0</v>
      </c>
      <c r="AV89" s="138" t="n">
        <f aca="false">AU89-AU90</f>
        <v>0</v>
      </c>
      <c r="AW89" s="138" t="n">
        <f aca="false">AV89-AV90</f>
        <v>0</v>
      </c>
      <c r="AX89" s="138" t="n">
        <f aca="false">AW89-AW90</f>
        <v>0</v>
      </c>
      <c r="AY89" s="138" t="n">
        <f aca="false">AX89-AX90</f>
        <v>0</v>
      </c>
      <c r="AZ89" s="138" t="n">
        <f aca="false">AY89-AY90</f>
        <v>0</v>
      </c>
      <c r="BA89" s="138" t="n">
        <f aca="false">AZ89-AZ90</f>
        <v>0</v>
      </c>
      <c r="BB89" s="138" t="n">
        <f aca="false">BA89-BA90</f>
        <v>0</v>
      </c>
      <c r="BC89" s="138" t="n">
        <f aca="false">BB89-BB90</f>
        <v>0</v>
      </c>
      <c r="BD89" s="138" t="n">
        <f aca="false">BC89-BC90</f>
        <v>0</v>
      </c>
      <c r="BE89" s="138" t="n">
        <f aca="false">BD89-BD90</f>
        <v>0</v>
      </c>
      <c r="BF89" s="138" t="n">
        <f aca="false">BE89-BE90</f>
        <v>0</v>
      </c>
      <c r="BG89" s="138" t="n">
        <f aca="false">BF89-BF90</f>
        <v>0</v>
      </c>
      <c r="BH89" s="138" t="n">
        <f aca="false">BG89-BG90</f>
        <v>0</v>
      </c>
      <c r="BI89" s="138" t="n">
        <f aca="false">BH89-BH90</f>
        <v>0</v>
      </c>
      <c r="BJ89" s="138" t="n">
        <f aca="false">BI89-BI90</f>
        <v>0</v>
      </c>
      <c r="BK89" s="138" t="n">
        <f aca="false">BJ89-BJ90</f>
        <v>0</v>
      </c>
      <c r="BL89" s="138" t="n">
        <f aca="false">BK89-BK90</f>
        <v>0</v>
      </c>
      <c r="BM89" s="138" t="n">
        <f aca="false">BL89-BL90</f>
        <v>0</v>
      </c>
      <c r="BN89" s="138" t="n">
        <f aca="false">BM89-BM90</f>
        <v>0</v>
      </c>
      <c r="BO89" s="138" t="n">
        <f aca="false">BN89-BN90</f>
        <v>0</v>
      </c>
      <c r="BP89" s="138" t="n">
        <f aca="false">BO89-BO90</f>
        <v>0</v>
      </c>
      <c r="BQ89" s="138" t="n">
        <f aca="false">BP89-BP90</f>
        <v>0</v>
      </c>
      <c r="BR89" s="138" t="n">
        <f aca="false">BQ89-BQ90</f>
        <v>0</v>
      </c>
      <c r="BS89" s="138" t="n">
        <f aca="false">BR89-BR90</f>
        <v>0</v>
      </c>
      <c r="BT89" s="138" t="n">
        <f aca="false">BS89-BS90</f>
        <v>0</v>
      </c>
      <c r="BU89" s="138" t="n">
        <f aca="false">BT89-BT90</f>
        <v>0</v>
      </c>
      <c r="BV89" s="138" t="n">
        <f aca="false">BU89-BU90</f>
        <v>0</v>
      </c>
      <c r="BW89" s="138" t="n">
        <f aca="false">BV89-BV90</f>
        <v>0</v>
      </c>
      <c r="BX89" s="138" t="n">
        <f aca="false">BW89-BW90</f>
        <v>0</v>
      </c>
      <c r="BY89" s="138" t="n">
        <f aca="false">BX89-BX90</f>
        <v>0</v>
      </c>
      <c r="BZ89" s="138" t="n">
        <f aca="false">BY89-BY90</f>
        <v>0</v>
      </c>
      <c r="CA89" s="138" t="n">
        <f aca="false">BZ89-BZ90</f>
        <v>0</v>
      </c>
      <c r="CB89" s="138" t="n">
        <f aca="false">CA89-CA90</f>
        <v>0</v>
      </c>
      <c r="CC89" s="138" t="n">
        <f aca="false">CB89-CB90</f>
        <v>0</v>
      </c>
      <c r="CD89" s="138" t="n">
        <f aca="false">CC89-CC90</f>
        <v>0</v>
      </c>
      <c r="CE89" s="138" t="n">
        <f aca="false">CD89-CD90</f>
        <v>0</v>
      </c>
      <c r="CF89" s="138" t="n">
        <f aca="false">CE89-CE90</f>
        <v>0</v>
      </c>
      <c r="CG89" s="138" t="n">
        <f aca="false">CF89-CF90</f>
        <v>0</v>
      </c>
      <c r="CH89" s="138" t="n">
        <f aca="false">CG89-CG90</f>
        <v>0</v>
      </c>
    </row>
    <row r="90" customFormat="false" ht="13.5" hidden="false" customHeight="true" outlineLevel="0" collapsed="false">
      <c r="A90" s="13" t="s">
        <v>767</v>
      </c>
      <c r="C90" s="138" t="n">
        <f aca="false">IF(1&lt;=Hipótesis!$D$97,0,IF(C89&gt;0,MIN(C89,Hipótesis!$D$93/MAX(Hipótesis!$D$96-Hipótesis!$D$97,1)),0))</f>
        <v>0</v>
      </c>
      <c r="D90" s="138" t="n">
        <f aca="false">IF(2&lt;=Hipótesis!$D$97,0,IF(D89&gt;0,MIN(D89,Hipótesis!$D$93/MAX(Hipótesis!$D$96-Hipótesis!$D$97,1)),0))</f>
        <v>0</v>
      </c>
      <c r="E90" s="138" t="n">
        <f aca="false">IF(3&lt;=Hipótesis!$D$97,0,IF(E89&gt;0,MIN(E89,Hipótesis!$D$93/MAX(Hipótesis!$D$96-Hipótesis!$D$97,1)),0))</f>
        <v>0</v>
      </c>
      <c r="F90" s="138" t="n">
        <f aca="false">IF(4&lt;=Hipótesis!$D$97,0,IF(F89&gt;0,MIN(F89,Hipótesis!$D$93/MAX(Hipótesis!$D$96-Hipótesis!$D$97,1)),0))</f>
        <v>0</v>
      </c>
      <c r="G90" s="138" t="n">
        <f aca="false">IF(5&lt;=Hipótesis!$D$97,0,IF(G89&gt;0,MIN(G89,Hipótesis!$D$93/MAX(Hipótesis!$D$96-Hipótesis!$D$97,1)),0))</f>
        <v>0</v>
      </c>
      <c r="H90" s="138" t="n">
        <f aca="false">IF(6&lt;=Hipótesis!$D$97,0,IF(H89&gt;0,MIN(H89,Hipótesis!$D$93/MAX(Hipótesis!$D$96-Hipótesis!$D$97,1)),0))</f>
        <v>0</v>
      </c>
      <c r="I90" s="138" t="n">
        <f aca="false">IF(7&lt;=Hipótesis!$D$97,0,IF(I89&gt;0,MIN(I89,Hipótesis!$D$93/MAX(Hipótesis!$D$96-Hipótesis!$D$97,1)),0))</f>
        <v>0</v>
      </c>
      <c r="J90" s="138" t="n">
        <f aca="false">IF(8&lt;=Hipótesis!$D$97,0,IF(J89&gt;0,MIN(J89,Hipótesis!$D$93/MAX(Hipótesis!$D$96-Hipótesis!$D$97,1)),0))</f>
        <v>0</v>
      </c>
      <c r="K90" s="138" t="n">
        <f aca="false">IF(9&lt;=Hipótesis!$D$97,0,IF(K89&gt;0,MIN(K89,Hipótesis!$D$93/MAX(Hipótesis!$D$96-Hipótesis!$D$97,1)),0))</f>
        <v>0</v>
      </c>
      <c r="L90" s="138" t="n">
        <f aca="false">IF(10&lt;=Hipótesis!$D$97,0,IF(L89&gt;0,MIN(L89,Hipótesis!$D$93/MAX(Hipótesis!$D$96-Hipótesis!$D$97,1)),0))</f>
        <v>0</v>
      </c>
      <c r="M90" s="138" t="n">
        <f aca="false">IF(11&lt;=Hipótesis!$D$97,0,IF(M89&gt;0,MIN(M89,Hipótesis!$D$93/MAX(Hipótesis!$D$96-Hipótesis!$D$97,1)),0))</f>
        <v>0</v>
      </c>
      <c r="N90" s="138" t="n">
        <f aca="false">IF(12&lt;=Hipótesis!$D$97,0,IF(N89&gt;0,MIN(N89,Hipótesis!$D$93/MAX(Hipótesis!$D$96-Hipótesis!$D$97,1)),0))</f>
        <v>0</v>
      </c>
      <c r="O90" s="138" t="n">
        <f aca="false">IF(13&lt;=Hipótesis!$D$97,0,IF(O89&gt;0,MIN(O89,Hipótesis!$D$93/MAX(Hipótesis!$D$96-Hipótesis!$D$97,1)),0))</f>
        <v>0</v>
      </c>
      <c r="P90" s="138" t="n">
        <f aca="false">IF(14&lt;=Hipótesis!$D$97,0,IF(P89&gt;0,MIN(P89,Hipótesis!$D$93/MAX(Hipótesis!$D$96-Hipótesis!$D$97,1)),0))</f>
        <v>0</v>
      </c>
      <c r="Q90" s="138" t="n">
        <f aca="false">IF(15&lt;=Hipótesis!$D$97,0,IF(Q89&gt;0,MIN(Q89,Hipótesis!$D$93/MAX(Hipótesis!$D$96-Hipótesis!$D$97,1)),0))</f>
        <v>0</v>
      </c>
      <c r="R90" s="138" t="n">
        <f aca="false">IF(16&lt;=Hipótesis!$D$97,0,IF(R89&gt;0,MIN(R89,Hipótesis!$D$93/MAX(Hipótesis!$D$96-Hipótesis!$D$97,1)),0))</f>
        <v>0</v>
      </c>
      <c r="S90" s="138" t="n">
        <f aca="false">IF(17&lt;=Hipótesis!$D$97,0,IF(S89&gt;0,MIN(S89,Hipótesis!$D$93/MAX(Hipótesis!$D$96-Hipótesis!$D$97,1)),0))</f>
        <v>0</v>
      </c>
      <c r="T90" s="138" t="n">
        <f aca="false">IF(18&lt;=Hipótesis!$D$97,0,IF(T89&gt;0,MIN(T89,Hipótesis!$D$93/MAX(Hipótesis!$D$96-Hipótesis!$D$97,1)),0))</f>
        <v>0</v>
      </c>
      <c r="U90" s="138" t="n">
        <f aca="false">IF(19&lt;=Hipótesis!$D$97,0,IF(U89&gt;0,MIN(U89,Hipótesis!$D$93/MAX(Hipótesis!$D$96-Hipótesis!$D$97,1)),0))</f>
        <v>0</v>
      </c>
      <c r="V90" s="138" t="n">
        <f aca="false">IF(20&lt;=Hipótesis!$D$97,0,IF(V89&gt;0,MIN(V89,Hipótesis!$D$93/MAX(Hipótesis!$D$96-Hipótesis!$D$97,1)),0))</f>
        <v>0</v>
      </c>
      <c r="W90" s="138" t="n">
        <f aca="false">IF(21&lt;=Hipótesis!$D$97,0,IF(W89&gt;0,MIN(W89,Hipótesis!$D$93/MAX(Hipótesis!$D$96-Hipótesis!$D$97,1)),0))</f>
        <v>0</v>
      </c>
      <c r="X90" s="138" t="n">
        <f aca="false">IF(22&lt;=Hipótesis!$D$97,0,IF(X89&gt;0,MIN(X89,Hipótesis!$D$93/MAX(Hipótesis!$D$96-Hipótesis!$D$97,1)),0))</f>
        <v>0</v>
      </c>
      <c r="Y90" s="138" t="n">
        <f aca="false">IF(23&lt;=Hipótesis!$D$97,0,IF(Y89&gt;0,MIN(Y89,Hipótesis!$D$93/MAX(Hipótesis!$D$96-Hipótesis!$D$97,1)),0))</f>
        <v>0</v>
      </c>
      <c r="Z90" s="138" t="n">
        <f aca="false">IF(24&lt;=Hipótesis!$D$97,0,IF(Z89&gt;0,MIN(Z89,Hipótesis!$D$93/MAX(Hipótesis!$D$96-Hipótesis!$D$97,1)),0))</f>
        <v>0</v>
      </c>
      <c r="AA90" s="138" t="n">
        <f aca="false">IF(25&lt;=Hipótesis!$D$97,0,IF(AA89&gt;0,MIN(AA89,Hipótesis!$D$93/MAX(Hipótesis!$D$96-Hipótesis!$D$97,1)),0))</f>
        <v>0</v>
      </c>
      <c r="AB90" s="138" t="n">
        <f aca="false">IF(26&lt;=Hipótesis!$D$97,0,IF(AB89&gt;0,MIN(AB89,Hipótesis!$D$93/MAX(Hipótesis!$D$96-Hipótesis!$D$97,1)),0))</f>
        <v>0</v>
      </c>
      <c r="AC90" s="138" t="n">
        <f aca="false">IF(27&lt;=Hipótesis!$D$97,0,IF(AC89&gt;0,MIN(AC89,Hipótesis!$D$93/MAX(Hipótesis!$D$96-Hipótesis!$D$97,1)),0))</f>
        <v>0</v>
      </c>
      <c r="AD90" s="138" t="n">
        <f aca="false">IF(28&lt;=Hipótesis!$D$97,0,IF(AD89&gt;0,MIN(AD89,Hipótesis!$D$93/MAX(Hipótesis!$D$96-Hipótesis!$D$97,1)),0))</f>
        <v>0</v>
      </c>
      <c r="AE90" s="138" t="n">
        <f aca="false">IF(29&lt;=Hipótesis!$D$97,0,IF(AE89&gt;0,MIN(AE89,Hipótesis!$D$93/MAX(Hipótesis!$D$96-Hipótesis!$D$97,1)),0))</f>
        <v>0</v>
      </c>
      <c r="AF90" s="138" t="n">
        <f aca="false">IF(30&lt;=Hipótesis!$D$97,0,IF(AF89&gt;0,MIN(AF89,Hipótesis!$D$93/MAX(Hipótesis!$D$96-Hipótesis!$D$97,1)),0))</f>
        <v>0</v>
      </c>
      <c r="AG90" s="138" t="n">
        <f aca="false">IF(31&lt;=Hipótesis!$D$97,0,IF(AG89&gt;0,MIN(AG89,Hipótesis!$D$93/MAX(Hipótesis!$D$96-Hipótesis!$D$97,1)),0))</f>
        <v>0</v>
      </c>
      <c r="AH90" s="138" t="n">
        <f aca="false">IF(32&lt;=Hipótesis!$D$97,0,IF(AH89&gt;0,MIN(AH89,Hipótesis!$D$93/MAX(Hipótesis!$D$96-Hipótesis!$D$97,1)),0))</f>
        <v>0</v>
      </c>
      <c r="AI90" s="138" t="n">
        <f aca="false">IF(33&lt;=Hipótesis!$D$97,0,IF(AI89&gt;0,MIN(AI89,Hipótesis!$D$93/MAX(Hipótesis!$D$96-Hipótesis!$D$97,1)),0))</f>
        <v>0</v>
      </c>
      <c r="AJ90" s="138" t="n">
        <f aca="false">IF(34&lt;=Hipótesis!$D$97,0,IF(AJ89&gt;0,MIN(AJ89,Hipótesis!$D$93/MAX(Hipótesis!$D$96-Hipótesis!$D$97,1)),0))</f>
        <v>0</v>
      </c>
      <c r="AK90" s="138" t="n">
        <f aca="false">IF(35&lt;=Hipótesis!$D$97,0,IF(AK89&gt;0,MIN(AK89,Hipótesis!$D$93/MAX(Hipótesis!$D$96-Hipótesis!$D$97,1)),0))</f>
        <v>0</v>
      </c>
      <c r="AL90" s="138" t="n">
        <f aca="false">IF(36&lt;=Hipótesis!$D$97,0,IF(AL89&gt;0,MIN(AL89,Hipótesis!$D$93/MAX(Hipótesis!$D$96-Hipótesis!$D$97,1)),0))</f>
        <v>0</v>
      </c>
      <c r="AM90" s="138" t="n">
        <f aca="false">IF(37&lt;=Hipótesis!$D$97,0,IF(AM89&gt;0,MIN(AM89,Hipótesis!$D$93/MAX(Hipótesis!$D$96-Hipótesis!$D$97,1)),0))</f>
        <v>0</v>
      </c>
      <c r="AN90" s="138" t="n">
        <f aca="false">IF(38&lt;=Hipótesis!$D$97,0,IF(AN89&gt;0,MIN(AN89,Hipótesis!$D$93/MAX(Hipótesis!$D$96-Hipótesis!$D$97,1)),0))</f>
        <v>0</v>
      </c>
      <c r="AO90" s="138" t="n">
        <f aca="false">IF(39&lt;=Hipótesis!$D$97,0,IF(AO89&gt;0,MIN(AO89,Hipótesis!$D$93/MAX(Hipótesis!$D$96-Hipótesis!$D$97,1)),0))</f>
        <v>0</v>
      </c>
      <c r="AP90" s="138" t="n">
        <f aca="false">IF(40&lt;=Hipótesis!$D$97,0,IF(AP89&gt;0,MIN(AP89,Hipótesis!$D$93/MAX(Hipótesis!$D$96-Hipótesis!$D$97,1)),0))</f>
        <v>0</v>
      </c>
      <c r="AQ90" s="138" t="n">
        <f aca="false">IF(41&lt;=Hipótesis!$D$97,0,IF(AQ89&gt;0,MIN(AQ89,Hipótesis!$D$93/MAX(Hipótesis!$D$96-Hipótesis!$D$97,1)),0))</f>
        <v>0</v>
      </c>
      <c r="AR90" s="138" t="n">
        <f aca="false">IF(42&lt;=Hipótesis!$D$97,0,IF(AR89&gt;0,MIN(AR89,Hipótesis!$D$93/MAX(Hipótesis!$D$96-Hipótesis!$D$97,1)),0))</f>
        <v>0</v>
      </c>
      <c r="AS90" s="138" t="n">
        <f aca="false">IF(43&lt;=Hipótesis!$D$97,0,IF(AS89&gt;0,MIN(AS89,Hipótesis!$D$93/MAX(Hipótesis!$D$96-Hipótesis!$D$97,1)),0))</f>
        <v>0</v>
      </c>
      <c r="AT90" s="138" t="n">
        <f aca="false">IF(44&lt;=Hipótesis!$D$97,0,IF(AT89&gt;0,MIN(AT89,Hipótesis!$D$93/MAX(Hipótesis!$D$96-Hipótesis!$D$97,1)),0))</f>
        <v>0</v>
      </c>
      <c r="AU90" s="138" t="n">
        <f aca="false">IF(45&lt;=Hipótesis!$D$97,0,IF(AU89&gt;0,MIN(AU89,Hipótesis!$D$93/MAX(Hipótesis!$D$96-Hipótesis!$D$97,1)),0))</f>
        <v>0</v>
      </c>
      <c r="AV90" s="138" t="n">
        <f aca="false">IF(46&lt;=Hipótesis!$D$97,0,IF(AV89&gt;0,MIN(AV89,Hipótesis!$D$93/MAX(Hipótesis!$D$96-Hipótesis!$D$97,1)),0))</f>
        <v>0</v>
      </c>
      <c r="AW90" s="138" t="n">
        <f aca="false">IF(47&lt;=Hipótesis!$D$97,0,IF(AW89&gt;0,MIN(AW89,Hipótesis!$D$93/MAX(Hipótesis!$D$96-Hipótesis!$D$97,1)),0))</f>
        <v>0</v>
      </c>
      <c r="AX90" s="138" t="n">
        <f aca="false">IF(48&lt;=Hipótesis!$D$97,0,IF(AX89&gt;0,MIN(AX89,Hipótesis!$D$93/MAX(Hipótesis!$D$96-Hipótesis!$D$97,1)),0))</f>
        <v>0</v>
      </c>
      <c r="AY90" s="138" t="n">
        <f aca="false">IF(49&lt;=Hipótesis!$D$97,0,IF(AY89&gt;0,MIN(AY89,Hipótesis!$D$93/MAX(Hipótesis!$D$96-Hipótesis!$D$97,1)),0))</f>
        <v>0</v>
      </c>
      <c r="AZ90" s="138" t="n">
        <f aca="false">IF(50&lt;=Hipótesis!$D$97,0,IF(AZ89&gt;0,MIN(AZ89,Hipótesis!$D$93/MAX(Hipótesis!$D$96-Hipótesis!$D$97,1)),0))</f>
        <v>0</v>
      </c>
      <c r="BA90" s="138" t="n">
        <f aca="false">IF(51&lt;=Hipótesis!$D$97,0,IF(BA89&gt;0,MIN(BA89,Hipótesis!$D$93/MAX(Hipótesis!$D$96-Hipótesis!$D$97,1)),0))</f>
        <v>0</v>
      </c>
      <c r="BB90" s="138" t="n">
        <f aca="false">IF(52&lt;=Hipótesis!$D$97,0,IF(BB89&gt;0,MIN(BB89,Hipótesis!$D$93/MAX(Hipótesis!$D$96-Hipótesis!$D$97,1)),0))</f>
        <v>0</v>
      </c>
      <c r="BC90" s="138" t="n">
        <f aca="false">IF(53&lt;=Hipótesis!$D$97,0,IF(BC89&gt;0,MIN(BC89,Hipótesis!$D$93/MAX(Hipótesis!$D$96-Hipótesis!$D$97,1)),0))</f>
        <v>0</v>
      </c>
      <c r="BD90" s="138" t="n">
        <f aca="false">IF(54&lt;=Hipótesis!$D$97,0,IF(BD89&gt;0,MIN(BD89,Hipótesis!$D$93/MAX(Hipótesis!$D$96-Hipótesis!$D$97,1)),0))</f>
        <v>0</v>
      </c>
      <c r="BE90" s="138" t="n">
        <f aca="false">IF(55&lt;=Hipótesis!$D$97,0,IF(BE89&gt;0,MIN(BE89,Hipótesis!$D$93/MAX(Hipótesis!$D$96-Hipótesis!$D$97,1)),0))</f>
        <v>0</v>
      </c>
      <c r="BF90" s="138" t="n">
        <f aca="false">IF(56&lt;=Hipótesis!$D$97,0,IF(BF89&gt;0,MIN(BF89,Hipótesis!$D$93/MAX(Hipótesis!$D$96-Hipótesis!$D$97,1)),0))</f>
        <v>0</v>
      </c>
      <c r="BG90" s="138" t="n">
        <f aca="false">IF(57&lt;=Hipótesis!$D$97,0,IF(BG89&gt;0,MIN(BG89,Hipótesis!$D$93/MAX(Hipótesis!$D$96-Hipótesis!$D$97,1)),0))</f>
        <v>0</v>
      </c>
      <c r="BH90" s="138" t="n">
        <f aca="false">IF(58&lt;=Hipótesis!$D$97,0,IF(BH89&gt;0,MIN(BH89,Hipótesis!$D$93/MAX(Hipótesis!$D$96-Hipótesis!$D$97,1)),0))</f>
        <v>0</v>
      </c>
      <c r="BI90" s="138" t="n">
        <f aca="false">IF(59&lt;=Hipótesis!$D$97,0,IF(BI89&gt;0,MIN(BI89,Hipótesis!$D$93/MAX(Hipótesis!$D$96-Hipótesis!$D$97,1)),0))</f>
        <v>0</v>
      </c>
      <c r="BJ90" s="138" t="n">
        <f aca="false">IF(60&lt;=Hipótesis!$D$97,0,IF(BJ89&gt;0,MIN(BJ89,Hipótesis!$D$93/MAX(Hipótesis!$D$96-Hipótesis!$D$97,1)),0))</f>
        <v>0</v>
      </c>
      <c r="BK90" s="138" t="n">
        <f aca="false">IF(61&lt;=Hipótesis!$D$97,0,IF(BK89&gt;0,MIN(BK89,Hipótesis!$D$93/MAX(Hipótesis!$D$96-Hipótesis!$D$97,1)),0))</f>
        <v>0</v>
      </c>
      <c r="BL90" s="138" t="n">
        <f aca="false">IF(62&lt;=Hipótesis!$D$97,0,IF(BL89&gt;0,MIN(BL89,Hipótesis!$D$93/MAX(Hipótesis!$D$96-Hipótesis!$D$97,1)),0))</f>
        <v>0</v>
      </c>
      <c r="BM90" s="138" t="n">
        <f aca="false">IF(63&lt;=Hipótesis!$D$97,0,IF(BM89&gt;0,MIN(BM89,Hipótesis!$D$93/MAX(Hipótesis!$D$96-Hipótesis!$D$97,1)),0))</f>
        <v>0</v>
      </c>
      <c r="BN90" s="138" t="n">
        <f aca="false">IF(64&lt;=Hipótesis!$D$97,0,IF(BN89&gt;0,MIN(BN89,Hipótesis!$D$93/MAX(Hipótesis!$D$96-Hipótesis!$D$97,1)),0))</f>
        <v>0</v>
      </c>
      <c r="BO90" s="138" t="n">
        <f aca="false">IF(65&lt;=Hipótesis!$D$97,0,IF(BO89&gt;0,MIN(BO89,Hipótesis!$D$93/MAX(Hipótesis!$D$96-Hipótesis!$D$97,1)),0))</f>
        <v>0</v>
      </c>
      <c r="BP90" s="138" t="n">
        <f aca="false">IF(66&lt;=Hipótesis!$D$97,0,IF(BP89&gt;0,MIN(BP89,Hipótesis!$D$93/MAX(Hipótesis!$D$96-Hipótesis!$D$97,1)),0))</f>
        <v>0</v>
      </c>
      <c r="BQ90" s="138" t="n">
        <f aca="false">IF(67&lt;=Hipótesis!$D$97,0,IF(BQ89&gt;0,MIN(BQ89,Hipótesis!$D$93/MAX(Hipótesis!$D$96-Hipótesis!$D$97,1)),0))</f>
        <v>0</v>
      </c>
      <c r="BR90" s="138" t="n">
        <f aca="false">IF(68&lt;=Hipótesis!$D$97,0,IF(BR89&gt;0,MIN(BR89,Hipótesis!$D$93/MAX(Hipótesis!$D$96-Hipótesis!$D$97,1)),0))</f>
        <v>0</v>
      </c>
      <c r="BS90" s="138" t="n">
        <f aca="false">IF(69&lt;=Hipótesis!$D$97,0,IF(BS89&gt;0,MIN(BS89,Hipótesis!$D$93/MAX(Hipótesis!$D$96-Hipótesis!$D$97,1)),0))</f>
        <v>0</v>
      </c>
      <c r="BT90" s="138" t="n">
        <f aca="false">IF(70&lt;=Hipótesis!$D$97,0,IF(BT89&gt;0,MIN(BT89,Hipótesis!$D$93/MAX(Hipótesis!$D$96-Hipótesis!$D$97,1)),0))</f>
        <v>0</v>
      </c>
      <c r="BU90" s="138" t="n">
        <f aca="false">IF(71&lt;=Hipótesis!$D$97,0,IF(BU89&gt;0,MIN(BU89,Hipótesis!$D$93/MAX(Hipótesis!$D$96-Hipótesis!$D$97,1)),0))</f>
        <v>0</v>
      </c>
      <c r="BV90" s="138" t="n">
        <f aca="false">IF(72&lt;=Hipótesis!$D$97,0,IF(BV89&gt;0,MIN(BV89,Hipótesis!$D$93/MAX(Hipótesis!$D$96-Hipótesis!$D$97,1)),0))</f>
        <v>0</v>
      </c>
      <c r="BW90" s="138" t="n">
        <f aca="false">IF(73&lt;=Hipótesis!$D$97,0,IF(BW89&gt;0,MIN(BW89,Hipótesis!$D$93/MAX(Hipótesis!$D$96-Hipótesis!$D$97,1)),0))</f>
        <v>0</v>
      </c>
      <c r="BX90" s="138" t="n">
        <f aca="false">IF(74&lt;=Hipótesis!$D$97,0,IF(BX89&gt;0,MIN(BX89,Hipótesis!$D$93/MAX(Hipótesis!$D$96-Hipótesis!$D$97,1)),0))</f>
        <v>0</v>
      </c>
      <c r="BY90" s="138" t="n">
        <f aca="false">IF(75&lt;=Hipótesis!$D$97,0,IF(BY89&gt;0,MIN(BY89,Hipótesis!$D$93/MAX(Hipótesis!$D$96-Hipótesis!$D$97,1)),0))</f>
        <v>0</v>
      </c>
      <c r="BZ90" s="138" t="n">
        <f aca="false">IF(76&lt;=Hipótesis!$D$97,0,IF(BZ89&gt;0,MIN(BZ89,Hipótesis!$D$93/MAX(Hipótesis!$D$96-Hipótesis!$D$97,1)),0))</f>
        <v>0</v>
      </c>
      <c r="CA90" s="138" t="n">
        <f aca="false">IF(77&lt;=Hipótesis!$D$97,0,IF(CA89&gt;0,MIN(CA89,Hipótesis!$D$93/MAX(Hipótesis!$D$96-Hipótesis!$D$97,1)),0))</f>
        <v>0</v>
      </c>
      <c r="CB90" s="138" t="n">
        <f aca="false">IF(78&lt;=Hipótesis!$D$97,0,IF(CB89&gt;0,MIN(CB89,Hipótesis!$D$93/MAX(Hipótesis!$D$96-Hipótesis!$D$97,1)),0))</f>
        <v>0</v>
      </c>
      <c r="CC90" s="138" t="n">
        <f aca="false">IF(79&lt;=Hipótesis!$D$97,0,IF(CC89&gt;0,MIN(CC89,Hipótesis!$D$93/MAX(Hipótesis!$D$96-Hipótesis!$D$97,1)),0))</f>
        <v>0</v>
      </c>
      <c r="CD90" s="138" t="n">
        <f aca="false">IF(80&lt;=Hipótesis!$D$97,0,IF(CD89&gt;0,MIN(CD89,Hipótesis!$D$93/MAX(Hipótesis!$D$96-Hipótesis!$D$97,1)),0))</f>
        <v>0</v>
      </c>
      <c r="CE90" s="138" t="n">
        <f aca="false">IF(81&lt;=Hipótesis!$D$97,0,IF(CE89&gt;0,MIN(CE89,Hipótesis!$D$93/MAX(Hipótesis!$D$96-Hipótesis!$D$97,1)),0))</f>
        <v>0</v>
      </c>
      <c r="CF90" s="138" t="n">
        <f aca="false">IF(82&lt;=Hipótesis!$D$97,0,IF(CF89&gt;0,MIN(CF89,Hipótesis!$D$93/MAX(Hipótesis!$D$96-Hipótesis!$D$97,1)),0))</f>
        <v>0</v>
      </c>
      <c r="CG90" s="138" t="n">
        <f aca="false">IF(83&lt;=Hipótesis!$D$97,0,IF(CG89&gt;0,MIN(CG89,Hipótesis!$D$93/MAX(Hipótesis!$D$96-Hipótesis!$D$97,1)),0))</f>
        <v>0</v>
      </c>
      <c r="CH90" s="138" t="n">
        <f aca="false">IF(84&lt;=Hipótesis!$D$97,0,IF(CH89&gt;0,MIN(CH89,Hipótesis!$D$93/MAX(Hipótesis!$D$96-Hipótesis!$D$97,1)),0))</f>
        <v>0</v>
      </c>
    </row>
    <row r="91" customFormat="false" ht="13.5" hidden="false" customHeight="true" outlineLevel="0" collapsed="false">
      <c r="A91" s="13" t="s">
        <v>768</v>
      </c>
      <c r="C91" s="138" t="n">
        <f aca="false">C89*Hipótesis!$D$95/12</f>
        <v>0</v>
      </c>
      <c r="D91" s="138" t="n">
        <f aca="false">D89*Hipótesis!$D$95/12</f>
        <v>0</v>
      </c>
      <c r="E91" s="138" t="n">
        <f aca="false">E89*Hipótesis!$D$95/12</f>
        <v>0</v>
      </c>
      <c r="F91" s="138" t="n">
        <f aca="false">F89*Hipótesis!$D$95/12</f>
        <v>0</v>
      </c>
      <c r="G91" s="138" t="n">
        <f aca="false">G89*Hipótesis!$D$95/12</f>
        <v>0</v>
      </c>
      <c r="H91" s="138" t="n">
        <f aca="false">H89*Hipótesis!$D$95/12</f>
        <v>0</v>
      </c>
      <c r="I91" s="138" t="n">
        <f aca="false">I89*Hipótesis!$D$95/12</f>
        <v>0</v>
      </c>
      <c r="J91" s="138" t="n">
        <f aca="false">J89*Hipótesis!$D$95/12</f>
        <v>0</v>
      </c>
      <c r="K91" s="138" t="n">
        <f aca="false">K89*Hipótesis!$D$95/12</f>
        <v>0</v>
      </c>
      <c r="L91" s="138" t="n">
        <f aca="false">L89*Hipótesis!$D$95/12</f>
        <v>0</v>
      </c>
      <c r="M91" s="138" t="n">
        <f aca="false">M89*Hipótesis!$D$95/12</f>
        <v>0</v>
      </c>
      <c r="N91" s="138" t="n">
        <f aca="false">N89*Hipótesis!$D$95/12</f>
        <v>0</v>
      </c>
      <c r="O91" s="138" t="n">
        <f aca="false">O89*Hipótesis!$D$95/12</f>
        <v>0</v>
      </c>
      <c r="P91" s="138" t="n">
        <f aca="false">P89*Hipótesis!$D$95/12</f>
        <v>0</v>
      </c>
      <c r="Q91" s="138" t="n">
        <f aca="false">Q89*Hipótesis!$D$95/12</f>
        <v>0</v>
      </c>
      <c r="R91" s="138" t="n">
        <f aca="false">R89*Hipótesis!$D$95/12</f>
        <v>0</v>
      </c>
      <c r="S91" s="138" t="n">
        <f aca="false">S89*Hipótesis!$D$95/12</f>
        <v>0</v>
      </c>
      <c r="T91" s="138" t="n">
        <f aca="false">T89*Hipótesis!$D$95/12</f>
        <v>0</v>
      </c>
      <c r="U91" s="138" t="n">
        <f aca="false">U89*Hipótesis!$D$95/12</f>
        <v>0</v>
      </c>
      <c r="V91" s="138" t="n">
        <f aca="false">V89*Hipótesis!$D$95/12</f>
        <v>0</v>
      </c>
      <c r="W91" s="138" t="n">
        <f aca="false">W89*Hipótesis!$D$95/12</f>
        <v>0</v>
      </c>
      <c r="X91" s="138" t="n">
        <f aca="false">X89*Hipótesis!$D$95/12</f>
        <v>0</v>
      </c>
      <c r="Y91" s="138" t="n">
        <f aca="false">Y89*Hipótesis!$D$95/12</f>
        <v>0</v>
      </c>
      <c r="Z91" s="138" t="n">
        <f aca="false">Z89*Hipótesis!$D$95/12</f>
        <v>0</v>
      </c>
      <c r="AA91" s="138" t="n">
        <f aca="false">AA89*Hipótesis!$D$95/12</f>
        <v>0</v>
      </c>
      <c r="AB91" s="138" t="n">
        <f aca="false">AB89*Hipótesis!$D$95/12</f>
        <v>0</v>
      </c>
      <c r="AC91" s="138" t="n">
        <f aca="false">AC89*Hipótesis!$D$95/12</f>
        <v>0</v>
      </c>
      <c r="AD91" s="138" t="n">
        <f aca="false">AD89*Hipótesis!$D$95/12</f>
        <v>0</v>
      </c>
      <c r="AE91" s="138" t="n">
        <f aca="false">AE89*Hipótesis!$D$95/12</f>
        <v>0</v>
      </c>
      <c r="AF91" s="138" t="n">
        <f aca="false">AF89*Hipótesis!$D$95/12</f>
        <v>0</v>
      </c>
      <c r="AG91" s="138" t="n">
        <f aca="false">AG89*Hipótesis!$D$95/12</f>
        <v>0</v>
      </c>
      <c r="AH91" s="138" t="n">
        <f aca="false">AH89*Hipótesis!$D$95/12</f>
        <v>0</v>
      </c>
      <c r="AI91" s="138" t="n">
        <f aca="false">AI89*Hipótesis!$D$95/12</f>
        <v>0</v>
      </c>
      <c r="AJ91" s="138" t="n">
        <f aca="false">AJ89*Hipótesis!$D$95/12</f>
        <v>0</v>
      </c>
      <c r="AK91" s="138" t="n">
        <f aca="false">AK89*Hipótesis!$D$95/12</f>
        <v>0</v>
      </c>
      <c r="AL91" s="138" t="n">
        <f aca="false">AL89*Hipótesis!$D$95/12</f>
        <v>0</v>
      </c>
      <c r="AM91" s="138" t="n">
        <f aca="false">AM89*Hipótesis!$D$95/12</f>
        <v>0</v>
      </c>
      <c r="AN91" s="138" t="n">
        <f aca="false">AN89*Hipótesis!$D$95/12</f>
        <v>0</v>
      </c>
      <c r="AO91" s="138" t="n">
        <f aca="false">AO89*Hipótesis!$D$95/12</f>
        <v>0</v>
      </c>
      <c r="AP91" s="138" t="n">
        <f aca="false">AP89*Hipótesis!$D$95/12</f>
        <v>0</v>
      </c>
      <c r="AQ91" s="138" t="n">
        <f aca="false">AQ89*Hipótesis!$D$95/12</f>
        <v>0</v>
      </c>
      <c r="AR91" s="138" t="n">
        <f aca="false">AR89*Hipótesis!$D$95/12</f>
        <v>0</v>
      </c>
      <c r="AS91" s="138" t="n">
        <f aca="false">AS89*Hipótesis!$D$95/12</f>
        <v>0</v>
      </c>
      <c r="AT91" s="138" t="n">
        <f aca="false">AT89*Hipótesis!$D$95/12</f>
        <v>0</v>
      </c>
      <c r="AU91" s="138" t="n">
        <f aca="false">AU89*Hipótesis!$D$95/12</f>
        <v>0</v>
      </c>
      <c r="AV91" s="138" t="n">
        <f aca="false">AV89*Hipótesis!$D$95/12</f>
        <v>0</v>
      </c>
      <c r="AW91" s="138" t="n">
        <f aca="false">AW89*Hipótesis!$D$95/12</f>
        <v>0</v>
      </c>
      <c r="AX91" s="138" t="n">
        <f aca="false">AX89*Hipótesis!$D$95/12</f>
        <v>0</v>
      </c>
      <c r="AY91" s="138" t="n">
        <f aca="false">AY89*Hipótesis!$D$95/12</f>
        <v>0</v>
      </c>
      <c r="AZ91" s="138" t="n">
        <f aca="false">AZ89*Hipótesis!$D$95/12</f>
        <v>0</v>
      </c>
      <c r="BA91" s="138" t="n">
        <f aca="false">BA89*Hipótesis!$D$95/12</f>
        <v>0</v>
      </c>
      <c r="BB91" s="138" t="n">
        <f aca="false">BB89*Hipótesis!$D$95/12</f>
        <v>0</v>
      </c>
      <c r="BC91" s="138" t="n">
        <f aca="false">BC89*Hipótesis!$D$95/12</f>
        <v>0</v>
      </c>
      <c r="BD91" s="138" t="n">
        <f aca="false">BD89*Hipótesis!$D$95/12</f>
        <v>0</v>
      </c>
      <c r="BE91" s="138" t="n">
        <f aca="false">BE89*Hipótesis!$D$95/12</f>
        <v>0</v>
      </c>
      <c r="BF91" s="138" t="n">
        <f aca="false">BF89*Hipótesis!$D$95/12</f>
        <v>0</v>
      </c>
      <c r="BG91" s="138" t="n">
        <f aca="false">BG89*Hipótesis!$D$95/12</f>
        <v>0</v>
      </c>
      <c r="BH91" s="138" t="n">
        <f aca="false">BH89*Hipótesis!$D$95/12</f>
        <v>0</v>
      </c>
      <c r="BI91" s="138" t="n">
        <f aca="false">BI89*Hipótesis!$D$95/12</f>
        <v>0</v>
      </c>
      <c r="BJ91" s="138" t="n">
        <f aca="false">BJ89*Hipótesis!$D$95/12</f>
        <v>0</v>
      </c>
      <c r="BK91" s="138" t="n">
        <f aca="false">BK89*Hipótesis!$D$95/12</f>
        <v>0</v>
      </c>
      <c r="BL91" s="138" t="n">
        <f aca="false">BL89*Hipótesis!$D$95/12</f>
        <v>0</v>
      </c>
      <c r="BM91" s="138" t="n">
        <f aca="false">BM89*Hipótesis!$D$95/12</f>
        <v>0</v>
      </c>
      <c r="BN91" s="138" t="n">
        <f aca="false">BN89*Hipótesis!$D$95/12</f>
        <v>0</v>
      </c>
      <c r="BO91" s="138" t="n">
        <f aca="false">BO89*Hipótesis!$D$95/12</f>
        <v>0</v>
      </c>
      <c r="BP91" s="138" t="n">
        <f aca="false">BP89*Hipótesis!$D$95/12</f>
        <v>0</v>
      </c>
      <c r="BQ91" s="138" t="n">
        <f aca="false">BQ89*Hipótesis!$D$95/12</f>
        <v>0</v>
      </c>
      <c r="BR91" s="138" t="n">
        <f aca="false">BR89*Hipótesis!$D$95/12</f>
        <v>0</v>
      </c>
      <c r="BS91" s="138" t="n">
        <f aca="false">BS89*Hipótesis!$D$95/12</f>
        <v>0</v>
      </c>
      <c r="BT91" s="138" t="n">
        <f aca="false">BT89*Hipótesis!$D$95/12</f>
        <v>0</v>
      </c>
      <c r="BU91" s="138" t="n">
        <f aca="false">BU89*Hipótesis!$D$95/12</f>
        <v>0</v>
      </c>
      <c r="BV91" s="138" t="n">
        <f aca="false">BV89*Hipótesis!$D$95/12</f>
        <v>0</v>
      </c>
      <c r="BW91" s="138" t="n">
        <f aca="false">BW89*Hipótesis!$D$95/12</f>
        <v>0</v>
      </c>
      <c r="BX91" s="138" t="n">
        <f aca="false">BX89*Hipótesis!$D$95/12</f>
        <v>0</v>
      </c>
      <c r="BY91" s="138" t="n">
        <f aca="false">BY89*Hipótesis!$D$95/12</f>
        <v>0</v>
      </c>
      <c r="BZ91" s="138" t="n">
        <f aca="false">BZ89*Hipótesis!$D$95/12</f>
        <v>0</v>
      </c>
      <c r="CA91" s="138" t="n">
        <f aca="false">CA89*Hipótesis!$D$95/12</f>
        <v>0</v>
      </c>
      <c r="CB91" s="138" t="n">
        <f aca="false">CB89*Hipótesis!$D$95/12</f>
        <v>0</v>
      </c>
      <c r="CC91" s="138" t="n">
        <f aca="false">CC89*Hipótesis!$D$95/12</f>
        <v>0</v>
      </c>
      <c r="CD91" s="138" t="n">
        <f aca="false">CD89*Hipótesis!$D$95/12</f>
        <v>0</v>
      </c>
      <c r="CE91" s="138" t="n">
        <f aca="false">CE89*Hipótesis!$D$95/12</f>
        <v>0</v>
      </c>
      <c r="CF91" s="138" t="n">
        <f aca="false">CF89*Hipótesis!$D$95/12</f>
        <v>0</v>
      </c>
      <c r="CG91" s="138" t="n">
        <f aca="false">CG89*Hipótesis!$D$95/12</f>
        <v>0</v>
      </c>
      <c r="CH91" s="138" t="n">
        <f aca="false">CH89*Hipótesis!$D$95/12</f>
        <v>0</v>
      </c>
    </row>
    <row r="92" customFormat="false" ht="13.5" hidden="false" customHeight="true" outlineLevel="0" collapsed="false">
      <c r="A92" s="13" t="s">
        <v>769</v>
      </c>
      <c r="C92" s="138" t="n">
        <f aca="false">IF(Hipótesis!$D$94=5,0,IF(Hipótesis!$D$94=1,C90+C91,IF(Hipótesis!$D$94=2,C90+C91+IF(C89&gt;0,Hipótesis!$D$98*MAX(0,C56),0),IF(Hipótesis!$D$94=3,Hipótesis!$D$99*MAX(0,C56),Hipótesis!$D$100*C36))))</f>
        <v>0</v>
      </c>
      <c r="D92" s="138" t="n">
        <f aca="false">IF(Hipótesis!$D$94=5,0,IF(Hipótesis!$D$94=1,D90+D91,IF(Hipótesis!$D$94=2,D90+D91+IF(D89&gt;0,Hipótesis!$D$98*MAX(0,D56),0),IF(Hipótesis!$D$94=3,Hipótesis!$D$99*MAX(0,D56),Hipótesis!$D$100*D36))))</f>
        <v>0</v>
      </c>
      <c r="E92" s="138" t="n">
        <f aca="false">IF(Hipótesis!$D$94=5,0,IF(Hipótesis!$D$94=1,E90+E91,IF(Hipótesis!$D$94=2,E90+E91+IF(E89&gt;0,Hipótesis!$D$98*MAX(0,E56),0),IF(Hipótesis!$D$94=3,Hipótesis!$D$99*MAX(0,E56),Hipótesis!$D$100*E36))))</f>
        <v>0</v>
      </c>
      <c r="F92" s="138" t="n">
        <f aca="false">IF(Hipótesis!$D$94=5,0,IF(Hipótesis!$D$94=1,F90+F91,IF(Hipótesis!$D$94=2,F90+F91+IF(F89&gt;0,Hipótesis!$D$98*MAX(0,F56),0),IF(Hipótesis!$D$94=3,Hipótesis!$D$99*MAX(0,F56),Hipótesis!$D$100*F36))))</f>
        <v>0</v>
      </c>
      <c r="G92" s="138" t="n">
        <f aca="false">IF(Hipótesis!$D$94=5,0,IF(Hipótesis!$D$94=1,G90+G91,IF(Hipótesis!$D$94=2,G90+G91+IF(G89&gt;0,Hipótesis!$D$98*MAX(0,G56),0),IF(Hipótesis!$D$94=3,Hipótesis!$D$99*MAX(0,G56),Hipótesis!$D$100*G36))))</f>
        <v>0</v>
      </c>
      <c r="H92" s="138" t="n">
        <f aca="false">IF(Hipótesis!$D$94=5,0,IF(Hipótesis!$D$94=1,H90+H91,IF(Hipótesis!$D$94=2,H90+H91+IF(H89&gt;0,Hipótesis!$D$98*MAX(0,H56),0),IF(Hipótesis!$D$94=3,Hipótesis!$D$99*MAX(0,H56),Hipótesis!$D$100*H36))))</f>
        <v>0</v>
      </c>
      <c r="I92" s="138" t="n">
        <f aca="false">IF(Hipótesis!$D$94=5,0,IF(Hipótesis!$D$94=1,I90+I91,IF(Hipótesis!$D$94=2,I90+I91+IF(I89&gt;0,Hipótesis!$D$98*MAX(0,I56),0),IF(Hipótesis!$D$94=3,Hipótesis!$D$99*MAX(0,I56),Hipótesis!$D$100*I36))))</f>
        <v>0</v>
      </c>
      <c r="J92" s="138" t="n">
        <f aca="false">IF(Hipótesis!$D$94=5,0,IF(Hipótesis!$D$94=1,J90+J91,IF(Hipótesis!$D$94=2,J90+J91+IF(J89&gt;0,Hipótesis!$D$98*MAX(0,J56),0),IF(Hipótesis!$D$94=3,Hipótesis!$D$99*MAX(0,J56),Hipótesis!$D$100*J36))))</f>
        <v>0</v>
      </c>
      <c r="K92" s="138" t="n">
        <f aca="false">IF(Hipótesis!$D$94=5,0,IF(Hipótesis!$D$94=1,K90+K91,IF(Hipótesis!$D$94=2,K90+K91+IF(K89&gt;0,Hipótesis!$D$98*MAX(0,K56),0),IF(Hipótesis!$D$94=3,Hipótesis!$D$99*MAX(0,K56),Hipótesis!$D$100*K36))))</f>
        <v>0</v>
      </c>
      <c r="L92" s="138" t="n">
        <f aca="false">IF(Hipótesis!$D$94=5,0,IF(Hipótesis!$D$94=1,L90+L91,IF(Hipótesis!$D$94=2,L90+L91+IF(L89&gt;0,Hipótesis!$D$98*MAX(0,L56),0),IF(Hipótesis!$D$94=3,Hipótesis!$D$99*MAX(0,L56),Hipótesis!$D$100*L36))))</f>
        <v>0</v>
      </c>
      <c r="M92" s="138" t="n">
        <f aca="false">IF(Hipótesis!$D$94=5,0,IF(Hipótesis!$D$94=1,M90+M91,IF(Hipótesis!$D$94=2,M90+M91+IF(M89&gt;0,Hipótesis!$D$98*MAX(0,M56),0),IF(Hipótesis!$D$94=3,Hipótesis!$D$99*MAX(0,M56),Hipótesis!$D$100*M36))))</f>
        <v>0</v>
      </c>
      <c r="N92" s="138" t="n">
        <f aca="false">IF(Hipótesis!$D$94=5,0,IF(Hipótesis!$D$94=1,N90+N91,IF(Hipótesis!$D$94=2,N90+N91+IF(N89&gt;0,Hipótesis!$D$98*MAX(0,N56),0),IF(Hipótesis!$D$94=3,Hipótesis!$D$99*MAX(0,N56),Hipótesis!$D$100*N36))))</f>
        <v>0</v>
      </c>
      <c r="O92" s="138" t="n">
        <f aca="false">IF(Hipótesis!$D$94=5,0,IF(Hipótesis!$D$94=1,O90+O91,IF(Hipótesis!$D$94=2,O90+O91+IF(O89&gt;0,Hipótesis!$D$98*MAX(0,O56),0),IF(Hipótesis!$D$94=3,Hipótesis!$D$99*MAX(0,O56),Hipótesis!$D$100*O36))))</f>
        <v>0</v>
      </c>
      <c r="P92" s="138" t="n">
        <f aca="false">IF(Hipótesis!$D$94=5,0,IF(Hipótesis!$D$94=1,P90+P91,IF(Hipótesis!$D$94=2,P90+P91+IF(P89&gt;0,Hipótesis!$D$98*MAX(0,P56),0),IF(Hipótesis!$D$94=3,Hipótesis!$D$99*MAX(0,P56),Hipótesis!$D$100*P36))))</f>
        <v>0</v>
      </c>
      <c r="Q92" s="138" t="n">
        <f aca="false">IF(Hipótesis!$D$94=5,0,IF(Hipótesis!$D$94=1,Q90+Q91,IF(Hipótesis!$D$94=2,Q90+Q91+IF(Q89&gt;0,Hipótesis!$D$98*MAX(0,Q56),0),IF(Hipótesis!$D$94=3,Hipótesis!$D$99*MAX(0,Q56),Hipótesis!$D$100*Q36))))</f>
        <v>0</v>
      </c>
      <c r="R92" s="138" t="n">
        <f aca="false">IF(Hipótesis!$D$94=5,0,IF(Hipótesis!$D$94=1,R90+R91,IF(Hipótesis!$D$94=2,R90+R91+IF(R89&gt;0,Hipótesis!$D$98*MAX(0,R56),0),IF(Hipótesis!$D$94=3,Hipótesis!$D$99*MAX(0,R56),Hipótesis!$D$100*R36))))</f>
        <v>0</v>
      </c>
      <c r="S92" s="138" t="n">
        <f aca="false">IF(Hipótesis!$D$94=5,0,IF(Hipótesis!$D$94=1,S90+S91,IF(Hipótesis!$D$94=2,S90+S91+IF(S89&gt;0,Hipótesis!$D$98*MAX(0,S56),0),IF(Hipótesis!$D$94=3,Hipótesis!$D$99*MAX(0,S56),Hipótesis!$D$100*S36))))</f>
        <v>0</v>
      </c>
      <c r="T92" s="138" t="n">
        <f aca="false">IF(Hipótesis!$D$94=5,0,IF(Hipótesis!$D$94=1,T90+T91,IF(Hipótesis!$D$94=2,T90+T91+IF(T89&gt;0,Hipótesis!$D$98*MAX(0,T56),0),IF(Hipótesis!$D$94=3,Hipótesis!$D$99*MAX(0,T56),Hipótesis!$D$100*T36))))</f>
        <v>0</v>
      </c>
      <c r="U92" s="138" t="n">
        <f aca="false">IF(Hipótesis!$D$94=5,0,IF(Hipótesis!$D$94=1,U90+U91,IF(Hipótesis!$D$94=2,U90+U91+IF(U89&gt;0,Hipótesis!$D$98*MAX(0,U56),0),IF(Hipótesis!$D$94=3,Hipótesis!$D$99*MAX(0,U56),Hipótesis!$D$100*U36))))</f>
        <v>0</v>
      </c>
      <c r="V92" s="138" t="n">
        <f aca="false">IF(Hipótesis!$D$94=5,0,IF(Hipótesis!$D$94=1,V90+V91,IF(Hipótesis!$D$94=2,V90+V91+IF(V89&gt;0,Hipótesis!$D$98*MAX(0,V56),0),IF(Hipótesis!$D$94=3,Hipótesis!$D$99*MAX(0,V56),Hipótesis!$D$100*V36))))</f>
        <v>0</v>
      </c>
      <c r="W92" s="138" t="n">
        <f aca="false">IF(Hipótesis!$D$94=5,0,IF(Hipótesis!$D$94=1,W90+W91,IF(Hipótesis!$D$94=2,W90+W91+IF(W89&gt;0,Hipótesis!$D$98*MAX(0,W56),0),IF(Hipótesis!$D$94=3,Hipótesis!$D$99*MAX(0,W56),Hipótesis!$D$100*W36))))</f>
        <v>0</v>
      </c>
      <c r="X92" s="138" t="n">
        <f aca="false">IF(Hipótesis!$D$94=5,0,IF(Hipótesis!$D$94=1,X90+X91,IF(Hipótesis!$D$94=2,X90+X91+IF(X89&gt;0,Hipótesis!$D$98*MAX(0,X56),0),IF(Hipótesis!$D$94=3,Hipótesis!$D$99*MAX(0,X56),Hipótesis!$D$100*X36))))</f>
        <v>0</v>
      </c>
      <c r="Y92" s="138" t="n">
        <f aca="false">IF(Hipótesis!$D$94=5,0,IF(Hipótesis!$D$94=1,Y90+Y91,IF(Hipótesis!$D$94=2,Y90+Y91+IF(Y89&gt;0,Hipótesis!$D$98*MAX(0,Y56),0),IF(Hipótesis!$D$94=3,Hipótesis!$D$99*MAX(0,Y56),Hipótesis!$D$100*Y36))))</f>
        <v>0</v>
      </c>
      <c r="Z92" s="138" t="n">
        <f aca="false">IF(Hipótesis!$D$94=5,0,IF(Hipótesis!$D$94=1,Z90+Z91,IF(Hipótesis!$D$94=2,Z90+Z91+IF(Z89&gt;0,Hipótesis!$D$98*MAX(0,Z56),0),IF(Hipótesis!$D$94=3,Hipótesis!$D$99*MAX(0,Z56),Hipótesis!$D$100*Z36))))</f>
        <v>0</v>
      </c>
      <c r="AA92" s="138" t="n">
        <f aca="false">IF(Hipótesis!$D$94=5,0,IF(Hipótesis!$D$94=1,AA90+AA91,IF(Hipótesis!$D$94=2,AA90+AA91+IF(AA89&gt;0,Hipótesis!$D$98*MAX(0,AA56),0),IF(Hipótesis!$D$94=3,Hipótesis!$D$99*MAX(0,AA56),Hipótesis!$D$100*AA36))))</f>
        <v>0</v>
      </c>
      <c r="AB92" s="138" t="n">
        <f aca="false">IF(Hipótesis!$D$94=5,0,IF(Hipótesis!$D$94=1,AB90+AB91,IF(Hipótesis!$D$94=2,AB90+AB91+IF(AB89&gt;0,Hipótesis!$D$98*MAX(0,AB56),0),IF(Hipótesis!$D$94=3,Hipótesis!$D$99*MAX(0,AB56),Hipótesis!$D$100*AB36))))</f>
        <v>0</v>
      </c>
      <c r="AC92" s="138" t="n">
        <f aca="false">IF(Hipótesis!$D$94=5,0,IF(Hipótesis!$D$94=1,AC90+AC91,IF(Hipótesis!$D$94=2,AC90+AC91+IF(AC89&gt;0,Hipótesis!$D$98*MAX(0,AC56),0),IF(Hipótesis!$D$94=3,Hipótesis!$D$99*MAX(0,AC56),Hipótesis!$D$100*AC36))))</f>
        <v>0</v>
      </c>
      <c r="AD92" s="138" t="n">
        <f aca="false">IF(Hipótesis!$D$94=5,0,IF(Hipótesis!$D$94=1,AD90+AD91,IF(Hipótesis!$D$94=2,AD90+AD91+IF(AD89&gt;0,Hipótesis!$D$98*MAX(0,AD56),0),IF(Hipótesis!$D$94=3,Hipótesis!$D$99*MAX(0,AD56),Hipótesis!$D$100*AD36))))</f>
        <v>0</v>
      </c>
      <c r="AE92" s="138" t="n">
        <f aca="false">IF(Hipótesis!$D$94=5,0,IF(Hipótesis!$D$94=1,AE90+AE91,IF(Hipótesis!$D$94=2,AE90+AE91+IF(AE89&gt;0,Hipótesis!$D$98*MAX(0,AE56),0),IF(Hipótesis!$D$94=3,Hipótesis!$D$99*MAX(0,AE56),Hipótesis!$D$100*AE36))))</f>
        <v>0</v>
      </c>
      <c r="AF92" s="138" t="n">
        <f aca="false">IF(Hipótesis!$D$94=5,0,IF(Hipótesis!$D$94=1,AF90+AF91,IF(Hipótesis!$D$94=2,AF90+AF91+IF(AF89&gt;0,Hipótesis!$D$98*MAX(0,AF56),0),IF(Hipótesis!$D$94=3,Hipótesis!$D$99*MAX(0,AF56),Hipótesis!$D$100*AF36))))</f>
        <v>0</v>
      </c>
      <c r="AG92" s="138" t="n">
        <f aca="false">IF(Hipótesis!$D$94=5,0,IF(Hipótesis!$D$94=1,AG90+AG91,IF(Hipótesis!$D$94=2,AG90+AG91+IF(AG89&gt;0,Hipótesis!$D$98*MAX(0,AG56),0),IF(Hipótesis!$D$94=3,Hipótesis!$D$99*MAX(0,AG56),Hipótesis!$D$100*AG36))))</f>
        <v>0</v>
      </c>
      <c r="AH92" s="138" t="n">
        <f aca="false">IF(Hipótesis!$D$94=5,0,IF(Hipótesis!$D$94=1,AH90+AH91,IF(Hipótesis!$D$94=2,AH90+AH91+IF(AH89&gt;0,Hipótesis!$D$98*MAX(0,AH56),0),IF(Hipótesis!$D$94=3,Hipótesis!$D$99*MAX(0,AH56),Hipótesis!$D$100*AH36))))</f>
        <v>0</v>
      </c>
      <c r="AI92" s="138" t="n">
        <f aca="false">IF(Hipótesis!$D$94=5,0,IF(Hipótesis!$D$94=1,AI90+AI91,IF(Hipótesis!$D$94=2,AI90+AI91+IF(AI89&gt;0,Hipótesis!$D$98*MAX(0,AI56),0),IF(Hipótesis!$D$94=3,Hipótesis!$D$99*MAX(0,AI56),Hipótesis!$D$100*AI36))))</f>
        <v>0</v>
      </c>
      <c r="AJ92" s="138" t="n">
        <f aca="false">IF(Hipótesis!$D$94=5,0,IF(Hipótesis!$D$94=1,AJ90+AJ91,IF(Hipótesis!$D$94=2,AJ90+AJ91+IF(AJ89&gt;0,Hipótesis!$D$98*MAX(0,AJ56),0),IF(Hipótesis!$D$94=3,Hipótesis!$D$99*MAX(0,AJ56),Hipótesis!$D$100*AJ36))))</f>
        <v>0</v>
      </c>
      <c r="AK92" s="138" t="n">
        <f aca="false">IF(Hipótesis!$D$94=5,0,IF(Hipótesis!$D$94=1,AK90+AK91,IF(Hipótesis!$D$94=2,AK90+AK91+IF(AK89&gt;0,Hipótesis!$D$98*MAX(0,AK56),0),IF(Hipótesis!$D$94=3,Hipótesis!$D$99*MAX(0,AK56),Hipótesis!$D$100*AK36))))</f>
        <v>0</v>
      </c>
      <c r="AL92" s="138" t="n">
        <f aca="false">IF(Hipótesis!$D$94=5,0,IF(Hipótesis!$D$94=1,AL90+AL91,IF(Hipótesis!$D$94=2,AL90+AL91+IF(AL89&gt;0,Hipótesis!$D$98*MAX(0,AL56),0),IF(Hipótesis!$D$94=3,Hipótesis!$D$99*MAX(0,AL56),Hipótesis!$D$100*AL36))))</f>
        <v>0</v>
      </c>
      <c r="AM92" s="138" t="n">
        <f aca="false">IF(Hipótesis!$D$94=5,0,IF(Hipótesis!$D$94=1,AM90+AM91,IF(Hipótesis!$D$94=2,AM90+AM91+IF(AM89&gt;0,Hipótesis!$D$98*MAX(0,AM56),0),IF(Hipótesis!$D$94=3,Hipótesis!$D$99*MAX(0,AM56),Hipótesis!$D$100*AM36))))</f>
        <v>0</v>
      </c>
      <c r="AN92" s="138" t="n">
        <f aca="false">IF(Hipótesis!$D$94=5,0,IF(Hipótesis!$D$94=1,AN90+AN91,IF(Hipótesis!$D$94=2,AN90+AN91+IF(AN89&gt;0,Hipótesis!$D$98*MAX(0,AN56),0),IF(Hipótesis!$D$94=3,Hipótesis!$D$99*MAX(0,AN56),Hipótesis!$D$100*AN36))))</f>
        <v>0</v>
      </c>
      <c r="AO92" s="138" t="n">
        <f aca="false">IF(Hipótesis!$D$94=5,0,IF(Hipótesis!$D$94=1,AO90+AO91,IF(Hipótesis!$D$94=2,AO90+AO91+IF(AO89&gt;0,Hipótesis!$D$98*MAX(0,AO56),0),IF(Hipótesis!$D$94=3,Hipótesis!$D$99*MAX(0,AO56),Hipótesis!$D$100*AO36))))</f>
        <v>0</v>
      </c>
      <c r="AP92" s="138" t="n">
        <f aca="false">IF(Hipótesis!$D$94=5,0,IF(Hipótesis!$D$94=1,AP90+AP91,IF(Hipótesis!$D$94=2,AP90+AP91+IF(AP89&gt;0,Hipótesis!$D$98*MAX(0,AP56),0),IF(Hipótesis!$D$94=3,Hipótesis!$D$99*MAX(0,AP56),Hipótesis!$D$100*AP36))))</f>
        <v>0</v>
      </c>
      <c r="AQ92" s="138" t="n">
        <f aca="false">IF(Hipótesis!$D$94=5,0,IF(Hipótesis!$D$94=1,AQ90+AQ91,IF(Hipótesis!$D$94=2,AQ90+AQ91+IF(AQ89&gt;0,Hipótesis!$D$98*MAX(0,AQ56),0),IF(Hipótesis!$D$94=3,Hipótesis!$D$99*MAX(0,AQ56),Hipótesis!$D$100*AQ36))))</f>
        <v>0</v>
      </c>
      <c r="AR92" s="138" t="n">
        <f aca="false">IF(Hipótesis!$D$94=5,0,IF(Hipótesis!$D$94=1,AR90+AR91,IF(Hipótesis!$D$94=2,AR90+AR91+IF(AR89&gt;0,Hipótesis!$D$98*MAX(0,AR56),0),IF(Hipótesis!$D$94=3,Hipótesis!$D$99*MAX(0,AR56),Hipótesis!$D$100*AR36))))</f>
        <v>0</v>
      </c>
      <c r="AS92" s="138" t="n">
        <f aca="false">IF(Hipótesis!$D$94=5,0,IF(Hipótesis!$D$94=1,AS90+AS91,IF(Hipótesis!$D$94=2,AS90+AS91+IF(AS89&gt;0,Hipótesis!$D$98*MAX(0,AS56),0),IF(Hipótesis!$D$94=3,Hipótesis!$D$99*MAX(0,AS56),Hipótesis!$D$100*AS36))))</f>
        <v>0</v>
      </c>
      <c r="AT92" s="138" t="n">
        <f aca="false">IF(Hipótesis!$D$94=5,0,IF(Hipótesis!$D$94=1,AT90+AT91,IF(Hipótesis!$D$94=2,AT90+AT91+IF(AT89&gt;0,Hipótesis!$D$98*MAX(0,AT56),0),IF(Hipótesis!$D$94=3,Hipótesis!$D$99*MAX(0,AT56),Hipótesis!$D$100*AT36))))</f>
        <v>0</v>
      </c>
      <c r="AU92" s="138" t="n">
        <f aca="false">IF(Hipótesis!$D$94=5,0,IF(Hipótesis!$D$94=1,AU90+AU91,IF(Hipótesis!$D$94=2,AU90+AU91+IF(AU89&gt;0,Hipótesis!$D$98*MAX(0,AU56),0),IF(Hipótesis!$D$94=3,Hipótesis!$D$99*MAX(0,AU56),Hipótesis!$D$100*AU36))))</f>
        <v>0</v>
      </c>
      <c r="AV92" s="138" t="n">
        <f aca="false">IF(Hipótesis!$D$94=5,0,IF(Hipótesis!$D$94=1,AV90+AV91,IF(Hipótesis!$D$94=2,AV90+AV91+IF(AV89&gt;0,Hipótesis!$D$98*MAX(0,AV56),0),IF(Hipótesis!$D$94=3,Hipótesis!$D$99*MAX(0,AV56),Hipótesis!$D$100*AV36))))</f>
        <v>0</v>
      </c>
      <c r="AW92" s="138" t="n">
        <f aca="false">IF(Hipótesis!$D$94=5,0,IF(Hipótesis!$D$94=1,AW90+AW91,IF(Hipótesis!$D$94=2,AW90+AW91+IF(AW89&gt;0,Hipótesis!$D$98*MAX(0,AW56),0),IF(Hipótesis!$D$94=3,Hipótesis!$D$99*MAX(0,AW56),Hipótesis!$D$100*AW36))))</f>
        <v>0</v>
      </c>
      <c r="AX92" s="138" t="n">
        <f aca="false">IF(Hipótesis!$D$94=5,0,IF(Hipótesis!$D$94=1,AX90+AX91,IF(Hipótesis!$D$94=2,AX90+AX91+IF(AX89&gt;0,Hipótesis!$D$98*MAX(0,AX56),0),IF(Hipótesis!$D$94=3,Hipótesis!$D$99*MAX(0,AX56),Hipótesis!$D$100*AX36))))</f>
        <v>0</v>
      </c>
      <c r="AY92" s="138" t="n">
        <f aca="false">IF(Hipótesis!$D$94=5,0,IF(Hipótesis!$D$94=1,AY90+AY91,IF(Hipótesis!$D$94=2,AY90+AY91+IF(AY89&gt;0,Hipótesis!$D$98*MAX(0,AY56),0),IF(Hipótesis!$D$94=3,Hipótesis!$D$99*MAX(0,AY56),Hipótesis!$D$100*AY36))))</f>
        <v>0</v>
      </c>
      <c r="AZ92" s="138" t="n">
        <f aca="false">IF(Hipótesis!$D$94=5,0,IF(Hipótesis!$D$94=1,AZ90+AZ91,IF(Hipótesis!$D$94=2,AZ90+AZ91+IF(AZ89&gt;0,Hipótesis!$D$98*MAX(0,AZ56),0),IF(Hipótesis!$D$94=3,Hipótesis!$D$99*MAX(0,AZ56),Hipótesis!$D$100*AZ36))))</f>
        <v>0</v>
      </c>
      <c r="BA92" s="138" t="n">
        <f aca="false">IF(Hipótesis!$D$94=5,0,IF(Hipótesis!$D$94=1,BA90+BA91,IF(Hipótesis!$D$94=2,BA90+BA91+IF(BA89&gt;0,Hipótesis!$D$98*MAX(0,BA56),0),IF(Hipótesis!$D$94=3,Hipótesis!$D$99*MAX(0,BA56),Hipótesis!$D$100*BA36))))</f>
        <v>0</v>
      </c>
      <c r="BB92" s="138" t="n">
        <f aca="false">IF(Hipótesis!$D$94=5,0,IF(Hipótesis!$D$94=1,BB90+BB91,IF(Hipótesis!$D$94=2,BB90+BB91+IF(BB89&gt;0,Hipótesis!$D$98*MAX(0,BB56),0),IF(Hipótesis!$D$94=3,Hipótesis!$D$99*MAX(0,BB56),Hipótesis!$D$100*BB36))))</f>
        <v>0</v>
      </c>
      <c r="BC92" s="138" t="n">
        <f aca="false">IF(Hipótesis!$D$94=5,0,IF(Hipótesis!$D$94=1,BC90+BC91,IF(Hipótesis!$D$94=2,BC90+BC91+IF(BC89&gt;0,Hipótesis!$D$98*MAX(0,BC56),0),IF(Hipótesis!$D$94=3,Hipótesis!$D$99*MAX(0,BC56),Hipótesis!$D$100*BC36))))</f>
        <v>0</v>
      </c>
      <c r="BD92" s="138" t="n">
        <f aca="false">IF(Hipótesis!$D$94=5,0,IF(Hipótesis!$D$94=1,BD90+BD91,IF(Hipótesis!$D$94=2,BD90+BD91+IF(BD89&gt;0,Hipótesis!$D$98*MAX(0,BD56),0),IF(Hipótesis!$D$94=3,Hipótesis!$D$99*MAX(0,BD56),Hipótesis!$D$100*BD36))))</f>
        <v>0</v>
      </c>
      <c r="BE92" s="138" t="n">
        <f aca="false">IF(Hipótesis!$D$94=5,0,IF(Hipótesis!$D$94=1,BE90+BE91,IF(Hipótesis!$D$94=2,BE90+BE91+IF(BE89&gt;0,Hipótesis!$D$98*MAX(0,BE56),0),IF(Hipótesis!$D$94=3,Hipótesis!$D$99*MAX(0,BE56),Hipótesis!$D$100*BE36))))</f>
        <v>0</v>
      </c>
      <c r="BF92" s="138" t="n">
        <f aca="false">IF(Hipótesis!$D$94=5,0,IF(Hipótesis!$D$94=1,BF90+BF91,IF(Hipótesis!$D$94=2,BF90+BF91+IF(BF89&gt;0,Hipótesis!$D$98*MAX(0,BF56),0),IF(Hipótesis!$D$94=3,Hipótesis!$D$99*MAX(0,BF56),Hipótesis!$D$100*BF36))))</f>
        <v>0</v>
      </c>
      <c r="BG92" s="138" t="n">
        <f aca="false">IF(Hipótesis!$D$94=5,0,IF(Hipótesis!$D$94=1,BG90+BG91,IF(Hipótesis!$D$94=2,BG90+BG91+IF(BG89&gt;0,Hipótesis!$D$98*MAX(0,BG56),0),IF(Hipótesis!$D$94=3,Hipótesis!$D$99*MAX(0,BG56),Hipótesis!$D$100*BG36))))</f>
        <v>0</v>
      </c>
      <c r="BH92" s="138" t="n">
        <f aca="false">IF(Hipótesis!$D$94=5,0,IF(Hipótesis!$D$94=1,BH90+BH91,IF(Hipótesis!$D$94=2,BH90+BH91+IF(BH89&gt;0,Hipótesis!$D$98*MAX(0,BH56),0),IF(Hipótesis!$D$94=3,Hipótesis!$D$99*MAX(0,BH56),Hipótesis!$D$100*BH36))))</f>
        <v>0</v>
      </c>
      <c r="BI92" s="138" t="n">
        <f aca="false">IF(Hipótesis!$D$94=5,0,IF(Hipótesis!$D$94=1,BI90+BI91,IF(Hipótesis!$D$94=2,BI90+BI91+IF(BI89&gt;0,Hipótesis!$D$98*MAX(0,BI56),0),IF(Hipótesis!$D$94=3,Hipótesis!$D$99*MAX(0,BI56),Hipótesis!$D$100*BI36))))</f>
        <v>0</v>
      </c>
      <c r="BJ92" s="138" t="n">
        <f aca="false">IF(Hipótesis!$D$94=5,0,IF(Hipótesis!$D$94=1,BJ90+BJ91,IF(Hipótesis!$D$94=2,BJ90+BJ91+IF(BJ89&gt;0,Hipótesis!$D$98*MAX(0,BJ56),0),IF(Hipótesis!$D$94=3,Hipótesis!$D$99*MAX(0,BJ56),Hipótesis!$D$100*BJ36))))</f>
        <v>0</v>
      </c>
      <c r="BK92" s="138" t="n">
        <f aca="false">IF(Hipótesis!$D$94=5,0,IF(Hipótesis!$D$94=1,BK90+BK91,IF(Hipótesis!$D$94=2,BK90+BK91+IF(BK89&gt;0,Hipótesis!$D$98*MAX(0,BK56),0),IF(Hipótesis!$D$94=3,Hipótesis!$D$99*MAX(0,BK56),Hipótesis!$D$100*BK36))))</f>
        <v>0</v>
      </c>
      <c r="BL92" s="138" t="n">
        <f aca="false">IF(Hipótesis!$D$94=5,0,IF(Hipótesis!$D$94=1,BL90+BL91,IF(Hipótesis!$D$94=2,BL90+BL91+IF(BL89&gt;0,Hipótesis!$D$98*MAX(0,BL56),0),IF(Hipótesis!$D$94=3,Hipótesis!$D$99*MAX(0,BL56),Hipótesis!$D$100*BL36))))</f>
        <v>0</v>
      </c>
      <c r="BM92" s="138" t="n">
        <f aca="false">IF(Hipótesis!$D$94=5,0,IF(Hipótesis!$D$94=1,BM90+BM91,IF(Hipótesis!$D$94=2,BM90+BM91+IF(BM89&gt;0,Hipótesis!$D$98*MAX(0,BM56),0),IF(Hipótesis!$D$94=3,Hipótesis!$D$99*MAX(0,BM56),Hipótesis!$D$100*BM36))))</f>
        <v>0</v>
      </c>
      <c r="BN92" s="138" t="n">
        <f aca="false">IF(Hipótesis!$D$94=5,0,IF(Hipótesis!$D$94=1,BN90+BN91,IF(Hipótesis!$D$94=2,BN90+BN91+IF(BN89&gt;0,Hipótesis!$D$98*MAX(0,BN56),0),IF(Hipótesis!$D$94=3,Hipótesis!$D$99*MAX(0,BN56),Hipótesis!$D$100*BN36))))</f>
        <v>0</v>
      </c>
      <c r="BO92" s="138" t="n">
        <f aca="false">IF(Hipótesis!$D$94=5,0,IF(Hipótesis!$D$94=1,BO90+BO91,IF(Hipótesis!$D$94=2,BO90+BO91+IF(BO89&gt;0,Hipótesis!$D$98*MAX(0,BO56),0),IF(Hipótesis!$D$94=3,Hipótesis!$D$99*MAX(0,BO56),Hipótesis!$D$100*BO36))))</f>
        <v>0</v>
      </c>
      <c r="BP92" s="138" t="n">
        <f aca="false">IF(Hipótesis!$D$94=5,0,IF(Hipótesis!$D$94=1,BP90+BP91,IF(Hipótesis!$D$94=2,BP90+BP91+IF(BP89&gt;0,Hipótesis!$D$98*MAX(0,BP56),0),IF(Hipótesis!$D$94=3,Hipótesis!$D$99*MAX(0,BP56),Hipótesis!$D$100*BP36))))</f>
        <v>0</v>
      </c>
      <c r="BQ92" s="138" t="n">
        <f aca="false">IF(Hipótesis!$D$94=5,0,IF(Hipótesis!$D$94=1,BQ90+BQ91,IF(Hipótesis!$D$94=2,BQ90+BQ91+IF(BQ89&gt;0,Hipótesis!$D$98*MAX(0,BQ56),0),IF(Hipótesis!$D$94=3,Hipótesis!$D$99*MAX(0,BQ56),Hipótesis!$D$100*BQ36))))</f>
        <v>0</v>
      </c>
      <c r="BR92" s="138" t="n">
        <f aca="false">IF(Hipótesis!$D$94=5,0,IF(Hipótesis!$D$94=1,BR90+BR91,IF(Hipótesis!$D$94=2,BR90+BR91+IF(BR89&gt;0,Hipótesis!$D$98*MAX(0,BR56),0),IF(Hipótesis!$D$94=3,Hipótesis!$D$99*MAX(0,BR56),Hipótesis!$D$100*BR36))))</f>
        <v>0</v>
      </c>
      <c r="BS92" s="138" t="n">
        <f aca="false">IF(Hipótesis!$D$94=5,0,IF(Hipótesis!$D$94=1,BS90+BS91,IF(Hipótesis!$D$94=2,BS90+BS91+IF(BS89&gt;0,Hipótesis!$D$98*MAX(0,BS56),0),IF(Hipótesis!$D$94=3,Hipótesis!$D$99*MAX(0,BS56),Hipótesis!$D$100*BS36))))</f>
        <v>0</v>
      </c>
      <c r="BT92" s="138" t="n">
        <f aca="false">IF(Hipótesis!$D$94=5,0,IF(Hipótesis!$D$94=1,BT90+BT91,IF(Hipótesis!$D$94=2,BT90+BT91+IF(BT89&gt;0,Hipótesis!$D$98*MAX(0,BT56),0),IF(Hipótesis!$D$94=3,Hipótesis!$D$99*MAX(0,BT56),Hipótesis!$D$100*BT36))))</f>
        <v>0</v>
      </c>
      <c r="BU92" s="138" t="n">
        <f aca="false">IF(Hipótesis!$D$94=5,0,IF(Hipótesis!$D$94=1,BU90+BU91,IF(Hipótesis!$D$94=2,BU90+BU91+IF(BU89&gt;0,Hipótesis!$D$98*MAX(0,BU56),0),IF(Hipótesis!$D$94=3,Hipótesis!$D$99*MAX(0,BU56),Hipótesis!$D$100*BU36))))</f>
        <v>0</v>
      </c>
      <c r="BV92" s="138" t="n">
        <f aca="false">IF(Hipótesis!$D$94=5,0,IF(Hipótesis!$D$94=1,BV90+BV91,IF(Hipótesis!$D$94=2,BV90+BV91+IF(BV89&gt;0,Hipótesis!$D$98*MAX(0,BV56),0),IF(Hipótesis!$D$94=3,Hipótesis!$D$99*MAX(0,BV56),Hipótesis!$D$100*BV36))))</f>
        <v>0</v>
      </c>
      <c r="BW92" s="138" t="n">
        <f aca="false">IF(Hipótesis!$D$94=5,0,IF(Hipótesis!$D$94=1,BW90+BW91,IF(Hipótesis!$D$94=2,BW90+BW91+IF(BW89&gt;0,Hipótesis!$D$98*MAX(0,BW56),0),IF(Hipótesis!$D$94=3,Hipótesis!$D$99*MAX(0,BW56),Hipótesis!$D$100*BW36))))</f>
        <v>0</v>
      </c>
      <c r="BX92" s="138" t="n">
        <f aca="false">IF(Hipótesis!$D$94=5,0,IF(Hipótesis!$D$94=1,BX90+BX91,IF(Hipótesis!$D$94=2,BX90+BX91+IF(BX89&gt;0,Hipótesis!$D$98*MAX(0,BX56),0),IF(Hipótesis!$D$94=3,Hipótesis!$D$99*MAX(0,BX56),Hipótesis!$D$100*BX36))))</f>
        <v>0</v>
      </c>
      <c r="BY92" s="138" t="n">
        <f aca="false">IF(Hipótesis!$D$94=5,0,IF(Hipótesis!$D$94=1,BY90+BY91,IF(Hipótesis!$D$94=2,BY90+BY91+IF(BY89&gt;0,Hipótesis!$D$98*MAX(0,BY56),0),IF(Hipótesis!$D$94=3,Hipótesis!$D$99*MAX(0,BY56),Hipótesis!$D$100*BY36))))</f>
        <v>0</v>
      </c>
      <c r="BZ92" s="138" t="n">
        <f aca="false">IF(Hipótesis!$D$94=5,0,IF(Hipótesis!$D$94=1,BZ90+BZ91,IF(Hipótesis!$D$94=2,BZ90+BZ91+IF(BZ89&gt;0,Hipótesis!$D$98*MAX(0,BZ56),0),IF(Hipótesis!$D$94=3,Hipótesis!$D$99*MAX(0,BZ56),Hipótesis!$D$100*BZ36))))</f>
        <v>0</v>
      </c>
      <c r="CA92" s="138" t="n">
        <f aca="false">IF(Hipótesis!$D$94=5,0,IF(Hipótesis!$D$94=1,CA90+CA91,IF(Hipótesis!$D$94=2,CA90+CA91+IF(CA89&gt;0,Hipótesis!$D$98*MAX(0,CA56),0),IF(Hipótesis!$D$94=3,Hipótesis!$D$99*MAX(0,CA56),Hipótesis!$D$100*CA36))))</f>
        <v>0</v>
      </c>
      <c r="CB92" s="138" t="n">
        <f aca="false">IF(Hipótesis!$D$94=5,0,IF(Hipótesis!$D$94=1,CB90+CB91,IF(Hipótesis!$D$94=2,CB90+CB91+IF(CB89&gt;0,Hipótesis!$D$98*MAX(0,CB56),0),IF(Hipótesis!$D$94=3,Hipótesis!$D$99*MAX(0,CB56),Hipótesis!$D$100*CB36))))</f>
        <v>0</v>
      </c>
      <c r="CC92" s="138" t="n">
        <f aca="false">IF(Hipótesis!$D$94=5,0,IF(Hipótesis!$D$94=1,CC90+CC91,IF(Hipótesis!$D$94=2,CC90+CC91+IF(CC89&gt;0,Hipótesis!$D$98*MAX(0,CC56),0),IF(Hipótesis!$D$94=3,Hipótesis!$D$99*MAX(0,CC56),Hipótesis!$D$100*CC36))))</f>
        <v>0</v>
      </c>
      <c r="CD92" s="138" t="n">
        <f aca="false">IF(Hipótesis!$D$94=5,0,IF(Hipótesis!$D$94=1,CD90+CD91,IF(Hipótesis!$D$94=2,CD90+CD91+IF(CD89&gt;0,Hipótesis!$D$98*MAX(0,CD56),0),IF(Hipótesis!$D$94=3,Hipótesis!$D$99*MAX(0,CD56),Hipótesis!$D$100*CD36))))</f>
        <v>0</v>
      </c>
      <c r="CE92" s="138" t="n">
        <f aca="false">IF(Hipótesis!$D$94=5,0,IF(Hipótesis!$D$94=1,CE90+CE91,IF(Hipótesis!$D$94=2,CE90+CE91+IF(CE89&gt;0,Hipótesis!$D$98*MAX(0,CE56),0),IF(Hipótesis!$D$94=3,Hipótesis!$D$99*MAX(0,CE56),Hipótesis!$D$100*CE36))))</f>
        <v>0</v>
      </c>
      <c r="CF92" s="138" t="n">
        <f aca="false">IF(Hipótesis!$D$94=5,0,IF(Hipótesis!$D$94=1,CF90+CF91,IF(Hipótesis!$D$94=2,CF90+CF91+IF(CF89&gt;0,Hipótesis!$D$98*MAX(0,CF56),0),IF(Hipótesis!$D$94=3,Hipótesis!$D$99*MAX(0,CF56),Hipótesis!$D$100*CF36))))</f>
        <v>0</v>
      </c>
      <c r="CG92" s="138" t="n">
        <f aca="false">IF(Hipótesis!$D$94=5,0,IF(Hipótesis!$D$94=1,CG90+CG91,IF(Hipótesis!$D$94=2,CG90+CG91+IF(CG89&gt;0,Hipótesis!$D$98*MAX(0,CG56),0),IF(Hipótesis!$D$94=3,Hipótesis!$D$99*MAX(0,CG56),Hipótesis!$D$100*CG36))))</f>
        <v>0</v>
      </c>
      <c r="CH92" s="138" t="n">
        <f aca="false">IF(Hipótesis!$D$94=5,0,IF(Hipótesis!$D$94=1,CH90+CH91,IF(Hipótesis!$D$94=2,CH90+CH91+IF(CH89&gt;0,Hipótesis!$D$98*MAX(0,CH56),0),IF(Hipótesis!$D$94=3,Hipótesis!$D$99*MAX(0,CH56),Hipótesis!$D$100*CH36))))</f>
        <v>0</v>
      </c>
    </row>
    <row r="93" customFormat="false" ht="13.5" hidden="false" customHeight="true" outlineLevel="0" collapsed="false">
      <c r="A93" s="13" t="s">
        <v>770</v>
      </c>
      <c r="C93" s="138" t="n">
        <f aca="false">IF(Hipótesis!$D$94&lt;=2,C92,MIN(C92,MAX(0,Hipótesis!$D$101*Hipótesis!$D$93-0)))</f>
        <v>0</v>
      </c>
      <c r="D93" s="138" t="n">
        <f aca="false">IF(Hipótesis!$D$94&lt;=2,D92,MIN(D92,MAX(0,Hipótesis!$D$101*Hipótesis!$D$93-C94)))</f>
        <v>0</v>
      </c>
      <c r="E93" s="138" t="n">
        <f aca="false">IF(Hipótesis!$D$94&lt;=2,E92,MIN(E92,MAX(0,Hipótesis!$D$101*Hipótesis!$D$93-D94)))</f>
        <v>0</v>
      </c>
      <c r="F93" s="138" t="n">
        <f aca="false">IF(Hipótesis!$D$94&lt;=2,F92,MIN(F92,MAX(0,Hipótesis!$D$101*Hipótesis!$D$93-E94)))</f>
        <v>0</v>
      </c>
      <c r="G93" s="138" t="n">
        <f aca="false">IF(Hipótesis!$D$94&lt;=2,G92,MIN(G92,MAX(0,Hipótesis!$D$101*Hipótesis!$D$93-F94)))</f>
        <v>0</v>
      </c>
      <c r="H93" s="138" t="n">
        <f aca="false">IF(Hipótesis!$D$94&lt;=2,H92,MIN(H92,MAX(0,Hipótesis!$D$101*Hipótesis!$D$93-G94)))</f>
        <v>0</v>
      </c>
      <c r="I93" s="138" t="n">
        <f aca="false">IF(Hipótesis!$D$94&lt;=2,I92,MIN(I92,MAX(0,Hipótesis!$D$101*Hipótesis!$D$93-H94)))</f>
        <v>0</v>
      </c>
      <c r="J93" s="138" t="n">
        <f aca="false">IF(Hipótesis!$D$94&lt;=2,J92,MIN(J92,MAX(0,Hipótesis!$D$101*Hipótesis!$D$93-I94)))</f>
        <v>0</v>
      </c>
      <c r="K93" s="138" t="n">
        <f aca="false">IF(Hipótesis!$D$94&lt;=2,K92,MIN(K92,MAX(0,Hipótesis!$D$101*Hipótesis!$D$93-J94)))</f>
        <v>0</v>
      </c>
      <c r="L93" s="138" t="n">
        <f aca="false">IF(Hipótesis!$D$94&lt;=2,L92,MIN(L92,MAX(0,Hipótesis!$D$101*Hipótesis!$D$93-K94)))</f>
        <v>0</v>
      </c>
      <c r="M93" s="138" t="n">
        <f aca="false">IF(Hipótesis!$D$94&lt;=2,M92,MIN(M92,MAX(0,Hipótesis!$D$101*Hipótesis!$D$93-L94)))</f>
        <v>0</v>
      </c>
      <c r="N93" s="138" t="n">
        <f aca="false">IF(Hipótesis!$D$94&lt;=2,N92,MIN(N92,MAX(0,Hipótesis!$D$101*Hipótesis!$D$93-M94)))</f>
        <v>0</v>
      </c>
      <c r="O93" s="138" t="n">
        <f aca="false">IF(Hipótesis!$D$94&lt;=2,O92,MIN(O92,MAX(0,Hipótesis!$D$101*Hipótesis!$D$93-N94)))</f>
        <v>0</v>
      </c>
      <c r="P93" s="138" t="n">
        <f aca="false">IF(Hipótesis!$D$94&lt;=2,P92,MIN(P92,MAX(0,Hipótesis!$D$101*Hipótesis!$D$93-O94)))</f>
        <v>0</v>
      </c>
      <c r="Q93" s="138" t="n">
        <f aca="false">IF(Hipótesis!$D$94&lt;=2,Q92,MIN(Q92,MAX(0,Hipótesis!$D$101*Hipótesis!$D$93-P94)))</f>
        <v>0</v>
      </c>
      <c r="R93" s="138" t="n">
        <f aca="false">IF(Hipótesis!$D$94&lt;=2,R92,MIN(R92,MAX(0,Hipótesis!$D$101*Hipótesis!$D$93-Q94)))</f>
        <v>0</v>
      </c>
      <c r="S93" s="138" t="n">
        <f aca="false">IF(Hipótesis!$D$94&lt;=2,S92,MIN(S92,MAX(0,Hipótesis!$D$101*Hipótesis!$D$93-R94)))</f>
        <v>0</v>
      </c>
      <c r="T93" s="138" t="n">
        <f aca="false">IF(Hipótesis!$D$94&lt;=2,T92,MIN(T92,MAX(0,Hipótesis!$D$101*Hipótesis!$D$93-S94)))</f>
        <v>0</v>
      </c>
      <c r="U93" s="138" t="n">
        <f aca="false">IF(Hipótesis!$D$94&lt;=2,U92,MIN(U92,MAX(0,Hipótesis!$D$101*Hipótesis!$D$93-T94)))</f>
        <v>0</v>
      </c>
      <c r="V93" s="138" t="n">
        <f aca="false">IF(Hipótesis!$D$94&lt;=2,V92,MIN(V92,MAX(0,Hipótesis!$D$101*Hipótesis!$D$93-U94)))</f>
        <v>0</v>
      </c>
      <c r="W93" s="138" t="n">
        <f aca="false">IF(Hipótesis!$D$94&lt;=2,W92,MIN(W92,MAX(0,Hipótesis!$D$101*Hipótesis!$D$93-V94)))</f>
        <v>0</v>
      </c>
      <c r="X93" s="138" t="n">
        <f aca="false">IF(Hipótesis!$D$94&lt;=2,X92,MIN(X92,MAX(0,Hipótesis!$D$101*Hipótesis!$D$93-W94)))</f>
        <v>0</v>
      </c>
      <c r="Y93" s="138" t="n">
        <f aca="false">IF(Hipótesis!$D$94&lt;=2,Y92,MIN(Y92,MAX(0,Hipótesis!$D$101*Hipótesis!$D$93-X94)))</f>
        <v>0</v>
      </c>
      <c r="Z93" s="138" t="n">
        <f aca="false">IF(Hipótesis!$D$94&lt;=2,Z92,MIN(Z92,MAX(0,Hipótesis!$D$101*Hipótesis!$D$93-Y94)))</f>
        <v>0</v>
      </c>
      <c r="AA93" s="138" t="n">
        <f aca="false">IF(Hipótesis!$D$94&lt;=2,AA92,MIN(AA92,MAX(0,Hipótesis!$D$101*Hipótesis!$D$93-Z94)))</f>
        <v>0</v>
      </c>
      <c r="AB93" s="138" t="n">
        <f aca="false">IF(Hipótesis!$D$94&lt;=2,AB92,MIN(AB92,MAX(0,Hipótesis!$D$101*Hipótesis!$D$93-AA94)))</f>
        <v>0</v>
      </c>
      <c r="AC93" s="138" t="n">
        <f aca="false">IF(Hipótesis!$D$94&lt;=2,AC92,MIN(AC92,MAX(0,Hipótesis!$D$101*Hipótesis!$D$93-AB94)))</f>
        <v>0</v>
      </c>
      <c r="AD93" s="138" t="n">
        <f aca="false">IF(Hipótesis!$D$94&lt;=2,AD92,MIN(AD92,MAX(0,Hipótesis!$D$101*Hipótesis!$D$93-AC94)))</f>
        <v>0</v>
      </c>
      <c r="AE93" s="138" t="n">
        <f aca="false">IF(Hipótesis!$D$94&lt;=2,AE92,MIN(AE92,MAX(0,Hipótesis!$D$101*Hipótesis!$D$93-AD94)))</f>
        <v>0</v>
      </c>
      <c r="AF93" s="138" t="n">
        <f aca="false">IF(Hipótesis!$D$94&lt;=2,AF92,MIN(AF92,MAX(0,Hipótesis!$D$101*Hipótesis!$D$93-AE94)))</f>
        <v>0</v>
      </c>
      <c r="AG93" s="138" t="n">
        <f aca="false">IF(Hipótesis!$D$94&lt;=2,AG92,MIN(AG92,MAX(0,Hipótesis!$D$101*Hipótesis!$D$93-AF94)))</f>
        <v>0</v>
      </c>
      <c r="AH93" s="138" t="n">
        <f aca="false">IF(Hipótesis!$D$94&lt;=2,AH92,MIN(AH92,MAX(0,Hipótesis!$D$101*Hipótesis!$D$93-AG94)))</f>
        <v>0</v>
      </c>
      <c r="AI93" s="138" t="n">
        <f aca="false">IF(Hipótesis!$D$94&lt;=2,AI92,MIN(AI92,MAX(0,Hipótesis!$D$101*Hipótesis!$D$93-AH94)))</f>
        <v>0</v>
      </c>
      <c r="AJ93" s="138" t="n">
        <f aca="false">IF(Hipótesis!$D$94&lt;=2,AJ92,MIN(AJ92,MAX(0,Hipótesis!$D$101*Hipótesis!$D$93-AI94)))</f>
        <v>0</v>
      </c>
      <c r="AK93" s="138" t="n">
        <f aca="false">IF(Hipótesis!$D$94&lt;=2,AK92,MIN(AK92,MAX(0,Hipótesis!$D$101*Hipótesis!$D$93-AJ94)))</f>
        <v>0</v>
      </c>
      <c r="AL93" s="138" t="n">
        <f aca="false">IF(Hipótesis!$D$94&lt;=2,AL92,MIN(AL92,MAX(0,Hipótesis!$D$101*Hipótesis!$D$93-AK94)))</f>
        <v>0</v>
      </c>
      <c r="AM93" s="138" t="n">
        <f aca="false">IF(Hipótesis!$D$94&lt;=2,AM92,MIN(AM92,MAX(0,Hipótesis!$D$101*Hipótesis!$D$93-AL94)))</f>
        <v>0</v>
      </c>
      <c r="AN93" s="138" t="n">
        <f aca="false">IF(Hipótesis!$D$94&lt;=2,AN92,MIN(AN92,MAX(0,Hipótesis!$D$101*Hipótesis!$D$93-AM94)))</f>
        <v>0</v>
      </c>
      <c r="AO93" s="138" t="n">
        <f aca="false">IF(Hipótesis!$D$94&lt;=2,AO92,MIN(AO92,MAX(0,Hipótesis!$D$101*Hipótesis!$D$93-AN94)))</f>
        <v>0</v>
      </c>
      <c r="AP93" s="138" t="n">
        <f aca="false">IF(Hipótesis!$D$94&lt;=2,AP92,MIN(AP92,MAX(0,Hipótesis!$D$101*Hipótesis!$D$93-AO94)))</f>
        <v>0</v>
      </c>
      <c r="AQ93" s="138" t="n">
        <f aca="false">IF(Hipótesis!$D$94&lt;=2,AQ92,MIN(AQ92,MAX(0,Hipótesis!$D$101*Hipótesis!$D$93-AP94)))</f>
        <v>0</v>
      </c>
      <c r="AR93" s="138" t="n">
        <f aca="false">IF(Hipótesis!$D$94&lt;=2,AR92,MIN(AR92,MAX(0,Hipótesis!$D$101*Hipótesis!$D$93-AQ94)))</f>
        <v>0</v>
      </c>
      <c r="AS93" s="138" t="n">
        <f aca="false">IF(Hipótesis!$D$94&lt;=2,AS92,MIN(AS92,MAX(0,Hipótesis!$D$101*Hipótesis!$D$93-AR94)))</f>
        <v>0</v>
      </c>
      <c r="AT93" s="138" t="n">
        <f aca="false">IF(Hipótesis!$D$94&lt;=2,AT92,MIN(AT92,MAX(0,Hipótesis!$D$101*Hipótesis!$D$93-AS94)))</f>
        <v>0</v>
      </c>
      <c r="AU93" s="138" t="n">
        <f aca="false">IF(Hipótesis!$D$94&lt;=2,AU92,MIN(AU92,MAX(0,Hipótesis!$D$101*Hipótesis!$D$93-AT94)))</f>
        <v>0</v>
      </c>
      <c r="AV93" s="138" t="n">
        <f aca="false">IF(Hipótesis!$D$94&lt;=2,AV92,MIN(AV92,MAX(0,Hipótesis!$D$101*Hipótesis!$D$93-AU94)))</f>
        <v>0</v>
      </c>
      <c r="AW93" s="138" t="n">
        <f aca="false">IF(Hipótesis!$D$94&lt;=2,AW92,MIN(AW92,MAX(0,Hipótesis!$D$101*Hipótesis!$D$93-AV94)))</f>
        <v>0</v>
      </c>
      <c r="AX93" s="138" t="n">
        <f aca="false">IF(Hipótesis!$D$94&lt;=2,AX92,MIN(AX92,MAX(0,Hipótesis!$D$101*Hipótesis!$D$93-AW94)))</f>
        <v>0</v>
      </c>
      <c r="AY93" s="138" t="n">
        <f aca="false">IF(Hipótesis!$D$94&lt;=2,AY92,MIN(AY92,MAX(0,Hipótesis!$D$101*Hipótesis!$D$93-AX94)))</f>
        <v>0</v>
      </c>
      <c r="AZ93" s="138" t="n">
        <f aca="false">IF(Hipótesis!$D$94&lt;=2,AZ92,MIN(AZ92,MAX(0,Hipótesis!$D$101*Hipótesis!$D$93-AY94)))</f>
        <v>0</v>
      </c>
      <c r="BA93" s="138" t="n">
        <f aca="false">IF(Hipótesis!$D$94&lt;=2,BA92,MIN(BA92,MAX(0,Hipótesis!$D$101*Hipótesis!$D$93-AZ94)))</f>
        <v>0</v>
      </c>
      <c r="BB93" s="138" t="n">
        <f aca="false">IF(Hipótesis!$D$94&lt;=2,BB92,MIN(BB92,MAX(0,Hipótesis!$D$101*Hipótesis!$D$93-BA94)))</f>
        <v>0</v>
      </c>
      <c r="BC93" s="138" t="n">
        <f aca="false">IF(Hipótesis!$D$94&lt;=2,BC92,MIN(BC92,MAX(0,Hipótesis!$D$101*Hipótesis!$D$93-BB94)))</f>
        <v>0</v>
      </c>
      <c r="BD93" s="138" t="n">
        <f aca="false">IF(Hipótesis!$D$94&lt;=2,BD92,MIN(BD92,MAX(0,Hipótesis!$D$101*Hipótesis!$D$93-BC94)))</f>
        <v>0</v>
      </c>
      <c r="BE93" s="138" t="n">
        <f aca="false">IF(Hipótesis!$D$94&lt;=2,BE92,MIN(BE92,MAX(0,Hipótesis!$D$101*Hipótesis!$D$93-BD94)))</f>
        <v>0</v>
      </c>
      <c r="BF93" s="138" t="n">
        <f aca="false">IF(Hipótesis!$D$94&lt;=2,BF92,MIN(BF92,MAX(0,Hipótesis!$D$101*Hipótesis!$D$93-BE94)))</f>
        <v>0</v>
      </c>
      <c r="BG93" s="138" t="n">
        <f aca="false">IF(Hipótesis!$D$94&lt;=2,BG92,MIN(BG92,MAX(0,Hipótesis!$D$101*Hipótesis!$D$93-BF94)))</f>
        <v>0</v>
      </c>
      <c r="BH93" s="138" t="n">
        <f aca="false">IF(Hipótesis!$D$94&lt;=2,BH92,MIN(BH92,MAX(0,Hipótesis!$D$101*Hipótesis!$D$93-BG94)))</f>
        <v>0</v>
      </c>
      <c r="BI93" s="138" t="n">
        <f aca="false">IF(Hipótesis!$D$94&lt;=2,BI92,MIN(BI92,MAX(0,Hipótesis!$D$101*Hipótesis!$D$93-BH94)))</f>
        <v>0</v>
      </c>
      <c r="BJ93" s="138" t="n">
        <f aca="false">IF(Hipótesis!$D$94&lt;=2,BJ92,MIN(BJ92,MAX(0,Hipótesis!$D$101*Hipótesis!$D$93-BI94)))</f>
        <v>0</v>
      </c>
      <c r="BK93" s="138" t="n">
        <f aca="false">IF(Hipótesis!$D$94&lt;=2,BK92,MIN(BK92,MAX(0,Hipótesis!$D$101*Hipótesis!$D$93-BJ94)))</f>
        <v>0</v>
      </c>
      <c r="BL93" s="138" t="n">
        <f aca="false">IF(Hipótesis!$D$94&lt;=2,BL92,MIN(BL92,MAX(0,Hipótesis!$D$101*Hipótesis!$D$93-BK94)))</f>
        <v>0</v>
      </c>
      <c r="BM93" s="138" t="n">
        <f aca="false">IF(Hipótesis!$D$94&lt;=2,BM92,MIN(BM92,MAX(0,Hipótesis!$D$101*Hipótesis!$D$93-BL94)))</f>
        <v>0</v>
      </c>
      <c r="BN93" s="138" t="n">
        <f aca="false">IF(Hipótesis!$D$94&lt;=2,BN92,MIN(BN92,MAX(0,Hipótesis!$D$101*Hipótesis!$D$93-BM94)))</f>
        <v>0</v>
      </c>
      <c r="BO93" s="138" t="n">
        <f aca="false">IF(Hipótesis!$D$94&lt;=2,BO92,MIN(BO92,MAX(0,Hipótesis!$D$101*Hipótesis!$D$93-BN94)))</f>
        <v>0</v>
      </c>
      <c r="BP93" s="138" t="n">
        <f aca="false">IF(Hipótesis!$D$94&lt;=2,BP92,MIN(BP92,MAX(0,Hipótesis!$D$101*Hipótesis!$D$93-BO94)))</f>
        <v>0</v>
      </c>
      <c r="BQ93" s="138" t="n">
        <f aca="false">IF(Hipótesis!$D$94&lt;=2,BQ92,MIN(BQ92,MAX(0,Hipótesis!$D$101*Hipótesis!$D$93-BP94)))</f>
        <v>0</v>
      </c>
      <c r="BR93" s="138" t="n">
        <f aca="false">IF(Hipótesis!$D$94&lt;=2,BR92,MIN(BR92,MAX(0,Hipótesis!$D$101*Hipótesis!$D$93-BQ94)))</f>
        <v>0</v>
      </c>
      <c r="BS93" s="138" t="n">
        <f aca="false">IF(Hipótesis!$D$94&lt;=2,BS92,MIN(BS92,MAX(0,Hipótesis!$D$101*Hipótesis!$D$93-BR94)))</f>
        <v>0</v>
      </c>
      <c r="BT93" s="138" t="n">
        <f aca="false">IF(Hipótesis!$D$94&lt;=2,BT92,MIN(BT92,MAX(0,Hipótesis!$D$101*Hipótesis!$D$93-BS94)))</f>
        <v>0</v>
      </c>
      <c r="BU93" s="138" t="n">
        <f aca="false">IF(Hipótesis!$D$94&lt;=2,BU92,MIN(BU92,MAX(0,Hipótesis!$D$101*Hipótesis!$D$93-BT94)))</f>
        <v>0</v>
      </c>
      <c r="BV93" s="138" t="n">
        <f aca="false">IF(Hipótesis!$D$94&lt;=2,BV92,MIN(BV92,MAX(0,Hipótesis!$D$101*Hipótesis!$D$93-BU94)))</f>
        <v>0</v>
      </c>
      <c r="BW93" s="138" t="n">
        <f aca="false">IF(Hipótesis!$D$94&lt;=2,BW92,MIN(BW92,MAX(0,Hipótesis!$D$101*Hipótesis!$D$93-BV94)))</f>
        <v>0</v>
      </c>
      <c r="BX93" s="138" t="n">
        <f aca="false">IF(Hipótesis!$D$94&lt;=2,BX92,MIN(BX92,MAX(0,Hipótesis!$D$101*Hipótesis!$D$93-BW94)))</f>
        <v>0</v>
      </c>
      <c r="BY93" s="138" t="n">
        <f aca="false">IF(Hipótesis!$D$94&lt;=2,BY92,MIN(BY92,MAX(0,Hipótesis!$D$101*Hipótesis!$D$93-BX94)))</f>
        <v>0</v>
      </c>
      <c r="BZ93" s="138" t="n">
        <f aca="false">IF(Hipótesis!$D$94&lt;=2,BZ92,MIN(BZ92,MAX(0,Hipótesis!$D$101*Hipótesis!$D$93-BY94)))</f>
        <v>0</v>
      </c>
      <c r="CA93" s="138" t="n">
        <f aca="false">IF(Hipótesis!$D$94&lt;=2,CA92,MIN(CA92,MAX(0,Hipótesis!$D$101*Hipótesis!$D$93-BZ94)))</f>
        <v>0</v>
      </c>
      <c r="CB93" s="138" t="n">
        <f aca="false">IF(Hipótesis!$D$94&lt;=2,CB92,MIN(CB92,MAX(0,Hipótesis!$D$101*Hipótesis!$D$93-CA94)))</f>
        <v>0</v>
      </c>
      <c r="CC93" s="138" t="n">
        <f aca="false">IF(Hipótesis!$D$94&lt;=2,CC92,MIN(CC92,MAX(0,Hipótesis!$D$101*Hipótesis!$D$93-CB94)))</f>
        <v>0</v>
      </c>
      <c r="CD93" s="138" t="n">
        <f aca="false">IF(Hipótesis!$D$94&lt;=2,CD92,MIN(CD92,MAX(0,Hipótesis!$D$101*Hipótesis!$D$93-CC94)))</f>
        <v>0</v>
      </c>
      <c r="CE93" s="138" t="n">
        <f aca="false">IF(Hipótesis!$D$94&lt;=2,CE92,MIN(CE92,MAX(0,Hipótesis!$D$101*Hipótesis!$D$93-CD94)))</f>
        <v>0</v>
      </c>
      <c r="CF93" s="138" t="n">
        <f aca="false">IF(Hipótesis!$D$94&lt;=2,CF92,MIN(CF92,MAX(0,Hipótesis!$D$101*Hipótesis!$D$93-CE94)))</f>
        <v>0</v>
      </c>
      <c r="CG93" s="138" t="n">
        <f aca="false">IF(Hipótesis!$D$94&lt;=2,CG92,MIN(CG92,MAX(0,Hipótesis!$D$101*Hipótesis!$D$93-CF94)))</f>
        <v>0</v>
      </c>
      <c r="CH93" s="138" t="n">
        <f aca="false">IF(Hipótesis!$D$94&lt;=2,CH92,MIN(CH92,MAX(0,Hipótesis!$D$101*Hipótesis!$D$93-CG94)))</f>
        <v>0</v>
      </c>
    </row>
    <row r="94" customFormat="false" ht="13.5" hidden="false" customHeight="true" outlineLevel="0" collapsed="false">
      <c r="A94" s="13" t="s">
        <v>771</v>
      </c>
      <c r="C94" s="138" t="n">
        <f aca="false">C121</f>
        <v>0</v>
      </c>
      <c r="D94" s="138" t="n">
        <f aca="false">C94+D121</f>
        <v>0</v>
      </c>
      <c r="E94" s="138" t="n">
        <f aca="false">D94+E121</f>
        <v>0</v>
      </c>
      <c r="F94" s="138" t="n">
        <f aca="false">E94+F121</f>
        <v>0</v>
      </c>
      <c r="G94" s="138" t="n">
        <f aca="false">F94+G121</f>
        <v>0</v>
      </c>
      <c r="H94" s="138" t="n">
        <f aca="false">G94+H121</f>
        <v>0</v>
      </c>
      <c r="I94" s="138" t="n">
        <f aca="false">H94+I121</f>
        <v>0</v>
      </c>
      <c r="J94" s="138" t="n">
        <f aca="false">I94+J121</f>
        <v>0</v>
      </c>
      <c r="K94" s="138" t="n">
        <f aca="false">J94+K121</f>
        <v>0</v>
      </c>
      <c r="L94" s="138" t="n">
        <f aca="false">K94+L121</f>
        <v>0</v>
      </c>
      <c r="M94" s="138" t="n">
        <f aca="false">L94+M121</f>
        <v>0</v>
      </c>
      <c r="N94" s="138" t="n">
        <f aca="false">M94+N121</f>
        <v>0</v>
      </c>
      <c r="O94" s="138" t="n">
        <f aca="false">N94+O121</f>
        <v>0</v>
      </c>
      <c r="P94" s="138" t="n">
        <f aca="false">O94+P121</f>
        <v>0</v>
      </c>
      <c r="Q94" s="138" t="n">
        <f aca="false">P94+Q121</f>
        <v>0</v>
      </c>
      <c r="R94" s="138" t="n">
        <f aca="false">Q94+R121</f>
        <v>0</v>
      </c>
      <c r="S94" s="138" t="n">
        <f aca="false">R94+S121</f>
        <v>0</v>
      </c>
      <c r="T94" s="138" t="n">
        <f aca="false">S94+T121</f>
        <v>0</v>
      </c>
      <c r="U94" s="138" t="n">
        <f aca="false">T94+U121</f>
        <v>0</v>
      </c>
      <c r="V94" s="138" t="n">
        <f aca="false">U94+V121</f>
        <v>0</v>
      </c>
      <c r="W94" s="138" t="n">
        <f aca="false">V94+W121</f>
        <v>0</v>
      </c>
      <c r="X94" s="138" t="n">
        <f aca="false">W94+X121</f>
        <v>0</v>
      </c>
      <c r="Y94" s="138" t="n">
        <f aca="false">X94+Y121</f>
        <v>0</v>
      </c>
      <c r="Z94" s="138" t="n">
        <f aca="false">Y94+Z121</f>
        <v>0</v>
      </c>
      <c r="AA94" s="138" t="n">
        <f aca="false">Z94+AA121</f>
        <v>0</v>
      </c>
      <c r="AB94" s="138" t="n">
        <f aca="false">AA94+AB121</f>
        <v>0</v>
      </c>
      <c r="AC94" s="138" t="n">
        <f aca="false">AB94+AC121</f>
        <v>0</v>
      </c>
      <c r="AD94" s="138" t="n">
        <f aca="false">AC94+AD121</f>
        <v>0</v>
      </c>
      <c r="AE94" s="138" t="n">
        <f aca="false">AD94+AE121</f>
        <v>0</v>
      </c>
      <c r="AF94" s="138" t="n">
        <f aca="false">AE94+AF121</f>
        <v>0</v>
      </c>
      <c r="AG94" s="138" t="n">
        <f aca="false">AF94+AG121</f>
        <v>0</v>
      </c>
      <c r="AH94" s="138" t="n">
        <f aca="false">AG94+AH121</f>
        <v>0</v>
      </c>
      <c r="AI94" s="138" t="n">
        <f aca="false">AH94+AI121</f>
        <v>0</v>
      </c>
      <c r="AJ94" s="138" t="n">
        <f aca="false">AI94+AJ121</f>
        <v>0</v>
      </c>
      <c r="AK94" s="138" t="n">
        <f aca="false">AJ94+AK121</f>
        <v>0</v>
      </c>
      <c r="AL94" s="138" t="n">
        <f aca="false">AK94+AL121</f>
        <v>0</v>
      </c>
      <c r="AM94" s="138" t="n">
        <f aca="false">AL94+AM121</f>
        <v>0</v>
      </c>
      <c r="AN94" s="138" t="n">
        <f aca="false">AM94+AN121</f>
        <v>0</v>
      </c>
      <c r="AO94" s="138" t="n">
        <f aca="false">AN94+AO121</f>
        <v>0</v>
      </c>
      <c r="AP94" s="138" t="n">
        <f aca="false">AO94+AP121</f>
        <v>0</v>
      </c>
      <c r="AQ94" s="138" t="n">
        <f aca="false">AP94+AQ121</f>
        <v>0</v>
      </c>
      <c r="AR94" s="138" t="n">
        <f aca="false">AQ94+AR121</f>
        <v>0</v>
      </c>
      <c r="AS94" s="138" t="n">
        <f aca="false">AR94+AS121</f>
        <v>0</v>
      </c>
      <c r="AT94" s="138" t="n">
        <f aca="false">AS94+AT121</f>
        <v>0</v>
      </c>
      <c r="AU94" s="138" t="n">
        <f aca="false">AT94+AU121</f>
        <v>0</v>
      </c>
      <c r="AV94" s="138" t="n">
        <f aca="false">AU94+AV121</f>
        <v>0</v>
      </c>
      <c r="AW94" s="138" t="n">
        <f aca="false">AV94+AW121</f>
        <v>0</v>
      </c>
      <c r="AX94" s="138" t="n">
        <f aca="false">AW94+AX121</f>
        <v>769792.743883473</v>
      </c>
      <c r="AY94" s="138" t="n">
        <f aca="false">AX94+AY121</f>
        <v>769792.743883473</v>
      </c>
      <c r="AZ94" s="138" t="n">
        <f aca="false">AY94+AZ121</f>
        <v>769792.743883473</v>
      </c>
      <c r="BA94" s="138" t="n">
        <f aca="false">AZ94+BA121</f>
        <v>769792.743883473</v>
      </c>
      <c r="BB94" s="138" t="n">
        <f aca="false">BA94+BB121</f>
        <v>769792.743883473</v>
      </c>
      <c r="BC94" s="138" t="n">
        <f aca="false">BB94+BC121</f>
        <v>769792.743883473</v>
      </c>
      <c r="BD94" s="138" t="n">
        <f aca="false">BC94+BD121</f>
        <v>769792.743883473</v>
      </c>
      <c r="BE94" s="138" t="n">
        <f aca="false">BD94+BE121</f>
        <v>769792.743883473</v>
      </c>
      <c r="BF94" s="138" t="n">
        <f aca="false">BE94+BF121</f>
        <v>769792.743883473</v>
      </c>
      <c r="BG94" s="138" t="n">
        <f aca="false">BF94+BG121</f>
        <v>769792.743883473</v>
      </c>
      <c r="BH94" s="138" t="n">
        <f aca="false">BG94+BH121</f>
        <v>769792.743883473</v>
      </c>
      <c r="BI94" s="138" t="n">
        <f aca="false">BH94+BI121</f>
        <v>769792.743883473</v>
      </c>
      <c r="BJ94" s="138" t="n">
        <f aca="false">BI94+BJ121</f>
        <v>769792.743883473</v>
      </c>
      <c r="BK94" s="138" t="n">
        <f aca="false">BJ94+BK121</f>
        <v>769792.743883473</v>
      </c>
      <c r="BL94" s="138" t="n">
        <f aca="false">BK94+BL121</f>
        <v>769792.743883473</v>
      </c>
      <c r="BM94" s="138" t="n">
        <f aca="false">BL94+BM121</f>
        <v>769792.743883473</v>
      </c>
      <c r="BN94" s="138" t="n">
        <f aca="false">BM94+BN121</f>
        <v>769792.743883473</v>
      </c>
      <c r="BO94" s="138" t="n">
        <f aca="false">BN94+BO121</f>
        <v>769792.743883473</v>
      </c>
      <c r="BP94" s="138" t="n">
        <f aca="false">BO94+BP121</f>
        <v>769792.743883473</v>
      </c>
      <c r="BQ94" s="138" t="n">
        <f aca="false">BP94+BQ121</f>
        <v>769792.743883473</v>
      </c>
      <c r="BR94" s="138" t="n">
        <f aca="false">BQ94+BR121</f>
        <v>769792.743883473</v>
      </c>
      <c r="BS94" s="138" t="n">
        <f aca="false">BR94+BS121</f>
        <v>769792.743883473</v>
      </c>
      <c r="BT94" s="138" t="n">
        <f aca="false">BS94+BT121</f>
        <v>769792.743883473</v>
      </c>
      <c r="BU94" s="138" t="n">
        <f aca="false">BT94+BU121</f>
        <v>769792.743883473</v>
      </c>
      <c r="BV94" s="138" t="n">
        <f aca="false">BU94+BV121</f>
        <v>769792.743883473</v>
      </c>
      <c r="BW94" s="138" t="n">
        <f aca="false">BV94+BW121</f>
        <v>769792.743883473</v>
      </c>
      <c r="BX94" s="138" t="n">
        <f aca="false">BW94+BX121</f>
        <v>769792.743883473</v>
      </c>
      <c r="BY94" s="138" t="n">
        <f aca="false">BX94+BY121</f>
        <v>769792.743883473</v>
      </c>
      <c r="BZ94" s="138" t="n">
        <f aca="false">BY94+BZ121</f>
        <v>769792.743883473</v>
      </c>
      <c r="CA94" s="138" t="n">
        <f aca="false">BZ94+CA121</f>
        <v>769792.743883473</v>
      </c>
      <c r="CB94" s="138" t="n">
        <f aca="false">CA94+CB121</f>
        <v>769792.743883473</v>
      </c>
      <c r="CC94" s="138" t="n">
        <f aca="false">CB94+CC121</f>
        <v>769792.743883473</v>
      </c>
      <c r="CD94" s="138" t="n">
        <f aca="false">CC94+CD121</f>
        <v>769792.743883473</v>
      </c>
      <c r="CE94" s="138" t="n">
        <f aca="false">CD94+CE121</f>
        <v>769792.743883473</v>
      </c>
      <c r="CF94" s="138" t="n">
        <f aca="false">CE94+CF121</f>
        <v>769792.743883473</v>
      </c>
      <c r="CG94" s="138" t="n">
        <f aca="false">CF94+CG121</f>
        <v>769792.743883473</v>
      </c>
      <c r="CH94" s="138" t="n">
        <f aca="false">CG94+CH121</f>
        <v>769792.743883473</v>
      </c>
    </row>
    <row r="95" customFormat="false" ht="13.5" hidden="false" customHeight="true" outlineLevel="0" collapsed="false"/>
    <row r="96" customFormat="false" ht="13.5" hidden="false" customHeight="true" outlineLevel="0" collapsed="false">
      <c r="A96" s="13" t="s">
        <v>772</v>
      </c>
      <c r="C96" s="138" t="n">
        <f aca="false">Hipótesis!$D$105</f>
        <v>100000</v>
      </c>
      <c r="D96" s="138" t="n">
        <f aca="false">C96-C97</f>
        <v>100000</v>
      </c>
      <c r="E96" s="138" t="n">
        <f aca="false">D96-D97</f>
        <v>100000</v>
      </c>
      <c r="F96" s="138" t="n">
        <f aca="false">E96-E97</f>
        <v>100000</v>
      </c>
      <c r="G96" s="138" t="n">
        <f aca="false">F96-F97</f>
        <v>100000</v>
      </c>
      <c r="H96" s="138" t="n">
        <f aca="false">G96-G97</f>
        <v>100000</v>
      </c>
      <c r="I96" s="138" t="n">
        <f aca="false">H96-H97</f>
        <v>100000</v>
      </c>
      <c r="J96" s="138" t="n">
        <f aca="false">I96-I97</f>
        <v>100000</v>
      </c>
      <c r="K96" s="138" t="n">
        <f aca="false">J96-J97</f>
        <v>100000</v>
      </c>
      <c r="L96" s="138" t="n">
        <f aca="false">K96-K97</f>
        <v>100000</v>
      </c>
      <c r="M96" s="138" t="n">
        <f aca="false">L96-L97</f>
        <v>100000</v>
      </c>
      <c r="N96" s="138" t="n">
        <f aca="false">M96-M97</f>
        <v>100000</v>
      </c>
      <c r="O96" s="138" t="n">
        <f aca="false">N96-N97</f>
        <v>100000</v>
      </c>
      <c r="P96" s="138" t="n">
        <f aca="false">O96-O97</f>
        <v>100000</v>
      </c>
      <c r="Q96" s="138" t="n">
        <f aca="false">P96-P97</f>
        <v>100000</v>
      </c>
      <c r="R96" s="138" t="n">
        <f aca="false">Q96-Q97</f>
        <v>100000</v>
      </c>
      <c r="S96" s="138" t="n">
        <f aca="false">R96-R97</f>
        <v>100000</v>
      </c>
      <c r="T96" s="138" t="n">
        <f aca="false">S96-S97</f>
        <v>100000</v>
      </c>
      <c r="U96" s="138" t="n">
        <f aca="false">T96-T97</f>
        <v>100000</v>
      </c>
      <c r="V96" s="138" t="n">
        <f aca="false">U96-U97</f>
        <v>100000</v>
      </c>
      <c r="W96" s="138" t="n">
        <f aca="false">V96-V97</f>
        <v>100000</v>
      </c>
      <c r="X96" s="138" t="n">
        <f aca="false">W96-W97</f>
        <v>100000</v>
      </c>
      <c r="Y96" s="138" t="n">
        <f aca="false">X96-X97</f>
        <v>100000</v>
      </c>
      <c r="Z96" s="138" t="n">
        <f aca="false">Y96-Y97</f>
        <v>100000</v>
      </c>
      <c r="AA96" s="138" t="n">
        <f aca="false">Z96-Z97</f>
        <v>100000</v>
      </c>
      <c r="AB96" s="138" t="n">
        <f aca="false">AA96-AA97</f>
        <v>98333.3333333333</v>
      </c>
      <c r="AC96" s="138" t="n">
        <f aca="false">AB96-AB97</f>
        <v>96666.6666666667</v>
      </c>
      <c r="AD96" s="138" t="n">
        <f aca="false">AC96-AC97</f>
        <v>95000</v>
      </c>
      <c r="AE96" s="138" t="n">
        <f aca="false">AD96-AD97</f>
        <v>93333.3333333333</v>
      </c>
      <c r="AF96" s="138" t="n">
        <f aca="false">AE96-AE97</f>
        <v>91666.6666666666</v>
      </c>
      <c r="AG96" s="138" t="n">
        <f aca="false">AF96-AF97</f>
        <v>90000</v>
      </c>
      <c r="AH96" s="138" t="n">
        <f aca="false">AG96-AG97</f>
        <v>88333.3333333333</v>
      </c>
      <c r="AI96" s="138" t="n">
        <f aca="false">AH96-AH97</f>
        <v>86666.6666666666</v>
      </c>
      <c r="AJ96" s="138" t="n">
        <f aca="false">AI96-AI97</f>
        <v>85000</v>
      </c>
      <c r="AK96" s="138" t="n">
        <f aca="false">AJ96-AJ97</f>
        <v>83333.3333333333</v>
      </c>
      <c r="AL96" s="138" t="n">
        <f aca="false">AK96-AK97</f>
        <v>81666.6666666666</v>
      </c>
      <c r="AM96" s="138" t="n">
        <f aca="false">AL96-AL97</f>
        <v>79999.9999999999</v>
      </c>
      <c r="AN96" s="138" t="n">
        <f aca="false">AM96-AM97</f>
        <v>78333.3333333333</v>
      </c>
      <c r="AO96" s="138" t="n">
        <f aca="false">AN96-AN97</f>
        <v>76666.6666666666</v>
      </c>
      <c r="AP96" s="138" t="n">
        <f aca="false">AO96-AO97</f>
        <v>74999.9999999999</v>
      </c>
      <c r="AQ96" s="138" t="n">
        <f aca="false">AP96-AP97</f>
        <v>73333.3333333333</v>
      </c>
      <c r="AR96" s="138" t="n">
        <f aca="false">AQ96-AQ97</f>
        <v>71666.6666666666</v>
      </c>
      <c r="AS96" s="138" t="n">
        <f aca="false">AR96-AR97</f>
        <v>69999.9999999999</v>
      </c>
      <c r="AT96" s="138" t="n">
        <f aca="false">AS96-AS97</f>
        <v>68333.3333333332</v>
      </c>
      <c r="AU96" s="138" t="n">
        <f aca="false">AT96-AT97</f>
        <v>66666.6666666666</v>
      </c>
      <c r="AV96" s="138" t="n">
        <f aca="false">AU96-AU97</f>
        <v>64999.9999999999</v>
      </c>
      <c r="AW96" s="138" t="n">
        <f aca="false">AV96-AV97</f>
        <v>63333.3333333332</v>
      </c>
      <c r="AX96" s="138" t="n">
        <f aca="false">AW96-AW97</f>
        <v>61666.6666666666</v>
      </c>
      <c r="AY96" s="138" t="n">
        <f aca="false">AX96-AX97</f>
        <v>59999.9999999999</v>
      </c>
      <c r="AZ96" s="138" t="n">
        <f aca="false">AY96-AY97</f>
        <v>58333.3333333333</v>
      </c>
      <c r="BA96" s="138" t="n">
        <f aca="false">AZ96-AZ97</f>
        <v>56666.6666666666</v>
      </c>
      <c r="BB96" s="138" t="n">
        <f aca="false">BA96-BA97</f>
        <v>54999.9999999999</v>
      </c>
      <c r="BC96" s="138" t="n">
        <f aca="false">BB96-BB97</f>
        <v>53333.3333333333</v>
      </c>
      <c r="BD96" s="138" t="n">
        <f aca="false">BC96-BC97</f>
        <v>51666.6666666666</v>
      </c>
      <c r="BE96" s="138" t="n">
        <f aca="false">BD96-BD97</f>
        <v>49999.9999999999</v>
      </c>
      <c r="BF96" s="138" t="n">
        <f aca="false">BE96-BE97</f>
        <v>48333.3333333333</v>
      </c>
      <c r="BG96" s="138" t="n">
        <f aca="false">BF96-BF97</f>
        <v>46666.6666666666</v>
      </c>
      <c r="BH96" s="138" t="n">
        <f aca="false">BG96-BG97</f>
        <v>44999.9999999999</v>
      </c>
      <c r="BI96" s="138" t="n">
        <f aca="false">BH96-BH97</f>
        <v>43333.3333333333</v>
      </c>
      <c r="BJ96" s="138" t="n">
        <f aca="false">BI96-BI97</f>
        <v>41666.6666666666</v>
      </c>
      <c r="BK96" s="138" t="n">
        <f aca="false">BJ96-BJ97</f>
        <v>39999.9999999999</v>
      </c>
      <c r="BL96" s="138" t="n">
        <f aca="false">BK96-BK97</f>
        <v>38333.3333333333</v>
      </c>
      <c r="BM96" s="138" t="n">
        <f aca="false">BL96-BL97</f>
        <v>36666.6666666666</v>
      </c>
      <c r="BN96" s="138" t="n">
        <f aca="false">BM96-BM97</f>
        <v>35000</v>
      </c>
      <c r="BO96" s="138" t="n">
        <f aca="false">BN96-BN97</f>
        <v>33333.3333333333</v>
      </c>
      <c r="BP96" s="138" t="n">
        <f aca="false">BO96-BO97</f>
        <v>31666.6666666666</v>
      </c>
      <c r="BQ96" s="138" t="n">
        <f aca="false">BP96-BP97</f>
        <v>30000</v>
      </c>
      <c r="BR96" s="138" t="n">
        <f aca="false">BQ96-BQ97</f>
        <v>28333.3333333333</v>
      </c>
      <c r="BS96" s="138" t="n">
        <f aca="false">BR96-BR97</f>
        <v>26666.6666666666</v>
      </c>
      <c r="BT96" s="138" t="n">
        <f aca="false">BS96-BS97</f>
        <v>24999.9999999999</v>
      </c>
      <c r="BU96" s="138" t="n">
        <f aca="false">BT96-BT97</f>
        <v>23333.3333333333</v>
      </c>
      <c r="BV96" s="138" t="n">
        <f aca="false">BU96-BU97</f>
        <v>21666.6666666666</v>
      </c>
      <c r="BW96" s="138" t="n">
        <f aca="false">BV96-BV97</f>
        <v>19999.9999999999</v>
      </c>
      <c r="BX96" s="138" t="n">
        <f aca="false">BW96-BW97</f>
        <v>18333.3333333333</v>
      </c>
      <c r="BY96" s="138" t="n">
        <f aca="false">BX96-BX97</f>
        <v>16666.6666666666</v>
      </c>
      <c r="BZ96" s="138" t="n">
        <f aca="false">BY96-BY97</f>
        <v>14999.9999999999</v>
      </c>
      <c r="CA96" s="138" t="n">
        <f aca="false">BZ96-BZ97</f>
        <v>13333.3333333333</v>
      </c>
      <c r="CB96" s="138" t="n">
        <f aca="false">CA96-CA97</f>
        <v>11666.6666666666</v>
      </c>
      <c r="CC96" s="138" t="n">
        <f aca="false">CB96-CB97</f>
        <v>9999.99999999994</v>
      </c>
      <c r="CD96" s="138" t="n">
        <f aca="false">CC96-CC97</f>
        <v>8333.33333333328</v>
      </c>
      <c r="CE96" s="138" t="n">
        <f aca="false">CD96-CD97</f>
        <v>6666.66666666661</v>
      </c>
      <c r="CF96" s="138" t="n">
        <f aca="false">CE96-CE97</f>
        <v>4999.99999999994</v>
      </c>
      <c r="CG96" s="138" t="n">
        <f aca="false">CF96-CF97</f>
        <v>3333.33333333328</v>
      </c>
      <c r="CH96" s="138" t="n">
        <f aca="false">CG96-CG97</f>
        <v>1666.66666666661</v>
      </c>
    </row>
    <row r="97" customFormat="false" ht="13.5" hidden="false" customHeight="true" outlineLevel="0" collapsed="false">
      <c r="A97" s="13" t="s">
        <v>773</v>
      </c>
      <c r="C97" s="138" t="n">
        <f aca="false">IF(1&lt;=Hipótesis!$D$109,0,IF(C96&gt;0,MIN(C96,Hipótesis!$D$105/MAX(Hipótesis!$D$108-Hipótesis!$D$109,1)),0))</f>
        <v>0</v>
      </c>
      <c r="D97" s="138" t="n">
        <f aca="false">IF(2&lt;=Hipótesis!$D$109,0,IF(D96&gt;0,MIN(D96,Hipótesis!$D$105/MAX(Hipótesis!$D$108-Hipótesis!$D$109,1)),0))</f>
        <v>0</v>
      </c>
      <c r="E97" s="138" t="n">
        <f aca="false">IF(3&lt;=Hipótesis!$D$109,0,IF(E96&gt;0,MIN(E96,Hipótesis!$D$105/MAX(Hipótesis!$D$108-Hipótesis!$D$109,1)),0))</f>
        <v>0</v>
      </c>
      <c r="F97" s="138" t="n">
        <f aca="false">IF(4&lt;=Hipótesis!$D$109,0,IF(F96&gt;0,MIN(F96,Hipótesis!$D$105/MAX(Hipótesis!$D$108-Hipótesis!$D$109,1)),0))</f>
        <v>0</v>
      </c>
      <c r="G97" s="138" t="n">
        <f aca="false">IF(5&lt;=Hipótesis!$D$109,0,IF(G96&gt;0,MIN(G96,Hipótesis!$D$105/MAX(Hipótesis!$D$108-Hipótesis!$D$109,1)),0))</f>
        <v>0</v>
      </c>
      <c r="H97" s="138" t="n">
        <f aca="false">IF(6&lt;=Hipótesis!$D$109,0,IF(H96&gt;0,MIN(H96,Hipótesis!$D$105/MAX(Hipótesis!$D$108-Hipótesis!$D$109,1)),0))</f>
        <v>0</v>
      </c>
      <c r="I97" s="138" t="n">
        <f aca="false">IF(7&lt;=Hipótesis!$D$109,0,IF(I96&gt;0,MIN(I96,Hipótesis!$D$105/MAX(Hipótesis!$D$108-Hipótesis!$D$109,1)),0))</f>
        <v>0</v>
      </c>
      <c r="J97" s="138" t="n">
        <f aca="false">IF(8&lt;=Hipótesis!$D$109,0,IF(J96&gt;0,MIN(J96,Hipótesis!$D$105/MAX(Hipótesis!$D$108-Hipótesis!$D$109,1)),0))</f>
        <v>0</v>
      </c>
      <c r="K97" s="138" t="n">
        <f aca="false">IF(9&lt;=Hipótesis!$D$109,0,IF(K96&gt;0,MIN(K96,Hipótesis!$D$105/MAX(Hipótesis!$D$108-Hipótesis!$D$109,1)),0))</f>
        <v>0</v>
      </c>
      <c r="L97" s="138" t="n">
        <f aca="false">IF(10&lt;=Hipótesis!$D$109,0,IF(L96&gt;0,MIN(L96,Hipótesis!$D$105/MAX(Hipótesis!$D$108-Hipótesis!$D$109,1)),0))</f>
        <v>0</v>
      </c>
      <c r="M97" s="138" t="n">
        <f aca="false">IF(11&lt;=Hipótesis!$D$109,0,IF(M96&gt;0,MIN(M96,Hipótesis!$D$105/MAX(Hipótesis!$D$108-Hipótesis!$D$109,1)),0))</f>
        <v>0</v>
      </c>
      <c r="N97" s="138" t="n">
        <f aca="false">IF(12&lt;=Hipótesis!$D$109,0,IF(N96&gt;0,MIN(N96,Hipótesis!$D$105/MAX(Hipótesis!$D$108-Hipótesis!$D$109,1)),0))</f>
        <v>0</v>
      </c>
      <c r="O97" s="138" t="n">
        <f aca="false">IF(13&lt;=Hipótesis!$D$109,0,IF(O96&gt;0,MIN(O96,Hipótesis!$D$105/MAX(Hipótesis!$D$108-Hipótesis!$D$109,1)),0))</f>
        <v>0</v>
      </c>
      <c r="P97" s="138" t="n">
        <f aca="false">IF(14&lt;=Hipótesis!$D$109,0,IF(P96&gt;0,MIN(P96,Hipótesis!$D$105/MAX(Hipótesis!$D$108-Hipótesis!$D$109,1)),0))</f>
        <v>0</v>
      </c>
      <c r="Q97" s="138" t="n">
        <f aca="false">IF(15&lt;=Hipótesis!$D$109,0,IF(Q96&gt;0,MIN(Q96,Hipótesis!$D$105/MAX(Hipótesis!$D$108-Hipótesis!$D$109,1)),0))</f>
        <v>0</v>
      </c>
      <c r="R97" s="138" t="n">
        <f aca="false">IF(16&lt;=Hipótesis!$D$109,0,IF(R96&gt;0,MIN(R96,Hipótesis!$D$105/MAX(Hipótesis!$D$108-Hipótesis!$D$109,1)),0))</f>
        <v>0</v>
      </c>
      <c r="S97" s="138" t="n">
        <f aca="false">IF(17&lt;=Hipótesis!$D$109,0,IF(S96&gt;0,MIN(S96,Hipótesis!$D$105/MAX(Hipótesis!$D$108-Hipótesis!$D$109,1)),0))</f>
        <v>0</v>
      </c>
      <c r="T97" s="138" t="n">
        <f aca="false">IF(18&lt;=Hipótesis!$D$109,0,IF(T96&gt;0,MIN(T96,Hipótesis!$D$105/MAX(Hipótesis!$D$108-Hipótesis!$D$109,1)),0))</f>
        <v>0</v>
      </c>
      <c r="U97" s="138" t="n">
        <f aca="false">IF(19&lt;=Hipótesis!$D$109,0,IF(U96&gt;0,MIN(U96,Hipótesis!$D$105/MAX(Hipótesis!$D$108-Hipótesis!$D$109,1)),0))</f>
        <v>0</v>
      </c>
      <c r="V97" s="138" t="n">
        <f aca="false">IF(20&lt;=Hipótesis!$D$109,0,IF(V96&gt;0,MIN(V96,Hipótesis!$D$105/MAX(Hipótesis!$D$108-Hipótesis!$D$109,1)),0))</f>
        <v>0</v>
      </c>
      <c r="W97" s="138" t="n">
        <f aca="false">IF(21&lt;=Hipótesis!$D$109,0,IF(W96&gt;0,MIN(W96,Hipótesis!$D$105/MAX(Hipótesis!$D$108-Hipótesis!$D$109,1)),0))</f>
        <v>0</v>
      </c>
      <c r="X97" s="138" t="n">
        <f aca="false">IF(22&lt;=Hipótesis!$D$109,0,IF(X96&gt;0,MIN(X96,Hipótesis!$D$105/MAX(Hipótesis!$D$108-Hipótesis!$D$109,1)),0))</f>
        <v>0</v>
      </c>
      <c r="Y97" s="138" t="n">
        <f aca="false">IF(23&lt;=Hipótesis!$D$109,0,IF(Y96&gt;0,MIN(Y96,Hipótesis!$D$105/MAX(Hipótesis!$D$108-Hipótesis!$D$109,1)),0))</f>
        <v>0</v>
      </c>
      <c r="Z97" s="138" t="n">
        <f aca="false">IF(24&lt;=Hipótesis!$D$109,0,IF(Z96&gt;0,MIN(Z96,Hipótesis!$D$105/MAX(Hipótesis!$D$108-Hipótesis!$D$109,1)),0))</f>
        <v>0</v>
      </c>
      <c r="AA97" s="138" t="n">
        <f aca="false">IF(25&lt;=Hipótesis!$D$109,0,IF(AA96&gt;0,MIN(AA96,Hipótesis!$D$105/MAX(Hipótesis!$D$108-Hipótesis!$D$109,1)),0))</f>
        <v>1666.66666666667</v>
      </c>
      <c r="AB97" s="138" t="n">
        <f aca="false">IF(26&lt;=Hipótesis!$D$109,0,IF(AB96&gt;0,MIN(AB96,Hipótesis!$D$105/MAX(Hipótesis!$D$108-Hipótesis!$D$109,1)),0))</f>
        <v>1666.66666666667</v>
      </c>
      <c r="AC97" s="138" t="n">
        <f aca="false">IF(27&lt;=Hipótesis!$D$109,0,IF(AC96&gt;0,MIN(AC96,Hipótesis!$D$105/MAX(Hipótesis!$D$108-Hipótesis!$D$109,1)),0))</f>
        <v>1666.66666666667</v>
      </c>
      <c r="AD97" s="138" t="n">
        <f aca="false">IF(28&lt;=Hipótesis!$D$109,0,IF(AD96&gt;0,MIN(AD96,Hipótesis!$D$105/MAX(Hipótesis!$D$108-Hipótesis!$D$109,1)),0))</f>
        <v>1666.66666666667</v>
      </c>
      <c r="AE97" s="138" t="n">
        <f aca="false">IF(29&lt;=Hipótesis!$D$109,0,IF(AE96&gt;0,MIN(AE96,Hipótesis!$D$105/MAX(Hipótesis!$D$108-Hipótesis!$D$109,1)),0))</f>
        <v>1666.66666666667</v>
      </c>
      <c r="AF97" s="138" t="n">
        <f aca="false">IF(30&lt;=Hipótesis!$D$109,0,IF(AF96&gt;0,MIN(AF96,Hipótesis!$D$105/MAX(Hipótesis!$D$108-Hipótesis!$D$109,1)),0))</f>
        <v>1666.66666666667</v>
      </c>
      <c r="AG97" s="138" t="n">
        <f aca="false">IF(31&lt;=Hipótesis!$D$109,0,IF(AG96&gt;0,MIN(AG96,Hipótesis!$D$105/MAX(Hipótesis!$D$108-Hipótesis!$D$109,1)),0))</f>
        <v>1666.66666666667</v>
      </c>
      <c r="AH97" s="138" t="n">
        <f aca="false">IF(32&lt;=Hipótesis!$D$109,0,IF(AH96&gt;0,MIN(AH96,Hipótesis!$D$105/MAX(Hipótesis!$D$108-Hipótesis!$D$109,1)),0))</f>
        <v>1666.66666666667</v>
      </c>
      <c r="AI97" s="138" t="n">
        <f aca="false">IF(33&lt;=Hipótesis!$D$109,0,IF(AI96&gt;0,MIN(AI96,Hipótesis!$D$105/MAX(Hipótesis!$D$108-Hipótesis!$D$109,1)),0))</f>
        <v>1666.66666666667</v>
      </c>
      <c r="AJ97" s="138" t="n">
        <f aca="false">IF(34&lt;=Hipótesis!$D$109,0,IF(AJ96&gt;0,MIN(AJ96,Hipótesis!$D$105/MAX(Hipótesis!$D$108-Hipótesis!$D$109,1)),0))</f>
        <v>1666.66666666667</v>
      </c>
      <c r="AK97" s="138" t="n">
        <f aca="false">IF(35&lt;=Hipótesis!$D$109,0,IF(AK96&gt;0,MIN(AK96,Hipótesis!$D$105/MAX(Hipótesis!$D$108-Hipótesis!$D$109,1)),0))</f>
        <v>1666.66666666667</v>
      </c>
      <c r="AL97" s="138" t="n">
        <f aca="false">IF(36&lt;=Hipótesis!$D$109,0,IF(AL96&gt;0,MIN(AL96,Hipótesis!$D$105/MAX(Hipótesis!$D$108-Hipótesis!$D$109,1)),0))</f>
        <v>1666.66666666667</v>
      </c>
      <c r="AM97" s="138" t="n">
        <f aca="false">IF(37&lt;=Hipótesis!$D$109,0,IF(AM96&gt;0,MIN(AM96,Hipótesis!$D$105/MAX(Hipótesis!$D$108-Hipótesis!$D$109,1)),0))</f>
        <v>1666.66666666667</v>
      </c>
      <c r="AN97" s="138" t="n">
        <f aca="false">IF(38&lt;=Hipótesis!$D$109,0,IF(AN96&gt;0,MIN(AN96,Hipótesis!$D$105/MAX(Hipótesis!$D$108-Hipótesis!$D$109,1)),0))</f>
        <v>1666.66666666667</v>
      </c>
      <c r="AO97" s="138" t="n">
        <f aca="false">IF(39&lt;=Hipótesis!$D$109,0,IF(AO96&gt;0,MIN(AO96,Hipótesis!$D$105/MAX(Hipótesis!$D$108-Hipótesis!$D$109,1)),0))</f>
        <v>1666.66666666667</v>
      </c>
      <c r="AP97" s="138" t="n">
        <f aca="false">IF(40&lt;=Hipótesis!$D$109,0,IF(AP96&gt;0,MIN(AP96,Hipótesis!$D$105/MAX(Hipótesis!$D$108-Hipótesis!$D$109,1)),0))</f>
        <v>1666.66666666667</v>
      </c>
      <c r="AQ97" s="138" t="n">
        <f aca="false">IF(41&lt;=Hipótesis!$D$109,0,IF(AQ96&gt;0,MIN(AQ96,Hipótesis!$D$105/MAX(Hipótesis!$D$108-Hipótesis!$D$109,1)),0))</f>
        <v>1666.66666666667</v>
      </c>
      <c r="AR97" s="138" t="n">
        <f aca="false">IF(42&lt;=Hipótesis!$D$109,0,IF(AR96&gt;0,MIN(AR96,Hipótesis!$D$105/MAX(Hipótesis!$D$108-Hipótesis!$D$109,1)),0))</f>
        <v>1666.66666666667</v>
      </c>
      <c r="AS97" s="138" t="n">
        <f aca="false">IF(43&lt;=Hipótesis!$D$109,0,IF(AS96&gt;0,MIN(AS96,Hipótesis!$D$105/MAX(Hipótesis!$D$108-Hipótesis!$D$109,1)),0))</f>
        <v>1666.66666666667</v>
      </c>
      <c r="AT97" s="138" t="n">
        <f aca="false">IF(44&lt;=Hipótesis!$D$109,0,IF(AT96&gt;0,MIN(AT96,Hipótesis!$D$105/MAX(Hipótesis!$D$108-Hipótesis!$D$109,1)),0))</f>
        <v>1666.66666666667</v>
      </c>
      <c r="AU97" s="138" t="n">
        <f aca="false">IF(45&lt;=Hipótesis!$D$109,0,IF(AU96&gt;0,MIN(AU96,Hipótesis!$D$105/MAX(Hipótesis!$D$108-Hipótesis!$D$109,1)),0))</f>
        <v>1666.66666666667</v>
      </c>
      <c r="AV97" s="138" t="n">
        <f aca="false">IF(46&lt;=Hipótesis!$D$109,0,IF(AV96&gt;0,MIN(AV96,Hipótesis!$D$105/MAX(Hipótesis!$D$108-Hipótesis!$D$109,1)),0))</f>
        <v>1666.66666666667</v>
      </c>
      <c r="AW97" s="138" t="n">
        <f aca="false">IF(47&lt;=Hipótesis!$D$109,0,IF(AW96&gt;0,MIN(AW96,Hipótesis!$D$105/MAX(Hipótesis!$D$108-Hipótesis!$D$109,1)),0))</f>
        <v>1666.66666666667</v>
      </c>
      <c r="AX97" s="138" t="n">
        <f aca="false">IF(48&lt;=Hipótesis!$D$109,0,IF(AX96&gt;0,MIN(AX96,Hipótesis!$D$105/MAX(Hipótesis!$D$108-Hipótesis!$D$109,1)),0))</f>
        <v>1666.66666666667</v>
      </c>
      <c r="AY97" s="138" t="n">
        <f aca="false">IF(49&lt;=Hipótesis!$D$109,0,IF(AY96&gt;0,MIN(AY96,Hipótesis!$D$105/MAX(Hipótesis!$D$108-Hipótesis!$D$109,1)),0))</f>
        <v>1666.66666666667</v>
      </c>
      <c r="AZ97" s="138" t="n">
        <f aca="false">IF(50&lt;=Hipótesis!$D$109,0,IF(AZ96&gt;0,MIN(AZ96,Hipótesis!$D$105/MAX(Hipótesis!$D$108-Hipótesis!$D$109,1)),0))</f>
        <v>1666.66666666667</v>
      </c>
      <c r="BA97" s="138" t="n">
        <f aca="false">IF(51&lt;=Hipótesis!$D$109,0,IF(BA96&gt;0,MIN(BA96,Hipótesis!$D$105/MAX(Hipótesis!$D$108-Hipótesis!$D$109,1)),0))</f>
        <v>1666.66666666667</v>
      </c>
      <c r="BB97" s="138" t="n">
        <f aca="false">IF(52&lt;=Hipótesis!$D$109,0,IF(BB96&gt;0,MIN(BB96,Hipótesis!$D$105/MAX(Hipótesis!$D$108-Hipótesis!$D$109,1)),0))</f>
        <v>1666.66666666667</v>
      </c>
      <c r="BC97" s="138" t="n">
        <f aca="false">IF(53&lt;=Hipótesis!$D$109,0,IF(BC96&gt;0,MIN(BC96,Hipótesis!$D$105/MAX(Hipótesis!$D$108-Hipótesis!$D$109,1)),0))</f>
        <v>1666.66666666667</v>
      </c>
      <c r="BD97" s="138" t="n">
        <f aca="false">IF(54&lt;=Hipótesis!$D$109,0,IF(BD96&gt;0,MIN(BD96,Hipótesis!$D$105/MAX(Hipótesis!$D$108-Hipótesis!$D$109,1)),0))</f>
        <v>1666.66666666667</v>
      </c>
      <c r="BE97" s="138" t="n">
        <f aca="false">IF(55&lt;=Hipótesis!$D$109,0,IF(BE96&gt;0,MIN(BE96,Hipótesis!$D$105/MAX(Hipótesis!$D$108-Hipótesis!$D$109,1)),0))</f>
        <v>1666.66666666667</v>
      </c>
      <c r="BF97" s="138" t="n">
        <f aca="false">IF(56&lt;=Hipótesis!$D$109,0,IF(BF96&gt;0,MIN(BF96,Hipótesis!$D$105/MAX(Hipótesis!$D$108-Hipótesis!$D$109,1)),0))</f>
        <v>1666.66666666667</v>
      </c>
      <c r="BG97" s="138" t="n">
        <f aca="false">IF(57&lt;=Hipótesis!$D$109,0,IF(BG96&gt;0,MIN(BG96,Hipótesis!$D$105/MAX(Hipótesis!$D$108-Hipótesis!$D$109,1)),0))</f>
        <v>1666.66666666667</v>
      </c>
      <c r="BH97" s="138" t="n">
        <f aca="false">IF(58&lt;=Hipótesis!$D$109,0,IF(BH96&gt;0,MIN(BH96,Hipótesis!$D$105/MAX(Hipótesis!$D$108-Hipótesis!$D$109,1)),0))</f>
        <v>1666.66666666667</v>
      </c>
      <c r="BI97" s="138" t="n">
        <f aca="false">IF(59&lt;=Hipótesis!$D$109,0,IF(BI96&gt;0,MIN(BI96,Hipótesis!$D$105/MAX(Hipótesis!$D$108-Hipótesis!$D$109,1)),0))</f>
        <v>1666.66666666667</v>
      </c>
      <c r="BJ97" s="138" t="n">
        <f aca="false">IF(60&lt;=Hipótesis!$D$109,0,IF(BJ96&gt;0,MIN(BJ96,Hipótesis!$D$105/MAX(Hipótesis!$D$108-Hipótesis!$D$109,1)),0))</f>
        <v>1666.66666666667</v>
      </c>
      <c r="BK97" s="138" t="n">
        <f aca="false">IF(61&lt;=Hipótesis!$D$109,0,IF(BK96&gt;0,MIN(BK96,Hipótesis!$D$105/MAX(Hipótesis!$D$108-Hipótesis!$D$109,1)),0))</f>
        <v>1666.66666666667</v>
      </c>
      <c r="BL97" s="138" t="n">
        <f aca="false">IF(62&lt;=Hipótesis!$D$109,0,IF(BL96&gt;0,MIN(BL96,Hipótesis!$D$105/MAX(Hipótesis!$D$108-Hipótesis!$D$109,1)),0))</f>
        <v>1666.66666666667</v>
      </c>
      <c r="BM97" s="138" t="n">
        <f aca="false">IF(63&lt;=Hipótesis!$D$109,0,IF(BM96&gt;0,MIN(BM96,Hipótesis!$D$105/MAX(Hipótesis!$D$108-Hipótesis!$D$109,1)),0))</f>
        <v>1666.66666666667</v>
      </c>
      <c r="BN97" s="138" t="n">
        <f aca="false">IF(64&lt;=Hipótesis!$D$109,0,IF(BN96&gt;0,MIN(BN96,Hipótesis!$D$105/MAX(Hipótesis!$D$108-Hipótesis!$D$109,1)),0))</f>
        <v>1666.66666666667</v>
      </c>
      <c r="BO97" s="138" t="n">
        <f aca="false">IF(65&lt;=Hipótesis!$D$109,0,IF(BO96&gt;0,MIN(BO96,Hipótesis!$D$105/MAX(Hipótesis!$D$108-Hipótesis!$D$109,1)),0))</f>
        <v>1666.66666666667</v>
      </c>
      <c r="BP97" s="138" t="n">
        <f aca="false">IF(66&lt;=Hipótesis!$D$109,0,IF(BP96&gt;0,MIN(BP96,Hipótesis!$D$105/MAX(Hipótesis!$D$108-Hipótesis!$D$109,1)),0))</f>
        <v>1666.66666666667</v>
      </c>
      <c r="BQ97" s="138" t="n">
        <f aca="false">IF(67&lt;=Hipótesis!$D$109,0,IF(BQ96&gt;0,MIN(BQ96,Hipótesis!$D$105/MAX(Hipótesis!$D$108-Hipótesis!$D$109,1)),0))</f>
        <v>1666.66666666667</v>
      </c>
      <c r="BR97" s="138" t="n">
        <f aca="false">IF(68&lt;=Hipótesis!$D$109,0,IF(BR96&gt;0,MIN(BR96,Hipótesis!$D$105/MAX(Hipótesis!$D$108-Hipótesis!$D$109,1)),0))</f>
        <v>1666.66666666667</v>
      </c>
      <c r="BS97" s="138" t="n">
        <f aca="false">IF(69&lt;=Hipótesis!$D$109,0,IF(BS96&gt;0,MIN(BS96,Hipótesis!$D$105/MAX(Hipótesis!$D$108-Hipótesis!$D$109,1)),0))</f>
        <v>1666.66666666667</v>
      </c>
      <c r="BT97" s="138" t="n">
        <f aca="false">IF(70&lt;=Hipótesis!$D$109,0,IF(BT96&gt;0,MIN(BT96,Hipótesis!$D$105/MAX(Hipótesis!$D$108-Hipótesis!$D$109,1)),0))</f>
        <v>1666.66666666667</v>
      </c>
      <c r="BU97" s="138" t="n">
        <f aca="false">IF(71&lt;=Hipótesis!$D$109,0,IF(BU96&gt;0,MIN(BU96,Hipótesis!$D$105/MAX(Hipótesis!$D$108-Hipótesis!$D$109,1)),0))</f>
        <v>1666.66666666667</v>
      </c>
      <c r="BV97" s="138" t="n">
        <f aca="false">IF(72&lt;=Hipótesis!$D$109,0,IF(BV96&gt;0,MIN(BV96,Hipótesis!$D$105/MAX(Hipótesis!$D$108-Hipótesis!$D$109,1)),0))</f>
        <v>1666.66666666667</v>
      </c>
      <c r="BW97" s="138" t="n">
        <f aca="false">IF(73&lt;=Hipótesis!$D$109,0,IF(BW96&gt;0,MIN(BW96,Hipótesis!$D$105/MAX(Hipótesis!$D$108-Hipótesis!$D$109,1)),0))</f>
        <v>1666.66666666667</v>
      </c>
      <c r="BX97" s="138" t="n">
        <f aca="false">IF(74&lt;=Hipótesis!$D$109,0,IF(BX96&gt;0,MIN(BX96,Hipótesis!$D$105/MAX(Hipótesis!$D$108-Hipótesis!$D$109,1)),0))</f>
        <v>1666.66666666667</v>
      </c>
      <c r="BY97" s="138" t="n">
        <f aca="false">IF(75&lt;=Hipótesis!$D$109,0,IF(BY96&gt;0,MIN(BY96,Hipótesis!$D$105/MAX(Hipótesis!$D$108-Hipótesis!$D$109,1)),0))</f>
        <v>1666.66666666667</v>
      </c>
      <c r="BZ97" s="138" t="n">
        <f aca="false">IF(76&lt;=Hipótesis!$D$109,0,IF(BZ96&gt;0,MIN(BZ96,Hipótesis!$D$105/MAX(Hipótesis!$D$108-Hipótesis!$D$109,1)),0))</f>
        <v>1666.66666666667</v>
      </c>
      <c r="CA97" s="138" t="n">
        <f aca="false">IF(77&lt;=Hipótesis!$D$109,0,IF(CA96&gt;0,MIN(CA96,Hipótesis!$D$105/MAX(Hipótesis!$D$108-Hipótesis!$D$109,1)),0))</f>
        <v>1666.66666666667</v>
      </c>
      <c r="CB97" s="138" t="n">
        <f aca="false">IF(78&lt;=Hipótesis!$D$109,0,IF(CB96&gt;0,MIN(CB96,Hipótesis!$D$105/MAX(Hipótesis!$D$108-Hipótesis!$D$109,1)),0))</f>
        <v>1666.66666666667</v>
      </c>
      <c r="CC97" s="138" t="n">
        <f aca="false">IF(79&lt;=Hipótesis!$D$109,0,IF(CC96&gt;0,MIN(CC96,Hipótesis!$D$105/MAX(Hipótesis!$D$108-Hipótesis!$D$109,1)),0))</f>
        <v>1666.66666666667</v>
      </c>
      <c r="CD97" s="138" t="n">
        <f aca="false">IF(80&lt;=Hipótesis!$D$109,0,IF(CD96&gt;0,MIN(CD96,Hipótesis!$D$105/MAX(Hipótesis!$D$108-Hipótesis!$D$109,1)),0))</f>
        <v>1666.66666666667</v>
      </c>
      <c r="CE97" s="138" t="n">
        <f aca="false">IF(81&lt;=Hipótesis!$D$109,0,IF(CE96&gt;0,MIN(CE96,Hipótesis!$D$105/MAX(Hipótesis!$D$108-Hipótesis!$D$109,1)),0))</f>
        <v>1666.66666666667</v>
      </c>
      <c r="CF97" s="138" t="n">
        <f aca="false">IF(82&lt;=Hipótesis!$D$109,0,IF(CF96&gt;0,MIN(CF96,Hipótesis!$D$105/MAX(Hipótesis!$D$108-Hipótesis!$D$109,1)),0))</f>
        <v>1666.66666666667</v>
      </c>
      <c r="CG97" s="138" t="n">
        <f aca="false">IF(83&lt;=Hipótesis!$D$109,0,IF(CG96&gt;0,MIN(CG96,Hipótesis!$D$105/MAX(Hipótesis!$D$108-Hipótesis!$D$109,1)),0))</f>
        <v>1666.66666666667</v>
      </c>
      <c r="CH97" s="138" t="n">
        <f aca="false">IF(84&lt;=Hipótesis!$D$109,0,IF(CH96&gt;0,MIN(CH96,Hipótesis!$D$105/MAX(Hipótesis!$D$108-Hipótesis!$D$109,1)),0))</f>
        <v>1666.66666666661</v>
      </c>
    </row>
    <row r="98" customFormat="false" ht="13.5" hidden="false" customHeight="true" outlineLevel="0" collapsed="false">
      <c r="A98" s="13" t="s">
        <v>774</v>
      </c>
      <c r="C98" s="138" t="n">
        <f aca="false">C96*Hipótesis!$D$106/12+IF(C96&gt;0,Hipótesis!$D$107*MAX(0,C56),0)</f>
        <v>333.333333333333</v>
      </c>
      <c r="D98" s="138" t="n">
        <f aca="false">D96*Hipótesis!$D$106/12+IF(D96&gt;0,Hipótesis!$D$107*MAX(0,D56),0)</f>
        <v>333.333333333333</v>
      </c>
      <c r="E98" s="138" t="n">
        <f aca="false">E96*Hipótesis!$D$106/12+IF(E96&gt;0,Hipótesis!$D$107*MAX(0,E56),0)</f>
        <v>333.333333333333</v>
      </c>
      <c r="F98" s="138" t="n">
        <f aca="false">F96*Hipótesis!$D$106/12+IF(F96&gt;0,Hipótesis!$D$107*MAX(0,F56),0)</f>
        <v>333.333333333333</v>
      </c>
      <c r="G98" s="138" t="n">
        <f aca="false">G96*Hipótesis!$D$106/12+IF(G96&gt;0,Hipótesis!$D$107*MAX(0,G56),0)</f>
        <v>333.333333333333</v>
      </c>
      <c r="H98" s="138" t="n">
        <f aca="false">H96*Hipótesis!$D$106/12+IF(H96&gt;0,Hipótesis!$D$107*MAX(0,H56),0)</f>
        <v>343.111703029026</v>
      </c>
      <c r="I98" s="138" t="n">
        <f aca="false">I96*Hipótesis!$D$106/12+IF(I96&gt;0,Hipótesis!$D$107*MAX(0,I56),0)</f>
        <v>404.669258129</v>
      </c>
      <c r="J98" s="138" t="n">
        <f aca="false">J96*Hipótesis!$D$106/12+IF(J96&gt;0,Hipótesis!$D$107*MAX(0,J56),0)</f>
        <v>489.512155180852</v>
      </c>
      <c r="K98" s="138" t="n">
        <f aca="false">K96*Hipótesis!$D$106/12+IF(K96&gt;0,Hipótesis!$D$107*MAX(0,K56),0)</f>
        <v>586.439380483493</v>
      </c>
      <c r="L98" s="138" t="n">
        <f aca="false">L96*Hipótesis!$D$106/12+IF(L96&gt;0,Hipótesis!$D$107*MAX(0,L56),0)</f>
        <v>683.366605786135</v>
      </c>
      <c r="M98" s="138" t="n">
        <f aca="false">M96*Hipótesis!$D$106/12+IF(M96&gt;0,Hipótesis!$D$107*MAX(0,M56),0)</f>
        <v>760.948186010432</v>
      </c>
      <c r="N98" s="138" t="n">
        <f aca="false">N96*Hipótesis!$D$106/12+IF(N96&gt;0,Hipótesis!$D$107*MAX(0,N56),0)</f>
        <v>852.758447995062</v>
      </c>
      <c r="O98" s="138" t="n">
        <f aca="false">O96*Hipótesis!$D$106/12+IF(O96&gt;0,Hipótesis!$D$107*MAX(0,O56),0)</f>
        <v>840.024709979691</v>
      </c>
      <c r="P98" s="138" t="n">
        <f aca="false">P96*Hipótesis!$D$106/12+IF(P96&gt;0,Hipótesis!$D$107*MAX(0,P56),0)</f>
        <v>926.339230333224</v>
      </c>
      <c r="Q98" s="138" t="n">
        <f aca="false">Q96*Hipótesis!$D$106/12+IF(Q96&gt;0,Hipótesis!$D$107*MAX(0,Q56),0)</f>
        <v>1012.65375068676</v>
      </c>
      <c r="R98" s="138" t="n">
        <f aca="false">R96*Hipótesis!$D$106/12+IF(R96&gt;0,Hipótesis!$D$107*MAX(0,R56),0)</f>
        <v>1098.96827104029</v>
      </c>
      <c r="S98" s="138" t="n">
        <f aca="false">S96*Hipótesis!$D$106/12+IF(S96&gt;0,Hipótesis!$D$107*MAX(0,S56),0)</f>
        <v>731.440336325204</v>
      </c>
      <c r="T98" s="138" t="n">
        <f aca="false">T96*Hipótesis!$D$106/12+IF(T96&gt;0,Hipótesis!$D$107*MAX(0,T56),0)</f>
        <v>1271.59731174736</v>
      </c>
      <c r="U98" s="138" t="n">
        <f aca="false">U96*Hipótesis!$D$106/12+IF(U96&gt;0,Hipótesis!$D$107*MAX(0,U56),0)</f>
        <v>1294.79407199068</v>
      </c>
      <c r="V98" s="138" t="n">
        <f aca="false">V96*Hipótesis!$D$106/12+IF(V96&gt;0,Hipótesis!$D$107*MAX(0,V56),0)</f>
        <v>1304.12265004137</v>
      </c>
      <c r="W98" s="138" t="n">
        <f aca="false">W96*Hipótesis!$D$106/12+IF(W96&gt;0,Hipótesis!$D$107*MAX(0,W56),0)</f>
        <v>1367.83522809206</v>
      </c>
      <c r="X98" s="138" t="n">
        <f aca="false">X96*Hipótesis!$D$106/12+IF(X96&gt;0,Hipótesis!$D$107*MAX(0,X56),0)</f>
        <v>1417.31912438242</v>
      </c>
      <c r="Y98" s="138" t="n">
        <f aca="false">Y96*Hipótesis!$D$106/12+IF(Y96&gt;0,Hipótesis!$D$107*MAX(0,Y56),0)</f>
        <v>1466.80302067278</v>
      </c>
      <c r="Z98" s="138" t="n">
        <f aca="false">Z96*Hipótesis!$D$106/12+IF(Z96&gt;0,Hipótesis!$D$107*MAX(0,Z56),0)</f>
        <v>1511.112224259</v>
      </c>
      <c r="AA98" s="138" t="n">
        <f aca="false">AA96*Hipótesis!$D$106/12+IF(AA96&gt;0,Hipótesis!$D$107*MAX(0,AA56),0)</f>
        <v>1511.17159584523</v>
      </c>
      <c r="AB98" s="138" t="n">
        <f aca="false">AB96*Hipótesis!$D$106/12+IF(AB96&gt;0,Hipótesis!$D$107*MAX(0,AB56),0)</f>
        <v>1549.9252438759</v>
      </c>
      <c r="AC98" s="138" t="n">
        <f aca="false">AC96*Hipótesis!$D$106/12+IF(AC96&gt;0,Hipótesis!$D$107*MAX(0,AC56),0)</f>
        <v>1588.67889190657</v>
      </c>
      <c r="AD98" s="138" t="n">
        <f aca="false">AD96*Hipótesis!$D$106/12+IF(AD96&gt;0,Hipótesis!$D$107*MAX(0,AD56),0)</f>
        <v>1627.43253993724</v>
      </c>
      <c r="AE98" s="138" t="n">
        <f aca="false">AE96*Hipótesis!$D$106/12+IF(AE96&gt;0,Hipótesis!$D$107*MAX(0,AE56),0)</f>
        <v>1186.58829436584</v>
      </c>
      <c r="AF98" s="138" t="n">
        <f aca="false">AF96*Hipótesis!$D$106/12+IF(AF96&gt;0,Hipótesis!$D$107*MAX(0,AF56),0)</f>
        <v>1704.93983599858</v>
      </c>
      <c r="AG98" s="138" t="n">
        <f aca="false">AG96*Hipótesis!$D$106/12+IF(AG96&gt;0,Hipótesis!$D$107*MAX(0,AG56),0)</f>
        <v>1743.69348402926</v>
      </c>
      <c r="AH98" s="138" t="n">
        <f aca="false">AH96*Hipótesis!$D$106/12+IF(AH96&gt;0,Hipótesis!$D$107*MAX(0,AH56),0)</f>
        <v>1734.83394005993</v>
      </c>
      <c r="AI98" s="138" t="n">
        <f aca="false">AI96*Hipótesis!$D$106/12+IF(AI96&gt;0,Hipótesis!$D$107*MAX(0,AI56),0)</f>
        <v>1773.5875880906</v>
      </c>
      <c r="AJ98" s="138" t="n">
        <f aca="false">AJ96*Hipótesis!$D$106/12+IF(AJ96&gt;0,Hipótesis!$D$107*MAX(0,AJ56),0)</f>
        <v>1812.34123612127</v>
      </c>
      <c r="AK98" s="138" t="n">
        <f aca="false">AK96*Hipótesis!$D$106/12+IF(AK96&gt;0,Hipótesis!$D$107*MAX(0,AK56),0)</f>
        <v>1851.09488415194</v>
      </c>
      <c r="AL98" s="138" t="n">
        <f aca="false">AL96*Hipótesis!$D$106/12+IF(AL96&gt;0,Hipótesis!$D$107*MAX(0,AL56),0)</f>
        <v>1889.84853218261</v>
      </c>
      <c r="AM98" s="138" t="n">
        <f aca="false">AM96*Hipótesis!$D$106/12+IF(AM96&gt;0,Hipótesis!$D$107*MAX(0,AM56),0)</f>
        <v>1882.78445749328</v>
      </c>
      <c r="AN98" s="138" t="n">
        <f aca="false">AN96*Hipótesis!$D$106/12+IF(AN96&gt;0,Hipótesis!$D$107*MAX(0,AN56),0)</f>
        <v>1921.53810552396</v>
      </c>
      <c r="AO98" s="138" t="n">
        <f aca="false">AO96*Hipótesis!$D$106/12+IF(AO96&gt;0,Hipótesis!$D$107*MAX(0,AO56),0)</f>
        <v>1960.29175355463</v>
      </c>
      <c r="AP98" s="138" t="n">
        <f aca="false">AP96*Hipótesis!$D$106/12+IF(AP96&gt;0,Hipótesis!$D$107*MAX(0,AP56),0)</f>
        <v>1999.0454015853</v>
      </c>
      <c r="AQ98" s="138" t="n">
        <f aca="false">AQ96*Hipótesis!$D$106/12+IF(AQ96&gt;0,Hipótesis!$D$107*MAX(0,AQ56),0)</f>
        <v>1558.2011560139</v>
      </c>
      <c r="AR98" s="138" t="n">
        <f aca="false">AR96*Hipótesis!$D$106/12+IF(AR96&gt;0,Hipótesis!$D$107*MAX(0,AR56),0)</f>
        <v>2076.55269764664</v>
      </c>
      <c r="AS98" s="138" t="n">
        <f aca="false">AS96*Hipótesis!$D$106/12+IF(AS96&gt;0,Hipótesis!$D$107*MAX(0,AS56),0)</f>
        <v>2070.99714209108</v>
      </c>
      <c r="AT98" s="138" t="n">
        <f aca="false">AT96*Hipótesis!$D$106/12+IF(AT96&gt;0,Hipótesis!$D$107*MAX(0,AT56),0)</f>
        <v>2065.44158653553</v>
      </c>
      <c r="AU98" s="138" t="n">
        <f aca="false">AU96*Hipótesis!$D$106/12+IF(AU96&gt;0,Hipótesis!$D$107*MAX(0,AU56),0)</f>
        <v>2059.88603097997</v>
      </c>
      <c r="AV98" s="138" t="n">
        <f aca="false">AV96*Hipótesis!$D$106/12+IF(AV96&gt;0,Hipótesis!$D$107*MAX(0,AV56),0)</f>
        <v>2054.33047542442</v>
      </c>
      <c r="AW98" s="138" t="n">
        <f aca="false">AW96*Hipótesis!$D$106/12+IF(AW96&gt;0,Hipótesis!$D$107*MAX(0,AW56),0)</f>
        <v>2048.77491986886</v>
      </c>
      <c r="AX98" s="138" t="n">
        <f aca="false">AX96*Hipótesis!$D$106/12+IF(AX96&gt;0,Hipótesis!$D$107*MAX(0,AX56),0)</f>
        <v>2043.21936431331</v>
      </c>
      <c r="AY98" s="138" t="n">
        <f aca="false">AY96*Hipótesis!$D$106/12+IF(AY96&gt;0,Hipótesis!$D$107*MAX(0,AY56),0)</f>
        <v>1991.65955435615</v>
      </c>
      <c r="AZ98" s="138" t="n">
        <f aca="false">AZ96*Hipótesis!$D$106/12+IF(AZ96&gt;0,Hipótesis!$D$107*MAX(0,AZ56),0)</f>
        <v>1986.1039988006</v>
      </c>
      <c r="BA98" s="138" t="n">
        <f aca="false">BA96*Hipótesis!$D$106/12+IF(BA96&gt;0,Hipótesis!$D$107*MAX(0,BA56),0)</f>
        <v>1980.54844324504</v>
      </c>
      <c r="BB98" s="138" t="n">
        <f aca="false">BB96*Hipótesis!$D$106/12+IF(BB96&gt;0,Hipótesis!$D$107*MAX(0,BB56),0)</f>
        <v>1974.99288768948</v>
      </c>
      <c r="BC98" s="138" t="n">
        <f aca="false">BC96*Hipótesis!$D$106/12+IF(BC96&gt;0,Hipótesis!$D$107*MAX(0,BC56),0)</f>
        <v>1489.83943853186</v>
      </c>
      <c r="BD98" s="138" t="n">
        <f aca="false">BD96*Hipótesis!$D$106/12+IF(BD96&gt;0,Hipótesis!$D$107*MAX(0,BD56),0)</f>
        <v>1963.88177657837</v>
      </c>
      <c r="BE98" s="138" t="n">
        <f aca="false">BE96*Hipótesis!$D$106/12+IF(BE96&gt;0,Hipótesis!$D$107*MAX(0,BE56),0)</f>
        <v>1958.32622102282</v>
      </c>
      <c r="BF98" s="138" t="n">
        <f aca="false">BF96*Hipótesis!$D$106/12+IF(BF96&gt;0,Hipótesis!$D$107*MAX(0,BF56),0)</f>
        <v>1952.77066546726</v>
      </c>
      <c r="BG98" s="138" t="n">
        <f aca="false">BG96*Hipótesis!$D$106/12+IF(BG96&gt;0,Hipótesis!$D$107*MAX(0,BG56),0)</f>
        <v>1947.21510991171</v>
      </c>
      <c r="BH98" s="138" t="n">
        <f aca="false">BH96*Hipótesis!$D$106/12+IF(BH96&gt;0,Hipótesis!$D$107*MAX(0,BH56),0)</f>
        <v>1941.65955435615</v>
      </c>
      <c r="BI98" s="138" t="n">
        <f aca="false">BI96*Hipótesis!$D$106/12+IF(BI96&gt;0,Hipótesis!$D$107*MAX(0,BI56),0)</f>
        <v>1936.1039988006</v>
      </c>
      <c r="BJ98" s="138" t="n">
        <f aca="false">BJ96*Hipótesis!$D$106/12+IF(BJ96&gt;0,Hipótesis!$D$107*MAX(0,BJ56),0)</f>
        <v>1930.54844324504</v>
      </c>
      <c r="BK98" s="138" t="n">
        <f aca="false">BK96*Hipótesis!$D$106/12+IF(BK96&gt;0,Hipótesis!$D$107*MAX(0,BK56),0)</f>
        <v>1878.79650565584</v>
      </c>
      <c r="BL98" s="138" t="n">
        <f aca="false">BL96*Hipótesis!$D$106/12+IF(BL96&gt;0,Hipótesis!$D$107*MAX(0,BL56),0)</f>
        <v>1873.24095010028</v>
      </c>
      <c r="BM98" s="138" t="n">
        <f aca="false">BM96*Hipótesis!$D$106/12+IF(BM96&gt;0,Hipótesis!$D$107*MAX(0,BM56),0)</f>
        <v>1867.68539454472</v>
      </c>
      <c r="BN98" s="138" t="n">
        <f aca="false">BN96*Hipótesis!$D$106/12+IF(BN96&gt;0,Hipótesis!$D$107*MAX(0,BN56),0)</f>
        <v>1862.12983898917</v>
      </c>
      <c r="BO98" s="138" t="n">
        <f aca="false">BO96*Hipótesis!$D$106/12+IF(BO96&gt;0,Hipótesis!$D$107*MAX(0,BO56),0)</f>
        <v>1376.97638983154</v>
      </c>
      <c r="BP98" s="138" t="n">
        <f aca="false">BP96*Hipótesis!$D$106/12+IF(BP96&gt;0,Hipótesis!$D$107*MAX(0,BP56),0)</f>
        <v>1851.01872787806</v>
      </c>
      <c r="BQ98" s="138" t="n">
        <f aca="false">BQ96*Hipótesis!$D$106/12+IF(BQ96&gt;0,Hipótesis!$D$107*MAX(0,BQ56),0)</f>
        <v>1845.4631723225</v>
      </c>
      <c r="BR98" s="138" t="n">
        <f aca="false">BR96*Hipótesis!$D$106/12+IF(BR96&gt;0,Hipótesis!$D$107*MAX(0,BR56),0)</f>
        <v>1839.90761676695</v>
      </c>
      <c r="BS98" s="138" t="n">
        <f aca="false">BS96*Hipótesis!$D$106/12+IF(BS96&gt;0,Hipótesis!$D$107*MAX(0,BS56),0)</f>
        <v>1834.35206121139</v>
      </c>
      <c r="BT98" s="138" t="n">
        <f aca="false">BT96*Hipótesis!$D$106/12+IF(BT96&gt;0,Hipótesis!$D$107*MAX(0,BT56),0)</f>
        <v>1828.79650565584</v>
      </c>
      <c r="BU98" s="138" t="n">
        <f aca="false">BU96*Hipótesis!$D$106/12+IF(BU96&gt;0,Hipótesis!$D$107*MAX(0,BU56),0)</f>
        <v>1823.24095010028</v>
      </c>
      <c r="BV98" s="138" t="n">
        <f aca="false">BV96*Hipótesis!$D$106/12+IF(BV96&gt;0,Hipótesis!$D$107*MAX(0,BV56),0)</f>
        <v>1817.68539454472</v>
      </c>
      <c r="BW98" s="138" t="n">
        <f aca="false">BW96*Hipótesis!$D$106/12+IF(BW96&gt;0,Hipótesis!$D$107*MAX(0,BW56),0)</f>
        <v>1765.73556549451</v>
      </c>
      <c r="BX98" s="138" t="n">
        <f aca="false">BX96*Hipótesis!$D$106/12+IF(BX96&gt;0,Hipótesis!$D$107*MAX(0,BX56),0)</f>
        <v>1760.18000993896</v>
      </c>
      <c r="BY98" s="138" t="n">
        <f aca="false">BY96*Hipótesis!$D$106/12+IF(BY96&gt;0,Hipótesis!$D$107*MAX(0,BY56),0)</f>
        <v>1754.6244543834</v>
      </c>
      <c r="BZ98" s="138" t="n">
        <f aca="false">BZ96*Hipótesis!$D$106/12+IF(BZ96&gt;0,Hipótesis!$D$107*MAX(0,BZ56),0)</f>
        <v>1749.06889882785</v>
      </c>
      <c r="CA98" s="138" t="n">
        <f aca="false">CA96*Hipótesis!$D$106/12+IF(CA96&gt;0,Hipótesis!$D$107*MAX(0,CA56),0)</f>
        <v>1263.91544967022</v>
      </c>
      <c r="CB98" s="138" t="n">
        <f aca="false">CB96*Hipótesis!$D$106/12+IF(CB96&gt;0,Hipótesis!$D$107*MAX(0,CB56),0)</f>
        <v>1737.95778771673</v>
      </c>
      <c r="CC98" s="138" t="n">
        <f aca="false">CC96*Hipótesis!$D$106/12+IF(CC96&gt;0,Hipótesis!$D$107*MAX(0,CC56),0)</f>
        <v>1732.40223216118</v>
      </c>
      <c r="CD98" s="138" t="n">
        <f aca="false">CD96*Hipótesis!$D$106/12+IF(CD96&gt;0,Hipótesis!$D$107*MAX(0,CD56),0)</f>
        <v>1726.84667660562</v>
      </c>
      <c r="CE98" s="138" t="n">
        <f aca="false">CE96*Hipótesis!$D$106/12+IF(CE96&gt;0,Hipótesis!$D$107*MAX(0,CE56),0)</f>
        <v>1721.29112105007</v>
      </c>
      <c r="CF98" s="138" t="n">
        <f aca="false">CF96*Hipótesis!$D$106/12+IF(CF96&gt;0,Hipótesis!$D$107*MAX(0,CF56),0)</f>
        <v>1715.73556549451</v>
      </c>
      <c r="CG98" s="138" t="n">
        <f aca="false">CG96*Hipótesis!$D$106/12+IF(CG96&gt;0,Hipótesis!$D$107*MAX(0,CG56),0)</f>
        <v>1710.18000993896</v>
      </c>
      <c r="CH98" s="138" t="n">
        <f aca="false">CH96*Hipótesis!$D$106/12+IF(CH96&gt;0,Hipótesis!$D$107*MAX(0,CH56),0)</f>
        <v>1704.6244543834</v>
      </c>
    </row>
    <row r="99" customFormat="false" ht="13.5" hidden="false" customHeight="true" outlineLevel="0" collapsed="false">
      <c r="A99" s="13" t="s">
        <v>775</v>
      </c>
      <c r="C99" s="138" t="n">
        <f aca="false">C97+C98</f>
        <v>333.333333333333</v>
      </c>
      <c r="D99" s="138" t="n">
        <f aca="false">D97+D98</f>
        <v>333.333333333333</v>
      </c>
      <c r="E99" s="138" t="n">
        <f aca="false">E97+E98</f>
        <v>333.333333333333</v>
      </c>
      <c r="F99" s="138" t="n">
        <f aca="false">F97+F98</f>
        <v>333.333333333333</v>
      </c>
      <c r="G99" s="138" t="n">
        <f aca="false">G97+G98</f>
        <v>333.333333333333</v>
      </c>
      <c r="H99" s="138" t="n">
        <f aca="false">H97+H98</f>
        <v>343.111703029026</v>
      </c>
      <c r="I99" s="138" t="n">
        <f aca="false">I97+I98</f>
        <v>404.669258129</v>
      </c>
      <c r="J99" s="138" t="n">
        <f aca="false">J97+J98</f>
        <v>489.512155180852</v>
      </c>
      <c r="K99" s="138" t="n">
        <f aca="false">K97+K98</f>
        <v>586.439380483493</v>
      </c>
      <c r="L99" s="138" t="n">
        <f aca="false">L97+L98</f>
        <v>683.366605786135</v>
      </c>
      <c r="M99" s="138" t="n">
        <f aca="false">M97+M98</f>
        <v>760.948186010432</v>
      </c>
      <c r="N99" s="138" t="n">
        <f aca="false">N97+N98</f>
        <v>852.758447995062</v>
      </c>
      <c r="O99" s="138" t="n">
        <f aca="false">O97+O98</f>
        <v>840.024709979691</v>
      </c>
      <c r="P99" s="138" t="n">
        <f aca="false">P97+P98</f>
        <v>926.339230333224</v>
      </c>
      <c r="Q99" s="138" t="n">
        <f aca="false">Q97+Q98</f>
        <v>1012.65375068676</v>
      </c>
      <c r="R99" s="138" t="n">
        <f aca="false">R97+R98</f>
        <v>1098.96827104029</v>
      </c>
      <c r="S99" s="138" t="n">
        <f aca="false">S97+S98</f>
        <v>731.440336325204</v>
      </c>
      <c r="T99" s="138" t="n">
        <f aca="false">T97+T98</f>
        <v>1271.59731174736</v>
      </c>
      <c r="U99" s="138" t="n">
        <f aca="false">U97+U98</f>
        <v>1294.79407199068</v>
      </c>
      <c r="V99" s="138" t="n">
        <f aca="false">V97+V98</f>
        <v>1304.12265004137</v>
      </c>
      <c r="W99" s="138" t="n">
        <f aca="false">W97+W98</f>
        <v>1367.83522809206</v>
      </c>
      <c r="X99" s="138" t="n">
        <f aca="false">X97+X98</f>
        <v>1417.31912438242</v>
      </c>
      <c r="Y99" s="138" t="n">
        <f aca="false">Y97+Y98</f>
        <v>1466.80302067278</v>
      </c>
      <c r="Z99" s="138" t="n">
        <f aca="false">Z97+Z98</f>
        <v>1511.112224259</v>
      </c>
      <c r="AA99" s="138" t="n">
        <f aca="false">AA97+AA98</f>
        <v>3177.8382625119</v>
      </c>
      <c r="AB99" s="138" t="n">
        <f aca="false">AB97+AB98</f>
        <v>3216.59191054257</v>
      </c>
      <c r="AC99" s="138" t="n">
        <f aca="false">AC97+AC98</f>
        <v>3255.34555857324</v>
      </c>
      <c r="AD99" s="138" t="n">
        <f aca="false">AD97+AD98</f>
        <v>3294.09920660391</v>
      </c>
      <c r="AE99" s="138" t="n">
        <f aca="false">AE97+AE98</f>
        <v>2853.25496103251</v>
      </c>
      <c r="AF99" s="138" t="n">
        <f aca="false">AF97+AF98</f>
        <v>3371.60650266525</v>
      </c>
      <c r="AG99" s="138" t="n">
        <f aca="false">AG97+AG98</f>
        <v>3410.36015069592</v>
      </c>
      <c r="AH99" s="138" t="n">
        <f aca="false">AH97+AH98</f>
        <v>3401.5006067266</v>
      </c>
      <c r="AI99" s="138" t="n">
        <f aca="false">AI97+AI98</f>
        <v>3440.25425475727</v>
      </c>
      <c r="AJ99" s="138" t="n">
        <f aca="false">AJ97+AJ98</f>
        <v>3479.00790278794</v>
      </c>
      <c r="AK99" s="138" t="n">
        <f aca="false">AK97+AK98</f>
        <v>3517.76155081861</v>
      </c>
      <c r="AL99" s="138" t="n">
        <f aca="false">AL97+AL98</f>
        <v>3556.51519884928</v>
      </c>
      <c r="AM99" s="138" t="n">
        <f aca="false">AM97+AM98</f>
        <v>3549.45112415995</v>
      </c>
      <c r="AN99" s="138" t="n">
        <f aca="false">AN97+AN98</f>
        <v>3588.20477219062</v>
      </c>
      <c r="AO99" s="138" t="n">
        <f aca="false">AO97+AO98</f>
        <v>3626.95842022129</v>
      </c>
      <c r="AP99" s="138" t="n">
        <f aca="false">AP97+AP98</f>
        <v>3665.71206825196</v>
      </c>
      <c r="AQ99" s="138" t="n">
        <f aca="false">AQ97+AQ98</f>
        <v>3224.86782268057</v>
      </c>
      <c r="AR99" s="138" t="n">
        <f aca="false">AR97+AR98</f>
        <v>3743.21936431331</v>
      </c>
      <c r="AS99" s="138" t="n">
        <f aca="false">AS97+AS98</f>
        <v>3737.66380875775</v>
      </c>
      <c r="AT99" s="138" t="n">
        <f aca="false">AT97+AT98</f>
        <v>3732.1082532022</v>
      </c>
      <c r="AU99" s="138" t="n">
        <f aca="false">AU97+AU98</f>
        <v>3726.55269764664</v>
      </c>
      <c r="AV99" s="138" t="n">
        <f aca="false">AV97+AV98</f>
        <v>3720.99714209108</v>
      </c>
      <c r="AW99" s="138" t="n">
        <f aca="false">AW97+AW98</f>
        <v>3715.44158653553</v>
      </c>
      <c r="AX99" s="138" t="n">
        <f aca="false">AX97+AX98</f>
        <v>3709.88603097997</v>
      </c>
      <c r="AY99" s="138" t="n">
        <f aca="false">AY97+AY98</f>
        <v>3658.32622102282</v>
      </c>
      <c r="AZ99" s="138" t="n">
        <f aca="false">AZ97+AZ98</f>
        <v>3652.77066546726</v>
      </c>
      <c r="BA99" s="138" t="n">
        <f aca="false">BA97+BA98</f>
        <v>3647.21510991171</v>
      </c>
      <c r="BB99" s="138" t="n">
        <f aca="false">BB97+BB98</f>
        <v>3641.65955435615</v>
      </c>
      <c r="BC99" s="138" t="n">
        <f aca="false">BC97+BC98</f>
        <v>3156.50610519853</v>
      </c>
      <c r="BD99" s="138" t="n">
        <f aca="false">BD97+BD98</f>
        <v>3630.54844324504</v>
      </c>
      <c r="BE99" s="138" t="n">
        <f aca="false">BE97+BE98</f>
        <v>3624.99288768948</v>
      </c>
      <c r="BF99" s="138" t="n">
        <f aca="false">BF97+BF98</f>
        <v>3619.43733213393</v>
      </c>
      <c r="BG99" s="138" t="n">
        <f aca="false">BG97+BG98</f>
        <v>3613.88177657837</v>
      </c>
      <c r="BH99" s="138" t="n">
        <f aca="false">BH97+BH98</f>
        <v>3608.32622102282</v>
      </c>
      <c r="BI99" s="138" t="n">
        <f aca="false">BI97+BI98</f>
        <v>3602.77066546726</v>
      </c>
      <c r="BJ99" s="138" t="n">
        <f aca="false">BJ97+BJ98</f>
        <v>3597.21510991171</v>
      </c>
      <c r="BK99" s="138" t="n">
        <f aca="false">BK97+BK98</f>
        <v>3545.4631723225</v>
      </c>
      <c r="BL99" s="138" t="n">
        <f aca="false">BL97+BL98</f>
        <v>3539.90761676695</v>
      </c>
      <c r="BM99" s="138" t="n">
        <f aca="false">BM97+BM98</f>
        <v>3534.35206121139</v>
      </c>
      <c r="BN99" s="138" t="n">
        <f aca="false">BN97+BN98</f>
        <v>3528.79650565584</v>
      </c>
      <c r="BO99" s="138" t="n">
        <f aca="false">BO97+BO98</f>
        <v>3043.64305649821</v>
      </c>
      <c r="BP99" s="138" t="n">
        <f aca="false">BP97+BP98</f>
        <v>3517.68539454473</v>
      </c>
      <c r="BQ99" s="138" t="n">
        <f aca="false">BQ97+BQ98</f>
        <v>3512.12983898917</v>
      </c>
      <c r="BR99" s="138" t="n">
        <f aca="false">BR97+BR98</f>
        <v>3506.57428343361</v>
      </c>
      <c r="BS99" s="138" t="n">
        <f aca="false">BS97+BS98</f>
        <v>3501.01872787806</v>
      </c>
      <c r="BT99" s="138" t="n">
        <f aca="false">BT97+BT98</f>
        <v>3495.4631723225</v>
      </c>
      <c r="BU99" s="138" t="n">
        <f aca="false">BU97+BU98</f>
        <v>3489.90761676695</v>
      </c>
      <c r="BV99" s="138" t="n">
        <f aca="false">BV97+BV98</f>
        <v>3484.35206121139</v>
      </c>
      <c r="BW99" s="138" t="n">
        <f aca="false">BW97+BW98</f>
        <v>3432.40223216118</v>
      </c>
      <c r="BX99" s="138" t="n">
        <f aca="false">BX97+BX98</f>
        <v>3426.84667660562</v>
      </c>
      <c r="BY99" s="138" t="n">
        <f aca="false">BY97+BY98</f>
        <v>3421.29112105007</v>
      </c>
      <c r="BZ99" s="138" t="n">
        <f aca="false">BZ97+BZ98</f>
        <v>3415.73556549451</v>
      </c>
      <c r="CA99" s="138" t="n">
        <f aca="false">CA97+CA98</f>
        <v>2930.58211633689</v>
      </c>
      <c r="CB99" s="138" t="n">
        <f aca="false">CB97+CB98</f>
        <v>3404.6244543834</v>
      </c>
      <c r="CC99" s="138" t="n">
        <f aca="false">CC97+CC98</f>
        <v>3399.06889882785</v>
      </c>
      <c r="CD99" s="138" t="n">
        <f aca="false">CD97+CD98</f>
        <v>3393.51334327229</v>
      </c>
      <c r="CE99" s="138" t="n">
        <f aca="false">CE97+CE98</f>
        <v>3387.95778771673</v>
      </c>
      <c r="CF99" s="138" t="n">
        <f aca="false">CF97+CF98</f>
        <v>3382.40223216118</v>
      </c>
      <c r="CG99" s="138" t="n">
        <f aca="false">CG97+CG98</f>
        <v>3376.84667660562</v>
      </c>
      <c r="CH99" s="138" t="n">
        <f aca="false">CH97+CH98</f>
        <v>3371.29112105001</v>
      </c>
    </row>
    <row r="100" customFormat="false" ht="13.5" hidden="false" customHeight="true" outlineLevel="0" collapsed="false"/>
    <row r="101" customFormat="false" ht="13.5" hidden="false" customHeight="true" outlineLevel="0" collapsed="false">
      <c r="A101" s="13" t="s">
        <v>776</v>
      </c>
      <c r="C101" s="138" t="n">
        <f aca="false">Hipótesis!$D$113*(1-Hipótesis!$D$117)</f>
        <v>0</v>
      </c>
      <c r="D101" s="138" t="n">
        <f aca="false">C101-C102</f>
        <v>0</v>
      </c>
      <c r="E101" s="138" t="n">
        <f aca="false">D101-D102</f>
        <v>0</v>
      </c>
      <c r="F101" s="138" t="n">
        <f aca="false">E101-E102</f>
        <v>0</v>
      </c>
      <c r="G101" s="138" t="n">
        <f aca="false">F101-F102</f>
        <v>0</v>
      </c>
      <c r="H101" s="138" t="n">
        <f aca="false">G101-G102</f>
        <v>0</v>
      </c>
      <c r="I101" s="138" t="n">
        <f aca="false">H101-H102</f>
        <v>0</v>
      </c>
      <c r="J101" s="138" t="n">
        <f aca="false">I101-I102</f>
        <v>0</v>
      </c>
      <c r="K101" s="138" t="n">
        <f aca="false">J101-J102</f>
        <v>0</v>
      </c>
      <c r="L101" s="138" t="n">
        <f aca="false">K101-K102</f>
        <v>0</v>
      </c>
      <c r="M101" s="138" t="n">
        <f aca="false">L101-L102</f>
        <v>0</v>
      </c>
      <c r="N101" s="138" t="n">
        <f aca="false">M101-M102</f>
        <v>0</v>
      </c>
      <c r="O101" s="138" t="n">
        <f aca="false">N101-N102</f>
        <v>0</v>
      </c>
      <c r="P101" s="138" t="n">
        <f aca="false">O101-O102</f>
        <v>0</v>
      </c>
      <c r="Q101" s="138" t="n">
        <f aca="false">P101-P102</f>
        <v>0</v>
      </c>
      <c r="R101" s="138" t="n">
        <f aca="false">Q101-Q102</f>
        <v>0</v>
      </c>
      <c r="S101" s="138" t="n">
        <f aca="false">R101-R102</f>
        <v>0</v>
      </c>
      <c r="T101" s="138" t="n">
        <f aca="false">S101-S102</f>
        <v>0</v>
      </c>
      <c r="U101" s="138" t="n">
        <f aca="false">T101-T102</f>
        <v>0</v>
      </c>
      <c r="V101" s="138" t="n">
        <f aca="false">U101-U102</f>
        <v>0</v>
      </c>
      <c r="W101" s="138" t="n">
        <f aca="false">V101-V102</f>
        <v>0</v>
      </c>
      <c r="X101" s="138" t="n">
        <f aca="false">W101-W102</f>
        <v>0</v>
      </c>
      <c r="Y101" s="138" t="n">
        <f aca="false">X101-X102</f>
        <v>0</v>
      </c>
      <c r="Z101" s="138" t="n">
        <f aca="false">Y101-Y102</f>
        <v>0</v>
      </c>
      <c r="AA101" s="138" t="n">
        <f aca="false">Z101-Z102</f>
        <v>0</v>
      </c>
      <c r="AB101" s="138" t="n">
        <f aca="false">AA101-AA102</f>
        <v>0</v>
      </c>
      <c r="AC101" s="138" t="n">
        <f aca="false">AB101-AB102</f>
        <v>0</v>
      </c>
      <c r="AD101" s="138" t="n">
        <f aca="false">AC101-AC102</f>
        <v>0</v>
      </c>
      <c r="AE101" s="138" t="n">
        <f aca="false">AD101-AD102</f>
        <v>0</v>
      </c>
      <c r="AF101" s="138" t="n">
        <f aca="false">AE101-AE102</f>
        <v>0</v>
      </c>
      <c r="AG101" s="138" t="n">
        <f aca="false">AF101-AF102</f>
        <v>0</v>
      </c>
      <c r="AH101" s="138" t="n">
        <f aca="false">AG101-AG102</f>
        <v>0</v>
      </c>
      <c r="AI101" s="138" t="n">
        <f aca="false">AH101-AH102</f>
        <v>0</v>
      </c>
      <c r="AJ101" s="138" t="n">
        <f aca="false">AI101-AI102</f>
        <v>0</v>
      </c>
      <c r="AK101" s="138" t="n">
        <f aca="false">AJ101-AJ102</f>
        <v>0</v>
      </c>
      <c r="AL101" s="138" t="n">
        <f aca="false">AK101-AK102</f>
        <v>0</v>
      </c>
      <c r="AM101" s="138" t="n">
        <f aca="false">AL101-AL102</f>
        <v>0</v>
      </c>
      <c r="AN101" s="138" t="n">
        <f aca="false">AM101-AM102</f>
        <v>0</v>
      </c>
      <c r="AO101" s="138" t="n">
        <f aca="false">AN101-AN102</f>
        <v>0</v>
      </c>
      <c r="AP101" s="138" t="n">
        <f aca="false">AO101-AO102</f>
        <v>0</v>
      </c>
      <c r="AQ101" s="138" t="n">
        <f aca="false">AP101-AP102</f>
        <v>0</v>
      </c>
      <c r="AR101" s="138" t="n">
        <f aca="false">AQ101-AQ102</f>
        <v>0</v>
      </c>
      <c r="AS101" s="138" t="n">
        <f aca="false">AR101-AR102</f>
        <v>0</v>
      </c>
      <c r="AT101" s="138" t="n">
        <f aca="false">AS101-AS102</f>
        <v>0</v>
      </c>
      <c r="AU101" s="138" t="n">
        <f aca="false">AT101-AT102</f>
        <v>0</v>
      </c>
      <c r="AV101" s="138" t="n">
        <f aca="false">AU101-AU102</f>
        <v>0</v>
      </c>
      <c r="AW101" s="138" t="n">
        <f aca="false">AV101-AV102</f>
        <v>0</v>
      </c>
      <c r="AX101" s="138" t="n">
        <f aca="false">AW101-AW102</f>
        <v>0</v>
      </c>
      <c r="AY101" s="138" t="n">
        <f aca="false">AX101-AX102</f>
        <v>0</v>
      </c>
      <c r="AZ101" s="138" t="n">
        <f aca="false">AY101-AY102</f>
        <v>0</v>
      </c>
      <c r="BA101" s="138" t="n">
        <f aca="false">AZ101-AZ102</f>
        <v>0</v>
      </c>
      <c r="BB101" s="138" t="n">
        <f aca="false">BA101-BA102</f>
        <v>0</v>
      </c>
      <c r="BC101" s="138" t="n">
        <f aca="false">BB101-BB102</f>
        <v>0</v>
      </c>
      <c r="BD101" s="138" t="n">
        <f aca="false">BC101-BC102</f>
        <v>0</v>
      </c>
      <c r="BE101" s="138" t="n">
        <f aca="false">BD101-BD102</f>
        <v>0</v>
      </c>
      <c r="BF101" s="138" t="n">
        <f aca="false">BE101-BE102</f>
        <v>0</v>
      </c>
      <c r="BG101" s="138" t="n">
        <f aca="false">BF101-BF102</f>
        <v>0</v>
      </c>
      <c r="BH101" s="138" t="n">
        <f aca="false">BG101-BG102</f>
        <v>0</v>
      </c>
      <c r="BI101" s="138" t="n">
        <f aca="false">BH101-BH102</f>
        <v>0</v>
      </c>
      <c r="BJ101" s="138" t="n">
        <f aca="false">BI101-BI102</f>
        <v>0</v>
      </c>
      <c r="BK101" s="138" t="n">
        <f aca="false">BJ101-BJ102</f>
        <v>0</v>
      </c>
      <c r="BL101" s="138" t="n">
        <f aca="false">BK101-BK102</f>
        <v>0</v>
      </c>
      <c r="BM101" s="138" t="n">
        <f aca="false">BL101-BL102</f>
        <v>0</v>
      </c>
      <c r="BN101" s="138" t="n">
        <f aca="false">BM101-BM102</f>
        <v>0</v>
      </c>
      <c r="BO101" s="138" t="n">
        <f aca="false">BN101-BN102</f>
        <v>0</v>
      </c>
      <c r="BP101" s="138" t="n">
        <f aca="false">BO101-BO102</f>
        <v>0</v>
      </c>
      <c r="BQ101" s="138" t="n">
        <f aca="false">BP101-BP102</f>
        <v>0</v>
      </c>
      <c r="BR101" s="138" t="n">
        <f aca="false">BQ101-BQ102</f>
        <v>0</v>
      </c>
      <c r="BS101" s="138" t="n">
        <f aca="false">BR101-BR102</f>
        <v>0</v>
      </c>
      <c r="BT101" s="138" t="n">
        <f aca="false">BS101-BS102</f>
        <v>0</v>
      </c>
      <c r="BU101" s="138" t="n">
        <f aca="false">BT101-BT102</f>
        <v>0</v>
      </c>
      <c r="BV101" s="138" t="n">
        <f aca="false">BU101-BU102</f>
        <v>0</v>
      </c>
      <c r="BW101" s="138" t="n">
        <f aca="false">BV101-BV102</f>
        <v>0</v>
      </c>
      <c r="BX101" s="138" t="n">
        <f aca="false">BW101-BW102</f>
        <v>0</v>
      </c>
      <c r="BY101" s="138" t="n">
        <f aca="false">BX101-BX102</f>
        <v>0</v>
      </c>
      <c r="BZ101" s="138" t="n">
        <f aca="false">BY101-BY102</f>
        <v>0</v>
      </c>
      <c r="CA101" s="138" t="n">
        <f aca="false">BZ101-BZ102</f>
        <v>0</v>
      </c>
      <c r="CB101" s="138" t="n">
        <f aca="false">CA101-CA102</f>
        <v>0</v>
      </c>
      <c r="CC101" s="138" t="n">
        <f aca="false">CB101-CB102</f>
        <v>0</v>
      </c>
      <c r="CD101" s="138" t="n">
        <f aca="false">CC101-CC102</f>
        <v>0</v>
      </c>
      <c r="CE101" s="138" t="n">
        <f aca="false">CD101-CD102</f>
        <v>0</v>
      </c>
      <c r="CF101" s="138" t="n">
        <f aca="false">CE101-CE102</f>
        <v>0</v>
      </c>
      <c r="CG101" s="138" t="n">
        <f aca="false">CF101-CF102</f>
        <v>0</v>
      </c>
      <c r="CH101" s="138" t="n">
        <f aca="false">CG101-CG102</f>
        <v>0</v>
      </c>
    </row>
    <row r="102" customFormat="false" ht="13.5" hidden="false" customHeight="true" outlineLevel="0" collapsed="false">
      <c r="A102" s="13" t="s">
        <v>777</v>
      </c>
      <c r="C102" s="138" t="n">
        <f aca="false">IF(1&lt;=Hipótesis!$D$116,0,IF(C101&gt;0,MIN(C101,Hipótesis!$D$113*(1-Hipótesis!$D$117)/MAX(Hipótesis!$D$115-Hipótesis!$D$116,1)),0))</f>
        <v>0</v>
      </c>
      <c r="D102" s="138" t="n">
        <f aca="false">IF(2&lt;=Hipótesis!$D$116,0,IF(D101&gt;0,MIN(D101,Hipótesis!$D$113*(1-Hipótesis!$D$117)/MAX(Hipótesis!$D$115-Hipótesis!$D$116,1)),0))</f>
        <v>0</v>
      </c>
      <c r="E102" s="138" t="n">
        <f aca="false">IF(3&lt;=Hipótesis!$D$116,0,IF(E101&gt;0,MIN(E101,Hipótesis!$D$113*(1-Hipótesis!$D$117)/MAX(Hipótesis!$D$115-Hipótesis!$D$116,1)),0))</f>
        <v>0</v>
      </c>
      <c r="F102" s="138" t="n">
        <f aca="false">IF(4&lt;=Hipótesis!$D$116,0,IF(F101&gt;0,MIN(F101,Hipótesis!$D$113*(1-Hipótesis!$D$117)/MAX(Hipótesis!$D$115-Hipótesis!$D$116,1)),0))</f>
        <v>0</v>
      </c>
      <c r="G102" s="138" t="n">
        <f aca="false">IF(5&lt;=Hipótesis!$D$116,0,IF(G101&gt;0,MIN(G101,Hipótesis!$D$113*(1-Hipótesis!$D$117)/MAX(Hipótesis!$D$115-Hipótesis!$D$116,1)),0))</f>
        <v>0</v>
      </c>
      <c r="H102" s="138" t="n">
        <f aca="false">IF(6&lt;=Hipótesis!$D$116,0,IF(H101&gt;0,MIN(H101,Hipótesis!$D$113*(1-Hipótesis!$D$117)/MAX(Hipótesis!$D$115-Hipótesis!$D$116,1)),0))</f>
        <v>0</v>
      </c>
      <c r="I102" s="138" t="n">
        <f aca="false">IF(7&lt;=Hipótesis!$D$116,0,IF(I101&gt;0,MIN(I101,Hipótesis!$D$113*(1-Hipótesis!$D$117)/MAX(Hipótesis!$D$115-Hipótesis!$D$116,1)),0))</f>
        <v>0</v>
      </c>
      <c r="J102" s="138" t="n">
        <f aca="false">IF(8&lt;=Hipótesis!$D$116,0,IF(J101&gt;0,MIN(J101,Hipótesis!$D$113*(1-Hipótesis!$D$117)/MAX(Hipótesis!$D$115-Hipótesis!$D$116,1)),0))</f>
        <v>0</v>
      </c>
      <c r="K102" s="138" t="n">
        <f aca="false">IF(9&lt;=Hipótesis!$D$116,0,IF(K101&gt;0,MIN(K101,Hipótesis!$D$113*(1-Hipótesis!$D$117)/MAX(Hipótesis!$D$115-Hipótesis!$D$116,1)),0))</f>
        <v>0</v>
      </c>
      <c r="L102" s="138" t="n">
        <f aca="false">IF(10&lt;=Hipótesis!$D$116,0,IF(L101&gt;0,MIN(L101,Hipótesis!$D$113*(1-Hipótesis!$D$117)/MAX(Hipótesis!$D$115-Hipótesis!$D$116,1)),0))</f>
        <v>0</v>
      </c>
      <c r="M102" s="138" t="n">
        <f aca="false">IF(11&lt;=Hipótesis!$D$116,0,IF(M101&gt;0,MIN(M101,Hipótesis!$D$113*(1-Hipótesis!$D$117)/MAX(Hipótesis!$D$115-Hipótesis!$D$116,1)),0))</f>
        <v>0</v>
      </c>
      <c r="N102" s="138" t="n">
        <f aca="false">IF(12&lt;=Hipótesis!$D$116,0,IF(N101&gt;0,MIN(N101,Hipótesis!$D$113*(1-Hipótesis!$D$117)/MAX(Hipótesis!$D$115-Hipótesis!$D$116,1)),0))</f>
        <v>0</v>
      </c>
      <c r="O102" s="138" t="n">
        <f aca="false">IF(13&lt;=Hipótesis!$D$116,0,IF(O101&gt;0,MIN(O101,Hipótesis!$D$113*(1-Hipótesis!$D$117)/MAX(Hipótesis!$D$115-Hipótesis!$D$116,1)),0))</f>
        <v>0</v>
      </c>
      <c r="P102" s="138" t="n">
        <f aca="false">IF(14&lt;=Hipótesis!$D$116,0,IF(P101&gt;0,MIN(P101,Hipótesis!$D$113*(1-Hipótesis!$D$117)/MAX(Hipótesis!$D$115-Hipótesis!$D$116,1)),0))</f>
        <v>0</v>
      </c>
      <c r="Q102" s="138" t="n">
        <f aca="false">IF(15&lt;=Hipótesis!$D$116,0,IF(Q101&gt;0,MIN(Q101,Hipótesis!$D$113*(1-Hipótesis!$D$117)/MAX(Hipótesis!$D$115-Hipótesis!$D$116,1)),0))</f>
        <v>0</v>
      </c>
      <c r="R102" s="138" t="n">
        <f aca="false">IF(16&lt;=Hipótesis!$D$116,0,IF(R101&gt;0,MIN(R101,Hipótesis!$D$113*(1-Hipótesis!$D$117)/MAX(Hipótesis!$D$115-Hipótesis!$D$116,1)),0))</f>
        <v>0</v>
      </c>
      <c r="S102" s="138" t="n">
        <f aca="false">IF(17&lt;=Hipótesis!$D$116,0,IF(S101&gt;0,MIN(S101,Hipótesis!$D$113*(1-Hipótesis!$D$117)/MAX(Hipótesis!$D$115-Hipótesis!$D$116,1)),0))</f>
        <v>0</v>
      </c>
      <c r="T102" s="138" t="n">
        <f aca="false">IF(18&lt;=Hipótesis!$D$116,0,IF(T101&gt;0,MIN(T101,Hipótesis!$D$113*(1-Hipótesis!$D$117)/MAX(Hipótesis!$D$115-Hipótesis!$D$116,1)),0))</f>
        <v>0</v>
      </c>
      <c r="U102" s="138" t="n">
        <f aca="false">IF(19&lt;=Hipótesis!$D$116,0,IF(U101&gt;0,MIN(U101,Hipótesis!$D$113*(1-Hipótesis!$D$117)/MAX(Hipótesis!$D$115-Hipótesis!$D$116,1)),0))</f>
        <v>0</v>
      </c>
      <c r="V102" s="138" t="n">
        <f aca="false">IF(20&lt;=Hipótesis!$D$116,0,IF(V101&gt;0,MIN(V101,Hipótesis!$D$113*(1-Hipótesis!$D$117)/MAX(Hipótesis!$D$115-Hipótesis!$D$116,1)),0))</f>
        <v>0</v>
      </c>
      <c r="W102" s="138" t="n">
        <f aca="false">IF(21&lt;=Hipótesis!$D$116,0,IF(W101&gt;0,MIN(W101,Hipótesis!$D$113*(1-Hipótesis!$D$117)/MAX(Hipótesis!$D$115-Hipótesis!$D$116,1)),0))</f>
        <v>0</v>
      </c>
      <c r="X102" s="138" t="n">
        <f aca="false">IF(22&lt;=Hipótesis!$D$116,0,IF(X101&gt;0,MIN(X101,Hipótesis!$D$113*(1-Hipótesis!$D$117)/MAX(Hipótesis!$D$115-Hipótesis!$D$116,1)),0))</f>
        <v>0</v>
      </c>
      <c r="Y102" s="138" t="n">
        <f aca="false">IF(23&lt;=Hipótesis!$D$116,0,IF(Y101&gt;0,MIN(Y101,Hipótesis!$D$113*(1-Hipótesis!$D$117)/MAX(Hipótesis!$D$115-Hipótesis!$D$116,1)),0))</f>
        <v>0</v>
      </c>
      <c r="Z102" s="138" t="n">
        <f aca="false">IF(24&lt;=Hipótesis!$D$116,0,IF(Z101&gt;0,MIN(Z101,Hipótesis!$D$113*(1-Hipótesis!$D$117)/MAX(Hipótesis!$D$115-Hipótesis!$D$116,1)),0))</f>
        <v>0</v>
      </c>
      <c r="AA102" s="138" t="n">
        <f aca="false">IF(25&lt;=Hipótesis!$D$116,0,IF(AA101&gt;0,MIN(AA101,Hipótesis!$D$113*(1-Hipótesis!$D$117)/MAX(Hipótesis!$D$115-Hipótesis!$D$116,1)),0))</f>
        <v>0</v>
      </c>
      <c r="AB102" s="138" t="n">
        <f aca="false">IF(26&lt;=Hipótesis!$D$116,0,IF(AB101&gt;0,MIN(AB101,Hipótesis!$D$113*(1-Hipótesis!$D$117)/MAX(Hipótesis!$D$115-Hipótesis!$D$116,1)),0))</f>
        <v>0</v>
      </c>
      <c r="AC102" s="138" t="n">
        <f aca="false">IF(27&lt;=Hipótesis!$D$116,0,IF(AC101&gt;0,MIN(AC101,Hipótesis!$D$113*(1-Hipótesis!$D$117)/MAX(Hipótesis!$D$115-Hipótesis!$D$116,1)),0))</f>
        <v>0</v>
      </c>
      <c r="AD102" s="138" t="n">
        <f aca="false">IF(28&lt;=Hipótesis!$D$116,0,IF(AD101&gt;0,MIN(AD101,Hipótesis!$D$113*(1-Hipótesis!$D$117)/MAX(Hipótesis!$D$115-Hipótesis!$D$116,1)),0))</f>
        <v>0</v>
      </c>
      <c r="AE102" s="138" t="n">
        <f aca="false">IF(29&lt;=Hipótesis!$D$116,0,IF(AE101&gt;0,MIN(AE101,Hipótesis!$D$113*(1-Hipótesis!$D$117)/MAX(Hipótesis!$D$115-Hipótesis!$D$116,1)),0))</f>
        <v>0</v>
      </c>
      <c r="AF102" s="138" t="n">
        <f aca="false">IF(30&lt;=Hipótesis!$D$116,0,IF(AF101&gt;0,MIN(AF101,Hipótesis!$D$113*(1-Hipótesis!$D$117)/MAX(Hipótesis!$D$115-Hipótesis!$D$116,1)),0))</f>
        <v>0</v>
      </c>
      <c r="AG102" s="138" t="n">
        <f aca="false">IF(31&lt;=Hipótesis!$D$116,0,IF(AG101&gt;0,MIN(AG101,Hipótesis!$D$113*(1-Hipótesis!$D$117)/MAX(Hipótesis!$D$115-Hipótesis!$D$116,1)),0))</f>
        <v>0</v>
      </c>
      <c r="AH102" s="138" t="n">
        <f aca="false">IF(32&lt;=Hipótesis!$D$116,0,IF(AH101&gt;0,MIN(AH101,Hipótesis!$D$113*(1-Hipótesis!$D$117)/MAX(Hipótesis!$D$115-Hipótesis!$D$116,1)),0))</f>
        <v>0</v>
      </c>
      <c r="AI102" s="138" t="n">
        <f aca="false">IF(33&lt;=Hipótesis!$D$116,0,IF(AI101&gt;0,MIN(AI101,Hipótesis!$D$113*(1-Hipótesis!$D$117)/MAX(Hipótesis!$D$115-Hipótesis!$D$116,1)),0))</f>
        <v>0</v>
      </c>
      <c r="AJ102" s="138" t="n">
        <f aca="false">IF(34&lt;=Hipótesis!$D$116,0,IF(AJ101&gt;0,MIN(AJ101,Hipótesis!$D$113*(1-Hipótesis!$D$117)/MAX(Hipótesis!$D$115-Hipótesis!$D$116,1)),0))</f>
        <v>0</v>
      </c>
      <c r="AK102" s="138" t="n">
        <f aca="false">IF(35&lt;=Hipótesis!$D$116,0,IF(AK101&gt;0,MIN(AK101,Hipótesis!$D$113*(1-Hipótesis!$D$117)/MAX(Hipótesis!$D$115-Hipótesis!$D$116,1)),0))</f>
        <v>0</v>
      </c>
      <c r="AL102" s="138" t="n">
        <f aca="false">IF(36&lt;=Hipótesis!$D$116,0,IF(AL101&gt;0,MIN(AL101,Hipótesis!$D$113*(1-Hipótesis!$D$117)/MAX(Hipótesis!$D$115-Hipótesis!$D$116,1)),0))</f>
        <v>0</v>
      </c>
      <c r="AM102" s="138" t="n">
        <f aca="false">IF(37&lt;=Hipótesis!$D$116,0,IF(AM101&gt;0,MIN(AM101,Hipótesis!$D$113*(1-Hipótesis!$D$117)/MAX(Hipótesis!$D$115-Hipótesis!$D$116,1)),0))</f>
        <v>0</v>
      </c>
      <c r="AN102" s="138" t="n">
        <f aca="false">IF(38&lt;=Hipótesis!$D$116,0,IF(AN101&gt;0,MIN(AN101,Hipótesis!$D$113*(1-Hipótesis!$D$117)/MAX(Hipótesis!$D$115-Hipótesis!$D$116,1)),0))</f>
        <v>0</v>
      </c>
      <c r="AO102" s="138" t="n">
        <f aca="false">IF(39&lt;=Hipótesis!$D$116,0,IF(AO101&gt;0,MIN(AO101,Hipótesis!$D$113*(1-Hipótesis!$D$117)/MAX(Hipótesis!$D$115-Hipótesis!$D$116,1)),0))</f>
        <v>0</v>
      </c>
      <c r="AP102" s="138" t="n">
        <f aca="false">IF(40&lt;=Hipótesis!$D$116,0,IF(AP101&gt;0,MIN(AP101,Hipótesis!$D$113*(1-Hipótesis!$D$117)/MAX(Hipótesis!$D$115-Hipótesis!$D$116,1)),0))</f>
        <v>0</v>
      </c>
      <c r="AQ102" s="138" t="n">
        <f aca="false">IF(41&lt;=Hipótesis!$D$116,0,IF(AQ101&gt;0,MIN(AQ101,Hipótesis!$D$113*(1-Hipótesis!$D$117)/MAX(Hipótesis!$D$115-Hipótesis!$D$116,1)),0))</f>
        <v>0</v>
      </c>
      <c r="AR102" s="138" t="n">
        <f aca="false">IF(42&lt;=Hipótesis!$D$116,0,IF(AR101&gt;0,MIN(AR101,Hipótesis!$D$113*(1-Hipótesis!$D$117)/MAX(Hipótesis!$D$115-Hipótesis!$D$116,1)),0))</f>
        <v>0</v>
      </c>
      <c r="AS102" s="138" t="n">
        <f aca="false">IF(43&lt;=Hipótesis!$D$116,0,IF(AS101&gt;0,MIN(AS101,Hipótesis!$D$113*(1-Hipótesis!$D$117)/MAX(Hipótesis!$D$115-Hipótesis!$D$116,1)),0))</f>
        <v>0</v>
      </c>
      <c r="AT102" s="138" t="n">
        <f aca="false">IF(44&lt;=Hipótesis!$D$116,0,IF(AT101&gt;0,MIN(AT101,Hipótesis!$D$113*(1-Hipótesis!$D$117)/MAX(Hipótesis!$D$115-Hipótesis!$D$116,1)),0))</f>
        <v>0</v>
      </c>
      <c r="AU102" s="138" t="n">
        <f aca="false">IF(45&lt;=Hipótesis!$D$116,0,IF(AU101&gt;0,MIN(AU101,Hipótesis!$D$113*(1-Hipótesis!$D$117)/MAX(Hipótesis!$D$115-Hipótesis!$D$116,1)),0))</f>
        <v>0</v>
      </c>
      <c r="AV102" s="138" t="n">
        <f aca="false">IF(46&lt;=Hipótesis!$D$116,0,IF(AV101&gt;0,MIN(AV101,Hipótesis!$D$113*(1-Hipótesis!$D$117)/MAX(Hipótesis!$D$115-Hipótesis!$D$116,1)),0))</f>
        <v>0</v>
      </c>
      <c r="AW102" s="138" t="n">
        <f aca="false">IF(47&lt;=Hipótesis!$D$116,0,IF(AW101&gt;0,MIN(AW101,Hipótesis!$D$113*(1-Hipótesis!$D$117)/MAX(Hipótesis!$D$115-Hipótesis!$D$116,1)),0))</f>
        <v>0</v>
      </c>
      <c r="AX102" s="138" t="n">
        <f aca="false">IF(48&lt;=Hipótesis!$D$116,0,IF(AX101&gt;0,MIN(AX101,Hipótesis!$D$113*(1-Hipótesis!$D$117)/MAX(Hipótesis!$D$115-Hipótesis!$D$116,1)),0))</f>
        <v>0</v>
      </c>
      <c r="AY102" s="138" t="n">
        <f aca="false">IF(49&lt;=Hipótesis!$D$116,0,IF(AY101&gt;0,MIN(AY101,Hipótesis!$D$113*(1-Hipótesis!$D$117)/MAX(Hipótesis!$D$115-Hipótesis!$D$116,1)),0))</f>
        <v>0</v>
      </c>
      <c r="AZ102" s="138" t="n">
        <f aca="false">IF(50&lt;=Hipótesis!$D$116,0,IF(AZ101&gt;0,MIN(AZ101,Hipótesis!$D$113*(1-Hipótesis!$D$117)/MAX(Hipótesis!$D$115-Hipótesis!$D$116,1)),0))</f>
        <v>0</v>
      </c>
      <c r="BA102" s="138" t="n">
        <f aca="false">IF(51&lt;=Hipótesis!$D$116,0,IF(BA101&gt;0,MIN(BA101,Hipótesis!$D$113*(1-Hipótesis!$D$117)/MAX(Hipótesis!$D$115-Hipótesis!$D$116,1)),0))</f>
        <v>0</v>
      </c>
      <c r="BB102" s="138" t="n">
        <f aca="false">IF(52&lt;=Hipótesis!$D$116,0,IF(BB101&gt;0,MIN(BB101,Hipótesis!$D$113*(1-Hipótesis!$D$117)/MAX(Hipótesis!$D$115-Hipótesis!$D$116,1)),0))</f>
        <v>0</v>
      </c>
      <c r="BC102" s="138" t="n">
        <f aca="false">IF(53&lt;=Hipótesis!$D$116,0,IF(BC101&gt;0,MIN(BC101,Hipótesis!$D$113*(1-Hipótesis!$D$117)/MAX(Hipótesis!$D$115-Hipótesis!$D$116,1)),0))</f>
        <v>0</v>
      </c>
      <c r="BD102" s="138" t="n">
        <f aca="false">IF(54&lt;=Hipótesis!$D$116,0,IF(BD101&gt;0,MIN(BD101,Hipótesis!$D$113*(1-Hipótesis!$D$117)/MAX(Hipótesis!$D$115-Hipótesis!$D$116,1)),0))</f>
        <v>0</v>
      </c>
      <c r="BE102" s="138" t="n">
        <f aca="false">IF(55&lt;=Hipótesis!$D$116,0,IF(BE101&gt;0,MIN(BE101,Hipótesis!$D$113*(1-Hipótesis!$D$117)/MAX(Hipótesis!$D$115-Hipótesis!$D$116,1)),0))</f>
        <v>0</v>
      </c>
      <c r="BF102" s="138" t="n">
        <f aca="false">IF(56&lt;=Hipótesis!$D$116,0,IF(BF101&gt;0,MIN(BF101,Hipótesis!$D$113*(1-Hipótesis!$D$117)/MAX(Hipótesis!$D$115-Hipótesis!$D$116,1)),0))</f>
        <v>0</v>
      </c>
      <c r="BG102" s="138" t="n">
        <f aca="false">IF(57&lt;=Hipótesis!$D$116,0,IF(BG101&gt;0,MIN(BG101,Hipótesis!$D$113*(1-Hipótesis!$D$117)/MAX(Hipótesis!$D$115-Hipótesis!$D$116,1)),0))</f>
        <v>0</v>
      </c>
      <c r="BH102" s="138" t="n">
        <f aca="false">IF(58&lt;=Hipótesis!$D$116,0,IF(BH101&gt;0,MIN(BH101,Hipótesis!$D$113*(1-Hipótesis!$D$117)/MAX(Hipótesis!$D$115-Hipótesis!$D$116,1)),0))</f>
        <v>0</v>
      </c>
      <c r="BI102" s="138" t="n">
        <f aca="false">IF(59&lt;=Hipótesis!$D$116,0,IF(BI101&gt;0,MIN(BI101,Hipótesis!$D$113*(1-Hipótesis!$D$117)/MAX(Hipótesis!$D$115-Hipótesis!$D$116,1)),0))</f>
        <v>0</v>
      </c>
      <c r="BJ102" s="138" t="n">
        <f aca="false">IF(60&lt;=Hipótesis!$D$116,0,IF(BJ101&gt;0,MIN(BJ101,Hipótesis!$D$113*(1-Hipótesis!$D$117)/MAX(Hipótesis!$D$115-Hipótesis!$D$116,1)),0))</f>
        <v>0</v>
      </c>
      <c r="BK102" s="138" t="n">
        <f aca="false">IF(61&lt;=Hipótesis!$D$116,0,IF(BK101&gt;0,MIN(BK101,Hipótesis!$D$113*(1-Hipótesis!$D$117)/MAX(Hipótesis!$D$115-Hipótesis!$D$116,1)),0))</f>
        <v>0</v>
      </c>
      <c r="BL102" s="138" t="n">
        <f aca="false">IF(62&lt;=Hipótesis!$D$116,0,IF(BL101&gt;0,MIN(BL101,Hipótesis!$D$113*(1-Hipótesis!$D$117)/MAX(Hipótesis!$D$115-Hipótesis!$D$116,1)),0))</f>
        <v>0</v>
      </c>
      <c r="BM102" s="138" t="n">
        <f aca="false">IF(63&lt;=Hipótesis!$D$116,0,IF(BM101&gt;0,MIN(BM101,Hipótesis!$D$113*(1-Hipótesis!$D$117)/MAX(Hipótesis!$D$115-Hipótesis!$D$116,1)),0))</f>
        <v>0</v>
      </c>
      <c r="BN102" s="138" t="n">
        <f aca="false">IF(64&lt;=Hipótesis!$D$116,0,IF(BN101&gt;0,MIN(BN101,Hipótesis!$D$113*(1-Hipótesis!$D$117)/MAX(Hipótesis!$D$115-Hipótesis!$D$116,1)),0))</f>
        <v>0</v>
      </c>
      <c r="BO102" s="138" t="n">
        <f aca="false">IF(65&lt;=Hipótesis!$D$116,0,IF(BO101&gt;0,MIN(BO101,Hipótesis!$D$113*(1-Hipótesis!$D$117)/MAX(Hipótesis!$D$115-Hipótesis!$D$116,1)),0))</f>
        <v>0</v>
      </c>
      <c r="BP102" s="138" t="n">
        <f aca="false">IF(66&lt;=Hipótesis!$D$116,0,IF(BP101&gt;0,MIN(BP101,Hipótesis!$D$113*(1-Hipótesis!$D$117)/MAX(Hipótesis!$D$115-Hipótesis!$D$116,1)),0))</f>
        <v>0</v>
      </c>
      <c r="BQ102" s="138" t="n">
        <f aca="false">IF(67&lt;=Hipótesis!$D$116,0,IF(BQ101&gt;0,MIN(BQ101,Hipótesis!$D$113*(1-Hipótesis!$D$117)/MAX(Hipótesis!$D$115-Hipótesis!$D$116,1)),0))</f>
        <v>0</v>
      </c>
      <c r="BR102" s="138" t="n">
        <f aca="false">IF(68&lt;=Hipótesis!$D$116,0,IF(BR101&gt;0,MIN(BR101,Hipótesis!$D$113*(1-Hipótesis!$D$117)/MAX(Hipótesis!$D$115-Hipótesis!$D$116,1)),0))</f>
        <v>0</v>
      </c>
      <c r="BS102" s="138" t="n">
        <f aca="false">IF(69&lt;=Hipótesis!$D$116,0,IF(BS101&gt;0,MIN(BS101,Hipótesis!$D$113*(1-Hipótesis!$D$117)/MAX(Hipótesis!$D$115-Hipótesis!$D$116,1)),0))</f>
        <v>0</v>
      </c>
      <c r="BT102" s="138" t="n">
        <f aca="false">IF(70&lt;=Hipótesis!$D$116,0,IF(BT101&gt;0,MIN(BT101,Hipótesis!$D$113*(1-Hipótesis!$D$117)/MAX(Hipótesis!$D$115-Hipótesis!$D$116,1)),0))</f>
        <v>0</v>
      </c>
      <c r="BU102" s="138" t="n">
        <f aca="false">IF(71&lt;=Hipótesis!$D$116,0,IF(BU101&gt;0,MIN(BU101,Hipótesis!$D$113*(1-Hipótesis!$D$117)/MAX(Hipótesis!$D$115-Hipótesis!$D$116,1)),0))</f>
        <v>0</v>
      </c>
      <c r="BV102" s="138" t="n">
        <f aca="false">IF(72&lt;=Hipótesis!$D$116,0,IF(BV101&gt;0,MIN(BV101,Hipótesis!$D$113*(1-Hipótesis!$D$117)/MAX(Hipótesis!$D$115-Hipótesis!$D$116,1)),0))</f>
        <v>0</v>
      </c>
      <c r="BW102" s="138" t="n">
        <f aca="false">IF(73&lt;=Hipótesis!$D$116,0,IF(BW101&gt;0,MIN(BW101,Hipótesis!$D$113*(1-Hipótesis!$D$117)/MAX(Hipótesis!$D$115-Hipótesis!$D$116,1)),0))</f>
        <v>0</v>
      </c>
      <c r="BX102" s="138" t="n">
        <f aca="false">IF(74&lt;=Hipótesis!$D$116,0,IF(BX101&gt;0,MIN(BX101,Hipótesis!$D$113*(1-Hipótesis!$D$117)/MAX(Hipótesis!$D$115-Hipótesis!$D$116,1)),0))</f>
        <v>0</v>
      </c>
      <c r="BY102" s="138" t="n">
        <f aca="false">IF(75&lt;=Hipótesis!$D$116,0,IF(BY101&gt;0,MIN(BY101,Hipótesis!$D$113*(1-Hipótesis!$D$117)/MAX(Hipótesis!$D$115-Hipótesis!$D$116,1)),0))</f>
        <v>0</v>
      </c>
      <c r="BZ102" s="138" t="n">
        <f aca="false">IF(76&lt;=Hipótesis!$D$116,0,IF(BZ101&gt;0,MIN(BZ101,Hipótesis!$D$113*(1-Hipótesis!$D$117)/MAX(Hipótesis!$D$115-Hipótesis!$D$116,1)),0))</f>
        <v>0</v>
      </c>
      <c r="CA102" s="138" t="n">
        <f aca="false">IF(77&lt;=Hipótesis!$D$116,0,IF(CA101&gt;0,MIN(CA101,Hipótesis!$D$113*(1-Hipótesis!$D$117)/MAX(Hipótesis!$D$115-Hipótesis!$D$116,1)),0))</f>
        <v>0</v>
      </c>
      <c r="CB102" s="138" t="n">
        <f aca="false">IF(78&lt;=Hipótesis!$D$116,0,IF(CB101&gt;0,MIN(CB101,Hipótesis!$D$113*(1-Hipótesis!$D$117)/MAX(Hipótesis!$D$115-Hipótesis!$D$116,1)),0))</f>
        <v>0</v>
      </c>
      <c r="CC102" s="138" t="n">
        <f aca="false">IF(79&lt;=Hipótesis!$D$116,0,IF(CC101&gt;0,MIN(CC101,Hipótesis!$D$113*(1-Hipótesis!$D$117)/MAX(Hipótesis!$D$115-Hipótesis!$D$116,1)),0))</f>
        <v>0</v>
      </c>
      <c r="CD102" s="138" t="n">
        <f aca="false">IF(80&lt;=Hipótesis!$D$116,0,IF(CD101&gt;0,MIN(CD101,Hipótesis!$D$113*(1-Hipótesis!$D$117)/MAX(Hipótesis!$D$115-Hipótesis!$D$116,1)),0))</f>
        <v>0</v>
      </c>
      <c r="CE102" s="138" t="n">
        <f aca="false">IF(81&lt;=Hipótesis!$D$116,0,IF(CE101&gt;0,MIN(CE101,Hipótesis!$D$113*(1-Hipótesis!$D$117)/MAX(Hipótesis!$D$115-Hipótesis!$D$116,1)),0))</f>
        <v>0</v>
      </c>
      <c r="CF102" s="138" t="n">
        <f aca="false">IF(82&lt;=Hipótesis!$D$116,0,IF(CF101&gt;0,MIN(CF101,Hipótesis!$D$113*(1-Hipótesis!$D$117)/MAX(Hipótesis!$D$115-Hipótesis!$D$116,1)),0))</f>
        <v>0</v>
      </c>
      <c r="CG102" s="138" t="n">
        <f aca="false">IF(83&lt;=Hipótesis!$D$116,0,IF(CG101&gt;0,MIN(CG101,Hipótesis!$D$113*(1-Hipótesis!$D$117)/MAX(Hipótesis!$D$115-Hipótesis!$D$116,1)),0))</f>
        <v>0</v>
      </c>
      <c r="CH102" s="138" t="n">
        <f aca="false">IF(84&lt;=Hipótesis!$D$116,0,IF(CH101&gt;0,MIN(CH101,Hipótesis!$D$113*(1-Hipótesis!$D$117)/MAX(Hipótesis!$D$115-Hipótesis!$D$116,1)),0))</f>
        <v>0</v>
      </c>
    </row>
    <row r="103" customFormat="false" ht="13.5" hidden="false" customHeight="true" outlineLevel="0" collapsed="false">
      <c r="A103" s="13" t="s">
        <v>778</v>
      </c>
      <c r="C103" s="138" t="n">
        <f aca="false">C101*Hipótesis!$D$114/12</f>
        <v>0</v>
      </c>
      <c r="D103" s="138" t="n">
        <f aca="false">D101*Hipótesis!$D$114/12</f>
        <v>0</v>
      </c>
      <c r="E103" s="138" t="n">
        <f aca="false">E101*Hipótesis!$D$114/12</f>
        <v>0</v>
      </c>
      <c r="F103" s="138" t="n">
        <f aca="false">F101*Hipótesis!$D$114/12</f>
        <v>0</v>
      </c>
      <c r="G103" s="138" t="n">
        <f aca="false">G101*Hipótesis!$D$114/12</f>
        <v>0</v>
      </c>
      <c r="H103" s="138" t="n">
        <f aca="false">H101*Hipótesis!$D$114/12</f>
        <v>0</v>
      </c>
      <c r="I103" s="138" t="n">
        <f aca="false">I101*Hipótesis!$D$114/12</f>
        <v>0</v>
      </c>
      <c r="J103" s="138" t="n">
        <f aca="false">J101*Hipótesis!$D$114/12</f>
        <v>0</v>
      </c>
      <c r="K103" s="138" t="n">
        <f aca="false">K101*Hipótesis!$D$114/12</f>
        <v>0</v>
      </c>
      <c r="L103" s="138" t="n">
        <f aca="false">L101*Hipótesis!$D$114/12</f>
        <v>0</v>
      </c>
      <c r="M103" s="138" t="n">
        <f aca="false">M101*Hipótesis!$D$114/12</f>
        <v>0</v>
      </c>
      <c r="N103" s="138" t="n">
        <f aca="false">N101*Hipótesis!$D$114/12</f>
        <v>0</v>
      </c>
      <c r="O103" s="138" t="n">
        <f aca="false">O101*Hipótesis!$D$114/12</f>
        <v>0</v>
      </c>
      <c r="P103" s="138" t="n">
        <f aca="false">P101*Hipótesis!$D$114/12</f>
        <v>0</v>
      </c>
      <c r="Q103" s="138" t="n">
        <f aca="false">Q101*Hipótesis!$D$114/12</f>
        <v>0</v>
      </c>
      <c r="R103" s="138" t="n">
        <f aca="false">R101*Hipótesis!$D$114/12</f>
        <v>0</v>
      </c>
      <c r="S103" s="138" t="n">
        <f aca="false">S101*Hipótesis!$D$114/12</f>
        <v>0</v>
      </c>
      <c r="T103" s="138" t="n">
        <f aca="false">T101*Hipótesis!$D$114/12</f>
        <v>0</v>
      </c>
      <c r="U103" s="138" t="n">
        <f aca="false">U101*Hipótesis!$D$114/12</f>
        <v>0</v>
      </c>
      <c r="V103" s="138" t="n">
        <f aca="false">V101*Hipótesis!$D$114/12</f>
        <v>0</v>
      </c>
      <c r="W103" s="138" t="n">
        <f aca="false">W101*Hipótesis!$D$114/12</f>
        <v>0</v>
      </c>
      <c r="X103" s="138" t="n">
        <f aca="false">X101*Hipótesis!$D$114/12</f>
        <v>0</v>
      </c>
      <c r="Y103" s="138" t="n">
        <f aca="false">Y101*Hipótesis!$D$114/12</f>
        <v>0</v>
      </c>
      <c r="Z103" s="138" t="n">
        <f aca="false">Z101*Hipótesis!$D$114/12</f>
        <v>0</v>
      </c>
      <c r="AA103" s="138" t="n">
        <f aca="false">AA101*Hipótesis!$D$114/12</f>
        <v>0</v>
      </c>
      <c r="AB103" s="138" t="n">
        <f aca="false">AB101*Hipótesis!$D$114/12</f>
        <v>0</v>
      </c>
      <c r="AC103" s="138" t="n">
        <f aca="false">AC101*Hipótesis!$D$114/12</f>
        <v>0</v>
      </c>
      <c r="AD103" s="138" t="n">
        <f aca="false">AD101*Hipótesis!$D$114/12</f>
        <v>0</v>
      </c>
      <c r="AE103" s="138" t="n">
        <f aca="false">AE101*Hipótesis!$D$114/12</f>
        <v>0</v>
      </c>
      <c r="AF103" s="138" t="n">
        <f aca="false">AF101*Hipótesis!$D$114/12</f>
        <v>0</v>
      </c>
      <c r="AG103" s="138" t="n">
        <f aca="false">AG101*Hipótesis!$D$114/12</f>
        <v>0</v>
      </c>
      <c r="AH103" s="138" t="n">
        <f aca="false">AH101*Hipótesis!$D$114/12</f>
        <v>0</v>
      </c>
      <c r="AI103" s="138" t="n">
        <f aca="false">AI101*Hipótesis!$D$114/12</f>
        <v>0</v>
      </c>
      <c r="AJ103" s="138" t="n">
        <f aca="false">AJ101*Hipótesis!$D$114/12</f>
        <v>0</v>
      </c>
      <c r="AK103" s="138" t="n">
        <f aca="false">AK101*Hipótesis!$D$114/12</f>
        <v>0</v>
      </c>
      <c r="AL103" s="138" t="n">
        <f aca="false">AL101*Hipótesis!$D$114/12</f>
        <v>0</v>
      </c>
      <c r="AM103" s="138" t="n">
        <f aca="false">AM101*Hipótesis!$D$114/12</f>
        <v>0</v>
      </c>
      <c r="AN103" s="138" t="n">
        <f aca="false">AN101*Hipótesis!$D$114/12</f>
        <v>0</v>
      </c>
      <c r="AO103" s="138" t="n">
        <f aca="false">AO101*Hipótesis!$D$114/12</f>
        <v>0</v>
      </c>
      <c r="AP103" s="138" t="n">
        <f aca="false">AP101*Hipótesis!$D$114/12</f>
        <v>0</v>
      </c>
      <c r="AQ103" s="138" t="n">
        <f aca="false">AQ101*Hipótesis!$D$114/12</f>
        <v>0</v>
      </c>
      <c r="AR103" s="138" t="n">
        <f aca="false">AR101*Hipótesis!$D$114/12</f>
        <v>0</v>
      </c>
      <c r="AS103" s="138" t="n">
        <f aca="false">AS101*Hipótesis!$D$114/12</f>
        <v>0</v>
      </c>
      <c r="AT103" s="138" t="n">
        <f aca="false">AT101*Hipótesis!$D$114/12</f>
        <v>0</v>
      </c>
      <c r="AU103" s="138" t="n">
        <f aca="false">AU101*Hipótesis!$D$114/12</f>
        <v>0</v>
      </c>
      <c r="AV103" s="138" t="n">
        <f aca="false">AV101*Hipótesis!$D$114/12</f>
        <v>0</v>
      </c>
      <c r="AW103" s="138" t="n">
        <f aca="false">AW101*Hipótesis!$D$114/12</f>
        <v>0</v>
      </c>
      <c r="AX103" s="138" t="n">
        <f aca="false">AX101*Hipótesis!$D$114/12</f>
        <v>0</v>
      </c>
      <c r="AY103" s="138" t="n">
        <f aca="false">AY101*Hipótesis!$D$114/12</f>
        <v>0</v>
      </c>
      <c r="AZ103" s="138" t="n">
        <f aca="false">AZ101*Hipótesis!$D$114/12</f>
        <v>0</v>
      </c>
      <c r="BA103" s="138" t="n">
        <f aca="false">BA101*Hipótesis!$D$114/12</f>
        <v>0</v>
      </c>
      <c r="BB103" s="138" t="n">
        <f aca="false">BB101*Hipótesis!$D$114/12</f>
        <v>0</v>
      </c>
      <c r="BC103" s="138" t="n">
        <f aca="false">BC101*Hipótesis!$D$114/12</f>
        <v>0</v>
      </c>
      <c r="BD103" s="138" t="n">
        <f aca="false">BD101*Hipótesis!$D$114/12</f>
        <v>0</v>
      </c>
      <c r="BE103" s="138" t="n">
        <f aca="false">BE101*Hipótesis!$D$114/12</f>
        <v>0</v>
      </c>
      <c r="BF103" s="138" t="n">
        <f aca="false">BF101*Hipótesis!$D$114/12</f>
        <v>0</v>
      </c>
      <c r="BG103" s="138" t="n">
        <f aca="false">BG101*Hipótesis!$D$114/12</f>
        <v>0</v>
      </c>
      <c r="BH103" s="138" t="n">
        <f aca="false">BH101*Hipótesis!$D$114/12</f>
        <v>0</v>
      </c>
      <c r="BI103" s="138" t="n">
        <f aca="false">BI101*Hipótesis!$D$114/12</f>
        <v>0</v>
      </c>
      <c r="BJ103" s="138" t="n">
        <f aca="false">BJ101*Hipótesis!$D$114/12</f>
        <v>0</v>
      </c>
      <c r="BK103" s="138" t="n">
        <f aca="false">BK101*Hipótesis!$D$114/12</f>
        <v>0</v>
      </c>
      <c r="BL103" s="138" t="n">
        <f aca="false">BL101*Hipótesis!$D$114/12</f>
        <v>0</v>
      </c>
      <c r="BM103" s="138" t="n">
        <f aca="false">BM101*Hipótesis!$D$114/12</f>
        <v>0</v>
      </c>
      <c r="BN103" s="138" t="n">
        <f aca="false">BN101*Hipótesis!$D$114/12</f>
        <v>0</v>
      </c>
      <c r="BO103" s="138" t="n">
        <f aca="false">BO101*Hipótesis!$D$114/12</f>
        <v>0</v>
      </c>
      <c r="BP103" s="138" t="n">
        <f aca="false">BP101*Hipótesis!$D$114/12</f>
        <v>0</v>
      </c>
      <c r="BQ103" s="138" t="n">
        <f aca="false">BQ101*Hipótesis!$D$114/12</f>
        <v>0</v>
      </c>
      <c r="BR103" s="138" t="n">
        <f aca="false">BR101*Hipótesis!$D$114/12</f>
        <v>0</v>
      </c>
      <c r="BS103" s="138" t="n">
        <f aca="false">BS101*Hipótesis!$D$114/12</f>
        <v>0</v>
      </c>
      <c r="BT103" s="138" t="n">
        <f aca="false">BT101*Hipótesis!$D$114/12</f>
        <v>0</v>
      </c>
      <c r="BU103" s="138" t="n">
        <f aca="false">BU101*Hipótesis!$D$114/12</f>
        <v>0</v>
      </c>
      <c r="BV103" s="138" t="n">
        <f aca="false">BV101*Hipótesis!$D$114/12</f>
        <v>0</v>
      </c>
      <c r="BW103" s="138" t="n">
        <f aca="false">BW101*Hipótesis!$D$114/12</f>
        <v>0</v>
      </c>
      <c r="BX103" s="138" t="n">
        <f aca="false">BX101*Hipótesis!$D$114/12</f>
        <v>0</v>
      </c>
      <c r="BY103" s="138" t="n">
        <f aca="false">BY101*Hipótesis!$D$114/12</f>
        <v>0</v>
      </c>
      <c r="BZ103" s="138" t="n">
        <f aca="false">BZ101*Hipótesis!$D$114/12</f>
        <v>0</v>
      </c>
      <c r="CA103" s="138" t="n">
        <f aca="false">CA101*Hipótesis!$D$114/12</f>
        <v>0</v>
      </c>
      <c r="CB103" s="138" t="n">
        <f aca="false">CB101*Hipótesis!$D$114/12</f>
        <v>0</v>
      </c>
      <c r="CC103" s="138" t="n">
        <f aca="false">CC101*Hipótesis!$D$114/12</f>
        <v>0</v>
      </c>
      <c r="CD103" s="138" t="n">
        <f aca="false">CD101*Hipótesis!$D$114/12</f>
        <v>0</v>
      </c>
      <c r="CE103" s="138" t="n">
        <f aca="false">CE101*Hipótesis!$D$114/12</f>
        <v>0</v>
      </c>
      <c r="CF103" s="138" t="n">
        <f aca="false">CF101*Hipótesis!$D$114/12</f>
        <v>0</v>
      </c>
      <c r="CG103" s="138" t="n">
        <f aca="false">CG101*Hipótesis!$D$114/12</f>
        <v>0</v>
      </c>
      <c r="CH103" s="138" t="n">
        <f aca="false">CH101*Hipótesis!$D$114/12</f>
        <v>0</v>
      </c>
    </row>
    <row r="104" customFormat="false" ht="13.5" hidden="false" customHeight="true" outlineLevel="0" collapsed="false">
      <c r="A104" s="13" t="s">
        <v>779</v>
      </c>
      <c r="C104" s="138" t="n">
        <f aca="false">C102+C103</f>
        <v>0</v>
      </c>
      <c r="D104" s="138" t="n">
        <f aca="false">D102+D103</f>
        <v>0</v>
      </c>
      <c r="E104" s="138" t="n">
        <f aca="false">E102+E103</f>
        <v>0</v>
      </c>
      <c r="F104" s="138" t="n">
        <f aca="false">F102+F103</f>
        <v>0</v>
      </c>
      <c r="G104" s="138" t="n">
        <f aca="false">G102+G103</f>
        <v>0</v>
      </c>
      <c r="H104" s="138" t="n">
        <f aca="false">H102+H103</f>
        <v>0</v>
      </c>
      <c r="I104" s="138" t="n">
        <f aca="false">I102+I103</f>
        <v>0</v>
      </c>
      <c r="J104" s="138" t="n">
        <f aca="false">J102+J103</f>
        <v>0</v>
      </c>
      <c r="K104" s="138" t="n">
        <f aca="false">K102+K103</f>
        <v>0</v>
      </c>
      <c r="L104" s="138" t="n">
        <f aca="false">L102+L103</f>
        <v>0</v>
      </c>
      <c r="M104" s="138" t="n">
        <f aca="false">M102+M103</f>
        <v>0</v>
      </c>
      <c r="N104" s="138" t="n">
        <f aca="false">N102+N103</f>
        <v>0</v>
      </c>
      <c r="O104" s="138" t="n">
        <f aca="false">O102+O103</f>
        <v>0</v>
      </c>
      <c r="P104" s="138" t="n">
        <f aca="false">P102+P103</f>
        <v>0</v>
      </c>
      <c r="Q104" s="138" t="n">
        <f aca="false">Q102+Q103</f>
        <v>0</v>
      </c>
      <c r="R104" s="138" t="n">
        <f aca="false">R102+R103</f>
        <v>0</v>
      </c>
      <c r="S104" s="138" t="n">
        <f aca="false">S102+S103</f>
        <v>0</v>
      </c>
      <c r="T104" s="138" t="n">
        <f aca="false">T102+T103</f>
        <v>0</v>
      </c>
      <c r="U104" s="138" t="n">
        <f aca="false">U102+U103</f>
        <v>0</v>
      </c>
      <c r="V104" s="138" t="n">
        <f aca="false">V102+V103</f>
        <v>0</v>
      </c>
      <c r="W104" s="138" t="n">
        <f aca="false">W102+W103</f>
        <v>0</v>
      </c>
      <c r="X104" s="138" t="n">
        <f aca="false">X102+X103</f>
        <v>0</v>
      </c>
      <c r="Y104" s="138" t="n">
        <f aca="false">Y102+Y103</f>
        <v>0</v>
      </c>
      <c r="Z104" s="138" t="n">
        <f aca="false">Z102+Z103</f>
        <v>0</v>
      </c>
      <c r="AA104" s="138" t="n">
        <f aca="false">AA102+AA103</f>
        <v>0</v>
      </c>
      <c r="AB104" s="138" t="n">
        <f aca="false">AB102+AB103</f>
        <v>0</v>
      </c>
      <c r="AC104" s="138" t="n">
        <f aca="false">AC102+AC103</f>
        <v>0</v>
      </c>
      <c r="AD104" s="138" t="n">
        <f aca="false">AD102+AD103</f>
        <v>0</v>
      </c>
      <c r="AE104" s="138" t="n">
        <f aca="false">AE102+AE103</f>
        <v>0</v>
      </c>
      <c r="AF104" s="138" t="n">
        <f aca="false">AF102+AF103</f>
        <v>0</v>
      </c>
      <c r="AG104" s="138" t="n">
        <f aca="false">AG102+AG103</f>
        <v>0</v>
      </c>
      <c r="AH104" s="138" t="n">
        <f aca="false">AH102+AH103</f>
        <v>0</v>
      </c>
      <c r="AI104" s="138" t="n">
        <f aca="false">AI102+AI103</f>
        <v>0</v>
      </c>
      <c r="AJ104" s="138" t="n">
        <f aca="false">AJ102+AJ103</f>
        <v>0</v>
      </c>
      <c r="AK104" s="138" t="n">
        <f aca="false">AK102+AK103</f>
        <v>0</v>
      </c>
      <c r="AL104" s="138" t="n">
        <f aca="false">AL102+AL103</f>
        <v>0</v>
      </c>
      <c r="AM104" s="138" t="n">
        <f aca="false">AM102+AM103</f>
        <v>0</v>
      </c>
      <c r="AN104" s="138" t="n">
        <f aca="false">AN102+AN103</f>
        <v>0</v>
      </c>
      <c r="AO104" s="138" t="n">
        <f aca="false">AO102+AO103</f>
        <v>0</v>
      </c>
      <c r="AP104" s="138" t="n">
        <f aca="false">AP102+AP103</f>
        <v>0</v>
      </c>
      <c r="AQ104" s="138" t="n">
        <f aca="false">AQ102+AQ103</f>
        <v>0</v>
      </c>
      <c r="AR104" s="138" t="n">
        <f aca="false">AR102+AR103</f>
        <v>0</v>
      </c>
      <c r="AS104" s="138" t="n">
        <f aca="false">AS102+AS103</f>
        <v>0</v>
      </c>
      <c r="AT104" s="138" t="n">
        <f aca="false">AT102+AT103</f>
        <v>0</v>
      </c>
      <c r="AU104" s="138" t="n">
        <f aca="false">AU102+AU103</f>
        <v>0</v>
      </c>
      <c r="AV104" s="138" t="n">
        <f aca="false">AV102+AV103</f>
        <v>0</v>
      </c>
      <c r="AW104" s="138" t="n">
        <f aca="false">AW102+AW103</f>
        <v>0</v>
      </c>
      <c r="AX104" s="138" t="n">
        <f aca="false">AX102+AX103</f>
        <v>0</v>
      </c>
      <c r="AY104" s="138" t="n">
        <f aca="false">AY102+AY103</f>
        <v>0</v>
      </c>
      <c r="AZ104" s="138" t="n">
        <f aca="false">AZ102+AZ103</f>
        <v>0</v>
      </c>
      <c r="BA104" s="138" t="n">
        <f aca="false">BA102+BA103</f>
        <v>0</v>
      </c>
      <c r="BB104" s="138" t="n">
        <f aca="false">BB102+BB103</f>
        <v>0</v>
      </c>
      <c r="BC104" s="138" t="n">
        <f aca="false">BC102+BC103</f>
        <v>0</v>
      </c>
      <c r="BD104" s="138" t="n">
        <f aca="false">BD102+BD103</f>
        <v>0</v>
      </c>
      <c r="BE104" s="138" t="n">
        <f aca="false">BE102+BE103</f>
        <v>0</v>
      </c>
      <c r="BF104" s="138" t="n">
        <f aca="false">BF102+BF103</f>
        <v>0</v>
      </c>
      <c r="BG104" s="138" t="n">
        <f aca="false">BG102+BG103</f>
        <v>0</v>
      </c>
      <c r="BH104" s="138" t="n">
        <f aca="false">BH102+BH103</f>
        <v>0</v>
      </c>
      <c r="BI104" s="138" t="n">
        <f aca="false">BI102+BI103</f>
        <v>0</v>
      </c>
      <c r="BJ104" s="138" t="n">
        <f aca="false">BJ102+BJ103</f>
        <v>0</v>
      </c>
      <c r="BK104" s="138" t="n">
        <f aca="false">BK102+BK103</f>
        <v>0</v>
      </c>
      <c r="BL104" s="138" t="n">
        <f aca="false">BL102+BL103</f>
        <v>0</v>
      </c>
      <c r="BM104" s="138" t="n">
        <f aca="false">BM102+BM103</f>
        <v>0</v>
      </c>
      <c r="BN104" s="138" t="n">
        <f aca="false">BN102+BN103</f>
        <v>0</v>
      </c>
      <c r="BO104" s="138" t="n">
        <f aca="false">BO102+BO103</f>
        <v>0</v>
      </c>
      <c r="BP104" s="138" t="n">
        <f aca="false">BP102+BP103</f>
        <v>0</v>
      </c>
      <c r="BQ104" s="138" t="n">
        <f aca="false">BQ102+BQ103</f>
        <v>0</v>
      </c>
      <c r="BR104" s="138" t="n">
        <f aca="false">BR102+BR103</f>
        <v>0</v>
      </c>
      <c r="BS104" s="138" t="n">
        <f aca="false">BS102+BS103</f>
        <v>0</v>
      </c>
      <c r="BT104" s="138" t="n">
        <f aca="false">BT102+BT103</f>
        <v>0</v>
      </c>
      <c r="BU104" s="138" t="n">
        <f aca="false">BU102+BU103</f>
        <v>0</v>
      </c>
      <c r="BV104" s="138" t="n">
        <f aca="false">BV102+BV103</f>
        <v>0</v>
      </c>
      <c r="BW104" s="138" t="n">
        <f aca="false">BW102+BW103</f>
        <v>0</v>
      </c>
      <c r="BX104" s="138" t="n">
        <f aca="false">BX102+BX103</f>
        <v>0</v>
      </c>
      <c r="BY104" s="138" t="n">
        <f aca="false">BY102+BY103</f>
        <v>0</v>
      </c>
      <c r="BZ104" s="138" t="n">
        <f aca="false">BZ102+BZ103</f>
        <v>0</v>
      </c>
      <c r="CA104" s="138" t="n">
        <f aca="false">CA102+CA103</f>
        <v>0</v>
      </c>
      <c r="CB104" s="138" t="n">
        <f aca="false">CB102+CB103</f>
        <v>0</v>
      </c>
      <c r="CC104" s="138" t="n">
        <f aca="false">CC102+CC103</f>
        <v>0</v>
      </c>
      <c r="CD104" s="138" t="n">
        <f aca="false">CD102+CD103</f>
        <v>0</v>
      </c>
      <c r="CE104" s="138" t="n">
        <f aca="false">CE102+CE103</f>
        <v>0</v>
      </c>
      <c r="CF104" s="138" t="n">
        <f aca="false">CF102+CF103</f>
        <v>0</v>
      </c>
      <c r="CG104" s="138" t="n">
        <f aca="false">CG102+CG103</f>
        <v>0</v>
      </c>
      <c r="CH104" s="138" t="n">
        <f aca="false">CH102+CH103</f>
        <v>0</v>
      </c>
    </row>
    <row r="105" customFormat="false" ht="13.5" hidden="false" customHeight="true" outlineLevel="0" collapsed="false"/>
    <row r="106" customFormat="false" ht="13.5" hidden="false" customHeight="true" outlineLevel="0" collapsed="false">
      <c r="A106" s="64" t="s">
        <v>780</v>
      </c>
      <c r="C106" s="99" t="n">
        <f aca="false">C93+C99+C104</f>
        <v>333.333333333333</v>
      </c>
      <c r="D106" s="99" t="n">
        <f aca="false">D93+D99+D104</f>
        <v>333.333333333333</v>
      </c>
      <c r="E106" s="99" t="n">
        <f aca="false">E93+E99+E104</f>
        <v>333.333333333333</v>
      </c>
      <c r="F106" s="99" t="n">
        <f aca="false">F93+F99+F104</f>
        <v>333.333333333333</v>
      </c>
      <c r="G106" s="99" t="n">
        <f aca="false">G93+G99+G104</f>
        <v>333.333333333333</v>
      </c>
      <c r="H106" s="99" t="n">
        <f aca="false">H93+H99+H104</f>
        <v>343.111703029026</v>
      </c>
      <c r="I106" s="99" t="n">
        <f aca="false">I93+I99+I104</f>
        <v>404.669258129</v>
      </c>
      <c r="J106" s="99" t="n">
        <f aca="false">J93+J99+J104</f>
        <v>489.512155180852</v>
      </c>
      <c r="K106" s="99" t="n">
        <f aca="false">K93+K99+K104</f>
        <v>586.439380483493</v>
      </c>
      <c r="L106" s="99" t="n">
        <f aca="false">L93+L99+L104</f>
        <v>683.366605786135</v>
      </c>
      <c r="M106" s="99" t="n">
        <f aca="false">M93+M99+M104</f>
        <v>760.948186010432</v>
      </c>
      <c r="N106" s="99" t="n">
        <f aca="false">N93+N99+N104</f>
        <v>852.758447995062</v>
      </c>
      <c r="O106" s="99" t="n">
        <f aca="false">O93+O99+O104</f>
        <v>840.024709979691</v>
      </c>
      <c r="P106" s="99" t="n">
        <f aca="false">P93+P99+P104</f>
        <v>926.339230333224</v>
      </c>
      <c r="Q106" s="99" t="n">
        <f aca="false">Q93+Q99+Q104</f>
        <v>1012.65375068676</v>
      </c>
      <c r="R106" s="99" t="n">
        <f aca="false">R93+R99+R104</f>
        <v>1098.96827104029</v>
      </c>
      <c r="S106" s="99" t="n">
        <f aca="false">S93+S99+S104</f>
        <v>731.440336325204</v>
      </c>
      <c r="T106" s="99" t="n">
        <f aca="false">T93+T99+T104</f>
        <v>1271.59731174736</v>
      </c>
      <c r="U106" s="99" t="n">
        <f aca="false">U93+U99+U104</f>
        <v>1294.79407199068</v>
      </c>
      <c r="V106" s="99" t="n">
        <f aca="false">V93+V99+V104</f>
        <v>1304.12265004137</v>
      </c>
      <c r="W106" s="99" t="n">
        <f aca="false">W93+W99+W104</f>
        <v>1367.83522809206</v>
      </c>
      <c r="X106" s="99" t="n">
        <f aca="false">X93+X99+X104</f>
        <v>1417.31912438242</v>
      </c>
      <c r="Y106" s="99" t="n">
        <f aca="false">Y93+Y99+Y104</f>
        <v>1466.80302067278</v>
      </c>
      <c r="Z106" s="99" t="n">
        <f aca="false">Z93+Z99+Z104</f>
        <v>1511.112224259</v>
      </c>
      <c r="AA106" s="99" t="n">
        <f aca="false">AA93+AA99+AA104</f>
        <v>3177.8382625119</v>
      </c>
      <c r="AB106" s="99" t="n">
        <f aca="false">AB93+AB99+AB104</f>
        <v>3216.59191054257</v>
      </c>
      <c r="AC106" s="99" t="n">
        <f aca="false">AC93+AC99+AC104</f>
        <v>3255.34555857324</v>
      </c>
      <c r="AD106" s="99" t="n">
        <f aca="false">AD93+AD99+AD104</f>
        <v>3294.09920660391</v>
      </c>
      <c r="AE106" s="99" t="n">
        <f aca="false">AE93+AE99+AE104</f>
        <v>2853.25496103251</v>
      </c>
      <c r="AF106" s="99" t="n">
        <f aca="false">AF93+AF99+AF104</f>
        <v>3371.60650266525</v>
      </c>
      <c r="AG106" s="99" t="n">
        <f aca="false">AG93+AG99+AG104</f>
        <v>3410.36015069592</v>
      </c>
      <c r="AH106" s="99" t="n">
        <f aca="false">AH93+AH99+AH104</f>
        <v>3401.5006067266</v>
      </c>
      <c r="AI106" s="99" t="n">
        <f aca="false">AI93+AI99+AI104</f>
        <v>3440.25425475727</v>
      </c>
      <c r="AJ106" s="99" t="n">
        <f aca="false">AJ93+AJ99+AJ104</f>
        <v>3479.00790278794</v>
      </c>
      <c r="AK106" s="99" t="n">
        <f aca="false">AK93+AK99+AK104</f>
        <v>3517.76155081861</v>
      </c>
      <c r="AL106" s="99" t="n">
        <f aca="false">AL93+AL99+AL104</f>
        <v>3556.51519884928</v>
      </c>
      <c r="AM106" s="99" t="n">
        <f aca="false">AM93+AM99+AM104</f>
        <v>3549.45112415995</v>
      </c>
      <c r="AN106" s="99" t="n">
        <f aca="false">AN93+AN99+AN104</f>
        <v>3588.20477219062</v>
      </c>
      <c r="AO106" s="99" t="n">
        <f aca="false">AO93+AO99+AO104</f>
        <v>3626.95842022129</v>
      </c>
      <c r="AP106" s="99" t="n">
        <f aca="false">AP93+AP99+AP104</f>
        <v>3665.71206825196</v>
      </c>
      <c r="AQ106" s="99" t="n">
        <f aca="false">AQ93+AQ99+AQ104</f>
        <v>3224.86782268057</v>
      </c>
      <c r="AR106" s="99" t="n">
        <f aca="false">AR93+AR99+AR104</f>
        <v>3743.21936431331</v>
      </c>
      <c r="AS106" s="99" t="n">
        <f aca="false">AS93+AS99+AS104</f>
        <v>3737.66380875775</v>
      </c>
      <c r="AT106" s="99" t="n">
        <f aca="false">AT93+AT99+AT104</f>
        <v>3732.1082532022</v>
      </c>
      <c r="AU106" s="99" t="n">
        <f aca="false">AU93+AU99+AU104</f>
        <v>3726.55269764664</v>
      </c>
      <c r="AV106" s="99" t="n">
        <f aca="false">AV93+AV99+AV104</f>
        <v>3720.99714209108</v>
      </c>
      <c r="AW106" s="99" t="n">
        <f aca="false">AW93+AW99+AW104</f>
        <v>3715.44158653553</v>
      </c>
      <c r="AX106" s="99" t="n">
        <f aca="false">AX93+AX99+AX104</f>
        <v>3709.88603097997</v>
      </c>
      <c r="AY106" s="99" t="n">
        <f aca="false">AY93+AY99+AY104</f>
        <v>3658.32622102282</v>
      </c>
      <c r="AZ106" s="99" t="n">
        <f aca="false">AZ93+AZ99+AZ104</f>
        <v>3652.77066546726</v>
      </c>
      <c r="BA106" s="99" t="n">
        <f aca="false">BA93+BA99+BA104</f>
        <v>3647.21510991171</v>
      </c>
      <c r="BB106" s="99" t="n">
        <f aca="false">BB93+BB99+BB104</f>
        <v>3641.65955435615</v>
      </c>
      <c r="BC106" s="99" t="n">
        <f aca="false">BC93+BC99+BC104</f>
        <v>3156.50610519853</v>
      </c>
      <c r="BD106" s="99" t="n">
        <f aca="false">BD93+BD99+BD104</f>
        <v>3630.54844324504</v>
      </c>
      <c r="BE106" s="99" t="n">
        <f aca="false">BE93+BE99+BE104</f>
        <v>3624.99288768948</v>
      </c>
      <c r="BF106" s="99" t="n">
        <f aca="false">BF93+BF99+BF104</f>
        <v>3619.43733213393</v>
      </c>
      <c r="BG106" s="99" t="n">
        <f aca="false">BG93+BG99+BG104</f>
        <v>3613.88177657837</v>
      </c>
      <c r="BH106" s="99" t="n">
        <f aca="false">BH93+BH99+BH104</f>
        <v>3608.32622102282</v>
      </c>
      <c r="BI106" s="99" t="n">
        <f aca="false">BI93+BI99+BI104</f>
        <v>3602.77066546726</v>
      </c>
      <c r="BJ106" s="99" t="n">
        <f aca="false">BJ93+BJ99+BJ104</f>
        <v>3597.21510991171</v>
      </c>
      <c r="BK106" s="99" t="n">
        <f aca="false">BK93+BK99+BK104</f>
        <v>3545.4631723225</v>
      </c>
      <c r="BL106" s="99" t="n">
        <f aca="false">BL93+BL99+BL104</f>
        <v>3539.90761676695</v>
      </c>
      <c r="BM106" s="99" t="n">
        <f aca="false">BM93+BM99+BM104</f>
        <v>3534.35206121139</v>
      </c>
      <c r="BN106" s="99" t="n">
        <f aca="false">BN93+BN99+BN104</f>
        <v>3528.79650565584</v>
      </c>
      <c r="BO106" s="99" t="n">
        <f aca="false">BO93+BO99+BO104</f>
        <v>3043.64305649821</v>
      </c>
      <c r="BP106" s="99" t="n">
        <f aca="false">BP93+BP99+BP104</f>
        <v>3517.68539454473</v>
      </c>
      <c r="BQ106" s="99" t="n">
        <f aca="false">BQ93+BQ99+BQ104</f>
        <v>3512.12983898917</v>
      </c>
      <c r="BR106" s="99" t="n">
        <f aca="false">BR93+BR99+BR104</f>
        <v>3506.57428343361</v>
      </c>
      <c r="BS106" s="99" t="n">
        <f aca="false">BS93+BS99+BS104</f>
        <v>3501.01872787806</v>
      </c>
      <c r="BT106" s="99" t="n">
        <f aca="false">BT93+BT99+BT104</f>
        <v>3495.4631723225</v>
      </c>
      <c r="BU106" s="99" t="n">
        <f aca="false">BU93+BU99+BU104</f>
        <v>3489.90761676695</v>
      </c>
      <c r="BV106" s="99" t="n">
        <f aca="false">BV93+BV99+BV104</f>
        <v>3484.35206121139</v>
      </c>
      <c r="BW106" s="99" t="n">
        <f aca="false">BW93+BW99+BW104</f>
        <v>3432.40223216118</v>
      </c>
      <c r="BX106" s="99" t="n">
        <f aca="false">BX93+BX99+BX104</f>
        <v>3426.84667660562</v>
      </c>
      <c r="BY106" s="99" t="n">
        <f aca="false">BY93+BY99+BY104</f>
        <v>3421.29112105007</v>
      </c>
      <c r="BZ106" s="99" t="n">
        <f aca="false">BZ93+BZ99+BZ104</f>
        <v>3415.73556549451</v>
      </c>
      <c r="CA106" s="99" t="n">
        <f aca="false">CA93+CA99+CA104</f>
        <v>2930.58211633689</v>
      </c>
      <c r="CB106" s="99" t="n">
        <f aca="false">CB93+CB99+CB104</f>
        <v>3404.6244543834</v>
      </c>
      <c r="CC106" s="99" t="n">
        <f aca="false">CC93+CC99+CC104</f>
        <v>3399.06889882785</v>
      </c>
      <c r="CD106" s="99" t="n">
        <f aca="false">CD93+CD99+CD104</f>
        <v>3393.51334327229</v>
      </c>
      <c r="CE106" s="99" t="n">
        <f aca="false">CE93+CE99+CE104</f>
        <v>3387.95778771673</v>
      </c>
      <c r="CF106" s="99" t="n">
        <f aca="false">CF93+CF99+CF104</f>
        <v>3382.40223216118</v>
      </c>
      <c r="CG106" s="99" t="n">
        <f aca="false">CG93+CG99+CG104</f>
        <v>3376.84667660562</v>
      </c>
      <c r="CH106" s="99" t="n">
        <f aca="false">CH93+CH99+CH104</f>
        <v>3371.29112105001</v>
      </c>
    </row>
    <row r="107" customFormat="false" ht="13.5" hidden="false" customHeight="true" outlineLevel="0" collapsed="false">
      <c r="A107" s="13" t="s">
        <v>781</v>
      </c>
      <c r="C107" s="138" t="n">
        <f aca="false">C106</f>
        <v>333.333333333333</v>
      </c>
      <c r="D107" s="138" t="n">
        <f aca="false">C107+D106</f>
        <v>666.666666666667</v>
      </c>
      <c r="E107" s="138" t="n">
        <f aca="false">D107+E106</f>
        <v>1000</v>
      </c>
      <c r="F107" s="138" t="n">
        <f aca="false">E107+F106</f>
        <v>1333.33333333333</v>
      </c>
      <c r="G107" s="138" t="n">
        <f aca="false">F107+G106</f>
        <v>1666.66666666667</v>
      </c>
      <c r="H107" s="138" t="n">
        <f aca="false">G107+H106</f>
        <v>2009.77836969569</v>
      </c>
      <c r="I107" s="138" t="n">
        <f aca="false">H107+I106</f>
        <v>2414.44762782469</v>
      </c>
      <c r="J107" s="138" t="n">
        <f aca="false">I107+J106</f>
        <v>2903.95978300554</v>
      </c>
      <c r="K107" s="138" t="n">
        <f aca="false">J107+K106</f>
        <v>3490.39916348904</v>
      </c>
      <c r="L107" s="138" t="n">
        <f aca="false">K107+L106</f>
        <v>4173.76576927517</v>
      </c>
      <c r="M107" s="138" t="n">
        <f aca="false">L107+M106</f>
        <v>4934.71395528561</v>
      </c>
      <c r="N107" s="138" t="n">
        <f aca="false">M107+N106</f>
        <v>5787.47240328067</v>
      </c>
      <c r="O107" s="138" t="n">
        <f aca="false">N107+O106</f>
        <v>6627.49711326036</v>
      </c>
      <c r="P107" s="138" t="n">
        <f aca="false">O107+P106</f>
        <v>7553.83634359358</v>
      </c>
      <c r="Q107" s="138" t="n">
        <f aca="false">P107+Q106</f>
        <v>8566.49009428034</v>
      </c>
      <c r="R107" s="138" t="n">
        <f aca="false">Q107+R106</f>
        <v>9665.45836532063</v>
      </c>
      <c r="S107" s="138" t="n">
        <f aca="false">R107+S106</f>
        <v>10396.8987016458</v>
      </c>
      <c r="T107" s="138" t="n">
        <f aca="false">S107+T106</f>
        <v>11668.4960133932</v>
      </c>
      <c r="U107" s="138" t="n">
        <f aca="false">T107+U106</f>
        <v>12963.2900853839</v>
      </c>
      <c r="V107" s="138" t="n">
        <f aca="false">U107+V106</f>
        <v>14267.4127354252</v>
      </c>
      <c r="W107" s="138" t="n">
        <f aca="false">V107+W106</f>
        <v>15635.2479635173</v>
      </c>
      <c r="X107" s="138" t="n">
        <f aca="false">W107+X106</f>
        <v>17052.5670878997</v>
      </c>
      <c r="Y107" s="138" t="n">
        <f aca="false">X107+Y106</f>
        <v>18519.3701085725</v>
      </c>
      <c r="Z107" s="138" t="n">
        <f aca="false">Y107+Z106</f>
        <v>20030.4823328315</v>
      </c>
      <c r="AA107" s="138" t="n">
        <f aca="false">Z107+AA106</f>
        <v>23208.3205953434</v>
      </c>
      <c r="AB107" s="138" t="n">
        <f aca="false">AA107+AB106</f>
        <v>26424.912505886</v>
      </c>
      <c r="AC107" s="138" t="n">
        <f aca="false">AB107+AC106</f>
        <v>29680.2580644592</v>
      </c>
      <c r="AD107" s="138" t="n">
        <f aca="false">AC107+AD106</f>
        <v>32974.3572710631</v>
      </c>
      <c r="AE107" s="138" t="n">
        <f aca="false">AD107+AE106</f>
        <v>35827.6122320956</v>
      </c>
      <c r="AF107" s="138" t="n">
        <f aca="false">AE107+AF106</f>
        <v>39199.2187347609</v>
      </c>
      <c r="AG107" s="138" t="n">
        <f aca="false">AF107+AG106</f>
        <v>42609.5788854568</v>
      </c>
      <c r="AH107" s="138" t="n">
        <f aca="false">AG107+AH106</f>
        <v>46011.0794921834</v>
      </c>
      <c r="AI107" s="138" t="n">
        <f aca="false">AH107+AI106</f>
        <v>49451.3337469406</v>
      </c>
      <c r="AJ107" s="138" t="n">
        <f aca="false">AI107+AJ106</f>
        <v>52930.3416497286</v>
      </c>
      <c r="AK107" s="138" t="n">
        <f aca="false">AJ107+AK106</f>
        <v>56448.1032005472</v>
      </c>
      <c r="AL107" s="138" t="n">
        <f aca="false">AK107+AL106</f>
        <v>60004.6183993965</v>
      </c>
      <c r="AM107" s="138" t="n">
        <f aca="false">AL107+AM106</f>
        <v>63554.0695235564</v>
      </c>
      <c r="AN107" s="138" t="n">
        <f aca="false">AM107+AN106</f>
        <v>67142.2742957471</v>
      </c>
      <c r="AO107" s="138" t="n">
        <f aca="false">AN107+AO106</f>
        <v>70769.2327159683</v>
      </c>
      <c r="AP107" s="138" t="n">
        <f aca="false">AO107+AP106</f>
        <v>74434.9447842203</v>
      </c>
      <c r="AQ107" s="138" t="n">
        <f aca="false">AP107+AQ106</f>
        <v>77659.8126069009</v>
      </c>
      <c r="AR107" s="138" t="n">
        <f aca="false">AQ107+AR106</f>
        <v>81403.0319712142</v>
      </c>
      <c r="AS107" s="138" t="n">
        <f aca="false">AR107+AS106</f>
        <v>85140.6957799719</v>
      </c>
      <c r="AT107" s="138" t="n">
        <f aca="false">AS107+AT106</f>
        <v>88872.8040331741</v>
      </c>
      <c r="AU107" s="138" t="n">
        <f aca="false">AT107+AU106</f>
        <v>92599.3567308207</v>
      </c>
      <c r="AV107" s="138" t="n">
        <f aca="false">AU107+AV106</f>
        <v>96320.3538729118</v>
      </c>
      <c r="AW107" s="138" t="n">
        <f aca="false">AV107+AW106</f>
        <v>100035.795459447</v>
      </c>
      <c r="AX107" s="138" t="n">
        <f aca="false">AW107+AX106</f>
        <v>103745.681490427</v>
      </c>
      <c r="AY107" s="138" t="n">
        <f aca="false">AX107+AY106</f>
        <v>107404.00771145</v>
      </c>
      <c r="AZ107" s="138" t="n">
        <f aca="false">AY107+AZ106</f>
        <v>111056.778376917</v>
      </c>
      <c r="BA107" s="138" t="n">
        <f aca="false">AZ107+BA106</f>
        <v>114703.993486829</v>
      </c>
      <c r="BB107" s="138" t="n">
        <f aca="false">BA107+BB106</f>
        <v>118345.653041185</v>
      </c>
      <c r="BC107" s="138" t="n">
        <f aca="false">BB107+BC106</f>
        <v>121502.159146384</v>
      </c>
      <c r="BD107" s="138" t="n">
        <f aca="false">BC107+BD106</f>
        <v>125132.707589629</v>
      </c>
      <c r="BE107" s="138" t="n">
        <f aca="false">BD107+BE106</f>
        <v>128757.700477318</v>
      </c>
      <c r="BF107" s="138" t="n">
        <f aca="false">BE107+BF106</f>
        <v>132377.137809452</v>
      </c>
      <c r="BG107" s="138" t="n">
        <f aca="false">BF107+BG106</f>
        <v>135991.019586031</v>
      </c>
      <c r="BH107" s="138" t="n">
        <f aca="false">BG107+BH106</f>
        <v>139599.345807053</v>
      </c>
      <c r="BI107" s="138" t="n">
        <f aca="false">BH107+BI106</f>
        <v>143202.116472521</v>
      </c>
      <c r="BJ107" s="138" t="n">
        <f aca="false">BI107+BJ106</f>
        <v>146799.331582432</v>
      </c>
      <c r="BK107" s="138" t="n">
        <f aca="false">BJ107+BK106</f>
        <v>150344.794754755</v>
      </c>
      <c r="BL107" s="138" t="n">
        <f aca="false">BK107+BL106</f>
        <v>153884.702371522</v>
      </c>
      <c r="BM107" s="138" t="n">
        <f aca="false">BL107+BM106</f>
        <v>157419.054432733</v>
      </c>
      <c r="BN107" s="138" t="n">
        <f aca="false">BM107+BN106</f>
        <v>160947.850938389</v>
      </c>
      <c r="BO107" s="138" t="n">
        <f aca="false">BN107+BO106</f>
        <v>163991.493994887</v>
      </c>
      <c r="BP107" s="138" t="n">
        <f aca="false">BO107+BP106</f>
        <v>167509.179389432</v>
      </c>
      <c r="BQ107" s="138" t="n">
        <f aca="false">BP107+BQ106</f>
        <v>171021.309228421</v>
      </c>
      <c r="BR107" s="138" t="n">
        <f aca="false">BQ107+BR106</f>
        <v>174527.883511855</v>
      </c>
      <c r="BS107" s="138" t="n">
        <f aca="false">BR107+BS106</f>
        <v>178028.902239733</v>
      </c>
      <c r="BT107" s="138" t="n">
        <f aca="false">BS107+BT106</f>
        <v>181524.365412055</v>
      </c>
      <c r="BU107" s="138" t="n">
        <f aca="false">BT107+BU106</f>
        <v>185014.273028822</v>
      </c>
      <c r="BV107" s="138" t="n">
        <f aca="false">BU107+BV106</f>
        <v>188498.625090034</v>
      </c>
      <c r="BW107" s="138" t="n">
        <f aca="false">BV107+BW106</f>
        <v>191931.027322195</v>
      </c>
      <c r="BX107" s="138" t="n">
        <f aca="false">BW107+BX106</f>
        <v>195357.873998801</v>
      </c>
      <c r="BY107" s="138" t="n">
        <f aca="false">BX107+BY106</f>
        <v>198779.165119851</v>
      </c>
      <c r="BZ107" s="138" t="n">
        <f aca="false">BY107+BZ106</f>
        <v>202194.900685345</v>
      </c>
      <c r="CA107" s="138" t="n">
        <f aca="false">BZ107+CA106</f>
        <v>205125.482801682</v>
      </c>
      <c r="CB107" s="138" t="n">
        <f aca="false">CA107+CB106</f>
        <v>208530.107256065</v>
      </c>
      <c r="CC107" s="138" t="n">
        <f aca="false">CB107+CC106</f>
        <v>211929.176154893</v>
      </c>
      <c r="CD107" s="138" t="n">
        <f aca="false">CC107+CD106</f>
        <v>215322.689498166</v>
      </c>
      <c r="CE107" s="138" t="n">
        <f aca="false">CD107+CE106</f>
        <v>218710.647285882</v>
      </c>
      <c r="CF107" s="138" t="n">
        <f aca="false">CE107+CF106</f>
        <v>222093.049518043</v>
      </c>
      <c r="CG107" s="138" t="n">
        <f aca="false">CF107+CG106</f>
        <v>225469.896194649</v>
      </c>
      <c r="CH107" s="138" t="n">
        <f aca="false">CG107+CH106</f>
        <v>228841.187315699</v>
      </c>
    </row>
    <row r="108" customFormat="false" ht="13.5" hidden="false" customHeight="true" outlineLevel="0" collapsed="false"/>
    <row r="109" customFormat="false" ht="12.75" hidden="false" customHeight="true" outlineLevel="0" collapsed="false">
      <c r="A109" s="10" t="s">
        <v>782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</row>
    <row r="110" customFormat="false" ht="13.5" hidden="false" customHeight="true" outlineLevel="0" collapsed="false">
      <c r="A110" s="13" t="s">
        <v>783</v>
      </c>
      <c r="C110" s="138" t="n">
        <f aca="false">C63</f>
        <v>-16050.050688402</v>
      </c>
      <c r="D110" s="138" t="n">
        <f aca="false">C113+D63</f>
        <v>-29507.4629961568</v>
      </c>
      <c r="E110" s="138" t="n">
        <f aca="false">D113+E63</f>
        <v>-39408.6723900503</v>
      </c>
      <c r="F110" s="138" t="n">
        <f aca="false">E113+F63</f>
        <v>-46625.6137604861</v>
      </c>
      <c r="G110" s="138" t="n">
        <f aca="false">F113+G63</f>
        <v>-58288.8316892448</v>
      </c>
      <c r="H110" s="138" t="n">
        <f aca="false">G113+H63</f>
        <v>-59739.3603140739</v>
      </c>
      <c r="I110" s="138" t="n">
        <f aca="false">H113+I63</f>
        <v>-58413.4849960657</v>
      </c>
      <c r="J110" s="138" t="n">
        <f aca="false">I113+J63</f>
        <v>-53591.2009491867</v>
      </c>
      <c r="K110" s="138" t="n">
        <f aca="false">J113+K63</f>
        <v>-44753.4262714914</v>
      </c>
      <c r="L110" s="138" t="n">
        <f aca="false">K113+L63</f>
        <v>-31880.1683347416</v>
      </c>
      <c r="M110" s="138" t="n">
        <f aca="false">L113+M63</f>
        <v>-15753.6158164388</v>
      </c>
      <c r="N110" s="138" t="n">
        <f aca="false">M113+N63</f>
        <v>4186.86112717434</v>
      </c>
      <c r="O110" s="138" t="n">
        <f aca="false">N113+O63</f>
        <v>23586.7690789891</v>
      </c>
      <c r="P110" s="138" t="n">
        <f aca="false">O113+P63</f>
        <v>46572.3945704609</v>
      </c>
      <c r="Q110" s="138" t="n">
        <f aca="false">P113+Q63</f>
        <v>73143.7376015899</v>
      </c>
      <c r="R110" s="138" t="n">
        <f aca="false">Q113+R63</f>
        <v>103300.798172376</v>
      </c>
      <c r="S110" s="138" t="n">
        <f aca="false">R113+S63</f>
        <v>118141.038029211</v>
      </c>
      <c r="T110" s="138" t="n">
        <f aca="false">S113+T63</f>
        <v>155469.533679311</v>
      </c>
      <c r="U110" s="138" t="n">
        <f aca="false">T113+U63</f>
        <v>193753.614929675</v>
      </c>
      <c r="V110" s="138" t="n">
        <f aca="false">U113+V63</f>
        <v>232415.671991979</v>
      </c>
      <c r="W110" s="138" t="n">
        <f aca="false">V113+W63</f>
        <v>273720.798466224</v>
      </c>
      <c r="X110" s="138" t="n">
        <f aca="false">W113+X63</f>
        <v>317078.943563732</v>
      </c>
      <c r="Y110" s="138" t="n">
        <f aca="false">X113+Y63</f>
        <v>362490.107284503</v>
      </c>
      <c r="Z110" s="138" t="n">
        <f aca="false">Y113+Z63</f>
        <v>409739.724565223</v>
      </c>
      <c r="AA110" s="138" t="n">
        <f aca="false">Z113+AA63</f>
        <v>456984.789903092</v>
      </c>
      <c r="AB110" s="138" t="n">
        <f aca="false">AA113+AB63</f>
        <v>506073.031023131</v>
      </c>
      <c r="AC110" s="138" t="n">
        <f aca="false">AB113+AC63</f>
        <v>557004.447925342</v>
      </c>
      <c r="AD110" s="138" t="n">
        <f aca="false">AC113+AD63</f>
        <v>609779.040609723</v>
      </c>
      <c r="AE110" s="138" t="n">
        <f aca="false">AD113+AE63</f>
        <v>644421.556807749</v>
      </c>
      <c r="AF110" s="138" t="n">
        <f aca="false">AE113+AF63</f>
        <v>700882.501056472</v>
      </c>
      <c r="AG110" s="138" t="n">
        <f aca="false">AF113+AG63</f>
        <v>759186.621087367</v>
      </c>
      <c r="AH110" s="138" t="n">
        <f aca="false">AG113+AH63</f>
        <v>817350.827453632</v>
      </c>
      <c r="AI110" s="138" t="n">
        <f aca="false">AH113+AI63</f>
        <v>877358.209602068</v>
      </c>
      <c r="AJ110" s="138" t="n">
        <f aca="false">AI113+AJ63</f>
        <v>939208.767532674</v>
      </c>
      <c r="AK110" s="138" t="n">
        <f aca="false">AJ113+AK63</f>
        <v>1002902.50124545</v>
      </c>
      <c r="AL110" s="138" t="n">
        <f aca="false">AK113+AL63</f>
        <v>1068439.4107404</v>
      </c>
      <c r="AM110" s="138" t="n">
        <f aca="false">AL113+AM63</f>
        <v>1126208.62585143</v>
      </c>
      <c r="AN110" s="138" t="n">
        <f aca="false">AM113+AN63</f>
        <v>1185604.17253496</v>
      </c>
      <c r="AO110" s="138" t="n">
        <f aca="false">AN113+AO63</f>
        <v>1246626.050791</v>
      </c>
      <c r="AP110" s="138" t="n">
        <f aca="false">AO113+AP63</f>
        <v>1309274.26061953</v>
      </c>
      <c r="AQ110" s="138" t="n">
        <f aca="false">AP113+AQ63</f>
        <v>1355923.5794307</v>
      </c>
      <c r="AR110" s="138" t="n">
        <f aca="false">AQ113+AR63</f>
        <v>1421824.45240425</v>
      </c>
      <c r="AS110" s="138" t="n">
        <f aca="false">AR113+AS63</f>
        <v>1487729.49204446</v>
      </c>
      <c r="AT110" s="138" t="n">
        <f aca="false">AS113+AT63</f>
        <v>1553638.69835134</v>
      </c>
      <c r="AU110" s="138" t="n">
        <f aca="false">AT113+AU63</f>
        <v>1619552.07132489</v>
      </c>
      <c r="AV110" s="138" t="n">
        <f aca="false">AU113+AV63</f>
        <v>1685469.6109651</v>
      </c>
      <c r="AW110" s="138" t="n">
        <f aca="false">AV113+AW63</f>
        <v>1751391.31727198</v>
      </c>
      <c r="AX110" s="138" t="n">
        <f aca="false">AW113+AX63</f>
        <v>1817317.19024553</v>
      </c>
      <c r="AY110" s="138" t="n">
        <f aca="false">AX113+AY63</f>
        <v>1881556.57353648</v>
      </c>
      <c r="AZ110" s="138" t="n">
        <f aca="false">AY113+AZ63</f>
        <v>1945800.1234941</v>
      </c>
      <c r="BA110" s="138" t="n">
        <f aca="false">AZ113+BA63</f>
        <v>2010047.84011839</v>
      </c>
      <c r="BB110" s="138" t="n">
        <f aca="false">BA113+BB63</f>
        <v>2074299.72340935</v>
      </c>
      <c r="BC110" s="138" t="n">
        <f aca="false">BB113+BC63</f>
        <v>2120930.55077709</v>
      </c>
      <c r="BD110" s="138" t="n">
        <f aca="false">BC113+BD63</f>
        <v>2185190.76740138</v>
      </c>
      <c r="BE110" s="138" t="n">
        <f aca="false">BD113+BE63</f>
        <v>2249455.15069233</v>
      </c>
      <c r="BF110" s="138" t="n">
        <f aca="false">BE113+BF63</f>
        <v>2313723.70064995</v>
      </c>
      <c r="BG110" s="138" t="n">
        <f aca="false">BF113+BG63</f>
        <v>2377996.41727424</v>
      </c>
      <c r="BH110" s="138" t="n">
        <f aca="false">BG113+BH63</f>
        <v>2442273.3005652</v>
      </c>
      <c r="BI110" s="138" t="n">
        <f aca="false">BH113+BI63</f>
        <v>2506554.35052282</v>
      </c>
      <c r="BJ110" s="138" t="n">
        <f aca="false">BI113+BJ63</f>
        <v>2570839.56714711</v>
      </c>
      <c r="BK110" s="138" t="n">
        <f aca="false">BJ113+BK63</f>
        <v>2633431.23339832</v>
      </c>
      <c r="BL110" s="138" t="n">
        <f aca="false">BK113+BL63</f>
        <v>2696027.06631621</v>
      </c>
      <c r="BM110" s="138" t="n">
        <f aca="false">BL113+BM63</f>
        <v>2758627.06590076</v>
      </c>
      <c r="BN110" s="138" t="n">
        <f aca="false">BM113+BN63</f>
        <v>2821231.23215198</v>
      </c>
      <c r="BO110" s="138" t="n">
        <f aca="false">BN113+BO63</f>
        <v>2866214.34247999</v>
      </c>
      <c r="BP110" s="138" t="n">
        <f aca="false">BO113+BP63</f>
        <v>2928826.84206454</v>
      </c>
      <c r="BQ110" s="138" t="n">
        <f aca="false">BP113+BQ63</f>
        <v>2991443.50831575</v>
      </c>
      <c r="BR110" s="138" t="n">
        <f aca="false">BQ113+BR63</f>
        <v>3054064.34123364</v>
      </c>
      <c r="BS110" s="138" t="n">
        <f aca="false">BR113+BS63</f>
        <v>3116689.34081819</v>
      </c>
      <c r="BT110" s="138" t="n">
        <f aca="false">BS113+BT63</f>
        <v>3179318.50706941</v>
      </c>
      <c r="BU110" s="138" t="n">
        <f aca="false">BT113+BU63</f>
        <v>3241951.83998729</v>
      </c>
      <c r="BV110" s="138" t="n">
        <f aca="false">BU113+BV63</f>
        <v>3304589.33957184</v>
      </c>
      <c r="BW110" s="138" t="n">
        <f aca="false">BV113+BW63</f>
        <v>3365526.01627213</v>
      </c>
      <c r="BX110" s="138" t="n">
        <f aca="false">BW113+BX63</f>
        <v>3426466.85963909</v>
      </c>
      <c r="BY110" s="138" t="n">
        <f aca="false">BX113+BY63</f>
        <v>3487411.86967271</v>
      </c>
      <c r="BZ110" s="138" t="n">
        <f aca="false">BY113+BZ63</f>
        <v>3548361.046373</v>
      </c>
      <c r="CA110" s="138" t="n">
        <f aca="false">BZ113+CA63</f>
        <v>3591689.16715008</v>
      </c>
      <c r="CB110" s="138" t="n">
        <f aca="false">CA113+CB63</f>
        <v>3652646.6771837</v>
      </c>
      <c r="CC110" s="138" t="n">
        <f aca="false">CB113+CC63</f>
        <v>3713608.35388399</v>
      </c>
      <c r="CD110" s="138" t="n">
        <f aca="false">CC113+CD63</f>
        <v>3774574.19725095</v>
      </c>
      <c r="CE110" s="138" t="n">
        <f aca="false">CD113+CE63</f>
        <v>3835544.20728457</v>
      </c>
      <c r="CF110" s="138" t="n">
        <f aca="false">CE113+CF63</f>
        <v>3896518.38398486</v>
      </c>
      <c r="CG110" s="138" t="n">
        <f aca="false">CF113+CG63</f>
        <v>3957496.72735182</v>
      </c>
      <c r="CH110" s="138" t="n">
        <f aca="false">CG113+CH63</f>
        <v>4018479.23738544</v>
      </c>
    </row>
    <row r="111" customFormat="false" ht="13.5" hidden="false" customHeight="true" outlineLevel="0" collapsed="false">
      <c r="A111" s="13" t="s">
        <v>784</v>
      </c>
      <c r="C111" s="138" t="n">
        <f aca="false">MIN(0.2*Hipótesis!$D$81,MAX(0,C110)*0.1)</f>
        <v>0</v>
      </c>
      <c r="D111" s="138" t="n">
        <f aca="false">MIN(0.2*Hipótesis!$D$81,MAX(0,D110)*0.1)</f>
        <v>0</v>
      </c>
      <c r="E111" s="138" t="n">
        <f aca="false">MIN(0.2*Hipótesis!$D$81,MAX(0,E110)*0.1)</f>
        <v>0</v>
      </c>
      <c r="F111" s="138" t="n">
        <f aca="false">MIN(0.2*Hipótesis!$D$81,MAX(0,F110)*0.1)</f>
        <v>0</v>
      </c>
      <c r="G111" s="138" t="n">
        <f aca="false">MIN(0.2*Hipótesis!$D$81,MAX(0,G110)*0.1)</f>
        <v>0</v>
      </c>
      <c r="H111" s="138" t="n">
        <f aca="false">MIN(0.2*Hipótesis!$D$81,MAX(0,H110)*0.1)</f>
        <v>0</v>
      </c>
      <c r="I111" s="138" t="n">
        <f aca="false">MIN(0.2*Hipótesis!$D$81,MAX(0,I110)*0.1)</f>
        <v>0</v>
      </c>
      <c r="J111" s="138" t="n">
        <f aca="false">MIN(0.2*Hipótesis!$D$81,MAX(0,J110)*0.1)</f>
        <v>0</v>
      </c>
      <c r="K111" s="138" t="n">
        <f aca="false">MIN(0.2*Hipótesis!$D$81,MAX(0,K110)*0.1)</f>
        <v>0</v>
      </c>
      <c r="L111" s="138" t="n">
        <f aca="false">MIN(0.2*Hipótesis!$D$81,MAX(0,L110)*0.1)</f>
        <v>0</v>
      </c>
      <c r="M111" s="138" t="n">
        <f aca="false">MIN(0.2*Hipótesis!$D$81,MAX(0,M110)*0.1)</f>
        <v>0</v>
      </c>
      <c r="N111" s="138" t="n">
        <f aca="false">MIN(0.2*Hipótesis!$D$81,MAX(0,N110)*0.1)</f>
        <v>418.686112717434</v>
      </c>
      <c r="O111" s="138" t="n">
        <f aca="false">MIN(0.2*Hipótesis!$D$81,MAX(0,O110)*0.1)</f>
        <v>2358.67690789891</v>
      </c>
      <c r="P111" s="138" t="n">
        <f aca="false">MIN(0.2*Hipótesis!$D$81,MAX(0,P110)*0.1)</f>
        <v>4657.23945704609</v>
      </c>
      <c r="Q111" s="138" t="n">
        <f aca="false">MIN(0.2*Hipótesis!$D$81,MAX(0,Q110)*0.1)</f>
        <v>7314.37376015899</v>
      </c>
      <c r="R111" s="138" t="n">
        <f aca="false">MIN(0.2*Hipótesis!$D$81,MAX(0,R110)*0.1)</f>
        <v>10330.0798172376</v>
      </c>
      <c r="S111" s="138" t="n">
        <f aca="false">MIN(0.2*Hipótesis!$D$81,MAX(0,S110)*0.1)</f>
        <v>11814.1038029211</v>
      </c>
      <c r="T111" s="138" t="n">
        <f aca="false">MIN(0.2*Hipótesis!$D$81,MAX(0,T110)*0.1)</f>
        <v>15546.9533679311</v>
      </c>
      <c r="U111" s="138" t="n">
        <f aca="false">MIN(0.2*Hipótesis!$D$81,MAX(0,U110)*0.1)</f>
        <v>19375.3614929675</v>
      </c>
      <c r="V111" s="138" t="n">
        <f aca="false">MIN(0.2*Hipótesis!$D$81,MAX(0,V110)*0.1)</f>
        <v>20006</v>
      </c>
      <c r="W111" s="138" t="n">
        <f aca="false">MIN(0.2*Hipótesis!$D$81,MAX(0,W110)*0.1)</f>
        <v>20006</v>
      </c>
      <c r="X111" s="138" t="n">
        <f aca="false">MIN(0.2*Hipótesis!$D$81,MAX(0,X110)*0.1)</f>
        <v>20006</v>
      </c>
      <c r="Y111" s="138" t="n">
        <f aca="false">MIN(0.2*Hipótesis!$D$81,MAX(0,Y110)*0.1)</f>
        <v>20006</v>
      </c>
      <c r="Z111" s="138" t="n">
        <f aca="false">MIN(0.2*Hipótesis!$D$81,MAX(0,Z110)*0.1)</f>
        <v>20006</v>
      </c>
      <c r="AA111" s="138" t="n">
        <f aca="false">MIN(0.2*Hipótesis!$D$81,MAX(0,AA110)*0.1)</f>
        <v>20006</v>
      </c>
      <c r="AB111" s="138" t="n">
        <f aca="false">MIN(0.2*Hipótesis!$D$81,MAX(0,AB110)*0.1)</f>
        <v>20006</v>
      </c>
      <c r="AC111" s="138" t="n">
        <f aca="false">MIN(0.2*Hipótesis!$D$81,MAX(0,AC110)*0.1)</f>
        <v>20006</v>
      </c>
      <c r="AD111" s="138" t="n">
        <f aca="false">MIN(0.2*Hipótesis!$D$81,MAX(0,AD110)*0.1)</f>
        <v>20006</v>
      </c>
      <c r="AE111" s="138" t="n">
        <f aca="false">MIN(0.2*Hipótesis!$D$81,MAX(0,AE110)*0.1)</f>
        <v>20006</v>
      </c>
      <c r="AF111" s="138" t="n">
        <f aca="false">MIN(0.2*Hipótesis!$D$81,MAX(0,AF110)*0.1)</f>
        <v>20006</v>
      </c>
      <c r="AG111" s="138" t="n">
        <f aca="false">MIN(0.2*Hipótesis!$D$81,MAX(0,AG110)*0.1)</f>
        <v>20006</v>
      </c>
      <c r="AH111" s="138" t="n">
        <f aca="false">MIN(0.2*Hipótesis!$D$81,MAX(0,AH110)*0.1)</f>
        <v>20006</v>
      </c>
      <c r="AI111" s="138" t="n">
        <f aca="false">MIN(0.2*Hipótesis!$D$81,MAX(0,AI110)*0.1)</f>
        <v>20006</v>
      </c>
      <c r="AJ111" s="138" t="n">
        <f aca="false">MIN(0.2*Hipótesis!$D$81,MAX(0,AJ110)*0.1)</f>
        <v>20006</v>
      </c>
      <c r="AK111" s="138" t="n">
        <f aca="false">MIN(0.2*Hipótesis!$D$81,MAX(0,AK110)*0.1)</f>
        <v>20006</v>
      </c>
      <c r="AL111" s="138" t="n">
        <f aca="false">MIN(0.2*Hipótesis!$D$81,MAX(0,AL110)*0.1)</f>
        <v>20006</v>
      </c>
      <c r="AM111" s="138" t="n">
        <f aca="false">MIN(0.2*Hipótesis!$D$81,MAX(0,AM110)*0.1)</f>
        <v>20006</v>
      </c>
      <c r="AN111" s="138" t="n">
        <f aca="false">MIN(0.2*Hipótesis!$D$81,MAX(0,AN110)*0.1)</f>
        <v>20006</v>
      </c>
      <c r="AO111" s="138" t="n">
        <f aca="false">MIN(0.2*Hipótesis!$D$81,MAX(0,AO110)*0.1)</f>
        <v>20006</v>
      </c>
      <c r="AP111" s="138" t="n">
        <f aca="false">MIN(0.2*Hipótesis!$D$81,MAX(0,AP110)*0.1)</f>
        <v>20006</v>
      </c>
      <c r="AQ111" s="138" t="n">
        <f aca="false">MIN(0.2*Hipótesis!$D$81,MAX(0,AQ110)*0.1)</f>
        <v>20006</v>
      </c>
      <c r="AR111" s="138" t="n">
        <f aca="false">MIN(0.2*Hipótesis!$D$81,MAX(0,AR110)*0.1)</f>
        <v>20006</v>
      </c>
      <c r="AS111" s="138" t="n">
        <f aca="false">MIN(0.2*Hipótesis!$D$81,MAX(0,AS110)*0.1)</f>
        <v>20006</v>
      </c>
      <c r="AT111" s="138" t="n">
        <f aca="false">MIN(0.2*Hipótesis!$D$81,MAX(0,AT110)*0.1)</f>
        <v>20006</v>
      </c>
      <c r="AU111" s="138" t="n">
        <f aca="false">MIN(0.2*Hipótesis!$D$81,MAX(0,AU110)*0.1)</f>
        <v>20006</v>
      </c>
      <c r="AV111" s="138" t="n">
        <f aca="false">MIN(0.2*Hipótesis!$D$81,MAX(0,AV110)*0.1)</f>
        <v>20006</v>
      </c>
      <c r="AW111" s="138" t="n">
        <f aca="false">MIN(0.2*Hipótesis!$D$81,MAX(0,AW110)*0.1)</f>
        <v>20006</v>
      </c>
      <c r="AX111" s="138" t="n">
        <f aca="false">MIN(0.2*Hipótesis!$D$81,MAX(0,AX110)*0.1)</f>
        <v>20006</v>
      </c>
      <c r="AY111" s="138" t="n">
        <f aca="false">MIN(0.2*Hipótesis!$D$81,MAX(0,AY110)*0.1)</f>
        <v>20006</v>
      </c>
      <c r="AZ111" s="138" t="n">
        <f aca="false">MIN(0.2*Hipótesis!$D$81,MAX(0,AZ110)*0.1)</f>
        <v>20006</v>
      </c>
      <c r="BA111" s="138" t="n">
        <f aca="false">MIN(0.2*Hipótesis!$D$81,MAX(0,BA110)*0.1)</f>
        <v>20006</v>
      </c>
      <c r="BB111" s="138" t="n">
        <f aca="false">MIN(0.2*Hipótesis!$D$81,MAX(0,BB110)*0.1)</f>
        <v>20006</v>
      </c>
      <c r="BC111" s="138" t="n">
        <f aca="false">MIN(0.2*Hipótesis!$D$81,MAX(0,BC110)*0.1)</f>
        <v>20006</v>
      </c>
      <c r="BD111" s="138" t="n">
        <f aca="false">MIN(0.2*Hipótesis!$D$81,MAX(0,BD110)*0.1)</f>
        <v>20006</v>
      </c>
      <c r="BE111" s="138" t="n">
        <f aca="false">MIN(0.2*Hipótesis!$D$81,MAX(0,BE110)*0.1)</f>
        <v>20006</v>
      </c>
      <c r="BF111" s="138" t="n">
        <f aca="false">MIN(0.2*Hipótesis!$D$81,MAX(0,BF110)*0.1)</f>
        <v>20006</v>
      </c>
      <c r="BG111" s="138" t="n">
        <f aca="false">MIN(0.2*Hipótesis!$D$81,MAX(0,BG110)*0.1)</f>
        <v>20006</v>
      </c>
      <c r="BH111" s="138" t="n">
        <f aca="false">MIN(0.2*Hipótesis!$D$81,MAX(0,BH110)*0.1)</f>
        <v>20006</v>
      </c>
      <c r="BI111" s="138" t="n">
        <f aca="false">MIN(0.2*Hipótesis!$D$81,MAX(0,BI110)*0.1)</f>
        <v>20006</v>
      </c>
      <c r="BJ111" s="138" t="n">
        <f aca="false">MIN(0.2*Hipótesis!$D$81,MAX(0,BJ110)*0.1)</f>
        <v>20006</v>
      </c>
      <c r="BK111" s="138" t="n">
        <f aca="false">MIN(0.2*Hipótesis!$D$81,MAX(0,BK110)*0.1)</f>
        <v>20006</v>
      </c>
      <c r="BL111" s="138" t="n">
        <f aca="false">MIN(0.2*Hipótesis!$D$81,MAX(0,BL110)*0.1)</f>
        <v>20006</v>
      </c>
      <c r="BM111" s="138" t="n">
        <f aca="false">MIN(0.2*Hipótesis!$D$81,MAX(0,BM110)*0.1)</f>
        <v>20006</v>
      </c>
      <c r="BN111" s="138" t="n">
        <f aca="false">MIN(0.2*Hipótesis!$D$81,MAX(0,BN110)*0.1)</f>
        <v>20006</v>
      </c>
      <c r="BO111" s="138" t="n">
        <f aca="false">MIN(0.2*Hipótesis!$D$81,MAX(0,BO110)*0.1)</f>
        <v>20006</v>
      </c>
      <c r="BP111" s="138" t="n">
        <f aca="false">MIN(0.2*Hipótesis!$D$81,MAX(0,BP110)*0.1)</f>
        <v>20006</v>
      </c>
      <c r="BQ111" s="138" t="n">
        <f aca="false">MIN(0.2*Hipótesis!$D$81,MAX(0,BQ110)*0.1)</f>
        <v>20006</v>
      </c>
      <c r="BR111" s="138" t="n">
        <f aca="false">MIN(0.2*Hipótesis!$D$81,MAX(0,BR110)*0.1)</f>
        <v>20006</v>
      </c>
      <c r="BS111" s="138" t="n">
        <f aca="false">MIN(0.2*Hipótesis!$D$81,MAX(0,BS110)*0.1)</f>
        <v>20006</v>
      </c>
      <c r="BT111" s="138" t="n">
        <f aca="false">MIN(0.2*Hipótesis!$D$81,MAX(0,BT110)*0.1)</f>
        <v>20006</v>
      </c>
      <c r="BU111" s="138" t="n">
        <f aca="false">MIN(0.2*Hipótesis!$D$81,MAX(0,BU110)*0.1)</f>
        <v>20006</v>
      </c>
      <c r="BV111" s="138" t="n">
        <f aca="false">MIN(0.2*Hipótesis!$D$81,MAX(0,BV110)*0.1)</f>
        <v>20006</v>
      </c>
      <c r="BW111" s="138" t="n">
        <f aca="false">MIN(0.2*Hipótesis!$D$81,MAX(0,BW110)*0.1)</f>
        <v>20006</v>
      </c>
      <c r="BX111" s="138" t="n">
        <f aca="false">MIN(0.2*Hipótesis!$D$81,MAX(0,BX110)*0.1)</f>
        <v>20006</v>
      </c>
      <c r="BY111" s="138" t="n">
        <f aca="false">MIN(0.2*Hipótesis!$D$81,MAX(0,BY110)*0.1)</f>
        <v>20006</v>
      </c>
      <c r="BZ111" s="138" t="n">
        <f aca="false">MIN(0.2*Hipótesis!$D$81,MAX(0,BZ110)*0.1)</f>
        <v>20006</v>
      </c>
      <c r="CA111" s="138" t="n">
        <f aca="false">MIN(0.2*Hipótesis!$D$81,MAX(0,CA110)*0.1)</f>
        <v>20006</v>
      </c>
      <c r="CB111" s="138" t="n">
        <f aca="false">MIN(0.2*Hipótesis!$D$81,MAX(0,CB110)*0.1)</f>
        <v>20006</v>
      </c>
      <c r="CC111" s="138" t="n">
        <f aca="false">MIN(0.2*Hipótesis!$D$81,MAX(0,CC110)*0.1)</f>
        <v>20006</v>
      </c>
      <c r="CD111" s="138" t="n">
        <f aca="false">MIN(0.2*Hipótesis!$D$81,MAX(0,CD110)*0.1)</f>
        <v>20006</v>
      </c>
      <c r="CE111" s="138" t="n">
        <f aca="false">MIN(0.2*Hipótesis!$D$81,MAX(0,CE110)*0.1)</f>
        <v>20006</v>
      </c>
      <c r="CF111" s="138" t="n">
        <f aca="false">MIN(0.2*Hipótesis!$D$81,MAX(0,CF110)*0.1)</f>
        <v>20006</v>
      </c>
      <c r="CG111" s="138" t="n">
        <f aca="false">MIN(0.2*Hipótesis!$D$81,MAX(0,CG110)*0.1)</f>
        <v>20006</v>
      </c>
      <c r="CH111" s="138" t="n">
        <f aca="false">MIN(0.2*Hipótesis!$D$81,MAX(0,CH110)*0.1)</f>
        <v>20006</v>
      </c>
    </row>
    <row r="112" customFormat="false" ht="13.5" hidden="false" customHeight="true" outlineLevel="0" collapsed="false">
      <c r="A112" s="30" t="s">
        <v>785</v>
      </c>
      <c r="C112" s="138" t="n">
        <f aca="false">MAX(0,C110-C111)</f>
        <v>0</v>
      </c>
      <c r="D112" s="138" t="n">
        <f aca="false">MAX(0,D110-D111)</f>
        <v>0</v>
      </c>
      <c r="E112" s="138" t="n">
        <f aca="false">MAX(0,E110-E111)</f>
        <v>0</v>
      </c>
      <c r="F112" s="138" t="n">
        <f aca="false">MAX(0,F110-F111)</f>
        <v>0</v>
      </c>
      <c r="G112" s="138" t="n">
        <f aca="false">MAX(0,G110-G111)</f>
        <v>0</v>
      </c>
      <c r="H112" s="138" t="n">
        <f aca="false">MAX(0,H110-H111)</f>
        <v>0</v>
      </c>
      <c r="I112" s="138" t="n">
        <f aca="false">MAX(0,I110-I111)</f>
        <v>0</v>
      </c>
      <c r="J112" s="138" t="n">
        <f aca="false">MAX(0,J110-J111)</f>
        <v>0</v>
      </c>
      <c r="K112" s="138" t="n">
        <f aca="false">MAX(0,K110-K111)</f>
        <v>0</v>
      </c>
      <c r="L112" s="138" t="n">
        <f aca="false">MAX(0,L110-L111)</f>
        <v>0</v>
      </c>
      <c r="M112" s="138" t="n">
        <f aca="false">MAX(0,M110-M111)</f>
        <v>0</v>
      </c>
      <c r="N112" s="138" t="n">
        <f aca="false">MAX(0,N110-N111)</f>
        <v>3768.17501445691</v>
      </c>
      <c r="O112" s="138" t="n">
        <f aca="false">MAX(0,O110-O111)</f>
        <v>21228.0921710902</v>
      </c>
      <c r="P112" s="138" t="n">
        <f aca="false">MAX(0,P110-P111)</f>
        <v>41915.1551134148</v>
      </c>
      <c r="Q112" s="138" t="n">
        <f aca="false">MAX(0,Q110-Q111)</f>
        <v>65829.3638414309</v>
      </c>
      <c r="R112" s="138" t="n">
        <f aca="false">MAX(0,R110-R111)</f>
        <v>92970.7183551384</v>
      </c>
      <c r="S112" s="138" t="n">
        <f aca="false">MAX(0,S110-S111)</f>
        <v>106326.93422629</v>
      </c>
      <c r="T112" s="138" t="n">
        <f aca="false">MAX(0,T110-T111)</f>
        <v>139922.58031138</v>
      </c>
      <c r="U112" s="138" t="n">
        <f aca="false">MAX(0,U110-U111)</f>
        <v>174378.253436708</v>
      </c>
      <c r="V112" s="138" t="n">
        <f aca="false">MAX(0,V110-V111)</f>
        <v>212409.671991979</v>
      </c>
      <c r="W112" s="138" t="n">
        <f aca="false">MAX(0,W110-W111)</f>
        <v>253714.798466224</v>
      </c>
      <c r="X112" s="138" t="n">
        <f aca="false">MAX(0,X110-X111)</f>
        <v>297072.943563732</v>
      </c>
      <c r="Y112" s="138" t="n">
        <f aca="false">MAX(0,Y110-Y111)</f>
        <v>342484.107284503</v>
      </c>
      <c r="Z112" s="138" t="n">
        <f aca="false">MAX(0,Z110-Z111)</f>
        <v>389733.724565223</v>
      </c>
      <c r="AA112" s="138" t="n">
        <f aca="false">MAX(0,AA110-AA111)</f>
        <v>436978.789903092</v>
      </c>
      <c r="AB112" s="138" t="n">
        <f aca="false">MAX(0,AB110-AB111)</f>
        <v>486067.031023131</v>
      </c>
      <c r="AC112" s="138" t="n">
        <f aca="false">MAX(0,AC110-AC111)</f>
        <v>536998.447925342</v>
      </c>
      <c r="AD112" s="138" t="n">
        <f aca="false">MAX(0,AD110-AD111)</f>
        <v>589773.040609723</v>
      </c>
      <c r="AE112" s="138" t="n">
        <f aca="false">MAX(0,AE110-AE111)</f>
        <v>624415.556807749</v>
      </c>
      <c r="AF112" s="138" t="n">
        <f aca="false">MAX(0,AF110-AF111)</f>
        <v>680876.501056472</v>
      </c>
      <c r="AG112" s="138" t="n">
        <f aca="false">MAX(0,AG110-AG111)</f>
        <v>739180.621087367</v>
      </c>
      <c r="AH112" s="138" t="n">
        <f aca="false">MAX(0,AH110-AH111)</f>
        <v>797344.827453632</v>
      </c>
      <c r="AI112" s="138" t="n">
        <f aca="false">MAX(0,AI110-AI111)</f>
        <v>857352.209602068</v>
      </c>
      <c r="AJ112" s="138" t="n">
        <f aca="false">MAX(0,AJ110-AJ111)</f>
        <v>919202.767532674</v>
      </c>
      <c r="AK112" s="138" t="n">
        <f aca="false">MAX(0,AK110-AK111)</f>
        <v>982896.501245452</v>
      </c>
      <c r="AL112" s="138" t="n">
        <f aca="false">MAX(0,AL110-AL111)</f>
        <v>1048433.4107404</v>
      </c>
      <c r="AM112" s="138" t="n">
        <f aca="false">MAX(0,AM110-AM111)</f>
        <v>1106202.62585143</v>
      </c>
      <c r="AN112" s="138" t="n">
        <f aca="false">MAX(0,AN110-AN111)</f>
        <v>1165598.17253496</v>
      </c>
      <c r="AO112" s="138" t="n">
        <f aca="false">MAX(0,AO110-AO111)</f>
        <v>1226620.050791</v>
      </c>
      <c r="AP112" s="138" t="n">
        <f aca="false">MAX(0,AP110-AP111)</f>
        <v>1289268.26061953</v>
      </c>
      <c r="AQ112" s="138" t="n">
        <f aca="false">MAX(0,AQ110-AQ111)</f>
        <v>1335917.5794307</v>
      </c>
      <c r="AR112" s="138" t="n">
        <f aca="false">MAX(0,AR110-AR111)</f>
        <v>1401818.45240425</v>
      </c>
      <c r="AS112" s="138" t="n">
        <f aca="false">MAX(0,AS110-AS111)</f>
        <v>1467723.49204446</v>
      </c>
      <c r="AT112" s="138" t="n">
        <f aca="false">MAX(0,AT110-AT111)</f>
        <v>1533632.69835134</v>
      </c>
      <c r="AU112" s="138" t="n">
        <f aca="false">MAX(0,AU110-AU111)</f>
        <v>1599546.07132489</v>
      </c>
      <c r="AV112" s="138" t="n">
        <f aca="false">MAX(0,AV110-AV111)</f>
        <v>1665463.6109651</v>
      </c>
      <c r="AW112" s="138" t="n">
        <f aca="false">MAX(0,AW110-AW111)</f>
        <v>1731385.31727198</v>
      </c>
      <c r="AX112" s="138" t="n">
        <f aca="false">MAX(0,AX110-AX111)</f>
        <v>1797311.19024553</v>
      </c>
      <c r="AY112" s="138" t="n">
        <f aca="false">MAX(0,AY110-AY111)</f>
        <v>1861550.57353648</v>
      </c>
      <c r="AZ112" s="138" t="n">
        <f aca="false">MAX(0,AZ110-AZ111)</f>
        <v>1925794.1234941</v>
      </c>
      <c r="BA112" s="138" t="n">
        <f aca="false">MAX(0,BA110-BA111)</f>
        <v>1990041.84011839</v>
      </c>
      <c r="BB112" s="138" t="n">
        <f aca="false">MAX(0,BB110-BB111)</f>
        <v>2054293.72340935</v>
      </c>
      <c r="BC112" s="138" t="n">
        <f aca="false">MAX(0,BC110-BC111)</f>
        <v>2100924.55077709</v>
      </c>
      <c r="BD112" s="138" t="n">
        <f aca="false">MAX(0,BD110-BD111)</f>
        <v>2165184.76740138</v>
      </c>
      <c r="BE112" s="138" t="n">
        <f aca="false">MAX(0,BE110-BE111)</f>
        <v>2229449.15069233</v>
      </c>
      <c r="BF112" s="138" t="n">
        <f aca="false">MAX(0,BF110-BF111)</f>
        <v>2293717.70064995</v>
      </c>
      <c r="BG112" s="138" t="n">
        <f aca="false">MAX(0,BG110-BG111)</f>
        <v>2357990.41727424</v>
      </c>
      <c r="BH112" s="138" t="n">
        <f aca="false">MAX(0,BH110-BH111)</f>
        <v>2422267.3005652</v>
      </c>
      <c r="BI112" s="138" t="n">
        <f aca="false">MAX(0,BI110-BI111)</f>
        <v>2486548.35052282</v>
      </c>
      <c r="BJ112" s="138" t="n">
        <f aca="false">MAX(0,BJ110-BJ111)</f>
        <v>2550833.56714711</v>
      </c>
      <c r="BK112" s="138" t="n">
        <f aca="false">MAX(0,BK110-BK111)</f>
        <v>2613425.23339832</v>
      </c>
      <c r="BL112" s="138" t="n">
        <f aca="false">MAX(0,BL110-BL111)</f>
        <v>2676021.06631621</v>
      </c>
      <c r="BM112" s="138" t="n">
        <f aca="false">MAX(0,BM110-BM111)</f>
        <v>2738621.06590076</v>
      </c>
      <c r="BN112" s="138" t="n">
        <f aca="false">MAX(0,BN110-BN111)</f>
        <v>2801225.23215198</v>
      </c>
      <c r="BO112" s="138" t="n">
        <f aca="false">MAX(0,BO110-BO111)</f>
        <v>2846208.34247999</v>
      </c>
      <c r="BP112" s="138" t="n">
        <f aca="false">MAX(0,BP110-BP111)</f>
        <v>2908820.84206454</v>
      </c>
      <c r="BQ112" s="138" t="n">
        <f aca="false">MAX(0,BQ110-BQ111)</f>
        <v>2971437.50831575</v>
      </c>
      <c r="BR112" s="138" t="n">
        <f aca="false">MAX(0,BR110-BR111)</f>
        <v>3034058.34123364</v>
      </c>
      <c r="BS112" s="138" t="n">
        <f aca="false">MAX(0,BS110-BS111)</f>
        <v>3096683.34081819</v>
      </c>
      <c r="BT112" s="138" t="n">
        <f aca="false">MAX(0,BT110-BT111)</f>
        <v>3159312.50706941</v>
      </c>
      <c r="BU112" s="138" t="n">
        <f aca="false">MAX(0,BU110-BU111)</f>
        <v>3221945.83998729</v>
      </c>
      <c r="BV112" s="138" t="n">
        <f aca="false">MAX(0,BV110-BV111)</f>
        <v>3284583.33957184</v>
      </c>
      <c r="BW112" s="138" t="n">
        <f aca="false">MAX(0,BW110-BW111)</f>
        <v>3345520.01627213</v>
      </c>
      <c r="BX112" s="138" t="n">
        <f aca="false">MAX(0,BX110-BX111)</f>
        <v>3406460.85963909</v>
      </c>
      <c r="BY112" s="138" t="n">
        <f aca="false">MAX(0,BY110-BY111)</f>
        <v>3467405.86967271</v>
      </c>
      <c r="BZ112" s="138" t="n">
        <f aca="false">MAX(0,BZ110-BZ111)</f>
        <v>3528355.046373</v>
      </c>
      <c r="CA112" s="138" t="n">
        <f aca="false">MAX(0,CA110-CA111)</f>
        <v>3571683.16715008</v>
      </c>
      <c r="CB112" s="138" t="n">
        <f aca="false">MAX(0,CB110-CB111)</f>
        <v>3632640.6771837</v>
      </c>
      <c r="CC112" s="138" t="n">
        <f aca="false">MAX(0,CC110-CC111)</f>
        <v>3693602.35388399</v>
      </c>
      <c r="CD112" s="138" t="n">
        <f aca="false">MAX(0,CD110-CD111)</f>
        <v>3754568.19725095</v>
      </c>
      <c r="CE112" s="138" t="n">
        <f aca="false">MAX(0,CE110-CE111)</f>
        <v>3815538.20728457</v>
      </c>
      <c r="CF112" s="138" t="n">
        <f aca="false">MAX(0,CF110-CF111)</f>
        <v>3876512.38398486</v>
      </c>
      <c r="CG112" s="138" t="n">
        <f aca="false">MAX(0,CG110-CG111)</f>
        <v>3937490.72735182</v>
      </c>
      <c r="CH112" s="138" t="n">
        <f aca="false">MAX(0,CH110-CH111)</f>
        <v>3998473.23738544</v>
      </c>
    </row>
    <row r="113" customFormat="false" ht="13.5" hidden="false" customHeight="true" outlineLevel="0" collapsed="false">
      <c r="A113" s="13" t="s">
        <v>786</v>
      </c>
      <c r="C113" s="138" t="n">
        <f aca="false">C110+C84</f>
        <v>-16050.050688402</v>
      </c>
      <c r="D113" s="138" t="n">
        <f aca="false">D110+D84</f>
        <v>-29507.4629961568</v>
      </c>
      <c r="E113" s="138" t="n">
        <f aca="false">E110+E84</f>
        <v>-39408.6723900503</v>
      </c>
      <c r="F113" s="138" t="n">
        <f aca="false">F110+F84</f>
        <v>-46625.6137604861</v>
      </c>
      <c r="G113" s="138" t="n">
        <f aca="false">G110+G84</f>
        <v>-58288.8316892448</v>
      </c>
      <c r="H113" s="138" t="n">
        <f aca="false">H110+H84</f>
        <v>-59739.3603140739</v>
      </c>
      <c r="I113" s="138" t="n">
        <f aca="false">I110+I84</f>
        <v>-58413.4849960657</v>
      </c>
      <c r="J113" s="138" t="n">
        <f aca="false">J110+J84</f>
        <v>-53591.2009491867</v>
      </c>
      <c r="K113" s="138" t="n">
        <f aca="false">K110+K84</f>
        <v>-44753.4262714914</v>
      </c>
      <c r="L113" s="138" t="n">
        <f aca="false">L110+L84</f>
        <v>-31880.1683347416</v>
      </c>
      <c r="M113" s="138" t="n">
        <f aca="false">M110+M84</f>
        <v>-15753.6158164388</v>
      </c>
      <c r="N113" s="138" t="n">
        <f aca="false">N110+N84</f>
        <v>4186.86112717434</v>
      </c>
      <c r="O113" s="138" t="n">
        <f aca="false">O110+O84</f>
        <v>23586.7690789891</v>
      </c>
      <c r="P113" s="138" t="n">
        <f aca="false">P110+P84</f>
        <v>46572.3945704609</v>
      </c>
      <c r="Q113" s="138" t="n">
        <f aca="false">Q110+Q84</f>
        <v>73143.7376015899</v>
      </c>
      <c r="R113" s="138" t="n">
        <f aca="false">R110+R84</f>
        <v>103300.798172376</v>
      </c>
      <c r="S113" s="138" t="n">
        <f aca="false">S110+S84</f>
        <v>118141.038029211</v>
      </c>
      <c r="T113" s="138" t="n">
        <f aca="false">T110+T84</f>
        <v>155469.533679311</v>
      </c>
      <c r="U113" s="138" t="n">
        <f aca="false">U110+U84</f>
        <v>193753.614929675</v>
      </c>
      <c r="V113" s="138" t="n">
        <f aca="false">V110+V84</f>
        <v>232415.671991979</v>
      </c>
      <c r="W113" s="138" t="n">
        <f aca="false">W110+W84</f>
        <v>273720.798466224</v>
      </c>
      <c r="X113" s="138" t="n">
        <f aca="false">X110+X84</f>
        <v>317078.943563732</v>
      </c>
      <c r="Y113" s="138" t="n">
        <f aca="false">Y110+Y84</f>
        <v>362490.107284503</v>
      </c>
      <c r="Z113" s="138" t="n">
        <f aca="false">Z110+Z84</f>
        <v>409739.724565223</v>
      </c>
      <c r="AA113" s="138" t="n">
        <f aca="false">AA110+AA84</f>
        <v>456984.789903092</v>
      </c>
      <c r="AB113" s="138" t="n">
        <f aca="false">AB110+AB84</f>
        <v>506073.031023131</v>
      </c>
      <c r="AC113" s="138" t="n">
        <f aca="false">AC110+AC84</f>
        <v>557004.447925342</v>
      </c>
      <c r="AD113" s="138" t="n">
        <f aca="false">AD110+AD84</f>
        <v>609779.040609723</v>
      </c>
      <c r="AE113" s="138" t="n">
        <f aca="false">AE110+AE84</f>
        <v>644421.556807749</v>
      </c>
      <c r="AF113" s="138" t="n">
        <f aca="false">AF110+AF84</f>
        <v>700882.501056472</v>
      </c>
      <c r="AG113" s="138" t="n">
        <f aca="false">AG110+AG84</f>
        <v>759186.621087367</v>
      </c>
      <c r="AH113" s="138" t="n">
        <f aca="false">AH110+AH84</f>
        <v>817350.827453632</v>
      </c>
      <c r="AI113" s="138" t="n">
        <f aca="false">AI110+AI84</f>
        <v>877358.209602068</v>
      </c>
      <c r="AJ113" s="138" t="n">
        <f aca="false">AJ110+AJ84</f>
        <v>939208.767532674</v>
      </c>
      <c r="AK113" s="138" t="n">
        <f aca="false">AK110+AK84</f>
        <v>1002902.50124545</v>
      </c>
      <c r="AL113" s="138" t="n">
        <f aca="false">AL110+AL84</f>
        <v>1068439.4107404</v>
      </c>
      <c r="AM113" s="138" t="n">
        <f aca="false">AM110+AM84</f>
        <v>1126208.62585143</v>
      </c>
      <c r="AN113" s="138" t="n">
        <f aca="false">AN110+AN84</f>
        <v>1185604.17253496</v>
      </c>
      <c r="AO113" s="138" t="n">
        <f aca="false">AO110+AO84</f>
        <v>1246626.050791</v>
      </c>
      <c r="AP113" s="138" t="n">
        <f aca="false">AP110+AP84</f>
        <v>1309274.26061953</v>
      </c>
      <c r="AQ113" s="138" t="n">
        <f aca="false">AQ110+AQ84</f>
        <v>1355923.5794307</v>
      </c>
      <c r="AR113" s="138" t="n">
        <f aca="false">AR110+AR84</f>
        <v>1421824.45240425</v>
      </c>
      <c r="AS113" s="138" t="n">
        <f aca="false">AS110+AS84</f>
        <v>1487729.49204446</v>
      </c>
      <c r="AT113" s="138" t="n">
        <f aca="false">AT110+AT84</f>
        <v>1553638.69835134</v>
      </c>
      <c r="AU113" s="138" t="n">
        <f aca="false">AU110+AU84</f>
        <v>1619552.07132489</v>
      </c>
      <c r="AV113" s="138" t="n">
        <f aca="false">AV110+AV84</f>
        <v>1685469.6109651</v>
      </c>
      <c r="AW113" s="138" t="n">
        <f aca="false">AW110+AW84</f>
        <v>1751391.31727198</v>
      </c>
      <c r="AX113" s="138" t="n">
        <f aca="false">AX110+AX84</f>
        <v>1817317.19024553</v>
      </c>
      <c r="AY113" s="138" t="n">
        <f aca="false">AY110+AY84</f>
        <v>1881556.57353648</v>
      </c>
      <c r="AZ113" s="138" t="n">
        <f aca="false">AZ110+AZ84</f>
        <v>1945800.1234941</v>
      </c>
      <c r="BA113" s="138" t="n">
        <f aca="false">BA110+BA84</f>
        <v>2010047.84011839</v>
      </c>
      <c r="BB113" s="138" t="n">
        <f aca="false">BB110+BB84</f>
        <v>2074299.72340935</v>
      </c>
      <c r="BC113" s="138" t="n">
        <f aca="false">BC110+BC84</f>
        <v>2120930.55077709</v>
      </c>
      <c r="BD113" s="138" t="n">
        <f aca="false">BD110+BD84</f>
        <v>2185190.76740138</v>
      </c>
      <c r="BE113" s="138" t="n">
        <f aca="false">BE110+BE84</f>
        <v>2249455.15069233</v>
      </c>
      <c r="BF113" s="138" t="n">
        <f aca="false">BF110+BF84</f>
        <v>2313723.70064995</v>
      </c>
      <c r="BG113" s="138" t="n">
        <f aca="false">BG110+BG84</f>
        <v>2377996.41727424</v>
      </c>
      <c r="BH113" s="138" t="n">
        <f aca="false">BH110+BH84</f>
        <v>2442273.3005652</v>
      </c>
      <c r="BI113" s="138" t="n">
        <f aca="false">BI110+BI84</f>
        <v>2506554.35052282</v>
      </c>
      <c r="BJ113" s="138" t="n">
        <f aca="false">BJ110+BJ84</f>
        <v>2570839.56714711</v>
      </c>
      <c r="BK113" s="138" t="n">
        <f aca="false">BK110+BK84</f>
        <v>2633431.23339832</v>
      </c>
      <c r="BL113" s="138" t="n">
        <f aca="false">BL110+BL84</f>
        <v>2696027.06631621</v>
      </c>
      <c r="BM113" s="138" t="n">
        <f aca="false">BM110+BM84</f>
        <v>2758627.06590076</v>
      </c>
      <c r="BN113" s="138" t="n">
        <f aca="false">BN110+BN84</f>
        <v>2821231.23215198</v>
      </c>
      <c r="BO113" s="138" t="n">
        <f aca="false">BO110+BO84</f>
        <v>2866214.34247999</v>
      </c>
      <c r="BP113" s="138" t="n">
        <f aca="false">BP110+BP84</f>
        <v>2928826.84206454</v>
      </c>
      <c r="BQ113" s="138" t="n">
        <f aca="false">BQ110+BQ84</f>
        <v>2991443.50831575</v>
      </c>
      <c r="BR113" s="138" t="n">
        <f aca="false">BR110+BR84</f>
        <v>3054064.34123364</v>
      </c>
      <c r="BS113" s="138" t="n">
        <f aca="false">BS110+BS84</f>
        <v>3116689.34081819</v>
      </c>
      <c r="BT113" s="138" t="n">
        <f aca="false">BT110+BT84</f>
        <v>3179318.50706941</v>
      </c>
      <c r="BU113" s="138" t="n">
        <f aca="false">BU110+BU84</f>
        <v>3241951.83998729</v>
      </c>
      <c r="BV113" s="138" t="n">
        <f aca="false">BV110+BV84</f>
        <v>3304589.33957184</v>
      </c>
      <c r="BW113" s="138" t="n">
        <f aca="false">BW110+BW84</f>
        <v>3365526.01627213</v>
      </c>
      <c r="BX113" s="138" t="n">
        <f aca="false">BX110+BX84</f>
        <v>3426466.85963909</v>
      </c>
      <c r="BY113" s="138" t="n">
        <f aca="false">BY110+BY84</f>
        <v>3487411.86967271</v>
      </c>
      <c r="BZ113" s="138" t="n">
        <f aca="false">BZ110+BZ84</f>
        <v>3548361.046373</v>
      </c>
      <c r="CA113" s="138" t="n">
        <f aca="false">CA110+CA84</f>
        <v>3591689.16715008</v>
      </c>
      <c r="CB113" s="138" t="n">
        <f aca="false">CB110+CB84</f>
        <v>3652646.6771837</v>
      </c>
      <c r="CC113" s="138" t="n">
        <f aca="false">CC110+CC84</f>
        <v>3713608.35388399</v>
      </c>
      <c r="CD113" s="138" t="n">
        <f aca="false">CD110+CD84</f>
        <v>3774574.19725095</v>
      </c>
      <c r="CE113" s="138" t="n">
        <f aca="false">CE110+CE84</f>
        <v>3835544.20728457</v>
      </c>
      <c r="CF113" s="138" t="n">
        <f aca="false">CF110+CF84</f>
        <v>3896518.38398486</v>
      </c>
      <c r="CG113" s="138" t="n">
        <f aca="false">CG110+CG84</f>
        <v>3957496.72735182</v>
      </c>
      <c r="CH113" s="138" t="n">
        <f aca="false">CH110+CH84</f>
        <v>4018479.23738544</v>
      </c>
    </row>
    <row r="114" customFormat="false" ht="13.5" hidden="false" customHeight="true" outlineLevel="0" collapsed="false">
      <c r="A114" s="13" t="s">
        <v>787</v>
      </c>
      <c r="C114" s="138" t="n">
        <f aca="false">-C84</f>
        <v>0</v>
      </c>
      <c r="D114" s="138" t="n">
        <f aca="false">C114-D84</f>
        <v>0</v>
      </c>
      <c r="E114" s="138" t="n">
        <f aca="false">D114-E84</f>
        <v>0</v>
      </c>
      <c r="F114" s="138" t="n">
        <f aca="false">E114-F84</f>
        <v>0</v>
      </c>
      <c r="G114" s="138" t="n">
        <f aca="false">F114-G84</f>
        <v>0</v>
      </c>
      <c r="H114" s="138" t="n">
        <f aca="false">G114-H84</f>
        <v>0</v>
      </c>
      <c r="I114" s="138" t="n">
        <f aca="false">H114-I84</f>
        <v>0</v>
      </c>
      <c r="J114" s="138" t="n">
        <f aca="false">I114-J84</f>
        <v>0</v>
      </c>
      <c r="K114" s="138" t="n">
        <f aca="false">J114-K84</f>
        <v>0</v>
      </c>
      <c r="L114" s="138" t="n">
        <f aca="false">K114-L84</f>
        <v>0</v>
      </c>
      <c r="M114" s="138" t="n">
        <f aca="false">L114-M84</f>
        <v>0</v>
      </c>
      <c r="N114" s="138" t="n">
        <f aca="false">M114-N84</f>
        <v>0</v>
      </c>
      <c r="O114" s="138" t="n">
        <f aca="false">N114-O84</f>
        <v>0</v>
      </c>
      <c r="P114" s="138" t="n">
        <f aca="false">O114-P84</f>
        <v>0</v>
      </c>
      <c r="Q114" s="138" t="n">
        <f aca="false">P114-Q84</f>
        <v>0</v>
      </c>
      <c r="R114" s="138" t="n">
        <f aca="false">Q114-R84</f>
        <v>0</v>
      </c>
      <c r="S114" s="138" t="n">
        <f aca="false">R114-S84</f>
        <v>0</v>
      </c>
      <c r="T114" s="138" t="n">
        <f aca="false">S114-T84</f>
        <v>0</v>
      </c>
      <c r="U114" s="138" t="n">
        <f aca="false">T114-U84</f>
        <v>0</v>
      </c>
      <c r="V114" s="138" t="n">
        <f aca="false">U114-V84</f>
        <v>0</v>
      </c>
      <c r="W114" s="138" t="n">
        <f aca="false">V114-W84</f>
        <v>0</v>
      </c>
      <c r="X114" s="138" t="n">
        <f aca="false">W114-X84</f>
        <v>0</v>
      </c>
      <c r="Y114" s="138" t="n">
        <f aca="false">X114-Y84</f>
        <v>0</v>
      </c>
      <c r="Z114" s="138" t="n">
        <f aca="false">Y114-Z84</f>
        <v>0</v>
      </c>
      <c r="AA114" s="138" t="n">
        <f aca="false">Z114-AA84</f>
        <v>0</v>
      </c>
      <c r="AB114" s="138" t="n">
        <f aca="false">AA114-AB84</f>
        <v>0</v>
      </c>
      <c r="AC114" s="138" t="n">
        <f aca="false">AB114-AC84</f>
        <v>0</v>
      </c>
      <c r="AD114" s="138" t="n">
        <f aca="false">AC114-AD84</f>
        <v>0</v>
      </c>
      <c r="AE114" s="138" t="n">
        <f aca="false">AD114-AE84</f>
        <v>0</v>
      </c>
      <c r="AF114" s="138" t="n">
        <f aca="false">AE114-AF84</f>
        <v>0</v>
      </c>
      <c r="AG114" s="138" t="n">
        <f aca="false">AF114-AG84</f>
        <v>0</v>
      </c>
      <c r="AH114" s="138" t="n">
        <f aca="false">AG114-AH84</f>
        <v>0</v>
      </c>
      <c r="AI114" s="138" t="n">
        <f aca="false">AH114-AI84</f>
        <v>0</v>
      </c>
      <c r="AJ114" s="138" t="n">
        <f aca="false">AI114-AJ84</f>
        <v>0</v>
      </c>
      <c r="AK114" s="138" t="n">
        <f aca="false">AJ114-AK84</f>
        <v>0</v>
      </c>
      <c r="AL114" s="138" t="n">
        <f aca="false">AK114-AL84</f>
        <v>0</v>
      </c>
      <c r="AM114" s="138" t="n">
        <f aca="false">AL114-AM84</f>
        <v>0</v>
      </c>
      <c r="AN114" s="138" t="n">
        <f aca="false">AM114-AN84</f>
        <v>0</v>
      </c>
      <c r="AO114" s="138" t="n">
        <f aca="false">AN114-AO84</f>
        <v>0</v>
      </c>
      <c r="AP114" s="138" t="n">
        <f aca="false">AO114-AP84</f>
        <v>0</v>
      </c>
      <c r="AQ114" s="138" t="n">
        <f aca="false">AP114-AQ84</f>
        <v>0</v>
      </c>
      <c r="AR114" s="138" t="n">
        <f aca="false">AQ114-AR84</f>
        <v>0</v>
      </c>
      <c r="AS114" s="138" t="n">
        <f aca="false">AR114-AS84</f>
        <v>0</v>
      </c>
      <c r="AT114" s="138" t="n">
        <f aca="false">AS114-AT84</f>
        <v>0</v>
      </c>
      <c r="AU114" s="138" t="n">
        <f aca="false">AT114-AU84</f>
        <v>0</v>
      </c>
      <c r="AV114" s="138" t="n">
        <f aca="false">AU114-AV84</f>
        <v>0</v>
      </c>
      <c r="AW114" s="138" t="n">
        <f aca="false">AV114-AW84</f>
        <v>0</v>
      </c>
      <c r="AX114" s="138" t="n">
        <f aca="false">AW114-AX84</f>
        <v>0</v>
      </c>
      <c r="AY114" s="138" t="n">
        <f aca="false">AX114-AY84</f>
        <v>0</v>
      </c>
      <c r="AZ114" s="138" t="n">
        <f aca="false">AY114-AZ84</f>
        <v>0</v>
      </c>
      <c r="BA114" s="138" t="n">
        <f aca="false">AZ114-BA84</f>
        <v>0</v>
      </c>
      <c r="BB114" s="138" t="n">
        <f aca="false">BA114-BB84</f>
        <v>0</v>
      </c>
      <c r="BC114" s="138" t="n">
        <f aca="false">BB114-BC84</f>
        <v>0</v>
      </c>
      <c r="BD114" s="138" t="n">
        <f aca="false">BC114-BD84</f>
        <v>0</v>
      </c>
      <c r="BE114" s="138" t="n">
        <f aca="false">BD114-BE84</f>
        <v>0</v>
      </c>
      <c r="BF114" s="138" t="n">
        <f aca="false">BE114-BF84</f>
        <v>0</v>
      </c>
      <c r="BG114" s="138" t="n">
        <f aca="false">BF114-BG84</f>
        <v>0</v>
      </c>
      <c r="BH114" s="138" t="n">
        <f aca="false">BG114-BH84</f>
        <v>0</v>
      </c>
      <c r="BI114" s="138" t="n">
        <f aca="false">BH114-BI84</f>
        <v>0</v>
      </c>
      <c r="BJ114" s="138" t="n">
        <f aca="false">BI114-BJ84</f>
        <v>0</v>
      </c>
      <c r="BK114" s="138" t="n">
        <f aca="false">BJ114-BK84</f>
        <v>0</v>
      </c>
      <c r="BL114" s="138" t="n">
        <f aca="false">BK114-BL84</f>
        <v>0</v>
      </c>
      <c r="BM114" s="138" t="n">
        <f aca="false">BL114-BM84</f>
        <v>0</v>
      </c>
      <c r="BN114" s="138" t="n">
        <f aca="false">BM114-BN84</f>
        <v>0</v>
      </c>
      <c r="BO114" s="138" t="n">
        <f aca="false">BN114-BO84</f>
        <v>0</v>
      </c>
      <c r="BP114" s="138" t="n">
        <f aca="false">BO114-BP84</f>
        <v>0</v>
      </c>
      <c r="BQ114" s="138" t="n">
        <f aca="false">BP114-BQ84</f>
        <v>0</v>
      </c>
      <c r="BR114" s="138" t="n">
        <f aca="false">BQ114-BR84</f>
        <v>0</v>
      </c>
      <c r="BS114" s="138" t="n">
        <f aca="false">BR114-BS84</f>
        <v>0</v>
      </c>
      <c r="BT114" s="138" t="n">
        <f aca="false">BS114-BT84</f>
        <v>0</v>
      </c>
      <c r="BU114" s="138" t="n">
        <f aca="false">BT114-BU84</f>
        <v>0</v>
      </c>
      <c r="BV114" s="138" t="n">
        <f aca="false">BU114-BV84</f>
        <v>0</v>
      </c>
      <c r="BW114" s="138" t="n">
        <f aca="false">BV114-BW84</f>
        <v>0</v>
      </c>
      <c r="BX114" s="138" t="n">
        <f aca="false">BW114-BX84</f>
        <v>0</v>
      </c>
      <c r="BY114" s="138" t="n">
        <f aca="false">BX114-BY84</f>
        <v>0</v>
      </c>
      <c r="BZ114" s="138" t="n">
        <f aca="false">BY114-BZ84</f>
        <v>0</v>
      </c>
      <c r="CA114" s="138" t="n">
        <f aca="false">BZ114-CA84</f>
        <v>0</v>
      </c>
      <c r="CB114" s="138" t="n">
        <f aca="false">CA114-CB84</f>
        <v>0</v>
      </c>
      <c r="CC114" s="138" t="n">
        <f aca="false">CB114-CC84</f>
        <v>0</v>
      </c>
      <c r="CD114" s="138" t="n">
        <f aca="false">CC114-CD84</f>
        <v>0</v>
      </c>
      <c r="CE114" s="138" t="n">
        <f aca="false">CD114-CE84</f>
        <v>0</v>
      </c>
      <c r="CF114" s="138" t="n">
        <f aca="false">CE114-CF84</f>
        <v>0</v>
      </c>
      <c r="CG114" s="138" t="n">
        <f aca="false">CF114-CG84</f>
        <v>0</v>
      </c>
      <c r="CH114" s="138" t="n">
        <f aca="false">CG114-CH84</f>
        <v>0</v>
      </c>
    </row>
    <row r="115" customFormat="false" ht="13.5" hidden="false" customHeight="true" outlineLevel="0" collapsed="false">
      <c r="A115" s="13" t="s">
        <v>788</v>
      </c>
      <c r="C115" s="138" t="n">
        <f aca="false">-C83</f>
        <v>0</v>
      </c>
      <c r="D115" s="138" t="n">
        <f aca="false">C115-D83</f>
        <v>0</v>
      </c>
      <c r="E115" s="138" t="n">
        <f aca="false">D115-E83</f>
        <v>0</v>
      </c>
      <c r="F115" s="138" t="n">
        <f aca="false">E115-F83</f>
        <v>0</v>
      </c>
      <c r="G115" s="138" t="n">
        <f aca="false">F115-G83</f>
        <v>0</v>
      </c>
      <c r="H115" s="138" t="n">
        <f aca="false">G115-H83</f>
        <v>0</v>
      </c>
      <c r="I115" s="138" t="n">
        <f aca="false">H115-I83</f>
        <v>0</v>
      </c>
      <c r="J115" s="138" t="n">
        <f aca="false">I115-J83</f>
        <v>0</v>
      </c>
      <c r="K115" s="138" t="n">
        <f aca="false">J115-K83</f>
        <v>0</v>
      </c>
      <c r="L115" s="138" t="n">
        <f aca="false">K115-L83</f>
        <v>0</v>
      </c>
      <c r="M115" s="138" t="n">
        <f aca="false">L115-M83</f>
        <v>0</v>
      </c>
      <c r="N115" s="138" t="n">
        <f aca="false">M115-N83</f>
        <v>0</v>
      </c>
      <c r="O115" s="138" t="n">
        <f aca="false">N115-O83</f>
        <v>0</v>
      </c>
      <c r="P115" s="138" t="n">
        <f aca="false">O115-P83</f>
        <v>0</v>
      </c>
      <c r="Q115" s="138" t="n">
        <f aca="false">P115-Q83</f>
        <v>0</v>
      </c>
      <c r="R115" s="138" t="n">
        <f aca="false">Q115-R83</f>
        <v>0</v>
      </c>
      <c r="S115" s="138" t="n">
        <f aca="false">R115-S83</f>
        <v>0</v>
      </c>
      <c r="T115" s="138" t="n">
        <f aca="false">S115-T83</f>
        <v>0</v>
      </c>
      <c r="U115" s="138" t="n">
        <f aca="false">T115-U83</f>
        <v>0</v>
      </c>
      <c r="V115" s="138" t="n">
        <f aca="false">U115-V83</f>
        <v>0</v>
      </c>
      <c r="W115" s="138" t="n">
        <f aca="false">V115-W83</f>
        <v>0</v>
      </c>
      <c r="X115" s="138" t="n">
        <f aca="false">W115-X83</f>
        <v>0</v>
      </c>
      <c r="Y115" s="138" t="n">
        <f aca="false">X115-Y83</f>
        <v>0</v>
      </c>
      <c r="Z115" s="138" t="n">
        <f aca="false">Y115-Z83</f>
        <v>0</v>
      </c>
      <c r="AA115" s="138" t="n">
        <f aca="false">Z115-AA83</f>
        <v>0</v>
      </c>
      <c r="AB115" s="138" t="n">
        <f aca="false">AA115-AB83</f>
        <v>0</v>
      </c>
      <c r="AC115" s="138" t="n">
        <f aca="false">AB115-AC83</f>
        <v>0</v>
      </c>
      <c r="AD115" s="138" t="n">
        <f aca="false">AC115-AD83</f>
        <v>0</v>
      </c>
      <c r="AE115" s="138" t="n">
        <f aca="false">AD115-AE83</f>
        <v>0</v>
      </c>
      <c r="AF115" s="138" t="n">
        <f aca="false">AE115-AF83</f>
        <v>0</v>
      </c>
      <c r="AG115" s="138" t="n">
        <f aca="false">AF115-AG83</f>
        <v>0</v>
      </c>
      <c r="AH115" s="138" t="n">
        <f aca="false">AG115-AH83</f>
        <v>0</v>
      </c>
      <c r="AI115" s="138" t="n">
        <f aca="false">AH115-AI83</f>
        <v>0</v>
      </c>
      <c r="AJ115" s="138" t="n">
        <f aca="false">AI115-AJ83</f>
        <v>0</v>
      </c>
      <c r="AK115" s="138" t="n">
        <f aca="false">AJ115-AK83</f>
        <v>0</v>
      </c>
      <c r="AL115" s="138" t="n">
        <f aca="false">AK115-AL83</f>
        <v>0</v>
      </c>
      <c r="AM115" s="138" t="n">
        <f aca="false">AL115-AM83</f>
        <v>0</v>
      </c>
      <c r="AN115" s="138" t="n">
        <f aca="false">AM115-AN83</f>
        <v>0</v>
      </c>
      <c r="AO115" s="138" t="n">
        <f aca="false">AN115-AO83</f>
        <v>0</v>
      </c>
      <c r="AP115" s="138" t="n">
        <f aca="false">AO115-AP83</f>
        <v>0</v>
      </c>
      <c r="AQ115" s="138" t="n">
        <f aca="false">AP115-AQ83</f>
        <v>0</v>
      </c>
      <c r="AR115" s="138" t="n">
        <f aca="false">AQ115-AR83</f>
        <v>0</v>
      </c>
      <c r="AS115" s="138" t="n">
        <f aca="false">AR115-AS83</f>
        <v>0</v>
      </c>
      <c r="AT115" s="138" t="n">
        <f aca="false">AS115-AT83</f>
        <v>0</v>
      </c>
      <c r="AU115" s="138" t="n">
        <f aca="false">AT115-AU83</f>
        <v>0</v>
      </c>
      <c r="AV115" s="138" t="n">
        <f aca="false">AU115-AV83</f>
        <v>0</v>
      </c>
      <c r="AW115" s="138" t="n">
        <f aca="false">AV115-AW83</f>
        <v>0</v>
      </c>
      <c r="AX115" s="138" t="n">
        <f aca="false">AW115-AX83</f>
        <v>299551.111802051</v>
      </c>
      <c r="AY115" s="138" t="n">
        <f aca="false">AX115-AY83</f>
        <v>299551.111802051</v>
      </c>
      <c r="AZ115" s="138" t="n">
        <f aca="false">AY115-AZ83</f>
        <v>299551.111802051</v>
      </c>
      <c r="BA115" s="138" t="n">
        <f aca="false">AZ115-BA83</f>
        <v>299551.111802051</v>
      </c>
      <c r="BB115" s="138" t="n">
        <f aca="false">BA115-BB83</f>
        <v>299551.111802051</v>
      </c>
      <c r="BC115" s="138" t="n">
        <f aca="false">BB115-BC83</f>
        <v>299551.111802051</v>
      </c>
      <c r="BD115" s="138" t="n">
        <f aca="false">BC115-BD83</f>
        <v>299551.111802051</v>
      </c>
      <c r="BE115" s="138" t="n">
        <f aca="false">BD115-BE83</f>
        <v>299551.111802051</v>
      </c>
      <c r="BF115" s="138" t="n">
        <f aca="false">BE115-BF83</f>
        <v>299551.111802051</v>
      </c>
      <c r="BG115" s="138" t="n">
        <f aca="false">BF115-BG83</f>
        <v>299551.111802051</v>
      </c>
      <c r="BH115" s="138" t="n">
        <f aca="false">BG115-BH83</f>
        <v>299551.111802051</v>
      </c>
      <c r="BI115" s="138" t="n">
        <f aca="false">BH115-BI83</f>
        <v>299551.111802051</v>
      </c>
      <c r="BJ115" s="138" t="n">
        <f aca="false">BI115-BJ83</f>
        <v>600960.062562682</v>
      </c>
      <c r="BK115" s="138" t="n">
        <f aca="false">BJ115-BK83</f>
        <v>600960.062562682</v>
      </c>
      <c r="BL115" s="138" t="n">
        <f aca="false">BK115-BL83</f>
        <v>600960.062562682</v>
      </c>
      <c r="BM115" s="138" t="n">
        <f aca="false">BL115-BM83</f>
        <v>600960.062562682</v>
      </c>
      <c r="BN115" s="138" t="n">
        <f aca="false">BM115-BN83</f>
        <v>600960.062562682</v>
      </c>
      <c r="BO115" s="138" t="n">
        <f aca="false">BN115-BO83</f>
        <v>600960.062562682</v>
      </c>
      <c r="BP115" s="138" t="n">
        <f aca="false">BO115-BP83</f>
        <v>600960.062562682</v>
      </c>
      <c r="BQ115" s="138" t="n">
        <f aca="false">BP115-BQ83</f>
        <v>600960.062562682</v>
      </c>
      <c r="BR115" s="138" t="n">
        <f aca="false">BQ115-BR83</f>
        <v>600960.062562682</v>
      </c>
      <c r="BS115" s="138" t="n">
        <f aca="false">BR115-BS83</f>
        <v>600960.062562682</v>
      </c>
      <c r="BT115" s="138" t="n">
        <f aca="false">BS115-BT83</f>
        <v>600960.062562682</v>
      </c>
      <c r="BU115" s="138" t="n">
        <f aca="false">BT115-BU83</f>
        <v>600960.062562682</v>
      </c>
      <c r="BV115" s="138" t="n">
        <f aca="false">BU115-BV83</f>
        <v>894459.971532578</v>
      </c>
      <c r="BW115" s="138" t="n">
        <f aca="false">BV115-BW83</f>
        <v>894459.971532578</v>
      </c>
      <c r="BX115" s="138" t="n">
        <f aca="false">BW115-BX83</f>
        <v>894459.971532578</v>
      </c>
      <c r="BY115" s="138" t="n">
        <f aca="false">BX115-BY83</f>
        <v>894459.971532578</v>
      </c>
      <c r="BZ115" s="138" t="n">
        <f aca="false">BY115-BZ83</f>
        <v>894459.971532578</v>
      </c>
      <c r="CA115" s="138" t="n">
        <f aca="false">BZ115-CA83</f>
        <v>894459.971532578</v>
      </c>
      <c r="CB115" s="138" t="n">
        <f aca="false">CA115-CB83</f>
        <v>894459.971532578</v>
      </c>
      <c r="CC115" s="138" t="n">
        <f aca="false">CB115-CC83</f>
        <v>894459.971532578</v>
      </c>
      <c r="CD115" s="138" t="n">
        <f aca="false">CC115-CD83</f>
        <v>894459.971532578</v>
      </c>
      <c r="CE115" s="138" t="n">
        <f aca="false">CD115-CE83</f>
        <v>894459.971532578</v>
      </c>
      <c r="CF115" s="138" t="n">
        <f aca="false">CE115-CF83</f>
        <v>894459.971532578</v>
      </c>
      <c r="CG115" s="138" t="n">
        <f aca="false">CF115-CG83</f>
        <v>894459.971532578</v>
      </c>
      <c r="CH115" s="138" t="n">
        <f aca="false">CG115-CH83</f>
        <v>1180015.93065802</v>
      </c>
    </row>
    <row r="116" customFormat="false" ht="13.5" hidden="false" customHeight="true" outlineLevel="0" collapsed="false">
      <c r="A116" s="13" t="s">
        <v>789</v>
      </c>
      <c r="C116" s="138" t="n">
        <f aca="false">Hipótesis!$C$44*(1-Hipótesis!$D$83)</f>
        <v>1540</v>
      </c>
      <c r="D116" s="138" t="n">
        <f aca="false">Hipótesis!$C$44*(1-Hipótesis!$D$83)</f>
        <v>1540</v>
      </c>
      <c r="E116" s="138" t="n">
        <f aca="false">Hipótesis!$C$44*(1-Hipótesis!$D$83)</f>
        <v>1540</v>
      </c>
      <c r="F116" s="138" t="n">
        <f aca="false">Hipótesis!$C$44*(1-Hipótesis!$D$83)</f>
        <v>1540</v>
      </c>
      <c r="G116" s="138" t="n">
        <f aca="false">Hipótesis!$C$44*(1-Hipótesis!$D$83)</f>
        <v>1540</v>
      </c>
      <c r="H116" s="138" t="n">
        <f aca="false">Hipótesis!$C$44*(1-Hipótesis!$D$83)</f>
        <v>1540</v>
      </c>
      <c r="I116" s="138" t="n">
        <f aca="false">Hipótesis!$C$44*(1-Hipótesis!$D$83)</f>
        <v>1540</v>
      </c>
      <c r="J116" s="138" t="n">
        <f aca="false">Hipótesis!$C$44*(1-Hipótesis!$D$83)</f>
        <v>1540</v>
      </c>
      <c r="K116" s="138" t="n">
        <f aca="false">Hipótesis!$C$44*(1-Hipótesis!$D$83)</f>
        <v>1540</v>
      </c>
      <c r="L116" s="138" t="n">
        <f aca="false">Hipótesis!$C$44*(1-Hipótesis!$D$83)</f>
        <v>1540</v>
      </c>
      <c r="M116" s="138" t="n">
        <f aca="false">Hipótesis!$C$44*(1-Hipótesis!$D$83)</f>
        <v>1540</v>
      </c>
      <c r="N116" s="138" t="n">
        <f aca="false">Hipótesis!$C$44*(1-Hipótesis!$D$83)</f>
        <v>1540</v>
      </c>
      <c r="O116" s="138" t="n">
        <f aca="false">Hipótesis!$D$44*(1-Hipótesis!$D$83)</f>
        <v>2450</v>
      </c>
      <c r="P116" s="138" t="n">
        <f aca="false">Hipótesis!$D$44*(1-Hipótesis!$D$83)</f>
        <v>2450</v>
      </c>
      <c r="Q116" s="138" t="n">
        <f aca="false">Hipótesis!$D$44*(1-Hipótesis!$D$83)</f>
        <v>2450</v>
      </c>
      <c r="R116" s="138" t="n">
        <f aca="false">Hipótesis!$D$44*(1-Hipótesis!$D$83)</f>
        <v>2450</v>
      </c>
      <c r="S116" s="138" t="n">
        <f aca="false">Hipótesis!$D$44*(1-Hipótesis!$D$83)</f>
        <v>2450</v>
      </c>
      <c r="T116" s="138" t="n">
        <f aca="false">Hipótesis!$D$44*(1-Hipótesis!$D$83)</f>
        <v>2450</v>
      </c>
      <c r="U116" s="138" t="n">
        <f aca="false">Hipótesis!$D$44*(1-Hipótesis!$D$83)</f>
        <v>2450</v>
      </c>
      <c r="V116" s="138" t="n">
        <f aca="false">Hipótesis!$D$44*(1-Hipótesis!$D$83)</f>
        <v>2450</v>
      </c>
      <c r="W116" s="138" t="n">
        <f aca="false">Hipótesis!$D$44*(1-Hipótesis!$D$83)</f>
        <v>2450</v>
      </c>
      <c r="X116" s="138" t="n">
        <f aca="false">Hipótesis!$D$44*(1-Hipótesis!$D$83)</f>
        <v>2450</v>
      </c>
      <c r="Y116" s="138" t="n">
        <f aca="false">Hipótesis!$D$44*(1-Hipótesis!$D$83)</f>
        <v>2450</v>
      </c>
      <c r="Z116" s="138" t="n">
        <f aca="false">Hipótesis!$D$44*(1-Hipótesis!$D$83)</f>
        <v>2450</v>
      </c>
      <c r="AA116" s="138" t="n">
        <f aca="false">Hipótesis!$E$44*(1-Hipótesis!$D$83)</f>
        <v>2800</v>
      </c>
      <c r="AB116" s="138" t="n">
        <f aca="false">Hipótesis!$E$44*(1-Hipótesis!$D$83)</f>
        <v>2800</v>
      </c>
      <c r="AC116" s="138" t="n">
        <f aca="false">Hipótesis!$E$44*(1-Hipótesis!$D$83)</f>
        <v>2800</v>
      </c>
      <c r="AD116" s="138" t="n">
        <f aca="false">Hipótesis!$E$44*(1-Hipótesis!$D$83)</f>
        <v>2800</v>
      </c>
      <c r="AE116" s="138" t="n">
        <f aca="false">Hipótesis!$E$44*(1-Hipótesis!$D$83)</f>
        <v>2800</v>
      </c>
      <c r="AF116" s="138" t="n">
        <f aca="false">Hipótesis!$E$44*(1-Hipótesis!$D$83)</f>
        <v>2800</v>
      </c>
      <c r="AG116" s="138" t="n">
        <f aca="false">Hipótesis!$E$44*(1-Hipótesis!$D$83)</f>
        <v>2800</v>
      </c>
      <c r="AH116" s="138" t="n">
        <f aca="false">Hipótesis!$E$44*(1-Hipótesis!$D$83)</f>
        <v>2800</v>
      </c>
      <c r="AI116" s="138" t="n">
        <f aca="false">Hipótesis!$E$44*(1-Hipótesis!$D$83)</f>
        <v>2800</v>
      </c>
      <c r="AJ116" s="138" t="n">
        <f aca="false">Hipótesis!$E$44*(1-Hipótesis!$D$83)</f>
        <v>2800</v>
      </c>
      <c r="AK116" s="138" t="n">
        <f aca="false">Hipótesis!$E$44*(1-Hipótesis!$D$83)</f>
        <v>2800</v>
      </c>
      <c r="AL116" s="138" t="n">
        <f aca="false">Hipótesis!$E$44*(1-Hipótesis!$D$83)</f>
        <v>2800</v>
      </c>
      <c r="AM116" s="138" t="n">
        <f aca="false">Hipótesis!$F$44*(1-Hipótesis!$D$83)</f>
        <v>3150</v>
      </c>
      <c r="AN116" s="138" t="n">
        <f aca="false">Hipótesis!$F$44*(1-Hipótesis!$D$83)</f>
        <v>3150</v>
      </c>
      <c r="AO116" s="138" t="n">
        <f aca="false">Hipótesis!$F$44*(1-Hipótesis!$D$83)</f>
        <v>3150</v>
      </c>
      <c r="AP116" s="138" t="n">
        <f aca="false">Hipótesis!$F$44*(1-Hipótesis!$D$83)</f>
        <v>3150</v>
      </c>
      <c r="AQ116" s="138" t="n">
        <f aca="false">Hipótesis!$F$44*(1-Hipótesis!$D$83)</f>
        <v>3150</v>
      </c>
      <c r="AR116" s="138" t="n">
        <f aca="false">Hipótesis!$F$44*(1-Hipótesis!$D$83)</f>
        <v>3150</v>
      </c>
      <c r="AS116" s="138" t="n">
        <f aca="false">Hipótesis!$F$44*(1-Hipótesis!$D$83)</f>
        <v>3150</v>
      </c>
      <c r="AT116" s="138" t="n">
        <f aca="false">Hipótesis!$F$44*(1-Hipótesis!$D$83)</f>
        <v>3150</v>
      </c>
      <c r="AU116" s="138" t="n">
        <f aca="false">Hipótesis!$F$44*(1-Hipótesis!$D$83)</f>
        <v>3150</v>
      </c>
      <c r="AV116" s="138" t="n">
        <f aca="false">Hipótesis!$F$44*(1-Hipótesis!$D$83)</f>
        <v>3150</v>
      </c>
      <c r="AW116" s="138" t="n">
        <f aca="false">Hipótesis!$F$44*(1-Hipótesis!$D$83)</f>
        <v>3150</v>
      </c>
      <c r="AX116" s="138" t="n">
        <f aca="false">Hipótesis!$F$44*(1-Hipótesis!$D$83)</f>
        <v>3150</v>
      </c>
      <c r="AY116" s="138" t="n">
        <f aca="false">Hipótesis!$G$44*(1-Hipótesis!$D$83)</f>
        <v>3500</v>
      </c>
      <c r="AZ116" s="138" t="n">
        <f aca="false">Hipótesis!$G$44*(1-Hipótesis!$D$83)</f>
        <v>3500</v>
      </c>
      <c r="BA116" s="138" t="n">
        <f aca="false">Hipótesis!$G$44*(1-Hipótesis!$D$83)</f>
        <v>3500</v>
      </c>
      <c r="BB116" s="138" t="n">
        <f aca="false">Hipótesis!$G$44*(1-Hipótesis!$D$83)</f>
        <v>3500</v>
      </c>
      <c r="BC116" s="138" t="n">
        <f aca="false">Hipótesis!$G$44*(1-Hipótesis!$D$83)</f>
        <v>3500</v>
      </c>
      <c r="BD116" s="138" t="n">
        <f aca="false">Hipótesis!$G$44*(1-Hipótesis!$D$83)</f>
        <v>3500</v>
      </c>
      <c r="BE116" s="138" t="n">
        <f aca="false">Hipótesis!$G$44*(1-Hipótesis!$D$83)</f>
        <v>3500</v>
      </c>
      <c r="BF116" s="138" t="n">
        <f aca="false">Hipótesis!$G$44*(1-Hipótesis!$D$83)</f>
        <v>3500</v>
      </c>
      <c r="BG116" s="138" t="n">
        <f aca="false">Hipótesis!$G$44*(1-Hipótesis!$D$83)</f>
        <v>3500</v>
      </c>
      <c r="BH116" s="138" t="n">
        <f aca="false">Hipótesis!$G$44*(1-Hipótesis!$D$83)</f>
        <v>3500</v>
      </c>
      <c r="BI116" s="138" t="n">
        <f aca="false">Hipótesis!$G$44*(1-Hipótesis!$D$83)</f>
        <v>3500</v>
      </c>
      <c r="BJ116" s="138" t="n">
        <f aca="false">Hipótesis!$G$44*(1-Hipótesis!$D$83)</f>
        <v>3500</v>
      </c>
      <c r="BK116" s="138" t="n">
        <f aca="false">Hipótesis!$H$44*(1-Hipótesis!$D$83)</f>
        <v>3850</v>
      </c>
      <c r="BL116" s="138" t="n">
        <f aca="false">Hipótesis!$H$44*(1-Hipótesis!$D$83)</f>
        <v>3850</v>
      </c>
      <c r="BM116" s="138" t="n">
        <f aca="false">Hipótesis!$H$44*(1-Hipótesis!$D$83)</f>
        <v>3850</v>
      </c>
      <c r="BN116" s="138" t="n">
        <f aca="false">Hipótesis!$H$44*(1-Hipótesis!$D$83)</f>
        <v>3850</v>
      </c>
      <c r="BO116" s="138" t="n">
        <f aca="false">Hipótesis!$H$44*(1-Hipótesis!$D$83)</f>
        <v>3850</v>
      </c>
      <c r="BP116" s="138" t="n">
        <f aca="false">Hipótesis!$H$44*(1-Hipótesis!$D$83)</f>
        <v>3850</v>
      </c>
      <c r="BQ116" s="138" t="n">
        <f aca="false">Hipótesis!$H$44*(1-Hipótesis!$D$83)</f>
        <v>3850</v>
      </c>
      <c r="BR116" s="138" t="n">
        <f aca="false">Hipótesis!$H$44*(1-Hipótesis!$D$83)</f>
        <v>3850</v>
      </c>
      <c r="BS116" s="138" t="n">
        <f aca="false">Hipótesis!$H$44*(1-Hipótesis!$D$83)</f>
        <v>3850</v>
      </c>
      <c r="BT116" s="138" t="n">
        <f aca="false">Hipótesis!$H$44*(1-Hipótesis!$D$83)</f>
        <v>3850</v>
      </c>
      <c r="BU116" s="138" t="n">
        <f aca="false">Hipótesis!$H$44*(1-Hipótesis!$D$83)</f>
        <v>3850</v>
      </c>
      <c r="BV116" s="138" t="n">
        <f aca="false">Hipótesis!$H$44*(1-Hipótesis!$D$83)</f>
        <v>3850</v>
      </c>
      <c r="BW116" s="138" t="n">
        <f aca="false">Hipótesis!$I$44*(1-Hipótesis!$D$83)</f>
        <v>4200</v>
      </c>
      <c r="BX116" s="138" t="n">
        <f aca="false">Hipótesis!$I$44*(1-Hipótesis!$D$83)</f>
        <v>4200</v>
      </c>
      <c r="BY116" s="138" t="n">
        <f aca="false">Hipótesis!$I$44*(1-Hipótesis!$D$83)</f>
        <v>4200</v>
      </c>
      <c r="BZ116" s="138" t="n">
        <f aca="false">Hipótesis!$I$44*(1-Hipótesis!$D$83)</f>
        <v>4200</v>
      </c>
      <c r="CA116" s="138" t="n">
        <f aca="false">Hipótesis!$I$44*(1-Hipótesis!$D$83)</f>
        <v>4200</v>
      </c>
      <c r="CB116" s="138" t="n">
        <f aca="false">Hipótesis!$I$44*(1-Hipótesis!$D$83)</f>
        <v>4200</v>
      </c>
      <c r="CC116" s="138" t="n">
        <f aca="false">Hipótesis!$I$44*(1-Hipótesis!$D$83)</f>
        <v>4200</v>
      </c>
      <c r="CD116" s="138" t="n">
        <f aca="false">Hipótesis!$I$44*(1-Hipótesis!$D$83)</f>
        <v>4200</v>
      </c>
      <c r="CE116" s="138" t="n">
        <f aca="false">Hipótesis!$I$44*(1-Hipótesis!$D$83)</f>
        <v>4200</v>
      </c>
      <c r="CF116" s="138" t="n">
        <f aca="false">Hipótesis!$I$44*(1-Hipótesis!$D$83)</f>
        <v>4200</v>
      </c>
      <c r="CG116" s="138" t="n">
        <f aca="false">Hipótesis!$I$44*(1-Hipótesis!$D$83)</f>
        <v>4200</v>
      </c>
      <c r="CH116" s="138" t="n">
        <f aca="false">Hipótesis!$I$44*(1-Hipótesis!$D$83)</f>
        <v>4200</v>
      </c>
    </row>
    <row r="117" customFormat="false" ht="13.5" hidden="false" customHeight="true" outlineLevel="0" collapsed="false">
      <c r="A117" s="13" t="s">
        <v>790</v>
      </c>
      <c r="C117" s="138" t="n">
        <f aca="false">-C84*Hipótesis!$D$82*(1-Hipótesis!$D$84)</f>
        <v>0</v>
      </c>
      <c r="D117" s="138" t="n">
        <f aca="false">-D84*Hipótesis!$D$82*(1-Hipótesis!$D$84)</f>
        <v>0</v>
      </c>
      <c r="E117" s="138" t="n">
        <f aca="false">-E84*Hipótesis!$D$82*(1-Hipótesis!$D$84)</f>
        <v>0</v>
      </c>
      <c r="F117" s="138" t="n">
        <f aca="false">-F84*Hipótesis!$D$82*(1-Hipótesis!$D$84)</f>
        <v>0</v>
      </c>
      <c r="G117" s="138" t="n">
        <f aca="false">-G84*Hipótesis!$D$82*(1-Hipótesis!$D$84)</f>
        <v>0</v>
      </c>
      <c r="H117" s="138" t="n">
        <f aca="false">-H84*Hipótesis!$D$82*(1-Hipótesis!$D$84)</f>
        <v>0</v>
      </c>
      <c r="I117" s="138" t="n">
        <f aca="false">-I84*Hipótesis!$D$82*(1-Hipótesis!$D$84)</f>
        <v>0</v>
      </c>
      <c r="J117" s="138" t="n">
        <f aca="false">-J84*Hipótesis!$D$82*(1-Hipótesis!$D$84)</f>
        <v>0</v>
      </c>
      <c r="K117" s="138" t="n">
        <f aca="false">-K84*Hipótesis!$D$82*(1-Hipótesis!$D$84)</f>
        <v>0</v>
      </c>
      <c r="L117" s="138" t="n">
        <f aca="false">-L84*Hipótesis!$D$82*(1-Hipótesis!$D$84)</f>
        <v>0</v>
      </c>
      <c r="M117" s="138" t="n">
        <f aca="false">-M84*Hipótesis!$D$82*(1-Hipótesis!$D$84)</f>
        <v>0</v>
      </c>
      <c r="N117" s="138" t="n">
        <f aca="false">-N84*Hipótesis!$D$82*(1-Hipótesis!$D$84)</f>
        <v>0</v>
      </c>
      <c r="O117" s="138" t="n">
        <f aca="false">-O84*Hipótesis!$D$82*(1-Hipótesis!$D$84)</f>
        <v>0</v>
      </c>
      <c r="P117" s="138" t="n">
        <f aca="false">-P84*Hipótesis!$D$82*(1-Hipótesis!$D$84)</f>
        <v>0</v>
      </c>
      <c r="Q117" s="138" t="n">
        <f aca="false">-Q84*Hipótesis!$D$82*(1-Hipótesis!$D$84)</f>
        <v>0</v>
      </c>
      <c r="R117" s="138" t="n">
        <f aca="false">-R84*Hipótesis!$D$82*(1-Hipótesis!$D$84)</f>
        <v>0</v>
      </c>
      <c r="S117" s="138" t="n">
        <f aca="false">-S84*Hipótesis!$D$82*(1-Hipótesis!$D$84)</f>
        <v>0</v>
      </c>
      <c r="T117" s="138" t="n">
        <f aca="false">-T84*Hipótesis!$D$82*(1-Hipótesis!$D$84)</f>
        <v>0</v>
      </c>
      <c r="U117" s="138" t="n">
        <f aca="false">-U84*Hipótesis!$D$82*(1-Hipótesis!$D$84)</f>
        <v>0</v>
      </c>
      <c r="V117" s="138" t="n">
        <f aca="false">-V84*Hipótesis!$D$82*(1-Hipótesis!$D$84)</f>
        <v>0</v>
      </c>
      <c r="W117" s="138" t="n">
        <f aca="false">-W84*Hipótesis!$D$82*(1-Hipótesis!$D$84)</f>
        <v>0</v>
      </c>
      <c r="X117" s="138" t="n">
        <f aca="false">-X84*Hipótesis!$D$82*(1-Hipótesis!$D$84)</f>
        <v>0</v>
      </c>
      <c r="Y117" s="138" t="n">
        <f aca="false">-Y84*Hipótesis!$D$82*(1-Hipótesis!$D$84)</f>
        <v>0</v>
      </c>
      <c r="Z117" s="138" t="n">
        <f aca="false">-Z84*Hipótesis!$D$82*(1-Hipótesis!$D$84)</f>
        <v>0</v>
      </c>
      <c r="AA117" s="138" t="n">
        <f aca="false">-AA84*Hipótesis!$D$82*(1-Hipótesis!$D$84)</f>
        <v>0</v>
      </c>
      <c r="AB117" s="138" t="n">
        <f aca="false">-AB84*Hipótesis!$D$82*(1-Hipótesis!$D$84)</f>
        <v>0</v>
      </c>
      <c r="AC117" s="138" t="n">
        <f aca="false">-AC84*Hipótesis!$D$82*(1-Hipótesis!$D$84)</f>
        <v>0</v>
      </c>
      <c r="AD117" s="138" t="n">
        <f aca="false">-AD84*Hipótesis!$D$82*(1-Hipótesis!$D$84)</f>
        <v>0</v>
      </c>
      <c r="AE117" s="138" t="n">
        <f aca="false">-AE84*Hipótesis!$D$82*(1-Hipótesis!$D$84)</f>
        <v>0</v>
      </c>
      <c r="AF117" s="138" t="n">
        <f aca="false">-AF84*Hipótesis!$D$82*(1-Hipótesis!$D$84)</f>
        <v>0</v>
      </c>
      <c r="AG117" s="138" t="n">
        <f aca="false">-AG84*Hipótesis!$D$82*(1-Hipótesis!$D$84)</f>
        <v>0</v>
      </c>
      <c r="AH117" s="138" t="n">
        <f aca="false">-AH84*Hipótesis!$D$82*(1-Hipótesis!$D$84)</f>
        <v>0</v>
      </c>
      <c r="AI117" s="138" t="n">
        <f aca="false">-AI84*Hipótesis!$D$82*(1-Hipótesis!$D$84)</f>
        <v>0</v>
      </c>
      <c r="AJ117" s="138" t="n">
        <f aca="false">-AJ84*Hipótesis!$D$82*(1-Hipótesis!$D$84)</f>
        <v>0</v>
      </c>
      <c r="AK117" s="138" t="n">
        <f aca="false">-AK84*Hipótesis!$D$82*(1-Hipótesis!$D$84)</f>
        <v>0</v>
      </c>
      <c r="AL117" s="138" t="n">
        <f aca="false">-AL84*Hipótesis!$D$82*(1-Hipótesis!$D$84)</f>
        <v>0</v>
      </c>
      <c r="AM117" s="138" t="n">
        <f aca="false">-AM84*Hipótesis!$D$82*(1-Hipótesis!$D$84)</f>
        <v>0</v>
      </c>
      <c r="AN117" s="138" t="n">
        <f aca="false">-AN84*Hipótesis!$D$82*(1-Hipótesis!$D$84)</f>
        <v>0</v>
      </c>
      <c r="AO117" s="138" t="n">
        <f aca="false">-AO84*Hipótesis!$D$82*(1-Hipótesis!$D$84)</f>
        <v>0</v>
      </c>
      <c r="AP117" s="138" t="n">
        <f aca="false">-AP84*Hipótesis!$D$82*(1-Hipótesis!$D$84)</f>
        <v>0</v>
      </c>
      <c r="AQ117" s="138" t="n">
        <f aca="false">-AQ84*Hipótesis!$D$82*(1-Hipótesis!$D$84)</f>
        <v>0</v>
      </c>
      <c r="AR117" s="138" t="n">
        <f aca="false">-AR84*Hipótesis!$D$82*(1-Hipótesis!$D$84)</f>
        <v>0</v>
      </c>
      <c r="AS117" s="138" t="n">
        <f aca="false">-AS84*Hipótesis!$D$82*(1-Hipótesis!$D$84)</f>
        <v>0</v>
      </c>
      <c r="AT117" s="138" t="n">
        <f aca="false">-AT84*Hipótesis!$D$82*(1-Hipótesis!$D$84)</f>
        <v>0</v>
      </c>
      <c r="AU117" s="138" t="n">
        <f aca="false">-AU84*Hipótesis!$D$82*(1-Hipótesis!$D$84)</f>
        <v>0</v>
      </c>
      <c r="AV117" s="138" t="n">
        <f aca="false">-AV84*Hipótesis!$D$82*(1-Hipótesis!$D$84)</f>
        <v>0</v>
      </c>
      <c r="AW117" s="138" t="n">
        <f aca="false">-AW84*Hipótesis!$D$82*(1-Hipótesis!$D$84)</f>
        <v>0</v>
      </c>
      <c r="AX117" s="138" t="n">
        <f aca="false">-AX84*Hipótesis!$D$82*(1-Hipótesis!$D$84)</f>
        <v>0</v>
      </c>
      <c r="AY117" s="138" t="n">
        <f aca="false">-AY84*Hipótesis!$D$82*(1-Hipótesis!$D$84)</f>
        <v>0</v>
      </c>
      <c r="AZ117" s="138" t="n">
        <f aca="false">-AZ84*Hipótesis!$D$82*(1-Hipótesis!$D$84)</f>
        <v>0</v>
      </c>
      <c r="BA117" s="138" t="n">
        <f aca="false">-BA84*Hipótesis!$D$82*(1-Hipótesis!$D$84)</f>
        <v>0</v>
      </c>
      <c r="BB117" s="138" t="n">
        <f aca="false">-BB84*Hipótesis!$D$82*(1-Hipótesis!$D$84)</f>
        <v>0</v>
      </c>
      <c r="BC117" s="138" t="n">
        <f aca="false">-BC84*Hipótesis!$D$82*(1-Hipótesis!$D$84)</f>
        <v>0</v>
      </c>
      <c r="BD117" s="138" t="n">
        <f aca="false">-BD84*Hipótesis!$D$82*(1-Hipótesis!$D$84)</f>
        <v>0</v>
      </c>
      <c r="BE117" s="138" t="n">
        <f aca="false">-BE84*Hipótesis!$D$82*(1-Hipótesis!$D$84)</f>
        <v>0</v>
      </c>
      <c r="BF117" s="138" t="n">
        <f aca="false">-BF84*Hipótesis!$D$82*(1-Hipótesis!$D$84)</f>
        <v>0</v>
      </c>
      <c r="BG117" s="138" t="n">
        <f aca="false">-BG84*Hipótesis!$D$82*(1-Hipótesis!$D$84)</f>
        <v>0</v>
      </c>
      <c r="BH117" s="138" t="n">
        <f aca="false">-BH84*Hipótesis!$D$82*(1-Hipótesis!$D$84)</f>
        <v>0</v>
      </c>
      <c r="BI117" s="138" t="n">
        <f aca="false">-BI84*Hipótesis!$D$82*(1-Hipótesis!$D$84)</f>
        <v>0</v>
      </c>
      <c r="BJ117" s="138" t="n">
        <f aca="false">-BJ84*Hipótesis!$D$82*(1-Hipótesis!$D$84)</f>
        <v>0</v>
      </c>
      <c r="BK117" s="138" t="n">
        <f aca="false">-BK84*Hipótesis!$D$82*(1-Hipótesis!$D$84)</f>
        <v>0</v>
      </c>
      <c r="BL117" s="138" t="n">
        <f aca="false">-BL84*Hipótesis!$D$82*(1-Hipótesis!$D$84)</f>
        <v>0</v>
      </c>
      <c r="BM117" s="138" t="n">
        <f aca="false">-BM84*Hipótesis!$D$82*(1-Hipótesis!$D$84)</f>
        <v>0</v>
      </c>
      <c r="BN117" s="138" t="n">
        <f aca="false">-BN84*Hipótesis!$D$82*(1-Hipótesis!$D$84)</f>
        <v>0</v>
      </c>
      <c r="BO117" s="138" t="n">
        <f aca="false">-BO84*Hipótesis!$D$82*(1-Hipótesis!$D$84)</f>
        <v>0</v>
      </c>
      <c r="BP117" s="138" t="n">
        <f aca="false">-BP84*Hipótesis!$D$82*(1-Hipótesis!$D$84)</f>
        <v>0</v>
      </c>
      <c r="BQ117" s="138" t="n">
        <f aca="false">-BQ84*Hipótesis!$D$82*(1-Hipótesis!$D$84)</f>
        <v>0</v>
      </c>
      <c r="BR117" s="138" t="n">
        <f aca="false">-BR84*Hipótesis!$D$82*(1-Hipótesis!$D$84)</f>
        <v>0</v>
      </c>
      <c r="BS117" s="138" t="n">
        <f aca="false">-BS84*Hipótesis!$D$82*(1-Hipótesis!$D$84)</f>
        <v>0</v>
      </c>
      <c r="BT117" s="138" t="n">
        <f aca="false">-BT84*Hipótesis!$D$82*(1-Hipótesis!$D$84)</f>
        <v>0</v>
      </c>
      <c r="BU117" s="138" t="n">
        <f aca="false">-BU84*Hipótesis!$D$82*(1-Hipótesis!$D$84)</f>
        <v>0</v>
      </c>
      <c r="BV117" s="138" t="n">
        <f aca="false">-BV84*Hipótesis!$D$82*(1-Hipótesis!$D$84)</f>
        <v>0</v>
      </c>
      <c r="BW117" s="138" t="n">
        <f aca="false">-BW84*Hipótesis!$D$82*(1-Hipótesis!$D$84)</f>
        <v>0</v>
      </c>
      <c r="BX117" s="138" t="n">
        <f aca="false">-BX84*Hipótesis!$D$82*(1-Hipótesis!$D$84)</f>
        <v>0</v>
      </c>
      <c r="BY117" s="138" t="n">
        <f aca="false">-BY84*Hipótesis!$D$82*(1-Hipótesis!$D$84)</f>
        <v>0</v>
      </c>
      <c r="BZ117" s="138" t="n">
        <f aca="false">-BZ84*Hipótesis!$D$82*(1-Hipótesis!$D$84)</f>
        <v>0</v>
      </c>
      <c r="CA117" s="138" t="n">
        <f aca="false">-CA84*Hipótesis!$D$82*(1-Hipótesis!$D$84)</f>
        <v>0</v>
      </c>
      <c r="CB117" s="138" t="n">
        <f aca="false">-CB84*Hipótesis!$D$82*(1-Hipótesis!$D$84)</f>
        <v>0</v>
      </c>
      <c r="CC117" s="138" t="n">
        <f aca="false">-CC84*Hipótesis!$D$82*(1-Hipótesis!$D$84)</f>
        <v>0</v>
      </c>
      <c r="CD117" s="138" t="n">
        <f aca="false">-CD84*Hipótesis!$D$82*(1-Hipótesis!$D$84)</f>
        <v>0</v>
      </c>
      <c r="CE117" s="138" t="n">
        <f aca="false">-CE84*Hipótesis!$D$82*(1-Hipótesis!$D$84)</f>
        <v>0</v>
      </c>
      <c r="CF117" s="138" t="n">
        <f aca="false">-CF84*Hipótesis!$D$82*(1-Hipótesis!$D$84)</f>
        <v>0</v>
      </c>
      <c r="CG117" s="138" t="n">
        <f aca="false">-CG84*Hipótesis!$D$82*(1-Hipótesis!$D$84)</f>
        <v>0</v>
      </c>
      <c r="CH117" s="138" t="n">
        <f aca="false">-CH84*Hipótesis!$D$82*(1-Hipótesis!$D$84)</f>
        <v>0</v>
      </c>
    </row>
    <row r="118" customFormat="false" ht="13.5" hidden="false" customHeight="true" outlineLevel="0" collapsed="false">
      <c r="A118" s="30" t="s">
        <v>791</v>
      </c>
      <c r="C118" s="138" t="n">
        <f aca="false">C116+C117</f>
        <v>1540</v>
      </c>
      <c r="D118" s="138" t="n">
        <f aca="false">D116+D117</f>
        <v>1540</v>
      </c>
      <c r="E118" s="138" t="n">
        <f aca="false">E116+E117</f>
        <v>1540</v>
      </c>
      <c r="F118" s="138" t="n">
        <f aca="false">F116+F117</f>
        <v>1540</v>
      </c>
      <c r="G118" s="138" t="n">
        <f aca="false">G116+G117</f>
        <v>1540</v>
      </c>
      <c r="H118" s="138" t="n">
        <f aca="false">H116+H117</f>
        <v>1540</v>
      </c>
      <c r="I118" s="138" t="n">
        <f aca="false">I116+I117</f>
        <v>1540</v>
      </c>
      <c r="J118" s="138" t="n">
        <f aca="false">J116+J117</f>
        <v>1540</v>
      </c>
      <c r="K118" s="138" t="n">
        <f aca="false">K116+K117</f>
        <v>1540</v>
      </c>
      <c r="L118" s="138" t="n">
        <f aca="false">L116+L117</f>
        <v>1540</v>
      </c>
      <c r="M118" s="138" t="n">
        <f aca="false">M116+M117</f>
        <v>1540</v>
      </c>
      <c r="N118" s="138" t="n">
        <f aca="false">N116+N117</f>
        <v>1540</v>
      </c>
      <c r="O118" s="138" t="n">
        <f aca="false">O116+O117</f>
        <v>2450</v>
      </c>
      <c r="P118" s="138" t="n">
        <f aca="false">P116+P117</f>
        <v>2450</v>
      </c>
      <c r="Q118" s="138" t="n">
        <f aca="false">Q116+Q117</f>
        <v>2450</v>
      </c>
      <c r="R118" s="138" t="n">
        <f aca="false">R116+R117</f>
        <v>2450</v>
      </c>
      <c r="S118" s="138" t="n">
        <f aca="false">S116+S117</f>
        <v>2450</v>
      </c>
      <c r="T118" s="138" t="n">
        <f aca="false">T116+T117</f>
        <v>2450</v>
      </c>
      <c r="U118" s="138" t="n">
        <f aca="false">U116+U117</f>
        <v>2450</v>
      </c>
      <c r="V118" s="138" t="n">
        <f aca="false">V116+V117</f>
        <v>2450</v>
      </c>
      <c r="W118" s="138" t="n">
        <f aca="false">W116+W117</f>
        <v>2450</v>
      </c>
      <c r="X118" s="138" t="n">
        <f aca="false">X116+X117</f>
        <v>2450</v>
      </c>
      <c r="Y118" s="138" t="n">
        <f aca="false">Y116+Y117</f>
        <v>2450</v>
      </c>
      <c r="Z118" s="138" t="n">
        <f aca="false">Z116+Z117</f>
        <v>2450</v>
      </c>
      <c r="AA118" s="138" t="n">
        <f aca="false">AA116+AA117</f>
        <v>2800</v>
      </c>
      <c r="AB118" s="138" t="n">
        <f aca="false">AB116+AB117</f>
        <v>2800</v>
      </c>
      <c r="AC118" s="138" t="n">
        <f aca="false">AC116+AC117</f>
        <v>2800</v>
      </c>
      <c r="AD118" s="138" t="n">
        <f aca="false">AD116+AD117</f>
        <v>2800</v>
      </c>
      <c r="AE118" s="138" t="n">
        <f aca="false">AE116+AE117</f>
        <v>2800</v>
      </c>
      <c r="AF118" s="138" t="n">
        <f aca="false">AF116+AF117</f>
        <v>2800</v>
      </c>
      <c r="AG118" s="138" t="n">
        <f aca="false">AG116+AG117</f>
        <v>2800</v>
      </c>
      <c r="AH118" s="138" t="n">
        <f aca="false">AH116+AH117</f>
        <v>2800</v>
      </c>
      <c r="AI118" s="138" t="n">
        <f aca="false">AI116+AI117</f>
        <v>2800</v>
      </c>
      <c r="AJ118" s="138" t="n">
        <f aca="false">AJ116+AJ117</f>
        <v>2800</v>
      </c>
      <c r="AK118" s="138" t="n">
        <f aca="false">AK116+AK117</f>
        <v>2800</v>
      </c>
      <c r="AL118" s="138" t="n">
        <f aca="false">AL116+AL117</f>
        <v>2800</v>
      </c>
      <c r="AM118" s="138" t="n">
        <f aca="false">AM116+AM117</f>
        <v>3150</v>
      </c>
      <c r="AN118" s="138" t="n">
        <f aca="false">AN116+AN117</f>
        <v>3150</v>
      </c>
      <c r="AO118" s="138" t="n">
        <f aca="false">AO116+AO117</f>
        <v>3150</v>
      </c>
      <c r="AP118" s="138" t="n">
        <f aca="false">AP116+AP117</f>
        <v>3150</v>
      </c>
      <c r="AQ118" s="138" t="n">
        <f aca="false">AQ116+AQ117</f>
        <v>3150</v>
      </c>
      <c r="AR118" s="138" t="n">
        <f aca="false">AR116+AR117</f>
        <v>3150</v>
      </c>
      <c r="AS118" s="138" t="n">
        <f aca="false">AS116+AS117</f>
        <v>3150</v>
      </c>
      <c r="AT118" s="138" t="n">
        <f aca="false">AT116+AT117</f>
        <v>3150</v>
      </c>
      <c r="AU118" s="138" t="n">
        <f aca="false">AU116+AU117</f>
        <v>3150</v>
      </c>
      <c r="AV118" s="138" t="n">
        <f aca="false">AV116+AV117</f>
        <v>3150</v>
      </c>
      <c r="AW118" s="138" t="n">
        <f aca="false">AW116+AW117</f>
        <v>3150</v>
      </c>
      <c r="AX118" s="138" t="n">
        <f aca="false">AX116+AX117</f>
        <v>3150</v>
      </c>
      <c r="AY118" s="138" t="n">
        <f aca="false">AY116+AY117</f>
        <v>3500</v>
      </c>
      <c r="AZ118" s="138" t="n">
        <f aca="false">AZ116+AZ117</f>
        <v>3500</v>
      </c>
      <c r="BA118" s="138" t="n">
        <f aca="false">BA116+BA117</f>
        <v>3500</v>
      </c>
      <c r="BB118" s="138" t="n">
        <f aca="false">BB116+BB117</f>
        <v>3500</v>
      </c>
      <c r="BC118" s="138" t="n">
        <f aca="false">BC116+BC117</f>
        <v>3500</v>
      </c>
      <c r="BD118" s="138" t="n">
        <f aca="false">BD116+BD117</f>
        <v>3500</v>
      </c>
      <c r="BE118" s="138" t="n">
        <f aca="false">BE116+BE117</f>
        <v>3500</v>
      </c>
      <c r="BF118" s="138" t="n">
        <f aca="false">BF116+BF117</f>
        <v>3500</v>
      </c>
      <c r="BG118" s="138" t="n">
        <f aca="false">BG116+BG117</f>
        <v>3500</v>
      </c>
      <c r="BH118" s="138" t="n">
        <f aca="false">BH116+BH117</f>
        <v>3500</v>
      </c>
      <c r="BI118" s="138" t="n">
        <f aca="false">BI116+BI117</f>
        <v>3500</v>
      </c>
      <c r="BJ118" s="138" t="n">
        <f aca="false">BJ116+BJ117</f>
        <v>3500</v>
      </c>
      <c r="BK118" s="138" t="n">
        <f aca="false">BK116+BK117</f>
        <v>3850</v>
      </c>
      <c r="BL118" s="138" t="n">
        <f aca="false">BL116+BL117</f>
        <v>3850</v>
      </c>
      <c r="BM118" s="138" t="n">
        <f aca="false">BM116+BM117</f>
        <v>3850</v>
      </c>
      <c r="BN118" s="138" t="n">
        <f aca="false">BN116+BN117</f>
        <v>3850</v>
      </c>
      <c r="BO118" s="138" t="n">
        <f aca="false">BO116+BO117</f>
        <v>3850</v>
      </c>
      <c r="BP118" s="138" t="n">
        <f aca="false">BP116+BP117</f>
        <v>3850</v>
      </c>
      <c r="BQ118" s="138" t="n">
        <f aca="false">BQ116+BQ117</f>
        <v>3850</v>
      </c>
      <c r="BR118" s="138" t="n">
        <f aca="false">BR116+BR117</f>
        <v>3850</v>
      </c>
      <c r="BS118" s="138" t="n">
        <f aca="false">BS116+BS117</f>
        <v>3850</v>
      </c>
      <c r="BT118" s="138" t="n">
        <f aca="false">BT116+BT117</f>
        <v>3850</v>
      </c>
      <c r="BU118" s="138" t="n">
        <f aca="false">BU116+BU117</f>
        <v>3850</v>
      </c>
      <c r="BV118" s="138" t="n">
        <f aca="false">BV116+BV117</f>
        <v>3850</v>
      </c>
      <c r="BW118" s="138" t="n">
        <f aca="false">BW116+BW117</f>
        <v>4200</v>
      </c>
      <c r="BX118" s="138" t="n">
        <f aca="false">BX116+BX117</f>
        <v>4200</v>
      </c>
      <c r="BY118" s="138" t="n">
        <f aca="false">BY116+BY117</f>
        <v>4200</v>
      </c>
      <c r="BZ118" s="138" t="n">
        <f aca="false">BZ116+BZ117</f>
        <v>4200</v>
      </c>
      <c r="CA118" s="138" t="n">
        <f aca="false">CA116+CA117</f>
        <v>4200</v>
      </c>
      <c r="CB118" s="138" t="n">
        <f aca="false">CB116+CB117</f>
        <v>4200</v>
      </c>
      <c r="CC118" s="138" t="n">
        <f aca="false">CC116+CC117</f>
        <v>4200</v>
      </c>
      <c r="CD118" s="138" t="n">
        <f aca="false">CD116+CD117</f>
        <v>4200</v>
      </c>
      <c r="CE118" s="138" t="n">
        <f aca="false">CE116+CE117</f>
        <v>4200</v>
      </c>
      <c r="CF118" s="138" t="n">
        <f aca="false">CF116+CF117</f>
        <v>4200</v>
      </c>
      <c r="CG118" s="138" t="n">
        <f aca="false">CG116+CG117</f>
        <v>4200</v>
      </c>
      <c r="CH118" s="138" t="n">
        <f aca="false">CH116+CH117</f>
        <v>4200</v>
      </c>
    </row>
    <row r="119" customFormat="false" ht="13.5" hidden="false" customHeight="true" outlineLevel="0" collapsed="false"/>
    <row r="120" customFormat="false" ht="12.75" hidden="false" customHeight="true" outlineLevel="0" collapsed="false">
      <c r="A120" s="10" t="s">
        <v>792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</row>
    <row r="121" customFormat="false" ht="12.75" hidden="false" customHeight="true" outlineLevel="0" collapsed="false">
      <c r="A121" s="30" t="s">
        <v>793</v>
      </c>
      <c r="B121" s="152" t="n">
        <f aca="false">-Hipótesis!$D$93</f>
        <v>-100000</v>
      </c>
      <c r="C121" s="152" t="n">
        <f aca="false">C93+IF(Hipótesis!$D$94=5,IF(C$3=Hipótesis!$D$124,$C$158,0),IF(C$3=84,$C$134,0))</f>
        <v>0</v>
      </c>
      <c r="D121" s="152" t="n">
        <f aca="false">D93+IF(Hipótesis!$D$94=5,IF(D$3=Hipótesis!$D$124,$C$158,0),IF(D$3=84,$C$134,0))</f>
        <v>0</v>
      </c>
      <c r="E121" s="152" t="n">
        <f aca="false">E93+IF(Hipótesis!$D$94=5,IF(E$3=Hipótesis!$D$124,$C$158,0),IF(E$3=84,$C$134,0))</f>
        <v>0</v>
      </c>
      <c r="F121" s="152" t="n">
        <f aca="false">F93+IF(Hipótesis!$D$94=5,IF(F$3=Hipótesis!$D$124,$C$158,0),IF(F$3=84,$C$134,0))</f>
        <v>0</v>
      </c>
      <c r="G121" s="152" t="n">
        <f aca="false">G93+IF(Hipótesis!$D$94=5,IF(G$3=Hipótesis!$D$124,$C$158,0),IF(G$3=84,$C$134,0))</f>
        <v>0</v>
      </c>
      <c r="H121" s="152" t="n">
        <f aca="false">H93+IF(Hipótesis!$D$94=5,IF(H$3=Hipótesis!$D$124,$C$158,0),IF(H$3=84,$C$134,0))</f>
        <v>0</v>
      </c>
      <c r="I121" s="152" t="n">
        <f aca="false">I93+IF(Hipótesis!$D$94=5,IF(I$3=Hipótesis!$D$124,$C$158,0),IF(I$3=84,$C$134,0))</f>
        <v>0</v>
      </c>
      <c r="J121" s="152" t="n">
        <f aca="false">J93+IF(Hipótesis!$D$94=5,IF(J$3=Hipótesis!$D$124,$C$158,0),IF(J$3=84,$C$134,0))</f>
        <v>0</v>
      </c>
      <c r="K121" s="152" t="n">
        <f aca="false">K93+IF(Hipótesis!$D$94=5,IF(K$3=Hipótesis!$D$124,$C$158,0),IF(K$3=84,$C$134,0))</f>
        <v>0</v>
      </c>
      <c r="L121" s="152" t="n">
        <f aca="false">L93+IF(Hipótesis!$D$94=5,IF(L$3=Hipótesis!$D$124,$C$158,0),IF(L$3=84,$C$134,0))</f>
        <v>0</v>
      </c>
      <c r="M121" s="152" t="n">
        <f aca="false">M93+IF(Hipótesis!$D$94=5,IF(M$3=Hipótesis!$D$124,$C$158,0),IF(M$3=84,$C$134,0))</f>
        <v>0</v>
      </c>
      <c r="N121" s="152" t="n">
        <f aca="false">N93+IF(Hipótesis!$D$94=5,IF(N$3=Hipótesis!$D$124,$C$158,0),IF(N$3=84,$C$134,0))</f>
        <v>0</v>
      </c>
      <c r="O121" s="152" t="n">
        <f aca="false">O93+IF(Hipótesis!$D$94=5,IF(O$3=Hipótesis!$D$124,$C$158,0),IF(O$3=84,$C$134,0))</f>
        <v>0</v>
      </c>
      <c r="P121" s="152" t="n">
        <f aca="false">P93+IF(Hipótesis!$D$94=5,IF(P$3=Hipótesis!$D$124,$C$158,0),IF(P$3=84,$C$134,0))</f>
        <v>0</v>
      </c>
      <c r="Q121" s="152" t="n">
        <f aca="false">Q93+IF(Hipótesis!$D$94=5,IF(Q$3=Hipótesis!$D$124,$C$158,0),IF(Q$3=84,$C$134,0))</f>
        <v>0</v>
      </c>
      <c r="R121" s="152" t="n">
        <f aca="false">R93+IF(Hipótesis!$D$94=5,IF(R$3=Hipótesis!$D$124,$C$158,0),IF(R$3=84,$C$134,0))</f>
        <v>0</v>
      </c>
      <c r="S121" s="152" t="n">
        <f aca="false">S93+IF(Hipótesis!$D$94=5,IF(S$3=Hipótesis!$D$124,$C$158,0),IF(S$3=84,$C$134,0))</f>
        <v>0</v>
      </c>
      <c r="T121" s="152" t="n">
        <f aca="false">T93+IF(Hipótesis!$D$94=5,IF(T$3=Hipótesis!$D$124,$C$158,0),IF(T$3=84,$C$134,0))</f>
        <v>0</v>
      </c>
      <c r="U121" s="152" t="n">
        <f aca="false">U93+IF(Hipótesis!$D$94=5,IF(U$3=Hipótesis!$D$124,$C$158,0),IF(U$3=84,$C$134,0))</f>
        <v>0</v>
      </c>
      <c r="V121" s="152" t="n">
        <f aca="false">V93+IF(Hipótesis!$D$94=5,IF(V$3=Hipótesis!$D$124,$C$158,0),IF(V$3=84,$C$134,0))</f>
        <v>0</v>
      </c>
      <c r="W121" s="152" t="n">
        <f aca="false">W93+IF(Hipótesis!$D$94=5,IF(W$3=Hipótesis!$D$124,$C$158,0),IF(W$3=84,$C$134,0))</f>
        <v>0</v>
      </c>
      <c r="X121" s="152" t="n">
        <f aca="false">X93+IF(Hipótesis!$D$94=5,IF(X$3=Hipótesis!$D$124,$C$158,0),IF(X$3=84,$C$134,0))</f>
        <v>0</v>
      </c>
      <c r="Y121" s="152" t="n">
        <f aca="false">Y93+IF(Hipótesis!$D$94=5,IF(Y$3=Hipótesis!$D$124,$C$158,0),IF(Y$3=84,$C$134,0))</f>
        <v>0</v>
      </c>
      <c r="Z121" s="152" t="n">
        <f aca="false">Z93+IF(Hipótesis!$D$94=5,IF(Z$3=Hipótesis!$D$124,$C$158,0),IF(Z$3=84,$C$134,0))</f>
        <v>0</v>
      </c>
      <c r="AA121" s="152" t="n">
        <f aca="false">AA93+IF(Hipótesis!$D$94=5,IF(AA$3=Hipótesis!$D$124,$C$158,0),IF(AA$3=84,$C$134,0))</f>
        <v>0</v>
      </c>
      <c r="AB121" s="152" t="n">
        <f aca="false">AB93+IF(Hipótesis!$D$94=5,IF(AB$3=Hipótesis!$D$124,$C$158,0),IF(AB$3=84,$C$134,0))</f>
        <v>0</v>
      </c>
      <c r="AC121" s="152" t="n">
        <f aca="false">AC93+IF(Hipótesis!$D$94=5,IF(AC$3=Hipótesis!$D$124,$C$158,0),IF(AC$3=84,$C$134,0))</f>
        <v>0</v>
      </c>
      <c r="AD121" s="152" t="n">
        <f aca="false">AD93+IF(Hipótesis!$D$94=5,IF(AD$3=Hipótesis!$D$124,$C$158,0),IF(AD$3=84,$C$134,0))</f>
        <v>0</v>
      </c>
      <c r="AE121" s="152" t="n">
        <f aca="false">AE93+IF(Hipótesis!$D$94=5,IF(AE$3=Hipótesis!$D$124,$C$158,0),IF(AE$3=84,$C$134,0))</f>
        <v>0</v>
      </c>
      <c r="AF121" s="152" t="n">
        <f aca="false">AF93+IF(Hipótesis!$D$94=5,IF(AF$3=Hipótesis!$D$124,$C$158,0),IF(AF$3=84,$C$134,0))</f>
        <v>0</v>
      </c>
      <c r="AG121" s="152" t="n">
        <f aca="false">AG93+IF(Hipótesis!$D$94=5,IF(AG$3=Hipótesis!$D$124,$C$158,0),IF(AG$3=84,$C$134,0))</f>
        <v>0</v>
      </c>
      <c r="AH121" s="152" t="n">
        <f aca="false">AH93+IF(Hipótesis!$D$94=5,IF(AH$3=Hipótesis!$D$124,$C$158,0),IF(AH$3=84,$C$134,0))</f>
        <v>0</v>
      </c>
      <c r="AI121" s="152" t="n">
        <f aca="false">AI93+IF(Hipótesis!$D$94=5,IF(AI$3=Hipótesis!$D$124,$C$158,0),IF(AI$3=84,$C$134,0))</f>
        <v>0</v>
      </c>
      <c r="AJ121" s="152" t="n">
        <f aca="false">AJ93+IF(Hipótesis!$D$94=5,IF(AJ$3=Hipótesis!$D$124,$C$158,0),IF(AJ$3=84,$C$134,0))</f>
        <v>0</v>
      </c>
      <c r="AK121" s="152" t="n">
        <f aca="false">AK93+IF(Hipótesis!$D$94=5,IF(AK$3=Hipótesis!$D$124,$C$158,0),IF(AK$3=84,$C$134,0))</f>
        <v>0</v>
      </c>
      <c r="AL121" s="152" t="n">
        <f aca="false">AL93+IF(Hipótesis!$D$94=5,IF(AL$3=Hipótesis!$D$124,$C$158,0),IF(AL$3=84,$C$134,0))</f>
        <v>0</v>
      </c>
      <c r="AM121" s="152" t="n">
        <f aca="false">AM93+IF(Hipótesis!$D$94=5,IF(AM$3=Hipótesis!$D$124,$C$158,0),IF(AM$3=84,$C$134,0))</f>
        <v>0</v>
      </c>
      <c r="AN121" s="152" t="n">
        <f aca="false">AN93+IF(Hipótesis!$D$94=5,IF(AN$3=Hipótesis!$D$124,$C$158,0),IF(AN$3=84,$C$134,0))</f>
        <v>0</v>
      </c>
      <c r="AO121" s="152" t="n">
        <f aca="false">AO93+IF(Hipótesis!$D$94=5,IF(AO$3=Hipótesis!$D$124,$C$158,0),IF(AO$3=84,$C$134,0))</f>
        <v>0</v>
      </c>
      <c r="AP121" s="152" t="n">
        <f aca="false">AP93+IF(Hipótesis!$D$94=5,IF(AP$3=Hipótesis!$D$124,$C$158,0),IF(AP$3=84,$C$134,0))</f>
        <v>0</v>
      </c>
      <c r="AQ121" s="152" t="n">
        <f aca="false">AQ93+IF(Hipótesis!$D$94=5,IF(AQ$3=Hipótesis!$D$124,$C$158,0),IF(AQ$3=84,$C$134,0))</f>
        <v>0</v>
      </c>
      <c r="AR121" s="152" t="n">
        <f aca="false">AR93+IF(Hipótesis!$D$94=5,IF(AR$3=Hipótesis!$D$124,$C$158,0),IF(AR$3=84,$C$134,0))</f>
        <v>0</v>
      </c>
      <c r="AS121" s="152" t="n">
        <f aca="false">AS93+IF(Hipótesis!$D$94=5,IF(AS$3=Hipótesis!$D$124,$C$158,0),IF(AS$3=84,$C$134,0))</f>
        <v>0</v>
      </c>
      <c r="AT121" s="152" t="n">
        <f aca="false">AT93+IF(Hipótesis!$D$94=5,IF(AT$3=Hipótesis!$D$124,$C$158,0),IF(AT$3=84,$C$134,0))</f>
        <v>0</v>
      </c>
      <c r="AU121" s="152" t="n">
        <f aca="false">AU93+IF(Hipótesis!$D$94=5,IF(AU$3=Hipótesis!$D$124,$C$158,0),IF(AU$3=84,$C$134,0))</f>
        <v>0</v>
      </c>
      <c r="AV121" s="152" t="n">
        <f aca="false">AV93+IF(Hipótesis!$D$94=5,IF(AV$3=Hipótesis!$D$124,$C$158,0),IF(AV$3=84,$C$134,0))</f>
        <v>0</v>
      </c>
      <c r="AW121" s="152" t="n">
        <f aca="false">AW93+IF(Hipótesis!$D$94=5,IF(AW$3=Hipótesis!$D$124,$C$158,0),IF(AW$3=84,$C$134,0))</f>
        <v>0</v>
      </c>
      <c r="AX121" s="152" t="n">
        <f aca="false">AX93+IF(Hipótesis!$D$94=5,IF(AX$3=Hipótesis!$D$124,$C$158,0),IF(AX$3=84,$C$134,0))</f>
        <v>769792.743883473</v>
      </c>
      <c r="AY121" s="152" t="n">
        <f aca="false">AY93+IF(Hipótesis!$D$94=5,IF(AY$3=Hipótesis!$D$124,$C$158,0),IF(AY$3=84,$C$134,0))</f>
        <v>0</v>
      </c>
      <c r="AZ121" s="152" t="n">
        <f aca="false">AZ93+IF(Hipótesis!$D$94=5,IF(AZ$3=Hipótesis!$D$124,$C$158,0),IF(AZ$3=84,$C$134,0))</f>
        <v>0</v>
      </c>
      <c r="BA121" s="152" t="n">
        <f aca="false">BA93+IF(Hipótesis!$D$94=5,IF(BA$3=Hipótesis!$D$124,$C$158,0),IF(BA$3=84,$C$134,0))</f>
        <v>0</v>
      </c>
      <c r="BB121" s="152" t="n">
        <f aca="false">BB93+IF(Hipótesis!$D$94=5,IF(BB$3=Hipótesis!$D$124,$C$158,0),IF(BB$3=84,$C$134,0))</f>
        <v>0</v>
      </c>
      <c r="BC121" s="152" t="n">
        <f aca="false">BC93+IF(Hipótesis!$D$94=5,IF(BC$3=Hipótesis!$D$124,$C$158,0),IF(BC$3=84,$C$134,0))</f>
        <v>0</v>
      </c>
      <c r="BD121" s="152" t="n">
        <f aca="false">BD93+IF(Hipótesis!$D$94=5,IF(BD$3=Hipótesis!$D$124,$C$158,0),IF(BD$3=84,$C$134,0))</f>
        <v>0</v>
      </c>
      <c r="BE121" s="152" t="n">
        <f aca="false">BE93+IF(Hipótesis!$D$94=5,IF(BE$3=Hipótesis!$D$124,$C$158,0),IF(BE$3=84,$C$134,0))</f>
        <v>0</v>
      </c>
      <c r="BF121" s="152" t="n">
        <f aca="false">BF93+IF(Hipótesis!$D$94=5,IF(BF$3=Hipótesis!$D$124,$C$158,0),IF(BF$3=84,$C$134,0))</f>
        <v>0</v>
      </c>
      <c r="BG121" s="152" t="n">
        <f aca="false">BG93+IF(Hipótesis!$D$94=5,IF(BG$3=Hipótesis!$D$124,$C$158,0),IF(BG$3=84,$C$134,0))</f>
        <v>0</v>
      </c>
      <c r="BH121" s="152" t="n">
        <f aca="false">BH93+IF(Hipótesis!$D$94=5,IF(BH$3=Hipótesis!$D$124,$C$158,0),IF(BH$3=84,$C$134,0))</f>
        <v>0</v>
      </c>
      <c r="BI121" s="152" t="n">
        <f aca="false">BI93+IF(Hipótesis!$D$94=5,IF(BI$3=Hipótesis!$D$124,$C$158,0),IF(BI$3=84,$C$134,0))</f>
        <v>0</v>
      </c>
      <c r="BJ121" s="152" t="n">
        <f aca="false">BJ93+IF(Hipótesis!$D$94=5,IF(BJ$3=Hipótesis!$D$124,$C$158,0),IF(BJ$3=84,$C$134,0))</f>
        <v>0</v>
      </c>
      <c r="BK121" s="152" t="n">
        <f aca="false">BK93+IF(Hipótesis!$D$94=5,IF(BK$3=Hipótesis!$D$124,$C$158,0),IF(BK$3=84,$C$134,0))</f>
        <v>0</v>
      </c>
      <c r="BL121" s="152" t="n">
        <f aca="false">BL93+IF(Hipótesis!$D$94=5,IF(BL$3=Hipótesis!$D$124,$C$158,0),IF(BL$3=84,$C$134,0))</f>
        <v>0</v>
      </c>
      <c r="BM121" s="152" t="n">
        <f aca="false">BM93+IF(Hipótesis!$D$94=5,IF(BM$3=Hipótesis!$D$124,$C$158,0),IF(BM$3=84,$C$134,0))</f>
        <v>0</v>
      </c>
      <c r="BN121" s="152" t="n">
        <f aca="false">BN93+IF(Hipótesis!$D$94=5,IF(BN$3=Hipótesis!$D$124,$C$158,0),IF(BN$3=84,$C$134,0))</f>
        <v>0</v>
      </c>
      <c r="BO121" s="152" t="n">
        <f aca="false">BO93+IF(Hipótesis!$D$94=5,IF(BO$3=Hipótesis!$D$124,$C$158,0),IF(BO$3=84,$C$134,0))</f>
        <v>0</v>
      </c>
      <c r="BP121" s="152" t="n">
        <f aca="false">BP93+IF(Hipótesis!$D$94=5,IF(BP$3=Hipótesis!$D$124,$C$158,0),IF(BP$3=84,$C$134,0))</f>
        <v>0</v>
      </c>
      <c r="BQ121" s="152" t="n">
        <f aca="false">BQ93+IF(Hipótesis!$D$94=5,IF(BQ$3=Hipótesis!$D$124,$C$158,0),IF(BQ$3=84,$C$134,0))</f>
        <v>0</v>
      </c>
      <c r="BR121" s="152" t="n">
        <f aca="false">BR93+IF(Hipótesis!$D$94=5,IF(BR$3=Hipótesis!$D$124,$C$158,0),IF(BR$3=84,$C$134,0))</f>
        <v>0</v>
      </c>
      <c r="BS121" s="152" t="n">
        <f aca="false">BS93+IF(Hipótesis!$D$94=5,IF(BS$3=Hipótesis!$D$124,$C$158,0),IF(BS$3=84,$C$134,0))</f>
        <v>0</v>
      </c>
      <c r="BT121" s="152" t="n">
        <f aca="false">BT93+IF(Hipótesis!$D$94=5,IF(BT$3=Hipótesis!$D$124,$C$158,0),IF(BT$3=84,$C$134,0))</f>
        <v>0</v>
      </c>
      <c r="BU121" s="152" t="n">
        <f aca="false">BU93+IF(Hipótesis!$D$94=5,IF(BU$3=Hipótesis!$D$124,$C$158,0),IF(BU$3=84,$C$134,0))</f>
        <v>0</v>
      </c>
      <c r="BV121" s="152" t="n">
        <f aca="false">BV93+IF(Hipótesis!$D$94=5,IF(BV$3=Hipótesis!$D$124,$C$158,0),IF(BV$3=84,$C$134,0))</f>
        <v>0</v>
      </c>
      <c r="BW121" s="152" t="n">
        <f aca="false">BW93+IF(Hipótesis!$D$94=5,IF(BW$3=Hipótesis!$D$124,$C$158,0),IF(BW$3=84,$C$134,0))</f>
        <v>0</v>
      </c>
      <c r="BX121" s="152" t="n">
        <f aca="false">BX93+IF(Hipótesis!$D$94=5,IF(BX$3=Hipótesis!$D$124,$C$158,0),IF(BX$3=84,$C$134,0))</f>
        <v>0</v>
      </c>
      <c r="BY121" s="152" t="n">
        <f aca="false">BY93+IF(Hipótesis!$D$94=5,IF(BY$3=Hipótesis!$D$124,$C$158,0),IF(BY$3=84,$C$134,0))</f>
        <v>0</v>
      </c>
      <c r="BZ121" s="152" t="n">
        <f aca="false">BZ93+IF(Hipótesis!$D$94=5,IF(BZ$3=Hipótesis!$D$124,$C$158,0),IF(BZ$3=84,$C$134,0))</f>
        <v>0</v>
      </c>
      <c r="CA121" s="152" t="n">
        <f aca="false">CA93+IF(Hipótesis!$D$94=5,IF(CA$3=Hipótesis!$D$124,$C$158,0),IF(CA$3=84,$C$134,0))</f>
        <v>0</v>
      </c>
      <c r="CB121" s="152" t="n">
        <f aca="false">CB93+IF(Hipótesis!$D$94=5,IF(CB$3=Hipótesis!$D$124,$C$158,0),IF(CB$3=84,$C$134,0))</f>
        <v>0</v>
      </c>
      <c r="CC121" s="152" t="n">
        <f aca="false">CC93+IF(Hipótesis!$D$94=5,IF(CC$3=Hipótesis!$D$124,$C$158,0),IF(CC$3=84,$C$134,0))</f>
        <v>0</v>
      </c>
      <c r="CD121" s="152" t="n">
        <f aca="false">CD93+IF(Hipótesis!$D$94=5,IF(CD$3=Hipótesis!$D$124,$C$158,0),IF(CD$3=84,$C$134,0))</f>
        <v>0</v>
      </c>
      <c r="CE121" s="152" t="n">
        <f aca="false">CE93+IF(Hipótesis!$D$94=5,IF(CE$3=Hipótesis!$D$124,$C$158,0),IF(CE$3=84,$C$134,0))</f>
        <v>0</v>
      </c>
      <c r="CF121" s="152" t="n">
        <f aca="false">CF93+IF(Hipótesis!$D$94=5,IF(CF$3=Hipótesis!$D$124,$C$158,0),IF(CF$3=84,$C$134,0))</f>
        <v>0</v>
      </c>
      <c r="CG121" s="152" t="n">
        <f aca="false">CG93+IF(Hipótesis!$D$94=5,IF(CG$3=Hipótesis!$D$124,$C$158,0),IF(CG$3=84,$C$134,0))</f>
        <v>0</v>
      </c>
      <c r="CH121" s="152" t="n">
        <f aca="false">CH93+IF(Hipótesis!$D$94=5,IF(CH$3=Hipótesis!$D$124,$C$158,0),IF(CH$3=84,$C$134,0))</f>
        <v>0</v>
      </c>
    </row>
    <row r="122" customFormat="false" ht="12.75" hidden="false" customHeight="true" outlineLevel="0" collapsed="false">
      <c r="A122" s="13" t="s">
        <v>794</v>
      </c>
      <c r="B122" s="138" t="n">
        <f aca="false">Hipótesis!$D$122</f>
        <v>200000</v>
      </c>
      <c r="C122" s="138" t="n">
        <f aca="false">-C106-IF(Hipótesis!$D$94=5,IF(C$3=Hipótesis!$D$124,$C$158,0),IF(C$3=84,$C$134,0))</f>
        <v>-333.333333333333</v>
      </c>
      <c r="D122" s="138" t="n">
        <f aca="false">-D106-IF(Hipótesis!$D$94=5,IF(D$3=Hipótesis!$D$124,$C$158,0),IF(D$3=84,$C$134,0))</f>
        <v>-333.333333333333</v>
      </c>
      <c r="E122" s="138" t="n">
        <f aca="false">-E106-IF(Hipótesis!$D$94=5,IF(E$3=Hipótesis!$D$124,$C$158,0),IF(E$3=84,$C$134,0))</f>
        <v>-333.333333333333</v>
      </c>
      <c r="F122" s="138" t="n">
        <f aca="false">-F106-IF(Hipótesis!$D$94=5,IF(F$3=Hipótesis!$D$124,$C$158,0),IF(F$3=84,$C$134,0))</f>
        <v>-333.333333333333</v>
      </c>
      <c r="G122" s="138" t="n">
        <f aca="false">-G106-IF(Hipótesis!$D$94=5,IF(G$3=Hipótesis!$D$124,$C$158,0),IF(G$3=84,$C$134,0))</f>
        <v>-333.333333333333</v>
      </c>
      <c r="H122" s="138" t="n">
        <f aca="false">-H106-IF(Hipótesis!$D$94=5,IF(H$3=Hipótesis!$D$124,$C$158,0),IF(H$3=84,$C$134,0))</f>
        <v>-343.111703029026</v>
      </c>
      <c r="I122" s="138" t="n">
        <f aca="false">-I106-IF(Hipótesis!$D$94=5,IF(I$3=Hipótesis!$D$124,$C$158,0),IF(I$3=84,$C$134,0))</f>
        <v>-404.669258129</v>
      </c>
      <c r="J122" s="138" t="n">
        <f aca="false">-J106-IF(Hipótesis!$D$94=5,IF(J$3=Hipótesis!$D$124,$C$158,0),IF(J$3=84,$C$134,0))</f>
        <v>-489.512155180852</v>
      </c>
      <c r="K122" s="138" t="n">
        <f aca="false">-K106-IF(Hipótesis!$D$94=5,IF(K$3=Hipótesis!$D$124,$C$158,0),IF(K$3=84,$C$134,0))</f>
        <v>-586.439380483493</v>
      </c>
      <c r="L122" s="138" t="n">
        <f aca="false">-L106-IF(Hipótesis!$D$94=5,IF(L$3=Hipótesis!$D$124,$C$158,0),IF(L$3=84,$C$134,0))</f>
        <v>-683.366605786135</v>
      </c>
      <c r="M122" s="138" t="n">
        <f aca="false">-M106-IF(Hipótesis!$D$94=5,IF(M$3=Hipótesis!$D$124,$C$158,0),IF(M$3=84,$C$134,0))</f>
        <v>-760.948186010432</v>
      </c>
      <c r="N122" s="138" t="n">
        <f aca="false">-N106-IF(Hipótesis!$D$94=5,IF(N$3=Hipótesis!$D$124,$C$158,0),IF(N$3=84,$C$134,0))</f>
        <v>-852.758447995062</v>
      </c>
      <c r="O122" s="138" t="n">
        <f aca="false">-O106-IF(Hipótesis!$D$94=5,IF(O$3=Hipótesis!$D$124,$C$158,0),IF(O$3=84,$C$134,0))</f>
        <v>-840.024709979691</v>
      </c>
      <c r="P122" s="138" t="n">
        <f aca="false">-P106-IF(Hipótesis!$D$94=5,IF(P$3=Hipótesis!$D$124,$C$158,0),IF(P$3=84,$C$134,0))</f>
        <v>-926.339230333224</v>
      </c>
      <c r="Q122" s="138" t="n">
        <f aca="false">-Q106-IF(Hipótesis!$D$94=5,IF(Q$3=Hipótesis!$D$124,$C$158,0),IF(Q$3=84,$C$134,0))</f>
        <v>-1012.65375068676</v>
      </c>
      <c r="R122" s="138" t="n">
        <f aca="false">-R106-IF(Hipótesis!$D$94=5,IF(R$3=Hipótesis!$D$124,$C$158,0),IF(R$3=84,$C$134,0))</f>
        <v>-1098.96827104029</v>
      </c>
      <c r="S122" s="138" t="n">
        <f aca="false">-S106-IF(Hipótesis!$D$94=5,IF(S$3=Hipótesis!$D$124,$C$158,0),IF(S$3=84,$C$134,0))</f>
        <v>-731.440336325204</v>
      </c>
      <c r="T122" s="138" t="n">
        <f aca="false">-T106-IF(Hipótesis!$D$94=5,IF(T$3=Hipótesis!$D$124,$C$158,0),IF(T$3=84,$C$134,0))</f>
        <v>-1271.59731174736</v>
      </c>
      <c r="U122" s="138" t="n">
        <f aca="false">-U106-IF(Hipótesis!$D$94=5,IF(U$3=Hipótesis!$D$124,$C$158,0),IF(U$3=84,$C$134,0))</f>
        <v>-1294.79407199068</v>
      </c>
      <c r="V122" s="138" t="n">
        <f aca="false">-V106-IF(Hipótesis!$D$94=5,IF(V$3=Hipótesis!$D$124,$C$158,0),IF(V$3=84,$C$134,0))</f>
        <v>-1304.12265004137</v>
      </c>
      <c r="W122" s="138" t="n">
        <f aca="false">-W106-IF(Hipótesis!$D$94=5,IF(W$3=Hipótesis!$D$124,$C$158,0),IF(W$3=84,$C$134,0))</f>
        <v>-1367.83522809206</v>
      </c>
      <c r="X122" s="138" t="n">
        <f aca="false">-X106-IF(Hipótesis!$D$94=5,IF(X$3=Hipótesis!$D$124,$C$158,0),IF(X$3=84,$C$134,0))</f>
        <v>-1417.31912438242</v>
      </c>
      <c r="Y122" s="138" t="n">
        <f aca="false">-Y106-IF(Hipótesis!$D$94=5,IF(Y$3=Hipótesis!$D$124,$C$158,0),IF(Y$3=84,$C$134,0))</f>
        <v>-1466.80302067278</v>
      </c>
      <c r="Z122" s="138" t="n">
        <f aca="false">-Z106-IF(Hipótesis!$D$94=5,IF(Z$3=Hipótesis!$D$124,$C$158,0),IF(Z$3=84,$C$134,0))</f>
        <v>-1511.112224259</v>
      </c>
      <c r="AA122" s="138" t="n">
        <f aca="false">-AA106-IF(Hipótesis!$D$94=5,IF(AA$3=Hipótesis!$D$124,$C$158,0),IF(AA$3=84,$C$134,0))</f>
        <v>-3177.8382625119</v>
      </c>
      <c r="AB122" s="138" t="n">
        <f aca="false">-AB106-IF(Hipótesis!$D$94=5,IF(AB$3=Hipótesis!$D$124,$C$158,0),IF(AB$3=84,$C$134,0))</f>
        <v>-3216.59191054257</v>
      </c>
      <c r="AC122" s="138" t="n">
        <f aca="false">-AC106-IF(Hipótesis!$D$94=5,IF(AC$3=Hipótesis!$D$124,$C$158,0),IF(AC$3=84,$C$134,0))</f>
        <v>-3255.34555857324</v>
      </c>
      <c r="AD122" s="138" t="n">
        <f aca="false">-AD106-IF(Hipótesis!$D$94=5,IF(AD$3=Hipótesis!$D$124,$C$158,0),IF(AD$3=84,$C$134,0))</f>
        <v>-3294.09920660391</v>
      </c>
      <c r="AE122" s="138" t="n">
        <f aca="false">-AE106-IF(Hipótesis!$D$94=5,IF(AE$3=Hipótesis!$D$124,$C$158,0),IF(AE$3=84,$C$134,0))</f>
        <v>-2853.25496103251</v>
      </c>
      <c r="AF122" s="138" t="n">
        <f aca="false">-AF106-IF(Hipótesis!$D$94=5,IF(AF$3=Hipótesis!$D$124,$C$158,0),IF(AF$3=84,$C$134,0))</f>
        <v>-3371.60650266525</v>
      </c>
      <c r="AG122" s="138" t="n">
        <f aca="false">-AG106-IF(Hipótesis!$D$94=5,IF(AG$3=Hipótesis!$D$124,$C$158,0),IF(AG$3=84,$C$134,0))</f>
        <v>-3410.36015069592</v>
      </c>
      <c r="AH122" s="138" t="n">
        <f aca="false">-AH106-IF(Hipótesis!$D$94=5,IF(AH$3=Hipótesis!$D$124,$C$158,0),IF(AH$3=84,$C$134,0))</f>
        <v>-3401.5006067266</v>
      </c>
      <c r="AI122" s="138" t="n">
        <f aca="false">-AI106-IF(Hipótesis!$D$94=5,IF(AI$3=Hipótesis!$D$124,$C$158,0),IF(AI$3=84,$C$134,0))</f>
        <v>-3440.25425475727</v>
      </c>
      <c r="AJ122" s="138" t="n">
        <f aca="false">-AJ106-IF(Hipótesis!$D$94=5,IF(AJ$3=Hipótesis!$D$124,$C$158,0),IF(AJ$3=84,$C$134,0))</f>
        <v>-3479.00790278794</v>
      </c>
      <c r="AK122" s="138" t="n">
        <f aca="false">-AK106-IF(Hipótesis!$D$94=5,IF(AK$3=Hipótesis!$D$124,$C$158,0),IF(AK$3=84,$C$134,0))</f>
        <v>-3517.76155081861</v>
      </c>
      <c r="AL122" s="138" t="n">
        <f aca="false">-AL106-IF(Hipótesis!$D$94=5,IF(AL$3=Hipótesis!$D$124,$C$158,0),IF(AL$3=84,$C$134,0))</f>
        <v>-3556.51519884928</v>
      </c>
      <c r="AM122" s="138" t="n">
        <f aca="false">-AM106-IF(Hipótesis!$D$94=5,IF(AM$3=Hipótesis!$D$124,$C$158,0),IF(AM$3=84,$C$134,0))</f>
        <v>-3549.45112415995</v>
      </c>
      <c r="AN122" s="138" t="n">
        <f aca="false">-AN106-IF(Hipótesis!$D$94=5,IF(AN$3=Hipótesis!$D$124,$C$158,0),IF(AN$3=84,$C$134,0))</f>
        <v>-3588.20477219062</v>
      </c>
      <c r="AO122" s="138" t="n">
        <f aca="false">-AO106-IF(Hipótesis!$D$94=5,IF(AO$3=Hipótesis!$D$124,$C$158,0),IF(AO$3=84,$C$134,0))</f>
        <v>-3626.95842022129</v>
      </c>
      <c r="AP122" s="138" t="n">
        <f aca="false">-AP106-IF(Hipótesis!$D$94=5,IF(AP$3=Hipótesis!$D$124,$C$158,0),IF(AP$3=84,$C$134,0))</f>
        <v>-3665.71206825196</v>
      </c>
      <c r="AQ122" s="138" t="n">
        <f aca="false">-AQ106-IF(Hipótesis!$D$94=5,IF(AQ$3=Hipótesis!$D$124,$C$158,0),IF(AQ$3=84,$C$134,0))</f>
        <v>-3224.86782268057</v>
      </c>
      <c r="AR122" s="138" t="n">
        <f aca="false">-AR106-IF(Hipótesis!$D$94=5,IF(AR$3=Hipótesis!$D$124,$C$158,0),IF(AR$3=84,$C$134,0))</f>
        <v>-3743.21936431331</v>
      </c>
      <c r="AS122" s="138" t="n">
        <f aca="false">-AS106-IF(Hipótesis!$D$94=5,IF(AS$3=Hipótesis!$D$124,$C$158,0),IF(AS$3=84,$C$134,0))</f>
        <v>-3737.66380875775</v>
      </c>
      <c r="AT122" s="138" t="n">
        <f aca="false">-AT106-IF(Hipótesis!$D$94=5,IF(AT$3=Hipótesis!$D$124,$C$158,0),IF(AT$3=84,$C$134,0))</f>
        <v>-3732.1082532022</v>
      </c>
      <c r="AU122" s="138" t="n">
        <f aca="false">-AU106-IF(Hipótesis!$D$94=5,IF(AU$3=Hipótesis!$D$124,$C$158,0),IF(AU$3=84,$C$134,0))</f>
        <v>-3726.55269764664</v>
      </c>
      <c r="AV122" s="138" t="n">
        <f aca="false">-AV106-IF(Hipótesis!$D$94=5,IF(AV$3=Hipótesis!$D$124,$C$158,0),IF(AV$3=84,$C$134,0))</f>
        <v>-3720.99714209108</v>
      </c>
      <c r="AW122" s="138" t="n">
        <f aca="false">-AW106-IF(Hipótesis!$D$94=5,IF(AW$3=Hipótesis!$D$124,$C$158,0),IF(AW$3=84,$C$134,0))</f>
        <v>-3715.44158653553</v>
      </c>
      <c r="AX122" s="138" t="n">
        <f aca="false">-AX106-IF(Hipótesis!$D$94=5,IF(AX$3=Hipótesis!$D$124,$C$158,0),IF(AX$3=84,$C$134,0))</f>
        <v>-773502.629914453</v>
      </c>
      <c r="AY122" s="138" t="n">
        <f aca="false">-AY106-IF(Hipótesis!$D$94=5,IF(AY$3=Hipótesis!$D$124,$C$158,0),IF(AY$3=84,$C$134,0))</f>
        <v>-3658.32622102282</v>
      </c>
      <c r="AZ122" s="138" t="n">
        <f aca="false">-AZ106-IF(Hipótesis!$D$94=5,IF(AZ$3=Hipótesis!$D$124,$C$158,0),IF(AZ$3=84,$C$134,0))</f>
        <v>-3652.77066546726</v>
      </c>
      <c r="BA122" s="138" t="n">
        <f aca="false">-BA106-IF(Hipótesis!$D$94=5,IF(BA$3=Hipótesis!$D$124,$C$158,0),IF(BA$3=84,$C$134,0))</f>
        <v>-3647.21510991171</v>
      </c>
      <c r="BB122" s="138" t="n">
        <f aca="false">-BB106-IF(Hipótesis!$D$94=5,IF(BB$3=Hipótesis!$D$124,$C$158,0),IF(BB$3=84,$C$134,0))</f>
        <v>-3641.65955435615</v>
      </c>
      <c r="BC122" s="138" t="n">
        <f aca="false">-BC106-IF(Hipótesis!$D$94=5,IF(BC$3=Hipótesis!$D$124,$C$158,0),IF(BC$3=84,$C$134,0))</f>
        <v>-3156.50610519853</v>
      </c>
      <c r="BD122" s="138" t="n">
        <f aca="false">-BD106-IF(Hipótesis!$D$94=5,IF(BD$3=Hipótesis!$D$124,$C$158,0),IF(BD$3=84,$C$134,0))</f>
        <v>-3630.54844324504</v>
      </c>
      <c r="BE122" s="138" t="n">
        <f aca="false">-BE106-IF(Hipótesis!$D$94=5,IF(BE$3=Hipótesis!$D$124,$C$158,0),IF(BE$3=84,$C$134,0))</f>
        <v>-3624.99288768948</v>
      </c>
      <c r="BF122" s="138" t="n">
        <f aca="false">-BF106-IF(Hipótesis!$D$94=5,IF(BF$3=Hipótesis!$D$124,$C$158,0),IF(BF$3=84,$C$134,0))</f>
        <v>-3619.43733213393</v>
      </c>
      <c r="BG122" s="138" t="n">
        <f aca="false">-BG106-IF(Hipótesis!$D$94=5,IF(BG$3=Hipótesis!$D$124,$C$158,0),IF(BG$3=84,$C$134,0))</f>
        <v>-3613.88177657837</v>
      </c>
      <c r="BH122" s="138" t="n">
        <f aca="false">-BH106-IF(Hipótesis!$D$94=5,IF(BH$3=Hipótesis!$D$124,$C$158,0),IF(BH$3=84,$C$134,0))</f>
        <v>-3608.32622102282</v>
      </c>
      <c r="BI122" s="138" t="n">
        <f aca="false">-BI106-IF(Hipótesis!$D$94=5,IF(BI$3=Hipótesis!$D$124,$C$158,0),IF(BI$3=84,$C$134,0))</f>
        <v>-3602.77066546726</v>
      </c>
      <c r="BJ122" s="138" t="n">
        <f aca="false">-BJ106-IF(Hipótesis!$D$94=5,IF(BJ$3=Hipótesis!$D$124,$C$158,0),IF(BJ$3=84,$C$134,0))</f>
        <v>-3597.21510991171</v>
      </c>
      <c r="BK122" s="138" t="n">
        <f aca="false">-BK106-IF(Hipótesis!$D$94=5,IF(BK$3=Hipótesis!$D$124,$C$158,0),IF(BK$3=84,$C$134,0))</f>
        <v>-3545.4631723225</v>
      </c>
      <c r="BL122" s="138" t="n">
        <f aca="false">-BL106-IF(Hipótesis!$D$94=5,IF(BL$3=Hipótesis!$D$124,$C$158,0),IF(BL$3=84,$C$134,0))</f>
        <v>-3539.90761676695</v>
      </c>
      <c r="BM122" s="138" t="n">
        <f aca="false">-BM106-IF(Hipótesis!$D$94=5,IF(BM$3=Hipótesis!$D$124,$C$158,0),IF(BM$3=84,$C$134,0))</f>
        <v>-3534.35206121139</v>
      </c>
      <c r="BN122" s="138" t="n">
        <f aca="false">-BN106-IF(Hipótesis!$D$94=5,IF(BN$3=Hipótesis!$D$124,$C$158,0),IF(BN$3=84,$C$134,0))</f>
        <v>-3528.79650565584</v>
      </c>
      <c r="BO122" s="138" t="n">
        <f aca="false">-BO106-IF(Hipótesis!$D$94=5,IF(BO$3=Hipótesis!$D$124,$C$158,0),IF(BO$3=84,$C$134,0))</f>
        <v>-3043.64305649821</v>
      </c>
      <c r="BP122" s="138" t="n">
        <f aca="false">-BP106-IF(Hipótesis!$D$94=5,IF(BP$3=Hipótesis!$D$124,$C$158,0),IF(BP$3=84,$C$134,0))</f>
        <v>-3517.68539454473</v>
      </c>
      <c r="BQ122" s="138" t="n">
        <f aca="false">-BQ106-IF(Hipótesis!$D$94=5,IF(BQ$3=Hipótesis!$D$124,$C$158,0),IF(BQ$3=84,$C$134,0))</f>
        <v>-3512.12983898917</v>
      </c>
      <c r="BR122" s="138" t="n">
        <f aca="false">-BR106-IF(Hipótesis!$D$94=5,IF(BR$3=Hipótesis!$D$124,$C$158,0),IF(BR$3=84,$C$134,0))</f>
        <v>-3506.57428343361</v>
      </c>
      <c r="BS122" s="138" t="n">
        <f aca="false">-BS106-IF(Hipótesis!$D$94=5,IF(BS$3=Hipótesis!$D$124,$C$158,0),IF(BS$3=84,$C$134,0))</f>
        <v>-3501.01872787806</v>
      </c>
      <c r="BT122" s="138" t="n">
        <f aca="false">-BT106-IF(Hipótesis!$D$94=5,IF(BT$3=Hipótesis!$D$124,$C$158,0),IF(BT$3=84,$C$134,0))</f>
        <v>-3495.4631723225</v>
      </c>
      <c r="BU122" s="138" t="n">
        <f aca="false">-BU106-IF(Hipótesis!$D$94=5,IF(BU$3=Hipótesis!$D$124,$C$158,0),IF(BU$3=84,$C$134,0))</f>
        <v>-3489.90761676695</v>
      </c>
      <c r="BV122" s="138" t="n">
        <f aca="false">-BV106-IF(Hipótesis!$D$94=5,IF(BV$3=Hipótesis!$D$124,$C$158,0),IF(BV$3=84,$C$134,0))</f>
        <v>-3484.35206121139</v>
      </c>
      <c r="BW122" s="138" t="n">
        <f aca="false">-BW106-IF(Hipótesis!$D$94=5,IF(BW$3=Hipótesis!$D$124,$C$158,0),IF(BW$3=84,$C$134,0))</f>
        <v>-3432.40223216118</v>
      </c>
      <c r="BX122" s="138" t="n">
        <f aca="false">-BX106-IF(Hipótesis!$D$94=5,IF(BX$3=Hipótesis!$D$124,$C$158,0),IF(BX$3=84,$C$134,0))</f>
        <v>-3426.84667660562</v>
      </c>
      <c r="BY122" s="138" t="n">
        <f aca="false">-BY106-IF(Hipótesis!$D$94=5,IF(BY$3=Hipótesis!$D$124,$C$158,0),IF(BY$3=84,$C$134,0))</f>
        <v>-3421.29112105007</v>
      </c>
      <c r="BZ122" s="138" t="n">
        <f aca="false">-BZ106-IF(Hipótesis!$D$94=5,IF(BZ$3=Hipótesis!$D$124,$C$158,0),IF(BZ$3=84,$C$134,0))</f>
        <v>-3415.73556549451</v>
      </c>
      <c r="CA122" s="138" t="n">
        <f aca="false">-CA106-IF(Hipótesis!$D$94=5,IF(CA$3=Hipótesis!$D$124,$C$158,0),IF(CA$3=84,$C$134,0))</f>
        <v>-2930.58211633689</v>
      </c>
      <c r="CB122" s="138" t="n">
        <f aca="false">-CB106-IF(Hipótesis!$D$94=5,IF(CB$3=Hipótesis!$D$124,$C$158,0),IF(CB$3=84,$C$134,0))</f>
        <v>-3404.6244543834</v>
      </c>
      <c r="CC122" s="138" t="n">
        <f aca="false">-CC106-IF(Hipótesis!$D$94=5,IF(CC$3=Hipótesis!$D$124,$C$158,0),IF(CC$3=84,$C$134,0))</f>
        <v>-3399.06889882785</v>
      </c>
      <c r="CD122" s="138" t="n">
        <f aca="false">-CD106-IF(Hipótesis!$D$94=5,IF(CD$3=Hipótesis!$D$124,$C$158,0),IF(CD$3=84,$C$134,0))</f>
        <v>-3393.51334327229</v>
      </c>
      <c r="CE122" s="138" t="n">
        <f aca="false">-CE106-IF(Hipótesis!$D$94=5,IF(CE$3=Hipótesis!$D$124,$C$158,0),IF(CE$3=84,$C$134,0))</f>
        <v>-3387.95778771673</v>
      </c>
      <c r="CF122" s="138" t="n">
        <f aca="false">-CF106-IF(Hipótesis!$D$94=5,IF(CF$3=Hipótesis!$D$124,$C$158,0),IF(CF$3=84,$C$134,0))</f>
        <v>-3382.40223216118</v>
      </c>
      <c r="CG122" s="138" t="n">
        <f aca="false">-CG106-IF(Hipótesis!$D$94=5,IF(CG$3=Hipótesis!$D$124,$C$158,0),IF(CG$3=84,$C$134,0))</f>
        <v>-3376.84667660562</v>
      </c>
      <c r="CH122" s="138" t="n">
        <f aca="false">-CH106-IF(Hipótesis!$D$94=5,IF(CH$3=Hipótesis!$D$124,$C$158,0),IF(CH$3=84,$C$134,0))</f>
        <v>-3371.29112105001</v>
      </c>
    </row>
    <row r="123" customFormat="false" ht="12.75" hidden="false" customHeight="true" outlineLevel="0" collapsed="false">
      <c r="A123" s="13" t="s">
        <v>795</v>
      </c>
      <c r="B123" s="138" t="n">
        <f aca="false">-Hipótesis!$D$105</f>
        <v>-100000</v>
      </c>
      <c r="C123" s="138" t="n">
        <f aca="false">C99</f>
        <v>333.333333333333</v>
      </c>
      <c r="D123" s="138" t="n">
        <f aca="false">D99</f>
        <v>333.333333333333</v>
      </c>
      <c r="E123" s="138" t="n">
        <f aca="false">E99</f>
        <v>333.333333333333</v>
      </c>
      <c r="F123" s="138" t="n">
        <f aca="false">F99</f>
        <v>333.333333333333</v>
      </c>
      <c r="G123" s="138" t="n">
        <f aca="false">G99</f>
        <v>333.333333333333</v>
      </c>
      <c r="H123" s="138" t="n">
        <f aca="false">H99</f>
        <v>343.111703029026</v>
      </c>
      <c r="I123" s="138" t="n">
        <f aca="false">I99</f>
        <v>404.669258129</v>
      </c>
      <c r="J123" s="138" t="n">
        <f aca="false">J99</f>
        <v>489.512155180852</v>
      </c>
      <c r="K123" s="138" t="n">
        <f aca="false">K99</f>
        <v>586.439380483493</v>
      </c>
      <c r="L123" s="138" t="n">
        <f aca="false">L99</f>
        <v>683.366605786135</v>
      </c>
      <c r="M123" s="138" t="n">
        <f aca="false">M99</f>
        <v>760.948186010432</v>
      </c>
      <c r="N123" s="138" t="n">
        <f aca="false">N99</f>
        <v>852.758447995062</v>
      </c>
      <c r="O123" s="138" t="n">
        <f aca="false">O99</f>
        <v>840.024709979691</v>
      </c>
      <c r="P123" s="138" t="n">
        <f aca="false">P99</f>
        <v>926.339230333224</v>
      </c>
      <c r="Q123" s="138" t="n">
        <f aca="false">Q99</f>
        <v>1012.65375068676</v>
      </c>
      <c r="R123" s="138" t="n">
        <f aca="false">R99</f>
        <v>1098.96827104029</v>
      </c>
      <c r="S123" s="138" t="n">
        <f aca="false">S99</f>
        <v>731.440336325204</v>
      </c>
      <c r="T123" s="138" t="n">
        <f aca="false">T99</f>
        <v>1271.59731174736</v>
      </c>
      <c r="U123" s="138" t="n">
        <f aca="false">U99</f>
        <v>1294.79407199068</v>
      </c>
      <c r="V123" s="138" t="n">
        <f aca="false">V99</f>
        <v>1304.12265004137</v>
      </c>
      <c r="W123" s="138" t="n">
        <f aca="false">W99</f>
        <v>1367.83522809206</v>
      </c>
      <c r="X123" s="138" t="n">
        <f aca="false">X99</f>
        <v>1417.31912438242</v>
      </c>
      <c r="Y123" s="138" t="n">
        <f aca="false">Y99</f>
        <v>1466.80302067278</v>
      </c>
      <c r="Z123" s="138" t="n">
        <f aca="false">Z99</f>
        <v>1511.112224259</v>
      </c>
      <c r="AA123" s="138" t="n">
        <f aca="false">AA99</f>
        <v>3177.8382625119</v>
      </c>
      <c r="AB123" s="138" t="n">
        <f aca="false">AB99</f>
        <v>3216.59191054257</v>
      </c>
      <c r="AC123" s="138" t="n">
        <f aca="false">AC99</f>
        <v>3255.34555857324</v>
      </c>
      <c r="AD123" s="138" t="n">
        <f aca="false">AD99</f>
        <v>3294.09920660391</v>
      </c>
      <c r="AE123" s="138" t="n">
        <f aca="false">AE99</f>
        <v>2853.25496103251</v>
      </c>
      <c r="AF123" s="138" t="n">
        <f aca="false">AF99</f>
        <v>3371.60650266525</v>
      </c>
      <c r="AG123" s="138" t="n">
        <f aca="false">AG99</f>
        <v>3410.36015069592</v>
      </c>
      <c r="AH123" s="138" t="n">
        <f aca="false">AH99</f>
        <v>3401.5006067266</v>
      </c>
      <c r="AI123" s="138" t="n">
        <f aca="false">AI99</f>
        <v>3440.25425475727</v>
      </c>
      <c r="AJ123" s="138" t="n">
        <f aca="false">AJ99</f>
        <v>3479.00790278794</v>
      </c>
      <c r="AK123" s="138" t="n">
        <f aca="false">AK99</f>
        <v>3517.76155081861</v>
      </c>
      <c r="AL123" s="138" t="n">
        <f aca="false">AL99</f>
        <v>3556.51519884928</v>
      </c>
      <c r="AM123" s="138" t="n">
        <f aca="false">AM99</f>
        <v>3549.45112415995</v>
      </c>
      <c r="AN123" s="138" t="n">
        <f aca="false">AN99</f>
        <v>3588.20477219062</v>
      </c>
      <c r="AO123" s="138" t="n">
        <f aca="false">AO99</f>
        <v>3626.95842022129</v>
      </c>
      <c r="AP123" s="138" t="n">
        <f aca="false">AP99</f>
        <v>3665.71206825196</v>
      </c>
      <c r="AQ123" s="138" t="n">
        <f aca="false">AQ99</f>
        <v>3224.86782268057</v>
      </c>
      <c r="AR123" s="138" t="n">
        <f aca="false">AR99</f>
        <v>3743.21936431331</v>
      </c>
      <c r="AS123" s="138" t="n">
        <f aca="false">AS99</f>
        <v>3737.66380875775</v>
      </c>
      <c r="AT123" s="138" t="n">
        <f aca="false">AT99</f>
        <v>3732.1082532022</v>
      </c>
      <c r="AU123" s="138" t="n">
        <f aca="false">AU99</f>
        <v>3726.55269764664</v>
      </c>
      <c r="AV123" s="138" t="n">
        <f aca="false">AV99</f>
        <v>3720.99714209108</v>
      </c>
      <c r="AW123" s="138" t="n">
        <f aca="false">AW99</f>
        <v>3715.44158653553</v>
      </c>
      <c r="AX123" s="138" t="n">
        <f aca="false">AX99</f>
        <v>3709.88603097997</v>
      </c>
      <c r="AY123" s="138" t="n">
        <f aca="false">AY99</f>
        <v>3658.32622102282</v>
      </c>
      <c r="AZ123" s="138" t="n">
        <f aca="false">AZ99</f>
        <v>3652.77066546726</v>
      </c>
      <c r="BA123" s="138" t="n">
        <f aca="false">BA99</f>
        <v>3647.21510991171</v>
      </c>
      <c r="BB123" s="138" t="n">
        <f aca="false">BB99</f>
        <v>3641.65955435615</v>
      </c>
      <c r="BC123" s="138" t="n">
        <f aca="false">BC99</f>
        <v>3156.50610519853</v>
      </c>
      <c r="BD123" s="138" t="n">
        <f aca="false">BD99</f>
        <v>3630.54844324504</v>
      </c>
      <c r="BE123" s="138" t="n">
        <f aca="false">BE99</f>
        <v>3624.99288768948</v>
      </c>
      <c r="BF123" s="138" t="n">
        <f aca="false">BF99</f>
        <v>3619.43733213393</v>
      </c>
      <c r="BG123" s="138" t="n">
        <f aca="false">BG99</f>
        <v>3613.88177657837</v>
      </c>
      <c r="BH123" s="138" t="n">
        <f aca="false">BH99</f>
        <v>3608.32622102282</v>
      </c>
      <c r="BI123" s="138" t="n">
        <f aca="false">BI99</f>
        <v>3602.77066546726</v>
      </c>
      <c r="BJ123" s="138" t="n">
        <f aca="false">BJ99</f>
        <v>3597.21510991171</v>
      </c>
      <c r="BK123" s="138" t="n">
        <f aca="false">BK99</f>
        <v>3545.4631723225</v>
      </c>
      <c r="BL123" s="138" t="n">
        <f aca="false">BL99</f>
        <v>3539.90761676695</v>
      </c>
      <c r="BM123" s="138" t="n">
        <f aca="false">BM99</f>
        <v>3534.35206121139</v>
      </c>
      <c r="BN123" s="138" t="n">
        <f aca="false">BN99</f>
        <v>3528.79650565584</v>
      </c>
      <c r="BO123" s="138" t="n">
        <f aca="false">BO99</f>
        <v>3043.64305649821</v>
      </c>
      <c r="BP123" s="138" t="n">
        <f aca="false">BP99</f>
        <v>3517.68539454473</v>
      </c>
      <c r="BQ123" s="138" t="n">
        <f aca="false">BQ99</f>
        <v>3512.12983898917</v>
      </c>
      <c r="BR123" s="138" t="n">
        <f aca="false">BR99</f>
        <v>3506.57428343361</v>
      </c>
      <c r="BS123" s="138" t="n">
        <f aca="false">BS99</f>
        <v>3501.01872787806</v>
      </c>
      <c r="BT123" s="138" t="n">
        <f aca="false">BT99</f>
        <v>3495.4631723225</v>
      </c>
      <c r="BU123" s="138" t="n">
        <f aca="false">BU99</f>
        <v>3489.90761676695</v>
      </c>
      <c r="BV123" s="138" t="n">
        <f aca="false">BV99</f>
        <v>3484.35206121139</v>
      </c>
      <c r="BW123" s="138" t="n">
        <f aca="false">BW99</f>
        <v>3432.40223216118</v>
      </c>
      <c r="BX123" s="138" t="n">
        <f aca="false">BX99</f>
        <v>3426.84667660562</v>
      </c>
      <c r="BY123" s="138" t="n">
        <f aca="false">BY99</f>
        <v>3421.29112105007</v>
      </c>
      <c r="BZ123" s="138" t="n">
        <f aca="false">BZ99</f>
        <v>3415.73556549451</v>
      </c>
      <c r="CA123" s="138" t="n">
        <f aca="false">CA99</f>
        <v>2930.58211633689</v>
      </c>
      <c r="CB123" s="138" t="n">
        <f aca="false">CB99</f>
        <v>3404.6244543834</v>
      </c>
      <c r="CC123" s="138" t="n">
        <f aca="false">CC99</f>
        <v>3399.06889882785</v>
      </c>
      <c r="CD123" s="138" t="n">
        <f aca="false">CD99</f>
        <v>3393.51334327229</v>
      </c>
      <c r="CE123" s="138" t="n">
        <f aca="false">CE99</f>
        <v>3387.95778771673</v>
      </c>
      <c r="CF123" s="138" t="n">
        <f aca="false">CF99</f>
        <v>3382.40223216118</v>
      </c>
      <c r="CG123" s="138" t="n">
        <f aca="false">CG99</f>
        <v>3376.84667660562</v>
      </c>
      <c r="CH123" s="138" t="n">
        <f aca="false">CH99</f>
        <v>3371.29112105001</v>
      </c>
    </row>
    <row r="124" customFormat="false" ht="13.5" hidden="false" customHeight="true" outlineLevel="0" collapsed="false"/>
    <row r="125" customFormat="false" ht="13.5" hidden="false" customHeight="true" outlineLevel="0" collapsed="false">
      <c r="A125" s="10" t="s">
        <v>796</v>
      </c>
      <c r="B125" s="10"/>
    </row>
    <row r="126" customFormat="false" ht="13.5" hidden="false" customHeight="true" outlineLevel="0" collapsed="false">
      <c r="A126" s="13" t="s">
        <v>797</v>
      </c>
      <c r="C126" s="16" t="n">
        <f aca="false">Hipótesis!$D$93</f>
        <v>100000</v>
      </c>
    </row>
    <row r="127" customFormat="false" ht="13.5" hidden="false" customHeight="true" outlineLevel="0" collapsed="false">
      <c r="A127" s="13" t="s">
        <v>798</v>
      </c>
      <c r="C127" s="19" t="n">
        <f aca="false">IFERROR(IRR($B$121:$CH$121,0.02),"n.d.")</f>
        <v>0.0434367320598622</v>
      </c>
    </row>
    <row r="128" customFormat="false" ht="13.5" hidden="false" customHeight="true" outlineLevel="0" collapsed="false">
      <c r="A128" s="13" t="s">
        <v>86</v>
      </c>
      <c r="C128" s="19" t="n">
        <f aca="false">IFERROR((1+IRR($B$121:$CH$121,0.02))^12-1,"n.d.")</f>
        <v>0.665687218648705</v>
      </c>
    </row>
    <row r="129" customFormat="false" ht="13.5" hidden="false" customHeight="true" outlineLevel="0" collapsed="false">
      <c r="A129" s="13" t="s">
        <v>799</v>
      </c>
      <c r="C129" s="23" t="n">
        <f aca="false">IFERROR(SUM($C$121:$CH$121)/$C$126,0)</f>
        <v>7.69792743883474</v>
      </c>
    </row>
    <row r="130" customFormat="false" ht="13.5" hidden="false" customHeight="true" outlineLevel="0" collapsed="false">
      <c r="A130" s="13" t="s">
        <v>58</v>
      </c>
      <c r="C130" s="17" t="n">
        <f aca="false">IFERROR(COUNTIF($C$94:$CH$94,"&lt;"&amp;$C$126)+1,"n.d.")</f>
        <v>48</v>
      </c>
    </row>
    <row r="131" customFormat="false" ht="13.5" hidden="false" customHeight="true" outlineLevel="0" collapsed="false">
      <c r="A131" s="13" t="s">
        <v>800</v>
      </c>
      <c r="C131" s="16" t="n">
        <f aca="false">IFERROR($B$121+NPV((1+Hipótesis!$D$121)^(1/12)-1,$C$121:$CH$121),0)</f>
        <v>389217.205362806</v>
      </c>
    </row>
    <row r="132" customFormat="false" ht="13.5" hidden="false" customHeight="true" outlineLevel="0" collapsed="false">
      <c r="A132" s="13" t="s">
        <v>801</v>
      </c>
      <c r="C132" s="138" t="n">
        <f aca="false">SUM($AY$56:$BJ$56)</f>
        <v>1051015.83793359</v>
      </c>
    </row>
    <row r="133" customFormat="false" ht="13.5" hidden="false" customHeight="true" outlineLevel="0" collapsed="false">
      <c r="A133" s="13" t="s">
        <v>802</v>
      </c>
      <c r="C133" s="138" t="n">
        <f aca="false">IF(Hipótesis!$D$94=5,$C$157,$C$132*Hipótesis!$D$120)</f>
        <v>7697927.43883473</v>
      </c>
    </row>
    <row r="134" customFormat="false" ht="13.5" hidden="false" customHeight="true" outlineLevel="0" collapsed="false">
      <c r="A134" s="13" t="s">
        <v>803</v>
      </c>
      <c r="C134" s="138" t="n">
        <f aca="false">MAX(0,$C$133)*Hipótesis!$D$119</f>
        <v>769792.743883473</v>
      </c>
    </row>
    <row r="135" customFormat="false" ht="13.5" hidden="false" customHeight="true" outlineLevel="0" collapsed="false">
      <c r="A135" s="13" t="s">
        <v>804</v>
      </c>
      <c r="C135" s="19" t="n">
        <f aca="false">IF(ISNUMBER($C$128),$C$128,"n.d.")</f>
        <v>0.665687218648705</v>
      </c>
    </row>
    <row r="136" customFormat="false" ht="13.5" hidden="false" customHeight="true" outlineLevel="0" collapsed="false">
      <c r="A136" s="13" t="s">
        <v>83</v>
      </c>
      <c r="C136" s="19" t="n">
        <f aca="false">IFERROR((1+IRR($B$123:$CH$123,0.01))^12-1,"n.d.")</f>
        <v>0.23169814496269</v>
      </c>
    </row>
    <row r="137" customFormat="false" ht="13.5" hidden="false" customHeight="true" outlineLevel="0" collapsed="false">
      <c r="A137" s="13" t="s">
        <v>805</v>
      </c>
      <c r="C137" s="19" t="n">
        <f aca="false">IFERROR((1+IRR($B$122:$CH$122,0.01))^12-1,"n.d.")</f>
        <v>0.505883229302389</v>
      </c>
    </row>
    <row r="138" customFormat="false" ht="13.5" hidden="false" customHeight="true" outlineLevel="0" collapsed="false">
      <c r="A138" s="13" t="s">
        <v>89</v>
      </c>
      <c r="C138" s="16" t="n">
        <f aca="false">Hipótesis!$D$122</f>
        <v>200000</v>
      </c>
    </row>
    <row r="139" customFormat="false" ht="13.5" hidden="false" customHeight="true" outlineLevel="0" collapsed="false">
      <c r="A139" s="13" t="s">
        <v>806</v>
      </c>
      <c r="C139" s="16" t="n">
        <f aca="false">Hipótesis!$D$113*Hipótesis!$D$117</f>
        <v>0</v>
      </c>
    </row>
    <row r="140" customFormat="false" ht="13.5" hidden="false" customHeight="true" outlineLevel="0" collapsed="false"/>
    <row r="141" customFormat="false" ht="13.5" hidden="false" customHeight="true" outlineLevel="0" collapsed="false">
      <c r="A141" s="146" t="s">
        <v>688</v>
      </c>
      <c r="C141" s="147" t="n">
        <v>1</v>
      </c>
      <c r="D141" s="147" t="n">
        <v>2</v>
      </c>
      <c r="E141" s="147" t="n">
        <v>3</v>
      </c>
      <c r="F141" s="147" t="n">
        <v>4</v>
      </c>
      <c r="G141" s="147" t="n">
        <v>5</v>
      </c>
      <c r="H141" s="147" t="n">
        <v>6</v>
      </c>
      <c r="I141" s="147" t="n">
        <v>7</v>
      </c>
    </row>
    <row r="142" customFormat="false" ht="13.5" hidden="false" customHeight="true" outlineLevel="0" collapsed="false">
      <c r="A142" s="13" t="s">
        <v>807</v>
      </c>
      <c r="C142" s="138" t="n">
        <f aca="false">SUM($C$56:$N$56)</f>
        <v>40658.9392540669</v>
      </c>
      <c r="D142" s="138" t="n">
        <f aca="false">SUM($O$56:$Z$56)</f>
        <v>512150.496477541</v>
      </c>
      <c r="E142" s="138" t="n">
        <f aca="false">SUM($AA$56:$AL$56)</f>
        <v>817040.136661582</v>
      </c>
      <c r="F142" s="138" t="n">
        <f aca="false">SUM($AM$56:$AX$56)</f>
        <v>1045386.48788488</v>
      </c>
      <c r="G142" s="138" t="n">
        <f aca="false">SUM($AY$56:$BJ$56)</f>
        <v>1051015.83793359</v>
      </c>
      <c r="H142" s="138" t="n">
        <f aca="false">SUM($BK$56:$BV$56)</f>
        <v>1023298.0087134</v>
      </c>
      <c r="I142" s="138" t="n">
        <f aca="false">SUM($BW$56:$CH$56)</f>
        <v>995461.444616604</v>
      </c>
    </row>
    <row r="143" customFormat="false" ht="13.5" hidden="false" customHeight="true" outlineLevel="0" collapsed="false">
      <c r="A143" s="13" t="s">
        <v>808</v>
      </c>
      <c r="C143" s="138" t="n">
        <f aca="false">SUM($C$106:$N$106)</f>
        <v>5787.47240328067</v>
      </c>
      <c r="D143" s="138" t="n">
        <f aca="false">SUM($O$106:$Z$106)</f>
        <v>14243.0099295508</v>
      </c>
      <c r="E143" s="138" t="n">
        <f aca="false">SUM($AA$106:$AL$106)</f>
        <v>39974.136066565</v>
      </c>
      <c r="F143" s="138" t="n">
        <f aca="false">SUM($AM$106:$AX$106)</f>
        <v>43741.0630910309</v>
      </c>
      <c r="G143" s="138" t="n">
        <f aca="false">SUM($AY$106:$BJ$106)</f>
        <v>43053.6500920051</v>
      </c>
      <c r="H143" s="138" t="n">
        <f aca="false">SUM($BK$106:$BV$106)</f>
        <v>41699.2935076013</v>
      </c>
      <c r="I143" s="138" t="n">
        <f aca="false">SUM($BW$106:$CH$106)</f>
        <v>40342.5622256654</v>
      </c>
    </row>
    <row r="144" customFormat="false" ht="13.5" hidden="false" customHeight="true" outlineLevel="0" collapsed="false">
      <c r="A144" s="30" t="s">
        <v>809</v>
      </c>
      <c r="C144" s="153" t="n">
        <f aca="false">IFERROR(C142/C143,0)</f>
        <v>7.02533617802119</v>
      </c>
      <c r="D144" s="153" t="n">
        <f aca="false">IFERROR(D142/D143,0)</f>
        <v>35.9580242526513</v>
      </c>
      <c r="E144" s="153" t="n">
        <f aca="false">IFERROR(E142/E143,0)</f>
        <v>20.4392193817784</v>
      </c>
      <c r="F144" s="153" t="n">
        <f aca="false">IFERROR(F142/F143,0)</f>
        <v>23.899430283834</v>
      </c>
      <c r="G144" s="153" t="n">
        <f aca="false">IFERROR(G142/G143,0)</f>
        <v>24.4117707949867</v>
      </c>
      <c r="H144" s="153" t="n">
        <f aca="false">IFERROR(H142/H143,0)</f>
        <v>24.5399363547218</v>
      </c>
      <c r="I144" s="153" t="n">
        <f aca="false">IFERROR(I142/I143,0)</f>
        <v>24.6752161909862</v>
      </c>
    </row>
    <row r="145" customFormat="false" ht="13.5" hidden="false" customHeight="true" outlineLevel="0" collapsed="false">
      <c r="A145" s="30" t="s">
        <v>810</v>
      </c>
      <c r="C145" s="18" t="n">
        <f aca="false">MIN(D144:I144)</f>
        <v>20.4392193817784</v>
      </c>
    </row>
    <row r="146" customFormat="false" ht="13.5" hidden="false" customHeight="true" outlineLevel="0" collapsed="false">
      <c r="A146" s="30" t="s">
        <v>811</v>
      </c>
      <c r="C146" s="16" t="n">
        <f aca="false">MIN($C$86:$CH$86)</f>
        <v>30000</v>
      </c>
    </row>
    <row r="147" customFormat="false" ht="13.5" hidden="false" customHeight="true" outlineLevel="0" collapsed="false">
      <c r="A147" s="30" t="s">
        <v>812</v>
      </c>
      <c r="C147" s="16" t="n">
        <f aca="false">SUM($C$36:$N$36)</f>
        <v>311861.828471764</v>
      </c>
    </row>
    <row r="148" customFormat="false" ht="13.5" hidden="false" customHeight="true" outlineLevel="0" collapsed="false">
      <c r="A148" s="30" t="s">
        <v>813</v>
      </c>
      <c r="C148" s="138" t="n">
        <f aca="false">-SUM($C$84:$N$84)</f>
        <v>-0</v>
      </c>
      <c r="D148" s="138" t="n">
        <f aca="false">-SUM($O$84:$Z$84)</f>
        <v>-0</v>
      </c>
      <c r="E148" s="138" t="n">
        <f aca="false">-SUM($AA$84:$AL$84)</f>
        <v>-0</v>
      </c>
      <c r="F148" s="138" t="n">
        <f aca="false">-SUM($AM$84:$AX$84)</f>
        <v>-0</v>
      </c>
      <c r="G148" s="138" t="n">
        <f aca="false">-SUM($AY$84:$BJ$84)</f>
        <v>-0</v>
      </c>
      <c r="H148" s="138" t="n">
        <f aca="false">-SUM($BK$84:$BV$84)</f>
        <v>-0</v>
      </c>
      <c r="I148" s="138" t="n">
        <f aca="false">-SUM($BW$84:$CH$84)</f>
        <v>-0</v>
      </c>
    </row>
    <row r="149" customFormat="false" ht="13.5" hidden="false" customHeight="true" outlineLevel="0" collapsed="false">
      <c r="A149" s="30" t="s">
        <v>814</v>
      </c>
      <c r="C149" s="16" t="n">
        <f aca="false">SUM($C$118:$N$118)/12</f>
        <v>1540</v>
      </c>
      <c r="D149" s="16" t="n">
        <f aca="false">SUM($O$118:$Z$118)/12</f>
        <v>2450</v>
      </c>
      <c r="E149" s="16" t="n">
        <f aca="false">SUM($AA$118:$AL$118)/12</f>
        <v>2800</v>
      </c>
      <c r="F149" s="16" t="n">
        <f aca="false">SUM($AM$118:$AX$118)/12</f>
        <v>3150</v>
      </c>
      <c r="G149" s="16" t="n">
        <f aca="false">SUM($AY$118:$BJ$118)/12</f>
        <v>3500</v>
      </c>
      <c r="H149" s="16" t="n">
        <f aca="false">SUM($BK$118:$BV$118)/12</f>
        <v>3850</v>
      </c>
      <c r="I149" s="16" t="n">
        <f aca="false">SUM($BW$118:$CH$118)/12</f>
        <v>4200</v>
      </c>
    </row>
    <row r="150" customFormat="false" ht="13.5" hidden="false" customHeight="true" outlineLevel="0" collapsed="false">
      <c r="A150" s="30" t="s">
        <v>815</v>
      </c>
      <c r="C150" s="16" t="n">
        <f aca="false">MAX($C$81:$CH$81)</f>
        <v>10049.7019256666</v>
      </c>
    </row>
    <row r="152" customFormat="false" ht="15" hidden="false" customHeight="true" outlineLevel="0" collapsed="false">
      <c r="A152" s="72" t="s">
        <v>816</v>
      </c>
    </row>
    <row r="153" customFormat="false" ht="15" hidden="false" customHeight="true" outlineLevel="0" collapsed="false">
      <c r="A153" s="1" t="s">
        <v>817</v>
      </c>
      <c r="C153" s="1" t="n">
        <f aca="false">SUMIFS($C$56:$CH$56,$C$3:$CH$3,"&gt;="&amp;Hipótesis!$D$124-11,$C$3:$CH$3,"&lt;="&amp;Hipótesis!$D$124)</f>
        <v>1045386.48788488</v>
      </c>
    </row>
    <row r="154" customFormat="false" ht="15" hidden="false" customHeight="true" outlineLevel="0" collapsed="false">
      <c r="A154" s="1" t="s">
        <v>818</v>
      </c>
      <c r="C154" s="1" t="n">
        <f aca="false">$C$153*Hipótesis!$D$120</f>
        <v>6272318.92730926</v>
      </c>
    </row>
    <row r="155" customFormat="false" ht="15" hidden="false" customHeight="true" outlineLevel="0" collapsed="false">
      <c r="A155" s="1" t="s">
        <v>819</v>
      </c>
      <c r="C155" s="1" t="n">
        <f aca="false">SUMIFS($C$86:$CH$86,$C$3:$CH$3,"="&amp;Hipótesis!$D$124)</f>
        <v>1487275.17819214</v>
      </c>
    </row>
    <row r="156" customFormat="false" ht="15" hidden="false" customHeight="true" outlineLevel="0" collapsed="false">
      <c r="A156" s="1" t="s">
        <v>820</v>
      </c>
      <c r="C156" s="1" t="n">
        <f aca="false">SUMIFS($C$96:$CH$96,$C$3:$CH$3,"="&amp;Hipótesis!$D$124)+SUMIFS($C$101:$CH$101,$C$3:$CH$3,"="&amp;Hipótesis!$D$124)+SUMIFS($C$89:$CH$89,$C$3:$CH$3,"="&amp;Hipótesis!$D$124)</f>
        <v>61666.6666666666</v>
      </c>
    </row>
    <row r="157" customFormat="false" ht="15" hidden="false" customHeight="true" outlineLevel="0" collapsed="false">
      <c r="A157" s="72" t="s">
        <v>821</v>
      </c>
      <c r="C157" s="1" t="n">
        <f aca="false">MAX(0,$C$154+Hipótesis!$D$125*($C$155-$C$156))</f>
        <v>7697927.43883473</v>
      </c>
    </row>
    <row r="158" customFormat="false" ht="15" hidden="false" customHeight="true" outlineLevel="0" collapsed="false">
      <c r="A158" s="1" t="s">
        <v>822</v>
      </c>
      <c r="C158" s="1" t="n">
        <f aca="false">MIN($C$157,MAX($C$157*Hipótesis!$D$119,Hipótesis!$D$127*Hipótesis!$D$93))</f>
        <v>769792.743883473</v>
      </c>
    </row>
    <row r="159" customFormat="false" ht="15" hidden="false" customHeight="true" outlineLevel="0" collapsed="false">
      <c r="A159" s="1" t="s">
        <v>823</v>
      </c>
      <c r="C159" s="1" t="n">
        <f aca="false">MAX(0,$C$158-$C$157*Hipótesis!$D$119)</f>
        <v>0</v>
      </c>
    </row>
    <row r="160" customFormat="false" ht="15" hidden="false" customHeight="true" outlineLevel="0" collapsed="false">
      <c r="A160" s="72" t="s">
        <v>824</v>
      </c>
    </row>
    <row r="161" customFormat="false" ht="15" hidden="false" customHeight="true" outlineLevel="0" collapsed="false">
      <c r="A161" s="1" t="s">
        <v>825</v>
      </c>
      <c r="C161" s="80" t="n">
        <f aca="false">IF(Hipótesis!$D$94=5,Hipótesis!$D$93,0)</f>
        <v>100000</v>
      </c>
    </row>
    <row r="162" customFormat="false" ht="15" hidden="false" customHeight="true" outlineLevel="0" collapsed="false">
      <c r="A162" s="1" t="s">
        <v>826</v>
      </c>
      <c r="C162" s="1" t="n">
        <f aca="false">SUMIFS($C$63:$CH$63,$C$3:$CH$3,"&lt;="&amp;Hipótesis!$D$126)</f>
        <v>0</v>
      </c>
    </row>
    <row r="163" customFormat="false" ht="15" hidden="false" customHeight="true" outlineLevel="0" collapsed="false">
      <c r="A163" s="72" t="s">
        <v>827</v>
      </c>
      <c r="C163" s="1" t="n">
        <f aca="false">$C$161+$C$162</f>
        <v>100000</v>
      </c>
    </row>
    <row r="164" customFormat="false" ht="15" hidden="false" customHeight="true" outlineLevel="0" collapsed="false">
      <c r="A164" s="1" t="s">
        <v>828</v>
      </c>
      <c r="C164" s="80" t="n">
        <f aca="false">Hipótesis!$D$105</f>
        <v>100000</v>
      </c>
    </row>
    <row r="165" customFormat="false" ht="15" hidden="false" customHeight="true" outlineLevel="0" collapsed="false">
      <c r="A165" s="72" t="s">
        <v>829</v>
      </c>
      <c r="C165" s="1" t="str">
        <f aca="false">IF($C$163&gt;=$C$164,"SI CUMPLE","NO CUMPLE - faltan "&amp;TEXT($C$164-$C$163,"#,##0")&amp;" EUR")</f>
        <v>SI CUMPLE</v>
      </c>
    </row>
    <row r="168" customFormat="false" ht="15" hidden="false" customHeight="false" outlineLevel="0" collapsed="false">
      <c r="A168" s="154" t="s">
        <v>830</v>
      </c>
    </row>
    <row r="169" customFormat="false" ht="15" hidden="false" customHeight="false" outlineLevel="0" collapsed="false">
      <c r="A169" s="1" t="s">
        <v>831</v>
      </c>
    </row>
    <row r="171" customFormat="false" ht="15" hidden="false" customHeight="false" outlineLevel="0" collapsed="false">
      <c r="A171" s="1" t="s">
        <v>832</v>
      </c>
      <c r="C171" s="27" t="n">
        <f aca="false">MOD(Restaurantes!$D$32+C$3-2,12)+1</f>
        <v>4</v>
      </c>
      <c r="D171" s="27" t="n">
        <f aca="false">MOD(Restaurantes!$D$32+D$3-2,12)+1</f>
        <v>5</v>
      </c>
      <c r="E171" s="27" t="n">
        <f aca="false">MOD(Restaurantes!$D$32+E$3-2,12)+1</f>
        <v>6</v>
      </c>
      <c r="F171" s="27" t="n">
        <f aca="false">MOD(Restaurantes!$D$32+F$3-2,12)+1</f>
        <v>7</v>
      </c>
      <c r="G171" s="27" t="n">
        <f aca="false">MOD(Restaurantes!$D$32+G$3-2,12)+1</f>
        <v>8</v>
      </c>
      <c r="H171" s="27" t="n">
        <f aca="false">MOD(Restaurantes!$D$32+H$3-2,12)+1</f>
        <v>9</v>
      </c>
      <c r="I171" s="27" t="n">
        <f aca="false">MOD(Restaurantes!$D$32+I$3-2,12)+1</f>
        <v>10</v>
      </c>
      <c r="J171" s="27" t="n">
        <f aca="false">MOD(Restaurantes!$D$32+J$3-2,12)+1</f>
        <v>11</v>
      </c>
      <c r="K171" s="27" t="n">
        <f aca="false">MOD(Restaurantes!$D$32+K$3-2,12)+1</f>
        <v>12</v>
      </c>
      <c r="L171" s="27" t="n">
        <f aca="false">MOD(Restaurantes!$D$32+L$3-2,12)+1</f>
        <v>1</v>
      </c>
      <c r="M171" s="27" t="n">
        <f aca="false">MOD(Restaurantes!$D$32+M$3-2,12)+1</f>
        <v>2</v>
      </c>
      <c r="N171" s="27" t="n">
        <f aca="false">MOD(Restaurantes!$D$32+N$3-2,12)+1</f>
        <v>3</v>
      </c>
      <c r="O171" s="27" t="n">
        <f aca="false">MOD(Restaurantes!$D$32+O$3-2,12)+1</f>
        <v>4</v>
      </c>
      <c r="P171" s="27" t="n">
        <f aca="false">MOD(Restaurantes!$D$32+P$3-2,12)+1</f>
        <v>5</v>
      </c>
      <c r="Q171" s="27" t="n">
        <f aca="false">MOD(Restaurantes!$D$32+Q$3-2,12)+1</f>
        <v>6</v>
      </c>
      <c r="R171" s="27" t="n">
        <f aca="false">MOD(Restaurantes!$D$32+R$3-2,12)+1</f>
        <v>7</v>
      </c>
      <c r="S171" s="27" t="n">
        <f aca="false">MOD(Restaurantes!$D$32+S$3-2,12)+1</f>
        <v>8</v>
      </c>
      <c r="T171" s="27" t="n">
        <f aca="false">MOD(Restaurantes!$D$32+T$3-2,12)+1</f>
        <v>9</v>
      </c>
      <c r="U171" s="27" t="n">
        <f aca="false">MOD(Restaurantes!$D$32+U$3-2,12)+1</f>
        <v>10</v>
      </c>
      <c r="V171" s="27" t="n">
        <f aca="false">MOD(Restaurantes!$D$32+V$3-2,12)+1</f>
        <v>11</v>
      </c>
      <c r="W171" s="27" t="n">
        <f aca="false">MOD(Restaurantes!$D$32+W$3-2,12)+1</f>
        <v>12</v>
      </c>
      <c r="X171" s="27" t="n">
        <f aca="false">MOD(Restaurantes!$D$32+X$3-2,12)+1</f>
        <v>1</v>
      </c>
      <c r="Y171" s="27" t="n">
        <f aca="false">MOD(Restaurantes!$D$32+Y$3-2,12)+1</f>
        <v>2</v>
      </c>
      <c r="Z171" s="27" t="n">
        <f aca="false">MOD(Restaurantes!$D$32+Z$3-2,12)+1</f>
        <v>3</v>
      </c>
      <c r="AA171" s="27" t="n">
        <f aca="false">MOD(Restaurantes!$D$32+AA$3-2,12)+1</f>
        <v>4</v>
      </c>
      <c r="AB171" s="27" t="n">
        <f aca="false">MOD(Restaurantes!$D$32+AB$3-2,12)+1</f>
        <v>5</v>
      </c>
      <c r="AC171" s="27" t="n">
        <f aca="false">MOD(Restaurantes!$D$32+AC$3-2,12)+1</f>
        <v>6</v>
      </c>
      <c r="AD171" s="27" t="n">
        <f aca="false">MOD(Restaurantes!$D$32+AD$3-2,12)+1</f>
        <v>7</v>
      </c>
      <c r="AE171" s="27" t="n">
        <f aca="false">MOD(Restaurantes!$D$32+AE$3-2,12)+1</f>
        <v>8</v>
      </c>
      <c r="AF171" s="27" t="n">
        <f aca="false">MOD(Restaurantes!$D$32+AF$3-2,12)+1</f>
        <v>9</v>
      </c>
      <c r="AG171" s="27" t="n">
        <f aca="false">MOD(Restaurantes!$D$32+AG$3-2,12)+1</f>
        <v>10</v>
      </c>
      <c r="AH171" s="27" t="n">
        <f aca="false">MOD(Restaurantes!$D$32+AH$3-2,12)+1</f>
        <v>11</v>
      </c>
      <c r="AI171" s="27" t="n">
        <f aca="false">MOD(Restaurantes!$D$32+AI$3-2,12)+1</f>
        <v>12</v>
      </c>
      <c r="AJ171" s="27" t="n">
        <f aca="false">MOD(Restaurantes!$D$32+AJ$3-2,12)+1</f>
        <v>1</v>
      </c>
      <c r="AK171" s="27" t="n">
        <f aca="false">MOD(Restaurantes!$D$32+AK$3-2,12)+1</f>
        <v>2</v>
      </c>
      <c r="AL171" s="27" t="n">
        <f aca="false">MOD(Restaurantes!$D$32+AL$3-2,12)+1</f>
        <v>3</v>
      </c>
      <c r="AM171" s="27" t="n">
        <f aca="false">MOD(Restaurantes!$D$32+AM$3-2,12)+1</f>
        <v>4</v>
      </c>
      <c r="AN171" s="27" t="n">
        <f aca="false">MOD(Restaurantes!$D$32+AN$3-2,12)+1</f>
        <v>5</v>
      </c>
      <c r="AO171" s="27" t="n">
        <f aca="false">MOD(Restaurantes!$D$32+AO$3-2,12)+1</f>
        <v>6</v>
      </c>
      <c r="AP171" s="27" t="n">
        <f aca="false">MOD(Restaurantes!$D$32+AP$3-2,12)+1</f>
        <v>7</v>
      </c>
      <c r="AQ171" s="27" t="n">
        <f aca="false">MOD(Restaurantes!$D$32+AQ$3-2,12)+1</f>
        <v>8</v>
      </c>
      <c r="AR171" s="27" t="n">
        <f aca="false">MOD(Restaurantes!$D$32+AR$3-2,12)+1</f>
        <v>9</v>
      </c>
      <c r="AS171" s="27" t="n">
        <f aca="false">MOD(Restaurantes!$D$32+AS$3-2,12)+1</f>
        <v>10</v>
      </c>
      <c r="AT171" s="27" t="n">
        <f aca="false">MOD(Restaurantes!$D$32+AT$3-2,12)+1</f>
        <v>11</v>
      </c>
      <c r="AU171" s="27" t="n">
        <f aca="false">MOD(Restaurantes!$D$32+AU$3-2,12)+1</f>
        <v>12</v>
      </c>
      <c r="AV171" s="27" t="n">
        <f aca="false">MOD(Restaurantes!$D$32+AV$3-2,12)+1</f>
        <v>1</v>
      </c>
      <c r="AW171" s="27" t="n">
        <f aca="false">MOD(Restaurantes!$D$32+AW$3-2,12)+1</f>
        <v>2</v>
      </c>
      <c r="AX171" s="27" t="n">
        <f aca="false">MOD(Restaurantes!$D$32+AX$3-2,12)+1</f>
        <v>3</v>
      </c>
      <c r="AY171" s="27" t="n">
        <f aca="false">MOD(Restaurantes!$D$32+AY$3-2,12)+1</f>
        <v>4</v>
      </c>
      <c r="AZ171" s="27" t="n">
        <f aca="false">MOD(Restaurantes!$D$32+AZ$3-2,12)+1</f>
        <v>5</v>
      </c>
      <c r="BA171" s="27" t="n">
        <f aca="false">MOD(Restaurantes!$D$32+BA$3-2,12)+1</f>
        <v>6</v>
      </c>
      <c r="BB171" s="27" t="n">
        <f aca="false">MOD(Restaurantes!$D$32+BB$3-2,12)+1</f>
        <v>7</v>
      </c>
      <c r="BC171" s="27" t="n">
        <f aca="false">MOD(Restaurantes!$D$32+BC$3-2,12)+1</f>
        <v>8</v>
      </c>
      <c r="BD171" s="27" t="n">
        <f aca="false">MOD(Restaurantes!$D$32+BD$3-2,12)+1</f>
        <v>9</v>
      </c>
      <c r="BE171" s="27" t="n">
        <f aca="false">MOD(Restaurantes!$D$32+BE$3-2,12)+1</f>
        <v>10</v>
      </c>
      <c r="BF171" s="27" t="n">
        <f aca="false">MOD(Restaurantes!$D$32+BF$3-2,12)+1</f>
        <v>11</v>
      </c>
      <c r="BG171" s="27" t="n">
        <f aca="false">MOD(Restaurantes!$D$32+BG$3-2,12)+1</f>
        <v>12</v>
      </c>
      <c r="BH171" s="27" t="n">
        <f aca="false">MOD(Restaurantes!$D$32+BH$3-2,12)+1</f>
        <v>1</v>
      </c>
      <c r="BI171" s="27" t="n">
        <f aca="false">MOD(Restaurantes!$D$32+BI$3-2,12)+1</f>
        <v>2</v>
      </c>
      <c r="BJ171" s="27" t="n">
        <f aca="false">MOD(Restaurantes!$D$32+BJ$3-2,12)+1</f>
        <v>3</v>
      </c>
      <c r="BK171" s="27" t="n">
        <f aca="false">MOD(Restaurantes!$D$32+BK$3-2,12)+1</f>
        <v>4</v>
      </c>
      <c r="BL171" s="27" t="n">
        <f aca="false">MOD(Restaurantes!$D$32+BL$3-2,12)+1</f>
        <v>5</v>
      </c>
      <c r="BM171" s="27" t="n">
        <f aca="false">MOD(Restaurantes!$D$32+BM$3-2,12)+1</f>
        <v>6</v>
      </c>
      <c r="BN171" s="27" t="n">
        <f aca="false">MOD(Restaurantes!$D$32+BN$3-2,12)+1</f>
        <v>7</v>
      </c>
      <c r="BO171" s="27" t="n">
        <f aca="false">MOD(Restaurantes!$D$32+BO$3-2,12)+1</f>
        <v>8</v>
      </c>
      <c r="BP171" s="27" t="n">
        <f aca="false">MOD(Restaurantes!$D$32+BP$3-2,12)+1</f>
        <v>9</v>
      </c>
      <c r="BQ171" s="27" t="n">
        <f aca="false">MOD(Restaurantes!$D$32+BQ$3-2,12)+1</f>
        <v>10</v>
      </c>
      <c r="BR171" s="27" t="n">
        <f aca="false">MOD(Restaurantes!$D$32+BR$3-2,12)+1</f>
        <v>11</v>
      </c>
      <c r="BS171" s="27" t="n">
        <f aca="false">MOD(Restaurantes!$D$32+BS$3-2,12)+1</f>
        <v>12</v>
      </c>
      <c r="BT171" s="27" t="n">
        <f aca="false">MOD(Restaurantes!$D$32+BT$3-2,12)+1</f>
        <v>1</v>
      </c>
      <c r="BU171" s="27" t="n">
        <f aca="false">MOD(Restaurantes!$D$32+BU$3-2,12)+1</f>
        <v>2</v>
      </c>
      <c r="BV171" s="27" t="n">
        <f aca="false">MOD(Restaurantes!$D$32+BV$3-2,12)+1</f>
        <v>3</v>
      </c>
      <c r="BW171" s="27" t="n">
        <f aca="false">MOD(Restaurantes!$D$32+BW$3-2,12)+1</f>
        <v>4</v>
      </c>
      <c r="BX171" s="27" t="n">
        <f aca="false">MOD(Restaurantes!$D$32+BX$3-2,12)+1</f>
        <v>5</v>
      </c>
      <c r="BY171" s="27" t="n">
        <f aca="false">MOD(Restaurantes!$D$32+BY$3-2,12)+1</f>
        <v>6</v>
      </c>
      <c r="BZ171" s="27" t="n">
        <f aca="false">MOD(Restaurantes!$D$32+BZ$3-2,12)+1</f>
        <v>7</v>
      </c>
      <c r="CA171" s="27" t="n">
        <f aca="false">MOD(Restaurantes!$D$32+CA$3-2,12)+1</f>
        <v>8</v>
      </c>
      <c r="CB171" s="27" t="n">
        <f aca="false">MOD(Restaurantes!$D$32+CB$3-2,12)+1</f>
        <v>9</v>
      </c>
      <c r="CC171" s="27" t="n">
        <f aca="false">MOD(Restaurantes!$D$32+CC$3-2,12)+1</f>
        <v>10</v>
      </c>
      <c r="CD171" s="27" t="n">
        <f aca="false">MOD(Restaurantes!$D$32+CD$3-2,12)+1</f>
        <v>11</v>
      </c>
      <c r="CE171" s="27" t="n">
        <f aca="false">MOD(Restaurantes!$D$32+CE$3-2,12)+1</f>
        <v>12</v>
      </c>
      <c r="CF171" s="27" t="n">
        <f aca="false">MOD(Restaurantes!$D$32+CF$3-2,12)+1</f>
        <v>1</v>
      </c>
      <c r="CG171" s="27" t="n">
        <f aca="false">MOD(Restaurantes!$D$32+CG$3-2,12)+1</f>
        <v>2</v>
      </c>
      <c r="CH171" s="27" t="n">
        <f aca="false">MOD(Restaurantes!$D$32+CH$3-2,12)+1</f>
        <v>3</v>
      </c>
    </row>
    <row r="172" customFormat="false" ht="15" hidden="false" customHeight="false" outlineLevel="0" collapsed="false">
      <c r="A172" s="1" t="s">
        <v>833</v>
      </c>
      <c r="C172" s="26" t="n">
        <f aca="false">IF(C171=8,Restaurantes!$D$31,1)</f>
        <v>1</v>
      </c>
      <c r="D172" s="26" t="n">
        <f aca="false">IF(D171=8,Restaurantes!$D$31,1)</f>
        <v>1</v>
      </c>
      <c r="E172" s="26" t="n">
        <f aca="false">IF(E171=8,Restaurantes!$D$31,1)</f>
        <v>1</v>
      </c>
      <c r="F172" s="26" t="n">
        <f aca="false">IF(F171=8,Restaurantes!$D$31,1)</f>
        <v>1</v>
      </c>
      <c r="G172" s="26" t="n">
        <f aca="false">IF(G171=8,Restaurantes!$D$31,1)</f>
        <v>0.15</v>
      </c>
      <c r="H172" s="26" t="n">
        <f aca="false">IF(H171=8,Restaurantes!$D$31,1)</f>
        <v>1</v>
      </c>
      <c r="I172" s="26" t="n">
        <f aca="false">IF(I171=8,Restaurantes!$D$31,1)</f>
        <v>1</v>
      </c>
      <c r="J172" s="26" t="n">
        <f aca="false">IF(J171=8,Restaurantes!$D$31,1)</f>
        <v>1</v>
      </c>
      <c r="K172" s="26" t="n">
        <f aca="false">IF(K171=8,Restaurantes!$D$31,1)</f>
        <v>1</v>
      </c>
      <c r="L172" s="26" t="n">
        <f aca="false">IF(L171=8,Restaurantes!$D$31,1)</f>
        <v>1</v>
      </c>
      <c r="M172" s="26" t="n">
        <f aca="false">IF(M171=8,Restaurantes!$D$31,1)</f>
        <v>1</v>
      </c>
      <c r="N172" s="26" t="n">
        <f aca="false">IF(N171=8,Restaurantes!$D$31,1)</f>
        <v>1</v>
      </c>
      <c r="O172" s="26" t="n">
        <f aca="false">IF(O171=8,Restaurantes!$D$31,1)</f>
        <v>1</v>
      </c>
      <c r="P172" s="26" t="n">
        <f aca="false">IF(P171=8,Restaurantes!$D$31,1)</f>
        <v>1</v>
      </c>
      <c r="Q172" s="26" t="n">
        <f aca="false">IF(Q171=8,Restaurantes!$D$31,1)</f>
        <v>1</v>
      </c>
      <c r="R172" s="26" t="n">
        <f aca="false">IF(R171=8,Restaurantes!$D$31,1)</f>
        <v>1</v>
      </c>
      <c r="S172" s="26" t="n">
        <f aca="false">IF(S171=8,Restaurantes!$D$31,1)</f>
        <v>0.15</v>
      </c>
      <c r="T172" s="26" t="n">
        <f aca="false">IF(T171=8,Restaurantes!$D$31,1)</f>
        <v>1</v>
      </c>
      <c r="U172" s="26" t="n">
        <f aca="false">IF(U171=8,Restaurantes!$D$31,1)</f>
        <v>1</v>
      </c>
      <c r="V172" s="26" t="n">
        <f aca="false">IF(V171=8,Restaurantes!$D$31,1)</f>
        <v>1</v>
      </c>
      <c r="W172" s="26" t="n">
        <f aca="false">IF(W171=8,Restaurantes!$D$31,1)</f>
        <v>1</v>
      </c>
      <c r="X172" s="26" t="n">
        <f aca="false">IF(X171=8,Restaurantes!$D$31,1)</f>
        <v>1</v>
      </c>
      <c r="Y172" s="26" t="n">
        <f aca="false">IF(Y171=8,Restaurantes!$D$31,1)</f>
        <v>1</v>
      </c>
      <c r="Z172" s="26" t="n">
        <f aca="false">IF(Z171=8,Restaurantes!$D$31,1)</f>
        <v>1</v>
      </c>
      <c r="AA172" s="26" t="n">
        <f aca="false">IF(AA171=8,Restaurantes!$D$31,1)</f>
        <v>1</v>
      </c>
      <c r="AB172" s="26" t="n">
        <f aca="false">IF(AB171=8,Restaurantes!$D$31,1)</f>
        <v>1</v>
      </c>
      <c r="AC172" s="26" t="n">
        <f aca="false">IF(AC171=8,Restaurantes!$D$31,1)</f>
        <v>1</v>
      </c>
      <c r="AD172" s="26" t="n">
        <f aca="false">IF(AD171=8,Restaurantes!$D$31,1)</f>
        <v>1</v>
      </c>
      <c r="AE172" s="26" t="n">
        <f aca="false">IF(AE171=8,Restaurantes!$D$31,1)</f>
        <v>0.15</v>
      </c>
      <c r="AF172" s="26" t="n">
        <f aca="false">IF(AF171=8,Restaurantes!$D$31,1)</f>
        <v>1</v>
      </c>
      <c r="AG172" s="26" t="n">
        <f aca="false">IF(AG171=8,Restaurantes!$D$31,1)</f>
        <v>1</v>
      </c>
      <c r="AH172" s="26" t="n">
        <f aca="false">IF(AH171=8,Restaurantes!$D$31,1)</f>
        <v>1</v>
      </c>
      <c r="AI172" s="26" t="n">
        <f aca="false">IF(AI171=8,Restaurantes!$D$31,1)</f>
        <v>1</v>
      </c>
      <c r="AJ172" s="26" t="n">
        <f aca="false">IF(AJ171=8,Restaurantes!$D$31,1)</f>
        <v>1</v>
      </c>
      <c r="AK172" s="26" t="n">
        <f aca="false">IF(AK171=8,Restaurantes!$D$31,1)</f>
        <v>1</v>
      </c>
      <c r="AL172" s="26" t="n">
        <f aca="false">IF(AL171=8,Restaurantes!$D$31,1)</f>
        <v>1</v>
      </c>
      <c r="AM172" s="26" t="n">
        <f aca="false">IF(AM171=8,Restaurantes!$D$31,1)</f>
        <v>1</v>
      </c>
      <c r="AN172" s="26" t="n">
        <f aca="false">IF(AN171=8,Restaurantes!$D$31,1)</f>
        <v>1</v>
      </c>
      <c r="AO172" s="26" t="n">
        <f aca="false">IF(AO171=8,Restaurantes!$D$31,1)</f>
        <v>1</v>
      </c>
      <c r="AP172" s="26" t="n">
        <f aca="false">IF(AP171=8,Restaurantes!$D$31,1)</f>
        <v>1</v>
      </c>
      <c r="AQ172" s="26" t="n">
        <f aca="false">IF(AQ171=8,Restaurantes!$D$31,1)</f>
        <v>0.15</v>
      </c>
      <c r="AR172" s="26" t="n">
        <f aca="false">IF(AR171=8,Restaurantes!$D$31,1)</f>
        <v>1</v>
      </c>
      <c r="AS172" s="26" t="n">
        <f aca="false">IF(AS171=8,Restaurantes!$D$31,1)</f>
        <v>1</v>
      </c>
      <c r="AT172" s="26" t="n">
        <f aca="false">IF(AT171=8,Restaurantes!$D$31,1)</f>
        <v>1</v>
      </c>
      <c r="AU172" s="26" t="n">
        <f aca="false">IF(AU171=8,Restaurantes!$D$31,1)</f>
        <v>1</v>
      </c>
      <c r="AV172" s="26" t="n">
        <f aca="false">IF(AV171=8,Restaurantes!$D$31,1)</f>
        <v>1</v>
      </c>
      <c r="AW172" s="26" t="n">
        <f aca="false">IF(AW171=8,Restaurantes!$D$31,1)</f>
        <v>1</v>
      </c>
      <c r="AX172" s="26" t="n">
        <f aca="false">IF(AX171=8,Restaurantes!$D$31,1)</f>
        <v>1</v>
      </c>
      <c r="AY172" s="26" t="n">
        <f aca="false">IF(AY171=8,Restaurantes!$D$31,1)</f>
        <v>1</v>
      </c>
      <c r="AZ172" s="26" t="n">
        <f aca="false">IF(AZ171=8,Restaurantes!$D$31,1)</f>
        <v>1</v>
      </c>
      <c r="BA172" s="26" t="n">
        <f aca="false">IF(BA171=8,Restaurantes!$D$31,1)</f>
        <v>1</v>
      </c>
      <c r="BB172" s="26" t="n">
        <f aca="false">IF(BB171=8,Restaurantes!$D$31,1)</f>
        <v>1</v>
      </c>
      <c r="BC172" s="26" t="n">
        <f aca="false">IF(BC171=8,Restaurantes!$D$31,1)</f>
        <v>0.15</v>
      </c>
      <c r="BD172" s="26" t="n">
        <f aca="false">IF(BD171=8,Restaurantes!$D$31,1)</f>
        <v>1</v>
      </c>
      <c r="BE172" s="26" t="n">
        <f aca="false">IF(BE171=8,Restaurantes!$D$31,1)</f>
        <v>1</v>
      </c>
      <c r="BF172" s="26" t="n">
        <f aca="false">IF(BF171=8,Restaurantes!$D$31,1)</f>
        <v>1</v>
      </c>
      <c r="BG172" s="26" t="n">
        <f aca="false">IF(BG171=8,Restaurantes!$D$31,1)</f>
        <v>1</v>
      </c>
      <c r="BH172" s="26" t="n">
        <f aca="false">IF(BH171=8,Restaurantes!$D$31,1)</f>
        <v>1</v>
      </c>
      <c r="BI172" s="26" t="n">
        <f aca="false">IF(BI171=8,Restaurantes!$D$31,1)</f>
        <v>1</v>
      </c>
      <c r="BJ172" s="26" t="n">
        <f aca="false">IF(BJ171=8,Restaurantes!$D$31,1)</f>
        <v>1</v>
      </c>
      <c r="BK172" s="26" t="n">
        <f aca="false">IF(BK171=8,Restaurantes!$D$31,1)</f>
        <v>1</v>
      </c>
      <c r="BL172" s="26" t="n">
        <f aca="false">IF(BL171=8,Restaurantes!$D$31,1)</f>
        <v>1</v>
      </c>
      <c r="BM172" s="26" t="n">
        <f aca="false">IF(BM171=8,Restaurantes!$D$31,1)</f>
        <v>1</v>
      </c>
      <c r="BN172" s="26" t="n">
        <f aca="false">IF(BN171=8,Restaurantes!$D$31,1)</f>
        <v>1</v>
      </c>
      <c r="BO172" s="26" t="n">
        <f aca="false">IF(BO171=8,Restaurantes!$D$31,1)</f>
        <v>0.15</v>
      </c>
      <c r="BP172" s="26" t="n">
        <f aca="false">IF(BP171=8,Restaurantes!$D$31,1)</f>
        <v>1</v>
      </c>
      <c r="BQ172" s="26" t="n">
        <f aca="false">IF(BQ171=8,Restaurantes!$D$31,1)</f>
        <v>1</v>
      </c>
      <c r="BR172" s="26" t="n">
        <f aca="false">IF(BR171=8,Restaurantes!$D$31,1)</f>
        <v>1</v>
      </c>
      <c r="BS172" s="26" t="n">
        <f aca="false">IF(BS171=8,Restaurantes!$D$31,1)</f>
        <v>1</v>
      </c>
      <c r="BT172" s="26" t="n">
        <f aca="false">IF(BT171=8,Restaurantes!$D$31,1)</f>
        <v>1</v>
      </c>
      <c r="BU172" s="26" t="n">
        <f aca="false">IF(BU171=8,Restaurantes!$D$31,1)</f>
        <v>1</v>
      </c>
      <c r="BV172" s="26" t="n">
        <f aca="false">IF(BV171=8,Restaurantes!$D$31,1)</f>
        <v>1</v>
      </c>
      <c r="BW172" s="26" t="n">
        <f aca="false">IF(BW171=8,Restaurantes!$D$31,1)</f>
        <v>1</v>
      </c>
      <c r="BX172" s="26" t="n">
        <f aca="false">IF(BX171=8,Restaurantes!$D$31,1)</f>
        <v>1</v>
      </c>
      <c r="BY172" s="26" t="n">
        <f aca="false">IF(BY171=8,Restaurantes!$D$31,1)</f>
        <v>1</v>
      </c>
      <c r="BZ172" s="26" t="n">
        <f aca="false">IF(BZ171=8,Restaurantes!$D$31,1)</f>
        <v>1</v>
      </c>
      <c r="CA172" s="26" t="n">
        <f aca="false">IF(CA171=8,Restaurantes!$D$31,1)</f>
        <v>0.15</v>
      </c>
      <c r="CB172" s="26" t="n">
        <f aca="false">IF(CB171=8,Restaurantes!$D$31,1)</f>
        <v>1</v>
      </c>
      <c r="CC172" s="26" t="n">
        <f aca="false">IF(CC171=8,Restaurantes!$D$31,1)</f>
        <v>1</v>
      </c>
      <c r="CD172" s="26" t="n">
        <f aca="false">IF(CD171=8,Restaurantes!$D$31,1)</f>
        <v>1</v>
      </c>
      <c r="CE172" s="26" t="n">
        <f aca="false">IF(CE171=8,Restaurantes!$D$31,1)</f>
        <v>1</v>
      </c>
      <c r="CF172" s="26" t="n">
        <f aca="false">IF(CF171=8,Restaurantes!$D$31,1)</f>
        <v>1</v>
      </c>
      <c r="CG172" s="26" t="n">
        <f aca="false">IF(CG171=8,Restaurantes!$D$31,1)</f>
        <v>1</v>
      </c>
      <c r="CH172" s="26" t="n">
        <f aca="false">IF(CH171=8,Restaurantes!$D$31,1)</f>
        <v>1</v>
      </c>
    </row>
    <row r="173" customFormat="false" ht="15" hidden="false" customHeight="false" outlineLevel="0" collapsed="false">
      <c r="A173" s="1" t="s">
        <v>834</v>
      </c>
      <c r="C173" s="26" t="n">
        <f aca="false">IF(C$3&lt;Restaurantes!$D$8,0,MIN(1,(C$3-Restaurantes!$D$8+1)/MAX(1,Restaurantes!$E$9)))</f>
        <v>0.0555555555555556</v>
      </c>
      <c r="D173" s="26" t="n">
        <f aca="false">IF(D$3&lt;Restaurantes!$D$8,0,MIN(1,(D$3-Restaurantes!$D$8+1)/MAX(1,Restaurantes!$E$9)))</f>
        <v>0.111111111111111</v>
      </c>
      <c r="E173" s="26" t="n">
        <f aca="false">IF(E$3&lt;Restaurantes!$D$8,0,MIN(1,(E$3-Restaurantes!$D$8+1)/MAX(1,Restaurantes!$E$9)))</f>
        <v>0.166666666666667</v>
      </c>
      <c r="F173" s="26" t="n">
        <f aca="false">IF(F$3&lt;Restaurantes!$D$8,0,MIN(1,(F$3-Restaurantes!$D$8+1)/MAX(1,Restaurantes!$E$9)))</f>
        <v>0.222222222222222</v>
      </c>
      <c r="G173" s="26" t="n">
        <f aca="false">IF(G$3&lt;Restaurantes!$D$8,0,MIN(1,(G$3-Restaurantes!$D$8+1)/MAX(1,Restaurantes!$E$9)))</f>
        <v>0.277777777777778</v>
      </c>
      <c r="H173" s="26" t="n">
        <f aca="false">IF(H$3&lt;Restaurantes!$D$8,0,MIN(1,(H$3-Restaurantes!$D$8+1)/MAX(1,Restaurantes!$E$9)))</f>
        <v>0.333333333333333</v>
      </c>
      <c r="I173" s="26" t="n">
        <f aca="false">IF(I$3&lt;Restaurantes!$D$8,0,MIN(1,(I$3-Restaurantes!$D$8+1)/MAX(1,Restaurantes!$E$9)))</f>
        <v>0.388888888888889</v>
      </c>
      <c r="J173" s="26" t="n">
        <f aca="false">IF(J$3&lt;Restaurantes!$D$8,0,MIN(1,(J$3-Restaurantes!$D$8+1)/MAX(1,Restaurantes!$E$9)))</f>
        <v>0.444444444444444</v>
      </c>
      <c r="K173" s="26" t="n">
        <f aca="false">IF(K$3&lt;Restaurantes!$D$8,0,MIN(1,(K$3-Restaurantes!$D$8+1)/MAX(1,Restaurantes!$E$9)))</f>
        <v>0.5</v>
      </c>
      <c r="L173" s="26" t="n">
        <f aca="false">IF(L$3&lt;Restaurantes!$D$8,0,MIN(1,(L$3-Restaurantes!$D$8+1)/MAX(1,Restaurantes!$E$9)))</f>
        <v>0.555555555555556</v>
      </c>
      <c r="M173" s="26" t="n">
        <f aca="false">IF(M$3&lt;Restaurantes!$D$8,0,MIN(1,(M$3-Restaurantes!$D$8+1)/MAX(1,Restaurantes!$E$9)))</f>
        <v>0.611111111111111</v>
      </c>
      <c r="N173" s="26" t="n">
        <f aca="false">IF(N$3&lt;Restaurantes!$D$8,0,MIN(1,(N$3-Restaurantes!$D$8+1)/MAX(1,Restaurantes!$E$9)))</f>
        <v>0.666666666666667</v>
      </c>
      <c r="O173" s="26" t="n">
        <f aca="false">IF(O$3&lt;Restaurantes!$D$8,0,MIN(1,(O$3-Restaurantes!$D$8+1)/MAX(1,Restaurantes!$E$9)))</f>
        <v>0.722222222222222</v>
      </c>
      <c r="P173" s="26" t="n">
        <f aca="false">IF(P$3&lt;Restaurantes!$D$8,0,MIN(1,(P$3-Restaurantes!$D$8+1)/MAX(1,Restaurantes!$E$9)))</f>
        <v>0.777777777777778</v>
      </c>
      <c r="Q173" s="26" t="n">
        <f aca="false">IF(Q$3&lt;Restaurantes!$D$8,0,MIN(1,(Q$3-Restaurantes!$D$8+1)/MAX(1,Restaurantes!$E$9)))</f>
        <v>0.833333333333333</v>
      </c>
      <c r="R173" s="26" t="n">
        <f aca="false">IF(R$3&lt;Restaurantes!$D$8,0,MIN(1,(R$3-Restaurantes!$D$8+1)/MAX(1,Restaurantes!$E$9)))</f>
        <v>0.888888888888889</v>
      </c>
      <c r="S173" s="26" t="n">
        <f aca="false">IF(S$3&lt;Restaurantes!$D$8,0,MIN(1,(S$3-Restaurantes!$D$8+1)/MAX(1,Restaurantes!$E$9)))</f>
        <v>0.944444444444444</v>
      </c>
      <c r="T173" s="26" t="n">
        <f aca="false">IF(T$3&lt;Restaurantes!$D$8,0,MIN(1,(T$3-Restaurantes!$D$8+1)/MAX(1,Restaurantes!$E$9)))</f>
        <v>1</v>
      </c>
      <c r="U173" s="26" t="n">
        <f aca="false">IF(U$3&lt;Restaurantes!$D$8,0,MIN(1,(U$3-Restaurantes!$D$8+1)/MAX(1,Restaurantes!$E$9)))</f>
        <v>1</v>
      </c>
      <c r="V173" s="26" t="n">
        <f aca="false">IF(V$3&lt;Restaurantes!$D$8,0,MIN(1,(V$3-Restaurantes!$D$8+1)/MAX(1,Restaurantes!$E$9)))</f>
        <v>1</v>
      </c>
      <c r="W173" s="26" t="n">
        <f aca="false">IF(W$3&lt;Restaurantes!$D$8,0,MIN(1,(W$3-Restaurantes!$D$8+1)/MAX(1,Restaurantes!$E$9)))</f>
        <v>1</v>
      </c>
      <c r="X173" s="26" t="n">
        <f aca="false">IF(X$3&lt;Restaurantes!$D$8,0,MIN(1,(X$3-Restaurantes!$D$8+1)/MAX(1,Restaurantes!$E$9)))</f>
        <v>1</v>
      </c>
      <c r="Y173" s="26" t="n">
        <f aca="false">IF(Y$3&lt;Restaurantes!$D$8,0,MIN(1,(Y$3-Restaurantes!$D$8+1)/MAX(1,Restaurantes!$E$9)))</f>
        <v>1</v>
      </c>
      <c r="Z173" s="26" t="n">
        <f aca="false">IF(Z$3&lt;Restaurantes!$D$8,0,MIN(1,(Z$3-Restaurantes!$D$8+1)/MAX(1,Restaurantes!$E$9)))</f>
        <v>1</v>
      </c>
      <c r="AA173" s="26" t="n">
        <f aca="false">IF(AA$3&lt;Restaurantes!$D$8,0,MIN(1,(AA$3-Restaurantes!$D$8+1)/MAX(1,Restaurantes!$E$9)))</f>
        <v>1</v>
      </c>
      <c r="AB173" s="26" t="n">
        <f aca="false">IF(AB$3&lt;Restaurantes!$D$8,0,MIN(1,(AB$3-Restaurantes!$D$8+1)/MAX(1,Restaurantes!$E$9)))</f>
        <v>1</v>
      </c>
      <c r="AC173" s="26" t="n">
        <f aca="false">IF(AC$3&lt;Restaurantes!$D$8,0,MIN(1,(AC$3-Restaurantes!$D$8+1)/MAX(1,Restaurantes!$E$9)))</f>
        <v>1</v>
      </c>
      <c r="AD173" s="26" t="n">
        <f aca="false">IF(AD$3&lt;Restaurantes!$D$8,0,MIN(1,(AD$3-Restaurantes!$D$8+1)/MAX(1,Restaurantes!$E$9)))</f>
        <v>1</v>
      </c>
      <c r="AE173" s="26" t="n">
        <f aca="false">IF(AE$3&lt;Restaurantes!$D$8,0,MIN(1,(AE$3-Restaurantes!$D$8+1)/MAX(1,Restaurantes!$E$9)))</f>
        <v>1</v>
      </c>
      <c r="AF173" s="26" t="n">
        <f aca="false">IF(AF$3&lt;Restaurantes!$D$8,0,MIN(1,(AF$3-Restaurantes!$D$8+1)/MAX(1,Restaurantes!$E$9)))</f>
        <v>1</v>
      </c>
      <c r="AG173" s="26" t="n">
        <f aca="false">IF(AG$3&lt;Restaurantes!$D$8,0,MIN(1,(AG$3-Restaurantes!$D$8+1)/MAX(1,Restaurantes!$E$9)))</f>
        <v>1</v>
      </c>
      <c r="AH173" s="26" t="n">
        <f aca="false">IF(AH$3&lt;Restaurantes!$D$8,0,MIN(1,(AH$3-Restaurantes!$D$8+1)/MAX(1,Restaurantes!$E$9)))</f>
        <v>1</v>
      </c>
      <c r="AI173" s="26" t="n">
        <f aca="false">IF(AI$3&lt;Restaurantes!$D$8,0,MIN(1,(AI$3-Restaurantes!$D$8+1)/MAX(1,Restaurantes!$E$9)))</f>
        <v>1</v>
      </c>
      <c r="AJ173" s="26" t="n">
        <f aca="false">IF(AJ$3&lt;Restaurantes!$D$8,0,MIN(1,(AJ$3-Restaurantes!$D$8+1)/MAX(1,Restaurantes!$E$9)))</f>
        <v>1</v>
      </c>
      <c r="AK173" s="26" t="n">
        <f aca="false">IF(AK$3&lt;Restaurantes!$D$8,0,MIN(1,(AK$3-Restaurantes!$D$8+1)/MAX(1,Restaurantes!$E$9)))</f>
        <v>1</v>
      </c>
      <c r="AL173" s="26" t="n">
        <f aca="false">IF(AL$3&lt;Restaurantes!$D$8,0,MIN(1,(AL$3-Restaurantes!$D$8+1)/MAX(1,Restaurantes!$E$9)))</f>
        <v>1</v>
      </c>
      <c r="AM173" s="26" t="n">
        <f aca="false">IF(AM$3&lt;Restaurantes!$D$8,0,MIN(1,(AM$3-Restaurantes!$D$8+1)/MAX(1,Restaurantes!$E$9)))</f>
        <v>1</v>
      </c>
      <c r="AN173" s="26" t="n">
        <f aca="false">IF(AN$3&lt;Restaurantes!$D$8,0,MIN(1,(AN$3-Restaurantes!$D$8+1)/MAX(1,Restaurantes!$E$9)))</f>
        <v>1</v>
      </c>
      <c r="AO173" s="26" t="n">
        <f aca="false">IF(AO$3&lt;Restaurantes!$D$8,0,MIN(1,(AO$3-Restaurantes!$D$8+1)/MAX(1,Restaurantes!$E$9)))</f>
        <v>1</v>
      </c>
      <c r="AP173" s="26" t="n">
        <f aca="false">IF(AP$3&lt;Restaurantes!$D$8,0,MIN(1,(AP$3-Restaurantes!$D$8+1)/MAX(1,Restaurantes!$E$9)))</f>
        <v>1</v>
      </c>
      <c r="AQ173" s="26" t="n">
        <f aca="false">IF(AQ$3&lt;Restaurantes!$D$8,0,MIN(1,(AQ$3-Restaurantes!$D$8+1)/MAX(1,Restaurantes!$E$9)))</f>
        <v>1</v>
      </c>
      <c r="AR173" s="26" t="n">
        <f aca="false">IF(AR$3&lt;Restaurantes!$D$8,0,MIN(1,(AR$3-Restaurantes!$D$8+1)/MAX(1,Restaurantes!$E$9)))</f>
        <v>1</v>
      </c>
      <c r="AS173" s="26" t="n">
        <f aca="false">IF(AS$3&lt;Restaurantes!$D$8,0,MIN(1,(AS$3-Restaurantes!$D$8+1)/MAX(1,Restaurantes!$E$9)))</f>
        <v>1</v>
      </c>
      <c r="AT173" s="26" t="n">
        <f aca="false">IF(AT$3&lt;Restaurantes!$D$8,0,MIN(1,(AT$3-Restaurantes!$D$8+1)/MAX(1,Restaurantes!$E$9)))</f>
        <v>1</v>
      </c>
      <c r="AU173" s="26" t="n">
        <f aca="false">IF(AU$3&lt;Restaurantes!$D$8,0,MIN(1,(AU$3-Restaurantes!$D$8+1)/MAX(1,Restaurantes!$E$9)))</f>
        <v>1</v>
      </c>
      <c r="AV173" s="26" t="n">
        <f aca="false">IF(AV$3&lt;Restaurantes!$D$8,0,MIN(1,(AV$3-Restaurantes!$D$8+1)/MAX(1,Restaurantes!$E$9)))</f>
        <v>1</v>
      </c>
      <c r="AW173" s="26" t="n">
        <f aca="false">IF(AW$3&lt;Restaurantes!$D$8,0,MIN(1,(AW$3-Restaurantes!$D$8+1)/MAX(1,Restaurantes!$E$9)))</f>
        <v>1</v>
      </c>
      <c r="AX173" s="26" t="n">
        <f aca="false">IF(AX$3&lt;Restaurantes!$D$8,0,MIN(1,(AX$3-Restaurantes!$D$8+1)/MAX(1,Restaurantes!$E$9)))</f>
        <v>1</v>
      </c>
      <c r="AY173" s="26" t="n">
        <f aca="false">IF(AY$3&lt;Restaurantes!$D$8,0,MIN(1,(AY$3-Restaurantes!$D$8+1)/MAX(1,Restaurantes!$E$9)))</f>
        <v>1</v>
      </c>
      <c r="AZ173" s="26" t="n">
        <f aca="false">IF(AZ$3&lt;Restaurantes!$D$8,0,MIN(1,(AZ$3-Restaurantes!$D$8+1)/MAX(1,Restaurantes!$E$9)))</f>
        <v>1</v>
      </c>
      <c r="BA173" s="26" t="n">
        <f aca="false">IF(BA$3&lt;Restaurantes!$D$8,0,MIN(1,(BA$3-Restaurantes!$D$8+1)/MAX(1,Restaurantes!$E$9)))</f>
        <v>1</v>
      </c>
      <c r="BB173" s="26" t="n">
        <f aca="false">IF(BB$3&lt;Restaurantes!$D$8,0,MIN(1,(BB$3-Restaurantes!$D$8+1)/MAX(1,Restaurantes!$E$9)))</f>
        <v>1</v>
      </c>
      <c r="BC173" s="26" t="n">
        <f aca="false">IF(BC$3&lt;Restaurantes!$D$8,0,MIN(1,(BC$3-Restaurantes!$D$8+1)/MAX(1,Restaurantes!$E$9)))</f>
        <v>1</v>
      </c>
      <c r="BD173" s="26" t="n">
        <f aca="false">IF(BD$3&lt;Restaurantes!$D$8,0,MIN(1,(BD$3-Restaurantes!$D$8+1)/MAX(1,Restaurantes!$E$9)))</f>
        <v>1</v>
      </c>
      <c r="BE173" s="26" t="n">
        <f aca="false">IF(BE$3&lt;Restaurantes!$D$8,0,MIN(1,(BE$3-Restaurantes!$D$8+1)/MAX(1,Restaurantes!$E$9)))</f>
        <v>1</v>
      </c>
      <c r="BF173" s="26" t="n">
        <f aca="false">IF(BF$3&lt;Restaurantes!$D$8,0,MIN(1,(BF$3-Restaurantes!$D$8+1)/MAX(1,Restaurantes!$E$9)))</f>
        <v>1</v>
      </c>
      <c r="BG173" s="26" t="n">
        <f aca="false">IF(BG$3&lt;Restaurantes!$D$8,0,MIN(1,(BG$3-Restaurantes!$D$8+1)/MAX(1,Restaurantes!$E$9)))</f>
        <v>1</v>
      </c>
      <c r="BH173" s="26" t="n">
        <f aca="false">IF(BH$3&lt;Restaurantes!$D$8,0,MIN(1,(BH$3-Restaurantes!$D$8+1)/MAX(1,Restaurantes!$E$9)))</f>
        <v>1</v>
      </c>
      <c r="BI173" s="26" t="n">
        <f aca="false">IF(BI$3&lt;Restaurantes!$D$8,0,MIN(1,(BI$3-Restaurantes!$D$8+1)/MAX(1,Restaurantes!$E$9)))</f>
        <v>1</v>
      </c>
      <c r="BJ173" s="26" t="n">
        <f aca="false">IF(BJ$3&lt;Restaurantes!$D$8,0,MIN(1,(BJ$3-Restaurantes!$D$8+1)/MAX(1,Restaurantes!$E$9)))</f>
        <v>1</v>
      </c>
      <c r="BK173" s="26" t="n">
        <f aca="false">IF(BK$3&lt;Restaurantes!$D$8,0,MIN(1,(BK$3-Restaurantes!$D$8+1)/MAX(1,Restaurantes!$E$9)))</f>
        <v>1</v>
      </c>
      <c r="BL173" s="26" t="n">
        <f aca="false">IF(BL$3&lt;Restaurantes!$D$8,0,MIN(1,(BL$3-Restaurantes!$D$8+1)/MAX(1,Restaurantes!$E$9)))</f>
        <v>1</v>
      </c>
      <c r="BM173" s="26" t="n">
        <f aca="false">IF(BM$3&lt;Restaurantes!$D$8,0,MIN(1,(BM$3-Restaurantes!$D$8+1)/MAX(1,Restaurantes!$E$9)))</f>
        <v>1</v>
      </c>
      <c r="BN173" s="26" t="n">
        <f aca="false">IF(BN$3&lt;Restaurantes!$D$8,0,MIN(1,(BN$3-Restaurantes!$D$8+1)/MAX(1,Restaurantes!$E$9)))</f>
        <v>1</v>
      </c>
      <c r="BO173" s="26" t="n">
        <f aca="false">IF(BO$3&lt;Restaurantes!$D$8,0,MIN(1,(BO$3-Restaurantes!$D$8+1)/MAX(1,Restaurantes!$E$9)))</f>
        <v>1</v>
      </c>
      <c r="BP173" s="26" t="n">
        <f aca="false">IF(BP$3&lt;Restaurantes!$D$8,0,MIN(1,(BP$3-Restaurantes!$D$8+1)/MAX(1,Restaurantes!$E$9)))</f>
        <v>1</v>
      </c>
      <c r="BQ173" s="26" t="n">
        <f aca="false">IF(BQ$3&lt;Restaurantes!$D$8,0,MIN(1,(BQ$3-Restaurantes!$D$8+1)/MAX(1,Restaurantes!$E$9)))</f>
        <v>1</v>
      </c>
      <c r="BR173" s="26" t="n">
        <f aca="false">IF(BR$3&lt;Restaurantes!$D$8,0,MIN(1,(BR$3-Restaurantes!$D$8+1)/MAX(1,Restaurantes!$E$9)))</f>
        <v>1</v>
      </c>
      <c r="BS173" s="26" t="n">
        <f aca="false">IF(BS$3&lt;Restaurantes!$D$8,0,MIN(1,(BS$3-Restaurantes!$D$8+1)/MAX(1,Restaurantes!$E$9)))</f>
        <v>1</v>
      </c>
      <c r="BT173" s="26" t="n">
        <f aca="false">IF(BT$3&lt;Restaurantes!$D$8,0,MIN(1,(BT$3-Restaurantes!$D$8+1)/MAX(1,Restaurantes!$E$9)))</f>
        <v>1</v>
      </c>
      <c r="BU173" s="26" t="n">
        <f aca="false">IF(BU$3&lt;Restaurantes!$D$8,0,MIN(1,(BU$3-Restaurantes!$D$8+1)/MAX(1,Restaurantes!$E$9)))</f>
        <v>1</v>
      </c>
      <c r="BV173" s="26" t="n">
        <f aca="false">IF(BV$3&lt;Restaurantes!$D$8,0,MIN(1,(BV$3-Restaurantes!$D$8+1)/MAX(1,Restaurantes!$E$9)))</f>
        <v>1</v>
      </c>
      <c r="BW173" s="26" t="n">
        <f aca="false">IF(BW$3&lt;Restaurantes!$D$8,0,MIN(1,(BW$3-Restaurantes!$D$8+1)/MAX(1,Restaurantes!$E$9)))</f>
        <v>1</v>
      </c>
      <c r="BX173" s="26" t="n">
        <f aca="false">IF(BX$3&lt;Restaurantes!$D$8,0,MIN(1,(BX$3-Restaurantes!$D$8+1)/MAX(1,Restaurantes!$E$9)))</f>
        <v>1</v>
      </c>
      <c r="BY173" s="26" t="n">
        <f aca="false">IF(BY$3&lt;Restaurantes!$D$8,0,MIN(1,(BY$3-Restaurantes!$D$8+1)/MAX(1,Restaurantes!$E$9)))</f>
        <v>1</v>
      </c>
      <c r="BZ173" s="26" t="n">
        <f aca="false">IF(BZ$3&lt;Restaurantes!$D$8,0,MIN(1,(BZ$3-Restaurantes!$D$8+1)/MAX(1,Restaurantes!$E$9)))</f>
        <v>1</v>
      </c>
      <c r="CA173" s="26" t="n">
        <f aca="false">IF(CA$3&lt;Restaurantes!$D$8,0,MIN(1,(CA$3-Restaurantes!$D$8+1)/MAX(1,Restaurantes!$E$9)))</f>
        <v>1</v>
      </c>
      <c r="CB173" s="26" t="n">
        <f aca="false">IF(CB$3&lt;Restaurantes!$D$8,0,MIN(1,(CB$3-Restaurantes!$D$8+1)/MAX(1,Restaurantes!$E$9)))</f>
        <v>1</v>
      </c>
      <c r="CC173" s="26" t="n">
        <f aca="false">IF(CC$3&lt;Restaurantes!$D$8,0,MIN(1,(CC$3-Restaurantes!$D$8+1)/MAX(1,Restaurantes!$E$9)))</f>
        <v>1</v>
      </c>
      <c r="CD173" s="26" t="n">
        <f aca="false">IF(CD$3&lt;Restaurantes!$D$8,0,MIN(1,(CD$3-Restaurantes!$D$8+1)/MAX(1,Restaurantes!$E$9)))</f>
        <v>1</v>
      </c>
      <c r="CE173" s="26" t="n">
        <f aca="false">IF(CE$3&lt;Restaurantes!$D$8,0,MIN(1,(CE$3-Restaurantes!$D$8+1)/MAX(1,Restaurantes!$E$9)))</f>
        <v>1</v>
      </c>
      <c r="CF173" s="26" t="n">
        <f aca="false">IF(CF$3&lt;Restaurantes!$D$8,0,MIN(1,(CF$3-Restaurantes!$D$8+1)/MAX(1,Restaurantes!$E$9)))</f>
        <v>1</v>
      </c>
      <c r="CG173" s="26" t="n">
        <f aca="false">IF(CG$3&lt;Restaurantes!$D$8,0,MIN(1,(CG$3-Restaurantes!$D$8+1)/MAX(1,Restaurantes!$E$9)))</f>
        <v>1</v>
      </c>
      <c r="CH173" s="26" t="n">
        <f aca="false">IF(CH$3&lt;Restaurantes!$D$8,0,MIN(1,(CH$3-Restaurantes!$D$8+1)/MAX(1,Restaurantes!$E$9)))</f>
        <v>1</v>
      </c>
    </row>
    <row r="174" customFormat="false" ht="15" hidden="false" customHeight="false" outlineLevel="0" collapsed="false">
      <c r="A174" s="1" t="s">
        <v>835</v>
      </c>
      <c r="C174" s="27" t="n">
        <f aca="false">C18*C21</f>
        <v>36.1888487795599</v>
      </c>
      <c r="D174" s="27" t="n">
        <f aca="false">D18*D21</f>
        <v>74.1393824720043</v>
      </c>
      <c r="E174" s="27" t="n">
        <f aca="false">E18*E21</f>
        <v>141.037647381903</v>
      </c>
      <c r="F174" s="27" t="n">
        <f aca="false">F18*F21</f>
        <v>171.747063512242</v>
      </c>
      <c r="G174" s="27" t="n">
        <f aca="false">G18*G21</f>
        <v>200.694794729696</v>
      </c>
      <c r="H174" s="27" t="n">
        <f aca="false">H18*H21</f>
        <v>249.828498907285</v>
      </c>
      <c r="I174" s="27" t="n">
        <f aca="false">I18*I21</f>
        <v>298.962203084874</v>
      </c>
      <c r="J174" s="27" t="n">
        <f aca="false">J18*J21</f>
        <v>348.095907262462</v>
      </c>
      <c r="K174" s="27" t="n">
        <f aca="false">K18*K21</f>
        <v>397.229611440051</v>
      </c>
      <c r="L174" s="27" t="n">
        <f aca="false">L18*L21</f>
        <v>446.363315617639</v>
      </c>
      <c r="M174" s="27" t="n">
        <f aca="false">M18*M21</f>
        <v>466.549288577773</v>
      </c>
      <c r="N174" s="27" t="n">
        <f aca="false">N18*N21</f>
        <v>516.096676752648</v>
      </c>
      <c r="O174" s="27" t="n">
        <f aca="false">O18*O21</f>
        <v>565.644064927523</v>
      </c>
      <c r="P174" s="27" t="n">
        <f aca="false">P18*P21</f>
        <v>606.75004622816</v>
      </c>
      <c r="Q174" s="27" t="n">
        <f aca="false">Q18*Q21</f>
        <v>647.856027528796</v>
      </c>
      <c r="R174" s="27" t="n">
        <f aca="false">R18*R21</f>
        <v>688.962008829433</v>
      </c>
      <c r="S174" s="27" t="n">
        <f aca="false">S18*S21</f>
        <v>730.06799013007</v>
      </c>
      <c r="T174" s="27" t="n">
        <f aca="false">T18*T21</f>
        <v>771.173971430707</v>
      </c>
      <c r="U174" s="27" t="n">
        <f aca="false">U18*U21</f>
        <v>812.279952731344</v>
      </c>
      <c r="V174" s="27" t="n">
        <f aca="false">V18*V21</f>
        <v>853.38593403198</v>
      </c>
      <c r="W174" s="27" t="n">
        <f aca="false">W18*W21</f>
        <v>894.491915332617</v>
      </c>
      <c r="X174" s="27" t="n">
        <f aca="false">X18*X21</f>
        <v>906.236481418514</v>
      </c>
      <c r="Y174" s="27" t="n">
        <f aca="false">Y18*Y21</f>
        <v>917.98104750441</v>
      </c>
      <c r="Z174" s="27" t="n">
        <f aca="false">Z18*Z21</f>
        <v>917.98104750441</v>
      </c>
      <c r="AA174" s="27" t="n">
        <f aca="false">AA18*AA21</f>
        <v>917.98104750441</v>
      </c>
      <c r="AB174" s="27" t="n">
        <f aca="false">AB18*AB21</f>
        <v>917.98104750441</v>
      </c>
      <c r="AC174" s="27" t="n">
        <f aca="false">AC18*AC21</f>
        <v>917.98104750441</v>
      </c>
      <c r="AD174" s="27" t="n">
        <f aca="false">AD18*AD21</f>
        <v>917.98104750441</v>
      </c>
      <c r="AE174" s="27" t="n">
        <f aca="false">AE18*AE21</f>
        <v>917.98104750441</v>
      </c>
      <c r="AF174" s="27" t="n">
        <f aca="false">AF18*AF21</f>
        <v>917.98104750441</v>
      </c>
      <c r="AG174" s="27" t="n">
        <f aca="false">AG18*AG21</f>
        <v>917.98104750441</v>
      </c>
      <c r="AH174" s="27" t="n">
        <f aca="false">AH18*AH21</f>
        <v>917.98104750441</v>
      </c>
      <c r="AI174" s="27" t="n">
        <f aca="false">AI18*AI21</f>
        <v>917.98104750441</v>
      </c>
      <c r="AJ174" s="27" t="n">
        <f aca="false">AJ18*AJ21</f>
        <v>917.98104750441</v>
      </c>
      <c r="AK174" s="27" t="n">
        <f aca="false">AK18*AK21</f>
        <v>917.98104750441</v>
      </c>
      <c r="AL174" s="27" t="n">
        <f aca="false">AL18*AL21</f>
        <v>917.98104750441</v>
      </c>
      <c r="AM174" s="27" t="n">
        <f aca="false">AM18*AM21</f>
        <v>917.98104750441</v>
      </c>
      <c r="AN174" s="27" t="n">
        <f aca="false">AN18*AN21</f>
        <v>917.98104750441</v>
      </c>
      <c r="AO174" s="27" t="n">
        <f aca="false">AO18*AO21</f>
        <v>917.98104750441</v>
      </c>
      <c r="AP174" s="27" t="n">
        <f aca="false">AP18*AP21</f>
        <v>917.98104750441</v>
      </c>
      <c r="AQ174" s="27" t="n">
        <f aca="false">AQ18*AQ21</f>
        <v>917.98104750441</v>
      </c>
      <c r="AR174" s="27" t="n">
        <f aca="false">AR18*AR21</f>
        <v>917.98104750441</v>
      </c>
      <c r="AS174" s="27" t="n">
        <f aca="false">AS18*AS21</f>
        <v>917.98104750441</v>
      </c>
      <c r="AT174" s="27" t="n">
        <f aca="false">AT18*AT21</f>
        <v>917.98104750441</v>
      </c>
      <c r="AU174" s="27" t="n">
        <f aca="false">AU18*AU21</f>
        <v>917.98104750441</v>
      </c>
      <c r="AV174" s="27" t="n">
        <f aca="false">AV18*AV21</f>
        <v>917.98104750441</v>
      </c>
      <c r="AW174" s="27" t="n">
        <f aca="false">AW18*AW21</f>
        <v>917.98104750441</v>
      </c>
      <c r="AX174" s="27" t="n">
        <f aca="false">AX18*AX21</f>
        <v>917.98104750441</v>
      </c>
      <c r="AY174" s="27" t="n">
        <f aca="false">AY18*AY21</f>
        <v>917.98104750441</v>
      </c>
      <c r="AZ174" s="27" t="n">
        <f aca="false">AZ18*AZ21</f>
        <v>917.98104750441</v>
      </c>
      <c r="BA174" s="27" t="n">
        <f aca="false">BA18*BA21</f>
        <v>917.98104750441</v>
      </c>
      <c r="BB174" s="27" t="n">
        <f aca="false">BB18*BB21</f>
        <v>917.98104750441</v>
      </c>
      <c r="BC174" s="27" t="n">
        <f aca="false">BC18*BC21</f>
        <v>917.98104750441</v>
      </c>
      <c r="BD174" s="27" t="n">
        <f aca="false">BD18*BD21</f>
        <v>917.98104750441</v>
      </c>
      <c r="BE174" s="27" t="n">
        <f aca="false">BE18*BE21</f>
        <v>917.98104750441</v>
      </c>
      <c r="BF174" s="27" t="n">
        <f aca="false">BF18*BF21</f>
        <v>917.98104750441</v>
      </c>
      <c r="BG174" s="27" t="n">
        <f aca="false">BG18*BG21</f>
        <v>917.98104750441</v>
      </c>
      <c r="BH174" s="27" t="n">
        <f aca="false">BH18*BH21</f>
        <v>917.98104750441</v>
      </c>
      <c r="BI174" s="27" t="n">
        <f aca="false">BI18*BI21</f>
        <v>917.98104750441</v>
      </c>
      <c r="BJ174" s="27" t="n">
        <f aca="false">BJ18*BJ21</f>
        <v>917.98104750441</v>
      </c>
      <c r="BK174" s="27" t="n">
        <f aca="false">BK18*BK21</f>
        <v>917.98104750441</v>
      </c>
      <c r="BL174" s="27" t="n">
        <f aca="false">BL18*BL21</f>
        <v>917.98104750441</v>
      </c>
      <c r="BM174" s="27" t="n">
        <f aca="false">BM18*BM21</f>
        <v>917.98104750441</v>
      </c>
      <c r="BN174" s="27" t="n">
        <f aca="false">BN18*BN21</f>
        <v>917.98104750441</v>
      </c>
      <c r="BO174" s="27" t="n">
        <f aca="false">BO18*BO21</f>
        <v>917.98104750441</v>
      </c>
      <c r="BP174" s="27" t="n">
        <f aca="false">BP18*BP21</f>
        <v>917.98104750441</v>
      </c>
      <c r="BQ174" s="27" t="n">
        <f aca="false">BQ18*BQ21</f>
        <v>917.98104750441</v>
      </c>
      <c r="BR174" s="27" t="n">
        <f aca="false">BR18*BR21</f>
        <v>917.98104750441</v>
      </c>
      <c r="BS174" s="27" t="n">
        <f aca="false">BS18*BS21</f>
        <v>917.98104750441</v>
      </c>
      <c r="BT174" s="27" t="n">
        <f aca="false">BT18*BT21</f>
        <v>917.98104750441</v>
      </c>
      <c r="BU174" s="27" t="n">
        <f aca="false">BU18*BU21</f>
        <v>917.98104750441</v>
      </c>
      <c r="BV174" s="27" t="n">
        <f aca="false">BV18*BV21</f>
        <v>917.98104750441</v>
      </c>
      <c r="BW174" s="27" t="n">
        <f aca="false">BW18*BW21</f>
        <v>917.98104750441</v>
      </c>
      <c r="BX174" s="27" t="n">
        <f aca="false">BX18*BX21</f>
        <v>917.98104750441</v>
      </c>
      <c r="BY174" s="27" t="n">
        <f aca="false">BY18*BY21</f>
        <v>917.98104750441</v>
      </c>
      <c r="BZ174" s="27" t="n">
        <f aca="false">BZ18*BZ21</f>
        <v>917.98104750441</v>
      </c>
      <c r="CA174" s="27" t="n">
        <f aca="false">CA18*CA21</f>
        <v>917.98104750441</v>
      </c>
      <c r="CB174" s="27" t="n">
        <f aca="false">CB18*CB21</f>
        <v>917.98104750441</v>
      </c>
      <c r="CC174" s="27" t="n">
        <f aca="false">CC18*CC21</f>
        <v>917.98104750441</v>
      </c>
      <c r="CD174" s="27" t="n">
        <f aca="false">CD18*CD21</f>
        <v>917.98104750441</v>
      </c>
      <c r="CE174" s="27" t="n">
        <f aca="false">CE18*CE21</f>
        <v>917.98104750441</v>
      </c>
      <c r="CF174" s="27" t="n">
        <f aca="false">CF18*CF21</f>
        <v>917.98104750441</v>
      </c>
      <c r="CG174" s="27" t="n">
        <f aca="false">CG18*CG21</f>
        <v>917.98104750441</v>
      </c>
      <c r="CH174" s="27" t="n">
        <f aca="false">CH18*CH21</f>
        <v>917.98104750441</v>
      </c>
    </row>
    <row r="175" customFormat="false" ht="15" hidden="false" customHeight="false" outlineLevel="0" collapsed="false">
      <c r="A175" s="1" t="s">
        <v>836</v>
      </c>
      <c r="C175" s="27" t="n">
        <f aca="false">IF(Restaurantes!$D$10=1,Restaurantes!$D$13*Restaurantes!$D$24*Restaurantes!$D$25*Restaurantes!$D$22/MAX(0.0001,Hipótesis!$E$130),9000000000)</f>
        <v>193.737164212167</v>
      </c>
      <c r="D175" s="27" t="n">
        <f aca="false">IF(Restaurantes!$D$10=1,Restaurantes!$D$13*Restaurantes!$D$24*Restaurantes!$D$25*Restaurantes!$D$22/MAX(0.0001,Hipótesis!$E$130),9000000000)</f>
        <v>193.737164212167</v>
      </c>
      <c r="E175" s="27" t="n">
        <f aca="false">IF(Restaurantes!$D$10=1,Restaurantes!$D$13*Restaurantes!$D$24*Restaurantes!$D$25*Restaurantes!$D$22/MAX(0.0001,Hipótesis!$E$130),9000000000)</f>
        <v>193.737164212167</v>
      </c>
      <c r="F175" s="27" t="n">
        <f aca="false">IF(Restaurantes!$D$10=1,Restaurantes!$D$13*Restaurantes!$D$24*Restaurantes!$D$25*Restaurantes!$D$22/MAX(0.0001,Hipótesis!$E$130),9000000000)</f>
        <v>193.737164212167</v>
      </c>
      <c r="G175" s="27" t="n">
        <f aca="false">IF(Restaurantes!$D$10=1,Restaurantes!$D$13*Restaurantes!$D$24*Restaurantes!$D$25*Restaurantes!$D$22/MAX(0.0001,Hipótesis!$E$130),9000000000)</f>
        <v>193.737164212167</v>
      </c>
      <c r="H175" s="27" t="n">
        <f aca="false">IF(Restaurantes!$D$10=1,Restaurantes!$D$13*Restaurantes!$D$24*Restaurantes!$D$25*Restaurantes!$D$22/MAX(0.0001,Hipótesis!$E$130),9000000000)</f>
        <v>193.737164212167</v>
      </c>
      <c r="I175" s="27" t="n">
        <f aca="false">IF(Restaurantes!$D$10=1,Restaurantes!$D$13*Restaurantes!$D$24*Restaurantes!$D$25*Restaurantes!$D$22/MAX(0.0001,Hipótesis!$E$130),9000000000)</f>
        <v>193.737164212167</v>
      </c>
      <c r="J175" s="27" t="n">
        <f aca="false">IF(Restaurantes!$D$10=1,Restaurantes!$D$13*Restaurantes!$D$24*Restaurantes!$D$25*Restaurantes!$D$22/MAX(0.0001,Hipótesis!$E$130),9000000000)</f>
        <v>193.737164212167</v>
      </c>
      <c r="K175" s="27" t="n">
        <f aca="false">IF(Restaurantes!$D$10=1,Restaurantes!$D$13*Restaurantes!$D$24*Restaurantes!$D$25*Restaurantes!$D$22/MAX(0.0001,Hipótesis!$E$130),9000000000)</f>
        <v>193.737164212167</v>
      </c>
      <c r="L175" s="27" t="n">
        <f aca="false">IF(Restaurantes!$D$10=1,Restaurantes!$D$13*Restaurantes!$D$24*Restaurantes!$D$25*Restaurantes!$D$22/MAX(0.0001,Hipótesis!$E$130),9000000000)</f>
        <v>193.737164212167</v>
      </c>
      <c r="M175" s="27" t="n">
        <f aca="false">IF(Restaurantes!$D$10=1,Restaurantes!$D$13*Restaurantes!$D$24*Restaurantes!$D$25*Restaurantes!$D$22/MAX(0.0001,Hipótesis!$E$130),9000000000)</f>
        <v>193.737164212167</v>
      </c>
      <c r="N175" s="27" t="n">
        <f aca="false">IF(Restaurantes!$D$10=1,Restaurantes!$D$13*Restaurantes!$D$24*Restaurantes!$D$25*Restaurantes!$D$22/MAX(0.0001,Hipótesis!$E$130),9000000000)</f>
        <v>193.737164212167</v>
      </c>
      <c r="O175" s="27" t="n">
        <f aca="false">IF(Restaurantes!$D$10=1,Restaurantes!$D$13*Restaurantes!$D$24*Restaurantes!$D$25*Restaurantes!$D$22/MAX(0.0001,Hipótesis!$E$130),9000000000)</f>
        <v>193.737164212167</v>
      </c>
      <c r="P175" s="27" t="n">
        <f aca="false">IF(Restaurantes!$D$10=1,Restaurantes!$D$13*Restaurantes!$D$24*Restaurantes!$D$25*Restaurantes!$D$22/MAX(0.0001,Hipótesis!$E$130),9000000000)</f>
        <v>193.737164212167</v>
      </c>
      <c r="Q175" s="27" t="n">
        <f aca="false">IF(Restaurantes!$D$10=1,Restaurantes!$D$13*Restaurantes!$D$24*Restaurantes!$D$25*Restaurantes!$D$22/MAX(0.0001,Hipótesis!$E$130),9000000000)</f>
        <v>193.737164212167</v>
      </c>
      <c r="R175" s="27" t="n">
        <f aca="false">IF(Restaurantes!$D$10=1,Restaurantes!$D$13*Restaurantes!$D$24*Restaurantes!$D$25*Restaurantes!$D$22/MAX(0.0001,Hipótesis!$E$130),9000000000)</f>
        <v>193.737164212167</v>
      </c>
      <c r="S175" s="27" t="n">
        <f aca="false">IF(Restaurantes!$D$10=1,Restaurantes!$D$13*Restaurantes!$D$24*Restaurantes!$D$25*Restaurantes!$D$22/MAX(0.0001,Hipótesis!$E$130),9000000000)</f>
        <v>193.737164212167</v>
      </c>
      <c r="T175" s="27" t="n">
        <f aca="false">IF(Restaurantes!$D$10=1,Restaurantes!$D$13*Restaurantes!$D$24*Restaurantes!$D$25*Restaurantes!$D$22/MAX(0.0001,Hipótesis!$E$130),9000000000)</f>
        <v>193.737164212167</v>
      </c>
      <c r="U175" s="27" t="n">
        <f aca="false">IF(Restaurantes!$D$10=1,Restaurantes!$D$13*Restaurantes!$D$24*Restaurantes!$D$25*Restaurantes!$D$22/MAX(0.0001,Hipótesis!$E$130),9000000000)</f>
        <v>193.737164212167</v>
      </c>
      <c r="V175" s="27" t="n">
        <f aca="false">IF(Restaurantes!$D$10=1,Restaurantes!$D$13*Restaurantes!$D$24*Restaurantes!$D$25*Restaurantes!$D$22/MAX(0.0001,Hipótesis!$E$130),9000000000)</f>
        <v>193.737164212167</v>
      </c>
      <c r="W175" s="27" t="n">
        <f aca="false">IF(Restaurantes!$D$10=1,Restaurantes!$D$13*Restaurantes!$D$24*Restaurantes!$D$25*Restaurantes!$D$22/MAX(0.0001,Hipótesis!$E$130),9000000000)</f>
        <v>193.737164212167</v>
      </c>
      <c r="X175" s="27" t="n">
        <f aca="false">IF(Restaurantes!$D$10=1,Restaurantes!$D$13*Restaurantes!$D$24*Restaurantes!$D$25*Restaurantes!$D$22/MAX(0.0001,Hipótesis!$E$130),9000000000)</f>
        <v>193.737164212167</v>
      </c>
      <c r="Y175" s="27" t="n">
        <f aca="false">IF(Restaurantes!$D$10=1,Restaurantes!$D$13*Restaurantes!$D$24*Restaurantes!$D$25*Restaurantes!$D$22/MAX(0.0001,Hipótesis!$E$130),9000000000)</f>
        <v>193.737164212167</v>
      </c>
      <c r="Z175" s="27" t="n">
        <f aca="false">IF(Restaurantes!$D$10=1,Restaurantes!$D$13*Restaurantes!$D$24*Restaurantes!$D$25*Restaurantes!$D$22/MAX(0.0001,Hipótesis!$E$130),9000000000)</f>
        <v>193.737164212167</v>
      </c>
      <c r="AA175" s="27" t="n">
        <f aca="false">IF(Restaurantes!$D$10=1,Restaurantes!$D$13*Restaurantes!$D$24*Restaurantes!$D$25*Restaurantes!$D$22/MAX(0.0001,Hipótesis!$E$130),9000000000)</f>
        <v>193.737164212167</v>
      </c>
      <c r="AB175" s="27" t="n">
        <f aca="false">IF(Restaurantes!$D$10=1,Restaurantes!$D$13*Restaurantes!$D$24*Restaurantes!$D$25*Restaurantes!$D$22/MAX(0.0001,Hipótesis!$E$130),9000000000)</f>
        <v>193.737164212167</v>
      </c>
      <c r="AC175" s="27" t="n">
        <f aca="false">IF(Restaurantes!$D$10=1,Restaurantes!$D$13*Restaurantes!$D$24*Restaurantes!$D$25*Restaurantes!$D$22/MAX(0.0001,Hipótesis!$E$130),9000000000)</f>
        <v>193.737164212167</v>
      </c>
      <c r="AD175" s="27" t="n">
        <f aca="false">IF(Restaurantes!$D$10=1,Restaurantes!$D$13*Restaurantes!$D$24*Restaurantes!$D$25*Restaurantes!$D$22/MAX(0.0001,Hipótesis!$E$130),9000000000)</f>
        <v>193.737164212167</v>
      </c>
      <c r="AE175" s="27" t="n">
        <f aca="false">IF(Restaurantes!$D$10=1,Restaurantes!$D$13*Restaurantes!$D$24*Restaurantes!$D$25*Restaurantes!$D$22/MAX(0.0001,Hipótesis!$E$130),9000000000)</f>
        <v>193.737164212167</v>
      </c>
      <c r="AF175" s="27" t="n">
        <f aca="false">IF(Restaurantes!$D$10=1,Restaurantes!$D$13*Restaurantes!$D$24*Restaurantes!$D$25*Restaurantes!$D$22/MAX(0.0001,Hipótesis!$E$130),9000000000)</f>
        <v>193.737164212167</v>
      </c>
      <c r="AG175" s="27" t="n">
        <f aca="false">IF(Restaurantes!$D$10=1,Restaurantes!$D$13*Restaurantes!$D$24*Restaurantes!$D$25*Restaurantes!$D$22/MAX(0.0001,Hipótesis!$E$130),9000000000)</f>
        <v>193.737164212167</v>
      </c>
      <c r="AH175" s="27" t="n">
        <f aca="false">IF(Restaurantes!$D$10=1,Restaurantes!$D$13*Restaurantes!$D$24*Restaurantes!$D$25*Restaurantes!$D$22/MAX(0.0001,Hipótesis!$E$130),9000000000)</f>
        <v>193.737164212167</v>
      </c>
      <c r="AI175" s="27" t="n">
        <f aca="false">IF(Restaurantes!$D$10=1,Restaurantes!$D$13*Restaurantes!$D$24*Restaurantes!$D$25*Restaurantes!$D$22/MAX(0.0001,Hipótesis!$E$130),9000000000)</f>
        <v>193.737164212167</v>
      </c>
      <c r="AJ175" s="27" t="n">
        <f aca="false">IF(Restaurantes!$D$10=1,Restaurantes!$D$13*Restaurantes!$D$24*Restaurantes!$D$25*Restaurantes!$D$22/MAX(0.0001,Hipótesis!$E$130),9000000000)</f>
        <v>193.737164212167</v>
      </c>
      <c r="AK175" s="27" t="n">
        <f aca="false">IF(Restaurantes!$D$10=1,Restaurantes!$D$13*Restaurantes!$D$24*Restaurantes!$D$25*Restaurantes!$D$22/MAX(0.0001,Hipótesis!$E$130),9000000000)</f>
        <v>193.737164212167</v>
      </c>
      <c r="AL175" s="27" t="n">
        <f aca="false">IF(Restaurantes!$D$10=1,Restaurantes!$D$13*Restaurantes!$D$24*Restaurantes!$D$25*Restaurantes!$D$22/MAX(0.0001,Hipótesis!$E$130),9000000000)</f>
        <v>193.737164212167</v>
      </c>
      <c r="AM175" s="27" t="n">
        <f aca="false">IF(Restaurantes!$D$10=1,Restaurantes!$D$13*Restaurantes!$D$24*Restaurantes!$D$25*Restaurantes!$D$22/MAX(0.0001,Hipótesis!$E$130),9000000000)</f>
        <v>193.737164212167</v>
      </c>
      <c r="AN175" s="27" t="n">
        <f aca="false">IF(Restaurantes!$D$10=1,Restaurantes!$D$13*Restaurantes!$D$24*Restaurantes!$D$25*Restaurantes!$D$22/MAX(0.0001,Hipótesis!$E$130),9000000000)</f>
        <v>193.737164212167</v>
      </c>
      <c r="AO175" s="27" t="n">
        <f aca="false">IF(Restaurantes!$D$10=1,Restaurantes!$D$13*Restaurantes!$D$24*Restaurantes!$D$25*Restaurantes!$D$22/MAX(0.0001,Hipótesis!$E$130),9000000000)</f>
        <v>193.737164212167</v>
      </c>
      <c r="AP175" s="27" t="n">
        <f aca="false">IF(Restaurantes!$D$10=1,Restaurantes!$D$13*Restaurantes!$D$24*Restaurantes!$D$25*Restaurantes!$D$22/MAX(0.0001,Hipótesis!$E$130),9000000000)</f>
        <v>193.737164212167</v>
      </c>
      <c r="AQ175" s="27" t="n">
        <f aca="false">IF(Restaurantes!$D$10=1,Restaurantes!$D$13*Restaurantes!$D$24*Restaurantes!$D$25*Restaurantes!$D$22/MAX(0.0001,Hipótesis!$E$130),9000000000)</f>
        <v>193.737164212167</v>
      </c>
      <c r="AR175" s="27" t="n">
        <f aca="false">IF(Restaurantes!$D$10=1,Restaurantes!$D$13*Restaurantes!$D$24*Restaurantes!$D$25*Restaurantes!$D$22/MAX(0.0001,Hipótesis!$E$130),9000000000)</f>
        <v>193.737164212167</v>
      </c>
      <c r="AS175" s="27" t="n">
        <f aca="false">IF(Restaurantes!$D$10=1,Restaurantes!$D$13*Restaurantes!$D$24*Restaurantes!$D$25*Restaurantes!$D$22/MAX(0.0001,Hipótesis!$E$130),9000000000)</f>
        <v>193.737164212167</v>
      </c>
      <c r="AT175" s="27" t="n">
        <f aca="false">IF(Restaurantes!$D$10=1,Restaurantes!$D$13*Restaurantes!$D$24*Restaurantes!$D$25*Restaurantes!$D$22/MAX(0.0001,Hipótesis!$E$130),9000000000)</f>
        <v>193.737164212167</v>
      </c>
      <c r="AU175" s="27" t="n">
        <f aca="false">IF(Restaurantes!$D$10=1,Restaurantes!$D$13*Restaurantes!$D$24*Restaurantes!$D$25*Restaurantes!$D$22/MAX(0.0001,Hipótesis!$E$130),9000000000)</f>
        <v>193.737164212167</v>
      </c>
      <c r="AV175" s="27" t="n">
        <f aca="false">IF(Restaurantes!$D$10=1,Restaurantes!$D$13*Restaurantes!$D$24*Restaurantes!$D$25*Restaurantes!$D$22/MAX(0.0001,Hipótesis!$E$130),9000000000)</f>
        <v>193.737164212167</v>
      </c>
      <c r="AW175" s="27" t="n">
        <f aca="false">IF(Restaurantes!$D$10=1,Restaurantes!$D$13*Restaurantes!$D$24*Restaurantes!$D$25*Restaurantes!$D$22/MAX(0.0001,Hipótesis!$E$130),9000000000)</f>
        <v>193.737164212167</v>
      </c>
      <c r="AX175" s="27" t="n">
        <f aca="false">IF(Restaurantes!$D$10=1,Restaurantes!$D$13*Restaurantes!$D$24*Restaurantes!$D$25*Restaurantes!$D$22/MAX(0.0001,Hipótesis!$E$130),9000000000)</f>
        <v>193.737164212167</v>
      </c>
      <c r="AY175" s="27" t="n">
        <f aca="false">IF(Restaurantes!$D$10=1,Restaurantes!$D$13*Restaurantes!$D$24*Restaurantes!$D$25*Restaurantes!$D$22/MAX(0.0001,Hipótesis!$E$130),9000000000)</f>
        <v>193.737164212167</v>
      </c>
      <c r="AZ175" s="27" t="n">
        <f aca="false">IF(Restaurantes!$D$10=1,Restaurantes!$D$13*Restaurantes!$D$24*Restaurantes!$D$25*Restaurantes!$D$22/MAX(0.0001,Hipótesis!$E$130),9000000000)</f>
        <v>193.737164212167</v>
      </c>
      <c r="BA175" s="27" t="n">
        <f aca="false">IF(Restaurantes!$D$10=1,Restaurantes!$D$13*Restaurantes!$D$24*Restaurantes!$D$25*Restaurantes!$D$22/MAX(0.0001,Hipótesis!$E$130),9000000000)</f>
        <v>193.737164212167</v>
      </c>
      <c r="BB175" s="27" t="n">
        <f aca="false">IF(Restaurantes!$D$10=1,Restaurantes!$D$13*Restaurantes!$D$24*Restaurantes!$D$25*Restaurantes!$D$22/MAX(0.0001,Hipótesis!$E$130),9000000000)</f>
        <v>193.737164212167</v>
      </c>
      <c r="BC175" s="27" t="n">
        <f aca="false">IF(Restaurantes!$D$10=1,Restaurantes!$D$13*Restaurantes!$D$24*Restaurantes!$D$25*Restaurantes!$D$22/MAX(0.0001,Hipótesis!$E$130),9000000000)</f>
        <v>193.737164212167</v>
      </c>
      <c r="BD175" s="27" t="n">
        <f aca="false">IF(Restaurantes!$D$10=1,Restaurantes!$D$13*Restaurantes!$D$24*Restaurantes!$D$25*Restaurantes!$D$22/MAX(0.0001,Hipótesis!$E$130),9000000000)</f>
        <v>193.737164212167</v>
      </c>
      <c r="BE175" s="27" t="n">
        <f aca="false">IF(Restaurantes!$D$10=1,Restaurantes!$D$13*Restaurantes!$D$24*Restaurantes!$D$25*Restaurantes!$D$22/MAX(0.0001,Hipótesis!$E$130),9000000000)</f>
        <v>193.737164212167</v>
      </c>
      <c r="BF175" s="27" t="n">
        <f aca="false">IF(Restaurantes!$D$10=1,Restaurantes!$D$13*Restaurantes!$D$24*Restaurantes!$D$25*Restaurantes!$D$22/MAX(0.0001,Hipótesis!$E$130),9000000000)</f>
        <v>193.737164212167</v>
      </c>
      <c r="BG175" s="27" t="n">
        <f aca="false">IF(Restaurantes!$D$10=1,Restaurantes!$D$13*Restaurantes!$D$24*Restaurantes!$D$25*Restaurantes!$D$22/MAX(0.0001,Hipótesis!$E$130),9000000000)</f>
        <v>193.737164212167</v>
      </c>
      <c r="BH175" s="27" t="n">
        <f aca="false">IF(Restaurantes!$D$10=1,Restaurantes!$D$13*Restaurantes!$D$24*Restaurantes!$D$25*Restaurantes!$D$22/MAX(0.0001,Hipótesis!$E$130),9000000000)</f>
        <v>193.737164212167</v>
      </c>
      <c r="BI175" s="27" t="n">
        <f aca="false">IF(Restaurantes!$D$10=1,Restaurantes!$D$13*Restaurantes!$D$24*Restaurantes!$D$25*Restaurantes!$D$22/MAX(0.0001,Hipótesis!$E$130),9000000000)</f>
        <v>193.737164212167</v>
      </c>
      <c r="BJ175" s="27" t="n">
        <f aca="false">IF(Restaurantes!$D$10=1,Restaurantes!$D$13*Restaurantes!$D$24*Restaurantes!$D$25*Restaurantes!$D$22/MAX(0.0001,Hipótesis!$E$130),9000000000)</f>
        <v>193.737164212167</v>
      </c>
      <c r="BK175" s="27" t="n">
        <f aca="false">IF(Restaurantes!$D$10=1,Restaurantes!$D$13*Restaurantes!$D$24*Restaurantes!$D$25*Restaurantes!$D$22/MAX(0.0001,Hipótesis!$E$130),9000000000)</f>
        <v>193.737164212167</v>
      </c>
      <c r="BL175" s="27" t="n">
        <f aca="false">IF(Restaurantes!$D$10=1,Restaurantes!$D$13*Restaurantes!$D$24*Restaurantes!$D$25*Restaurantes!$D$22/MAX(0.0001,Hipótesis!$E$130),9000000000)</f>
        <v>193.737164212167</v>
      </c>
      <c r="BM175" s="27" t="n">
        <f aca="false">IF(Restaurantes!$D$10=1,Restaurantes!$D$13*Restaurantes!$D$24*Restaurantes!$D$25*Restaurantes!$D$22/MAX(0.0001,Hipótesis!$E$130),9000000000)</f>
        <v>193.737164212167</v>
      </c>
      <c r="BN175" s="27" t="n">
        <f aca="false">IF(Restaurantes!$D$10=1,Restaurantes!$D$13*Restaurantes!$D$24*Restaurantes!$D$25*Restaurantes!$D$22/MAX(0.0001,Hipótesis!$E$130),9000000000)</f>
        <v>193.737164212167</v>
      </c>
      <c r="BO175" s="27" t="n">
        <f aca="false">IF(Restaurantes!$D$10=1,Restaurantes!$D$13*Restaurantes!$D$24*Restaurantes!$D$25*Restaurantes!$D$22/MAX(0.0001,Hipótesis!$E$130),9000000000)</f>
        <v>193.737164212167</v>
      </c>
      <c r="BP175" s="27" t="n">
        <f aca="false">IF(Restaurantes!$D$10=1,Restaurantes!$D$13*Restaurantes!$D$24*Restaurantes!$D$25*Restaurantes!$D$22/MAX(0.0001,Hipótesis!$E$130),9000000000)</f>
        <v>193.737164212167</v>
      </c>
      <c r="BQ175" s="27" t="n">
        <f aca="false">IF(Restaurantes!$D$10=1,Restaurantes!$D$13*Restaurantes!$D$24*Restaurantes!$D$25*Restaurantes!$D$22/MAX(0.0001,Hipótesis!$E$130),9000000000)</f>
        <v>193.737164212167</v>
      </c>
      <c r="BR175" s="27" t="n">
        <f aca="false">IF(Restaurantes!$D$10=1,Restaurantes!$D$13*Restaurantes!$D$24*Restaurantes!$D$25*Restaurantes!$D$22/MAX(0.0001,Hipótesis!$E$130),9000000000)</f>
        <v>193.737164212167</v>
      </c>
      <c r="BS175" s="27" t="n">
        <f aca="false">IF(Restaurantes!$D$10=1,Restaurantes!$D$13*Restaurantes!$D$24*Restaurantes!$D$25*Restaurantes!$D$22/MAX(0.0001,Hipótesis!$E$130),9000000000)</f>
        <v>193.737164212167</v>
      </c>
      <c r="BT175" s="27" t="n">
        <f aca="false">IF(Restaurantes!$D$10=1,Restaurantes!$D$13*Restaurantes!$D$24*Restaurantes!$D$25*Restaurantes!$D$22/MAX(0.0001,Hipótesis!$E$130),9000000000)</f>
        <v>193.737164212167</v>
      </c>
      <c r="BU175" s="27" t="n">
        <f aca="false">IF(Restaurantes!$D$10=1,Restaurantes!$D$13*Restaurantes!$D$24*Restaurantes!$D$25*Restaurantes!$D$22/MAX(0.0001,Hipótesis!$E$130),9000000000)</f>
        <v>193.737164212167</v>
      </c>
      <c r="BV175" s="27" t="n">
        <f aca="false">IF(Restaurantes!$D$10=1,Restaurantes!$D$13*Restaurantes!$D$24*Restaurantes!$D$25*Restaurantes!$D$22/MAX(0.0001,Hipótesis!$E$130),9000000000)</f>
        <v>193.737164212167</v>
      </c>
      <c r="BW175" s="27" t="n">
        <f aca="false">IF(Restaurantes!$D$10=1,Restaurantes!$D$13*Restaurantes!$D$24*Restaurantes!$D$25*Restaurantes!$D$22/MAX(0.0001,Hipótesis!$E$130),9000000000)</f>
        <v>193.737164212167</v>
      </c>
      <c r="BX175" s="27" t="n">
        <f aca="false">IF(Restaurantes!$D$10=1,Restaurantes!$D$13*Restaurantes!$D$24*Restaurantes!$D$25*Restaurantes!$D$22/MAX(0.0001,Hipótesis!$E$130),9000000000)</f>
        <v>193.737164212167</v>
      </c>
      <c r="BY175" s="27" t="n">
        <f aca="false">IF(Restaurantes!$D$10=1,Restaurantes!$D$13*Restaurantes!$D$24*Restaurantes!$D$25*Restaurantes!$D$22/MAX(0.0001,Hipótesis!$E$130),9000000000)</f>
        <v>193.737164212167</v>
      </c>
      <c r="BZ175" s="27" t="n">
        <f aca="false">IF(Restaurantes!$D$10=1,Restaurantes!$D$13*Restaurantes!$D$24*Restaurantes!$D$25*Restaurantes!$D$22/MAX(0.0001,Hipótesis!$E$130),9000000000)</f>
        <v>193.737164212167</v>
      </c>
      <c r="CA175" s="27" t="n">
        <f aca="false">IF(Restaurantes!$D$10=1,Restaurantes!$D$13*Restaurantes!$D$24*Restaurantes!$D$25*Restaurantes!$D$22/MAX(0.0001,Hipótesis!$E$130),9000000000)</f>
        <v>193.737164212167</v>
      </c>
      <c r="CB175" s="27" t="n">
        <f aca="false">IF(Restaurantes!$D$10=1,Restaurantes!$D$13*Restaurantes!$D$24*Restaurantes!$D$25*Restaurantes!$D$22/MAX(0.0001,Hipótesis!$E$130),9000000000)</f>
        <v>193.737164212167</v>
      </c>
      <c r="CC175" s="27" t="n">
        <f aca="false">IF(Restaurantes!$D$10=1,Restaurantes!$D$13*Restaurantes!$D$24*Restaurantes!$D$25*Restaurantes!$D$22/MAX(0.0001,Hipótesis!$E$130),9000000000)</f>
        <v>193.737164212167</v>
      </c>
      <c r="CD175" s="27" t="n">
        <f aca="false">IF(Restaurantes!$D$10=1,Restaurantes!$D$13*Restaurantes!$D$24*Restaurantes!$D$25*Restaurantes!$D$22/MAX(0.0001,Hipótesis!$E$130),9000000000)</f>
        <v>193.737164212167</v>
      </c>
      <c r="CE175" s="27" t="n">
        <f aca="false">IF(Restaurantes!$D$10=1,Restaurantes!$D$13*Restaurantes!$D$24*Restaurantes!$D$25*Restaurantes!$D$22/MAX(0.0001,Hipótesis!$E$130),9000000000)</f>
        <v>193.737164212167</v>
      </c>
      <c r="CF175" s="27" t="n">
        <f aca="false">IF(Restaurantes!$D$10=1,Restaurantes!$D$13*Restaurantes!$D$24*Restaurantes!$D$25*Restaurantes!$D$22/MAX(0.0001,Hipótesis!$E$130),9000000000)</f>
        <v>193.737164212167</v>
      </c>
      <c r="CG175" s="27" t="n">
        <f aca="false">IF(Restaurantes!$D$10=1,Restaurantes!$D$13*Restaurantes!$D$24*Restaurantes!$D$25*Restaurantes!$D$22/MAX(0.0001,Hipótesis!$E$130),9000000000)</f>
        <v>193.737164212167</v>
      </c>
      <c r="CH175" s="27" t="n">
        <f aca="false">IF(Restaurantes!$D$10=1,Restaurantes!$D$13*Restaurantes!$D$24*Restaurantes!$D$25*Restaurantes!$D$22/MAX(0.0001,Hipótesis!$E$130),9000000000)</f>
        <v>193.737164212167</v>
      </c>
    </row>
    <row r="176" customFormat="false" ht="15" hidden="false" customHeight="false" outlineLevel="0" collapsed="false">
      <c r="A176" s="1" t="s">
        <v>837</v>
      </c>
      <c r="C176" s="27" t="n">
        <f aca="false">MIN(Restaurantes!$D$7*Hipótesis!$D$13*Hipótesis!$E$26,C175)*C173</f>
        <v>8</v>
      </c>
      <c r="D176" s="27" t="n">
        <f aca="false">MIN(Restaurantes!$D$7*Hipótesis!$D$13*Hipótesis!$E$26,D175)*D173</f>
        <v>16</v>
      </c>
      <c r="E176" s="27" t="n">
        <f aca="false">MIN(Restaurantes!$D$7*Hipótesis!$D$13*Hipótesis!$E$26,E175)*E173</f>
        <v>24</v>
      </c>
      <c r="F176" s="27" t="n">
        <f aca="false">MIN(Restaurantes!$D$7*Hipótesis!$D$13*Hipótesis!$E$26,F175)*F173</f>
        <v>32</v>
      </c>
      <c r="G176" s="27" t="n">
        <f aca="false">MIN(Restaurantes!$D$7*Hipótesis!$D$13*Hipótesis!$E$26,G175)*G173</f>
        <v>40</v>
      </c>
      <c r="H176" s="27" t="n">
        <f aca="false">MIN(Restaurantes!$D$7*Hipótesis!$D$13*Hipótesis!$E$26,H175)*H173</f>
        <v>48</v>
      </c>
      <c r="I176" s="27" t="n">
        <f aca="false">MIN(Restaurantes!$D$7*Hipótesis!$D$13*Hipótesis!$E$26,I175)*I173</f>
        <v>56</v>
      </c>
      <c r="J176" s="27" t="n">
        <f aca="false">MIN(Restaurantes!$D$7*Hipótesis!$D$13*Hipótesis!$E$26,J175)*J173</f>
        <v>64</v>
      </c>
      <c r="K176" s="27" t="n">
        <f aca="false">MIN(Restaurantes!$D$7*Hipótesis!$D$13*Hipótesis!$E$26,K175)*K173</f>
        <v>72</v>
      </c>
      <c r="L176" s="27" t="n">
        <f aca="false">MIN(Restaurantes!$D$7*Hipótesis!$D$13*Hipótesis!$E$26,L175)*L173</f>
        <v>80</v>
      </c>
      <c r="M176" s="27" t="n">
        <f aca="false">MIN(Restaurantes!$D$7*Hipótesis!$D$13*Hipótesis!$E$26,M175)*M173</f>
        <v>88</v>
      </c>
      <c r="N176" s="27" t="n">
        <f aca="false">MIN(Restaurantes!$D$7*Hipótesis!$D$13*Hipótesis!$E$26,N175)*N173</f>
        <v>96</v>
      </c>
      <c r="O176" s="27" t="n">
        <f aca="false">MIN(Restaurantes!$D$7*Hipótesis!$D$13*Hipótesis!$E$26,O175)*O173</f>
        <v>104</v>
      </c>
      <c r="P176" s="27" t="n">
        <f aca="false">MIN(Restaurantes!$D$7*Hipótesis!$D$13*Hipótesis!$E$26,P175)*P173</f>
        <v>112</v>
      </c>
      <c r="Q176" s="27" t="n">
        <f aca="false">MIN(Restaurantes!$D$7*Hipótesis!$D$13*Hipótesis!$E$26,Q175)*Q173</f>
        <v>120</v>
      </c>
      <c r="R176" s="27" t="n">
        <f aca="false">MIN(Restaurantes!$D$7*Hipótesis!$D$13*Hipótesis!$E$26,R175)*R173</f>
        <v>128</v>
      </c>
      <c r="S176" s="27" t="n">
        <f aca="false">MIN(Restaurantes!$D$7*Hipótesis!$D$13*Hipótesis!$E$26,S175)*S173</f>
        <v>136</v>
      </c>
      <c r="T176" s="27" t="n">
        <f aca="false">MIN(Restaurantes!$D$7*Hipótesis!$D$13*Hipótesis!$E$26,T175)*T173</f>
        <v>144</v>
      </c>
      <c r="U176" s="27" t="n">
        <f aca="false">MIN(Restaurantes!$D$7*Hipótesis!$D$13*Hipótesis!$E$26,U175)*U173</f>
        <v>144</v>
      </c>
      <c r="V176" s="27" t="n">
        <f aca="false">MIN(Restaurantes!$D$7*Hipótesis!$D$13*Hipótesis!$E$26,V175)*V173</f>
        <v>144</v>
      </c>
      <c r="W176" s="27" t="n">
        <f aca="false">MIN(Restaurantes!$D$7*Hipótesis!$D$13*Hipótesis!$E$26,W175)*W173</f>
        <v>144</v>
      </c>
      <c r="X176" s="27" t="n">
        <f aca="false">MIN(Restaurantes!$D$7*Hipótesis!$D$13*Hipótesis!$E$26,X175)*X173</f>
        <v>144</v>
      </c>
      <c r="Y176" s="27" t="n">
        <f aca="false">MIN(Restaurantes!$D$7*Hipótesis!$D$13*Hipótesis!$E$26,Y175)*Y173</f>
        <v>144</v>
      </c>
      <c r="Z176" s="27" t="n">
        <f aca="false">MIN(Restaurantes!$D$7*Hipótesis!$D$13*Hipótesis!$E$26,Z175)*Z173</f>
        <v>144</v>
      </c>
      <c r="AA176" s="27" t="n">
        <f aca="false">MIN(Restaurantes!$D$7*Hipótesis!$D$13*Hipótesis!$E$26,AA175)*AA173</f>
        <v>144</v>
      </c>
      <c r="AB176" s="27" t="n">
        <f aca="false">MIN(Restaurantes!$D$7*Hipótesis!$D$13*Hipótesis!$E$26,AB175)*AB173</f>
        <v>144</v>
      </c>
      <c r="AC176" s="27" t="n">
        <f aca="false">MIN(Restaurantes!$D$7*Hipótesis!$D$13*Hipótesis!$E$26,AC175)*AC173</f>
        <v>144</v>
      </c>
      <c r="AD176" s="27" t="n">
        <f aca="false">MIN(Restaurantes!$D$7*Hipótesis!$D$13*Hipótesis!$E$26,AD175)*AD173</f>
        <v>144</v>
      </c>
      <c r="AE176" s="27" t="n">
        <f aca="false">MIN(Restaurantes!$D$7*Hipótesis!$D$13*Hipótesis!$E$26,AE175)*AE173</f>
        <v>144</v>
      </c>
      <c r="AF176" s="27" t="n">
        <f aca="false">MIN(Restaurantes!$D$7*Hipótesis!$D$13*Hipótesis!$E$26,AF175)*AF173</f>
        <v>144</v>
      </c>
      <c r="AG176" s="27" t="n">
        <f aca="false">MIN(Restaurantes!$D$7*Hipótesis!$D$13*Hipótesis!$E$26,AG175)*AG173</f>
        <v>144</v>
      </c>
      <c r="AH176" s="27" t="n">
        <f aca="false">MIN(Restaurantes!$D$7*Hipótesis!$D$13*Hipótesis!$E$26,AH175)*AH173</f>
        <v>144</v>
      </c>
      <c r="AI176" s="27" t="n">
        <f aca="false">MIN(Restaurantes!$D$7*Hipótesis!$D$13*Hipótesis!$E$26,AI175)*AI173</f>
        <v>144</v>
      </c>
      <c r="AJ176" s="27" t="n">
        <f aca="false">MIN(Restaurantes!$D$7*Hipótesis!$D$13*Hipótesis!$E$26,AJ175)*AJ173</f>
        <v>144</v>
      </c>
      <c r="AK176" s="27" t="n">
        <f aca="false">MIN(Restaurantes!$D$7*Hipótesis!$D$13*Hipótesis!$E$26,AK175)*AK173</f>
        <v>144</v>
      </c>
      <c r="AL176" s="27" t="n">
        <f aca="false">MIN(Restaurantes!$D$7*Hipótesis!$D$13*Hipótesis!$E$26,AL175)*AL173</f>
        <v>144</v>
      </c>
      <c r="AM176" s="27" t="n">
        <f aca="false">MIN(Restaurantes!$D$7*Hipótesis!$D$13*Hipótesis!$E$26,AM175)*AM173</f>
        <v>144</v>
      </c>
      <c r="AN176" s="27" t="n">
        <f aca="false">MIN(Restaurantes!$D$7*Hipótesis!$D$13*Hipótesis!$E$26,AN175)*AN173</f>
        <v>144</v>
      </c>
      <c r="AO176" s="27" t="n">
        <f aca="false">MIN(Restaurantes!$D$7*Hipótesis!$D$13*Hipótesis!$E$26,AO175)*AO173</f>
        <v>144</v>
      </c>
      <c r="AP176" s="27" t="n">
        <f aca="false">MIN(Restaurantes!$D$7*Hipótesis!$D$13*Hipótesis!$E$26,AP175)*AP173</f>
        <v>144</v>
      </c>
      <c r="AQ176" s="27" t="n">
        <f aca="false">MIN(Restaurantes!$D$7*Hipótesis!$D$13*Hipótesis!$E$26,AQ175)*AQ173</f>
        <v>144</v>
      </c>
      <c r="AR176" s="27" t="n">
        <f aca="false">MIN(Restaurantes!$D$7*Hipótesis!$D$13*Hipótesis!$E$26,AR175)*AR173</f>
        <v>144</v>
      </c>
      <c r="AS176" s="27" t="n">
        <f aca="false">MIN(Restaurantes!$D$7*Hipótesis!$D$13*Hipótesis!$E$26,AS175)*AS173</f>
        <v>144</v>
      </c>
      <c r="AT176" s="27" t="n">
        <f aca="false">MIN(Restaurantes!$D$7*Hipótesis!$D$13*Hipótesis!$E$26,AT175)*AT173</f>
        <v>144</v>
      </c>
      <c r="AU176" s="27" t="n">
        <f aca="false">MIN(Restaurantes!$D$7*Hipótesis!$D$13*Hipótesis!$E$26,AU175)*AU173</f>
        <v>144</v>
      </c>
      <c r="AV176" s="27" t="n">
        <f aca="false">MIN(Restaurantes!$D$7*Hipótesis!$D$13*Hipótesis!$E$26,AV175)*AV173</f>
        <v>144</v>
      </c>
      <c r="AW176" s="27" t="n">
        <f aca="false">MIN(Restaurantes!$D$7*Hipótesis!$D$13*Hipótesis!$E$26,AW175)*AW173</f>
        <v>144</v>
      </c>
      <c r="AX176" s="27" t="n">
        <f aca="false">MIN(Restaurantes!$D$7*Hipótesis!$D$13*Hipótesis!$E$26,AX175)*AX173</f>
        <v>144</v>
      </c>
      <c r="AY176" s="27" t="n">
        <f aca="false">MIN(Restaurantes!$D$7*Hipótesis!$D$13*Hipótesis!$E$26,AY175)*AY173</f>
        <v>144</v>
      </c>
      <c r="AZ176" s="27" t="n">
        <f aca="false">MIN(Restaurantes!$D$7*Hipótesis!$D$13*Hipótesis!$E$26,AZ175)*AZ173</f>
        <v>144</v>
      </c>
      <c r="BA176" s="27" t="n">
        <f aca="false">MIN(Restaurantes!$D$7*Hipótesis!$D$13*Hipótesis!$E$26,BA175)*BA173</f>
        <v>144</v>
      </c>
      <c r="BB176" s="27" t="n">
        <f aca="false">MIN(Restaurantes!$D$7*Hipótesis!$D$13*Hipótesis!$E$26,BB175)*BB173</f>
        <v>144</v>
      </c>
      <c r="BC176" s="27" t="n">
        <f aca="false">MIN(Restaurantes!$D$7*Hipótesis!$D$13*Hipótesis!$E$26,BC175)*BC173</f>
        <v>144</v>
      </c>
      <c r="BD176" s="27" t="n">
        <f aca="false">MIN(Restaurantes!$D$7*Hipótesis!$D$13*Hipótesis!$E$26,BD175)*BD173</f>
        <v>144</v>
      </c>
      <c r="BE176" s="27" t="n">
        <f aca="false">MIN(Restaurantes!$D$7*Hipótesis!$D$13*Hipótesis!$E$26,BE175)*BE173</f>
        <v>144</v>
      </c>
      <c r="BF176" s="27" t="n">
        <f aca="false">MIN(Restaurantes!$D$7*Hipótesis!$D$13*Hipótesis!$E$26,BF175)*BF173</f>
        <v>144</v>
      </c>
      <c r="BG176" s="27" t="n">
        <f aca="false">MIN(Restaurantes!$D$7*Hipótesis!$D$13*Hipótesis!$E$26,BG175)*BG173</f>
        <v>144</v>
      </c>
      <c r="BH176" s="27" t="n">
        <f aca="false">MIN(Restaurantes!$D$7*Hipótesis!$D$13*Hipótesis!$E$26,BH175)*BH173</f>
        <v>144</v>
      </c>
      <c r="BI176" s="27" t="n">
        <f aca="false">MIN(Restaurantes!$D$7*Hipótesis!$D$13*Hipótesis!$E$26,BI175)*BI173</f>
        <v>144</v>
      </c>
      <c r="BJ176" s="27" t="n">
        <f aca="false">MIN(Restaurantes!$D$7*Hipótesis!$D$13*Hipótesis!$E$26,BJ175)*BJ173</f>
        <v>144</v>
      </c>
      <c r="BK176" s="27" t="n">
        <f aca="false">MIN(Restaurantes!$D$7*Hipótesis!$D$13*Hipótesis!$E$26,BK175)*BK173</f>
        <v>144</v>
      </c>
      <c r="BL176" s="27" t="n">
        <f aca="false">MIN(Restaurantes!$D$7*Hipótesis!$D$13*Hipótesis!$E$26,BL175)*BL173</f>
        <v>144</v>
      </c>
      <c r="BM176" s="27" t="n">
        <f aca="false">MIN(Restaurantes!$D$7*Hipótesis!$D$13*Hipótesis!$E$26,BM175)*BM173</f>
        <v>144</v>
      </c>
      <c r="BN176" s="27" t="n">
        <f aca="false">MIN(Restaurantes!$D$7*Hipótesis!$D$13*Hipótesis!$E$26,BN175)*BN173</f>
        <v>144</v>
      </c>
      <c r="BO176" s="27" t="n">
        <f aca="false">MIN(Restaurantes!$D$7*Hipótesis!$D$13*Hipótesis!$E$26,BO175)*BO173</f>
        <v>144</v>
      </c>
      <c r="BP176" s="27" t="n">
        <f aca="false">MIN(Restaurantes!$D$7*Hipótesis!$D$13*Hipótesis!$E$26,BP175)*BP173</f>
        <v>144</v>
      </c>
      <c r="BQ176" s="27" t="n">
        <f aca="false">MIN(Restaurantes!$D$7*Hipótesis!$D$13*Hipótesis!$E$26,BQ175)*BQ173</f>
        <v>144</v>
      </c>
      <c r="BR176" s="27" t="n">
        <f aca="false">MIN(Restaurantes!$D$7*Hipótesis!$D$13*Hipótesis!$E$26,BR175)*BR173</f>
        <v>144</v>
      </c>
      <c r="BS176" s="27" t="n">
        <f aca="false">MIN(Restaurantes!$D$7*Hipótesis!$D$13*Hipótesis!$E$26,BS175)*BS173</f>
        <v>144</v>
      </c>
      <c r="BT176" s="27" t="n">
        <f aca="false">MIN(Restaurantes!$D$7*Hipótesis!$D$13*Hipótesis!$E$26,BT175)*BT173</f>
        <v>144</v>
      </c>
      <c r="BU176" s="27" t="n">
        <f aca="false">MIN(Restaurantes!$D$7*Hipótesis!$D$13*Hipótesis!$E$26,BU175)*BU173</f>
        <v>144</v>
      </c>
      <c r="BV176" s="27" t="n">
        <f aca="false">MIN(Restaurantes!$D$7*Hipótesis!$D$13*Hipótesis!$E$26,BV175)*BV173</f>
        <v>144</v>
      </c>
      <c r="BW176" s="27" t="n">
        <f aca="false">MIN(Restaurantes!$D$7*Hipótesis!$D$13*Hipótesis!$E$26,BW175)*BW173</f>
        <v>144</v>
      </c>
      <c r="BX176" s="27" t="n">
        <f aca="false">MIN(Restaurantes!$D$7*Hipótesis!$D$13*Hipótesis!$E$26,BX175)*BX173</f>
        <v>144</v>
      </c>
      <c r="BY176" s="27" t="n">
        <f aca="false">MIN(Restaurantes!$D$7*Hipótesis!$D$13*Hipótesis!$E$26,BY175)*BY173</f>
        <v>144</v>
      </c>
      <c r="BZ176" s="27" t="n">
        <f aca="false">MIN(Restaurantes!$D$7*Hipótesis!$D$13*Hipótesis!$E$26,BZ175)*BZ173</f>
        <v>144</v>
      </c>
      <c r="CA176" s="27" t="n">
        <f aca="false">MIN(Restaurantes!$D$7*Hipótesis!$D$13*Hipótesis!$E$26,CA175)*CA173</f>
        <v>144</v>
      </c>
      <c r="CB176" s="27" t="n">
        <f aca="false">MIN(Restaurantes!$D$7*Hipótesis!$D$13*Hipótesis!$E$26,CB175)*CB173</f>
        <v>144</v>
      </c>
      <c r="CC176" s="27" t="n">
        <f aca="false">MIN(Restaurantes!$D$7*Hipótesis!$D$13*Hipótesis!$E$26,CC175)*CC173</f>
        <v>144</v>
      </c>
      <c r="CD176" s="27" t="n">
        <f aca="false">MIN(Restaurantes!$D$7*Hipótesis!$D$13*Hipótesis!$E$26,CD175)*CD173</f>
        <v>144</v>
      </c>
      <c r="CE176" s="27" t="n">
        <f aca="false">MIN(Restaurantes!$D$7*Hipótesis!$D$13*Hipótesis!$E$26,CE175)*CE173</f>
        <v>144</v>
      </c>
      <c r="CF176" s="27" t="n">
        <f aca="false">MIN(Restaurantes!$D$7*Hipótesis!$D$13*Hipótesis!$E$26,CF175)*CF173</f>
        <v>144</v>
      </c>
      <c r="CG176" s="27" t="n">
        <f aca="false">MIN(Restaurantes!$D$7*Hipótesis!$D$13*Hipótesis!$E$26,CG175)*CG173</f>
        <v>144</v>
      </c>
      <c r="CH176" s="27" t="n">
        <f aca="false">MIN(Restaurantes!$D$7*Hipótesis!$D$13*Hipótesis!$E$26,CH175)*CH173</f>
        <v>144</v>
      </c>
    </row>
    <row r="177" customFormat="false" ht="15" hidden="false" customHeight="false" outlineLevel="0" collapsed="false">
      <c r="A177" s="1" t="s">
        <v>838</v>
      </c>
      <c r="C177" s="27" t="n">
        <f aca="false">MIN(C176,MAX(0,C8-C174))</f>
        <v>8</v>
      </c>
      <c r="D177" s="27" t="n">
        <f aca="false">MIN(D176,MAX(0,D8-D174))</f>
        <v>16</v>
      </c>
      <c r="E177" s="27" t="n">
        <f aca="false">MIN(E176,MAX(0,E8-E174))</f>
        <v>24</v>
      </c>
      <c r="F177" s="27" t="n">
        <f aca="false">MIN(F176,MAX(0,F8-F174))</f>
        <v>32</v>
      </c>
      <c r="G177" s="27" t="n">
        <f aca="false">MIN(G176,MAX(0,G8-G174))</f>
        <v>40</v>
      </c>
      <c r="H177" s="27" t="n">
        <f aca="false">MIN(H176,MAX(0,H8-H174))</f>
        <v>48</v>
      </c>
      <c r="I177" s="27" t="n">
        <f aca="false">MIN(I176,MAX(0,I8-I174))</f>
        <v>56</v>
      </c>
      <c r="J177" s="27" t="n">
        <f aca="false">MIN(J176,MAX(0,J8-J174))</f>
        <v>64</v>
      </c>
      <c r="K177" s="27" t="n">
        <f aca="false">MIN(K176,MAX(0,K8-K174))</f>
        <v>72</v>
      </c>
      <c r="L177" s="27" t="n">
        <f aca="false">MIN(L176,MAX(0,L8-L174))</f>
        <v>80</v>
      </c>
      <c r="M177" s="27" t="n">
        <f aca="false">MIN(M176,MAX(0,M8-M174))</f>
        <v>88</v>
      </c>
      <c r="N177" s="27" t="n">
        <f aca="false">MIN(N176,MAX(0,N8-N174))</f>
        <v>96</v>
      </c>
      <c r="O177" s="27" t="n">
        <f aca="false">MIN(O176,MAX(0,O8-O174))</f>
        <v>104</v>
      </c>
      <c r="P177" s="27" t="n">
        <f aca="false">MIN(P176,MAX(0,P8-P174))</f>
        <v>112</v>
      </c>
      <c r="Q177" s="27" t="n">
        <f aca="false">MIN(Q176,MAX(0,Q8-Q174))</f>
        <v>120</v>
      </c>
      <c r="R177" s="27" t="n">
        <f aca="false">MIN(R176,MAX(0,R8-R174))</f>
        <v>128</v>
      </c>
      <c r="S177" s="27" t="n">
        <f aca="false">MIN(S176,MAX(0,S8-S174))</f>
        <v>136</v>
      </c>
      <c r="T177" s="27" t="n">
        <f aca="false">MIN(T176,MAX(0,T8-T174))</f>
        <v>144</v>
      </c>
      <c r="U177" s="27" t="n">
        <f aca="false">MIN(U176,MAX(0,U8-U174))</f>
        <v>144</v>
      </c>
      <c r="V177" s="27" t="n">
        <f aca="false">MIN(V176,MAX(0,V8-V174))</f>
        <v>144</v>
      </c>
      <c r="W177" s="27" t="n">
        <f aca="false">MIN(W176,MAX(0,W8-W174))</f>
        <v>144</v>
      </c>
      <c r="X177" s="27" t="n">
        <f aca="false">MIN(X176,MAX(0,X8-X174))</f>
        <v>144</v>
      </c>
      <c r="Y177" s="27" t="n">
        <f aca="false">MIN(Y176,MAX(0,Y8-Y174))</f>
        <v>144</v>
      </c>
      <c r="Z177" s="27" t="n">
        <f aca="false">MIN(Z176,MAX(0,Z8-Z174))</f>
        <v>144</v>
      </c>
      <c r="AA177" s="27" t="n">
        <f aca="false">MIN(AA176,MAX(0,AA8-AA174))</f>
        <v>144</v>
      </c>
      <c r="AB177" s="27" t="n">
        <f aca="false">MIN(AB176,MAX(0,AB8-AB174))</f>
        <v>144</v>
      </c>
      <c r="AC177" s="27" t="n">
        <f aca="false">MIN(AC176,MAX(0,AC8-AC174))</f>
        <v>144</v>
      </c>
      <c r="AD177" s="27" t="n">
        <f aca="false">MIN(AD176,MAX(0,AD8-AD174))</f>
        <v>144</v>
      </c>
      <c r="AE177" s="27" t="n">
        <f aca="false">MIN(AE176,MAX(0,AE8-AE174))</f>
        <v>144</v>
      </c>
      <c r="AF177" s="27" t="n">
        <f aca="false">MIN(AF176,MAX(0,AF8-AF174))</f>
        <v>144</v>
      </c>
      <c r="AG177" s="27" t="n">
        <f aca="false">MIN(AG176,MAX(0,AG8-AG174))</f>
        <v>144</v>
      </c>
      <c r="AH177" s="27" t="n">
        <f aca="false">MIN(AH176,MAX(0,AH8-AH174))</f>
        <v>144</v>
      </c>
      <c r="AI177" s="27" t="n">
        <f aca="false">MIN(AI176,MAX(0,AI8-AI174))</f>
        <v>144</v>
      </c>
      <c r="AJ177" s="27" t="n">
        <f aca="false">MIN(AJ176,MAX(0,AJ8-AJ174))</f>
        <v>144</v>
      </c>
      <c r="AK177" s="27" t="n">
        <f aca="false">MIN(AK176,MAX(0,AK8-AK174))</f>
        <v>144</v>
      </c>
      <c r="AL177" s="27" t="n">
        <f aca="false">MIN(AL176,MAX(0,AL8-AL174))</f>
        <v>144</v>
      </c>
      <c r="AM177" s="27" t="n">
        <f aca="false">MIN(AM176,MAX(0,AM8-AM174))</f>
        <v>144</v>
      </c>
      <c r="AN177" s="27" t="n">
        <f aca="false">MIN(AN176,MAX(0,AN8-AN174))</f>
        <v>144</v>
      </c>
      <c r="AO177" s="27" t="n">
        <f aca="false">MIN(AO176,MAX(0,AO8-AO174))</f>
        <v>144</v>
      </c>
      <c r="AP177" s="27" t="n">
        <f aca="false">MIN(AP176,MAX(0,AP8-AP174))</f>
        <v>144</v>
      </c>
      <c r="AQ177" s="27" t="n">
        <f aca="false">MIN(AQ176,MAX(0,AQ8-AQ174))</f>
        <v>144</v>
      </c>
      <c r="AR177" s="27" t="n">
        <f aca="false">MIN(AR176,MAX(0,AR8-AR174))</f>
        <v>144</v>
      </c>
      <c r="AS177" s="27" t="n">
        <f aca="false">MIN(AS176,MAX(0,AS8-AS174))</f>
        <v>144</v>
      </c>
      <c r="AT177" s="27" t="n">
        <f aca="false">MIN(AT176,MAX(0,AT8-AT174))</f>
        <v>144</v>
      </c>
      <c r="AU177" s="27" t="n">
        <f aca="false">MIN(AU176,MAX(0,AU8-AU174))</f>
        <v>144</v>
      </c>
      <c r="AV177" s="27" t="n">
        <f aca="false">MIN(AV176,MAX(0,AV8-AV174))</f>
        <v>144</v>
      </c>
      <c r="AW177" s="27" t="n">
        <f aca="false">MIN(AW176,MAX(0,AW8-AW174))</f>
        <v>144</v>
      </c>
      <c r="AX177" s="27" t="n">
        <f aca="false">MIN(AX176,MAX(0,AX8-AX174))</f>
        <v>144</v>
      </c>
      <c r="AY177" s="27" t="n">
        <f aca="false">MIN(AY176,MAX(0,AY8-AY174))</f>
        <v>144</v>
      </c>
      <c r="AZ177" s="27" t="n">
        <f aca="false">MIN(AZ176,MAX(0,AZ8-AZ174))</f>
        <v>144</v>
      </c>
      <c r="BA177" s="27" t="n">
        <f aca="false">MIN(BA176,MAX(0,BA8-BA174))</f>
        <v>144</v>
      </c>
      <c r="BB177" s="27" t="n">
        <f aca="false">MIN(BB176,MAX(0,BB8-BB174))</f>
        <v>144</v>
      </c>
      <c r="BC177" s="27" t="n">
        <f aca="false">MIN(BC176,MAX(0,BC8-BC174))</f>
        <v>144</v>
      </c>
      <c r="BD177" s="27" t="n">
        <f aca="false">MIN(BD176,MAX(0,BD8-BD174))</f>
        <v>144</v>
      </c>
      <c r="BE177" s="27" t="n">
        <f aca="false">MIN(BE176,MAX(0,BE8-BE174))</f>
        <v>144</v>
      </c>
      <c r="BF177" s="27" t="n">
        <f aca="false">MIN(BF176,MAX(0,BF8-BF174))</f>
        <v>144</v>
      </c>
      <c r="BG177" s="27" t="n">
        <f aca="false">MIN(BG176,MAX(0,BG8-BG174))</f>
        <v>144</v>
      </c>
      <c r="BH177" s="27" t="n">
        <f aca="false">MIN(BH176,MAX(0,BH8-BH174))</f>
        <v>144</v>
      </c>
      <c r="BI177" s="27" t="n">
        <f aca="false">MIN(BI176,MAX(0,BI8-BI174))</f>
        <v>144</v>
      </c>
      <c r="BJ177" s="27" t="n">
        <f aca="false">MIN(BJ176,MAX(0,BJ8-BJ174))</f>
        <v>144</v>
      </c>
      <c r="BK177" s="27" t="n">
        <f aca="false">MIN(BK176,MAX(0,BK8-BK174))</f>
        <v>144</v>
      </c>
      <c r="BL177" s="27" t="n">
        <f aca="false">MIN(BL176,MAX(0,BL8-BL174))</f>
        <v>144</v>
      </c>
      <c r="BM177" s="27" t="n">
        <f aca="false">MIN(BM176,MAX(0,BM8-BM174))</f>
        <v>144</v>
      </c>
      <c r="BN177" s="27" t="n">
        <f aca="false">MIN(BN176,MAX(0,BN8-BN174))</f>
        <v>144</v>
      </c>
      <c r="BO177" s="27" t="n">
        <f aca="false">MIN(BO176,MAX(0,BO8-BO174))</f>
        <v>144</v>
      </c>
      <c r="BP177" s="27" t="n">
        <f aca="false">MIN(BP176,MAX(0,BP8-BP174))</f>
        <v>144</v>
      </c>
      <c r="BQ177" s="27" t="n">
        <f aca="false">MIN(BQ176,MAX(0,BQ8-BQ174))</f>
        <v>144</v>
      </c>
      <c r="BR177" s="27" t="n">
        <f aca="false">MIN(BR176,MAX(0,BR8-BR174))</f>
        <v>144</v>
      </c>
      <c r="BS177" s="27" t="n">
        <f aca="false">MIN(BS176,MAX(0,BS8-BS174))</f>
        <v>144</v>
      </c>
      <c r="BT177" s="27" t="n">
        <f aca="false">MIN(BT176,MAX(0,BT8-BT174))</f>
        <v>144</v>
      </c>
      <c r="BU177" s="27" t="n">
        <f aca="false">MIN(BU176,MAX(0,BU8-BU174))</f>
        <v>144</v>
      </c>
      <c r="BV177" s="27" t="n">
        <f aca="false">MIN(BV176,MAX(0,BV8-BV174))</f>
        <v>144</v>
      </c>
      <c r="BW177" s="27" t="n">
        <f aca="false">MIN(BW176,MAX(0,BW8-BW174))</f>
        <v>144</v>
      </c>
      <c r="BX177" s="27" t="n">
        <f aca="false">MIN(BX176,MAX(0,BX8-BX174))</f>
        <v>144</v>
      </c>
      <c r="BY177" s="27" t="n">
        <f aca="false">MIN(BY176,MAX(0,BY8-BY174))</f>
        <v>144</v>
      </c>
      <c r="BZ177" s="27" t="n">
        <f aca="false">MIN(BZ176,MAX(0,BZ8-BZ174))</f>
        <v>144</v>
      </c>
      <c r="CA177" s="27" t="n">
        <f aca="false">MIN(CA176,MAX(0,CA8-CA174))</f>
        <v>144</v>
      </c>
      <c r="CB177" s="27" t="n">
        <f aca="false">MIN(CB176,MAX(0,CB8-CB174))</f>
        <v>144</v>
      </c>
      <c r="CC177" s="27" t="n">
        <f aca="false">MIN(CC176,MAX(0,CC8-CC174))</f>
        <v>144</v>
      </c>
      <c r="CD177" s="27" t="n">
        <f aca="false">MIN(CD176,MAX(0,CD8-CD174))</f>
        <v>144</v>
      </c>
      <c r="CE177" s="27" t="n">
        <f aca="false">MIN(CE176,MAX(0,CE8-CE174))</f>
        <v>144</v>
      </c>
      <c r="CF177" s="27" t="n">
        <f aca="false">MIN(CF176,MAX(0,CF8-CF174))</f>
        <v>144</v>
      </c>
      <c r="CG177" s="27" t="n">
        <f aca="false">MIN(CG176,MAX(0,CG8-CG174))</f>
        <v>144</v>
      </c>
      <c r="CH177" s="27" t="n">
        <f aca="false">MIN(CH176,MAX(0,CH8-CH174))</f>
        <v>144</v>
      </c>
    </row>
    <row r="178" customFormat="false" ht="15" hidden="false" customHeight="false" outlineLevel="0" collapsed="false">
      <c r="A178" s="25" t="s">
        <v>839</v>
      </c>
      <c r="C178" s="155" t="n">
        <f aca="false">C177*C172</f>
        <v>8</v>
      </c>
      <c r="D178" s="155" t="n">
        <f aca="false">D177*D172</f>
        <v>16</v>
      </c>
      <c r="E178" s="155" t="n">
        <f aca="false">E177*E172</f>
        <v>24</v>
      </c>
      <c r="F178" s="155" t="n">
        <f aca="false">F177*F172</f>
        <v>32</v>
      </c>
      <c r="G178" s="155" t="n">
        <f aca="false">G177*G172</f>
        <v>6</v>
      </c>
      <c r="H178" s="155" t="n">
        <f aca="false">H177*H172</f>
        <v>48</v>
      </c>
      <c r="I178" s="155" t="n">
        <f aca="false">I177*I172</f>
        <v>56</v>
      </c>
      <c r="J178" s="155" t="n">
        <f aca="false">J177*J172</f>
        <v>64</v>
      </c>
      <c r="K178" s="155" t="n">
        <f aca="false">K177*K172</f>
        <v>72</v>
      </c>
      <c r="L178" s="155" t="n">
        <f aca="false">L177*L172</f>
        <v>80</v>
      </c>
      <c r="M178" s="155" t="n">
        <f aca="false">M177*M172</f>
        <v>88</v>
      </c>
      <c r="N178" s="155" t="n">
        <f aca="false">N177*N172</f>
        <v>96</v>
      </c>
      <c r="O178" s="155" t="n">
        <f aca="false">O177*O172</f>
        <v>104</v>
      </c>
      <c r="P178" s="155" t="n">
        <f aca="false">P177*P172</f>
        <v>112</v>
      </c>
      <c r="Q178" s="155" t="n">
        <f aca="false">Q177*Q172</f>
        <v>120</v>
      </c>
      <c r="R178" s="155" t="n">
        <f aca="false">R177*R172</f>
        <v>128</v>
      </c>
      <c r="S178" s="155" t="n">
        <f aca="false">S177*S172</f>
        <v>20.4</v>
      </c>
      <c r="T178" s="155" t="n">
        <f aca="false">T177*T172</f>
        <v>144</v>
      </c>
      <c r="U178" s="155" t="n">
        <f aca="false">U177*U172</f>
        <v>144</v>
      </c>
      <c r="V178" s="155" t="n">
        <f aca="false">V177*V172</f>
        <v>144</v>
      </c>
      <c r="W178" s="155" t="n">
        <f aca="false">W177*W172</f>
        <v>144</v>
      </c>
      <c r="X178" s="155" t="n">
        <f aca="false">X177*X172</f>
        <v>144</v>
      </c>
      <c r="Y178" s="155" t="n">
        <f aca="false">Y177*Y172</f>
        <v>144</v>
      </c>
      <c r="Z178" s="155" t="n">
        <f aca="false">Z177*Z172</f>
        <v>144</v>
      </c>
      <c r="AA178" s="155" t="n">
        <f aca="false">AA177*AA172</f>
        <v>144</v>
      </c>
      <c r="AB178" s="155" t="n">
        <f aca="false">AB177*AB172</f>
        <v>144</v>
      </c>
      <c r="AC178" s="155" t="n">
        <f aca="false">AC177*AC172</f>
        <v>144</v>
      </c>
      <c r="AD178" s="155" t="n">
        <f aca="false">AD177*AD172</f>
        <v>144</v>
      </c>
      <c r="AE178" s="155" t="n">
        <f aca="false">AE177*AE172</f>
        <v>21.6</v>
      </c>
      <c r="AF178" s="155" t="n">
        <f aca="false">AF177*AF172</f>
        <v>144</v>
      </c>
      <c r="AG178" s="155" t="n">
        <f aca="false">AG177*AG172</f>
        <v>144</v>
      </c>
      <c r="AH178" s="155" t="n">
        <f aca="false">AH177*AH172</f>
        <v>144</v>
      </c>
      <c r="AI178" s="155" t="n">
        <f aca="false">AI177*AI172</f>
        <v>144</v>
      </c>
      <c r="AJ178" s="155" t="n">
        <f aca="false">AJ177*AJ172</f>
        <v>144</v>
      </c>
      <c r="AK178" s="155" t="n">
        <f aca="false">AK177*AK172</f>
        <v>144</v>
      </c>
      <c r="AL178" s="155" t="n">
        <f aca="false">AL177*AL172</f>
        <v>144</v>
      </c>
      <c r="AM178" s="155" t="n">
        <f aca="false">AM177*AM172</f>
        <v>144</v>
      </c>
      <c r="AN178" s="155" t="n">
        <f aca="false">AN177*AN172</f>
        <v>144</v>
      </c>
      <c r="AO178" s="155" t="n">
        <f aca="false">AO177*AO172</f>
        <v>144</v>
      </c>
      <c r="AP178" s="155" t="n">
        <f aca="false">AP177*AP172</f>
        <v>144</v>
      </c>
      <c r="AQ178" s="155" t="n">
        <f aca="false">AQ177*AQ172</f>
        <v>21.6</v>
      </c>
      <c r="AR178" s="155" t="n">
        <f aca="false">AR177*AR172</f>
        <v>144</v>
      </c>
      <c r="AS178" s="155" t="n">
        <f aca="false">AS177*AS172</f>
        <v>144</v>
      </c>
      <c r="AT178" s="155" t="n">
        <f aca="false">AT177*AT172</f>
        <v>144</v>
      </c>
      <c r="AU178" s="155" t="n">
        <f aca="false">AU177*AU172</f>
        <v>144</v>
      </c>
      <c r="AV178" s="155" t="n">
        <f aca="false">AV177*AV172</f>
        <v>144</v>
      </c>
      <c r="AW178" s="155" t="n">
        <f aca="false">AW177*AW172</f>
        <v>144</v>
      </c>
      <c r="AX178" s="155" t="n">
        <f aca="false">AX177*AX172</f>
        <v>144</v>
      </c>
      <c r="AY178" s="155" t="n">
        <f aca="false">AY177*AY172</f>
        <v>144</v>
      </c>
      <c r="AZ178" s="155" t="n">
        <f aca="false">AZ177*AZ172</f>
        <v>144</v>
      </c>
      <c r="BA178" s="155" t="n">
        <f aca="false">BA177*BA172</f>
        <v>144</v>
      </c>
      <c r="BB178" s="155" t="n">
        <f aca="false">BB177*BB172</f>
        <v>144</v>
      </c>
      <c r="BC178" s="155" t="n">
        <f aca="false">BC177*BC172</f>
        <v>21.6</v>
      </c>
      <c r="BD178" s="155" t="n">
        <f aca="false">BD177*BD172</f>
        <v>144</v>
      </c>
      <c r="BE178" s="155" t="n">
        <f aca="false">BE177*BE172</f>
        <v>144</v>
      </c>
      <c r="BF178" s="155" t="n">
        <f aca="false">BF177*BF172</f>
        <v>144</v>
      </c>
      <c r="BG178" s="155" t="n">
        <f aca="false">BG177*BG172</f>
        <v>144</v>
      </c>
      <c r="BH178" s="155" t="n">
        <f aca="false">BH177*BH172</f>
        <v>144</v>
      </c>
      <c r="BI178" s="155" t="n">
        <f aca="false">BI177*BI172</f>
        <v>144</v>
      </c>
      <c r="BJ178" s="155" t="n">
        <f aca="false">BJ177*BJ172</f>
        <v>144</v>
      </c>
      <c r="BK178" s="155" t="n">
        <f aca="false">BK177*BK172</f>
        <v>144</v>
      </c>
      <c r="BL178" s="155" t="n">
        <f aca="false">BL177*BL172</f>
        <v>144</v>
      </c>
      <c r="BM178" s="155" t="n">
        <f aca="false">BM177*BM172</f>
        <v>144</v>
      </c>
      <c r="BN178" s="155" t="n">
        <f aca="false">BN177*BN172</f>
        <v>144</v>
      </c>
      <c r="BO178" s="155" t="n">
        <f aca="false">BO177*BO172</f>
        <v>21.6</v>
      </c>
      <c r="BP178" s="155" t="n">
        <f aca="false">BP177*BP172</f>
        <v>144</v>
      </c>
      <c r="BQ178" s="155" t="n">
        <f aca="false">BQ177*BQ172</f>
        <v>144</v>
      </c>
      <c r="BR178" s="155" t="n">
        <f aca="false">BR177*BR172</f>
        <v>144</v>
      </c>
      <c r="BS178" s="155" t="n">
        <f aca="false">BS177*BS172</f>
        <v>144</v>
      </c>
      <c r="BT178" s="155" t="n">
        <f aca="false">BT177*BT172</f>
        <v>144</v>
      </c>
      <c r="BU178" s="155" t="n">
        <f aca="false">BU177*BU172</f>
        <v>144</v>
      </c>
      <c r="BV178" s="155" t="n">
        <f aca="false">BV177*BV172</f>
        <v>144</v>
      </c>
      <c r="BW178" s="155" t="n">
        <f aca="false">BW177*BW172</f>
        <v>144</v>
      </c>
      <c r="BX178" s="155" t="n">
        <f aca="false">BX177*BX172</f>
        <v>144</v>
      </c>
      <c r="BY178" s="155" t="n">
        <f aca="false">BY177*BY172</f>
        <v>144</v>
      </c>
      <c r="BZ178" s="155" t="n">
        <f aca="false">BZ177*BZ172</f>
        <v>144</v>
      </c>
      <c r="CA178" s="155" t="n">
        <f aca="false">CA177*CA172</f>
        <v>21.6</v>
      </c>
      <c r="CB178" s="155" t="n">
        <f aca="false">CB177*CB172</f>
        <v>144</v>
      </c>
      <c r="CC178" s="155" t="n">
        <f aca="false">CC177*CC172</f>
        <v>144</v>
      </c>
      <c r="CD178" s="155" t="n">
        <f aca="false">CD177*CD172</f>
        <v>144</v>
      </c>
      <c r="CE178" s="155" t="n">
        <f aca="false">CE177*CE172</f>
        <v>144</v>
      </c>
      <c r="CF178" s="155" t="n">
        <f aca="false">CF177*CF172</f>
        <v>144</v>
      </c>
      <c r="CG178" s="155" t="n">
        <f aca="false">CG177*CG172</f>
        <v>144</v>
      </c>
      <c r="CH178" s="155" t="n">
        <f aca="false">CH177*CH172</f>
        <v>144</v>
      </c>
    </row>
    <row r="179" customFormat="false" ht="15" hidden="false" customHeight="false" outlineLevel="0" collapsed="false">
      <c r="A179" s="25" t="s">
        <v>840</v>
      </c>
      <c r="C179" s="155" t="n">
        <f aca="false">C174+C23</f>
        <v>36.1888487795599</v>
      </c>
      <c r="D179" s="155" t="n">
        <f aca="false">D174+D23</f>
        <v>74.1393824720043</v>
      </c>
      <c r="E179" s="155" t="n">
        <f aca="false">E174+E23</f>
        <v>141.037647381903</v>
      </c>
      <c r="F179" s="155" t="n">
        <f aca="false">F174+F23</f>
        <v>171.747063512242</v>
      </c>
      <c r="G179" s="155" t="n">
        <f aca="false">G174+G23</f>
        <v>200.694794729696</v>
      </c>
      <c r="H179" s="155" t="n">
        <f aca="false">H174+H23</f>
        <v>249.828498907285</v>
      </c>
      <c r="I179" s="155" t="n">
        <f aca="false">I174+I23</f>
        <v>298.962203084874</v>
      </c>
      <c r="J179" s="155" t="n">
        <f aca="false">J174+J23</f>
        <v>372.095907262462</v>
      </c>
      <c r="K179" s="155" t="n">
        <f aca="false">K174+K23</f>
        <v>457.229611440051</v>
      </c>
      <c r="L179" s="155" t="n">
        <f aca="false">L174+L23</f>
        <v>542.363315617639</v>
      </c>
      <c r="M179" s="155" t="n">
        <f aca="false">M174+M23</f>
        <v>598.549288577773</v>
      </c>
      <c r="N179" s="155" t="n">
        <f aca="false">N174+N23</f>
        <v>684.096676752648</v>
      </c>
      <c r="O179" s="155" t="n">
        <f aca="false">O174+O23</f>
        <v>769.644064927523</v>
      </c>
      <c r="P179" s="155" t="n">
        <f aca="false">P174+P23</f>
        <v>846.75004622816</v>
      </c>
      <c r="Q179" s="155" t="n">
        <f aca="false">Q174+Q23</f>
        <v>923.856027528796</v>
      </c>
      <c r="R179" s="155" t="n">
        <f aca="false">R174+R23</f>
        <v>1000.96200882943</v>
      </c>
      <c r="S179" s="155" t="n">
        <f aca="false">S174+S23</f>
        <v>1078.06799013007</v>
      </c>
      <c r="T179" s="155" t="n">
        <f aca="false">T174+T23</f>
        <v>1155.17397143071</v>
      </c>
      <c r="U179" s="155" t="n">
        <f aca="false">U174+U23</f>
        <v>1240.27995273134</v>
      </c>
      <c r="V179" s="155" t="n">
        <f aca="false">V174+V23</f>
        <v>1325.38593403198</v>
      </c>
      <c r="W179" s="155" t="n">
        <f aca="false">W174+W23</f>
        <v>1410.49191533262</v>
      </c>
      <c r="X179" s="155" t="n">
        <f aca="false">X174+X23</f>
        <v>1466.23648141851</v>
      </c>
      <c r="Y179" s="155" t="n">
        <f aca="false">Y174+Y23</f>
        <v>1521.98104750441</v>
      </c>
      <c r="Z179" s="155" t="n">
        <f aca="false">Z174+Z23</f>
        <v>1565.98104750441</v>
      </c>
      <c r="AA179" s="155" t="n">
        <f aca="false">AA174+AA23</f>
        <v>1609.98104750441</v>
      </c>
      <c r="AB179" s="155" t="n">
        <f aca="false">AB174+AB23</f>
        <v>1653.98104750441</v>
      </c>
      <c r="AC179" s="155" t="n">
        <f aca="false">AC174+AC23</f>
        <v>1697.98104750441</v>
      </c>
      <c r="AD179" s="155" t="n">
        <f aca="false">AD174+AD23</f>
        <v>1741.98104750441</v>
      </c>
      <c r="AE179" s="155" t="n">
        <f aca="false">AE174+AE23</f>
        <v>1785.98104750441</v>
      </c>
      <c r="AF179" s="155" t="n">
        <f aca="false">AF174+AF23</f>
        <v>1829.98104750441</v>
      </c>
      <c r="AG179" s="155" t="n">
        <f aca="false">AG174+AG23</f>
        <v>1873.98104750441</v>
      </c>
      <c r="AH179" s="155" t="n">
        <f aca="false">AH174+AH23</f>
        <v>1917.98104750441</v>
      </c>
      <c r="AI179" s="155" t="n">
        <f aca="false">AI174+AI23</f>
        <v>1961.98104750441</v>
      </c>
      <c r="AJ179" s="155" t="n">
        <f aca="false">AJ174+AJ23</f>
        <v>2005.98104750441</v>
      </c>
      <c r="AK179" s="155" t="n">
        <f aca="false">AK174+AK23</f>
        <v>2049.98104750441</v>
      </c>
      <c r="AL179" s="155" t="n">
        <f aca="false">AL174+AL23</f>
        <v>2093.98104750441</v>
      </c>
      <c r="AM179" s="155" t="n">
        <f aca="false">AM174+AM23</f>
        <v>2137.98104750441</v>
      </c>
      <c r="AN179" s="155" t="n">
        <f aca="false">AN174+AN23</f>
        <v>2181.98104750441</v>
      </c>
      <c r="AO179" s="155" t="n">
        <f aca="false">AO174+AO23</f>
        <v>2225.98104750441</v>
      </c>
      <c r="AP179" s="155" t="n">
        <f aca="false">AP174+AP23</f>
        <v>2269.98104750441</v>
      </c>
      <c r="AQ179" s="155" t="n">
        <f aca="false">AQ174+AQ23</f>
        <v>2313.98104750441</v>
      </c>
      <c r="AR179" s="155" t="n">
        <f aca="false">AR174+AR23</f>
        <v>2357.98104750441</v>
      </c>
      <c r="AS179" s="155" t="n">
        <f aca="false">AS174+AS23</f>
        <v>2357.98104750441</v>
      </c>
      <c r="AT179" s="155" t="n">
        <f aca="false">AT174+AT23</f>
        <v>2357.98104750441</v>
      </c>
      <c r="AU179" s="155" t="n">
        <f aca="false">AU174+AU23</f>
        <v>2357.98104750441</v>
      </c>
      <c r="AV179" s="155" t="n">
        <f aca="false">AV174+AV23</f>
        <v>2357.98104750441</v>
      </c>
      <c r="AW179" s="155" t="n">
        <f aca="false">AW174+AW23</f>
        <v>2357.98104750441</v>
      </c>
      <c r="AX179" s="155" t="n">
        <f aca="false">AX174+AX23</f>
        <v>2357.98104750441</v>
      </c>
      <c r="AY179" s="155" t="n">
        <f aca="false">AY174+AY23</f>
        <v>2357.98104750441</v>
      </c>
      <c r="AZ179" s="155" t="n">
        <f aca="false">AZ174+AZ23</f>
        <v>2357.98104750441</v>
      </c>
      <c r="BA179" s="155" t="n">
        <f aca="false">BA174+BA23</f>
        <v>2357.98104750441</v>
      </c>
      <c r="BB179" s="155" t="n">
        <f aca="false">BB174+BB23</f>
        <v>2357.98104750441</v>
      </c>
      <c r="BC179" s="155" t="n">
        <f aca="false">BC174+BC23</f>
        <v>2357.98104750441</v>
      </c>
      <c r="BD179" s="155" t="n">
        <f aca="false">BD174+BD23</f>
        <v>2357.98104750441</v>
      </c>
      <c r="BE179" s="155" t="n">
        <f aca="false">BE174+BE23</f>
        <v>2357.98104750441</v>
      </c>
      <c r="BF179" s="155" t="n">
        <f aca="false">BF174+BF23</f>
        <v>2357.98104750441</v>
      </c>
      <c r="BG179" s="155" t="n">
        <f aca="false">BG174+BG23</f>
        <v>2357.98104750441</v>
      </c>
      <c r="BH179" s="155" t="n">
        <f aca="false">BH174+BH23</f>
        <v>2357.98104750441</v>
      </c>
      <c r="BI179" s="155" t="n">
        <f aca="false">BI174+BI23</f>
        <v>2357.98104750441</v>
      </c>
      <c r="BJ179" s="155" t="n">
        <f aca="false">BJ174+BJ23</f>
        <v>2357.98104750441</v>
      </c>
      <c r="BK179" s="155" t="n">
        <f aca="false">BK174+BK23</f>
        <v>2357.98104750441</v>
      </c>
      <c r="BL179" s="155" t="n">
        <f aca="false">BL174+BL23</f>
        <v>2357.98104750441</v>
      </c>
      <c r="BM179" s="155" t="n">
        <f aca="false">BM174+BM23</f>
        <v>2357.98104750441</v>
      </c>
      <c r="BN179" s="155" t="n">
        <f aca="false">BN174+BN23</f>
        <v>2357.98104750441</v>
      </c>
      <c r="BO179" s="155" t="n">
        <f aca="false">BO174+BO23</f>
        <v>2357.98104750441</v>
      </c>
      <c r="BP179" s="155" t="n">
        <f aca="false">BP174+BP23</f>
        <v>2357.98104750441</v>
      </c>
      <c r="BQ179" s="155" t="n">
        <f aca="false">BQ174+BQ23</f>
        <v>2357.98104750441</v>
      </c>
      <c r="BR179" s="155" t="n">
        <f aca="false">BR174+BR23</f>
        <v>2357.98104750441</v>
      </c>
      <c r="BS179" s="155" t="n">
        <f aca="false">BS174+BS23</f>
        <v>2357.98104750441</v>
      </c>
      <c r="BT179" s="155" t="n">
        <f aca="false">BT174+BT23</f>
        <v>2357.98104750441</v>
      </c>
      <c r="BU179" s="155" t="n">
        <f aca="false">BU174+BU23</f>
        <v>2357.98104750441</v>
      </c>
      <c r="BV179" s="155" t="n">
        <f aca="false">BV174+BV23</f>
        <v>2357.98104750441</v>
      </c>
      <c r="BW179" s="155" t="n">
        <f aca="false">BW174+BW23</f>
        <v>2357.98104750441</v>
      </c>
      <c r="BX179" s="155" t="n">
        <f aca="false">BX174+BX23</f>
        <v>2357.98104750441</v>
      </c>
      <c r="BY179" s="155" t="n">
        <f aca="false">BY174+BY23</f>
        <v>2357.98104750441</v>
      </c>
      <c r="BZ179" s="155" t="n">
        <f aca="false">BZ174+BZ23</f>
        <v>2357.98104750441</v>
      </c>
      <c r="CA179" s="155" t="n">
        <f aca="false">CA174+CA23</f>
        <v>2357.98104750441</v>
      </c>
      <c r="CB179" s="155" t="n">
        <f aca="false">CB174+CB23</f>
        <v>2357.98104750441</v>
      </c>
      <c r="CC179" s="155" t="n">
        <f aca="false">CC174+CC23</f>
        <v>2357.98104750441</v>
      </c>
      <c r="CD179" s="155" t="n">
        <f aca="false">CD174+CD23</f>
        <v>2357.98104750441</v>
      </c>
      <c r="CE179" s="155" t="n">
        <f aca="false">CE174+CE23</f>
        <v>2357.98104750441</v>
      </c>
      <c r="CF179" s="155" t="n">
        <f aca="false">CF174+CF23</f>
        <v>2357.98104750441</v>
      </c>
      <c r="CG179" s="155" t="n">
        <f aca="false">CG174+CG23</f>
        <v>2357.98104750441</v>
      </c>
      <c r="CH179" s="155" t="n">
        <f aca="false">CH174+CH23</f>
        <v>2357.98104750441</v>
      </c>
    </row>
    <row r="180" customFormat="false" ht="15" hidden="false" customHeight="false" outlineLevel="0" collapsed="false">
      <c r="A180" s="1" t="s">
        <v>841</v>
      </c>
      <c r="C180" s="26" t="n">
        <f aca="false">IFERROR((C179+C178)/C8,0)</f>
        <v>0.0460300508120416</v>
      </c>
      <c r="D180" s="26" t="n">
        <f aca="false">IFERROR((D179+D178)/D8,0)</f>
        <v>0.0625967933833363</v>
      </c>
      <c r="E180" s="26" t="n">
        <f aca="false">IFERROR((E179+E178)/E8,0)</f>
        <v>0.0859571080114079</v>
      </c>
      <c r="F180" s="26" t="n">
        <f aca="false">IFERROR((F179+F178)/F8,0)</f>
        <v>0.0848946097967675</v>
      </c>
      <c r="G180" s="26" t="n">
        <f aca="false">IFERROR((G179+G178)/G8,0)</f>
        <v>0.0717690259478113</v>
      </c>
      <c r="H180" s="26" t="n">
        <f aca="false">IFERROR((H179+H178)/H8,0)</f>
        <v>0.103412673231696</v>
      </c>
      <c r="I180" s="26" t="n">
        <f aca="false">IFERROR((I179+I178)/I8,0)</f>
        <v>0.123250764960026</v>
      </c>
      <c r="J180" s="26" t="n">
        <f aca="false">IFERROR((J179+J178)/J8,0)</f>
        <v>0.151422190021688</v>
      </c>
      <c r="K180" s="26" t="n">
        <f aca="false">IFERROR((K179+K178)/K8,0)</f>
        <v>0.183760281750018</v>
      </c>
      <c r="L180" s="26" t="n">
        <f aca="false">IFERROR((L179+L178)/L8,0)</f>
        <v>0.216098373478347</v>
      </c>
      <c r="M180" s="26" t="n">
        <f aca="false">IFERROR((M179+M178)/M8,0)</f>
        <v>0.23838516964506</v>
      </c>
      <c r="N180" s="26" t="n">
        <f aca="false">IFERROR((N179+N178)/N8,0)</f>
        <v>0.270866901650225</v>
      </c>
      <c r="O180" s="26" t="n">
        <f aca="false">IFERROR((O179+O178)/O8,0)</f>
        <v>0.30334863365539</v>
      </c>
      <c r="P180" s="26" t="n">
        <f aca="false">IFERROR((P179+P178)/P8,0)</f>
        <v>0.332899321607</v>
      </c>
      <c r="Q180" s="26" t="n">
        <f aca="false">IFERROR((Q179+Q178)/Q8,0)</f>
        <v>0.36245000955861</v>
      </c>
      <c r="R180" s="26" t="n">
        <f aca="false">IFERROR((R179+R178)/R8,0)</f>
        <v>0.39200069751022</v>
      </c>
      <c r="S180" s="26" t="n">
        <f aca="false">IFERROR((S179+S178)/S8,0)</f>
        <v>0.381412496572941</v>
      </c>
      <c r="T180" s="26" t="n">
        <f aca="false">IFERROR((T179+T178)/T8,0)</f>
        <v>0.45110207341344</v>
      </c>
      <c r="U180" s="26" t="n">
        <f aca="false">IFERROR((U179+U178)/U8,0)</f>
        <v>0.48065276136505</v>
      </c>
      <c r="V180" s="26" t="n">
        <f aca="false">IFERROR((V179+V178)/V8,0)</f>
        <v>0.51020344931666</v>
      </c>
      <c r="W180" s="26" t="n">
        <f aca="false">IFERROR((W179+W178)/W8,0)</f>
        <v>0.53975413726827</v>
      </c>
      <c r="X180" s="26" t="n">
        <f aca="false">IFERROR((X179+X178)/X8,0)</f>
        <v>0.559109889381428</v>
      </c>
      <c r="Y180" s="26" t="n">
        <f aca="false">IFERROR((Y179+Y178)/Y8,0)</f>
        <v>0.578465641494587</v>
      </c>
      <c r="Z180" s="26" t="n">
        <f aca="false">IFERROR((Z179+Z178)/Z8,0)</f>
        <v>0.593743419272365</v>
      </c>
      <c r="AA180" s="26" t="n">
        <f aca="false">IFERROR((AA179+AA178)/AA8,0)</f>
        <v>0.609021197050142</v>
      </c>
      <c r="AB180" s="26" t="n">
        <f aca="false">IFERROR((AB179+AB178)/AB8,0)</f>
        <v>0.62429897482792</v>
      </c>
      <c r="AC180" s="26" t="n">
        <f aca="false">IFERROR((AC179+AC178)/AC8,0)</f>
        <v>0.639576752605698</v>
      </c>
      <c r="AD180" s="26" t="n">
        <f aca="false">IFERROR((AD179+AD178)/AD8,0)</f>
        <v>0.654854530383476</v>
      </c>
      <c r="AE180" s="26" t="n">
        <f aca="false">IFERROR((AE179+AE178)/AE8,0)</f>
        <v>0.627632308161253</v>
      </c>
      <c r="AF180" s="26" t="n">
        <f aca="false">IFERROR((AF179+AF178)/AF8,0)</f>
        <v>0.685410085939031</v>
      </c>
      <c r="AG180" s="26" t="n">
        <f aca="false">IFERROR((AG179+AG178)/AG8,0)</f>
        <v>0.700687863716809</v>
      </c>
      <c r="AH180" s="26" t="n">
        <f aca="false">IFERROR((AH179+AH178)/AH8,0)</f>
        <v>0.715965641494587</v>
      </c>
      <c r="AI180" s="26" t="n">
        <f aca="false">IFERROR((AI179+AI178)/AI8,0)</f>
        <v>0.731243419272365</v>
      </c>
      <c r="AJ180" s="26" t="n">
        <f aca="false">IFERROR((AJ179+AJ178)/AJ8,0)</f>
        <v>0.746521197050142</v>
      </c>
      <c r="AK180" s="26" t="n">
        <f aca="false">IFERROR((AK179+AK178)/AK8,0)</f>
        <v>0.76179897482792</v>
      </c>
      <c r="AL180" s="26" t="n">
        <f aca="false">IFERROR((AL179+AL178)/AL8,0)</f>
        <v>0.777076752605698</v>
      </c>
      <c r="AM180" s="26" t="n">
        <f aca="false">IFERROR((AM179+AM178)/AM8,0)</f>
        <v>0.792354530383476</v>
      </c>
      <c r="AN180" s="26" t="n">
        <f aca="false">IFERROR((AN179+AN178)/AN8,0)</f>
        <v>0.807632308161253</v>
      </c>
      <c r="AO180" s="26" t="n">
        <f aca="false">IFERROR((AO179+AO178)/AO8,0)</f>
        <v>0.822910085939031</v>
      </c>
      <c r="AP180" s="26" t="n">
        <f aca="false">IFERROR((AP179+AP178)/AP8,0)</f>
        <v>0.838187863716809</v>
      </c>
      <c r="AQ180" s="26" t="n">
        <f aca="false">IFERROR((AQ179+AQ178)/AQ8,0)</f>
        <v>0.810965641494587</v>
      </c>
      <c r="AR180" s="26" t="n">
        <f aca="false">IFERROR((AR179+AR178)/AR8,0)</f>
        <v>0.868743419272365</v>
      </c>
      <c r="AS180" s="26" t="n">
        <f aca="false">IFERROR((AS179+AS178)/AS8,0)</f>
        <v>0.868743419272365</v>
      </c>
      <c r="AT180" s="26" t="n">
        <f aca="false">IFERROR((AT179+AT178)/AT8,0)</f>
        <v>0.868743419272365</v>
      </c>
      <c r="AU180" s="26" t="n">
        <f aca="false">IFERROR((AU179+AU178)/AU8,0)</f>
        <v>0.868743419272365</v>
      </c>
      <c r="AV180" s="26" t="n">
        <f aca="false">IFERROR((AV179+AV178)/AV8,0)</f>
        <v>0.868743419272365</v>
      </c>
      <c r="AW180" s="26" t="n">
        <f aca="false">IFERROR((AW179+AW178)/AW8,0)</f>
        <v>0.868743419272365</v>
      </c>
      <c r="AX180" s="26" t="n">
        <f aca="false">IFERROR((AX179+AX178)/AX8,0)</f>
        <v>0.868743419272365</v>
      </c>
      <c r="AY180" s="26" t="n">
        <f aca="false">IFERROR((AY179+AY178)/AY8,0)</f>
        <v>0.868743419272365</v>
      </c>
      <c r="AZ180" s="26" t="n">
        <f aca="false">IFERROR((AZ179+AZ178)/AZ8,0)</f>
        <v>0.868743419272365</v>
      </c>
      <c r="BA180" s="26" t="n">
        <f aca="false">IFERROR((BA179+BA178)/BA8,0)</f>
        <v>0.868743419272365</v>
      </c>
      <c r="BB180" s="26" t="n">
        <f aca="false">IFERROR((BB179+BB178)/BB8,0)</f>
        <v>0.868743419272365</v>
      </c>
      <c r="BC180" s="26" t="n">
        <f aca="false">IFERROR((BC179+BC178)/BC8,0)</f>
        <v>0.826243419272365</v>
      </c>
      <c r="BD180" s="26" t="n">
        <f aca="false">IFERROR((BD179+BD178)/BD8,0)</f>
        <v>0.868743419272365</v>
      </c>
      <c r="BE180" s="26" t="n">
        <f aca="false">IFERROR((BE179+BE178)/BE8,0)</f>
        <v>0.868743419272365</v>
      </c>
      <c r="BF180" s="26" t="n">
        <f aca="false">IFERROR((BF179+BF178)/BF8,0)</f>
        <v>0.868743419272365</v>
      </c>
      <c r="BG180" s="26" t="n">
        <f aca="false">IFERROR((BG179+BG178)/BG8,0)</f>
        <v>0.868743419272365</v>
      </c>
      <c r="BH180" s="26" t="n">
        <f aca="false">IFERROR((BH179+BH178)/BH8,0)</f>
        <v>0.868743419272365</v>
      </c>
      <c r="BI180" s="26" t="n">
        <f aca="false">IFERROR((BI179+BI178)/BI8,0)</f>
        <v>0.868743419272365</v>
      </c>
      <c r="BJ180" s="26" t="n">
        <f aca="false">IFERROR((BJ179+BJ178)/BJ8,0)</f>
        <v>0.868743419272365</v>
      </c>
      <c r="BK180" s="26" t="n">
        <f aca="false">IFERROR((BK179+BK178)/BK8,0)</f>
        <v>0.868743419272365</v>
      </c>
      <c r="BL180" s="26" t="n">
        <f aca="false">IFERROR((BL179+BL178)/BL8,0)</f>
        <v>0.868743419272365</v>
      </c>
      <c r="BM180" s="26" t="n">
        <f aca="false">IFERROR((BM179+BM178)/BM8,0)</f>
        <v>0.868743419272365</v>
      </c>
      <c r="BN180" s="26" t="n">
        <f aca="false">IFERROR((BN179+BN178)/BN8,0)</f>
        <v>0.868743419272365</v>
      </c>
      <c r="BO180" s="26" t="n">
        <f aca="false">IFERROR((BO179+BO178)/BO8,0)</f>
        <v>0.826243419272365</v>
      </c>
      <c r="BP180" s="26" t="n">
        <f aca="false">IFERROR((BP179+BP178)/BP8,0)</f>
        <v>0.868743419272365</v>
      </c>
      <c r="BQ180" s="26" t="n">
        <f aca="false">IFERROR((BQ179+BQ178)/BQ8,0)</f>
        <v>0.868743419272365</v>
      </c>
      <c r="BR180" s="26" t="n">
        <f aca="false">IFERROR((BR179+BR178)/BR8,0)</f>
        <v>0.868743419272365</v>
      </c>
      <c r="BS180" s="26" t="n">
        <f aca="false">IFERROR((BS179+BS178)/BS8,0)</f>
        <v>0.868743419272365</v>
      </c>
      <c r="BT180" s="26" t="n">
        <f aca="false">IFERROR((BT179+BT178)/BT8,0)</f>
        <v>0.868743419272365</v>
      </c>
      <c r="BU180" s="26" t="n">
        <f aca="false">IFERROR((BU179+BU178)/BU8,0)</f>
        <v>0.868743419272365</v>
      </c>
      <c r="BV180" s="26" t="n">
        <f aca="false">IFERROR((BV179+BV178)/BV8,0)</f>
        <v>0.868743419272365</v>
      </c>
      <c r="BW180" s="26" t="n">
        <f aca="false">IFERROR((BW179+BW178)/BW8,0)</f>
        <v>0.868743419272365</v>
      </c>
      <c r="BX180" s="26" t="n">
        <f aca="false">IFERROR((BX179+BX178)/BX8,0)</f>
        <v>0.868743419272365</v>
      </c>
      <c r="BY180" s="26" t="n">
        <f aca="false">IFERROR((BY179+BY178)/BY8,0)</f>
        <v>0.868743419272365</v>
      </c>
      <c r="BZ180" s="26" t="n">
        <f aca="false">IFERROR((BZ179+BZ178)/BZ8,0)</f>
        <v>0.868743419272365</v>
      </c>
      <c r="CA180" s="26" t="n">
        <f aca="false">IFERROR((CA179+CA178)/CA8,0)</f>
        <v>0.826243419272365</v>
      </c>
      <c r="CB180" s="26" t="n">
        <f aca="false">IFERROR((CB179+CB178)/CB8,0)</f>
        <v>0.868743419272365</v>
      </c>
      <c r="CC180" s="26" t="n">
        <f aca="false">IFERROR((CC179+CC178)/CC8,0)</f>
        <v>0.868743419272365</v>
      </c>
      <c r="CD180" s="26" t="n">
        <f aca="false">IFERROR((CD179+CD178)/CD8,0)</f>
        <v>0.868743419272365</v>
      </c>
      <c r="CE180" s="26" t="n">
        <f aca="false">IFERROR((CE179+CE178)/CE8,0)</f>
        <v>0.868743419272365</v>
      </c>
      <c r="CF180" s="26" t="n">
        <f aca="false">IFERROR((CF179+CF178)/CF8,0)</f>
        <v>0.868743419272365</v>
      </c>
      <c r="CG180" s="26" t="n">
        <f aca="false">IFERROR((CG179+CG178)/CG8,0)</f>
        <v>0.868743419272365</v>
      </c>
      <c r="CH180" s="26" t="n">
        <f aca="false">IFERROR((CH179+CH178)/CH8,0)</f>
        <v>0.868743419272365</v>
      </c>
    </row>
    <row r="181" customFormat="false" ht="15" hidden="false" customHeight="false" outlineLevel="0" collapsed="false">
      <c r="A181" s="1" t="s">
        <v>842</v>
      </c>
      <c r="C181" s="27" t="n">
        <f aca="false">C178*Hipótesis!$E$23</f>
        <v>10.5409178918919</v>
      </c>
      <c r="D181" s="27" t="n">
        <f aca="false">D178*Hipótesis!$E$23</f>
        <v>21.0818357837838</v>
      </c>
      <c r="E181" s="27" t="n">
        <f aca="false">E178*Hipótesis!$E$23</f>
        <v>31.6227536756757</v>
      </c>
      <c r="F181" s="27" t="n">
        <f aca="false">F178*Hipótesis!$E$23</f>
        <v>42.1636715675676</v>
      </c>
      <c r="G181" s="27" t="n">
        <f aca="false">G178*Hipótesis!$E$23</f>
        <v>7.90568841891892</v>
      </c>
      <c r="H181" s="27" t="n">
        <f aca="false">H178*Hipótesis!$E$23</f>
        <v>63.2455073513514</v>
      </c>
      <c r="I181" s="27" t="n">
        <f aca="false">I178*Hipótesis!$E$23</f>
        <v>73.7864252432433</v>
      </c>
      <c r="J181" s="27" t="n">
        <f aca="false">J178*Hipótesis!$E$23</f>
        <v>84.3273431351352</v>
      </c>
      <c r="K181" s="27" t="n">
        <f aca="false">K178*Hipótesis!$E$23</f>
        <v>94.8682610270271</v>
      </c>
      <c r="L181" s="27" t="n">
        <f aca="false">L178*Hipótesis!$E$23</f>
        <v>105.409178918919</v>
      </c>
      <c r="M181" s="27" t="n">
        <f aca="false">M178*Hipótesis!$E$23</f>
        <v>115.950096810811</v>
      </c>
      <c r="N181" s="27" t="n">
        <f aca="false">N178*Hipótesis!$E$23</f>
        <v>126.491014702703</v>
      </c>
      <c r="O181" s="27" t="n">
        <f aca="false">O178*Hipótesis!$E$23</f>
        <v>137.031932594595</v>
      </c>
      <c r="P181" s="27" t="n">
        <f aca="false">P178*Hipótesis!$E$23</f>
        <v>147.572850486487</v>
      </c>
      <c r="Q181" s="27" t="n">
        <f aca="false">Q178*Hipótesis!$E$23</f>
        <v>158.113768378378</v>
      </c>
      <c r="R181" s="27" t="n">
        <f aca="false">R178*Hipótesis!$E$23</f>
        <v>168.65468627027</v>
      </c>
      <c r="S181" s="27" t="n">
        <f aca="false">S178*Hipótesis!$E$23</f>
        <v>26.8793406243243</v>
      </c>
      <c r="T181" s="27" t="n">
        <f aca="false">T178*Hipótesis!$E$23</f>
        <v>189.736522054054</v>
      </c>
      <c r="U181" s="27" t="n">
        <f aca="false">U178*Hipótesis!$E$23</f>
        <v>189.736522054054</v>
      </c>
      <c r="V181" s="27" t="n">
        <f aca="false">V178*Hipótesis!$E$23</f>
        <v>189.736522054054</v>
      </c>
      <c r="W181" s="27" t="n">
        <f aca="false">W178*Hipótesis!$E$23</f>
        <v>189.736522054054</v>
      </c>
      <c r="X181" s="27" t="n">
        <f aca="false">X178*Hipótesis!$E$23</f>
        <v>189.736522054054</v>
      </c>
      <c r="Y181" s="27" t="n">
        <f aca="false">Y178*Hipótesis!$E$23</f>
        <v>189.736522054054</v>
      </c>
      <c r="Z181" s="27" t="n">
        <f aca="false">Z178*Hipótesis!$E$23</f>
        <v>189.736522054054</v>
      </c>
      <c r="AA181" s="27" t="n">
        <f aca="false">AA178*Hipótesis!$E$23</f>
        <v>189.736522054054</v>
      </c>
      <c r="AB181" s="27" t="n">
        <f aca="false">AB178*Hipótesis!$E$23</f>
        <v>189.736522054054</v>
      </c>
      <c r="AC181" s="27" t="n">
        <f aca="false">AC178*Hipótesis!$E$23</f>
        <v>189.736522054054</v>
      </c>
      <c r="AD181" s="27" t="n">
        <f aca="false">AD178*Hipótesis!$E$23</f>
        <v>189.736522054054</v>
      </c>
      <c r="AE181" s="27" t="n">
        <f aca="false">AE178*Hipótesis!$E$23</f>
        <v>28.4604783081081</v>
      </c>
      <c r="AF181" s="27" t="n">
        <f aca="false">AF178*Hipótesis!$E$23</f>
        <v>189.736522054054</v>
      </c>
      <c r="AG181" s="27" t="n">
        <f aca="false">AG178*Hipótesis!$E$23</f>
        <v>189.736522054054</v>
      </c>
      <c r="AH181" s="27" t="n">
        <f aca="false">AH178*Hipótesis!$E$23</f>
        <v>189.736522054054</v>
      </c>
      <c r="AI181" s="27" t="n">
        <f aca="false">AI178*Hipótesis!$E$23</f>
        <v>189.736522054054</v>
      </c>
      <c r="AJ181" s="27" t="n">
        <f aca="false">AJ178*Hipótesis!$E$23</f>
        <v>189.736522054054</v>
      </c>
      <c r="AK181" s="27" t="n">
        <f aca="false">AK178*Hipótesis!$E$23</f>
        <v>189.736522054054</v>
      </c>
      <c r="AL181" s="27" t="n">
        <f aca="false">AL178*Hipótesis!$E$23</f>
        <v>189.736522054054</v>
      </c>
      <c r="AM181" s="27" t="n">
        <f aca="false">AM178*Hipótesis!$E$23</f>
        <v>189.736522054054</v>
      </c>
      <c r="AN181" s="27" t="n">
        <f aca="false">AN178*Hipótesis!$E$23</f>
        <v>189.736522054054</v>
      </c>
      <c r="AO181" s="27" t="n">
        <f aca="false">AO178*Hipótesis!$E$23</f>
        <v>189.736522054054</v>
      </c>
      <c r="AP181" s="27" t="n">
        <f aca="false">AP178*Hipótesis!$E$23</f>
        <v>189.736522054054</v>
      </c>
      <c r="AQ181" s="27" t="n">
        <f aca="false">AQ178*Hipótesis!$E$23</f>
        <v>28.4604783081081</v>
      </c>
      <c r="AR181" s="27" t="n">
        <f aca="false">AR178*Hipótesis!$E$23</f>
        <v>189.736522054054</v>
      </c>
      <c r="AS181" s="27" t="n">
        <f aca="false">AS178*Hipótesis!$E$23</f>
        <v>189.736522054054</v>
      </c>
      <c r="AT181" s="27" t="n">
        <f aca="false">AT178*Hipótesis!$E$23</f>
        <v>189.736522054054</v>
      </c>
      <c r="AU181" s="27" t="n">
        <f aca="false">AU178*Hipótesis!$E$23</f>
        <v>189.736522054054</v>
      </c>
      <c r="AV181" s="27" t="n">
        <f aca="false">AV178*Hipótesis!$E$23</f>
        <v>189.736522054054</v>
      </c>
      <c r="AW181" s="27" t="n">
        <f aca="false">AW178*Hipótesis!$E$23</f>
        <v>189.736522054054</v>
      </c>
      <c r="AX181" s="27" t="n">
        <f aca="false">AX178*Hipótesis!$E$23</f>
        <v>189.736522054054</v>
      </c>
      <c r="AY181" s="27" t="n">
        <f aca="false">AY178*Hipótesis!$E$23</f>
        <v>189.736522054054</v>
      </c>
      <c r="AZ181" s="27" t="n">
        <f aca="false">AZ178*Hipótesis!$E$23</f>
        <v>189.736522054054</v>
      </c>
      <c r="BA181" s="27" t="n">
        <f aca="false">BA178*Hipótesis!$E$23</f>
        <v>189.736522054054</v>
      </c>
      <c r="BB181" s="27" t="n">
        <f aca="false">BB178*Hipótesis!$E$23</f>
        <v>189.736522054054</v>
      </c>
      <c r="BC181" s="27" t="n">
        <f aca="false">BC178*Hipótesis!$E$23</f>
        <v>28.4604783081081</v>
      </c>
      <c r="BD181" s="27" t="n">
        <f aca="false">BD178*Hipótesis!$E$23</f>
        <v>189.736522054054</v>
      </c>
      <c r="BE181" s="27" t="n">
        <f aca="false">BE178*Hipótesis!$E$23</f>
        <v>189.736522054054</v>
      </c>
      <c r="BF181" s="27" t="n">
        <f aca="false">BF178*Hipótesis!$E$23</f>
        <v>189.736522054054</v>
      </c>
      <c r="BG181" s="27" t="n">
        <f aca="false">BG178*Hipótesis!$E$23</f>
        <v>189.736522054054</v>
      </c>
      <c r="BH181" s="27" t="n">
        <f aca="false">BH178*Hipótesis!$E$23</f>
        <v>189.736522054054</v>
      </c>
      <c r="BI181" s="27" t="n">
        <f aca="false">BI178*Hipótesis!$E$23</f>
        <v>189.736522054054</v>
      </c>
      <c r="BJ181" s="27" t="n">
        <f aca="false">BJ178*Hipótesis!$E$23</f>
        <v>189.736522054054</v>
      </c>
      <c r="BK181" s="27" t="n">
        <f aca="false">BK178*Hipótesis!$E$23</f>
        <v>189.736522054054</v>
      </c>
      <c r="BL181" s="27" t="n">
        <f aca="false">BL178*Hipótesis!$E$23</f>
        <v>189.736522054054</v>
      </c>
      <c r="BM181" s="27" t="n">
        <f aca="false">BM178*Hipótesis!$E$23</f>
        <v>189.736522054054</v>
      </c>
      <c r="BN181" s="27" t="n">
        <f aca="false">BN178*Hipótesis!$E$23</f>
        <v>189.736522054054</v>
      </c>
      <c r="BO181" s="27" t="n">
        <f aca="false">BO178*Hipótesis!$E$23</f>
        <v>28.4604783081081</v>
      </c>
      <c r="BP181" s="27" t="n">
        <f aca="false">BP178*Hipótesis!$E$23</f>
        <v>189.736522054054</v>
      </c>
      <c r="BQ181" s="27" t="n">
        <f aca="false">BQ178*Hipótesis!$E$23</f>
        <v>189.736522054054</v>
      </c>
      <c r="BR181" s="27" t="n">
        <f aca="false">BR178*Hipótesis!$E$23</f>
        <v>189.736522054054</v>
      </c>
      <c r="BS181" s="27" t="n">
        <f aca="false">BS178*Hipótesis!$E$23</f>
        <v>189.736522054054</v>
      </c>
      <c r="BT181" s="27" t="n">
        <f aca="false">BT178*Hipótesis!$E$23</f>
        <v>189.736522054054</v>
      </c>
      <c r="BU181" s="27" t="n">
        <f aca="false">BU178*Hipótesis!$E$23</f>
        <v>189.736522054054</v>
      </c>
      <c r="BV181" s="27" t="n">
        <f aca="false">BV178*Hipótesis!$E$23</f>
        <v>189.736522054054</v>
      </c>
      <c r="BW181" s="27" t="n">
        <f aca="false">BW178*Hipótesis!$E$23</f>
        <v>189.736522054054</v>
      </c>
      <c r="BX181" s="27" t="n">
        <f aca="false">BX178*Hipótesis!$E$23</f>
        <v>189.736522054054</v>
      </c>
      <c r="BY181" s="27" t="n">
        <f aca="false">BY178*Hipótesis!$E$23</f>
        <v>189.736522054054</v>
      </c>
      <c r="BZ181" s="27" t="n">
        <f aca="false">BZ178*Hipótesis!$E$23</f>
        <v>189.736522054054</v>
      </c>
      <c r="CA181" s="27" t="n">
        <f aca="false">CA178*Hipótesis!$E$23</f>
        <v>28.4604783081081</v>
      </c>
      <c r="CB181" s="27" t="n">
        <f aca="false">CB178*Hipótesis!$E$23</f>
        <v>189.736522054054</v>
      </c>
      <c r="CC181" s="27" t="n">
        <f aca="false">CC178*Hipótesis!$E$23</f>
        <v>189.736522054054</v>
      </c>
      <c r="CD181" s="27" t="n">
        <f aca="false">CD178*Hipótesis!$E$23</f>
        <v>189.736522054054</v>
      </c>
      <c r="CE181" s="27" t="n">
        <f aca="false">CE178*Hipótesis!$E$23</f>
        <v>189.736522054054</v>
      </c>
      <c r="CF181" s="27" t="n">
        <f aca="false">CF178*Hipótesis!$E$23</f>
        <v>189.736522054054</v>
      </c>
      <c r="CG181" s="27" t="n">
        <f aca="false">CG178*Hipótesis!$E$23</f>
        <v>189.736522054054</v>
      </c>
      <c r="CH181" s="27" t="n">
        <f aca="false">CH178*Hipótesis!$E$23</f>
        <v>189.736522054054</v>
      </c>
    </row>
    <row r="182" customFormat="false" ht="15" hidden="false" customHeight="false" outlineLevel="0" collapsed="false">
      <c r="A182" s="1" t="s">
        <v>843</v>
      </c>
      <c r="C182" s="27" t="n">
        <f aca="false">C20*C21+C23*Hipótesis!$E$23</f>
        <v>12.3975</v>
      </c>
      <c r="D182" s="27" t="n">
        <f aca="false">D20*D21+D23*Hipótesis!$E$23</f>
        <v>27.405</v>
      </c>
      <c r="E182" s="27" t="n">
        <f aca="false">E20*E21+E23*Hipótesis!$E$23</f>
        <v>75.69</v>
      </c>
      <c r="F182" s="27" t="n">
        <f aca="false">F20*F21+F23*Hipótesis!$E$23</f>
        <v>111.5775</v>
      </c>
      <c r="G182" s="27" t="n">
        <f aca="false">G20*G21+G23*Hipótesis!$E$23</f>
        <v>144.855</v>
      </c>
      <c r="H182" s="27" t="n">
        <f aca="false">H20*H21+H23*Hipótesis!$E$23</f>
        <v>208.03875</v>
      </c>
      <c r="I182" s="27" t="n">
        <f aca="false">I20*I21+I23*Hipótesis!$E$23</f>
        <v>271.2225</v>
      </c>
      <c r="J182" s="27" t="n">
        <f aca="false">J20*J21+J23*Hipótesis!$E$23</f>
        <v>366.029003675676</v>
      </c>
      <c r="K182" s="27" t="n">
        <f aca="false">K20*K21+K23*Hipótesis!$E$23</f>
        <v>476.646884189189</v>
      </c>
      <c r="L182" s="27" t="n">
        <f aca="false">L20*L21+L23*Hipótesis!$E$23</f>
        <v>587.264764702703</v>
      </c>
      <c r="M182" s="27" t="n">
        <f aca="false">M20*M21+M23*Hipótesis!$E$23</f>
        <v>664.605145216216</v>
      </c>
      <c r="N182" s="27" t="n">
        <f aca="false">N20*N21+N23*Hipótesis!$E$23</f>
        <v>785.44552572973</v>
      </c>
      <c r="O182" s="27" t="n">
        <f aca="false">O20*O21+O23*Hipótesis!$E$23</f>
        <v>906.285906243243</v>
      </c>
      <c r="P182" s="27" t="n">
        <f aca="false">P20*P21+P23*Hipótesis!$E$23</f>
        <v>1014.62003675676</v>
      </c>
      <c r="Q182" s="27" t="n">
        <f aca="false">Q20*Q21+Q23*Hipótesis!$E$23</f>
        <v>1122.95416727027</v>
      </c>
      <c r="R182" s="27" t="n">
        <f aca="false">R20*R21+R23*Hipótesis!$E$23</f>
        <v>1231.28829778378</v>
      </c>
      <c r="S182" s="27" t="n">
        <f aca="false">S20*S21+S23*Hipótesis!$E$23</f>
        <v>1339.6224282973</v>
      </c>
      <c r="T182" s="27" t="n">
        <f aca="false">T20*T21+T23*Hipótesis!$E$23</f>
        <v>1447.95655881081</v>
      </c>
      <c r="U182" s="27" t="n">
        <f aca="false">U20*U21+U23*Hipótesis!$E$23</f>
        <v>1566.83160721622</v>
      </c>
      <c r="V182" s="27" t="n">
        <f aca="false">V20*V21+V23*Hipótesis!$E$23</f>
        <v>1685.70665562162</v>
      </c>
      <c r="W182" s="27" t="n">
        <f aca="false">W20*W21+W23*Hipótesis!$E$23</f>
        <v>1804.58170402703</v>
      </c>
      <c r="X182" s="27" t="n">
        <f aca="false">X20*X21+X23*Hipótesis!$E$23</f>
        <v>1879.95675243243</v>
      </c>
      <c r="Y182" s="27" t="n">
        <f aca="false">Y20*Y21+Y23*Hipótesis!$E$23</f>
        <v>1955.33180083784</v>
      </c>
      <c r="Z182" s="27" t="n">
        <f aca="false">Z20*Z21+Z23*Hipótesis!$E$23</f>
        <v>2013.30684924324</v>
      </c>
      <c r="AA182" s="27" t="n">
        <f aca="false">AA20*AA21+AA23*Hipótesis!$E$23</f>
        <v>2071.28189764865</v>
      </c>
      <c r="AB182" s="27" t="n">
        <f aca="false">AB20*AB21+AB23*Hipótesis!$E$23</f>
        <v>2129.25694605405</v>
      </c>
      <c r="AC182" s="27" t="n">
        <f aca="false">AC20*AC21+AC23*Hipótesis!$E$23</f>
        <v>2187.23199445946</v>
      </c>
      <c r="AD182" s="27" t="n">
        <f aca="false">AD20*AD21+AD23*Hipótesis!$E$23</f>
        <v>2245.20704286487</v>
      </c>
      <c r="AE182" s="27" t="n">
        <f aca="false">AE20*AE21+AE23*Hipótesis!$E$23</f>
        <v>2303.18209127027</v>
      </c>
      <c r="AF182" s="27" t="n">
        <f aca="false">AF20*AF21+AF23*Hipótesis!$E$23</f>
        <v>2361.15713967568</v>
      </c>
      <c r="AG182" s="27" t="n">
        <f aca="false">AG20*AG21+AG23*Hipótesis!$E$23</f>
        <v>2419.13218808108</v>
      </c>
      <c r="AH182" s="27" t="n">
        <f aca="false">AH20*AH21+AH23*Hipótesis!$E$23</f>
        <v>2477.10723648649</v>
      </c>
      <c r="AI182" s="27" t="n">
        <f aca="false">AI20*AI21+AI23*Hipótesis!$E$23</f>
        <v>2535.08228489189</v>
      </c>
      <c r="AJ182" s="27" t="n">
        <f aca="false">AJ20*AJ21+AJ23*Hipótesis!$E$23</f>
        <v>2593.0573332973</v>
      </c>
      <c r="AK182" s="27" t="n">
        <f aca="false">AK20*AK21+AK23*Hipótesis!$E$23</f>
        <v>2651.0323817027</v>
      </c>
      <c r="AL182" s="27" t="n">
        <f aca="false">AL20*AL21+AL23*Hipótesis!$E$23</f>
        <v>2709.00743010811</v>
      </c>
      <c r="AM182" s="27" t="n">
        <f aca="false">AM20*AM21+AM23*Hipótesis!$E$23</f>
        <v>2766.98247851351</v>
      </c>
      <c r="AN182" s="27" t="n">
        <f aca="false">AN20*AN21+AN23*Hipótesis!$E$23</f>
        <v>2824.95752691892</v>
      </c>
      <c r="AO182" s="27" t="n">
        <f aca="false">AO20*AO21+AO23*Hipótesis!$E$23</f>
        <v>2882.93257532432</v>
      </c>
      <c r="AP182" s="27" t="n">
        <f aca="false">AP20*AP21+AP23*Hipótesis!$E$23</f>
        <v>2940.90762372973</v>
      </c>
      <c r="AQ182" s="27" t="n">
        <f aca="false">AQ20*AQ21+AQ23*Hipótesis!$E$23</f>
        <v>2998.88267213514</v>
      </c>
      <c r="AR182" s="27" t="n">
        <f aca="false">AR20*AR21+AR23*Hipótesis!$E$23</f>
        <v>3056.85772054054</v>
      </c>
      <c r="AS182" s="27" t="n">
        <f aca="false">AS20*AS21+AS23*Hipótesis!$E$23</f>
        <v>3056.85772054054</v>
      </c>
      <c r="AT182" s="27" t="n">
        <f aca="false">AT20*AT21+AT23*Hipótesis!$E$23</f>
        <v>3056.85772054054</v>
      </c>
      <c r="AU182" s="27" t="n">
        <f aca="false">AU20*AU21+AU23*Hipótesis!$E$23</f>
        <v>3056.85772054054</v>
      </c>
      <c r="AV182" s="27" t="n">
        <f aca="false">AV20*AV21+AV23*Hipótesis!$E$23</f>
        <v>3056.85772054054</v>
      </c>
      <c r="AW182" s="27" t="n">
        <f aca="false">AW20*AW21+AW23*Hipótesis!$E$23</f>
        <v>3056.85772054054</v>
      </c>
      <c r="AX182" s="27" t="n">
        <f aca="false">AX20*AX21+AX23*Hipótesis!$E$23</f>
        <v>3056.85772054054</v>
      </c>
      <c r="AY182" s="27" t="n">
        <f aca="false">AY20*AY21+AY23*Hipótesis!$E$23</f>
        <v>3056.85772054054</v>
      </c>
      <c r="AZ182" s="27" t="n">
        <f aca="false">AZ20*AZ21+AZ23*Hipótesis!$E$23</f>
        <v>3056.85772054054</v>
      </c>
      <c r="BA182" s="27" t="n">
        <f aca="false">BA20*BA21+BA23*Hipótesis!$E$23</f>
        <v>3056.85772054054</v>
      </c>
      <c r="BB182" s="27" t="n">
        <f aca="false">BB20*BB21+BB23*Hipótesis!$E$23</f>
        <v>3056.85772054054</v>
      </c>
      <c r="BC182" s="27" t="n">
        <f aca="false">BC20*BC21+BC23*Hipótesis!$E$23</f>
        <v>3056.85772054054</v>
      </c>
      <c r="BD182" s="27" t="n">
        <f aca="false">BD20*BD21+BD23*Hipótesis!$E$23</f>
        <v>3056.85772054054</v>
      </c>
      <c r="BE182" s="27" t="n">
        <f aca="false">BE20*BE21+BE23*Hipótesis!$E$23</f>
        <v>3056.85772054054</v>
      </c>
      <c r="BF182" s="27" t="n">
        <f aca="false">BF20*BF21+BF23*Hipótesis!$E$23</f>
        <v>3056.85772054054</v>
      </c>
      <c r="BG182" s="27" t="n">
        <f aca="false">BG20*BG21+BG23*Hipótesis!$E$23</f>
        <v>3056.85772054054</v>
      </c>
      <c r="BH182" s="27" t="n">
        <f aca="false">BH20*BH21+BH23*Hipótesis!$E$23</f>
        <v>3056.85772054054</v>
      </c>
      <c r="BI182" s="27" t="n">
        <f aca="false">BI20*BI21+BI23*Hipótesis!$E$23</f>
        <v>3056.85772054054</v>
      </c>
      <c r="BJ182" s="27" t="n">
        <f aca="false">BJ20*BJ21+BJ23*Hipótesis!$E$23</f>
        <v>3056.85772054054</v>
      </c>
      <c r="BK182" s="27" t="n">
        <f aca="false">BK20*BK21+BK23*Hipótesis!$E$23</f>
        <v>3056.85772054054</v>
      </c>
      <c r="BL182" s="27" t="n">
        <f aca="false">BL20*BL21+BL23*Hipótesis!$E$23</f>
        <v>3056.85772054054</v>
      </c>
      <c r="BM182" s="27" t="n">
        <f aca="false">BM20*BM21+BM23*Hipótesis!$E$23</f>
        <v>3056.85772054054</v>
      </c>
      <c r="BN182" s="27" t="n">
        <f aca="false">BN20*BN21+BN23*Hipótesis!$E$23</f>
        <v>3056.85772054054</v>
      </c>
      <c r="BO182" s="27" t="n">
        <f aca="false">BO20*BO21+BO23*Hipótesis!$E$23</f>
        <v>3056.85772054054</v>
      </c>
      <c r="BP182" s="27" t="n">
        <f aca="false">BP20*BP21+BP23*Hipótesis!$E$23</f>
        <v>3056.85772054054</v>
      </c>
      <c r="BQ182" s="27" t="n">
        <f aca="false">BQ20*BQ21+BQ23*Hipótesis!$E$23</f>
        <v>3056.85772054054</v>
      </c>
      <c r="BR182" s="27" t="n">
        <f aca="false">BR20*BR21+BR23*Hipótesis!$E$23</f>
        <v>3056.85772054054</v>
      </c>
      <c r="BS182" s="27" t="n">
        <f aca="false">BS20*BS21+BS23*Hipótesis!$E$23</f>
        <v>3056.85772054054</v>
      </c>
      <c r="BT182" s="27" t="n">
        <f aca="false">BT20*BT21+BT23*Hipótesis!$E$23</f>
        <v>3056.85772054054</v>
      </c>
      <c r="BU182" s="27" t="n">
        <f aca="false">BU20*BU21+BU23*Hipótesis!$E$23</f>
        <v>3056.85772054054</v>
      </c>
      <c r="BV182" s="27" t="n">
        <f aca="false">BV20*BV21+BV23*Hipótesis!$E$23</f>
        <v>3056.85772054054</v>
      </c>
      <c r="BW182" s="27" t="n">
        <f aca="false">BW20*BW21+BW23*Hipótesis!$E$23</f>
        <v>3056.85772054054</v>
      </c>
      <c r="BX182" s="27" t="n">
        <f aca="false">BX20*BX21+BX23*Hipótesis!$E$23</f>
        <v>3056.85772054054</v>
      </c>
      <c r="BY182" s="27" t="n">
        <f aca="false">BY20*BY21+BY23*Hipótesis!$E$23</f>
        <v>3056.85772054054</v>
      </c>
      <c r="BZ182" s="27" t="n">
        <f aca="false">BZ20*BZ21+BZ23*Hipótesis!$E$23</f>
        <v>3056.85772054054</v>
      </c>
      <c r="CA182" s="27" t="n">
        <f aca="false">CA20*CA21+CA23*Hipótesis!$E$23</f>
        <v>3056.85772054054</v>
      </c>
      <c r="CB182" s="27" t="n">
        <f aca="false">CB20*CB21+CB23*Hipótesis!$E$23</f>
        <v>3056.85772054054</v>
      </c>
      <c r="CC182" s="27" t="n">
        <f aca="false">CC20*CC21+CC23*Hipótesis!$E$23</f>
        <v>3056.85772054054</v>
      </c>
      <c r="CD182" s="27" t="n">
        <f aca="false">CD20*CD21+CD23*Hipótesis!$E$23</f>
        <v>3056.85772054054</v>
      </c>
      <c r="CE182" s="27" t="n">
        <f aca="false">CE20*CE21+CE23*Hipótesis!$E$23</f>
        <v>3056.85772054054</v>
      </c>
      <c r="CF182" s="27" t="n">
        <f aca="false">CF20*CF21+CF23*Hipótesis!$E$23</f>
        <v>3056.85772054054</v>
      </c>
      <c r="CG182" s="27" t="n">
        <f aca="false">CG20*CG21+CG23*Hipótesis!$E$23</f>
        <v>3056.85772054054</v>
      </c>
      <c r="CH182" s="27" t="n">
        <f aca="false">CH20*CH21+CH23*Hipótesis!$E$23</f>
        <v>3056.85772054054</v>
      </c>
    </row>
    <row r="183" customFormat="false" ht="15" hidden="false" customHeight="false" outlineLevel="0" collapsed="false">
      <c r="A183" s="1" t="s">
        <v>844</v>
      </c>
      <c r="C183" s="26" t="n">
        <f aca="false">IFERROR(C181/(C181+C182),0)</f>
        <v>0.459531164772171</v>
      </c>
      <c r="D183" s="26" t="n">
        <f aca="false">IFERROR(D181/(D181+D182),0)</f>
        <v>0.434795041643747</v>
      </c>
      <c r="E183" s="26" t="n">
        <f aca="false">IFERROR(E181/(E181+E182),0)</f>
        <v>0.294678429101233</v>
      </c>
      <c r="F183" s="26" t="n">
        <f aca="false">IFERROR(F181/(F181+F182),0)</f>
        <v>0.274251009912703</v>
      </c>
      <c r="G183" s="26" t="n">
        <f aca="false">IFERROR(G181/(G181+G182),0)</f>
        <v>0.0517521130648416</v>
      </c>
      <c r="H183" s="26" t="n">
        <f aca="false">IFERROR(H181/(H181+H182),0)</f>
        <v>0.233133717263363</v>
      </c>
      <c r="I183" s="26" t="n">
        <f aca="false">IFERROR(I181/(I181+I182),0)</f>
        <v>0.213868163530034</v>
      </c>
      <c r="J183" s="26" t="n">
        <f aca="false">IFERROR(J181/(J181+J182),0)</f>
        <v>0.187245819299089</v>
      </c>
      <c r="K183" s="26" t="n">
        <f aca="false">IFERROR(K181/(K181+K182),0)</f>
        <v>0.165994307974352</v>
      </c>
      <c r="L183" s="26" t="n">
        <f aca="false">IFERROR(L181/(L181+L182),0)</f>
        <v>0.152177196629905</v>
      </c>
      <c r="M183" s="26" t="n">
        <f aca="false">IFERROR(M181/(M181+M182),0)</f>
        <v>0.148548226400606</v>
      </c>
      <c r="N183" s="26" t="n">
        <f aca="false">IFERROR(N181/(N181+N182),0)</f>
        <v>0.138705939607072</v>
      </c>
      <c r="O183" s="26" t="n">
        <f aca="false">IFERROR(O181/(O181+O182),0)</f>
        <v>0.131342461034919</v>
      </c>
      <c r="P183" s="26" t="n">
        <f aca="false">IFERROR(P181/(P181+P182),0)</f>
        <v>0.126977932928616</v>
      </c>
      <c r="Q183" s="26" t="n">
        <f aca="false">IFERROR(Q181/(Q181+Q182),0)</f>
        <v>0.123423406345987</v>
      </c>
      <c r="R183" s="26" t="n">
        <f aca="false">IFERROR(R181/(R181+R182),0)</f>
        <v>0.12047253937576</v>
      </c>
      <c r="S183" s="26" t="n">
        <f aca="false">IFERROR(S181/(S181+S182),0)</f>
        <v>0.0196701835560273</v>
      </c>
      <c r="T183" s="26" t="n">
        <f aca="false">IFERROR(T181/(T181+T182),0)</f>
        <v>0.115855970981971</v>
      </c>
      <c r="U183" s="26" t="n">
        <f aca="false">IFERROR(U181/(U181+U182),0)</f>
        <v>0.108015464297918</v>
      </c>
      <c r="V183" s="26" t="n">
        <f aca="false">IFERROR(V181/(V181+V182),0)</f>
        <v>0.101168899336744</v>
      </c>
      <c r="W183" s="26" t="n">
        <f aca="false">IFERROR(W181/(W181+W182),0)</f>
        <v>0.0951385388614205</v>
      </c>
      <c r="X183" s="26" t="n">
        <f aca="false">IFERROR(X181/(X181+X182),0)</f>
        <v>0.0916737394825472</v>
      </c>
      <c r="Y183" s="26" t="n">
        <f aca="false">IFERROR(Y181/(Y181+Y182),0)</f>
        <v>0.0884524376353007</v>
      </c>
      <c r="Z183" s="26" t="n">
        <f aca="false">IFERROR(Z181/(Z181+Z182),0)</f>
        <v>0.0861247329608063</v>
      </c>
      <c r="AA183" s="26" t="n">
        <f aca="false">IFERROR(AA181/(AA181+AA182),0)</f>
        <v>0.0839163982038688</v>
      </c>
      <c r="AB183" s="26" t="n">
        <f aca="false">IFERROR(AB181/(AB181+AB182),0)</f>
        <v>0.0818184805879793</v>
      </c>
      <c r="AC183" s="26" t="n">
        <f aca="false">IFERROR(AC181/(AC181+AC182),0)</f>
        <v>0.0798229007813513</v>
      </c>
      <c r="AD183" s="26" t="n">
        <f aca="false">IFERROR(AD181/(AD181+AD182),0)</f>
        <v>0.0779223489150444</v>
      </c>
      <c r="AE183" s="26" t="n">
        <f aca="false">IFERROR(AE181/(AE181+AE182),0)</f>
        <v>0.0122061926126415</v>
      </c>
      <c r="AF183" s="26" t="n">
        <f aca="false">IFERROR(AF181/(AF181+AF182),0)</f>
        <v>0.0743804122063622</v>
      </c>
      <c r="AG183" s="26" t="n">
        <f aca="false">IFERROR(AG181/(AG181+AG182),0)</f>
        <v>0.0727275087922021</v>
      </c>
      <c r="AH183" s="26" t="n">
        <f aca="false">IFERROR(AH181/(AH181+AH182),0)</f>
        <v>0.0711464709720713</v>
      </c>
      <c r="AI183" s="26" t="n">
        <f aca="false">IFERROR(AI181/(AI181+AI182),0)</f>
        <v>0.0696327115661375</v>
      </c>
      <c r="AJ183" s="26" t="n">
        <f aca="false">IFERROR(AJ181/(AJ181+AJ182),0)</f>
        <v>0.068182025660718</v>
      </c>
      <c r="AK183" s="26" t="n">
        <f aca="false">IFERROR(AK181/(AK181+AK182),0)</f>
        <v>0.0667905516014126</v>
      </c>
      <c r="AL183" s="26" t="n">
        <f aca="false">IFERROR(AL181/(AL181+AL182),0)</f>
        <v>0.0654547366670762</v>
      </c>
      <c r="AM183" s="26" t="n">
        <f aca="false">IFERROR(AM181/(AM181+AM182),0)</f>
        <v>0.064171306782157</v>
      </c>
      <c r="AN183" s="26" t="n">
        <f aca="false">IFERROR(AN181/(AN181+AN182),0)</f>
        <v>0.0629372397237764</v>
      </c>
      <c r="AO183" s="26" t="n">
        <f aca="false">IFERROR(AO181/(AO181+AO182),0)</f>
        <v>0.061749741361977</v>
      </c>
      <c r="AP183" s="26" t="n">
        <f aca="false">IFERROR(AP181/(AP181+AP182),0)</f>
        <v>0.0606062245399507</v>
      </c>
      <c r="AQ183" s="26" t="n">
        <f aca="false">IFERROR(AQ181/(AQ181+AQ182),0)</f>
        <v>0.00940114050299885</v>
      </c>
      <c r="AR183" s="26" t="n">
        <f aca="false">IFERROR(AR181/(AR181+AR182),0)</f>
        <v>0.0584417108749696</v>
      </c>
      <c r="AS183" s="26" t="n">
        <f aca="false">IFERROR(AS181/(AS181+AS182),0)</f>
        <v>0.0584417108749696</v>
      </c>
      <c r="AT183" s="26" t="n">
        <f aca="false">IFERROR(AT181/(AT181+AT182),0)</f>
        <v>0.0584417108749696</v>
      </c>
      <c r="AU183" s="26" t="n">
        <f aca="false">IFERROR(AU181/(AU181+AU182),0)</f>
        <v>0.0584417108749696</v>
      </c>
      <c r="AV183" s="26" t="n">
        <f aca="false">IFERROR(AV181/(AV181+AV182),0)</f>
        <v>0.0584417108749696</v>
      </c>
      <c r="AW183" s="26" t="n">
        <f aca="false">IFERROR(AW181/(AW181+AW182),0)</f>
        <v>0.0584417108749696</v>
      </c>
      <c r="AX183" s="26" t="n">
        <f aca="false">IFERROR(AX181/(AX181+AX182),0)</f>
        <v>0.0584417108749696</v>
      </c>
      <c r="AY183" s="26" t="n">
        <f aca="false">IFERROR(AY181/(AY181+AY182),0)</f>
        <v>0.0584417108749696</v>
      </c>
      <c r="AZ183" s="26" t="n">
        <f aca="false">IFERROR(AZ181/(AZ181+AZ182),0)</f>
        <v>0.0584417108749696</v>
      </c>
      <c r="BA183" s="26" t="n">
        <f aca="false">IFERROR(BA181/(BA181+BA182),0)</f>
        <v>0.0584417108749696</v>
      </c>
      <c r="BB183" s="26" t="n">
        <f aca="false">IFERROR(BB181/(BB181+BB182),0)</f>
        <v>0.0584417108749696</v>
      </c>
      <c r="BC183" s="26" t="n">
        <f aca="false">IFERROR(BC181/(BC181+BC182),0)</f>
        <v>0.00922448722427681</v>
      </c>
      <c r="BD183" s="26" t="n">
        <f aca="false">IFERROR(BD181/(BD181+BD182),0)</f>
        <v>0.0584417108749696</v>
      </c>
      <c r="BE183" s="26" t="n">
        <f aca="false">IFERROR(BE181/(BE181+BE182),0)</f>
        <v>0.0584417108749696</v>
      </c>
      <c r="BF183" s="26" t="n">
        <f aca="false">IFERROR(BF181/(BF181+BF182),0)</f>
        <v>0.0584417108749696</v>
      </c>
      <c r="BG183" s="26" t="n">
        <f aca="false">IFERROR(BG181/(BG181+BG182),0)</f>
        <v>0.0584417108749696</v>
      </c>
      <c r="BH183" s="26" t="n">
        <f aca="false">IFERROR(BH181/(BH181+BH182),0)</f>
        <v>0.0584417108749696</v>
      </c>
      <c r="BI183" s="26" t="n">
        <f aca="false">IFERROR(BI181/(BI181+BI182),0)</f>
        <v>0.0584417108749696</v>
      </c>
      <c r="BJ183" s="26" t="n">
        <f aca="false">IFERROR(BJ181/(BJ181+BJ182),0)</f>
        <v>0.0584417108749696</v>
      </c>
      <c r="BK183" s="26" t="n">
        <f aca="false">IFERROR(BK181/(BK181+BK182),0)</f>
        <v>0.0584417108749696</v>
      </c>
      <c r="BL183" s="26" t="n">
        <f aca="false">IFERROR(BL181/(BL181+BL182),0)</f>
        <v>0.0584417108749696</v>
      </c>
      <c r="BM183" s="26" t="n">
        <f aca="false">IFERROR(BM181/(BM181+BM182),0)</f>
        <v>0.0584417108749696</v>
      </c>
      <c r="BN183" s="26" t="n">
        <f aca="false">IFERROR(BN181/(BN181+BN182),0)</f>
        <v>0.0584417108749696</v>
      </c>
      <c r="BO183" s="26" t="n">
        <f aca="false">IFERROR(BO181/(BO181+BO182),0)</f>
        <v>0.00922448722427681</v>
      </c>
      <c r="BP183" s="26" t="n">
        <f aca="false">IFERROR(BP181/(BP181+BP182),0)</f>
        <v>0.0584417108749696</v>
      </c>
      <c r="BQ183" s="26" t="n">
        <f aca="false">IFERROR(BQ181/(BQ181+BQ182),0)</f>
        <v>0.0584417108749696</v>
      </c>
      <c r="BR183" s="26" t="n">
        <f aca="false">IFERROR(BR181/(BR181+BR182),0)</f>
        <v>0.0584417108749696</v>
      </c>
      <c r="BS183" s="26" t="n">
        <f aca="false">IFERROR(BS181/(BS181+BS182),0)</f>
        <v>0.0584417108749696</v>
      </c>
      <c r="BT183" s="26" t="n">
        <f aca="false">IFERROR(BT181/(BT181+BT182),0)</f>
        <v>0.0584417108749696</v>
      </c>
      <c r="BU183" s="26" t="n">
        <f aca="false">IFERROR(BU181/(BU181+BU182),0)</f>
        <v>0.0584417108749696</v>
      </c>
      <c r="BV183" s="26" t="n">
        <f aca="false">IFERROR(BV181/(BV181+BV182),0)</f>
        <v>0.0584417108749696</v>
      </c>
      <c r="BW183" s="26" t="n">
        <f aca="false">IFERROR(BW181/(BW181+BW182),0)</f>
        <v>0.0584417108749696</v>
      </c>
      <c r="BX183" s="26" t="n">
        <f aca="false">IFERROR(BX181/(BX181+BX182),0)</f>
        <v>0.0584417108749696</v>
      </c>
      <c r="BY183" s="26" t="n">
        <f aca="false">IFERROR(BY181/(BY181+BY182),0)</f>
        <v>0.0584417108749696</v>
      </c>
      <c r="BZ183" s="26" t="n">
        <f aca="false">IFERROR(BZ181/(BZ181+BZ182),0)</f>
        <v>0.0584417108749696</v>
      </c>
      <c r="CA183" s="26" t="n">
        <f aca="false">IFERROR(CA181/(CA181+CA182),0)</f>
        <v>0.00922448722427681</v>
      </c>
      <c r="CB183" s="26" t="n">
        <f aca="false">IFERROR(CB181/(CB181+CB182),0)</f>
        <v>0.0584417108749696</v>
      </c>
      <c r="CC183" s="26" t="n">
        <f aca="false">IFERROR(CC181/(CC181+CC182),0)</f>
        <v>0.0584417108749696</v>
      </c>
      <c r="CD183" s="26" t="n">
        <f aca="false">IFERROR(CD181/(CD181+CD182),0)</f>
        <v>0.0584417108749696</v>
      </c>
      <c r="CE183" s="26" t="n">
        <f aca="false">IFERROR(CE181/(CE181+CE182),0)</f>
        <v>0.0584417108749696</v>
      </c>
      <c r="CF183" s="26" t="n">
        <f aca="false">IFERROR(CF181/(CF181+CF182),0)</f>
        <v>0.0584417108749696</v>
      </c>
      <c r="CG183" s="26" t="n">
        <f aca="false">IFERROR(CG181/(CG181+CG182),0)</f>
        <v>0.0584417108749696</v>
      </c>
      <c r="CH183" s="26" t="n">
        <f aca="false">IFERROR(CH181/(CH181+CH182),0)</f>
        <v>0.0584417108749696</v>
      </c>
    </row>
    <row r="184" customFormat="false" ht="15" hidden="false" customHeight="false" outlineLevel="0" collapsed="false">
      <c r="A184" s="1" t="s">
        <v>845</v>
      </c>
      <c r="C184" s="28" t="n">
        <f aca="false">C16*C21*Hipótesis!$E$16</f>
        <v>1136.4375</v>
      </c>
      <c r="D184" s="28" t="n">
        <f aca="false">D16*D21*Hipótesis!$E$16</f>
        <v>2359.005</v>
      </c>
      <c r="E184" s="28" t="n">
        <f aca="false">E16*E21*Hipótesis!$E$16</f>
        <v>4903.42875</v>
      </c>
      <c r="F184" s="28" t="n">
        <f aca="false">F16*F21*Hipótesis!$E$16</f>
        <v>6311.415</v>
      </c>
      <c r="G184" s="28" t="n">
        <f aca="false">G16*G21*Hipótesis!$E$16</f>
        <v>7633.27125</v>
      </c>
      <c r="H184" s="28" t="n">
        <f aca="false">H16*H21*Hipótesis!$E$16</f>
        <v>9744.6525</v>
      </c>
      <c r="I184" s="28" t="n">
        <f aca="false">I16*I21*Hipótesis!$E$16</f>
        <v>11856.03375</v>
      </c>
      <c r="J184" s="28" t="n">
        <f aca="false">J16*J21*Hipótesis!$E$16</f>
        <v>13967.415</v>
      </c>
      <c r="K184" s="28" t="n">
        <f aca="false">K16*K21*Hipótesis!$E$16</f>
        <v>16078.79625</v>
      </c>
      <c r="L184" s="28" t="n">
        <f aca="false">L16*L21*Hipótesis!$E$16</f>
        <v>18190.1775</v>
      </c>
      <c r="M184" s="28" t="n">
        <f aca="false">M16*M21*Hipótesis!$E$16</f>
        <v>18979.7025</v>
      </c>
      <c r="N184" s="28" t="n">
        <f aca="false">N16*N21*Hipótesis!$E$16</f>
        <v>20845.8525</v>
      </c>
      <c r="O184" s="28" t="n">
        <f aca="false">O16*O21*Hipótesis!$E$16</f>
        <v>22712.0025</v>
      </c>
      <c r="P184" s="28" t="n">
        <f aca="false">P16*P21*Hipótesis!$E$16</f>
        <v>24190.5675</v>
      </c>
      <c r="Q184" s="28" t="n">
        <f aca="false">Q16*Q21*Hipótesis!$E$16</f>
        <v>25669.1325</v>
      </c>
      <c r="R184" s="28" t="n">
        <f aca="false">R16*R21*Hipótesis!$E$16</f>
        <v>27147.6975</v>
      </c>
      <c r="S184" s="28" t="n">
        <f aca="false">S16*S21*Hipótesis!$E$16</f>
        <v>28626.2625</v>
      </c>
      <c r="T184" s="28" t="n">
        <f aca="false">T16*T21*Hipótesis!$E$16</f>
        <v>30104.8275</v>
      </c>
      <c r="U184" s="28" t="n">
        <f aca="false">U16*U21*Hipótesis!$E$16</f>
        <v>31583.3925</v>
      </c>
      <c r="V184" s="28" t="n">
        <f aca="false">V16*V21*Hipótesis!$E$16</f>
        <v>33061.9575</v>
      </c>
      <c r="W184" s="28" t="n">
        <f aca="false">W16*W21*Hipótesis!$E$16</f>
        <v>34540.5225</v>
      </c>
      <c r="X184" s="28" t="n">
        <f aca="false">X16*X21*Hipótesis!$E$16</f>
        <v>34942.4625</v>
      </c>
      <c r="Y184" s="28" t="n">
        <f aca="false">Y16*Y21*Hipótesis!$E$16</f>
        <v>35344.4025</v>
      </c>
      <c r="Z184" s="28" t="n">
        <f aca="false">Z16*Z21*Hipótesis!$E$16</f>
        <v>35344.4025</v>
      </c>
      <c r="AA184" s="28" t="n">
        <f aca="false">AA16*AA21*Hipótesis!$E$16</f>
        <v>35344.4025</v>
      </c>
      <c r="AB184" s="28" t="n">
        <f aca="false">AB16*AB21*Hipótesis!$E$16</f>
        <v>35344.4025</v>
      </c>
      <c r="AC184" s="28" t="n">
        <f aca="false">AC16*AC21*Hipótesis!$E$16</f>
        <v>35344.4025</v>
      </c>
      <c r="AD184" s="28" t="n">
        <f aca="false">AD16*AD21*Hipótesis!$E$16</f>
        <v>35344.4025</v>
      </c>
      <c r="AE184" s="28" t="n">
        <f aca="false">AE16*AE21*Hipótesis!$E$16</f>
        <v>35344.4025</v>
      </c>
      <c r="AF184" s="28" t="n">
        <f aca="false">AF16*AF21*Hipótesis!$E$16</f>
        <v>35344.4025</v>
      </c>
      <c r="AG184" s="28" t="n">
        <f aca="false">AG16*AG21*Hipótesis!$E$16</f>
        <v>35344.4025</v>
      </c>
      <c r="AH184" s="28" t="n">
        <f aca="false">AH16*AH21*Hipótesis!$E$16</f>
        <v>35344.4025</v>
      </c>
      <c r="AI184" s="28" t="n">
        <f aca="false">AI16*AI21*Hipótesis!$E$16</f>
        <v>35344.4025</v>
      </c>
      <c r="AJ184" s="28" t="n">
        <f aca="false">AJ16*AJ21*Hipótesis!$E$16</f>
        <v>35344.4025</v>
      </c>
      <c r="AK184" s="28" t="n">
        <f aca="false">AK16*AK21*Hipótesis!$E$16</f>
        <v>35344.4025</v>
      </c>
      <c r="AL184" s="28" t="n">
        <f aca="false">AL16*AL21*Hipótesis!$E$16</f>
        <v>35344.4025</v>
      </c>
      <c r="AM184" s="28" t="n">
        <f aca="false">AM16*AM21*Hipótesis!$E$16</f>
        <v>35344.4025</v>
      </c>
      <c r="AN184" s="28" t="n">
        <f aca="false">AN16*AN21*Hipótesis!$E$16</f>
        <v>35344.4025</v>
      </c>
      <c r="AO184" s="28" t="n">
        <f aca="false">AO16*AO21*Hipótesis!$E$16</f>
        <v>35344.4025</v>
      </c>
      <c r="AP184" s="28" t="n">
        <f aca="false">AP16*AP21*Hipótesis!$E$16</f>
        <v>35344.4025</v>
      </c>
      <c r="AQ184" s="28" t="n">
        <f aca="false">AQ16*AQ21*Hipótesis!$E$16</f>
        <v>35344.4025</v>
      </c>
      <c r="AR184" s="28" t="n">
        <f aca="false">AR16*AR21*Hipótesis!$E$16</f>
        <v>35344.4025</v>
      </c>
      <c r="AS184" s="28" t="n">
        <f aca="false">AS16*AS21*Hipótesis!$E$16</f>
        <v>35344.4025</v>
      </c>
      <c r="AT184" s="28" t="n">
        <f aca="false">AT16*AT21*Hipótesis!$E$16</f>
        <v>35344.4025</v>
      </c>
      <c r="AU184" s="28" t="n">
        <f aca="false">AU16*AU21*Hipótesis!$E$16</f>
        <v>35344.4025</v>
      </c>
      <c r="AV184" s="28" t="n">
        <f aca="false">AV16*AV21*Hipótesis!$E$16</f>
        <v>35344.4025</v>
      </c>
      <c r="AW184" s="28" t="n">
        <f aca="false">AW16*AW21*Hipótesis!$E$16</f>
        <v>35344.4025</v>
      </c>
      <c r="AX184" s="28" t="n">
        <f aca="false">AX16*AX21*Hipótesis!$E$16</f>
        <v>35344.4025</v>
      </c>
      <c r="AY184" s="28" t="n">
        <f aca="false">AY16*AY21*Hipótesis!$E$16</f>
        <v>35344.4025</v>
      </c>
      <c r="AZ184" s="28" t="n">
        <f aca="false">AZ16*AZ21*Hipótesis!$E$16</f>
        <v>35344.4025</v>
      </c>
      <c r="BA184" s="28" t="n">
        <f aca="false">BA16*BA21*Hipótesis!$E$16</f>
        <v>35344.4025</v>
      </c>
      <c r="BB184" s="28" t="n">
        <f aca="false">BB16*BB21*Hipótesis!$E$16</f>
        <v>35344.4025</v>
      </c>
      <c r="BC184" s="28" t="n">
        <f aca="false">BC16*BC21*Hipótesis!$E$16</f>
        <v>35344.4025</v>
      </c>
      <c r="BD184" s="28" t="n">
        <f aca="false">BD16*BD21*Hipótesis!$E$16</f>
        <v>35344.4025</v>
      </c>
      <c r="BE184" s="28" t="n">
        <f aca="false">BE16*BE21*Hipótesis!$E$16</f>
        <v>35344.4025</v>
      </c>
      <c r="BF184" s="28" t="n">
        <f aca="false">BF16*BF21*Hipótesis!$E$16</f>
        <v>35344.4025</v>
      </c>
      <c r="BG184" s="28" t="n">
        <f aca="false">BG16*BG21*Hipótesis!$E$16</f>
        <v>35344.4025</v>
      </c>
      <c r="BH184" s="28" t="n">
        <f aca="false">BH16*BH21*Hipótesis!$E$16</f>
        <v>35344.4025</v>
      </c>
      <c r="BI184" s="28" t="n">
        <f aca="false">BI16*BI21*Hipótesis!$E$16</f>
        <v>35344.4025</v>
      </c>
      <c r="BJ184" s="28" t="n">
        <f aca="false">BJ16*BJ21*Hipótesis!$E$16</f>
        <v>35344.4025</v>
      </c>
      <c r="BK184" s="28" t="n">
        <f aca="false">BK16*BK21*Hipótesis!$E$16</f>
        <v>35344.4025</v>
      </c>
      <c r="BL184" s="28" t="n">
        <f aca="false">BL16*BL21*Hipótesis!$E$16</f>
        <v>35344.4025</v>
      </c>
      <c r="BM184" s="28" t="n">
        <f aca="false">BM16*BM21*Hipótesis!$E$16</f>
        <v>35344.4025</v>
      </c>
      <c r="BN184" s="28" t="n">
        <f aca="false">BN16*BN21*Hipótesis!$E$16</f>
        <v>35344.4025</v>
      </c>
      <c r="BO184" s="28" t="n">
        <f aca="false">BO16*BO21*Hipótesis!$E$16</f>
        <v>35344.4025</v>
      </c>
      <c r="BP184" s="28" t="n">
        <f aca="false">BP16*BP21*Hipótesis!$E$16</f>
        <v>35344.4025</v>
      </c>
      <c r="BQ184" s="28" t="n">
        <f aca="false">BQ16*BQ21*Hipótesis!$E$16</f>
        <v>35344.4025</v>
      </c>
      <c r="BR184" s="28" t="n">
        <f aca="false">BR16*BR21*Hipótesis!$E$16</f>
        <v>35344.4025</v>
      </c>
      <c r="BS184" s="28" t="n">
        <f aca="false">BS16*BS21*Hipótesis!$E$16</f>
        <v>35344.4025</v>
      </c>
      <c r="BT184" s="28" t="n">
        <f aca="false">BT16*BT21*Hipótesis!$E$16</f>
        <v>35344.4025</v>
      </c>
      <c r="BU184" s="28" t="n">
        <f aca="false">BU16*BU21*Hipótesis!$E$16</f>
        <v>35344.4025</v>
      </c>
      <c r="BV184" s="28" t="n">
        <f aca="false">BV16*BV21*Hipótesis!$E$16</f>
        <v>35344.4025</v>
      </c>
      <c r="BW184" s="28" t="n">
        <f aca="false">BW16*BW21*Hipótesis!$E$16</f>
        <v>35344.4025</v>
      </c>
      <c r="BX184" s="28" t="n">
        <f aca="false">BX16*BX21*Hipótesis!$E$16</f>
        <v>35344.4025</v>
      </c>
      <c r="BY184" s="28" t="n">
        <f aca="false">BY16*BY21*Hipótesis!$E$16</f>
        <v>35344.4025</v>
      </c>
      <c r="BZ184" s="28" t="n">
        <f aca="false">BZ16*BZ21*Hipótesis!$E$16</f>
        <v>35344.4025</v>
      </c>
      <c r="CA184" s="28" t="n">
        <f aca="false">CA16*CA21*Hipótesis!$E$16</f>
        <v>35344.4025</v>
      </c>
      <c r="CB184" s="28" t="n">
        <f aca="false">CB16*CB21*Hipótesis!$E$16</f>
        <v>35344.4025</v>
      </c>
      <c r="CC184" s="28" t="n">
        <f aca="false">CC16*CC21*Hipótesis!$E$16</f>
        <v>35344.4025</v>
      </c>
      <c r="CD184" s="28" t="n">
        <f aca="false">CD16*CD21*Hipótesis!$E$16</f>
        <v>35344.4025</v>
      </c>
      <c r="CE184" s="28" t="n">
        <f aca="false">CE16*CE21*Hipótesis!$E$16</f>
        <v>35344.4025</v>
      </c>
      <c r="CF184" s="28" t="n">
        <f aca="false">CF16*CF21*Hipótesis!$E$16</f>
        <v>35344.4025</v>
      </c>
      <c r="CG184" s="28" t="n">
        <f aca="false">CG16*CG21*Hipótesis!$E$16</f>
        <v>35344.4025</v>
      </c>
      <c r="CH184" s="28" t="n">
        <f aca="false">CH16*CH21*Hipótesis!$E$16</f>
        <v>35344.4025</v>
      </c>
    </row>
    <row r="185" customFormat="false" ht="15" hidden="false" customHeight="false" outlineLevel="0" collapsed="false">
      <c r="A185" s="1" t="s">
        <v>846</v>
      </c>
      <c r="C185" s="28" t="n">
        <f aca="false">C23*Hipótesis!$E$20</f>
        <v>0</v>
      </c>
      <c r="D185" s="28" t="n">
        <f aca="false">D23*Hipótesis!$E$20</f>
        <v>0</v>
      </c>
      <c r="E185" s="28" t="n">
        <f aca="false">E23*Hipótesis!$E$20</f>
        <v>0</v>
      </c>
      <c r="F185" s="28" t="n">
        <f aca="false">F23*Hipótesis!$E$20</f>
        <v>0</v>
      </c>
      <c r="G185" s="28" t="n">
        <f aca="false">G23*Hipótesis!$E$20</f>
        <v>0</v>
      </c>
      <c r="H185" s="28" t="n">
        <f aca="false">H23*Hipótesis!$E$20</f>
        <v>0</v>
      </c>
      <c r="I185" s="28" t="n">
        <f aca="false">I23*Hipótesis!$E$20</f>
        <v>0</v>
      </c>
      <c r="J185" s="28" t="n">
        <f aca="false">J23*Hipótesis!$E$20</f>
        <v>1602.79943932216</v>
      </c>
      <c r="K185" s="28" t="n">
        <f aca="false">K23*Hipótesis!$E$20</f>
        <v>4006.99859830541</v>
      </c>
      <c r="L185" s="28" t="n">
        <f aca="false">L23*Hipótesis!$E$20</f>
        <v>6411.19775728865</v>
      </c>
      <c r="M185" s="28" t="n">
        <f aca="false">M23*Hipótesis!$E$20</f>
        <v>8815.3969162719</v>
      </c>
      <c r="N185" s="28" t="n">
        <f aca="false">N23*Hipótesis!$E$20</f>
        <v>11219.5960752551</v>
      </c>
      <c r="O185" s="28" t="n">
        <f aca="false">O23*Hipótesis!$E$20</f>
        <v>13623.7952342384</v>
      </c>
      <c r="P185" s="28" t="n">
        <f aca="false">P23*Hipótesis!$E$20</f>
        <v>16027.9943932216</v>
      </c>
      <c r="Q185" s="28" t="n">
        <f aca="false">Q23*Hipótesis!$E$20</f>
        <v>18432.1935522049</v>
      </c>
      <c r="R185" s="28" t="n">
        <f aca="false">R23*Hipótesis!$E$20</f>
        <v>20836.3927111881</v>
      </c>
      <c r="S185" s="28" t="n">
        <f aca="false">S23*Hipótesis!$E$20</f>
        <v>23240.5918701714</v>
      </c>
      <c r="T185" s="28" t="n">
        <f aca="false">T23*Hipótesis!$E$20</f>
        <v>25644.7910291546</v>
      </c>
      <c r="U185" s="28" t="n">
        <f aca="false">U23*Hipótesis!$E$20</f>
        <v>28583.2566679119</v>
      </c>
      <c r="V185" s="28" t="n">
        <f aca="false">V23*Hipótesis!$E$20</f>
        <v>31521.7223066692</v>
      </c>
      <c r="W185" s="28" t="n">
        <f aca="false">W23*Hipótesis!$E$20</f>
        <v>34460.1879454265</v>
      </c>
      <c r="X185" s="28" t="n">
        <f aca="false">X23*Hipótesis!$E$20</f>
        <v>37398.6535841838</v>
      </c>
      <c r="Y185" s="28" t="n">
        <f aca="false">Y23*Hipótesis!$E$20</f>
        <v>40337.1192229411</v>
      </c>
      <c r="Z185" s="28" t="n">
        <f aca="false">Z23*Hipótesis!$E$20</f>
        <v>43275.5848616984</v>
      </c>
      <c r="AA185" s="28" t="n">
        <f aca="false">AA23*Hipótesis!$E$20</f>
        <v>46214.0505004557</v>
      </c>
      <c r="AB185" s="28" t="n">
        <f aca="false">AB23*Hipótesis!$E$20</f>
        <v>49152.516139213</v>
      </c>
      <c r="AC185" s="28" t="n">
        <f aca="false">AC23*Hipótesis!$E$20</f>
        <v>52090.9817779703</v>
      </c>
      <c r="AD185" s="28" t="n">
        <f aca="false">AD23*Hipótesis!$E$20</f>
        <v>55029.4474167276</v>
      </c>
      <c r="AE185" s="28" t="n">
        <f aca="false">AE23*Hipótesis!$E$20</f>
        <v>57967.9130554849</v>
      </c>
      <c r="AF185" s="28" t="n">
        <f aca="false">AF23*Hipótesis!$E$20</f>
        <v>60906.3786942422</v>
      </c>
      <c r="AG185" s="28" t="n">
        <f aca="false">AG23*Hipótesis!$E$20</f>
        <v>63844.8443329995</v>
      </c>
      <c r="AH185" s="28" t="n">
        <f aca="false">AH23*Hipótesis!$E$20</f>
        <v>66783.3099717568</v>
      </c>
      <c r="AI185" s="28" t="n">
        <f aca="false">AI23*Hipótesis!$E$20</f>
        <v>69721.7756105141</v>
      </c>
      <c r="AJ185" s="28" t="n">
        <f aca="false">AJ23*Hipótesis!$E$20</f>
        <v>72660.2412492714</v>
      </c>
      <c r="AK185" s="28" t="n">
        <f aca="false">AK23*Hipótesis!$E$20</f>
        <v>75598.7068880287</v>
      </c>
      <c r="AL185" s="28" t="n">
        <f aca="false">AL23*Hipótesis!$E$20</f>
        <v>78537.172526786</v>
      </c>
      <c r="AM185" s="28" t="n">
        <f aca="false">AM23*Hipótesis!$E$20</f>
        <v>81475.6381655433</v>
      </c>
      <c r="AN185" s="28" t="n">
        <f aca="false">AN23*Hipótesis!$E$20</f>
        <v>84414.1038043006</v>
      </c>
      <c r="AO185" s="28" t="n">
        <f aca="false">AO23*Hipótesis!$E$20</f>
        <v>87352.5694430579</v>
      </c>
      <c r="AP185" s="28" t="n">
        <f aca="false">AP23*Hipótesis!$E$20</f>
        <v>90291.0350818152</v>
      </c>
      <c r="AQ185" s="28" t="n">
        <f aca="false">AQ23*Hipótesis!$E$20</f>
        <v>93229.5007205725</v>
      </c>
      <c r="AR185" s="28" t="n">
        <f aca="false">AR23*Hipótesis!$E$20</f>
        <v>96167.9663593298</v>
      </c>
      <c r="AS185" s="28" t="n">
        <f aca="false">AS23*Hipótesis!$E$20</f>
        <v>96167.9663593298</v>
      </c>
      <c r="AT185" s="28" t="n">
        <f aca="false">AT23*Hipótesis!$E$20</f>
        <v>96167.9663593298</v>
      </c>
      <c r="AU185" s="28" t="n">
        <f aca="false">AU23*Hipótesis!$E$20</f>
        <v>96167.9663593298</v>
      </c>
      <c r="AV185" s="28" t="n">
        <f aca="false">AV23*Hipótesis!$E$20</f>
        <v>96167.9663593298</v>
      </c>
      <c r="AW185" s="28" t="n">
        <f aca="false">AW23*Hipótesis!$E$20</f>
        <v>96167.9663593298</v>
      </c>
      <c r="AX185" s="28" t="n">
        <f aca="false">AX23*Hipótesis!$E$20</f>
        <v>96167.9663593298</v>
      </c>
      <c r="AY185" s="28" t="n">
        <f aca="false">AY23*Hipótesis!$E$20</f>
        <v>96167.9663593298</v>
      </c>
      <c r="AZ185" s="28" t="n">
        <f aca="false">AZ23*Hipótesis!$E$20</f>
        <v>96167.9663593298</v>
      </c>
      <c r="BA185" s="28" t="n">
        <f aca="false">BA23*Hipótesis!$E$20</f>
        <v>96167.9663593298</v>
      </c>
      <c r="BB185" s="28" t="n">
        <f aca="false">BB23*Hipótesis!$E$20</f>
        <v>96167.9663593298</v>
      </c>
      <c r="BC185" s="28" t="n">
        <f aca="false">BC23*Hipótesis!$E$20</f>
        <v>96167.9663593298</v>
      </c>
      <c r="BD185" s="28" t="n">
        <f aca="false">BD23*Hipótesis!$E$20</f>
        <v>96167.9663593298</v>
      </c>
      <c r="BE185" s="28" t="n">
        <f aca="false">BE23*Hipótesis!$E$20</f>
        <v>96167.9663593298</v>
      </c>
      <c r="BF185" s="28" t="n">
        <f aca="false">BF23*Hipótesis!$E$20</f>
        <v>96167.9663593298</v>
      </c>
      <c r="BG185" s="28" t="n">
        <f aca="false">BG23*Hipótesis!$E$20</f>
        <v>96167.9663593298</v>
      </c>
      <c r="BH185" s="28" t="n">
        <f aca="false">BH23*Hipótesis!$E$20</f>
        <v>96167.9663593298</v>
      </c>
      <c r="BI185" s="28" t="n">
        <f aca="false">BI23*Hipótesis!$E$20</f>
        <v>96167.9663593298</v>
      </c>
      <c r="BJ185" s="28" t="n">
        <f aca="false">BJ23*Hipótesis!$E$20</f>
        <v>96167.9663593298</v>
      </c>
      <c r="BK185" s="28" t="n">
        <f aca="false">BK23*Hipótesis!$E$20</f>
        <v>96167.9663593298</v>
      </c>
      <c r="BL185" s="28" t="n">
        <f aca="false">BL23*Hipótesis!$E$20</f>
        <v>96167.9663593298</v>
      </c>
      <c r="BM185" s="28" t="n">
        <f aca="false">BM23*Hipótesis!$E$20</f>
        <v>96167.9663593298</v>
      </c>
      <c r="BN185" s="28" t="n">
        <f aca="false">BN23*Hipótesis!$E$20</f>
        <v>96167.9663593298</v>
      </c>
      <c r="BO185" s="28" t="n">
        <f aca="false">BO23*Hipótesis!$E$20</f>
        <v>96167.9663593298</v>
      </c>
      <c r="BP185" s="28" t="n">
        <f aca="false">BP23*Hipótesis!$E$20</f>
        <v>96167.9663593298</v>
      </c>
      <c r="BQ185" s="28" t="n">
        <f aca="false">BQ23*Hipótesis!$E$20</f>
        <v>96167.9663593298</v>
      </c>
      <c r="BR185" s="28" t="n">
        <f aca="false">BR23*Hipótesis!$E$20</f>
        <v>96167.9663593298</v>
      </c>
      <c r="BS185" s="28" t="n">
        <f aca="false">BS23*Hipótesis!$E$20</f>
        <v>96167.9663593298</v>
      </c>
      <c r="BT185" s="28" t="n">
        <f aca="false">BT23*Hipótesis!$E$20</f>
        <v>96167.9663593298</v>
      </c>
      <c r="BU185" s="28" t="n">
        <f aca="false">BU23*Hipótesis!$E$20</f>
        <v>96167.9663593298</v>
      </c>
      <c r="BV185" s="28" t="n">
        <f aca="false">BV23*Hipótesis!$E$20</f>
        <v>96167.9663593298</v>
      </c>
      <c r="BW185" s="28" t="n">
        <f aca="false">BW23*Hipótesis!$E$20</f>
        <v>96167.9663593298</v>
      </c>
      <c r="BX185" s="28" t="n">
        <f aca="false">BX23*Hipótesis!$E$20</f>
        <v>96167.9663593298</v>
      </c>
      <c r="BY185" s="28" t="n">
        <f aca="false">BY23*Hipótesis!$E$20</f>
        <v>96167.9663593298</v>
      </c>
      <c r="BZ185" s="28" t="n">
        <f aca="false">BZ23*Hipótesis!$E$20</f>
        <v>96167.9663593298</v>
      </c>
      <c r="CA185" s="28" t="n">
        <f aca="false">CA23*Hipótesis!$E$20</f>
        <v>96167.9663593298</v>
      </c>
      <c r="CB185" s="28" t="n">
        <f aca="false">CB23*Hipótesis!$E$20</f>
        <v>96167.9663593298</v>
      </c>
      <c r="CC185" s="28" t="n">
        <f aca="false">CC23*Hipótesis!$E$20</f>
        <v>96167.9663593298</v>
      </c>
      <c r="CD185" s="28" t="n">
        <f aca="false">CD23*Hipótesis!$E$20</f>
        <v>96167.9663593298</v>
      </c>
      <c r="CE185" s="28" t="n">
        <f aca="false">CE23*Hipótesis!$E$20</f>
        <v>96167.9663593298</v>
      </c>
      <c r="CF185" s="28" t="n">
        <f aca="false">CF23*Hipótesis!$E$20</f>
        <v>96167.9663593298</v>
      </c>
      <c r="CG185" s="28" t="n">
        <f aca="false">CG23*Hipótesis!$E$20</f>
        <v>96167.9663593298</v>
      </c>
      <c r="CH185" s="28" t="n">
        <f aca="false">CH23*Hipótesis!$E$20</f>
        <v>96167.9663593298</v>
      </c>
    </row>
    <row r="186" customFormat="false" ht="15" hidden="false" customHeight="false" outlineLevel="0" collapsed="false">
      <c r="A186" s="25" t="s">
        <v>847</v>
      </c>
      <c r="C186" s="156" t="n">
        <f aca="false">C184+C185</f>
        <v>1136.4375</v>
      </c>
      <c r="D186" s="156" t="n">
        <f aca="false">D184+D185</f>
        <v>2359.005</v>
      </c>
      <c r="E186" s="156" t="n">
        <f aca="false">E184+E185</f>
        <v>4903.42875</v>
      </c>
      <c r="F186" s="156" t="n">
        <f aca="false">F184+F185</f>
        <v>6311.415</v>
      </c>
      <c r="G186" s="156" t="n">
        <f aca="false">G184+G185</f>
        <v>7633.27125</v>
      </c>
      <c r="H186" s="156" t="n">
        <f aca="false">H184+H185</f>
        <v>9744.6525</v>
      </c>
      <c r="I186" s="156" t="n">
        <f aca="false">I184+I185</f>
        <v>11856.03375</v>
      </c>
      <c r="J186" s="156" t="n">
        <f aca="false">J184+J185</f>
        <v>15570.2144393222</v>
      </c>
      <c r="K186" s="156" t="n">
        <f aca="false">K184+K185</f>
        <v>20085.7948483054</v>
      </c>
      <c r="L186" s="156" t="n">
        <f aca="false">L184+L185</f>
        <v>24601.3752572886</v>
      </c>
      <c r="M186" s="156" t="n">
        <f aca="false">M184+M185</f>
        <v>27795.0994162719</v>
      </c>
      <c r="N186" s="156" t="n">
        <f aca="false">N184+N185</f>
        <v>32065.4485752551</v>
      </c>
      <c r="O186" s="156" t="n">
        <f aca="false">O184+O185</f>
        <v>36335.7977342384</v>
      </c>
      <c r="P186" s="156" t="n">
        <f aca="false">P184+P185</f>
        <v>40218.5618932216</v>
      </c>
      <c r="Q186" s="156" t="n">
        <f aca="false">Q184+Q185</f>
        <v>44101.3260522049</v>
      </c>
      <c r="R186" s="156" t="n">
        <f aca="false">R184+R185</f>
        <v>47984.0902111881</v>
      </c>
      <c r="S186" s="156" t="n">
        <f aca="false">S184+S185</f>
        <v>51866.8543701714</v>
      </c>
      <c r="T186" s="156" t="n">
        <f aca="false">T184+T185</f>
        <v>55749.6185291546</v>
      </c>
      <c r="U186" s="156" t="n">
        <f aca="false">U184+U185</f>
        <v>60166.6491679119</v>
      </c>
      <c r="V186" s="156" t="n">
        <f aca="false">V184+V185</f>
        <v>64583.6798066692</v>
      </c>
      <c r="W186" s="156" t="n">
        <f aca="false">W184+W185</f>
        <v>69000.7104454265</v>
      </c>
      <c r="X186" s="156" t="n">
        <f aca="false">X184+X185</f>
        <v>72341.1160841838</v>
      </c>
      <c r="Y186" s="156" t="n">
        <f aca="false">Y184+Y185</f>
        <v>75681.5217229411</v>
      </c>
      <c r="Z186" s="156" t="n">
        <f aca="false">Z184+Z185</f>
        <v>78619.9873616984</v>
      </c>
      <c r="AA186" s="156" t="n">
        <f aca="false">AA184+AA185</f>
        <v>81558.4530004557</v>
      </c>
      <c r="AB186" s="156" t="n">
        <f aca="false">AB184+AB185</f>
        <v>84496.918639213</v>
      </c>
      <c r="AC186" s="156" t="n">
        <f aca="false">AC184+AC185</f>
        <v>87435.3842779703</v>
      </c>
      <c r="AD186" s="156" t="n">
        <f aca="false">AD184+AD185</f>
        <v>90373.8499167276</v>
      </c>
      <c r="AE186" s="156" t="n">
        <f aca="false">AE184+AE185</f>
        <v>93312.3155554849</v>
      </c>
      <c r="AF186" s="156" t="n">
        <f aca="false">AF184+AF185</f>
        <v>96250.7811942422</v>
      </c>
      <c r="AG186" s="156" t="n">
        <f aca="false">AG184+AG185</f>
        <v>99189.2468329995</v>
      </c>
      <c r="AH186" s="156" t="n">
        <f aca="false">AH184+AH185</f>
        <v>102127.712471757</v>
      </c>
      <c r="AI186" s="156" t="n">
        <f aca="false">AI184+AI185</f>
        <v>105066.178110514</v>
      </c>
      <c r="AJ186" s="156" t="n">
        <f aca="false">AJ184+AJ185</f>
        <v>108004.643749271</v>
      </c>
      <c r="AK186" s="156" t="n">
        <f aca="false">AK184+AK185</f>
        <v>110943.109388029</v>
      </c>
      <c r="AL186" s="156" t="n">
        <f aca="false">AL184+AL185</f>
        <v>113881.575026786</v>
      </c>
      <c r="AM186" s="156" t="n">
        <f aca="false">AM184+AM185</f>
        <v>116820.040665543</v>
      </c>
      <c r="AN186" s="156" t="n">
        <f aca="false">AN184+AN185</f>
        <v>119758.506304301</v>
      </c>
      <c r="AO186" s="156" t="n">
        <f aca="false">AO184+AO185</f>
        <v>122696.971943058</v>
      </c>
      <c r="AP186" s="156" t="n">
        <f aca="false">AP184+AP185</f>
        <v>125635.437581815</v>
      </c>
      <c r="AQ186" s="156" t="n">
        <f aca="false">AQ184+AQ185</f>
        <v>128573.903220572</v>
      </c>
      <c r="AR186" s="156" t="n">
        <f aca="false">AR184+AR185</f>
        <v>131512.36885933</v>
      </c>
      <c r="AS186" s="156" t="n">
        <f aca="false">AS184+AS185</f>
        <v>131512.36885933</v>
      </c>
      <c r="AT186" s="156" t="n">
        <f aca="false">AT184+AT185</f>
        <v>131512.36885933</v>
      </c>
      <c r="AU186" s="156" t="n">
        <f aca="false">AU184+AU185</f>
        <v>131512.36885933</v>
      </c>
      <c r="AV186" s="156" t="n">
        <f aca="false">AV184+AV185</f>
        <v>131512.36885933</v>
      </c>
      <c r="AW186" s="156" t="n">
        <f aca="false">AW184+AW185</f>
        <v>131512.36885933</v>
      </c>
      <c r="AX186" s="156" t="n">
        <f aca="false">AX184+AX185</f>
        <v>131512.36885933</v>
      </c>
      <c r="AY186" s="156" t="n">
        <f aca="false">AY184+AY185</f>
        <v>131512.36885933</v>
      </c>
      <c r="AZ186" s="156" t="n">
        <f aca="false">AZ184+AZ185</f>
        <v>131512.36885933</v>
      </c>
      <c r="BA186" s="156" t="n">
        <f aca="false">BA184+BA185</f>
        <v>131512.36885933</v>
      </c>
      <c r="BB186" s="156" t="n">
        <f aca="false">BB184+BB185</f>
        <v>131512.36885933</v>
      </c>
      <c r="BC186" s="156" t="n">
        <f aca="false">BC184+BC185</f>
        <v>131512.36885933</v>
      </c>
      <c r="BD186" s="156" t="n">
        <f aca="false">BD184+BD185</f>
        <v>131512.36885933</v>
      </c>
      <c r="BE186" s="156" t="n">
        <f aca="false">BE184+BE185</f>
        <v>131512.36885933</v>
      </c>
      <c r="BF186" s="156" t="n">
        <f aca="false">BF184+BF185</f>
        <v>131512.36885933</v>
      </c>
      <c r="BG186" s="156" t="n">
        <f aca="false">BG184+BG185</f>
        <v>131512.36885933</v>
      </c>
      <c r="BH186" s="156" t="n">
        <f aca="false">BH184+BH185</f>
        <v>131512.36885933</v>
      </c>
      <c r="BI186" s="156" t="n">
        <f aca="false">BI184+BI185</f>
        <v>131512.36885933</v>
      </c>
      <c r="BJ186" s="156" t="n">
        <f aca="false">BJ184+BJ185</f>
        <v>131512.36885933</v>
      </c>
      <c r="BK186" s="156" t="n">
        <f aca="false">BK184+BK185</f>
        <v>131512.36885933</v>
      </c>
      <c r="BL186" s="156" t="n">
        <f aca="false">BL184+BL185</f>
        <v>131512.36885933</v>
      </c>
      <c r="BM186" s="156" t="n">
        <f aca="false">BM184+BM185</f>
        <v>131512.36885933</v>
      </c>
      <c r="BN186" s="156" t="n">
        <f aca="false">BN184+BN185</f>
        <v>131512.36885933</v>
      </c>
      <c r="BO186" s="156" t="n">
        <f aca="false">BO184+BO185</f>
        <v>131512.36885933</v>
      </c>
      <c r="BP186" s="156" t="n">
        <f aca="false">BP184+BP185</f>
        <v>131512.36885933</v>
      </c>
      <c r="BQ186" s="156" t="n">
        <f aca="false">BQ184+BQ185</f>
        <v>131512.36885933</v>
      </c>
      <c r="BR186" s="156" t="n">
        <f aca="false">BR184+BR185</f>
        <v>131512.36885933</v>
      </c>
      <c r="BS186" s="156" t="n">
        <f aca="false">BS184+BS185</f>
        <v>131512.36885933</v>
      </c>
      <c r="BT186" s="156" t="n">
        <f aca="false">BT184+BT185</f>
        <v>131512.36885933</v>
      </c>
      <c r="BU186" s="156" t="n">
        <f aca="false">BU184+BU185</f>
        <v>131512.36885933</v>
      </c>
      <c r="BV186" s="156" t="n">
        <f aca="false">BV184+BV185</f>
        <v>131512.36885933</v>
      </c>
      <c r="BW186" s="156" t="n">
        <f aca="false">BW184+BW185</f>
        <v>131512.36885933</v>
      </c>
      <c r="BX186" s="156" t="n">
        <f aca="false">BX184+BX185</f>
        <v>131512.36885933</v>
      </c>
      <c r="BY186" s="156" t="n">
        <f aca="false">BY184+BY185</f>
        <v>131512.36885933</v>
      </c>
      <c r="BZ186" s="156" t="n">
        <f aca="false">BZ184+BZ185</f>
        <v>131512.36885933</v>
      </c>
      <c r="CA186" s="156" t="n">
        <f aca="false">CA184+CA185</f>
        <v>131512.36885933</v>
      </c>
      <c r="CB186" s="156" t="n">
        <f aca="false">CB184+CB185</f>
        <v>131512.36885933</v>
      </c>
      <c r="CC186" s="156" t="n">
        <f aca="false">CC184+CC185</f>
        <v>131512.36885933</v>
      </c>
      <c r="CD186" s="156" t="n">
        <f aca="false">CD184+CD185</f>
        <v>131512.36885933</v>
      </c>
      <c r="CE186" s="156" t="n">
        <f aca="false">CE184+CE185</f>
        <v>131512.36885933</v>
      </c>
      <c r="CF186" s="156" t="n">
        <f aca="false">CF184+CF185</f>
        <v>131512.36885933</v>
      </c>
      <c r="CG186" s="156" t="n">
        <f aca="false">CG184+CG185</f>
        <v>131512.36885933</v>
      </c>
      <c r="CH186" s="156" t="n">
        <f aca="false">CH184+CH185</f>
        <v>131512.36885933</v>
      </c>
    </row>
    <row r="187" customFormat="false" ht="15" hidden="false" customHeight="false" outlineLevel="0" collapsed="false">
      <c r="A187" s="1" t="s">
        <v>848</v>
      </c>
      <c r="C187" s="28" t="n">
        <f aca="false">C178*Hipótesis!$E$130</f>
        <v>1821.87552770811</v>
      </c>
      <c r="D187" s="28" t="n">
        <f aca="false">D178*Hipótesis!$E$130</f>
        <v>3643.75105541622</v>
      </c>
      <c r="E187" s="28" t="n">
        <f aca="false">E178*Hipótesis!$E$130</f>
        <v>5465.62658312433</v>
      </c>
      <c r="F187" s="28" t="n">
        <f aca="false">F178*Hipótesis!$E$130</f>
        <v>7287.50211083243</v>
      </c>
      <c r="G187" s="28" t="n">
        <f aca="false">G178*Hipótesis!$E$130</f>
        <v>1366.40664578108</v>
      </c>
      <c r="H187" s="28" t="n">
        <f aca="false">H178*Hipótesis!$E$130</f>
        <v>10931.2531662487</v>
      </c>
      <c r="I187" s="28" t="n">
        <f aca="false">I178*Hipótesis!$E$130</f>
        <v>12753.1286939568</v>
      </c>
      <c r="J187" s="28" t="n">
        <f aca="false">J178*Hipótesis!$E$130</f>
        <v>14575.0042216649</v>
      </c>
      <c r="K187" s="28" t="n">
        <f aca="false">K178*Hipótesis!$E$130</f>
        <v>16396.879749373</v>
      </c>
      <c r="L187" s="28" t="n">
        <f aca="false">L178*Hipótesis!$E$130</f>
        <v>18218.7552770811</v>
      </c>
      <c r="M187" s="28" t="n">
        <f aca="false">M178*Hipótesis!$E$130</f>
        <v>20040.6308047892</v>
      </c>
      <c r="N187" s="28" t="n">
        <f aca="false">N178*Hipótesis!$E$130</f>
        <v>21862.5063324973</v>
      </c>
      <c r="O187" s="28" t="n">
        <f aca="false">O178*Hipótesis!$E$130</f>
        <v>23684.3818602054</v>
      </c>
      <c r="P187" s="28" t="n">
        <f aca="false">P178*Hipótesis!$E$130</f>
        <v>25506.2573879135</v>
      </c>
      <c r="Q187" s="28" t="n">
        <f aca="false">Q178*Hipótesis!$E$130</f>
        <v>27328.1329156216</v>
      </c>
      <c r="R187" s="28" t="n">
        <f aca="false">R178*Hipótesis!$E$130</f>
        <v>29150.0084433297</v>
      </c>
      <c r="S187" s="28" t="n">
        <f aca="false">S178*Hipótesis!$E$130</f>
        <v>4645.78259565568</v>
      </c>
      <c r="T187" s="28" t="n">
        <f aca="false">T178*Hipótesis!$E$130</f>
        <v>32793.759498746</v>
      </c>
      <c r="U187" s="28" t="n">
        <f aca="false">U178*Hipótesis!$E$130</f>
        <v>32793.759498746</v>
      </c>
      <c r="V187" s="28" t="n">
        <f aca="false">V178*Hipótesis!$E$130</f>
        <v>32793.759498746</v>
      </c>
      <c r="W187" s="28" t="n">
        <f aca="false">W178*Hipótesis!$E$130</f>
        <v>32793.759498746</v>
      </c>
      <c r="X187" s="28" t="n">
        <f aca="false">X178*Hipótesis!$E$130</f>
        <v>32793.759498746</v>
      </c>
      <c r="Y187" s="28" t="n">
        <f aca="false">Y178*Hipótesis!$E$130</f>
        <v>32793.759498746</v>
      </c>
      <c r="Z187" s="28" t="n">
        <f aca="false">Z178*Hipótesis!$E$130</f>
        <v>32793.759498746</v>
      </c>
      <c r="AA187" s="28" t="n">
        <f aca="false">AA178*Hipótesis!$E$130</f>
        <v>32793.759498746</v>
      </c>
      <c r="AB187" s="28" t="n">
        <f aca="false">AB178*Hipótesis!$E$130</f>
        <v>32793.759498746</v>
      </c>
      <c r="AC187" s="28" t="n">
        <f aca="false">AC178*Hipótesis!$E$130</f>
        <v>32793.759498746</v>
      </c>
      <c r="AD187" s="28" t="n">
        <f aca="false">AD178*Hipótesis!$E$130</f>
        <v>32793.759498746</v>
      </c>
      <c r="AE187" s="28" t="n">
        <f aca="false">AE178*Hipótesis!$E$130</f>
        <v>4919.06392481189</v>
      </c>
      <c r="AF187" s="28" t="n">
        <f aca="false">AF178*Hipótesis!$E$130</f>
        <v>32793.759498746</v>
      </c>
      <c r="AG187" s="28" t="n">
        <f aca="false">AG178*Hipótesis!$E$130</f>
        <v>32793.759498746</v>
      </c>
      <c r="AH187" s="28" t="n">
        <f aca="false">AH178*Hipótesis!$E$130</f>
        <v>32793.759498746</v>
      </c>
      <c r="AI187" s="28" t="n">
        <f aca="false">AI178*Hipótesis!$E$130</f>
        <v>32793.759498746</v>
      </c>
      <c r="AJ187" s="28" t="n">
        <f aca="false">AJ178*Hipótesis!$E$130</f>
        <v>32793.759498746</v>
      </c>
      <c r="AK187" s="28" t="n">
        <f aca="false">AK178*Hipótesis!$E$130</f>
        <v>32793.759498746</v>
      </c>
      <c r="AL187" s="28" t="n">
        <f aca="false">AL178*Hipótesis!$E$130</f>
        <v>32793.759498746</v>
      </c>
      <c r="AM187" s="28" t="n">
        <f aca="false">AM178*Hipótesis!$E$130</f>
        <v>32793.759498746</v>
      </c>
      <c r="AN187" s="28" t="n">
        <f aca="false">AN178*Hipótesis!$E$130</f>
        <v>32793.759498746</v>
      </c>
      <c r="AO187" s="28" t="n">
        <f aca="false">AO178*Hipótesis!$E$130</f>
        <v>32793.759498746</v>
      </c>
      <c r="AP187" s="28" t="n">
        <f aca="false">AP178*Hipótesis!$E$130</f>
        <v>32793.759498746</v>
      </c>
      <c r="AQ187" s="28" t="n">
        <f aca="false">AQ178*Hipótesis!$E$130</f>
        <v>4919.06392481189</v>
      </c>
      <c r="AR187" s="28" t="n">
        <f aca="false">AR178*Hipótesis!$E$130</f>
        <v>32793.759498746</v>
      </c>
      <c r="AS187" s="28" t="n">
        <f aca="false">AS178*Hipótesis!$E$130</f>
        <v>32793.759498746</v>
      </c>
      <c r="AT187" s="28" t="n">
        <f aca="false">AT178*Hipótesis!$E$130</f>
        <v>32793.759498746</v>
      </c>
      <c r="AU187" s="28" t="n">
        <f aca="false">AU178*Hipótesis!$E$130</f>
        <v>32793.759498746</v>
      </c>
      <c r="AV187" s="28" t="n">
        <f aca="false">AV178*Hipótesis!$E$130</f>
        <v>32793.759498746</v>
      </c>
      <c r="AW187" s="28" t="n">
        <f aca="false">AW178*Hipótesis!$E$130</f>
        <v>32793.759498746</v>
      </c>
      <c r="AX187" s="28" t="n">
        <f aca="false">AX178*Hipótesis!$E$130</f>
        <v>32793.759498746</v>
      </c>
      <c r="AY187" s="28" t="n">
        <f aca="false">AY178*Hipótesis!$E$130</f>
        <v>32793.759498746</v>
      </c>
      <c r="AZ187" s="28" t="n">
        <f aca="false">AZ178*Hipótesis!$E$130</f>
        <v>32793.759498746</v>
      </c>
      <c r="BA187" s="28" t="n">
        <f aca="false">BA178*Hipótesis!$E$130</f>
        <v>32793.759498746</v>
      </c>
      <c r="BB187" s="28" t="n">
        <f aca="false">BB178*Hipótesis!$E$130</f>
        <v>32793.759498746</v>
      </c>
      <c r="BC187" s="28" t="n">
        <f aca="false">BC178*Hipótesis!$E$130</f>
        <v>4919.06392481189</v>
      </c>
      <c r="BD187" s="28" t="n">
        <f aca="false">BD178*Hipótesis!$E$130</f>
        <v>32793.759498746</v>
      </c>
      <c r="BE187" s="28" t="n">
        <f aca="false">BE178*Hipótesis!$E$130</f>
        <v>32793.759498746</v>
      </c>
      <c r="BF187" s="28" t="n">
        <f aca="false">BF178*Hipótesis!$E$130</f>
        <v>32793.759498746</v>
      </c>
      <c r="BG187" s="28" t="n">
        <f aca="false">BG178*Hipótesis!$E$130</f>
        <v>32793.759498746</v>
      </c>
      <c r="BH187" s="28" t="n">
        <f aca="false">BH178*Hipótesis!$E$130</f>
        <v>32793.759498746</v>
      </c>
      <c r="BI187" s="28" t="n">
        <f aca="false">BI178*Hipótesis!$E$130</f>
        <v>32793.759498746</v>
      </c>
      <c r="BJ187" s="28" t="n">
        <f aca="false">BJ178*Hipótesis!$E$130</f>
        <v>32793.759498746</v>
      </c>
      <c r="BK187" s="28" t="n">
        <f aca="false">BK178*Hipótesis!$E$130</f>
        <v>32793.759498746</v>
      </c>
      <c r="BL187" s="28" t="n">
        <f aca="false">BL178*Hipótesis!$E$130</f>
        <v>32793.759498746</v>
      </c>
      <c r="BM187" s="28" t="n">
        <f aca="false">BM178*Hipótesis!$E$130</f>
        <v>32793.759498746</v>
      </c>
      <c r="BN187" s="28" t="n">
        <f aca="false">BN178*Hipótesis!$E$130</f>
        <v>32793.759498746</v>
      </c>
      <c r="BO187" s="28" t="n">
        <f aca="false">BO178*Hipótesis!$E$130</f>
        <v>4919.06392481189</v>
      </c>
      <c r="BP187" s="28" t="n">
        <f aca="false">BP178*Hipótesis!$E$130</f>
        <v>32793.759498746</v>
      </c>
      <c r="BQ187" s="28" t="n">
        <f aca="false">BQ178*Hipótesis!$E$130</f>
        <v>32793.759498746</v>
      </c>
      <c r="BR187" s="28" t="n">
        <f aca="false">BR178*Hipótesis!$E$130</f>
        <v>32793.759498746</v>
      </c>
      <c r="BS187" s="28" t="n">
        <f aca="false">BS178*Hipótesis!$E$130</f>
        <v>32793.759498746</v>
      </c>
      <c r="BT187" s="28" t="n">
        <f aca="false">BT178*Hipótesis!$E$130</f>
        <v>32793.759498746</v>
      </c>
      <c r="BU187" s="28" t="n">
        <f aca="false">BU178*Hipótesis!$E$130</f>
        <v>32793.759498746</v>
      </c>
      <c r="BV187" s="28" t="n">
        <f aca="false">BV178*Hipótesis!$E$130</f>
        <v>32793.759498746</v>
      </c>
      <c r="BW187" s="28" t="n">
        <f aca="false">BW178*Hipótesis!$E$130</f>
        <v>32793.759498746</v>
      </c>
      <c r="BX187" s="28" t="n">
        <f aca="false">BX178*Hipótesis!$E$130</f>
        <v>32793.759498746</v>
      </c>
      <c r="BY187" s="28" t="n">
        <f aca="false">BY178*Hipótesis!$E$130</f>
        <v>32793.759498746</v>
      </c>
      <c r="BZ187" s="28" t="n">
        <f aca="false">BZ178*Hipótesis!$E$130</f>
        <v>32793.759498746</v>
      </c>
      <c r="CA187" s="28" t="n">
        <f aca="false">CA178*Hipótesis!$E$130</f>
        <v>4919.06392481189</v>
      </c>
      <c r="CB187" s="28" t="n">
        <f aca="false">CB178*Hipótesis!$E$130</f>
        <v>32793.759498746</v>
      </c>
      <c r="CC187" s="28" t="n">
        <f aca="false">CC178*Hipótesis!$E$130</f>
        <v>32793.759498746</v>
      </c>
      <c r="CD187" s="28" t="n">
        <f aca="false">CD178*Hipótesis!$E$130</f>
        <v>32793.759498746</v>
      </c>
      <c r="CE187" s="28" t="n">
        <f aca="false">CE178*Hipótesis!$E$130</f>
        <v>32793.759498746</v>
      </c>
      <c r="CF187" s="28" t="n">
        <f aca="false">CF178*Hipótesis!$E$130</f>
        <v>32793.759498746</v>
      </c>
      <c r="CG187" s="28" t="n">
        <f aca="false">CG178*Hipótesis!$E$130</f>
        <v>32793.759498746</v>
      </c>
      <c r="CH187" s="28" t="n">
        <f aca="false">CH178*Hipótesis!$E$130</f>
        <v>32793.759498746</v>
      </c>
    </row>
    <row r="188" customFormat="false" ht="15" hidden="false" customHeight="false" outlineLevel="0" collapsed="false">
      <c r="A188" s="1" t="s">
        <v>849</v>
      </c>
      <c r="C188" s="27" t="n">
        <f aca="false">IFERROR(C187/Restaurantes!$D$22,0)</f>
        <v>62.9861893762527</v>
      </c>
      <c r="D188" s="27" t="n">
        <f aca="false">IFERROR(D187/Restaurantes!$D$22,0)</f>
        <v>125.972378752505</v>
      </c>
      <c r="E188" s="27" t="n">
        <f aca="false">IFERROR(E187/Restaurantes!$D$22,0)</f>
        <v>188.958568128758</v>
      </c>
      <c r="F188" s="27" t="n">
        <f aca="false">IFERROR(F187/Restaurantes!$D$22,0)</f>
        <v>251.944757505011</v>
      </c>
      <c r="G188" s="27" t="n">
        <f aca="false">IFERROR(G187/Restaurantes!$D$22,0)</f>
        <v>47.2396420321895</v>
      </c>
      <c r="H188" s="27" t="n">
        <f aca="false">IFERROR(H187/Restaurantes!$D$22,0)</f>
        <v>377.917136257516</v>
      </c>
      <c r="I188" s="27" t="n">
        <f aca="false">IFERROR(I187/Restaurantes!$D$22,0)</f>
        <v>440.903325633769</v>
      </c>
      <c r="J188" s="27" t="n">
        <f aca="false">IFERROR(J187/Restaurantes!$D$22,0)</f>
        <v>503.889515010021</v>
      </c>
      <c r="K188" s="27" t="n">
        <f aca="false">IFERROR(K187/Restaurantes!$D$22,0)</f>
        <v>566.875704386274</v>
      </c>
      <c r="L188" s="27" t="n">
        <f aca="false">IFERROR(L187/Restaurantes!$D$22,0)</f>
        <v>629.861893762527</v>
      </c>
      <c r="M188" s="27" t="n">
        <f aca="false">IFERROR(M187/Restaurantes!$D$22,0)</f>
        <v>692.848083138779</v>
      </c>
      <c r="N188" s="27" t="n">
        <f aca="false">IFERROR(N187/Restaurantes!$D$22,0)</f>
        <v>755.834272515032</v>
      </c>
      <c r="O188" s="27" t="n">
        <f aca="false">IFERROR(O187/Restaurantes!$D$22,0)</f>
        <v>818.820461891285</v>
      </c>
      <c r="P188" s="27" t="n">
        <f aca="false">IFERROR(P187/Restaurantes!$D$22,0)</f>
        <v>881.806651267537</v>
      </c>
      <c r="Q188" s="27" t="n">
        <f aca="false">IFERROR(Q187/Restaurantes!$D$22,0)</f>
        <v>944.79284064379</v>
      </c>
      <c r="R188" s="27" t="n">
        <f aca="false">IFERROR(R187/Restaurantes!$D$22,0)</f>
        <v>1007.77903002004</v>
      </c>
      <c r="S188" s="27" t="n">
        <f aca="false">IFERROR(S187/Restaurantes!$D$22,0)</f>
        <v>160.614782909444</v>
      </c>
      <c r="T188" s="27" t="n">
        <f aca="false">IFERROR(T187/Restaurantes!$D$22,0)</f>
        <v>1133.75140877255</v>
      </c>
      <c r="U188" s="27" t="n">
        <f aca="false">IFERROR(U187/Restaurantes!$D$22,0)</f>
        <v>1133.75140877255</v>
      </c>
      <c r="V188" s="27" t="n">
        <f aca="false">IFERROR(V187/Restaurantes!$D$22,0)</f>
        <v>1133.75140877255</v>
      </c>
      <c r="W188" s="27" t="n">
        <f aca="false">IFERROR(W187/Restaurantes!$D$22,0)</f>
        <v>1133.75140877255</v>
      </c>
      <c r="X188" s="27" t="n">
        <f aca="false">IFERROR(X187/Restaurantes!$D$22,0)</f>
        <v>1133.75140877255</v>
      </c>
      <c r="Y188" s="27" t="n">
        <f aca="false">IFERROR(Y187/Restaurantes!$D$22,0)</f>
        <v>1133.75140877255</v>
      </c>
      <c r="Z188" s="27" t="n">
        <f aca="false">IFERROR(Z187/Restaurantes!$D$22,0)</f>
        <v>1133.75140877255</v>
      </c>
      <c r="AA188" s="27" t="n">
        <f aca="false">IFERROR(AA187/Restaurantes!$D$22,0)</f>
        <v>1133.75140877255</v>
      </c>
      <c r="AB188" s="27" t="n">
        <f aca="false">IFERROR(AB187/Restaurantes!$D$22,0)</f>
        <v>1133.75140877255</v>
      </c>
      <c r="AC188" s="27" t="n">
        <f aca="false">IFERROR(AC187/Restaurantes!$D$22,0)</f>
        <v>1133.75140877255</v>
      </c>
      <c r="AD188" s="27" t="n">
        <f aca="false">IFERROR(AD187/Restaurantes!$D$22,0)</f>
        <v>1133.75140877255</v>
      </c>
      <c r="AE188" s="27" t="n">
        <f aca="false">IFERROR(AE187/Restaurantes!$D$22,0)</f>
        <v>170.062711315882</v>
      </c>
      <c r="AF188" s="27" t="n">
        <f aca="false">IFERROR(AF187/Restaurantes!$D$22,0)</f>
        <v>1133.75140877255</v>
      </c>
      <c r="AG188" s="27" t="n">
        <f aca="false">IFERROR(AG187/Restaurantes!$D$22,0)</f>
        <v>1133.75140877255</v>
      </c>
      <c r="AH188" s="27" t="n">
        <f aca="false">IFERROR(AH187/Restaurantes!$D$22,0)</f>
        <v>1133.75140877255</v>
      </c>
      <c r="AI188" s="27" t="n">
        <f aca="false">IFERROR(AI187/Restaurantes!$D$22,0)</f>
        <v>1133.75140877255</v>
      </c>
      <c r="AJ188" s="27" t="n">
        <f aca="false">IFERROR(AJ187/Restaurantes!$D$22,0)</f>
        <v>1133.75140877255</v>
      </c>
      <c r="AK188" s="27" t="n">
        <f aca="false">IFERROR(AK187/Restaurantes!$D$22,0)</f>
        <v>1133.75140877255</v>
      </c>
      <c r="AL188" s="27" t="n">
        <f aca="false">IFERROR(AL187/Restaurantes!$D$22,0)</f>
        <v>1133.75140877255</v>
      </c>
      <c r="AM188" s="27" t="n">
        <f aca="false">IFERROR(AM187/Restaurantes!$D$22,0)</f>
        <v>1133.75140877255</v>
      </c>
      <c r="AN188" s="27" t="n">
        <f aca="false">IFERROR(AN187/Restaurantes!$D$22,0)</f>
        <v>1133.75140877255</v>
      </c>
      <c r="AO188" s="27" t="n">
        <f aca="false">IFERROR(AO187/Restaurantes!$D$22,0)</f>
        <v>1133.75140877255</v>
      </c>
      <c r="AP188" s="27" t="n">
        <f aca="false">IFERROR(AP187/Restaurantes!$D$22,0)</f>
        <v>1133.75140877255</v>
      </c>
      <c r="AQ188" s="27" t="n">
        <f aca="false">IFERROR(AQ187/Restaurantes!$D$22,0)</f>
        <v>170.062711315882</v>
      </c>
      <c r="AR188" s="27" t="n">
        <f aca="false">IFERROR(AR187/Restaurantes!$D$22,0)</f>
        <v>1133.75140877255</v>
      </c>
      <c r="AS188" s="27" t="n">
        <f aca="false">IFERROR(AS187/Restaurantes!$D$22,0)</f>
        <v>1133.75140877255</v>
      </c>
      <c r="AT188" s="27" t="n">
        <f aca="false">IFERROR(AT187/Restaurantes!$D$22,0)</f>
        <v>1133.75140877255</v>
      </c>
      <c r="AU188" s="27" t="n">
        <f aca="false">IFERROR(AU187/Restaurantes!$D$22,0)</f>
        <v>1133.75140877255</v>
      </c>
      <c r="AV188" s="27" t="n">
        <f aca="false">IFERROR(AV187/Restaurantes!$D$22,0)</f>
        <v>1133.75140877255</v>
      </c>
      <c r="AW188" s="27" t="n">
        <f aca="false">IFERROR(AW187/Restaurantes!$D$22,0)</f>
        <v>1133.75140877255</v>
      </c>
      <c r="AX188" s="27" t="n">
        <f aca="false">IFERROR(AX187/Restaurantes!$D$22,0)</f>
        <v>1133.75140877255</v>
      </c>
      <c r="AY188" s="27" t="n">
        <f aca="false">IFERROR(AY187/Restaurantes!$D$22,0)</f>
        <v>1133.75140877255</v>
      </c>
      <c r="AZ188" s="27" t="n">
        <f aca="false">IFERROR(AZ187/Restaurantes!$D$22,0)</f>
        <v>1133.75140877255</v>
      </c>
      <c r="BA188" s="27" t="n">
        <f aca="false">IFERROR(BA187/Restaurantes!$D$22,0)</f>
        <v>1133.75140877255</v>
      </c>
      <c r="BB188" s="27" t="n">
        <f aca="false">IFERROR(BB187/Restaurantes!$D$22,0)</f>
        <v>1133.75140877255</v>
      </c>
      <c r="BC188" s="27" t="n">
        <f aca="false">IFERROR(BC187/Restaurantes!$D$22,0)</f>
        <v>170.062711315882</v>
      </c>
      <c r="BD188" s="27" t="n">
        <f aca="false">IFERROR(BD187/Restaurantes!$D$22,0)</f>
        <v>1133.75140877255</v>
      </c>
      <c r="BE188" s="27" t="n">
        <f aca="false">IFERROR(BE187/Restaurantes!$D$22,0)</f>
        <v>1133.75140877255</v>
      </c>
      <c r="BF188" s="27" t="n">
        <f aca="false">IFERROR(BF187/Restaurantes!$D$22,0)</f>
        <v>1133.75140877255</v>
      </c>
      <c r="BG188" s="27" t="n">
        <f aca="false">IFERROR(BG187/Restaurantes!$D$22,0)</f>
        <v>1133.75140877255</v>
      </c>
      <c r="BH188" s="27" t="n">
        <f aca="false">IFERROR(BH187/Restaurantes!$D$22,0)</f>
        <v>1133.75140877255</v>
      </c>
      <c r="BI188" s="27" t="n">
        <f aca="false">IFERROR(BI187/Restaurantes!$D$22,0)</f>
        <v>1133.75140877255</v>
      </c>
      <c r="BJ188" s="27" t="n">
        <f aca="false">IFERROR(BJ187/Restaurantes!$D$22,0)</f>
        <v>1133.75140877255</v>
      </c>
      <c r="BK188" s="27" t="n">
        <f aca="false">IFERROR(BK187/Restaurantes!$D$22,0)</f>
        <v>1133.75140877255</v>
      </c>
      <c r="BL188" s="27" t="n">
        <f aca="false">IFERROR(BL187/Restaurantes!$D$22,0)</f>
        <v>1133.75140877255</v>
      </c>
      <c r="BM188" s="27" t="n">
        <f aca="false">IFERROR(BM187/Restaurantes!$D$22,0)</f>
        <v>1133.75140877255</v>
      </c>
      <c r="BN188" s="27" t="n">
        <f aca="false">IFERROR(BN187/Restaurantes!$D$22,0)</f>
        <v>1133.75140877255</v>
      </c>
      <c r="BO188" s="27" t="n">
        <f aca="false">IFERROR(BO187/Restaurantes!$D$22,0)</f>
        <v>170.062711315882</v>
      </c>
      <c r="BP188" s="27" t="n">
        <f aca="false">IFERROR(BP187/Restaurantes!$D$22,0)</f>
        <v>1133.75140877255</v>
      </c>
      <c r="BQ188" s="27" t="n">
        <f aca="false">IFERROR(BQ187/Restaurantes!$D$22,0)</f>
        <v>1133.75140877255</v>
      </c>
      <c r="BR188" s="27" t="n">
        <f aca="false">IFERROR(BR187/Restaurantes!$D$22,0)</f>
        <v>1133.75140877255</v>
      </c>
      <c r="BS188" s="27" t="n">
        <f aca="false">IFERROR(BS187/Restaurantes!$D$22,0)</f>
        <v>1133.75140877255</v>
      </c>
      <c r="BT188" s="27" t="n">
        <f aca="false">IFERROR(BT187/Restaurantes!$D$22,0)</f>
        <v>1133.75140877255</v>
      </c>
      <c r="BU188" s="27" t="n">
        <f aca="false">IFERROR(BU187/Restaurantes!$D$22,0)</f>
        <v>1133.75140877255</v>
      </c>
      <c r="BV188" s="27" t="n">
        <f aca="false">IFERROR(BV187/Restaurantes!$D$22,0)</f>
        <v>1133.75140877255</v>
      </c>
      <c r="BW188" s="27" t="n">
        <f aca="false">IFERROR(BW187/Restaurantes!$D$22,0)</f>
        <v>1133.75140877255</v>
      </c>
      <c r="BX188" s="27" t="n">
        <f aca="false">IFERROR(BX187/Restaurantes!$D$22,0)</f>
        <v>1133.75140877255</v>
      </c>
      <c r="BY188" s="27" t="n">
        <f aca="false">IFERROR(BY187/Restaurantes!$D$22,0)</f>
        <v>1133.75140877255</v>
      </c>
      <c r="BZ188" s="27" t="n">
        <f aca="false">IFERROR(BZ187/Restaurantes!$D$22,0)</f>
        <v>1133.75140877255</v>
      </c>
      <c r="CA188" s="27" t="n">
        <f aca="false">IFERROR(CA187/Restaurantes!$D$22,0)</f>
        <v>170.062711315882</v>
      </c>
      <c r="CB188" s="27" t="n">
        <f aca="false">IFERROR(CB187/Restaurantes!$D$22,0)</f>
        <v>1133.75140877255</v>
      </c>
      <c r="CC188" s="27" t="n">
        <f aca="false">IFERROR(CC187/Restaurantes!$D$22,0)</f>
        <v>1133.75140877255</v>
      </c>
      <c r="CD188" s="27" t="n">
        <f aca="false">IFERROR(CD187/Restaurantes!$D$22,0)</f>
        <v>1133.75140877255</v>
      </c>
      <c r="CE188" s="27" t="n">
        <f aca="false">IFERROR(CE187/Restaurantes!$D$22,0)</f>
        <v>1133.75140877255</v>
      </c>
      <c r="CF188" s="27" t="n">
        <f aca="false">IFERROR(CF187/Restaurantes!$D$22,0)</f>
        <v>1133.75140877255</v>
      </c>
      <c r="CG188" s="27" t="n">
        <f aca="false">IFERROR(CG187/Restaurantes!$D$22,0)</f>
        <v>1133.75140877255</v>
      </c>
      <c r="CH188" s="27" t="n">
        <f aca="false">IFERROR(CH187/Restaurantes!$D$22,0)</f>
        <v>1133.75140877255</v>
      </c>
    </row>
    <row r="189" customFormat="false" ht="15" hidden="false" customHeight="false" outlineLevel="0" collapsed="false">
      <c r="A189" s="1" t="s">
        <v>850</v>
      </c>
      <c r="C189" s="28" t="n">
        <f aca="false">C188*Restaurantes!$D$30*Restaurantes!$D$29</f>
        <v>0</v>
      </c>
      <c r="D189" s="28" t="n">
        <f aca="false">D188*Restaurantes!$D$30*Restaurantes!$D$29</f>
        <v>0</v>
      </c>
      <c r="E189" s="28" t="n">
        <f aca="false">E188*Restaurantes!$D$30*Restaurantes!$D$29</f>
        <v>0</v>
      </c>
      <c r="F189" s="28" t="n">
        <f aca="false">F188*Restaurantes!$D$30*Restaurantes!$D$29</f>
        <v>0</v>
      </c>
      <c r="G189" s="28" t="n">
        <f aca="false">G188*Restaurantes!$D$30*Restaurantes!$D$29</f>
        <v>0</v>
      </c>
      <c r="H189" s="28" t="n">
        <f aca="false">H188*Restaurantes!$D$30*Restaurantes!$D$29</f>
        <v>0</v>
      </c>
      <c r="I189" s="28" t="n">
        <f aca="false">I188*Restaurantes!$D$30*Restaurantes!$D$29</f>
        <v>0</v>
      </c>
      <c r="J189" s="28" t="n">
        <f aca="false">J188*Restaurantes!$D$30*Restaurantes!$D$29</f>
        <v>0</v>
      </c>
      <c r="K189" s="28" t="n">
        <f aca="false">K188*Restaurantes!$D$30*Restaurantes!$D$29</f>
        <v>0</v>
      </c>
      <c r="L189" s="28" t="n">
        <f aca="false">L188*Restaurantes!$D$30*Restaurantes!$D$29</f>
        <v>0</v>
      </c>
      <c r="M189" s="28" t="n">
        <f aca="false">M188*Restaurantes!$D$30*Restaurantes!$D$29</f>
        <v>0</v>
      </c>
      <c r="N189" s="28" t="n">
        <f aca="false">N188*Restaurantes!$D$30*Restaurantes!$D$29</f>
        <v>0</v>
      </c>
      <c r="O189" s="28" t="n">
        <f aca="false">O188*Restaurantes!$D$30*Restaurantes!$D$29</f>
        <v>0</v>
      </c>
      <c r="P189" s="28" t="n">
        <f aca="false">P188*Restaurantes!$D$30*Restaurantes!$D$29</f>
        <v>0</v>
      </c>
      <c r="Q189" s="28" t="n">
        <f aca="false">Q188*Restaurantes!$D$30*Restaurantes!$D$29</f>
        <v>0</v>
      </c>
      <c r="R189" s="28" t="n">
        <f aca="false">R188*Restaurantes!$D$30*Restaurantes!$D$29</f>
        <v>0</v>
      </c>
      <c r="S189" s="28" t="n">
        <f aca="false">S188*Restaurantes!$D$30*Restaurantes!$D$29</f>
        <v>0</v>
      </c>
      <c r="T189" s="28" t="n">
        <f aca="false">T188*Restaurantes!$D$30*Restaurantes!$D$29</f>
        <v>0</v>
      </c>
      <c r="U189" s="28" t="n">
        <f aca="false">U188*Restaurantes!$D$30*Restaurantes!$D$29</f>
        <v>0</v>
      </c>
      <c r="V189" s="28" t="n">
        <f aca="false">V188*Restaurantes!$D$30*Restaurantes!$D$29</f>
        <v>0</v>
      </c>
      <c r="W189" s="28" t="n">
        <f aca="false">W188*Restaurantes!$D$30*Restaurantes!$D$29</f>
        <v>0</v>
      </c>
      <c r="X189" s="28" t="n">
        <f aca="false">X188*Restaurantes!$D$30*Restaurantes!$D$29</f>
        <v>0</v>
      </c>
      <c r="Y189" s="28" t="n">
        <f aca="false">Y188*Restaurantes!$D$30*Restaurantes!$D$29</f>
        <v>0</v>
      </c>
      <c r="Z189" s="28" t="n">
        <f aca="false">Z188*Restaurantes!$D$30*Restaurantes!$D$29</f>
        <v>0</v>
      </c>
      <c r="AA189" s="28" t="n">
        <f aca="false">AA188*Restaurantes!$D$30*Restaurantes!$D$29</f>
        <v>0</v>
      </c>
      <c r="AB189" s="28" t="n">
        <f aca="false">AB188*Restaurantes!$D$30*Restaurantes!$D$29</f>
        <v>0</v>
      </c>
      <c r="AC189" s="28" t="n">
        <f aca="false">AC188*Restaurantes!$D$30*Restaurantes!$D$29</f>
        <v>0</v>
      </c>
      <c r="AD189" s="28" t="n">
        <f aca="false">AD188*Restaurantes!$D$30*Restaurantes!$D$29</f>
        <v>0</v>
      </c>
      <c r="AE189" s="28" t="n">
        <f aca="false">AE188*Restaurantes!$D$30*Restaurantes!$D$29</f>
        <v>0</v>
      </c>
      <c r="AF189" s="28" t="n">
        <f aca="false">AF188*Restaurantes!$D$30*Restaurantes!$D$29</f>
        <v>0</v>
      </c>
      <c r="AG189" s="28" t="n">
        <f aca="false">AG188*Restaurantes!$D$30*Restaurantes!$D$29</f>
        <v>0</v>
      </c>
      <c r="AH189" s="28" t="n">
        <f aca="false">AH188*Restaurantes!$D$30*Restaurantes!$D$29</f>
        <v>0</v>
      </c>
      <c r="AI189" s="28" t="n">
        <f aca="false">AI188*Restaurantes!$D$30*Restaurantes!$D$29</f>
        <v>0</v>
      </c>
      <c r="AJ189" s="28" t="n">
        <f aca="false">AJ188*Restaurantes!$D$30*Restaurantes!$D$29</f>
        <v>0</v>
      </c>
      <c r="AK189" s="28" t="n">
        <f aca="false">AK188*Restaurantes!$D$30*Restaurantes!$D$29</f>
        <v>0</v>
      </c>
      <c r="AL189" s="28" t="n">
        <f aca="false">AL188*Restaurantes!$D$30*Restaurantes!$D$29</f>
        <v>0</v>
      </c>
      <c r="AM189" s="28" t="n">
        <f aca="false">AM188*Restaurantes!$D$30*Restaurantes!$D$29</f>
        <v>0</v>
      </c>
      <c r="AN189" s="28" t="n">
        <f aca="false">AN188*Restaurantes!$D$30*Restaurantes!$D$29</f>
        <v>0</v>
      </c>
      <c r="AO189" s="28" t="n">
        <f aca="false">AO188*Restaurantes!$D$30*Restaurantes!$D$29</f>
        <v>0</v>
      </c>
      <c r="AP189" s="28" t="n">
        <f aca="false">AP188*Restaurantes!$D$30*Restaurantes!$D$29</f>
        <v>0</v>
      </c>
      <c r="AQ189" s="28" t="n">
        <f aca="false">AQ188*Restaurantes!$D$30*Restaurantes!$D$29</f>
        <v>0</v>
      </c>
      <c r="AR189" s="28" t="n">
        <f aca="false">AR188*Restaurantes!$D$30*Restaurantes!$D$29</f>
        <v>0</v>
      </c>
      <c r="AS189" s="28" t="n">
        <f aca="false">AS188*Restaurantes!$D$30*Restaurantes!$D$29</f>
        <v>0</v>
      </c>
      <c r="AT189" s="28" t="n">
        <f aca="false">AT188*Restaurantes!$D$30*Restaurantes!$D$29</f>
        <v>0</v>
      </c>
      <c r="AU189" s="28" t="n">
        <f aca="false">AU188*Restaurantes!$D$30*Restaurantes!$D$29</f>
        <v>0</v>
      </c>
      <c r="AV189" s="28" t="n">
        <f aca="false">AV188*Restaurantes!$D$30*Restaurantes!$D$29</f>
        <v>0</v>
      </c>
      <c r="AW189" s="28" t="n">
        <f aca="false">AW188*Restaurantes!$D$30*Restaurantes!$D$29</f>
        <v>0</v>
      </c>
      <c r="AX189" s="28" t="n">
        <f aca="false">AX188*Restaurantes!$D$30*Restaurantes!$D$29</f>
        <v>0</v>
      </c>
      <c r="AY189" s="28" t="n">
        <f aca="false">AY188*Restaurantes!$D$30*Restaurantes!$D$29</f>
        <v>0</v>
      </c>
      <c r="AZ189" s="28" t="n">
        <f aca="false">AZ188*Restaurantes!$D$30*Restaurantes!$D$29</f>
        <v>0</v>
      </c>
      <c r="BA189" s="28" t="n">
        <f aca="false">BA188*Restaurantes!$D$30*Restaurantes!$D$29</f>
        <v>0</v>
      </c>
      <c r="BB189" s="28" t="n">
        <f aca="false">BB188*Restaurantes!$D$30*Restaurantes!$D$29</f>
        <v>0</v>
      </c>
      <c r="BC189" s="28" t="n">
        <f aca="false">BC188*Restaurantes!$D$30*Restaurantes!$D$29</f>
        <v>0</v>
      </c>
      <c r="BD189" s="28" t="n">
        <f aca="false">BD188*Restaurantes!$D$30*Restaurantes!$D$29</f>
        <v>0</v>
      </c>
      <c r="BE189" s="28" t="n">
        <f aca="false">BE188*Restaurantes!$D$30*Restaurantes!$D$29</f>
        <v>0</v>
      </c>
      <c r="BF189" s="28" t="n">
        <f aca="false">BF188*Restaurantes!$D$30*Restaurantes!$D$29</f>
        <v>0</v>
      </c>
      <c r="BG189" s="28" t="n">
        <f aca="false">BG188*Restaurantes!$D$30*Restaurantes!$D$29</f>
        <v>0</v>
      </c>
      <c r="BH189" s="28" t="n">
        <f aca="false">BH188*Restaurantes!$D$30*Restaurantes!$D$29</f>
        <v>0</v>
      </c>
      <c r="BI189" s="28" t="n">
        <f aca="false">BI188*Restaurantes!$D$30*Restaurantes!$D$29</f>
        <v>0</v>
      </c>
      <c r="BJ189" s="28" t="n">
        <f aca="false">BJ188*Restaurantes!$D$30*Restaurantes!$D$29</f>
        <v>0</v>
      </c>
      <c r="BK189" s="28" t="n">
        <f aca="false">BK188*Restaurantes!$D$30*Restaurantes!$D$29</f>
        <v>0</v>
      </c>
      <c r="BL189" s="28" t="n">
        <f aca="false">BL188*Restaurantes!$D$30*Restaurantes!$D$29</f>
        <v>0</v>
      </c>
      <c r="BM189" s="28" t="n">
        <f aca="false">BM188*Restaurantes!$D$30*Restaurantes!$D$29</f>
        <v>0</v>
      </c>
      <c r="BN189" s="28" t="n">
        <f aca="false">BN188*Restaurantes!$D$30*Restaurantes!$D$29</f>
        <v>0</v>
      </c>
      <c r="BO189" s="28" t="n">
        <f aca="false">BO188*Restaurantes!$D$30*Restaurantes!$D$29</f>
        <v>0</v>
      </c>
      <c r="BP189" s="28" t="n">
        <f aca="false">BP188*Restaurantes!$D$30*Restaurantes!$D$29</f>
        <v>0</v>
      </c>
      <c r="BQ189" s="28" t="n">
        <f aca="false">BQ188*Restaurantes!$D$30*Restaurantes!$D$29</f>
        <v>0</v>
      </c>
      <c r="BR189" s="28" t="n">
        <f aca="false">BR188*Restaurantes!$D$30*Restaurantes!$D$29</f>
        <v>0</v>
      </c>
      <c r="BS189" s="28" t="n">
        <f aca="false">BS188*Restaurantes!$D$30*Restaurantes!$D$29</f>
        <v>0</v>
      </c>
      <c r="BT189" s="28" t="n">
        <f aca="false">BT188*Restaurantes!$D$30*Restaurantes!$D$29</f>
        <v>0</v>
      </c>
      <c r="BU189" s="28" t="n">
        <f aca="false">BU188*Restaurantes!$D$30*Restaurantes!$D$29</f>
        <v>0</v>
      </c>
      <c r="BV189" s="28" t="n">
        <f aca="false">BV188*Restaurantes!$D$30*Restaurantes!$D$29</f>
        <v>0</v>
      </c>
      <c r="BW189" s="28" t="n">
        <f aca="false">BW188*Restaurantes!$D$30*Restaurantes!$D$29</f>
        <v>0</v>
      </c>
      <c r="BX189" s="28" t="n">
        <f aca="false">BX188*Restaurantes!$D$30*Restaurantes!$D$29</f>
        <v>0</v>
      </c>
      <c r="BY189" s="28" t="n">
        <f aca="false">BY188*Restaurantes!$D$30*Restaurantes!$D$29</f>
        <v>0</v>
      </c>
      <c r="BZ189" s="28" t="n">
        <f aca="false">BZ188*Restaurantes!$D$30*Restaurantes!$D$29</f>
        <v>0</v>
      </c>
      <c r="CA189" s="28" t="n">
        <f aca="false">CA188*Restaurantes!$D$30*Restaurantes!$D$29</f>
        <v>0</v>
      </c>
      <c r="CB189" s="28" t="n">
        <f aca="false">CB188*Restaurantes!$D$30*Restaurantes!$D$29</f>
        <v>0</v>
      </c>
      <c r="CC189" s="28" t="n">
        <f aca="false">CC188*Restaurantes!$D$30*Restaurantes!$D$29</f>
        <v>0</v>
      </c>
      <c r="CD189" s="28" t="n">
        <f aca="false">CD188*Restaurantes!$D$30*Restaurantes!$D$29</f>
        <v>0</v>
      </c>
      <c r="CE189" s="28" t="n">
        <f aca="false">CE188*Restaurantes!$D$30*Restaurantes!$D$29</f>
        <v>0</v>
      </c>
      <c r="CF189" s="28" t="n">
        <f aca="false">CF188*Restaurantes!$D$30*Restaurantes!$D$29</f>
        <v>0</v>
      </c>
      <c r="CG189" s="28" t="n">
        <f aca="false">CG188*Restaurantes!$D$30*Restaurantes!$D$29</f>
        <v>0</v>
      </c>
      <c r="CH189" s="28" t="n">
        <f aca="false">CH188*Restaurantes!$D$30*Restaurantes!$D$29</f>
        <v>0</v>
      </c>
    </row>
    <row r="190" customFormat="false" ht="15" hidden="false" customHeight="false" outlineLevel="0" collapsed="false">
      <c r="A190" s="25" t="s">
        <v>851</v>
      </c>
      <c r="C190" s="156" t="n">
        <f aca="false">C178*Hipótesis!$E$21+C189</f>
        <v>2004.06308047892</v>
      </c>
      <c r="D190" s="156" t="n">
        <f aca="false">D178*Hipótesis!$E$21+D189</f>
        <v>4008.12616095784</v>
      </c>
      <c r="E190" s="156" t="n">
        <f aca="false">E178*Hipótesis!$E$21+E189</f>
        <v>6012.18924143676</v>
      </c>
      <c r="F190" s="156" t="n">
        <f aca="false">F178*Hipótesis!$E$21+F189</f>
        <v>8016.25232191568</v>
      </c>
      <c r="G190" s="156" t="n">
        <f aca="false">G178*Hipótesis!$E$21+G189</f>
        <v>1503.04731035919</v>
      </c>
      <c r="H190" s="156" t="n">
        <f aca="false">H178*Hipótesis!$E$21+H189</f>
        <v>12024.3784828735</v>
      </c>
      <c r="I190" s="156" t="n">
        <f aca="false">I178*Hipótesis!$E$21+I189</f>
        <v>14028.4415633524</v>
      </c>
      <c r="J190" s="156" t="n">
        <f aca="false">J178*Hipótesis!$E$21+J189</f>
        <v>16032.5046438314</v>
      </c>
      <c r="K190" s="156" t="n">
        <f aca="false">K178*Hipótesis!$E$21+K189</f>
        <v>18036.5677243103</v>
      </c>
      <c r="L190" s="156" t="n">
        <f aca="false">L178*Hipótesis!$E$21+L189</f>
        <v>20040.6308047892</v>
      </c>
      <c r="M190" s="156" t="n">
        <f aca="false">M178*Hipótesis!$E$21+M189</f>
        <v>22044.6938852681</v>
      </c>
      <c r="N190" s="156" t="n">
        <f aca="false">N178*Hipótesis!$E$21+N189</f>
        <v>24048.756965747</v>
      </c>
      <c r="O190" s="156" t="n">
        <f aca="false">O178*Hipótesis!$E$21+O189</f>
        <v>26052.820046226</v>
      </c>
      <c r="P190" s="156" t="n">
        <f aca="false">P178*Hipótesis!$E$21+P189</f>
        <v>28056.8831267049</v>
      </c>
      <c r="Q190" s="156" t="n">
        <f aca="false">Q178*Hipótesis!$E$21+Q189</f>
        <v>30060.9462071838</v>
      </c>
      <c r="R190" s="156" t="n">
        <f aca="false">R178*Hipótesis!$E$21+R189</f>
        <v>32065.0092876627</v>
      </c>
      <c r="S190" s="156" t="n">
        <f aca="false">S178*Hipótesis!$E$21+S189</f>
        <v>5110.36085522124</v>
      </c>
      <c r="T190" s="156" t="n">
        <f aca="false">T178*Hipótesis!$E$21+T189</f>
        <v>36073.1354486205</v>
      </c>
      <c r="U190" s="156" t="n">
        <f aca="false">U178*Hipótesis!$E$21+U189</f>
        <v>36073.1354486205</v>
      </c>
      <c r="V190" s="156" t="n">
        <f aca="false">V178*Hipótesis!$E$21+V189</f>
        <v>36073.1354486205</v>
      </c>
      <c r="W190" s="156" t="n">
        <f aca="false">W178*Hipótesis!$E$21+W189</f>
        <v>36073.1354486205</v>
      </c>
      <c r="X190" s="156" t="n">
        <f aca="false">X178*Hipótesis!$E$21+X189</f>
        <v>36073.1354486205</v>
      </c>
      <c r="Y190" s="156" t="n">
        <f aca="false">Y178*Hipótesis!$E$21+Y189</f>
        <v>36073.1354486205</v>
      </c>
      <c r="Z190" s="156" t="n">
        <f aca="false">Z178*Hipótesis!$E$21+Z189</f>
        <v>36073.1354486205</v>
      </c>
      <c r="AA190" s="156" t="n">
        <f aca="false">AA178*Hipótesis!$E$21+AA189</f>
        <v>36073.1354486205</v>
      </c>
      <c r="AB190" s="156" t="n">
        <f aca="false">AB178*Hipótesis!$E$21+AB189</f>
        <v>36073.1354486205</v>
      </c>
      <c r="AC190" s="156" t="n">
        <f aca="false">AC178*Hipótesis!$E$21+AC189</f>
        <v>36073.1354486205</v>
      </c>
      <c r="AD190" s="156" t="n">
        <f aca="false">AD178*Hipótesis!$E$21+AD189</f>
        <v>36073.1354486205</v>
      </c>
      <c r="AE190" s="156" t="n">
        <f aca="false">AE178*Hipótesis!$E$21+AE189</f>
        <v>5410.97031729308</v>
      </c>
      <c r="AF190" s="156" t="n">
        <f aca="false">AF178*Hipótesis!$E$21+AF189</f>
        <v>36073.1354486205</v>
      </c>
      <c r="AG190" s="156" t="n">
        <f aca="false">AG178*Hipótesis!$E$21+AG189</f>
        <v>36073.1354486205</v>
      </c>
      <c r="AH190" s="156" t="n">
        <f aca="false">AH178*Hipótesis!$E$21+AH189</f>
        <v>36073.1354486205</v>
      </c>
      <c r="AI190" s="156" t="n">
        <f aca="false">AI178*Hipótesis!$E$21+AI189</f>
        <v>36073.1354486205</v>
      </c>
      <c r="AJ190" s="156" t="n">
        <f aca="false">AJ178*Hipótesis!$E$21+AJ189</f>
        <v>36073.1354486205</v>
      </c>
      <c r="AK190" s="156" t="n">
        <f aca="false">AK178*Hipótesis!$E$21+AK189</f>
        <v>36073.1354486205</v>
      </c>
      <c r="AL190" s="156" t="n">
        <f aca="false">AL178*Hipótesis!$E$21+AL189</f>
        <v>36073.1354486205</v>
      </c>
      <c r="AM190" s="156" t="n">
        <f aca="false">AM178*Hipótesis!$E$21+AM189</f>
        <v>36073.1354486205</v>
      </c>
      <c r="AN190" s="156" t="n">
        <f aca="false">AN178*Hipótesis!$E$21+AN189</f>
        <v>36073.1354486205</v>
      </c>
      <c r="AO190" s="156" t="n">
        <f aca="false">AO178*Hipótesis!$E$21+AO189</f>
        <v>36073.1354486205</v>
      </c>
      <c r="AP190" s="156" t="n">
        <f aca="false">AP178*Hipótesis!$E$21+AP189</f>
        <v>36073.1354486205</v>
      </c>
      <c r="AQ190" s="156" t="n">
        <f aca="false">AQ178*Hipótesis!$E$21+AQ189</f>
        <v>5410.97031729308</v>
      </c>
      <c r="AR190" s="156" t="n">
        <f aca="false">AR178*Hipótesis!$E$21+AR189</f>
        <v>36073.1354486205</v>
      </c>
      <c r="AS190" s="156" t="n">
        <f aca="false">AS178*Hipótesis!$E$21+AS189</f>
        <v>36073.1354486205</v>
      </c>
      <c r="AT190" s="156" t="n">
        <f aca="false">AT178*Hipótesis!$E$21+AT189</f>
        <v>36073.1354486205</v>
      </c>
      <c r="AU190" s="156" t="n">
        <f aca="false">AU178*Hipótesis!$E$21+AU189</f>
        <v>36073.1354486205</v>
      </c>
      <c r="AV190" s="156" t="n">
        <f aca="false">AV178*Hipótesis!$E$21+AV189</f>
        <v>36073.1354486205</v>
      </c>
      <c r="AW190" s="156" t="n">
        <f aca="false">AW178*Hipótesis!$E$21+AW189</f>
        <v>36073.1354486205</v>
      </c>
      <c r="AX190" s="156" t="n">
        <f aca="false">AX178*Hipótesis!$E$21+AX189</f>
        <v>36073.1354486205</v>
      </c>
      <c r="AY190" s="156" t="n">
        <f aca="false">AY178*Hipótesis!$E$21+AY189</f>
        <v>36073.1354486205</v>
      </c>
      <c r="AZ190" s="156" t="n">
        <f aca="false">AZ178*Hipótesis!$E$21+AZ189</f>
        <v>36073.1354486205</v>
      </c>
      <c r="BA190" s="156" t="n">
        <f aca="false">BA178*Hipótesis!$E$21+BA189</f>
        <v>36073.1354486205</v>
      </c>
      <c r="BB190" s="156" t="n">
        <f aca="false">BB178*Hipótesis!$E$21+BB189</f>
        <v>36073.1354486205</v>
      </c>
      <c r="BC190" s="156" t="n">
        <f aca="false">BC178*Hipótesis!$E$21+BC189</f>
        <v>5410.97031729308</v>
      </c>
      <c r="BD190" s="156" t="n">
        <f aca="false">BD178*Hipótesis!$E$21+BD189</f>
        <v>36073.1354486205</v>
      </c>
      <c r="BE190" s="156" t="n">
        <f aca="false">BE178*Hipótesis!$E$21+BE189</f>
        <v>36073.1354486205</v>
      </c>
      <c r="BF190" s="156" t="n">
        <f aca="false">BF178*Hipótesis!$E$21+BF189</f>
        <v>36073.1354486205</v>
      </c>
      <c r="BG190" s="156" t="n">
        <f aca="false">BG178*Hipótesis!$E$21+BG189</f>
        <v>36073.1354486205</v>
      </c>
      <c r="BH190" s="156" t="n">
        <f aca="false">BH178*Hipótesis!$E$21+BH189</f>
        <v>36073.1354486205</v>
      </c>
      <c r="BI190" s="156" t="n">
        <f aca="false">BI178*Hipótesis!$E$21+BI189</f>
        <v>36073.1354486205</v>
      </c>
      <c r="BJ190" s="156" t="n">
        <f aca="false">BJ178*Hipótesis!$E$21+BJ189</f>
        <v>36073.1354486205</v>
      </c>
      <c r="BK190" s="156" t="n">
        <f aca="false">BK178*Hipótesis!$E$21+BK189</f>
        <v>36073.1354486205</v>
      </c>
      <c r="BL190" s="156" t="n">
        <f aca="false">BL178*Hipótesis!$E$21+BL189</f>
        <v>36073.1354486205</v>
      </c>
      <c r="BM190" s="156" t="n">
        <f aca="false">BM178*Hipótesis!$E$21+BM189</f>
        <v>36073.1354486205</v>
      </c>
      <c r="BN190" s="156" t="n">
        <f aca="false">BN178*Hipótesis!$E$21+BN189</f>
        <v>36073.1354486205</v>
      </c>
      <c r="BO190" s="156" t="n">
        <f aca="false">BO178*Hipótesis!$E$21+BO189</f>
        <v>5410.97031729308</v>
      </c>
      <c r="BP190" s="156" t="n">
        <f aca="false">BP178*Hipótesis!$E$21+BP189</f>
        <v>36073.1354486205</v>
      </c>
      <c r="BQ190" s="156" t="n">
        <f aca="false">BQ178*Hipótesis!$E$21+BQ189</f>
        <v>36073.1354486205</v>
      </c>
      <c r="BR190" s="156" t="n">
        <f aca="false">BR178*Hipótesis!$E$21+BR189</f>
        <v>36073.1354486205</v>
      </c>
      <c r="BS190" s="156" t="n">
        <f aca="false">BS178*Hipótesis!$E$21+BS189</f>
        <v>36073.1354486205</v>
      </c>
      <c r="BT190" s="156" t="n">
        <f aca="false">BT178*Hipótesis!$E$21+BT189</f>
        <v>36073.1354486205</v>
      </c>
      <c r="BU190" s="156" t="n">
        <f aca="false">BU178*Hipótesis!$E$21+BU189</f>
        <v>36073.1354486205</v>
      </c>
      <c r="BV190" s="156" t="n">
        <f aca="false">BV178*Hipótesis!$E$21+BV189</f>
        <v>36073.1354486205</v>
      </c>
      <c r="BW190" s="156" t="n">
        <f aca="false">BW178*Hipótesis!$E$21+BW189</f>
        <v>36073.1354486205</v>
      </c>
      <c r="BX190" s="156" t="n">
        <f aca="false">BX178*Hipótesis!$E$21+BX189</f>
        <v>36073.1354486205</v>
      </c>
      <c r="BY190" s="156" t="n">
        <f aca="false">BY178*Hipótesis!$E$21+BY189</f>
        <v>36073.1354486205</v>
      </c>
      <c r="BZ190" s="156" t="n">
        <f aca="false">BZ178*Hipótesis!$E$21+BZ189</f>
        <v>36073.1354486205</v>
      </c>
      <c r="CA190" s="156" t="n">
        <f aca="false">CA178*Hipótesis!$E$21+CA189</f>
        <v>5410.97031729308</v>
      </c>
      <c r="CB190" s="156" t="n">
        <f aca="false">CB178*Hipótesis!$E$21+CB189</f>
        <v>36073.1354486205</v>
      </c>
      <c r="CC190" s="156" t="n">
        <f aca="false">CC178*Hipótesis!$E$21+CC189</f>
        <v>36073.1354486205</v>
      </c>
      <c r="CD190" s="156" t="n">
        <f aca="false">CD178*Hipótesis!$E$21+CD189</f>
        <v>36073.1354486205</v>
      </c>
      <c r="CE190" s="156" t="n">
        <f aca="false">CE178*Hipótesis!$E$21+CE189</f>
        <v>36073.1354486205</v>
      </c>
      <c r="CF190" s="156" t="n">
        <f aca="false">CF178*Hipótesis!$E$21+CF189</f>
        <v>36073.1354486205</v>
      </c>
      <c r="CG190" s="156" t="n">
        <f aca="false">CG178*Hipótesis!$E$21+CG189</f>
        <v>36073.1354486205</v>
      </c>
      <c r="CH190" s="156" t="n">
        <f aca="false">CH178*Hipótesis!$E$21+CH189</f>
        <v>36073.1354486205</v>
      </c>
    </row>
    <row r="191" customFormat="false" ht="15" hidden="false" customHeight="false" outlineLevel="0" collapsed="false">
      <c r="A191" s="1" t="s">
        <v>852</v>
      </c>
      <c r="C191" s="26" t="n">
        <f aca="false">IFERROR(C190/(C186+C190),0)</f>
        <v>0.638134918024217</v>
      </c>
      <c r="D191" s="26" t="n">
        <f aca="false">IFERROR(D190/(D186+D190),0)</f>
        <v>0.629502684903836</v>
      </c>
      <c r="E191" s="26" t="n">
        <f aca="false">IFERROR(E190/(E186+E190),0)</f>
        <v>0.550787802042293</v>
      </c>
      <c r="F191" s="26" t="n">
        <f aca="false">IFERROR(F190/(F186+F190),0)</f>
        <v>0.559494587765447</v>
      </c>
      <c r="G191" s="26" t="n">
        <f aca="false">IFERROR(G190/(G186+G190),0)</f>
        <v>0.164513452593546</v>
      </c>
      <c r="H191" s="26" t="n">
        <f aca="false">IFERROR(H190/(H186+H190),0)</f>
        <v>0.552361678033971</v>
      </c>
      <c r="I191" s="26" t="n">
        <f aca="false">IFERROR(I190/(I186+I190),0)</f>
        <v>0.541963528081093</v>
      </c>
      <c r="J191" s="26" t="n">
        <f aca="false">IFERROR(J190/(J186+J190),0)</f>
        <v>0.50731408907083</v>
      </c>
      <c r="K191" s="26" t="n">
        <f aca="false">IFERROR(K190/(K186+K190),0)</f>
        <v>0.473123030870768</v>
      </c>
      <c r="L191" s="26" t="n">
        <f aca="false">IFERROR(L190/(L186+L190),0)</f>
        <v>0.448918688307181</v>
      </c>
      <c r="M191" s="26" t="n">
        <f aca="false">IFERROR(M190/(M186+M190),0)</f>
        <v>0.442311101731374</v>
      </c>
      <c r="N191" s="26" t="n">
        <f aca="false">IFERROR(N190/(N186+N190),0)</f>
        <v>0.428568073518831</v>
      </c>
      <c r="O191" s="26" t="n">
        <f aca="false">IFERROR(O190/(O186+O190),0)</f>
        <v>0.417589313132432</v>
      </c>
      <c r="P191" s="26" t="n">
        <f aca="false">IFERROR(P190/(P186+P190),0)</f>
        <v>0.410936656927192</v>
      </c>
      <c r="Q191" s="26" t="n">
        <f aca="false">IFERROR(Q190/(Q186+Q190),0)</f>
        <v>0.405340145216198</v>
      </c>
      <c r="R191" s="26" t="n">
        <f aca="false">IFERROR(R190/(R186+R190),0)</f>
        <v>0.400566770749533</v>
      </c>
      <c r="S191" s="26" t="n">
        <f aca="false">IFERROR(S190/(S186+S190),0)</f>
        <v>0.0896913061652011</v>
      </c>
      <c r="T191" s="26" t="n">
        <f aca="false">IFERROR(T190/(T186+T190),0)</f>
        <v>0.39285617002243</v>
      </c>
      <c r="U191" s="26" t="n">
        <f aca="false">IFERROR(U190/(U186+U190),0)</f>
        <v>0.374825604528876</v>
      </c>
      <c r="V191" s="26" t="n">
        <f aca="false">IFERROR(V190/(V186+V190),0)</f>
        <v>0.358377476548711</v>
      </c>
      <c r="W191" s="26" t="n">
        <f aca="false">IFERROR(W190/(W186+W190),0)</f>
        <v>0.343312221435156</v>
      </c>
      <c r="X191" s="26" t="n">
        <f aca="false">IFERROR(X190/(X186+X190),0)</f>
        <v>0.332734257153502</v>
      </c>
      <c r="Y191" s="26" t="n">
        <f aca="false">IFERROR(Y190/(Y186+Y190),0)</f>
        <v>0.322788654733578</v>
      </c>
      <c r="Z191" s="26" t="n">
        <f aca="false">IFERROR(Z190/(Z186+Z190),0)</f>
        <v>0.314518731068809</v>
      </c>
      <c r="AA191" s="26" t="n">
        <f aca="false">IFERROR(AA190/(AA186+AA190),0)</f>
        <v>0.306661976805974</v>
      </c>
      <c r="AB191" s="26" t="n">
        <f aca="false">IFERROR(AB190/(AB186+AB190),0)</f>
        <v>0.299188183347266</v>
      </c>
      <c r="AC191" s="26" t="n">
        <f aca="false">IFERROR(AC190/(AC186+AC190),0)</f>
        <v>0.292070016938711</v>
      </c>
      <c r="AD191" s="26" t="n">
        <f aca="false">IFERROR(AD190/(AD186+AD190),0)</f>
        <v>0.285282684631769</v>
      </c>
      <c r="AE191" s="26" t="n">
        <f aca="false">IFERROR(AE190/(AE186+AE190),0)</f>
        <v>0.0548094633343754</v>
      </c>
      <c r="AF191" s="26" t="n">
        <f aca="false">IFERROR(AF190/(AF186+AF190),0)</f>
        <v>0.272612361875447</v>
      </c>
      <c r="AG191" s="26" t="n">
        <f aca="false">IFERROR(AG190/(AG186+AG190),0)</f>
        <v>0.266690079238108</v>
      </c>
      <c r="AH191" s="26" t="n">
        <f aca="false">IFERROR(AH190/(AH186+AH190),0)</f>
        <v>0.261019639108174</v>
      </c>
      <c r="AI191" s="26" t="n">
        <f aca="false">IFERROR(AI190/(AI186+AI190),0)</f>
        <v>0.255585311696352</v>
      </c>
      <c r="AJ191" s="26" t="n">
        <f aca="false">IFERROR(AJ190/(AJ186+AJ190),0)</f>
        <v>0.250372650449268</v>
      </c>
      <c r="AK191" s="26" t="n">
        <f aca="false">IFERROR(AK190/(AK186+AK190),0)</f>
        <v>0.245368363807018</v>
      </c>
      <c r="AL191" s="26" t="n">
        <f aca="false">IFERROR(AL190/(AL186+AL190),0)</f>
        <v>0.240560202038713</v>
      </c>
      <c r="AM191" s="26" t="n">
        <f aca="false">IFERROR(AM190/(AM186+AM190),0)</f>
        <v>0.235936857127522</v>
      </c>
      <c r="AN191" s="26" t="n">
        <f aca="false">IFERROR(AN190/(AN186+AN190),0)</f>
        <v>0.23148787398272</v>
      </c>
      <c r="AO191" s="26" t="n">
        <f aca="false">IFERROR(AO190/(AO186+AO190),0)</f>
        <v>0.227203571511291</v>
      </c>
      <c r="AP191" s="26" t="n">
        <f aca="false">IFERROR(AP190/(AP186+AP190),0)</f>
        <v>0.223074972294951</v>
      </c>
      <c r="AQ191" s="26" t="n">
        <f aca="false">IFERROR(AQ190/(AQ186+AQ190),0)</f>
        <v>0.0403849343169614</v>
      </c>
      <c r="AR191" s="26" t="n">
        <f aca="false">IFERROR(AR190/(AR186+AR190),0)</f>
        <v>0.215252122178381</v>
      </c>
      <c r="AS191" s="26" t="n">
        <f aca="false">IFERROR(AS190/(AS186+AS190),0)</f>
        <v>0.215252122178381</v>
      </c>
      <c r="AT191" s="26" t="n">
        <f aca="false">IFERROR(AT190/(AT186+AT190),0)</f>
        <v>0.215252122178381</v>
      </c>
      <c r="AU191" s="26" t="n">
        <f aca="false">IFERROR(AU190/(AU186+AU190),0)</f>
        <v>0.215252122178381</v>
      </c>
      <c r="AV191" s="26" t="n">
        <f aca="false">IFERROR(AV190/(AV186+AV190),0)</f>
        <v>0.215252122178381</v>
      </c>
      <c r="AW191" s="26" t="n">
        <f aca="false">IFERROR(AW190/(AW186+AW190),0)</f>
        <v>0.215252122178381</v>
      </c>
      <c r="AX191" s="26" t="n">
        <f aca="false">IFERROR(AX190/(AX186+AX190),0)</f>
        <v>0.215252122178381</v>
      </c>
      <c r="AY191" s="26" t="n">
        <f aca="false">IFERROR(AY190/(AY186+AY190),0)</f>
        <v>0.215252122178381</v>
      </c>
      <c r="AZ191" s="26" t="n">
        <f aca="false">IFERROR(AZ190/(AZ186+AZ190),0)</f>
        <v>0.215252122178381</v>
      </c>
      <c r="BA191" s="26" t="n">
        <f aca="false">IFERROR(BA190/(BA186+BA190),0)</f>
        <v>0.215252122178381</v>
      </c>
      <c r="BB191" s="26" t="n">
        <f aca="false">IFERROR(BB190/(BB186+BB190),0)</f>
        <v>0.215252122178381</v>
      </c>
      <c r="BC191" s="26" t="n">
        <f aca="false">IFERROR(BC190/(BC186+BC190),0)</f>
        <v>0.0395182468513513</v>
      </c>
      <c r="BD191" s="26" t="n">
        <f aca="false">IFERROR(BD190/(BD186+BD190),0)</f>
        <v>0.215252122178381</v>
      </c>
      <c r="BE191" s="26" t="n">
        <f aca="false">IFERROR(BE190/(BE186+BE190),0)</f>
        <v>0.215252122178381</v>
      </c>
      <c r="BF191" s="26" t="n">
        <f aca="false">IFERROR(BF190/(BF186+BF190),0)</f>
        <v>0.215252122178381</v>
      </c>
      <c r="BG191" s="26" t="n">
        <f aca="false">IFERROR(BG190/(BG186+BG190),0)</f>
        <v>0.215252122178381</v>
      </c>
      <c r="BH191" s="26" t="n">
        <f aca="false">IFERROR(BH190/(BH186+BH190),0)</f>
        <v>0.215252122178381</v>
      </c>
      <c r="BI191" s="26" t="n">
        <f aca="false">IFERROR(BI190/(BI186+BI190),0)</f>
        <v>0.215252122178381</v>
      </c>
      <c r="BJ191" s="26" t="n">
        <f aca="false">IFERROR(BJ190/(BJ186+BJ190),0)</f>
        <v>0.215252122178381</v>
      </c>
      <c r="BK191" s="26" t="n">
        <f aca="false">IFERROR(BK190/(BK186+BK190),0)</f>
        <v>0.215252122178381</v>
      </c>
      <c r="BL191" s="26" t="n">
        <f aca="false">IFERROR(BL190/(BL186+BL190),0)</f>
        <v>0.215252122178381</v>
      </c>
      <c r="BM191" s="26" t="n">
        <f aca="false">IFERROR(BM190/(BM186+BM190),0)</f>
        <v>0.215252122178381</v>
      </c>
      <c r="BN191" s="26" t="n">
        <f aca="false">IFERROR(BN190/(BN186+BN190),0)</f>
        <v>0.215252122178381</v>
      </c>
      <c r="BO191" s="26" t="n">
        <f aca="false">IFERROR(BO190/(BO186+BO190),0)</f>
        <v>0.0395182468513513</v>
      </c>
      <c r="BP191" s="26" t="n">
        <f aca="false">IFERROR(BP190/(BP186+BP190),0)</f>
        <v>0.215252122178381</v>
      </c>
      <c r="BQ191" s="26" t="n">
        <f aca="false">IFERROR(BQ190/(BQ186+BQ190),0)</f>
        <v>0.215252122178381</v>
      </c>
      <c r="BR191" s="26" t="n">
        <f aca="false">IFERROR(BR190/(BR186+BR190),0)</f>
        <v>0.215252122178381</v>
      </c>
      <c r="BS191" s="26" t="n">
        <f aca="false">IFERROR(BS190/(BS186+BS190),0)</f>
        <v>0.215252122178381</v>
      </c>
      <c r="BT191" s="26" t="n">
        <f aca="false">IFERROR(BT190/(BT186+BT190),0)</f>
        <v>0.215252122178381</v>
      </c>
      <c r="BU191" s="26" t="n">
        <f aca="false">IFERROR(BU190/(BU186+BU190),0)</f>
        <v>0.215252122178381</v>
      </c>
      <c r="BV191" s="26" t="n">
        <f aca="false">IFERROR(BV190/(BV186+BV190),0)</f>
        <v>0.215252122178381</v>
      </c>
      <c r="BW191" s="26" t="n">
        <f aca="false">IFERROR(BW190/(BW186+BW190),0)</f>
        <v>0.215252122178381</v>
      </c>
      <c r="BX191" s="26" t="n">
        <f aca="false">IFERROR(BX190/(BX186+BX190),0)</f>
        <v>0.215252122178381</v>
      </c>
      <c r="BY191" s="26" t="n">
        <f aca="false">IFERROR(BY190/(BY186+BY190),0)</f>
        <v>0.215252122178381</v>
      </c>
      <c r="BZ191" s="26" t="n">
        <f aca="false">IFERROR(BZ190/(BZ186+BZ190),0)</f>
        <v>0.215252122178381</v>
      </c>
      <c r="CA191" s="26" t="n">
        <f aca="false">IFERROR(CA190/(CA186+CA190),0)</f>
        <v>0.0395182468513513</v>
      </c>
      <c r="CB191" s="26" t="n">
        <f aca="false">IFERROR(CB190/(CB186+CB190),0)</f>
        <v>0.215252122178381</v>
      </c>
      <c r="CC191" s="26" t="n">
        <f aca="false">IFERROR(CC190/(CC186+CC190),0)</f>
        <v>0.215252122178381</v>
      </c>
      <c r="CD191" s="26" t="n">
        <f aca="false">IFERROR(CD190/(CD186+CD190),0)</f>
        <v>0.215252122178381</v>
      </c>
      <c r="CE191" s="26" t="n">
        <f aca="false">IFERROR(CE190/(CE186+CE190),0)</f>
        <v>0.215252122178381</v>
      </c>
      <c r="CF191" s="26" t="n">
        <f aca="false">IFERROR(CF190/(CF186+CF190),0)</f>
        <v>0.215252122178381</v>
      </c>
      <c r="CG191" s="26" t="n">
        <f aca="false">IFERROR(CG190/(CG186+CG190),0)</f>
        <v>0.215252122178381</v>
      </c>
      <c r="CH191" s="26" t="n">
        <f aca="false">IFERROR(CH190/(CH186+CH190),0)</f>
        <v>0.215252122178381</v>
      </c>
    </row>
    <row r="192" customFormat="false" ht="15" hidden="false" customHeight="false" outlineLevel="0" collapsed="false">
      <c r="A192" s="1" t="s">
        <v>853</v>
      </c>
      <c r="C192" s="28" t="n">
        <f aca="false">-C186*Hipótesis!$E$34</f>
        <v>-113.64375</v>
      </c>
      <c r="D192" s="28" t="n">
        <f aca="false">-D186*Hipótesis!$E$34</f>
        <v>-235.9005</v>
      </c>
      <c r="E192" s="28" t="n">
        <f aca="false">-E186*Hipótesis!$E$34</f>
        <v>-490.342875</v>
      </c>
      <c r="F192" s="28" t="n">
        <f aca="false">-F186*Hipótesis!$E$34</f>
        <v>-631.1415</v>
      </c>
      <c r="G192" s="28" t="n">
        <f aca="false">-G186*Hipótesis!$E$34</f>
        <v>-763.327125</v>
      </c>
      <c r="H192" s="28" t="n">
        <f aca="false">-H186*Hipótesis!$E$34</f>
        <v>-974.46525</v>
      </c>
      <c r="I192" s="28" t="n">
        <f aca="false">-I186*Hipótesis!$E$34</f>
        <v>-1185.603375</v>
      </c>
      <c r="J192" s="28" t="n">
        <f aca="false">-J186*Hipótesis!$E$34</f>
        <v>-1557.02144393222</v>
      </c>
      <c r="K192" s="28" t="n">
        <f aca="false">-K186*Hipótesis!$E$34</f>
        <v>-2008.57948483054</v>
      </c>
      <c r="L192" s="28" t="n">
        <f aca="false">-L186*Hipótesis!$E$34</f>
        <v>-2460.13752572887</v>
      </c>
      <c r="M192" s="28" t="n">
        <f aca="false">-M186*Hipótesis!$E$34</f>
        <v>-2779.50994162719</v>
      </c>
      <c r="N192" s="28" t="n">
        <f aca="false">-N186*Hipótesis!$E$34</f>
        <v>-3206.54485752551</v>
      </c>
      <c r="O192" s="28" t="n">
        <f aca="false">-O186*Hipótesis!$E$34</f>
        <v>-3633.57977342384</v>
      </c>
      <c r="P192" s="28" t="n">
        <f aca="false">-P186*Hipótesis!$E$34</f>
        <v>-4021.85618932216</v>
      </c>
      <c r="Q192" s="28" t="n">
        <f aca="false">-Q186*Hipótesis!$E$34</f>
        <v>-4410.13260522049</v>
      </c>
      <c r="R192" s="28" t="n">
        <f aca="false">-R186*Hipótesis!$E$34</f>
        <v>-4798.40902111881</v>
      </c>
      <c r="S192" s="28" t="n">
        <f aca="false">-S186*Hipótesis!$E$34</f>
        <v>-5186.68543701714</v>
      </c>
      <c r="T192" s="28" t="n">
        <f aca="false">-T186*Hipótesis!$E$34</f>
        <v>-5574.96185291546</v>
      </c>
      <c r="U192" s="28" t="n">
        <f aca="false">-U186*Hipótesis!$E$34</f>
        <v>-6016.66491679119</v>
      </c>
      <c r="V192" s="28" t="n">
        <f aca="false">-V186*Hipótesis!$E$34</f>
        <v>-6458.36798066692</v>
      </c>
      <c r="W192" s="28" t="n">
        <f aca="false">-W186*Hipótesis!$E$34</f>
        <v>-6900.07104454265</v>
      </c>
      <c r="X192" s="28" t="n">
        <f aca="false">-X186*Hipótesis!$E$34</f>
        <v>-7234.11160841838</v>
      </c>
      <c r="Y192" s="28" t="n">
        <f aca="false">-Y186*Hipótesis!$E$34</f>
        <v>-7568.15217229411</v>
      </c>
      <c r="Z192" s="28" t="n">
        <f aca="false">-Z186*Hipótesis!$E$34</f>
        <v>-7861.99873616984</v>
      </c>
      <c r="AA192" s="28" t="n">
        <f aca="false">-AA186*Hipótesis!$E$34</f>
        <v>-8155.84530004557</v>
      </c>
      <c r="AB192" s="28" t="n">
        <f aca="false">-AB186*Hipótesis!$E$34</f>
        <v>-8449.6918639213</v>
      </c>
      <c r="AC192" s="28" t="n">
        <f aca="false">-AC186*Hipótesis!$E$34</f>
        <v>-8743.53842779703</v>
      </c>
      <c r="AD192" s="28" t="n">
        <f aca="false">-AD186*Hipótesis!$E$34</f>
        <v>-9037.38499167276</v>
      </c>
      <c r="AE192" s="28" t="n">
        <f aca="false">-AE186*Hipótesis!$E$34</f>
        <v>-9331.23155554849</v>
      </c>
      <c r="AF192" s="28" t="n">
        <f aca="false">-AF186*Hipótesis!$E$34</f>
        <v>-9625.07811942422</v>
      </c>
      <c r="AG192" s="28" t="n">
        <f aca="false">-AG186*Hipótesis!$E$34</f>
        <v>-9918.92468329995</v>
      </c>
      <c r="AH192" s="28" t="n">
        <f aca="false">-AH186*Hipótesis!$E$34</f>
        <v>-10212.7712471757</v>
      </c>
      <c r="AI192" s="28" t="n">
        <f aca="false">-AI186*Hipótesis!$E$34</f>
        <v>-10506.6178110514</v>
      </c>
      <c r="AJ192" s="28" t="n">
        <f aca="false">-AJ186*Hipótesis!$E$34</f>
        <v>-10800.4643749271</v>
      </c>
      <c r="AK192" s="28" t="n">
        <f aca="false">-AK186*Hipótesis!$E$34</f>
        <v>-11094.3109388029</v>
      </c>
      <c r="AL192" s="28" t="n">
        <f aca="false">-AL186*Hipótesis!$E$34</f>
        <v>-11388.1575026786</v>
      </c>
      <c r="AM192" s="28" t="n">
        <f aca="false">-AM186*Hipótesis!$E$34</f>
        <v>-11682.0040665543</v>
      </c>
      <c r="AN192" s="28" t="n">
        <f aca="false">-AN186*Hipótesis!$E$34</f>
        <v>-11975.8506304301</v>
      </c>
      <c r="AO192" s="28" t="n">
        <f aca="false">-AO186*Hipótesis!$E$34</f>
        <v>-12269.6971943058</v>
      </c>
      <c r="AP192" s="28" t="n">
        <f aca="false">-AP186*Hipótesis!$E$34</f>
        <v>-12563.5437581815</v>
      </c>
      <c r="AQ192" s="28" t="n">
        <f aca="false">-AQ186*Hipótesis!$E$34</f>
        <v>-12857.3903220572</v>
      </c>
      <c r="AR192" s="28" t="n">
        <f aca="false">-AR186*Hipótesis!$E$34</f>
        <v>-13151.236885933</v>
      </c>
      <c r="AS192" s="28" t="n">
        <f aca="false">-AS186*Hipótesis!$E$34</f>
        <v>-13151.236885933</v>
      </c>
      <c r="AT192" s="28" t="n">
        <f aca="false">-AT186*Hipótesis!$E$34</f>
        <v>-13151.236885933</v>
      </c>
      <c r="AU192" s="28" t="n">
        <f aca="false">-AU186*Hipótesis!$E$34</f>
        <v>-13151.236885933</v>
      </c>
      <c r="AV192" s="28" t="n">
        <f aca="false">-AV186*Hipótesis!$E$34</f>
        <v>-13151.236885933</v>
      </c>
      <c r="AW192" s="28" t="n">
        <f aca="false">-AW186*Hipótesis!$E$34</f>
        <v>-13151.236885933</v>
      </c>
      <c r="AX192" s="28" t="n">
        <f aca="false">-AX186*Hipótesis!$E$34</f>
        <v>-13151.236885933</v>
      </c>
      <c r="AY192" s="28" t="n">
        <f aca="false">-AY186*Hipótesis!$E$34</f>
        <v>-13151.236885933</v>
      </c>
      <c r="AZ192" s="28" t="n">
        <f aca="false">-AZ186*Hipótesis!$E$34</f>
        <v>-13151.236885933</v>
      </c>
      <c r="BA192" s="28" t="n">
        <f aca="false">-BA186*Hipótesis!$E$34</f>
        <v>-13151.236885933</v>
      </c>
      <c r="BB192" s="28" t="n">
        <f aca="false">-BB186*Hipótesis!$E$34</f>
        <v>-13151.236885933</v>
      </c>
      <c r="BC192" s="28" t="n">
        <f aca="false">-BC186*Hipótesis!$E$34</f>
        <v>-13151.236885933</v>
      </c>
      <c r="BD192" s="28" t="n">
        <f aca="false">-BD186*Hipótesis!$E$34</f>
        <v>-13151.236885933</v>
      </c>
      <c r="BE192" s="28" t="n">
        <f aca="false">-BE186*Hipótesis!$E$34</f>
        <v>-13151.236885933</v>
      </c>
      <c r="BF192" s="28" t="n">
        <f aca="false">-BF186*Hipótesis!$E$34</f>
        <v>-13151.236885933</v>
      </c>
      <c r="BG192" s="28" t="n">
        <f aca="false">-BG186*Hipótesis!$E$34</f>
        <v>-13151.236885933</v>
      </c>
      <c r="BH192" s="28" t="n">
        <f aca="false">-BH186*Hipótesis!$E$34</f>
        <v>-13151.236885933</v>
      </c>
      <c r="BI192" s="28" t="n">
        <f aca="false">-BI186*Hipótesis!$E$34</f>
        <v>-13151.236885933</v>
      </c>
      <c r="BJ192" s="28" t="n">
        <f aca="false">-BJ186*Hipótesis!$E$34</f>
        <v>-13151.236885933</v>
      </c>
      <c r="BK192" s="28" t="n">
        <f aca="false">-BK186*Hipótesis!$E$34</f>
        <v>-13151.236885933</v>
      </c>
      <c r="BL192" s="28" t="n">
        <f aca="false">-BL186*Hipótesis!$E$34</f>
        <v>-13151.236885933</v>
      </c>
      <c r="BM192" s="28" t="n">
        <f aca="false">-BM186*Hipótesis!$E$34</f>
        <v>-13151.236885933</v>
      </c>
      <c r="BN192" s="28" t="n">
        <f aca="false">-BN186*Hipótesis!$E$34</f>
        <v>-13151.236885933</v>
      </c>
      <c r="BO192" s="28" t="n">
        <f aca="false">-BO186*Hipótesis!$E$34</f>
        <v>-13151.236885933</v>
      </c>
      <c r="BP192" s="28" t="n">
        <f aca="false">-BP186*Hipótesis!$E$34</f>
        <v>-13151.236885933</v>
      </c>
      <c r="BQ192" s="28" t="n">
        <f aca="false">-BQ186*Hipótesis!$E$34</f>
        <v>-13151.236885933</v>
      </c>
      <c r="BR192" s="28" t="n">
        <f aca="false">-BR186*Hipótesis!$E$34</f>
        <v>-13151.236885933</v>
      </c>
      <c r="BS192" s="28" t="n">
        <f aca="false">-BS186*Hipótesis!$E$34</f>
        <v>-13151.236885933</v>
      </c>
      <c r="BT192" s="28" t="n">
        <f aca="false">-BT186*Hipótesis!$E$34</f>
        <v>-13151.236885933</v>
      </c>
      <c r="BU192" s="28" t="n">
        <f aca="false">-BU186*Hipótesis!$E$34</f>
        <v>-13151.236885933</v>
      </c>
      <c r="BV192" s="28" t="n">
        <f aca="false">-BV186*Hipótesis!$E$34</f>
        <v>-13151.236885933</v>
      </c>
      <c r="BW192" s="28" t="n">
        <f aca="false">-BW186*Hipótesis!$E$34</f>
        <v>-13151.236885933</v>
      </c>
      <c r="BX192" s="28" t="n">
        <f aca="false">-BX186*Hipótesis!$E$34</f>
        <v>-13151.236885933</v>
      </c>
      <c r="BY192" s="28" t="n">
        <f aca="false">-BY186*Hipótesis!$E$34</f>
        <v>-13151.236885933</v>
      </c>
      <c r="BZ192" s="28" t="n">
        <f aca="false">-BZ186*Hipótesis!$E$34</f>
        <v>-13151.236885933</v>
      </c>
      <c r="CA192" s="28" t="n">
        <f aca="false">-CA186*Hipótesis!$E$34</f>
        <v>-13151.236885933</v>
      </c>
      <c r="CB192" s="28" t="n">
        <f aca="false">-CB186*Hipótesis!$E$34</f>
        <v>-13151.236885933</v>
      </c>
      <c r="CC192" s="28" t="n">
        <f aca="false">-CC186*Hipótesis!$E$34</f>
        <v>-13151.236885933</v>
      </c>
      <c r="CD192" s="28" t="n">
        <f aca="false">-CD186*Hipótesis!$E$34</f>
        <v>-13151.236885933</v>
      </c>
      <c r="CE192" s="28" t="n">
        <f aca="false">-CE186*Hipótesis!$E$34</f>
        <v>-13151.236885933</v>
      </c>
      <c r="CF192" s="28" t="n">
        <f aca="false">-CF186*Hipótesis!$E$34</f>
        <v>-13151.236885933</v>
      </c>
      <c r="CG192" s="28" t="n">
        <f aca="false">-CG186*Hipótesis!$E$34</f>
        <v>-13151.236885933</v>
      </c>
      <c r="CH192" s="28" t="n">
        <f aca="false">-CH186*Hipótesis!$E$34</f>
        <v>-13151.236885933</v>
      </c>
    </row>
    <row r="193" customFormat="false" ht="15" hidden="false" customHeight="false" outlineLevel="0" collapsed="false">
      <c r="A193" s="1" t="s">
        <v>854</v>
      </c>
      <c r="C193" s="28" t="n">
        <f aca="false">-C190*Restaurantes!$D$27</f>
        <v>-200.406308047892</v>
      </c>
      <c r="D193" s="28" t="n">
        <f aca="false">-D190*Restaurantes!$D$27</f>
        <v>-400.812616095784</v>
      </c>
      <c r="E193" s="28" t="n">
        <f aca="false">-E190*Restaurantes!$D$27</f>
        <v>-601.218924143676</v>
      </c>
      <c r="F193" s="28" t="n">
        <f aca="false">-F190*Restaurantes!$D$27</f>
        <v>-801.625232191568</v>
      </c>
      <c r="G193" s="28" t="n">
        <f aca="false">-G190*Restaurantes!$D$27</f>
        <v>-150.304731035919</v>
      </c>
      <c r="H193" s="28" t="n">
        <f aca="false">-H190*Restaurantes!$D$27</f>
        <v>-1202.43784828735</v>
      </c>
      <c r="I193" s="28" t="n">
        <f aca="false">-I190*Restaurantes!$D$27</f>
        <v>-1402.84415633524</v>
      </c>
      <c r="J193" s="28" t="n">
        <f aca="false">-J190*Restaurantes!$D$27</f>
        <v>-1603.25046438314</v>
      </c>
      <c r="K193" s="28" t="n">
        <f aca="false">-K190*Restaurantes!$D$27</f>
        <v>-1803.65677243103</v>
      </c>
      <c r="L193" s="28" t="n">
        <f aca="false">-L190*Restaurantes!$D$27</f>
        <v>-2004.06308047892</v>
      </c>
      <c r="M193" s="28" t="n">
        <f aca="false">-M190*Restaurantes!$D$27</f>
        <v>-2204.46938852681</v>
      </c>
      <c r="N193" s="28" t="n">
        <f aca="false">-N190*Restaurantes!$D$27</f>
        <v>-2404.8756965747</v>
      </c>
      <c r="O193" s="28" t="n">
        <f aca="false">-O190*Restaurantes!$D$27</f>
        <v>-2605.2820046226</v>
      </c>
      <c r="P193" s="28" t="n">
        <f aca="false">-P190*Restaurantes!$D$27</f>
        <v>-2805.68831267049</v>
      </c>
      <c r="Q193" s="28" t="n">
        <f aca="false">-Q190*Restaurantes!$D$27</f>
        <v>-3006.09462071838</v>
      </c>
      <c r="R193" s="28" t="n">
        <f aca="false">-R190*Restaurantes!$D$27</f>
        <v>-3206.50092876627</v>
      </c>
      <c r="S193" s="28" t="n">
        <f aca="false">-S190*Restaurantes!$D$27</f>
        <v>-511.036085522124</v>
      </c>
      <c r="T193" s="28" t="n">
        <f aca="false">-T190*Restaurantes!$D$27</f>
        <v>-3607.31354486205</v>
      </c>
      <c r="U193" s="28" t="n">
        <f aca="false">-U190*Restaurantes!$D$27</f>
        <v>-3607.31354486205</v>
      </c>
      <c r="V193" s="28" t="n">
        <f aca="false">-V190*Restaurantes!$D$27</f>
        <v>-3607.31354486205</v>
      </c>
      <c r="W193" s="28" t="n">
        <f aca="false">-W190*Restaurantes!$D$27</f>
        <v>-3607.31354486205</v>
      </c>
      <c r="X193" s="28" t="n">
        <f aca="false">-X190*Restaurantes!$D$27</f>
        <v>-3607.31354486205</v>
      </c>
      <c r="Y193" s="28" t="n">
        <f aca="false">-Y190*Restaurantes!$D$27</f>
        <v>-3607.31354486205</v>
      </c>
      <c r="Z193" s="28" t="n">
        <f aca="false">-Z190*Restaurantes!$D$27</f>
        <v>-3607.31354486205</v>
      </c>
      <c r="AA193" s="28" t="n">
        <f aca="false">-AA190*Restaurantes!$D$27</f>
        <v>-3607.31354486205</v>
      </c>
      <c r="AB193" s="28" t="n">
        <f aca="false">-AB190*Restaurantes!$D$27</f>
        <v>-3607.31354486205</v>
      </c>
      <c r="AC193" s="28" t="n">
        <f aca="false">-AC190*Restaurantes!$D$27</f>
        <v>-3607.31354486205</v>
      </c>
      <c r="AD193" s="28" t="n">
        <f aca="false">-AD190*Restaurantes!$D$27</f>
        <v>-3607.31354486205</v>
      </c>
      <c r="AE193" s="28" t="n">
        <f aca="false">-AE190*Restaurantes!$D$27</f>
        <v>-541.097031729308</v>
      </c>
      <c r="AF193" s="28" t="n">
        <f aca="false">-AF190*Restaurantes!$D$27</f>
        <v>-3607.31354486205</v>
      </c>
      <c r="AG193" s="28" t="n">
        <f aca="false">-AG190*Restaurantes!$D$27</f>
        <v>-3607.31354486205</v>
      </c>
      <c r="AH193" s="28" t="n">
        <f aca="false">-AH190*Restaurantes!$D$27</f>
        <v>-3607.31354486205</v>
      </c>
      <c r="AI193" s="28" t="n">
        <f aca="false">-AI190*Restaurantes!$D$27</f>
        <v>-3607.31354486205</v>
      </c>
      <c r="AJ193" s="28" t="n">
        <f aca="false">-AJ190*Restaurantes!$D$27</f>
        <v>-3607.31354486205</v>
      </c>
      <c r="AK193" s="28" t="n">
        <f aca="false">-AK190*Restaurantes!$D$27</f>
        <v>-3607.31354486205</v>
      </c>
      <c r="AL193" s="28" t="n">
        <f aca="false">-AL190*Restaurantes!$D$27</f>
        <v>-3607.31354486205</v>
      </c>
      <c r="AM193" s="28" t="n">
        <f aca="false">-AM190*Restaurantes!$D$27</f>
        <v>-3607.31354486205</v>
      </c>
      <c r="AN193" s="28" t="n">
        <f aca="false">-AN190*Restaurantes!$D$27</f>
        <v>-3607.31354486205</v>
      </c>
      <c r="AO193" s="28" t="n">
        <f aca="false">-AO190*Restaurantes!$D$27</f>
        <v>-3607.31354486205</v>
      </c>
      <c r="AP193" s="28" t="n">
        <f aca="false">-AP190*Restaurantes!$D$27</f>
        <v>-3607.31354486205</v>
      </c>
      <c r="AQ193" s="28" t="n">
        <f aca="false">-AQ190*Restaurantes!$D$27</f>
        <v>-541.097031729308</v>
      </c>
      <c r="AR193" s="28" t="n">
        <f aca="false">-AR190*Restaurantes!$D$27</f>
        <v>-3607.31354486205</v>
      </c>
      <c r="AS193" s="28" t="n">
        <f aca="false">-AS190*Restaurantes!$D$27</f>
        <v>-3607.31354486205</v>
      </c>
      <c r="AT193" s="28" t="n">
        <f aca="false">-AT190*Restaurantes!$D$27</f>
        <v>-3607.31354486205</v>
      </c>
      <c r="AU193" s="28" t="n">
        <f aca="false">-AU190*Restaurantes!$D$27</f>
        <v>-3607.31354486205</v>
      </c>
      <c r="AV193" s="28" t="n">
        <f aca="false">-AV190*Restaurantes!$D$27</f>
        <v>-3607.31354486205</v>
      </c>
      <c r="AW193" s="28" t="n">
        <f aca="false">-AW190*Restaurantes!$D$27</f>
        <v>-3607.31354486205</v>
      </c>
      <c r="AX193" s="28" t="n">
        <f aca="false">-AX190*Restaurantes!$D$27</f>
        <v>-3607.31354486205</v>
      </c>
      <c r="AY193" s="28" t="n">
        <f aca="false">-AY190*Restaurantes!$D$27</f>
        <v>-3607.31354486205</v>
      </c>
      <c r="AZ193" s="28" t="n">
        <f aca="false">-AZ190*Restaurantes!$D$27</f>
        <v>-3607.31354486205</v>
      </c>
      <c r="BA193" s="28" t="n">
        <f aca="false">-BA190*Restaurantes!$D$27</f>
        <v>-3607.31354486205</v>
      </c>
      <c r="BB193" s="28" t="n">
        <f aca="false">-BB190*Restaurantes!$D$27</f>
        <v>-3607.31354486205</v>
      </c>
      <c r="BC193" s="28" t="n">
        <f aca="false">-BC190*Restaurantes!$D$27</f>
        <v>-541.097031729308</v>
      </c>
      <c r="BD193" s="28" t="n">
        <f aca="false">-BD190*Restaurantes!$D$27</f>
        <v>-3607.31354486205</v>
      </c>
      <c r="BE193" s="28" t="n">
        <f aca="false">-BE190*Restaurantes!$D$27</f>
        <v>-3607.31354486205</v>
      </c>
      <c r="BF193" s="28" t="n">
        <f aca="false">-BF190*Restaurantes!$D$27</f>
        <v>-3607.31354486205</v>
      </c>
      <c r="BG193" s="28" t="n">
        <f aca="false">-BG190*Restaurantes!$D$27</f>
        <v>-3607.31354486205</v>
      </c>
      <c r="BH193" s="28" t="n">
        <f aca="false">-BH190*Restaurantes!$D$27</f>
        <v>-3607.31354486205</v>
      </c>
      <c r="BI193" s="28" t="n">
        <f aca="false">-BI190*Restaurantes!$D$27</f>
        <v>-3607.31354486205</v>
      </c>
      <c r="BJ193" s="28" t="n">
        <f aca="false">-BJ190*Restaurantes!$D$27</f>
        <v>-3607.31354486205</v>
      </c>
      <c r="BK193" s="28" t="n">
        <f aca="false">-BK190*Restaurantes!$D$27</f>
        <v>-3607.31354486205</v>
      </c>
      <c r="BL193" s="28" t="n">
        <f aca="false">-BL190*Restaurantes!$D$27</f>
        <v>-3607.31354486205</v>
      </c>
      <c r="BM193" s="28" t="n">
        <f aca="false">-BM190*Restaurantes!$D$27</f>
        <v>-3607.31354486205</v>
      </c>
      <c r="BN193" s="28" t="n">
        <f aca="false">-BN190*Restaurantes!$D$27</f>
        <v>-3607.31354486205</v>
      </c>
      <c r="BO193" s="28" t="n">
        <f aca="false">-BO190*Restaurantes!$D$27</f>
        <v>-541.097031729308</v>
      </c>
      <c r="BP193" s="28" t="n">
        <f aca="false">-BP190*Restaurantes!$D$27</f>
        <v>-3607.31354486205</v>
      </c>
      <c r="BQ193" s="28" t="n">
        <f aca="false">-BQ190*Restaurantes!$D$27</f>
        <v>-3607.31354486205</v>
      </c>
      <c r="BR193" s="28" t="n">
        <f aca="false">-BR190*Restaurantes!$D$27</f>
        <v>-3607.31354486205</v>
      </c>
      <c r="BS193" s="28" t="n">
        <f aca="false">-BS190*Restaurantes!$D$27</f>
        <v>-3607.31354486205</v>
      </c>
      <c r="BT193" s="28" t="n">
        <f aca="false">-BT190*Restaurantes!$D$27</f>
        <v>-3607.31354486205</v>
      </c>
      <c r="BU193" s="28" t="n">
        <f aca="false">-BU190*Restaurantes!$D$27</f>
        <v>-3607.31354486205</v>
      </c>
      <c r="BV193" s="28" t="n">
        <f aca="false">-BV190*Restaurantes!$D$27</f>
        <v>-3607.31354486205</v>
      </c>
      <c r="BW193" s="28" t="n">
        <f aca="false">-BW190*Restaurantes!$D$27</f>
        <v>-3607.31354486205</v>
      </c>
      <c r="BX193" s="28" t="n">
        <f aca="false">-BX190*Restaurantes!$D$27</f>
        <v>-3607.31354486205</v>
      </c>
      <c r="BY193" s="28" t="n">
        <f aca="false">-BY190*Restaurantes!$D$27</f>
        <v>-3607.31354486205</v>
      </c>
      <c r="BZ193" s="28" t="n">
        <f aca="false">-BZ190*Restaurantes!$D$27</f>
        <v>-3607.31354486205</v>
      </c>
      <c r="CA193" s="28" t="n">
        <f aca="false">-CA190*Restaurantes!$D$27</f>
        <v>-541.097031729308</v>
      </c>
      <c r="CB193" s="28" t="n">
        <f aca="false">-CB190*Restaurantes!$D$27</f>
        <v>-3607.31354486205</v>
      </c>
      <c r="CC193" s="28" t="n">
        <f aca="false">-CC190*Restaurantes!$D$27</f>
        <v>-3607.31354486205</v>
      </c>
      <c r="CD193" s="28" t="n">
        <f aca="false">-CD190*Restaurantes!$D$27</f>
        <v>-3607.31354486205</v>
      </c>
      <c r="CE193" s="28" t="n">
        <f aca="false">-CE190*Restaurantes!$D$27</f>
        <v>-3607.31354486205</v>
      </c>
      <c r="CF193" s="28" t="n">
        <f aca="false">-CF190*Restaurantes!$D$27</f>
        <v>-3607.31354486205</v>
      </c>
      <c r="CG193" s="28" t="n">
        <f aca="false">-CG190*Restaurantes!$D$27</f>
        <v>-3607.31354486205</v>
      </c>
      <c r="CH193" s="28" t="n">
        <f aca="false">-CH190*Restaurantes!$D$27</f>
        <v>-3607.31354486205</v>
      </c>
    </row>
    <row r="194" customFormat="false" ht="15" hidden="false" customHeight="false" outlineLevel="0" collapsed="false">
      <c r="A194" s="1" t="s">
        <v>855</v>
      </c>
      <c r="C194" s="28" t="n">
        <f aca="false">-(C19*C21*Hipótesis!$E$18+C23*Hipótesis!$E$22)</f>
        <v>-122.978289049587</v>
      </c>
      <c r="D194" s="28" t="n">
        <f aca="false">-(D19*D21*Hipótesis!$E$18+D23*Hipótesis!$E$22)</f>
        <v>-259.432940695187</v>
      </c>
      <c r="E194" s="28" t="n">
        <f aca="false">-(E19*E21*Hipótesis!$E$18+E23*Hipótesis!$E$22)</f>
        <v>-589.522914637444</v>
      </c>
      <c r="F194" s="28" t="n">
        <f aca="false">-(F19*F21*Hipótesis!$E$18+F23*Hipótesis!$E$22)</f>
        <v>-796.634599530114</v>
      </c>
      <c r="G194" s="28" t="n">
        <f aca="false">-(G19*G21*Hipótesis!$E$18+G23*Hipótesis!$E$22)</f>
        <v>-990.26992182677</v>
      </c>
      <c r="H194" s="28" t="n">
        <f aca="false">-(H19*H21*Hipótesis!$E$18+H23*Hipótesis!$E$22)</f>
        <v>-1338.32189886942</v>
      </c>
      <c r="I194" s="28" t="n">
        <f aca="false">-(I19*I21*Hipótesis!$E$18+I23*Hipótesis!$E$22)</f>
        <v>-1686.37387591206</v>
      </c>
      <c r="J194" s="28" t="n">
        <f aca="false">-(J19*J21*Hipótesis!$E$18+J23*Hipótesis!$E$22)</f>
        <v>-2243.1187964647</v>
      </c>
      <c r="K194" s="28" t="n">
        <f aca="false">-(K19*K21*Hipótesis!$E$18+K23*Hipótesis!$E$22)</f>
        <v>-2904.21018877233</v>
      </c>
      <c r="L194" s="28" t="n">
        <f aca="false">-(L19*L21*Hipótesis!$E$18+L23*Hipótesis!$E$22)</f>
        <v>-3565.30158107997</v>
      </c>
      <c r="M194" s="28" t="n">
        <f aca="false">-(M19*M21*Hipótesis!$E$18+M23*Hipótesis!$E$22)</f>
        <v>-4032.75765109095</v>
      </c>
      <c r="N194" s="28" t="n">
        <f aca="false">-(N19*N21*Hipótesis!$E$18+N23*Hipótesis!$E$22)</f>
        <v>-4724.81976436882</v>
      </c>
      <c r="O194" s="28" t="n">
        <f aca="false">-(O19*O21*Hipótesis!$E$18+O23*Hipótesis!$E$22)</f>
        <v>-5416.88187764669</v>
      </c>
      <c r="P194" s="28" t="n">
        <f aca="false">-(P19*P21*Hipótesis!$E$18+P23*Hipótesis!$E$22)</f>
        <v>-6044.36975348533</v>
      </c>
      <c r="Q194" s="28" t="n">
        <f aca="false">-(Q19*Q21*Hipótesis!$E$18+Q23*Hipótesis!$E$22)</f>
        <v>-6671.85762932397</v>
      </c>
      <c r="R194" s="28" t="n">
        <f aca="false">-(R19*R21*Hipótesis!$E$18+R23*Hipótesis!$E$22)</f>
        <v>-7299.34550516261</v>
      </c>
      <c r="S194" s="28" t="n">
        <f aca="false">-(S19*S21*Hipótesis!$E$18+S23*Hipótesis!$E$22)</f>
        <v>-7926.83338100125</v>
      </c>
      <c r="T194" s="28" t="n">
        <f aca="false">-(T19*T21*Hipótesis!$E$18+T23*Hipótesis!$E$22)</f>
        <v>-8554.32125683989</v>
      </c>
      <c r="U194" s="28" t="n">
        <f aca="false">-(U19*U21*Hipótesis!$E$18+U23*Hipótesis!$E$22)</f>
        <v>-9251.37344718186</v>
      </c>
      <c r="V194" s="28" t="n">
        <f aca="false">-(V19*V21*Hipótesis!$E$18+V23*Hipótesis!$E$22)</f>
        <v>-9948.42563752383</v>
      </c>
      <c r="W194" s="28" t="n">
        <f aca="false">-(W19*W21*Hipótesis!$E$18+W23*Hipótesis!$E$22)</f>
        <v>-10645.4778278658</v>
      </c>
      <c r="X194" s="28" t="n">
        <f aca="false">-(X19*X21*Hipótesis!$E$18+X23*Hipótesis!$E$22)</f>
        <v>-11117.9239749409</v>
      </c>
      <c r="Y194" s="28" t="n">
        <f aca="false">-(Y19*Y21*Hipótesis!$E$18+Y23*Hipótesis!$E$22)</f>
        <v>-11590.370122016</v>
      </c>
      <c r="Z194" s="28" t="n">
        <f aca="false">-(Z19*Z21*Hipótesis!$E$18+Z23*Hipótesis!$E$22)</f>
        <v>-11972.9738517843</v>
      </c>
      <c r="AA194" s="28" t="n">
        <f aca="false">-(AA19*AA21*Hipótesis!$E$18+AA23*Hipótesis!$E$22)</f>
        <v>-12355.5775815526</v>
      </c>
      <c r="AB194" s="28" t="n">
        <f aca="false">-(AB19*AB21*Hipótesis!$E$18+AB23*Hipótesis!$E$22)</f>
        <v>-12738.1813113209</v>
      </c>
      <c r="AC194" s="28" t="n">
        <f aca="false">-(AC19*AC21*Hipótesis!$E$18+AC23*Hipótesis!$E$22)</f>
        <v>-13120.7850410892</v>
      </c>
      <c r="AD194" s="28" t="n">
        <f aca="false">-(AD19*AD21*Hipótesis!$E$18+AD23*Hipótesis!$E$22)</f>
        <v>-13503.3887708576</v>
      </c>
      <c r="AE194" s="28" t="n">
        <f aca="false">-(AE19*AE21*Hipótesis!$E$18+AE23*Hipótesis!$E$22)</f>
        <v>-13885.9925006259</v>
      </c>
      <c r="AF194" s="28" t="n">
        <f aca="false">-(AF19*AF21*Hipótesis!$E$18+AF23*Hipótesis!$E$22)</f>
        <v>-14268.5962303942</v>
      </c>
      <c r="AG194" s="28" t="n">
        <f aca="false">-(AG19*AG21*Hipótesis!$E$18+AG23*Hipótesis!$E$22)</f>
        <v>-14651.1999601625</v>
      </c>
      <c r="AH194" s="28" t="n">
        <f aca="false">-(AH19*AH21*Hipótesis!$E$18+AH23*Hipótesis!$E$22)</f>
        <v>-15033.8036899308</v>
      </c>
      <c r="AI194" s="28" t="n">
        <f aca="false">-(AI19*AI21*Hipótesis!$E$18+AI23*Hipótesis!$E$22)</f>
        <v>-15416.4074196991</v>
      </c>
      <c r="AJ194" s="28" t="n">
        <f aca="false">-(AJ19*AJ21*Hipótesis!$E$18+AJ23*Hipótesis!$E$22)</f>
        <v>-15799.0111494675</v>
      </c>
      <c r="AK194" s="28" t="n">
        <f aca="false">-(AK19*AK21*Hipótesis!$E$18+AK23*Hipótesis!$E$22)</f>
        <v>-16181.6148792358</v>
      </c>
      <c r="AL194" s="28" t="n">
        <f aca="false">-(AL19*AL21*Hipótesis!$E$18+AL23*Hipótesis!$E$22)</f>
        <v>-16564.2186090041</v>
      </c>
      <c r="AM194" s="28" t="n">
        <f aca="false">-(AM19*AM21*Hipótesis!$E$18+AM23*Hipótesis!$E$22)</f>
        <v>-16946.8223387724</v>
      </c>
      <c r="AN194" s="28" t="n">
        <f aca="false">-(AN19*AN21*Hipótesis!$E$18+AN23*Hipótesis!$E$22)</f>
        <v>-17329.4260685407</v>
      </c>
      <c r="AO194" s="28" t="n">
        <f aca="false">-(AO19*AO21*Hipótesis!$E$18+AO23*Hipótesis!$E$22)</f>
        <v>-17712.0297983091</v>
      </c>
      <c r="AP194" s="28" t="n">
        <f aca="false">-(AP19*AP21*Hipótesis!$E$18+AP23*Hipótesis!$E$22)</f>
        <v>-18094.6335280774</v>
      </c>
      <c r="AQ194" s="28" t="n">
        <f aca="false">-(AQ19*AQ21*Hipótesis!$E$18+AQ23*Hipótesis!$E$22)</f>
        <v>-18477.2372578457</v>
      </c>
      <c r="AR194" s="28" t="n">
        <f aca="false">-(AR19*AR21*Hipótesis!$E$18+AR23*Hipótesis!$E$22)</f>
        <v>-18859.840987614</v>
      </c>
      <c r="AS194" s="28" t="n">
        <f aca="false">-(AS19*AS21*Hipótesis!$E$18+AS23*Hipótesis!$E$22)</f>
        <v>-18859.840987614</v>
      </c>
      <c r="AT194" s="28" t="n">
        <f aca="false">-(AT19*AT21*Hipótesis!$E$18+AT23*Hipótesis!$E$22)</f>
        <v>-18859.840987614</v>
      </c>
      <c r="AU194" s="28" t="n">
        <f aca="false">-(AU19*AU21*Hipótesis!$E$18+AU23*Hipótesis!$E$22)</f>
        <v>-18859.840987614</v>
      </c>
      <c r="AV194" s="28" t="n">
        <f aca="false">-(AV19*AV21*Hipótesis!$E$18+AV23*Hipótesis!$E$22)</f>
        <v>-18859.840987614</v>
      </c>
      <c r="AW194" s="28" t="n">
        <f aca="false">-(AW19*AW21*Hipótesis!$E$18+AW23*Hipótesis!$E$22)</f>
        <v>-18859.840987614</v>
      </c>
      <c r="AX194" s="28" t="n">
        <f aca="false">-(AX19*AX21*Hipótesis!$E$18+AX23*Hipótesis!$E$22)</f>
        <v>-18859.840987614</v>
      </c>
      <c r="AY194" s="28" t="n">
        <f aca="false">-(AY19*AY21*Hipótesis!$E$18+AY23*Hipótesis!$E$22)</f>
        <v>-18859.840987614</v>
      </c>
      <c r="AZ194" s="28" t="n">
        <f aca="false">-(AZ19*AZ21*Hipótesis!$E$18+AZ23*Hipótesis!$E$22)</f>
        <v>-18859.840987614</v>
      </c>
      <c r="BA194" s="28" t="n">
        <f aca="false">-(BA19*BA21*Hipótesis!$E$18+BA23*Hipótesis!$E$22)</f>
        <v>-18859.840987614</v>
      </c>
      <c r="BB194" s="28" t="n">
        <f aca="false">-(BB19*BB21*Hipótesis!$E$18+BB23*Hipótesis!$E$22)</f>
        <v>-18859.840987614</v>
      </c>
      <c r="BC194" s="28" t="n">
        <f aca="false">-(BC19*BC21*Hipótesis!$E$18+BC23*Hipótesis!$E$22)</f>
        <v>-18859.840987614</v>
      </c>
      <c r="BD194" s="28" t="n">
        <f aca="false">-(BD19*BD21*Hipótesis!$E$18+BD23*Hipótesis!$E$22)</f>
        <v>-18859.840987614</v>
      </c>
      <c r="BE194" s="28" t="n">
        <f aca="false">-(BE19*BE21*Hipótesis!$E$18+BE23*Hipótesis!$E$22)</f>
        <v>-18859.840987614</v>
      </c>
      <c r="BF194" s="28" t="n">
        <f aca="false">-(BF19*BF21*Hipótesis!$E$18+BF23*Hipótesis!$E$22)</f>
        <v>-18859.840987614</v>
      </c>
      <c r="BG194" s="28" t="n">
        <f aca="false">-(BG19*BG21*Hipótesis!$E$18+BG23*Hipótesis!$E$22)</f>
        <v>-18859.840987614</v>
      </c>
      <c r="BH194" s="28" t="n">
        <f aca="false">-(BH19*BH21*Hipótesis!$E$18+BH23*Hipótesis!$E$22)</f>
        <v>-18859.840987614</v>
      </c>
      <c r="BI194" s="28" t="n">
        <f aca="false">-(BI19*BI21*Hipótesis!$E$18+BI23*Hipótesis!$E$22)</f>
        <v>-18859.840987614</v>
      </c>
      <c r="BJ194" s="28" t="n">
        <f aca="false">-(BJ19*BJ21*Hipótesis!$E$18+BJ23*Hipótesis!$E$22)</f>
        <v>-18859.840987614</v>
      </c>
      <c r="BK194" s="28" t="n">
        <f aca="false">-(BK19*BK21*Hipótesis!$E$18+BK23*Hipótesis!$E$22)</f>
        <v>-18859.840987614</v>
      </c>
      <c r="BL194" s="28" t="n">
        <f aca="false">-(BL19*BL21*Hipótesis!$E$18+BL23*Hipótesis!$E$22)</f>
        <v>-18859.840987614</v>
      </c>
      <c r="BM194" s="28" t="n">
        <f aca="false">-(BM19*BM21*Hipótesis!$E$18+BM23*Hipótesis!$E$22)</f>
        <v>-18859.840987614</v>
      </c>
      <c r="BN194" s="28" t="n">
        <f aca="false">-(BN19*BN21*Hipótesis!$E$18+BN23*Hipótesis!$E$22)</f>
        <v>-18859.840987614</v>
      </c>
      <c r="BO194" s="28" t="n">
        <f aca="false">-(BO19*BO21*Hipótesis!$E$18+BO23*Hipótesis!$E$22)</f>
        <v>-18859.840987614</v>
      </c>
      <c r="BP194" s="28" t="n">
        <f aca="false">-(BP19*BP21*Hipótesis!$E$18+BP23*Hipótesis!$E$22)</f>
        <v>-18859.840987614</v>
      </c>
      <c r="BQ194" s="28" t="n">
        <f aca="false">-(BQ19*BQ21*Hipótesis!$E$18+BQ23*Hipótesis!$E$22)</f>
        <v>-18859.840987614</v>
      </c>
      <c r="BR194" s="28" t="n">
        <f aca="false">-(BR19*BR21*Hipótesis!$E$18+BR23*Hipótesis!$E$22)</f>
        <v>-18859.840987614</v>
      </c>
      <c r="BS194" s="28" t="n">
        <f aca="false">-(BS19*BS21*Hipótesis!$E$18+BS23*Hipótesis!$E$22)</f>
        <v>-18859.840987614</v>
      </c>
      <c r="BT194" s="28" t="n">
        <f aca="false">-(BT19*BT21*Hipótesis!$E$18+BT23*Hipótesis!$E$22)</f>
        <v>-18859.840987614</v>
      </c>
      <c r="BU194" s="28" t="n">
        <f aca="false">-(BU19*BU21*Hipótesis!$E$18+BU23*Hipótesis!$E$22)</f>
        <v>-18859.840987614</v>
      </c>
      <c r="BV194" s="28" t="n">
        <f aca="false">-(BV19*BV21*Hipótesis!$E$18+BV23*Hipótesis!$E$22)</f>
        <v>-18859.840987614</v>
      </c>
      <c r="BW194" s="28" t="n">
        <f aca="false">-(BW19*BW21*Hipótesis!$E$18+BW23*Hipótesis!$E$22)</f>
        <v>-18859.840987614</v>
      </c>
      <c r="BX194" s="28" t="n">
        <f aca="false">-(BX19*BX21*Hipótesis!$E$18+BX23*Hipótesis!$E$22)</f>
        <v>-18859.840987614</v>
      </c>
      <c r="BY194" s="28" t="n">
        <f aca="false">-(BY19*BY21*Hipótesis!$E$18+BY23*Hipótesis!$E$22)</f>
        <v>-18859.840987614</v>
      </c>
      <c r="BZ194" s="28" t="n">
        <f aca="false">-(BZ19*BZ21*Hipótesis!$E$18+BZ23*Hipótesis!$E$22)</f>
        <v>-18859.840987614</v>
      </c>
      <c r="CA194" s="28" t="n">
        <f aca="false">-(CA19*CA21*Hipótesis!$E$18+CA23*Hipótesis!$E$22)</f>
        <v>-18859.840987614</v>
      </c>
      <c r="CB194" s="28" t="n">
        <f aca="false">-(CB19*CB21*Hipótesis!$E$18+CB23*Hipótesis!$E$22)</f>
        <v>-18859.840987614</v>
      </c>
      <c r="CC194" s="28" t="n">
        <f aca="false">-(CC19*CC21*Hipótesis!$E$18+CC23*Hipótesis!$E$22)</f>
        <v>-18859.840987614</v>
      </c>
      <c r="CD194" s="28" t="n">
        <f aca="false">-(CD19*CD21*Hipótesis!$E$18+CD23*Hipótesis!$E$22)</f>
        <v>-18859.840987614</v>
      </c>
      <c r="CE194" s="28" t="n">
        <f aca="false">-(CE19*CE21*Hipótesis!$E$18+CE23*Hipótesis!$E$22)</f>
        <v>-18859.840987614</v>
      </c>
      <c r="CF194" s="28" t="n">
        <f aca="false">-(CF19*CF21*Hipótesis!$E$18+CF23*Hipótesis!$E$22)</f>
        <v>-18859.840987614</v>
      </c>
      <c r="CG194" s="28" t="n">
        <f aca="false">-(CG19*CG21*Hipótesis!$E$18+CG23*Hipótesis!$E$22)</f>
        <v>-18859.840987614</v>
      </c>
      <c r="CH194" s="28" t="n">
        <f aca="false">-(CH19*CH21*Hipótesis!$E$18+CH23*Hipótesis!$E$22)</f>
        <v>-18859.840987614</v>
      </c>
    </row>
    <row r="195" customFormat="false" ht="15" hidden="false" customHeight="false" outlineLevel="0" collapsed="false">
      <c r="A195" s="1" t="s">
        <v>856</v>
      </c>
      <c r="C195" s="28" t="n">
        <f aca="false">-C178*Hipótesis!$E$129</f>
        <v>-76.1912979060335</v>
      </c>
      <c r="D195" s="28" t="n">
        <f aca="false">-D178*Hipótesis!$E$129</f>
        <v>-152.382595812067</v>
      </c>
      <c r="E195" s="28" t="n">
        <f aca="false">-E178*Hipótesis!$E$129</f>
        <v>-228.573893718101</v>
      </c>
      <c r="F195" s="28" t="n">
        <f aca="false">-F178*Hipótesis!$E$129</f>
        <v>-304.765191624134</v>
      </c>
      <c r="G195" s="28" t="n">
        <f aca="false">-G178*Hipótesis!$E$129</f>
        <v>-57.1434734295251</v>
      </c>
      <c r="H195" s="28" t="n">
        <f aca="false">-H178*Hipótesis!$E$129</f>
        <v>-457.147787436201</v>
      </c>
      <c r="I195" s="28" t="n">
        <f aca="false">-I178*Hipótesis!$E$129</f>
        <v>-533.339085342235</v>
      </c>
      <c r="J195" s="28" t="n">
        <f aca="false">-J178*Hipótesis!$E$129</f>
        <v>-609.530383248268</v>
      </c>
      <c r="K195" s="28" t="n">
        <f aca="false">-K178*Hipótesis!$E$129</f>
        <v>-685.721681154302</v>
      </c>
      <c r="L195" s="28" t="n">
        <f aca="false">-L178*Hipótesis!$E$129</f>
        <v>-761.912979060335</v>
      </c>
      <c r="M195" s="28" t="n">
        <f aca="false">-M178*Hipótesis!$E$129</f>
        <v>-838.104276966369</v>
      </c>
      <c r="N195" s="28" t="n">
        <f aca="false">-N178*Hipótesis!$E$129</f>
        <v>-914.295574872402</v>
      </c>
      <c r="O195" s="28" t="n">
        <f aca="false">-O178*Hipótesis!$E$129</f>
        <v>-990.486872778436</v>
      </c>
      <c r="P195" s="28" t="n">
        <f aca="false">-P178*Hipótesis!$E$129</f>
        <v>-1066.67817068447</v>
      </c>
      <c r="Q195" s="28" t="n">
        <f aca="false">-Q178*Hipótesis!$E$129</f>
        <v>-1142.8694685905</v>
      </c>
      <c r="R195" s="28" t="n">
        <f aca="false">-R178*Hipótesis!$E$129</f>
        <v>-1219.06076649654</v>
      </c>
      <c r="S195" s="28" t="n">
        <f aca="false">-S178*Hipótesis!$E$129</f>
        <v>-194.287809660385</v>
      </c>
      <c r="T195" s="28" t="n">
        <f aca="false">-T178*Hipótesis!$E$129</f>
        <v>-1371.4433623086</v>
      </c>
      <c r="U195" s="28" t="n">
        <f aca="false">-U178*Hipótesis!$E$129</f>
        <v>-1371.4433623086</v>
      </c>
      <c r="V195" s="28" t="n">
        <f aca="false">-V178*Hipótesis!$E$129</f>
        <v>-1371.4433623086</v>
      </c>
      <c r="W195" s="28" t="n">
        <f aca="false">-W178*Hipótesis!$E$129</f>
        <v>-1371.4433623086</v>
      </c>
      <c r="X195" s="28" t="n">
        <f aca="false">-X178*Hipótesis!$E$129</f>
        <v>-1371.4433623086</v>
      </c>
      <c r="Y195" s="28" t="n">
        <f aca="false">-Y178*Hipótesis!$E$129</f>
        <v>-1371.4433623086</v>
      </c>
      <c r="Z195" s="28" t="n">
        <f aca="false">-Z178*Hipótesis!$E$129</f>
        <v>-1371.4433623086</v>
      </c>
      <c r="AA195" s="28" t="n">
        <f aca="false">-AA178*Hipótesis!$E$129</f>
        <v>-1371.4433623086</v>
      </c>
      <c r="AB195" s="28" t="n">
        <f aca="false">-AB178*Hipótesis!$E$129</f>
        <v>-1371.4433623086</v>
      </c>
      <c r="AC195" s="28" t="n">
        <f aca="false">-AC178*Hipótesis!$E$129</f>
        <v>-1371.4433623086</v>
      </c>
      <c r="AD195" s="28" t="n">
        <f aca="false">-AD178*Hipótesis!$E$129</f>
        <v>-1371.4433623086</v>
      </c>
      <c r="AE195" s="28" t="n">
        <f aca="false">-AE178*Hipótesis!$E$129</f>
        <v>-205.716504346291</v>
      </c>
      <c r="AF195" s="28" t="n">
        <f aca="false">-AF178*Hipótesis!$E$129</f>
        <v>-1371.4433623086</v>
      </c>
      <c r="AG195" s="28" t="n">
        <f aca="false">-AG178*Hipótesis!$E$129</f>
        <v>-1371.4433623086</v>
      </c>
      <c r="AH195" s="28" t="n">
        <f aca="false">-AH178*Hipótesis!$E$129</f>
        <v>-1371.4433623086</v>
      </c>
      <c r="AI195" s="28" t="n">
        <f aca="false">-AI178*Hipótesis!$E$129</f>
        <v>-1371.4433623086</v>
      </c>
      <c r="AJ195" s="28" t="n">
        <f aca="false">-AJ178*Hipótesis!$E$129</f>
        <v>-1371.4433623086</v>
      </c>
      <c r="AK195" s="28" t="n">
        <f aca="false">-AK178*Hipótesis!$E$129</f>
        <v>-1371.4433623086</v>
      </c>
      <c r="AL195" s="28" t="n">
        <f aca="false">-AL178*Hipótesis!$E$129</f>
        <v>-1371.4433623086</v>
      </c>
      <c r="AM195" s="28" t="n">
        <f aca="false">-AM178*Hipótesis!$E$129</f>
        <v>-1371.4433623086</v>
      </c>
      <c r="AN195" s="28" t="n">
        <f aca="false">-AN178*Hipótesis!$E$129</f>
        <v>-1371.4433623086</v>
      </c>
      <c r="AO195" s="28" t="n">
        <f aca="false">-AO178*Hipótesis!$E$129</f>
        <v>-1371.4433623086</v>
      </c>
      <c r="AP195" s="28" t="n">
        <f aca="false">-AP178*Hipótesis!$E$129</f>
        <v>-1371.4433623086</v>
      </c>
      <c r="AQ195" s="28" t="n">
        <f aca="false">-AQ178*Hipótesis!$E$129</f>
        <v>-205.716504346291</v>
      </c>
      <c r="AR195" s="28" t="n">
        <f aca="false">-AR178*Hipótesis!$E$129</f>
        <v>-1371.4433623086</v>
      </c>
      <c r="AS195" s="28" t="n">
        <f aca="false">-AS178*Hipótesis!$E$129</f>
        <v>-1371.4433623086</v>
      </c>
      <c r="AT195" s="28" t="n">
        <f aca="false">-AT178*Hipótesis!$E$129</f>
        <v>-1371.4433623086</v>
      </c>
      <c r="AU195" s="28" t="n">
        <f aca="false">-AU178*Hipótesis!$E$129</f>
        <v>-1371.4433623086</v>
      </c>
      <c r="AV195" s="28" t="n">
        <f aca="false">-AV178*Hipótesis!$E$129</f>
        <v>-1371.4433623086</v>
      </c>
      <c r="AW195" s="28" t="n">
        <f aca="false">-AW178*Hipótesis!$E$129</f>
        <v>-1371.4433623086</v>
      </c>
      <c r="AX195" s="28" t="n">
        <f aca="false">-AX178*Hipótesis!$E$129</f>
        <v>-1371.4433623086</v>
      </c>
      <c r="AY195" s="28" t="n">
        <f aca="false">-AY178*Hipótesis!$E$129</f>
        <v>-1371.4433623086</v>
      </c>
      <c r="AZ195" s="28" t="n">
        <f aca="false">-AZ178*Hipótesis!$E$129</f>
        <v>-1371.4433623086</v>
      </c>
      <c r="BA195" s="28" t="n">
        <f aca="false">-BA178*Hipótesis!$E$129</f>
        <v>-1371.4433623086</v>
      </c>
      <c r="BB195" s="28" t="n">
        <f aca="false">-BB178*Hipótesis!$E$129</f>
        <v>-1371.4433623086</v>
      </c>
      <c r="BC195" s="28" t="n">
        <f aca="false">-BC178*Hipótesis!$E$129</f>
        <v>-205.716504346291</v>
      </c>
      <c r="BD195" s="28" t="n">
        <f aca="false">-BD178*Hipótesis!$E$129</f>
        <v>-1371.4433623086</v>
      </c>
      <c r="BE195" s="28" t="n">
        <f aca="false">-BE178*Hipótesis!$E$129</f>
        <v>-1371.4433623086</v>
      </c>
      <c r="BF195" s="28" t="n">
        <f aca="false">-BF178*Hipótesis!$E$129</f>
        <v>-1371.4433623086</v>
      </c>
      <c r="BG195" s="28" t="n">
        <f aca="false">-BG178*Hipótesis!$E$129</f>
        <v>-1371.4433623086</v>
      </c>
      <c r="BH195" s="28" t="n">
        <f aca="false">-BH178*Hipótesis!$E$129</f>
        <v>-1371.4433623086</v>
      </c>
      <c r="BI195" s="28" t="n">
        <f aca="false">-BI178*Hipótesis!$E$129</f>
        <v>-1371.4433623086</v>
      </c>
      <c r="BJ195" s="28" t="n">
        <f aca="false">-BJ178*Hipótesis!$E$129</f>
        <v>-1371.4433623086</v>
      </c>
      <c r="BK195" s="28" t="n">
        <f aca="false">-BK178*Hipótesis!$E$129</f>
        <v>-1371.4433623086</v>
      </c>
      <c r="BL195" s="28" t="n">
        <f aca="false">-BL178*Hipótesis!$E$129</f>
        <v>-1371.4433623086</v>
      </c>
      <c r="BM195" s="28" t="n">
        <f aca="false">-BM178*Hipótesis!$E$129</f>
        <v>-1371.4433623086</v>
      </c>
      <c r="BN195" s="28" t="n">
        <f aca="false">-BN178*Hipótesis!$E$129</f>
        <v>-1371.4433623086</v>
      </c>
      <c r="BO195" s="28" t="n">
        <f aca="false">-BO178*Hipótesis!$E$129</f>
        <v>-205.716504346291</v>
      </c>
      <c r="BP195" s="28" t="n">
        <f aca="false">-BP178*Hipótesis!$E$129</f>
        <v>-1371.4433623086</v>
      </c>
      <c r="BQ195" s="28" t="n">
        <f aca="false">-BQ178*Hipótesis!$E$129</f>
        <v>-1371.4433623086</v>
      </c>
      <c r="BR195" s="28" t="n">
        <f aca="false">-BR178*Hipótesis!$E$129</f>
        <v>-1371.4433623086</v>
      </c>
      <c r="BS195" s="28" t="n">
        <f aca="false">-BS178*Hipótesis!$E$129</f>
        <v>-1371.4433623086</v>
      </c>
      <c r="BT195" s="28" t="n">
        <f aca="false">-BT178*Hipótesis!$E$129</f>
        <v>-1371.4433623086</v>
      </c>
      <c r="BU195" s="28" t="n">
        <f aca="false">-BU178*Hipótesis!$E$129</f>
        <v>-1371.4433623086</v>
      </c>
      <c r="BV195" s="28" t="n">
        <f aca="false">-BV178*Hipótesis!$E$129</f>
        <v>-1371.4433623086</v>
      </c>
      <c r="BW195" s="28" t="n">
        <f aca="false">-BW178*Hipótesis!$E$129</f>
        <v>-1371.4433623086</v>
      </c>
      <c r="BX195" s="28" t="n">
        <f aca="false">-BX178*Hipótesis!$E$129</f>
        <v>-1371.4433623086</v>
      </c>
      <c r="BY195" s="28" t="n">
        <f aca="false">-BY178*Hipótesis!$E$129</f>
        <v>-1371.4433623086</v>
      </c>
      <c r="BZ195" s="28" t="n">
        <f aca="false">-BZ178*Hipótesis!$E$129</f>
        <v>-1371.4433623086</v>
      </c>
      <c r="CA195" s="28" t="n">
        <f aca="false">-CA178*Hipótesis!$E$129</f>
        <v>-205.716504346291</v>
      </c>
      <c r="CB195" s="28" t="n">
        <f aca="false">-CB178*Hipótesis!$E$129</f>
        <v>-1371.4433623086</v>
      </c>
      <c r="CC195" s="28" t="n">
        <f aca="false">-CC178*Hipótesis!$E$129</f>
        <v>-1371.4433623086</v>
      </c>
      <c r="CD195" s="28" t="n">
        <f aca="false">-CD178*Hipótesis!$E$129</f>
        <v>-1371.4433623086</v>
      </c>
      <c r="CE195" s="28" t="n">
        <f aca="false">-CE178*Hipótesis!$E$129</f>
        <v>-1371.4433623086</v>
      </c>
      <c r="CF195" s="28" t="n">
        <f aca="false">-CF178*Hipótesis!$E$129</f>
        <v>-1371.4433623086</v>
      </c>
      <c r="CG195" s="28" t="n">
        <f aca="false">-CG178*Hipótesis!$E$129</f>
        <v>-1371.4433623086</v>
      </c>
      <c r="CH195" s="28" t="n">
        <f aca="false">-CH178*Hipótesis!$E$129</f>
        <v>-1371.4433623086</v>
      </c>
    </row>
    <row r="196" customFormat="false" ht="15" hidden="false" customHeight="false" outlineLevel="0" collapsed="false">
      <c r="A196" s="25" t="s">
        <v>857</v>
      </c>
      <c r="C196" s="157" t="n">
        <f aca="false">IFERROR(C177*Hipótesis!$E$130/Restaurantes!$D$22/(Restaurantes!$D$24*Restaurantes!$D$25),0)</f>
        <v>7.24693171653137</v>
      </c>
      <c r="D196" s="157" t="n">
        <f aca="false">IFERROR(D177*Hipótesis!$E$130/Restaurantes!$D$22/(Restaurantes!$D$24*Restaurantes!$D$25),0)</f>
        <v>14.4938634330627</v>
      </c>
      <c r="E196" s="157" t="n">
        <f aca="false">IFERROR(E177*Hipótesis!$E$130/Restaurantes!$D$22/(Restaurantes!$D$24*Restaurantes!$D$25),0)</f>
        <v>21.7407951495941</v>
      </c>
      <c r="F196" s="157" t="n">
        <f aca="false">IFERROR(F177*Hipótesis!$E$130/Restaurantes!$D$22/(Restaurantes!$D$24*Restaurantes!$D$25),0)</f>
        <v>28.9877268661255</v>
      </c>
      <c r="G196" s="157" t="n">
        <f aca="false">IFERROR(G177*Hipótesis!$E$130/Restaurantes!$D$22/(Restaurantes!$D$24*Restaurantes!$D$25),0)</f>
        <v>36.2346585826569</v>
      </c>
      <c r="H196" s="157" t="n">
        <f aca="false">IFERROR(H177*Hipótesis!$E$130/Restaurantes!$D$22/(Restaurantes!$D$24*Restaurantes!$D$25),0)</f>
        <v>43.4815902991882</v>
      </c>
      <c r="I196" s="157" t="n">
        <f aca="false">IFERROR(I177*Hipótesis!$E$130/Restaurantes!$D$22/(Restaurantes!$D$24*Restaurantes!$D$25),0)</f>
        <v>50.7285220157196</v>
      </c>
      <c r="J196" s="157" t="n">
        <f aca="false">IFERROR(J177*Hipótesis!$E$130/Restaurantes!$D$22/(Restaurantes!$D$24*Restaurantes!$D$25),0)</f>
        <v>57.975453732251</v>
      </c>
      <c r="K196" s="157" t="n">
        <f aca="false">IFERROR(K177*Hipótesis!$E$130/Restaurantes!$D$22/(Restaurantes!$D$24*Restaurantes!$D$25),0)</f>
        <v>65.2223854487824</v>
      </c>
      <c r="L196" s="157" t="n">
        <f aca="false">IFERROR(L177*Hipótesis!$E$130/Restaurantes!$D$22/(Restaurantes!$D$24*Restaurantes!$D$25),0)</f>
        <v>72.4693171653137</v>
      </c>
      <c r="M196" s="157" t="n">
        <f aca="false">IFERROR(M177*Hipótesis!$E$130/Restaurantes!$D$22/(Restaurantes!$D$24*Restaurantes!$D$25),0)</f>
        <v>79.7162488818451</v>
      </c>
      <c r="N196" s="157" t="n">
        <f aca="false">IFERROR(N177*Hipótesis!$E$130/Restaurantes!$D$22/(Restaurantes!$D$24*Restaurantes!$D$25),0)</f>
        <v>86.9631805983765</v>
      </c>
      <c r="O196" s="157" t="n">
        <f aca="false">IFERROR(O177*Hipótesis!$E$130/Restaurantes!$D$22/(Restaurantes!$D$24*Restaurantes!$D$25),0)</f>
        <v>94.2101123149078</v>
      </c>
      <c r="P196" s="157" t="n">
        <f aca="false">IFERROR(P177*Hipótesis!$E$130/Restaurantes!$D$22/(Restaurantes!$D$24*Restaurantes!$D$25),0)</f>
        <v>101.457044031439</v>
      </c>
      <c r="Q196" s="157" t="n">
        <f aca="false">IFERROR(Q177*Hipótesis!$E$130/Restaurantes!$D$22/(Restaurantes!$D$24*Restaurantes!$D$25),0)</f>
        <v>108.703975747971</v>
      </c>
      <c r="R196" s="157" t="n">
        <f aca="false">IFERROR(R177*Hipótesis!$E$130/Restaurantes!$D$22/(Restaurantes!$D$24*Restaurantes!$D$25),0)</f>
        <v>115.950907464502</v>
      </c>
      <c r="S196" s="157" t="n">
        <f aca="false">IFERROR(S177*Hipótesis!$E$130/Restaurantes!$D$22/(Restaurantes!$D$24*Restaurantes!$D$25),0)</f>
        <v>123.197839181033</v>
      </c>
      <c r="T196" s="157" t="n">
        <f aca="false">IFERROR(T177*Hipótesis!$E$130/Restaurantes!$D$22/(Restaurantes!$D$24*Restaurantes!$D$25),0)</f>
        <v>130.444770897565</v>
      </c>
      <c r="U196" s="157" t="n">
        <f aca="false">IFERROR(U177*Hipótesis!$E$130/Restaurantes!$D$22/(Restaurantes!$D$24*Restaurantes!$D$25),0)</f>
        <v>130.444770897565</v>
      </c>
      <c r="V196" s="157" t="n">
        <f aca="false">IFERROR(V177*Hipótesis!$E$130/Restaurantes!$D$22/(Restaurantes!$D$24*Restaurantes!$D$25),0)</f>
        <v>130.444770897565</v>
      </c>
      <c r="W196" s="157" t="n">
        <f aca="false">IFERROR(W177*Hipótesis!$E$130/Restaurantes!$D$22/(Restaurantes!$D$24*Restaurantes!$D$25),0)</f>
        <v>130.444770897565</v>
      </c>
      <c r="X196" s="157" t="n">
        <f aca="false">IFERROR(X177*Hipótesis!$E$130/Restaurantes!$D$22/(Restaurantes!$D$24*Restaurantes!$D$25),0)</f>
        <v>130.444770897565</v>
      </c>
      <c r="Y196" s="157" t="n">
        <f aca="false">IFERROR(Y177*Hipótesis!$E$130/Restaurantes!$D$22/(Restaurantes!$D$24*Restaurantes!$D$25),0)</f>
        <v>130.444770897565</v>
      </c>
      <c r="Z196" s="157" t="n">
        <f aca="false">IFERROR(Z177*Hipótesis!$E$130/Restaurantes!$D$22/(Restaurantes!$D$24*Restaurantes!$D$25),0)</f>
        <v>130.444770897565</v>
      </c>
      <c r="AA196" s="157" t="n">
        <f aca="false">IFERROR(AA177*Hipótesis!$E$130/Restaurantes!$D$22/(Restaurantes!$D$24*Restaurantes!$D$25),0)</f>
        <v>130.444770897565</v>
      </c>
      <c r="AB196" s="157" t="n">
        <f aca="false">IFERROR(AB177*Hipótesis!$E$130/Restaurantes!$D$22/(Restaurantes!$D$24*Restaurantes!$D$25),0)</f>
        <v>130.444770897565</v>
      </c>
      <c r="AC196" s="157" t="n">
        <f aca="false">IFERROR(AC177*Hipótesis!$E$130/Restaurantes!$D$22/(Restaurantes!$D$24*Restaurantes!$D$25),0)</f>
        <v>130.444770897565</v>
      </c>
      <c r="AD196" s="157" t="n">
        <f aca="false">IFERROR(AD177*Hipótesis!$E$130/Restaurantes!$D$22/(Restaurantes!$D$24*Restaurantes!$D$25),0)</f>
        <v>130.444770897565</v>
      </c>
      <c r="AE196" s="157" t="n">
        <f aca="false">IFERROR(AE177*Hipótesis!$E$130/Restaurantes!$D$22/(Restaurantes!$D$24*Restaurantes!$D$25),0)</f>
        <v>130.444770897565</v>
      </c>
      <c r="AF196" s="157" t="n">
        <f aca="false">IFERROR(AF177*Hipótesis!$E$130/Restaurantes!$D$22/(Restaurantes!$D$24*Restaurantes!$D$25),0)</f>
        <v>130.444770897565</v>
      </c>
      <c r="AG196" s="157" t="n">
        <f aca="false">IFERROR(AG177*Hipótesis!$E$130/Restaurantes!$D$22/(Restaurantes!$D$24*Restaurantes!$D$25),0)</f>
        <v>130.444770897565</v>
      </c>
      <c r="AH196" s="157" t="n">
        <f aca="false">IFERROR(AH177*Hipótesis!$E$130/Restaurantes!$D$22/(Restaurantes!$D$24*Restaurantes!$D$25),0)</f>
        <v>130.444770897565</v>
      </c>
      <c r="AI196" s="157" t="n">
        <f aca="false">IFERROR(AI177*Hipótesis!$E$130/Restaurantes!$D$22/(Restaurantes!$D$24*Restaurantes!$D$25),0)</f>
        <v>130.444770897565</v>
      </c>
      <c r="AJ196" s="157" t="n">
        <f aca="false">IFERROR(AJ177*Hipótesis!$E$130/Restaurantes!$D$22/(Restaurantes!$D$24*Restaurantes!$D$25),0)</f>
        <v>130.444770897565</v>
      </c>
      <c r="AK196" s="157" t="n">
        <f aca="false">IFERROR(AK177*Hipótesis!$E$130/Restaurantes!$D$22/(Restaurantes!$D$24*Restaurantes!$D$25),0)</f>
        <v>130.444770897565</v>
      </c>
      <c r="AL196" s="157" t="n">
        <f aca="false">IFERROR(AL177*Hipótesis!$E$130/Restaurantes!$D$22/(Restaurantes!$D$24*Restaurantes!$D$25),0)</f>
        <v>130.444770897565</v>
      </c>
      <c r="AM196" s="157" t="n">
        <f aca="false">IFERROR(AM177*Hipótesis!$E$130/Restaurantes!$D$22/(Restaurantes!$D$24*Restaurantes!$D$25),0)</f>
        <v>130.444770897565</v>
      </c>
      <c r="AN196" s="157" t="n">
        <f aca="false">IFERROR(AN177*Hipótesis!$E$130/Restaurantes!$D$22/(Restaurantes!$D$24*Restaurantes!$D$25),0)</f>
        <v>130.444770897565</v>
      </c>
      <c r="AO196" s="157" t="n">
        <f aca="false">IFERROR(AO177*Hipótesis!$E$130/Restaurantes!$D$22/(Restaurantes!$D$24*Restaurantes!$D$25),0)</f>
        <v>130.444770897565</v>
      </c>
      <c r="AP196" s="157" t="n">
        <f aca="false">IFERROR(AP177*Hipótesis!$E$130/Restaurantes!$D$22/(Restaurantes!$D$24*Restaurantes!$D$25),0)</f>
        <v>130.444770897565</v>
      </c>
      <c r="AQ196" s="157" t="n">
        <f aca="false">IFERROR(AQ177*Hipótesis!$E$130/Restaurantes!$D$22/(Restaurantes!$D$24*Restaurantes!$D$25),0)</f>
        <v>130.444770897565</v>
      </c>
      <c r="AR196" s="157" t="n">
        <f aca="false">IFERROR(AR177*Hipótesis!$E$130/Restaurantes!$D$22/(Restaurantes!$D$24*Restaurantes!$D$25),0)</f>
        <v>130.444770897565</v>
      </c>
      <c r="AS196" s="157" t="n">
        <f aca="false">IFERROR(AS177*Hipótesis!$E$130/Restaurantes!$D$22/(Restaurantes!$D$24*Restaurantes!$D$25),0)</f>
        <v>130.444770897565</v>
      </c>
      <c r="AT196" s="157" t="n">
        <f aca="false">IFERROR(AT177*Hipótesis!$E$130/Restaurantes!$D$22/(Restaurantes!$D$24*Restaurantes!$D$25),0)</f>
        <v>130.444770897565</v>
      </c>
      <c r="AU196" s="157" t="n">
        <f aca="false">IFERROR(AU177*Hipótesis!$E$130/Restaurantes!$D$22/(Restaurantes!$D$24*Restaurantes!$D$25),0)</f>
        <v>130.444770897565</v>
      </c>
      <c r="AV196" s="157" t="n">
        <f aca="false">IFERROR(AV177*Hipótesis!$E$130/Restaurantes!$D$22/(Restaurantes!$D$24*Restaurantes!$D$25),0)</f>
        <v>130.444770897565</v>
      </c>
      <c r="AW196" s="157" t="n">
        <f aca="false">IFERROR(AW177*Hipótesis!$E$130/Restaurantes!$D$22/(Restaurantes!$D$24*Restaurantes!$D$25),0)</f>
        <v>130.444770897565</v>
      </c>
      <c r="AX196" s="157" t="n">
        <f aca="false">IFERROR(AX177*Hipótesis!$E$130/Restaurantes!$D$22/(Restaurantes!$D$24*Restaurantes!$D$25),0)</f>
        <v>130.444770897565</v>
      </c>
      <c r="AY196" s="157" t="n">
        <f aca="false">IFERROR(AY177*Hipótesis!$E$130/Restaurantes!$D$22/(Restaurantes!$D$24*Restaurantes!$D$25),0)</f>
        <v>130.444770897565</v>
      </c>
      <c r="AZ196" s="157" t="n">
        <f aca="false">IFERROR(AZ177*Hipótesis!$E$130/Restaurantes!$D$22/(Restaurantes!$D$24*Restaurantes!$D$25),0)</f>
        <v>130.444770897565</v>
      </c>
      <c r="BA196" s="157" t="n">
        <f aca="false">IFERROR(BA177*Hipótesis!$E$130/Restaurantes!$D$22/(Restaurantes!$D$24*Restaurantes!$D$25),0)</f>
        <v>130.444770897565</v>
      </c>
      <c r="BB196" s="157" t="n">
        <f aca="false">IFERROR(BB177*Hipótesis!$E$130/Restaurantes!$D$22/(Restaurantes!$D$24*Restaurantes!$D$25),0)</f>
        <v>130.444770897565</v>
      </c>
      <c r="BC196" s="157" t="n">
        <f aca="false">IFERROR(BC177*Hipótesis!$E$130/Restaurantes!$D$22/(Restaurantes!$D$24*Restaurantes!$D$25),0)</f>
        <v>130.444770897565</v>
      </c>
      <c r="BD196" s="157" t="n">
        <f aca="false">IFERROR(BD177*Hipótesis!$E$130/Restaurantes!$D$22/(Restaurantes!$D$24*Restaurantes!$D$25),0)</f>
        <v>130.444770897565</v>
      </c>
      <c r="BE196" s="157" t="n">
        <f aca="false">IFERROR(BE177*Hipótesis!$E$130/Restaurantes!$D$22/(Restaurantes!$D$24*Restaurantes!$D$25),0)</f>
        <v>130.444770897565</v>
      </c>
      <c r="BF196" s="157" t="n">
        <f aca="false">IFERROR(BF177*Hipótesis!$E$130/Restaurantes!$D$22/(Restaurantes!$D$24*Restaurantes!$D$25),0)</f>
        <v>130.444770897565</v>
      </c>
      <c r="BG196" s="157" t="n">
        <f aca="false">IFERROR(BG177*Hipótesis!$E$130/Restaurantes!$D$22/(Restaurantes!$D$24*Restaurantes!$D$25),0)</f>
        <v>130.444770897565</v>
      </c>
      <c r="BH196" s="157" t="n">
        <f aca="false">IFERROR(BH177*Hipótesis!$E$130/Restaurantes!$D$22/(Restaurantes!$D$24*Restaurantes!$D$25),0)</f>
        <v>130.444770897565</v>
      </c>
      <c r="BI196" s="157" t="n">
        <f aca="false">IFERROR(BI177*Hipótesis!$E$130/Restaurantes!$D$22/(Restaurantes!$D$24*Restaurantes!$D$25),0)</f>
        <v>130.444770897565</v>
      </c>
      <c r="BJ196" s="157" t="n">
        <f aca="false">IFERROR(BJ177*Hipótesis!$E$130/Restaurantes!$D$22/(Restaurantes!$D$24*Restaurantes!$D$25),0)</f>
        <v>130.444770897565</v>
      </c>
      <c r="BK196" s="157" t="n">
        <f aca="false">IFERROR(BK177*Hipótesis!$E$130/Restaurantes!$D$22/(Restaurantes!$D$24*Restaurantes!$D$25),0)</f>
        <v>130.444770897565</v>
      </c>
      <c r="BL196" s="157" t="n">
        <f aca="false">IFERROR(BL177*Hipótesis!$E$130/Restaurantes!$D$22/(Restaurantes!$D$24*Restaurantes!$D$25),0)</f>
        <v>130.444770897565</v>
      </c>
      <c r="BM196" s="157" t="n">
        <f aca="false">IFERROR(BM177*Hipótesis!$E$130/Restaurantes!$D$22/(Restaurantes!$D$24*Restaurantes!$D$25),0)</f>
        <v>130.444770897565</v>
      </c>
      <c r="BN196" s="157" t="n">
        <f aca="false">IFERROR(BN177*Hipótesis!$E$130/Restaurantes!$D$22/(Restaurantes!$D$24*Restaurantes!$D$25),0)</f>
        <v>130.444770897565</v>
      </c>
      <c r="BO196" s="157" t="n">
        <f aca="false">IFERROR(BO177*Hipótesis!$E$130/Restaurantes!$D$22/(Restaurantes!$D$24*Restaurantes!$D$25),0)</f>
        <v>130.444770897565</v>
      </c>
      <c r="BP196" s="157" t="n">
        <f aca="false">IFERROR(BP177*Hipótesis!$E$130/Restaurantes!$D$22/(Restaurantes!$D$24*Restaurantes!$D$25),0)</f>
        <v>130.444770897565</v>
      </c>
      <c r="BQ196" s="157" t="n">
        <f aca="false">IFERROR(BQ177*Hipótesis!$E$130/Restaurantes!$D$22/(Restaurantes!$D$24*Restaurantes!$D$25),0)</f>
        <v>130.444770897565</v>
      </c>
      <c r="BR196" s="157" t="n">
        <f aca="false">IFERROR(BR177*Hipótesis!$E$130/Restaurantes!$D$22/(Restaurantes!$D$24*Restaurantes!$D$25),0)</f>
        <v>130.444770897565</v>
      </c>
      <c r="BS196" s="157" t="n">
        <f aca="false">IFERROR(BS177*Hipótesis!$E$130/Restaurantes!$D$22/(Restaurantes!$D$24*Restaurantes!$D$25),0)</f>
        <v>130.444770897565</v>
      </c>
      <c r="BT196" s="157" t="n">
        <f aca="false">IFERROR(BT177*Hipótesis!$E$130/Restaurantes!$D$22/(Restaurantes!$D$24*Restaurantes!$D$25),0)</f>
        <v>130.444770897565</v>
      </c>
      <c r="BU196" s="157" t="n">
        <f aca="false">IFERROR(BU177*Hipótesis!$E$130/Restaurantes!$D$22/(Restaurantes!$D$24*Restaurantes!$D$25),0)</f>
        <v>130.444770897565</v>
      </c>
      <c r="BV196" s="157" t="n">
        <f aca="false">IFERROR(BV177*Hipótesis!$E$130/Restaurantes!$D$22/(Restaurantes!$D$24*Restaurantes!$D$25),0)</f>
        <v>130.444770897565</v>
      </c>
      <c r="BW196" s="157" t="n">
        <f aca="false">IFERROR(BW177*Hipótesis!$E$130/Restaurantes!$D$22/(Restaurantes!$D$24*Restaurantes!$D$25),0)</f>
        <v>130.444770897565</v>
      </c>
      <c r="BX196" s="157" t="n">
        <f aca="false">IFERROR(BX177*Hipótesis!$E$130/Restaurantes!$D$22/(Restaurantes!$D$24*Restaurantes!$D$25),0)</f>
        <v>130.444770897565</v>
      </c>
      <c r="BY196" s="157" t="n">
        <f aca="false">IFERROR(BY177*Hipótesis!$E$130/Restaurantes!$D$22/(Restaurantes!$D$24*Restaurantes!$D$25),0)</f>
        <v>130.444770897565</v>
      </c>
      <c r="BZ196" s="157" t="n">
        <f aca="false">IFERROR(BZ177*Hipótesis!$E$130/Restaurantes!$D$22/(Restaurantes!$D$24*Restaurantes!$D$25),0)</f>
        <v>130.444770897565</v>
      </c>
      <c r="CA196" s="157" t="n">
        <f aca="false">IFERROR(CA177*Hipótesis!$E$130/Restaurantes!$D$22/(Restaurantes!$D$24*Restaurantes!$D$25),0)</f>
        <v>130.444770897565</v>
      </c>
      <c r="CB196" s="157" t="n">
        <f aca="false">IFERROR(CB177*Hipótesis!$E$130/Restaurantes!$D$22/(Restaurantes!$D$24*Restaurantes!$D$25),0)</f>
        <v>130.444770897565</v>
      </c>
      <c r="CC196" s="157" t="n">
        <f aca="false">IFERROR(CC177*Hipótesis!$E$130/Restaurantes!$D$22/(Restaurantes!$D$24*Restaurantes!$D$25),0)</f>
        <v>130.444770897565</v>
      </c>
      <c r="CD196" s="157" t="n">
        <f aca="false">IFERROR(CD177*Hipótesis!$E$130/Restaurantes!$D$22/(Restaurantes!$D$24*Restaurantes!$D$25),0)</f>
        <v>130.444770897565</v>
      </c>
      <c r="CE196" s="157" t="n">
        <f aca="false">IFERROR(CE177*Hipótesis!$E$130/Restaurantes!$D$22/(Restaurantes!$D$24*Restaurantes!$D$25),0)</f>
        <v>130.444770897565</v>
      </c>
      <c r="CF196" s="157" t="n">
        <f aca="false">IFERROR(CF177*Hipótesis!$E$130/Restaurantes!$D$22/(Restaurantes!$D$24*Restaurantes!$D$25),0)</f>
        <v>130.444770897565</v>
      </c>
      <c r="CG196" s="157" t="n">
        <f aca="false">IFERROR(CG177*Hipótesis!$E$130/Restaurantes!$D$22/(Restaurantes!$D$24*Restaurantes!$D$25),0)</f>
        <v>130.444770897565</v>
      </c>
      <c r="CH196" s="157" t="n">
        <f aca="false">IFERROR(CH177*Hipótesis!$E$130/Restaurantes!$D$22/(Restaurantes!$D$24*Restaurantes!$D$25),0)</f>
        <v>130.444770897565</v>
      </c>
    </row>
    <row r="197" customFormat="false" ht="15" hidden="false" customHeight="false" outlineLevel="0" collapsed="false">
      <c r="A197" s="1" t="s">
        <v>858</v>
      </c>
      <c r="C197" s="158" t="n">
        <f aca="false">MAX(0,C196)</f>
        <v>7.24693171653137</v>
      </c>
      <c r="D197" s="158" t="n">
        <f aca="false">MAX(0,D196-C196)+C196*Restaurantes!$D$62</f>
        <v>7.35563569227934</v>
      </c>
      <c r="E197" s="158" t="n">
        <f aca="false">MAX(0,E196-D196)+D196*Restaurantes!$D$62</f>
        <v>7.46433966802731</v>
      </c>
      <c r="F197" s="158" t="n">
        <f aca="false">MAX(0,F196-E196)+E196*Restaurantes!$D$62</f>
        <v>7.57304364377528</v>
      </c>
      <c r="G197" s="158" t="n">
        <f aca="false">MAX(0,G196-F196)+F196*Restaurantes!$D$62</f>
        <v>7.68174761952325</v>
      </c>
      <c r="H197" s="158" t="n">
        <f aca="false">MAX(0,H196-G196)+G196*Restaurantes!$D$62</f>
        <v>7.79045159527122</v>
      </c>
      <c r="I197" s="158" t="n">
        <f aca="false">MAX(0,I196-H196)+H196*Restaurantes!$D$62</f>
        <v>7.8991555710192</v>
      </c>
      <c r="J197" s="158" t="n">
        <f aca="false">MAX(0,J196-I196)+I196*Restaurantes!$D$62</f>
        <v>8.00785954676717</v>
      </c>
      <c r="K197" s="158" t="n">
        <f aca="false">MAX(0,K196-J196)+J196*Restaurantes!$D$62</f>
        <v>8.11656352251514</v>
      </c>
      <c r="L197" s="158" t="n">
        <f aca="false">MAX(0,L196-K196)+K196*Restaurantes!$D$62</f>
        <v>8.2252674982631</v>
      </c>
      <c r="M197" s="158" t="n">
        <f aca="false">MAX(0,M196-L196)+L196*Restaurantes!$D$62</f>
        <v>8.33397147401107</v>
      </c>
      <c r="N197" s="158" t="n">
        <f aca="false">MAX(0,N196-M196)+M196*Restaurantes!$D$62</f>
        <v>8.44267544975905</v>
      </c>
      <c r="O197" s="158" t="n">
        <f aca="false">MAX(0,O196-N196)+N196*Restaurantes!$D$62</f>
        <v>8.55137942550701</v>
      </c>
      <c r="P197" s="158" t="n">
        <f aca="false">MAX(0,P196-O196)+O196*Restaurantes!$D$62</f>
        <v>8.660083401255</v>
      </c>
      <c r="Q197" s="158" t="n">
        <f aca="false">MAX(0,Q196-P196)+P196*Restaurantes!$D$62</f>
        <v>8.76878737700297</v>
      </c>
      <c r="R197" s="158" t="n">
        <f aca="false">MAX(0,R196-Q196)+Q196*Restaurantes!$D$62</f>
        <v>8.87749135275092</v>
      </c>
      <c r="S197" s="158" t="n">
        <f aca="false">MAX(0,S196-R196)+R196*Restaurantes!$D$62</f>
        <v>8.98619532849891</v>
      </c>
      <c r="T197" s="158" t="n">
        <f aca="false">MAX(0,T196-S196)+S196*Restaurantes!$D$62</f>
        <v>9.09489930424688</v>
      </c>
      <c r="U197" s="158" t="n">
        <f aca="false">MAX(0,U196-T196)+T196*Restaurantes!$D$62</f>
        <v>1.95667156346347</v>
      </c>
      <c r="V197" s="158" t="n">
        <f aca="false">MAX(0,V196-U196)+U196*Restaurantes!$D$62</f>
        <v>1.95667156346347</v>
      </c>
      <c r="W197" s="158" t="n">
        <f aca="false">MAX(0,W196-V196)+V196*Restaurantes!$D$62</f>
        <v>1.95667156346347</v>
      </c>
      <c r="X197" s="158" t="n">
        <f aca="false">MAX(0,X196-W196)+W196*Restaurantes!$D$62</f>
        <v>1.95667156346347</v>
      </c>
      <c r="Y197" s="158" t="n">
        <f aca="false">MAX(0,Y196-X196)+X196*Restaurantes!$D$62</f>
        <v>1.95667156346347</v>
      </c>
      <c r="Z197" s="158" t="n">
        <f aca="false">MAX(0,Z196-Y196)+Y196*Restaurantes!$D$62</f>
        <v>1.95667156346347</v>
      </c>
      <c r="AA197" s="158" t="n">
        <f aca="false">MAX(0,AA196-Z196)+Z196*Restaurantes!$D$62</f>
        <v>1.95667156346347</v>
      </c>
      <c r="AB197" s="158" t="n">
        <f aca="false">MAX(0,AB196-AA196)+AA196*Restaurantes!$D$62</f>
        <v>1.95667156346347</v>
      </c>
      <c r="AC197" s="158" t="n">
        <f aca="false">MAX(0,AC196-AB196)+AB196*Restaurantes!$D$62</f>
        <v>1.95667156346347</v>
      </c>
      <c r="AD197" s="158" t="n">
        <f aca="false">MAX(0,AD196-AC196)+AC196*Restaurantes!$D$62</f>
        <v>1.95667156346347</v>
      </c>
      <c r="AE197" s="158" t="n">
        <f aca="false">MAX(0,AE196-AD196)+AD196*Restaurantes!$D$62</f>
        <v>1.95667156346347</v>
      </c>
      <c r="AF197" s="158" t="n">
        <f aca="false">MAX(0,AF196-AE196)+AE196*Restaurantes!$D$62</f>
        <v>1.95667156346347</v>
      </c>
      <c r="AG197" s="158" t="n">
        <f aca="false">MAX(0,AG196-AF196)+AF196*Restaurantes!$D$62</f>
        <v>1.95667156346347</v>
      </c>
      <c r="AH197" s="158" t="n">
        <f aca="false">MAX(0,AH196-AG196)+AG196*Restaurantes!$D$62</f>
        <v>1.95667156346347</v>
      </c>
      <c r="AI197" s="158" t="n">
        <f aca="false">MAX(0,AI196-AH196)+AH196*Restaurantes!$D$62</f>
        <v>1.95667156346347</v>
      </c>
      <c r="AJ197" s="158" t="n">
        <f aca="false">MAX(0,AJ196-AI196)+AI196*Restaurantes!$D$62</f>
        <v>1.95667156346347</v>
      </c>
      <c r="AK197" s="158" t="n">
        <f aca="false">MAX(0,AK196-AJ196)+AJ196*Restaurantes!$D$62</f>
        <v>1.95667156346347</v>
      </c>
      <c r="AL197" s="158" t="n">
        <f aca="false">MAX(0,AL196-AK196)+AK196*Restaurantes!$D$62</f>
        <v>1.95667156346347</v>
      </c>
      <c r="AM197" s="158" t="n">
        <f aca="false">MAX(0,AM196-AL196)+AL196*Restaurantes!$D$62</f>
        <v>1.95667156346347</v>
      </c>
      <c r="AN197" s="158" t="n">
        <f aca="false">MAX(0,AN196-AM196)+AM196*Restaurantes!$D$62</f>
        <v>1.95667156346347</v>
      </c>
      <c r="AO197" s="158" t="n">
        <f aca="false">MAX(0,AO196-AN196)+AN196*Restaurantes!$D$62</f>
        <v>1.95667156346347</v>
      </c>
      <c r="AP197" s="158" t="n">
        <f aca="false">MAX(0,AP196-AO196)+AO196*Restaurantes!$D$62</f>
        <v>1.95667156346347</v>
      </c>
      <c r="AQ197" s="158" t="n">
        <f aca="false">MAX(0,AQ196-AP196)+AP196*Restaurantes!$D$62</f>
        <v>1.95667156346347</v>
      </c>
      <c r="AR197" s="158" t="n">
        <f aca="false">MAX(0,AR196-AQ196)+AQ196*Restaurantes!$D$62</f>
        <v>1.95667156346347</v>
      </c>
      <c r="AS197" s="158" t="n">
        <f aca="false">MAX(0,AS196-AR196)+AR196*Restaurantes!$D$62</f>
        <v>1.95667156346347</v>
      </c>
      <c r="AT197" s="158" t="n">
        <f aca="false">MAX(0,AT196-AS196)+AS196*Restaurantes!$D$62</f>
        <v>1.95667156346347</v>
      </c>
      <c r="AU197" s="158" t="n">
        <f aca="false">MAX(0,AU196-AT196)+AT196*Restaurantes!$D$62</f>
        <v>1.95667156346347</v>
      </c>
      <c r="AV197" s="158" t="n">
        <f aca="false">MAX(0,AV196-AU196)+AU196*Restaurantes!$D$62</f>
        <v>1.95667156346347</v>
      </c>
      <c r="AW197" s="158" t="n">
        <f aca="false">MAX(0,AW196-AV196)+AV196*Restaurantes!$D$62</f>
        <v>1.95667156346347</v>
      </c>
      <c r="AX197" s="158" t="n">
        <f aca="false">MAX(0,AX196-AW196)+AW196*Restaurantes!$D$62</f>
        <v>1.95667156346347</v>
      </c>
      <c r="AY197" s="158" t="n">
        <f aca="false">MAX(0,AY196-AX196)+AX196*Restaurantes!$D$62</f>
        <v>1.95667156346347</v>
      </c>
      <c r="AZ197" s="158" t="n">
        <f aca="false">MAX(0,AZ196-AY196)+AY196*Restaurantes!$D$62</f>
        <v>1.95667156346347</v>
      </c>
      <c r="BA197" s="158" t="n">
        <f aca="false">MAX(0,BA196-AZ196)+AZ196*Restaurantes!$D$62</f>
        <v>1.95667156346347</v>
      </c>
      <c r="BB197" s="158" t="n">
        <f aca="false">MAX(0,BB196-BA196)+BA196*Restaurantes!$D$62</f>
        <v>1.95667156346347</v>
      </c>
      <c r="BC197" s="158" t="n">
        <f aca="false">MAX(0,BC196-BB196)+BB196*Restaurantes!$D$62</f>
        <v>1.95667156346347</v>
      </c>
      <c r="BD197" s="158" t="n">
        <f aca="false">MAX(0,BD196-BC196)+BC196*Restaurantes!$D$62</f>
        <v>1.95667156346347</v>
      </c>
      <c r="BE197" s="158" t="n">
        <f aca="false">MAX(0,BE196-BD196)+BD196*Restaurantes!$D$62</f>
        <v>1.95667156346347</v>
      </c>
      <c r="BF197" s="158" t="n">
        <f aca="false">MAX(0,BF196-BE196)+BE196*Restaurantes!$D$62</f>
        <v>1.95667156346347</v>
      </c>
      <c r="BG197" s="158" t="n">
        <f aca="false">MAX(0,BG196-BF196)+BF196*Restaurantes!$D$62</f>
        <v>1.95667156346347</v>
      </c>
      <c r="BH197" s="158" t="n">
        <f aca="false">MAX(0,BH196-BG196)+BG196*Restaurantes!$D$62</f>
        <v>1.95667156346347</v>
      </c>
      <c r="BI197" s="158" t="n">
        <f aca="false">MAX(0,BI196-BH196)+BH196*Restaurantes!$D$62</f>
        <v>1.95667156346347</v>
      </c>
      <c r="BJ197" s="158" t="n">
        <f aca="false">MAX(0,BJ196-BI196)+BI196*Restaurantes!$D$62</f>
        <v>1.95667156346347</v>
      </c>
      <c r="BK197" s="158" t="n">
        <f aca="false">MAX(0,BK196-BJ196)+BJ196*Restaurantes!$D$62</f>
        <v>1.95667156346347</v>
      </c>
      <c r="BL197" s="158" t="n">
        <f aca="false">MAX(0,BL196-BK196)+BK196*Restaurantes!$D$62</f>
        <v>1.95667156346347</v>
      </c>
      <c r="BM197" s="158" t="n">
        <f aca="false">MAX(0,BM196-BL196)+BL196*Restaurantes!$D$62</f>
        <v>1.95667156346347</v>
      </c>
      <c r="BN197" s="158" t="n">
        <f aca="false">MAX(0,BN196-BM196)+BM196*Restaurantes!$D$62</f>
        <v>1.95667156346347</v>
      </c>
      <c r="BO197" s="158" t="n">
        <f aca="false">MAX(0,BO196-BN196)+BN196*Restaurantes!$D$62</f>
        <v>1.95667156346347</v>
      </c>
      <c r="BP197" s="158" t="n">
        <f aca="false">MAX(0,BP196-BO196)+BO196*Restaurantes!$D$62</f>
        <v>1.95667156346347</v>
      </c>
      <c r="BQ197" s="158" t="n">
        <f aca="false">MAX(0,BQ196-BP196)+BP196*Restaurantes!$D$62</f>
        <v>1.95667156346347</v>
      </c>
      <c r="BR197" s="158" t="n">
        <f aca="false">MAX(0,BR196-BQ196)+BQ196*Restaurantes!$D$62</f>
        <v>1.95667156346347</v>
      </c>
      <c r="BS197" s="158" t="n">
        <f aca="false">MAX(0,BS196-BR196)+BR196*Restaurantes!$D$62</f>
        <v>1.95667156346347</v>
      </c>
      <c r="BT197" s="158" t="n">
        <f aca="false">MAX(0,BT196-BS196)+BS196*Restaurantes!$D$62</f>
        <v>1.95667156346347</v>
      </c>
      <c r="BU197" s="158" t="n">
        <f aca="false">MAX(0,BU196-BT196)+BT196*Restaurantes!$D$62</f>
        <v>1.95667156346347</v>
      </c>
      <c r="BV197" s="158" t="n">
        <f aca="false">MAX(0,BV196-BU196)+BU196*Restaurantes!$D$62</f>
        <v>1.95667156346347</v>
      </c>
      <c r="BW197" s="158" t="n">
        <f aca="false">MAX(0,BW196-BV196)+BV196*Restaurantes!$D$62</f>
        <v>1.95667156346347</v>
      </c>
      <c r="BX197" s="158" t="n">
        <f aca="false">MAX(0,BX196-BW196)+BW196*Restaurantes!$D$62</f>
        <v>1.95667156346347</v>
      </c>
      <c r="BY197" s="158" t="n">
        <f aca="false">MAX(0,BY196-BX196)+BX196*Restaurantes!$D$62</f>
        <v>1.95667156346347</v>
      </c>
      <c r="BZ197" s="158" t="n">
        <f aca="false">MAX(0,BZ196-BY196)+BY196*Restaurantes!$D$62</f>
        <v>1.95667156346347</v>
      </c>
      <c r="CA197" s="158" t="n">
        <f aca="false">MAX(0,CA196-BZ196)+BZ196*Restaurantes!$D$62</f>
        <v>1.95667156346347</v>
      </c>
      <c r="CB197" s="158" t="n">
        <f aca="false">MAX(0,CB196-CA196)+CA196*Restaurantes!$D$62</f>
        <v>1.95667156346347</v>
      </c>
      <c r="CC197" s="158" t="n">
        <f aca="false">MAX(0,CC196-CB196)+CB196*Restaurantes!$D$62</f>
        <v>1.95667156346347</v>
      </c>
      <c r="CD197" s="158" t="n">
        <f aca="false">MAX(0,CD196-CC196)+CC196*Restaurantes!$D$62</f>
        <v>1.95667156346347</v>
      </c>
      <c r="CE197" s="158" t="n">
        <f aca="false">MAX(0,CE196-CD196)+CD196*Restaurantes!$D$62</f>
        <v>1.95667156346347</v>
      </c>
      <c r="CF197" s="158" t="n">
        <f aca="false">MAX(0,CF196-CE196)+CE196*Restaurantes!$D$62</f>
        <v>1.95667156346347</v>
      </c>
      <c r="CG197" s="158" t="n">
        <f aca="false">MAX(0,CG196-CF196)+CF196*Restaurantes!$D$62</f>
        <v>1.95667156346347</v>
      </c>
      <c r="CH197" s="158" t="n">
        <f aca="false">MAX(0,CH196-CG196)+CG196*Restaurantes!$D$62</f>
        <v>1.95667156346347</v>
      </c>
    </row>
    <row r="198" customFormat="false" ht="15" hidden="false" customHeight="false" outlineLevel="0" collapsed="false">
      <c r="A198" s="1" t="s">
        <v>859</v>
      </c>
      <c r="C198" s="158" t="n">
        <f aca="false">IFERROR(C188/Restaurantes!$D$35,0)</f>
        <v>2.51944757505011</v>
      </c>
      <c r="D198" s="158" t="n">
        <f aca="false">IFERROR(D188/Restaurantes!$D$35,0)</f>
        <v>5.03889515010021</v>
      </c>
      <c r="E198" s="158" t="n">
        <f aca="false">IFERROR(E188/Restaurantes!$D$35,0)</f>
        <v>7.55834272515032</v>
      </c>
      <c r="F198" s="158" t="n">
        <f aca="false">IFERROR(F188/Restaurantes!$D$35,0)</f>
        <v>10.0777903002004</v>
      </c>
      <c r="G198" s="158" t="n">
        <f aca="false">IFERROR(G188/Restaurantes!$D$35,0)</f>
        <v>1.88958568128758</v>
      </c>
      <c r="H198" s="158" t="n">
        <f aca="false">IFERROR(H188/Restaurantes!$D$35,0)</f>
        <v>15.1166854503006</v>
      </c>
      <c r="I198" s="158" t="n">
        <f aca="false">IFERROR(I188/Restaurantes!$D$35,0)</f>
        <v>17.6361330253507</v>
      </c>
      <c r="J198" s="158" t="n">
        <f aca="false">IFERROR(J188/Restaurantes!$D$35,0)</f>
        <v>20.1555806004009</v>
      </c>
      <c r="K198" s="158" t="n">
        <f aca="false">IFERROR(K188/Restaurantes!$D$35,0)</f>
        <v>22.675028175451</v>
      </c>
      <c r="L198" s="158" t="n">
        <f aca="false">IFERROR(L188/Restaurantes!$D$35,0)</f>
        <v>25.1944757505011</v>
      </c>
      <c r="M198" s="158" t="n">
        <f aca="false">IFERROR(M188/Restaurantes!$D$35,0)</f>
        <v>27.7139233255512</v>
      </c>
      <c r="N198" s="158" t="n">
        <f aca="false">IFERROR(N188/Restaurantes!$D$35,0)</f>
        <v>30.2333709006013</v>
      </c>
      <c r="O198" s="158" t="n">
        <f aca="false">IFERROR(O188/Restaurantes!$D$35,0)</f>
        <v>32.7528184756514</v>
      </c>
      <c r="P198" s="158" t="n">
        <f aca="false">IFERROR(P188/Restaurantes!$D$35,0)</f>
        <v>35.2722660507015</v>
      </c>
      <c r="Q198" s="158" t="n">
        <f aca="false">IFERROR(Q188/Restaurantes!$D$35,0)</f>
        <v>37.7917136257516</v>
      </c>
      <c r="R198" s="158" t="n">
        <f aca="false">IFERROR(R188/Restaurantes!$D$35,0)</f>
        <v>40.3111612008017</v>
      </c>
      <c r="S198" s="158" t="n">
        <f aca="false">IFERROR(S188/Restaurantes!$D$35,0)</f>
        <v>6.42459131637777</v>
      </c>
      <c r="T198" s="158" t="n">
        <f aca="false">IFERROR(T188/Restaurantes!$D$35,0)</f>
        <v>45.3500563509019</v>
      </c>
      <c r="U198" s="158" t="n">
        <f aca="false">IFERROR(U188/Restaurantes!$D$35,0)</f>
        <v>45.3500563509019</v>
      </c>
      <c r="V198" s="158" t="n">
        <f aca="false">IFERROR(V188/Restaurantes!$D$35,0)</f>
        <v>45.3500563509019</v>
      </c>
      <c r="W198" s="158" t="n">
        <f aca="false">IFERROR(W188/Restaurantes!$D$35,0)</f>
        <v>45.3500563509019</v>
      </c>
      <c r="X198" s="158" t="n">
        <f aca="false">IFERROR(X188/Restaurantes!$D$35,0)</f>
        <v>45.3500563509019</v>
      </c>
      <c r="Y198" s="158" t="n">
        <f aca="false">IFERROR(Y188/Restaurantes!$D$35,0)</f>
        <v>45.3500563509019</v>
      </c>
      <c r="Z198" s="158" t="n">
        <f aca="false">IFERROR(Z188/Restaurantes!$D$35,0)</f>
        <v>45.3500563509019</v>
      </c>
      <c r="AA198" s="158" t="n">
        <f aca="false">IFERROR(AA188/Restaurantes!$D$35,0)</f>
        <v>45.3500563509019</v>
      </c>
      <c r="AB198" s="158" t="n">
        <f aca="false">IFERROR(AB188/Restaurantes!$D$35,0)</f>
        <v>45.3500563509019</v>
      </c>
      <c r="AC198" s="158" t="n">
        <f aca="false">IFERROR(AC188/Restaurantes!$D$35,0)</f>
        <v>45.3500563509019</v>
      </c>
      <c r="AD198" s="158" t="n">
        <f aca="false">IFERROR(AD188/Restaurantes!$D$35,0)</f>
        <v>45.3500563509019</v>
      </c>
      <c r="AE198" s="158" t="n">
        <f aca="false">IFERROR(AE188/Restaurantes!$D$35,0)</f>
        <v>6.80250845263529</v>
      </c>
      <c r="AF198" s="158" t="n">
        <f aca="false">IFERROR(AF188/Restaurantes!$D$35,0)</f>
        <v>45.3500563509019</v>
      </c>
      <c r="AG198" s="158" t="n">
        <f aca="false">IFERROR(AG188/Restaurantes!$D$35,0)</f>
        <v>45.3500563509019</v>
      </c>
      <c r="AH198" s="158" t="n">
        <f aca="false">IFERROR(AH188/Restaurantes!$D$35,0)</f>
        <v>45.3500563509019</v>
      </c>
      <c r="AI198" s="158" t="n">
        <f aca="false">IFERROR(AI188/Restaurantes!$D$35,0)</f>
        <v>45.3500563509019</v>
      </c>
      <c r="AJ198" s="158" t="n">
        <f aca="false">IFERROR(AJ188/Restaurantes!$D$35,0)</f>
        <v>45.3500563509019</v>
      </c>
      <c r="AK198" s="158" t="n">
        <f aca="false">IFERROR(AK188/Restaurantes!$D$35,0)</f>
        <v>45.3500563509019</v>
      </c>
      <c r="AL198" s="158" t="n">
        <f aca="false">IFERROR(AL188/Restaurantes!$D$35,0)</f>
        <v>45.3500563509019</v>
      </c>
      <c r="AM198" s="158" t="n">
        <f aca="false">IFERROR(AM188/Restaurantes!$D$35,0)</f>
        <v>45.3500563509019</v>
      </c>
      <c r="AN198" s="158" t="n">
        <f aca="false">IFERROR(AN188/Restaurantes!$D$35,0)</f>
        <v>45.3500563509019</v>
      </c>
      <c r="AO198" s="158" t="n">
        <f aca="false">IFERROR(AO188/Restaurantes!$D$35,0)</f>
        <v>45.3500563509019</v>
      </c>
      <c r="AP198" s="158" t="n">
        <f aca="false">IFERROR(AP188/Restaurantes!$D$35,0)</f>
        <v>45.3500563509019</v>
      </c>
      <c r="AQ198" s="158" t="n">
        <f aca="false">IFERROR(AQ188/Restaurantes!$D$35,0)</f>
        <v>6.80250845263529</v>
      </c>
      <c r="AR198" s="158" t="n">
        <f aca="false">IFERROR(AR188/Restaurantes!$D$35,0)</f>
        <v>45.3500563509019</v>
      </c>
      <c r="AS198" s="158" t="n">
        <f aca="false">IFERROR(AS188/Restaurantes!$D$35,0)</f>
        <v>45.3500563509019</v>
      </c>
      <c r="AT198" s="158" t="n">
        <f aca="false">IFERROR(AT188/Restaurantes!$D$35,0)</f>
        <v>45.3500563509019</v>
      </c>
      <c r="AU198" s="158" t="n">
        <f aca="false">IFERROR(AU188/Restaurantes!$D$35,0)</f>
        <v>45.3500563509019</v>
      </c>
      <c r="AV198" s="158" t="n">
        <f aca="false">IFERROR(AV188/Restaurantes!$D$35,0)</f>
        <v>45.3500563509019</v>
      </c>
      <c r="AW198" s="158" t="n">
        <f aca="false">IFERROR(AW188/Restaurantes!$D$35,0)</f>
        <v>45.3500563509019</v>
      </c>
      <c r="AX198" s="158" t="n">
        <f aca="false">IFERROR(AX188/Restaurantes!$D$35,0)</f>
        <v>45.3500563509019</v>
      </c>
      <c r="AY198" s="158" t="n">
        <f aca="false">IFERROR(AY188/Restaurantes!$D$35,0)</f>
        <v>45.3500563509019</v>
      </c>
      <c r="AZ198" s="158" t="n">
        <f aca="false">IFERROR(AZ188/Restaurantes!$D$35,0)</f>
        <v>45.3500563509019</v>
      </c>
      <c r="BA198" s="158" t="n">
        <f aca="false">IFERROR(BA188/Restaurantes!$D$35,0)</f>
        <v>45.3500563509019</v>
      </c>
      <c r="BB198" s="158" t="n">
        <f aca="false">IFERROR(BB188/Restaurantes!$D$35,0)</f>
        <v>45.3500563509019</v>
      </c>
      <c r="BC198" s="158" t="n">
        <f aca="false">IFERROR(BC188/Restaurantes!$D$35,0)</f>
        <v>6.80250845263529</v>
      </c>
      <c r="BD198" s="158" t="n">
        <f aca="false">IFERROR(BD188/Restaurantes!$D$35,0)</f>
        <v>45.3500563509019</v>
      </c>
      <c r="BE198" s="158" t="n">
        <f aca="false">IFERROR(BE188/Restaurantes!$D$35,0)</f>
        <v>45.3500563509019</v>
      </c>
      <c r="BF198" s="158" t="n">
        <f aca="false">IFERROR(BF188/Restaurantes!$D$35,0)</f>
        <v>45.3500563509019</v>
      </c>
      <c r="BG198" s="158" t="n">
        <f aca="false">IFERROR(BG188/Restaurantes!$D$35,0)</f>
        <v>45.3500563509019</v>
      </c>
      <c r="BH198" s="158" t="n">
        <f aca="false">IFERROR(BH188/Restaurantes!$D$35,0)</f>
        <v>45.3500563509019</v>
      </c>
      <c r="BI198" s="158" t="n">
        <f aca="false">IFERROR(BI188/Restaurantes!$D$35,0)</f>
        <v>45.3500563509019</v>
      </c>
      <c r="BJ198" s="158" t="n">
        <f aca="false">IFERROR(BJ188/Restaurantes!$D$35,0)</f>
        <v>45.3500563509019</v>
      </c>
      <c r="BK198" s="158" t="n">
        <f aca="false">IFERROR(BK188/Restaurantes!$D$35,0)</f>
        <v>45.3500563509019</v>
      </c>
      <c r="BL198" s="158" t="n">
        <f aca="false">IFERROR(BL188/Restaurantes!$D$35,0)</f>
        <v>45.3500563509019</v>
      </c>
      <c r="BM198" s="158" t="n">
        <f aca="false">IFERROR(BM188/Restaurantes!$D$35,0)</f>
        <v>45.3500563509019</v>
      </c>
      <c r="BN198" s="158" t="n">
        <f aca="false">IFERROR(BN188/Restaurantes!$D$35,0)</f>
        <v>45.3500563509019</v>
      </c>
      <c r="BO198" s="158" t="n">
        <f aca="false">IFERROR(BO188/Restaurantes!$D$35,0)</f>
        <v>6.80250845263529</v>
      </c>
      <c r="BP198" s="158" t="n">
        <f aca="false">IFERROR(BP188/Restaurantes!$D$35,0)</f>
        <v>45.3500563509019</v>
      </c>
      <c r="BQ198" s="158" t="n">
        <f aca="false">IFERROR(BQ188/Restaurantes!$D$35,0)</f>
        <v>45.3500563509019</v>
      </c>
      <c r="BR198" s="158" t="n">
        <f aca="false">IFERROR(BR188/Restaurantes!$D$35,0)</f>
        <v>45.3500563509019</v>
      </c>
      <c r="BS198" s="158" t="n">
        <f aca="false">IFERROR(BS188/Restaurantes!$D$35,0)</f>
        <v>45.3500563509019</v>
      </c>
      <c r="BT198" s="158" t="n">
        <f aca="false">IFERROR(BT188/Restaurantes!$D$35,0)</f>
        <v>45.3500563509019</v>
      </c>
      <c r="BU198" s="158" t="n">
        <f aca="false">IFERROR(BU188/Restaurantes!$D$35,0)</f>
        <v>45.3500563509019</v>
      </c>
      <c r="BV198" s="158" t="n">
        <f aca="false">IFERROR(BV188/Restaurantes!$D$35,0)</f>
        <v>45.3500563509019</v>
      </c>
      <c r="BW198" s="158" t="n">
        <f aca="false">IFERROR(BW188/Restaurantes!$D$35,0)</f>
        <v>45.3500563509019</v>
      </c>
      <c r="BX198" s="158" t="n">
        <f aca="false">IFERROR(BX188/Restaurantes!$D$35,0)</f>
        <v>45.3500563509019</v>
      </c>
      <c r="BY198" s="158" t="n">
        <f aca="false">IFERROR(BY188/Restaurantes!$D$35,0)</f>
        <v>45.3500563509019</v>
      </c>
      <c r="BZ198" s="158" t="n">
        <f aca="false">IFERROR(BZ188/Restaurantes!$D$35,0)</f>
        <v>45.3500563509019</v>
      </c>
      <c r="CA198" s="158" t="n">
        <f aca="false">IFERROR(CA188/Restaurantes!$D$35,0)</f>
        <v>6.80250845263529</v>
      </c>
      <c r="CB198" s="158" t="n">
        <f aca="false">IFERROR(CB188/Restaurantes!$D$35,0)</f>
        <v>45.3500563509019</v>
      </c>
      <c r="CC198" s="158" t="n">
        <f aca="false">IFERROR(CC188/Restaurantes!$D$35,0)</f>
        <v>45.3500563509019</v>
      </c>
      <c r="CD198" s="158" t="n">
        <f aca="false">IFERROR(CD188/Restaurantes!$D$35,0)</f>
        <v>45.3500563509019</v>
      </c>
      <c r="CE198" s="158" t="n">
        <f aca="false">IFERROR(CE188/Restaurantes!$D$35,0)</f>
        <v>45.3500563509019</v>
      </c>
      <c r="CF198" s="158" t="n">
        <f aca="false">IFERROR(CF188/Restaurantes!$D$35,0)</f>
        <v>45.3500563509019</v>
      </c>
      <c r="CG198" s="158" t="n">
        <f aca="false">IFERROR(CG188/Restaurantes!$D$35,0)</f>
        <v>45.3500563509019</v>
      </c>
      <c r="CH198" s="158" t="n">
        <f aca="false">IFERROR(CH188/Restaurantes!$D$35,0)</f>
        <v>45.3500563509019</v>
      </c>
    </row>
    <row r="199" customFormat="false" ht="15" hidden="false" customHeight="false" outlineLevel="0" collapsed="false">
      <c r="A199" s="1" t="s">
        <v>860</v>
      </c>
      <c r="C199" s="158" t="n">
        <f aca="false">IFERROR(C198/Restaurantes!$E$36,0)</f>
        <v>0.314930946881263</v>
      </c>
      <c r="D199" s="158" t="n">
        <f aca="false">IFERROR(D198/Restaurantes!$E$36,0)</f>
        <v>0.629861893762527</v>
      </c>
      <c r="E199" s="158" t="n">
        <f aca="false">IFERROR(E198/Restaurantes!$E$36,0)</f>
        <v>0.94479284064379</v>
      </c>
      <c r="F199" s="158" t="n">
        <f aca="false">IFERROR(F198/Restaurantes!$E$36,0)</f>
        <v>1.25972378752505</v>
      </c>
      <c r="G199" s="158" t="n">
        <f aca="false">IFERROR(G198/Restaurantes!$E$36,0)</f>
        <v>0.236198210160948</v>
      </c>
      <c r="H199" s="158" t="n">
        <f aca="false">IFERROR(H198/Restaurantes!$E$36,0)</f>
        <v>1.88958568128758</v>
      </c>
      <c r="I199" s="158" t="n">
        <f aca="false">IFERROR(I198/Restaurantes!$E$36,0)</f>
        <v>2.20451662816884</v>
      </c>
      <c r="J199" s="158" t="n">
        <f aca="false">IFERROR(J198/Restaurantes!$E$36,0)</f>
        <v>2.51944757505011</v>
      </c>
      <c r="K199" s="158" t="n">
        <f aca="false">IFERROR(K198/Restaurantes!$E$36,0)</f>
        <v>2.83437852193137</v>
      </c>
      <c r="L199" s="158" t="n">
        <f aca="false">IFERROR(L198/Restaurantes!$E$36,0)</f>
        <v>3.14930946881263</v>
      </c>
      <c r="M199" s="158" t="n">
        <f aca="false">IFERROR(M198/Restaurantes!$E$36,0)</f>
        <v>3.4642404156939</v>
      </c>
      <c r="N199" s="158" t="n">
        <f aca="false">IFERROR(N198/Restaurantes!$E$36,0)</f>
        <v>3.77917136257516</v>
      </c>
      <c r="O199" s="158" t="n">
        <f aca="false">IFERROR(O198/Restaurantes!$E$36,0)</f>
        <v>4.09410230945642</v>
      </c>
      <c r="P199" s="158" t="n">
        <f aca="false">IFERROR(P198/Restaurantes!$E$36,0)</f>
        <v>4.40903325633769</v>
      </c>
      <c r="Q199" s="158" t="n">
        <f aca="false">IFERROR(Q198/Restaurantes!$E$36,0)</f>
        <v>4.72396420321895</v>
      </c>
      <c r="R199" s="158" t="n">
        <f aca="false">IFERROR(R198/Restaurantes!$E$36,0)</f>
        <v>5.03889515010021</v>
      </c>
      <c r="S199" s="158" t="n">
        <f aca="false">IFERROR(S198/Restaurantes!$E$36,0)</f>
        <v>0.803073914547222</v>
      </c>
      <c r="T199" s="158" t="n">
        <f aca="false">IFERROR(T198/Restaurantes!$E$36,0)</f>
        <v>5.66875704386274</v>
      </c>
      <c r="U199" s="158" t="n">
        <f aca="false">IFERROR(U198/Restaurantes!$E$36,0)</f>
        <v>5.66875704386274</v>
      </c>
      <c r="V199" s="158" t="n">
        <f aca="false">IFERROR(V198/Restaurantes!$E$36,0)</f>
        <v>5.66875704386274</v>
      </c>
      <c r="W199" s="158" t="n">
        <f aca="false">IFERROR(W198/Restaurantes!$E$36,0)</f>
        <v>5.66875704386274</v>
      </c>
      <c r="X199" s="158" t="n">
        <f aca="false">IFERROR(X198/Restaurantes!$E$36,0)</f>
        <v>5.66875704386274</v>
      </c>
      <c r="Y199" s="158" t="n">
        <f aca="false">IFERROR(Y198/Restaurantes!$E$36,0)</f>
        <v>5.66875704386274</v>
      </c>
      <c r="Z199" s="158" t="n">
        <f aca="false">IFERROR(Z198/Restaurantes!$E$36,0)</f>
        <v>5.66875704386274</v>
      </c>
      <c r="AA199" s="158" t="n">
        <f aca="false">IFERROR(AA198/Restaurantes!$E$36,0)</f>
        <v>5.66875704386274</v>
      </c>
      <c r="AB199" s="158" t="n">
        <f aca="false">IFERROR(AB198/Restaurantes!$E$36,0)</f>
        <v>5.66875704386274</v>
      </c>
      <c r="AC199" s="158" t="n">
        <f aca="false">IFERROR(AC198/Restaurantes!$E$36,0)</f>
        <v>5.66875704386274</v>
      </c>
      <c r="AD199" s="158" t="n">
        <f aca="false">IFERROR(AD198/Restaurantes!$E$36,0)</f>
        <v>5.66875704386274</v>
      </c>
      <c r="AE199" s="158" t="n">
        <f aca="false">IFERROR(AE198/Restaurantes!$E$36,0)</f>
        <v>0.850313556579411</v>
      </c>
      <c r="AF199" s="158" t="n">
        <f aca="false">IFERROR(AF198/Restaurantes!$E$36,0)</f>
        <v>5.66875704386274</v>
      </c>
      <c r="AG199" s="158" t="n">
        <f aca="false">IFERROR(AG198/Restaurantes!$E$36,0)</f>
        <v>5.66875704386274</v>
      </c>
      <c r="AH199" s="158" t="n">
        <f aca="false">IFERROR(AH198/Restaurantes!$E$36,0)</f>
        <v>5.66875704386274</v>
      </c>
      <c r="AI199" s="158" t="n">
        <f aca="false">IFERROR(AI198/Restaurantes!$E$36,0)</f>
        <v>5.66875704386274</v>
      </c>
      <c r="AJ199" s="158" t="n">
        <f aca="false">IFERROR(AJ198/Restaurantes!$E$36,0)</f>
        <v>5.66875704386274</v>
      </c>
      <c r="AK199" s="158" t="n">
        <f aca="false">IFERROR(AK198/Restaurantes!$E$36,0)</f>
        <v>5.66875704386274</v>
      </c>
      <c r="AL199" s="158" t="n">
        <f aca="false">IFERROR(AL198/Restaurantes!$E$36,0)</f>
        <v>5.66875704386274</v>
      </c>
      <c r="AM199" s="158" t="n">
        <f aca="false">IFERROR(AM198/Restaurantes!$E$36,0)</f>
        <v>5.66875704386274</v>
      </c>
      <c r="AN199" s="158" t="n">
        <f aca="false">IFERROR(AN198/Restaurantes!$E$36,0)</f>
        <v>5.66875704386274</v>
      </c>
      <c r="AO199" s="158" t="n">
        <f aca="false">IFERROR(AO198/Restaurantes!$E$36,0)</f>
        <v>5.66875704386274</v>
      </c>
      <c r="AP199" s="158" t="n">
        <f aca="false">IFERROR(AP198/Restaurantes!$E$36,0)</f>
        <v>5.66875704386274</v>
      </c>
      <c r="AQ199" s="158" t="n">
        <f aca="false">IFERROR(AQ198/Restaurantes!$E$36,0)</f>
        <v>0.850313556579411</v>
      </c>
      <c r="AR199" s="158" t="n">
        <f aca="false">IFERROR(AR198/Restaurantes!$E$36,0)</f>
        <v>5.66875704386274</v>
      </c>
      <c r="AS199" s="158" t="n">
        <f aca="false">IFERROR(AS198/Restaurantes!$E$36,0)</f>
        <v>5.66875704386274</v>
      </c>
      <c r="AT199" s="158" t="n">
        <f aca="false">IFERROR(AT198/Restaurantes!$E$36,0)</f>
        <v>5.66875704386274</v>
      </c>
      <c r="AU199" s="158" t="n">
        <f aca="false">IFERROR(AU198/Restaurantes!$E$36,0)</f>
        <v>5.66875704386274</v>
      </c>
      <c r="AV199" s="158" t="n">
        <f aca="false">IFERROR(AV198/Restaurantes!$E$36,0)</f>
        <v>5.66875704386274</v>
      </c>
      <c r="AW199" s="158" t="n">
        <f aca="false">IFERROR(AW198/Restaurantes!$E$36,0)</f>
        <v>5.66875704386274</v>
      </c>
      <c r="AX199" s="158" t="n">
        <f aca="false">IFERROR(AX198/Restaurantes!$E$36,0)</f>
        <v>5.66875704386274</v>
      </c>
      <c r="AY199" s="158" t="n">
        <f aca="false">IFERROR(AY198/Restaurantes!$E$36,0)</f>
        <v>5.66875704386274</v>
      </c>
      <c r="AZ199" s="158" t="n">
        <f aca="false">IFERROR(AZ198/Restaurantes!$E$36,0)</f>
        <v>5.66875704386274</v>
      </c>
      <c r="BA199" s="158" t="n">
        <f aca="false">IFERROR(BA198/Restaurantes!$E$36,0)</f>
        <v>5.66875704386274</v>
      </c>
      <c r="BB199" s="158" t="n">
        <f aca="false">IFERROR(BB198/Restaurantes!$E$36,0)</f>
        <v>5.66875704386274</v>
      </c>
      <c r="BC199" s="158" t="n">
        <f aca="false">IFERROR(BC198/Restaurantes!$E$36,0)</f>
        <v>0.850313556579411</v>
      </c>
      <c r="BD199" s="158" t="n">
        <f aca="false">IFERROR(BD198/Restaurantes!$E$36,0)</f>
        <v>5.66875704386274</v>
      </c>
      <c r="BE199" s="158" t="n">
        <f aca="false">IFERROR(BE198/Restaurantes!$E$36,0)</f>
        <v>5.66875704386274</v>
      </c>
      <c r="BF199" s="158" t="n">
        <f aca="false">IFERROR(BF198/Restaurantes!$E$36,0)</f>
        <v>5.66875704386274</v>
      </c>
      <c r="BG199" s="158" t="n">
        <f aca="false">IFERROR(BG198/Restaurantes!$E$36,0)</f>
        <v>5.66875704386274</v>
      </c>
      <c r="BH199" s="158" t="n">
        <f aca="false">IFERROR(BH198/Restaurantes!$E$36,0)</f>
        <v>5.66875704386274</v>
      </c>
      <c r="BI199" s="158" t="n">
        <f aca="false">IFERROR(BI198/Restaurantes!$E$36,0)</f>
        <v>5.66875704386274</v>
      </c>
      <c r="BJ199" s="158" t="n">
        <f aca="false">IFERROR(BJ198/Restaurantes!$E$36,0)</f>
        <v>5.66875704386274</v>
      </c>
      <c r="BK199" s="158" t="n">
        <f aca="false">IFERROR(BK198/Restaurantes!$E$36,0)</f>
        <v>5.66875704386274</v>
      </c>
      <c r="BL199" s="158" t="n">
        <f aca="false">IFERROR(BL198/Restaurantes!$E$36,0)</f>
        <v>5.66875704386274</v>
      </c>
      <c r="BM199" s="158" t="n">
        <f aca="false">IFERROR(BM198/Restaurantes!$E$36,0)</f>
        <v>5.66875704386274</v>
      </c>
      <c r="BN199" s="158" t="n">
        <f aca="false">IFERROR(BN198/Restaurantes!$E$36,0)</f>
        <v>5.66875704386274</v>
      </c>
      <c r="BO199" s="158" t="n">
        <f aca="false">IFERROR(BO198/Restaurantes!$E$36,0)</f>
        <v>0.850313556579411</v>
      </c>
      <c r="BP199" s="158" t="n">
        <f aca="false">IFERROR(BP198/Restaurantes!$E$36,0)</f>
        <v>5.66875704386274</v>
      </c>
      <c r="BQ199" s="158" t="n">
        <f aca="false">IFERROR(BQ198/Restaurantes!$E$36,0)</f>
        <v>5.66875704386274</v>
      </c>
      <c r="BR199" s="158" t="n">
        <f aca="false">IFERROR(BR198/Restaurantes!$E$36,0)</f>
        <v>5.66875704386274</v>
      </c>
      <c r="BS199" s="158" t="n">
        <f aca="false">IFERROR(BS198/Restaurantes!$E$36,0)</f>
        <v>5.66875704386274</v>
      </c>
      <c r="BT199" s="158" t="n">
        <f aca="false">IFERROR(BT198/Restaurantes!$E$36,0)</f>
        <v>5.66875704386274</v>
      </c>
      <c r="BU199" s="158" t="n">
        <f aca="false">IFERROR(BU198/Restaurantes!$E$36,0)</f>
        <v>5.66875704386274</v>
      </c>
      <c r="BV199" s="158" t="n">
        <f aca="false">IFERROR(BV198/Restaurantes!$E$36,0)</f>
        <v>5.66875704386274</v>
      </c>
      <c r="BW199" s="158" t="n">
        <f aca="false">IFERROR(BW198/Restaurantes!$E$36,0)</f>
        <v>5.66875704386274</v>
      </c>
      <c r="BX199" s="158" t="n">
        <f aca="false">IFERROR(BX198/Restaurantes!$E$36,0)</f>
        <v>5.66875704386274</v>
      </c>
      <c r="BY199" s="158" t="n">
        <f aca="false">IFERROR(BY198/Restaurantes!$E$36,0)</f>
        <v>5.66875704386274</v>
      </c>
      <c r="BZ199" s="158" t="n">
        <f aca="false">IFERROR(BZ198/Restaurantes!$E$36,0)</f>
        <v>5.66875704386274</v>
      </c>
      <c r="CA199" s="158" t="n">
        <f aca="false">IFERROR(CA198/Restaurantes!$E$36,0)</f>
        <v>0.850313556579411</v>
      </c>
      <c r="CB199" s="158" t="n">
        <f aca="false">IFERROR(CB198/Restaurantes!$E$36,0)</f>
        <v>5.66875704386274</v>
      </c>
      <c r="CC199" s="158" t="n">
        <f aca="false">IFERROR(CC198/Restaurantes!$E$36,0)</f>
        <v>5.66875704386274</v>
      </c>
      <c r="CD199" s="158" t="n">
        <f aca="false">IFERROR(CD198/Restaurantes!$E$36,0)</f>
        <v>5.66875704386274</v>
      </c>
      <c r="CE199" s="158" t="n">
        <f aca="false">IFERROR(CE198/Restaurantes!$E$36,0)</f>
        <v>5.66875704386274</v>
      </c>
      <c r="CF199" s="158" t="n">
        <f aca="false">IFERROR(CF198/Restaurantes!$E$36,0)</f>
        <v>5.66875704386274</v>
      </c>
      <c r="CG199" s="158" t="n">
        <f aca="false">IFERROR(CG198/Restaurantes!$E$36,0)</f>
        <v>5.66875704386274</v>
      </c>
      <c r="CH199" s="158" t="n">
        <f aca="false">IFERROR(CH198/Restaurantes!$E$36,0)</f>
        <v>5.66875704386274</v>
      </c>
    </row>
    <row r="200" customFormat="false" ht="15" hidden="false" customHeight="false" outlineLevel="0" collapsed="false">
      <c r="A200" s="25" t="s">
        <v>861</v>
      </c>
      <c r="C200" s="155" t="n">
        <f aca="false">IF(C198&gt;0,MAX(1,ROUNDUP(C199/Restaurantes!$D$38,0)),0)</f>
        <v>1</v>
      </c>
      <c r="D200" s="155" t="n">
        <f aca="false">IF(D198&gt;0,MAX(1,ROUNDUP(D199/Restaurantes!$D$38,0)),0)</f>
        <v>1</v>
      </c>
      <c r="E200" s="155" t="n">
        <f aca="false">IF(E198&gt;0,MAX(1,ROUNDUP(E199/Restaurantes!$D$38,0)),0)</f>
        <v>1</v>
      </c>
      <c r="F200" s="155" t="n">
        <f aca="false">IF(F198&gt;0,MAX(1,ROUNDUP(F199/Restaurantes!$D$38,0)),0)</f>
        <v>1</v>
      </c>
      <c r="G200" s="155" t="n">
        <f aca="false">IF(G198&gt;0,MAX(1,ROUNDUP(G199/Restaurantes!$D$38,0)),0)</f>
        <v>1</v>
      </c>
      <c r="H200" s="155" t="n">
        <f aca="false">IF(H198&gt;0,MAX(1,ROUNDUP(H199/Restaurantes!$D$38,0)),0)</f>
        <v>1</v>
      </c>
      <c r="I200" s="155" t="n">
        <f aca="false">IF(I198&gt;0,MAX(1,ROUNDUP(I199/Restaurantes!$D$38,0)),0)</f>
        <v>1</v>
      </c>
      <c r="J200" s="155" t="n">
        <f aca="false">IF(J198&gt;0,MAX(1,ROUNDUP(J199/Restaurantes!$D$38,0)),0)</f>
        <v>1</v>
      </c>
      <c r="K200" s="155" t="n">
        <f aca="false">IF(K198&gt;0,MAX(1,ROUNDUP(K199/Restaurantes!$D$38,0)),0)</f>
        <v>1</v>
      </c>
      <c r="L200" s="155" t="n">
        <f aca="false">IF(L198&gt;0,MAX(1,ROUNDUP(L199/Restaurantes!$D$38,0)),0)</f>
        <v>1</v>
      </c>
      <c r="M200" s="155" t="n">
        <f aca="false">IF(M198&gt;0,MAX(1,ROUNDUP(M199/Restaurantes!$D$38,0)),0)</f>
        <v>1</v>
      </c>
      <c r="N200" s="155" t="n">
        <f aca="false">IF(N198&gt;0,MAX(1,ROUNDUP(N199/Restaurantes!$D$38,0)),0)</f>
        <v>1</v>
      </c>
      <c r="O200" s="155" t="n">
        <f aca="false">IF(O198&gt;0,MAX(1,ROUNDUP(O199/Restaurantes!$D$38,0)),0)</f>
        <v>1</v>
      </c>
      <c r="P200" s="155" t="n">
        <f aca="false">IF(P198&gt;0,MAX(1,ROUNDUP(P199/Restaurantes!$D$38,0)),0)</f>
        <v>1</v>
      </c>
      <c r="Q200" s="155" t="n">
        <f aca="false">IF(Q198&gt;0,MAX(1,ROUNDUP(Q199/Restaurantes!$D$38,0)),0)</f>
        <v>1</v>
      </c>
      <c r="R200" s="155" t="n">
        <f aca="false">IF(R198&gt;0,MAX(1,ROUNDUP(R199/Restaurantes!$D$38,0)),0)</f>
        <v>2</v>
      </c>
      <c r="S200" s="155" t="n">
        <f aca="false">IF(S198&gt;0,MAX(1,ROUNDUP(S199/Restaurantes!$D$38,0)),0)</f>
        <v>1</v>
      </c>
      <c r="T200" s="155" t="n">
        <f aca="false">IF(T198&gt;0,MAX(1,ROUNDUP(T199/Restaurantes!$D$38,0)),0)</f>
        <v>2</v>
      </c>
      <c r="U200" s="155" t="n">
        <f aca="false">IF(U198&gt;0,MAX(1,ROUNDUP(U199/Restaurantes!$D$38,0)),0)</f>
        <v>2</v>
      </c>
      <c r="V200" s="155" t="n">
        <f aca="false">IF(V198&gt;0,MAX(1,ROUNDUP(V199/Restaurantes!$D$38,0)),0)</f>
        <v>2</v>
      </c>
      <c r="W200" s="155" t="n">
        <f aca="false">IF(W198&gt;0,MAX(1,ROUNDUP(W199/Restaurantes!$D$38,0)),0)</f>
        <v>2</v>
      </c>
      <c r="X200" s="155" t="n">
        <f aca="false">IF(X198&gt;0,MAX(1,ROUNDUP(X199/Restaurantes!$D$38,0)),0)</f>
        <v>2</v>
      </c>
      <c r="Y200" s="155" t="n">
        <f aca="false">IF(Y198&gt;0,MAX(1,ROUNDUP(Y199/Restaurantes!$D$38,0)),0)</f>
        <v>2</v>
      </c>
      <c r="Z200" s="155" t="n">
        <f aca="false">IF(Z198&gt;0,MAX(1,ROUNDUP(Z199/Restaurantes!$D$38,0)),0)</f>
        <v>2</v>
      </c>
      <c r="AA200" s="155" t="n">
        <f aca="false">IF(AA198&gt;0,MAX(1,ROUNDUP(AA199/Restaurantes!$D$38,0)),0)</f>
        <v>2</v>
      </c>
      <c r="AB200" s="155" t="n">
        <f aca="false">IF(AB198&gt;0,MAX(1,ROUNDUP(AB199/Restaurantes!$D$38,0)),0)</f>
        <v>2</v>
      </c>
      <c r="AC200" s="155" t="n">
        <f aca="false">IF(AC198&gt;0,MAX(1,ROUNDUP(AC199/Restaurantes!$D$38,0)),0)</f>
        <v>2</v>
      </c>
      <c r="AD200" s="155" t="n">
        <f aca="false">IF(AD198&gt;0,MAX(1,ROUNDUP(AD199/Restaurantes!$D$38,0)),0)</f>
        <v>2</v>
      </c>
      <c r="AE200" s="155" t="n">
        <f aca="false">IF(AE198&gt;0,MAX(1,ROUNDUP(AE199/Restaurantes!$D$38,0)),0)</f>
        <v>1</v>
      </c>
      <c r="AF200" s="155" t="n">
        <f aca="false">IF(AF198&gt;0,MAX(1,ROUNDUP(AF199/Restaurantes!$D$38,0)),0)</f>
        <v>2</v>
      </c>
      <c r="AG200" s="155" t="n">
        <f aca="false">IF(AG198&gt;0,MAX(1,ROUNDUP(AG199/Restaurantes!$D$38,0)),0)</f>
        <v>2</v>
      </c>
      <c r="AH200" s="155" t="n">
        <f aca="false">IF(AH198&gt;0,MAX(1,ROUNDUP(AH199/Restaurantes!$D$38,0)),0)</f>
        <v>2</v>
      </c>
      <c r="AI200" s="155" t="n">
        <f aca="false">IF(AI198&gt;0,MAX(1,ROUNDUP(AI199/Restaurantes!$D$38,0)),0)</f>
        <v>2</v>
      </c>
      <c r="AJ200" s="155" t="n">
        <f aca="false">IF(AJ198&gt;0,MAX(1,ROUNDUP(AJ199/Restaurantes!$D$38,0)),0)</f>
        <v>2</v>
      </c>
      <c r="AK200" s="155" t="n">
        <f aca="false">IF(AK198&gt;0,MAX(1,ROUNDUP(AK199/Restaurantes!$D$38,0)),0)</f>
        <v>2</v>
      </c>
      <c r="AL200" s="155" t="n">
        <f aca="false">IF(AL198&gt;0,MAX(1,ROUNDUP(AL199/Restaurantes!$D$38,0)),0)</f>
        <v>2</v>
      </c>
      <c r="AM200" s="155" t="n">
        <f aca="false">IF(AM198&gt;0,MAX(1,ROUNDUP(AM199/Restaurantes!$D$38,0)),0)</f>
        <v>2</v>
      </c>
      <c r="AN200" s="155" t="n">
        <f aca="false">IF(AN198&gt;0,MAX(1,ROUNDUP(AN199/Restaurantes!$D$38,0)),0)</f>
        <v>2</v>
      </c>
      <c r="AO200" s="155" t="n">
        <f aca="false">IF(AO198&gt;0,MAX(1,ROUNDUP(AO199/Restaurantes!$D$38,0)),0)</f>
        <v>2</v>
      </c>
      <c r="AP200" s="155" t="n">
        <f aca="false">IF(AP198&gt;0,MAX(1,ROUNDUP(AP199/Restaurantes!$D$38,0)),0)</f>
        <v>2</v>
      </c>
      <c r="AQ200" s="155" t="n">
        <f aca="false">IF(AQ198&gt;0,MAX(1,ROUNDUP(AQ199/Restaurantes!$D$38,0)),0)</f>
        <v>1</v>
      </c>
      <c r="AR200" s="155" t="n">
        <f aca="false">IF(AR198&gt;0,MAX(1,ROUNDUP(AR199/Restaurantes!$D$38,0)),0)</f>
        <v>2</v>
      </c>
      <c r="AS200" s="155" t="n">
        <f aca="false">IF(AS198&gt;0,MAX(1,ROUNDUP(AS199/Restaurantes!$D$38,0)),0)</f>
        <v>2</v>
      </c>
      <c r="AT200" s="155" t="n">
        <f aca="false">IF(AT198&gt;0,MAX(1,ROUNDUP(AT199/Restaurantes!$D$38,0)),0)</f>
        <v>2</v>
      </c>
      <c r="AU200" s="155" t="n">
        <f aca="false">IF(AU198&gt;0,MAX(1,ROUNDUP(AU199/Restaurantes!$D$38,0)),0)</f>
        <v>2</v>
      </c>
      <c r="AV200" s="155" t="n">
        <f aca="false">IF(AV198&gt;0,MAX(1,ROUNDUP(AV199/Restaurantes!$D$38,0)),0)</f>
        <v>2</v>
      </c>
      <c r="AW200" s="155" t="n">
        <f aca="false">IF(AW198&gt;0,MAX(1,ROUNDUP(AW199/Restaurantes!$D$38,0)),0)</f>
        <v>2</v>
      </c>
      <c r="AX200" s="155" t="n">
        <f aca="false">IF(AX198&gt;0,MAX(1,ROUNDUP(AX199/Restaurantes!$D$38,0)),0)</f>
        <v>2</v>
      </c>
      <c r="AY200" s="155" t="n">
        <f aca="false">IF(AY198&gt;0,MAX(1,ROUNDUP(AY199/Restaurantes!$D$38,0)),0)</f>
        <v>2</v>
      </c>
      <c r="AZ200" s="155" t="n">
        <f aca="false">IF(AZ198&gt;0,MAX(1,ROUNDUP(AZ199/Restaurantes!$D$38,0)),0)</f>
        <v>2</v>
      </c>
      <c r="BA200" s="155" t="n">
        <f aca="false">IF(BA198&gt;0,MAX(1,ROUNDUP(BA199/Restaurantes!$D$38,0)),0)</f>
        <v>2</v>
      </c>
      <c r="BB200" s="155" t="n">
        <f aca="false">IF(BB198&gt;0,MAX(1,ROUNDUP(BB199/Restaurantes!$D$38,0)),0)</f>
        <v>2</v>
      </c>
      <c r="BC200" s="155" t="n">
        <f aca="false">IF(BC198&gt;0,MAX(1,ROUNDUP(BC199/Restaurantes!$D$38,0)),0)</f>
        <v>1</v>
      </c>
      <c r="BD200" s="155" t="n">
        <f aca="false">IF(BD198&gt;0,MAX(1,ROUNDUP(BD199/Restaurantes!$D$38,0)),0)</f>
        <v>2</v>
      </c>
      <c r="BE200" s="155" t="n">
        <f aca="false">IF(BE198&gt;0,MAX(1,ROUNDUP(BE199/Restaurantes!$D$38,0)),0)</f>
        <v>2</v>
      </c>
      <c r="BF200" s="155" t="n">
        <f aca="false">IF(BF198&gt;0,MAX(1,ROUNDUP(BF199/Restaurantes!$D$38,0)),0)</f>
        <v>2</v>
      </c>
      <c r="BG200" s="155" t="n">
        <f aca="false">IF(BG198&gt;0,MAX(1,ROUNDUP(BG199/Restaurantes!$D$38,0)),0)</f>
        <v>2</v>
      </c>
      <c r="BH200" s="155" t="n">
        <f aca="false">IF(BH198&gt;0,MAX(1,ROUNDUP(BH199/Restaurantes!$D$38,0)),0)</f>
        <v>2</v>
      </c>
      <c r="BI200" s="155" t="n">
        <f aca="false">IF(BI198&gt;0,MAX(1,ROUNDUP(BI199/Restaurantes!$D$38,0)),0)</f>
        <v>2</v>
      </c>
      <c r="BJ200" s="155" t="n">
        <f aca="false">IF(BJ198&gt;0,MAX(1,ROUNDUP(BJ199/Restaurantes!$D$38,0)),0)</f>
        <v>2</v>
      </c>
      <c r="BK200" s="155" t="n">
        <f aca="false">IF(BK198&gt;0,MAX(1,ROUNDUP(BK199/Restaurantes!$D$38,0)),0)</f>
        <v>2</v>
      </c>
      <c r="BL200" s="155" t="n">
        <f aca="false">IF(BL198&gt;0,MAX(1,ROUNDUP(BL199/Restaurantes!$D$38,0)),0)</f>
        <v>2</v>
      </c>
      <c r="BM200" s="155" t="n">
        <f aca="false">IF(BM198&gt;0,MAX(1,ROUNDUP(BM199/Restaurantes!$D$38,0)),0)</f>
        <v>2</v>
      </c>
      <c r="BN200" s="155" t="n">
        <f aca="false">IF(BN198&gt;0,MAX(1,ROUNDUP(BN199/Restaurantes!$D$38,0)),0)</f>
        <v>2</v>
      </c>
      <c r="BO200" s="155" t="n">
        <f aca="false">IF(BO198&gt;0,MAX(1,ROUNDUP(BO199/Restaurantes!$D$38,0)),0)</f>
        <v>1</v>
      </c>
      <c r="BP200" s="155" t="n">
        <f aca="false">IF(BP198&gt;0,MAX(1,ROUNDUP(BP199/Restaurantes!$D$38,0)),0)</f>
        <v>2</v>
      </c>
      <c r="BQ200" s="155" t="n">
        <f aca="false">IF(BQ198&gt;0,MAX(1,ROUNDUP(BQ199/Restaurantes!$D$38,0)),0)</f>
        <v>2</v>
      </c>
      <c r="BR200" s="155" t="n">
        <f aca="false">IF(BR198&gt;0,MAX(1,ROUNDUP(BR199/Restaurantes!$D$38,0)),0)</f>
        <v>2</v>
      </c>
      <c r="BS200" s="155" t="n">
        <f aca="false">IF(BS198&gt;0,MAX(1,ROUNDUP(BS199/Restaurantes!$D$38,0)),0)</f>
        <v>2</v>
      </c>
      <c r="BT200" s="155" t="n">
        <f aca="false">IF(BT198&gt;0,MAX(1,ROUNDUP(BT199/Restaurantes!$D$38,0)),0)</f>
        <v>2</v>
      </c>
      <c r="BU200" s="155" t="n">
        <f aca="false">IF(BU198&gt;0,MAX(1,ROUNDUP(BU199/Restaurantes!$D$38,0)),0)</f>
        <v>2</v>
      </c>
      <c r="BV200" s="155" t="n">
        <f aca="false">IF(BV198&gt;0,MAX(1,ROUNDUP(BV199/Restaurantes!$D$38,0)),0)</f>
        <v>2</v>
      </c>
      <c r="BW200" s="155" t="n">
        <f aca="false">IF(BW198&gt;0,MAX(1,ROUNDUP(BW199/Restaurantes!$D$38,0)),0)</f>
        <v>2</v>
      </c>
      <c r="BX200" s="155" t="n">
        <f aca="false">IF(BX198&gt;0,MAX(1,ROUNDUP(BX199/Restaurantes!$D$38,0)),0)</f>
        <v>2</v>
      </c>
      <c r="BY200" s="155" t="n">
        <f aca="false">IF(BY198&gt;0,MAX(1,ROUNDUP(BY199/Restaurantes!$D$38,0)),0)</f>
        <v>2</v>
      </c>
      <c r="BZ200" s="155" t="n">
        <f aca="false">IF(BZ198&gt;0,MAX(1,ROUNDUP(BZ199/Restaurantes!$D$38,0)),0)</f>
        <v>2</v>
      </c>
      <c r="CA200" s="155" t="n">
        <f aca="false">IF(CA198&gt;0,MAX(1,ROUNDUP(CA199/Restaurantes!$D$38,0)),0)</f>
        <v>1</v>
      </c>
      <c r="CB200" s="155" t="n">
        <f aca="false">IF(CB198&gt;0,MAX(1,ROUNDUP(CB199/Restaurantes!$D$38,0)),0)</f>
        <v>2</v>
      </c>
      <c r="CC200" s="155" t="n">
        <f aca="false">IF(CC198&gt;0,MAX(1,ROUNDUP(CC199/Restaurantes!$D$38,0)),0)</f>
        <v>2</v>
      </c>
      <c r="CD200" s="155" t="n">
        <f aca="false">IF(CD198&gt;0,MAX(1,ROUNDUP(CD199/Restaurantes!$D$38,0)),0)</f>
        <v>2</v>
      </c>
      <c r="CE200" s="155" t="n">
        <f aca="false">IF(CE198&gt;0,MAX(1,ROUNDUP(CE199/Restaurantes!$D$38,0)),0)</f>
        <v>2</v>
      </c>
      <c r="CF200" s="155" t="n">
        <f aca="false">IF(CF198&gt;0,MAX(1,ROUNDUP(CF199/Restaurantes!$D$38,0)),0)</f>
        <v>2</v>
      </c>
      <c r="CG200" s="155" t="n">
        <f aca="false">IF(CG198&gt;0,MAX(1,ROUNDUP(CG199/Restaurantes!$D$38,0)),0)</f>
        <v>2</v>
      </c>
      <c r="CH200" s="155" t="n">
        <f aca="false">IF(CH198&gt;0,MAX(1,ROUNDUP(CH199/Restaurantes!$D$38,0)),0)</f>
        <v>2</v>
      </c>
    </row>
    <row r="201" customFormat="false" ht="15" hidden="false" customHeight="false" outlineLevel="0" collapsed="false">
      <c r="A201" s="1" t="s">
        <v>862</v>
      </c>
      <c r="C201" s="27" t="n">
        <f aca="false">MAX(C199,C200*Restaurantes!$D$39)*Restaurantes!$D$35</f>
        <v>50</v>
      </c>
      <c r="D201" s="27" t="n">
        <f aca="false">MAX(D199,D200*Restaurantes!$D$39)*Restaurantes!$D$35</f>
        <v>50</v>
      </c>
      <c r="E201" s="27" t="n">
        <f aca="false">MAX(E199,E200*Restaurantes!$D$39)*Restaurantes!$D$35</f>
        <v>50</v>
      </c>
      <c r="F201" s="27" t="n">
        <f aca="false">MAX(F199,F200*Restaurantes!$D$39)*Restaurantes!$D$35</f>
        <v>50</v>
      </c>
      <c r="G201" s="27" t="n">
        <f aca="false">MAX(G199,G200*Restaurantes!$D$39)*Restaurantes!$D$35</f>
        <v>50</v>
      </c>
      <c r="H201" s="27" t="n">
        <f aca="false">MAX(H199,H200*Restaurantes!$D$39)*Restaurantes!$D$35</f>
        <v>50</v>
      </c>
      <c r="I201" s="27" t="n">
        <f aca="false">MAX(I199,I200*Restaurantes!$D$39)*Restaurantes!$D$35</f>
        <v>55.1129157042211</v>
      </c>
      <c r="J201" s="27" t="n">
        <f aca="false">MAX(J199,J200*Restaurantes!$D$39)*Restaurantes!$D$35</f>
        <v>62.9861893762527</v>
      </c>
      <c r="K201" s="27" t="n">
        <f aca="false">MAX(K199,K200*Restaurantes!$D$39)*Restaurantes!$D$35</f>
        <v>70.8594630482843</v>
      </c>
      <c r="L201" s="27" t="n">
        <f aca="false">MAX(L199,L200*Restaurantes!$D$39)*Restaurantes!$D$35</f>
        <v>78.7327367203158</v>
      </c>
      <c r="M201" s="27" t="n">
        <f aca="false">MAX(M199,M200*Restaurantes!$D$39)*Restaurantes!$D$35</f>
        <v>86.6060103923474</v>
      </c>
      <c r="N201" s="27" t="n">
        <f aca="false">MAX(N199,N200*Restaurantes!$D$39)*Restaurantes!$D$35</f>
        <v>94.479284064379</v>
      </c>
      <c r="O201" s="27" t="n">
        <f aca="false">MAX(O199,O200*Restaurantes!$D$39)*Restaurantes!$D$35</f>
        <v>102.352557736411</v>
      </c>
      <c r="P201" s="27" t="n">
        <f aca="false">MAX(P199,P200*Restaurantes!$D$39)*Restaurantes!$D$35</f>
        <v>110.225831408442</v>
      </c>
      <c r="Q201" s="27" t="n">
        <f aca="false">MAX(Q199,Q200*Restaurantes!$D$39)*Restaurantes!$D$35</f>
        <v>118.099105080474</v>
      </c>
      <c r="R201" s="27" t="n">
        <f aca="false">MAX(R199,R200*Restaurantes!$D$39)*Restaurantes!$D$35</f>
        <v>125.972378752505</v>
      </c>
      <c r="S201" s="27" t="n">
        <f aca="false">MAX(S199,S200*Restaurantes!$D$39)*Restaurantes!$D$35</f>
        <v>50</v>
      </c>
      <c r="T201" s="27" t="n">
        <f aca="false">MAX(T199,T200*Restaurantes!$D$39)*Restaurantes!$D$35</f>
        <v>141.718926096569</v>
      </c>
      <c r="U201" s="27" t="n">
        <f aca="false">MAX(U199,U200*Restaurantes!$D$39)*Restaurantes!$D$35</f>
        <v>141.718926096569</v>
      </c>
      <c r="V201" s="27" t="n">
        <f aca="false">MAX(V199,V200*Restaurantes!$D$39)*Restaurantes!$D$35</f>
        <v>141.718926096569</v>
      </c>
      <c r="W201" s="27" t="n">
        <f aca="false">MAX(W199,W200*Restaurantes!$D$39)*Restaurantes!$D$35</f>
        <v>141.718926096569</v>
      </c>
      <c r="X201" s="27" t="n">
        <f aca="false">MAX(X199,X200*Restaurantes!$D$39)*Restaurantes!$D$35</f>
        <v>141.718926096569</v>
      </c>
      <c r="Y201" s="27" t="n">
        <f aca="false">MAX(Y199,Y200*Restaurantes!$D$39)*Restaurantes!$D$35</f>
        <v>141.718926096569</v>
      </c>
      <c r="Z201" s="27" t="n">
        <f aca="false">MAX(Z199,Z200*Restaurantes!$D$39)*Restaurantes!$D$35</f>
        <v>141.718926096569</v>
      </c>
      <c r="AA201" s="27" t="n">
        <f aca="false">MAX(AA199,AA200*Restaurantes!$D$39)*Restaurantes!$D$35</f>
        <v>141.718926096569</v>
      </c>
      <c r="AB201" s="27" t="n">
        <f aca="false">MAX(AB199,AB200*Restaurantes!$D$39)*Restaurantes!$D$35</f>
        <v>141.718926096569</v>
      </c>
      <c r="AC201" s="27" t="n">
        <f aca="false">MAX(AC199,AC200*Restaurantes!$D$39)*Restaurantes!$D$35</f>
        <v>141.718926096569</v>
      </c>
      <c r="AD201" s="27" t="n">
        <f aca="false">MAX(AD199,AD200*Restaurantes!$D$39)*Restaurantes!$D$35</f>
        <v>141.718926096569</v>
      </c>
      <c r="AE201" s="27" t="n">
        <f aca="false">MAX(AE199,AE200*Restaurantes!$D$39)*Restaurantes!$D$35</f>
        <v>50</v>
      </c>
      <c r="AF201" s="27" t="n">
        <f aca="false">MAX(AF199,AF200*Restaurantes!$D$39)*Restaurantes!$D$35</f>
        <v>141.718926096569</v>
      </c>
      <c r="AG201" s="27" t="n">
        <f aca="false">MAX(AG199,AG200*Restaurantes!$D$39)*Restaurantes!$D$35</f>
        <v>141.718926096569</v>
      </c>
      <c r="AH201" s="27" t="n">
        <f aca="false">MAX(AH199,AH200*Restaurantes!$D$39)*Restaurantes!$D$35</f>
        <v>141.718926096569</v>
      </c>
      <c r="AI201" s="27" t="n">
        <f aca="false">MAX(AI199,AI200*Restaurantes!$D$39)*Restaurantes!$D$35</f>
        <v>141.718926096569</v>
      </c>
      <c r="AJ201" s="27" t="n">
        <f aca="false">MAX(AJ199,AJ200*Restaurantes!$D$39)*Restaurantes!$D$35</f>
        <v>141.718926096569</v>
      </c>
      <c r="AK201" s="27" t="n">
        <f aca="false">MAX(AK199,AK200*Restaurantes!$D$39)*Restaurantes!$D$35</f>
        <v>141.718926096569</v>
      </c>
      <c r="AL201" s="27" t="n">
        <f aca="false">MAX(AL199,AL200*Restaurantes!$D$39)*Restaurantes!$D$35</f>
        <v>141.718926096569</v>
      </c>
      <c r="AM201" s="27" t="n">
        <f aca="false">MAX(AM199,AM200*Restaurantes!$D$39)*Restaurantes!$D$35</f>
        <v>141.718926096569</v>
      </c>
      <c r="AN201" s="27" t="n">
        <f aca="false">MAX(AN199,AN200*Restaurantes!$D$39)*Restaurantes!$D$35</f>
        <v>141.718926096569</v>
      </c>
      <c r="AO201" s="27" t="n">
        <f aca="false">MAX(AO199,AO200*Restaurantes!$D$39)*Restaurantes!$D$35</f>
        <v>141.718926096569</v>
      </c>
      <c r="AP201" s="27" t="n">
        <f aca="false">MAX(AP199,AP200*Restaurantes!$D$39)*Restaurantes!$D$35</f>
        <v>141.718926096569</v>
      </c>
      <c r="AQ201" s="27" t="n">
        <f aca="false">MAX(AQ199,AQ200*Restaurantes!$D$39)*Restaurantes!$D$35</f>
        <v>50</v>
      </c>
      <c r="AR201" s="27" t="n">
        <f aca="false">MAX(AR199,AR200*Restaurantes!$D$39)*Restaurantes!$D$35</f>
        <v>141.718926096569</v>
      </c>
      <c r="AS201" s="27" t="n">
        <f aca="false">MAX(AS199,AS200*Restaurantes!$D$39)*Restaurantes!$D$35</f>
        <v>141.718926096569</v>
      </c>
      <c r="AT201" s="27" t="n">
        <f aca="false">MAX(AT199,AT200*Restaurantes!$D$39)*Restaurantes!$D$35</f>
        <v>141.718926096569</v>
      </c>
      <c r="AU201" s="27" t="n">
        <f aca="false">MAX(AU199,AU200*Restaurantes!$D$39)*Restaurantes!$D$35</f>
        <v>141.718926096569</v>
      </c>
      <c r="AV201" s="27" t="n">
        <f aca="false">MAX(AV199,AV200*Restaurantes!$D$39)*Restaurantes!$D$35</f>
        <v>141.718926096569</v>
      </c>
      <c r="AW201" s="27" t="n">
        <f aca="false">MAX(AW199,AW200*Restaurantes!$D$39)*Restaurantes!$D$35</f>
        <v>141.718926096569</v>
      </c>
      <c r="AX201" s="27" t="n">
        <f aca="false">MAX(AX199,AX200*Restaurantes!$D$39)*Restaurantes!$D$35</f>
        <v>141.718926096569</v>
      </c>
      <c r="AY201" s="27" t="n">
        <f aca="false">MAX(AY199,AY200*Restaurantes!$D$39)*Restaurantes!$D$35</f>
        <v>141.718926096569</v>
      </c>
      <c r="AZ201" s="27" t="n">
        <f aca="false">MAX(AZ199,AZ200*Restaurantes!$D$39)*Restaurantes!$D$35</f>
        <v>141.718926096569</v>
      </c>
      <c r="BA201" s="27" t="n">
        <f aca="false">MAX(BA199,BA200*Restaurantes!$D$39)*Restaurantes!$D$35</f>
        <v>141.718926096569</v>
      </c>
      <c r="BB201" s="27" t="n">
        <f aca="false">MAX(BB199,BB200*Restaurantes!$D$39)*Restaurantes!$D$35</f>
        <v>141.718926096569</v>
      </c>
      <c r="BC201" s="27" t="n">
        <f aca="false">MAX(BC199,BC200*Restaurantes!$D$39)*Restaurantes!$D$35</f>
        <v>50</v>
      </c>
      <c r="BD201" s="27" t="n">
        <f aca="false">MAX(BD199,BD200*Restaurantes!$D$39)*Restaurantes!$D$35</f>
        <v>141.718926096569</v>
      </c>
      <c r="BE201" s="27" t="n">
        <f aca="false">MAX(BE199,BE200*Restaurantes!$D$39)*Restaurantes!$D$35</f>
        <v>141.718926096569</v>
      </c>
      <c r="BF201" s="27" t="n">
        <f aca="false">MAX(BF199,BF200*Restaurantes!$D$39)*Restaurantes!$D$35</f>
        <v>141.718926096569</v>
      </c>
      <c r="BG201" s="27" t="n">
        <f aca="false">MAX(BG199,BG200*Restaurantes!$D$39)*Restaurantes!$D$35</f>
        <v>141.718926096569</v>
      </c>
      <c r="BH201" s="27" t="n">
        <f aca="false">MAX(BH199,BH200*Restaurantes!$D$39)*Restaurantes!$D$35</f>
        <v>141.718926096569</v>
      </c>
      <c r="BI201" s="27" t="n">
        <f aca="false">MAX(BI199,BI200*Restaurantes!$D$39)*Restaurantes!$D$35</f>
        <v>141.718926096569</v>
      </c>
      <c r="BJ201" s="27" t="n">
        <f aca="false">MAX(BJ199,BJ200*Restaurantes!$D$39)*Restaurantes!$D$35</f>
        <v>141.718926096569</v>
      </c>
      <c r="BK201" s="27" t="n">
        <f aca="false">MAX(BK199,BK200*Restaurantes!$D$39)*Restaurantes!$D$35</f>
        <v>141.718926096569</v>
      </c>
      <c r="BL201" s="27" t="n">
        <f aca="false">MAX(BL199,BL200*Restaurantes!$D$39)*Restaurantes!$D$35</f>
        <v>141.718926096569</v>
      </c>
      <c r="BM201" s="27" t="n">
        <f aca="false">MAX(BM199,BM200*Restaurantes!$D$39)*Restaurantes!$D$35</f>
        <v>141.718926096569</v>
      </c>
      <c r="BN201" s="27" t="n">
        <f aca="false">MAX(BN199,BN200*Restaurantes!$D$39)*Restaurantes!$D$35</f>
        <v>141.718926096569</v>
      </c>
      <c r="BO201" s="27" t="n">
        <f aca="false">MAX(BO199,BO200*Restaurantes!$D$39)*Restaurantes!$D$35</f>
        <v>50</v>
      </c>
      <c r="BP201" s="27" t="n">
        <f aca="false">MAX(BP199,BP200*Restaurantes!$D$39)*Restaurantes!$D$35</f>
        <v>141.718926096569</v>
      </c>
      <c r="BQ201" s="27" t="n">
        <f aca="false">MAX(BQ199,BQ200*Restaurantes!$D$39)*Restaurantes!$D$35</f>
        <v>141.718926096569</v>
      </c>
      <c r="BR201" s="27" t="n">
        <f aca="false">MAX(BR199,BR200*Restaurantes!$D$39)*Restaurantes!$D$35</f>
        <v>141.718926096569</v>
      </c>
      <c r="BS201" s="27" t="n">
        <f aca="false">MAX(BS199,BS200*Restaurantes!$D$39)*Restaurantes!$D$35</f>
        <v>141.718926096569</v>
      </c>
      <c r="BT201" s="27" t="n">
        <f aca="false">MAX(BT199,BT200*Restaurantes!$D$39)*Restaurantes!$D$35</f>
        <v>141.718926096569</v>
      </c>
      <c r="BU201" s="27" t="n">
        <f aca="false">MAX(BU199,BU200*Restaurantes!$D$39)*Restaurantes!$D$35</f>
        <v>141.718926096569</v>
      </c>
      <c r="BV201" s="27" t="n">
        <f aca="false">MAX(BV199,BV200*Restaurantes!$D$39)*Restaurantes!$D$35</f>
        <v>141.718926096569</v>
      </c>
      <c r="BW201" s="27" t="n">
        <f aca="false">MAX(BW199,BW200*Restaurantes!$D$39)*Restaurantes!$D$35</f>
        <v>141.718926096569</v>
      </c>
      <c r="BX201" s="27" t="n">
        <f aca="false">MAX(BX199,BX200*Restaurantes!$D$39)*Restaurantes!$D$35</f>
        <v>141.718926096569</v>
      </c>
      <c r="BY201" s="27" t="n">
        <f aca="false">MAX(BY199,BY200*Restaurantes!$D$39)*Restaurantes!$D$35</f>
        <v>141.718926096569</v>
      </c>
      <c r="BZ201" s="27" t="n">
        <f aca="false">MAX(BZ199,BZ200*Restaurantes!$D$39)*Restaurantes!$D$35</f>
        <v>141.718926096569</v>
      </c>
      <c r="CA201" s="27" t="n">
        <f aca="false">MAX(CA199,CA200*Restaurantes!$D$39)*Restaurantes!$D$35</f>
        <v>50</v>
      </c>
      <c r="CB201" s="27" t="n">
        <f aca="false">MAX(CB199,CB200*Restaurantes!$D$39)*Restaurantes!$D$35</f>
        <v>141.718926096569</v>
      </c>
      <c r="CC201" s="27" t="n">
        <f aca="false">MAX(CC199,CC200*Restaurantes!$D$39)*Restaurantes!$D$35</f>
        <v>141.718926096569</v>
      </c>
      <c r="CD201" s="27" t="n">
        <f aca="false">MAX(CD199,CD200*Restaurantes!$D$39)*Restaurantes!$D$35</f>
        <v>141.718926096569</v>
      </c>
      <c r="CE201" s="27" t="n">
        <f aca="false">MAX(CE199,CE200*Restaurantes!$D$39)*Restaurantes!$D$35</f>
        <v>141.718926096569</v>
      </c>
      <c r="CF201" s="27" t="n">
        <f aca="false">MAX(CF199,CF200*Restaurantes!$D$39)*Restaurantes!$D$35</f>
        <v>141.718926096569</v>
      </c>
      <c r="CG201" s="27" t="n">
        <f aca="false">MAX(CG199,CG200*Restaurantes!$D$39)*Restaurantes!$D$35</f>
        <v>141.718926096569</v>
      </c>
      <c r="CH201" s="27" t="n">
        <f aca="false">MAX(CH199,CH200*Restaurantes!$D$39)*Restaurantes!$D$35</f>
        <v>141.718926096569</v>
      </c>
    </row>
    <row r="202" customFormat="false" ht="15" hidden="false" customHeight="false" outlineLevel="0" collapsed="false">
      <c r="A202" s="1" t="s">
        <v>863</v>
      </c>
      <c r="C202" s="28" t="n">
        <f aca="false">-C201*Restaurantes!$D$37</f>
        <v>-800</v>
      </c>
      <c r="D202" s="28" t="n">
        <f aca="false">-D201*Restaurantes!$D$37</f>
        <v>-800</v>
      </c>
      <c r="E202" s="28" t="n">
        <f aca="false">-E201*Restaurantes!$D$37</f>
        <v>-800</v>
      </c>
      <c r="F202" s="28" t="n">
        <f aca="false">-F201*Restaurantes!$D$37</f>
        <v>-800</v>
      </c>
      <c r="G202" s="28" t="n">
        <f aca="false">-G201*Restaurantes!$D$37</f>
        <v>-800</v>
      </c>
      <c r="H202" s="28" t="n">
        <f aca="false">-H201*Restaurantes!$D$37</f>
        <v>-800</v>
      </c>
      <c r="I202" s="28" t="n">
        <f aca="false">-I201*Restaurantes!$D$37</f>
        <v>-881.806651267537</v>
      </c>
      <c r="J202" s="28" t="n">
        <f aca="false">-J201*Restaurantes!$D$37</f>
        <v>-1007.77903002004</v>
      </c>
      <c r="K202" s="28" t="n">
        <f aca="false">-K201*Restaurantes!$D$37</f>
        <v>-1133.75140877255</v>
      </c>
      <c r="L202" s="28" t="n">
        <f aca="false">-L201*Restaurantes!$D$37</f>
        <v>-1259.72378752505</v>
      </c>
      <c r="M202" s="28" t="n">
        <f aca="false">-M201*Restaurantes!$D$37</f>
        <v>-1385.69616627756</v>
      </c>
      <c r="N202" s="28" t="n">
        <f aca="false">-N201*Restaurantes!$D$37</f>
        <v>-1511.66854503006</v>
      </c>
      <c r="O202" s="28" t="n">
        <f aca="false">-O201*Restaurantes!$D$37</f>
        <v>-1637.64092378257</v>
      </c>
      <c r="P202" s="28" t="n">
        <f aca="false">-P201*Restaurantes!$D$37</f>
        <v>-1763.61330253507</v>
      </c>
      <c r="Q202" s="28" t="n">
        <f aca="false">-Q201*Restaurantes!$D$37</f>
        <v>-1889.58568128758</v>
      </c>
      <c r="R202" s="28" t="n">
        <f aca="false">-R201*Restaurantes!$D$37</f>
        <v>-2015.55806004009</v>
      </c>
      <c r="S202" s="28" t="n">
        <f aca="false">-S201*Restaurantes!$D$37</f>
        <v>-800</v>
      </c>
      <c r="T202" s="28" t="n">
        <f aca="false">-T201*Restaurantes!$D$37</f>
        <v>-2267.5028175451</v>
      </c>
      <c r="U202" s="28" t="n">
        <f aca="false">-U201*Restaurantes!$D$37</f>
        <v>-2267.5028175451</v>
      </c>
      <c r="V202" s="28" t="n">
        <f aca="false">-V201*Restaurantes!$D$37</f>
        <v>-2267.5028175451</v>
      </c>
      <c r="W202" s="28" t="n">
        <f aca="false">-W201*Restaurantes!$D$37</f>
        <v>-2267.5028175451</v>
      </c>
      <c r="X202" s="28" t="n">
        <f aca="false">-X201*Restaurantes!$D$37</f>
        <v>-2267.5028175451</v>
      </c>
      <c r="Y202" s="28" t="n">
        <f aca="false">-Y201*Restaurantes!$D$37</f>
        <v>-2267.5028175451</v>
      </c>
      <c r="Z202" s="28" t="n">
        <f aca="false">-Z201*Restaurantes!$D$37</f>
        <v>-2267.5028175451</v>
      </c>
      <c r="AA202" s="28" t="n">
        <f aca="false">-AA201*Restaurantes!$D$37</f>
        <v>-2267.5028175451</v>
      </c>
      <c r="AB202" s="28" t="n">
        <f aca="false">-AB201*Restaurantes!$D$37</f>
        <v>-2267.5028175451</v>
      </c>
      <c r="AC202" s="28" t="n">
        <f aca="false">-AC201*Restaurantes!$D$37</f>
        <v>-2267.5028175451</v>
      </c>
      <c r="AD202" s="28" t="n">
        <f aca="false">-AD201*Restaurantes!$D$37</f>
        <v>-2267.5028175451</v>
      </c>
      <c r="AE202" s="28" t="n">
        <f aca="false">-AE201*Restaurantes!$D$37</f>
        <v>-800</v>
      </c>
      <c r="AF202" s="28" t="n">
        <f aca="false">-AF201*Restaurantes!$D$37</f>
        <v>-2267.5028175451</v>
      </c>
      <c r="AG202" s="28" t="n">
        <f aca="false">-AG201*Restaurantes!$D$37</f>
        <v>-2267.5028175451</v>
      </c>
      <c r="AH202" s="28" t="n">
        <f aca="false">-AH201*Restaurantes!$D$37</f>
        <v>-2267.5028175451</v>
      </c>
      <c r="AI202" s="28" t="n">
        <f aca="false">-AI201*Restaurantes!$D$37</f>
        <v>-2267.5028175451</v>
      </c>
      <c r="AJ202" s="28" t="n">
        <f aca="false">-AJ201*Restaurantes!$D$37</f>
        <v>-2267.5028175451</v>
      </c>
      <c r="AK202" s="28" t="n">
        <f aca="false">-AK201*Restaurantes!$D$37</f>
        <v>-2267.5028175451</v>
      </c>
      <c r="AL202" s="28" t="n">
        <f aca="false">-AL201*Restaurantes!$D$37</f>
        <v>-2267.5028175451</v>
      </c>
      <c r="AM202" s="28" t="n">
        <f aca="false">-AM201*Restaurantes!$D$37</f>
        <v>-2267.5028175451</v>
      </c>
      <c r="AN202" s="28" t="n">
        <f aca="false">-AN201*Restaurantes!$D$37</f>
        <v>-2267.5028175451</v>
      </c>
      <c r="AO202" s="28" t="n">
        <f aca="false">-AO201*Restaurantes!$D$37</f>
        <v>-2267.5028175451</v>
      </c>
      <c r="AP202" s="28" t="n">
        <f aca="false">-AP201*Restaurantes!$D$37</f>
        <v>-2267.5028175451</v>
      </c>
      <c r="AQ202" s="28" t="n">
        <f aca="false">-AQ201*Restaurantes!$D$37</f>
        <v>-800</v>
      </c>
      <c r="AR202" s="28" t="n">
        <f aca="false">-AR201*Restaurantes!$D$37</f>
        <v>-2267.5028175451</v>
      </c>
      <c r="AS202" s="28" t="n">
        <f aca="false">-AS201*Restaurantes!$D$37</f>
        <v>-2267.5028175451</v>
      </c>
      <c r="AT202" s="28" t="n">
        <f aca="false">-AT201*Restaurantes!$D$37</f>
        <v>-2267.5028175451</v>
      </c>
      <c r="AU202" s="28" t="n">
        <f aca="false">-AU201*Restaurantes!$D$37</f>
        <v>-2267.5028175451</v>
      </c>
      <c r="AV202" s="28" t="n">
        <f aca="false">-AV201*Restaurantes!$D$37</f>
        <v>-2267.5028175451</v>
      </c>
      <c r="AW202" s="28" t="n">
        <f aca="false">-AW201*Restaurantes!$D$37</f>
        <v>-2267.5028175451</v>
      </c>
      <c r="AX202" s="28" t="n">
        <f aca="false">-AX201*Restaurantes!$D$37</f>
        <v>-2267.5028175451</v>
      </c>
      <c r="AY202" s="28" t="n">
        <f aca="false">-AY201*Restaurantes!$D$37</f>
        <v>-2267.5028175451</v>
      </c>
      <c r="AZ202" s="28" t="n">
        <f aca="false">-AZ201*Restaurantes!$D$37</f>
        <v>-2267.5028175451</v>
      </c>
      <c r="BA202" s="28" t="n">
        <f aca="false">-BA201*Restaurantes!$D$37</f>
        <v>-2267.5028175451</v>
      </c>
      <c r="BB202" s="28" t="n">
        <f aca="false">-BB201*Restaurantes!$D$37</f>
        <v>-2267.5028175451</v>
      </c>
      <c r="BC202" s="28" t="n">
        <f aca="false">-BC201*Restaurantes!$D$37</f>
        <v>-800</v>
      </c>
      <c r="BD202" s="28" t="n">
        <f aca="false">-BD201*Restaurantes!$D$37</f>
        <v>-2267.5028175451</v>
      </c>
      <c r="BE202" s="28" t="n">
        <f aca="false">-BE201*Restaurantes!$D$37</f>
        <v>-2267.5028175451</v>
      </c>
      <c r="BF202" s="28" t="n">
        <f aca="false">-BF201*Restaurantes!$D$37</f>
        <v>-2267.5028175451</v>
      </c>
      <c r="BG202" s="28" t="n">
        <f aca="false">-BG201*Restaurantes!$D$37</f>
        <v>-2267.5028175451</v>
      </c>
      <c r="BH202" s="28" t="n">
        <f aca="false">-BH201*Restaurantes!$D$37</f>
        <v>-2267.5028175451</v>
      </c>
      <c r="BI202" s="28" t="n">
        <f aca="false">-BI201*Restaurantes!$D$37</f>
        <v>-2267.5028175451</v>
      </c>
      <c r="BJ202" s="28" t="n">
        <f aca="false">-BJ201*Restaurantes!$D$37</f>
        <v>-2267.5028175451</v>
      </c>
      <c r="BK202" s="28" t="n">
        <f aca="false">-BK201*Restaurantes!$D$37</f>
        <v>-2267.5028175451</v>
      </c>
      <c r="BL202" s="28" t="n">
        <f aca="false">-BL201*Restaurantes!$D$37</f>
        <v>-2267.5028175451</v>
      </c>
      <c r="BM202" s="28" t="n">
        <f aca="false">-BM201*Restaurantes!$D$37</f>
        <v>-2267.5028175451</v>
      </c>
      <c r="BN202" s="28" t="n">
        <f aca="false">-BN201*Restaurantes!$D$37</f>
        <v>-2267.5028175451</v>
      </c>
      <c r="BO202" s="28" t="n">
        <f aca="false">-BO201*Restaurantes!$D$37</f>
        <v>-800</v>
      </c>
      <c r="BP202" s="28" t="n">
        <f aca="false">-BP201*Restaurantes!$D$37</f>
        <v>-2267.5028175451</v>
      </c>
      <c r="BQ202" s="28" t="n">
        <f aca="false">-BQ201*Restaurantes!$D$37</f>
        <v>-2267.5028175451</v>
      </c>
      <c r="BR202" s="28" t="n">
        <f aca="false">-BR201*Restaurantes!$D$37</f>
        <v>-2267.5028175451</v>
      </c>
      <c r="BS202" s="28" t="n">
        <f aca="false">-BS201*Restaurantes!$D$37</f>
        <v>-2267.5028175451</v>
      </c>
      <c r="BT202" s="28" t="n">
        <f aca="false">-BT201*Restaurantes!$D$37</f>
        <v>-2267.5028175451</v>
      </c>
      <c r="BU202" s="28" t="n">
        <f aca="false">-BU201*Restaurantes!$D$37</f>
        <v>-2267.5028175451</v>
      </c>
      <c r="BV202" s="28" t="n">
        <f aca="false">-BV201*Restaurantes!$D$37</f>
        <v>-2267.5028175451</v>
      </c>
      <c r="BW202" s="28" t="n">
        <f aca="false">-BW201*Restaurantes!$D$37</f>
        <v>-2267.5028175451</v>
      </c>
      <c r="BX202" s="28" t="n">
        <f aca="false">-BX201*Restaurantes!$D$37</f>
        <v>-2267.5028175451</v>
      </c>
      <c r="BY202" s="28" t="n">
        <f aca="false">-BY201*Restaurantes!$D$37</f>
        <v>-2267.5028175451</v>
      </c>
      <c r="BZ202" s="28" t="n">
        <f aca="false">-BZ201*Restaurantes!$D$37</f>
        <v>-2267.5028175451</v>
      </c>
      <c r="CA202" s="28" t="n">
        <f aca="false">-CA201*Restaurantes!$D$37</f>
        <v>-800</v>
      </c>
      <c r="CB202" s="28" t="n">
        <f aca="false">-CB201*Restaurantes!$D$37</f>
        <v>-2267.5028175451</v>
      </c>
      <c r="CC202" s="28" t="n">
        <f aca="false">-CC201*Restaurantes!$D$37</f>
        <v>-2267.5028175451</v>
      </c>
      <c r="CD202" s="28" t="n">
        <f aca="false">-CD201*Restaurantes!$D$37</f>
        <v>-2267.5028175451</v>
      </c>
      <c r="CE202" s="28" t="n">
        <f aca="false">-CE201*Restaurantes!$D$37</f>
        <v>-2267.5028175451</v>
      </c>
      <c r="CF202" s="28" t="n">
        <f aca="false">-CF201*Restaurantes!$D$37</f>
        <v>-2267.5028175451</v>
      </c>
      <c r="CG202" s="28" t="n">
        <f aca="false">-CG201*Restaurantes!$D$37</f>
        <v>-2267.5028175451</v>
      </c>
      <c r="CH202" s="28" t="n">
        <f aca="false">-CH201*Restaurantes!$D$37</f>
        <v>-2267.5028175451</v>
      </c>
    </row>
    <row r="203" customFormat="false" ht="15" hidden="false" customHeight="false" outlineLevel="0" collapsed="false">
      <c r="A203" s="1" t="s">
        <v>864</v>
      </c>
      <c r="C203" s="28" t="n">
        <f aca="false">-IF(AND(C$3&gt;=Restaurantes!$D$8,Restaurantes!$D$7&gt;0),Restaurantes!$D$44+Restaurantes!$D$45,0)</f>
        <v>-600</v>
      </c>
      <c r="D203" s="28" t="n">
        <f aca="false">-IF(AND(D$3&gt;=Restaurantes!$D$8,Restaurantes!$D$7&gt;0),Restaurantes!$D$44+Restaurantes!$D$45,0)</f>
        <v>-600</v>
      </c>
      <c r="E203" s="28" t="n">
        <f aca="false">-IF(AND(E$3&gt;=Restaurantes!$D$8,Restaurantes!$D$7&gt;0),Restaurantes!$D$44+Restaurantes!$D$45,0)</f>
        <v>-600</v>
      </c>
      <c r="F203" s="28" t="n">
        <f aca="false">-IF(AND(F$3&gt;=Restaurantes!$D$8,Restaurantes!$D$7&gt;0),Restaurantes!$D$44+Restaurantes!$D$45,0)</f>
        <v>-600</v>
      </c>
      <c r="G203" s="28" t="n">
        <f aca="false">-IF(AND(G$3&gt;=Restaurantes!$D$8,Restaurantes!$D$7&gt;0),Restaurantes!$D$44+Restaurantes!$D$45,0)</f>
        <v>-600</v>
      </c>
      <c r="H203" s="28" t="n">
        <f aca="false">-IF(AND(H$3&gt;=Restaurantes!$D$8,Restaurantes!$D$7&gt;0),Restaurantes!$D$44+Restaurantes!$D$45,0)</f>
        <v>-600</v>
      </c>
      <c r="I203" s="28" t="n">
        <f aca="false">-IF(AND(I$3&gt;=Restaurantes!$D$8,Restaurantes!$D$7&gt;0),Restaurantes!$D$44+Restaurantes!$D$45,0)</f>
        <v>-600</v>
      </c>
      <c r="J203" s="28" t="n">
        <f aca="false">-IF(AND(J$3&gt;=Restaurantes!$D$8,Restaurantes!$D$7&gt;0),Restaurantes!$D$44+Restaurantes!$D$45,0)</f>
        <v>-600</v>
      </c>
      <c r="K203" s="28" t="n">
        <f aca="false">-IF(AND(K$3&gt;=Restaurantes!$D$8,Restaurantes!$D$7&gt;0),Restaurantes!$D$44+Restaurantes!$D$45,0)</f>
        <v>-600</v>
      </c>
      <c r="L203" s="28" t="n">
        <f aca="false">-IF(AND(L$3&gt;=Restaurantes!$D$8,Restaurantes!$D$7&gt;0),Restaurantes!$D$44+Restaurantes!$D$45,0)</f>
        <v>-600</v>
      </c>
      <c r="M203" s="28" t="n">
        <f aca="false">-IF(AND(M$3&gt;=Restaurantes!$D$8,Restaurantes!$D$7&gt;0),Restaurantes!$D$44+Restaurantes!$D$45,0)</f>
        <v>-600</v>
      </c>
      <c r="N203" s="28" t="n">
        <f aca="false">-IF(AND(N$3&gt;=Restaurantes!$D$8,Restaurantes!$D$7&gt;0),Restaurantes!$D$44+Restaurantes!$D$45,0)</f>
        <v>-600</v>
      </c>
      <c r="O203" s="28" t="n">
        <f aca="false">-IF(AND(O$3&gt;=Restaurantes!$D$8,Restaurantes!$D$7&gt;0),Restaurantes!$D$44+Restaurantes!$D$45,0)</f>
        <v>-600</v>
      </c>
      <c r="P203" s="28" t="n">
        <f aca="false">-IF(AND(P$3&gt;=Restaurantes!$D$8,Restaurantes!$D$7&gt;0),Restaurantes!$D$44+Restaurantes!$D$45,0)</f>
        <v>-600</v>
      </c>
      <c r="Q203" s="28" t="n">
        <f aca="false">-IF(AND(Q$3&gt;=Restaurantes!$D$8,Restaurantes!$D$7&gt;0),Restaurantes!$D$44+Restaurantes!$D$45,0)</f>
        <v>-600</v>
      </c>
      <c r="R203" s="28" t="n">
        <f aca="false">-IF(AND(R$3&gt;=Restaurantes!$D$8,Restaurantes!$D$7&gt;0),Restaurantes!$D$44+Restaurantes!$D$45,0)</f>
        <v>-600</v>
      </c>
      <c r="S203" s="28" t="n">
        <f aca="false">-IF(AND(S$3&gt;=Restaurantes!$D$8,Restaurantes!$D$7&gt;0),Restaurantes!$D$44+Restaurantes!$D$45,0)</f>
        <v>-600</v>
      </c>
      <c r="T203" s="28" t="n">
        <f aca="false">-IF(AND(T$3&gt;=Restaurantes!$D$8,Restaurantes!$D$7&gt;0),Restaurantes!$D$44+Restaurantes!$D$45,0)</f>
        <v>-600</v>
      </c>
      <c r="U203" s="28" t="n">
        <f aca="false">-IF(AND(U$3&gt;=Restaurantes!$D$8,Restaurantes!$D$7&gt;0),Restaurantes!$D$44+Restaurantes!$D$45,0)</f>
        <v>-600</v>
      </c>
      <c r="V203" s="28" t="n">
        <f aca="false">-IF(AND(V$3&gt;=Restaurantes!$D$8,Restaurantes!$D$7&gt;0),Restaurantes!$D$44+Restaurantes!$D$45,0)</f>
        <v>-600</v>
      </c>
      <c r="W203" s="28" t="n">
        <f aca="false">-IF(AND(W$3&gt;=Restaurantes!$D$8,Restaurantes!$D$7&gt;0),Restaurantes!$D$44+Restaurantes!$D$45,0)</f>
        <v>-600</v>
      </c>
      <c r="X203" s="28" t="n">
        <f aca="false">-IF(AND(X$3&gt;=Restaurantes!$D$8,Restaurantes!$D$7&gt;0),Restaurantes!$D$44+Restaurantes!$D$45,0)</f>
        <v>-600</v>
      </c>
      <c r="Y203" s="28" t="n">
        <f aca="false">-IF(AND(Y$3&gt;=Restaurantes!$D$8,Restaurantes!$D$7&gt;0),Restaurantes!$D$44+Restaurantes!$D$45,0)</f>
        <v>-600</v>
      </c>
      <c r="Z203" s="28" t="n">
        <f aca="false">-IF(AND(Z$3&gt;=Restaurantes!$D$8,Restaurantes!$D$7&gt;0),Restaurantes!$D$44+Restaurantes!$D$45,0)</f>
        <v>-600</v>
      </c>
      <c r="AA203" s="28" t="n">
        <f aca="false">-IF(AND(AA$3&gt;=Restaurantes!$D$8,Restaurantes!$D$7&gt;0),Restaurantes!$D$44+Restaurantes!$D$45,0)</f>
        <v>-600</v>
      </c>
      <c r="AB203" s="28" t="n">
        <f aca="false">-IF(AND(AB$3&gt;=Restaurantes!$D$8,Restaurantes!$D$7&gt;0),Restaurantes!$D$44+Restaurantes!$D$45,0)</f>
        <v>-600</v>
      </c>
      <c r="AC203" s="28" t="n">
        <f aca="false">-IF(AND(AC$3&gt;=Restaurantes!$D$8,Restaurantes!$D$7&gt;0),Restaurantes!$D$44+Restaurantes!$D$45,0)</f>
        <v>-600</v>
      </c>
      <c r="AD203" s="28" t="n">
        <f aca="false">-IF(AND(AD$3&gt;=Restaurantes!$D$8,Restaurantes!$D$7&gt;0),Restaurantes!$D$44+Restaurantes!$D$45,0)</f>
        <v>-600</v>
      </c>
      <c r="AE203" s="28" t="n">
        <f aca="false">-IF(AND(AE$3&gt;=Restaurantes!$D$8,Restaurantes!$D$7&gt;0),Restaurantes!$D$44+Restaurantes!$D$45,0)</f>
        <v>-600</v>
      </c>
      <c r="AF203" s="28" t="n">
        <f aca="false">-IF(AND(AF$3&gt;=Restaurantes!$D$8,Restaurantes!$D$7&gt;0),Restaurantes!$D$44+Restaurantes!$D$45,0)</f>
        <v>-600</v>
      </c>
      <c r="AG203" s="28" t="n">
        <f aca="false">-IF(AND(AG$3&gt;=Restaurantes!$D$8,Restaurantes!$D$7&gt;0),Restaurantes!$D$44+Restaurantes!$D$45,0)</f>
        <v>-600</v>
      </c>
      <c r="AH203" s="28" t="n">
        <f aca="false">-IF(AND(AH$3&gt;=Restaurantes!$D$8,Restaurantes!$D$7&gt;0),Restaurantes!$D$44+Restaurantes!$D$45,0)</f>
        <v>-600</v>
      </c>
      <c r="AI203" s="28" t="n">
        <f aca="false">-IF(AND(AI$3&gt;=Restaurantes!$D$8,Restaurantes!$D$7&gt;0),Restaurantes!$D$44+Restaurantes!$D$45,0)</f>
        <v>-600</v>
      </c>
      <c r="AJ203" s="28" t="n">
        <f aca="false">-IF(AND(AJ$3&gt;=Restaurantes!$D$8,Restaurantes!$D$7&gt;0),Restaurantes!$D$44+Restaurantes!$D$45,0)</f>
        <v>-600</v>
      </c>
      <c r="AK203" s="28" t="n">
        <f aca="false">-IF(AND(AK$3&gt;=Restaurantes!$D$8,Restaurantes!$D$7&gt;0),Restaurantes!$D$44+Restaurantes!$D$45,0)</f>
        <v>-600</v>
      </c>
      <c r="AL203" s="28" t="n">
        <f aca="false">-IF(AND(AL$3&gt;=Restaurantes!$D$8,Restaurantes!$D$7&gt;0),Restaurantes!$D$44+Restaurantes!$D$45,0)</f>
        <v>-600</v>
      </c>
      <c r="AM203" s="28" t="n">
        <f aca="false">-IF(AND(AM$3&gt;=Restaurantes!$D$8,Restaurantes!$D$7&gt;0),Restaurantes!$D$44+Restaurantes!$D$45,0)</f>
        <v>-600</v>
      </c>
      <c r="AN203" s="28" t="n">
        <f aca="false">-IF(AND(AN$3&gt;=Restaurantes!$D$8,Restaurantes!$D$7&gt;0),Restaurantes!$D$44+Restaurantes!$D$45,0)</f>
        <v>-600</v>
      </c>
      <c r="AO203" s="28" t="n">
        <f aca="false">-IF(AND(AO$3&gt;=Restaurantes!$D$8,Restaurantes!$D$7&gt;0),Restaurantes!$D$44+Restaurantes!$D$45,0)</f>
        <v>-600</v>
      </c>
      <c r="AP203" s="28" t="n">
        <f aca="false">-IF(AND(AP$3&gt;=Restaurantes!$D$8,Restaurantes!$D$7&gt;0),Restaurantes!$D$44+Restaurantes!$D$45,0)</f>
        <v>-600</v>
      </c>
      <c r="AQ203" s="28" t="n">
        <f aca="false">-IF(AND(AQ$3&gt;=Restaurantes!$D$8,Restaurantes!$D$7&gt;0),Restaurantes!$D$44+Restaurantes!$D$45,0)</f>
        <v>-600</v>
      </c>
      <c r="AR203" s="28" t="n">
        <f aca="false">-IF(AND(AR$3&gt;=Restaurantes!$D$8,Restaurantes!$D$7&gt;0),Restaurantes!$D$44+Restaurantes!$D$45,0)</f>
        <v>-600</v>
      </c>
      <c r="AS203" s="28" t="n">
        <f aca="false">-IF(AND(AS$3&gt;=Restaurantes!$D$8,Restaurantes!$D$7&gt;0),Restaurantes!$D$44+Restaurantes!$D$45,0)</f>
        <v>-600</v>
      </c>
      <c r="AT203" s="28" t="n">
        <f aca="false">-IF(AND(AT$3&gt;=Restaurantes!$D$8,Restaurantes!$D$7&gt;0),Restaurantes!$D$44+Restaurantes!$D$45,0)</f>
        <v>-600</v>
      </c>
      <c r="AU203" s="28" t="n">
        <f aca="false">-IF(AND(AU$3&gt;=Restaurantes!$D$8,Restaurantes!$D$7&gt;0),Restaurantes!$D$44+Restaurantes!$D$45,0)</f>
        <v>-600</v>
      </c>
      <c r="AV203" s="28" t="n">
        <f aca="false">-IF(AND(AV$3&gt;=Restaurantes!$D$8,Restaurantes!$D$7&gt;0),Restaurantes!$D$44+Restaurantes!$D$45,0)</f>
        <v>-600</v>
      </c>
      <c r="AW203" s="28" t="n">
        <f aca="false">-IF(AND(AW$3&gt;=Restaurantes!$D$8,Restaurantes!$D$7&gt;0),Restaurantes!$D$44+Restaurantes!$D$45,0)</f>
        <v>-600</v>
      </c>
      <c r="AX203" s="28" t="n">
        <f aca="false">-IF(AND(AX$3&gt;=Restaurantes!$D$8,Restaurantes!$D$7&gt;0),Restaurantes!$D$44+Restaurantes!$D$45,0)</f>
        <v>-600</v>
      </c>
      <c r="AY203" s="28" t="n">
        <f aca="false">-IF(AND(AY$3&gt;=Restaurantes!$D$8,Restaurantes!$D$7&gt;0),Restaurantes!$D$44+Restaurantes!$D$45,0)</f>
        <v>-600</v>
      </c>
      <c r="AZ203" s="28" t="n">
        <f aca="false">-IF(AND(AZ$3&gt;=Restaurantes!$D$8,Restaurantes!$D$7&gt;0),Restaurantes!$D$44+Restaurantes!$D$45,0)</f>
        <v>-600</v>
      </c>
      <c r="BA203" s="28" t="n">
        <f aca="false">-IF(AND(BA$3&gt;=Restaurantes!$D$8,Restaurantes!$D$7&gt;0),Restaurantes!$D$44+Restaurantes!$D$45,0)</f>
        <v>-600</v>
      </c>
      <c r="BB203" s="28" t="n">
        <f aca="false">-IF(AND(BB$3&gt;=Restaurantes!$D$8,Restaurantes!$D$7&gt;0),Restaurantes!$D$44+Restaurantes!$D$45,0)</f>
        <v>-600</v>
      </c>
      <c r="BC203" s="28" t="n">
        <f aca="false">-IF(AND(BC$3&gt;=Restaurantes!$D$8,Restaurantes!$D$7&gt;0),Restaurantes!$D$44+Restaurantes!$D$45,0)</f>
        <v>-600</v>
      </c>
      <c r="BD203" s="28" t="n">
        <f aca="false">-IF(AND(BD$3&gt;=Restaurantes!$D$8,Restaurantes!$D$7&gt;0),Restaurantes!$D$44+Restaurantes!$D$45,0)</f>
        <v>-600</v>
      </c>
      <c r="BE203" s="28" t="n">
        <f aca="false">-IF(AND(BE$3&gt;=Restaurantes!$D$8,Restaurantes!$D$7&gt;0),Restaurantes!$D$44+Restaurantes!$D$45,0)</f>
        <v>-600</v>
      </c>
      <c r="BF203" s="28" t="n">
        <f aca="false">-IF(AND(BF$3&gt;=Restaurantes!$D$8,Restaurantes!$D$7&gt;0),Restaurantes!$D$44+Restaurantes!$D$45,0)</f>
        <v>-600</v>
      </c>
      <c r="BG203" s="28" t="n">
        <f aca="false">-IF(AND(BG$3&gt;=Restaurantes!$D$8,Restaurantes!$D$7&gt;0),Restaurantes!$D$44+Restaurantes!$D$45,0)</f>
        <v>-600</v>
      </c>
      <c r="BH203" s="28" t="n">
        <f aca="false">-IF(AND(BH$3&gt;=Restaurantes!$D$8,Restaurantes!$D$7&gt;0),Restaurantes!$D$44+Restaurantes!$D$45,0)</f>
        <v>-600</v>
      </c>
      <c r="BI203" s="28" t="n">
        <f aca="false">-IF(AND(BI$3&gt;=Restaurantes!$D$8,Restaurantes!$D$7&gt;0),Restaurantes!$D$44+Restaurantes!$D$45,0)</f>
        <v>-600</v>
      </c>
      <c r="BJ203" s="28" t="n">
        <f aca="false">-IF(AND(BJ$3&gt;=Restaurantes!$D$8,Restaurantes!$D$7&gt;0),Restaurantes!$D$44+Restaurantes!$D$45,0)</f>
        <v>-600</v>
      </c>
      <c r="BK203" s="28" t="n">
        <f aca="false">-IF(AND(BK$3&gt;=Restaurantes!$D$8,Restaurantes!$D$7&gt;0),Restaurantes!$D$44+Restaurantes!$D$45,0)</f>
        <v>-600</v>
      </c>
      <c r="BL203" s="28" t="n">
        <f aca="false">-IF(AND(BL$3&gt;=Restaurantes!$D$8,Restaurantes!$D$7&gt;0),Restaurantes!$D$44+Restaurantes!$D$45,0)</f>
        <v>-600</v>
      </c>
      <c r="BM203" s="28" t="n">
        <f aca="false">-IF(AND(BM$3&gt;=Restaurantes!$D$8,Restaurantes!$D$7&gt;0),Restaurantes!$D$44+Restaurantes!$D$45,0)</f>
        <v>-600</v>
      </c>
      <c r="BN203" s="28" t="n">
        <f aca="false">-IF(AND(BN$3&gt;=Restaurantes!$D$8,Restaurantes!$D$7&gt;0),Restaurantes!$D$44+Restaurantes!$D$45,0)</f>
        <v>-600</v>
      </c>
      <c r="BO203" s="28" t="n">
        <f aca="false">-IF(AND(BO$3&gt;=Restaurantes!$D$8,Restaurantes!$D$7&gt;0),Restaurantes!$D$44+Restaurantes!$D$45,0)</f>
        <v>-600</v>
      </c>
      <c r="BP203" s="28" t="n">
        <f aca="false">-IF(AND(BP$3&gt;=Restaurantes!$D$8,Restaurantes!$D$7&gt;0),Restaurantes!$D$44+Restaurantes!$D$45,0)</f>
        <v>-600</v>
      </c>
      <c r="BQ203" s="28" t="n">
        <f aca="false">-IF(AND(BQ$3&gt;=Restaurantes!$D$8,Restaurantes!$D$7&gt;0),Restaurantes!$D$44+Restaurantes!$D$45,0)</f>
        <v>-600</v>
      </c>
      <c r="BR203" s="28" t="n">
        <f aca="false">-IF(AND(BR$3&gt;=Restaurantes!$D$8,Restaurantes!$D$7&gt;0),Restaurantes!$D$44+Restaurantes!$D$45,0)</f>
        <v>-600</v>
      </c>
      <c r="BS203" s="28" t="n">
        <f aca="false">-IF(AND(BS$3&gt;=Restaurantes!$D$8,Restaurantes!$D$7&gt;0),Restaurantes!$D$44+Restaurantes!$D$45,0)</f>
        <v>-600</v>
      </c>
      <c r="BT203" s="28" t="n">
        <f aca="false">-IF(AND(BT$3&gt;=Restaurantes!$D$8,Restaurantes!$D$7&gt;0),Restaurantes!$D$44+Restaurantes!$D$45,0)</f>
        <v>-600</v>
      </c>
      <c r="BU203" s="28" t="n">
        <f aca="false">-IF(AND(BU$3&gt;=Restaurantes!$D$8,Restaurantes!$D$7&gt;0),Restaurantes!$D$44+Restaurantes!$D$45,0)</f>
        <v>-600</v>
      </c>
      <c r="BV203" s="28" t="n">
        <f aca="false">-IF(AND(BV$3&gt;=Restaurantes!$D$8,Restaurantes!$D$7&gt;0),Restaurantes!$D$44+Restaurantes!$D$45,0)</f>
        <v>-600</v>
      </c>
      <c r="BW203" s="28" t="n">
        <f aca="false">-IF(AND(BW$3&gt;=Restaurantes!$D$8,Restaurantes!$D$7&gt;0),Restaurantes!$D$44+Restaurantes!$D$45,0)</f>
        <v>-600</v>
      </c>
      <c r="BX203" s="28" t="n">
        <f aca="false">-IF(AND(BX$3&gt;=Restaurantes!$D$8,Restaurantes!$D$7&gt;0),Restaurantes!$D$44+Restaurantes!$D$45,0)</f>
        <v>-600</v>
      </c>
      <c r="BY203" s="28" t="n">
        <f aca="false">-IF(AND(BY$3&gt;=Restaurantes!$D$8,Restaurantes!$D$7&gt;0),Restaurantes!$D$44+Restaurantes!$D$45,0)</f>
        <v>-600</v>
      </c>
      <c r="BZ203" s="28" t="n">
        <f aca="false">-IF(AND(BZ$3&gt;=Restaurantes!$D$8,Restaurantes!$D$7&gt;0),Restaurantes!$D$44+Restaurantes!$D$45,0)</f>
        <v>-600</v>
      </c>
      <c r="CA203" s="28" t="n">
        <f aca="false">-IF(AND(CA$3&gt;=Restaurantes!$D$8,Restaurantes!$D$7&gt;0),Restaurantes!$D$44+Restaurantes!$D$45,0)</f>
        <v>-600</v>
      </c>
      <c r="CB203" s="28" t="n">
        <f aca="false">-IF(AND(CB$3&gt;=Restaurantes!$D$8,Restaurantes!$D$7&gt;0),Restaurantes!$D$44+Restaurantes!$D$45,0)</f>
        <v>-600</v>
      </c>
      <c r="CC203" s="28" t="n">
        <f aca="false">-IF(AND(CC$3&gt;=Restaurantes!$D$8,Restaurantes!$D$7&gt;0),Restaurantes!$D$44+Restaurantes!$D$45,0)</f>
        <v>-600</v>
      </c>
      <c r="CD203" s="28" t="n">
        <f aca="false">-IF(AND(CD$3&gt;=Restaurantes!$D$8,Restaurantes!$D$7&gt;0),Restaurantes!$D$44+Restaurantes!$D$45,0)</f>
        <v>-600</v>
      </c>
      <c r="CE203" s="28" t="n">
        <f aca="false">-IF(AND(CE$3&gt;=Restaurantes!$D$8,Restaurantes!$D$7&gt;0),Restaurantes!$D$44+Restaurantes!$D$45,0)</f>
        <v>-600</v>
      </c>
      <c r="CF203" s="28" t="n">
        <f aca="false">-IF(AND(CF$3&gt;=Restaurantes!$D$8,Restaurantes!$D$7&gt;0),Restaurantes!$D$44+Restaurantes!$D$45,0)</f>
        <v>-600</v>
      </c>
      <c r="CG203" s="28" t="n">
        <f aca="false">-IF(AND(CG$3&gt;=Restaurantes!$D$8,Restaurantes!$D$7&gt;0),Restaurantes!$D$44+Restaurantes!$D$45,0)</f>
        <v>-600</v>
      </c>
      <c r="CH203" s="28" t="n">
        <f aca="false">-IF(AND(CH$3&gt;=Restaurantes!$D$8,Restaurantes!$D$7&gt;0),Restaurantes!$D$44+Restaurantes!$D$45,0)</f>
        <v>-600</v>
      </c>
    </row>
    <row r="204" customFormat="false" ht="15" hidden="false" customHeight="false" outlineLevel="0" collapsed="false">
      <c r="A204" s="1" t="s">
        <v>865</v>
      </c>
      <c r="C204" s="28" t="n">
        <f aca="false">-IF(AND(C$3&gt;=Restaurantes!$D$8,Restaurantes!$D$7&gt;0),Restaurantes!$D$51*(Restaurantes!$D$52*Restaurantes!$D$53+Restaurantes!$D$54*Restaurantes!$D$55),0)</f>
        <v>-541.075</v>
      </c>
      <c r="D204" s="28" t="n">
        <f aca="false">-IF(AND(D$3&gt;=Restaurantes!$D$8,Restaurantes!$D$7&gt;0),Restaurantes!$D$51*(Restaurantes!$D$52*Restaurantes!$D$53+Restaurantes!$D$54*Restaurantes!$D$55),0)</f>
        <v>-541.075</v>
      </c>
      <c r="E204" s="28" t="n">
        <f aca="false">-IF(AND(E$3&gt;=Restaurantes!$D$8,Restaurantes!$D$7&gt;0),Restaurantes!$D$51*(Restaurantes!$D$52*Restaurantes!$D$53+Restaurantes!$D$54*Restaurantes!$D$55),0)</f>
        <v>-541.075</v>
      </c>
      <c r="F204" s="28" t="n">
        <f aca="false">-IF(AND(F$3&gt;=Restaurantes!$D$8,Restaurantes!$D$7&gt;0),Restaurantes!$D$51*(Restaurantes!$D$52*Restaurantes!$D$53+Restaurantes!$D$54*Restaurantes!$D$55),0)</f>
        <v>-541.075</v>
      </c>
      <c r="G204" s="28" t="n">
        <f aca="false">-IF(AND(G$3&gt;=Restaurantes!$D$8,Restaurantes!$D$7&gt;0),Restaurantes!$D$51*(Restaurantes!$D$52*Restaurantes!$D$53+Restaurantes!$D$54*Restaurantes!$D$55),0)</f>
        <v>-541.075</v>
      </c>
      <c r="H204" s="28" t="n">
        <f aca="false">-IF(AND(H$3&gt;=Restaurantes!$D$8,Restaurantes!$D$7&gt;0),Restaurantes!$D$51*(Restaurantes!$D$52*Restaurantes!$D$53+Restaurantes!$D$54*Restaurantes!$D$55),0)</f>
        <v>-541.075</v>
      </c>
      <c r="I204" s="28" t="n">
        <f aca="false">-IF(AND(I$3&gt;=Restaurantes!$D$8,Restaurantes!$D$7&gt;0),Restaurantes!$D$51*(Restaurantes!$D$52*Restaurantes!$D$53+Restaurantes!$D$54*Restaurantes!$D$55),0)</f>
        <v>-541.075</v>
      </c>
      <c r="J204" s="28" t="n">
        <f aca="false">-IF(AND(J$3&gt;=Restaurantes!$D$8,Restaurantes!$D$7&gt;0),Restaurantes!$D$51*(Restaurantes!$D$52*Restaurantes!$D$53+Restaurantes!$D$54*Restaurantes!$D$55),0)</f>
        <v>-541.075</v>
      </c>
      <c r="K204" s="28" t="n">
        <f aca="false">-IF(AND(K$3&gt;=Restaurantes!$D$8,Restaurantes!$D$7&gt;0),Restaurantes!$D$51*(Restaurantes!$D$52*Restaurantes!$D$53+Restaurantes!$D$54*Restaurantes!$D$55),0)</f>
        <v>-541.075</v>
      </c>
      <c r="L204" s="28" t="n">
        <f aca="false">-IF(AND(L$3&gt;=Restaurantes!$D$8,Restaurantes!$D$7&gt;0),Restaurantes!$D$51*(Restaurantes!$D$52*Restaurantes!$D$53+Restaurantes!$D$54*Restaurantes!$D$55),0)</f>
        <v>-541.075</v>
      </c>
      <c r="M204" s="28" t="n">
        <f aca="false">-IF(AND(M$3&gt;=Restaurantes!$D$8,Restaurantes!$D$7&gt;0),Restaurantes!$D$51*(Restaurantes!$D$52*Restaurantes!$D$53+Restaurantes!$D$54*Restaurantes!$D$55),0)</f>
        <v>-541.075</v>
      </c>
      <c r="N204" s="28" t="n">
        <f aca="false">-IF(AND(N$3&gt;=Restaurantes!$D$8,Restaurantes!$D$7&gt;0),Restaurantes!$D$51*(Restaurantes!$D$52*Restaurantes!$D$53+Restaurantes!$D$54*Restaurantes!$D$55),0)</f>
        <v>-541.075</v>
      </c>
      <c r="O204" s="28" t="n">
        <f aca="false">-IF(AND(O$3&gt;=Restaurantes!$D$8,Restaurantes!$D$7&gt;0),Restaurantes!$D$51*(Restaurantes!$D$52*Restaurantes!$D$53+Restaurantes!$D$54*Restaurantes!$D$55),0)</f>
        <v>-541.075</v>
      </c>
      <c r="P204" s="28" t="n">
        <f aca="false">-IF(AND(P$3&gt;=Restaurantes!$D$8,Restaurantes!$D$7&gt;0),Restaurantes!$D$51*(Restaurantes!$D$52*Restaurantes!$D$53+Restaurantes!$D$54*Restaurantes!$D$55),0)</f>
        <v>-541.075</v>
      </c>
      <c r="Q204" s="28" t="n">
        <f aca="false">-IF(AND(Q$3&gt;=Restaurantes!$D$8,Restaurantes!$D$7&gt;0),Restaurantes!$D$51*(Restaurantes!$D$52*Restaurantes!$D$53+Restaurantes!$D$54*Restaurantes!$D$55),0)</f>
        <v>-541.075</v>
      </c>
      <c r="R204" s="28" t="n">
        <f aca="false">-IF(AND(R$3&gt;=Restaurantes!$D$8,Restaurantes!$D$7&gt;0),Restaurantes!$D$51*(Restaurantes!$D$52*Restaurantes!$D$53+Restaurantes!$D$54*Restaurantes!$D$55),0)</f>
        <v>-541.075</v>
      </c>
      <c r="S204" s="28" t="n">
        <f aca="false">-IF(AND(S$3&gt;=Restaurantes!$D$8,Restaurantes!$D$7&gt;0),Restaurantes!$D$51*(Restaurantes!$D$52*Restaurantes!$D$53+Restaurantes!$D$54*Restaurantes!$D$55),0)</f>
        <v>-541.075</v>
      </c>
      <c r="T204" s="28" t="n">
        <f aca="false">-IF(AND(T$3&gt;=Restaurantes!$D$8,Restaurantes!$D$7&gt;0),Restaurantes!$D$51*(Restaurantes!$D$52*Restaurantes!$D$53+Restaurantes!$D$54*Restaurantes!$D$55),0)</f>
        <v>-541.075</v>
      </c>
      <c r="U204" s="28" t="n">
        <f aca="false">-IF(AND(U$3&gt;=Restaurantes!$D$8,Restaurantes!$D$7&gt;0),Restaurantes!$D$51*(Restaurantes!$D$52*Restaurantes!$D$53+Restaurantes!$D$54*Restaurantes!$D$55),0)</f>
        <v>-541.075</v>
      </c>
      <c r="V204" s="28" t="n">
        <f aca="false">-IF(AND(V$3&gt;=Restaurantes!$D$8,Restaurantes!$D$7&gt;0),Restaurantes!$D$51*(Restaurantes!$D$52*Restaurantes!$D$53+Restaurantes!$D$54*Restaurantes!$D$55),0)</f>
        <v>-541.075</v>
      </c>
      <c r="W204" s="28" t="n">
        <f aca="false">-IF(AND(W$3&gt;=Restaurantes!$D$8,Restaurantes!$D$7&gt;0),Restaurantes!$D$51*(Restaurantes!$D$52*Restaurantes!$D$53+Restaurantes!$D$54*Restaurantes!$D$55),0)</f>
        <v>-541.075</v>
      </c>
      <c r="X204" s="28" t="n">
        <f aca="false">-IF(AND(X$3&gt;=Restaurantes!$D$8,Restaurantes!$D$7&gt;0),Restaurantes!$D$51*(Restaurantes!$D$52*Restaurantes!$D$53+Restaurantes!$D$54*Restaurantes!$D$55),0)</f>
        <v>-541.075</v>
      </c>
      <c r="Y204" s="28" t="n">
        <f aca="false">-IF(AND(Y$3&gt;=Restaurantes!$D$8,Restaurantes!$D$7&gt;0),Restaurantes!$D$51*(Restaurantes!$D$52*Restaurantes!$D$53+Restaurantes!$D$54*Restaurantes!$D$55),0)</f>
        <v>-541.075</v>
      </c>
      <c r="Z204" s="28" t="n">
        <f aca="false">-IF(AND(Z$3&gt;=Restaurantes!$D$8,Restaurantes!$D$7&gt;0),Restaurantes!$D$51*(Restaurantes!$D$52*Restaurantes!$D$53+Restaurantes!$D$54*Restaurantes!$D$55),0)</f>
        <v>-541.075</v>
      </c>
      <c r="AA204" s="28" t="n">
        <f aca="false">-IF(AND(AA$3&gt;=Restaurantes!$D$8,Restaurantes!$D$7&gt;0),Restaurantes!$D$51*(Restaurantes!$D$52*Restaurantes!$D$53+Restaurantes!$D$54*Restaurantes!$D$55),0)</f>
        <v>-541.075</v>
      </c>
      <c r="AB204" s="28" t="n">
        <f aca="false">-IF(AND(AB$3&gt;=Restaurantes!$D$8,Restaurantes!$D$7&gt;0),Restaurantes!$D$51*(Restaurantes!$D$52*Restaurantes!$D$53+Restaurantes!$D$54*Restaurantes!$D$55),0)</f>
        <v>-541.075</v>
      </c>
      <c r="AC204" s="28" t="n">
        <f aca="false">-IF(AND(AC$3&gt;=Restaurantes!$D$8,Restaurantes!$D$7&gt;0),Restaurantes!$D$51*(Restaurantes!$D$52*Restaurantes!$D$53+Restaurantes!$D$54*Restaurantes!$D$55),0)</f>
        <v>-541.075</v>
      </c>
      <c r="AD204" s="28" t="n">
        <f aca="false">-IF(AND(AD$3&gt;=Restaurantes!$D$8,Restaurantes!$D$7&gt;0),Restaurantes!$D$51*(Restaurantes!$D$52*Restaurantes!$D$53+Restaurantes!$D$54*Restaurantes!$D$55),0)</f>
        <v>-541.075</v>
      </c>
      <c r="AE204" s="28" t="n">
        <f aca="false">-IF(AND(AE$3&gt;=Restaurantes!$D$8,Restaurantes!$D$7&gt;0),Restaurantes!$D$51*(Restaurantes!$D$52*Restaurantes!$D$53+Restaurantes!$D$54*Restaurantes!$D$55),0)</f>
        <v>-541.075</v>
      </c>
      <c r="AF204" s="28" t="n">
        <f aca="false">-IF(AND(AF$3&gt;=Restaurantes!$D$8,Restaurantes!$D$7&gt;0),Restaurantes!$D$51*(Restaurantes!$D$52*Restaurantes!$D$53+Restaurantes!$D$54*Restaurantes!$D$55),0)</f>
        <v>-541.075</v>
      </c>
      <c r="AG204" s="28" t="n">
        <f aca="false">-IF(AND(AG$3&gt;=Restaurantes!$D$8,Restaurantes!$D$7&gt;0),Restaurantes!$D$51*(Restaurantes!$D$52*Restaurantes!$D$53+Restaurantes!$D$54*Restaurantes!$D$55),0)</f>
        <v>-541.075</v>
      </c>
      <c r="AH204" s="28" t="n">
        <f aca="false">-IF(AND(AH$3&gt;=Restaurantes!$D$8,Restaurantes!$D$7&gt;0),Restaurantes!$D$51*(Restaurantes!$D$52*Restaurantes!$D$53+Restaurantes!$D$54*Restaurantes!$D$55),0)</f>
        <v>-541.075</v>
      </c>
      <c r="AI204" s="28" t="n">
        <f aca="false">-IF(AND(AI$3&gt;=Restaurantes!$D$8,Restaurantes!$D$7&gt;0),Restaurantes!$D$51*(Restaurantes!$D$52*Restaurantes!$D$53+Restaurantes!$D$54*Restaurantes!$D$55),0)</f>
        <v>-541.075</v>
      </c>
      <c r="AJ204" s="28" t="n">
        <f aca="false">-IF(AND(AJ$3&gt;=Restaurantes!$D$8,Restaurantes!$D$7&gt;0),Restaurantes!$D$51*(Restaurantes!$D$52*Restaurantes!$D$53+Restaurantes!$D$54*Restaurantes!$D$55),0)</f>
        <v>-541.075</v>
      </c>
      <c r="AK204" s="28" t="n">
        <f aca="false">-IF(AND(AK$3&gt;=Restaurantes!$D$8,Restaurantes!$D$7&gt;0),Restaurantes!$D$51*(Restaurantes!$D$52*Restaurantes!$D$53+Restaurantes!$D$54*Restaurantes!$D$55),0)</f>
        <v>-541.075</v>
      </c>
      <c r="AL204" s="28" t="n">
        <f aca="false">-IF(AND(AL$3&gt;=Restaurantes!$D$8,Restaurantes!$D$7&gt;0),Restaurantes!$D$51*(Restaurantes!$D$52*Restaurantes!$D$53+Restaurantes!$D$54*Restaurantes!$D$55),0)</f>
        <v>-541.075</v>
      </c>
      <c r="AM204" s="28" t="n">
        <f aca="false">-IF(AND(AM$3&gt;=Restaurantes!$D$8,Restaurantes!$D$7&gt;0),Restaurantes!$D$51*(Restaurantes!$D$52*Restaurantes!$D$53+Restaurantes!$D$54*Restaurantes!$D$55),0)</f>
        <v>-541.075</v>
      </c>
      <c r="AN204" s="28" t="n">
        <f aca="false">-IF(AND(AN$3&gt;=Restaurantes!$D$8,Restaurantes!$D$7&gt;0),Restaurantes!$D$51*(Restaurantes!$D$52*Restaurantes!$D$53+Restaurantes!$D$54*Restaurantes!$D$55),0)</f>
        <v>-541.075</v>
      </c>
      <c r="AO204" s="28" t="n">
        <f aca="false">-IF(AND(AO$3&gt;=Restaurantes!$D$8,Restaurantes!$D$7&gt;0),Restaurantes!$D$51*(Restaurantes!$D$52*Restaurantes!$D$53+Restaurantes!$D$54*Restaurantes!$D$55),0)</f>
        <v>-541.075</v>
      </c>
      <c r="AP204" s="28" t="n">
        <f aca="false">-IF(AND(AP$3&gt;=Restaurantes!$D$8,Restaurantes!$D$7&gt;0),Restaurantes!$D$51*(Restaurantes!$D$52*Restaurantes!$D$53+Restaurantes!$D$54*Restaurantes!$D$55),0)</f>
        <v>-541.075</v>
      </c>
      <c r="AQ204" s="28" t="n">
        <f aca="false">-IF(AND(AQ$3&gt;=Restaurantes!$D$8,Restaurantes!$D$7&gt;0),Restaurantes!$D$51*(Restaurantes!$D$52*Restaurantes!$D$53+Restaurantes!$D$54*Restaurantes!$D$55),0)</f>
        <v>-541.075</v>
      </c>
      <c r="AR204" s="28" t="n">
        <f aca="false">-IF(AND(AR$3&gt;=Restaurantes!$D$8,Restaurantes!$D$7&gt;0),Restaurantes!$D$51*(Restaurantes!$D$52*Restaurantes!$D$53+Restaurantes!$D$54*Restaurantes!$D$55),0)</f>
        <v>-541.075</v>
      </c>
      <c r="AS204" s="28" t="n">
        <f aca="false">-IF(AND(AS$3&gt;=Restaurantes!$D$8,Restaurantes!$D$7&gt;0),Restaurantes!$D$51*(Restaurantes!$D$52*Restaurantes!$D$53+Restaurantes!$D$54*Restaurantes!$D$55),0)</f>
        <v>-541.075</v>
      </c>
      <c r="AT204" s="28" t="n">
        <f aca="false">-IF(AND(AT$3&gt;=Restaurantes!$D$8,Restaurantes!$D$7&gt;0),Restaurantes!$D$51*(Restaurantes!$D$52*Restaurantes!$D$53+Restaurantes!$D$54*Restaurantes!$D$55),0)</f>
        <v>-541.075</v>
      </c>
      <c r="AU204" s="28" t="n">
        <f aca="false">-IF(AND(AU$3&gt;=Restaurantes!$D$8,Restaurantes!$D$7&gt;0),Restaurantes!$D$51*(Restaurantes!$D$52*Restaurantes!$D$53+Restaurantes!$D$54*Restaurantes!$D$55),0)</f>
        <v>-541.075</v>
      </c>
      <c r="AV204" s="28" t="n">
        <f aca="false">-IF(AND(AV$3&gt;=Restaurantes!$D$8,Restaurantes!$D$7&gt;0),Restaurantes!$D$51*(Restaurantes!$D$52*Restaurantes!$D$53+Restaurantes!$D$54*Restaurantes!$D$55),0)</f>
        <v>-541.075</v>
      </c>
      <c r="AW204" s="28" t="n">
        <f aca="false">-IF(AND(AW$3&gt;=Restaurantes!$D$8,Restaurantes!$D$7&gt;0),Restaurantes!$D$51*(Restaurantes!$D$52*Restaurantes!$D$53+Restaurantes!$D$54*Restaurantes!$D$55),0)</f>
        <v>-541.075</v>
      </c>
      <c r="AX204" s="28" t="n">
        <f aca="false">-IF(AND(AX$3&gt;=Restaurantes!$D$8,Restaurantes!$D$7&gt;0),Restaurantes!$D$51*(Restaurantes!$D$52*Restaurantes!$D$53+Restaurantes!$D$54*Restaurantes!$D$55),0)</f>
        <v>-541.075</v>
      </c>
      <c r="AY204" s="28" t="n">
        <f aca="false">-IF(AND(AY$3&gt;=Restaurantes!$D$8,Restaurantes!$D$7&gt;0),Restaurantes!$D$51*(Restaurantes!$D$52*Restaurantes!$D$53+Restaurantes!$D$54*Restaurantes!$D$55),0)</f>
        <v>-541.075</v>
      </c>
      <c r="AZ204" s="28" t="n">
        <f aca="false">-IF(AND(AZ$3&gt;=Restaurantes!$D$8,Restaurantes!$D$7&gt;0),Restaurantes!$D$51*(Restaurantes!$D$52*Restaurantes!$D$53+Restaurantes!$D$54*Restaurantes!$D$55),0)</f>
        <v>-541.075</v>
      </c>
      <c r="BA204" s="28" t="n">
        <f aca="false">-IF(AND(BA$3&gt;=Restaurantes!$D$8,Restaurantes!$D$7&gt;0),Restaurantes!$D$51*(Restaurantes!$D$52*Restaurantes!$D$53+Restaurantes!$D$54*Restaurantes!$D$55),0)</f>
        <v>-541.075</v>
      </c>
      <c r="BB204" s="28" t="n">
        <f aca="false">-IF(AND(BB$3&gt;=Restaurantes!$D$8,Restaurantes!$D$7&gt;0),Restaurantes!$D$51*(Restaurantes!$D$52*Restaurantes!$D$53+Restaurantes!$D$54*Restaurantes!$D$55),0)</f>
        <v>-541.075</v>
      </c>
      <c r="BC204" s="28" t="n">
        <f aca="false">-IF(AND(BC$3&gt;=Restaurantes!$D$8,Restaurantes!$D$7&gt;0),Restaurantes!$D$51*(Restaurantes!$D$52*Restaurantes!$D$53+Restaurantes!$D$54*Restaurantes!$D$55),0)</f>
        <v>-541.075</v>
      </c>
      <c r="BD204" s="28" t="n">
        <f aca="false">-IF(AND(BD$3&gt;=Restaurantes!$D$8,Restaurantes!$D$7&gt;0),Restaurantes!$D$51*(Restaurantes!$D$52*Restaurantes!$D$53+Restaurantes!$D$54*Restaurantes!$D$55),0)</f>
        <v>-541.075</v>
      </c>
      <c r="BE204" s="28" t="n">
        <f aca="false">-IF(AND(BE$3&gt;=Restaurantes!$D$8,Restaurantes!$D$7&gt;0),Restaurantes!$D$51*(Restaurantes!$D$52*Restaurantes!$D$53+Restaurantes!$D$54*Restaurantes!$D$55),0)</f>
        <v>-541.075</v>
      </c>
      <c r="BF204" s="28" t="n">
        <f aca="false">-IF(AND(BF$3&gt;=Restaurantes!$D$8,Restaurantes!$D$7&gt;0),Restaurantes!$D$51*(Restaurantes!$D$52*Restaurantes!$D$53+Restaurantes!$D$54*Restaurantes!$D$55),0)</f>
        <v>-541.075</v>
      </c>
      <c r="BG204" s="28" t="n">
        <f aca="false">-IF(AND(BG$3&gt;=Restaurantes!$D$8,Restaurantes!$D$7&gt;0),Restaurantes!$D$51*(Restaurantes!$D$52*Restaurantes!$D$53+Restaurantes!$D$54*Restaurantes!$D$55),0)</f>
        <v>-541.075</v>
      </c>
      <c r="BH204" s="28" t="n">
        <f aca="false">-IF(AND(BH$3&gt;=Restaurantes!$D$8,Restaurantes!$D$7&gt;0),Restaurantes!$D$51*(Restaurantes!$D$52*Restaurantes!$D$53+Restaurantes!$D$54*Restaurantes!$D$55),0)</f>
        <v>-541.075</v>
      </c>
      <c r="BI204" s="28" t="n">
        <f aca="false">-IF(AND(BI$3&gt;=Restaurantes!$D$8,Restaurantes!$D$7&gt;0),Restaurantes!$D$51*(Restaurantes!$D$52*Restaurantes!$D$53+Restaurantes!$D$54*Restaurantes!$D$55),0)</f>
        <v>-541.075</v>
      </c>
      <c r="BJ204" s="28" t="n">
        <f aca="false">-IF(AND(BJ$3&gt;=Restaurantes!$D$8,Restaurantes!$D$7&gt;0),Restaurantes!$D$51*(Restaurantes!$D$52*Restaurantes!$D$53+Restaurantes!$D$54*Restaurantes!$D$55),0)</f>
        <v>-541.075</v>
      </c>
      <c r="BK204" s="28" t="n">
        <f aca="false">-IF(AND(BK$3&gt;=Restaurantes!$D$8,Restaurantes!$D$7&gt;0),Restaurantes!$D$51*(Restaurantes!$D$52*Restaurantes!$D$53+Restaurantes!$D$54*Restaurantes!$D$55),0)</f>
        <v>-541.075</v>
      </c>
      <c r="BL204" s="28" t="n">
        <f aca="false">-IF(AND(BL$3&gt;=Restaurantes!$D$8,Restaurantes!$D$7&gt;0),Restaurantes!$D$51*(Restaurantes!$D$52*Restaurantes!$D$53+Restaurantes!$D$54*Restaurantes!$D$55),0)</f>
        <v>-541.075</v>
      </c>
      <c r="BM204" s="28" t="n">
        <f aca="false">-IF(AND(BM$3&gt;=Restaurantes!$D$8,Restaurantes!$D$7&gt;0),Restaurantes!$D$51*(Restaurantes!$D$52*Restaurantes!$D$53+Restaurantes!$D$54*Restaurantes!$D$55),0)</f>
        <v>-541.075</v>
      </c>
      <c r="BN204" s="28" t="n">
        <f aca="false">-IF(AND(BN$3&gt;=Restaurantes!$D$8,Restaurantes!$D$7&gt;0),Restaurantes!$D$51*(Restaurantes!$D$52*Restaurantes!$D$53+Restaurantes!$D$54*Restaurantes!$D$55),0)</f>
        <v>-541.075</v>
      </c>
      <c r="BO204" s="28" t="n">
        <f aca="false">-IF(AND(BO$3&gt;=Restaurantes!$D$8,Restaurantes!$D$7&gt;0),Restaurantes!$D$51*(Restaurantes!$D$52*Restaurantes!$D$53+Restaurantes!$D$54*Restaurantes!$D$55),0)</f>
        <v>-541.075</v>
      </c>
      <c r="BP204" s="28" t="n">
        <f aca="false">-IF(AND(BP$3&gt;=Restaurantes!$D$8,Restaurantes!$D$7&gt;0),Restaurantes!$D$51*(Restaurantes!$D$52*Restaurantes!$D$53+Restaurantes!$D$54*Restaurantes!$D$55),0)</f>
        <v>-541.075</v>
      </c>
      <c r="BQ204" s="28" t="n">
        <f aca="false">-IF(AND(BQ$3&gt;=Restaurantes!$D$8,Restaurantes!$D$7&gt;0),Restaurantes!$D$51*(Restaurantes!$D$52*Restaurantes!$D$53+Restaurantes!$D$54*Restaurantes!$D$55),0)</f>
        <v>-541.075</v>
      </c>
      <c r="BR204" s="28" t="n">
        <f aca="false">-IF(AND(BR$3&gt;=Restaurantes!$D$8,Restaurantes!$D$7&gt;0),Restaurantes!$D$51*(Restaurantes!$D$52*Restaurantes!$D$53+Restaurantes!$D$54*Restaurantes!$D$55),0)</f>
        <v>-541.075</v>
      </c>
      <c r="BS204" s="28" t="n">
        <f aca="false">-IF(AND(BS$3&gt;=Restaurantes!$D$8,Restaurantes!$D$7&gt;0),Restaurantes!$D$51*(Restaurantes!$D$52*Restaurantes!$D$53+Restaurantes!$D$54*Restaurantes!$D$55),0)</f>
        <v>-541.075</v>
      </c>
      <c r="BT204" s="28" t="n">
        <f aca="false">-IF(AND(BT$3&gt;=Restaurantes!$D$8,Restaurantes!$D$7&gt;0),Restaurantes!$D$51*(Restaurantes!$D$52*Restaurantes!$D$53+Restaurantes!$D$54*Restaurantes!$D$55),0)</f>
        <v>-541.075</v>
      </c>
      <c r="BU204" s="28" t="n">
        <f aca="false">-IF(AND(BU$3&gt;=Restaurantes!$D$8,Restaurantes!$D$7&gt;0),Restaurantes!$D$51*(Restaurantes!$D$52*Restaurantes!$D$53+Restaurantes!$D$54*Restaurantes!$D$55),0)</f>
        <v>-541.075</v>
      </c>
      <c r="BV204" s="28" t="n">
        <f aca="false">-IF(AND(BV$3&gt;=Restaurantes!$D$8,Restaurantes!$D$7&gt;0),Restaurantes!$D$51*(Restaurantes!$D$52*Restaurantes!$D$53+Restaurantes!$D$54*Restaurantes!$D$55),0)</f>
        <v>-541.075</v>
      </c>
      <c r="BW204" s="28" t="n">
        <f aca="false">-IF(AND(BW$3&gt;=Restaurantes!$D$8,Restaurantes!$D$7&gt;0),Restaurantes!$D$51*(Restaurantes!$D$52*Restaurantes!$D$53+Restaurantes!$D$54*Restaurantes!$D$55),0)</f>
        <v>-541.075</v>
      </c>
      <c r="BX204" s="28" t="n">
        <f aca="false">-IF(AND(BX$3&gt;=Restaurantes!$D$8,Restaurantes!$D$7&gt;0),Restaurantes!$D$51*(Restaurantes!$D$52*Restaurantes!$D$53+Restaurantes!$D$54*Restaurantes!$D$55),0)</f>
        <v>-541.075</v>
      </c>
      <c r="BY204" s="28" t="n">
        <f aca="false">-IF(AND(BY$3&gt;=Restaurantes!$D$8,Restaurantes!$D$7&gt;0),Restaurantes!$D$51*(Restaurantes!$D$52*Restaurantes!$D$53+Restaurantes!$D$54*Restaurantes!$D$55),0)</f>
        <v>-541.075</v>
      </c>
      <c r="BZ204" s="28" t="n">
        <f aca="false">-IF(AND(BZ$3&gt;=Restaurantes!$D$8,Restaurantes!$D$7&gt;0),Restaurantes!$D$51*(Restaurantes!$D$52*Restaurantes!$D$53+Restaurantes!$D$54*Restaurantes!$D$55),0)</f>
        <v>-541.075</v>
      </c>
      <c r="CA204" s="28" t="n">
        <f aca="false">-IF(AND(CA$3&gt;=Restaurantes!$D$8,Restaurantes!$D$7&gt;0),Restaurantes!$D$51*(Restaurantes!$D$52*Restaurantes!$D$53+Restaurantes!$D$54*Restaurantes!$D$55),0)</f>
        <v>-541.075</v>
      </c>
      <c r="CB204" s="28" t="n">
        <f aca="false">-IF(AND(CB$3&gt;=Restaurantes!$D$8,Restaurantes!$D$7&gt;0),Restaurantes!$D$51*(Restaurantes!$D$52*Restaurantes!$D$53+Restaurantes!$D$54*Restaurantes!$D$55),0)</f>
        <v>-541.075</v>
      </c>
      <c r="CC204" s="28" t="n">
        <f aca="false">-IF(AND(CC$3&gt;=Restaurantes!$D$8,Restaurantes!$D$7&gt;0),Restaurantes!$D$51*(Restaurantes!$D$52*Restaurantes!$D$53+Restaurantes!$D$54*Restaurantes!$D$55),0)</f>
        <v>-541.075</v>
      </c>
      <c r="CD204" s="28" t="n">
        <f aca="false">-IF(AND(CD$3&gt;=Restaurantes!$D$8,Restaurantes!$D$7&gt;0),Restaurantes!$D$51*(Restaurantes!$D$52*Restaurantes!$D$53+Restaurantes!$D$54*Restaurantes!$D$55),0)</f>
        <v>-541.075</v>
      </c>
      <c r="CE204" s="28" t="n">
        <f aca="false">-IF(AND(CE$3&gt;=Restaurantes!$D$8,Restaurantes!$D$7&gt;0),Restaurantes!$D$51*(Restaurantes!$D$52*Restaurantes!$D$53+Restaurantes!$D$54*Restaurantes!$D$55),0)</f>
        <v>-541.075</v>
      </c>
      <c r="CF204" s="28" t="n">
        <f aca="false">-IF(AND(CF$3&gt;=Restaurantes!$D$8,Restaurantes!$D$7&gt;0),Restaurantes!$D$51*(Restaurantes!$D$52*Restaurantes!$D$53+Restaurantes!$D$54*Restaurantes!$D$55),0)</f>
        <v>-541.075</v>
      </c>
      <c r="CG204" s="28" t="n">
        <f aca="false">-IF(AND(CG$3&gt;=Restaurantes!$D$8,Restaurantes!$D$7&gt;0),Restaurantes!$D$51*(Restaurantes!$D$52*Restaurantes!$D$53+Restaurantes!$D$54*Restaurantes!$D$55),0)</f>
        <v>-541.075</v>
      </c>
      <c r="CH204" s="28" t="n">
        <f aca="false">-IF(AND(CH$3&gt;=Restaurantes!$D$8,Restaurantes!$D$7&gt;0),Restaurantes!$D$51*(Restaurantes!$D$52*Restaurantes!$D$53+Restaurantes!$D$54*Restaurantes!$D$55),0)</f>
        <v>-541.075</v>
      </c>
    </row>
    <row r="205" customFormat="false" ht="15" hidden="false" customHeight="false" outlineLevel="0" collapsed="false">
      <c r="A205" s="1" t="s">
        <v>866</v>
      </c>
      <c r="C205" s="28" t="n">
        <f aca="false">-C188*Restaurantes!$D$56/60*Restaurantes!$D$57</f>
        <v>-50.3889515010021</v>
      </c>
      <c r="D205" s="28" t="n">
        <f aca="false">-D188*Restaurantes!$D$56/60*Restaurantes!$D$57</f>
        <v>-100.777903002004</v>
      </c>
      <c r="E205" s="28" t="n">
        <f aca="false">-E188*Restaurantes!$D$56/60*Restaurantes!$D$57</f>
        <v>-151.166854503006</v>
      </c>
      <c r="F205" s="28" t="n">
        <f aca="false">-F188*Restaurantes!$D$56/60*Restaurantes!$D$57</f>
        <v>-201.555806004009</v>
      </c>
      <c r="G205" s="28" t="n">
        <f aca="false">-G188*Restaurantes!$D$56/60*Restaurantes!$D$57</f>
        <v>-37.7917136257516</v>
      </c>
      <c r="H205" s="28" t="n">
        <f aca="false">-H188*Restaurantes!$D$56/60*Restaurantes!$D$57</f>
        <v>-302.333709006013</v>
      </c>
      <c r="I205" s="28" t="n">
        <f aca="false">-I188*Restaurantes!$D$56/60*Restaurantes!$D$57</f>
        <v>-352.722660507015</v>
      </c>
      <c r="J205" s="28" t="n">
        <f aca="false">-J188*Restaurantes!$D$56/60*Restaurantes!$D$57</f>
        <v>-403.111612008017</v>
      </c>
      <c r="K205" s="28" t="n">
        <f aca="false">-K188*Restaurantes!$D$56/60*Restaurantes!$D$57</f>
        <v>-453.500563509019</v>
      </c>
      <c r="L205" s="28" t="n">
        <f aca="false">-L188*Restaurantes!$D$56/60*Restaurantes!$D$57</f>
        <v>-503.889515010021</v>
      </c>
      <c r="M205" s="28" t="n">
        <f aca="false">-M188*Restaurantes!$D$56/60*Restaurantes!$D$57</f>
        <v>-554.278466511024</v>
      </c>
      <c r="N205" s="28" t="n">
        <f aca="false">-N188*Restaurantes!$D$56/60*Restaurantes!$D$57</f>
        <v>-604.667418012026</v>
      </c>
      <c r="O205" s="28" t="n">
        <f aca="false">-O188*Restaurantes!$D$56/60*Restaurantes!$D$57</f>
        <v>-655.056369513028</v>
      </c>
      <c r="P205" s="28" t="n">
        <f aca="false">-P188*Restaurantes!$D$56/60*Restaurantes!$D$57</f>
        <v>-705.44532101403</v>
      </c>
      <c r="Q205" s="28" t="n">
        <f aca="false">-Q188*Restaurantes!$D$56/60*Restaurantes!$D$57</f>
        <v>-755.834272515032</v>
      </c>
      <c r="R205" s="28" t="n">
        <f aca="false">-R188*Restaurantes!$D$56/60*Restaurantes!$D$57</f>
        <v>-806.223224016034</v>
      </c>
      <c r="S205" s="28" t="n">
        <f aca="false">-S188*Restaurantes!$D$56/60*Restaurantes!$D$57</f>
        <v>-128.491826327555</v>
      </c>
      <c r="T205" s="28" t="n">
        <f aca="false">-T188*Restaurantes!$D$56/60*Restaurantes!$D$57</f>
        <v>-907.001127018039</v>
      </c>
      <c r="U205" s="28" t="n">
        <f aca="false">-U188*Restaurantes!$D$56/60*Restaurantes!$D$57</f>
        <v>-907.001127018039</v>
      </c>
      <c r="V205" s="28" t="n">
        <f aca="false">-V188*Restaurantes!$D$56/60*Restaurantes!$D$57</f>
        <v>-907.001127018039</v>
      </c>
      <c r="W205" s="28" t="n">
        <f aca="false">-W188*Restaurantes!$D$56/60*Restaurantes!$D$57</f>
        <v>-907.001127018039</v>
      </c>
      <c r="X205" s="28" t="n">
        <f aca="false">-X188*Restaurantes!$D$56/60*Restaurantes!$D$57</f>
        <v>-907.001127018039</v>
      </c>
      <c r="Y205" s="28" t="n">
        <f aca="false">-Y188*Restaurantes!$D$56/60*Restaurantes!$D$57</f>
        <v>-907.001127018039</v>
      </c>
      <c r="Z205" s="28" t="n">
        <f aca="false">-Z188*Restaurantes!$D$56/60*Restaurantes!$D$57</f>
        <v>-907.001127018039</v>
      </c>
      <c r="AA205" s="28" t="n">
        <f aca="false">-AA188*Restaurantes!$D$56/60*Restaurantes!$D$57</f>
        <v>-907.001127018039</v>
      </c>
      <c r="AB205" s="28" t="n">
        <f aca="false">-AB188*Restaurantes!$D$56/60*Restaurantes!$D$57</f>
        <v>-907.001127018039</v>
      </c>
      <c r="AC205" s="28" t="n">
        <f aca="false">-AC188*Restaurantes!$D$56/60*Restaurantes!$D$57</f>
        <v>-907.001127018039</v>
      </c>
      <c r="AD205" s="28" t="n">
        <f aca="false">-AD188*Restaurantes!$D$56/60*Restaurantes!$D$57</f>
        <v>-907.001127018039</v>
      </c>
      <c r="AE205" s="28" t="n">
        <f aca="false">-AE188*Restaurantes!$D$56/60*Restaurantes!$D$57</f>
        <v>-136.050169052706</v>
      </c>
      <c r="AF205" s="28" t="n">
        <f aca="false">-AF188*Restaurantes!$D$56/60*Restaurantes!$D$57</f>
        <v>-907.001127018039</v>
      </c>
      <c r="AG205" s="28" t="n">
        <f aca="false">-AG188*Restaurantes!$D$56/60*Restaurantes!$D$57</f>
        <v>-907.001127018039</v>
      </c>
      <c r="AH205" s="28" t="n">
        <f aca="false">-AH188*Restaurantes!$D$56/60*Restaurantes!$D$57</f>
        <v>-907.001127018039</v>
      </c>
      <c r="AI205" s="28" t="n">
        <f aca="false">-AI188*Restaurantes!$D$56/60*Restaurantes!$D$57</f>
        <v>-907.001127018039</v>
      </c>
      <c r="AJ205" s="28" t="n">
        <f aca="false">-AJ188*Restaurantes!$D$56/60*Restaurantes!$D$57</f>
        <v>-907.001127018039</v>
      </c>
      <c r="AK205" s="28" t="n">
        <f aca="false">-AK188*Restaurantes!$D$56/60*Restaurantes!$D$57</f>
        <v>-907.001127018039</v>
      </c>
      <c r="AL205" s="28" t="n">
        <f aca="false">-AL188*Restaurantes!$D$56/60*Restaurantes!$D$57</f>
        <v>-907.001127018039</v>
      </c>
      <c r="AM205" s="28" t="n">
        <f aca="false">-AM188*Restaurantes!$D$56/60*Restaurantes!$D$57</f>
        <v>-907.001127018039</v>
      </c>
      <c r="AN205" s="28" t="n">
        <f aca="false">-AN188*Restaurantes!$D$56/60*Restaurantes!$D$57</f>
        <v>-907.001127018039</v>
      </c>
      <c r="AO205" s="28" t="n">
        <f aca="false">-AO188*Restaurantes!$D$56/60*Restaurantes!$D$57</f>
        <v>-907.001127018039</v>
      </c>
      <c r="AP205" s="28" t="n">
        <f aca="false">-AP188*Restaurantes!$D$56/60*Restaurantes!$D$57</f>
        <v>-907.001127018039</v>
      </c>
      <c r="AQ205" s="28" t="n">
        <f aca="false">-AQ188*Restaurantes!$D$56/60*Restaurantes!$D$57</f>
        <v>-136.050169052706</v>
      </c>
      <c r="AR205" s="28" t="n">
        <f aca="false">-AR188*Restaurantes!$D$56/60*Restaurantes!$D$57</f>
        <v>-907.001127018039</v>
      </c>
      <c r="AS205" s="28" t="n">
        <f aca="false">-AS188*Restaurantes!$D$56/60*Restaurantes!$D$57</f>
        <v>-907.001127018039</v>
      </c>
      <c r="AT205" s="28" t="n">
        <f aca="false">-AT188*Restaurantes!$D$56/60*Restaurantes!$D$57</f>
        <v>-907.001127018039</v>
      </c>
      <c r="AU205" s="28" t="n">
        <f aca="false">-AU188*Restaurantes!$D$56/60*Restaurantes!$D$57</f>
        <v>-907.001127018039</v>
      </c>
      <c r="AV205" s="28" t="n">
        <f aca="false">-AV188*Restaurantes!$D$56/60*Restaurantes!$D$57</f>
        <v>-907.001127018039</v>
      </c>
      <c r="AW205" s="28" t="n">
        <f aca="false">-AW188*Restaurantes!$D$56/60*Restaurantes!$D$57</f>
        <v>-907.001127018039</v>
      </c>
      <c r="AX205" s="28" t="n">
        <f aca="false">-AX188*Restaurantes!$D$56/60*Restaurantes!$D$57</f>
        <v>-907.001127018039</v>
      </c>
      <c r="AY205" s="28" t="n">
        <f aca="false">-AY188*Restaurantes!$D$56/60*Restaurantes!$D$57</f>
        <v>-907.001127018039</v>
      </c>
      <c r="AZ205" s="28" t="n">
        <f aca="false">-AZ188*Restaurantes!$D$56/60*Restaurantes!$D$57</f>
        <v>-907.001127018039</v>
      </c>
      <c r="BA205" s="28" t="n">
        <f aca="false">-BA188*Restaurantes!$D$56/60*Restaurantes!$D$57</f>
        <v>-907.001127018039</v>
      </c>
      <c r="BB205" s="28" t="n">
        <f aca="false">-BB188*Restaurantes!$D$56/60*Restaurantes!$D$57</f>
        <v>-907.001127018039</v>
      </c>
      <c r="BC205" s="28" t="n">
        <f aca="false">-BC188*Restaurantes!$D$56/60*Restaurantes!$D$57</f>
        <v>-136.050169052706</v>
      </c>
      <c r="BD205" s="28" t="n">
        <f aca="false">-BD188*Restaurantes!$D$56/60*Restaurantes!$D$57</f>
        <v>-907.001127018039</v>
      </c>
      <c r="BE205" s="28" t="n">
        <f aca="false">-BE188*Restaurantes!$D$56/60*Restaurantes!$D$57</f>
        <v>-907.001127018039</v>
      </c>
      <c r="BF205" s="28" t="n">
        <f aca="false">-BF188*Restaurantes!$D$56/60*Restaurantes!$D$57</f>
        <v>-907.001127018039</v>
      </c>
      <c r="BG205" s="28" t="n">
        <f aca="false">-BG188*Restaurantes!$D$56/60*Restaurantes!$D$57</f>
        <v>-907.001127018039</v>
      </c>
      <c r="BH205" s="28" t="n">
        <f aca="false">-BH188*Restaurantes!$D$56/60*Restaurantes!$D$57</f>
        <v>-907.001127018039</v>
      </c>
      <c r="BI205" s="28" t="n">
        <f aca="false">-BI188*Restaurantes!$D$56/60*Restaurantes!$D$57</f>
        <v>-907.001127018039</v>
      </c>
      <c r="BJ205" s="28" t="n">
        <f aca="false">-BJ188*Restaurantes!$D$56/60*Restaurantes!$D$57</f>
        <v>-907.001127018039</v>
      </c>
      <c r="BK205" s="28" t="n">
        <f aca="false">-BK188*Restaurantes!$D$56/60*Restaurantes!$D$57</f>
        <v>-907.001127018039</v>
      </c>
      <c r="BL205" s="28" t="n">
        <f aca="false">-BL188*Restaurantes!$D$56/60*Restaurantes!$D$57</f>
        <v>-907.001127018039</v>
      </c>
      <c r="BM205" s="28" t="n">
        <f aca="false">-BM188*Restaurantes!$D$56/60*Restaurantes!$D$57</f>
        <v>-907.001127018039</v>
      </c>
      <c r="BN205" s="28" t="n">
        <f aca="false">-BN188*Restaurantes!$D$56/60*Restaurantes!$D$57</f>
        <v>-907.001127018039</v>
      </c>
      <c r="BO205" s="28" t="n">
        <f aca="false">-BO188*Restaurantes!$D$56/60*Restaurantes!$D$57</f>
        <v>-136.050169052706</v>
      </c>
      <c r="BP205" s="28" t="n">
        <f aca="false">-BP188*Restaurantes!$D$56/60*Restaurantes!$D$57</f>
        <v>-907.001127018039</v>
      </c>
      <c r="BQ205" s="28" t="n">
        <f aca="false">-BQ188*Restaurantes!$D$56/60*Restaurantes!$D$57</f>
        <v>-907.001127018039</v>
      </c>
      <c r="BR205" s="28" t="n">
        <f aca="false">-BR188*Restaurantes!$D$56/60*Restaurantes!$D$57</f>
        <v>-907.001127018039</v>
      </c>
      <c r="BS205" s="28" t="n">
        <f aca="false">-BS188*Restaurantes!$D$56/60*Restaurantes!$D$57</f>
        <v>-907.001127018039</v>
      </c>
      <c r="BT205" s="28" t="n">
        <f aca="false">-BT188*Restaurantes!$D$56/60*Restaurantes!$D$57</f>
        <v>-907.001127018039</v>
      </c>
      <c r="BU205" s="28" t="n">
        <f aca="false">-BU188*Restaurantes!$D$56/60*Restaurantes!$D$57</f>
        <v>-907.001127018039</v>
      </c>
      <c r="BV205" s="28" t="n">
        <f aca="false">-BV188*Restaurantes!$D$56/60*Restaurantes!$D$57</f>
        <v>-907.001127018039</v>
      </c>
      <c r="BW205" s="28" t="n">
        <f aca="false">-BW188*Restaurantes!$D$56/60*Restaurantes!$D$57</f>
        <v>-907.001127018039</v>
      </c>
      <c r="BX205" s="28" t="n">
        <f aca="false">-BX188*Restaurantes!$D$56/60*Restaurantes!$D$57</f>
        <v>-907.001127018039</v>
      </c>
      <c r="BY205" s="28" t="n">
        <f aca="false">-BY188*Restaurantes!$D$56/60*Restaurantes!$D$57</f>
        <v>-907.001127018039</v>
      </c>
      <c r="BZ205" s="28" t="n">
        <f aca="false">-BZ188*Restaurantes!$D$56/60*Restaurantes!$D$57</f>
        <v>-907.001127018039</v>
      </c>
      <c r="CA205" s="28" t="n">
        <f aca="false">-CA188*Restaurantes!$D$56/60*Restaurantes!$D$57</f>
        <v>-136.050169052706</v>
      </c>
      <c r="CB205" s="28" t="n">
        <f aca="false">-CB188*Restaurantes!$D$56/60*Restaurantes!$D$57</f>
        <v>-907.001127018039</v>
      </c>
      <c r="CC205" s="28" t="n">
        <f aca="false">-CC188*Restaurantes!$D$56/60*Restaurantes!$D$57</f>
        <v>-907.001127018039</v>
      </c>
      <c r="CD205" s="28" t="n">
        <f aca="false">-CD188*Restaurantes!$D$56/60*Restaurantes!$D$57</f>
        <v>-907.001127018039</v>
      </c>
      <c r="CE205" s="28" t="n">
        <f aca="false">-CE188*Restaurantes!$D$56/60*Restaurantes!$D$57</f>
        <v>-907.001127018039</v>
      </c>
      <c r="CF205" s="28" t="n">
        <f aca="false">-CF188*Restaurantes!$D$56/60*Restaurantes!$D$57</f>
        <v>-907.001127018039</v>
      </c>
      <c r="CG205" s="28" t="n">
        <f aca="false">-CG188*Restaurantes!$D$56/60*Restaurantes!$D$57</f>
        <v>-907.001127018039</v>
      </c>
      <c r="CH205" s="28" t="n">
        <f aca="false">-CH188*Restaurantes!$D$56/60*Restaurantes!$D$57</f>
        <v>-907.001127018039</v>
      </c>
    </row>
    <row r="206" customFormat="false" ht="15" hidden="false" customHeight="false" outlineLevel="0" collapsed="false">
      <c r="A206" s="1" t="s">
        <v>867</v>
      </c>
      <c r="C206" s="28" t="n">
        <f aca="false">-C188*Restaurantes!$D$58</f>
        <v>-9.4479284064379</v>
      </c>
      <c r="D206" s="28" t="n">
        <f aca="false">-D188*Restaurantes!$D$58</f>
        <v>-18.8958568128758</v>
      </c>
      <c r="E206" s="28" t="n">
        <f aca="false">-E188*Restaurantes!$D$58</f>
        <v>-28.3437852193137</v>
      </c>
      <c r="F206" s="28" t="n">
        <f aca="false">-F188*Restaurantes!$D$58</f>
        <v>-37.7917136257516</v>
      </c>
      <c r="G206" s="28" t="n">
        <f aca="false">-G188*Restaurantes!$D$58</f>
        <v>-7.08594630482843</v>
      </c>
      <c r="H206" s="28" t="n">
        <f aca="false">-H188*Restaurantes!$D$58</f>
        <v>-56.6875704386274</v>
      </c>
      <c r="I206" s="28" t="n">
        <f aca="false">-I188*Restaurantes!$D$58</f>
        <v>-66.1354988450653</v>
      </c>
      <c r="J206" s="28" t="n">
        <f aca="false">-J188*Restaurantes!$D$58</f>
        <v>-75.5834272515032</v>
      </c>
      <c r="K206" s="28" t="n">
        <f aca="false">-K188*Restaurantes!$D$58</f>
        <v>-85.0313556579411</v>
      </c>
      <c r="L206" s="28" t="n">
        <f aca="false">-L188*Restaurantes!$D$58</f>
        <v>-94.479284064379</v>
      </c>
      <c r="M206" s="28" t="n">
        <f aca="false">-M188*Restaurantes!$D$58</f>
        <v>-103.927212470817</v>
      </c>
      <c r="N206" s="28" t="n">
        <f aca="false">-N188*Restaurantes!$D$58</f>
        <v>-113.375140877255</v>
      </c>
      <c r="O206" s="28" t="n">
        <f aca="false">-O188*Restaurantes!$D$58</f>
        <v>-122.823069283693</v>
      </c>
      <c r="P206" s="28" t="n">
        <f aca="false">-P188*Restaurantes!$D$58</f>
        <v>-132.270997690131</v>
      </c>
      <c r="Q206" s="28" t="n">
        <f aca="false">-Q188*Restaurantes!$D$58</f>
        <v>-141.718926096568</v>
      </c>
      <c r="R206" s="28" t="n">
        <f aca="false">-R188*Restaurantes!$D$58</f>
        <v>-151.166854503006</v>
      </c>
      <c r="S206" s="28" t="n">
        <f aca="false">-S188*Restaurantes!$D$58</f>
        <v>-24.0922174364166</v>
      </c>
      <c r="T206" s="28" t="n">
        <f aca="false">-T188*Restaurantes!$D$58</f>
        <v>-170.062711315882</v>
      </c>
      <c r="U206" s="28" t="n">
        <f aca="false">-U188*Restaurantes!$D$58</f>
        <v>-170.062711315882</v>
      </c>
      <c r="V206" s="28" t="n">
        <f aca="false">-V188*Restaurantes!$D$58</f>
        <v>-170.062711315882</v>
      </c>
      <c r="W206" s="28" t="n">
        <f aca="false">-W188*Restaurantes!$D$58</f>
        <v>-170.062711315882</v>
      </c>
      <c r="X206" s="28" t="n">
        <f aca="false">-X188*Restaurantes!$D$58</f>
        <v>-170.062711315882</v>
      </c>
      <c r="Y206" s="28" t="n">
        <f aca="false">-Y188*Restaurantes!$D$58</f>
        <v>-170.062711315882</v>
      </c>
      <c r="Z206" s="28" t="n">
        <f aca="false">-Z188*Restaurantes!$D$58</f>
        <v>-170.062711315882</v>
      </c>
      <c r="AA206" s="28" t="n">
        <f aca="false">-AA188*Restaurantes!$D$58</f>
        <v>-170.062711315882</v>
      </c>
      <c r="AB206" s="28" t="n">
        <f aca="false">-AB188*Restaurantes!$D$58</f>
        <v>-170.062711315882</v>
      </c>
      <c r="AC206" s="28" t="n">
        <f aca="false">-AC188*Restaurantes!$D$58</f>
        <v>-170.062711315882</v>
      </c>
      <c r="AD206" s="28" t="n">
        <f aca="false">-AD188*Restaurantes!$D$58</f>
        <v>-170.062711315882</v>
      </c>
      <c r="AE206" s="28" t="n">
        <f aca="false">-AE188*Restaurantes!$D$58</f>
        <v>-25.5094066973823</v>
      </c>
      <c r="AF206" s="28" t="n">
        <f aca="false">-AF188*Restaurantes!$D$58</f>
        <v>-170.062711315882</v>
      </c>
      <c r="AG206" s="28" t="n">
        <f aca="false">-AG188*Restaurantes!$D$58</f>
        <v>-170.062711315882</v>
      </c>
      <c r="AH206" s="28" t="n">
        <f aca="false">-AH188*Restaurantes!$D$58</f>
        <v>-170.062711315882</v>
      </c>
      <c r="AI206" s="28" t="n">
        <f aca="false">-AI188*Restaurantes!$D$58</f>
        <v>-170.062711315882</v>
      </c>
      <c r="AJ206" s="28" t="n">
        <f aca="false">-AJ188*Restaurantes!$D$58</f>
        <v>-170.062711315882</v>
      </c>
      <c r="AK206" s="28" t="n">
        <f aca="false">-AK188*Restaurantes!$D$58</f>
        <v>-170.062711315882</v>
      </c>
      <c r="AL206" s="28" t="n">
        <f aca="false">-AL188*Restaurantes!$D$58</f>
        <v>-170.062711315882</v>
      </c>
      <c r="AM206" s="28" t="n">
        <f aca="false">-AM188*Restaurantes!$D$58</f>
        <v>-170.062711315882</v>
      </c>
      <c r="AN206" s="28" t="n">
        <f aca="false">-AN188*Restaurantes!$D$58</f>
        <v>-170.062711315882</v>
      </c>
      <c r="AO206" s="28" t="n">
        <f aca="false">-AO188*Restaurantes!$D$58</f>
        <v>-170.062711315882</v>
      </c>
      <c r="AP206" s="28" t="n">
        <f aca="false">-AP188*Restaurantes!$D$58</f>
        <v>-170.062711315882</v>
      </c>
      <c r="AQ206" s="28" t="n">
        <f aca="false">-AQ188*Restaurantes!$D$58</f>
        <v>-25.5094066973823</v>
      </c>
      <c r="AR206" s="28" t="n">
        <f aca="false">-AR188*Restaurantes!$D$58</f>
        <v>-170.062711315882</v>
      </c>
      <c r="AS206" s="28" t="n">
        <f aca="false">-AS188*Restaurantes!$D$58</f>
        <v>-170.062711315882</v>
      </c>
      <c r="AT206" s="28" t="n">
        <f aca="false">-AT188*Restaurantes!$D$58</f>
        <v>-170.062711315882</v>
      </c>
      <c r="AU206" s="28" t="n">
        <f aca="false">-AU188*Restaurantes!$D$58</f>
        <v>-170.062711315882</v>
      </c>
      <c r="AV206" s="28" t="n">
        <f aca="false">-AV188*Restaurantes!$D$58</f>
        <v>-170.062711315882</v>
      </c>
      <c r="AW206" s="28" t="n">
        <f aca="false">-AW188*Restaurantes!$D$58</f>
        <v>-170.062711315882</v>
      </c>
      <c r="AX206" s="28" t="n">
        <f aca="false">-AX188*Restaurantes!$D$58</f>
        <v>-170.062711315882</v>
      </c>
      <c r="AY206" s="28" t="n">
        <f aca="false">-AY188*Restaurantes!$D$58</f>
        <v>-170.062711315882</v>
      </c>
      <c r="AZ206" s="28" t="n">
        <f aca="false">-AZ188*Restaurantes!$D$58</f>
        <v>-170.062711315882</v>
      </c>
      <c r="BA206" s="28" t="n">
        <f aca="false">-BA188*Restaurantes!$D$58</f>
        <v>-170.062711315882</v>
      </c>
      <c r="BB206" s="28" t="n">
        <f aca="false">-BB188*Restaurantes!$D$58</f>
        <v>-170.062711315882</v>
      </c>
      <c r="BC206" s="28" t="n">
        <f aca="false">-BC188*Restaurantes!$D$58</f>
        <v>-25.5094066973823</v>
      </c>
      <c r="BD206" s="28" t="n">
        <f aca="false">-BD188*Restaurantes!$D$58</f>
        <v>-170.062711315882</v>
      </c>
      <c r="BE206" s="28" t="n">
        <f aca="false">-BE188*Restaurantes!$D$58</f>
        <v>-170.062711315882</v>
      </c>
      <c r="BF206" s="28" t="n">
        <f aca="false">-BF188*Restaurantes!$D$58</f>
        <v>-170.062711315882</v>
      </c>
      <c r="BG206" s="28" t="n">
        <f aca="false">-BG188*Restaurantes!$D$58</f>
        <v>-170.062711315882</v>
      </c>
      <c r="BH206" s="28" t="n">
        <f aca="false">-BH188*Restaurantes!$D$58</f>
        <v>-170.062711315882</v>
      </c>
      <c r="BI206" s="28" t="n">
        <f aca="false">-BI188*Restaurantes!$D$58</f>
        <v>-170.062711315882</v>
      </c>
      <c r="BJ206" s="28" t="n">
        <f aca="false">-BJ188*Restaurantes!$D$58</f>
        <v>-170.062711315882</v>
      </c>
      <c r="BK206" s="28" t="n">
        <f aca="false">-BK188*Restaurantes!$D$58</f>
        <v>-170.062711315882</v>
      </c>
      <c r="BL206" s="28" t="n">
        <f aca="false">-BL188*Restaurantes!$D$58</f>
        <v>-170.062711315882</v>
      </c>
      <c r="BM206" s="28" t="n">
        <f aca="false">-BM188*Restaurantes!$D$58</f>
        <v>-170.062711315882</v>
      </c>
      <c r="BN206" s="28" t="n">
        <f aca="false">-BN188*Restaurantes!$D$58</f>
        <v>-170.062711315882</v>
      </c>
      <c r="BO206" s="28" t="n">
        <f aca="false">-BO188*Restaurantes!$D$58</f>
        <v>-25.5094066973823</v>
      </c>
      <c r="BP206" s="28" t="n">
        <f aca="false">-BP188*Restaurantes!$D$58</f>
        <v>-170.062711315882</v>
      </c>
      <c r="BQ206" s="28" t="n">
        <f aca="false">-BQ188*Restaurantes!$D$58</f>
        <v>-170.062711315882</v>
      </c>
      <c r="BR206" s="28" t="n">
        <f aca="false">-BR188*Restaurantes!$D$58</f>
        <v>-170.062711315882</v>
      </c>
      <c r="BS206" s="28" t="n">
        <f aca="false">-BS188*Restaurantes!$D$58</f>
        <v>-170.062711315882</v>
      </c>
      <c r="BT206" s="28" t="n">
        <f aca="false">-BT188*Restaurantes!$D$58</f>
        <v>-170.062711315882</v>
      </c>
      <c r="BU206" s="28" t="n">
        <f aca="false">-BU188*Restaurantes!$D$58</f>
        <v>-170.062711315882</v>
      </c>
      <c r="BV206" s="28" t="n">
        <f aca="false">-BV188*Restaurantes!$D$58</f>
        <v>-170.062711315882</v>
      </c>
      <c r="BW206" s="28" t="n">
        <f aca="false">-BW188*Restaurantes!$D$58</f>
        <v>-170.062711315882</v>
      </c>
      <c r="BX206" s="28" t="n">
        <f aca="false">-BX188*Restaurantes!$D$58</f>
        <v>-170.062711315882</v>
      </c>
      <c r="BY206" s="28" t="n">
        <f aca="false">-BY188*Restaurantes!$D$58</f>
        <v>-170.062711315882</v>
      </c>
      <c r="BZ206" s="28" t="n">
        <f aca="false">-BZ188*Restaurantes!$D$58</f>
        <v>-170.062711315882</v>
      </c>
      <c r="CA206" s="28" t="n">
        <f aca="false">-CA188*Restaurantes!$D$58</f>
        <v>-25.5094066973823</v>
      </c>
      <c r="CB206" s="28" t="n">
        <f aca="false">-CB188*Restaurantes!$D$58</f>
        <v>-170.062711315882</v>
      </c>
      <c r="CC206" s="28" t="n">
        <f aca="false">-CC188*Restaurantes!$D$58</f>
        <v>-170.062711315882</v>
      </c>
      <c r="CD206" s="28" t="n">
        <f aca="false">-CD188*Restaurantes!$D$58</f>
        <v>-170.062711315882</v>
      </c>
      <c r="CE206" s="28" t="n">
        <f aca="false">-CE188*Restaurantes!$D$58</f>
        <v>-170.062711315882</v>
      </c>
      <c r="CF206" s="28" t="n">
        <f aca="false">-CF188*Restaurantes!$D$58</f>
        <v>-170.062711315882</v>
      </c>
      <c r="CG206" s="28" t="n">
        <f aca="false">-CG188*Restaurantes!$D$58</f>
        <v>-170.062711315882</v>
      </c>
      <c r="CH206" s="28" t="n">
        <f aca="false">-CH188*Restaurantes!$D$58</f>
        <v>-170.062711315882</v>
      </c>
    </row>
    <row r="207" customFormat="false" ht="15" hidden="false" customHeight="false" outlineLevel="0" collapsed="false">
      <c r="A207" s="25" t="s">
        <v>868</v>
      </c>
      <c r="C207" s="156" t="n">
        <f aca="false">SUM(C202:C206)</f>
        <v>-2000.91187990744</v>
      </c>
      <c r="D207" s="156" t="n">
        <f aca="false">SUM(D202:D206)</f>
        <v>-2060.74875981488</v>
      </c>
      <c r="E207" s="156" t="n">
        <f aca="false">SUM(E202:E206)</f>
        <v>-2120.58563972232</v>
      </c>
      <c r="F207" s="156" t="n">
        <f aca="false">SUM(F202:F206)</f>
        <v>-2180.42251962976</v>
      </c>
      <c r="G207" s="156" t="n">
        <f aca="false">SUM(G202:G206)</f>
        <v>-1985.95265993058</v>
      </c>
      <c r="H207" s="156" t="n">
        <f aca="false">SUM(H202:H206)</f>
        <v>-2300.09627944464</v>
      </c>
      <c r="I207" s="156" t="n">
        <f aca="false">SUM(I202:I206)</f>
        <v>-2441.73981061962</v>
      </c>
      <c r="J207" s="156" t="n">
        <f aca="false">SUM(J202:J206)</f>
        <v>-2627.54906927956</v>
      </c>
      <c r="K207" s="156" t="n">
        <f aca="false">SUM(K202:K206)</f>
        <v>-2813.35832793951</v>
      </c>
      <c r="L207" s="156" t="n">
        <f aca="false">SUM(L202:L206)</f>
        <v>-2999.16758659945</v>
      </c>
      <c r="M207" s="156" t="n">
        <f aca="false">SUM(M202:M206)</f>
        <v>-3184.9768452594</v>
      </c>
      <c r="N207" s="156" t="n">
        <f aca="false">SUM(N202:N206)</f>
        <v>-3370.78610391934</v>
      </c>
      <c r="O207" s="156" t="n">
        <f aca="false">SUM(O202:O206)</f>
        <v>-3556.59536257929</v>
      </c>
      <c r="P207" s="156" t="n">
        <f aca="false">SUM(P202:P206)</f>
        <v>-3742.40462123924</v>
      </c>
      <c r="Q207" s="156" t="n">
        <f aca="false">SUM(Q202:Q206)</f>
        <v>-3928.21387989918</v>
      </c>
      <c r="R207" s="156" t="n">
        <f aca="false">SUM(R202:R206)</f>
        <v>-4114.02313855913</v>
      </c>
      <c r="S207" s="156" t="n">
        <f aca="false">SUM(S202:S206)</f>
        <v>-2093.65904376397</v>
      </c>
      <c r="T207" s="156" t="n">
        <f aca="false">SUM(T202:T206)</f>
        <v>-4485.64165587902</v>
      </c>
      <c r="U207" s="156" t="n">
        <f aca="false">SUM(U202:U206)</f>
        <v>-4485.64165587902</v>
      </c>
      <c r="V207" s="156" t="n">
        <f aca="false">SUM(V202:V206)</f>
        <v>-4485.64165587902</v>
      </c>
      <c r="W207" s="156" t="n">
        <f aca="false">SUM(W202:W206)</f>
        <v>-4485.64165587902</v>
      </c>
      <c r="X207" s="156" t="n">
        <f aca="false">SUM(X202:X206)</f>
        <v>-4485.64165587902</v>
      </c>
      <c r="Y207" s="156" t="n">
        <f aca="false">SUM(Y202:Y206)</f>
        <v>-4485.64165587902</v>
      </c>
      <c r="Z207" s="156" t="n">
        <f aca="false">SUM(Z202:Z206)</f>
        <v>-4485.64165587902</v>
      </c>
      <c r="AA207" s="156" t="n">
        <f aca="false">SUM(AA202:AA206)</f>
        <v>-4485.64165587902</v>
      </c>
      <c r="AB207" s="156" t="n">
        <f aca="false">SUM(AB202:AB206)</f>
        <v>-4485.64165587902</v>
      </c>
      <c r="AC207" s="156" t="n">
        <f aca="false">SUM(AC202:AC206)</f>
        <v>-4485.64165587902</v>
      </c>
      <c r="AD207" s="156" t="n">
        <f aca="false">SUM(AD202:AD206)</f>
        <v>-4485.64165587902</v>
      </c>
      <c r="AE207" s="156" t="n">
        <f aca="false">SUM(AE202:AE206)</f>
        <v>-2102.63457575009</v>
      </c>
      <c r="AF207" s="156" t="n">
        <f aca="false">SUM(AF202:AF206)</f>
        <v>-4485.64165587902</v>
      </c>
      <c r="AG207" s="156" t="n">
        <f aca="false">SUM(AG202:AG206)</f>
        <v>-4485.64165587902</v>
      </c>
      <c r="AH207" s="156" t="n">
        <f aca="false">SUM(AH202:AH206)</f>
        <v>-4485.64165587902</v>
      </c>
      <c r="AI207" s="156" t="n">
        <f aca="false">SUM(AI202:AI206)</f>
        <v>-4485.64165587902</v>
      </c>
      <c r="AJ207" s="156" t="n">
        <f aca="false">SUM(AJ202:AJ206)</f>
        <v>-4485.64165587902</v>
      </c>
      <c r="AK207" s="156" t="n">
        <f aca="false">SUM(AK202:AK206)</f>
        <v>-4485.64165587902</v>
      </c>
      <c r="AL207" s="156" t="n">
        <f aca="false">SUM(AL202:AL206)</f>
        <v>-4485.64165587902</v>
      </c>
      <c r="AM207" s="156" t="n">
        <f aca="false">SUM(AM202:AM206)</f>
        <v>-4485.64165587902</v>
      </c>
      <c r="AN207" s="156" t="n">
        <f aca="false">SUM(AN202:AN206)</f>
        <v>-4485.64165587902</v>
      </c>
      <c r="AO207" s="156" t="n">
        <f aca="false">SUM(AO202:AO206)</f>
        <v>-4485.64165587902</v>
      </c>
      <c r="AP207" s="156" t="n">
        <f aca="false">SUM(AP202:AP206)</f>
        <v>-4485.64165587902</v>
      </c>
      <c r="AQ207" s="156" t="n">
        <f aca="false">SUM(AQ202:AQ206)</f>
        <v>-2102.63457575009</v>
      </c>
      <c r="AR207" s="156" t="n">
        <f aca="false">SUM(AR202:AR206)</f>
        <v>-4485.64165587902</v>
      </c>
      <c r="AS207" s="156" t="n">
        <f aca="false">SUM(AS202:AS206)</f>
        <v>-4485.64165587902</v>
      </c>
      <c r="AT207" s="156" t="n">
        <f aca="false">SUM(AT202:AT206)</f>
        <v>-4485.64165587902</v>
      </c>
      <c r="AU207" s="156" t="n">
        <f aca="false">SUM(AU202:AU206)</f>
        <v>-4485.64165587902</v>
      </c>
      <c r="AV207" s="156" t="n">
        <f aca="false">SUM(AV202:AV206)</f>
        <v>-4485.64165587902</v>
      </c>
      <c r="AW207" s="156" t="n">
        <f aca="false">SUM(AW202:AW206)</f>
        <v>-4485.64165587902</v>
      </c>
      <c r="AX207" s="156" t="n">
        <f aca="false">SUM(AX202:AX206)</f>
        <v>-4485.64165587902</v>
      </c>
      <c r="AY207" s="156" t="n">
        <f aca="false">SUM(AY202:AY206)</f>
        <v>-4485.64165587902</v>
      </c>
      <c r="AZ207" s="156" t="n">
        <f aca="false">SUM(AZ202:AZ206)</f>
        <v>-4485.64165587902</v>
      </c>
      <c r="BA207" s="156" t="n">
        <f aca="false">SUM(BA202:BA206)</f>
        <v>-4485.64165587902</v>
      </c>
      <c r="BB207" s="156" t="n">
        <f aca="false">SUM(BB202:BB206)</f>
        <v>-4485.64165587902</v>
      </c>
      <c r="BC207" s="156" t="n">
        <f aca="false">SUM(BC202:BC206)</f>
        <v>-2102.63457575009</v>
      </c>
      <c r="BD207" s="156" t="n">
        <f aca="false">SUM(BD202:BD206)</f>
        <v>-4485.64165587902</v>
      </c>
      <c r="BE207" s="156" t="n">
        <f aca="false">SUM(BE202:BE206)</f>
        <v>-4485.64165587902</v>
      </c>
      <c r="BF207" s="156" t="n">
        <f aca="false">SUM(BF202:BF206)</f>
        <v>-4485.64165587902</v>
      </c>
      <c r="BG207" s="156" t="n">
        <f aca="false">SUM(BG202:BG206)</f>
        <v>-4485.64165587902</v>
      </c>
      <c r="BH207" s="156" t="n">
        <f aca="false">SUM(BH202:BH206)</f>
        <v>-4485.64165587902</v>
      </c>
      <c r="BI207" s="156" t="n">
        <f aca="false">SUM(BI202:BI206)</f>
        <v>-4485.64165587902</v>
      </c>
      <c r="BJ207" s="156" t="n">
        <f aca="false">SUM(BJ202:BJ206)</f>
        <v>-4485.64165587902</v>
      </c>
      <c r="BK207" s="156" t="n">
        <f aca="false">SUM(BK202:BK206)</f>
        <v>-4485.64165587902</v>
      </c>
      <c r="BL207" s="156" t="n">
        <f aca="false">SUM(BL202:BL206)</f>
        <v>-4485.64165587902</v>
      </c>
      <c r="BM207" s="156" t="n">
        <f aca="false">SUM(BM202:BM206)</f>
        <v>-4485.64165587902</v>
      </c>
      <c r="BN207" s="156" t="n">
        <f aca="false">SUM(BN202:BN206)</f>
        <v>-4485.64165587902</v>
      </c>
      <c r="BO207" s="156" t="n">
        <f aca="false">SUM(BO202:BO206)</f>
        <v>-2102.63457575009</v>
      </c>
      <c r="BP207" s="156" t="n">
        <f aca="false">SUM(BP202:BP206)</f>
        <v>-4485.64165587902</v>
      </c>
      <c r="BQ207" s="156" t="n">
        <f aca="false">SUM(BQ202:BQ206)</f>
        <v>-4485.64165587902</v>
      </c>
      <c r="BR207" s="156" t="n">
        <f aca="false">SUM(BR202:BR206)</f>
        <v>-4485.64165587902</v>
      </c>
      <c r="BS207" s="156" t="n">
        <f aca="false">SUM(BS202:BS206)</f>
        <v>-4485.64165587902</v>
      </c>
      <c r="BT207" s="156" t="n">
        <f aca="false">SUM(BT202:BT206)</f>
        <v>-4485.64165587902</v>
      </c>
      <c r="BU207" s="156" t="n">
        <f aca="false">SUM(BU202:BU206)</f>
        <v>-4485.64165587902</v>
      </c>
      <c r="BV207" s="156" t="n">
        <f aca="false">SUM(BV202:BV206)</f>
        <v>-4485.64165587902</v>
      </c>
      <c r="BW207" s="156" t="n">
        <f aca="false">SUM(BW202:BW206)</f>
        <v>-4485.64165587902</v>
      </c>
      <c r="BX207" s="156" t="n">
        <f aca="false">SUM(BX202:BX206)</f>
        <v>-4485.64165587902</v>
      </c>
      <c r="BY207" s="156" t="n">
        <f aca="false">SUM(BY202:BY206)</f>
        <v>-4485.64165587902</v>
      </c>
      <c r="BZ207" s="156" t="n">
        <f aca="false">SUM(BZ202:BZ206)</f>
        <v>-4485.64165587902</v>
      </c>
      <c r="CA207" s="156" t="n">
        <f aca="false">SUM(CA202:CA206)</f>
        <v>-2102.63457575009</v>
      </c>
      <c r="CB207" s="156" t="n">
        <f aca="false">SUM(CB202:CB206)</f>
        <v>-4485.64165587902</v>
      </c>
      <c r="CC207" s="156" t="n">
        <f aca="false">SUM(CC202:CC206)</f>
        <v>-4485.64165587902</v>
      </c>
      <c r="CD207" s="156" t="n">
        <f aca="false">SUM(CD202:CD206)</f>
        <v>-4485.64165587902</v>
      </c>
      <c r="CE207" s="156" t="n">
        <f aca="false">SUM(CE202:CE206)</f>
        <v>-4485.64165587902</v>
      </c>
      <c r="CF207" s="156" t="n">
        <f aca="false">SUM(CF202:CF206)</f>
        <v>-4485.64165587902</v>
      </c>
      <c r="CG207" s="156" t="n">
        <f aca="false">SUM(CG202:CG206)</f>
        <v>-4485.64165587902</v>
      </c>
      <c r="CH207" s="156" t="n">
        <f aca="false">SUM(CH202:CH206)</f>
        <v>-4485.64165587902</v>
      </c>
    </row>
    <row r="208" customFormat="false" ht="15" hidden="false" customHeight="false" outlineLevel="0" collapsed="false">
      <c r="A208" s="1" t="s">
        <v>869</v>
      </c>
      <c r="C208" s="29" t="n">
        <f aca="false">IFERROR(-C207/C188,0)</f>
        <v>31.7674699759156</v>
      </c>
      <c r="D208" s="29" t="n">
        <f aca="false">IFERROR(-D207/D188,0)</f>
        <v>16.3587349879578</v>
      </c>
      <c r="E208" s="29" t="n">
        <f aca="false">IFERROR(-E207/E188,0)</f>
        <v>11.2224899919719</v>
      </c>
      <c r="F208" s="29" t="n">
        <f aca="false">IFERROR(-F207/F188,0)</f>
        <v>8.6543674939789</v>
      </c>
      <c r="G208" s="29" t="n">
        <f aca="false">IFERROR(-G207/G188,0)</f>
        <v>42.0399599678875</v>
      </c>
      <c r="H208" s="29" t="n">
        <f aca="false">IFERROR(-H207/H188,0)</f>
        <v>6.08624499598593</v>
      </c>
      <c r="I208" s="29" t="n">
        <f aca="false">IFERROR(-I207/I188,0)</f>
        <v>5.53803899553214</v>
      </c>
      <c r="J208" s="29" t="n">
        <f aca="false">IFERROR(-J207/J188,0)</f>
        <v>5.21453412109063</v>
      </c>
      <c r="K208" s="29" t="n">
        <f aca="false">IFERROR(-K207/K188,0)</f>
        <v>4.96291921874722</v>
      </c>
      <c r="L208" s="29" t="n">
        <f aca="false">IFERROR(-L207/L188,0)</f>
        <v>4.7616272968725</v>
      </c>
      <c r="M208" s="29" t="n">
        <f aca="false">IFERROR(-M207/M188,0)</f>
        <v>4.59693390624773</v>
      </c>
      <c r="N208" s="29" t="n">
        <f aca="false">IFERROR(-N207/N188,0)</f>
        <v>4.45968941406042</v>
      </c>
      <c r="O208" s="29" t="n">
        <f aca="false">IFERROR(-O207/O188,0)</f>
        <v>4.34355945913269</v>
      </c>
      <c r="P208" s="29" t="n">
        <f aca="false">IFERROR(-P207/P188,0)</f>
        <v>4.24401949776607</v>
      </c>
      <c r="Q208" s="29" t="n">
        <f aca="false">IFERROR(-Q207/Q188,0)</f>
        <v>4.15775153124833</v>
      </c>
      <c r="R208" s="29" t="n">
        <f aca="false">IFERROR(-R207/R188,0)</f>
        <v>4.08226706054531</v>
      </c>
      <c r="S208" s="29" t="n">
        <f aca="false">IFERROR(-S207/S188,0)</f>
        <v>13.0352823434963</v>
      </c>
      <c r="T208" s="29" t="n">
        <f aca="false">IFERROR(-T207/T188,0)</f>
        <v>3.95645960937361</v>
      </c>
      <c r="U208" s="29" t="n">
        <f aca="false">IFERROR(-U207/U188,0)</f>
        <v>3.95645960937361</v>
      </c>
      <c r="V208" s="29" t="n">
        <f aca="false">IFERROR(-V207/V188,0)</f>
        <v>3.95645960937361</v>
      </c>
      <c r="W208" s="29" t="n">
        <f aca="false">IFERROR(-W207/W188,0)</f>
        <v>3.95645960937361</v>
      </c>
      <c r="X208" s="29" t="n">
        <f aca="false">IFERROR(-X207/X188,0)</f>
        <v>3.95645960937361</v>
      </c>
      <c r="Y208" s="29" t="n">
        <f aca="false">IFERROR(-Y207/Y188,0)</f>
        <v>3.95645960937361</v>
      </c>
      <c r="Z208" s="29" t="n">
        <f aca="false">IFERROR(-Z207/Z188,0)</f>
        <v>3.95645960937361</v>
      </c>
      <c r="AA208" s="29" t="n">
        <f aca="false">IFERROR(-AA207/AA188,0)</f>
        <v>3.95645960937361</v>
      </c>
      <c r="AB208" s="29" t="n">
        <f aca="false">IFERROR(-AB207/AB188,0)</f>
        <v>3.95645960937361</v>
      </c>
      <c r="AC208" s="29" t="n">
        <f aca="false">IFERROR(-AC207/AC188,0)</f>
        <v>3.95645960937361</v>
      </c>
      <c r="AD208" s="29" t="n">
        <f aca="false">IFERROR(-AD207/AD188,0)</f>
        <v>3.95645960937361</v>
      </c>
      <c r="AE208" s="29" t="n">
        <f aca="false">IFERROR(-AE207/AE188,0)</f>
        <v>12.3638777688576</v>
      </c>
      <c r="AF208" s="29" t="n">
        <f aca="false">IFERROR(-AF207/AF188,0)</f>
        <v>3.95645960937361</v>
      </c>
      <c r="AG208" s="29" t="n">
        <f aca="false">IFERROR(-AG207/AG188,0)</f>
        <v>3.95645960937361</v>
      </c>
      <c r="AH208" s="29" t="n">
        <f aca="false">IFERROR(-AH207/AH188,0)</f>
        <v>3.95645960937361</v>
      </c>
      <c r="AI208" s="29" t="n">
        <f aca="false">IFERROR(-AI207/AI188,0)</f>
        <v>3.95645960937361</v>
      </c>
      <c r="AJ208" s="29" t="n">
        <f aca="false">IFERROR(-AJ207/AJ188,0)</f>
        <v>3.95645960937361</v>
      </c>
      <c r="AK208" s="29" t="n">
        <f aca="false">IFERROR(-AK207/AK188,0)</f>
        <v>3.95645960937361</v>
      </c>
      <c r="AL208" s="29" t="n">
        <f aca="false">IFERROR(-AL207/AL188,0)</f>
        <v>3.95645960937361</v>
      </c>
      <c r="AM208" s="29" t="n">
        <f aca="false">IFERROR(-AM207/AM188,0)</f>
        <v>3.95645960937361</v>
      </c>
      <c r="AN208" s="29" t="n">
        <f aca="false">IFERROR(-AN207/AN188,0)</f>
        <v>3.95645960937361</v>
      </c>
      <c r="AO208" s="29" t="n">
        <f aca="false">IFERROR(-AO207/AO188,0)</f>
        <v>3.95645960937361</v>
      </c>
      <c r="AP208" s="29" t="n">
        <f aca="false">IFERROR(-AP207/AP188,0)</f>
        <v>3.95645960937361</v>
      </c>
      <c r="AQ208" s="29" t="n">
        <f aca="false">IFERROR(-AQ207/AQ188,0)</f>
        <v>12.3638777688576</v>
      </c>
      <c r="AR208" s="29" t="n">
        <f aca="false">IFERROR(-AR207/AR188,0)</f>
        <v>3.95645960937361</v>
      </c>
      <c r="AS208" s="29" t="n">
        <f aca="false">IFERROR(-AS207/AS188,0)</f>
        <v>3.95645960937361</v>
      </c>
      <c r="AT208" s="29" t="n">
        <f aca="false">IFERROR(-AT207/AT188,0)</f>
        <v>3.95645960937361</v>
      </c>
      <c r="AU208" s="29" t="n">
        <f aca="false">IFERROR(-AU207/AU188,0)</f>
        <v>3.95645960937361</v>
      </c>
      <c r="AV208" s="29" t="n">
        <f aca="false">IFERROR(-AV207/AV188,0)</f>
        <v>3.95645960937361</v>
      </c>
      <c r="AW208" s="29" t="n">
        <f aca="false">IFERROR(-AW207/AW188,0)</f>
        <v>3.95645960937361</v>
      </c>
      <c r="AX208" s="29" t="n">
        <f aca="false">IFERROR(-AX207/AX188,0)</f>
        <v>3.95645960937361</v>
      </c>
      <c r="AY208" s="29" t="n">
        <f aca="false">IFERROR(-AY207/AY188,0)</f>
        <v>3.95645960937361</v>
      </c>
      <c r="AZ208" s="29" t="n">
        <f aca="false">IFERROR(-AZ207/AZ188,0)</f>
        <v>3.95645960937361</v>
      </c>
      <c r="BA208" s="29" t="n">
        <f aca="false">IFERROR(-BA207/BA188,0)</f>
        <v>3.95645960937361</v>
      </c>
      <c r="BB208" s="29" t="n">
        <f aca="false">IFERROR(-BB207/BB188,0)</f>
        <v>3.95645960937361</v>
      </c>
      <c r="BC208" s="29" t="n">
        <f aca="false">IFERROR(-BC207/BC188,0)</f>
        <v>12.3638777688576</v>
      </c>
      <c r="BD208" s="29" t="n">
        <f aca="false">IFERROR(-BD207/BD188,0)</f>
        <v>3.95645960937361</v>
      </c>
      <c r="BE208" s="29" t="n">
        <f aca="false">IFERROR(-BE207/BE188,0)</f>
        <v>3.95645960937361</v>
      </c>
      <c r="BF208" s="29" t="n">
        <f aca="false">IFERROR(-BF207/BF188,0)</f>
        <v>3.95645960937361</v>
      </c>
      <c r="BG208" s="29" t="n">
        <f aca="false">IFERROR(-BG207/BG188,0)</f>
        <v>3.95645960937361</v>
      </c>
      <c r="BH208" s="29" t="n">
        <f aca="false">IFERROR(-BH207/BH188,0)</f>
        <v>3.95645960937361</v>
      </c>
      <c r="BI208" s="29" t="n">
        <f aca="false">IFERROR(-BI207/BI188,0)</f>
        <v>3.95645960937361</v>
      </c>
      <c r="BJ208" s="29" t="n">
        <f aca="false">IFERROR(-BJ207/BJ188,0)</f>
        <v>3.95645960937361</v>
      </c>
      <c r="BK208" s="29" t="n">
        <f aca="false">IFERROR(-BK207/BK188,0)</f>
        <v>3.95645960937361</v>
      </c>
      <c r="BL208" s="29" t="n">
        <f aca="false">IFERROR(-BL207/BL188,0)</f>
        <v>3.95645960937361</v>
      </c>
      <c r="BM208" s="29" t="n">
        <f aca="false">IFERROR(-BM207/BM188,0)</f>
        <v>3.95645960937361</v>
      </c>
      <c r="BN208" s="29" t="n">
        <f aca="false">IFERROR(-BN207/BN188,0)</f>
        <v>3.95645960937361</v>
      </c>
      <c r="BO208" s="29" t="n">
        <f aca="false">IFERROR(-BO207/BO188,0)</f>
        <v>12.3638777688576</v>
      </c>
      <c r="BP208" s="29" t="n">
        <f aca="false">IFERROR(-BP207/BP188,0)</f>
        <v>3.95645960937361</v>
      </c>
      <c r="BQ208" s="29" t="n">
        <f aca="false">IFERROR(-BQ207/BQ188,0)</f>
        <v>3.95645960937361</v>
      </c>
      <c r="BR208" s="29" t="n">
        <f aca="false">IFERROR(-BR207/BR188,0)</f>
        <v>3.95645960937361</v>
      </c>
      <c r="BS208" s="29" t="n">
        <f aca="false">IFERROR(-BS207/BS188,0)</f>
        <v>3.95645960937361</v>
      </c>
      <c r="BT208" s="29" t="n">
        <f aca="false">IFERROR(-BT207/BT188,0)</f>
        <v>3.95645960937361</v>
      </c>
      <c r="BU208" s="29" t="n">
        <f aca="false">IFERROR(-BU207/BU188,0)</f>
        <v>3.95645960937361</v>
      </c>
      <c r="BV208" s="29" t="n">
        <f aca="false">IFERROR(-BV207/BV188,0)</f>
        <v>3.95645960937361</v>
      </c>
      <c r="BW208" s="29" t="n">
        <f aca="false">IFERROR(-BW207/BW188,0)</f>
        <v>3.95645960937361</v>
      </c>
      <c r="BX208" s="29" t="n">
        <f aca="false">IFERROR(-BX207/BX188,0)</f>
        <v>3.95645960937361</v>
      </c>
      <c r="BY208" s="29" t="n">
        <f aca="false">IFERROR(-BY207/BY188,0)</f>
        <v>3.95645960937361</v>
      </c>
      <c r="BZ208" s="29" t="n">
        <f aca="false">IFERROR(-BZ207/BZ188,0)</f>
        <v>3.95645960937361</v>
      </c>
      <c r="CA208" s="29" t="n">
        <f aca="false">IFERROR(-CA207/CA188,0)</f>
        <v>12.3638777688576</v>
      </c>
      <c r="CB208" s="29" t="n">
        <f aca="false">IFERROR(-CB207/CB188,0)</f>
        <v>3.95645960937361</v>
      </c>
      <c r="CC208" s="29" t="n">
        <f aca="false">IFERROR(-CC207/CC188,0)</f>
        <v>3.95645960937361</v>
      </c>
      <c r="CD208" s="29" t="n">
        <f aca="false">IFERROR(-CD207/CD188,0)</f>
        <v>3.95645960937361</v>
      </c>
      <c r="CE208" s="29" t="n">
        <f aca="false">IFERROR(-CE207/CE188,0)</f>
        <v>3.95645960937361</v>
      </c>
      <c r="CF208" s="29" t="n">
        <f aca="false">IFERROR(-CF207/CF188,0)</f>
        <v>3.95645960937361</v>
      </c>
      <c r="CG208" s="29" t="n">
        <f aca="false">IFERROR(-CG207/CG188,0)</f>
        <v>3.95645960937361</v>
      </c>
      <c r="CH208" s="29" t="n">
        <f aca="false">IFERROR(-CH207/CH188,0)</f>
        <v>3.95645960937361</v>
      </c>
    </row>
    <row r="209" customFormat="false" ht="15" hidden="false" customHeight="false" outlineLevel="0" collapsed="false">
      <c r="A209" s="1" t="s">
        <v>870</v>
      </c>
      <c r="C209" s="28" t="n">
        <f aca="false">-C197*Restaurantes!$D$61</f>
        <v>-289.877268661255</v>
      </c>
      <c r="D209" s="28" t="n">
        <f aca="false">-D197*Restaurantes!$D$61</f>
        <v>-294.225427691174</v>
      </c>
      <c r="E209" s="28" t="n">
        <f aca="false">-E197*Restaurantes!$D$61</f>
        <v>-298.573586721093</v>
      </c>
      <c r="F209" s="28" t="n">
        <f aca="false">-F197*Restaurantes!$D$61</f>
        <v>-302.921745751011</v>
      </c>
      <c r="G209" s="28" t="n">
        <f aca="false">-G197*Restaurantes!$D$61</f>
        <v>-307.26990478093</v>
      </c>
      <c r="H209" s="28" t="n">
        <f aca="false">-H197*Restaurantes!$D$61</f>
        <v>-311.618063810849</v>
      </c>
      <c r="I209" s="28" t="n">
        <f aca="false">-I197*Restaurantes!$D$61</f>
        <v>-315.966222840768</v>
      </c>
      <c r="J209" s="28" t="n">
        <f aca="false">-J197*Restaurantes!$D$61</f>
        <v>-320.314381870687</v>
      </c>
      <c r="K209" s="28" t="n">
        <f aca="false">-K197*Restaurantes!$D$61</f>
        <v>-324.662540900606</v>
      </c>
      <c r="L209" s="28" t="n">
        <f aca="false">-L197*Restaurantes!$D$61</f>
        <v>-329.010699930524</v>
      </c>
      <c r="M209" s="28" t="n">
        <f aca="false">-M197*Restaurantes!$D$61</f>
        <v>-333.358858960443</v>
      </c>
      <c r="N209" s="28" t="n">
        <f aca="false">-N197*Restaurantes!$D$61</f>
        <v>-337.707017990362</v>
      </c>
      <c r="O209" s="28" t="n">
        <f aca="false">-O197*Restaurantes!$D$61</f>
        <v>-342.05517702028</v>
      </c>
      <c r="P209" s="28" t="n">
        <f aca="false">-P197*Restaurantes!$D$61</f>
        <v>-346.4033360502</v>
      </c>
      <c r="Q209" s="28" t="n">
        <f aca="false">-Q197*Restaurantes!$D$61</f>
        <v>-350.751495080119</v>
      </c>
      <c r="R209" s="28" t="n">
        <f aca="false">-R197*Restaurantes!$D$61</f>
        <v>-355.099654110037</v>
      </c>
      <c r="S209" s="28" t="n">
        <f aca="false">-S197*Restaurantes!$D$61</f>
        <v>-359.447813139956</v>
      </c>
      <c r="T209" s="28" t="n">
        <f aca="false">-T197*Restaurantes!$D$61</f>
        <v>-363.795972169875</v>
      </c>
      <c r="U209" s="28" t="n">
        <f aca="false">-U197*Restaurantes!$D$61</f>
        <v>-78.2668625385388</v>
      </c>
      <c r="V209" s="28" t="n">
        <f aca="false">-V197*Restaurantes!$D$61</f>
        <v>-78.2668625385388</v>
      </c>
      <c r="W209" s="28" t="n">
        <f aca="false">-W197*Restaurantes!$D$61</f>
        <v>-78.2668625385388</v>
      </c>
      <c r="X209" s="28" t="n">
        <f aca="false">-X197*Restaurantes!$D$61</f>
        <v>-78.2668625385388</v>
      </c>
      <c r="Y209" s="28" t="n">
        <f aca="false">-Y197*Restaurantes!$D$61</f>
        <v>-78.2668625385388</v>
      </c>
      <c r="Z209" s="28" t="n">
        <f aca="false">-Z197*Restaurantes!$D$61</f>
        <v>-78.2668625385388</v>
      </c>
      <c r="AA209" s="28" t="n">
        <f aca="false">-AA197*Restaurantes!$D$61</f>
        <v>-78.2668625385388</v>
      </c>
      <c r="AB209" s="28" t="n">
        <f aca="false">-AB197*Restaurantes!$D$61</f>
        <v>-78.2668625385388</v>
      </c>
      <c r="AC209" s="28" t="n">
        <f aca="false">-AC197*Restaurantes!$D$61</f>
        <v>-78.2668625385388</v>
      </c>
      <c r="AD209" s="28" t="n">
        <f aca="false">-AD197*Restaurantes!$D$61</f>
        <v>-78.2668625385388</v>
      </c>
      <c r="AE209" s="28" t="n">
        <f aca="false">-AE197*Restaurantes!$D$61</f>
        <v>-78.2668625385388</v>
      </c>
      <c r="AF209" s="28" t="n">
        <f aca="false">-AF197*Restaurantes!$D$61</f>
        <v>-78.2668625385388</v>
      </c>
      <c r="AG209" s="28" t="n">
        <f aca="false">-AG197*Restaurantes!$D$61</f>
        <v>-78.2668625385388</v>
      </c>
      <c r="AH209" s="28" t="n">
        <f aca="false">-AH197*Restaurantes!$D$61</f>
        <v>-78.2668625385388</v>
      </c>
      <c r="AI209" s="28" t="n">
        <f aca="false">-AI197*Restaurantes!$D$61</f>
        <v>-78.2668625385388</v>
      </c>
      <c r="AJ209" s="28" t="n">
        <f aca="false">-AJ197*Restaurantes!$D$61</f>
        <v>-78.2668625385388</v>
      </c>
      <c r="AK209" s="28" t="n">
        <f aca="false">-AK197*Restaurantes!$D$61</f>
        <v>-78.2668625385388</v>
      </c>
      <c r="AL209" s="28" t="n">
        <f aca="false">-AL197*Restaurantes!$D$61</f>
        <v>-78.2668625385388</v>
      </c>
      <c r="AM209" s="28" t="n">
        <f aca="false">-AM197*Restaurantes!$D$61</f>
        <v>-78.2668625385388</v>
      </c>
      <c r="AN209" s="28" t="n">
        <f aca="false">-AN197*Restaurantes!$D$61</f>
        <v>-78.2668625385388</v>
      </c>
      <c r="AO209" s="28" t="n">
        <f aca="false">-AO197*Restaurantes!$D$61</f>
        <v>-78.2668625385388</v>
      </c>
      <c r="AP209" s="28" t="n">
        <f aca="false">-AP197*Restaurantes!$D$61</f>
        <v>-78.2668625385388</v>
      </c>
      <c r="AQ209" s="28" t="n">
        <f aca="false">-AQ197*Restaurantes!$D$61</f>
        <v>-78.2668625385388</v>
      </c>
      <c r="AR209" s="28" t="n">
        <f aca="false">-AR197*Restaurantes!$D$61</f>
        <v>-78.2668625385388</v>
      </c>
      <c r="AS209" s="28" t="n">
        <f aca="false">-AS197*Restaurantes!$D$61</f>
        <v>-78.2668625385388</v>
      </c>
      <c r="AT209" s="28" t="n">
        <f aca="false">-AT197*Restaurantes!$D$61</f>
        <v>-78.2668625385388</v>
      </c>
      <c r="AU209" s="28" t="n">
        <f aca="false">-AU197*Restaurantes!$D$61</f>
        <v>-78.2668625385388</v>
      </c>
      <c r="AV209" s="28" t="n">
        <f aca="false">-AV197*Restaurantes!$D$61</f>
        <v>-78.2668625385388</v>
      </c>
      <c r="AW209" s="28" t="n">
        <f aca="false">-AW197*Restaurantes!$D$61</f>
        <v>-78.2668625385388</v>
      </c>
      <c r="AX209" s="28" t="n">
        <f aca="false">-AX197*Restaurantes!$D$61</f>
        <v>-78.2668625385388</v>
      </c>
      <c r="AY209" s="28" t="n">
        <f aca="false">-AY197*Restaurantes!$D$61</f>
        <v>-78.2668625385388</v>
      </c>
      <c r="AZ209" s="28" t="n">
        <f aca="false">-AZ197*Restaurantes!$D$61</f>
        <v>-78.2668625385388</v>
      </c>
      <c r="BA209" s="28" t="n">
        <f aca="false">-BA197*Restaurantes!$D$61</f>
        <v>-78.2668625385388</v>
      </c>
      <c r="BB209" s="28" t="n">
        <f aca="false">-BB197*Restaurantes!$D$61</f>
        <v>-78.2668625385388</v>
      </c>
      <c r="BC209" s="28" t="n">
        <f aca="false">-BC197*Restaurantes!$D$61</f>
        <v>-78.2668625385388</v>
      </c>
      <c r="BD209" s="28" t="n">
        <f aca="false">-BD197*Restaurantes!$D$61</f>
        <v>-78.2668625385388</v>
      </c>
      <c r="BE209" s="28" t="n">
        <f aca="false">-BE197*Restaurantes!$D$61</f>
        <v>-78.2668625385388</v>
      </c>
      <c r="BF209" s="28" t="n">
        <f aca="false">-BF197*Restaurantes!$D$61</f>
        <v>-78.2668625385388</v>
      </c>
      <c r="BG209" s="28" t="n">
        <f aca="false">-BG197*Restaurantes!$D$61</f>
        <v>-78.2668625385388</v>
      </c>
      <c r="BH209" s="28" t="n">
        <f aca="false">-BH197*Restaurantes!$D$61</f>
        <v>-78.2668625385388</v>
      </c>
      <c r="BI209" s="28" t="n">
        <f aca="false">-BI197*Restaurantes!$D$61</f>
        <v>-78.2668625385388</v>
      </c>
      <c r="BJ209" s="28" t="n">
        <f aca="false">-BJ197*Restaurantes!$D$61</f>
        <v>-78.2668625385388</v>
      </c>
      <c r="BK209" s="28" t="n">
        <f aca="false">-BK197*Restaurantes!$D$61</f>
        <v>-78.2668625385388</v>
      </c>
      <c r="BL209" s="28" t="n">
        <f aca="false">-BL197*Restaurantes!$D$61</f>
        <v>-78.2668625385388</v>
      </c>
      <c r="BM209" s="28" t="n">
        <f aca="false">-BM197*Restaurantes!$D$61</f>
        <v>-78.2668625385388</v>
      </c>
      <c r="BN209" s="28" t="n">
        <f aca="false">-BN197*Restaurantes!$D$61</f>
        <v>-78.2668625385388</v>
      </c>
      <c r="BO209" s="28" t="n">
        <f aca="false">-BO197*Restaurantes!$D$61</f>
        <v>-78.2668625385388</v>
      </c>
      <c r="BP209" s="28" t="n">
        <f aca="false">-BP197*Restaurantes!$D$61</f>
        <v>-78.2668625385388</v>
      </c>
      <c r="BQ209" s="28" t="n">
        <f aca="false">-BQ197*Restaurantes!$D$61</f>
        <v>-78.2668625385388</v>
      </c>
      <c r="BR209" s="28" t="n">
        <f aca="false">-BR197*Restaurantes!$D$61</f>
        <v>-78.2668625385388</v>
      </c>
      <c r="BS209" s="28" t="n">
        <f aca="false">-BS197*Restaurantes!$D$61</f>
        <v>-78.2668625385388</v>
      </c>
      <c r="BT209" s="28" t="n">
        <f aca="false">-BT197*Restaurantes!$D$61</f>
        <v>-78.2668625385388</v>
      </c>
      <c r="BU209" s="28" t="n">
        <f aca="false">-BU197*Restaurantes!$D$61</f>
        <v>-78.2668625385388</v>
      </c>
      <c r="BV209" s="28" t="n">
        <f aca="false">-BV197*Restaurantes!$D$61</f>
        <v>-78.2668625385388</v>
      </c>
      <c r="BW209" s="28" t="n">
        <f aca="false">-BW197*Restaurantes!$D$61</f>
        <v>-78.2668625385388</v>
      </c>
      <c r="BX209" s="28" t="n">
        <f aca="false">-BX197*Restaurantes!$D$61</f>
        <v>-78.2668625385388</v>
      </c>
      <c r="BY209" s="28" t="n">
        <f aca="false">-BY197*Restaurantes!$D$61</f>
        <v>-78.2668625385388</v>
      </c>
      <c r="BZ209" s="28" t="n">
        <f aca="false">-BZ197*Restaurantes!$D$61</f>
        <v>-78.2668625385388</v>
      </c>
      <c r="CA209" s="28" t="n">
        <f aca="false">-CA197*Restaurantes!$D$61</f>
        <v>-78.2668625385388</v>
      </c>
      <c r="CB209" s="28" t="n">
        <f aca="false">-CB197*Restaurantes!$D$61</f>
        <v>-78.2668625385388</v>
      </c>
      <c r="CC209" s="28" t="n">
        <f aca="false">-CC197*Restaurantes!$D$61</f>
        <v>-78.2668625385388</v>
      </c>
      <c r="CD209" s="28" t="n">
        <f aca="false">-CD197*Restaurantes!$D$61</f>
        <v>-78.2668625385388</v>
      </c>
      <c r="CE209" s="28" t="n">
        <f aca="false">-CE197*Restaurantes!$D$61</f>
        <v>-78.2668625385388</v>
      </c>
      <c r="CF209" s="28" t="n">
        <f aca="false">-CF197*Restaurantes!$D$61</f>
        <v>-78.2668625385388</v>
      </c>
      <c r="CG209" s="28" t="n">
        <f aca="false">-CG197*Restaurantes!$D$61</f>
        <v>-78.2668625385388</v>
      </c>
      <c r="CH209" s="28" t="n">
        <f aca="false">-CH197*Restaurantes!$D$61</f>
        <v>-78.2668625385388</v>
      </c>
    </row>
    <row r="210" customFormat="false" ht="15" hidden="false" customHeight="false" outlineLevel="0" collapsed="false">
      <c r="A210" s="1" t="s">
        <v>871</v>
      </c>
      <c r="C210" s="27" t="n">
        <f aca="false">IFERROR(C196/(Hipótesis!$B$49*(C$3&gt;=Hipótesis!$D$49)+Hipótesis!$B$52*(C$3&gt;=Hipótesis!$D$52)),0)</f>
        <v>7.24693171653137</v>
      </c>
      <c r="D210" s="27" t="n">
        <f aca="false">IFERROR(D196/(Hipótesis!$B$49*(D$3&gt;=Hipótesis!$D$49)+Hipótesis!$B$52*(D$3&gt;=Hipótesis!$D$52)),0)</f>
        <v>14.4938634330627</v>
      </c>
      <c r="E210" s="27" t="n">
        <f aca="false">IFERROR(E196/(Hipótesis!$B$49*(E$3&gt;=Hipótesis!$D$49)+Hipótesis!$B$52*(E$3&gt;=Hipótesis!$D$52)),0)</f>
        <v>21.7407951495941</v>
      </c>
      <c r="F210" s="27" t="n">
        <f aca="false">IFERROR(F196/(Hipótesis!$B$49*(F$3&gt;=Hipótesis!$D$49)+Hipótesis!$B$52*(F$3&gt;=Hipótesis!$D$52)),0)</f>
        <v>28.9877268661255</v>
      </c>
      <c r="G210" s="27" t="n">
        <f aca="false">IFERROR(G196/(Hipótesis!$B$49*(G$3&gt;=Hipótesis!$D$49)+Hipótesis!$B$52*(G$3&gt;=Hipótesis!$D$52)),0)</f>
        <v>36.2346585826569</v>
      </c>
      <c r="H210" s="27" t="n">
        <f aca="false">IFERROR(H196/(Hipótesis!$B$49*(H$3&gt;=Hipótesis!$D$49)+Hipótesis!$B$52*(H$3&gt;=Hipótesis!$D$52)),0)</f>
        <v>43.4815902991882</v>
      </c>
      <c r="I210" s="27" t="n">
        <f aca="false">IFERROR(I196/(Hipótesis!$B$49*(I$3&gt;=Hipótesis!$D$49)+Hipótesis!$B$52*(I$3&gt;=Hipótesis!$D$52)),0)</f>
        <v>50.7285220157196</v>
      </c>
      <c r="J210" s="27" t="n">
        <f aca="false">IFERROR(J196/(Hipótesis!$B$49*(J$3&gt;=Hipótesis!$D$49)+Hipótesis!$B$52*(J$3&gt;=Hipótesis!$D$52)),0)</f>
        <v>57.975453732251</v>
      </c>
      <c r="K210" s="27" t="n">
        <f aca="false">IFERROR(K196/(Hipótesis!$B$49*(K$3&gt;=Hipótesis!$D$49)+Hipótesis!$B$52*(K$3&gt;=Hipótesis!$D$52)),0)</f>
        <v>65.2223854487824</v>
      </c>
      <c r="L210" s="27" t="n">
        <f aca="false">IFERROR(L196/(Hipótesis!$B$49*(L$3&gt;=Hipótesis!$D$49)+Hipótesis!$B$52*(L$3&gt;=Hipótesis!$D$52)),0)</f>
        <v>72.4693171653137</v>
      </c>
      <c r="M210" s="27" t="n">
        <f aca="false">IFERROR(M196/(Hipótesis!$B$49*(M$3&gt;=Hipótesis!$D$49)+Hipótesis!$B$52*(M$3&gt;=Hipótesis!$D$52)),0)</f>
        <v>79.7162488818451</v>
      </c>
      <c r="N210" s="27" t="n">
        <f aca="false">IFERROR(N196/(Hipótesis!$B$49*(N$3&gt;=Hipótesis!$D$49)+Hipótesis!$B$52*(N$3&gt;=Hipótesis!$D$52)),0)</f>
        <v>86.9631805983765</v>
      </c>
      <c r="O210" s="27" t="n">
        <f aca="false">IFERROR(O196/(Hipótesis!$B$49*(O$3&gt;=Hipótesis!$D$49)+Hipótesis!$B$52*(O$3&gt;=Hipótesis!$D$52)),0)</f>
        <v>94.2101123149078</v>
      </c>
      <c r="P210" s="27" t="n">
        <f aca="false">IFERROR(P196/(Hipótesis!$B$49*(P$3&gt;=Hipótesis!$D$49)+Hipótesis!$B$52*(P$3&gt;=Hipótesis!$D$52)),0)</f>
        <v>101.457044031439</v>
      </c>
      <c r="Q210" s="27" t="n">
        <f aca="false">IFERROR(Q196/(Hipótesis!$B$49*(Q$3&gt;=Hipótesis!$D$49)+Hipótesis!$B$52*(Q$3&gt;=Hipótesis!$D$52)),0)</f>
        <v>108.703975747971</v>
      </c>
      <c r="R210" s="27" t="n">
        <f aca="false">IFERROR(R196/(Hipótesis!$B$49*(R$3&gt;=Hipótesis!$D$49)+Hipótesis!$B$52*(R$3&gt;=Hipótesis!$D$52)),0)</f>
        <v>115.950907464502</v>
      </c>
      <c r="S210" s="27" t="n">
        <f aca="false">IFERROR(S196/(Hipótesis!$B$49*(S$3&gt;=Hipótesis!$D$49)+Hipótesis!$B$52*(S$3&gt;=Hipótesis!$D$52)),0)</f>
        <v>123.197839181033</v>
      </c>
      <c r="T210" s="27" t="n">
        <f aca="false">IFERROR(T196/(Hipótesis!$B$49*(T$3&gt;=Hipótesis!$D$49)+Hipótesis!$B$52*(T$3&gt;=Hipótesis!$D$52)),0)</f>
        <v>130.444770897565</v>
      </c>
      <c r="U210" s="27" t="n">
        <f aca="false">IFERROR(U196/(Hipótesis!$B$49*(U$3&gt;=Hipótesis!$D$49)+Hipótesis!$B$52*(U$3&gt;=Hipótesis!$D$52)),0)</f>
        <v>130.444770897565</v>
      </c>
      <c r="V210" s="27" t="n">
        <f aca="false">IFERROR(V196/(Hipótesis!$B$49*(V$3&gt;=Hipótesis!$D$49)+Hipótesis!$B$52*(V$3&gt;=Hipótesis!$D$52)),0)</f>
        <v>65.2223854487824</v>
      </c>
      <c r="W210" s="27" t="n">
        <f aca="false">IFERROR(W196/(Hipótesis!$B$49*(W$3&gt;=Hipótesis!$D$49)+Hipótesis!$B$52*(W$3&gt;=Hipótesis!$D$52)),0)</f>
        <v>65.2223854487824</v>
      </c>
      <c r="X210" s="27" t="n">
        <f aca="false">IFERROR(X196/(Hipótesis!$B$49*(X$3&gt;=Hipótesis!$D$49)+Hipótesis!$B$52*(X$3&gt;=Hipótesis!$D$52)),0)</f>
        <v>65.2223854487824</v>
      </c>
      <c r="Y210" s="27" t="n">
        <f aca="false">IFERROR(Y196/(Hipótesis!$B$49*(Y$3&gt;=Hipótesis!$D$49)+Hipótesis!$B$52*(Y$3&gt;=Hipótesis!$D$52)),0)</f>
        <v>65.2223854487824</v>
      </c>
      <c r="Z210" s="27" t="n">
        <f aca="false">IFERROR(Z196/(Hipótesis!$B$49*(Z$3&gt;=Hipótesis!$D$49)+Hipótesis!$B$52*(Z$3&gt;=Hipótesis!$D$52)),0)</f>
        <v>65.2223854487824</v>
      </c>
      <c r="AA210" s="27" t="n">
        <f aca="false">IFERROR(AA196/(Hipótesis!$B$49*(AA$3&gt;=Hipótesis!$D$49)+Hipótesis!$B$52*(AA$3&gt;=Hipótesis!$D$52)),0)</f>
        <v>65.2223854487824</v>
      </c>
      <c r="AB210" s="27" t="n">
        <f aca="false">IFERROR(AB196/(Hipótesis!$B$49*(AB$3&gt;=Hipótesis!$D$49)+Hipótesis!$B$52*(AB$3&gt;=Hipótesis!$D$52)),0)</f>
        <v>65.2223854487824</v>
      </c>
      <c r="AC210" s="27" t="n">
        <f aca="false">IFERROR(AC196/(Hipótesis!$B$49*(AC$3&gt;=Hipótesis!$D$49)+Hipótesis!$B$52*(AC$3&gt;=Hipótesis!$D$52)),0)</f>
        <v>65.2223854487824</v>
      </c>
      <c r="AD210" s="27" t="n">
        <f aca="false">IFERROR(AD196/(Hipótesis!$B$49*(AD$3&gt;=Hipótesis!$D$49)+Hipótesis!$B$52*(AD$3&gt;=Hipótesis!$D$52)),0)</f>
        <v>65.2223854487824</v>
      </c>
      <c r="AE210" s="27" t="n">
        <f aca="false">IFERROR(AE196/(Hipótesis!$B$49*(AE$3&gt;=Hipótesis!$D$49)+Hipótesis!$B$52*(AE$3&gt;=Hipótesis!$D$52)),0)</f>
        <v>65.2223854487824</v>
      </c>
      <c r="AF210" s="27" t="n">
        <f aca="false">IFERROR(AF196/(Hipótesis!$B$49*(AF$3&gt;=Hipótesis!$D$49)+Hipótesis!$B$52*(AF$3&gt;=Hipótesis!$D$52)),0)</f>
        <v>65.2223854487824</v>
      </c>
      <c r="AG210" s="27" t="n">
        <f aca="false">IFERROR(AG196/(Hipótesis!$B$49*(AG$3&gt;=Hipótesis!$D$49)+Hipótesis!$B$52*(AG$3&gt;=Hipótesis!$D$52)),0)</f>
        <v>65.2223854487824</v>
      </c>
      <c r="AH210" s="27" t="n">
        <f aca="false">IFERROR(AH196/(Hipótesis!$B$49*(AH$3&gt;=Hipótesis!$D$49)+Hipótesis!$B$52*(AH$3&gt;=Hipótesis!$D$52)),0)</f>
        <v>65.2223854487824</v>
      </c>
      <c r="AI210" s="27" t="n">
        <f aca="false">IFERROR(AI196/(Hipótesis!$B$49*(AI$3&gt;=Hipótesis!$D$49)+Hipótesis!$B$52*(AI$3&gt;=Hipótesis!$D$52)),0)</f>
        <v>65.2223854487824</v>
      </c>
      <c r="AJ210" s="27" t="n">
        <f aca="false">IFERROR(AJ196/(Hipótesis!$B$49*(AJ$3&gt;=Hipótesis!$D$49)+Hipótesis!$B$52*(AJ$3&gt;=Hipótesis!$D$52)),0)</f>
        <v>65.2223854487824</v>
      </c>
      <c r="AK210" s="27" t="n">
        <f aca="false">IFERROR(AK196/(Hipótesis!$B$49*(AK$3&gt;=Hipótesis!$D$49)+Hipótesis!$B$52*(AK$3&gt;=Hipótesis!$D$52)),0)</f>
        <v>65.2223854487824</v>
      </c>
      <c r="AL210" s="27" t="n">
        <f aca="false">IFERROR(AL196/(Hipótesis!$B$49*(AL$3&gt;=Hipótesis!$D$49)+Hipótesis!$B$52*(AL$3&gt;=Hipótesis!$D$52)),0)</f>
        <v>65.2223854487824</v>
      </c>
      <c r="AM210" s="27" t="n">
        <f aca="false">IFERROR(AM196/(Hipótesis!$B$49*(AM$3&gt;=Hipótesis!$D$49)+Hipótesis!$B$52*(AM$3&gt;=Hipótesis!$D$52)),0)</f>
        <v>65.2223854487824</v>
      </c>
      <c r="AN210" s="27" t="n">
        <f aca="false">IFERROR(AN196/(Hipótesis!$B$49*(AN$3&gt;=Hipótesis!$D$49)+Hipótesis!$B$52*(AN$3&gt;=Hipótesis!$D$52)),0)</f>
        <v>65.2223854487824</v>
      </c>
      <c r="AO210" s="27" t="n">
        <f aca="false">IFERROR(AO196/(Hipótesis!$B$49*(AO$3&gt;=Hipótesis!$D$49)+Hipótesis!$B$52*(AO$3&gt;=Hipótesis!$D$52)),0)</f>
        <v>65.2223854487824</v>
      </c>
      <c r="AP210" s="27" t="n">
        <f aca="false">IFERROR(AP196/(Hipótesis!$B$49*(AP$3&gt;=Hipótesis!$D$49)+Hipótesis!$B$52*(AP$3&gt;=Hipótesis!$D$52)),0)</f>
        <v>65.2223854487824</v>
      </c>
      <c r="AQ210" s="27" t="n">
        <f aca="false">IFERROR(AQ196/(Hipótesis!$B$49*(AQ$3&gt;=Hipótesis!$D$49)+Hipótesis!$B$52*(AQ$3&gt;=Hipótesis!$D$52)),0)</f>
        <v>65.2223854487824</v>
      </c>
      <c r="AR210" s="27" t="n">
        <f aca="false">IFERROR(AR196/(Hipótesis!$B$49*(AR$3&gt;=Hipótesis!$D$49)+Hipótesis!$B$52*(AR$3&gt;=Hipótesis!$D$52)),0)</f>
        <v>65.2223854487824</v>
      </c>
      <c r="AS210" s="27" t="n">
        <f aca="false">IFERROR(AS196/(Hipótesis!$B$49*(AS$3&gt;=Hipótesis!$D$49)+Hipótesis!$B$52*(AS$3&gt;=Hipótesis!$D$52)),0)</f>
        <v>65.2223854487824</v>
      </c>
      <c r="AT210" s="27" t="n">
        <f aca="false">IFERROR(AT196/(Hipótesis!$B$49*(AT$3&gt;=Hipótesis!$D$49)+Hipótesis!$B$52*(AT$3&gt;=Hipótesis!$D$52)),0)</f>
        <v>65.2223854487824</v>
      </c>
      <c r="AU210" s="27" t="n">
        <f aca="false">IFERROR(AU196/(Hipótesis!$B$49*(AU$3&gt;=Hipótesis!$D$49)+Hipótesis!$B$52*(AU$3&gt;=Hipótesis!$D$52)),0)</f>
        <v>65.2223854487824</v>
      </c>
      <c r="AV210" s="27" t="n">
        <f aca="false">IFERROR(AV196/(Hipótesis!$B$49*(AV$3&gt;=Hipótesis!$D$49)+Hipótesis!$B$52*(AV$3&gt;=Hipótesis!$D$52)),0)</f>
        <v>65.2223854487824</v>
      </c>
      <c r="AW210" s="27" t="n">
        <f aca="false">IFERROR(AW196/(Hipótesis!$B$49*(AW$3&gt;=Hipótesis!$D$49)+Hipótesis!$B$52*(AW$3&gt;=Hipótesis!$D$52)),0)</f>
        <v>65.2223854487824</v>
      </c>
      <c r="AX210" s="27" t="n">
        <f aca="false">IFERROR(AX196/(Hipótesis!$B$49*(AX$3&gt;=Hipótesis!$D$49)+Hipótesis!$B$52*(AX$3&gt;=Hipótesis!$D$52)),0)</f>
        <v>65.2223854487824</v>
      </c>
      <c r="AY210" s="27" t="n">
        <f aca="false">IFERROR(AY196/(Hipótesis!$B$49*(AY$3&gt;=Hipótesis!$D$49)+Hipótesis!$B$52*(AY$3&gt;=Hipótesis!$D$52)),0)</f>
        <v>65.2223854487824</v>
      </c>
      <c r="AZ210" s="27" t="n">
        <f aca="false">IFERROR(AZ196/(Hipótesis!$B$49*(AZ$3&gt;=Hipótesis!$D$49)+Hipótesis!$B$52*(AZ$3&gt;=Hipótesis!$D$52)),0)</f>
        <v>65.2223854487824</v>
      </c>
      <c r="BA210" s="27" t="n">
        <f aca="false">IFERROR(BA196/(Hipótesis!$B$49*(BA$3&gt;=Hipótesis!$D$49)+Hipótesis!$B$52*(BA$3&gt;=Hipótesis!$D$52)),0)</f>
        <v>65.2223854487824</v>
      </c>
      <c r="BB210" s="27" t="n">
        <f aca="false">IFERROR(BB196/(Hipótesis!$B$49*(BB$3&gt;=Hipótesis!$D$49)+Hipótesis!$B$52*(BB$3&gt;=Hipótesis!$D$52)),0)</f>
        <v>65.2223854487824</v>
      </c>
      <c r="BC210" s="27" t="n">
        <f aca="false">IFERROR(BC196/(Hipótesis!$B$49*(BC$3&gt;=Hipótesis!$D$49)+Hipótesis!$B$52*(BC$3&gt;=Hipótesis!$D$52)),0)</f>
        <v>65.2223854487824</v>
      </c>
      <c r="BD210" s="27" t="n">
        <f aca="false">IFERROR(BD196/(Hipótesis!$B$49*(BD$3&gt;=Hipótesis!$D$49)+Hipótesis!$B$52*(BD$3&gt;=Hipótesis!$D$52)),0)</f>
        <v>65.2223854487824</v>
      </c>
      <c r="BE210" s="27" t="n">
        <f aca="false">IFERROR(BE196/(Hipótesis!$B$49*(BE$3&gt;=Hipótesis!$D$49)+Hipótesis!$B$52*(BE$3&gt;=Hipótesis!$D$52)),0)</f>
        <v>65.2223854487824</v>
      </c>
      <c r="BF210" s="27" t="n">
        <f aca="false">IFERROR(BF196/(Hipótesis!$B$49*(BF$3&gt;=Hipótesis!$D$49)+Hipótesis!$B$52*(BF$3&gt;=Hipótesis!$D$52)),0)</f>
        <v>65.2223854487824</v>
      </c>
      <c r="BG210" s="27" t="n">
        <f aca="false">IFERROR(BG196/(Hipótesis!$B$49*(BG$3&gt;=Hipótesis!$D$49)+Hipótesis!$B$52*(BG$3&gt;=Hipótesis!$D$52)),0)</f>
        <v>65.2223854487824</v>
      </c>
      <c r="BH210" s="27" t="n">
        <f aca="false">IFERROR(BH196/(Hipótesis!$B$49*(BH$3&gt;=Hipótesis!$D$49)+Hipótesis!$B$52*(BH$3&gt;=Hipótesis!$D$52)),0)</f>
        <v>65.2223854487824</v>
      </c>
      <c r="BI210" s="27" t="n">
        <f aca="false">IFERROR(BI196/(Hipótesis!$B$49*(BI$3&gt;=Hipótesis!$D$49)+Hipótesis!$B$52*(BI$3&gt;=Hipótesis!$D$52)),0)</f>
        <v>65.2223854487824</v>
      </c>
      <c r="BJ210" s="27" t="n">
        <f aca="false">IFERROR(BJ196/(Hipótesis!$B$49*(BJ$3&gt;=Hipótesis!$D$49)+Hipótesis!$B$52*(BJ$3&gt;=Hipótesis!$D$52)),0)</f>
        <v>65.2223854487824</v>
      </c>
      <c r="BK210" s="27" t="n">
        <f aca="false">IFERROR(BK196/(Hipótesis!$B$49*(BK$3&gt;=Hipótesis!$D$49)+Hipótesis!$B$52*(BK$3&gt;=Hipótesis!$D$52)),0)</f>
        <v>65.2223854487824</v>
      </c>
      <c r="BL210" s="27" t="n">
        <f aca="false">IFERROR(BL196/(Hipótesis!$B$49*(BL$3&gt;=Hipótesis!$D$49)+Hipótesis!$B$52*(BL$3&gt;=Hipótesis!$D$52)),0)</f>
        <v>65.2223854487824</v>
      </c>
      <c r="BM210" s="27" t="n">
        <f aca="false">IFERROR(BM196/(Hipótesis!$B$49*(BM$3&gt;=Hipótesis!$D$49)+Hipótesis!$B$52*(BM$3&gt;=Hipótesis!$D$52)),0)</f>
        <v>65.2223854487824</v>
      </c>
      <c r="BN210" s="27" t="n">
        <f aca="false">IFERROR(BN196/(Hipótesis!$B$49*(BN$3&gt;=Hipótesis!$D$49)+Hipótesis!$B$52*(BN$3&gt;=Hipótesis!$D$52)),0)</f>
        <v>65.2223854487824</v>
      </c>
      <c r="BO210" s="27" t="n">
        <f aca="false">IFERROR(BO196/(Hipótesis!$B$49*(BO$3&gt;=Hipótesis!$D$49)+Hipótesis!$B$52*(BO$3&gt;=Hipótesis!$D$52)),0)</f>
        <v>65.2223854487824</v>
      </c>
      <c r="BP210" s="27" t="n">
        <f aca="false">IFERROR(BP196/(Hipótesis!$B$49*(BP$3&gt;=Hipótesis!$D$49)+Hipótesis!$B$52*(BP$3&gt;=Hipótesis!$D$52)),0)</f>
        <v>65.2223854487824</v>
      </c>
      <c r="BQ210" s="27" t="n">
        <f aca="false">IFERROR(BQ196/(Hipótesis!$B$49*(BQ$3&gt;=Hipótesis!$D$49)+Hipótesis!$B$52*(BQ$3&gt;=Hipótesis!$D$52)),0)</f>
        <v>65.2223854487824</v>
      </c>
      <c r="BR210" s="27" t="n">
        <f aca="false">IFERROR(BR196/(Hipótesis!$B$49*(BR$3&gt;=Hipótesis!$D$49)+Hipótesis!$B$52*(BR$3&gt;=Hipótesis!$D$52)),0)</f>
        <v>65.2223854487824</v>
      </c>
      <c r="BS210" s="27" t="n">
        <f aca="false">IFERROR(BS196/(Hipótesis!$B$49*(BS$3&gt;=Hipótesis!$D$49)+Hipótesis!$B$52*(BS$3&gt;=Hipótesis!$D$52)),0)</f>
        <v>65.2223854487824</v>
      </c>
      <c r="BT210" s="27" t="n">
        <f aca="false">IFERROR(BT196/(Hipótesis!$B$49*(BT$3&gt;=Hipótesis!$D$49)+Hipótesis!$B$52*(BT$3&gt;=Hipótesis!$D$52)),0)</f>
        <v>65.2223854487824</v>
      </c>
      <c r="BU210" s="27" t="n">
        <f aca="false">IFERROR(BU196/(Hipótesis!$B$49*(BU$3&gt;=Hipótesis!$D$49)+Hipótesis!$B$52*(BU$3&gt;=Hipótesis!$D$52)),0)</f>
        <v>65.2223854487824</v>
      </c>
      <c r="BV210" s="27" t="n">
        <f aca="false">IFERROR(BV196/(Hipótesis!$B$49*(BV$3&gt;=Hipótesis!$D$49)+Hipótesis!$B$52*(BV$3&gt;=Hipótesis!$D$52)),0)</f>
        <v>65.2223854487824</v>
      </c>
      <c r="BW210" s="27" t="n">
        <f aca="false">IFERROR(BW196/(Hipótesis!$B$49*(BW$3&gt;=Hipótesis!$D$49)+Hipótesis!$B$52*(BW$3&gt;=Hipótesis!$D$52)),0)</f>
        <v>65.2223854487824</v>
      </c>
      <c r="BX210" s="27" t="n">
        <f aca="false">IFERROR(BX196/(Hipótesis!$B$49*(BX$3&gt;=Hipótesis!$D$49)+Hipótesis!$B$52*(BX$3&gt;=Hipótesis!$D$52)),0)</f>
        <v>65.2223854487824</v>
      </c>
      <c r="BY210" s="27" t="n">
        <f aca="false">IFERROR(BY196/(Hipótesis!$B$49*(BY$3&gt;=Hipótesis!$D$49)+Hipótesis!$B$52*(BY$3&gt;=Hipótesis!$D$52)),0)</f>
        <v>65.2223854487824</v>
      </c>
      <c r="BZ210" s="27" t="n">
        <f aca="false">IFERROR(BZ196/(Hipótesis!$B$49*(BZ$3&gt;=Hipótesis!$D$49)+Hipótesis!$B$52*(BZ$3&gt;=Hipótesis!$D$52)),0)</f>
        <v>65.2223854487824</v>
      </c>
      <c r="CA210" s="27" t="n">
        <f aca="false">IFERROR(CA196/(Hipótesis!$B$49*(CA$3&gt;=Hipótesis!$D$49)+Hipótesis!$B$52*(CA$3&gt;=Hipótesis!$D$52)),0)</f>
        <v>65.2223854487824</v>
      </c>
      <c r="CB210" s="27" t="n">
        <f aca="false">IFERROR(CB196/(Hipótesis!$B$49*(CB$3&gt;=Hipótesis!$D$49)+Hipótesis!$B$52*(CB$3&gt;=Hipótesis!$D$52)),0)</f>
        <v>65.2223854487824</v>
      </c>
      <c r="CC210" s="27" t="n">
        <f aca="false">IFERROR(CC196/(Hipótesis!$B$49*(CC$3&gt;=Hipótesis!$D$49)+Hipótesis!$B$52*(CC$3&gt;=Hipótesis!$D$52)),0)</f>
        <v>65.2223854487824</v>
      </c>
      <c r="CD210" s="27" t="n">
        <f aca="false">IFERROR(CD196/(Hipótesis!$B$49*(CD$3&gt;=Hipótesis!$D$49)+Hipótesis!$B$52*(CD$3&gt;=Hipótesis!$D$52)),0)</f>
        <v>65.2223854487824</v>
      </c>
      <c r="CE210" s="27" t="n">
        <f aca="false">IFERROR(CE196/(Hipótesis!$B$49*(CE$3&gt;=Hipótesis!$D$49)+Hipótesis!$B$52*(CE$3&gt;=Hipótesis!$D$52)),0)</f>
        <v>65.2223854487824</v>
      </c>
      <c r="CF210" s="27" t="n">
        <f aca="false">IFERROR(CF196/(Hipótesis!$B$49*(CF$3&gt;=Hipótesis!$D$49)+Hipótesis!$B$52*(CF$3&gt;=Hipótesis!$D$52)),0)</f>
        <v>65.2223854487824</v>
      </c>
      <c r="CG210" s="27" t="n">
        <f aca="false">IFERROR(CG196/(Hipótesis!$B$49*(CG$3&gt;=Hipótesis!$D$49)+Hipótesis!$B$52*(CG$3&gt;=Hipótesis!$D$52)),0)</f>
        <v>65.2223854487824</v>
      </c>
      <c r="CH210" s="27" t="n">
        <f aca="false">IFERROR(CH196/(Hipótesis!$B$49*(CH$3&gt;=Hipótesis!$D$49)+Hipótesis!$B$52*(CH$3&gt;=Hipótesis!$D$52)),0)</f>
        <v>65.2223854487824</v>
      </c>
    </row>
    <row r="211" customFormat="false" ht="15" hidden="false" customHeight="false" outlineLevel="0" collapsed="false">
      <c r="A211" s="1" t="s">
        <v>872</v>
      </c>
      <c r="C211" s="28" t="n">
        <f aca="false">-(C182*(1-Logistica!$B$5)*Logistica!$B$7+C182*Logistica!$B$5*Logistica!$B$39)</f>
        <v>-4.78047324930469</v>
      </c>
      <c r="D211" s="28" t="n">
        <f aca="false">-(D182*(1-Logistica!$B$5)*Logistica!$B$7+D182*Logistica!$B$5*Logistica!$B$39)</f>
        <v>-10.5673619195156</v>
      </c>
      <c r="E211" s="28" t="n">
        <f aca="false">-(E182*(1-Logistica!$B$5)*Logistica!$B$7+E182*Logistica!$B$5*Logistica!$B$39)</f>
        <v>-29.1860472062813</v>
      </c>
      <c r="F211" s="28" t="n">
        <f aca="false">-(F182*(1-Logistica!$B$5)*Logistica!$B$7+F182*Logistica!$B$5*Logistica!$B$39)</f>
        <v>-43.0242592437422</v>
      </c>
      <c r="G211" s="28" t="n">
        <f aca="false">-(G182*(1-Logistica!$B$5)*Logistica!$B$7+G182*Logistica!$B$5*Logistica!$B$39)</f>
        <v>-55.8560558602969</v>
      </c>
      <c r="H211" s="28" t="n">
        <f aca="false">-(H182*(1-Logistica!$B$5)*Logistica!$B$7+H182*Logistica!$B$5*Logistica!$B$39)</f>
        <v>-80.2196958414023</v>
      </c>
      <c r="I211" s="28" t="n">
        <f aca="false">-(I182*(1-Logistica!$B$5)*Logistica!$B$7+I182*Logistica!$B$5*Logistica!$B$39)</f>
        <v>-104.583335822508</v>
      </c>
      <c r="J211" s="28" t="n">
        <f aca="false">-(J182*(1-Logistica!$B$5)*Logistica!$B$7+J182*Logistica!$B$5*Logistica!$B$39)</f>
        <v>-141.140702604655</v>
      </c>
      <c r="K211" s="28" t="n">
        <f aca="false">-(K182*(1-Logistica!$B$5)*Logistica!$B$7+K182*Logistica!$B$5*Logistica!$B$39)</f>
        <v>-183.794932787324</v>
      </c>
      <c r="L211" s="28" t="n">
        <f aca="false">-(L182*(1-Logistica!$B$5)*Logistica!$B$7+L182*Logistica!$B$5*Logistica!$B$39)</f>
        <v>-226.449162969993</v>
      </c>
      <c r="M211" s="28" t="n">
        <f aca="false">-(M182*(1-Logistica!$B$5)*Logistica!$B$7+M182*Logistica!$B$5*Logistica!$B$39)</f>
        <v>-256.271596536106</v>
      </c>
      <c r="N211" s="28" t="n">
        <f aca="false">-(N182*(1-Logistica!$B$5)*Logistica!$B$7+N182*Logistica!$B$5*Logistica!$B$39)</f>
        <v>-302.867620450658</v>
      </c>
      <c r="O211" s="28" t="n">
        <f aca="false">-(O182*(1-Logistica!$B$5)*Logistica!$B$7+O182*Logistica!$B$5*Logistica!$B$39)</f>
        <v>-349.463644365209</v>
      </c>
      <c r="P211" s="28" t="n">
        <f aca="false">-(P182*(1-Logistica!$B$5)*Logistica!$B$7+P182*Logistica!$B$5*Logistica!$B$39)</f>
        <v>-391.237261054585</v>
      </c>
      <c r="Q211" s="28" t="n">
        <f aca="false">-(Q182*(1-Logistica!$B$5)*Logistica!$B$7+Q182*Logistica!$B$5*Logistica!$B$39)</f>
        <v>-433.01087774396</v>
      </c>
      <c r="R211" s="28" t="n">
        <f aca="false">-(R182*(1-Logistica!$B$5)*Logistica!$B$7+R182*Logistica!$B$5*Logistica!$B$39)</f>
        <v>-474.784494433336</v>
      </c>
      <c r="S211" s="28" t="n">
        <f aca="false">-(S182*(1-Logistica!$B$5)*Logistica!$B$7+S182*Logistica!$B$5*Logistica!$B$39)</f>
        <v>-516.558111122712</v>
      </c>
      <c r="T211" s="28" t="n">
        <f aca="false">-(T182*(1-Logistica!$B$5)*Logistica!$B$7+T182*Logistica!$B$5*Logistica!$B$39)</f>
        <v>-558.331727812087</v>
      </c>
      <c r="U211" s="28" t="n">
        <f aca="false">-(U182*(1-Logistica!$B$5)*Logistica!$B$7+U182*Logistica!$B$5*Logistica!$B$39)</f>
        <v>-604.16992010181</v>
      </c>
      <c r="V211" s="28" t="n">
        <f aca="false">-(V182*(1-Logistica!$B$5)*Logistica!$B$7+V182*Logistica!$B$5*Logistica!$B$39)</f>
        <v>-650.008112391533</v>
      </c>
      <c r="W211" s="28" t="n">
        <f aca="false">-(W182*(1-Logistica!$B$5)*Logistica!$B$7+W182*Logistica!$B$5*Logistica!$B$39)</f>
        <v>-695.846304681256</v>
      </c>
      <c r="X211" s="28" t="n">
        <f aca="false">-(X182*(1-Logistica!$B$5)*Logistica!$B$7+X182*Logistica!$B$5*Logistica!$B$39)</f>
        <v>-724.910906622542</v>
      </c>
      <c r="Y211" s="28" t="n">
        <f aca="false">-(Y182*(1-Logistica!$B$5)*Logistica!$B$7+Y182*Logistica!$B$5*Logistica!$B$39)</f>
        <v>-753.975508563827</v>
      </c>
      <c r="Z211" s="28" t="n">
        <f aca="false">-(Z182*(1-Logistica!$B$5)*Logistica!$B$7+Z182*Logistica!$B$5*Logistica!$B$39)</f>
        <v>-776.330674365738</v>
      </c>
      <c r="AA211" s="28" t="n">
        <f aca="false">-(AA182*(1-Logistica!$B$5)*Logistica!$B$7+AA182*Logistica!$B$5*Logistica!$B$39)</f>
        <v>-798.685840167648</v>
      </c>
      <c r="AB211" s="28" t="n">
        <f aca="false">-(AB182*(1-Logistica!$B$5)*Logistica!$B$7+AB182*Logistica!$B$5*Logistica!$B$39)</f>
        <v>-821.041005969559</v>
      </c>
      <c r="AC211" s="28" t="n">
        <f aca="false">-(AC182*(1-Logistica!$B$5)*Logistica!$B$7+AC182*Logistica!$B$5*Logistica!$B$39)</f>
        <v>-843.396171771469</v>
      </c>
      <c r="AD211" s="28" t="n">
        <f aca="false">-(AD182*(1-Logistica!$B$5)*Logistica!$B$7+AD182*Logistica!$B$5*Logistica!$B$39)</f>
        <v>-865.751337573379</v>
      </c>
      <c r="AE211" s="28" t="n">
        <f aca="false">-(AE182*(1-Logistica!$B$5)*Logistica!$B$7+AE182*Logistica!$B$5*Logistica!$B$39)</f>
        <v>-888.10650337529</v>
      </c>
      <c r="AF211" s="28" t="n">
        <f aca="false">-(AF182*(1-Logistica!$B$5)*Logistica!$B$7+AF182*Logistica!$B$5*Logistica!$B$39)</f>
        <v>-910.4616691772</v>
      </c>
      <c r="AG211" s="28" t="n">
        <f aca="false">-(AG182*(1-Logistica!$B$5)*Logistica!$B$7+AG182*Logistica!$B$5*Logistica!$B$39)</f>
        <v>-932.816834979111</v>
      </c>
      <c r="AH211" s="28" t="n">
        <f aca="false">-(AH182*(1-Logistica!$B$5)*Logistica!$B$7+AH182*Logistica!$B$5*Logistica!$B$39)</f>
        <v>-955.172000781021</v>
      </c>
      <c r="AI211" s="28" t="n">
        <f aca="false">-(AI182*(1-Logistica!$B$5)*Logistica!$B$7+AI182*Logistica!$B$5*Logistica!$B$39)</f>
        <v>-977.527166582932</v>
      </c>
      <c r="AJ211" s="28" t="n">
        <f aca="false">-(AJ182*(1-Logistica!$B$5)*Logistica!$B$7+AJ182*Logistica!$B$5*Logistica!$B$39)</f>
        <v>-999.882332384842</v>
      </c>
      <c r="AK211" s="28" t="n">
        <f aca="false">-(AK182*(1-Logistica!$B$5)*Logistica!$B$7+AK182*Logistica!$B$5*Logistica!$B$39)</f>
        <v>-1022.23749818675</v>
      </c>
      <c r="AL211" s="28" t="n">
        <f aca="false">-(AL182*(1-Logistica!$B$5)*Logistica!$B$7+AL182*Logistica!$B$5*Logistica!$B$39)</f>
        <v>-1044.59266398866</v>
      </c>
      <c r="AM211" s="28" t="n">
        <f aca="false">-(AM182*(1-Logistica!$B$5)*Logistica!$B$7+AM182*Logistica!$B$5*Logistica!$B$39)</f>
        <v>-1066.94782979057</v>
      </c>
      <c r="AN211" s="28" t="n">
        <f aca="false">-(AN182*(1-Logistica!$B$5)*Logistica!$B$7+AN182*Logistica!$B$5*Logistica!$B$39)</f>
        <v>-1089.30299559248</v>
      </c>
      <c r="AO211" s="28" t="n">
        <f aca="false">-(AO182*(1-Logistica!$B$5)*Logistica!$B$7+AO182*Logistica!$B$5*Logistica!$B$39)</f>
        <v>-1111.65816139439</v>
      </c>
      <c r="AP211" s="28" t="n">
        <f aca="false">-(AP182*(1-Logistica!$B$5)*Logistica!$B$7+AP182*Logistica!$B$5*Logistica!$B$39)</f>
        <v>-1134.01332719631</v>
      </c>
      <c r="AQ211" s="28" t="n">
        <f aca="false">-(AQ182*(1-Logistica!$B$5)*Logistica!$B$7+AQ182*Logistica!$B$5*Logistica!$B$39)</f>
        <v>-1156.36849299822</v>
      </c>
      <c r="AR211" s="28" t="n">
        <f aca="false">-(AR182*(1-Logistica!$B$5)*Logistica!$B$7+AR182*Logistica!$B$5*Logistica!$B$39)</f>
        <v>-1178.72365880013</v>
      </c>
      <c r="AS211" s="28" t="n">
        <f aca="false">-(AS182*(1-Logistica!$B$5)*Logistica!$B$7+AS182*Logistica!$B$5*Logistica!$B$39)</f>
        <v>-1178.72365880013</v>
      </c>
      <c r="AT211" s="28" t="n">
        <f aca="false">-(AT182*(1-Logistica!$B$5)*Logistica!$B$7+AT182*Logistica!$B$5*Logistica!$B$39)</f>
        <v>-1178.72365880013</v>
      </c>
      <c r="AU211" s="28" t="n">
        <f aca="false">-(AU182*(1-Logistica!$B$5)*Logistica!$B$7+AU182*Logistica!$B$5*Logistica!$B$39)</f>
        <v>-1178.72365880013</v>
      </c>
      <c r="AV211" s="28" t="n">
        <f aca="false">-(AV182*(1-Logistica!$B$5)*Logistica!$B$7+AV182*Logistica!$B$5*Logistica!$B$39)</f>
        <v>-1178.72365880013</v>
      </c>
      <c r="AW211" s="28" t="n">
        <f aca="false">-(AW182*(1-Logistica!$B$5)*Logistica!$B$7+AW182*Logistica!$B$5*Logistica!$B$39)</f>
        <v>-1178.72365880013</v>
      </c>
      <c r="AX211" s="28" t="n">
        <f aca="false">-(AX182*(1-Logistica!$B$5)*Logistica!$B$7+AX182*Logistica!$B$5*Logistica!$B$39)</f>
        <v>-1178.72365880013</v>
      </c>
      <c r="AY211" s="28" t="n">
        <f aca="false">-(AY182*(1-Logistica!$B$5)*Logistica!$B$7+AY182*Logistica!$B$5*Logistica!$B$39)</f>
        <v>-1178.72365880013</v>
      </c>
      <c r="AZ211" s="28" t="n">
        <f aca="false">-(AZ182*(1-Logistica!$B$5)*Logistica!$B$7+AZ182*Logistica!$B$5*Logistica!$B$39)</f>
        <v>-1178.72365880013</v>
      </c>
      <c r="BA211" s="28" t="n">
        <f aca="false">-(BA182*(1-Logistica!$B$5)*Logistica!$B$7+BA182*Logistica!$B$5*Logistica!$B$39)</f>
        <v>-1178.72365880013</v>
      </c>
      <c r="BB211" s="28" t="n">
        <f aca="false">-(BB182*(1-Logistica!$B$5)*Logistica!$B$7+BB182*Logistica!$B$5*Logistica!$B$39)</f>
        <v>-1178.72365880013</v>
      </c>
      <c r="BC211" s="28" t="n">
        <f aca="false">-(BC182*(1-Logistica!$B$5)*Logistica!$B$7+BC182*Logistica!$B$5*Logistica!$B$39)</f>
        <v>-1178.72365880013</v>
      </c>
      <c r="BD211" s="28" t="n">
        <f aca="false">-(BD182*(1-Logistica!$B$5)*Logistica!$B$7+BD182*Logistica!$B$5*Logistica!$B$39)</f>
        <v>-1178.72365880013</v>
      </c>
      <c r="BE211" s="28" t="n">
        <f aca="false">-(BE182*(1-Logistica!$B$5)*Logistica!$B$7+BE182*Logistica!$B$5*Logistica!$B$39)</f>
        <v>-1178.72365880013</v>
      </c>
      <c r="BF211" s="28" t="n">
        <f aca="false">-(BF182*(1-Logistica!$B$5)*Logistica!$B$7+BF182*Logistica!$B$5*Logistica!$B$39)</f>
        <v>-1178.72365880013</v>
      </c>
      <c r="BG211" s="28" t="n">
        <f aca="false">-(BG182*(1-Logistica!$B$5)*Logistica!$B$7+BG182*Logistica!$B$5*Logistica!$B$39)</f>
        <v>-1178.72365880013</v>
      </c>
      <c r="BH211" s="28" t="n">
        <f aca="false">-(BH182*(1-Logistica!$B$5)*Logistica!$B$7+BH182*Logistica!$B$5*Logistica!$B$39)</f>
        <v>-1178.72365880013</v>
      </c>
      <c r="BI211" s="28" t="n">
        <f aca="false">-(BI182*(1-Logistica!$B$5)*Logistica!$B$7+BI182*Logistica!$B$5*Logistica!$B$39)</f>
        <v>-1178.72365880013</v>
      </c>
      <c r="BJ211" s="28" t="n">
        <f aca="false">-(BJ182*(1-Logistica!$B$5)*Logistica!$B$7+BJ182*Logistica!$B$5*Logistica!$B$39)</f>
        <v>-1178.72365880013</v>
      </c>
      <c r="BK211" s="28" t="n">
        <f aca="false">-(BK182*(1-Logistica!$B$5)*Logistica!$B$7+BK182*Logistica!$B$5*Logistica!$B$39)</f>
        <v>-1178.72365880013</v>
      </c>
      <c r="BL211" s="28" t="n">
        <f aca="false">-(BL182*(1-Logistica!$B$5)*Logistica!$B$7+BL182*Logistica!$B$5*Logistica!$B$39)</f>
        <v>-1178.72365880013</v>
      </c>
      <c r="BM211" s="28" t="n">
        <f aca="false">-(BM182*(1-Logistica!$B$5)*Logistica!$B$7+BM182*Logistica!$B$5*Logistica!$B$39)</f>
        <v>-1178.72365880013</v>
      </c>
      <c r="BN211" s="28" t="n">
        <f aca="false">-(BN182*(1-Logistica!$B$5)*Logistica!$B$7+BN182*Logistica!$B$5*Logistica!$B$39)</f>
        <v>-1178.72365880013</v>
      </c>
      <c r="BO211" s="28" t="n">
        <f aca="false">-(BO182*(1-Logistica!$B$5)*Logistica!$B$7+BO182*Logistica!$B$5*Logistica!$B$39)</f>
        <v>-1178.72365880013</v>
      </c>
      <c r="BP211" s="28" t="n">
        <f aca="false">-(BP182*(1-Logistica!$B$5)*Logistica!$B$7+BP182*Logistica!$B$5*Logistica!$B$39)</f>
        <v>-1178.72365880013</v>
      </c>
      <c r="BQ211" s="28" t="n">
        <f aca="false">-(BQ182*(1-Logistica!$B$5)*Logistica!$B$7+BQ182*Logistica!$B$5*Logistica!$B$39)</f>
        <v>-1178.72365880013</v>
      </c>
      <c r="BR211" s="28" t="n">
        <f aca="false">-(BR182*(1-Logistica!$B$5)*Logistica!$B$7+BR182*Logistica!$B$5*Logistica!$B$39)</f>
        <v>-1178.72365880013</v>
      </c>
      <c r="BS211" s="28" t="n">
        <f aca="false">-(BS182*(1-Logistica!$B$5)*Logistica!$B$7+BS182*Logistica!$B$5*Logistica!$B$39)</f>
        <v>-1178.72365880013</v>
      </c>
      <c r="BT211" s="28" t="n">
        <f aca="false">-(BT182*(1-Logistica!$B$5)*Logistica!$B$7+BT182*Logistica!$B$5*Logistica!$B$39)</f>
        <v>-1178.72365880013</v>
      </c>
      <c r="BU211" s="28" t="n">
        <f aca="false">-(BU182*(1-Logistica!$B$5)*Logistica!$B$7+BU182*Logistica!$B$5*Logistica!$B$39)</f>
        <v>-1178.72365880013</v>
      </c>
      <c r="BV211" s="28" t="n">
        <f aca="false">-(BV182*(1-Logistica!$B$5)*Logistica!$B$7+BV182*Logistica!$B$5*Logistica!$B$39)</f>
        <v>-1178.72365880013</v>
      </c>
      <c r="BW211" s="28" t="n">
        <f aca="false">-(BW182*(1-Logistica!$B$5)*Logistica!$B$7+BW182*Logistica!$B$5*Logistica!$B$39)</f>
        <v>-1178.72365880013</v>
      </c>
      <c r="BX211" s="28" t="n">
        <f aca="false">-(BX182*(1-Logistica!$B$5)*Logistica!$B$7+BX182*Logistica!$B$5*Logistica!$B$39)</f>
        <v>-1178.72365880013</v>
      </c>
      <c r="BY211" s="28" t="n">
        <f aca="false">-(BY182*(1-Logistica!$B$5)*Logistica!$B$7+BY182*Logistica!$B$5*Logistica!$B$39)</f>
        <v>-1178.72365880013</v>
      </c>
      <c r="BZ211" s="28" t="n">
        <f aca="false">-(BZ182*(1-Logistica!$B$5)*Logistica!$B$7+BZ182*Logistica!$B$5*Logistica!$B$39)</f>
        <v>-1178.72365880013</v>
      </c>
      <c r="CA211" s="28" t="n">
        <f aca="false">-(CA182*(1-Logistica!$B$5)*Logistica!$B$7+CA182*Logistica!$B$5*Logistica!$B$39)</f>
        <v>-1178.72365880013</v>
      </c>
      <c r="CB211" s="28" t="n">
        <f aca="false">-(CB182*(1-Logistica!$B$5)*Logistica!$B$7+CB182*Logistica!$B$5*Logistica!$B$39)</f>
        <v>-1178.72365880013</v>
      </c>
      <c r="CC211" s="28" t="n">
        <f aca="false">-(CC182*(1-Logistica!$B$5)*Logistica!$B$7+CC182*Logistica!$B$5*Logistica!$B$39)</f>
        <v>-1178.72365880013</v>
      </c>
      <c r="CD211" s="28" t="n">
        <f aca="false">-(CD182*(1-Logistica!$B$5)*Logistica!$B$7+CD182*Logistica!$B$5*Logistica!$B$39)</f>
        <v>-1178.72365880013</v>
      </c>
      <c r="CE211" s="28" t="n">
        <f aca="false">-(CE182*(1-Logistica!$B$5)*Logistica!$B$7+CE182*Logistica!$B$5*Logistica!$B$39)</f>
        <v>-1178.72365880013</v>
      </c>
      <c r="CF211" s="28" t="n">
        <f aca="false">-(CF182*(1-Logistica!$B$5)*Logistica!$B$7+CF182*Logistica!$B$5*Logistica!$B$39)</f>
        <v>-1178.72365880013</v>
      </c>
      <c r="CG211" s="28" t="n">
        <f aca="false">-(CG182*(1-Logistica!$B$5)*Logistica!$B$7+CG182*Logistica!$B$5*Logistica!$B$39)</f>
        <v>-1178.72365880013</v>
      </c>
      <c r="CH211" s="28" t="n">
        <f aca="false">-(CH182*(1-Logistica!$B$5)*Logistica!$B$7+CH182*Logistica!$B$5*Logistica!$B$39)</f>
        <v>-1178.72365880013</v>
      </c>
    </row>
    <row r="212" customFormat="false" ht="15" hidden="false" customHeight="false" outlineLevel="0" collapsed="false">
      <c r="A212" s="1" t="s">
        <v>873</v>
      </c>
      <c r="C212" s="28" t="n">
        <f aca="false">(C186+C192)*Hipótesis!$E$66/30</f>
        <v>852.328125</v>
      </c>
      <c r="D212" s="28" t="n">
        <f aca="false">(D186+D192)*Hipótesis!$E$66/30</f>
        <v>1769.25375</v>
      </c>
      <c r="E212" s="28" t="n">
        <f aca="false">(E186+E192)*Hipótesis!$E$66/30</f>
        <v>3677.5715625</v>
      </c>
      <c r="F212" s="28" t="n">
        <f aca="false">(F186+F192)*Hipótesis!$E$66/30</f>
        <v>4733.56125</v>
      </c>
      <c r="G212" s="28" t="n">
        <f aca="false">(G186+G192)*Hipótesis!$E$66/30</f>
        <v>5724.9534375</v>
      </c>
      <c r="H212" s="28" t="n">
        <f aca="false">(H186+H192)*Hipótesis!$E$66/30</f>
        <v>7308.489375</v>
      </c>
      <c r="I212" s="28" t="n">
        <f aca="false">(I186+I192)*Hipótesis!$E$66/30</f>
        <v>8892.0253125</v>
      </c>
      <c r="J212" s="28" t="n">
        <f aca="false">(J186+J192)*Hipótesis!$E$66/30</f>
        <v>11677.6608294916</v>
      </c>
      <c r="K212" s="28" t="n">
        <f aca="false">(K186+K192)*Hipótesis!$E$66/30</f>
        <v>15064.3461362291</v>
      </c>
      <c r="L212" s="28" t="n">
        <f aca="false">(L186+L192)*Hipótesis!$E$66/30</f>
        <v>18451.0314429665</v>
      </c>
      <c r="M212" s="28" t="n">
        <f aca="false">(M186+M192)*Hipótesis!$E$66/30</f>
        <v>20846.3245622039</v>
      </c>
      <c r="N212" s="28" t="n">
        <f aca="false">(N186+N192)*Hipótesis!$E$66/30</f>
        <v>24049.0864314414</v>
      </c>
      <c r="O212" s="28" t="n">
        <f aca="false">(O186+O192)*Hipótesis!$E$66/30</f>
        <v>27251.8483006788</v>
      </c>
      <c r="P212" s="28" t="n">
        <f aca="false">(P186+P192)*Hipótesis!$E$66/30</f>
        <v>30163.9214199162</v>
      </c>
      <c r="Q212" s="28" t="n">
        <f aca="false">(Q186+Q192)*Hipótesis!$E$66/30</f>
        <v>33075.9945391537</v>
      </c>
      <c r="R212" s="28" t="n">
        <f aca="false">(R186+R192)*Hipótesis!$E$66/30</f>
        <v>35988.0676583911</v>
      </c>
      <c r="S212" s="28" t="n">
        <f aca="false">(S186+S192)*Hipótesis!$E$66/30</f>
        <v>38900.1407776285</v>
      </c>
      <c r="T212" s="28" t="n">
        <f aca="false">(T186+T192)*Hipótesis!$E$66/30</f>
        <v>41812.213896866</v>
      </c>
      <c r="U212" s="28" t="n">
        <f aca="false">(U186+U192)*Hipótesis!$E$66/30</f>
        <v>45124.9868759339</v>
      </c>
      <c r="V212" s="28" t="n">
        <f aca="false">(V186+V192)*Hipótesis!$E$66/30</f>
        <v>48437.7598550019</v>
      </c>
      <c r="W212" s="28" t="n">
        <f aca="false">(W186+W192)*Hipótesis!$E$66/30</f>
        <v>51750.5328340699</v>
      </c>
      <c r="X212" s="28" t="n">
        <f aca="false">(X186+X192)*Hipótesis!$E$66/30</f>
        <v>54255.8370631378</v>
      </c>
      <c r="Y212" s="28" t="n">
        <f aca="false">(Y186+Y192)*Hipótesis!$E$66/30</f>
        <v>56761.1412922058</v>
      </c>
      <c r="Z212" s="28" t="n">
        <f aca="false">(Z186+Z192)*Hipótesis!$E$66/30</f>
        <v>58964.9905212738</v>
      </c>
      <c r="AA212" s="28" t="n">
        <f aca="false">(AA186+AA192)*Hipótesis!$E$66/30</f>
        <v>61168.8397503418</v>
      </c>
      <c r="AB212" s="28" t="n">
        <f aca="false">(AB186+AB192)*Hipótesis!$E$66/30</f>
        <v>63372.6889794097</v>
      </c>
      <c r="AC212" s="28" t="n">
        <f aca="false">(AC186+AC192)*Hipótesis!$E$66/30</f>
        <v>65576.5382084777</v>
      </c>
      <c r="AD212" s="28" t="n">
        <f aca="false">(AD186+AD192)*Hipótesis!$E$66/30</f>
        <v>67780.3874375457</v>
      </c>
      <c r="AE212" s="28" t="n">
        <f aca="false">(AE186+AE192)*Hipótesis!$E$66/30</f>
        <v>69984.2366666137</v>
      </c>
      <c r="AF212" s="28" t="n">
        <f aca="false">(AF186+AF192)*Hipótesis!$E$66/30</f>
        <v>72188.0858956817</v>
      </c>
      <c r="AG212" s="28" t="n">
        <f aca="false">(AG186+AG192)*Hipótesis!$E$66/30</f>
        <v>74391.9351247496</v>
      </c>
      <c r="AH212" s="28" t="n">
        <f aca="false">(AH186+AH192)*Hipótesis!$E$66/30</f>
        <v>76595.7843538176</v>
      </c>
      <c r="AI212" s="28" t="n">
        <f aca="false">(AI186+AI192)*Hipótesis!$E$66/30</f>
        <v>78799.6335828856</v>
      </c>
      <c r="AJ212" s="28" t="n">
        <f aca="false">(AJ186+AJ192)*Hipótesis!$E$66/30</f>
        <v>81003.4828119535</v>
      </c>
      <c r="AK212" s="28" t="n">
        <f aca="false">(AK186+AK192)*Hipótesis!$E$66/30</f>
        <v>83207.3320410215</v>
      </c>
      <c r="AL212" s="28" t="n">
        <f aca="false">(AL186+AL192)*Hipótesis!$E$66/30</f>
        <v>85411.1812700895</v>
      </c>
      <c r="AM212" s="28" t="n">
        <f aca="false">(AM186+AM192)*Hipótesis!$E$66/30</f>
        <v>87615.0304991574</v>
      </c>
      <c r="AN212" s="28" t="n">
        <f aca="false">(AN186+AN192)*Hipótesis!$E$66/30</f>
        <v>89818.8797282254</v>
      </c>
      <c r="AO212" s="28" t="n">
        <f aca="false">(AO186+AO192)*Hipótesis!$E$66/30</f>
        <v>92022.7289572934</v>
      </c>
      <c r="AP212" s="28" t="n">
        <f aca="false">(AP186+AP192)*Hipótesis!$E$66/30</f>
        <v>94226.5781863614</v>
      </c>
      <c r="AQ212" s="28" t="n">
        <f aca="false">(AQ186+AQ192)*Hipótesis!$E$66/30</f>
        <v>96430.4274154294</v>
      </c>
      <c r="AR212" s="28" t="n">
        <f aca="false">(AR186+AR192)*Hipótesis!$E$66/30</f>
        <v>98634.2766444974</v>
      </c>
      <c r="AS212" s="28" t="n">
        <f aca="false">(AS186+AS192)*Hipótesis!$E$66/30</f>
        <v>98634.2766444974</v>
      </c>
      <c r="AT212" s="28" t="n">
        <f aca="false">(AT186+AT192)*Hipótesis!$E$66/30</f>
        <v>98634.2766444974</v>
      </c>
      <c r="AU212" s="28" t="n">
        <f aca="false">(AU186+AU192)*Hipótesis!$E$66/30</f>
        <v>98634.2766444974</v>
      </c>
      <c r="AV212" s="28" t="n">
        <f aca="false">(AV186+AV192)*Hipótesis!$E$66/30</f>
        <v>98634.2766444974</v>
      </c>
      <c r="AW212" s="28" t="n">
        <f aca="false">(AW186+AW192)*Hipótesis!$E$66/30</f>
        <v>98634.2766444974</v>
      </c>
      <c r="AX212" s="28" t="n">
        <f aca="false">(AX186+AX192)*Hipótesis!$E$66/30</f>
        <v>98634.2766444974</v>
      </c>
      <c r="AY212" s="28" t="n">
        <f aca="false">(AY186+AY192)*Hipótesis!$E$66/30</f>
        <v>98634.2766444974</v>
      </c>
      <c r="AZ212" s="28" t="n">
        <f aca="false">(AZ186+AZ192)*Hipótesis!$E$66/30</f>
        <v>98634.2766444974</v>
      </c>
      <c r="BA212" s="28" t="n">
        <f aca="false">(BA186+BA192)*Hipótesis!$E$66/30</f>
        <v>98634.2766444974</v>
      </c>
      <c r="BB212" s="28" t="n">
        <f aca="false">(BB186+BB192)*Hipótesis!$E$66/30</f>
        <v>98634.2766444974</v>
      </c>
      <c r="BC212" s="28" t="n">
        <f aca="false">(BC186+BC192)*Hipótesis!$E$66/30</f>
        <v>98634.2766444974</v>
      </c>
      <c r="BD212" s="28" t="n">
        <f aca="false">(BD186+BD192)*Hipótesis!$E$66/30</f>
        <v>98634.2766444974</v>
      </c>
      <c r="BE212" s="28" t="n">
        <f aca="false">(BE186+BE192)*Hipótesis!$E$66/30</f>
        <v>98634.2766444974</v>
      </c>
      <c r="BF212" s="28" t="n">
        <f aca="false">(BF186+BF192)*Hipótesis!$E$66/30</f>
        <v>98634.2766444974</v>
      </c>
      <c r="BG212" s="28" t="n">
        <f aca="false">(BG186+BG192)*Hipótesis!$E$66/30</f>
        <v>98634.2766444974</v>
      </c>
      <c r="BH212" s="28" t="n">
        <f aca="false">(BH186+BH192)*Hipótesis!$E$66/30</f>
        <v>98634.2766444974</v>
      </c>
      <c r="BI212" s="28" t="n">
        <f aca="false">(BI186+BI192)*Hipótesis!$E$66/30</f>
        <v>98634.2766444974</v>
      </c>
      <c r="BJ212" s="28" t="n">
        <f aca="false">(BJ186+BJ192)*Hipótesis!$E$66/30</f>
        <v>98634.2766444974</v>
      </c>
      <c r="BK212" s="28" t="n">
        <f aca="false">(BK186+BK192)*Hipótesis!$E$66/30</f>
        <v>98634.2766444974</v>
      </c>
      <c r="BL212" s="28" t="n">
        <f aca="false">(BL186+BL192)*Hipótesis!$E$66/30</f>
        <v>98634.2766444974</v>
      </c>
      <c r="BM212" s="28" t="n">
        <f aca="false">(BM186+BM192)*Hipótesis!$E$66/30</f>
        <v>98634.2766444974</v>
      </c>
      <c r="BN212" s="28" t="n">
        <f aca="false">(BN186+BN192)*Hipótesis!$E$66/30</f>
        <v>98634.2766444974</v>
      </c>
      <c r="BO212" s="28" t="n">
        <f aca="false">(BO186+BO192)*Hipótesis!$E$66/30</f>
        <v>98634.2766444974</v>
      </c>
      <c r="BP212" s="28" t="n">
        <f aca="false">(BP186+BP192)*Hipótesis!$E$66/30</f>
        <v>98634.2766444974</v>
      </c>
      <c r="BQ212" s="28" t="n">
        <f aca="false">(BQ186+BQ192)*Hipótesis!$E$66/30</f>
        <v>98634.2766444974</v>
      </c>
      <c r="BR212" s="28" t="n">
        <f aca="false">(BR186+BR192)*Hipótesis!$E$66/30</f>
        <v>98634.2766444974</v>
      </c>
      <c r="BS212" s="28" t="n">
        <f aca="false">(BS186+BS192)*Hipótesis!$E$66/30</f>
        <v>98634.2766444974</v>
      </c>
      <c r="BT212" s="28" t="n">
        <f aca="false">(BT186+BT192)*Hipótesis!$E$66/30</f>
        <v>98634.2766444974</v>
      </c>
      <c r="BU212" s="28" t="n">
        <f aca="false">(BU186+BU192)*Hipótesis!$E$66/30</f>
        <v>98634.2766444974</v>
      </c>
      <c r="BV212" s="28" t="n">
        <f aca="false">(BV186+BV192)*Hipótesis!$E$66/30</f>
        <v>98634.2766444974</v>
      </c>
      <c r="BW212" s="28" t="n">
        <f aca="false">(BW186+BW192)*Hipótesis!$E$66/30</f>
        <v>98634.2766444974</v>
      </c>
      <c r="BX212" s="28" t="n">
        <f aca="false">(BX186+BX192)*Hipótesis!$E$66/30</f>
        <v>98634.2766444974</v>
      </c>
      <c r="BY212" s="28" t="n">
        <f aca="false">(BY186+BY192)*Hipótesis!$E$66/30</f>
        <v>98634.2766444974</v>
      </c>
      <c r="BZ212" s="28" t="n">
        <f aca="false">(BZ186+BZ192)*Hipótesis!$E$66/30</f>
        <v>98634.2766444974</v>
      </c>
      <c r="CA212" s="28" t="n">
        <f aca="false">(CA186+CA192)*Hipótesis!$E$66/30</f>
        <v>98634.2766444974</v>
      </c>
      <c r="CB212" s="28" t="n">
        <f aca="false">(CB186+CB192)*Hipótesis!$E$66/30</f>
        <v>98634.2766444974</v>
      </c>
      <c r="CC212" s="28" t="n">
        <f aca="false">(CC186+CC192)*Hipótesis!$E$66/30</f>
        <v>98634.2766444974</v>
      </c>
      <c r="CD212" s="28" t="n">
        <f aca="false">(CD186+CD192)*Hipótesis!$E$66/30</f>
        <v>98634.2766444974</v>
      </c>
      <c r="CE212" s="28" t="n">
        <f aca="false">(CE186+CE192)*Hipótesis!$E$66/30</f>
        <v>98634.2766444974</v>
      </c>
      <c r="CF212" s="28" t="n">
        <f aca="false">(CF186+CF192)*Hipótesis!$E$66/30</f>
        <v>98634.2766444974</v>
      </c>
      <c r="CG212" s="28" t="n">
        <f aca="false">(CG186+CG192)*Hipótesis!$E$66/30</f>
        <v>98634.2766444974</v>
      </c>
      <c r="CH212" s="28" t="n">
        <f aca="false">(CH186+CH192)*Hipótesis!$E$66/30</f>
        <v>98634.2766444974</v>
      </c>
    </row>
    <row r="213" customFormat="false" ht="15" hidden="false" customHeight="false" outlineLevel="0" collapsed="false">
      <c r="A213" s="1" t="s">
        <v>874</v>
      </c>
      <c r="C213" s="28" t="n">
        <f aca="false">(C190+C193)*Restaurantes!$D$28/30</f>
        <v>1803.65677243103</v>
      </c>
      <c r="D213" s="28" t="n">
        <f aca="false">(D190+D193)*Restaurantes!$D$28/30</f>
        <v>3607.31354486205</v>
      </c>
      <c r="E213" s="28" t="n">
        <f aca="false">(E190+E193)*Restaurantes!$D$28/30</f>
        <v>5410.97031729308</v>
      </c>
      <c r="F213" s="28" t="n">
        <f aca="false">(F190+F193)*Restaurantes!$D$28/30</f>
        <v>7214.62708972411</v>
      </c>
      <c r="G213" s="28" t="n">
        <f aca="false">(G190+G193)*Restaurantes!$D$28/30</f>
        <v>1352.74257932327</v>
      </c>
      <c r="H213" s="28" t="n">
        <f aca="false">(H190+H193)*Restaurantes!$D$28/30</f>
        <v>10821.9406345862</v>
      </c>
      <c r="I213" s="28" t="n">
        <f aca="false">(I190+I193)*Restaurantes!$D$28/30</f>
        <v>12625.5974070172</v>
      </c>
      <c r="J213" s="28" t="n">
        <f aca="false">(J190+J193)*Restaurantes!$D$28/30</f>
        <v>14429.2541794482</v>
      </c>
      <c r="K213" s="28" t="n">
        <f aca="false">(K190+K193)*Restaurantes!$D$28/30</f>
        <v>16232.9109518792</v>
      </c>
      <c r="L213" s="28" t="n">
        <f aca="false">(L190+L193)*Restaurantes!$D$28/30</f>
        <v>18036.5677243103</v>
      </c>
      <c r="M213" s="28" t="n">
        <f aca="false">(M190+M193)*Restaurantes!$D$28/30</f>
        <v>19840.2244967413</v>
      </c>
      <c r="N213" s="28" t="n">
        <f aca="false">(N190+N193)*Restaurantes!$D$28/30</f>
        <v>21643.8812691723</v>
      </c>
      <c r="O213" s="28" t="n">
        <f aca="false">(O190+O193)*Restaurantes!$D$28/30</f>
        <v>23447.5380416034</v>
      </c>
      <c r="P213" s="28" t="n">
        <f aca="false">(P190+P193)*Restaurantes!$D$28/30</f>
        <v>25251.1948140344</v>
      </c>
      <c r="Q213" s="28" t="n">
        <f aca="false">(Q190+Q193)*Restaurantes!$D$28/30</f>
        <v>27054.8515864654</v>
      </c>
      <c r="R213" s="28" t="n">
        <f aca="false">(R190+R193)*Restaurantes!$D$28/30</f>
        <v>28858.5083588964</v>
      </c>
      <c r="S213" s="28" t="n">
        <f aca="false">(S190+S193)*Restaurantes!$D$28/30</f>
        <v>4599.32476969912</v>
      </c>
      <c r="T213" s="28" t="n">
        <f aca="false">(T190+T193)*Restaurantes!$D$28/30</f>
        <v>32465.8219037585</v>
      </c>
      <c r="U213" s="28" t="n">
        <f aca="false">(U190+U193)*Restaurantes!$D$28/30</f>
        <v>32465.8219037585</v>
      </c>
      <c r="V213" s="28" t="n">
        <f aca="false">(V190+V193)*Restaurantes!$D$28/30</f>
        <v>32465.8219037585</v>
      </c>
      <c r="W213" s="28" t="n">
        <f aca="false">(W190+W193)*Restaurantes!$D$28/30</f>
        <v>32465.8219037585</v>
      </c>
      <c r="X213" s="28" t="n">
        <f aca="false">(X190+X193)*Restaurantes!$D$28/30</f>
        <v>32465.8219037585</v>
      </c>
      <c r="Y213" s="28" t="n">
        <f aca="false">(Y190+Y193)*Restaurantes!$D$28/30</f>
        <v>32465.8219037585</v>
      </c>
      <c r="Z213" s="28" t="n">
        <f aca="false">(Z190+Z193)*Restaurantes!$D$28/30</f>
        <v>32465.8219037585</v>
      </c>
      <c r="AA213" s="28" t="n">
        <f aca="false">(AA190+AA193)*Restaurantes!$D$28/30</f>
        <v>32465.8219037585</v>
      </c>
      <c r="AB213" s="28" t="n">
        <f aca="false">(AB190+AB193)*Restaurantes!$D$28/30</f>
        <v>32465.8219037585</v>
      </c>
      <c r="AC213" s="28" t="n">
        <f aca="false">(AC190+AC193)*Restaurantes!$D$28/30</f>
        <v>32465.8219037585</v>
      </c>
      <c r="AD213" s="28" t="n">
        <f aca="false">(AD190+AD193)*Restaurantes!$D$28/30</f>
        <v>32465.8219037585</v>
      </c>
      <c r="AE213" s="28" t="n">
        <f aca="false">(AE190+AE193)*Restaurantes!$D$28/30</f>
        <v>4869.87328556377</v>
      </c>
      <c r="AF213" s="28" t="n">
        <f aca="false">(AF190+AF193)*Restaurantes!$D$28/30</f>
        <v>32465.8219037585</v>
      </c>
      <c r="AG213" s="28" t="n">
        <f aca="false">(AG190+AG193)*Restaurantes!$D$28/30</f>
        <v>32465.8219037585</v>
      </c>
      <c r="AH213" s="28" t="n">
        <f aca="false">(AH190+AH193)*Restaurantes!$D$28/30</f>
        <v>32465.8219037585</v>
      </c>
      <c r="AI213" s="28" t="n">
        <f aca="false">(AI190+AI193)*Restaurantes!$D$28/30</f>
        <v>32465.8219037585</v>
      </c>
      <c r="AJ213" s="28" t="n">
        <f aca="false">(AJ190+AJ193)*Restaurantes!$D$28/30</f>
        <v>32465.8219037585</v>
      </c>
      <c r="AK213" s="28" t="n">
        <f aca="false">(AK190+AK193)*Restaurantes!$D$28/30</f>
        <v>32465.8219037585</v>
      </c>
      <c r="AL213" s="28" t="n">
        <f aca="false">(AL190+AL193)*Restaurantes!$D$28/30</f>
        <v>32465.8219037585</v>
      </c>
      <c r="AM213" s="28" t="n">
        <f aca="false">(AM190+AM193)*Restaurantes!$D$28/30</f>
        <v>32465.8219037585</v>
      </c>
      <c r="AN213" s="28" t="n">
        <f aca="false">(AN190+AN193)*Restaurantes!$D$28/30</f>
        <v>32465.8219037585</v>
      </c>
      <c r="AO213" s="28" t="n">
        <f aca="false">(AO190+AO193)*Restaurantes!$D$28/30</f>
        <v>32465.8219037585</v>
      </c>
      <c r="AP213" s="28" t="n">
        <f aca="false">(AP190+AP193)*Restaurantes!$D$28/30</f>
        <v>32465.8219037585</v>
      </c>
      <c r="AQ213" s="28" t="n">
        <f aca="false">(AQ190+AQ193)*Restaurantes!$D$28/30</f>
        <v>4869.87328556377</v>
      </c>
      <c r="AR213" s="28" t="n">
        <f aca="false">(AR190+AR193)*Restaurantes!$D$28/30</f>
        <v>32465.8219037585</v>
      </c>
      <c r="AS213" s="28" t="n">
        <f aca="false">(AS190+AS193)*Restaurantes!$D$28/30</f>
        <v>32465.8219037585</v>
      </c>
      <c r="AT213" s="28" t="n">
        <f aca="false">(AT190+AT193)*Restaurantes!$D$28/30</f>
        <v>32465.8219037585</v>
      </c>
      <c r="AU213" s="28" t="n">
        <f aca="false">(AU190+AU193)*Restaurantes!$D$28/30</f>
        <v>32465.8219037585</v>
      </c>
      <c r="AV213" s="28" t="n">
        <f aca="false">(AV190+AV193)*Restaurantes!$D$28/30</f>
        <v>32465.8219037585</v>
      </c>
      <c r="AW213" s="28" t="n">
        <f aca="false">(AW190+AW193)*Restaurantes!$D$28/30</f>
        <v>32465.8219037585</v>
      </c>
      <c r="AX213" s="28" t="n">
        <f aca="false">(AX190+AX193)*Restaurantes!$D$28/30</f>
        <v>32465.8219037585</v>
      </c>
      <c r="AY213" s="28" t="n">
        <f aca="false">(AY190+AY193)*Restaurantes!$D$28/30</f>
        <v>32465.8219037585</v>
      </c>
      <c r="AZ213" s="28" t="n">
        <f aca="false">(AZ190+AZ193)*Restaurantes!$D$28/30</f>
        <v>32465.8219037585</v>
      </c>
      <c r="BA213" s="28" t="n">
        <f aca="false">(BA190+BA193)*Restaurantes!$D$28/30</f>
        <v>32465.8219037585</v>
      </c>
      <c r="BB213" s="28" t="n">
        <f aca="false">(BB190+BB193)*Restaurantes!$D$28/30</f>
        <v>32465.8219037585</v>
      </c>
      <c r="BC213" s="28" t="n">
        <f aca="false">(BC190+BC193)*Restaurantes!$D$28/30</f>
        <v>4869.87328556377</v>
      </c>
      <c r="BD213" s="28" t="n">
        <f aca="false">(BD190+BD193)*Restaurantes!$D$28/30</f>
        <v>32465.8219037585</v>
      </c>
      <c r="BE213" s="28" t="n">
        <f aca="false">(BE190+BE193)*Restaurantes!$D$28/30</f>
        <v>32465.8219037585</v>
      </c>
      <c r="BF213" s="28" t="n">
        <f aca="false">(BF190+BF193)*Restaurantes!$D$28/30</f>
        <v>32465.8219037585</v>
      </c>
      <c r="BG213" s="28" t="n">
        <f aca="false">(BG190+BG193)*Restaurantes!$D$28/30</f>
        <v>32465.8219037585</v>
      </c>
      <c r="BH213" s="28" t="n">
        <f aca="false">(BH190+BH193)*Restaurantes!$D$28/30</f>
        <v>32465.8219037585</v>
      </c>
      <c r="BI213" s="28" t="n">
        <f aca="false">(BI190+BI193)*Restaurantes!$D$28/30</f>
        <v>32465.8219037585</v>
      </c>
      <c r="BJ213" s="28" t="n">
        <f aca="false">(BJ190+BJ193)*Restaurantes!$D$28/30</f>
        <v>32465.8219037585</v>
      </c>
      <c r="BK213" s="28" t="n">
        <f aca="false">(BK190+BK193)*Restaurantes!$D$28/30</f>
        <v>32465.8219037585</v>
      </c>
      <c r="BL213" s="28" t="n">
        <f aca="false">(BL190+BL193)*Restaurantes!$D$28/30</f>
        <v>32465.8219037585</v>
      </c>
      <c r="BM213" s="28" t="n">
        <f aca="false">(BM190+BM193)*Restaurantes!$D$28/30</f>
        <v>32465.8219037585</v>
      </c>
      <c r="BN213" s="28" t="n">
        <f aca="false">(BN190+BN193)*Restaurantes!$D$28/30</f>
        <v>32465.8219037585</v>
      </c>
      <c r="BO213" s="28" t="n">
        <f aca="false">(BO190+BO193)*Restaurantes!$D$28/30</f>
        <v>4869.87328556377</v>
      </c>
      <c r="BP213" s="28" t="n">
        <f aca="false">(BP190+BP193)*Restaurantes!$D$28/30</f>
        <v>32465.8219037585</v>
      </c>
      <c r="BQ213" s="28" t="n">
        <f aca="false">(BQ190+BQ193)*Restaurantes!$D$28/30</f>
        <v>32465.8219037585</v>
      </c>
      <c r="BR213" s="28" t="n">
        <f aca="false">(BR190+BR193)*Restaurantes!$D$28/30</f>
        <v>32465.8219037585</v>
      </c>
      <c r="BS213" s="28" t="n">
        <f aca="false">(BS190+BS193)*Restaurantes!$D$28/30</f>
        <v>32465.8219037585</v>
      </c>
      <c r="BT213" s="28" t="n">
        <f aca="false">(BT190+BT193)*Restaurantes!$D$28/30</f>
        <v>32465.8219037585</v>
      </c>
      <c r="BU213" s="28" t="n">
        <f aca="false">(BU190+BU193)*Restaurantes!$D$28/30</f>
        <v>32465.8219037585</v>
      </c>
      <c r="BV213" s="28" t="n">
        <f aca="false">(BV190+BV193)*Restaurantes!$D$28/30</f>
        <v>32465.8219037585</v>
      </c>
      <c r="BW213" s="28" t="n">
        <f aca="false">(BW190+BW193)*Restaurantes!$D$28/30</f>
        <v>32465.8219037585</v>
      </c>
      <c r="BX213" s="28" t="n">
        <f aca="false">(BX190+BX193)*Restaurantes!$D$28/30</f>
        <v>32465.8219037585</v>
      </c>
      <c r="BY213" s="28" t="n">
        <f aca="false">(BY190+BY193)*Restaurantes!$D$28/30</f>
        <v>32465.8219037585</v>
      </c>
      <c r="BZ213" s="28" t="n">
        <f aca="false">(BZ190+BZ193)*Restaurantes!$D$28/30</f>
        <v>32465.8219037585</v>
      </c>
      <c r="CA213" s="28" t="n">
        <f aca="false">(CA190+CA193)*Restaurantes!$D$28/30</f>
        <v>4869.87328556377</v>
      </c>
      <c r="CB213" s="28" t="n">
        <f aca="false">(CB190+CB193)*Restaurantes!$D$28/30</f>
        <v>32465.8219037585</v>
      </c>
      <c r="CC213" s="28" t="n">
        <f aca="false">(CC190+CC193)*Restaurantes!$D$28/30</f>
        <v>32465.8219037585</v>
      </c>
      <c r="CD213" s="28" t="n">
        <f aca="false">(CD190+CD193)*Restaurantes!$D$28/30</f>
        <v>32465.8219037585</v>
      </c>
      <c r="CE213" s="28" t="n">
        <f aca="false">(CE190+CE193)*Restaurantes!$D$28/30</f>
        <v>32465.8219037585</v>
      </c>
      <c r="CF213" s="28" t="n">
        <f aca="false">(CF190+CF193)*Restaurantes!$D$28/30</f>
        <v>32465.8219037585</v>
      </c>
      <c r="CG213" s="28" t="n">
        <f aca="false">(CG190+CG193)*Restaurantes!$D$28/30</f>
        <v>32465.8219037585</v>
      </c>
      <c r="CH213" s="28" t="n">
        <f aca="false">(CH190+CH193)*Restaurantes!$D$28/30</f>
        <v>32465.8219037585</v>
      </c>
    </row>
    <row r="214" customFormat="false" ht="15" hidden="false" customHeight="false" outlineLevel="0" collapsed="false">
      <c r="A214" s="25" t="s">
        <v>875</v>
      </c>
      <c r="C214" s="156" t="n">
        <f aca="false">C186+C192+C194+C211</f>
        <v>895.034987701108</v>
      </c>
      <c r="D214" s="156" t="n">
        <f aca="false">D186+D192+D194+D211</f>
        <v>1853.1041973853</v>
      </c>
      <c r="E214" s="156" t="n">
        <f aca="false">E186+E192+E194+E211</f>
        <v>3794.37691315627</v>
      </c>
      <c r="F214" s="156" t="n">
        <f aca="false">F186+F192+F194+F211</f>
        <v>4840.61464122614</v>
      </c>
      <c r="G214" s="156" t="n">
        <f aca="false">G186+G192+G194+G211</f>
        <v>5823.81814731293</v>
      </c>
      <c r="H214" s="156" t="n">
        <f aca="false">H186+H192+H194+H211</f>
        <v>7351.64565528918</v>
      </c>
      <c r="I214" s="156" t="n">
        <f aca="false">I186+I192+I194+I211</f>
        <v>8879.47316326543</v>
      </c>
      <c r="J214" s="156" t="n">
        <f aca="false">J186+J192+J194+J211</f>
        <v>11628.9334963206</v>
      </c>
      <c r="K214" s="156" t="n">
        <f aca="false">K186+K192+K194+K211</f>
        <v>14989.2102419152</v>
      </c>
      <c r="L214" s="156" t="n">
        <f aca="false">L186+L192+L194+L211</f>
        <v>18349.4869875098</v>
      </c>
      <c r="M214" s="156" t="n">
        <f aca="false">M186+M192+M194+M211</f>
        <v>20726.5602270177</v>
      </c>
      <c r="N214" s="156" t="n">
        <f aca="false">N186+N192+N194+N211</f>
        <v>23831.2163329102</v>
      </c>
      <c r="O214" s="156" t="n">
        <f aca="false">O186+O192+O194+O211</f>
        <v>26935.8724388027</v>
      </c>
      <c r="P214" s="156" t="n">
        <f aca="false">P186+P192+P194+P211</f>
        <v>29761.0986893596</v>
      </c>
      <c r="Q214" s="156" t="n">
        <f aca="false">Q186+Q192+Q194+Q211</f>
        <v>32586.3249399165</v>
      </c>
      <c r="R214" s="156" t="n">
        <f aca="false">R186+R192+R194+R211</f>
        <v>35411.5511904734</v>
      </c>
      <c r="S214" s="156" t="n">
        <f aca="false">S186+S192+S194+S211</f>
        <v>38236.7774410303</v>
      </c>
      <c r="T214" s="156" t="n">
        <f aca="false">T186+T192+T194+T211</f>
        <v>41062.0036915872</v>
      </c>
      <c r="U214" s="156" t="n">
        <f aca="false">U186+U192+U194+U211</f>
        <v>44294.440883837</v>
      </c>
      <c r="V214" s="156" t="n">
        <f aca="false">V186+V192+V194+V211</f>
        <v>47526.8780760869</v>
      </c>
      <c r="W214" s="156" t="n">
        <f aca="false">W186+W192+W194+W211</f>
        <v>50759.3152683368</v>
      </c>
      <c r="X214" s="156" t="n">
        <f aca="false">X186+X192+X194+X211</f>
        <v>53264.169594202</v>
      </c>
      <c r="Y214" s="156" t="n">
        <f aca="false">Y186+Y192+Y194+Y211</f>
        <v>55769.0239200672</v>
      </c>
      <c r="Z214" s="156" t="n">
        <f aca="false">Z186+Z192+Z194+Z211</f>
        <v>58008.6840993786</v>
      </c>
      <c r="AA214" s="156" t="n">
        <f aca="false">AA186+AA192+AA194+AA211</f>
        <v>60248.3442786899</v>
      </c>
      <c r="AB214" s="156" t="n">
        <f aca="false">AB186+AB192+AB194+AB211</f>
        <v>62488.0044580012</v>
      </c>
      <c r="AC214" s="156" t="n">
        <f aca="false">AC186+AC192+AC194+AC211</f>
        <v>64727.6646373126</v>
      </c>
      <c r="AD214" s="156" t="n">
        <f aca="false">AD186+AD192+AD194+AD211</f>
        <v>66967.3248166239</v>
      </c>
      <c r="AE214" s="156" t="n">
        <f aca="false">AE186+AE192+AE194+AE211</f>
        <v>69206.9849959352</v>
      </c>
      <c r="AF214" s="156" t="n">
        <f aca="false">AF186+AF192+AF194+AF211</f>
        <v>71446.6451752466</v>
      </c>
      <c r="AG214" s="156" t="n">
        <f aca="false">AG186+AG192+AG194+AG211</f>
        <v>73686.3053545579</v>
      </c>
      <c r="AH214" s="156" t="n">
        <f aca="false">AH186+AH192+AH194+AH211</f>
        <v>75925.9655338693</v>
      </c>
      <c r="AI214" s="156" t="n">
        <f aca="false">AI186+AI192+AI194+AI211</f>
        <v>78165.6257131806</v>
      </c>
      <c r="AJ214" s="156" t="n">
        <f aca="false">AJ186+AJ192+AJ194+AJ211</f>
        <v>80405.2858924919</v>
      </c>
      <c r="AK214" s="156" t="n">
        <f aca="false">AK186+AK192+AK194+AK211</f>
        <v>82644.9460718033</v>
      </c>
      <c r="AL214" s="156" t="n">
        <f aca="false">AL186+AL192+AL194+AL211</f>
        <v>84884.6062511146</v>
      </c>
      <c r="AM214" s="156" t="n">
        <f aca="false">AM186+AM192+AM194+AM211</f>
        <v>87124.2664304259</v>
      </c>
      <c r="AN214" s="156" t="n">
        <f aca="false">AN186+AN192+AN194+AN211</f>
        <v>89363.9266097373</v>
      </c>
      <c r="AO214" s="156" t="n">
        <f aca="false">AO186+AO192+AO194+AO211</f>
        <v>91603.5867890486</v>
      </c>
      <c r="AP214" s="156" t="n">
        <f aca="false">AP186+AP192+AP194+AP211</f>
        <v>93843.24696836</v>
      </c>
      <c r="AQ214" s="156" t="n">
        <f aca="false">AQ186+AQ192+AQ194+AQ211</f>
        <v>96082.9071476713</v>
      </c>
      <c r="AR214" s="156" t="n">
        <f aca="false">AR186+AR192+AR194+AR211</f>
        <v>98322.5673269827</v>
      </c>
      <c r="AS214" s="156" t="n">
        <f aca="false">AS186+AS192+AS194+AS211</f>
        <v>98322.5673269827</v>
      </c>
      <c r="AT214" s="156" t="n">
        <f aca="false">AT186+AT192+AT194+AT211</f>
        <v>98322.5673269827</v>
      </c>
      <c r="AU214" s="156" t="n">
        <f aca="false">AU186+AU192+AU194+AU211</f>
        <v>98322.5673269827</v>
      </c>
      <c r="AV214" s="156" t="n">
        <f aca="false">AV186+AV192+AV194+AV211</f>
        <v>98322.5673269827</v>
      </c>
      <c r="AW214" s="156" t="n">
        <f aca="false">AW186+AW192+AW194+AW211</f>
        <v>98322.5673269827</v>
      </c>
      <c r="AX214" s="156" t="n">
        <f aca="false">AX186+AX192+AX194+AX211</f>
        <v>98322.5673269827</v>
      </c>
      <c r="AY214" s="156" t="n">
        <f aca="false">AY186+AY192+AY194+AY211</f>
        <v>98322.5673269827</v>
      </c>
      <c r="AZ214" s="156" t="n">
        <f aca="false">AZ186+AZ192+AZ194+AZ211</f>
        <v>98322.5673269827</v>
      </c>
      <c r="BA214" s="156" t="n">
        <f aca="false">BA186+BA192+BA194+BA211</f>
        <v>98322.5673269827</v>
      </c>
      <c r="BB214" s="156" t="n">
        <f aca="false">BB186+BB192+BB194+BB211</f>
        <v>98322.5673269827</v>
      </c>
      <c r="BC214" s="156" t="n">
        <f aca="false">BC186+BC192+BC194+BC211</f>
        <v>98322.5673269827</v>
      </c>
      <c r="BD214" s="156" t="n">
        <f aca="false">BD186+BD192+BD194+BD211</f>
        <v>98322.5673269827</v>
      </c>
      <c r="BE214" s="156" t="n">
        <f aca="false">BE186+BE192+BE194+BE211</f>
        <v>98322.5673269827</v>
      </c>
      <c r="BF214" s="156" t="n">
        <f aca="false">BF186+BF192+BF194+BF211</f>
        <v>98322.5673269827</v>
      </c>
      <c r="BG214" s="156" t="n">
        <f aca="false">BG186+BG192+BG194+BG211</f>
        <v>98322.5673269827</v>
      </c>
      <c r="BH214" s="156" t="n">
        <f aca="false">BH186+BH192+BH194+BH211</f>
        <v>98322.5673269827</v>
      </c>
      <c r="BI214" s="156" t="n">
        <f aca="false">BI186+BI192+BI194+BI211</f>
        <v>98322.5673269827</v>
      </c>
      <c r="BJ214" s="156" t="n">
        <f aca="false">BJ186+BJ192+BJ194+BJ211</f>
        <v>98322.5673269827</v>
      </c>
      <c r="BK214" s="156" t="n">
        <f aca="false">BK186+BK192+BK194+BK211</f>
        <v>98322.5673269827</v>
      </c>
      <c r="BL214" s="156" t="n">
        <f aca="false">BL186+BL192+BL194+BL211</f>
        <v>98322.5673269827</v>
      </c>
      <c r="BM214" s="156" t="n">
        <f aca="false">BM186+BM192+BM194+BM211</f>
        <v>98322.5673269827</v>
      </c>
      <c r="BN214" s="156" t="n">
        <f aca="false">BN186+BN192+BN194+BN211</f>
        <v>98322.5673269827</v>
      </c>
      <c r="BO214" s="156" t="n">
        <f aca="false">BO186+BO192+BO194+BO211</f>
        <v>98322.5673269827</v>
      </c>
      <c r="BP214" s="156" t="n">
        <f aca="false">BP186+BP192+BP194+BP211</f>
        <v>98322.5673269827</v>
      </c>
      <c r="BQ214" s="156" t="n">
        <f aca="false">BQ186+BQ192+BQ194+BQ211</f>
        <v>98322.5673269827</v>
      </c>
      <c r="BR214" s="156" t="n">
        <f aca="false">BR186+BR192+BR194+BR211</f>
        <v>98322.5673269827</v>
      </c>
      <c r="BS214" s="156" t="n">
        <f aca="false">BS186+BS192+BS194+BS211</f>
        <v>98322.5673269827</v>
      </c>
      <c r="BT214" s="156" t="n">
        <f aca="false">BT186+BT192+BT194+BT211</f>
        <v>98322.5673269827</v>
      </c>
      <c r="BU214" s="156" t="n">
        <f aca="false">BU186+BU192+BU194+BU211</f>
        <v>98322.5673269827</v>
      </c>
      <c r="BV214" s="156" t="n">
        <f aca="false">BV186+BV192+BV194+BV211</f>
        <v>98322.5673269827</v>
      </c>
      <c r="BW214" s="156" t="n">
        <f aca="false">BW186+BW192+BW194+BW211</f>
        <v>98322.5673269827</v>
      </c>
      <c r="BX214" s="156" t="n">
        <f aca="false">BX186+BX192+BX194+BX211</f>
        <v>98322.5673269827</v>
      </c>
      <c r="BY214" s="156" t="n">
        <f aca="false">BY186+BY192+BY194+BY211</f>
        <v>98322.5673269827</v>
      </c>
      <c r="BZ214" s="156" t="n">
        <f aca="false">BZ186+BZ192+BZ194+BZ211</f>
        <v>98322.5673269827</v>
      </c>
      <c r="CA214" s="156" t="n">
        <f aca="false">CA186+CA192+CA194+CA211</f>
        <v>98322.5673269827</v>
      </c>
      <c r="CB214" s="156" t="n">
        <f aca="false">CB186+CB192+CB194+CB211</f>
        <v>98322.5673269827</v>
      </c>
      <c r="CC214" s="156" t="n">
        <f aca="false">CC186+CC192+CC194+CC211</f>
        <v>98322.5673269827</v>
      </c>
      <c r="CD214" s="156" t="n">
        <f aca="false">CD186+CD192+CD194+CD211</f>
        <v>98322.5673269827</v>
      </c>
      <c r="CE214" s="156" t="n">
        <f aca="false">CE186+CE192+CE194+CE211</f>
        <v>98322.5673269827</v>
      </c>
      <c r="CF214" s="156" t="n">
        <f aca="false">CF186+CF192+CF194+CF211</f>
        <v>98322.5673269827</v>
      </c>
      <c r="CG214" s="156" t="n">
        <f aca="false">CG186+CG192+CG194+CG211</f>
        <v>98322.5673269827</v>
      </c>
      <c r="CH214" s="156" t="n">
        <f aca="false">CH186+CH192+CH194+CH211</f>
        <v>98322.5673269827</v>
      </c>
    </row>
    <row r="215" customFormat="false" ht="15" hidden="false" customHeight="false" outlineLevel="0" collapsed="false">
      <c r="A215" s="25" t="s">
        <v>876</v>
      </c>
      <c r="C215" s="156" t="n">
        <f aca="false">C190+C193+C195+C207+C209</f>
        <v>-563.323674043701</v>
      </c>
      <c r="D215" s="156" t="n">
        <f aca="false">D190+D193+D195+D207+D209</f>
        <v>1099.95676154393</v>
      </c>
      <c r="E215" s="156" t="n">
        <f aca="false">E190+E193+E195+E207+E209</f>
        <v>2763.23719713157</v>
      </c>
      <c r="F215" s="156" t="n">
        <f aca="false">F190+F193+F195+F207+F209</f>
        <v>4426.5176327192</v>
      </c>
      <c r="G215" s="156" t="n">
        <f aca="false">G190+G193+G195+G207+G209</f>
        <v>-997.623458817765</v>
      </c>
      <c r="H215" s="156" t="n">
        <f aca="false">H190+H193+H195+H207+H209</f>
        <v>7753.07850389447</v>
      </c>
      <c r="I215" s="156" t="n">
        <f aca="false">I190+I193+I195+I207+I209</f>
        <v>9334.55228821457</v>
      </c>
      <c r="J215" s="156" t="n">
        <f aca="false">J190+J193+J195+J207+J209</f>
        <v>10871.8603450497</v>
      </c>
      <c r="K215" s="156" t="n">
        <f aca="false">K190+K193+K195+K207+K209</f>
        <v>12409.1684018848</v>
      </c>
      <c r="L215" s="156" t="n">
        <f aca="false">L190+L193+L195+L207+L209</f>
        <v>13946.47645872</v>
      </c>
      <c r="M215" s="156" t="n">
        <f aca="false">M190+M193+M195+M207+M209</f>
        <v>15483.7845155551</v>
      </c>
      <c r="N215" s="156" t="n">
        <f aca="false">N190+N193+N195+N207+N209</f>
        <v>17021.0925723902</v>
      </c>
      <c r="O215" s="156" t="n">
        <f aca="false">O190+O193+O195+O207+O209</f>
        <v>18558.4006292254</v>
      </c>
      <c r="P215" s="156" t="n">
        <f aca="false">P190+P193+P195+P207+P209</f>
        <v>20095.7086860605</v>
      </c>
      <c r="Q215" s="156" t="n">
        <f aca="false">Q190+Q193+Q195+Q207+Q209</f>
        <v>21633.0167428956</v>
      </c>
      <c r="R215" s="156" t="n">
        <f aca="false">R190+R193+R195+R207+R209</f>
        <v>23170.3247997307</v>
      </c>
      <c r="S215" s="156" t="n">
        <f aca="false">S190+S193+S195+S207+S209</f>
        <v>1951.93010313481</v>
      </c>
      <c r="T215" s="156" t="n">
        <f aca="false">T190+T193+T195+T207+T209</f>
        <v>26244.940913401</v>
      </c>
      <c r="U215" s="156" t="n">
        <f aca="false">U190+U193+U195+U207+U209</f>
        <v>26530.4700230323</v>
      </c>
      <c r="V215" s="156" t="n">
        <f aca="false">V190+V193+V195+V207+V209</f>
        <v>26530.4700230323</v>
      </c>
      <c r="W215" s="156" t="n">
        <f aca="false">W190+W193+W195+W207+W209</f>
        <v>26530.4700230323</v>
      </c>
      <c r="X215" s="156" t="n">
        <f aca="false">X190+X193+X195+X207+X209</f>
        <v>26530.4700230323</v>
      </c>
      <c r="Y215" s="156" t="n">
        <f aca="false">Y190+Y193+Y195+Y207+Y209</f>
        <v>26530.4700230323</v>
      </c>
      <c r="Z215" s="156" t="n">
        <f aca="false">Z190+Z193+Z195+Z207+Z209</f>
        <v>26530.4700230323</v>
      </c>
      <c r="AA215" s="156" t="n">
        <f aca="false">AA190+AA193+AA195+AA207+AA209</f>
        <v>26530.4700230323</v>
      </c>
      <c r="AB215" s="156" t="n">
        <f aca="false">AB190+AB193+AB195+AB207+AB209</f>
        <v>26530.4700230323</v>
      </c>
      <c r="AC215" s="156" t="n">
        <f aca="false">AC190+AC193+AC195+AC207+AC209</f>
        <v>26530.4700230323</v>
      </c>
      <c r="AD215" s="156" t="n">
        <f aca="false">AD190+AD193+AD195+AD207+AD209</f>
        <v>26530.4700230323</v>
      </c>
      <c r="AE215" s="156" t="n">
        <f aca="false">AE190+AE193+AE195+AE207+AE209</f>
        <v>2483.25534292886</v>
      </c>
      <c r="AF215" s="156" t="n">
        <f aca="false">AF190+AF193+AF195+AF207+AF209</f>
        <v>26530.4700230323</v>
      </c>
      <c r="AG215" s="156" t="n">
        <f aca="false">AG190+AG193+AG195+AG207+AG209</f>
        <v>26530.4700230323</v>
      </c>
      <c r="AH215" s="156" t="n">
        <f aca="false">AH190+AH193+AH195+AH207+AH209</f>
        <v>26530.4700230323</v>
      </c>
      <c r="AI215" s="156" t="n">
        <f aca="false">AI190+AI193+AI195+AI207+AI209</f>
        <v>26530.4700230323</v>
      </c>
      <c r="AJ215" s="156" t="n">
        <f aca="false">AJ190+AJ193+AJ195+AJ207+AJ209</f>
        <v>26530.4700230323</v>
      </c>
      <c r="AK215" s="156" t="n">
        <f aca="false">AK190+AK193+AK195+AK207+AK209</f>
        <v>26530.4700230323</v>
      </c>
      <c r="AL215" s="156" t="n">
        <f aca="false">AL190+AL193+AL195+AL207+AL209</f>
        <v>26530.4700230323</v>
      </c>
      <c r="AM215" s="156" t="n">
        <f aca="false">AM190+AM193+AM195+AM207+AM209</f>
        <v>26530.4700230323</v>
      </c>
      <c r="AN215" s="156" t="n">
        <f aca="false">AN190+AN193+AN195+AN207+AN209</f>
        <v>26530.4700230323</v>
      </c>
      <c r="AO215" s="156" t="n">
        <f aca="false">AO190+AO193+AO195+AO207+AO209</f>
        <v>26530.4700230323</v>
      </c>
      <c r="AP215" s="156" t="n">
        <f aca="false">AP190+AP193+AP195+AP207+AP209</f>
        <v>26530.4700230323</v>
      </c>
      <c r="AQ215" s="156" t="n">
        <f aca="false">AQ190+AQ193+AQ195+AQ207+AQ209</f>
        <v>2483.25534292886</v>
      </c>
      <c r="AR215" s="156" t="n">
        <f aca="false">AR190+AR193+AR195+AR207+AR209</f>
        <v>26530.4700230323</v>
      </c>
      <c r="AS215" s="156" t="n">
        <f aca="false">AS190+AS193+AS195+AS207+AS209</f>
        <v>26530.4700230323</v>
      </c>
      <c r="AT215" s="156" t="n">
        <f aca="false">AT190+AT193+AT195+AT207+AT209</f>
        <v>26530.4700230323</v>
      </c>
      <c r="AU215" s="156" t="n">
        <f aca="false">AU190+AU193+AU195+AU207+AU209</f>
        <v>26530.4700230323</v>
      </c>
      <c r="AV215" s="156" t="n">
        <f aca="false">AV190+AV193+AV195+AV207+AV209</f>
        <v>26530.4700230323</v>
      </c>
      <c r="AW215" s="156" t="n">
        <f aca="false">AW190+AW193+AW195+AW207+AW209</f>
        <v>26530.4700230323</v>
      </c>
      <c r="AX215" s="156" t="n">
        <f aca="false">AX190+AX193+AX195+AX207+AX209</f>
        <v>26530.4700230323</v>
      </c>
      <c r="AY215" s="156" t="n">
        <f aca="false">AY190+AY193+AY195+AY207+AY209</f>
        <v>26530.4700230323</v>
      </c>
      <c r="AZ215" s="156" t="n">
        <f aca="false">AZ190+AZ193+AZ195+AZ207+AZ209</f>
        <v>26530.4700230323</v>
      </c>
      <c r="BA215" s="156" t="n">
        <f aca="false">BA190+BA193+BA195+BA207+BA209</f>
        <v>26530.4700230323</v>
      </c>
      <c r="BB215" s="156" t="n">
        <f aca="false">BB190+BB193+BB195+BB207+BB209</f>
        <v>26530.4700230323</v>
      </c>
      <c r="BC215" s="156" t="n">
        <f aca="false">BC190+BC193+BC195+BC207+BC209</f>
        <v>2483.25534292886</v>
      </c>
      <c r="BD215" s="156" t="n">
        <f aca="false">BD190+BD193+BD195+BD207+BD209</f>
        <v>26530.4700230323</v>
      </c>
      <c r="BE215" s="156" t="n">
        <f aca="false">BE190+BE193+BE195+BE207+BE209</f>
        <v>26530.4700230323</v>
      </c>
      <c r="BF215" s="156" t="n">
        <f aca="false">BF190+BF193+BF195+BF207+BF209</f>
        <v>26530.4700230323</v>
      </c>
      <c r="BG215" s="156" t="n">
        <f aca="false">BG190+BG193+BG195+BG207+BG209</f>
        <v>26530.4700230323</v>
      </c>
      <c r="BH215" s="156" t="n">
        <f aca="false">BH190+BH193+BH195+BH207+BH209</f>
        <v>26530.4700230323</v>
      </c>
      <c r="BI215" s="156" t="n">
        <f aca="false">BI190+BI193+BI195+BI207+BI209</f>
        <v>26530.4700230323</v>
      </c>
      <c r="BJ215" s="156" t="n">
        <f aca="false">BJ190+BJ193+BJ195+BJ207+BJ209</f>
        <v>26530.4700230323</v>
      </c>
      <c r="BK215" s="156" t="n">
        <f aca="false">BK190+BK193+BK195+BK207+BK209</f>
        <v>26530.4700230323</v>
      </c>
      <c r="BL215" s="156" t="n">
        <f aca="false">BL190+BL193+BL195+BL207+BL209</f>
        <v>26530.4700230323</v>
      </c>
      <c r="BM215" s="156" t="n">
        <f aca="false">BM190+BM193+BM195+BM207+BM209</f>
        <v>26530.4700230323</v>
      </c>
      <c r="BN215" s="156" t="n">
        <f aca="false">BN190+BN193+BN195+BN207+BN209</f>
        <v>26530.4700230323</v>
      </c>
      <c r="BO215" s="156" t="n">
        <f aca="false">BO190+BO193+BO195+BO207+BO209</f>
        <v>2483.25534292886</v>
      </c>
      <c r="BP215" s="156" t="n">
        <f aca="false">BP190+BP193+BP195+BP207+BP209</f>
        <v>26530.4700230323</v>
      </c>
      <c r="BQ215" s="156" t="n">
        <f aca="false">BQ190+BQ193+BQ195+BQ207+BQ209</f>
        <v>26530.4700230323</v>
      </c>
      <c r="BR215" s="156" t="n">
        <f aca="false">BR190+BR193+BR195+BR207+BR209</f>
        <v>26530.4700230323</v>
      </c>
      <c r="BS215" s="156" t="n">
        <f aca="false">BS190+BS193+BS195+BS207+BS209</f>
        <v>26530.4700230323</v>
      </c>
      <c r="BT215" s="156" t="n">
        <f aca="false">BT190+BT193+BT195+BT207+BT209</f>
        <v>26530.4700230323</v>
      </c>
      <c r="BU215" s="156" t="n">
        <f aca="false">BU190+BU193+BU195+BU207+BU209</f>
        <v>26530.4700230323</v>
      </c>
      <c r="BV215" s="156" t="n">
        <f aca="false">BV190+BV193+BV195+BV207+BV209</f>
        <v>26530.4700230323</v>
      </c>
      <c r="BW215" s="156" t="n">
        <f aca="false">BW190+BW193+BW195+BW207+BW209</f>
        <v>26530.4700230323</v>
      </c>
      <c r="BX215" s="156" t="n">
        <f aca="false">BX190+BX193+BX195+BX207+BX209</f>
        <v>26530.4700230323</v>
      </c>
      <c r="BY215" s="156" t="n">
        <f aca="false">BY190+BY193+BY195+BY207+BY209</f>
        <v>26530.4700230323</v>
      </c>
      <c r="BZ215" s="156" t="n">
        <f aca="false">BZ190+BZ193+BZ195+BZ207+BZ209</f>
        <v>26530.4700230323</v>
      </c>
      <c r="CA215" s="156" t="n">
        <f aca="false">CA190+CA193+CA195+CA207+CA209</f>
        <v>2483.25534292886</v>
      </c>
      <c r="CB215" s="156" t="n">
        <f aca="false">CB190+CB193+CB195+CB207+CB209</f>
        <v>26530.4700230323</v>
      </c>
      <c r="CC215" s="156" t="n">
        <f aca="false">CC190+CC193+CC195+CC207+CC209</f>
        <v>26530.4700230323</v>
      </c>
      <c r="CD215" s="156" t="n">
        <f aca="false">CD190+CD193+CD195+CD207+CD209</f>
        <v>26530.4700230323</v>
      </c>
      <c r="CE215" s="156" t="n">
        <f aca="false">CE190+CE193+CE195+CE207+CE209</f>
        <v>26530.4700230323</v>
      </c>
      <c r="CF215" s="156" t="n">
        <f aca="false">CF190+CF193+CF195+CF207+CF209</f>
        <v>26530.4700230323</v>
      </c>
      <c r="CG215" s="156" t="n">
        <f aca="false">CG190+CG193+CG195+CG207+CG209</f>
        <v>26530.4700230323</v>
      </c>
      <c r="CH215" s="156" t="n">
        <f aca="false">CH190+CH193+CH195+CH207+CH209</f>
        <v>26530.4700230323</v>
      </c>
    </row>
    <row r="216" customFormat="false" ht="15" hidden="false" customHeight="false" outlineLevel="0" collapsed="false">
      <c r="A216" s="1" t="s">
        <v>877</v>
      </c>
      <c r="C216" s="27" t="n">
        <f aca="false">IF(C179+C178&lt;=C8+0.001,1,0)</f>
        <v>1</v>
      </c>
      <c r="D216" s="27" t="n">
        <f aca="false">IF(D179+D178&lt;=D8+0.001,1,0)</f>
        <v>1</v>
      </c>
      <c r="E216" s="27" t="n">
        <f aca="false">IF(E179+E178&lt;=E8+0.001,1,0)</f>
        <v>1</v>
      </c>
      <c r="F216" s="27" t="n">
        <f aca="false">IF(F179+F178&lt;=F8+0.001,1,0)</f>
        <v>1</v>
      </c>
      <c r="G216" s="27" t="n">
        <f aca="false">IF(G179+G178&lt;=G8+0.001,1,0)</f>
        <v>1</v>
      </c>
      <c r="H216" s="27" t="n">
        <f aca="false">IF(H179+H178&lt;=H8+0.001,1,0)</f>
        <v>1</v>
      </c>
      <c r="I216" s="27" t="n">
        <f aca="false">IF(I179+I178&lt;=I8+0.001,1,0)</f>
        <v>1</v>
      </c>
      <c r="J216" s="27" t="n">
        <f aca="false">IF(J179+J178&lt;=J8+0.001,1,0)</f>
        <v>1</v>
      </c>
      <c r="K216" s="27" t="n">
        <f aca="false">IF(K179+K178&lt;=K8+0.001,1,0)</f>
        <v>1</v>
      </c>
      <c r="L216" s="27" t="n">
        <f aca="false">IF(L179+L178&lt;=L8+0.001,1,0)</f>
        <v>1</v>
      </c>
      <c r="M216" s="27" t="n">
        <f aca="false">IF(M179+M178&lt;=M8+0.001,1,0)</f>
        <v>1</v>
      </c>
      <c r="N216" s="27" t="n">
        <f aca="false">IF(N179+N178&lt;=N8+0.001,1,0)</f>
        <v>1</v>
      </c>
      <c r="O216" s="27" t="n">
        <f aca="false">IF(O179+O178&lt;=O8+0.001,1,0)</f>
        <v>1</v>
      </c>
      <c r="P216" s="27" t="n">
        <f aca="false">IF(P179+P178&lt;=P8+0.001,1,0)</f>
        <v>1</v>
      </c>
      <c r="Q216" s="27" t="n">
        <f aca="false">IF(Q179+Q178&lt;=Q8+0.001,1,0)</f>
        <v>1</v>
      </c>
      <c r="R216" s="27" t="n">
        <f aca="false">IF(R179+R178&lt;=R8+0.001,1,0)</f>
        <v>1</v>
      </c>
      <c r="S216" s="27" t="n">
        <f aca="false">IF(S179+S178&lt;=S8+0.001,1,0)</f>
        <v>1</v>
      </c>
      <c r="T216" s="27" t="n">
        <f aca="false">IF(T179+T178&lt;=T8+0.001,1,0)</f>
        <v>1</v>
      </c>
      <c r="U216" s="27" t="n">
        <f aca="false">IF(U179+U178&lt;=U8+0.001,1,0)</f>
        <v>1</v>
      </c>
      <c r="V216" s="27" t="n">
        <f aca="false">IF(V179+V178&lt;=V8+0.001,1,0)</f>
        <v>1</v>
      </c>
      <c r="W216" s="27" t="n">
        <f aca="false">IF(W179+W178&lt;=W8+0.001,1,0)</f>
        <v>1</v>
      </c>
      <c r="X216" s="27" t="n">
        <f aca="false">IF(X179+X178&lt;=X8+0.001,1,0)</f>
        <v>1</v>
      </c>
      <c r="Y216" s="27" t="n">
        <f aca="false">IF(Y179+Y178&lt;=Y8+0.001,1,0)</f>
        <v>1</v>
      </c>
      <c r="Z216" s="27" t="n">
        <f aca="false">IF(Z179+Z178&lt;=Z8+0.001,1,0)</f>
        <v>1</v>
      </c>
      <c r="AA216" s="27" t="n">
        <f aca="false">IF(AA179+AA178&lt;=AA8+0.001,1,0)</f>
        <v>1</v>
      </c>
      <c r="AB216" s="27" t="n">
        <f aca="false">IF(AB179+AB178&lt;=AB8+0.001,1,0)</f>
        <v>1</v>
      </c>
      <c r="AC216" s="27" t="n">
        <f aca="false">IF(AC179+AC178&lt;=AC8+0.001,1,0)</f>
        <v>1</v>
      </c>
      <c r="AD216" s="27" t="n">
        <f aca="false">IF(AD179+AD178&lt;=AD8+0.001,1,0)</f>
        <v>1</v>
      </c>
      <c r="AE216" s="27" t="n">
        <f aca="false">IF(AE179+AE178&lt;=AE8+0.001,1,0)</f>
        <v>1</v>
      </c>
      <c r="AF216" s="27" t="n">
        <f aca="false">IF(AF179+AF178&lt;=AF8+0.001,1,0)</f>
        <v>1</v>
      </c>
      <c r="AG216" s="27" t="n">
        <f aca="false">IF(AG179+AG178&lt;=AG8+0.001,1,0)</f>
        <v>1</v>
      </c>
      <c r="AH216" s="27" t="n">
        <f aca="false">IF(AH179+AH178&lt;=AH8+0.001,1,0)</f>
        <v>1</v>
      </c>
      <c r="AI216" s="27" t="n">
        <f aca="false">IF(AI179+AI178&lt;=AI8+0.001,1,0)</f>
        <v>1</v>
      </c>
      <c r="AJ216" s="27" t="n">
        <f aca="false">IF(AJ179+AJ178&lt;=AJ8+0.001,1,0)</f>
        <v>1</v>
      </c>
      <c r="AK216" s="27" t="n">
        <f aca="false">IF(AK179+AK178&lt;=AK8+0.001,1,0)</f>
        <v>1</v>
      </c>
      <c r="AL216" s="27" t="n">
        <f aca="false">IF(AL179+AL178&lt;=AL8+0.001,1,0)</f>
        <v>1</v>
      </c>
      <c r="AM216" s="27" t="n">
        <f aca="false">IF(AM179+AM178&lt;=AM8+0.001,1,0)</f>
        <v>1</v>
      </c>
      <c r="AN216" s="27" t="n">
        <f aca="false">IF(AN179+AN178&lt;=AN8+0.001,1,0)</f>
        <v>1</v>
      </c>
      <c r="AO216" s="27" t="n">
        <f aca="false">IF(AO179+AO178&lt;=AO8+0.001,1,0)</f>
        <v>1</v>
      </c>
      <c r="AP216" s="27" t="n">
        <f aca="false">IF(AP179+AP178&lt;=AP8+0.001,1,0)</f>
        <v>1</v>
      </c>
      <c r="AQ216" s="27" t="n">
        <f aca="false">IF(AQ179+AQ178&lt;=AQ8+0.001,1,0)</f>
        <v>1</v>
      </c>
      <c r="AR216" s="27" t="n">
        <f aca="false">IF(AR179+AR178&lt;=AR8+0.001,1,0)</f>
        <v>1</v>
      </c>
      <c r="AS216" s="27" t="n">
        <f aca="false">IF(AS179+AS178&lt;=AS8+0.001,1,0)</f>
        <v>1</v>
      </c>
      <c r="AT216" s="27" t="n">
        <f aca="false">IF(AT179+AT178&lt;=AT8+0.001,1,0)</f>
        <v>1</v>
      </c>
      <c r="AU216" s="27" t="n">
        <f aca="false">IF(AU179+AU178&lt;=AU8+0.001,1,0)</f>
        <v>1</v>
      </c>
      <c r="AV216" s="27" t="n">
        <f aca="false">IF(AV179+AV178&lt;=AV8+0.001,1,0)</f>
        <v>1</v>
      </c>
      <c r="AW216" s="27" t="n">
        <f aca="false">IF(AW179+AW178&lt;=AW8+0.001,1,0)</f>
        <v>1</v>
      </c>
      <c r="AX216" s="27" t="n">
        <f aca="false">IF(AX179+AX178&lt;=AX8+0.001,1,0)</f>
        <v>1</v>
      </c>
      <c r="AY216" s="27" t="n">
        <f aca="false">IF(AY179+AY178&lt;=AY8+0.001,1,0)</f>
        <v>1</v>
      </c>
      <c r="AZ216" s="27" t="n">
        <f aca="false">IF(AZ179+AZ178&lt;=AZ8+0.001,1,0)</f>
        <v>1</v>
      </c>
      <c r="BA216" s="27" t="n">
        <f aca="false">IF(BA179+BA178&lt;=BA8+0.001,1,0)</f>
        <v>1</v>
      </c>
      <c r="BB216" s="27" t="n">
        <f aca="false">IF(BB179+BB178&lt;=BB8+0.001,1,0)</f>
        <v>1</v>
      </c>
      <c r="BC216" s="27" t="n">
        <f aca="false">IF(BC179+BC178&lt;=BC8+0.001,1,0)</f>
        <v>1</v>
      </c>
      <c r="BD216" s="27" t="n">
        <f aca="false">IF(BD179+BD178&lt;=BD8+0.001,1,0)</f>
        <v>1</v>
      </c>
      <c r="BE216" s="27" t="n">
        <f aca="false">IF(BE179+BE178&lt;=BE8+0.001,1,0)</f>
        <v>1</v>
      </c>
      <c r="BF216" s="27" t="n">
        <f aca="false">IF(BF179+BF178&lt;=BF8+0.001,1,0)</f>
        <v>1</v>
      </c>
      <c r="BG216" s="27" t="n">
        <f aca="false">IF(BG179+BG178&lt;=BG8+0.001,1,0)</f>
        <v>1</v>
      </c>
      <c r="BH216" s="27" t="n">
        <f aca="false">IF(BH179+BH178&lt;=BH8+0.001,1,0)</f>
        <v>1</v>
      </c>
      <c r="BI216" s="27" t="n">
        <f aca="false">IF(BI179+BI178&lt;=BI8+0.001,1,0)</f>
        <v>1</v>
      </c>
      <c r="BJ216" s="27" t="n">
        <f aca="false">IF(BJ179+BJ178&lt;=BJ8+0.001,1,0)</f>
        <v>1</v>
      </c>
      <c r="BK216" s="27" t="n">
        <f aca="false">IF(BK179+BK178&lt;=BK8+0.001,1,0)</f>
        <v>1</v>
      </c>
      <c r="BL216" s="27" t="n">
        <f aca="false">IF(BL179+BL178&lt;=BL8+0.001,1,0)</f>
        <v>1</v>
      </c>
      <c r="BM216" s="27" t="n">
        <f aca="false">IF(BM179+BM178&lt;=BM8+0.001,1,0)</f>
        <v>1</v>
      </c>
      <c r="BN216" s="27" t="n">
        <f aca="false">IF(BN179+BN178&lt;=BN8+0.001,1,0)</f>
        <v>1</v>
      </c>
      <c r="BO216" s="27" t="n">
        <f aca="false">IF(BO179+BO178&lt;=BO8+0.001,1,0)</f>
        <v>1</v>
      </c>
      <c r="BP216" s="27" t="n">
        <f aca="false">IF(BP179+BP178&lt;=BP8+0.001,1,0)</f>
        <v>1</v>
      </c>
      <c r="BQ216" s="27" t="n">
        <f aca="false">IF(BQ179+BQ178&lt;=BQ8+0.001,1,0)</f>
        <v>1</v>
      </c>
      <c r="BR216" s="27" t="n">
        <f aca="false">IF(BR179+BR178&lt;=BR8+0.001,1,0)</f>
        <v>1</v>
      </c>
      <c r="BS216" s="27" t="n">
        <f aca="false">IF(BS179+BS178&lt;=BS8+0.001,1,0)</f>
        <v>1</v>
      </c>
      <c r="BT216" s="27" t="n">
        <f aca="false">IF(BT179+BT178&lt;=BT8+0.001,1,0)</f>
        <v>1</v>
      </c>
      <c r="BU216" s="27" t="n">
        <f aca="false">IF(BU179+BU178&lt;=BU8+0.001,1,0)</f>
        <v>1</v>
      </c>
      <c r="BV216" s="27" t="n">
        <f aca="false">IF(BV179+BV178&lt;=BV8+0.001,1,0)</f>
        <v>1</v>
      </c>
      <c r="BW216" s="27" t="n">
        <f aca="false">IF(BW179+BW178&lt;=BW8+0.001,1,0)</f>
        <v>1</v>
      </c>
      <c r="BX216" s="27" t="n">
        <f aca="false">IF(BX179+BX178&lt;=BX8+0.001,1,0)</f>
        <v>1</v>
      </c>
      <c r="BY216" s="27" t="n">
        <f aca="false">IF(BY179+BY178&lt;=BY8+0.001,1,0)</f>
        <v>1</v>
      </c>
      <c r="BZ216" s="27" t="n">
        <f aca="false">IF(BZ179+BZ178&lt;=BZ8+0.001,1,0)</f>
        <v>1</v>
      </c>
      <c r="CA216" s="27" t="n">
        <f aca="false">IF(CA179+CA178&lt;=CA8+0.001,1,0)</f>
        <v>1</v>
      </c>
      <c r="CB216" s="27" t="n">
        <f aca="false">IF(CB179+CB178&lt;=CB8+0.001,1,0)</f>
        <v>1</v>
      </c>
      <c r="CC216" s="27" t="n">
        <f aca="false">IF(CC179+CC178&lt;=CC8+0.001,1,0)</f>
        <v>1</v>
      </c>
      <c r="CD216" s="27" t="n">
        <f aca="false">IF(CD179+CD178&lt;=CD8+0.001,1,0)</f>
        <v>1</v>
      </c>
      <c r="CE216" s="27" t="n">
        <f aca="false">IF(CE179+CE178&lt;=CE8+0.001,1,0)</f>
        <v>1</v>
      </c>
      <c r="CF216" s="27" t="n">
        <f aca="false">IF(CF179+CF178&lt;=CF8+0.001,1,0)</f>
        <v>1</v>
      </c>
      <c r="CG216" s="27" t="n">
        <f aca="false">IF(CG179+CG178&lt;=CG8+0.001,1,0)</f>
        <v>1</v>
      </c>
      <c r="CH216" s="27" t="n">
        <f aca="false">IF(CH179+CH178&lt;=CH8+0.001,1,0)</f>
        <v>1</v>
      </c>
    </row>
    <row r="217" customFormat="false" ht="15" hidden="false" customHeight="false" outlineLevel="0" collapsed="false">
      <c r="A217" s="1" t="s">
        <v>878</v>
      </c>
      <c r="C217" s="27" t="n">
        <f aca="false">IF(C196&lt;=Restaurantes!$D$13+0.001,1,0)</f>
        <v>1</v>
      </c>
      <c r="D217" s="27" t="n">
        <f aca="false">IF(D196&lt;=Restaurantes!$D$13+0.001,1,0)</f>
        <v>1</v>
      </c>
      <c r="E217" s="27" t="n">
        <f aca="false">IF(E196&lt;=Restaurantes!$D$13+0.001,1,0)</f>
        <v>1</v>
      </c>
      <c r="F217" s="27" t="n">
        <f aca="false">IF(F196&lt;=Restaurantes!$D$13+0.001,1,0)</f>
        <v>1</v>
      </c>
      <c r="G217" s="27" t="n">
        <f aca="false">IF(G196&lt;=Restaurantes!$D$13+0.001,1,0)</f>
        <v>1</v>
      </c>
      <c r="H217" s="27" t="n">
        <f aca="false">IF(H196&lt;=Restaurantes!$D$13+0.001,1,0)</f>
        <v>1</v>
      </c>
      <c r="I217" s="27" t="n">
        <f aca="false">IF(I196&lt;=Restaurantes!$D$13+0.001,1,0)</f>
        <v>1</v>
      </c>
      <c r="J217" s="27" t="n">
        <f aca="false">IF(J196&lt;=Restaurantes!$D$13+0.001,1,0)</f>
        <v>1</v>
      </c>
      <c r="K217" s="27" t="n">
        <f aca="false">IF(K196&lt;=Restaurantes!$D$13+0.001,1,0)</f>
        <v>1</v>
      </c>
      <c r="L217" s="27" t="n">
        <f aca="false">IF(L196&lt;=Restaurantes!$D$13+0.001,1,0)</f>
        <v>1</v>
      </c>
      <c r="M217" s="27" t="n">
        <f aca="false">IF(M196&lt;=Restaurantes!$D$13+0.001,1,0)</f>
        <v>1</v>
      </c>
      <c r="N217" s="27" t="n">
        <f aca="false">IF(N196&lt;=Restaurantes!$D$13+0.001,1,0)</f>
        <v>1</v>
      </c>
      <c r="O217" s="27" t="n">
        <f aca="false">IF(O196&lt;=Restaurantes!$D$13+0.001,1,0)</f>
        <v>1</v>
      </c>
      <c r="P217" s="27" t="n">
        <f aca="false">IF(P196&lt;=Restaurantes!$D$13+0.001,1,0)</f>
        <v>1</v>
      </c>
      <c r="Q217" s="27" t="n">
        <f aca="false">IF(Q196&lt;=Restaurantes!$D$13+0.001,1,0)</f>
        <v>1</v>
      </c>
      <c r="R217" s="27" t="n">
        <f aca="false">IF(R196&lt;=Restaurantes!$D$13+0.001,1,0)</f>
        <v>1</v>
      </c>
      <c r="S217" s="27" t="n">
        <f aca="false">IF(S196&lt;=Restaurantes!$D$13+0.001,1,0)</f>
        <v>1</v>
      </c>
      <c r="T217" s="27" t="n">
        <f aca="false">IF(T196&lt;=Restaurantes!$D$13+0.001,1,0)</f>
        <v>1</v>
      </c>
      <c r="U217" s="27" t="n">
        <f aca="false">IF(U196&lt;=Restaurantes!$D$13+0.001,1,0)</f>
        <v>1</v>
      </c>
      <c r="V217" s="27" t="n">
        <f aca="false">IF(V196&lt;=Restaurantes!$D$13+0.001,1,0)</f>
        <v>1</v>
      </c>
      <c r="W217" s="27" t="n">
        <f aca="false">IF(W196&lt;=Restaurantes!$D$13+0.001,1,0)</f>
        <v>1</v>
      </c>
      <c r="X217" s="27" t="n">
        <f aca="false">IF(X196&lt;=Restaurantes!$D$13+0.001,1,0)</f>
        <v>1</v>
      </c>
      <c r="Y217" s="27" t="n">
        <f aca="false">IF(Y196&lt;=Restaurantes!$D$13+0.001,1,0)</f>
        <v>1</v>
      </c>
      <c r="Z217" s="27" t="n">
        <f aca="false">IF(Z196&lt;=Restaurantes!$D$13+0.001,1,0)</f>
        <v>1</v>
      </c>
      <c r="AA217" s="27" t="n">
        <f aca="false">IF(AA196&lt;=Restaurantes!$D$13+0.001,1,0)</f>
        <v>1</v>
      </c>
      <c r="AB217" s="27" t="n">
        <f aca="false">IF(AB196&lt;=Restaurantes!$D$13+0.001,1,0)</f>
        <v>1</v>
      </c>
      <c r="AC217" s="27" t="n">
        <f aca="false">IF(AC196&lt;=Restaurantes!$D$13+0.001,1,0)</f>
        <v>1</v>
      </c>
      <c r="AD217" s="27" t="n">
        <f aca="false">IF(AD196&lt;=Restaurantes!$D$13+0.001,1,0)</f>
        <v>1</v>
      </c>
      <c r="AE217" s="27" t="n">
        <f aca="false">IF(AE196&lt;=Restaurantes!$D$13+0.001,1,0)</f>
        <v>1</v>
      </c>
      <c r="AF217" s="27" t="n">
        <f aca="false">IF(AF196&lt;=Restaurantes!$D$13+0.001,1,0)</f>
        <v>1</v>
      </c>
      <c r="AG217" s="27" t="n">
        <f aca="false">IF(AG196&lt;=Restaurantes!$D$13+0.001,1,0)</f>
        <v>1</v>
      </c>
      <c r="AH217" s="27" t="n">
        <f aca="false">IF(AH196&lt;=Restaurantes!$D$13+0.001,1,0)</f>
        <v>1</v>
      </c>
      <c r="AI217" s="27" t="n">
        <f aca="false">IF(AI196&lt;=Restaurantes!$D$13+0.001,1,0)</f>
        <v>1</v>
      </c>
      <c r="AJ217" s="27" t="n">
        <f aca="false">IF(AJ196&lt;=Restaurantes!$D$13+0.001,1,0)</f>
        <v>1</v>
      </c>
      <c r="AK217" s="27" t="n">
        <f aca="false">IF(AK196&lt;=Restaurantes!$D$13+0.001,1,0)</f>
        <v>1</v>
      </c>
      <c r="AL217" s="27" t="n">
        <f aca="false">IF(AL196&lt;=Restaurantes!$D$13+0.001,1,0)</f>
        <v>1</v>
      </c>
      <c r="AM217" s="27" t="n">
        <f aca="false">IF(AM196&lt;=Restaurantes!$D$13+0.001,1,0)</f>
        <v>1</v>
      </c>
      <c r="AN217" s="27" t="n">
        <f aca="false">IF(AN196&lt;=Restaurantes!$D$13+0.001,1,0)</f>
        <v>1</v>
      </c>
      <c r="AO217" s="27" t="n">
        <f aca="false">IF(AO196&lt;=Restaurantes!$D$13+0.001,1,0)</f>
        <v>1</v>
      </c>
      <c r="AP217" s="27" t="n">
        <f aca="false">IF(AP196&lt;=Restaurantes!$D$13+0.001,1,0)</f>
        <v>1</v>
      </c>
      <c r="AQ217" s="27" t="n">
        <f aca="false">IF(AQ196&lt;=Restaurantes!$D$13+0.001,1,0)</f>
        <v>1</v>
      </c>
      <c r="AR217" s="27" t="n">
        <f aca="false">IF(AR196&lt;=Restaurantes!$D$13+0.001,1,0)</f>
        <v>1</v>
      </c>
      <c r="AS217" s="27" t="n">
        <f aca="false">IF(AS196&lt;=Restaurantes!$D$13+0.001,1,0)</f>
        <v>1</v>
      </c>
      <c r="AT217" s="27" t="n">
        <f aca="false">IF(AT196&lt;=Restaurantes!$D$13+0.001,1,0)</f>
        <v>1</v>
      </c>
      <c r="AU217" s="27" t="n">
        <f aca="false">IF(AU196&lt;=Restaurantes!$D$13+0.001,1,0)</f>
        <v>1</v>
      </c>
      <c r="AV217" s="27" t="n">
        <f aca="false">IF(AV196&lt;=Restaurantes!$D$13+0.001,1,0)</f>
        <v>1</v>
      </c>
      <c r="AW217" s="27" t="n">
        <f aca="false">IF(AW196&lt;=Restaurantes!$D$13+0.001,1,0)</f>
        <v>1</v>
      </c>
      <c r="AX217" s="27" t="n">
        <f aca="false">IF(AX196&lt;=Restaurantes!$D$13+0.001,1,0)</f>
        <v>1</v>
      </c>
      <c r="AY217" s="27" t="n">
        <f aca="false">IF(AY196&lt;=Restaurantes!$D$13+0.001,1,0)</f>
        <v>1</v>
      </c>
      <c r="AZ217" s="27" t="n">
        <f aca="false">IF(AZ196&lt;=Restaurantes!$D$13+0.001,1,0)</f>
        <v>1</v>
      </c>
      <c r="BA217" s="27" t="n">
        <f aca="false">IF(BA196&lt;=Restaurantes!$D$13+0.001,1,0)</f>
        <v>1</v>
      </c>
      <c r="BB217" s="27" t="n">
        <f aca="false">IF(BB196&lt;=Restaurantes!$D$13+0.001,1,0)</f>
        <v>1</v>
      </c>
      <c r="BC217" s="27" t="n">
        <f aca="false">IF(BC196&lt;=Restaurantes!$D$13+0.001,1,0)</f>
        <v>1</v>
      </c>
      <c r="BD217" s="27" t="n">
        <f aca="false">IF(BD196&lt;=Restaurantes!$D$13+0.001,1,0)</f>
        <v>1</v>
      </c>
      <c r="BE217" s="27" t="n">
        <f aca="false">IF(BE196&lt;=Restaurantes!$D$13+0.001,1,0)</f>
        <v>1</v>
      </c>
      <c r="BF217" s="27" t="n">
        <f aca="false">IF(BF196&lt;=Restaurantes!$D$13+0.001,1,0)</f>
        <v>1</v>
      </c>
      <c r="BG217" s="27" t="n">
        <f aca="false">IF(BG196&lt;=Restaurantes!$D$13+0.001,1,0)</f>
        <v>1</v>
      </c>
      <c r="BH217" s="27" t="n">
        <f aca="false">IF(BH196&lt;=Restaurantes!$D$13+0.001,1,0)</f>
        <v>1</v>
      </c>
      <c r="BI217" s="27" t="n">
        <f aca="false">IF(BI196&lt;=Restaurantes!$D$13+0.001,1,0)</f>
        <v>1</v>
      </c>
      <c r="BJ217" s="27" t="n">
        <f aca="false">IF(BJ196&lt;=Restaurantes!$D$13+0.001,1,0)</f>
        <v>1</v>
      </c>
      <c r="BK217" s="27" t="n">
        <f aca="false">IF(BK196&lt;=Restaurantes!$D$13+0.001,1,0)</f>
        <v>1</v>
      </c>
      <c r="BL217" s="27" t="n">
        <f aca="false">IF(BL196&lt;=Restaurantes!$D$13+0.001,1,0)</f>
        <v>1</v>
      </c>
      <c r="BM217" s="27" t="n">
        <f aca="false">IF(BM196&lt;=Restaurantes!$D$13+0.001,1,0)</f>
        <v>1</v>
      </c>
      <c r="BN217" s="27" t="n">
        <f aca="false">IF(BN196&lt;=Restaurantes!$D$13+0.001,1,0)</f>
        <v>1</v>
      </c>
      <c r="BO217" s="27" t="n">
        <f aca="false">IF(BO196&lt;=Restaurantes!$D$13+0.001,1,0)</f>
        <v>1</v>
      </c>
      <c r="BP217" s="27" t="n">
        <f aca="false">IF(BP196&lt;=Restaurantes!$D$13+0.001,1,0)</f>
        <v>1</v>
      </c>
      <c r="BQ217" s="27" t="n">
        <f aca="false">IF(BQ196&lt;=Restaurantes!$D$13+0.001,1,0)</f>
        <v>1</v>
      </c>
      <c r="BR217" s="27" t="n">
        <f aca="false">IF(BR196&lt;=Restaurantes!$D$13+0.001,1,0)</f>
        <v>1</v>
      </c>
      <c r="BS217" s="27" t="n">
        <f aca="false">IF(BS196&lt;=Restaurantes!$D$13+0.001,1,0)</f>
        <v>1</v>
      </c>
      <c r="BT217" s="27" t="n">
        <f aca="false">IF(BT196&lt;=Restaurantes!$D$13+0.001,1,0)</f>
        <v>1</v>
      </c>
      <c r="BU217" s="27" t="n">
        <f aca="false">IF(BU196&lt;=Restaurantes!$D$13+0.001,1,0)</f>
        <v>1</v>
      </c>
      <c r="BV217" s="27" t="n">
        <f aca="false">IF(BV196&lt;=Restaurantes!$D$13+0.001,1,0)</f>
        <v>1</v>
      </c>
      <c r="BW217" s="27" t="n">
        <f aca="false">IF(BW196&lt;=Restaurantes!$D$13+0.001,1,0)</f>
        <v>1</v>
      </c>
      <c r="BX217" s="27" t="n">
        <f aca="false">IF(BX196&lt;=Restaurantes!$D$13+0.001,1,0)</f>
        <v>1</v>
      </c>
      <c r="BY217" s="27" t="n">
        <f aca="false">IF(BY196&lt;=Restaurantes!$D$13+0.001,1,0)</f>
        <v>1</v>
      </c>
      <c r="BZ217" s="27" t="n">
        <f aca="false">IF(BZ196&lt;=Restaurantes!$D$13+0.001,1,0)</f>
        <v>1</v>
      </c>
      <c r="CA217" s="27" t="n">
        <f aca="false">IF(CA196&lt;=Restaurantes!$D$13+0.001,1,0)</f>
        <v>1</v>
      </c>
      <c r="CB217" s="27" t="n">
        <f aca="false">IF(CB196&lt;=Restaurantes!$D$13+0.001,1,0)</f>
        <v>1</v>
      </c>
      <c r="CC217" s="27" t="n">
        <f aca="false">IF(CC196&lt;=Restaurantes!$D$13+0.001,1,0)</f>
        <v>1</v>
      </c>
      <c r="CD217" s="27" t="n">
        <f aca="false">IF(CD196&lt;=Restaurantes!$D$13+0.001,1,0)</f>
        <v>1</v>
      </c>
      <c r="CE217" s="27" t="n">
        <f aca="false">IF(CE196&lt;=Restaurantes!$D$13+0.001,1,0)</f>
        <v>1</v>
      </c>
      <c r="CF217" s="27" t="n">
        <f aca="false">IF(CF196&lt;=Restaurantes!$D$13+0.001,1,0)</f>
        <v>1</v>
      </c>
      <c r="CG217" s="27" t="n">
        <f aca="false">IF(CG196&lt;=Restaurantes!$D$13+0.001,1,0)</f>
        <v>1</v>
      </c>
      <c r="CH217" s="27" t="n">
        <f aca="false">IF(CH196&lt;=Restaurantes!$D$13+0.001,1,0)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2026-07-19T00:15:34Z</dcterms:created>
  <dc:creator>openpyxl</dc:creator>
  <dc:description/>
  <dc:language>en-US</dc:language>
  <cp:lastModifiedBy/>
  <dcterms:modified xsi:type="dcterms:W3CDTF">2026-10-02T12:57:45Z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