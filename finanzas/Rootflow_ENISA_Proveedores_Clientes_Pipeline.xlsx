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veedores" sheetId="2" state="visible" r:id="rId4"/>
    <sheet name="Clientes" sheetId="3" state="visible" r:id="rId5"/>
    <sheet name="Ventas detalle" sheetId="4" state="visible" r:id="rId6"/>
    <sheet name="Pipeline restaurantes" sheetId="5" state="visible" r:id="rId7"/>
    <sheet name="Pipeline distribución" sheetId="6" state="visible" r:id="rId8"/>
  </sheets>
  <definedNames>
    <definedName function="false" hidden="true" localSheetId="4" name="_xlnm._FilterDatabase" vbProcedure="false">'Pipeline restaurantes'!$A$4:$I$42</definedName>
    <definedName function="false" hidden="true" localSheetId="1" name="_xlnm._FilterDatabase" vbProcedure="false">Proveedores!$A$4:$I$33</definedName>
    <definedName function="false" hidden="true" localSheetId="3" name="_xlnm._FilterDatabase" vbProcedure="false">'Ventas detalle'!$A$4:$K$19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<sst xmlns="http://schemas.openxmlformats.org/spreadsheetml/2006/main" count="638" uniqueCount="349">
  <si>
    <t xml:space="preserve">Rootflow Hydroponics, S.L. — Información para la solicitud ENISA</t>
  </si>
  <si>
    <t xml:space="preserve">Proveedores, clientes y facturación real, y pipeline comercial. Datos del ERP de la empresa a 07/10/2026.</t>
  </si>
  <si>
    <t xml:space="preserve">1 · FACTURACIÓN REAL (desde el inicio de la actividad hasta hoy)</t>
  </si>
  <si>
    <t xml:space="preserve">Facturado y vendido (base imponible, sin IVA)</t>
  </si>
  <si>
    <t xml:space="preserve">Facturas emitidas + tickets de venta directa</t>
  </si>
  <si>
    <t xml:space="preserve">Facturado y vendido (IVA incluido)</t>
  </si>
  <si>
    <t xml:space="preserve">Cobrado</t>
  </si>
  <si>
    <t xml:space="preserve">Pendiente de cobro</t>
  </si>
  <si>
    <t xml:space="preserve">Entregado pendiente de facturar (base)</t>
  </si>
  <si>
    <t xml:space="preserve">Se factura en octubre</t>
  </si>
  <si>
    <t xml:space="preserve">Clientes que ya han comprado (sin contar la venta directa)</t>
  </si>
  <si>
    <t xml:space="preserve">Entregas realizadas</t>
  </si>
  <si>
    <t xml:space="preserve">Incluye 5 tickets de venta directa</t>
  </si>
  <si>
    <t xml:space="preserve">Ventas por mes de entrega (base imponible)</t>
  </si>
  <si>
    <t xml:space="preserve">Facturado</t>
  </si>
  <si>
    <t xml:space="preserve">Entregado pendiente de facturar</t>
  </si>
  <si>
    <t xml:space="preserve">Mayo 2026</t>
  </si>
  <si>
    <t xml:space="preserve">Junio 2026</t>
  </si>
  <si>
    <t xml:space="preserve">Julio 2026</t>
  </si>
  <si>
    <t xml:space="preserve">Agosto 2026 (producción parada)</t>
  </si>
  <si>
    <t xml:space="preserve">Septiembre 2026</t>
  </si>
  <si>
    <t xml:space="preserve">Octubre 2026 (hasta el día 7)</t>
  </si>
  <si>
    <t xml:space="preserve">Total</t>
  </si>
  <si>
    <t xml:space="preserve">2 · PROVEEDORES</t>
  </si>
  <si>
    <t xml:space="preserve">Compras registradas desde la constitución (IVA incluido)</t>
  </si>
  <si>
    <t xml:space="preserve">Incluye el equipamiento del local actual y la constitución de la sociedad</t>
  </si>
  <si>
    <t xml:space="preserve">Semilla: MP Seeds (Łódź, Polonia) · Sustrato: Organic Growshop (Madrid) · Envases: Envases del Mediterráneo (Murcia)</t>
  </si>
  <si>
    <t xml:space="preserve">Sistema de cultivo: Leroy Merlin, Plases Grow Shop, Green Ice, LEDBOX · Gestión: ERP propio</t>
  </si>
  <si>
    <t xml:space="preserve">3 · PIPELINE COMERCIAL</t>
  </si>
  <si>
    <t xml:space="preserve">Oportunidades abiertas en el CRM (restaurantes, tiendas y distribuidores)</t>
  </si>
  <si>
    <t xml:space="preserve">Hoja «Pipeline restaurantes»</t>
  </si>
  <si>
    <t xml:space="preserve">  · de ellas, en negociación o con interés confirmado</t>
  </si>
  <si>
    <t xml:space="preserve">Cuentas de distribución identificadas en el plan financiero</t>
  </si>
  <si>
    <t xml:space="preserve">Hoja «Pipeline distribución»</t>
  </si>
  <si>
    <t xml:space="preserve">Ingreso ponderado de esas cuentas a régimen (€/mes)</t>
  </si>
  <si>
    <t xml:space="preserve">Hojas: Clientes · Ventas detalle · Proveedores · Pipeline restaurantes · Pipeline distribución.</t>
  </si>
  <si>
    <t xml:space="preserve">Rootflow Hydroponics — Proveedores y servicios</t>
  </si>
  <si>
    <t xml:space="preserve">Datos del ERP a 07/10/2026. Importe acumulado = suma de las compras registradas, IVA incluido. No incluye impuestos ni cuotas de la Seguridad Social.</t>
  </si>
  <si>
    <t xml:space="preserve">Categoría</t>
  </si>
  <si>
    <t xml:space="preserve">Proveedor</t>
  </si>
  <si>
    <t xml:space="preserve">Razón social / ubicación</t>
  </si>
  <si>
    <t xml:space="preserve">Qué suministra</t>
  </si>
  <si>
    <t xml:space="preserve">Relación</t>
  </si>
  <si>
    <t xml:space="preserve">Nº de compras</t>
  </si>
  <si>
    <t xml:space="preserve">Importe acumulado (IVA incl.)</t>
  </si>
  <si>
    <t xml:space="preserve">Primera compra</t>
  </si>
  <si>
    <t xml:space="preserve">Última compra</t>
  </si>
  <si>
    <t xml:space="preserve">Semillas</t>
  </si>
  <si>
    <t xml:space="preserve">MP Seeds</t>
  </si>
  <si>
    <t xml:space="preserve">HYDRO Mateusz Przybiński · Łódź (Polonia)</t>
  </si>
  <si>
    <t xml:space="preserve">Semilla para microbrotes: cilantro, albahaca, rábano daikon y rojo, amaranto, brócoli, rúcula</t>
  </si>
  <si>
    <t xml:space="preserve">Recurrente · principal</t>
  </si>
  <si>
    <t xml:space="preserve">Sustrato</t>
  </si>
  <si>
    <t xml:space="preserve">Organic Growshop</t>
  </si>
  <si>
    <t xml:space="preserve">Organik Green Zone, S.L. · Madrid</t>
  </si>
  <si>
    <t xml:space="preserve">Sustrato de fibra de coco (Atami, sacos de 100 L)</t>
  </si>
  <si>
    <t xml:space="preserve">Envases y etiquetado</t>
  </si>
  <si>
    <t xml:space="preserve">Envases del Mediterráneo</t>
  </si>
  <si>
    <t xml:space="preserve">San Ginés (Murcia)</t>
  </si>
  <si>
    <t xml:space="preserve">Tarrinas de PET con bisagra para los formatos de 30 g</t>
  </si>
  <si>
    <t xml:space="preserve">Envanature</t>
  </si>
  <si>
    <t xml:space="preserve">Tecnopacking, S.L.U. · Onda (Castellón)</t>
  </si>
  <si>
    <t xml:space="preserve">Tarrinas de 150 y 250 cc</t>
  </si>
  <si>
    <t xml:space="preserve">Puntual</t>
  </si>
  <si>
    <t xml:space="preserve">Amazon Business</t>
  </si>
  <si>
    <t xml:space="preserve">—</t>
  </si>
  <si>
    <t xml:space="preserve">Etiquetas térmicas, pegatinas y consumibles de impresora</t>
  </si>
  <si>
    <t xml:space="preserve">Recurrente</t>
  </si>
  <si>
    <t xml:space="preserve">360imprimir</t>
  </si>
  <si>
    <t xml:space="preserve">Etiquetas frontales impresas</t>
  </si>
  <si>
    <t xml:space="preserve">Sistema de cultivo</t>
  </si>
  <si>
    <t xml:space="preserve">Green Ice</t>
  </si>
  <si>
    <t xml:space="preserve">Green Ice, S.L. · Toledo</t>
  </si>
  <si>
    <t xml:space="preserve">Luminarias LED T5 de cultivo</t>
  </si>
  <si>
    <t xml:space="preserve">Puntual (equipamiento)</t>
  </si>
  <si>
    <t xml:space="preserve">LEDBOX</t>
  </si>
  <si>
    <t xml:space="preserve">Salamanca</t>
  </si>
  <si>
    <t xml:space="preserve">Conectores y material de iluminación LED</t>
  </si>
  <si>
    <t xml:space="preserve">AliExpress</t>
  </si>
  <si>
    <t xml:space="preserve">Luces LED y conectores</t>
  </si>
  <si>
    <t xml:space="preserve">Plases Grow Shop</t>
  </si>
  <si>
    <t xml:space="preserve">Plases Internacional 2020, S.L.U. · Yuncos (Toledo)</t>
  </si>
  <si>
    <t xml:space="preserve">Mesas de cultivo de 100 × 110 cm (bandejas de inundación)</t>
  </si>
  <si>
    <t xml:space="preserve">Leroy Merlin</t>
  </si>
  <si>
    <t xml:space="preserve">Estanterías, tubería, bomba y material de riego, sensores de temperatura y humedad</t>
  </si>
  <si>
    <t xml:space="preserve">Recurrente (equipamiento)</t>
  </si>
  <si>
    <t xml:space="preserve">FYMALSA</t>
  </si>
  <si>
    <t xml:space="preserve">Las Rozas (Madrid)</t>
  </si>
  <si>
    <t xml:space="preserve">Material eléctrico y de riego</t>
  </si>
  <si>
    <t xml:space="preserve">IKEA</t>
  </si>
  <si>
    <t xml:space="preserve">Mobiliario de trabajo</t>
  </si>
  <si>
    <t xml:space="preserve">Cash Converters</t>
  </si>
  <si>
    <t xml:space="preserve">Impresora de etiquetas (segunda mano)</t>
  </si>
  <si>
    <t xml:space="preserve">Sistema de gestión</t>
  </si>
  <si>
    <t xml:space="preserve">ERP propio</t>
  </si>
  <si>
    <t xml:space="preserve">Desarrollo interno</t>
  </si>
  <si>
    <t xml:space="preserve">Pedidos, producción y trazabilidad por lote, albaranes y facturación (React + Supabase)</t>
  </si>
  <si>
    <t xml:space="preserve">Propio · sin coste de licencia</t>
  </si>
  <si>
    <t xml:space="preserve">Anthropic (Claude)</t>
  </si>
  <si>
    <t xml:space="preserve">Herramienta de IA para el desarrollo del ERP propio</t>
  </si>
  <si>
    <t xml:space="preserve">Mensual</t>
  </si>
  <si>
    <t xml:space="preserve">Local</t>
  </si>
  <si>
    <t xml:space="preserve">Bellbro Renting and Development</t>
  </si>
  <si>
    <t xml:space="preserve">Bellbro Renting and Development, S.L. · Las Rozas (Madrid)</t>
  </si>
  <si>
    <t xml:space="preserve">Arrendador del local de producción (alquiler, luz y agua repercutidas, tasa de basura)</t>
  </si>
  <si>
    <t xml:space="preserve">Inmobiliaria MBlanco</t>
  </si>
  <si>
    <t xml:space="preserve">Honorarios de intermediación del alquiler</t>
  </si>
  <si>
    <t xml:space="preserve">Servicios profesionales</t>
  </si>
  <si>
    <t xml:space="preserve">Ayuda-T Soluciones Profesionales</t>
  </si>
  <si>
    <t xml:space="preserve">Ayuda-T Soluciones Profesionales, S.L.</t>
  </si>
  <si>
    <t xml:space="preserve">Asesoría y gestoría</t>
  </si>
  <si>
    <t xml:space="preserve">Ortega y del Río Notarios</t>
  </si>
  <si>
    <t xml:space="preserve">Ortega y del Río Notarios, C.B.</t>
  </si>
  <si>
    <t xml:space="preserve">Notaría (constitución de la sociedad)</t>
  </si>
  <si>
    <t xml:space="preserve">FNMT-RCM</t>
  </si>
  <si>
    <t xml:space="preserve">Certificado digital de la sociedad</t>
  </si>
  <si>
    <t xml:space="preserve">Registro de la Propiedad</t>
  </si>
  <si>
    <t xml:space="preserve">Certificado registral</t>
  </si>
  <si>
    <t xml:space="preserve">Comunicaciones</t>
  </si>
  <si>
    <t xml:space="preserve">Finetwork</t>
  </si>
  <si>
    <t xml:space="preserve">WEWI Mobile, S.L.</t>
  </si>
  <si>
    <t xml:space="preserve">Fibra y telefonía móvil</t>
  </si>
  <si>
    <t xml:space="preserve">IONOS</t>
  </si>
  <si>
    <t xml:space="preserve">Dominio y web</t>
  </si>
  <si>
    <t xml:space="preserve">Marketing</t>
  </si>
  <si>
    <t xml:space="preserve">Vistaprint</t>
  </si>
  <si>
    <t xml:space="preserve">Vistaprint B.V.</t>
  </si>
  <si>
    <t xml:space="preserve">Tarjetas de visita</t>
  </si>
  <si>
    <t xml:space="preserve">Otros</t>
  </si>
  <si>
    <t xml:space="preserve">Fronda</t>
  </si>
  <si>
    <t xml:space="preserve">Fronda Centros de Jardinería, S.L. · Majadahonda (Madrid)</t>
  </si>
  <si>
    <t xml:space="preserve">Brotes de cilantro (compra puntual de producto, junio 2026)</t>
  </si>
  <si>
    <t xml:space="preserve">DIA</t>
  </si>
  <si>
    <t xml:space="preserve">Productos de limpieza</t>
  </si>
  <si>
    <t xml:space="preserve">Reparto propio</t>
  </si>
  <si>
    <t xml:space="preserve">Combustible del reparto con vehículo propio</t>
  </si>
  <si>
    <t xml:space="preserve">Compras menores sin proveedor identificado</t>
  </si>
  <si>
    <t xml:space="preserve">Material de segunda mano (cubetas, nevera, cortadora), ferretería, utensilios y teléfono de empresa</t>
  </si>
  <si>
    <t xml:space="preserve">TOTAL COMPRAS REGISTRADAS</t>
  </si>
  <si>
    <t xml:space="preserve">Proveedores principales de la producción: MP Seeds (semilla), Organic Growshop (sustrato) y Envases del Mediterráneo (tarrinas). El sistema de cultivo (estanterías, mesas de inundación, iluminación LED y riego) se ha montado con compras de equipamiento; la gestión va sobre un ERP propio.</t>
  </si>
  <si>
    <t xml:space="preserve">Rootflow Hydroponics — Clientes y facturación real</t>
  </si>
  <si>
    <t xml:space="preserve">Datos del ERP a 07/10/2026. Base imponible sin IVA; el detalle de cada factura está en la hoja «Ventas detalle».</t>
  </si>
  <si>
    <t xml:space="preserve">Cliente</t>
  </si>
  <si>
    <t xml:space="preserve">Canal</t>
  </si>
  <si>
    <t xml:space="preserve">Alta como cliente</t>
  </si>
  <si>
    <t xml:space="preserve">Primera entrega</t>
  </si>
  <si>
    <t xml:space="preserve">Nº de entregas</t>
  </si>
  <si>
    <t xml:space="preserve">Facturado (base)</t>
  </si>
  <si>
    <t xml:space="preserve">Facturado (IVA incl.)</t>
  </si>
  <si>
    <t xml:space="preserve">Observaciones</t>
  </si>
  <si>
    <t xml:space="preserve">La Huerta Hermanos Nieto, S.L.</t>
  </si>
  <si>
    <t xml:space="preserve">Mayorista / frutería (Mercamadrid)</t>
  </si>
  <si>
    <t xml:space="preserve">Pedido semanal: ~60 tarrinas de 30 g (cilantro y albahaca). Facturación mensual.</t>
  </si>
  <si>
    <t xml:space="preserve">Frutas Félix Vázquez, S.L.</t>
  </si>
  <si>
    <t xml:space="preserve">Frutería</t>
  </si>
  <si>
    <t xml:space="preserve">Pedido semanal desde septiembre, surtido de variedades.</t>
  </si>
  <si>
    <t xml:space="preserve">Albahaca Ecotienda</t>
  </si>
  <si>
    <t xml:space="preserve">Tienda ecológica</t>
  </si>
  <si>
    <t xml:space="preserve">Surtido de 8 variedades en formato de 15 g.</t>
  </si>
  <si>
    <t xml:space="preserve">El Abuelo Pedro</t>
  </si>
  <si>
    <t xml:space="preserve">Mayorista (Mercamadrid)</t>
  </si>
  <si>
    <t xml:space="preserve">Puesto en Mercamadrid. Primera entrega pendiente de facturar.</t>
  </si>
  <si>
    <t xml:space="preserve">Tequendama</t>
  </si>
  <si>
    <t xml:space="preserve">Restaurante</t>
  </si>
  <si>
    <t xml:space="preserve">Primer pedido (evento).</t>
  </si>
  <si>
    <t xml:space="preserve">Café El Padrino, S.L.</t>
  </si>
  <si>
    <t xml:space="preserve">Restaurante / cafetería</t>
  </si>
  <si>
    <t xml:space="preserve">Primer pedido.</t>
  </si>
  <si>
    <t xml:space="preserve">Venta directa (particulares)</t>
  </si>
  <si>
    <t xml:space="preserve">Venta directa</t>
  </si>
  <si>
    <t xml:space="preserve">Ventas con tarjeta en el local (5 tickets).</t>
  </si>
  <si>
    <t xml:space="preserve">TOTAL</t>
  </si>
  <si>
    <t xml:space="preserve">CLIENTES DADOS DE ALTA, AÚN SIN PEDIDOS</t>
  </si>
  <si>
    <t xml:space="preserve">Situación</t>
  </si>
  <si>
    <t xml:space="preserve">Frutas Eloy Ruano, S.L.</t>
  </si>
  <si>
    <t xml:space="preserve">Cliente en el plan de distribución; sin pedidos todavía.</t>
  </si>
  <si>
    <t xml:space="preserve">Tatin Catering</t>
  </si>
  <si>
    <t xml:space="preserve">Catering</t>
  </si>
  <si>
    <t xml:space="preserve">Alta en septiembre; sin pedidos facturados todavía.</t>
  </si>
  <si>
    <t xml:space="preserve">La Fresquera del Gourmet</t>
  </si>
  <si>
    <t xml:space="preserve">Tienda gourmet / restauración</t>
  </si>
  <si>
    <t xml:space="preserve">Alta en septiembre; sin pedidos todavía.</t>
  </si>
  <si>
    <t xml:space="preserve">Tucosechaonline</t>
  </si>
  <si>
    <t xml:space="preserve">Tienda online</t>
  </si>
  <si>
    <t xml:space="preserve">Alta el 07/10/2026.</t>
  </si>
  <si>
    <t xml:space="preserve">Rootflow Hydroponics — Facturación real (detalle)</t>
  </si>
  <si>
    <t xml:space="preserve">Facturas emitidas, tickets de venta directa y entregas pendientes de facturar, según el ERP a 07/10/2026. Mes de entrega = mes en que se entregó el producto.</t>
  </si>
  <si>
    <t xml:space="preserve">Documento</t>
  </si>
  <si>
    <t xml:space="preserve">Fecha</t>
  </si>
  <si>
    <t xml:space="preserve">Mes de entrega</t>
  </si>
  <si>
    <t xml:space="preserve">Tipo</t>
  </si>
  <si>
    <t xml:space="preserve">Base imponible</t>
  </si>
  <si>
    <t xml:space="preserve">IVA</t>
  </si>
  <si>
    <t xml:space="preserve">Estado de cobro</t>
  </si>
  <si>
    <t xml:space="preserve">Fecha de cobro</t>
  </si>
  <si>
    <t xml:space="preserve">F-2026-0001</t>
  </si>
  <si>
    <t xml:space="preserve">2026-06</t>
  </si>
  <si>
    <t xml:space="preserve">Factura</t>
  </si>
  <si>
    <t xml:space="preserve">Cobrada</t>
  </si>
  <si>
    <t xml:space="preserve">F-2026-0002</t>
  </si>
  <si>
    <t xml:space="preserve">2026-07</t>
  </si>
  <si>
    <t xml:space="preserve">F-2026-0003</t>
  </si>
  <si>
    <t xml:space="preserve">2026-09</t>
  </si>
  <si>
    <t xml:space="preserve">F-2026-0009</t>
  </si>
  <si>
    <t xml:space="preserve">F-2026-0010</t>
  </si>
  <si>
    <t xml:space="preserve">F-2026-0011</t>
  </si>
  <si>
    <t xml:space="preserve">2026-10</t>
  </si>
  <si>
    <t xml:space="preserve">Pendiente</t>
  </si>
  <si>
    <t xml:space="preserve">F-2026-0014</t>
  </si>
  <si>
    <t xml:space="preserve">F-2026-0015</t>
  </si>
  <si>
    <t xml:space="preserve">Ticket TPV</t>
  </si>
  <si>
    <t xml:space="preserve">2026-05</t>
  </si>
  <si>
    <t xml:space="preserve">Ticket</t>
  </si>
  <si>
    <t xml:space="preserve">A-2026-0011</t>
  </si>
  <si>
    <t xml:space="preserve">Entregado, pendiente de facturar</t>
  </si>
  <si>
    <t xml:space="preserve">A-2026-0023</t>
  </si>
  <si>
    <t xml:space="preserve">TOTAL FACTURADO Y COBRADO EN CAJA (facturas + tickets)</t>
  </si>
  <si>
    <t xml:space="preserve">Pendiente de cobro (facturas emitidas)</t>
  </si>
  <si>
    <t xml:space="preserve">Agosto sin ventas: parada de producción en verano.</t>
  </si>
  <si>
    <t xml:space="preserve">Rootflow Hydroponics — Pipeline comercial: restaurantes, tiendas y distribuidores</t>
  </si>
  <si>
    <t xml:space="preserve">Oportunidades abiertas en el CRM del ERP a 07/10/2026. Etapa y última actividad según el CRM; la situación está resumida.</t>
  </si>
  <si>
    <t xml:space="preserve">#</t>
  </si>
  <si>
    <t xml:space="preserve">Cuenta</t>
  </si>
  <si>
    <t xml:space="preserve">Zona</t>
  </si>
  <si>
    <t xml:space="preserve">Etapa</t>
  </si>
  <si>
    <t xml:space="preserve">Prioridad</t>
  </si>
  <si>
    <t xml:space="preserve">Valor estimado (€)</t>
  </si>
  <si>
    <t xml:space="preserve">Última actividad</t>
  </si>
  <si>
    <t xml:space="preserve">Situación / próximo paso</t>
  </si>
  <si>
    <t xml:space="preserve">Club Puerta de Hierro</t>
  </si>
  <si>
    <t xml:space="preserve">Madrid</t>
  </si>
  <si>
    <t xml:space="preserve">Negociando</t>
  </si>
  <si>
    <t xml:space="preserve">Alta</t>
  </si>
  <si>
    <t xml:space="preserve">Visita con muestras al equipo de cocina; pendiente de su valoración.</t>
  </si>
  <si>
    <t xml:space="preserve">Restaurante De María</t>
  </si>
  <si>
    <t xml:space="preserve">Madrid noroeste (Pozuelo, Majadahonda)</t>
  </si>
  <si>
    <t xml:space="preserve">En negociación de condiciones.</t>
  </si>
  <si>
    <t xml:space="preserve">Restaurante Jesús – AIME Ostras</t>
  </si>
  <si>
    <t xml:space="preserve">Pendiente de cerrar fecha con el chef para llevar muestras.</t>
  </si>
  <si>
    <t xml:space="preserve">Sushita</t>
  </si>
  <si>
    <t xml:space="preserve">Grupo / cadena de restauración</t>
  </si>
  <si>
    <t xml:space="preserve">Interesado</t>
  </si>
  <si>
    <t xml:space="preserve">Interesados; falta definir el punto de entrega para sus locales.</t>
  </si>
  <si>
    <t xml:space="preserve">Chef Fruit</t>
  </si>
  <si>
    <t xml:space="preserve">Distribuidor / mayorista (Mercamadrid)</t>
  </si>
  <si>
    <t xml:space="preserve">Están creando una sección de microbrotes; propuesta de acompañarles en el lanzamiento.</t>
  </si>
  <si>
    <t xml:space="preserve">Fruotero</t>
  </si>
  <si>
    <t xml:space="preserve">Tienda / frutería (abastece a chefs)</t>
  </si>
  <si>
    <t xml:space="preserve">Media</t>
  </si>
  <si>
    <t xml:space="preserve">El producto gustó a los chefs a los que abastece; retomar tras la apertura de su nuevo local.</t>
  </si>
  <si>
    <t xml:space="preserve">Tacos La 28</t>
  </si>
  <si>
    <t xml:space="preserve">Interesados; están abriendo un segundo local.</t>
  </si>
  <si>
    <t xml:space="preserve">Grupo Sibuya</t>
  </si>
  <si>
    <t xml:space="preserve">Interesados; seguimiento en curso.</t>
  </si>
  <si>
    <t xml:space="preserve">Faszina Selected</t>
  </si>
  <si>
    <t xml:space="preserve">Distribuidor / mayorista gourmet</t>
  </si>
  <si>
    <t xml:space="preserve">Barcelona (clientes en Madrid)</t>
  </si>
  <si>
    <t xml:space="preserve">Interés en servir a sus clientes de Madrid; pendiente de nuevo contacto.</t>
  </si>
  <si>
    <t xml:space="preserve">Frutas Iberika</t>
  </si>
  <si>
    <t xml:space="preserve">Acuerdo sin pedido</t>
  </si>
  <si>
    <t xml:space="preserve">Acuerdo para comprarnos lo que hoy venden (1-2 bandejas/semana de micromezcla, cilantro y guisante); sin pedido todavía.</t>
  </si>
  <si>
    <t xml:space="preserve">Bidfood Iberia</t>
  </si>
  <si>
    <t xml:space="preserve">Distribuidor / mayorista de foodservice (Mercamadrid)</t>
  </si>
  <si>
    <t xml:space="preserve">Contactado</t>
  </si>
  <si>
    <t xml:space="preserve">Propuesta enviada por email; pendiente de respuesta.</t>
  </si>
  <si>
    <t xml:space="preserve">GoldGourmet</t>
  </si>
  <si>
    <t xml:space="preserve">Distribuidor / mayorista gourmet (Mercamadrid)</t>
  </si>
  <si>
    <t xml:space="preserve">Interés en el modelo de venta en Mercamadrid; presentación a sus clientes el 14/09.</t>
  </si>
  <si>
    <t xml:space="preserve">Doeat</t>
  </si>
  <si>
    <t xml:space="preserve">Presentado al equipo de cocina con valoración positiva; pendiente de pedido.</t>
  </si>
  <si>
    <t xml:space="preserve">Honest Greens</t>
  </si>
  <si>
    <t xml:space="preserve">Propuesta enviada al canal de proveedores; pendiente de respuesta.</t>
  </si>
  <si>
    <t xml:space="preserve">Grupo Oter</t>
  </si>
  <si>
    <t xml:space="preserve">Primer contacto; seguimiento telefónico.</t>
  </si>
  <si>
    <t xml:space="preserve">El Supertomate</t>
  </si>
  <si>
    <t xml:space="preserve">Baja</t>
  </si>
  <si>
    <t xml:space="preserve">Primer contacto realizado.</t>
  </si>
  <si>
    <t xml:space="preserve">Georgánico</t>
  </si>
  <si>
    <t xml:space="preserve">Tienda / frutería ecológica</t>
  </si>
  <si>
    <t xml:space="preserve">Solo compra producto con certificación ecológica.</t>
  </si>
  <si>
    <t xml:space="preserve">Frutería Silvestre</t>
  </si>
  <si>
    <t xml:space="preserve">Consumo muy reducido y solo ecológico.</t>
  </si>
  <si>
    <t xml:space="preserve">Faborit</t>
  </si>
  <si>
    <t xml:space="preserve">Grupo / cadena de restauración (cafeterías)</t>
  </si>
  <si>
    <t xml:space="preserve">Nuevo</t>
  </si>
  <si>
    <t xml:space="preserve">Sin respuesta todavía; insistir.</t>
  </si>
  <si>
    <t xml:space="preserve">Cristina Oria</t>
  </si>
  <si>
    <t xml:space="preserve">Gourmet / catering</t>
  </si>
  <si>
    <t xml:space="preserve">Propuesta enviada por email.</t>
  </si>
  <si>
    <t xml:space="preserve">Grupo La Fábrica</t>
  </si>
  <si>
    <t xml:space="preserve">Prefieren el contacto por email; propuesta en curso.</t>
  </si>
  <si>
    <t xml:space="preserve">Grupo Quispe</t>
  </si>
  <si>
    <t xml:space="preserve">Contacto con la dirección a través de una referencia; pendiente de respuesta.</t>
  </si>
  <si>
    <t xml:space="preserve">GLH</t>
  </si>
  <si>
    <t xml:space="preserve">Pendiente de primer contacto para presentar el producto al grupo.</t>
  </si>
  <si>
    <t xml:space="preserve">Grupo Mentidero</t>
  </si>
  <si>
    <t xml:space="preserve">Pendiente de primer contacto.</t>
  </si>
  <si>
    <t xml:space="preserve">La Lonja de Pozuelo</t>
  </si>
  <si>
    <t xml:space="preserve">Pendiente de contacto con el responsable de compras.</t>
  </si>
  <si>
    <t xml:space="preserve">Taberna de Elia</t>
  </si>
  <si>
    <t xml:space="preserve">Responsable de compras identificado; llamar.</t>
  </si>
  <si>
    <t xml:space="preserve">El Cielo de Urrechu</t>
  </si>
  <si>
    <t xml:space="preserve">Responsables de compras identificados; llamar.</t>
  </si>
  <si>
    <t xml:space="preserve">Vespok</t>
  </si>
  <si>
    <t xml:space="preserve">Contacto identificado; llamar.</t>
  </si>
  <si>
    <t xml:space="preserve">Bistec Boutique &amp; Bar de Carnes</t>
  </si>
  <si>
    <t xml:space="preserve">Paschi Cocina Peruana</t>
  </si>
  <si>
    <t xml:space="preserve">SUMO</t>
  </si>
  <si>
    <t xml:space="preserve">Nectarfruit</t>
  </si>
  <si>
    <t xml:space="preserve">Frutas Maricarmen</t>
  </si>
  <si>
    <t xml:space="preserve">Tienda / frutería</t>
  </si>
  <si>
    <t xml:space="preserve">Vanfresh</t>
  </si>
  <si>
    <t xml:space="preserve">Hnos. Delgado</t>
  </si>
  <si>
    <t xml:space="preserve">Gemüsering</t>
  </si>
  <si>
    <t xml:space="preserve">Madosa</t>
  </si>
  <si>
    <t xml:space="preserve">Frutas Logroño</t>
  </si>
  <si>
    <t xml:space="preserve">EMBUDO COMERCIAL (CRM del ERP)</t>
  </si>
  <si>
    <t xml:space="preserve">Nº de cuentas</t>
  </si>
  <si>
    <t xml:space="preserve">Nota</t>
  </si>
  <si>
    <t xml:space="preserve">Clientes ganados</t>
  </si>
  <si>
    <t xml:space="preserve">Dados de alta como clientes; 6 ya han comprado (hoja Clientes).</t>
  </si>
  <si>
    <t xml:space="preserve">Descartados</t>
  </si>
  <si>
    <t xml:space="preserve">Sin interés, sin consumo o requieren certificación ecológica.</t>
  </si>
  <si>
    <t xml:space="preserve">Total cuentas trabajadas</t>
  </si>
  <si>
    <t xml:space="preserve">Mercado objetivo de la línea de restaurantes: 585 restaurantes abiertos en 8 barrios de Madrid (Justicia, Recoletos, Castellana, Goya, Trafalgar, Almagro, Ríos Rosas y Lista). Fuente: Censo de locales y actividades, Ayuntamiento de Madrid (datos.madrid.es), epígrafe 561001. El plan prevé 123 restaurantes en cartera en el año 2.</t>
  </si>
  <si>
    <t xml:space="preserve">Rootflow Hydroponics — Pipeline de distribución del plan financiero</t>
  </si>
  <si>
    <t xml:space="preserve">Cuentas identificadas en el modelo financiero V17 (hoja Pipeline), que alimentan la demanda de la línea de distribución, con su situación real en el ERP a 07/10/2026. Volúmenes a régimen, tras la rampa de cada cuenta.</t>
  </si>
  <si>
    <t xml:space="preserve">Estado en el plan</t>
  </si>
  <si>
    <t xml:space="preserve">Probabilidad</t>
  </si>
  <si>
    <t xml:space="preserve">Mes de inicio (mes del plan)</t>
  </si>
  <si>
    <t xml:space="preserve">Rampa (meses)</t>
  </si>
  <si>
    <t xml:space="preserve">Tarrinas al mes</t>
  </si>
  <si>
    <t xml:space="preserve">Ingreso potencial (€/mes)</t>
  </si>
  <si>
    <t xml:space="preserve">Ingreso ponderado (€/mes)</t>
  </si>
  <si>
    <t xml:space="preserve">Situación real (ERP)</t>
  </si>
  <si>
    <t xml:space="preserve">La Huerta Hermanos Nieto (La Huerta de Aranjuez)</t>
  </si>
  <si>
    <t xml:space="preserve">Activo</t>
  </si>
  <si>
    <t xml:space="preserve">Cliente activo desde junio 2026: pedido semanal de ~60 tarrinas; 1.609,70 € facturados (base) a 07/10.</t>
  </si>
  <si>
    <t xml:space="preserve">En conversación</t>
  </si>
  <si>
    <t xml:space="preserve">Oportunidad abierta (interesados); sin pedidos todavía.</t>
  </si>
  <si>
    <t xml:space="preserve">Frutas Eloy Ruano</t>
  </si>
  <si>
    <t xml:space="preserve">Dado de alta como cliente en marzo; sin pedidos todavía.</t>
  </si>
  <si>
    <t xml:space="preserve">Mercamadrid (asentadores)</t>
  </si>
  <si>
    <t xml:space="preserve">Por abrir</t>
  </si>
  <si>
    <t xml:space="preserve">Contactos abiertos: Chef Fruit, GoldGourmet, Frutas Iberika y Bidfood Iberia; El Abuelo Pedro ya es cliente.</t>
  </si>
  <si>
    <t xml:space="preserve">Makro (cash &amp; carry)</t>
  </si>
  <si>
    <t xml:space="preserve">Sin actividad registrada en el CRM.</t>
  </si>
  <si>
    <t xml:space="preserve">Primaflor</t>
  </si>
  <si>
    <t xml:space="preserve">Probabilidad, mes de inicio, rampa y volúmenes: supuestos del modelo financiero V17 (escenario base). Los descuentos de canal (Mercamadrid 20 %, Makro 25 %, Primaflor 30 %) ya están aplicados en el ingreso potencial.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</si>
</sst>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\(#,##0.00&quot; €)&quot;;\-"/>
    <numFmt numFmtId="166" formatCode="0"/>
    <numFmt numFmtId="167" formatCode="#,##0&quot; €&quot;;\(#,##0&quot; €)&quot;;\-"/>
    <numFmt numFmtId="168" formatCode="dd/mm/yyyy"/>
    <numFmt numFmtId="169" formatCode="0%;\(0%\);\-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4F3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D4F37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4F37"/>
        <bgColor rgb="FF333300"/>
      </patternFill>
    </fill>
    <fill>
      <patternFill patternType="solid">
        <fgColor rgb="FFE6F2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D4F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4F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4F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Clientes!$F$12</f>
        <v>1924.72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f aca="false">Clientes!$G$12</f>
        <v>2001.72</v>
      </c>
    </row>
    <row r="7" customFormat="false" ht="15" hidden="false" customHeight="false" outlineLevel="0" collapsed="false">
      <c r="A7" s="4" t="s">
        <v>6</v>
      </c>
      <c r="B7" s="5" t="n">
        <f aca="false">Clientes!$H$12</f>
        <v>1969.06</v>
      </c>
    </row>
    <row r="8" customFormat="false" ht="15" hidden="false" customHeight="false" outlineLevel="0" collapsed="false">
      <c r="A8" s="4" t="s">
        <v>7</v>
      </c>
      <c r="B8" s="5" t="n">
        <f aca="false">Clientes!$I$12</f>
        <v>32.66</v>
      </c>
    </row>
    <row r="9" customFormat="false" ht="15" hidden="false" customHeight="false" outlineLevel="0" collapsed="false">
      <c r="A9" s="4" t="s">
        <v>8</v>
      </c>
      <c r="B9" s="5" t="n">
        <f aca="false">Clientes!$J$12</f>
        <v>279.2</v>
      </c>
      <c r="C9" s="2" t="s">
        <v>9</v>
      </c>
    </row>
    <row r="10" customFormat="false" ht="15" hidden="false" customHeight="false" outlineLevel="0" collapsed="false">
      <c r="A10" s="4" t="s">
        <v>10</v>
      </c>
      <c r="B10" s="6" t="n">
        <f aca="false">COUNTA(Clientes!$A$5:$A$11)-1</f>
        <v>6</v>
      </c>
    </row>
    <row r="11" customFormat="false" ht="15" hidden="false" customHeight="false" outlineLevel="0" collapsed="false">
      <c r="A11" s="4" t="s">
        <v>11</v>
      </c>
      <c r="B11" s="6" t="n">
        <f aca="false">Clientes!$E$12</f>
        <v>27</v>
      </c>
      <c r="C11" s="2" t="s">
        <v>12</v>
      </c>
    </row>
    <row r="13" customFormat="false" ht="15" hidden="false" customHeight="false" outlineLevel="0" collapsed="false">
      <c r="A13" s="7" t="s">
        <v>13</v>
      </c>
      <c r="B13" s="7" t="s">
        <v>14</v>
      </c>
      <c r="C13" s="7" t="s">
        <v>15</v>
      </c>
    </row>
    <row r="14" customFormat="false" ht="15" hidden="false" customHeight="false" outlineLevel="0" collapsed="false">
      <c r="A14" s="4" t="s">
        <v>16</v>
      </c>
      <c r="B14" s="5" t="n">
        <f aca="false">SUMIFS('Ventas detalle'!$G$5:$G$19,'Ventas detalle'!$E$5:$E$19,"2026-05",'Ventas detalle'!$F$5:$F$19,"Factura")+SUMIFS('Ventas detalle'!$G$5:$G$19,'Ventas detalle'!$E$5:$E$19,"2026-05",'Ventas detalle'!$F$5:$F$19,"Ticket")</f>
        <v>4.81</v>
      </c>
      <c r="C14" s="8" t="n">
        <f aca="false">SUMIFS('Ventas detalle'!$G$5:$G$19,'Ventas detalle'!$E$5:$E$19,"2026-05",'Ventas detalle'!$F$5:$F$19,"Entregado, pendiente de facturar")</f>
        <v>0</v>
      </c>
    </row>
    <row r="15" customFormat="false" ht="15" hidden="false" customHeight="false" outlineLevel="0" collapsed="false">
      <c r="A15" s="4" t="s">
        <v>17</v>
      </c>
      <c r="B15" s="5" t="n">
        <f aca="false">SUMIFS('Ventas detalle'!$G$5:$G$19,'Ventas detalle'!$E$5:$E$19,"2026-06",'Ventas detalle'!$F$5:$F$19,"Factura")+SUMIFS('Ventas detalle'!$G$5:$G$19,'Ventas detalle'!$E$5:$E$19,"2026-06",'Ventas detalle'!$F$5:$F$19,"Ticket")</f>
        <v>619.6</v>
      </c>
      <c r="C15" s="8" t="n">
        <f aca="false">SUMIFS('Ventas detalle'!$G$5:$G$19,'Ventas detalle'!$E$5:$E$19,"2026-06",'Ventas detalle'!$F$5:$F$19,"Entregado, pendiente de facturar")</f>
        <v>0</v>
      </c>
    </row>
    <row r="16" customFormat="false" ht="15" hidden="false" customHeight="false" outlineLevel="0" collapsed="false">
      <c r="A16" s="4" t="s">
        <v>18</v>
      </c>
      <c r="B16" s="5" t="n">
        <f aca="false">SUMIFS('Ventas detalle'!$G$5:$G$19,'Ventas detalle'!$E$5:$E$19,"2026-07",'Ventas detalle'!$F$5:$F$19,"Factura")+SUMIFS('Ventas detalle'!$G$5:$G$19,'Ventas detalle'!$E$5:$E$19,"2026-07",'Ventas detalle'!$F$5:$F$19,"Ticket")</f>
        <v>350.4</v>
      </c>
      <c r="C16" s="8" t="n">
        <f aca="false">SUMIFS('Ventas detalle'!$G$5:$G$19,'Ventas detalle'!$E$5:$E$19,"2026-07",'Ventas detalle'!$F$5:$F$19,"Entregado, pendiente de facturar")</f>
        <v>0</v>
      </c>
    </row>
    <row r="17" customFormat="false" ht="15" hidden="false" customHeight="false" outlineLevel="0" collapsed="false">
      <c r="A17" s="4" t="s">
        <v>19</v>
      </c>
      <c r="B17" s="5" t="n">
        <f aca="false">SUMIFS('Ventas detalle'!$G$5:$G$19,'Ventas detalle'!$E$5:$E$19,"2026-08",'Ventas detalle'!$F$5:$F$19,"Factura")+SUMIFS('Ventas detalle'!$G$5:$G$19,'Ventas detalle'!$E$5:$E$19,"2026-08",'Ventas detalle'!$F$5:$F$19,"Ticket")</f>
        <v>0</v>
      </c>
      <c r="C17" s="8" t="n">
        <f aca="false">SUMIFS('Ventas detalle'!$G$5:$G$19,'Ventas detalle'!$E$5:$E$19,"2026-08",'Ventas detalle'!$F$5:$F$19,"Entregado, pendiente de facturar")</f>
        <v>0</v>
      </c>
    </row>
    <row r="18" customFormat="false" ht="15" hidden="false" customHeight="false" outlineLevel="0" collapsed="false">
      <c r="A18" s="4" t="s">
        <v>20</v>
      </c>
      <c r="B18" s="5" t="n">
        <f aca="false">SUMIFS('Ventas detalle'!$G$5:$G$19,'Ventas detalle'!$E$5:$E$19,"2026-09",'Ventas detalle'!$F$5:$F$19,"Factura")+SUMIFS('Ventas detalle'!$G$5:$G$19,'Ventas detalle'!$E$5:$E$19,"2026-09",'Ventas detalle'!$F$5:$F$19,"Ticket")</f>
        <v>899.76</v>
      </c>
      <c r="C18" s="8" t="n">
        <f aca="false">SUMIFS('Ventas detalle'!$G$5:$G$19,'Ventas detalle'!$E$5:$E$19,"2026-09",'Ventas detalle'!$F$5:$F$19,"Entregado, pendiente de facturar")</f>
        <v>124.2</v>
      </c>
    </row>
    <row r="19" customFormat="false" ht="15" hidden="false" customHeight="false" outlineLevel="0" collapsed="false">
      <c r="A19" s="4" t="s">
        <v>21</v>
      </c>
      <c r="B19" s="5" t="n">
        <f aca="false">SUMIFS('Ventas detalle'!$G$5:$G$19,'Ventas detalle'!$E$5:$E$19,"2026-10",'Ventas detalle'!$F$5:$F$19,"Factura")+SUMIFS('Ventas detalle'!$G$5:$G$19,'Ventas detalle'!$E$5:$E$19,"2026-10",'Ventas detalle'!$F$5:$F$19,"Ticket")</f>
        <v>50.15</v>
      </c>
      <c r="C19" s="8" t="n">
        <f aca="false">SUMIFS('Ventas detalle'!$G$5:$G$19,'Ventas detalle'!$E$5:$E$19,"2026-10",'Ventas detalle'!$F$5:$F$19,"Entregado, pendiente de facturar")</f>
        <v>155</v>
      </c>
    </row>
    <row r="20" customFormat="false" ht="15" hidden="false" customHeight="false" outlineLevel="0" collapsed="false">
      <c r="A20" s="7" t="s">
        <v>22</v>
      </c>
      <c r="B20" s="9" t="n">
        <f aca="false">SUM(B14:B19)</f>
        <v>1924.72</v>
      </c>
      <c r="C20" s="10" t="n">
        <f aca="false">SUM(C14:C19)</f>
        <v>279.2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4" t="s">
        <v>24</v>
      </c>
      <c r="B23" s="5" t="n">
        <f aca="false">Proveedores!$G$35</f>
        <v>11752.72</v>
      </c>
      <c r="C23" s="2" t="s">
        <v>25</v>
      </c>
    </row>
    <row r="24" customFormat="false" ht="15" hidden="false" customHeight="false" outlineLevel="0" collapsed="false">
      <c r="A24" s="4" t="s">
        <v>26</v>
      </c>
    </row>
    <row r="25" customFormat="false" ht="15" hidden="false" customHeight="false" outlineLevel="0" collapsed="false">
      <c r="A25" s="4" t="s">
        <v>27</v>
      </c>
    </row>
    <row r="27" customFormat="false" ht="15" hidden="false" customHeight="false" outlineLevel="0" collapsed="false">
      <c r="A27" s="3" t="s">
        <v>28</v>
      </c>
    </row>
    <row r="28" customFormat="false" ht="15" hidden="false" customHeight="false" outlineLevel="0" collapsed="false">
      <c r="A28" s="4" t="s">
        <v>29</v>
      </c>
      <c r="B28" s="6" t="n">
        <f aca="false">COUNTA('Pipeline restaurantes'!$B$5:$B$42)</f>
        <v>38</v>
      </c>
      <c r="C28" s="2" t="s">
        <v>30</v>
      </c>
    </row>
    <row r="29" customFormat="false" ht="15" hidden="false" customHeight="false" outlineLevel="0" collapsed="false">
      <c r="A29" s="4" t="s">
        <v>31</v>
      </c>
      <c r="B29" s="6" t="n">
        <f aca="false">COUNTIF('Pipeline restaurantes'!$E$5:$E$42,"Negociando")+COUNTIF('Pipeline restaurantes'!$E$5:$E$42,"Interesado")+COUNTIF('Pipeline restaurantes'!$E$5:$E$42,"Acuerdo sin pedido")</f>
        <v>10</v>
      </c>
    </row>
    <row r="30" customFormat="false" ht="15" hidden="false" customHeight="false" outlineLevel="0" collapsed="false">
      <c r="A30" s="4" t="s">
        <v>32</v>
      </c>
      <c r="B30" s="6" t="n">
        <f aca="false">COUNTA('Pipeline distribución'!$A$5:$A$10)</f>
        <v>6</v>
      </c>
      <c r="C30" s="2" t="s">
        <v>33</v>
      </c>
    </row>
    <row r="31" customFormat="false" ht="15" hidden="false" customHeight="false" outlineLevel="0" collapsed="false">
      <c r="A31" s="4" t="s">
        <v>34</v>
      </c>
      <c r="B31" s="11" t="n">
        <f aca="false">'Pipeline distribución'!$H$11</f>
        <v>32131.275</v>
      </c>
    </row>
    <row r="33" customFormat="false" ht="15" hidden="false" customHeight="false" outlineLevel="0" collapsed="false">
      <c r="A33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8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1.5" hidden="false" customHeight="true" outlineLevel="0" collapsed="false">
      <c r="A4" s="12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</row>
    <row r="5" customFormat="false" ht="23.85" hidden="false" customHeight="false" outlineLevel="0" collapsed="false">
      <c r="A5" s="13" t="s">
        <v>47</v>
      </c>
      <c r="B5" s="14" t="s">
        <v>48</v>
      </c>
      <c r="C5" s="15" t="s">
        <v>49</v>
      </c>
      <c r="D5" s="15" t="s">
        <v>50</v>
      </c>
      <c r="E5" s="15" t="s">
        <v>51</v>
      </c>
      <c r="F5" s="16" t="n">
        <v>4</v>
      </c>
      <c r="G5" s="17" t="n">
        <v>993.23</v>
      </c>
      <c r="H5" s="18" t="n">
        <v>46162</v>
      </c>
      <c r="I5" s="18" t="n">
        <v>46296</v>
      </c>
    </row>
    <row r="6" customFormat="false" ht="15" hidden="false" customHeight="false" outlineLevel="0" collapsed="false">
      <c r="A6" s="13" t="s">
        <v>52</v>
      </c>
      <c r="B6" s="14" t="s">
        <v>53</v>
      </c>
      <c r="C6" s="15" t="s">
        <v>54</v>
      </c>
      <c r="D6" s="15" t="s">
        <v>55</v>
      </c>
      <c r="E6" s="15" t="s">
        <v>51</v>
      </c>
      <c r="F6" s="16" t="n">
        <v>3</v>
      </c>
      <c r="G6" s="17" t="n">
        <v>218</v>
      </c>
      <c r="H6" s="18" t="n">
        <v>46161</v>
      </c>
      <c r="I6" s="18" t="n">
        <v>46287</v>
      </c>
    </row>
    <row r="7" customFormat="false" ht="15" hidden="false" customHeight="false" outlineLevel="0" collapsed="false">
      <c r="A7" s="13" t="s">
        <v>56</v>
      </c>
      <c r="B7" s="14" t="s">
        <v>57</v>
      </c>
      <c r="C7" s="15" t="s">
        <v>58</v>
      </c>
      <c r="D7" s="15" t="s">
        <v>59</v>
      </c>
      <c r="E7" s="15" t="s">
        <v>51</v>
      </c>
      <c r="F7" s="16" t="n">
        <v>3</v>
      </c>
      <c r="G7" s="17" t="n">
        <v>376.12</v>
      </c>
      <c r="H7" s="18" t="n">
        <v>46157</v>
      </c>
      <c r="I7" s="18" t="n">
        <v>46253</v>
      </c>
    </row>
    <row r="8" customFormat="false" ht="15" hidden="false" customHeight="false" outlineLevel="0" collapsed="false">
      <c r="A8" s="13" t="s">
        <v>56</v>
      </c>
      <c r="B8" s="14" t="s">
        <v>60</v>
      </c>
      <c r="C8" s="15" t="s">
        <v>61</v>
      </c>
      <c r="D8" s="15" t="s">
        <v>62</v>
      </c>
      <c r="E8" s="15" t="s">
        <v>63</v>
      </c>
      <c r="F8" s="16" t="n">
        <v>1</v>
      </c>
      <c r="G8" s="17" t="n">
        <v>142.46</v>
      </c>
      <c r="H8" s="18" t="n">
        <v>46122</v>
      </c>
      <c r="I8" s="18" t="n">
        <v>46122</v>
      </c>
    </row>
    <row r="9" customFormat="false" ht="15" hidden="false" customHeight="false" outlineLevel="0" collapsed="false">
      <c r="A9" s="13" t="s">
        <v>56</v>
      </c>
      <c r="B9" s="14" t="s">
        <v>64</v>
      </c>
      <c r="C9" s="15" t="s">
        <v>65</v>
      </c>
      <c r="D9" s="15" t="s">
        <v>66</v>
      </c>
      <c r="E9" s="15" t="s">
        <v>67</v>
      </c>
      <c r="F9" s="16" t="n">
        <v>4</v>
      </c>
      <c r="G9" s="17" t="n">
        <v>54.27</v>
      </c>
      <c r="H9" s="18" t="n">
        <v>46146</v>
      </c>
      <c r="I9" s="18" t="n">
        <v>46187</v>
      </c>
    </row>
    <row r="10" customFormat="false" ht="15" hidden="false" customHeight="false" outlineLevel="0" collapsed="false">
      <c r="A10" s="13" t="s">
        <v>56</v>
      </c>
      <c r="B10" s="14" t="s">
        <v>68</v>
      </c>
      <c r="C10" s="15" t="s">
        <v>65</v>
      </c>
      <c r="D10" s="15" t="s">
        <v>69</v>
      </c>
      <c r="E10" s="15" t="s">
        <v>63</v>
      </c>
      <c r="F10" s="16" t="n">
        <v>1</v>
      </c>
      <c r="G10" s="17" t="n">
        <v>28.85</v>
      </c>
      <c r="H10" s="18" t="n">
        <v>46162</v>
      </c>
      <c r="I10" s="18" t="n">
        <v>46162</v>
      </c>
    </row>
    <row r="11" customFormat="false" ht="15" hidden="false" customHeight="false" outlineLevel="0" collapsed="false">
      <c r="A11" s="13" t="s">
        <v>70</v>
      </c>
      <c r="B11" s="14" t="s">
        <v>71</v>
      </c>
      <c r="C11" s="15" t="s">
        <v>72</v>
      </c>
      <c r="D11" s="15" t="s">
        <v>73</v>
      </c>
      <c r="E11" s="15" t="s">
        <v>74</v>
      </c>
      <c r="F11" s="16" t="n">
        <v>1</v>
      </c>
      <c r="G11" s="17" t="n">
        <v>203.44</v>
      </c>
      <c r="H11" s="18" t="n">
        <v>46168</v>
      </c>
      <c r="I11" s="18" t="n">
        <v>46168</v>
      </c>
    </row>
    <row r="12" customFormat="false" ht="15" hidden="false" customHeight="false" outlineLevel="0" collapsed="false">
      <c r="A12" s="13" t="s">
        <v>70</v>
      </c>
      <c r="B12" s="14" t="s">
        <v>75</v>
      </c>
      <c r="C12" s="15" t="s">
        <v>76</v>
      </c>
      <c r="D12" s="15" t="s">
        <v>77</v>
      </c>
      <c r="E12" s="15" t="s">
        <v>74</v>
      </c>
      <c r="F12" s="16" t="n">
        <v>1</v>
      </c>
      <c r="G12" s="17" t="n">
        <v>78.1</v>
      </c>
      <c r="H12" s="18" t="n">
        <v>46174</v>
      </c>
      <c r="I12" s="18" t="n">
        <v>46174</v>
      </c>
    </row>
    <row r="13" customFormat="false" ht="15" hidden="false" customHeight="false" outlineLevel="0" collapsed="false">
      <c r="A13" s="13" t="s">
        <v>70</v>
      </c>
      <c r="B13" s="14" t="s">
        <v>78</v>
      </c>
      <c r="C13" s="15" t="s">
        <v>65</v>
      </c>
      <c r="D13" s="15" t="s">
        <v>79</v>
      </c>
      <c r="E13" s="15" t="s">
        <v>74</v>
      </c>
      <c r="F13" s="16" t="n">
        <v>4</v>
      </c>
      <c r="G13" s="17" t="n">
        <v>328.72</v>
      </c>
      <c r="H13" s="18" t="n">
        <v>46121</v>
      </c>
      <c r="I13" s="18" t="n">
        <v>46149</v>
      </c>
    </row>
    <row r="14" customFormat="false" ht="15" hidden="false" customHeight="false" outlineLevel="0" collapsed="false">
      <c r="A14" s="13" t="s">
        <v>70</v>
      </c>
      <c r="B14" s="14" t="s">
        <v>80</v>
      </c>
      <c r="C14" s="15" t="s">
        <v>81</v>
      </c>
      <c r="D14" s="15" t="s">
        <v>82</v>
      </c>
      <c r="E14" s="15" t="s">
        <v>74</v>
      </c>
      <c r="F14" s="16" t="n">
        <v>1</v>
      </c>
      <c r="G14" s="17" t="n">
        <v>116</v>
      </c>
      <c r="H14" s="18" t="n">
        <v>46164</v>
      </c>
      <c r="I14" s="18" t="n">
        <v>46164</v>
      </c>
    </row>
    <row r="15" customFormat="false" ht="15" hidden="false" customHeight="false" outlineLevel="0" collapsed="false">
      <c r="A15" s="13" t="s">
        <v>70</v>
      </c>
      <c r="B15" s="14" t="s">
        <v>83</v>
      </c>
      <c r="C15" s="15" t="s">
        <v>65</v>
      </c>
      <c r="D15" s="15" t="s">
        <v>84</v>
      </c>
      <c r="E15" s="15" t="s">
        <v>85</v>
      </c>
      <c r="F15" s="16" t="n">
        <v>15</v>
      </c>
      <c r="G15" s="17" t="n">
        <v>1226.64</v>
      </c>
      <c r="H15" s="18" t="n">
        <v>46095</v>
      </c>
      <c r="I15" s="18" t="n">
        <v>46279</v>
      </c>
    </row>
    <row r="16" customFormat="false" ht="15" hidden="false" customHeight="false" outlineLevel="0" collapsed="false">
      <c r="A16" s="13" t="s">
        <v>70</v>
      </c>
      <c r="B16" s="14" t="s">
        <v>86</v>
      </c>
      <c r="C16" s="15" t="s">
        <v>87</v>
      </c>
      <c r="D16" s="15" t="s">
        <v>88</v>
      </c>
      <c r="E16" s="15" t="s">
        <v>74</v>
      </c>
      <c r="F16" s="16" t="n">
        <v>1</v>
      </c>
      <c r="G16" s="17" t="n">
        <v>38.43</v>
      </c>
      <c r="H16" s="18" t="n">
        <v>46182</v>
      </c>
      <c r="I16" s="18" t="n">
        <v>46182</v>
      </c>
    </row>
    <row r="17" customFormat="false" ht="15" hidden="false" customHeight="false" outlineLevel="0" collapsed="false">
      <c r="A17" s="13" t="s">
        <v>70</v>
      </c>
      <c r="B17" s="14" t="s">
        <v>89</v>
      </c>
      <c r="C17" s="15" t="s">
        <v>65</v>
      </c>
      <c r="D17" s="15" t="s">
        <v>90</v>
      </c>
      <c r="E17" s="15" t="s">
        <v>74</v>
      </c>
      <c r="F17" s="16" t="n">
        <v>1</v>
      </c>
      <c r="G17" s="17" t="n">
        <v>144.95</v>
      </c>
      <c r="H17" s="18" t="n">
        <v>46121</v>
      </c>
      <c r="I17" s="18" t="n">
        <v>46121</v>
      </c>
    </row>
    <row r="18" customFormat="false" ht="15" hidden="false" customHeight="false" outlineLevel="0" collapsed="false">
      <c r="A18" s="13" t="s">
        <v>70</v>
      </c>
      <c r="B18" s="14" t="s">
        <v>91</v>
      </c>
      <c r="C18" s="15" t="s">
        <v>65</v>
      </c>
      <c r="D18" s="15" t="s">
        <v>92</v>
      </c>
      <c r="E18" s="15" t="s">
        <v>74</v>
      </c>
      <c r="F18" s="16" t="n">
        <v>1</v>
      </c>
      <c r="G18" s="17" t="n">
        <v>99.95</v>
      </c>
      <c r="H18" s="18" t="n">
        <v>46137</v>
      </c>
      <c r="I18" s="18" t="n">
        <v>46137</v>
      </c>
    </row>
    <row r="19" customFormat="false" ht="15" hidden="false" customHeight="false" outlineLevel="0" collapsed="false">
      <c r="A19" s="13" t="s">
        <v>93</v>
      </c>
      <c r="B19" s="14" t="s">
        <v>94</v>
      </c>
      <c r="C19" s="15" t="s">
        <v>95</v>
      </c>
      <c r="D19" s="15" t="s">
        <v>96</v>
      </c>
      <c r="E19" s="15" t="s">
        <v>97</v>
      </c>
      <c r="F19" s="16"/>
      <c r="G19" s="17"/>
      <c r="H19" s="18"/>
      <c r="I19" s="18"/>
    </row>
    <row r="20" customFormat="false" ht="15" hidden="false" customHeight="false" outlineLevel="0" collapsed="false">
      <c r="A20" s="13" t="s">
        <v>93</v>
      </c>
      <c r="B20" s="14" t="s">
        <v>98</v>
      </c>
      <c r="C20" s="15" t="s">
        <v>65</v>
      </c>
      <c r="D20" s="15" t="s">
        <v>99</v>
      </c>
      <c r="E20" s="15" t="s">
        <v>100</v>
      </c>
      <c r="F20" s="16" t="n">
        <v>26</v>
      </c>
      <c r="G20" s="17" t="n">
        <v>223</v>
      </c>
      <c r="H20" s="18" t="n">
        <v>46119</v>
      </c>
      <c r="I20" s="18" t="n">
        <v>46292</v>
      </c>
    </row>
    <row r="21" customFormat="false" ht="15" hidden="false" customHeight="false" outlineLevel="0" collapsed="false">
      <c r="A21" s="13" t="s">
        <v>101</v>
      </c>
      <c r="B21" s="14" t="s">
        <v>102</v>
      </c>
      <c r="C21" s="15" t="s">
        <v>103</v>
      </c>
      <c r="D21" s="15" t="s">
        <v>104</v>
      </c>
      <c r="E21" s="15" t="s">
        <v>100</v>
      </c>
      <c r="F21" s="16" t="n">
        <v>13</v>
      </c>
      <c r="G21" s="17" t="n">
        <v>4174.32</v>
      </c>
      <c r="H21" s="18" t="n">
        <v>46087</v>
      </c>
      <c r="I21" s="18" t="n">
        <v>46295</v>
      </c>
    </row>
    <row r="22" customFormat="false" ht="15" hidden="false" customHeight="false" outlineLevel="0" collapsed="false">
      <c r="A22" s="13" t="s">
        <v>101</v>
      </c>
      <c r="B22" s="14" t="s">
        <v>105</v>
      </c>
      <c r="C22" s="15" t="s">
        <v>65</v>
      </c>
      <c r="D22" s="15" t="s">
        <v>106</v>
      </c>
      <c r="E22" s="15" t="s">
        <v>63</v>
      </c>
      <c r="F22" s="16" t="n">
        <v>1</v>
      </c>
      <c r="G22" s="17" t="n">
        <v>635.25</v>
      </c>
      <c r="H22" s="18" t="n">
        <v>46147</v>
      </c>
      <c r="I22" s="18" t="n">
        <v>46147</v>
      </c>
    </row>
    <row r="23" customFormat="false" ht="15" hidden="false" customHeight="false" outlineLevel="0" collapsed="false">
      <c r="A23" s="13" t="s">
        <v>107</v>
      </c>
      <c r="B23" s="14" t="s">
        <v>108</v>
      </c>
      <c r="C23" s="15" t="s">
        <v>109</v>
      </c>
      <c r="D23" s="15" t="s">
        <v>110</v>
      </c>
      <c r="E23" s="15" t="s">
        <v>100</v>
      </c>
      <c r="F23" s="16" t="n">
        <v>3</v>
      </c>
      <c r="G23" s="17" t="n">
        <v>446.49</v>
      </c>
      <c r="H23" s="18" t="n">
        <v>46142</v>
      </c>
      <c r="I23" s="18" t="n">
        <v>46178</v>
      </c>
    </row>
    <row r="24" customFormat="false" ht="15" hidden="false" customHeight="false" outlineLevel="0" collapsed="false">
      <c r="A24" s="13" t="s">
        <v>107</v>
      </c>
      <c r="B24" s="14" t="s">
        <v>111</v>
      </c>
      <c r="C24" s="15" t="s">
        <v>112</v>
      </c>
      <c r="D24" s="15" t="s">
        <v>113</v>
      </c>
      <c r="E24" s="15" t="s">
        <v>63</v>
      </c>
      <c r="F24" s="16" t="n">
        <v>5</v>
      </c>
      <c r="G24" s="17" t="n">
        <v>910.82</v>
      </c>
      <c r="H24" s="18" t="n">
        <v>46100</v>
      </c>
      <c r="I24" s="18" t="n">
        <v>46100</v>
      </c>
    </row>
    <row r="25" customFormat="false" ht="15" hidden="false" customHeight="false" outlineLevel="0" collapsed="false">
      <c r="A25" s="13" t="s">
        <v>107</v>
      </c>
      <c r="B25" s="14" t="s">
        <v>114</v>
      </c>
      <c r="C25" s="15" t="s">
        <v>65</v>
      </c>
      <c r="D25" s="15" t="s">
        <v>115</v>
      </c>
      <c r="E25" s="15" t="s">
        <v>63</v>
      </c>
      <c r="F25" s="16" t="n">
        <v>1</v>
      </c>
      <c r="G25" s="17" t="n">
        <v>15.98</v>
      </c>
      <c r="H25" s="18" t="n">
        <v>46169</v>
      </c>
      <c r="I25" s="18" t="n">
        <v>46169</v>
      </c>
    </row>
    <row r="26" customFormat="false" ht="15" hidden="false" customHeight="false" outlineLevel="0" collapsed="false">
      <c r="A26" s="13" t="s">
        <v>107</v>
      </c>
      <c r="B26" s="14" t="s">
        <v>116</v>
      </c>
      <c r="C26" s="15" t="s">
        <v>65</v>
      </c>
      <c r="D26" s="15" t="s">
        <v>117</v>
      </c>
      <c r="E26" s="15" t="s">
        <v>63</v>
      </c>
      <c r="F26" s="16" t="n">
        <v>1</v>
      </c>
      <c r="G26" s="17" t="n">
        <v>34.18</v>
      </c>
      <c r="H26" s="18" t="n">
        <v>46155</v>
      </c>
      <c r="I26" s="18" t="n">
        <v>46155</v>
      </c>
    </row>
    <row r="27" customFormat="false" ht="15" hidden="false" customHeight="false" outlineLevel="0" collapsed="false">
      <c r="A27" s="13" t="s">
        <v>118</v>
      </c>
      <c r="B27" s="14" t="s">
        <v>119</v>
      </c>
      <c r="C27" s="15" t="s">
        <v>120</v>
      </c>
      <c r="D27" s="15" t="s">
        <v>121</v>
      </c>
      <c r="E27" s="15" t="s">
        <v>100</v>
      </c>
      <c r="F27" s="16" t="n">
        <v>5</v>
      </c>
      <c r="G27" s="17" t="n">
        <v>100.46</v>
      </c>
      <c r="H27" s="18" t="n">
        <v>46143</v>
      </c>
      <c r="I27" s="18" t="n">
        <v>46286</v>
      </c>
    </row>
    <row r="28" customFormat="false" ht="15" hidden="false" customHeight="false" outlineLevel="0" collapsed="false">
      <c r="A28" s="13" t="s">
        <v>118</v>
      </c>
      <c r="B28" s="14" t="s">
        <v>122</v>
      </c>
      <c r="C28" s="15" t="s">
        <v>65</v>
      </c>
      <c r="D28" s="15" t="s">
        <v>123</v>
      </c>
      <c r="E28" s="15" t="s">
        <v>100</v>
      </c>
      <c r="F28" s="16" t="n">
        <v>3</v>
      </c>
      <c r="G28" s="17" t="n">
        <v>3.63</v>
      </c>
      <c r="H28" s="18" t="n">
        <v>46021</v>
      </c>
      <c r="I28" s="18" t="n">
        <v>46082</v>
      </c>
    </row>
    <row r="29" customFormat="false" ht="15" hidden="false" customHeight="false" outlineLevel="0" collapsed="false">
      <c r="A29" s="13" t="s">
        <v>124</v>
      </c>
      <c r="B29" s="14" t="s">
        <v>125</v>
      </c>
      <c r="C29" s="15" t="s">
        <v>126</v>
      </c>
      <c r="D29" s="15" t="s">
        <v>127</v>
      </c>
      <c r="E29" s="15" t="s">
        <v>63</v>
      </c>
      <c r="F29" s="16" t="n">
        <v>1</v>
      </c>
      <c r="G29" s="17" t="n">
        <v>104.96</v>
      </c>
      <c r="H29" s="18" t="n">
        <v>46119</v>
      </c>
      <c r="I29" s="18" t="n">
        <v>46119</v>
      </c>
    </row>
    <row r="30" customFormat="false" ht="15" hidden="false" customHeight="false" outlineLevel="0" collapsed="false">
      <c r="A30" s="13" t="s">
        <v>128</v>
      </c>
      <c r="B30" s="14" t="s">
        <v>129</v>
      </c>
      <c r="C30" s="15" t="s">
        <v>130</v>
      </c>
      <c r="D30" s="15" t="s">
        <v>131</v>
      </c>
      <c r="E30" s="15" t="s">
        <v>63</v>
      </c>
      <c r="F30" s="16" t="n">
        <v>1</v>
      </c>
      <c r="G30" s="17" t="n">
        <v>104.83</v>
      </c>
      <c r="H30" s="18" t="n">
        <v>46200</v>
      </c>
      <c r="I30" s="18" t="n">
        <v>46200</v>
      </c>
    </row>
    <row r="31" customFormat="false" ht="15" hidden="false" customHeight="false" outlineLevel="0" collapsed="false">
      <c r="A31" s="13" t="s">
        <v>128</v>
      </c>
      <c r="B31" s="14" t="s">
        <v>132</v>
      </c>
      <c r="C31" s="15" t="s">
        <v>65</v>
      </c>
      <c r="D31" s="15" t="s">
        <v>133</v>
      </c>
      <c r="E31" s="15" t="s">
        <v>63</v>
      </c>
      <c r="F31" s="16" t="n">
        <v>1</v>
      </c>
      <c r="G31" s="17" t="n">
        <v>18.93</v>
      </c>
      <c r="H31" s="18" t="n">
        <v>46121</v>
      </c>
      <c r="I31" s="18" t="n">
        <v>46121</v>
      </c>
    </row>
    <row r="32" customFormat="false" ht="15" hidden="false" customHeight="false" outlineLevel="0" collapsed="false">
      <c r="A32" s="13" t="s">
        <v>128</v>
      </c>
      <c r="B32" s="14" t="s">
        <v>134</v>
      </c>
      <c r="C32" s="15" t="s">
        <v>65</v>
      </c>
      <c r="D32" s="15" t="s">
        <v>135</v>
      </c>
      <c r="E32" s="15" t="s">
        <v>67</v>
      </c>
      <c r="F32" s="16" t="n">
        <v>1</v>
      </c>
      <c r="G32" s="17" t="n">
        <v>221</v>
      </c>
      <c r="H32" s="18" t="n">
        <v>46299</v>
      </c>
      <c r="I32" s="18" t="n">
        <v>46299</v>
      </c>
    </row>
    <row r="33" customFormat="false" ht="23.85" hidden="false" customHeight="false" outlineLevel="0" collapsed="false">
      <c r="A33" s="13" t="s">
        <v>128</v>
      </c>
      <c r="B33" s="14" t="s">
        <v>136</v>
      </c>
      <c r="C33" s="15" t="s">
        <v>65</v>
      </c>
      <c r="D33" s="15" t="s">
        <v>137</v>
      </c>
      <c r="E33" s="15" t="s">
        <v>63</v>
      </c>
      <c r="F33" s="16" t="n">
        <v>22</v>
      </c>
      <c r="G33" s="17" t="n">
        <v>709.71</v>
      </c>
      <c r="H33" s="18" t="n">
        <v>46108</v>
      </c>
      <c r="I33" s="18" t="n">
        <v>46174</v>
      </c>
    </row>
    <row r="35" customFormat="false" ht="15" hidden="false" customHeight="false" outlineLevel="0" collapsed="false">
      <c r="B35" s="14" t="s">
        <v>138</v>
      </c>
      <c r="F35" s="19" t="n">
        <f aca="false">SUM(F5:F33)</f>
        <v>125</v>
      </c>
      <c r="G35" s="20" t="n">
        <f aca="false">SUM(G5:G33)</f>
        <v>11752.72</v>
      </c>
    </row>
    <row r="37" customFormat="false" ht="15" hidden="false" customHeight="false" outlineLevel="0" collapsed="false">
      <c r="A37" s="21" t="s">
        <v>139</v>
      </c>
    </row>
  </sheetData>
  <autoFilter ref="A4:I3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5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31.5" hidden="false" customHeight="true" outlineLevel="0" collapsed="false">
      <c r="A4" s="12" t="s">
        <v>142</v>
      </c>
      <c r="B4" s="12" t="s">
        <v>143</v>
      </c>
      <c r="C4" s="12" t="s">
        <v>144</v>
      </c>
      <c r="D4" s="12" t="s">
        <v>145</v>
      </c>
      <c r="E4" s="12" t="s">
        <v>146</v>
      </c>
      <c r="F4" s="12" t="s">
        <v>147</v>
      </c>
      <c r="G4" s="12" t="s">
        <v>148</v>
      </c>
      <c r="H4" s="12" t="s">
        <v>6</v>
      </c>
      <c r="I4" s="12" t="s">
        <v>7</v>
      </c>
      <c r="J4" s="12" t="s">
        <v>15</v>
      </c>
      <c r="K4" s="12" t="s">
        <v>149</v>
      </c>
    </row>
    <row r="5" customFormat="false" ht="23.85" hidden="false" customHeight="false" outlineLevel="0" collapsed="false">
      <c r="A5" s="14" t="s">
        <v>150</v>
      </c>
      <c r="B5" s="13" t="s">
        <v>151</v>
      </c>
      <c r="C5" s="18" t="n">
        <v>46174</v>
      </c>
      <c r="D5" s="18" t="n">
        <v>46187</v>
      </c>
      <c r="E5" s="16" t="n">
        <v>14</v>
      </c>
      <c r="F5" s="22" t="n">
        <f aca="false">SUMIFS('Ventas detalle'!$G$5:$G$19,'Ventas detalle'!$C$5:$C$19,$A5,'Ventas detalle'!$F$5:$F$19,"Factura")+SUMIFS('Ventas detalle'!$G$5:$G$19,'Ventas detalle'!$C$5:$C$19,$A5,'Ventas detalle'!$F$5:$F$19,"Ticket")</f>
        <v>1609.7</v>
      </c>
      <c r="G5" s="22" t="n">
        <f aca="false">SUMIFS('Ventas detalle'!$I$5:$I$19,'Ventas detalle'!$C$5:$C$19,$A5,'Ventas detalle'!$F$5:$F$19,"Factura")+SUMIFS('Ventas detalle'!$I$5:$I$19,'Ventas detalle'!$C$5:$C$19,$A5,'Ventas detalle'!$F$5:$F$19,"Ticket")</f>
        <v>1674.09</v>
      </c>
      <c r="H5" s="22" t="n">
        <f aca="false">SUMIFS('Ventas detalle'!$I$5:$I$19,'Ventas detalle'!$C$5:$C$19,$A5,'Ventas detalle'!$J$5:$J$19,"Cobrada")</f>
        <v>1674.09</v>
      </c>
      <c r="I5" s="22" t="n">
        <f aca="false">SUMIFS('Ventas detalle'!$I$5:$I$19,'Ventas detalle'!$C$5:$C$19,$A5,'Ventas detalle'!$J$5:$J$19,"Pendiente")</f>
        <v>0</v>
      </c>
      <c r="J5" s="22" t="n">
        <f aca="false">SUMIFS('Ventas detalle'!$G$5:$G$19,'Ventas detalle'!$C$5:$C$19,$A5,'Ventas detalle'!$F$5:$F$19,"Entregado, pendiente de facturar")</f>
        <v>155</v>
      </c>
      <c r="K5" s="15" t="s">
        <v>152</v>
      </c>
    </row>
    <row r="6" customFormat="false" ht="15" hidden="false" customHeight="false" outlineLevel="0" collapsed="false">
      <c r="A6" s="14" t="s">
        <v>153</v>
      </c>
      <c r="B6" s="13" t="s">
        <v>154</v>
      </c>
      <c r="C6" s="18" t="n">
        <v>46270</v>
      </c>
      <c r="D6" s="18" t="n">
        <v>46270</v>
      </c>
      <c r="E6" s="16" t="n">
        <v>4</v>
      </c>
      <c r="F6" s="22" t="n">
        <f aca="false">SUMIFS('Ventas detalle'!$G$5:$G$19,'Ventas detalle'!$C$5:$C$19,$A6,'Ventas detalle'!$F$5:$F$19,"Factura")+SUMIFS('Ventas detalle'!$G$5:$G$19,'Ventas detalle'!$C$5:$C$19,$A6,'Ventas detalle'!$F$5:$F$19,"Ticket")</f>
        <v>189.5</v>
      </c>
      <c r="G6" s="22" t="n">
        <f aca="false">SUMIFS('Ventas detalle'!$I$5:$I$19,'Ventas detalle'!$C$5:$C$19,$A6,'Ventas detalle'!$F$5:$F$19,"Factura")+SUMIFS('Ventas detalle'!$I$5:$I$19,'Ventas detalle'!$C$5:$C$19,$A6,'Ventas detalle'!$F$5:$F$19,"Ticket")</f>
        <v>197.08</v>
      </c>
      <c r="H6" s="22" t="n">
        <f aca="false">SUMIFS('Ventas detalle'!$I$5:$I$19,'Ventas detalle'!$C$5:$C$19,$A6,'Ventas detalle'!$J$5:$J$19,"Cobrada")</f>
        <v>197.08</v>
      </c>
      <c r="I6" s="22" t="n">
        <f aca="false">SUMIFS('Ventas detalle'!$I$5:$I$19,'Ventas detalle'!$C$5:$C$19,$A6,'Ventas detalle'!$J$5:$J$19,"Pendiente")</f>
        <v>0</v>
      </c>
      <c r="J6" s="22" t="n">
        <f aca="false">SUMIFS('Ventas detalle'!$G$5:$G$19,'Ventas detalle'!$C$5:$C$19,$A6,'Ventas detalle'!$F$5:$F$19,"Entregado, pendiente de facturar")</f>
        <v>0</v>
      </c>
      <c r="K6" s="15" t="s">
        <v>155</v>
      </c>
    </row>
    <row r="7" customFormat="false" ht="15" hidden="false" customHeight="false" outlineLevel="0" collapsed="false">
      <c r="A7" s="14" t="s">
        <v>156</v>
      </c>
      <c r="B7" s="13" t="s">
        <v>157</v>
      </c>
      <c r="C7" s="18" t="n">
        <v>46174</v>
      </c>
      <c r="D7" s="18" t="n">
        <v>46268</v>
      </c>
      <c r="E7" s="16" t="n">
        <v>1</v>
      </c>
      <c r="F7" s="22" t="n">
        <f aca="false">SUMIFS('Ventas detalle'!$G$5:$G$19,'Ventas detalle'!$C$5:$C$19,$A7,'Ventas detalle'!$F$5:$F$19,"Factura")+SUMIFS('Ventas detalle'!$G$5:$G$19,'Ventas detalle'!$C$5:$C$19,$A7,'Ventas detalle'!$F$5:$F$19,"Ticket")</f>
        <v>48.45</v>
      </c>
      <c r="G7" s="22" t="n">
        <f aca="false">SUMIFS('Ventas detalle'!$I$5:$I$19,'Ventas detalle'!$C$5:$C$19,$A7,'Ventas detalle'!$F$5:$F$19,"Factura")+SUMIFS('Ventas detalle'!$I$5:$I$19,'Ventas detalle'!$C$5:$C$19,$A7,'Ventas detalle'!$F$5:$F$19,"Ticket")</f>
        <v>50.39</v>
      </c>
      <c r="H7" s="22" t="n">
        <f aca="false">SUMIFS('Ventas detalle'!$I$5:$I$19,'Ventas detalle'!$C$5:$C$19,$A7,'Ventas detalle'!$J$5:$J$19,"Cobrada")</f>
        <v>50.39</v>
      </c>
      <c r="I7" s="22" t="n">
        <f aca="false">SUMIFS('Ventas detalle'!$I$5:$I$19,'Ventas detalle'!$C$5:$C$19,$A7,'Ventas detalle'!$J$5:$J$19,"Pendiente")</f>
        <v>0</v>
      </c>
      <c r="J7" s="22" t="n">
        <f aca="false">SUMIFS('Ventas detalle'!$G$5:$G$19,'Ventas detalle'!$C$5:$C$19,$A7,'Ventas detalle'!$F$5:$F$19,"Entregado, pendiente de facturar")</f>
        <v>0</v>
      </c>
      <c r="K7" s="15" t="s">
        <v>158</v>
      </c>
    </row>
    <row r="8" customFormat="false" ht="15" hidden="false" customHeight="false" outlineLevel="0" collapsed="false">
      <c r="A8" s="14" t="s">
        <v>159</v>
      </c>
      <c r="B8" s="13" t="s">
        <v>160</v>
      </c>
      <c r="C8" s="18" t="n">
        <v>46270</v>
      </c>
      <c r="D8" s="18" t="n">
        <v>46272</v>
      </c>
      <c r="E8" s="16" t="n">
        <v>1</v>
      </c>
      <c r="F8" s="22" t="n">
        <f aca="false">SUMIFS('Ventas detalle'!$G$5:$G$19,'Ventas detalle'!$C$5:$C$19,$A8,'Ventas detalle'!$F$5:$F$19,"Factura")+SUMIFS('Ventas detalle'!$G$5:$G$19,'Ventas detalle'!$C$5:$C$19,$A8,'Ventas detalle'!$F$5:$F$19,"Ticket")</f>
        <v>0</v>
      </c>
      <c r="G8" s="22" t="n">
        <f aca="false">SUMIFS('Ventas detalle'!$I$5:$I$19,'Ventas detalle'!$C$5:$C$19,$A8,'Ventas detalle'!$F$5:$F$19,"Factura")+SUMIFS('Ventas detalle'!$I$5:$I$19,'Ventas detalle'!$C$5:$C$19,$A8,'Ventas detalle'!$F$5:$F$19,"Ticket")</f>
        <v>0</v>
      </c>
      <c r="H8" s="22" t="n">
        <f aca="false">SUMIFS('Ventas detalle'!$I$5:$I$19,'Ventas detalle'!$C$5:$C$19,$A8,'Ventas detalle'!$J$5:$J$19,"Cobrada")</f>
        <v>0</v>
      </c>
      <c r="I8" s="22" t="n">
        <f aca="false">SUMIFS('Ventas detalle'!$I$5:$I$19,'Ventas detalle'!$C$5:$C$19,$A8,'Ventas detalle'!$J$5:$J$19,"Pendiente")</f>
        <v>0</v>
      </c>
      <c r="J8" s="22" t="n">
        <f aca="false">SUMIFS('Ventas detalle'!$G$5:$G$19,'Ventas detalle'!$C$5:$C$19,$A8,'Ventas detalle'!$F$5:$F$19,"Entregado, pendiente de facturar")</f>
        <v>124.2</v>
      </c>
      <c r="K8" s="15" t="s">
        <v>161</v>
      </c>
    </row>
    <row r="9" customFormat="false" ht="15" hidden="false" customHeight="false" outlineLevel="0" collapsed="false">
      <c r="A9" s="14" t="s">
        <v>162</v>
      </c>
      <c r="B9" s="13" t="s">
        <v>163</v>
      </c>
      <c r="C9" s="18" t="n">
        <v>46286</v>
      </c>
      <c r="D9" s="18" t="n">
        <v>46301</v>
      </c>
      <c r="E9" s="16" t="n">
        <v>1</v>
      </c>
      <c r="F9" s="22" t="n">
        <f aca="false">SUMIFS('Ventas detalle'!$G$5:$G$19,'Ventas detalle'!$C$5:$C$19,$A9,'Ventas detalle'!$F$5:$F$19,"Factura")+SUMIFS('Ventas detalle'!$G$5:$G$19,'Ventas detalle'!$C$5:$C$19,$A9,'Ventas detalle'!$F$5:$F$19,"Ticket")</f>
        <v>31.4</v>
      </c>
      <c r="G9" s="22" t="n">
        <f aca="false">SUMIFS('Ventas detalle'!$I$5:$I$19,'Ventas detalle'!$C$5:$C$19,$A9,'Ventas detalle'!$F$5:$F$19,"Factura")+SUMIFS('Ventas detalle'!$I$5:$I$19,'Ventas detalle'!$C$5:$C$19,$A9,'Ventas detalle'!$F$5:$F$19,"Ticket")</f>
        <v>32.66</v>
      </c>
      <c r="H9" s="22" t="n">
        <f aca="false">SUMIFS('Ventas detalle'!$I$5:$I$19,'Ventas detalle'!$C$5:$C$19,$A9,'Ventas detalle'!$J$5:$J$19,"Cobrada")</f>
        <v>0</v>
      </c>
      <c r="I9" s="22" t="n">
        <f aca="false">SUMIFS('Ventas detalle'!$I$5:$I$19,'Ventas detalle'!$C$5:$C$19,$A9,'Ventas detalle'!$J$5:$J$19,"Pendiente")</f>
        <v>32.66</v>
      </c>
      <c r="J9" s="22" t="n">
        <f aca="false">SUMIFS('Ventas detalle'!$G$5:$G$19,'Ventas detalle'!$C$5:$C$19,$A9,'Ventas detalle'!$F$5:$F$19,"Entregado, pendiente de facturar")</f>
        <v>0</v>
      </c>
      <c r="K9" s="15" t="s">
        <v>164</v>
      </c>
    </row>
    <row r="10" customFormat="false" ht="15" hidden="false" customHeight="false" outlineLevel="0" collapsed="false">
      <c r="A10" s="14" t="s">
        <v>165</v>
      </c>
      <c r="B10" s="13" t="s">
        <v>166</v>
      </c>
      <c r="C10" s="18" t="n">
        <v>46272</v>
      </c>
      <c r="D10" s="18" t="n">
        <v>46296</v>
      </c>
      <c r="E10" s="16" t="n">
        <v>1</v>
      </c>
      <c r="F10" s="22" t="n">
        <f aca="false">SUMIFS('Ventas detalle'!$G$5:$G$19,'Ventas detalle'!$C$5:$C$19,$A10,'Ventas detalle'!$F$5:$F$19,"Factura")+SUMIFS('Ventas detalle'!$G$5:$G$19,'Ventas detalle'!$C$5:$C$19,$A10,'Ventas detalle'!$F$5:$F$19,"Ticket")</f>
        <v>10.1</v>
      </c>
      <c r="G10" s="22" t="n">
        <f aca="false">SUMIFS('Ventas detalle'!$I$5:$I$19,'Ventas detalle'!$C$5:$C$19,$A10,'Ventas detalle'!$F$5:$F$19,"Factura")+SUMIFS('Ventas detalle'!$I$5:$I$19,'Ventas detalle'!$C$5:$C$19,$A10,'Ventas detalle'!$F$5:$F$19,"Ticket")</f>
        <v>10.5</v>
      </c>
      <c r="H10" s="22" t="n">
        <f aca="false">SUMIFS('Ventas detalle'!$I$5:$I$19,'Ventas detalle'!$C$5:$C$19,$A10,'Ventas detalle'!$J$5:$J$19,"Cobrada")</f>
        <v>10.5</v>
      </c>
      <c r="I10" s="22" t="n">
        <f aca="false">SUMIFS('Ventas detalle'!$I$5:$I$19,'Ventas detalle'!$C$5:$C$19,$A10,'Ventas detalle'!$J$5:$J$19,"Pendiente")</f>
        <v>0</v>
      </c>
      <c r="J10" s="22" t="n">
        <f aca="false">SUMIFS('Ventas detalle'!$G$5:$G$19,'Ventas detalle'!$C$5:$C$19,$A10,'Ventas detalle'!$F$5:$F$19,"Entregado, pendiente de facturar")</f>
        <v>0</v>
      </c>
      <c r="K10" s="15" t="s">
        <v>167</v>
      </c>
    </row>
    <row r="11" customFormat="false" ht="15" hidden="false" customHeight="false" outlineLevel="0" collapsed="false">
      <c r="A11" s="14" t="s">
        <v>168</v>
      </c>
      <c r="B11" s="13" t="s">
        <v>169</v>
      </c>
      <c r="C11" s="18"/>
      <c r="D11" s="18" t="n">
        <v>46166</v>
      </c>
      <c r="E11" s="16" t="n">
        <v>5</v>
      </c>
      <c r="F11" s="22" t="n">
        <f aca="false">SUMIFS('Ventas detalle'!$G$5:$G$19,'Ventas detalle'!$C$5:$C$19,$A11,'Ventas detalle'!$F$5:$F$19,"Factura")+SUMIFS('Ventas detalle'!$G$5:$G$19,'Ventas detalle'!$C$5:$C$19,$A11,'Ventas detalle'!$F$5:$F$19,"Ticket")</f>
        <v>35.57</v>
      </c>
      <c r="G11" s="22" t="n">
        <f aca="false">SUMIFS('Ventas detalle'!$I$5:$I$19,'Ventas detalle'!$C$5:$C$19,$A11,'Ventas detalle'!$F$5:$F$19,"Factura")+SUMIFS('Ventas detalle'!$I$5:$I$19,'Ventas detalle'!$C$5:$C$19,$A11,'Ventas detalle'!$F$5:$F$19,"Ticket")</f>
        <v>37</v>
      </c>
      <c r="H11" s="22" t="n">
        <f aca="false">SUMIFS('Ventas detalle'!$I$5:$I$19,'Ventas detalle'!$C$5:$C$19,$A11,'Ventas detalle'!$J$5:$J$19,"Cobrada")</f>
        <v>37</v>
      </c>
      <c r="I11" s="22" t="n">
        <f aca="false">SUMIFS('Ventas detalle'!$I$5:$I$19,'Ventas detalle'!$C$5:$C$19,$A11,'Ventas detalle'!$J$5:$J$19,"Pendiente")</f>
        <v>0</v>
      </c>
      <c r="J11" s="22" t="n">
        <f aca="false">SUMIFS('Ventas detalle'!$G$5:$G$19,'Ventas detalle'!$C$5:$C$19,$A11,'Ventas detalle'!$F$5:$F$19,"Entregado, pendiente de facturar")</f>
        <v>0</v>
      </c>
      <c r="K11" s="15" t="s">
        <v>170</v>
      </c>
    </row>
    <row r="12" customFormat="false" ht="15" hidden="false" customHeight="false" outlineLevel="0" collapsed="false">
      <c r="A12" s="14" t="s">
        <v>171</v>
      </c>
      <c r="E12" s="23" t="n">
        <f aca="false">SUM(E5:E11)</f>
        <v>27</v>
      </c>
      <c r="F12" s="24" t="n">
        <f aca="false">SUM(F5:F11)</f>
        <v>1924.72</v>
      </c>
      <c r="G12" s="24" t="n">
        <f aca="false">SUM(G5:G11)</f>
        <v>2001.72</v>
      </c>
      <c r="H12" s="24" t="n">
        <f aca="false">SUM(H5:H11)</f>
        <v>1969.06</v>
      </c>
      <c r="I12" s="24" t="n">
        <f aca="false">SUM(I5:I11)</f>
        <v>32.66</v>
      </c>
      <c r="J12" s="24" t="n">
        <f aca="false">SUM(J5:J11)</f>
        <v>279.2</v>
      </c>
    </row>
    <row r="15" customFormat="false" ht="15" hidden="false" customHeight="false" outlineLevel="0" collapsed="false">
      <c r="A15" s="25" t="s">
        <v>172</v>
      </c>
    </row>
    <row r="16" customFormat="false" ht="31.5" hidden="false" customHeight="true" outlineLevel="0" collapsed="false">
      <c r="A16" s="12" t="s">
        <v>142</v>
      </c>
      <c r="B16" s="12" t="s">
        <v>143</v>
      </c>
      <c r="C16" s="12" t="s">
        <v>144</v>
      </c>
      <c r="D16" s="12"/>
      <c r="E16" s="12"/>
      <c r="F16" s="12"/>
      <c r="G16" s="12"/>
      <c r="H16" s="12"/>
      <c r="I16" s="12"/>
      <c r="J16" s="12"/>
      <c r="K16" s="12" t="s">
        <v>173</v>
      </c>
    </row>
    <row r="17" customFormat="false" ht="15" hidden="false" customHeight="false" outlineLevel="0" collapsed="false">
      <c r="A17" s="14" t="s">
        <v>174</v>
      </c>
      <c r="B17" s="13" t="s">
        <v>160</v>
      </c>
      <c r="C17" s="18" t="n">
        <v>46110</v>
      </c>
      <c r="K17" s="15" t="s">
        <v>175</v>
      </c>
    </row>
    <row r="18" customFormat="false" ht="15" hidden="false" customHeight="false" outlineLevel="0" collapsed="false">
      <c r="A18" s="14" t="s">
        <v>176</v>
      </c>
      <c r="B18" s="13" t="s">
        <v>177</v>
      </c>
      <c r="C18" s="18" t="n">
        <v>46272</v>
      </c>
      <c r="K18" s="15" t="s">
        <v>178</v>
      </c>
    </row>
    <row r="19" customFormat="false" ht="15" hidden="false" customHeight="false" outlineLevel="0" collapsed="false">
      <c r="A19" s="14" t="s">
        <v>179</v>
      </c>
      <c r="B19" s="13" t="s">
        <v>180</v>
      </c>
      <c r="C19" s="18" t="n">
        <v>46272</v>
      </c>
      <c r="K19" s="15" t="s">
        <v>181</v>
      </c>
    </row>
    <row r="20" customFormat="false" ht="15" hidden="false" customHeight="false" outlineLevel="0" collapsed="false">
      <c r="A20" s="14" t="s">
        <v>182</v>
      </c>
      <c r="B20" s="13" t="s">
        <v>183</v>
      </c>
      <c r="C20" s="18" t="n">
        <v>46302</v>
      </c>
      <c r="K20" s="15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31.5" hidden="false" customHeight="true" outlineLevel="0" collapsed="false">
      <c r="A4" s="12" t="s">
        <v>187</v>
      </c>
      <c r="B4" s="12" t="s">
        <v>188</v>
      </c>
      <c r="C4" s="12" t="s">
        <v>142</v>
      </c>
      <c r="D4" s="12" t="s">
        <v>143</v>
      </c>
      <c r="E4" s="12" t="s">
        <v>189</v>
      </c>
      <c r="F4" s="12" t="s">
        <v>190</v>
      </c>
      <c r="G4" s="12" t="s">
        <v>191</v>
      </c>
      <c r="H4" s="12" t="s">
        <v>192</v>
      </c>
      <c r="I4" s="12" t="s">
        <v>22</v>
      </c>
      <c r="J4" s="12" t="s">
        <v>193</v>
      </c>
      <c r="K4" s="12" t="s">
        <v>194</v>
      </c>
    </row>
    <row r="5" customFormat="false" ht="15" hidden="false" customHeight="false" outlineLevel="0" collapsed="false">
      <c r="A5" s="13" t="s">
        <v>195</v>
      </c>
      <c r="B5" s="18" t="n">
        <v>46203</v>
      </c>
      <c r="C5" s="13" t="s">
        <v>150</v>
      </c>
      <c r="D5" s="13" t="s">
        <v>151</v>
      </c>
      <c r="E5" s="26" t="s">
        <v>196</v>
      </c>
      <c r="F5" s="13" t="s">
        <v>197</v>
      </c>
      <c r="G5" s="17" t="n">
        <v>619.6</v>
      </c>
      <c r="H5" s="17" t="n">
        <v>24.78</v>
      </c>
      <c r="I5" s="27" t="n">
        <f aca="false">G5+H5</f>
        <v>644.38</v>
      </c>
      <c r="J5" s="26" t="s">
        <v>198</v>
      </c>
      <c r="K5" s="18" t="n">
        <v>46237</v>
      </c>
    </row>
    <row r="6" customFormat="false" ht="15" hidden="false" customHeight="false" outlineLevel="0" collapsed="false">
      <c r="A6" s="13" t="s">
        <v>199</v>
      </c>
      <c r="B6" s="18" t="n">
        <v>46224</v>
      </c>
      <c r="C6" s="13" t="s">
        <v>150</v>
      </c>
      <c r="D6" s="13" t="s">
        <v>151</v>
      </c>
      <c r="E6" s="26" t="s">
        <v>200</v>
      </c>
      <c r="F6" s="13" t="s">
        <v>197</v>
      </c>
      <c r="G6" s="17" t="n">
        <v>350.4</v>
      </c>
      <c r="H6" s="17" t="n">
        <v>14.02</v>
      </c>
      <c r="I6" s="27" t="n">
        <f aca="false">G6+H6</f>
        <v>364.42</v>
      </c>
      <c r="J6" s="26" t="s">
        <v>198</v>
      </c>
      <c r="K6" s="18" t="n">
        <v>46300</v>
      </c>
    </row>
    <row r="7" customFormat="false" ht="15" hidden="false" customHeight="false" outlineLevel="0" collapsed="false">
      <c r="A7" s="13" t="s">
        <v>201</v>
      </c>
      <c r="B7" s="18" t="n">
        <v>46255</v>
      </c>
      <c r="C7" s="13" t="s">
        <v>156</v>
      </c>
      <c r="D7" s="13" t="s">
        <v>157</v>
      </c>
      <c r="E7" s="26" t="s">
        <v>202</v>
      </c>
      <c r="F7" s="13" t="s">
        <v>197</v>
      </c>
      <c r="G7" s="17" t="n">
        <v>48.45</v>
      </c>
      <c r="H7" s="17" t="n">
        <v>1.94</v>
      </c>
      <c r="I7" s="27" t="n">
        <f aca="false">G7+H7</f>
        <v>50.39</v>
      </c>
      <c r="J7" s="26" t="s">
        <v>198</v>
      </c>
      <c r="K7" s="18" t="n">
        <v>46286</v>
      </c>
    </row>
    <row r="8" customFormat="false" ht="15" hidden="false" customHeight="false" outlineLevel="0" collapsed="false">
      <c r="A8" s="13" t="s">
        <v>203</v>
      </c>
      <c r="B8" s="18" t="n">
        <v>46279</v>
      </c>
      <c r="C8" s="13" t="s">
        <v>153</v>
      </c>
      <c r="D8" s="13" t="s">
        <v>154</v>
      </c>
      <c r="E8" s="26" t="s">
        <v>202</v>
      </c>
      <c r="F8" s="13" t="s">
        <v>197</v>
      </c>
      <c r="G8" s="17" t="n">
        <v>74.25</v>
      </c>
      <c r="H8" s="17" t="n">
        <v>2.97</v>
      </c>
      <c r="I8" s="27" t="n">
        <f aca="false">G8+H8</f>
        <v>77.22</v>
      </c>
      <c r="J8" s="26" t="s">
        <v>198</v>
      </c>
      <c r="K8" s="18" t="n">
        <v>46286</v>
      </c>
    </row>
    <row r="9" customFormat="false" ht="15" hidden="false" customHeight="false" outlineLevel="0" collapsed="false">
      <c r="A9" s="13" t="s">
        <v>204</v>
      </c>
      <c r="B9" s="18" t="n">
        <v>46293</v>
      </c>
      <c r="C9" s="13" t="s">
        <v>150</v>
      </c>
      <c r="D9" s="13" t="s">
        <v>151</v>
      </c>
      <c r="E9" s="26" t="s">
        <v>202</v>
      </c>
      <c r="F9" s="13" t="s">
        <v>197</v>
      </c>
      <c r="G9" s="17" t="n">
        <v>639.7</v>
      </c>
      <c r="H9" s="17" t="n">
        <v>25.59</v>
      </c>
      <c r="I9" s="27" t="n">
        <f aca="false">G9+H9</f>
        <v>665.29</v>
      </c>
      <c r="J9" s="26" t="s">
        <v>198</v>
      </c>
      <c r="K9" s="18" t="n">
        <v>46297</v>
      </c>
    </row>
    <row r="10" customFormat="false" ht="15" hidden="false" customHeight="false" outlineLevel="0" collapsed="false">
      <c r="A10" s="13" t="s">
        <v>205</v>
      </c>
      <c r="B10" s="18" t="n">
        <v>46294</v>
      </c>
      <c r="C10" s="13" t="s">
        <v>162</v>
      </c>
      <c r="D10" s="13" t="s">
        <v>163</v>
      </c>
      <c r="E10" s="26" t="s">
        <v>206</v>
      </c>
      <c r="F10" s="13" t="s">
        <v>197</v>
      </c>
      <c r="G10" s="17" t="n">
        <v>31.4</v>
      </c>
      <c r="H10" s="17" t="n">
        <v>1.26</v>
      </c>
      <c r="I10" s="27" t="n">
        <f aca="false">G10+H10</f>
        <v>32.66</v>
      </c>
      <c r="J10" s="26" t="s">
        <v>207</v>
      </c>
      <c r="K10" s="18"/>
    </row>
    <row r="11" customFormat="false" ht="15" hidden="false" customHeight="false" outlineLevel="0" collapsed="false">
      <c r="A11" s="13" t="s">
        <v>208</v>
      </c>
      <c r="B11" s="18" t="n">
        <v>46296</v>
      </c>
      <c r="C11" s="13" t="s">
        <v>153</v>
      </c>
      <c r="D11" s="13" t="s">
        <v>154</v>
      </c>
      <c r="E11" s="26" t="s">
        <v>202</v>
      </c>
      <c r="F11" s="13" t="s">
        <v>197</v>
      </c>
      <c r="G11" s="17" t="n">
        <v>115.25</v>
      </c>
      <c r="H11" s="17" t="n">
        <v>4.61</v>
      </c>
      <c r="I11" s="27" t="n">
        <f aca="false">G11+H11</f>
        <v>119.86</v>
      </c>
      <c r="J11" s="26" t="s">
        <v>198</v>
      </c>
      <c r="K11" s="18" t="n">
        <v>46302</v>
      </c>
    </row>
    <row r="12" customFormat="false" ht="15" hidden="false" customHeight="false" outlineLevel="0" collapsed="false">
      <c r="A12" s="13" t="s">
        <v>209</v>
      </c>
      <c r="B12" s="18" t="n">
        <v>46297</v>
      </c>
      <c r="C12" s="13" t="s">
        <v>165</v>
      </c>
      <c r="D12" s="13" t="s">
        <v>166</v>
      </c>
      <c r="E12" s="26" t="s">
        <v>206</v>
      </c>
      <c r="F12" s="13" t="s">
        <v>197</v>
      </c>
      <c r="G12" s="17" t="n">
        <v>10.1</v>
      </c>
      <c r="H12" s="17" t="n">
        <v>0.4</v>
      </c>
      <c r="I12" s="27" t="n">
        <f aca="false">G12+H12</f>
        <v>10.5</v>
      </c>
      <c r="J12" s="26" t="s">
        <v>198</v>
      </c>
      <c r="K12" s="18" t="n">
        <v>46301</v>
      </c>
    </row>
    <row r="13" customFormat="false" ht="15" hidden="false" customHeight="false" outlineLevel="0" collapsed="false">
      <c r="A13" s="13" t="s">
        <v>210</v>
      </c>
      <c r="B13" s="18" t="n">
        <v>46166</v>
      </c>
      <c r="C13" s="13" t="s">
        <v>168</v>
      </c>
      <c r="D13" s="13" t="s">
        <v>169</v>
      </c>
      <c r="E13" s="26" t="s">
        <v>211</v>
      </c>
      <c r="F13" s="13" t="s">
        <v>212</v>
      </c>
      <c r="G13" s="17" t="n">
        <v>4.81</v>
      </c>
      <c r="H13" s="17" t="n">
        <v>0.19</v>
      </c>
      <c r="I13" s="27" t="n">
        <f aca="false">G13+H13</f>
        <v>5</v>
      </c>
      <c r="J13" s="26" t="s">
        <v>198</v>
      </c>
      <c r="K13" s="18" t="n">
        <v>46166</v>
      </c>
    </row>
    <row r="14" customFormat="false" ht="15" hidden="false" customHeight="false" outlineLevel="0" collapsed="false">
      <c r="A14" s="13" t="s">
        <v>210</v>
      </c>
      <c r="B14" s="18" t="n">
        <v>46280</v>
      </c>
      <c r="C14" s="13" t="s">
        <v>168</v>
      </c>
      <c r="D14" s="13" t="s">
        <v>169</v>
      </c>
      <c r="E14" s="26" t="s">
        <v>202</v>
      </c>
      <c r="F14" s="13" t="s">
        <v>212</v>
      </c>
      <c r="G14" s="17" t="n">
        <v>4.81</v>
      </c>
      <c r="H14" s="17" t="n">
        <v>0.19</v>
      </c>
      <c r="I14" s="27" t="n">
        <f aca="false">G14+H14</f>
        <v>5</v>
      </c>
      <c r="J14" s="26" t="s">
        <v>198</v>
      </c>
      <c r="K14" s="18" t="n">
        <v>46280</v>
      </c>
    </row>
    <row r="15" customFormat="false" ht="15" hidden="false" customHeight="false" outlineLevel="0" collapsed="false">
      <c r="A15" s="13" t="s">
        <v>210</v>
      </c>
      <c r="B15" s="18" t="n">
        <v>46281</v>
      </c>
      <c r="C15" s="13" t="s">
        <v>168</v>
      </c>
      <c r="D15" s="13" t="s">
        <v>169</v>
      </c>
      <c r="E15" s="26" t="s">
        <v>202</v>
      </c>
      <c r="F15" s="13" t="s">
        <v>212</v>
      </c>
      <c r="G15" s="17" t="n">
        <v>8.65</v>
      </c>
      <c r="H15" s="17" t="n">
        <v>0.35</v>
      </c>
      <c r="I15" s="27" t="n">
        <f aca="false">G15+H15</f>
        <v>9</v>
      </c>
      <c r="J15" s="26" t="s">
        <v>198</v>
      </c>
      <c r="K15" s="18" t="n">
        <v>46281</v>
      </c>
    </row>
    <row r="16" customFormat="false" ht="15" hidden="false" customHeight="false" outlineLevel="0" collapsed="false">
      <c r="A16" s="13" t="s">
        <v>210</v>
      </c>
      <c r="B16" s="18" t="n">
        <v>46289</v>
      </c>
      <c r="C16" s="13" t="s">
        <v>168</v>
      </c>
      <c r="D16" s="13" t="s">
        <v>169</v>
      </c>
      <c r="E16" s="26" t="s">
        <v>202</v>
      </c>
      <c r="F16" s="13" t="s">
        <v>212</v>
      </c>
      <c r="G16" s="17" t="n">
        <v>8.65</v>
      </c>
      <c r="H16" s="17" t="n">
        <v>0.35</v>
      </c>
      <c r="I16" s="27" t="n">
        <f aca="false">G16+H16</f>
        <v>9</v>
      </c>
      <c r="J16" s="26" t="s">
        <v>198</v>
      </c>
      <c r="K16" s="18" t="n">
        <v>46289</v>
      </c>
    </row>
    <row r="17" customFormat="false" ht="15" hidden="false" customHeight="false" outlineLevel="0" collapsed="false">
      <c r="A17" s="13" t="s">
        <v>210</v>
      </c>
      <c r="B17" s="18" t="n">
        <v>46296</v>
      </c>
      <c r="C17" s="13" t="s">
        <v>168</v>
      </c>
      <c r="D17" s="13" t="s">
        <v>169</v>
      </c>
      <c r="E17" s="26" t="s">
        <v>206</v>
      </c>
      <c r="F17" s="13" t="s">
        <v>212</v>
      </c>
      <c r="G17" s="17" t="n">
        <v>8.65</v>
      </c>
      <c r="H17" s="17" t="n">
        <v>0.35</v>
      </c>
      <c r="I17" s="27" t="n">
        <f aca="false">G17+H17</f>
        <v>9</v>
      </c>
      <c r="J17" s="26" t="s">
        <v>198</v>
      </c>
      <c r="K17" s="18" t="n">
        <v>46296</v>
      </c>
    </row>
    <row r="18" customFormat="false" ht="15" hidden="false" customHeight="false" outlineLevel="0" collapsed="false">
      <c r="A18" s="13" t="s">
        <v>213</v>
      </c>
      <c r="B18" s="18" t="n">
        <v>46272</v>
      </c>
      <c r="C18" s="13" t="s">
        <v>159</v>
      </c>
      <c r="D18" s="13" t="s">
        <v>160</v>
      </c>
      <c r="E18" s="26" t="s">
        <v>202</v>
      </c>
      <c r="F18" s="13" t="s">
        <v>214</v>
      </c>
      <c r="G18" s="17" t="n">
        <v>124.2</v>
      </c>
      <c r="H18" s="17" t="n">
        <v>4.97</v>
      </c>
      <c r="I18" s="27" t="n">
        <f aca="false">G18+H18</f>
        <v>129.17</v>
      </c>
      <c r="J18" s="26" t="s">
        <v>65</v>
      </c>
      <c r="K18" s="18"/>
    </row>
    <row r="19" customFormat="false" ht="15" hidden="false" customHeight="false" outlineLevel="0" collapsed="false">
      <c r="A19" s="13" t="s">
        <v>215</v>
      </c>
      <c r="B19" s="18" t="n">
        <v>46300</v>
      </c>
      <c r="C19" s="13" t="s">
        <v>150</v>
      </c>
      <c r="D19" s="13" t="s">
        <v>151</v>
      </c>
      <c r="E19" s="26" t="s">
        <v>206</v>
      </c>
      <c r="F19" s="13" t="s">
        <v>214</v>
      </c>
      <c r="G19" s="17" t="n">
        <v>155</v>
      </c>
      <c r="H19" s="17" t="n">
        <v>6.2</v>
      </c>
      <c r="I19" s="27" t="n">
        <f aca="false">G19+H19</f>
        <v>161.2</v>
      </c>
      <c r="J19" s="26" t="s">
        <v>65</v>
      </c>
      <c r="K19" s="18"/>
    </row>
    <row r="21" customFormat="false" ht="15" hidden="false" customHeight="false" outlineLevel="0" collapsed="false">
      <c r="C21" s="14" t="s">
        <v>216</v>
      </c>
      <c r="G21" s="24" t="n">
        <f aca="false">SUMIFS(G5:G19,$F$5:$F$19,"Factura")+SUMIFS(G5:G19,$F$5:$F$19,"Ticket")</f>
        <v>1924.72</v>
      </c>
      <c r="H21" s="24" t="n">
        <f aca="false">SUMIFS(H5:H19,$F$5:$F$19,"Factura")+SUMIFS(H5:H19,$F$5:$F$19,"Ticket")</f>
        <v>77</v>
      </c>
      <c r="I21" s="24" t="n">
        <f aca="false">SUMIFS(I5:I19,$F$5:$F$19,"Factura")+SUMIFS(I5:I19,$F$5:$F$19,"Ticket")</f>
        <v>2001.72</v>
      </c>
    </row>
    <row r="22" customFormat="false" ht="15" hidden="false" customHeight="false" outlineLevel="0" collapsed="false">
      <c r="C22" s="13" t="s">
        <v>15</v>
      </c>
      <c r="G22" s="28" t="n">
        <f aca="false">SUMIFS(G5:G19,$F$5:$F$19,"Entregado, pendiente de facturar")</f>
        <v>279.2</v>
      </c>
      <c r="H22" s="28" t="n">
        <f aca="false">SUMIFS(H5:H19,$F$5:$F$19,"Entregado, pendiente de facturar")</f>
        <v>11.17</v>
      </c>
      <c r="I22" s="28" t="n">
        <f aca="false">SUMIFS(I5:I19,$F$5:$F$19,"Entregado, pendiente de facturar")</f>
        <v>290.37</v>
      </c>
    </row>
    <row r="23" customFormat="false" ht="15" hidden="false" customHeight="false" outlineLevel="0" collapsed="false">
      <c r="C23" s="13" t="s">
        <v>217</v>
      </c>
      <c r="I23" s="28" t="n">
        <f aca="false">SUMIFS(I5:I19,$J$5:$J$19,"Pendiente")</f>
        <v>32.66</v>
      </c>
    </row>
    <row r="25" customFormat="false" ht="15" hidden="false" customHeight="false" outlineLevel="0" collapsed="false">
      <c r="A25" s="21" t="s">
        <v>218</v>
      </c>
    </row>
  </sheetData>
  <autoFilter ref="A4:K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31.5" hidden="false" customHeight="true" outlineLevel="0" collapsed="false">
      <c r="A4" s="12" t="s">
        <v>221</v>
      </c>
      <c r="B4" s="12" t="s">
        <v>222</v>
      </c>
      <c r="C4" s="12" t="s">
        <v>190</v>
      </c>
      <c r="D4" s="12" t="s">
        <v>223</v>
      </c>
      <c r="E4" s="12" t="s">
        <v>224</v>
      </c>
      <c r="F4" s="12" t="s">
        <v>225</v>
      </c>
      <c r="G4" s="12" t="s">
        <v>226</v>
      </c>
      <c r="H4" s="12" t="s">
        <v>227</v>
      </c>
      <c r="I4" s="12" t="s">
        <v>228</v>
      </c>
    </row>
    <row r="5" customFormat="false" ht="15" hidden="false" customHeight="false" outlineLevel="0" collapsed="false">
      <c r="A5" s="29" t="n">
        <v>1</v>
      </c>
      <c r="B5" s="14" t="s">
        <v>229</v>
      </c>
      <c r="C5" s="15" t="s">
        <v>163</v>
      </c>
      <c r="D5" s="15" t="s">
        <v>230</v>
      </c>
      <c r="E5" s="26" t="s">
        <v>231</v>
      </c>
      <c r="F5" s="26" t="s">
        <v>232</v>
      </c>
      <c r="G5" s="30" t="n">
        <v>299</v>
      </c>
      <c r="H5" s="18" t="n">
        <v>46282</v>
      </c>
      <c r="I5" s="15" t="s">
        <v>233</v>
      </c>
    </row>
    <row r="6" customFormat="false" ht="23.85" hidden="false" customHeight="false" outlineLevel="0" collapsed="false">
      <c r="A6" s="29" t="n">
        <v>2</v>
      </c>
      <c r="B6" s="14" t="s">
        <v>234</v>
      </c>
      <c r="C6" s="15" t="s">
        <v>163</v>
      </c>
      <c r="D6" s="15" t="s">
        <v>235</v>
      </c>
      <c r="E6" s="26" t="s">
        <v>231</v>
      </c>
      <c r="F6" s="26" t="s">
        <v>232</v>
      </c>
      <c r="G6" s="30"/>
      <c r="H6" s="18" t="n">
        <v>46265</v>
      </c>
      <c r="I6" s="15" t="s">
        <v>236</v>
      </c>
    </row>
    <row r="7" customFormat="false" ht="15" hidden="false" customHeight="false" outlineLevel="0" collapsed="false">
      <c r="A7" s="29" t="n">
        <v>3</v>
      </c>
      <c r="B7" s="14" t="s">
        <v>237</v>
      </c>
      <c r="C7" s="15" t="s">
        <v>163</v>
      </c>
      <c r="D7" s="15" t="s">
        <v>230</v>
      </c>
      <c r="E7" s="26" t="s">
        <v>231</v>
      </c>
      <c r="F7" s="26" t="s">
        <v>232</v>
      </c>
      <c r="G7" s="30"/>
      <c r="H7" s="18" t="n">
        <v>46274</v>
      </c>
      <c r="I7" s="15" t="s">
        <v>238</v>
      </c>
    </row>
    <row r="8" customFormat="false" ht="15" hidden="false" customHeight="false" outlineLevel="0" collapsed="false">
      <c r="A8" s="29" t="n">
        <v>4</v>
      </c>
      <c r="B8" s="14" t="s">
        <v>239</v>
      </c>
      <c r="C8" s="15" t="s">
        <v>240</v>
      </c>
      <c r="D8" s="15" t="s">
        <v>230</v>
      </c>
      <c r="E8" s="26" t="s">
        <v>241</v>
      </c>
      <c r="F8" s="26" t="s">
        <v>232</v>
      </c>
      <c r="G8" s="30" t="n">
        <v>1000</v>
      </c>
      <c r="H8" s="18" t="n">
        <v>46269</v>
      </c>
      <c r="I8" s="15" t="s">
        <v>242</v>
      </c>
    </row>
    <row r="9" customFormat="false" ht="15" hidden="false" customHeight="false" outlineLevel="0" collapsed="false">
      <c r="A9" s="29" t="n">
        <v>5</v>
      </c>
      <c r="B9" s="14" t="s">
        <v>243</v>
      </c>
      <c r="C9" s="15" t="s">
        <v>244</v>
      </c>
      <c r="D9" s="15" t="s">
        <v>230</v>
      </c>
      <c r="E9" s="26" t="s">
        <v>241</v>
      </c>
      <c r="F9" s="26" t="s">
        <v>232</v>
      </c>
      <c r="G9" s="30"/>
      <c r="H9" s="18" t="n">
        <v>46265</v>
      </c>
      <c r="I9" s="15" t="s">
        <v>245</v>
      </c>
    </row>
    <row r="10" customFormat="false" ht="15" hidden="false" customHeight="false" outlineLevel="0" collapsed="false">
      <c r="A10" s="29" t="n">
        <v>6</v>
      </c>
      <c r="B10" s="14" t="s">
        <v>246</v>
      </c>
      <c r="C10" s="15" t="s">
        <v>247</v>
      </c>
      <c r="D10" s="15" t="s">
        <v>230</v>
      </c>
      <c r="E10" s="26" t="s">
        <v>241</v>
      </c>
      <c r="F10" s="26" t="s">
        <v>248</v>
      </c>
      <c r="G10" s="30"/>
      <c r="H10" s="18" t="n">
        <v>46265</v>
      </c>
      <c r="I10" s="15" t="s">
        <v>249</v>
      </c>
    </row>
    <row r="11" customFormat="false" ht="15" hidden="false" customHeight="false" outlineLevel="0" collapsed="false">
      <c r="A11" s="29" t="n">
        <v>7</v>
      </c>
      <c r="B11" s="14" t="s">
        <v>250</v>
      </c>
      <c r="C11" s="15" t="s">
        <v>163</v>
      </c>
      <c r="D11" s="15" t="s">
        <v>230</v>
      </c>
      <c r="E11" s="26" t="s">
        <v>241</v>
      </c>
      <c r="F11" s="26" t="s">
        <v>248</v>
      </c>
      <c r="G11" s="30"/>
      <c r="H11" s="18" t="n">
        <v>46272</v>
      </c>
      <c r="I11" s="15" t="s">
        <v>251</v>
      </c>
    </row>
    <row r="12" customFormat="false" ht="15" hidden="false" customHeight="false" outlineLevel="0" collapsed="false">
      <c r="A12" s="29" t="n">
        <v>8</v>
      </c>
      <c r="B12" s="14" t="s">
        <v>252</v>
      </c>
      <c r="C12" s="15" t="s">
        <v>240</v>
      </c>
      <c r="D12" s="15" t="s">
        <v>230</v>
      </c>
      <c r="E12" s="26" t="s">
        <v>241</v>
      </c>
      <c r="F12" s="26" t="s">
        <v>248</v>
      </c>
      <c r="G12" s="30"/>
      <c r="H12" s="18" t="n">
        <v>46272</v>
      </c>
      <c r="I12" s="15" t="s">
        <v>253</v>
      </c>
    </row>
    <row r="13" customFormat="false" ht="15" hidden="false" customHeight="false" outlineLevel="0" collapsed="false">
      <c r="A13" s="29" t="n">
        <v>9</v>
      </c>
      <c r="B13" s="14" t="s">
        <v>254</v>
      </c>
      <c r="C13" s="15" t="s">
        <v>255</v>
      </c>
      <c r="D13" s="15" t="s">
        <v>256</v>
      </c>
      <c r="E13" s="26" t="s">
        <v>241</v>
      </c>
      <c r="F13" s="26" t="s">
        <v>248</v>
      </c>
      <c r="G13" s="30"/>
      <c r="H13" s="18" t="n">
        <v>46258</v>
      </c>
      <c r="I13" s="15" t="s">
        <v>257</v>
      </c>
    </row>
    <row r="14" customFormat="false" ht="23.85" hidden="false" customHeight="false" outlineLevel="0" collapsed="false">
      <c r="A14" s="29" t="n">
        <v>10</v>
      </c>
      <c r="B14" s="14" t="s">
        <v>258</v>
      </c>
      <c r="C14" s="15" t="s">
        <v>244</v>
      </c>
      <c r="D14" s="15" t="s">
        <v>230</v>
      </c>
      <c r="E14" s="26" t="s">
        <v>259</v>
      </c>
      <c r="F14" s="26" t="s">
        <v>248</v>
      </c>
      <c r="G14" s="30" t="n">
        <v>50</v>
      </c>
      <c r="H14" s="18" t="n">
        <v>46268</v>
      </c>
      <c r="I14" s="15" t="s">
        <v>260</v>
      </c>
    </row>
    <row r="15" customFormat="false" ht="23.85" hidden="false" customHeight="false" outlineLevel="0" collapsed="false">
      <c r="A15" s="29" t="n">
        <v>11</v>
      </c>
      <c r="B15" s="14" t="s">
        <v>261</v>
      </c>
      <c r="C15" s="15" t="s">
        <v>262</v>
      </c>
      <c r="D15" s="15" t="s">
        <v>230</v>
      </c>
      <c r="E15" s="26" t="s">
        <v>263</v>
      </c>
      <c r="F15" s="26" t="s">
        <v>232</v>
      </c>
      <c r="G15" s="30" t="n">
        <v>2000</v>
      </c>
      <c r="H15" s="18" t="n">
        <v>46210</v>
      </c>
      <c r="I15" s="15" t="s">
        <v>264</v>
      </c>
    </row>
    <row r="16" customFormat="false" ht="23.85" hidden="false" customHeight="false" outlineLevel="0" collapsed="false">
      <c r="A16" s="29" t="n">
        <v>12</v>
      </c>
      <c r="B16" s="14" t="s">
        <v>265</v>
      </c>
      <c r="C16" s="15" t="s">
        <v>266</v>
      </c>
      <c r="D16" s="15" t="s">
        <v>230</v>
      </c>
      <c r="E16" s="26" t="s">
        <v>263</v>
      </c>
      <c r="F16" s="26" t="s">
        <v>232</v>
      </c>
      <c r="G16" s="30"/>
      <c r="H16" s="18" t="n">
        <v>46269</v>
      </c>
      <c r="I16" s="15" t="s">
        <v>267</v>
      </c>
    </row>
    <row r="17" customFormat="false" ht="15" hidden="false" customHeight="false" outlineLevel="0" collapsed="false">
      <c r="A17" s="29" t="n">
        <v>13</v>
      </c>
      <c r="B17" s="14" t="s">
        <v>268</v>
      </c>
      <c r="C17" s="15" t="s">
        <v>163</v>
      </c>
      <c r="D17" s="15" t="s">
        <v>230</v>
      </c>
      <c r="E17" s="26" t="s">
        <v>263</v>
      </c>
      <c r="F17" s="26" t="s">
        <v>232</v>
      </c>
      <c r="G17" s="30" t="n">
        <v>300</v>
      </c>
      <c r="H17" s="18" t="n">
        <v>46268</v>
      </c>
      <c r="I17" s="15" t="s">
        <v>269</v>
      </c>
    </row>
    <row r="18" customFormat="false" ht="15" hidden="false" customHeight="false" outlineLevel="0" collapsed="false">
      <c r="A18" s="29" t="n">
        <v>14</v>
      </c>
      <c r="B18" s="14" t="s">
        <v>270</v>
      </c>
      <c r="C18" s="15" t="s">
        <v>240</v>
      </c>
      <c r="D18" s="15" t="s">
        <v>230</v>
      </c>
      <c r="E18" s="26" t="s">
        <v>263</v>
      </c>
      <c r="F18" s="26" t="s">
        <v>248</v>
      </c>
      <c r="G18" s="30" t="n">
        <v>500</v>
      </c>
      <c r="H18" s="18" t="n">
        <v>46211</v>
      </c>
      <c r="I18" s="15" t="s">
        <v>271</v>
      </c>
    </row>
    <row r="19" customFormat="false" ht="15" hidden="false" customHeight="false" outlineLevel="0" collapsed="false">
      <c r="A19" s="29" t="n">
        <v>15</v>
      </c>
      <c r="B19" s="14" t="s">
        <v>272</v>
      </c>
      <c r="C19" s="15" t="s">
        <v>240</v>
      </c>
      <c r="D19" s="15" t="s">
        <v>230</v>
      </c>
      <c r="E19" s="26" t="s">
        <v>263</v>
      </c>
      <c r="F19" s="26" t="s">
        <v>248</v>
      </c>
      <c r="G19" s="30"/>
      <c r="H19" s="18" t="n">
        <v>46259</v>
      </c>
      <c r="I19" s="15" t="s">
        <v>273</v>
      </c>
    </row>
    <row r="20" customFormat="false" ht="15" hidden="false" customHeight="false" outlineLevel="0" collapsed="false">
      <c r="A20" s="29" t="n">
        <v>16</v>
      </c>
      <c r="B20" s="14" t="s">
        <v>274</v>
      </c>
      <c r="C20" s="15" t="s">
        <v>163</v>
      </c>
      <c r="D20" s="15" t="s">
        <v>230</v>
      </c>
      <c r="E20" s="26" t="s">
        <v>263</v>
      </c>
      <c r="F20" s="26" t="s">
        <v>275</v>
      </c>
      <c r="G20" s="30"/>
      <c r="H20" s="18" t="n">
        <v>46259</v>
      </c>
      <c r="I20" s="15" t="s">
        <v>276</v>
      </c>
    </row>
    <row r="21" customFormat="false" ht="15" hidden="false" customHeight="false" outlineLevel="0" collapsed="false">
      <c r="A21" s="29" t="n">
        <v>17</v>
      </c>
      <c r="B21" s="14" t="s">
        <v>277</v>
      </c>
      <c r="C21" s="15" t="s">
        <v>278</v>
      </c>
      <c r="D21" s="15" t="s">
        <v>230</v>
      </c>
      <c r="E21" s="26" t="s">
        <v>263</v>
      </c>
      <c r="F21" s="26" t="s">
        <v>275</v>
      </c>
      <c r="G21" s="30"/>
      <c r="H21" s="18"/>
      <c r="I21" s="15" t="s">
        <v>279</v>
      </c>
    </row>
    <row r="22" customFormat="false" ht="15" hidden="false" customHeight="false" outlineLevel="0" collapsed="false">
      <c r="A22" s="29" t="n">
        <v>18</v>
      </c>
      <c r="B22" s="14" t="s">
        <v>280</v>
      </c>
      <c r="C22" s="15" t="s">
        <v>278</v>
      </c>
      <c r="D22" s="15" t="s">
        <v>230</v>
      </c>
      <c r="E22" s="26" t="s">
        <v>263</v>
      </c>
      <c r="F22" s="26" t="s">
        <v>275</v>
      </c>
      <c r="G22" s="30"/>
      <c r="H22" s="18" t="n">
        <v>46258</v>
      </c>
      <c r="I22" s="15" t="s">
        <v>281</v>
      </c>
    </row>
    <row r="23" customFormat="false" ht="15" hidden="false" customHeight="false" outlineLevel="0" collapsed="false">
      <c r="A23" s="29" t="n">
        <v>19</v>
      </c>
      <c r="B23" s="14" t="s">
        <v>282</v>
      </c>
      <c r="C23" s="15" t="s">
        <v>283</v>
      </c>
      <c r="D23" s="15" t="s">
        <v>230</v>
      </c>
      <c r="E23" s="26" t="s">
        <v>284</v>
      </c>
      <c r="F23" s="26" t="s">
        <v>248</v>
      </c>
      <c r="G23" s="30" t="n">
        <v>400</v>
      </c>
      <c r="H23" s="18" t="n">
        <v>46262</v>
      </c>
      <c r="I23" s="15" t="s">
        <v>285</v>
      </c>
    </row>
    <row r="24" customFormat="false" ht="15" hidden="false" customHeight="false" outlineLevel="0" collapsed="false">
      <c r="A24" s="29" t="n">
        <v>20</v>
      </c>
      <c r="B24" s="14" t="s">
        <v>286</v>
      </c>
      <c r="C24" s="15" t="s">
        <v>287</v>
      </c>
      <c r="D24" s="15" t="s">
        <v>230</v>
      </c>
      <c r="E24" s="26" t="s">
        <v>284</v>
      </c>
      <c r="F24" s="26" t="s">
        <v>248</v>
      </c>
      <c r="G24" s="30" t="n">
        <v>100</v>
      </c>
      <c r="H24" s="18" t="n">
        <v>46265</v>
      </c>
      <c r="I24" s="15" t="s">
        <v>288</v>
      </c>
    </row>
    <row r="25" customFormat="false" ht="15" hidden="false" customHeight="false" outlineLevel="0" collapsed="false">
      <c r="A25" s="29" t="n">
        <v>21</v>
      </c>
      <c r="B25" s="14" t="s">
        <v>289</v>
      </c>
      <c r="C25" s="15" t="s">
        <v>240</v>
      </c>
      <c r="D25" s="15" t="s">
        <v>230</v>
      </c>
      <c r="E25" s="26" t="s">
        <v>284</v>
      </c>
      <c r="F25" s="26" t="s">
        <v>248</v>
      </c>
      <c r="G25" s="30"/>
      <c r="H25" s="18" t="n">
        <v>46269</v>
      </c>
      <c r="I25" s="15" t="s">
        <v>290</v>
      </c>
    </row>
    <row r="26" customFormat="false" ht="15" hidden="false" customHeight="false" outlineLevel="0" collapsed="false">
      <c r="A26" s="29" t="n">
        <v>22</v>
      </c>
      <c r="B26" s="14" t="s">
        <v>291</v>
      </c>
      <c r="C26" s="15" t="s">
        <v>240</v>
      </c>
      <c r="D26" s="15" t="s">
        <v>230</v>
      </c>
      <c r="E26" s="26" t="s">
        <v>284</v>
      </c>
      <c r="F26" s="26" t="s">
        <v>248</v>
      </c>
      <c r="G26" s="30"/>
      <c r="H26" s="18" t="n">
        <v>46272</v>
      </c>
      <c r="I26" s="15" t="s">
        <v>292</v>
      </c>
    </row>
    <row r="27" customFormat="false" ht="15" hidden="false" customHeight="false" outlineLevel="0" collapsed="false">
      <c r="A27" s="29" t="n">
        <v>23</v>
      </c>
      <c r="B27" s="14" t="s">
        <v>293</v>
      </c>
      <c r="C27" s="15" t="s">
        <v>240</v>
      </c>
      <c r="D27" s="15" t="s">
        <v>230</v>
      </c>
      <c r="E27" s="26" t="s">
        <v>284</v>
      </c>
      <c r="F27" s="26" t="s">
        <v>248</v>
      </c>
      <c r="G27" s="30"/>
      <c r="H27" s="18"/>
      <c r="I27" s="15" t="s">
        <v>294</v>
      </c>
    </row>
    <row r="28" customFormat="false" ht="15" hidden="false" customHeight="false" outlineLevel="0" collapsed="false">
      <c r="A28" s="29" t="n">
        <v>24</v>
      </c>
      <c r="B28" s="14" t="s">
        <v>295</v>
      </c>
      <c r="C28" s="15" t="s">
        <v>240</v>
      </c>
      <c r="D28" s="15" t="s">
        <v>230</v>
      </c>
      <c r="E28" s="26" t="s">
        <v>284</v>
      </c>
      <c r="F28" s="26" t="s">
        <v>248</v>
      </c>
      <c r="G28" s="30"/>
      <c r="H28" s="18"/>
      <c r="I28" s="15" t="s">
        <v>296</v>
      </c>
    </row>
    <row r="29" customFormat="false" ht="23.85" hidden="false" customHeight="false" outlineLevel="0" collapsed="false">
      <c r="A29" s="29" t="n">
        <v>25</v>
      </c>
      <c r="B29" s="14" t="s">
        <v>297</v>
      </c>
      <c r="C29" s="15" t="s">
        <v>163</v>
      </c>
      <c r="D29" s="15" t="s">
        <v>235</v>
      </c>
      <c r="E29" s="26" t="s">
        <v>284</v>
      </c>
      <c r="F29" s="26" t="s">
        <v>275</v>
      </c>
      <c r="G29" s="30"/>
      <c r="H29" s="18" t="n">
        <v>46265</v>
      </c>
      <c r="I29" s="15" t="s">
        <v>298</v>
      </c>
    </row>
    <row r="30" customFormat="false" ht="23.85" hidden="false" customHeight="false" outlineLevel="0" collapsed="false">
      <c r="A30" s="29" t="n">
        <v>26</v>
      </c>
      <c r="B30" s="14" t="s">
        <v>299</v>
      </c>
      <c r="C30" s="15" t="s">
        <v>163</v>
      </c>
      <c r="D30" s="15" t="s">
        <v>235</v>
      </c>
      <c r="E30" s="26" t="s">
        <v>284</v>
      </c>
      <c r="F30" s="26" t="s">
        <v>275</v>
      </c>
      <c r="G30" s="30"/>
      <c r="H30" s="18" t="n">
        <v>46262</v>
      </c>
      <c r="I30" s="15" t="s">
        <v>300</v>
      </c>
    </row>
    <row r="31" customFormat="false" ht="15" hidden="false" customHeight="false" outlineLevel="0" collapsed="false">
      <c r="A31" s="29" t="n">
        <v>27</v>
      </c>
      <c r="B31" s="14" t="s">
        <v>301</v>
      </c>
      <c r="C31" s="15" t="s">
        <v>163</v>
      </c>
      <c r="D31" s="15" t="s">
        <v>230</v>
      </c>
      <c r="E31" s="26" t="s">
        <v>284</v>
      </c>
      <c r="F31" s="26" t="s">
        <v>275</v>
      </c>
      <c r="G31" s="30"/>
      <c r="H31" s="18" t="n">
        <v>46262</v>
      </c>
      <c r="I31" s="15" t="s">
        <v>302</v>
      </c>
    </row>
    <row r="32" customFormat="false" ht="15" hidden="false" customHeight="false" outlineLevel="0" collapsed="false">
      <c r="A32" s="29" t="n">
        <v>28</v>
      </c>
      <c r="B32" s="14" t="s">
        <v>303</v>
      </c>
      <c r="C32" s="15" t="s">
        <v>163</v>
      </c>
      <c r="D32" s="15" t="s">
        <v>230</v>
      </c>
      <c r="E32" s="26" t="s">
        <v>284</v>
      </c>
      <c r="F32" s="26" t="s">
        <v>275</v>
      </c>
      <c r="G32" s="30"/>
      <c r="H32" s="18" t="n">
        <v>46272</v>
      </c>
      <c r="I32" s="15" t="s">
        <v>304</v>
      </c>
    </row>
    <row r="33" customFormat="false" ht="23.85" hidden="false" customHeight="false" outlineLevel="0" collapsed="false">
      <c r="A33" s="29" t="n">
        <v>29</v>
      </c>
      <c r="B33" s="14" t="s">
        <v>305</v>
      </c>
      <c r="C33" s="15" t="s">
        <v>163</v>
      </c>
      <c r="D33" s="15" t="s">
        <v>235</v>
      </c>
      <c r="E33" s="26" t="s">
        <v>284</v>
      </c>
      <c r="F33" s="26" t="s">
        <v>275</v>
      </c>
      <c r="G33" s="30"/>
      <c r="H33" s="18"/>
      <c r="I33" s="15" t="s">
        <v>296</v>
      </c>
    </row>
    <row r="34" customFormat="false" ht="23.85" hidden="false" customHeight="false" outlineLevel="0" collapsed="false">
      <c r="A34" s="29" t="n">
        <v>30</v>
      </c>
      <c r="B34" s="14" t="s">
        <v>306</v>
      </c>
      <c r="C34" s="15" t="s">
        <v>163</v>
      </c>
      <c r="D34" s="15" t="s">
        <v>235</v>
      </c>
      <c r="E34" s="26" t="s">
        <v>284</v>
      </c>
      <c r="F34" s="26" t="s">
        <v>275</v>
      </c>
      <c r="G34" s="30" t="n">
        <v>50</v>
      </c>
      <c r="H34" s="18"/>
      <c r="I34" s="15" t="s">
        <v>296</v>
      </c>
    </row>
    <row r="35" customFormat="false" ht="15" hidden="false" customHeight="false" outlineLevel="0" collapsed="false">
      <c r="A35" s="29" t="n">
        <v>31</v>
      </c>
      <c r="B35" s="14" t="s">
        <v>307</v>
      </c>
      <c r="C35" s="15" t="s">
        <v>163</v>
      </c>
      <c r="D35" s="15" t="s">
        <v>230</v>
      </c>
      <c r="E35" s="26" t="s">
        <v>284</v>
      </c>
      <c r="F35" s="26" t="s">
        <v>275</v>
      </c>
      <c r="G35" s="30"/>
      <c r="H35" s="18"/>
      <c r="I35" s="15" t="s">
        <v>296</v>
      </c>
    </row>
    <row r="36" customFormat="false" ht="15" hidden="false" customHeight="false" outlineLevel="0" collapsed="false">
      <c r="A36" s="29" t="n">
        <v>32</v>
      </c>
      <c r="B36" s="14" t="s">
        <v>308</v>
      </c>
      <c r="C36" s="15" t="s">
        <v>163</v>
      </c>
      <c r="D36" s="15" t="s">
        <v>230</v>
      </c>
      <c r="E36" s="26" t="s">
        <v>284</v>
      </c>
      <c r="F36" s="26" t="s">
        <v>275</v>
      </c>
      <c r="G36" s="30"/>
      <c r="H36" s="18"/>
      <c r="I36" s="15" t="s">
        <v>296</v>
      </c>
    </row>
    <row r="37" customFormat="false" ht="15" hidden="false" customHeight="false" outlineLevel="0" collapsed="false">
      <c r="A37" s="29" t="n">
        <v>33</v>
      </c>
      <c r="B37" s="14" t="s">
        <v>309</v>
      </c>
      <c r="C37" s="15" t="s">
        <v>310</v>
      </c>
      <c r="D37" s="15" t="s">
        <v>230</v>
      </c>
      <c r="E37" s="26" t="s">
        <v>284</v>
      </c>
      <c r="F37" s="26" t="s">
        <v>275</v>
      </c>
      <c r="G37" s="30"/>
      <c r="H37" s="18" t="n">
        <v>46269</v>
      </c>
      <c r="I37" s="15" t="s">
        <v>304</v>
      </c>
    </row>
    <row r="38" customFormat="false" ht="15" hidden="false" customHeight="false" outlineLevel="0" collapsed="false">
      <c r="A38" s="29" t="n">
        <v>34</v>
      </c>
      <c r="B38" s="14" t="s">
        <v>311</v>
      </c>
      <c r="C38" s="15" t="s">
        <v>310</v>
      </c>
      <c r="D38" s="15" t="s">
        <v>230</v>
      </c>
      <c r="E38" s="26" t="s">
        <v>284</v>
      </c>
      <c r="F38" s="26" t="s">
        <v>275</v>
      </c>
      <c r="G38" s="30"/>
      <c r="H38" s="18"/>
      <c r="I38" s="15" t="s">
        <v>296</v>
      </c>
    </row>
    <row r="39" customFormat="false" ht="15" hidden="false" customHeight="false" outlineLevel="0" collapsed="false">
      <c r="A39" s="29" t="n">
        <v>35</v>
      </c>
      <c r="B39" s="14" t="s">
        <v>312</v>
      </c>
      <c r="C39" s="15" t="s">
        <v>310</v>
      </c>
      <c r="D39" s="15" t="s">
        <v>230</v>
      </c>
      <c r="E39" s="26" t="s">
        <v>284</v>
      </c>
      <c r="F39" s="26" t="s">
        <v>275</v>
      </c>
      <c r="G39" s="30"/>
      <c r="H39" s="18"/>
      <c r="I39" s="15" t="s">
        <v>296</v>
      </c>
    </row>
    <row r="40" customFormat="false" ht="15" hidden="false" customHeight="false" outlineLevel="0" collapsed="false">
      <c r="A40" s="29" t="n">
        <v>36</v>
      </c>
      <c r="B40" s="14" t="s">
        <v>313</v>
      </c>
      <c r="C40" s="15" t="s">
        <v>310</v>
      </c>
      <c r="D40" s="15" t="s">
        <v>230</v>
      </c>
      <c r="E40" s="26" t="s">
        <v>284</v>
      </c>
      <c r="F40" s="26" t="s">
        <v>275</v>
      </c>
      <c r="G40" s="30"/>
      <c r="H40" s="18"/>
      <c r="I40" s="15" t="s">
        <v>296</v>
      </c>
    </row>
    <row r="41" customFormat="false" ht="15" hidden="false" customHeight="false" outlineLevel="0" collapsed="false">
      <c r="A41" s="29" t="n">
        <v>37</v>
      </c>
      <c r="B41" s="14" t="s">
        <v>314</v>
      </c>
      <c r="C41" s="15" t="s">
        <v>310</v>
      </c>
      <c r="D41" s="15" t="s">
        <v>230</v>
      </c>
      <c r="E41" s="26" t="s">
        <v>284</v>
      </c>
      <c r="F41" s="26" t="s">
        <v>275</v>
      </c>
      <c r="G41" s="30"/>
      <c r="H41" s="18"/>
      <c r="I41" s="15" t="s">
        <v>296</v>
      </c>
    </row>
    <row r="42" customFormat="false" ht="15" hidden="false" customHeight="false" outlineLevel="0" collapsed="false">
      <c r="A42" s="29" t="n">
        <v>38</v>
      </c>
      <c r="B42" s="14" t="s">
        <v>315</v>
      </c>
      <c r="C42" s="15" t="s">
        <v>310</v>
      </c>
      <c r="D42" s="15" t="s">
        <v>230</v>
      </c>
      <c r="E42" s="26" t="s">
        <v>284</v>
      </c>
      <c r="F42" s="26" t="s">
        <v>275</v>
      </c>
      <c r="G42" s="30"/>
      <c r="H42" s="18"/>
      <c r="I42" s="15" t="s">
        <v>296</v>
      </c>
    </row>
    <row r="44" customFormat="false" ht="15" hidden="false" customHeight="false" outlineLevel="0" collapsed="false">
      <c r="B44" s="25" t="s">
        <v>316</v>
      </c>
    </row>
    <row r="45" customFormat="false" ht="31.5" hidden="false" customHeight="true" outlineLevel="0" collapsed="false">
      <c r="A45" s="12"/>
      <c r="B45" s="12" t="s">
        <v>224</v>
      </c>
      <c r="C45" s="12" t="s">
        <v>317</v>
      </c>
      <c r="D45" s="12" t="s">
        <v>318</v>
      </c>
    </row>
    <row r="46" customFormat="false" ht="15" hidden="false" customHeight="false" outlineLevel="0" collapsed="false">
      <c r="B46" s="13" t="s">
        <v>319</v>
      </c>
      <c r="C46" s="16" t="n">
        <v>9</v>
      </c>
      <c r="D46" s="13" t="s">
        <v>320</v>
      </c>
    </row>
    <row r="47" customFormat="false" ht="15" hidden="false" customHeight="false" outlineLevel="0" collapsed="false">
      <c r="B47" s="13" t="s">
        <v>231</v>
      </c>
      <c r="C47" s="29" t="n">
        <f aca="false">COUNTIF($E$5:$E$42,B47)</f>
        <v>3</v>
      </c>
      <c r="D47" s="13"/>
    </row>
    <row r="48" customFormat="false" ht="15" hidden="false" customHeight="false" outlineLevel="0" collapsed="false">
      <c r="B48" s="13" t="s">
        <v>241</v>
      </c>
      <c r="C48" s="29" t="n">
        <f aca="false">COUNTIF($E$5:$E$42,B48)</f>
        <v>6</v>
      </c>
      <c r="D48" s="13"/>
    </row>
    <row r="49" customFormat="false" ht="15" hidden="false" customHeight="false" outlineLevel="0" collapsed="false">
      <c r="B49" s="13" t="s">
        <v>259</v>
      </c>
      <c r="C49" s="29" t="n">
        <f aca="false">COUNTIF($E$5:$E$42,B49)</f>
        <v>1</v>
      </c>
      <c r="D49" s="13"/>
    </row>
    <row r="50" customFormat="false" ht="15" hidden="false" customHeight="false" outlineLevel="0" collapsed="false">
      <c r="B50" s="13" t="s">
        <v>263</v>
      </c>
      <c r="C50" s="29" t="n">
        <f aca="false">COUNTIF($E$5:$E$42,B50)</f>
        <v>8</v>
      </c>
      <c r="D50" s="13"/>
    </row>
    <row r="51" customFormat="false" ht="15" hidden="false" customHeight="false" outlineLevel="0" collapsed="false">
      <c r="B51" s="13" t="s">
        <v>284</v>
      </c>
      <c r="C51" s="29" t="n">
        <f aca="false">COUNTIF($E$5:$E$42,B51)</f>
        <v>20</v>
      </c>
      <c r="D51" s="13"/>
    </row>
    <row r="52" customFormat="false" ht="15" hidden="false" customHeight="false" outlineLevel="0" collapsed="false">
      <c r="B52" s="13" t="s">
        <v>321</v>
      </c>
      <c r="C52" s="16" t="n">
        <v>6</v>
      </c>
      <c r="D52" s="13" t="s">
        <v>322</v>
      </c>
    </row>
    <row r="53" customFormat="false" ht="15" hidden="false" customHeight="false" outlineLevel="0" collapsed="false">
      <c r="B53" s="14" t="s">
        <v>323</v>
      </c>
      <c r="C53" s="19" t="n">
        <f aca="false">SUM(C46:C52)</f>
        <v>53</v>
      </c>
    </row>
    <row r="55" customFormat="false" ht="15" hidden="false" customHeight="false" outlineLevel="0" collapsed="false">
      <c r="B55" s="21" t="s">
        <v>324</v>
      </c>
    </row>
  </sheetData>
  <autoFilter ref="A4:I4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31.5" hidden="false" customHeight="true" outlineLevel="0" collapsed="false">
      <c r="A4" s="12" t="s">
        <v>222</v>
      </c>
      <c r="B4" s="12" t="s">
        <v>327</v>
      </c>
      <c r="C4" s="12" t="s">
        <v>328</v>
      </c>
      <c r="D4" s="12" t="s">
        <v>329</v>
      </c>
      <c r="E4" s="12" t="s">
        <v>330</v>
      </c>
      <c r="F4" s="12" t="s">
        <v>331</v>
      </c>
      <c r="G4" s="12" t="s">
        <v>332</v>
      </c>
      <c r="H4" s="12" t="s">
        <v>333</v>
      </c>
      <c r="I4" s="12" t="s">
        <v>334</v>
      </c>
    </row>
    <row r="5" customFormat="false" ht="23.85" hidden="false" customHeight="false" outlineLevel="0" collapsed="false">
      <c r="A5" s="31" t="s">
        <v>335</v>
      </c>
      <c r="B5" s="26" t="s">
        <v>336</v>
      </c>
      <c r="C5" s="32" t="n">
        <v>0.95</v>
      </c>
      <c r="D5" s="16" t="n">
        <v>1</v>
      </c>
      <c r="E5" s="16" t="n">
        <v>3</v>
      </c>
      <c r="F5" s="33" t="n">
        <v>1305</v>
      </c>
      <c r="G5" s="30" t="n">
        <v>3262.5</v>
      </c>
      <c r="H5" s="34" t="n">
        <f aca="false">G5*C5</f>
        <v>3099.375</v>
      </c>
      <c r="I5" s="15" t="s">
        <v>337</v>
      </c>
    </row>
    <row r="6" customFormat="false" ht="15" hidden="false" customHeight="false" outlineLevel="0" collapsed="false">
      <c r="A6" s="31" t="s">
        <v>239</v>
      </c>
      <c r="B6" s="26" t="s">
        <v>338</v>
      </c>
      <c r="C6" s="32" t="n">
        <v>0.6</v>
      </c>
      <c r="D6" s="16" t="n">
        <v>2</v>
      </c>
      <c r="E6" s="16" t="n">
        <v>3</v>
      </c>
      <c r="F6" s="33" t="n">
        <v>130.5</v>
      </c>
      <c r="G6" s="30" t="n">
        <v>391.5</v>
      </c>
      <c r="H6" s="34" t="n">
        <f aca="false">G6*C6</f>
        <v>234.9</v>
      </c>
      <c r="I6" s="15" t="s">
        <v>339</v>
      </c>
    </row>
    <row r="7" customFormat="false" ht="15" hidden="false" customHeight="false" outlineLevel="0" collapsed="false">
      <c r="A7" s="31" t="s">
        <v>340</v>
      </c>
      <c r="B7" s="26" t="s">
        <v>338</v>
      </c>
      <c r="C7" s="32" t="n">
        <v>0.85</v>
      </c>
      <c r="D7" s="16" t="n">
        <v>3</v>
      </c>
      <c r="E7" s="16" t="n">
        <v>8</v>
      </c>
      <c r="F7" s="33" t="n">
        <v>4350</v>
      </c>
      <c r="G7" s="30" t="n">
        <v>11310</v>
      </c>
      <c r="H7" s="34" t="n">
        <f aca="false">G7*C7</f>
        <v>9613.5</v>
      </c>
      <c r="I7" s="15" t="s">
        <v>341</v>
      </c>
    </row>
    <row r="8" customFormat="false" ht="23.85" hidden="false" customHeight="false" outlineLevel="0" collapsed="false">
      <c r="A8" s="31" t="s">
        <v>342</v>
      </c>
      <c r="B8" s="26" t="s">
        <v>343</v>
      </c>
      <c r="C8" s="32" t="n">
        <v>0.55</v>
      </c>
      <c r="D8" s="16" t="n">
        <v>6</v>
      </c>
      <c r="E8" s="16" t="n">
        <v>8</v>
      </c>
      <c r="F8" s="33" t="n">
        <v>4350</v>
      </c>
      <c r="G8" s="30" t="n">
        <v>10440</v>
      </c>
      <c r="H8" s="34" t="n">
        <f aca="false">G8*C8</f>
        <v>5742</v>
      </c>
      <c r="I8" s="15" t="s">
        <v>344</v>
      </c>
    </row>
    <row r="9" customFormat="false" ht="15" hidden="false" customHeight="false" outlineLevel="0" collapsed="false">
      <c r="A9" s="31" t="s">
        <v>345</v>
      </c>
      <c r="B9" s="26" t="s">
        <v>338</v>
      </c>
      <c r="C9" s="32" t="n">
        <v>0.25</v>
      </c>
      <c r="D9" s="16" t="n">
        <v>12</v>
      </c>
      <c r="E9" s="16" t="n">
        <v>10</v>
      </c>
      <c r="F9" s="33" t="n">
        <v>17400</v>
      </c>
      <c r="G9" s="30" t="n">
        <v>39150</v>
      </c>
      <c r="H9" s="34" t="n">
        <f aca="false">G9*C9</f>
        <v>9787.5</v>
      </c>
      <c r="I9" s="15" t="s">
        <v>346</v>
      </c>
    </row>
    <row r="10" customFormat="false" ht="15" hidden="false" customHeight="false" outlineLevel="0" collapsed="false">
      <c r="A10" s="31" t="s">
        <v>347</v>
      </c>
      <c r="B10" s="26" t="s">
        <v>338</v>
      </c>
      <c r="C10" s="32" t="n">
        <v>0.2</v>
      </c>
      <c r="D10" s="16" t="n">
        <v>14</v>
      </c>
      <c r="E10" s="16" t="n">
        <v>10</v>
      </c>
      <c r="F10" s="33" t="n">
        <v>8700</v>
      </c>
      <c r="G10" s="30" t="n">
        <v>18270</v>
      </c>
      <c r="H10" s="34" t="n">
        <f aca="false">G10*C10</f>
        <v>3654</v>
      </c>
      <c r="I10" s="15" t="s">
        <v>346</v>
      </c>
    </row>
    <row r="11" customFormat="false" ht="15" hidden="false" customHeight="false" outlineLevel="0" collapsed="false">
      <c r="A11" s="14" t="s">
        <v>171</v>
      </c>
      <c r="F11" s="35" t="n">
        <f aca="false">SUM(F5:F10)</f>
        <v>36235.5</v>
      </c>
      <c r="G11" s="36" t="n">
        <f aca="false">SUM(G5:G10)</f>
        <v>82824</v>
      </c>
      <c r="H11" s="36" t="n">
        <f aca="false">SUM(H5:H10)</f>
        <v>32131.275</v>
      </c>
    </row>
    <row r="13" customFormat="false" ht="15" hidden="false" customHeight="false" outlineLevel="0" collapsed="false">
      <c r="A13" s="21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2026-10-07T16:10:17Z</dcterms:created>
  <dc:creator>openpyxl</dc:creator>
  <dc:description/>
  <dc:language>en-US</dc:language>
  <cp:lastModifiedBy/>
  <dcterms:modified xsi:type="dcterms:W3CDTF">2026-10-07T16:10:17Z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