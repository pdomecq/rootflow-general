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Ingresos" sheetId="2" state="visible" r:id="rId4"/>
    <sheet name="Gastos" sheetId="3" state="visible" r:id="rId5"/>
    <sheet name="Material" sheetId="4" state="visible" r:id="rId6"/>
    <sheet name="Incidencias ERP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<sst xmlns="http://schemas.openxmlformats.org/spreadsheetml/2006/main" count="341" uniqueCount="246">
  <si>
    <t xml:space="preserve">Rootflow — Cierre de septiembre 2026</t>
  </si>
  <si>
    <t xml:space="preserve">Todo sin IVA. Ingresos por fecha de entrega; gastos prorrateados por el periodo de cada factura. Sin sueldos de socios ni amortización del equipo. Datos del ERP a 05/10/2026.</t>
  </si>
  <si>
    <t xml:space="preserve">1 · LO QUE DICE EL ERP</t>
  </si>
  <si>
    <t xml:space="preserve">Ingresos de septiembre (entregas de septiembre)</t>
  </si>
  <si>
    <t xml:space="preserve">Hoja Ingresos</t>
  </si>
  <si>
    <t xml:space="preserve">(–) Gastos de estructura</t>
  </si>
  <si>
    <t xml:space="preserve">Alquiler, luz, agua, basura, software, teléfono, autónomos</t>
  </si>
  <si>
    <t xml:space="preserve">(–) Material comprado (sustrato)</t>
  </si>
  <si>
    <t xml:space="preserve">(–) Inversión puntual (bomba y estantería)</t>
  </si>
  <si>
    <t xml:space="preserve">RESULTADO CON LO REGISTRADO</t>
  </si>
  <si>
    <t xml:space="preserve">2 · RESULTADO OPERATIVO REAL DEL MES (para ver el break-even)</t>
  </si>
  <si>
    <t xml:space="preserve">Ingresos de septiembre</t>
  </si>
  <si>
    <t xml:space="preserve">(–) Material realmente consumido (estimado)</t>
  </si>
  <si>
    <t xml:space="preserve">Semilla y sustrato de las 201 bandejas sembradas para septiembre + envases de lo entregado (hoja Material)</t>
  </si>
  <si>
    <t xml:space="preserve">RESULTADO OPERATIVO</t>
  </si>
  <si>
    <t xml:space="preserve">Sin la bomba ni la estantería (son inversión, no gasto del mes)</t>
  </si>
  <si>
    <t xml:space="preserve">3 · GASTOS QUE PROBABLEMENTE FALTAN EN EL ERP (confirmar; celdas amarillas)</t>
  </si>
  <si>
    <t xml:space="preserve">Gestoría: no hay ninguna cuota registrada desde junio</t>
  </si>
  <si>
    <t xml:space="preserve">Último importe registrado: 119,79 € con IVA (junio). Si ya no hay gestoría, poner 0.</t>
  </si>
  <si>
    <t xml:space="preserve">Finetwork: cuota de septiembre (solo consta un recargo por impago)</t>
  </si>
  <si>
    <t xml:space="preserve">25,99 € con IVA, como en julio y agosto. El asiento contable sí recogía 30,99 €.</t>
  </si>
  <si>
    <t xml:space="preserve">Autónomos Nico: diferencia hasta la cuota habitual (88,56 − 2,95)</t>
  </si>
  <si>
    <t xml:space="preserve">Si la cuota de septiembre fue realmente 2,95 €, poner 0.</t>
  </si>
  <si>
    <t xml:space="preserve">RESULTADO OPERATIVO con estos gastos</t>
  </si>
  <si>
    <t xml:space="preserve">… y además facturando a El abuelo Pedro (entregado el 7/09)</t>
  </si>
  <si>
    <t xml:space="preserve">Albarán A-2026-0011: 124,20 € sin IVA, entregado y sin factura</t>
  </si>
  <si>
    <t xml:space="preserve">4 · ¿CUÁNTO HAY QUE VENDER AL MES PARA CUBRIR GASTOS?</t>
  </si>
  <si>
    <t xml:space="preserve">Material consumido sobre ventas</t>
  </si>
  <si>
    <t xml:space="preserve">Ventas de equilibrio — con los gastos registrados</t>
  </si>
  <si>
    <t xml:space="preserve">Gastos de estructura ÷ (1 − % de material)</t>
  </si>
  <si>
    <t xml:space="preserve">Ventas de equilibrio — si se confirman los gastos que faltan</t>
  </si>
  <si>
    <t xml:space="preserve">Ventas de septiembre</t>
  </si>
  <si>
    <t xml:space="preserve">5 · OTRAS FORMAS DE CONTARLO (informativo)</t>
  </si>
  <si>
    <t xml:space="preserve">Facturado con fecha de septiembre (por fecha de factura, sin TPV)</t>
  </si>
  <si>
    <t xml:space="preserve">Incluye la factura de Tequendama del 29/09 (entrega en octubre) y no incluye la F-0014 de Frutas Félix (1/10)</t>
  </si>
  <si>
    <t xml:space="preserve">Total gastos registrados imputados a septiembre</t>
  </si>
  <si>
    <t xml:space="preserve">Ingresos de septiembre 2026 — por fecha de entrega</t>
  </si>
  <si>
    <t xml:space="preserve">Base imponible sin IVA. Una venta cuenta en septiembre si se entregó en septiembre, aunque la factura sea de otro mes. Fuente: albaranes, facturas y recibos TPV del ERP.</t>
  </si>
  <si>
    <t xml:space="preserve">Entrega</t>
  </si>
  <si>
    <t xml:space="preserve">Cliente</t>
  </si>
  <si>
    <t xml:space="preserve">Albarán / ticket</t>
  </si>
  <si>
    <t xml:space="preserve">Factura</t>
  </si>
  <si>
    <t xml:space="preserve">Fecha factura</t>
  </si>
  <si>
    <t xml:space="preserve">Base (€)</t>
  </si>
  <si>
    <t xml:space="preserve">IVA (€)</t>
  </si>
  <si>
    <t xml:space="preserve">Total (€)</t>
  </si>
  <si>
    <t xml:space="preserve">¿Ingreso de septiembre?</t>
  </si>
  <si>
    <t xml:space="preserve">Nota</t>
  </si>
  <si>
    <t xml:space="preserve">La Huerta Hermanos Nieto</t>
  </si>
  <si>
    <t xml:space="preserve">A-2026-0009</t>
  </si>
  <si>
    <t xml:space="preserve">F-2026-0010</t>
  </si>
  <si>
    <t xml:space="preserve">Sí</t>
  </si>
  <si>
    <t xml:space="preserve">40 cilantro + 20 albahaca 30 g, 20 % dto.</t>
  </si>
  <si>
    <t xml:space="preserve">A-2026-0013</t>
  </si>
  <si>
    <t xml:space="preserve">Igual, 20 % dto.</t>
  </si>
  <si>
    <t xml:space="preserve">A-2026-0016</t>
  </si>
  <si>
    <t xml:space="preserve">SIN el 20 % dto. que llevan los demás. El pedido 28 decía 114,00 €. Revisar precio pactado.</t>
  </si>
  <si>
    <t xml:space="preserve">A-2026-0018</t>
  </si>
  <si>
    <t xml:space="preserve">SIN el 20 % dto.</t>
  </si>
  <si>
    <t xml:space="preserve">A-2026-0021</t>
  </si>
  <si>
    <t xml:space="preserve">20 % dto.</t>
  </si>
  <si>
    <t xml:space="preserve">Albahaca Ecotienda</t>
  </si>
  <si>
    <t xml:space="preserve">A-2026-0010</t>
  </si>
  <si>
    <t xml:space="preserve">F-2026-0003</t>
  </si>
  <si>
    <t xml:space="preserve">La factura figura con fecha 21/08, pero el pedido y la entrega son del 3/09. Cobrada el 21/09.</t>
  </si>
  <si>
    <t xml:space="preserve">Frutas Félix Vázquez</t>
  </si>
  <si>
    <t xml:space="preserve">A-2026-0015</t>
  </si>
  <si>
    <t xml:space="preserve">F-2026-0009</t>
  </si>
  <si>
    <t xml:space="preserve">Primer pedido.</t>
  </si>
  <si>
    <t xml:space="preserve">A-2026-0014</t>
  </si>
  <si>
    <t xml:space="preserve">A-2026-0017</t>
  </si>
  <si>
    <t xml:space="preserve">F-2026-0014</t>
  </si>
  <si>
    <t xml:space="preserve">Entregado en septiembre, facturado el 1/10.</t>
  </si>
  <si>
    <t xml:space="preserve">A-2026-0020</t>
  </si>
  <si>
    <t xml:space="preserve">Venta directa (TPV)</t>
  </si>
  <si>
    <t xml:space="preserve">Ticket 5</t>
  </si>
  <si>
    <t xml:space="preserve">—</t>
  </si>
  <si>
    <t xml:space="preserve">Ticket 4</t>
  </si>
  <si>
    <t xml:space="preserve">Ticket 3</t>
  </si>
  <si>
    <t xml:space="preserve">El abuelo Pedro</t>
  </si>
  <si>
    <t xml:space="preserve">A-2026-0011</t>
  </si>
  <si>
    <t xml:space="preserve">SIN FACTURA</t>
  </si>
  <si>
    <t xml:space="preserve">Pendiente</t>
  </si>
  <si>
    <t xml:space="preserve">Entregado y sin facturar. Se emitieron F-0006 y F-0007 (67,55 € cada una) y luego se borraron del ERP.</t>
  </si>
  <si>
    <t xml:space="preserve">Tequendama</t>
  </si>
  <si>
    <t xml:space="preserve">Pedido 34</t>
  </si>
  <si>
    <t xml:space="preserve">F-2026-0011</t>
  </si>
  <si>
    <t xml:space="preserve">No (octubre)</t>
  </si>
  <si>
    <t xml:space="preserve">Facturada el 29/09 para un evento que se entrega el 6/10: ingreso de octubre.</t>
  </si>
  <si>
    <t xml:space="preserve">A-2026-0019</t>
  </si>
  <si>
    <t xml:space="preserve">No (cancelado)</t>
  </si>
  <si>
    <t xml:space="preserve">El pedido 30 está cancelado, pero el albarán sigue como «entregado».</t>
  </si>
  <si>
    <t xml:space="preserve">Café El Padrino</t>
  </si>
  <si>
    <t xml:space="preserve">A-2026-0022</t>
  </si>
  <si>
    <t xml:space="preserve">F-2026-0015</t>
  </si>
  <si>
    <t xml:space="preserve">Ticket 2</t>
  </si>
  <si>
    <t xml:space="preserve">INGRESOS DE SEPTIEMBRE (entregados en septiembre)</t>
  </si>
  <si>
    <t xml:space="preserve">Pendiente de facturar (El abuelo Pedro)</t>
  </si>
  <si>
    <t xml:space="preserve">FACTURAS DEL ERP POR FECHA DE FACTURA (informativo)</t>
  </si>
  <si>
    <t xml:space="preserve">Estado cobro</t>
  </si>
  <si>
    <t xml:space="preserve">¿Fecha en septiembre?</t>
  </si>
  <si>
    <t xml:space="preserve">Cobrada 21/09</t>
  </si>
  <si>
    <t xml:space="preserve">No</t>
  </si>
  <si>
    <t xml:space="preserve">Fecha probablemente errónea (pedido del 3/09).</t>
  </si>
  <si>
    <t xml:space="preserve">En el ERP: estado «pagada» pero cobro «pendiente».</t>
  </si>
  <si>
    <t xml:space="preserve">Cobrada 02/10</t>
  </si>
  <si>
    <t xml:space="preserve">Entrega el 6/10.</t>
  </si>
  <si>
    <t xml:space="preserve">Entregas del 16 y 24/09.</t>
  </si>
  <si>
    <t xml:space="preserve">Facturado con fecha de septiembre</t>
  </si>
  <si>
    <t xml:space="preserve">Gastos imputados a septiembre 2026 — prorrateo por periodo</t>
  </si>
  <si>
    <t xml:space="preserve">Base sin IVA (el IVA soportado se recupera). Si una factura cubre varios meses, solo se imputa la parte de septiembre: Imputado = Base × Parte de septiembre ÷ Periodo. Fuente: tabla gastos del ERP y PDF de cada factura.</t>
  </si>
  <si>
    <t xml:space="preserve">Nº ERP</t>
  </si>
  <si>
    <t xml:space="preserve">Fecha</t>
  </si>
  <si>
    <t xml:space="preserve">Proveedor</t>
  </si>
  <si>
    <t xml:space="preserve">Concepto (periodo de la factura)</t>
  </si>
  <si>
    <t xml:space="preserve">Total pagado (€)</t>
  </si>
  <si>
    <t xml:space="preserve">Base sin IVA (€)</t>
  </si>
  <si>
    <t xml:space="preserve">Periodo (días o meses)</t>
  </si>
  <si>
    <t xml:space="preserve">Parte de septiembre</t>
  </si>
  <si>
    <t xml:space="preserve">% imputado</t>
  </si>
  <si>
    <t xml:space="preserve">Imputado a sept. (€)</t>
  </si>
  <si>
    <t xml:space="preserve">Tipo</t>
  </si>
  <si>
    <t xml:space="preserve">Anthropic</t>
  </si>
  <si>
    <t xml:space="preserve">Claude Pro (27/08–27/09)</t>
  </si>
  <si>
    <t xml:space="preserve">Estructura</t>
  </si>
  <si>
    <t xml:space="preserve">26 de sus 31 días caen en septiembre.</t>
  </si>
  <si>
    <t xml:space="preserve">Bellbro Renting</t>
  </si>
  <si>
    <t xml:space="preserve">Alquiler del local, septiembre (fra. 000020)</t>
  </si>
  <si>
    <t xml:space="preserve">525 € + 110,25 € IVA − 99,75 € retención IRPF = 535,50 €. La retención se ingresa en Hacienda (modelo 115): el coste es 525 €.</t>
  </si>
  <si>
    <t xml:space="preserve">Leroy Merlin</t>
  </si>
  <si>
    <t xml:space="preserve">Bomba y tubos</t>
  </si>
  <si>
    <t xml:space="preserve">Inversión</t>
  </si>
  <si>
    <t xml:space="preserve">Equipo puntual, no gasto recurrente.</t>
  </si>
  <si>
    <t xml:space="preserve">Seguridad Social</t>
  </si>
  <si>
    <t xml:space="preserve">Cuota de autónomos (Nico)</t>
  </si>
  <si>
    <t xml:space="preserve">De mayo a agosto la cuota fue de 88,56 €. Confirmar si la de septiembre es realmente 2,95 €.</t>
  </si>
  <si>
    <t xml:space="preserve">Estantería</t>
  </si>
  <si>
    <t xml:space="preserve">Equipo puntual.</t>
  </si>
  <si>
    <t xml:space="preserve">Claude, uso extra prepago</t>
  </si>
  <si>
    <t xml:space="preserve">Finetwork</t>
  </si>
  <si>
    <t xml:space="preserve">Recargo por impago de una factura anterior</t>
  </si>
  <si>
    <t xml:space="preserve">No es la cuota mensual: es un recargo por una factura devuelta. La cuota de septiembre no está en el ERP.</t>
  </si>
  <si>
    <t xml:space="preserve">Organik Green Zone</t>
  </si>
  <si>
    <t xml:space="preserve">Sustrato: 4 sacos de coco de 100 L</t>
  </si>
  <si>
    <t xml:space="preserve">Material</t>
  </si>
  <si>
    <t xml:space="preserve">Compra del mes. En la hoja Material se compara con lo realmente consumido.</t>
  </si>
  <si>
    <t xml:space="preserve">Claude Pro (27/09–27/10)</t>
  </si>
  <si>
    <t xml:space="preserve">4 de sus 30 días caen en septiembre.</t>
  </si>
  <si>
    <t xml:space="preserve">Claude Pro (27/09–27/10) — DUPLICADO</t>
  </si>
  <si>
    <t xml:space="preserve">Duplicado</t>
  </si>
  <si>
    <t xml:space="preserve">Es el mismo PDF que el gasto 156 (factura 8OGMHWLR-0031). Borrar uno de los dos en el ERP.</t>
  </si>
  <si>
    <t xml:space="preserve">Alquiler del local, octubre</t>
  </si>
  <si>
    <t xml:space="preserve">Otro mes</t>
  </si>
  <si>
    <t xml:space="preserve">Es de octubre.</t>
  </si>
  <si>
    <t xml:space="preserve">Agua (10/07–08/09)</t>
  </si>
  <si>
    <t xml:space="preserve">Tarifa diaria de la última factura × 30 días (8 días ya facturados + 22 estimados hasta la próxima).</t>
  </si>
  <si>
    <t xml:space="preserve">Luz repercutida (15/07–15/09)</t>
  </si>
  <si>
    <t xml:space="preserve">Tarifa diaria × 30 días (15 días facturados + 15 estimados). 134,82 € + 28,31 € IVA − 25,62 € IRPF.</t>
  </si>
  <si>
    <t xml:space="preserve">Tasa de basura 2026, parte proporcional («6 de 12»)</t>
  </si>
  <si>
    <t xml:space="preserve">Cubre 6 meses: se imputa 1/6 a septiembre. Exenta de IVA.</t>
  </si>
  <si>
    <t xml:space="preserve">Proveedor (Polonia)</t>
  </si>
  <si>
    <t xml:space="preserve">Semillas</t>
  </si>
  <si>
    <t xml:space="preserve">Compra de octubre para stock. En septiembre se sembró con semilla de junio: ver hoja Material.</t>
  </si>
  <si>
    <t xml:space="preserve">Gastos de estructura</t>
  </si>
  <si>
    <t xml:space="preserve">Material comprado en septiembre</t>
  </si>
  <si>
    <t xml:space="preserve">Inversión puntual (equipo)</t>
  </si>
  <si>
    <t xml:space="preserve">TOTAL GASTOS REGISTRADOS IMPUTADOS A SEPTIEMBRE</t>
  </si>
  <si>
    <t xml:space="preserve">Material consumido en septiembre (estimado)</t>
  </si>
  <si>
    <t xml:space="preserve">En septiembre no se compró semilla (la última compra es de junio y la siguiente del 1/10) y los envases se compraron en agosto. Para medir el mes de verdad, se estima lo consumido a partir de las bandejas sembradas y las tarrinas entregadas.</t>
  </si>
  <si>
    <t xml:space="preserve">1 · SEMILLA — bandejas sembradas para septiembre (tabla lotes del ERP)</t>
  </si>
  <si>
    <t xml:space="preserve">Variedad</t>
  </si>
  <si>
    <t xml:space="preserve">Bandejas con fecha de AGOSTO en el ERP</t>
  </si>
  <si>
    <t xml:space="preserve">Bandejas con fecha de SEPTIEMBRE</t>
  </si>
  <si>
    <t xml:space="preserve">Total bandejas</t>
  </si>
  <si>
    <t xml:space="preserve">g de semilla por bandeja</t>
  </si>
  <si>
    <t xml:space="preserve">€/kg de semilla (sin IVA)</t>
  </si>
  <si>
    <t xml:space="preserve">Coste (€)</t>
  </si>
  <si>
    <t xml:space="preserve">Fuente</t>
  </si>
  <si>
    <t xml:space="preserve">Cilantro</t>
  </si>
  <si>
    <t xml:space="preserve">g/bandeja: ERP · €/kg: COSTES_ROOTFLOW</t>
  </si>
  <si>
    <t xml:space="preserve">Albahaca</t>
  </si>
  <si>
    <t xml:space="preserve">Mostaza</t>
  </si>
  <si>
    <t xml:space="preserve">Amaranto</t>
  </si>
  <si>
    <t xml:space="preserve">COSTES_ROOTFLOW (el ERP no tiene la dosis)</t>
  </si>
  <si>
    <t xml:space="preserve">Rúcula</t>
  </si>
  <si>
    <t xml:space="preserve">Rábano verde / daikon</t>
  </si>
  <si>
    <t xml:space="preserve">Rábano red</t>
  </si>
  <si>
    <t xml:space="preserve">COSTES_ROOTFLOW (rábano rose)</t>
  </si>
  <si>
    <t xml:space="preserve">Remolacha roja</t>
  </si>
  <si>
    <t xml:space="preserve">Sin dosis en el ERP ni en COSTES: 0,60 € por bandeja del modelo V16 (provisional)</t>
  </si>
  <si>
    <t xml:space="preserve">Total semilla</t>
  </si>
  <si>
    <t xml:space="preserve">En agosto no se sembró (producción parada): los 12 lotes con fecha 17-28/08 tienen la fecha mal y son los que se cosecharon y vendieron en septiembre, así que su semilla y sustrato son consumo de septiembre. Cuadra con las ventas: lo entregado en septiembre (~14 kg) pide unas 110 bandejas.</t>
  </si>
  <si>
    <t xml:space="preserve">2 · SUSTRATO</t>
  </si>
  <si>
    <t xml:space="preserve">Concepto</t>
  </si>
  <si>
    <t xml:space="preserve">Bandejas</t>
  </si>
  <si>
    <t xml:space="preserve">Litros por bandeja</t>
  </si>
  <si>
    <t xml:space="preserve">€/litro (sin IVA)</t>
  </si>
  <si>
    <t xml:space="preserve">Sustrato de coco</t>
  </si>
  <si>
    <t xml:space="preserve">COSTES_ROOTFLOW: saco de 100 L a 18 € con IVA, 2,5 L por bandeja</t>
  </si>
  <si>
    <t xml:space="preserve">3 · ENVASES — tarrinas entregadas en septiembre (albaranes)</t>
  </si>
  <si>
    <t xml:space="preserve">Formato</t>
  </si>
  <si>
    <t xml:space="preserve">Tarrinas</t>
  </si>
  <si>
    <t xml:space="preserve">€ por tarrina (sin IVA)</t>
  </si>
  <si>
    <t xml:space="preserve">Tarrina grande (28-100 g)</t>
  </si>
  <si>
    <t xml:space="preserve">COSTES_ROOTFLOW · incluye las 55 de El abuelo Pedro</t>
  </si>
  <si>
    <t xml:space="preserve">Tarrina pequeña (5-15 g)</t>
  </si>
  <si>
    <t xml:space="preserve">COSTES_ROOTFLOW</t>
  </si>
  <si>
    <t xml:space="preserve">Total envases</t>
  </si>
  <si>
    <t xml:space="preserve">MATERIAL CONSUMIDO EN SEPTIEMBRE (semilla + sustrato + envases)</t>
  </si>
  <si>
    <t xml:space="preserve">Compra de sustrato registrada en septiembre (hoja Gastos), para comparar</t>
  </si>
  <si>
    <t xml:space="preserve">Incidencias del ERP encontradas al hacer el cierre</t>
  </si>
  <si>
    <t xml:space="preserve">No se ha modificado nada en el ERP: solo se ha leído. Conviene revisarlas con la gestoría.</t>
  </si>
  <si>
    <t xml:space="preserve">#</t>
  </si>
  <si>
    <t xml:space="preserve">Dónde</t>
  </si>
  <si>
    <t xml:space="preserve">Qué pasa</t>
  </si>
  <si>
    <t xml:space="preserve">Qué hacer</t>
  </si>
  <si>
    <t xml:space="preserve">Contabilidad (asientos)</t>
  </si>
  <si>
    <t xml:space="preserve">El diario conserva asientos de 7 facturas que ya no existen (F-0004 a F-0008, F-0012 y F-0013). La F-0010 aparece dos veces: una de Tequendama (26,50 €) y otra de La Huerta por 788,10 € (la factura real es de 639,70 €). El alquiler de septiembre está contabilizado dos veces (GAS-144 y GAS-145).</t>
  </si>
  <si>
    <t xml:space="preserve">Regenerar o depurar los asientos. Hoy la contabilidad del ERP infla las ventas y los gastos de septiembre.</t>
  </si>
  <si>
    <t xml:space="preserve">Numeración de facturas</t>
  </si>
  <si>
    <t xml:space="preserve">Faltan los números F-0004 a F-0008, F-0012 y F-0013 porque se borraron.</t>
  </si>
  <si>
    <t xml:space="preserve">La numeración debe ser correlativa: una factura emitida se anula con una rectificativa, no se borra. Consultar a la gestoría.</t>
  </si>
  <si>
    <t xml:space="preserve">Cobros</t>
  </si>
  <si>
    <t xml:space="preserve">Hay un cobro de 87,36 € (14/09) asignado a la F-0005, que ya no existe. Frutas Félix pagó además la F-0009 (77,22 €) el 21/09.</t>
  </si>
  <si>
    <t xml:space="preserve">Comprobar en el banco si Frutas Félix pagó dos veces o si el cobro está mal asignado.</t>
  </si>
  <si>
    <t xml:space="preserve">Alquiler y luz (IVA e IRPF)</t>
  </si>
  <si>
    <t xml:space="preserve">El ERP contabiliza 535,50 € como 442,56 € + 21 % IVA. La factura real es de 525 € + 110,25 € IVA − 99,75 € de retención IRPF (y la luz repercutida igual).</t>
  </si>
  <si>
    <t xml:space="preserve">Contabilizar base, IVA y retención por separado y presentar el modelo 115 trimestral.</t>
  </si>
  <si>
    <t xml:space="preserve">Albarán A-2026-0011 (7/09, 124,20 € sin IVA) entregado y sin factura.</t>
  </si>
  <si>
    <t xml:space="preserve">Emitir la factura (o marcarlo como muestra si lo era).</t>
  </si>
  <si>
    <t xml:space="preserve">Pedido 30 cancelado, pero su albarán A-2026-0019 figura como «entregado». La F-0011 (29/09) es de un pedido que se entrega el 6/10.</t>
  </si>
  <si>
    <t xml:space="preserve">Anular el albarán. Revisar si la factura del evento debía emitirse antes de la entrega.</t>
  </si>
  <si>
    <t xml:space="preserve">La Huerta</t>
  </si>
  <si>
    <t xml:space="preserve">Los albaranes A-0016 y A-0018 van sin el 20 % de descuento que llevan los demás; el pedido 28 decía 114,00 € y el albarán 138,60 €. La factura ya está cobrada.</t>
  </si>
  <si>
    <t xml:space="preserve">Confirmar el precio pactado con el cliente.</t>
  </si>
  <si>
    <t xml:space="preserve">La F-2026-0003 tiene fecha 21/08, pero el pedido y la entrega son del 3/09.</t>
  </si>
  <si>
    <t xml:space="preserve">Revisar la fecha de la factura.</t>
  </si>
  <si>
    <t xml:space="preserve">Gastos duplicados</t>
  </si>
  <si>
    <t xml:space="preserve">Los gastos 156 y 159 son la misma factura de Anthropic (18 €, 27/09).</t>
  </si>
  <si>
    <t xml:space="preserve">Borrar uno.</t>
  </si>
  <si>
    <t xml:space="preserve">Lotes de producción</t>
  </si>
  <si>
    <t xml:space="preserve">Hay 12 lotes (81 bandejas) con fecha de siembra 17-28/08, cuando en agosto no se sembró. Y varios lotes de septiembre siguen como «sembrado» pasado su ciclo (p. ej. el lote 71, cilantro del 1/09).</t>
  </si>
  <si>
    <t xml:space="preserve">Corregir las fechas y cerrar los lotes cosechados: el coste de producción por lote depende de ello.</t>
  </si>
  <si>
    <t xml:space="preserve">Gastos que faltan</t>
  </si>
  <si>
    <t xml:space="preserve">No hay gestoría desde junio, falta la cuota de septiembre de Finetwork (solo hay un recargo por impago) y la cuota de autónomos de septiembre figura en 2,95 € (antes 88,56 €).</t>
  </si>
  <si>
    <t xml:space="preserve">Subir las facturas que falten para que el cierre sea completo.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</si>
</sst>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.00&quot; €&quot;;\(#,##0.00&quot; €)&quot;;\-"/>
    <numFmt numFmtId="166" formatCode="0.0%;\(0.0%\);\-"/>
    <numFmt numFmtId="167" formatCode="dd/mm/yyyy"/>
    <numFmt numFmtId="168" formatCode="0"/>
    <numFmt numFmtId="169" formatCode="#,##0.00"/>
    <numFmt numFmtId="170" formatCode="0.0"/>
    <numFmt numFmtId="171" formatCode="#,##0.00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D4F37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1D4F37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6F2EA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1D4F37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1D4F37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7" fontId="1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9" fontId="1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1" fontId="1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6F2E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D4F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6"/>
    <col collapsed="false" customWidth="true" hidden="false" outlineLevel="0" max="2" min="2" style="0" width="16"/>
    <col collapsed="false" customWidth="true" hidden="false" outlineLevel="0" max="3" min="3" style="0" width="70"/>
  </cols>
  <sheetData>
    <row r="1" customFormat="false" ht="17.35" hidden="false" customHeight="false" outlineLevel="0" collapsed="false">
      <c r="A1" s="1" t="s">
        <v>0</v>
      </c>
      <c r="B1" s="2"/>
      <c r="C1" s="2"/>
    </row>
    <row r="2" customFormat="false" ht="15" hidden="false" customHeight="false" outlineLevel="0" collapsed="false">
      <c r="A2" s="3" t="s">
        <v>1</v>
      </c>
      <c r="B2" s="2"/>
      <c r="C2" s="2"/>
    </row>
    <row r="3" customFormat="false" ht="15" hidden="false" customHeight="false" outlineLevel="0" collapsed="false">
      <c r="A3" s="2"/>
      <c r="B3" s="2"/>
      <c r="C3" s="2"/>
    </row>
    <row r="4" customFormat="false" ht="15" hidden="false" customHeight="false" outlineLevel="0" collapsed="false">
      <c r="A4" s="4" t="s">
        <v>2</v>
      </c>
      <c r="B4" s="2"/>
      <c r="C4" s="2"/>
    </row>
    <row r="5" customFormat="false" ht="15" hidden="false" customHeight="false" outlineLevel="0" collapsed="false">
      <c r="A5" s="5" t="s">
        <v>3</v>
      </c>
      <c r="B5" s="6" t="n">
        <f aca="false">Ingresos!$F$24</f>
        <v>899.76</v>
      </c>
      <c r="C5" s="3" t="s">
        <v>4</v>
      </c>
    </row>
    <row r="6" customFormat="false" ht="15" hidden="false" customHeight="false" outlineLevel="0" collapsed="false">
      <c r="A6" s="5" t="s">
        <v>5</v>
      </c>
      <c r="B6" s="6" t="n">
        <f aca="false">-Gastos!$J$21</f>
        <v>-665.622258064516</v>
      </c>
      <c r="C6" s="3" t="s">
        <v>6</v>
      </c>
    </row>
    <row r="7" customFormat="false" ht="15" hidden="false" customHeight="false" outlineLevel="0" collapsed="false">
      <c r="A7" s="5" t="s">
        <v>7</v>
      </c>
      <c r="B7" s="6" t="n">
        <f aca="false">-Gastos!$J$22</f>
        <v>-61.16</v>
      </c>
      <c r="C7" s="2"/>
    </row>
    <row r="8" customFormat="false" ht="15" hidden="false" customHeight="false" outlineLevel="0" collapsed="false">
      <c r="A8" s="5" t="s">
        <v>8</v>
      </c>
      <c r="B8" s="6" t="n">
        <f aca="false">-Gastos!$J$23</f>
        <v>-130.81</v>
      </c>
      <c r="C8" s="2"/>
    </row>
    <row r="9" customFormat="false" ht="15" hidden="false" customHeight="false" outlineLevel="0" collapsed="false">
      <c r="A9" s="7" t="s">
        <v>9</v>
      </c>
      <c r="B9" s="8" t="n">
        <f aca="false">SUM(B5:B8)</f>
        <v>42.1677419354839</v>
      </c>
      <c r="C9" s="2"/>
    </row>
    <row r="10" customFormat="false" ht="15" hidden="false" customHeight="false" outlineLevel="0" collapsed="false">
      <c r="A10" s="2"/>
      <c r="B10" s="2"/>
      <c r="C10" s="2"/>
    </row>
    <row r="11" customFormat="false" ht="15" hidden="false" customHeight="false" outlineLevel="0" collapsed="false">
      <c r="A11" s="4" t="s">
        <v>10</v>
      </c>
      <c r="B11" s="2"/>
      <c r="C11" s="2"/>
    </row>
    <row r="12" customFormat="false" ht="15" hidden="false" customHeight="false" outlineLevel="0" collapsed="false">
      <c r="A12" s="5" t="s">
        <v>11</v>
      </c>
      <c r="B12" s="6" t="n">
        <f aca="false">B5</f>
        <v>899.76</v>
      </c>
      <c r="C12" s="2"/>
    </row>
    <row r="13" customFormat="false" ht="15" hidden="false" customHeight="false" outlineLevel="0" collapsed="false">
      <c r="A13" s="5" t="s">
        <v>5</v>
      </c>
      <c r="B13" s="6" t="n">
        <f aca="false">B6</f>
        <v>-665.622258064516</v>
      </c>
      <c r="C13" s="2"/>
    </row>
    <row r="14" customFormat="false" ht="15" hidden="false" customHeight="false" outlineLevel="0" collapsed="false">
      <c r="A14" s="5" t="s">
        <v>12</v>
      </c>
      <c r="B14" s="6" t="n">
        <f aca="false">-Material!$G$27</f>
        <v>-225.630466115702</v>
      </c>
      <c r="C14" s="3" t="s">
        <v>13</v>
      </c>
    </row>
    <row r="15" customFormat="false" ht="15" hidden="false" customHeight="false" outlineLevel="0" collapsed="false">
      <c r="A15" s="7" t="s">
        <v>14</v>
      </c>
      <c r="B15" s="8" t="n">
        <f aca="false">SUM(B12:B14)</f>
        <v>8.5072758197814</v>
      </c>
      <c r="C15" s="3" t="s">
        <v>15</v>
      </c>
    </row>
    <row r="16" customFormat="false" ht="15" hidden="false" customHeight="false" outlineLevel="0" collapsed="false">
      <c r="A16" s="2"/>
      <c r="B16" s="2"/>
      <c r="C16" s="2"/>
    </row>
    <row r="17" customFormat="false" ht="15" hidden="false" customHeight="false" outlineLevel="0" collapsed="false">
      <c r="A17" s="4" t="s">
        <v>16</v>
      </c>
      <c r="B17" s="2"/>
      <c r="C17" s="2"/>
    </row>
    <row r="18" customFormat="false" ht="15" hidden="false" customHeight="false" outlineLevel="0" collapsed="false">
      <c r="A18" s="5" t="s">
        <v>17</v>
      </c>
      <c r="B18" s="9" t="n">
        <v>-99</v>
      </c>
      <c r="C18" s="3" t="s">
        <v>18</v>
      </c>
    </row>
    <row r="19" customFormat="false" ht="15" hidden="false" customHeight="false" outlineLevel="0" collapsed="false">
      <c r="A19" s="5" t="s">
        <v>19</v>
      </c>
      <c r="B19" s="9" t="n">
        <v>-21.48</v>
      </c>
      <c r="C19" s="3" t="s">
        <v>20</v>
      </c>
    </row>
    <row r="20" customFormat="false" ht="15" hidden="false" customHeight="false" outlineLevel="0" collapsed="false">
      <c r="A20" s="5" t="s">
        <v>21</v>
      </c>
      <c r="B20" s="9" t="n">
        <v>-85.61</v>
      </c>
      <c r="C20" s="3" t="s">
        <v>22</v>
      </c>
    </row>
    <row r="21" customFormat="false" ht="15" hidden="false" customHeight="false" outlineLevel="0" collapsed="false">
      <c r="A21" s="7" t="s">
        <v>23</v>
      </c>
      <c r="B21" s="8" t="n">
        <f aca="false">B15+SUM(B18:B20)</f>
        <v>-197.582724180219</v>
      </c>
      <c r="C21" s="2"/>
    </row>
    <row r="22" customFormat="false" ht="15" hidden="false" customHeight="false" outlineLevel="0" collapsed="false">
      <c r="A22" s="10" t="s">
        <v>24</v>
      </c>
      <c r="B22" s="11" t="n">
        <f aca="false">B21+Ingresos!$F$25</f>
        <v>-73.3827241802186</v>
      </c>
      <c r="C22" s="3" t="s">
        <v>25</v>
      </c>
    </row>
    <row r="23" customFormat="false" ht="15" hidden="false" customHeight="false" outlineLevel="0" collapsed="false">
      <c r="A23" s="2"/>
      <c r="B23" s="2"/>
      <c r="C23" s="2"/>
    </row>
    <row r="24" customFormat="false" ht="15" hidden="false" customHeight="false" outlineLevel="0" collapsed="false">
      <c r="A24" s="4" t="s">
        <v>26</v>
      </c>
      <c r="B24" s="2"/>
      <c r="C24" s="2"/>
    </row>
    <row r="25" customFormat="false" ht="15" hidden="false" customHeight="false" outlineLevel="0" collapsed="false">
      <c r="A25" s="5" t="s">
        <v>27</v>
      </c>
      <c r="B25" s="12" t="n">
        <f aca="false">IFERROR(Material!$G$27/B5,0)</f>
        <v>0.250767389210125</v>
      </c>
      <c r="C25" s="2"/>
    </row>
    <row r="26" customFormat="false" ht="15" hidden="false" customHeight="false" outlineLevel="0" collapsed="false">
      <c r="A26" s="5" t="s">
        <v>28</v>
      </c>
      <c r="B26" s="6" t="n">
        <f aca="false">IFERROR(-B6/(1-B25),0)</f>
        <v>888.405347656701</v>
      </c>
      <c r="C26" s="3" t="s">
        <v>29</v>
      </c>
    </row>
    <row r="27" customFormat="false" ht="15" hidden="false" customHeight="false" outlineLevel="0" collapsed="false">
      <c r="A27" s="5" t="s">
        <v>30</v>
      </c>
      <c r="B27" s="6" t="n">
        <f aca="false">IFERROR(-(B6+SUM(B18:B20))/(1-B25),0)</f>
        <v>1163.47346005871</v>
      </c>
      <c r="C27" s="2"/>
    </row>
    <row r="28" customFormat="false" ht="15" hidden="false" customHeight="false" outlineLevel="0" collapsed="false">
      <c r="A28" s="5" t="s">
        <v>31</v>
      </c>
      <c r="B28" s="6" t="n">
        <f aca="false">B5</f>
        <v>899.76</v>
      </c>
      <c r="C28" s="2"/>
    </row>
    <row r="29" customFormat="false" ht="15" hidden="false" customHeight="false" outlineLevel="0" collapsed="false">
      <c r="A29" s="2"/>
      <c r="B29" s="2"/>
      <c r="C29" s="2"/>
    </row>
    <row r="30" customFormat="false" ht="15" hidden="false" customHeight="false" outlineLevel="0" collapsed="false">
      <c r="A30" s="4" t="s">
        <v>32</v>
      </c>
      <c r="B30" s="2"/>
      <c r="C30" s="2"/>
    </row>
    <row r="31" customFormat="false" ht="15" hidden="false" customHeight="false" outlineLevel="0" collapsed="false">
      <c r="A31" s="5" t="s">
        <v>33</v>
      </c>
      <c r="B31" s="6" t="n">
        <f aca="false">Ingresos!$F$36</f>
        <v>745.35</v>
      </c>
      <c r="C31" s="3" t="s">
        <v>34</v>
      </c>
    </row>
    <row r="32" customFormat="false" ht="15" hidden="false" customHeight="false" outlineLevel="0" collapsed="false">
      <c r="A32" s="5" t="s">
        <v>35</v>
      </c>
      <c r="B32" s="6" t="n">
        <f aca="false">Gastos!$J$24</f>
        <v>857.592258064516</v>
      </c>
      <c r="C32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3" min="3" style="0" width="15"/>
    <col collapsed="false" customWidth="true" hidden="false" outlineLevel="0" max="4" min="4" style="0" width="13"/>
    <col collapsed="false" customWidth="true" hidden="false" outlineLevel="0" max="6" min="5" style="0" width="12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16"/>
    <col collapsed="false" customWidth="true" hidden="false" outlineLevel="0" max="10" min="10" style="0" width="70"/>
  </cols>
  <sheetData>
    <row r="1" customFormat="false" ht="17.35" hidden="false" customHeight="false" outlineLevel="0" collapsed="false">
      <c r="A1" s="1" t="s">
        <v>36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false" outlineLevel="0" collapsed="false">
      <c r="A2" s="3" t="s">
        <v>37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</row>
    <row r="4" customFormat="false" ht="30" hidden="false" customHeight="true" outlineLevel="0" collapsed="false">
      <c r="A4" s="13" t="s">
        <v>38</v>
      </c>
      <c r="B4" s="13" t="s">
        <v>39</v>
      </c>
      <c r="C4" s="13" t="s">
        <v>40</v>
      </c>
      <c r="D4" s="13" t="s">
        <v>41</v>
      </c>
      <c r="E4" s="13" t="s">
        <v>42</v>
      </c>
      <c r="F4" s="13" t="s">
        <v>43</v>
      </c>
      <c r="G4" s="13" t="s">
        <v>44</v>
      </c>
      <c r="H4" s="13" t="s">
        <v>45</v>
      </c>
      <c r="I4" s="13" t="s">
        <v>46</v>
      </c>
      <c r="J4" s="13" t="s">
        <v>47</v>
      </c>
    </row>
    <row r="5" customFormat="false" ht="15" hidden="false" customHeight="false" outlineLevel="0" collapsed="false">
      <c r="A5" s="14" t="n">
        <v>46266</v>
      </c>
      <c r="B5" s="15" t="s">
        <v>48</v>
      </c>
      <c r="C5" s="15" t="s">
        <v>49</v>
      </c>
      <c r="D5" s="15" t="s">
        <v>50</v>
      </c>
      <c r="E5" s="14" t="n">
        <v>46293</v>
      </c>
      <c r="F5" s="16" t="n">
        <v>116.8</v>
      </c>
      <c r="G5" s="16" t="n">
        <v>4.67</v>
      </c>
      <c r="H5" s="17" t="n">
        <f aca="false">F5+G5</f>
        <v>121.47</v>
      </c>
      <c r="I5" s="18" t="s">
        <v>51</v>
      </c>
      <c r="J5" s="19" t="s">
        <v>52</v>
      </c>
    </row>
    <row r="6" customFormat="false" ht="15" hidden="false" customHeight="false" outlineLevel="0" collapsed="false">
      <c r="A6" s="14" t="n">
        <v>46273</v>
      </c>
      <c r="B6" s="15" t="s">
        <v>48</v>
      </c>
      <c r="C6" s="15" t="s">
        <v>53</v>
      </c>
      <c r="D6" s="15" t="s">
        <v>50</v>
      </c>
      <c r="E6" s="14" t="n">
        <v>46293</v>
      </c>
      <c r="F6" s="16" t="n">
        <v>116.8</v>
      </c>
      <c r="G6" s="16" t="n">
        <v>4.67</v>
      </c>
      <c r="H6" s="17" t="n">
        <f aca="false">F6+G6</f>
        <v>121.47</v>
      </c>
      <c r="I6" s="18" t="s">
        <v>51</v>
      </c>
      <c r="J6" s="15" t="s">
        <v>54</v>
      </c>
    </row>
    <row r="7" customFormat="false" ht="15" hidden="false" customHeight="false" outlineLevel="0" collapsed="false">
      <c r="A7" s="14" t="n">
        <v>46280</v>
      </c>
      <c r="B7" s="15" t="s">
        <v>48</v>
      </c>
      <c r="C7" s="15" t="s">
        <v>55</v>
      </c>
      <c r="D7" s="15" t="s">
        <v>50</v>
      </c>
      <c r="E7" s="14" t="n">
        <v>46293</v>
      </c>
      <c r="F7" s="16" t="n">
        <v>138.6</v>
      </c>
      <c r="G7" s="16" t="n">
        <v>5.54</v>
      </c>
      <c r="H7" s="17" t="n">
        <f aca="false">F7+G7</f>
        <v>144.14</v>
      </c>
      <c r="I7" s="18" t="s">
        <v>51</v>
      </c>
      <c r="J7" s="19" t="s">
        <v>56</v>
      </c>
    </row>
    <row r="8" customFormat="false" ht="15" hidden="false" customHeight="false" outlineLevel="0" collapsed="false">
      <c r="A8" s="14" t="n">
        <v>46286</v>
      </c>
      <c r="B8" s="15" t="s">
        <v>48</v>
      </c>
      <c r="C8" s="15" t="s">
        <v>57</v>
      </c>
      <c r="D8" s="15" t="s">
        <v>50</v>
      </c>
      <c r="E8" s="14" t="n">
        <v>46293</v>
      </c>
      <c r="F8" s="16" t="n">
        <v>147.5</v>
      </c>
      <c r="G8" s="16" t="n">
        <v>5.9</v>
      </c>
      <c r="H8" s="17" t="n">
        <f aca="false">F8+G8</f>
        <v>153.4</v>
      </c>
      <c r="I8" s="18" t="s">
        <v>51</v>
      </c>
      <c r="J8" s="15" t="s">
        <v>58</v>
      </c>
    </row>
    <row r="9" customFormat="false" ht="15" hidden="false" customHeight="false" outlineLevel="0" collapsed="false">
      <c r="A9" s="14" t="n">
        <v>46293</v>
      </c>
      <c r="B9" s="15" t="s">
        <v>48</v>
      </c>
      <c r="C9" s="15" t="s">
        <v>59</v>
      </c>
      <c r="D9" s="15" t="s">
        <v>50</v>
      </c>
      <c r="E9" s="14" t="n">
        <v>46293</v>
      </c>
      <c r="F9" s="16" t="n">
        <v>120</v>
      </c>
      <c r="G9" s="16" t="n">
        <v>4.8</v>
      </c>
      <c r="H9" s="17" t="n">
        <f aca="false">F9+G9</f>
        <v>124.8</v>
      </c>
      <c r="I9" s="18" t="s">
        <v>51</v>
      </c>
      <c r="J9" s="15" t="s">
        <v>60</v>
      </c>
    </row>
    <row r="10" customFormat="false" ht="15" hidden="false" customHeight="false" outlineLevel="0" collapsed="false">
      <c r="A10" s="14" t="n">
        <v>46268</v>
      </c>
      <c r="B10" s="15" t="s">
        <v>61</v>
      </c>
      <c r="C10" s="15" t="s">
        <v>62</v>
      </c>
      <c r="D10" s="15" t="s">
        <v>63</v>
      </c>
      <c r="E10" s="14" t="n">
        <v>46255</v>
      </c>
      <c r="F10" s="16" t="n">
        <v>48.45</v>
      </c>
      <c r="G10" s="16" t="n">
        <v>1.94</v>
      </c>
      <c r="H10" s="17" t="n">
        <f aca="false">F10+G10</f>
        <v>50.39</v>
      </c>
      <c r="I10" s="18" t="s">
        <v>51</v>
      </c>
      <c r="J10" s="19" t="s">
        <v>64</v>
      </c>
    </row>
    <row r="11" customFormat="false" ht="15" hidden="false" customHeight="false" outlineLevel="0" collapsed="false">
      <c r="A11" s="14" t="n">
        <v>46270</v>
      </c>
      <c r="B11" s="15" t="s">
        <v>65</v>
      </c>
      <c r="C11" s="15" t="s">
        <v>66</v>
      </c>
      <c r="D11" s="15" t="s">
        <v>67</v>
      </c>
      <c r="E11" s="14" t="n">
        <v>46279</v>
      </c>
      <c r="F11" s="16" t="n">
        <v>33</v>
      </c>
      <c r="G11" s="16" t="n">
        <v>1.32</v>
      </c>
      <c r="H11" s="17" t="n">
        <f aca="false">F11+G11</f>
        <v>34.32</v>
      </c>
      <c r="I11" s="18" t="s">
        <v>51</v>
      </c>
      <c r="J11" s="15" t="s">
        <v>68</v>
      </c>
    </row>
    <row r="12" customFormat="false" ht="15" hidden="false" customHeight="false" outlineLevel="0" collapsed="false">
      <c r="A12" s="14" t="n">
        <v>46275</v>
      </c>
      <c r="B12" s="15" t="s">
        <v>65</v>
      </c>
      <c r="C12" s="15" t="s">
        <v>69</v>
      </c>
      <c r="D12" s="15" t="s">
        <v>67</v>
      </c>
      <c r="E12" s="14" t="n">
        <v>46279</v>
      </c>
      <c r="F12" s="16" t="n">
        <v>41.25</v>
      </c>
      <c r="G12" s="16" t="n">
        <v>1.65</v>
      </c>
      <c r="H12" s="17" t="n">
        <f aca="false">F12+G12</f>
        <v>42.9</v>
      </c>
      <c r="I12" s="18" t="s">
        <v>51</v>
      </c>
      <c r="J12" s="15"/>
    </row>
    <row r="13" customFormat="false" ht="15" hidden="false" customHeight="false" outlineLevel="0" collapsed="false">
      <c r="A13" s="14" t="n">
        <v>46281</v>
      </c>
      <c r="B13" s="15" t="s">
        <v>65</v>
      </c>
      <c r="C13" s="15" t="s">
        <v>70</v>
      </c>
      <c r="D13" s="15" t="s">
        <v>71</v>
      </c>
      <c r="E13" s="14" t="n">
        <v>46296</v>
      </c>
      <c r="F13" s="16" t="n">
        <v>65.8</v>
      </c>
      <c r="G13" s="16" t="n">
        <v>2.63</v>
      </c>
      <c r="H13" s="17" t="n">
        <f aca="false">F13+G13</f>
        <v>68.43</v>
      </c>
      <c r="I13" s="18" t="s">
        <v>51</v>
      </c>
      <c r="J13" s="19" t="s">
        <v>72</v>
      </c>
    </row>
    <row r="14" customFormat="false" ht="15" hidden="false" customHeight="false" outlineLevel="0" collapsed="false">
      <c r="A14" s="14" t="n">
        <v>46289</v>
      </c>
      <c r="B14" s="15" t="s">
        <v>65</v>
      </c>
      <c r="C14" s="15" t="s">
        <v>73</v>
      </c>
      <c r="D14" s="15" t="s">
        <v>71</v>
      </c>
      <c r="E14" s="14" t="n">
        <v>46296</v>
      </c>
      <c r="F14" s="16" t="n">
        <v>49.45</v>
      </c>
      <c r="G14" s="16" t="n">
        <v>1.98</v>
      </c>
      <c r="H14" s="17" t="n">
        <f aca="false">F14+G14</f>
        <v>51.43</v>
      </c>
      <c r="I14" s="18" t="s">
        <v>51</v>
      </c>
      <c r="J14" s="19" t="s">
        <v>72</v>
      </c>
    </row>
    <row r="15" customFormat="false" ht="15" hidden="false" customHeight="false" outlineLevel="0" collapsed="false">
      <c r="A15" s="14" t="n">
        <v>46280</v>
      </c>
      <c r="B15" s="15" t="s">
        <v>74</v>
      </c>
      <c r="C15" s="15" t="s">
        <v>75</v>
      </c>
      <c r="D15" s="15" t="s">
        <v>76</v>
      </c>
      <c r="E15" s="14"/>
      <c r="F15" s="16" t="n">
        <v>4.81</v>
      </c>
      <c r="G15" s="16" t="n">
        <v>0.19</v>
      </c>
      <c r="H15" s="17" t="n">
        <f aca="false">F15+G15</f>
        <v>5</v>
      </c>
      <c r="I15" s="18" t="s">
        <v>51</v>
      </c>
      <c r="J15" s="15"/>
    </row>
    <row r="16" customFormat="false" ht="15" hidden="false" customHeight="false" outlineLevel="0" collapsed="false">
      <c r="A16" s="14" t="n">
        <v>46281</v>
      </c>
      <c r="B16" s="15" t="s">
        <v>74</v>
      </c>
      <c r="C16" s="15" t="s">
        <v>77</v>
      </c>
      <c r="D16" s="15" t="s">
        <v>76</v>
      </c>
      <c r="E16" s="14"/>
      <c r="F16" s="16" t="n">
        <v>8.65</v>
      </c>
      <c r="G16" s="16" t="n">
        <v>0.35</v>
      </c>
      <c r="H16" s="17" t="n">
        <f aca="false">F16+G16</f>
        <v>9</v>
      </c>
      <c r="I16" s="18" t="s">
        <v>51</v>
      </c>
      <c r="J16" s="15"/>
    </row>
    <row r="17" customFormat="false" ht="15" hidden="false" customHeight="false" outlineLevel="0" collapsed="false">
      <c r="A17" s="14" t="n">
        <v>46289</v>
      </c>
      <c r="B17" s="15" t="s">
        <v>74</v>
      </c>
      <c r="C17" s="15" t="s">
        <v>78</v>
      </c>
      <c r="D17" s="15" t="s">
        <v>76</v>
      </c>
      <c r="E17" s="14"/>
      <c r="F17" s="16" t="n">
        <v>8.65</v>
      </c>
      <c r="G17" s="16" t="n">
        <v>0.35</v>
      </c>
      <c r="H17" s="17" t="n">
        <f aca="false">F17+G17</f>
        <v>9</v>
      </c>
      <c r="I17" s="18" t="s">
        <v>51</v>
      </c>
      <c r="J17" s="15"/>
    </row>
    <row r="18" customFormat="false" ht="15" hidden="false" customHeight="false" outlineLevel="0" collapsed="false">
      <c r="A18" s="14" t="n">
        <v>46272</v>
      </c>
      <c r="B18" s="15" t="s">
        <v>79</v>
      </c>
      <c r="C18" s="15" t="s">
        <v>80</v>
      </c>
      <c r="D18" s="15" t="s">
        <v>81</v>
      </c>
      <c r="E18" s="14"/>
      <c r="F18" s="16" t="n">
        <v>124.2</v>
      </c>
      <c r="G18" s="16" t="n">
        <v>4.97</v>
      </c>
      <c r="H18" s="17" t="n">
        <f aca="false">F18+G18</f>
        <v>129.17</v>
      </c>
      <c r="I18" s="18" t="s">
        <v>82</v>
      </c>
      <c r="J18" s="19" t="s">
        <v>83</v>
      </c>
    </row>
    <row r="19" customFormat="false" ht="15" hidden="false" customHeight="false" outlineLevel="0" collapsed="false">
      <c r="A19" s="14" t="n">
        <v>46301</v>
      </c>
      <c r="B19" s="15" t="s">
        <v>84</v>
      </c>
      <c r="C19" s="15" t="s">
        <v>85</v>
      </c>
      <c r="D19" s="15" t="s">
        <v>86</v>
      </c>
      <c r="E19" s="14" t="n">
        <v>46294</v>
      </c>
      <c r="F19" s="16" t="n">
        <v>31.4</v>
      </c>
      <c r="G19" s="16" t="n">
        <v>1.26</v>
      </c>
      <c r="H19" s="17" t="n">
        <f aca="false">F19+G19</f>
        <v>32.66</v>
      </c>
      <c r="I19" s="18" t="s">
        <v>87</v>
      </c>
      <c r="J19" s="19" t="s">
        <v>88</v>
      </c>
    </row>
    <row r="20" customFormat="false" ht="15" hidden="false" customHeight="false" outlineLevel="0" collapsed="false">
      <c r="A20" s="14" t="n">
        <v>46286</v>
      </c>
      <c r="B20" s="15" t="s">
        <v>84</v>
      </c>
      <c r="C20" s="15" t="s">
        <v>89</v>
      </c>
      <c r="D20" s="15" t="s">
        <v>76</v>
      </c>
      <c r="E20" s="14"/>
      <c r="F20" s="16" t="n">
        <v>22.05</v>
      </c>
      <c r="G20" s="16" t="n">
        <v>0.88</v>
      </c>
      <c r="H20" s="17" t="n">
        <f aca="false">F20+G20</f>
        <v>22.93</v>
      </c>
      <c r="I20" s="18" t="s">
        <v>90</v>
      </c>
      <c r="J20" s="19" t="s">
        <v>91</v>
      </c>
    </row>
    <row r="21" customFormat="false" ht="15" hidden="false" customHeight="false" outlineLevel="0" collapsed="false">
      <c r="A21" s="14" t="n">
        <v>46296</v>
      </c>
      <c r="B21" s="15" t="s">
        <v>92</v>
      </c>
      <c r="C21" s="15" t="s">
        <v>93</v>
      </c>
      <c r="D21" s="15" t="s">
        <v>94</v>
      </c>
      <c r="E21" s="14" t="n">
        <v>46297</v>
      </c>
      <c r="F21" s="16" t="n">
        <v>10.1</v>
      </c>
      <c r="G21" s="16" t="n">
        <v>0.4</v>
      </c>
      <c r="H21" s="17" t="n">
        <f aca="false">F21+G21</f>
        <v>10.5</v>
      </c>
      <c r="I21" s="18" t="s">
        <v>87</v>
      </c>
      <c r="J21" s="15"/>
    </row>
    <row r="22" customFormat="false" ht="15" hidden="false" customHeight="false" outlineLevel="0" collapsed="false">
      <c r="A22" s="14" t="n">
        <v>46296</v>
      </c>
      <c r="B22" s="15" t="s">
        <v>74</v>
      </c>
      <c r="C22" s="15" t="s">
        <v>95</v>
      </c>
      <c r="D22" s="15" t="s">
        <v>76</v>
      </c>
      <c r="E22" s="14"/>
      <c r="F22" s="16" t="n">
        <v>8.65</v>
      </c>
      <c r="G22" s="16" t="n">
        <v>0.35</v>
      </c>
      <c r="H22" s="17" t="n">
        <f aca="false">F22+G22</f>
        <v>9</v>
      </c>
      <c r="I22" s="18" t="s">
        <v>87</v>
      </c>
      <c r="J22" s="15"/>
    </row>
    <row r="23" customFormat="false" ht="15" hidden="false" customHeight="fals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customFormat="false" ht="15" hidden="false" customHeight="false" outlineLevel="0" collapsed="false">
      <c r="A24" s="10" t="s">
        <v>96</v>
      </c>
      <c r="B24" s="2"/>
      <c r="C24" s="2"/>
      <c r="D24" s="2"/>
      <c r="E24" s="2"/>
      <c r="F24" s="20" t="n">
        <f aca="false">SUMIFS(F5:F22,$I$5:$I$22,"Sí")</f>
        <v>899.76</v>
      </c>
      <c r="G24" s="20" t="n">
        <f aca="false">SUMIFS(G5:G22,$I$5:$I$22,"Sí")</f>
        <v>35.99</v>
      </c>
      <c r="H24" s="20" t="n">
        <f aca="false">SUMIFS(H5:H22,$I$5:$I$22,"Sí")</f>
        <v>935.75</v>
      </c>
      <c r="I24" s="2"/>
      <c r="J24" s="2"/>
    </row>
    <row r="25" customFormat="false" ht="15" hidden="false" customHeight="false" outlineLevel="0" collapsed="false">
      <c r="A25" s="5" t="s">
        <v>97</v>
      </c>
      <c r="B25" s="2"/>
      <c r="C25" s="2"/>
      <c r="D25" s="2"/>
      <c r="E25" s="2"/>
      <c r="F25" s="21" t="n">
        <f aca="false">SUMIFS(F5:F22,$I$5:$I$22,"Pendiente")</f>
        <v>124.2</v>
      </c>
      <c r="G25" s="2"/>
      <c r="H25" s="2"/>
      <c r="I25" s="2"/>
      <c r="J25" s="2"/>
    </row>
    <row r="26" customFormat="false" ht="15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customFormat="false" ht="15" hidden="false" customHeight="fals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</row>
    <row r="28" customFormat="false" ht="15" hidden="false" customHeight="false" outlineLevel="0" collapsed="false">
      <c r="A28" s="4" t="s">
        <v>98</v>
      </c>
      <c r="B28" s="2"/>
      <c r="C28" s="2"/>
      <c r="D28" s="2"/>
      <c r="E28" s="2"/>
      <c r="F28" s="2"/>
      <c r="G28" s="2"/>
      <c r="H28" s="2"/>
      <c r="I28" s="2"/>
      <c r="J28" s="2"/>
    </row>
    <row r="29" customFormat="false" ht="30" hidden="false" customHeight="true" outlineLevel="0" collapsed="false">
      <c r="A29" s="13" t="s">
        <v>42</v>
      </c>
      <c r="B29" s="13" t="s">
        <v>39</v>
      </c>
      <c r="C29" s="13" t="s">
        <v>41</v>
      </c>
      <c r="D29" s="13" t="s">
        <v>99</v>
      </c>
      <c r="E29" s="13"/>
      <c r="F29" s="13" t="s">
        <v>43</v>
      </c>
      <c r="G29" s="13" t="s">
        <v>44</v>
      </c>
      <c r="H29" s="13" t="s">
        <v>45</v>
      </c>
      <c r="I29" s="13" t="s">
        <v>100</v>
      </c>
      <c r="J29" s="13" t="s">
        <v>47</v>
      </c>
    </row>
    <row r="30" customFormat="false" ht="15" hidden="false" customHeight="false" outlineLevel="0" collapsed="false">
      <c r="A30" s="14" t="n">
        <v>46255</v>
      </c>
      <c r="B30" s="15" t="s">
        <v>61</v>
      </c>
      <c r="C30" s="15" t="s">
        <v>63</v>
      </c>
      <c r="D30" s="15" t="s">
        <v>101</v>
      </c>
      <c r="E30" s="15"/>
      <c r="F30" s="16" t="n">
        <v>48.45</v>
      </c>
      <c r="G30" s="16" t="n">
        <v>1.94</v>
      </c>
      <c r="H30" s="17" t="n">
        <f aca="false">F30+G30</f>
        <v>50.39</v>
      </c>
      <c r="I30" s="18" t="s">
        <v>102</v>
      </c>
      <c r="J30" s="19" t="s">
        <v>103</v>
      </c>
    </row>
    <row r="31" customFormat="false" ht="15" hidden="false" customHeight="false" outlineLevel="0" collapsed="false">
      <c r="A31" s="14" t="n">
        <v>46279</v>
      </c>
      <c r="B31" s="15" t="s">
        <v>65</v>
      </c>
      <c r="C31" s="15" t="s">
        <v>67</v>
      </c>
      <c r="D31" s="15" t="s">
        <v>101</v>
      </c>
      <c r="E31" s="15"/>
      <c r="F31" s="16" t="n">
        <v>74.25</v>
      </c>
      <c r="G31" s="16" t="n">
        <v>2.97</v>
      </c>
      <c r="H31" s="17" t="n">
        <f aca="false">F31+G31</f>
        <v>77.22</v>
      </c>
      <c r="I31" s="18" t="s">
        <v>51</v>
      </c>
      <c r="J31" s="19" t="s">
        <v>104</v>
      </c>
    </row>
    <row r="32" customFormat="false" ht="15" hidden="false" customHeight="false" outlineLevel="0" collapsed="false">
      <c r="A32" s="14" t="n">
        <v>46293</v>
      </c>
      <c r="B32" s="15" t="s">
        <v>48</v>
      </c>
      <c r="C32" s="15" t="s">
        <v>50</v>
      </c>
      <c r="D32" s="15" t="s">
        <v>105</v>
      </c>
      <c r="E32" s="15"/>
      <c r="F32" s="16" t="n">
        <v>639.7</v>
      </c>
      <c r="G32" s="16" t="n">
        <v>25.59</v>
      </c>
      <c r="H32" s="17" t="n">
        <f aca="false">F32+G32</f>
        <v>665.29</v>
      </c>
      <c r="I32" s="18" t="s">
        <v>51</v>
      </c>
      <c r="J32" s="15"/>
    </row>
    <row r="33" customFormat="false" ht="15" hidden="false" customHeight="false" outlineLevel="0" collapsed="false">
      <c r="A33" s="14" t="n">
        <v>46294</v>
      </c>
      <c r="B33" s="15" t="s">
        <v>84</v>
      </c>
      <c r="C33" s="15" t="s">
        <v>86</v>
      </c>
      <c r="D33" s="15" t="s">
        <v>82</v>
      </c>
      <c r="E33" s="15"/>
      <c r="F33" s="16" t="n">
        <v>31.4</v>
      </c>
      <c r="G33" s="16" t="n">
        <v>1.26</v>
      </c>
      <c r="H33" s="17" t="n">
        <f aca="false">F33+G33</f>
        <v>32.66</v>
      </c>
      <c r="I33" s="18" t="s">
        <v>51</v>
      </c>
      <c r="J33" s="15" t="s">
        <v>106</v>
      </c>
    </row>
    <row r="34" customFormat="false" ht="15" hidden="false" customHeight="false" outlineLevel="0" collapsed="false">
      <c r="A34" s="14" t="n">
        <v>46296</v>
      </c>
      <c r="B34" s="15" t="s">
        <v>65</v>
      </c>
      <c r="C34" s="15" t="s">
        <v>71</v>
      </c>
      <c r="D34" s="15" t="s">
        <v>82</v>
      </c>
      <c r="E34" s="15"/>
      <c r="F34" s="16" t="n">
        <v>115.25</v>
      </c>
      <c r="G34" s="16" t="n">
        <v>4.61</v>
      </c>
      <c r="H34" s="17" t="n">
        <f aca="false">F34+G34</f>
        <v>119.86</v>
      </c>
      <c r="I34" s="18" t="s">
        <v>102</v>
      </c>
      <c r="J34" s="15" t="s">
        <v>107</v>
      </c>
    </row>
    <row r="35" customFormat="false" ht="15" hidden="false" customHeight="false" outlineLevel="0" collapsed="false">
      <c r="A35" s="14" t="n">
        <v>46297</v>
      </c>
      <c r="B35" s="15" t="s">
        <v>92</v>
      </c>
      <c r="C35" s="15" t="s">
        <v>94</v>
      </c>
      <c r="D35" s="15" t="s">
        <v>82</v>
      </c>
      <c r="E35" s="15"/>
      <c r="F35" s="16" t="n">
        <v>10.1</v>
      </c>
      <c r="G35" s="16" t="n">
        <v>0.4</v>
      </c>
      <c r="H35" s="17" t="n">
        <f aca="false">F35+G35</f>
        <v>10.5</v>
      </c>
      <c r="I35" s="18" t="s">
        <v>102</v>
      </c>
      <c r="J35" s="15"/>
    </row>
    <row r="36" customFormat="false" ht="15" hidden="false" customHeight="false" outlineLevel="0" collapsed="false">
      <c r="A36" s="10" t="s">
        <v>108</v>
      </c>
      <c r="B36" s="2"/>
      <c r="C36" s="2"/>
      <c r="D36" s="2"/>
      <c r="E36" s="2"/>
      <c r="F36" s="22" t="n">
        <f aca="false">SUMIFS(F30:F35,$I$30:$I$35,"Sí")</f>
        <v>745.35</v>
      </c>
      <c r="G36" s="22" t="n">
        <f aca="false">SUMIFS(G30:G35,$I$30:$I$35,"Sí")</f>
        <v>29.82</v>
      </c>
      <c r="H36" s="22" t="n">
        <f aca="false">SUMIFS(H30:H35,$I$30:$I$35,"Sí")</f>
        <v>775.17</v>
      </c>
      <c r="I36" s="2"/>
      <c r="J36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4" min="4" style="0" width="40"/>
    <col collapsed="false" customWidth="true" hidden="false" outlineLevel="0" max="6" min="5" style="0" width="12"/>
    <col collapsed="false" customWidth="true" hidden="false" outlineLevel="0" max="8" min="7" style="0" width="11"/>
    <col collapsed="false" customWidth="true" hidden="false" outlineLevel="0" max="9" min="9" style="0" width="10"/>
    <col collapsed="false" customWidth="true" hidden="false" outlineLevel="0" max="10" min="10" style="0" width="13"/>
    <col collapsed="false" customWidth="true" hidden="false" outlineLevel="0" max="11" min="11" style="0" width="15"/>
    <col collapsed="false" customWidth="true" hidden="false" outlineLevel="0" max="12" min="12" style="0" width="62"/>
  </cols>
  <sheetData>
    <row r="1" customFormat="false" ht="17.35" hidden="false" customHeight="false" outlineLevel="0" collapsed="false">
      <c r="A1" s="1" t="s">
        <v>109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false" outlineLevel="0" collapsed="false">
      <c r="A2" s="3" t="s">
        <v>110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30" hidden="false" customHeight="true" outlineLevel="0" collapsed="false">
      <c r="A4" s="13" t="s">
        <v>111</v>
      </c>
      <c r="B4" s="13" t="s">
        <v>112</v>
      </c>
      <c r="C4" s="13" t="s">
        <v>113</v>
      </c>
      <c r="D4" s="13" t="s">
        <v>114</v>
      </c>
      <c r="E4" s="13" t="s">
        <v>115</v>
      </c>
      <c r="F4" s="13" t="s">
        <v>116</v>
      </c>
      <c r="G4" s="13" t="s">
        <v>117</v>
      </c>
      <c r="H4" s="13" t="s">
        <v>118</v>
      </c>
      <c r="I4" s="13" t="s">
        <v>119</v>
      </c>
      <c r="J4" s="13" t="s">
        <v>120</v>
      </c>
      <c r="K4" s="13" t="s">
        <v>121</v>
      </c>
      <c r="L4" s="13" t="s">
        <v>47</v>
      </c>
    </row>
    <row r="5" customFormat="false" ht="15" hidden="false" customHeight="false" outlineLevel="0" collapsed="false">
      <c r="A5" s="15" t="n">
        <v>157</v>
      </c>
      <c r="B5" s="14" t="n">
        <v>46261</v>
      </c>
      <c r="C5" s="15" t="s">
        <v>122</v>
      </c>
      <c r="D5" s="15" t="s">
        <v>123</v>
      </c>
      <c r="E5" s="16" t="n">
        <v>18</v>
      </c>
      <c r="F5" s="16" t="n">
        <v>18</v>
      </c>
      <c r="G5" s="23" t="n">
        <v>31</v>
      </c>
      <c r="H5" s="23" t="n">
        <v>26</v>
      </c>
      <c r="I5" s="24" t="n">
        <f aca="false">IF(G5&gt;0,H5/G5,0)</f>
        <v>0.838709677419355</v>
      </c>
      <c r="J5" s="17" t="n">
        <f aca="false">F5*I5</f>
        <v>15.0967741935484</v>
      </c>
      <c r="K5" s="18" t="s">
        <v>124</v>
      </c>
      <c r="L5" s="15" t="s">
        <v>125</v>
      </c>
    </row>
    <row r="6" customFormat="false" ht="23.85" hidden="false" customHeight="false" outlineLevel="0" collapsed="false">
      <c r="A6" s="15" t="n">
        <v>144</v>
      </c>
      <c r="B6" s="14" t="n">
        <v>46265</v>
      </c>
      <c r="C6" s="15" t="s">
        <v>126</v>
      </c>
      <c r="D6" s="19" t="s">
        <v>127</v>
      </c>
      <c r="E6" s="16" t="n">
        <v>535.5</v>
      </c>
      <c r="F6" s="16" t="n">
        <v>525</v>
      </c>
      <c r="G6" s="23" t="n">
        <v>1</v>
      </c>
      <c r="H6" s="23" t="n">
        <v>1</v>
      </c>
      <c r="I6" s="24" t="n">
        <f aca="false">IF(G6&gt;0,H6/G6,0)</f>
        <v>1</v>
      </c>
      <c r="J6" s="17" t="n">
        <f aca="false">F6*I6</f>
        <v>525</v>
      </c>
      <c r="K6" s="18" t="s">
        <v>124</v>
      </c>
      <c r="L6" s="19" t="s">
        <v>128</v>
      </c>
    </row>
    <row r="7" customFormat="false" ht="15" hidden="false" customHeight="false" outlineLevel="0" collapsed="false">
      <c r="A7" s="15" t="n">
        <v>140</v>
      </c>
      <c r="B7" s="14" t="n">
        <v>46268</v>
      </c>
      <c r="C7" s="15" t="s">
        <v>129</v>
      </c>
      <c r="D7" s="15" t="s">
        <v>130</v>
      </c>
      <c r="E7" s="16" t="n">
        <v>93.29</v>
      </c>
      <c r="F7" s="16" t="n">
        <v>77.1</v>
      </c>
      <c r="G7" s="23" t="n">
        <v>1</v>
      </c>
      <c r="H7" s="23" t="n">
        <v>1</v>
      </c>
      <c r="I7" s="24" t="n">
        <f aca="false">IF(G7&gt;0,H7/G7,0)</f>
        <v>1</v>
      </c>
      <c r="J7" s="17" t="n">
        <f aca="false">F7*I7</f>
        <v>77.1</v>
      </c>
      <c r="K7" s="18" t="s">
        <v>131</v>
      </c>
      <c r="L7" s="15" t="s">
        <v>132</v>
      </c>
    </row>
    <row r="8" customFormat="false" ht="15" hidden="false" customHeight="false" outlineLevel="0" collapsed="false">
      <c r="A8" s="15" t="n">
        <v>136</v>
      </c>
      <c r="B8" s="14" t="n">
        <v>46269</v>
      </c>
      <c r="C8" s="15" t="s">
        <v>133</v>
      </c>
      <c r="D8" s="15" t="s">
        <v>134</v>
      </c>
      <c r="E8" s="16" t="n">
        <v>2.95</v>
      </c>
      <c r="F8" s="16" t="n">
        <v>2.95</v>
      </c>
      <c r="G8" s="23" t="n">
        <v>1</v>
      </c>
      <c r="H8" s="23" t="n">
        <v>1</v>
      </c>
      <c r="I8" s="24" t="n">
        <f aca="false">IF(G8&gt;0,H8/G8,0)</f>
        <v>1</v>
      </c>
      <c r="J8" s="17" t="n">
        <f aca="false">F8*I8</f>
        <v>2.95</v>
      </c>
      <c r="K8" s="18" t="s">
        <v>124</v>
      </c>
      <c r="L8" s="19" t="s">
        <v>135</v>
      </c>
    </row>
    <row r="9" customFormat="false" ht="15" hidden="false" customHeight="false" outlineLevel="0" collapsed="false">
      <c r="A9" s="15" t="n">
        <v>141</v>
      </c>
      <c r="B9" s="14" t="n">
        <v>46279</v>
      </c>
      <c r="C9" s="15" t="s">
        <v>129</v>
      </c>
      <c r="D9" s="15" t="s">
        <v>136</v>
      </c>
      <c r="E9" s="16" t="n">
        <v>64.99</v>
      </c>
      <c r="F9" s="16" t="n">
        <v>53.71</v>
      </c>
      <c r="G9" s="23" t="n">
        <v>1</v>
      </c>
      <c r="H9" s="23" t="n">
        <v>1</v>
      </c>
      <c r="I9" s="24" t="n">
        <f aca="false">IF(G9&gt;0,H9/G9,0)</f>
        <v>1</v>
      </c>
      <c r="J9" s="17" t="n">
        <f aca="false">F9*I9</f>
        <v>53.71</v>
      </c>
      <c r="K9" s="18" t="s">
        <v>131</v>
      </c>
      <c r="L9" s="15" t="s">
        <v>137</v>
      </c>
    </row>
    <row r="10" customFormat="false" ht="15" hidden="false" customHeight="false" outlineLevel="0" collapsed="false">
      <c r="A10" s="15" t="n">
        <v>158</v>
      </c>
      <c r="B10" s="14" t="n">
        <v>46281</v>
      </c>
      <c r="C10" s="15" t="s">
        <v>122</v>
      </c>
      <c r="D10" s="15" t="s">
        <v>138</v>
      </c>
      <c r="E10" s="16" t="n">
        <v>20</v>
      </c>
      <c r="F10" s="16" t="n">
        <v>20</v>
      </c>
      <c r="G10" s="23" t="n">
        <v>1</v>
      </c>
      <c r="H10" s="23" t="n">
        <v>1</v>
      </c>
      <c r="I10" s="24" t="n">
        <f aca="false">IF(G10&gt;0,H10/G10,0)</f>
        <v>1</v>
      </c>
      <c r="J10" s="17" t="n">
        <f aca="false">F10*I10</f>
        <v>20</v>
      </c>
      <c r="K10" s="18" t="s">
        <v>124</v>
      </c>
      <c r="L10" s="15"/>
    </row>
    <row r="11" customFormat="false" ht="23.85" hidden="false" customHeight="false" outlineLevel="0" collapsed="false">
      <c r="A11" s="15" t="n">
        <v>146</v>
      </c>
      <c r="B11" s="14" t="n">
        <v>46286</v>
      </c>
      <c r="C11" s="15" t="s">
        <v>139</v>
      </c>
      <c r="D11" s="19" t="s">
        <v>140</v>
      </c>
      <c r="E11" s="16" t="n">
        <v>5</v>
      </c>
      <c r="F11" s="16" t="n">
        <v>4.13</v>
      </c>
      <c r="G11" s="23" t="n">
        <v>1</v>
      </c>
      <c r="H11" s="23" t="n">
        <v>1</v>
      </c>
      <c r="I11" s="24" t="n">
        <f aca="false">IF(G11&gt;0,H11/G11,0)</f>
        <v>1</v>
      </c>
      <c r="J11" s="17" t="n">
        <f aca="false">F11*I11</f>
        <v>4.13</v>
      </c>
      <c r="K11" s="18" t="s">
        <v>124</v>
      </c>
      <c r="L11" s="19" t="s">
        <v>141</v>
      </c>
    </row>
    <row r="12" customFormat="false" ht="15" hidden="false" customHeight="false" outlineLevel="0" collapsed="false">
      <c r="A12" s="15" t="n">
        <v>151</v>
      </c>
      <c r="B12" s="14" t="n">
        <v>46288</v>
      </c>
      <c r="C12" s="15" t="s">
        <v>142</v>
      </c>
      <c r="D12" s="15" t="s">
        <v>143</v>
      </c>
      <c r="E12" s="16" t="n">
        <v>74</v>
      </c>
      <c r="F12" s="16" t="n">
        <v>61.16</v>
      </c>
      <c r="G12" s="23" t="n">
        <v>1</v>
      </c>
      <c r="H12" s="23" t="n">
        <v>1</v>
      </c>
      <c r="I12" s="24" t="n">
        <f aca="false">IF(G12&gt;0,H12/G12,0)</f>
        <v>1</v>
      </c>
      <c r="J12" s="17" t="n">
        <f aca="false">F12*I12</f>
        <v>61.16</v>
      </c>
      <c r="K12" s="18" t="s">
        <v>144</v>
      </c>
      <c r="L12" s="19" t="s">
        <v>145</v>
      </c>
    </row>
    <row r="13" customFormat="false" ht="15" hidden="false" customHeight="false" outlineLevel="0" collapsed="false">
      <c r="A13" s="15" t="n">
        <v>156</v>
      </c>
      <c r="B13" s="14" t="n">
        <v>46292</v>
      </c>
      <c r="C13" s="15" t="s">
        <v>122</v>
      </c>
      <c r="D13" s="15" t="s">
        <v>146</v>
      </c>
      <c r="E13" s="16" t="n">
        <v>18</v>
      </c>
      <c r="F13" s="16" t="n">
        <v>18</v>
      </c>
      <c r="G13" s="23" t="n">
        <v>30</v>
      </c>
      <c r="H13" s="23" t="n">
        <v>4</v>
      </c>
      <c r="I13" s="24" t="n">
        <f aca="false">IF(G13&gt;0,H13/G13,0)</f>
        <v>0.133333333333333</v>
      </c>
      <c r="J13" s="17" t="n">
        <f aca="false">F13*I13</f>
        <v>2.4</v>
      </c>
      <c r="K13" s="18" t="s">
        <v>124</v>
      </c>
      <c r="L13" s="15" t="s">
        <v>147</v>
      </c>
    </row>
    <row r="14" customFormat="false" ht="23.85" hidden="false" customHeight="false" outlineLevel="0" collapsed="false">
      <c r="A14" s="15" t="n">
        <v>159</v>
      </c>
      <c r="B14" s="14" t="n">
        <v>46292</v>
      </c>
      <c r="C14" s="15" t="s">
        <v>122</v>
      </c>
      <c r="D14" s="15" t="s">
        <v>148</v>
      </c>
      <c r="E14" s="16" t="n">
        <v>18</v>
      </c>
      <c r="F14" s="16" t="n">
        <v>18</v>
      </c>
      <c r="G14" s="23" t="n">
        <v>30</v>
      </c>
      <c r="H14" s="23" t="n">
        <v>0</v>
      </c>
      <c r="I14" s="24" t="n">
        <f aca="false">IF(G14&gt;0,H14/G14,0)</f>
        <v>0</v>
      </c>
      <c r="J14" s="17" t="n">
        <f aca="false">F14*I14</f>
        <v>0</v>
      </c>
      <c r="K14" s="18" t="s">
        <v>149</v>
      </c>
      <c r="L14" s="19" t="s">
        <v>150</v>
      </c>
    </row>
    <row r="15" customFormat="false" ht="15" hidden="false" customHeight="false" outlineLevel="0" collapsed="false">
      <c r="A15" s="15" t="n">
        <v>153</v>
      </c>
      <c r="B15" s="14" t="n">
        <v>46295</v>
      </c>
      <c r="C15" s="15" t="s">
        <v>126</v>
      </c>
      <c r="D15" s="15" t="s">
        <v>151</v>
      </c>
      <c r="E15" s="16" t="n">
        <v>535.5</v>
      </c>
      <c r="F15" s="16" t="n">
        <v>525</v>
      </c>
      <c r="G15" s="23" t="n">
        <v>1</v>
      </c>
      <c r="H15" s="23" t="n">
        <v>0</v>
      </c>
      <c r="I15" s="24" t="n">
        <f aca="false">IF(G15&gt;0,H15/G15,0)</f>
        <v>0</v>
      </c>
      <c r="J15" s="17" t="n">
        <f aca="false">F15*I15</f>
        <v>0</v>
      </c>
      <c r="K15" s="18" t="s">
        <v>152</v>
      </c>
      <c r="L15" s="15" t="s">
        <v>153</v>
      </c>
    </row>
    <row r="16" customFormat="false" ht="23.85" hidden="false" customHeight="false" outlineLevel="0" collapsed="false">
      <c r="A16" s="15" t="n">
        <v>154</v>
      </c>
      <c r="B16" s="14" t="n">
        <v>46295</v>
      </c>
      <c r="C16" s="15" t="s">
        <v>126</v>
      </c>
      <c r="D16" s="15" t="s">
        <v>154</v>
      </c>
      <c r="E16" s="16" t="n">
        <v>30.71</v>
      </c>
      <c r="F16" s="16" t="n">
        <v>27.92</v>
      </c>
      <c r="G16" s="23" t="n">
        <v>60</v>
      </c>
      <c r="H16" s="23" t="n">
        <v>30</v>
      </c>
      <c r="I16" s="24" t="n">
        <f aca="false">IF(G16&gt;0,H16/G16,0)</f>
        <v>0.5</v>
      </c>
      <c r="J16" s="17" t="n">
        <f aca="false">F16*I16</f>
        <v>13.96</v>
      </c>
      <c r="K16" s="18" t="s">
        <v>124</v>
      </c>
      <c r="L16" s="19" t="s">
        <v>155</v>
      </c>
    </row>
    <row r="17" customFormat="false" ht="23.85" hidden="false" customHeight="false" outlineLevel="0" collapsed="false">
      <c r="A17" s="15" t="n">
        <v>155</v>
      </c>
      <c r="B17" s="14" t="n">
        <v>46295</v>
      </c>
      <c r="C17" s="15" t="s">
        <v>126</v>
      </c>
      <c r="D17" s="15" t="s">
        <v>156</v>
      </c>
      <c r="E17" s="16" t="n">
        <v>137.51</v>
      </c>
      <c r="F17" s="16" t="n">
        <v>134.82</v>
      </c>
      <c r="G17" s="23" t="n">
        <v>62</v>
      </c>
      <c r="H17" s="23" t="n">
        <v>30</v>
      </c>
      <c r="I17" s="24" t="n">
        <f aca="false">IF(G17&gt;0,H17/G17,0)</f>
        <v>0.483870967741936</v>
      </c>
      <c r="J17" s="17" t="n">
        <f aca="false">F17*I17</f>
        <v>65.2354838709677</v>
      </c>
      <c r="K17" s="18" t="s">
        <v>124</v>
      </c>
      <c r="L17" s="19" t="s">
        <v>157</v>
      </c>
    </row>
    <row r="18" customFormat="false" ht="15" hidden="false" customHeight="false" outlineLevel="0" collapsed="false">
      <c r="A18" s="15" t="n">
        <v>124</v>
      </c>
      <c r="B18" s="14" t="n">
        <v>46199</v>
      </c>
      <c r="C18" s="15" t="s">
        <v>126</v>
      </c>
      <c r="D18" s="19" t="s">
        <v>158</v>
      </c>
      <c r="E18" s="16" t="n">
        <v>101.1</v>
      </c>
      <c r="F18" s="16" t="n">
        <v>101.1</v>
      </c>
      <c r="G18" s="23" t="n">
        <v>6</v>
      </c>
      <c r="H18" s="23" t="n">
        <v>1</v>
      </c>
      <c r="I18" s="24" t="n">
        <f aca="false">IF(G18&gt;0,H18/G18,0)</f>
        <v>0.166666666666667</v>
      </c>
      <c r="J18" s="17" t="n">
        <f aca="false">F18*I18</f>
        <v>16.85</v>
      </c>
      <c r="K18" s="18" t="s">
        <v>124</v>
      </c>
      <c r="L18" s="19" t="s">
        <v>159</v>
      </c>
    </row>
    <row r="19" customFormat="false" ht="15" hidden="false" customHeight="false" outlineLevel="0" collapsed="false">
      <c r="A19" s="15" t="n">
        <v>152</v>
      </c>
      <c r="B19" s="14" t="n">
        <v>46296</v>
      </c>
      <c r="C19" s="15" t="s">
        <v>160</v>
      </c>
      <c r="D19" s="15" t="s">
        <v>161</v>
      </c>
      <c r="E19" s="16" t="n">
        <v>354.52</v>
      </c>
      <c r="F19" s="16" t="n">
        <v>292.99</v>
      </c>
      <c r="G19" s="23" t="n">
        <v>1</v>
      </c>
      <c r="H19" s="23" t="n">
        <v>0</v>
      </c>
      <c r="I19" s="24" t="n">
        <f aca="false">IF(G19&gt;0,H19/G19,0)</f>
        <v>0</v>
      </c>
      <c r="J19" s="17" t="n">
        <f aca="false">F19*I19</f>
        <v>0</v>
      </c>
      <c r="K19" s="18" t="s">
        <v>152</v>
      </c>
      <c r="L19" s="19" t="s">
        <v>162</v>
      </c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customFormat="false" ht="15" hidden="false" customHeight="false" outlineLevel="0" collapsed="false">
      <c r="A21" s="2"/>
      <c r="B21" s="2"/>
      <c r="C21" s="2"/>
      <c r="D21" s="5" t="s">
        <v>163</v>
      </c>
      <c r="E21" s="2"/>
      <c r="F21" s="2"/>
      <c r="G21" s="2"/>
      <c r="H21" s="2"/>
      <c r="I21" s="2"/>
      <c r="J21" s="21" t="n">
        <f aca="false">SUMIFS($J$5:$J$19,$K$5:$K$19,"Estructura")</f>
        <v>665.622258064516</v>
      </c>
      <c r="K21" s="2"/>
      <c r="L21" s="2"/>
    </row>
    <row r="22" customFormat="false" ht="15" hidden="false" customHeight="false" outlineLevel="0" collapsed="false">
      <c r="A22" s="2"/>
      <c r="B22" s="2"/>
      <c r="C22" s="2"/>
      <c r="D22" s="5" t="s">
        <v>164</v>
      </c>
      <c r="E22" s="2"/>
      <c r="F22" s="2"/>
      <c r="G22" s="2"/>
      <c r="H22" s="2"/>
      <c r="I22" s="2"/>
      <c r="J22" s="21" t="n">
        <f aca="false">SUMIFS($J$5:$J$19,$K$5:$K$19,"Material")</f>
        <v>61.16</v>
      </c>
      <c r="K22" s="2"/>
      <c r="L22" s="2"/>
    </row>
    <row r="23" customFormat="false" ht="15" hidden="false" customHeight="false" outlineLevel="0" collapsed="false">
      <c r="A23" s="2"/>
      <c r="B23" s="2"/>
      <c r="C23" s="2"/>
      <c r="D23" s="5" t="s">
        <v>165</v>
      </c>
      <c r="E23" s="2"/>
      <c r="F23" s="2"/>
      <c r="G23" s="2"/>
      <c r="H23" s="2"/>
      <c r="I23" s="2"/>
      <c r="J23" s="21" t="n">
        <f aca="false">SUMIFS($J$5:$J$19,$K$5:$K$19,"Inversión")</f>
        <v>130.81</v>
      </c>
      <c r="K23" s="2"/>
      <c r="L23" s="2"/>
    </row>
    <row r="24" customFormat="false" ht="15" hidden="false" customHeight="false" outlineLevel="0" collapsed="false">
      <c r="A24" s="2"/>
      <c r="B24" s="2"/>
      <c r="C24" s="2"/>
      <c r="D24" s="10" t="s">
        <v>166</v>
      </c>
      <c r="E24" s="2"/>
      <c r="F24" s="2"/>
      <c r="G24" s="2"/>
      <c r="H24" s="2"/>
      <c r="I24" s="2"/>
      <c r="J24" s="20" t="n">
        <f aca="false">SUM(J21:J23)</f>
        <v>857.592258064516</v>
      </c>
      <c r="K24" s="2"/>
      <c r="L24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8"/>
    <col collapsed="false" customWidth="true" hidden="false" outlineLevel="0" max="7" min="4" style="0" width="14"/>
    <col collapsed="false" customWidth="true" hidden="false" outlineLevel="0" max="8" min="8" style="0" width="52"/>
  </cols>
  <sheetData>
    <row r="1" customFormat="false" ht="17.35" hidden="false" customHeight="false" outlineLevel="0" collapsed="false">
      <c r="A1" s="1" t="s">
        <v>167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3" t="s">
        <v>168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15" hidden="false" customHeight="false" outlineLevel="0" collapsed="false">
      <c r="A4" s="4" t="s">
        <v>169</v>
      </c>
      <c r="B4" s="2"/>
      <c r="C4" s="2"/>
      <c r="D4" s="2"/>
      <c r="E4" s="2"/>
      <c r="F4" s="2"/>
      <c r="G4" s="2"/>
      <c r="H4" s="2"/>
    </row>
    <row r="5" customFormat="false" ht="30" hidden="false" customHeight="true" outlineLevel="0" collapsed="false">
      <c r="A5" s="13" t="s">
        <v>170</v>
      </c>
      <c r="B5" s="13" t="s">
        <v>171</v>
      </c>
      <c r="C5" s="13" t="s">
        <v>172</v>
      </c>
      <c r="D5" s="13" t="s">
        <v>173</v>
      </c>
      <c r="E5" s="13" t="s">
        <v>174</v>
      </c>
      <c r="F5" s="13" t="s">
        <v>175</v>
      </c>
      <c r="G5" s="13" t="s">
        <v>176</v>
      </c>
      <c r="H5" s="13" t="s">
        <v>177</v>
      </c>
    </row>
    <row r="6" customFormat="false" ht="15" hidden="false" customHeight="false" outlineLevel="0" collapsed="false">
      <c r="A6" s="15" t="s">
        <v>178</v>
      </c>
      <c r="B6" s="23" t="n">
        <v>45</v>
      </c>
      <c r="C6" s="23" t="n">
        <v>53</v>
      </c>
      <c r="D6" s="25" t="n">
        <f aca="false">B6+C6</f>
        <v>98</v>
      </c>
      <c r="E6" s="23" t="n">
        <v>34</v>
      </c>
      <c r="F6" s="26" t="n">
        <v>7.5</v>
      </c>
      <c r="G6" s="17" t="n">
        <f aca="false">D6*E6/1000*F6</f>
        <v>24.99</v>
      </c>
      <c r="H6" s="15" t="s">
        <v>179</v>
      </c>
    </row>
    <row r="7" customFormat="false" ht="15" hidden="false" customHeight="false" outlineLevel="0" collapsed="false">
      <c r="A7" s="15" t="s">
        <v>180</v>
      </c>
      <c r="B7" s="23" t="n">
        <v>30</v>
      </c>
      <c r="C7" s="23" t="n">
        <v>49</v>
      </c>
      <c r="D7" s="25" t="n">
        <f aca="false">B7+C7</f>
        <v>79</v>
      </c>
      <c r="E7" s="23" t="n">
        <v>14</v>
      </c>
      <c r="F7" s="26" t="n">
        <v>37</v>
      </c>
      <c r="G7" s="17" t="n">
        <f aca="false">D7*E7/1000*F7</f>
        <v>40.922</v>
      </c>
      <c r="H7" s="15" t="s">
        <v>179</v>
      </c>
    </row>
    <row r="8" customFormat="false" ht="15" hidden="false" customHeight="false" outlineLevel="0" collapsed="false">
      <c r="A8" s="15" t="s">
        <v>181</v>
      </c>
      <c r="B8" s="23" t="n">
        <v>1</v>
      </c>
      <c r="C8" s="23" t="n">
        <v>5</v>
      </c>
      <c r="D8" s="25" t="n">
        <f aca="false">B8+C8</f>
        <v>6</v>
      </c>
      <c r="E8" s="23" t="n">
        <v>25</v>
      </c>
      <c r="F8" s="26" t="n">
        <v>22</v>
      </c>
      <c r="G8" s="17" t="n">
        <f aca="false">D8*E8/1000*F8</f>
        <v>3.3</v>
      </c>
      <c r="H8" s="15" t="s">
        <v>179</v>
      </c>
    </row>
    <row r="9" customFormat="false" ht="15" hidden="false" customHeight="false" outlineLevel="0" collapsed="false">
      <c r="A9" s="15" t="s">
        <v>182</v>
      </c>
      <c r="B9" s="23" t="n">
        <v>1</v>
      </c>
      <c r="C9" s="23" t="n">
        <v>4</v>
      </c>
      <c r="D9" s="25" t="n">
        <f aca="false">B9+C9</f>
        <v>5</v>
      </c>
      <c r="E9" s="23" t="n">
        <v>9</v>
      </c>
      <c r="F9" s="26" t="n">
        <v>50</v>
      </c>
      <c r="G9" s="17" t="n">
        <f aca="false">D9*E9/1000*F9</f>
        <v>2.25</v>
      </c>
      <c r="H9" s="19" t="s">
        <v>183</v>
      </c>
    </row>
    <row r="10" customFormat="false" ht="15" hidden="false" customHeight="false" outlineLevel="0" collapsed="false">
      <c r="A10" s="15" t="s">
        <v>184</v>
      </c>
      <c r="B10" s="23" t="n">
        <v>1</v>
      </c>
      <c r="C10" s="23" t="n">
        <v>3</v>
      </c>
      <c r="D10" s="25" t="n">
        <f aca="false">B10+C10</f>
        <v>4</v>
      </c>
      <c r="E10" s="23" t="n">
        <v>15</v>
      </c>
      <c r="F10" s="26" t="n">
        <v>11</v>
      </c>
      <c r="G10" s="17" t="n">
        <f aca="false">D10*E10/1000*F10</f>
        <v>0.66</v>
      </c>
      <c r="H10" s="19" t="s">
        <v>183</v>
      </c>
    </row>
    <row r="11" customFormat="false" ht="15" hidden="false" customHeight="false" outlineLevel="0" collapsed="false">
      <c r="A11" s="15" t="s">
        <v>185</v>
      </c>
      <c r="B11" s="23" t="n">
        <v>1</v>
      </c>
      <c r="C11" s="23" t="n">
        <v>3</v>
      </c>
      <c r="D11" s="25" t="n">
        <f aca="false">B11+C11</f>
        <v>4</v>
      </c>
      <c r="E11" s="23" t="n">
        <v>34</v>
      </c>
      <c r="F11" s="26" t="n">
        <v>10</v>
      </c>
      <c r="G11" s="17" t="n">
        <f aca="false">D11*E11/1000*F11</f>
        <v>1.36</v>
      </c>
      <c r="H11" s="19" t="s">
        <v>183</v>
      </c>
    </row>
    <row r="12" customFormat="false" ht="15" hidden="false" customHeight="false" outlineLevel="0" collapsed="false">
      <c r="A12" s="15" t="s">
        <v>186</v>
      </c>
      <c r="B12" s="23" t="n">
        <v>1</v>
      </c>
      <c r="C12" s="23" t="n">
        <v>3</v>
      </c>
      <c r="D12" s="25" t="n">
        <f aca="false">B12+C12</f>
        <v>4</v>
      </c>
      <c r="E12" s="23" t="n">
        <v>34</v>
      </c>
      <c r="F12" s="26" t="n">
        <v>9.9</v>
      </c>
      <c r="G12" s="17" t="n">
        <f aca="false">D12*E12/1000*F12</f>
        <v>1.3464</v>
      </c>
      <c r="H12" s="15" t="s">
        <v>187</v>
      </c>
    </row>
    <row r="13" customFormat="false" ht="23.85" hidden="false" customHeight="false" outlineLevel="0" collapsed="false">
      <c r="A13" s="15" t="s">
        <v>188</v>
      </c>
      <c r="B13" s="23" t="n">
        <v>1</v>
      </c>
      <c r="C13" s="23" t="n">
        <v>0</v>
      </c>
      <c r="D13" s="25" t="n">
        <f aca="false">B13+C13</f>
        <v>1</v>
      </c>
      <c r="E13" s="23"/>
      <c r="F13" s="26"/>
      <c r="G13" s="17" t="n">
        <f aca="false">D13*0.6</f>
        <v>0.6</v>
      </c>
      <c r="H13" s="19" t="s">
        <v>189</v>
      </c>
    </row>
    <row r="14" customFormat="false" ht="15" hidden="false" customHeight="false" outlineLevel="0" collapsed="false">
      <c r="A14" s="10" t="s">
        <v>190</v>
      </c>
      <c r="B14" s="27" t="n">
        <f aca="false">SUM(B6:B13)</f>
        <v>81</v>
      </c>
      <c r="C14" s="27" t="n">
        <f aca="false">SUM(C6:C13)</f>
        <v>120</v>
      </c>
      <c r="D14" s="27" t="n">
        <f aca="false">SUM(D6:D13)</f>
        <v>201</v>
      </c>
      <c r="E14" s="2"/>
      <c r="F14" s="2"/>
      <c r="G14" s="22" t="n">
        <f aca="false">SUM(G6:G13)</f>
        <v>75.4284</v>
      </c>
      <c r="H14" s="2"/>
    </row>
    <row r="15" customFormat="false" ht="15" hidden="false" customHeight="false" outlineLevel="0" collapsed="false">
      <c r="A15" s="3" t="s">
        <v>191</v>
      </c>
      <c r="B15" s="2"/>
      <c r="C15" s="2"/>
      <c r="D15" s="2"/>
      <c r="E15" s="2"/>
      <c r="F15" s="2"/>
      <c r="G15" s="2"/>
      <c r="H15" s="2"/>
    </row>
    <row r="16" customFormat="false" ht="15" hidden="false" customHeight="false" outlineLevel="0" collapsed="false">
      <c r="A16" s="2"/>
      <c r="B16" s="2"/>
      <c r="C16" s="2"/>
      <c r="D16" s="2"/>
      <c r="E16" s="2"/>
      <c r="F16" s="2"/>
      <c r="G16" s="2"/>
      <c r="H16" s="2"/>
    </row>
    <row r="17" customFormat="false" ht="15" hidden="false" customHeight="false" outlineLevel="0" collapsed="false">
      <c r="A17" s="4" t="s">
        <v>192</v>
      </c>
      <c r="B17" s="2"/>
      <c r="C17" s="2"/>
      <c r="D17" s="2"/>
      <c r="E17" s="2"/>
      <c r="F17" s="2"/>
      <c r="G17" s="2"/>
      <c r="H17" s="2"/>
    </row>
    <row r="18" customFormat="false" ht="30" hidden="false" customHeight="true" outlineLevel="0" collapsed="false">
      <c r="A18" s="13" t="s">
        <v>193</v>
      </c>
      <c r="B18" s="13"/>
      <c r="C18" s="13"/>
      <c r="D18" s="13" t="s">
        <v>194</v>
      </c>
      <c r="E18" s="13" t="s">
        <v>195</v>
      </c>
      <c r="F18" s="13" t="s">
        <v>196</v>
      </c>
      <c r="G18" s="13" t="s">
        <v>176</v>
      </c>
      <c r="H18" s="13" t="s">
        <v>177</v>
      </c>
    </row>
    <row r="19" customFormat="false" ht="15" hidden="false" customHeight="false" outlineLevel="0" collapsed="false">
      <c r="A19" s="15" t="s">
        <v>197</v>
      </c>
      <c r="B19" s="15"/>
      <c r="C19" s="15"/>
      <c r="D19" s="25" t="n">
        <f aca="false">D14</f>
        <v>201</v>
      </c>
      <c r="E19" s="28" t="n">
        <v>2.5</v>
      </c>
      <c r="F19" s="29" t="n">
        <f aca="false">18/1.21/100</f>
        <v>0.148760330578512</v>
      </c>
      <c r="G19" s="17" t="n">
        <f aca="false">D19*E19*F19</f>
        <v>74.7520661157025</v>
      </c>
      <c r="H19" s="19" t="s">
        <v>198</v>
      </c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  <c r="G20" s="2"/>
      <c r="H20" s="2"/>
    </row>
    <row r="21" customFormat="false" ht="15" hidden="false" customHeight="false" outlineLevel="0" collapsed="false">
      <c r="A21" s="4" t="s">
        <v>199</v>
      </c>
      <c r="B21" s="2"/>
      <c r="C21" s="2"/>
      <c r="D21" s="2"/>
      <c r="E21" s="2"/>
      <c r="F21" s="2"/>
      <c r="G21" s="2"/>
      <c r="H21" s="2"/>
    </row>
    <row r="22" customFormat="false" ht="30" hidden="false" customHeight="true" outlineLevel="0" collapsed="false">
      <c r="A22" s="13" t="s">
        <v>200</v>
      </c>
      <c r="B22" s="13"/>
      <c r="C22" s="13"/>
      <c r="D22" s="13" t="s">
        <v>201</v>
      </c>
      <c r="E22" s="13"/>
      <c r="F22" s="13" t="s">
        <v>202</v>
      </c>
      <c r="G22" s="13" t="s">
        <v>176</v>
      </c>
      <c r="H22" s="13" t="s">
        <v>177</v>
      </c>
    </row>
    <row r="23" customFormat="false" ht="15" hidden="false" customHeight="false" outlineLevel="0" collapsed="false">
      <c r="A23" s="15" t="s">
        <v>203</v>
      </c>
      <c r="B23" s="15"/>
      <c r="C23" s="15"/>
      <c r="D23" s="23" t="n">
        <v>385</v>
      </c>
      <c r="E23" s="15"/>
      <c r="F23" s="26" t="n">
        <v>0.17</v>
      </c>
      <c r="G23" s="17" t="n">
        <f aca="false">D23*F23</f>
        <v>65.45</v>
      </c>
      <c r="H23" s="19" t="s">
        <v>204</v>
      </c>
    </row>
    <row r="24" customFormat="false" ht="15" hidden="false" customHeight="false" outlineLevel="0" collapsed="false">
      <c r="A24" s="15" t="s">
        <v>205</v>
      </c>
      <c r="B24" s="15"/>
      <c r="C24" s="15"/>
      <c r="D24" s="23" t="n">
        <v>100</v>
      </c>
      <c r="E24" s="15"/>
      <c r="F24" s="26" t="n">
        <v>0.1</v>
      </c>
      <c r="G24" s="17" t="n">
        <f aca="false">D24*F24</f>
        <v>10</v>
      </c>
      <c r="H24" s="15" t="s">
        <v>206</v>
      </c>
    </row>
    <row r="25" customFormat="false" ht="15" hidden="false" customHeight="false" outlineLevel="0" collapsed="false">
      <c r="A25" s="10" t="s">
        <v>207</v>
      </c>
      <c r="B25" s="2"/>
      <c r="C25" s="2"/>
      <c r="D25" s="2"/>
      <c r="E25" s="2"/>
      <c r="F25" s="2"/>
      <c r="G25" s="22" t="n">
        <f aca="false">SUM(G23:G24)</f>
        <v>75.45</v>
      </c>
      <c r="H25" s="2"/>
    </row>
    <row r="26" customFormat="false" ht="15" hidden="false" customHeight="false" outlineLevel="0" collapsed="false">
      <c r="A26" s="2"/>
      <c r="B26" s="2"/>
      <c r="C26" s="2"/>
      <c r="D26" s="2"/>
      <c r="E26" s="2"/>
      <c r="F26" s="2"/>
      <c r="G26" s="2"/>
      <c r="H26" s="2"/>
    </row>
    <row r="27" customFormat="false" ht="15" hidden="false" customHeight="false" outlineLevel="0" collapsed="false">
      <c r="A27" s="10" t="s">
        <v>208</v>
      </c>
      <c r="B27" s="2"/>
      <c r="C27" s="2"/>
      <c r="D27" s="2"/>
      <c r="E27" s="2"/>
      <c r="F27" s="2"/>
      <c r="G27" s="20" t="n">
        <f aca="false">G14+G19+G25</f>
        <v>225.630466115702</v>
      </c>
      <c r="H27" s="2"/>
    </row>
    <row r="28" customFormat="false" ht="15" hidden="false" customHeight="false" outlineLevel="0" collapsed="false">
      <c r="A28" s="2" t="s">
        <v>209</v>
      </c>
      <c r="B28" s="2"/>
      <c r="C28" s="2"/>
      <c r="D28" s="2"/>
      <c r="E28" s="2"/>
      <c r="F28" s="2"/>
      <c r="G28" s="6" t="n">
        <f aca="false">Gastos!$J$22</f>
        <v>61.16</v>
      </c>
      <c r="H28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4"/>
    <col collapsed="false" customWidth="true" hidden="false" outlineLevel="0" max="3" min="3" style="0" width="80"/>
    <col collapsed="false" customWidth="true" hidden="false" outlineLevel="0" max="4" min="4" style="0" width="50"/>
  </cols>
  <sheetData>
    <row r="1" customFormat="false" ht="17.35" hidden="false" customHeight="false" outlineLevel="0" collapsed="false">
      <c r="A1" s="1" t="s">
        <v>210</v>
      </c>
      <c r="B1" s="2"/>
      <c r="C1" s="2"/>
      <c r="D1" s="2"/>
    </row>
    <row r="2" customFormat="false" ht="15" hidden="false" customHeight="false" outlineLevel="0" collapsed="false">
      <c r="A2" s="3" t="s">
        <v>211</v>
      </c>
      <c r="B2" s="2"/>
      <c r="C2" s="2"/>
      <c r="D2" s="2"/>
    </row>
    <row r="3" customFormat="false" ht="15" hidden="false" customHeight="false" outlineLevel="0" collapsed="false">
      <c r="A3" s="2"/>
      <c r="B3" s="2"/>
      <c r="C3" s="2"/>
      <c r="D3" s="2"/>
    </row>
    <row r="4" customFormat="false" ht="30" hidden="false" customHeight="true" outlineLevel="0" collapsed="false">
      <c r="A4" s="13" t="s">
        <v>212</v>
      </c>
      <c r="B4" s="13" t="s">
        <v>213</v>
      </c>
      <c r="C4" s="13" t="s">
        <v>214</v>
      </c>
      <c r="D4" s="13" t="s">
        <v>215</v>
      </c>
    </row>
    <row r="5" customFormat="false" ht="35.05" hidden="false" customHeight="false" outlineLevel="0" collapsed="false">
      <c r="A5" s="15" t="n">
        <v>1</v>
      </c>
      <c r="B5" s="19" t="s">
        <v>216</v>
      </c>
      <c r="C5" s="19" t="s">
        <v>217</v>
      </c>
      <c r="D5" s="19" t="s">
        <v>218</v>
      </c>
    </row>
    <row r="6" customFormat="false" ht="23.85" hidden="false" customHeight="false" outlineLevel="0" collapsed="false">
      <c r="A6" s="15" t="n">
        <v>2</v>
      </c>
      <c r="B6" s="19" t="s">
        <v>219</v>
      </c>
      <c r="C6" s="19" t="s">
        <v>220</v>
      </c>
      <c r="D6" s="19" t="s">
        <v>221</v>
      </c>
    </row>
    <row r="7" customFormat="false" ht="23.85" hidden="false" customHeight="false" outlineLevel="0" collapsed="false">
      <c r="A7" s="15" t="n">
        <v>3</v>
      </c>
      <c r="B7" s="19" t="s">
        <v>222</v>
      </c>
      <c r="C7" s="19" t="s">
        <v>223</v>
      </c>
      <c r="D7" s="19" t="s">
        <v>224</v>
      </c>
    </row>
    <row r="8" customFormat="false" ht="23.85" hidden="false" customHeight="false" outlineLevel="0" collapsed="false">
      <c r="A8" s="15" t="n">
        <v>4</v>
      </c>
      <c r="B8" s="19" t="s">
        <v>225</v>
      </c>
      <c r="C8" s="19" t="s">
        <v>226</v>
      </c>
      <c r="D8" s="19" t="s">
        <v>227</v>
      </c>
    </row>
    <row r="9" customFormat="false" ht="15" hidden="false" customHeight="false" outlineLevel="0" collapsed="false">
      <c r="A9" s="15" t="n">
        <v>5</v>
      </c>
      <c r="B9" s="19" t="s">
        <v>79</v>
      </c>
      <c r="C9" s="19" t="s">
        <v>228</v>
      </c>
      <c r="D9" s="19" t="s">
        <v>229</v>
      </c>
    </row>
    <row r="10" customFormat="false" ht="23.85" hidden="false" customHeight="false" outlineLevel="0" collapsed="false">
      <c r="A10" s="15" t="n">
        <v>6</v>
      </c>
      <c r="B10" s="19" t="s">
        <v>84</v>
      </c>
      <c r="C10" s="19" t="s">
        <v>230</v>
      </c>
      <c r="D10" s="19" t="s">
        <v>231</v>
      </c>
    </row>
    <row r="11" customFormat="false" ht="23.85" hidden="false" customHeight="false" outlineLevel="0" collapsed="false">
      <c r="A11" s="15" t="n">
        <v>7</v>
      </c>
      <c r="B11" s="19" t="s">
        <v>232</v>
      </c>
      <c r="C11" s="19" t="s">
        <v>233</v>
      </c>
      <c r="D11" s="19" t="s">
        <v>234</v>
      </c>
    </row>
    <row r="12" customFormat="false" ht="15" hidden="false" customHeight="false" outlineLevel="0" collapsed="false">
      <c r="A12" s="15" t="n">
        <v>8</v>
      </c>
      <c r="B12" s="19" t="s">
        <v>61</v>
      </c>
      <c r="C12" s="19" t="s">
        <v>235</v>
      </c>
      <c r="D12" s="19" t="s">
        <v>236</v>
      </c>
    </row>
    <row r="13" customFormat="false" ht="15" hidden="false" customHeight="false" outlineLevel="0" collapsed="false">
      <c r="A13" s="15" t="n">
        <v>9</v>
      </c>
      <c r="B13" s="19" t="s">
        <v>237</v>
      </c>
      <c r="C13" s="19" t="s">
        <v>238</v>
      </c>
      <c r="D13" s="19" t="s">
        <v>239</v>
      </c>
    </row>
    <row r="14" customFormat="false" ht="23.85" hidden="false" customHeight="false" outlineLevel="0" collapsed="false">
      <c r="A14" s="15" t="n">
        <v>10</v>
      </c>
      <c r="B14" s="19" t="s">
        <v>240</v>
      </c>
      <c r="C14" s="19" t="s">
        <v>241</v>
      </c>
      <c r="D14" s="19" t="s">
        <v>242</v>
      </c>
    </row>
    <row r="15" customFormat="false" ht="23.85" hidden="false" customHeight="false" outlineLevel="0" collapsed="false">
      <c r="A15" s="15" t="n">
        <v>11</v>
      </c>
      <c r="B15" s="19" t="s">
        <v>243</v>
      </c>
      <c r="C15" s="19" t="s">
        <v>244</v>
      </c>
      <c r="D15" s="19" t="s">
        <v>245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2026-10-05T10:16:17Z</dcterms:created>
  <dc:creator>openpyxl</dc:creator>
  <dc:description/>
  <dc:language>en-US</dc:language>
  <cp:lastModifiedBy/>
  <dcterms:modified xsi:type="dcterms:W3CDTF">2026-10-05T10:16:17Z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