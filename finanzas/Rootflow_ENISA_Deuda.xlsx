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uda socios (detalle)" sheetId="2" state="visible" r:id="rId4"/>
    <sheet name="Aportaciones socios" sheetId="3" state="visible" r:id="rId5"/>
    <sheet name="Proveedores y Hacienda" sheetId="4" state="visible" r:id="rId6"/>
  </sheets>
  <definedNames>
    <definedName function="false" hidden="true" localSheetId="1" name="_xlnm._FilterDatabase" vbProcedure="false">'Deuda socios (detalle)'!$A$4:$I$81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<sst xmlns="http://schemas.openxmlformats.org/spreadsheetml/2006/main" count="430" uniqueCount="141">
  <si>
    <t xml:space="preserve">Rootflow Hydroponics, S.L. — Deuda actual</t>
  </si>
  <si>
    <t xml:space="preserve">Situación a 07/10/2026 según los registros de la empresa (ERP). Importes en euros.</t>
  </si>
  <si>
    <t xml:space="preserve">¿Las aportaciones en efectivo de los socios son un préstamo a la sociedad?</t>
  </si>
  <si>
    <t xml:space="preserve">No</t>
  </si>
  <si>
    <t xml:space="preserve">«No» = aportaciones a fondos propios (cuenta 118), que no son deuda. «Sí» = préstamo de socios. Confirmar con la gestoría cómo están contabilizadas.</t>
  </si>
  <si>
    <t xml:space="preserve">1 · DEUDA FINANCIERA CON ENTIDADES DE CRÉDITO</t>
  </si>
  <si>
    <t xml:space="preserve">Préstamos, pólizas de crédito, leasing o renting financiero</t>
  </si>
  <si>
    <t xml:space="preserve">No hay ninguno registrado en el ERP.</t>
  </si>
  <si>
    <t xml:space="preserve">2 · DEUDA CON SOCIOS</t>
  </si>
  <si>
    <t xml:space="preserve">Gastos de la sociedad pagados por los socios, pendientes de reembolso</t>
  </si>
  <si>
    <t xml:space="preserve">Detalle en la hoja «Deuda socios (detalle)». Sin intereses ni vencimiento pactado.</t>
  </si>
  <si>
    <t xml:space="preserve">   · Pedro Domecq</t>
  </si>
  <si>
    <t xml:space="preserve">   · Nicolás Bustamante</t>
  </si>
  <si>
    <t xml:space="preserve">   · Domingo de Guzmán</t>
  </si>
  <si>
    <t xml:space="preserve">   · de los cuales, cuotas de autónomo del socio asumidas por la sociedad</t>
  </si>
  <si>
    <t xml:space="preserve">Confirmar con la gestoría su tratamiento.</t>
  </si>
  <si>
    <t xml:space="preserve">Aportaciones en efectivo de los socios (si se tratan como préstamo)</t>
  </si>
  <si>
    <t xml:space="preserve">Con «No» en B4 cuentan como fondos propios y no suman aquí.</t>
  </si>
  <si>
    <t xml:space="preserve">TOTAL DEUDA CON SOCIOS</t>
  </si>
  <si>
    <t xml:space="preserve">3 · PROVEEDORES Y ACREEDORES COMERCIALES</t>
  </si>
  <si>
    <t xml:space="preserve">Facturas recibidas pendientes de pago</t>
  </si>
  <si>
    <t xml:space="preserve">Alquiler de octubre, luz y agua del arrendador (30/09).</t>
  </si>
  <si>
    <t xml:space="preserve">4 · ADMINISTRACIONES PÚBLICAS</t>
  </si>
  <si>
    <t xml:space="preserve">Retenciones de IRPF del alquiler pendientes de ingresar (modelo 115, estimado)</t>
  </si>
  <si>
    <t xml:space="preserve">199,50 € del 3T, a ingresar hasta el 20/10/2026; el resto, de las facturas del 30/09, va al 4T. IVA con saldo a favor; sin deuda con la Seguridad Social.</t>
  </si>
  <si>
    <t xml:space="preserve">DEUDA TOTAL</t>
  </si>
  <si>
    <t xml:space="preserve">   · de la cual, con socios</t>
  </si>
  <si>
    <t xml:space="preserve">   · de la cual, con terceros</t>
  </si>
  <si>
    <t xml:space="preserve">PARA REFERENCIA — FINANCIACIÓN APORTADA POR LOS SOCIOS</t>
  </si>
  <si>
    <t xml:space="preserve">Aportaciones en efectivo a la cuenta de la sociedad</t>
  </si>
  <si>
    <t xml:space="preserve">Hoja «Aportaciones socios».</t>
  </si>
  <si>
    <t xml:space="preserve">Gastos pagados directamente por los socios</t>
  </si>
  <si>
    <t xml:space="preserve">TOTAL FINANCIADO POR LOS SOCIOS</t>
  </si>
  <si>
    <t xml:space="preserve">Entre la deuda con socios y las aportaciones, los socios han financiado toda la actividad hasta hoy.</t>
  </si>
  <si>
    <t xml:space="preserve">Hojas: Deuda socios (detalle) · Aportaciones socios · Proveedores y Hacienda. No incluye el capital social escriturado.</t>
  </si>
  <si>
    <t xml:space="preserve">Rootflow Hydroponics — Gastos de la sociedad pagados por los socios</t>
  </si>
  <si>
    <t xml:space="preserve">Pendientes de reembolso a 07/10/2026: el ERP no registra ningún reembolso. Importes pagados, IVA incluido. Los gastos de constitución y alquiler que se repartieron a partes iguales figuran a nombre de los tres socios.</t>
  </si>
  <si>
    <t xml:space="preserve">Fecha</t>
  </si>
  <si>
    <t xml:space="preserve">Concepto</t>
  </si>
  <si>
    <t xml:space="preserve">Tipo</t>
  </si>
  <si>
    <t xml:space="preserve">Pagado por</t>
  </si>
  <si>
    <t xml:space="preserve">Justificante</t>
  </si>
  <si>
    <t xml:space="preserve">Importe</t>
  </si>
  <si>
    <t xml:space="preserve">Pedro Domecq</t>
  </si>
  <si>
    <t xml:space="preserve">Nicolás Bustamante</t>
  </si>
  <si>
    <t xml:space="preserve">Domingo de Guzmán</t>
  </si>
  <si>
    <t xml:space="preserve">IONOS (web y dominio)</t>
  </si>
  <si>
    <t xml:space="preserve">Software y web</t>
  </si>
  <si>
    <t xml:space="preserve">Factura o ticket</t>
  </si>
  <si>
    <t xml:space="preserve">Alquiler del local, abril</t>
  </si>
  <si>
    <t xml:space="preserve">Constitución y local</t>
  </si>
  <si>
    <t xml:space="preserve">Pedro Domecq (repartido entre los tres)</t>
  </si>
  <si>
    <t xml:space="preserve">Medidor de temperatura y humedad</t>
  </si>
  <si>
    <t xml:space="preserve">Equipamiento y material</t>
  </si>
  <si>
    <t xml:space="preserve">Bandejas leroy merlin</t>
  </si>
  <si>
    <t xml:space="preserve">Notaría (constitución de la sociedad)</t>
  </si>
  <si>
    <t xml:space="preserve">Cables (ferretería)</t>
  </si>
  <si>
    <t xml:space="preserve">Pegamento (ferretería)</t>
  </si>
  <si>
    <t xml:space="preserve">Anthropic (Claude)</t>
  </si>
  <si>
    <t xml:space="preserve">Tarjetas de visita</t>
  </si>
  <si>
    <t xml:space="preserve">Mesa, sillas, enchufes</t>
  </si>
  <si>
    <t xml:space="preserve">Productos de limpieza</t>
  </si>
  <si>
    <t xml:space="preserve">Candado y utensilios de siembra</t>
  </si>
  <si>
    <t xml:space="preserve">Temporizador enchufe</t>
  </si>
  <si>
    <t xml:space="preserve">Inkbird</t>
  </si>
  <si>
    <t xml:space="preserve">Calentador Cable</t>
  </si>
  <si>
    <t xml:space="preserve">Plástico de invernadero</t>
  </si>
  <si>
    <t xml:space="preserve">Manguera</t>
  </si>
  <si>
    <t xml:space="preserve">Pistola Manguera</t>
  </si>
  <si>
    <t xml:space="preserve">Cubo</t>
  </si>
  <si>
    <t xml:space="preserve">Sin factura (compra a particular o plataforma)</t>
  </si>
  <si>
    <t xml:space="preserve">Luces LED</t>
  </si>
  <si>
    <t xml:space="preserve">Báscula</t>
  </si>
  <si>
    <t xml:space="preserve">Tarrinas 150cc 250cc</t>
  </si>
  <si>
    <t xml:space="preserve">Consumibles de producción</t>
  </si>
  <si>
    <t xml:space="preserve">Anthropic (Claude), desarrollo del ERP</t>
  </si>
  <si>
    <t xml:space="preserve">Bandejas de inundación</t>
  </si>
  <si>
    <t xml:space="preserve">Calzado de trabajo</t>
  </si>
  <si>
    <t xml:space="preserve">Estanteria, sustrato</t>
  </si>
  <si>
    <t xml:space="preserve">Tuberias estanteria</t>
  </si>
  <si>
    <t xml:space="preserve">Tubos estanteria</t>
  </si>
  <si>
    <t xml:space="preserve">Tijera cortatubos y bomba agua</t>
  </si>
  <si>
    <t xml:space="preserve">Sustrato</t>
  </si>
  <si>
    <t xml:space="preserve">Impresora etiquetas</t>
  </si>
  <si>
    <t xml:space="preserve">Cuota de autónomo del socio</t>
  </si>
  <si>
    <t xml:space="preserve">Alquiler del local, mayo</t>
  </si>
  <si>
    <t xml:space="preserve">MD Labels Etiquetas térmicas</t>
  </si>
  <si>
    <t xml:space="preserve">Honorarios de la inmobiliaria (alquiler del local)</t>
  </si>
  <si>
    <t xml:space="preserve">Cable USB impresora</t>
  </si>
  <si>
    <t xml:space="preserve">Cartucho impresora</t>
  </si>
  <si>
    <t xml:space="preserve">Cajas verdes plegables</t>
  </si>
  <si>
    <t xml:space="preserve">Registro de la propiedad - certificado</t>
  </si>
  <si>
    <t xml:space="preserve">Teléfono móvil de empresa</t>
  </si>
  <si>
    <t xml:space="preserve">Máquina cortadora</t>
  </si>
  <si>
    <t xml:space="preserve">Muestra de envases</t>
  </si>
  <si>
    <t xml:space="preserve">Bidón</t>
  </si>
  <si>
    <t xml:space="preserve">Estanterias y tubos</t>
  </si>
  <si>
    <t xml:space="preserve">Buzon y empalme</t>
  </si>
  <si>
    <t xml:space="preserve">Cuba</t>
  </si>
  <si>
    <t xml:space="preserve">Nevera</t>
  </si>
  <si>
    <t xml:space="preserve">Bomba y tubos</t>
  </si>
  <si>
    <t xml:space="preserve">Combustible del reparto a clientes</t>
  </si>
  <si>
    <t xml:space="preserve">Reparto</t>
  </si>
  <si>
    <t xml:space="preserve">TOTAL PENDIENTE DE REEMBOLSO</t>
  </si>
  <si>
    <t xml:space="preserve">Comprobación: reparto = total (debe ser 0)</t>
  </si>
  <si>
    <t xml:space="preserve">Rootflow Hydroponics — Aportaciones en efectivo de los socios</t>
  </si>
  <si>
    <t xml:space="preserve">Transferencias de los socios a la cuenta de la sociedad, según el ERP a 07/10/2026. Su tratamiento (fondos propios o préstamo) se elige en la hoja Resumen.</t>
  </si>
  <si>
    <t xml:space="preserve">Socio</t>
  </si>
  <si>
    <t xml:space="preserve">Concepto (ERP)</t>
  </si>
  <si>
    <t xml:space="preserve">Para pagar el alquiler</t>
  </si>
  <si>
    <t xml:space="preserve">Para pagar impuestos</t>
  </si>
  <si>
    <t xml:space="preserve">Pago del alquiler de septiembre</t>
  </si>
  <si>
    <t xml:space="preserve">Aportación de socios a fondos propios</t>
  </si>
  <si>
    <t xml:space="preserve">TOTAL</t>
  </si>
  <si>
    <t xml:space="preserve">Rootflow Hydroponics — Facturas pendientes de pago y obligaciones con Hacienda</t>
  </si>
  <si>
    <t xml:space="preserve">Según el ERP a 07/10/2026. Las retenciones son una estimación a partir de las facturas del arrendador: confirmar con la gestoría.</t>
  </si>
  <si>
    <t xml:space="preserve">Acreedor</t>
  </si>
  <si>
    <t xml:space="preserve">Vencimiento</t>
  </si>
  <si>
    <t xml:space="preserve">Nota</t>
  </si>
  <si>
    <t xml:space="preserve">Bellbro Renting and Development, S.L.</t>
  </si>
  <si>
    <t xml:space="preserve">Alquiler del local, octubre 2026</t>
  </si>
  <si>
    <t xml:space="preserve">525,00 € + IVA − retención IRPF</t>
  </si>
  <si>
    <t xml:space="preserve">Luz repercutida, 15/07 a 15/09/2026</t>
  </si>
  <si>
    <t xml:space="preserve">134,82 € + IVA − retención IRPF</t>
  </si>
  <si>
    <t xml:space="preserve">Agua, 10/07 a 08/09/2026</t>
  </si>
  <si>
    <t xml:space="preserve">Total facturas de proveedores pendientes de pago</t>
  </si>
  <si>
    <t xml:space="preserve">Vencimiento: primeros días del mes (pago domiciliado habitual).</t>
  </si>
  <si>
    <t xml:space="preserve">HACIENDA — retenciones de IRPF del alquiler (modelo 115) pendientes de ingresar</t>
  </si>
  <si>
    <t xml:space="preserve">Fecha factura</t>
  </si>
  <si>
    <t xml:space="preserve">Arrendador</t>
  </si>
  <si>
    <t xml:space="preserve">Factura</t>
  </si>
  <si>
    <t xml:space="preserve">Retención 19 %</t>
  </si>
  <si>
    <t xml:space="preserve">A ingresar hasta</t>
  </si>
  <si>
    <t xml:space="preserve">Alquiler agosto</t>
  </si>
  <si>
    <t xml:space="preserve">3T: alquiler pagado en el trimestre.</t>
  </si>
  <si>
    <t xml:space="preserve">Alquiler septiembre</t>
  </si>
  <si>
    <t xml:space="preserve">Alquiler octubre</t>
  </si>
  <si>
    <t xml:space="preserve">4T: factura del 30/09 aún sin pagar; la retención se ingresa al pagarla.</t>
  </si>
  <si>
    <t xml:space="preserve">Luz repercutida 15/07–15/09</t>
  </si>
  <si>
    <t xml:space="preserve">Total retenciones pendientes de ingresar (estimado)</t>
  </si>
  <si>
    <t xml:space="preserve">IVA: en 2026 el IVA soportado (21 % en compras y alquiler) supera al repercutido (4 % en ventas), así que la sociedad tiene saldo a compensar o devolver, no deuda. Impuesto sobre Sociedades: sin cuota (pérdidas). Seguridad Social: la sociedad no tiene empleados.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</si>
</sst>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(#,##0.00&quot; €)&quot;;\-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4F3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D4F37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2EA"/>
        <bgColor rgb="FFFFFFFF"/>
      </patternFill>
    </fill>
    <fill>
      <patternFill patternType="solid">
        <fgColor rgb="FF1D4F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D4F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4F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4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5" t="s">
        <v>4</v>
      </c>
    </row>
    <row r="6" customFormat="false" ht="15" hidden="false" customHeight="false" outlineLevel="0" collapsed="false">
      <c r="A6" s="6" t="s">
        <v>5</v>
      </c>
    </row>
    <row r="7" customFormat="false" ht="15" hidden="false" customHeight="false" outlineLevel="0" collapsed="false">
      <c r="A7" s="7" t="s">
        <v>6</v>
      </c>
      <c r="B7" s="8" t="n">
        <v>0</v>
      </c>
      <c r="C7" s="5" t="s">
        <v>7</v>
      </c>
    </row>
    <row r="9" customFormat="false" ht="15" hidden="false" customHeight="false" outlineLevel="0" collapsed="false">
      <c r="A9" s="6" t="s">
        <v>8</v>
      </c>
    </row>
    <row r="10" customFormat="false" ht="15" hidden="false" customHeight="false" outlineLevel="0" collapsed="false">
      <c r="A10" s="7" t="s">
        <v>9</v>
      </c>
      <c r="B10" s="9" t="n">
        <f aca="false">'Deuda socios (detalle)'!$F$82</f>
        <v>5934.45</v>
      </c>
      <c r="C10" s="5" t="s">
        <v>10</v>
      </c>
    </row>
    <row r="11" customFormat="false" ht="15" hidden="false" customHeight="false" outlineLevel="0" collapsed="false">
      <c r="A11" s="7" t="s">
        <v>11</v>
      </c>
      <c r="B11" s="9" t="n">
        <f aca="false">'Deuda socios (detalle)'!$G$82</f>
        <v>1132.31</v>
      </c>
    </row>
    <row r="12" customFormat="false" ht="15" hidden="false" customHeight="false" outlineLevel="0" collapsed="false">
      <c r="A12" s="7" t="s">
        <v>12</v>
      </c>
      <c r="B12" s="9" t="n">
        <f aca="false">'Deuda socios (detalle)'!$H$82</f>
        <v>3548.06</v>
      </c>
    </row>
    <row r="13" customFormat="false" ht="15" hidden="false" customHeight="false" outlineLevel="0" collapsed="false">
      <c r="A13" s="7" t="s">
        <v>13</v>
      </c>
      <c r="B13" s="9" t="n">
        <f aca="false">'Deuda socios (detalle)'!$I$82</f>
        <v>1254.08</v>
      </c>
    </row>
    <row r="14" customFormat="false" ht="15" hidden="false" customHeight="false" outlineLevel="0" collapsed="false">
      <c r="A14" s="7" t="s">
        <v>14</v>
      </c>
      <c r="B14" s="9" t="n">
        <f aca="false">SUMIFS('Deuda socios (detalle)'!$F$5:$F$81,'Deuda socios (detalle)'!$C$5:$C$81,"Cuota de autónomo del socio")</f>
        <v>445.75</v>
      </c>
      <c r="C14" s="5" t="s">
        <v>15</v>
      </c>
    </row>
    <row r="15" customFormat="false" ht="15" hidden="false" customHeight="false" outlineLevel="0" collapsed="false">
      <c r="A15" s="7" t="s">
        <v>16</v>
      </c>
      <c r="B15" s="9" t="n">
        <f aca="false">IF($B$4="Sí",'Aportaciones socios'!$C$23,0)</f>
        <v>0</v>
      </c>
      <c r="C15" s="5" t="s">
        <v>17</v>
      </c>
    </row>
    <row r="16" customFormat="false" ht="15" hidden="false" customHeight="false" outlineLevel="0" collapsed="false">
      <c r="A16" s="10" t="s">
        <v>18</v>
      </c>
      <c r="B16" s="11" t="n">
        <f aca="false">B10+B15</f>
        <v>5934.45</v>
      </c>
    </row>
    <row r="18" customFormat="false" ht="15" hidden="false" customHeight="false" outlineLevel="0" collapsed="false">
      <c r="A18" s="6" t="s">
        <v>19</v>
      </c>
    </row>
    <row r="19" customFormat="false" ht="15" hidden="false" customHeight="false" outlineLevel="0" collapsed="false">
      <c r="A19" s="7" t="s">
        <v>20</v>
      </c>
      <c r="B19" s="9" t="n">
        <f aca="false">'Proveedores y Hacienda'!$D$8</f>
        <v>703.72</v>
      </c>
      <c r="C19" s="5" t="s">
        <v>21</v>
      </c>
    </row>
    <row r="21" customFormat="false" ht="15" hidden="false" customHeight="false" outlineLevel="0" collapsed="false">
      <c r="A21" s="6" t="s">
        <v>22</v>
      </c>
    </row>
    <row r="22" customFormat="false" ht="30" hidden="false" customHeight="true" outlineLevel="0" collapsed="false">
      <c r="A22" s="7" t="s">
        <v>23</v>
      </c>
      <c r="B22" s="9" t="n">
        <f aca="false">'Proveedores y Hacienda'!$D$17</f>
        <v>324.87</v>
      </c>
      <c r="C22" s="5" t="s">
        <v>24</v>
      </c>
    </row>
    <row r="24" customFormat="false" ht="15" hidden="false" customHeight="false" outlineLevel="0" collapsed="false">
      <c r="A24" s="12" t="s">
        <v>25</v>
      </c>
      <c r="B24" s="13" t="n">
        <f aca="false">B7+B16+B19+B22</f>
        <v>6963.04</v>
      </c>
    </row>
    <row r="25" customFormat="false" ht="15" hidden="false" customHeight="false" outlineLevel="0" collapsed="false">
      <c r="A25" s="7" t="s">
        <v>26</v>
      </c>
      <c r="B25" s="9" t="n">
        <f aca="false">B16</f>
        <v>5934.45</v>
      </c>
    </row>
    <row r="26" customFormat="false" ht="15" hidden="false" customHeight="false" outlineLevel="0" collapsed="false">
      <c r="A26" s="7" t="s">
        <v>27</v>
      </c>
      <c r="B26" s="9" t="n">
        <f aca="false">B7+B19+B22</f>
        <v>1028.59</v>
      </c>
    </row>
    <row r="28" customFormat="false" ht="15" hidden="false" customHeight="false" outlineLevel="0" collapsed="false">
      <c r="A28" s="6" t="s">
        <v>28</v>
      </c>
    </row>
    <row r="29" customFormat="false" ht="15" hidden="false" customHeight="false" outlineLevel="0" collapsed="false">
      <c r="A29" s="7" t="s">
        <v>29</v>
      </c>
      <c r="B29" s="9" t="n">
        <f aca="false">'Aportaciones socios'!$C$23</f>
        <v>6526</v>
      </c>
      <c r="C29" s="5" t="s">
        <v>30</v>
      </c>
    </row>
    <row r="30" customFormat="false" ht="15" hidden="false" customHeight="false" outlineLevel="0" collapsed="false">
      <c r="A30" s="7" t="s">
        <v>11</v>
      </c>
      <c r="B30" s="9" t="n">
        <f aca="false">'Aportaciones socios'!$C$25</f>
        <v>2776</v>
      </c>
    </row>
    <row r="31" customFormat="false" ht="15" hidden="false" customHeight="false" outlineLevel="0" collapsed="false">
      <c r="A31" s="7" t="s">
        <v>12</v>
      </c>
      <c r="B31" s="9" t="n">
        <f aca="false">'Aportaciones socios'!$C$26</f>
        <v>1400</v>
      </c>
    </row>
    <row r="32" customFormat="false" ht="15" hidden="false" customHeight="false" outlineLevel="0" collapsed="false">
      <c r="A32" s="7" t="s">
        <v>13</v>
      </c>
      <c r="B32" s="9" t="n">
        <f aca="false">'Aportaciones socios'!$C$27</f>
        <v>2350</v>
      </c>
    </row>
    <row r="33" customFormat="false" ht="15" hidden="false" customHeight="false" outlineLevel="0" collapsed="false">
      <c r="A33" s="7" t="s">
        <v>31</v>
      </c>
      <c r="B33" s="9" t="n">
        <f aca="false">B10</f>
        <v>5934.45</v>
      </c>
    </row>
    <row r="34" customFormat="false" ht="15" hidden="false" customHeight="false" outlineLevel="0" collapsed="false">
      <c r="A34" s="10" t="s">
        <v>32</v>
      </c>
      <c r="B34" s="11" t="n">
        <f aca="false">B29+B33</f>
        <v>12460.45</v>
      </c>
      <c r="C34" s="5" t="s">
        <v>33</v>
      </c>
    </row>
    <row r="36" customFormat="false" ht="15" hidden="false" customHeight="false" outlineLevel="0" collapsed="false">
      <c r="A36" s="2" t="s">
        <v>34</v>
      </c>
    </row>
  </sheetData>
  <dataValidations count="1">
    <dataValidation allowBlank="false" errorStyle="stop" operator="between" showDropDown="false" showErrorMessage="false" showInputMessage="false" sqref="B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9" min="7" style="0" width="15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0" hidden="false" customHeight="true" outlineLevel="0" collapsed="false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</row>
    <row r="5" customFormat="false" ht="15" hidden="false" customHeight="false" outlineLevel="0" collapsed="false">
      <c r="A5" s="15" t="n">
        <v>46021</v>
      </c>
      <c r="B5" s="16" t="s">
        <v>46</v>
      </c>
      <c r="C5" s="16" t="s">
        <v>47</v>
      </c>
      <c r="D5" s="16" t="s">
        <v>43</v>
      </c>
      <c r="E5" s="16" t="s">
        <v>48</v>
      </c>
      <c r="F5" s="17" t="n">
        <v>1.21</v>
      </c>
      <c r="G5" s="18" t="n">
        <f aca="false">IF($D5="Pedro Domecq",$F5,0)</f>
        <v>1.21</v>
      </c>
      <c r="H5" s="18" t="n">
        <f aca="false">IF($D5="Nicolás Bustamante",$F5,0)</f>
        <v>0</v>
      </c>
      <c r="I5" s="18" t="n">
        <f aca="false">IF($D5="Domingo de Guzmán",$F5,0)</f>
        <v>0</v>
      </c>
    </row>
    <row r="6" customFormat="false" ht="15" hidden="false" customHeight="false" outlineLevel="0" collapsed="false">
      <c r="A6" s="15" t="n">
        <v>46052</v>
      </c>
      <c r="B6" s="16" t="s">
        <v>46</v>
      </c>
      <c r="C6" s="16" t="s">
        <v>47</v>
      </c>
      <c r="D6" s="16" t="s">
        <v>43</v>
      </c>
      <c r="E6" s="16" t="s">
        <v>48</v>
      </c>
      <c r="F6" s="17" t="n">
        <v>1.21</v>
      </c>
      <c r="G6" s="18" t="n">
        <f aca="false">IF($D6="Pedro Domecq",$F6,0)</f>
        <v>1.21</v>
      </c>
      <c r="H6" s="18" t="n">
        <f aca="false">IF($D6="Nicolás Bustamante",$F6,0)</f>
        <v>0</v>
      </c>
      <c r="I6" s="18" t="n">
        <f aca="false">IF($D6="Domingo de Guzmán",$F6,0)</f>
        <v>0</v>
      </c>
    </row>
    <row r="7" customFormat="false" ht="15" hidden="false" customHeight="false" outlineLevel="0" collapsed="false">
      <c r="A7" s="15" t="n">
        <v>46082</v>
      </c>
      <c r="B7" s="16" t="s">
        <v>46</v>
      </c>
      <c r="C7" s="16" t="s">
        <v>47</v>
      </c>
      <c r="D7" s="16" t="s">
        <v>43</v>
      </c>
      <c r="E7" s="16" t="s">
        <v>48</v>
      </c>
      <c r="F7" s="17" t="n">
        <v>1.21</v>
      </c>
      <c r="G7" s="18" t="n">
        <f aca="false">IF($D7="Pedro Domecq",$F7,0)</f>
        <v>1.21</v>
      </c>
      <c r="H7" s="18" t="n">
        <f aca="false">IF($D7="Nicolás Bustamante",$F7,0)</f>
        <v>0</v>
      </c>
      <c r="I7" s="18" t="n">
        <f aca="false">IF($D7="Domingo de Guzmán",$F7,0)</f>
        <v>0</v>
      </c>
    </row>
    <row r="8" customFormat="false" ht="15" hidden="false" customHeight="false" outlineLevel="0" collapsed="false">
      <c r="A8" s="15" t="n">
        <v>46087</v>
      </c>
      <c r="B8" s="16" t="s">
        <v>49</v>
      </c>
      <c r="C8" s="16" t="s">
        <v>50</v>
      </c>
      <c r="D8" s="16" t="s">
        <v>51</v>
      </c>
      <c r="E8" s="16" t="s">
        <v>48</v>
      </c>
      <c r="F8" s="17" t="n">
        <v>535.5</v>
      </c>
      <c r="G8" s="17" t="n">
        <v>178.5</v>
      </c>
      <c r="H8" s="17" t="n">
        <v>178.5</v>
      </c>
      <c r="I8" s="17" t="n">
        <v>178.5</v>
      </c>
    </row>
    <row r="9" customFormat="false" ht="15" hidden="false" customHeight="false" outlineLevel="0" collapsed="false">
      <c r="A9" s="15" t="n">
        <v>46095</v>
      </c>
      <c r="B9" s="16" t="s">
        <v>52</v>
      </c>
      <c r="C9" s="16" t="s">
        <v>53</v>
      </c>
      <c r="D9" s="16" t="s">
        <v>45</v>
      </c>
      <c r="E9" s="16" t="s">
        <v>48</v>
      </c>
      <c r="F9" s="17" t="n">
        <v>21.99</v>
      </c>
      <c r="G9" s="18" t="n">
        <f aca="false">IF($D9="Pedro Domecq",$F9,0)</f>
        <v>0</v>
      </c>
      <c r="H9" s="18" t="n">
        <f aca="false">IF($D9="Nicolás Bustamante",$F9,0)</f>
        <v>0</v>
      </c>
      <c r="I9" s="18" t="n">
        <f aca="false">IF($D9="Domingo de Guzmán",$F9,0)</f>
        <v>21.99</v>
      </c>
    </row>
    <row r="10" customFormat="false" ht="15" hidden="false" customHeight="false" outlineLevel="0" collapsed="false">
      <c r="A10" s="15" t="n">
        <v>46096</v>
      </c>
      <c r="B10" s="16" t="s">
        <v>54</v>
      </c>
      <c r="C10" s="16" t="s">
        <v>53</v>
      </c>
      <c r="D10" s="16" t="s">
        <v>45</v>
      </c>
      <c r="E10" s="16" t="s">
        <v>48</v>
      </c>
      <c r="F10" s="17" t="n">
        <v>34.86</v>
      </c>
      <c r="G10" s="18" t="n">
        <f aca="false">IF($D10="Pedro Domecq",$F10,0)</f>
        <v>0</v>
      </c>
      <c r="H10" s="18" t="n">
        <f aca="false">IF($D10="Nicolás Bustamante",$F10,0)</f>
        <v>0</v>
      </c>
      <c r="I10" s="18" t="n">
        <f aca="false">IF($D10="Domingo de Guzmán",$F10,0)</f>
        <v>34.86</v>
      </c>
    </row>
    <row r="11" customFormat="false" ht="15" hidden="false" customHeight="false" outlineLevel="0" collapsed="false">
      <c r="A11" s="15" t="n">
        <v>46100</v>
      </c>
      <c r="B11" s="16" t="s">
        <v>55</v>
      </c>
      <c r="C11" s="16" t="s">
        <v>50</v>
      </c>
      <c r="D11" s="16" t="s">
        <v>51</v>
      </c>
      <c r="E11" s="16" t="s">
        <v>48</v>
      </c>
      <c r="F11" s="17" t="n">
        <v>181.5</v>
      </c>
      <c r="G11" s="17" t="n">
        <v>60.5</v>
      </c>
      <c r="H11" s="17" t="n">
        <v>60.5</v>
      </c>
      <c r="I11" s="17" t="n">
        <v>60.5</v>
      </c>
    </row>
    <row r="12" customFormat="false" ht="15" hidden="false" customHeight="false" outlineLevel="0" collapsed="false">
      <c r="A12" s="15" t="n">
        <v>46100</v>
      </c>
      <c r="B12" s="16" t="s">
        <v>55</v>
      </c>
      <c r="C12" s="16" t="s">
        <v>50</v>
      </c>
      <c r="D12" s="16" t="s">
        <v>51</v>
      </c>
      <c r="E12" s="16" t="s">
        <v>48</v>
      </c>
      <c r="F12" s="17" t="n">
        <v>504.4</v>
      </c>
      <c r="G12" s="17" t="n">
        <v>168.13</v>
      </c>
      <c r="H12" s="17" t="n">
        <v>168.13</v>
      </c>
      <c r="I12" s="17" t="n">
        <v>168.14</v>
      </c>
    </row>
    <row r="13" customFormat="false" ht="15" hidden="false" customHeight="false" outlineLevel="0" collapsed="false">
      <c r="A13" s="15" t="n">
        <v>46100</v>
      </c>
      <c r="B13" s="16" t="s">
        <v>55</v>
      </c>
      <c r="C13" s="16" t="s">
        <v>50</v>
      </c>
      <c r="D13" s="16" t="s">
        <v>51</v>
      </c>
      <c r="E13" s="16" t="s">
        <v>48</v>
      </c>
      <c r="F13" s="17" t="n">
        <v>98.75</v>
      </c>
      <c r="G13" s="17" t="n">
        <v>32.91</v>
      </c>
      <c r="H13" s="17" t="n">
        <v>32.91</v>
      </c>
      <c r="I13" s="17" t="n">
        <v>32.93</v>
      </c>
    </row>
    <row r="14" customFormat="false" ht="15" hidden="false" customHeight="false" outlineLevel="0" collapsed="false">
      <c r="A14" s="15" t="n">
        <v>46100</v>
      </c>
      <c r="B14" s="16" t="s">
        <v>55</v>
      </c>
      <c r="C14" s="16" t="s">
        <v>50</v>
      </c>
      <c r="D14" s="16" t="s">
        <v>51</v>
      </c>
      <c r="E14" s="16" t="s">
        <v>48</v>
      </c>
      <c r="F14" s="17" t="n">
        <v>60.83</v>
      </c>
      <c r="G14" s="17" t="n">
        <v>20.27</v>
      </c>
      <c r="H14" s="17" t="n">
        <v>20.27</v>
      </c>
      <c r="I14" s="17" t="n">
        <v>20.29</v>
      </c>
    </row>
    <row r="15" customFormat="false" ht="15" hidden="false" customHeight="false" outlineLevel="0" collapsed="false">
      <c r="A15" s="15" t="n">
        <v>46100</v>
      </c>
      <c r="B15" s="16" t="s">
        <v>55</v>
      </c>
      <c r="C15" s="16" t="s">
        <v>50</v>
      </c>
      <c r="D15" s="16" t="s">
        <v>51</v>
      </c>
      <c r="E15" s="16" t="s">
        <v>48</v>
      </c>
      <c r="F15" s="17" t="n">
        <v>65.34</v>
      </c>
      <c r="G15" s="17" t="n">
        <v>21.78</v>
      </c>
      <c r="H15" s="17" t="n">
        <v>21.78</v>
      </c>
      <c r="I15" s="17" t="n">
        <v>21.78</v>
      </c>
    </row>
    <row r="16" customFormat="false" ht="15" hidden="false" customHeight="false" outlineLevel="0" collapsed="false">
      <c r="A16" s="15" t="n">
        <v>46108</v>
      </c>
      <c r="B16" s="16" t="s">
        <v>56</v>
      </c>
      <c r="C16" s="16" t="s">
        <v>53</v>
      </c>
      <c r="D16" s="16" t="s">
        <v>45</v>
      </c>
      <c r="E16" s="16" t="s">
        <v>48</v>
      </c>
      <c r="F16" s="17" t="n">
        <v>16.3</v>
      </c>
      <c r="G16" s="18" t="n">
        <f aca="false">IF($D16="Pedro Domecq",$F16,0)</f>
        <v>0</v>
      </c>
      <c r="H16" s="18" t="n">
        <f aca="false">IF($D16="Nicolás Bustamante",$F16,0)</f>
        <v>0</v>
      </c>
      <c r="I16" s="18" t="n">
        <f aca="false">IF($D16="Domingo de Guzmán",$F16,0)</f>
        <v>16.3</v>
      </c>
    </row>
    <row r="17" customFormat="false" ht="15" hidden="false" customHeight="false" outlineLevel="0" collapsed="false">
      <c r="A17" s="15" t="n">
        <v>46111</v>
      </c>
      <c r="B17" s="16" t="s">
        <v>57</v>
      </c>
      <c r="C17" s="16" t="s">
        <v>53</v>
      </c>
      <c r="D17" s="16" t="s">
        <v>45</v>
      </c>
      <c r="E17" s="16" t="s">
        <v>48</v>
      </c>
      <c r="F17" s="17" t="n">
        <v>15.6</v>
      </c>
      <c r="G17" s="18" t="n">
        <f aca="false">IF($D17="Pedro Domecq",$F17,0)</f>
        <v>0</v>
      </c>
      <c r="H17" s="18" t="n">
        <f aca="false">IF($D17="Nicolás Bustamante",$F17,0)</f>
        <v>0</v>
      </c>
      <c r="I17" s="18" t="n">
        <f aca="false">IF($D17="Domingo de Guzmán",$F17,0)</f>
        <v>15.6</v>
      </c>
    </row>
    <row r="18" customFormat="false" ht="15" hidden="false" customHeight="false" outlineLevel="0" collapsed="false">
      <c r="A18" s="15" t="n">
        <v>46119</v>
      </c>
      <c r="B18" s="16" t="s">
        <v>58</v>
      </c>
      <c r="C18" s="16" t="s">
        <v>47</v>
      </c>
      <c r="D18" s="16" t="s">
        <v>43</v>
      </c>
      <c r="E18" s="16" t="s">
        <v>48</v>
      </c>
      <c r="F18" s="17" t="n">
        <v>18</v>
      </c>
      <c r="G18" s="18" t="n">
        <f aca="false">IF($D18="Pedro Domecq",$F18,0)</f>
        <v>18</v>
      </c>
      <c r="H18" s="18" t="n">
        <f aca="false">IF($D18="Nicolás Bustamante",$F18,0)</f>
        <v>0</v>
      </c>
      <c r="I18" s="18" t="n">
        <f aca="false">IF($D18="Domingo de Guzmán",$F18,0)</f>
        <v>0</v>
      </c>
    </row>
    <row r="19" customFormat="false" ht="15" hidden="false" customHeight="false" outlineLevel="0" collapsed="false">
      <c r="A19" s="15" t="n">
        <v>46119</v>
      </c>
      <c r="B19" s="16" t="s">
        <v>59</v>
      </c>
      <c r="C19" s="16" t="s">
        <v>53</v>
      </c>
      <c r="D19" s="16" t="s">
        <v>43</v>
      </c>
      <c r="E19" s="16" t="s">
        <v>48</v>
      </c>
      <c r="F19" s="17" t="n">
        <v>104.96</v>
      </c>
      <c r="G19" s="18" t="n">
        <f aca="false">IF($D19="Pedro Domecq",$F19,0)</f>
        <v>104.96</v>
      </c>
      <c r="H19" s="18" t="n">
        <f aca="false">IF($D19="Nicolás Bustamante",$F19,0)</f>
        <v>0</v>
      </c>
      <c r="I19" s="18" t="n">
        <f aca="false">IF($D19="Domingo de Guzmán",$F19,0)</f>
        <v>0</v>
      </c>
    </row>
    <row r="20" customFormat="false" ht="15" hidden="false" customHeight="false" outlineLevel="0" collapsed="false">
      <c r="A20" s="15" t="n">
        <v>46120</v>
      </c>
      <c r="B20" s="16" t="s">
        <v>58</v>
      </c>
      <c r="C20" s="16" t="s">
        <v>47</v>
      </c>
      <c r="D20" s="16" t="s">
        <v>43</v>
      </c>
      <c r="E20" s="16" t="s">
        <v>48</v>
      </c>
      <c r="F20" s="17" t="n">
        <v>5</v>
      </c>
      <c r="G20" s="18" t="n">
        <f aca="false">IF($D20="Pedro Domecq",$F20,0)</f>
        <v>5</v>
      </c>
      <c r="H20" s="18" t="n">
        <f aca="false">IF($D20="Nicolás Bustamante",$F20,0)</f>
        <v>0</v>
      </c>
      <c r="I20" s="18" t="n">
        <f aca="false">IF($D20="Domingo de Guzmán",$F20,0)</f>
        <v>0</v>
      </c>
    </row>
    <row r="21" customFormat="false" ht="15" hidden="false" customHeight="false" outlineLevel="0" collapsed="false">
      <c r="A21" s="15" t="n">
        <v>46121</v>
      </c>
      <c r="B21" s="16" t="s">
        <v>58</v>
      </c>
      <c r="C21" s="16" t="s">
        <v>47</v>
      </c>
      <c r="D21" s="16" t="s">
        <v>43</v>
      </c>
      <c r="E21" s="16" t="s">
        <v>48</v>
      </c>
      <c r="F21" s="17" t="n">
        <v>5</v>
      </c>
      <c r="G21" s="18" t="n">
        <f aca="false">IF($D21="Pedro Domecq",$F21,0)</f>
        <v>5</v>
      </c>
      <c r="H21" s="18" t="n">
        <f aca="false">IF($D21="Nicolás Bustamante",$F21,0)</f>
        <v>0</v>
      </c>
      <c r="I21" s="18" t="n">
        <f aca="false">IF($D21="Domingo de Guzmán",$F21,0)</f>
        <v>0</v>
      </c>
    </row>
    <row r="22" customFormat="false" ht="15" hidden="false" customHeight="false" outlineLevel="0" collapsed="false">
      <c r="A22" s="15" t="n">
        <v>46121</v>
      </c>
      <c r="B22" s="16" t="s">
        <v>60</v>
      </c>
      <c r="C22" s="16" t="s">
        <v>53</v>
      </c>
      <c r="D22" s="16" t="s">
        <v>44</v>
      </c>
      <c r="E22" s="16" t="s">
        <v>48</v>
      </c>
      <c r="F22" s="17" t="n">
        <v>144.95</v>
      </c>
      <c r="G22" s="18" t="n">
        <f aca="false">IF($D22="Pedro Domecq",$F22,0)</f>
        <v>0</v>
      </c>
      <c r="H22" s="18" t="n">
        <f aca="false">IF($D22="Nicolás Bustamante",$F22,0)</f>
        <v>144.95</v>
      </c>
      <c r="I22" s="18" t="n">
        <f aca="false">IF($D22="Domingo de Guzmán",$F22,0)</f>
        <v>0</v>
      </c>
    </row>
    <row r="23" customFormat="false" ht="15" hidden="false" customHeight="false" outlineLevel="0" collapsed="false">
      <c r="A23" s="15" t="n">
        <v>46121</v>
      </c>
      <c r="B23" s="16" t="s">
        <v>61</v>
      </c>
      <c r="C23" s="16" t="s">
        <v>53</v>
      </c>
      <c r="D23" s="16" t="s">
        <v>44</v>
      </c>
      <c r="E23" s="16" t="s">
        <v>48</v>
      </c>
      <c r="F23" s="17" t="n">
        <v>18.93</v>
      </c>
      <c r="G23" s="18" t="n">
        <f aca="false">IF($D23="Pedro Domecq",$F23,0)</f>
        <v>0</v>
      </c>
      <c r="H23" s="18" t="n">
        <f aca="false">IF($D23="Nicolás Bustamante",$F23,0)</f>
        <v>18.93</v>
      </c>
      <c r="I23" s="18" t="n">
        <f aca="false">IF($D23="Domingo de Guzmán",$F23,0)</f>
        <v>0</v>
      </c>
    </row>
    <row r="24" customFormat="false" ht="15" hidden="false" customHeight="false" outlineLevel="0" collapsed="false">
      <c r="A24" s="15" t="n">
        <v>46121</v>
      </c>
      <c r="B24" s="16" t="s">
        <v>62</v>
      </c>
      <c r="C24" s="16" t="s">
        <v>53</v>
      </c>
      <c r="D24" s="16" t="s">
        <v>44</v>
      </c>
      <c r="E24" s="16" t="s">
        <v>48</v>
      </c>
      <c r="F24" s="17" t="n">
        <v>103.88</v>
      </c>
      <c r="G24" s="18" t="n">
        <f aca="false">IF($D24="Pedro Domecq",$F24,0)</f>
        <v>0</v>
      </c>
      <c r="H24" s="18" t="n">
        <f aca="false">IF($D24="Nicolás Bustamante",$F24,0)</f>
        <v>103.88</v>
      </c>
      <c r="I24" s="18" t="n">
        <f aca="false">IF($D24="Domingo de Guzmán",$F24,0)</f>
        <v>0</v>
      </c>
    </row>
    <row r="25" customFormat="false" ht="15" hidden="false" customHeight="false" outlineLevel="0" collapsed="false">
      <c r="A25" s="15" t="n">
        <v>46121</v>
      </c>
      <c r="B25" s="16" t="s">
        <v>63</v>
      </c>
      <c r="C25" s="16" t="s">
        <v>53</v>
      </c>
      <c r="D25" s="16" t="s">
        <v>44</v>
      </c>
      <c r="E25" s="16" t="s">
        <v>48</v>
      </c>
      <c r="F25" s="17" t="n">
        <v>30.48</v>
      </c>
      <c r="G25" s="18" t="n">
        <f aca="false">IF($D25="Pedro Domecq",$F25,0)</f>
        <v>0</v>
      </c>
      <c r="H25" s="18" t="n">
        <f aca="false">IF($D25="Nicolás Bustamante",$F25,0)</f>
        <v>30.48</v>
      </c>
      <c r="I25" s="18" t="n">
        <f aca="false">IF($D25="Domingo de Guzmán",$F25,0)</f>
        <v>0</v>
      </c>
    </row>
    <row r="26" customFormat="false" ht="15" hidden="false" customHeight="false" outlineLevel="0" collapsed="false">
      <c r="A26" s="15" t="n">
        <v>46121</v>
      </c>
      <c r="B26" s="16" t="s">
        <v>64</v>
      </c>
      <c r="C26" s="16" t="s">
        <v>53</v>
      </c>
      <c r="D26" s="16" t="s">
        <v>44</v>
      </c>
      <c r="E26" s="16" t="s">
        <v>48</v>
      </c>
      <c r="F26" s="17" t="n">
        <v>42.48</v>
      </c>
      <c r="G26" s="18" t="n">
        <f aca="false">IF($D26="Pedro Domecq",$F26,0)</f>
        <v>0</v>
      </c>
      <c r="H26" s="18" t="n">
        <f aca="false">IF($D26="Nicolás Bustamante",$F26,0)</f>
        <v>42.48</v>
      </c>
      <c r="I26" s="18" t="n">
        <f aca="false">IF($D26="Domingo de Guzmán",$F26,0)</f>
        <v>0</v>
      </c>
    </row>
    <row r="27" customFormat="false" ht="15" hidden="false" customHeight="false" outlineLevel="0" collapsed="false">
      <c r="A27" s="15" t="n">
        <v>46121</v>
      </c>
      <c r="B27" s="16" t="s">
        <v>65</v>
      </c>
      <c r="C27" s="16" t="s">
        <v>53</v>
      </c>
      <c r="D27" s="16" t="s">
        <v>44</v>
      </c>
      <c r="E27" s="16" t="s">
        <v>48</v>
      </c>
      <c r="F27" s="17" t="n">
        <v>20.75</v>
      </c>
      <c r="G27" s="18" t="n">
        <f aca="false">IF($D27="Pedro Domecq",$F27,0)</f>
        <v>0</v>
      </c>
      <c r="H27" s="18" t="n">
        <f aca="false">IF($D27="Nicolás Bustamante",$F27,0)</f>
        <v>20.75</v>
      </c>
      <c r="I27" s="18" t="n">
        <f aca="false">IF($D27="Domingo de Guzmán",$F27,0)</f>
        <v>0</v>
      </c>
    </row>
    <row r="28" customFormat="false" ht="15" hidden="false" customHeight="false" outlineLevel="0" collapsed="false">
      <c r="A28" s="15" t="n">
        <v>46121</v>
      </c>
      <c r="B28" s="16" t="s">
        <v>66</v>
      </c>
      <c r="C28" s="16" t="s">
        <v>53</v>
      </c>
      <c r="D28" s="16" t="s">
        <v>44</v>
      </c>
      <c r="E28" s="16" t="s">
        <v>48</v>
      </c>
      <c r="F28" s="17" t="n">
        <v>16.06</v>
      </c>
      <c r="G28" s="18" t="n">
        <f aca="false">IF($D28="Pedro Domecq",$F28,0)</f>
        <v>0</v>
      </c>
      <c r="H28" s="18" t="n">
        <f aca="false">IF($D28="Nicolás Bustamante",$F28,0)</f>
        <v>16.06</v>
      </c>
      <c r="I28" s="18" t="n">
        <f aca="false">IF($D28="Domingo de Guzmán",$F28,0)</f>
        <v>0</v>
      </c>
    </row>
    <row r="29" customFormat="false" ht="15" hidden="false" customHeight="false" outlineLevel="0" collapsed="false">
      <c r="A29" s="15" t="n">
        <v>46121</v>
      </c>
      <c r="B29" s="16" t="s">
        <v>67</v>
      </c>
      <c r="C29" s="16" t="s">
        <v>53</v>
      </c>
      <c r="D29" s="16" t="s">
        <v>44</v>
      </c>
      <c r="E29" s="16" t="s">
        <v>48</v>
      </c>
      <c r="F29" s="17" t="n">
        <v>20.6</v>
      </c>
      <c r="G29" s="18" t="n">
        <f aca="false">IF($D29="Pedro Domecq",$F29,0)</f>
        <v>0</v>
      </c>
      <c r="H29" s="18" t="n">
        <f aca="false">IF($D29="Nicolás Bustamante",$F29,0)</f>
        <v>20.6</v>
      </c>
      <c r="I29" s="18" t="n">
        <f aca="false">IF($D29="Domingo de Guzmán",$F29,0)</f>
        <v>0</v>
      </c>
    </row>
    <row r="30" customFormat="false" ht="15" hidden="false" customHeight="false" outlineLevel="0" collapsed="false">
      <c r="A30" s="15" t="n">
        <v>46121</v>
      </c>
      <c r="B30" s="16" t="s">
        <v>68</v>
      </c>
      <c r="C30" s="16" t="s">
        <v>53</v>
      </c>
      <c r="D30" s="16" t="s">
        <v>44</v>
      </c>
      <c r="E30" s="16" t="s">
        <v>48</v>
      </c>
      <c r="F30" s="17" t="n">
        <v>10</v>
      </c>
      <c r="G30" s="18" t="n">
        <f aca="false">IF($D30="Pedro Domecq",$F30,0)</f>
        <v>0</v>
      </c>
      <c r="H30" s="18" t="n">
        <f aca="false">IF($D30="Nicolás Bustamante",$F30,0)</f>
        <v>10</v>
      </c>
      <c r="I30" s="18" t="n">
        <f aca="false">IF($D30="Domingo de Guzmán",$F30,0)</f>
        <v>0</v>
      </c>
    </row>
    <row r="31" customFormat="false" ht="15" hidden="false" customHeight="false" outlineLevel="0" collapsed="false">
      <c r="A31" s="15" t="n">
        <v>46121</v>
      </c>
      <c r="B31" s="16" t="s">
        <v>69</v>
      </c>
      <c r="C31" s="16" t="s">
        <v>53</v>
      </c>
      <c r="D31" s="16" t="s">
        <v>44</v>
      </c>
      <c r="E31" s="16" t="s">
        <v>70</v>
      </c>
      <c r="F31" s="17" t="n">
        <v>16.58</v>
      </c>
      <c r="G31" s="18" t="n">
        <f aca="false">IF($D31="Pedro Domecq",$F31,0)</f>
        <v>0</v>
      </c>
      <c r="H31" s="18" t="n">
        <f aca="false">IF($D31="Nicolás Bustamante",$F31,0)</f>
        <v>16.58</v>
      </c>
      <c r="I31" s="18" t="n">
        <f aca="false">IF($D31="Domingo de Guzmán",$F31,0)</f>
        <v>0</v>
      </c>
    </row>
    <row r="32" customFormat="false" ht="15" hidden="false" customHeight="false" outlineLevel="0" collapsed="false">
      <c r="A32" s="15" t="n">
        <v>46121</v>
      </c>
      <c r="B32" s="16" t="s">
        <v>71</v>
      </c>
      <c r="C32" s="16" t="s">
        <v>53</v>
      </c>
      <c r="D32" s="16" t="s">
        <v>44</v>
      </c>
      <c r="E32" s="16" t="s">
        <v>70</v>
      </c>
      <c r="F32" s="17" t="n">
        <v>60.38</v>
      </c>
      <c r="G32" s="18" t="n">
        <f aca="false">IF($D32="Pedro Domecq",$F32,0)</f>
        <v>0</v>
      </c>
      <c r="H32" s="18" t="n">
        <f aca="false">IF($D32="Nicolás Bustamante",$F32,0)</f>
        <v>60.38</v>
      </c>
      <c r="I32" s="18" t="n">
        <f aca="false">IF($D32="Domingo de Guzmán",$F32,0)</f>
        <v>0</v>
      </c>
    </row>
    <row r="33" customFormat="false" ht="15" hidden="false" customHeight="false" outlineLevel="0" collapsed="false">
      <c r="A33" s="15" t="n">
        <v>46121</v>
      </c>
      <c r="B33" s="16" t="s">
        <v>71</v>
      </c>
      <c r="C33" s="16" t="s">
        <v>53</v>
      </c>
      <c r="D33" s="16" t="s">
        <v>44</v>
      </c>
      <c r="E33" s="16" t="s">
        <v>70</v>
      </c>
      <c r="F33" s="17" t="n">
        <v>27.79</v>
      </c>
      <c r="G33" s="18" t="n">
        <f aca="false">IF($D33="Pedro Domecq",$F33,0)</f>
        <v>0</v>
      </c>
      <c r="H33" s="18" t="n">
        <f aca="false">IF($D33="Nicolás Bustamante",$F33,0)</f>
        <v>27.79</v>
      </c>
      <c r="I33" s="18" t="n">
        <f aca="false">IF($D33="Domingo de Guzmán",$F33,0)</f>
        <v>0</v>
      </c>
    </row>
    <row r="34" customFormat="false" ht="15" hidden="false" customHeight="false" outlineLevel="0" collapsed="false">
      <c r="A34" s="15" t="n">
        <v>46121</v>
      </c>
      <c r="B34" s="16" t="s">
        <v>72</v>
      </c>
      <c r="C34" s="16" t="s">
        <v>53</v>
      </c>
      <c r="D34" s="16" t="s">
        <v>44</v>
      </c>
      <c r="E34" s="16" t="s">
        <v>70</v>
      </c>
      <c r="F34" s="17" t="n">
        <v>20.79</v>
      </c>
      <c r="G34" s="18" t="n">
        <f aca="false">IF($D34="Pedro Domecq",$F34,0)</f>
        <v>0</v>
      </c>
      <c r="H34" s="18" t="n">
        <f aca="false">IF($D34="Nicolás Bustamante",$F34,0)</f>
        <v>20.79</v>
      </c>
      <c r="I34" s="18" t="n">
        <f aca="false">IF($D34="Domingo de Guzmán",$F34,0)</f>
        <v>0</v>
      </c>
    </row>
    <row r="35" customFormat="false" ht="15" hidden="false" customHeight="false" outlineLevel="0" collapsed="false">
      <c r="A35" s="15" t="n">
        <v>46122</v>
      </c>
      <c r="B35" s="16" t="s">
        <v>73</v>
      </c>
      <c r="C35" s="16" t="s">
        <v>74</v>
      </c>
      <c r="D35" s="16" t="s">
        <v>44</v>
      </c>
      <c r="E35" s="16" t="s">
        <v>48</v>
      </c>
      <c r="F35" s="17" t="n">
        <v>142.46</v>
      </c>
      <c r="G35" s="18" t="n">
        <f aca="false">IF($D35="Pedro Domecq",$F35,0)</f>
        <v>0</v>
      </c>
      <c r="H35" s="18" t="n">
        <f aca="false">IF($D35="Nicolás Bustamante",$F35,0)</f>
        <v>142.46</v>
      </c>
      <c r="I35" s="18" t="n">
        <f aca="false">IF($D35="Domingo de Guzmán",$F35,0)</f>
        <v>0</v>
      </c>
    </row>
    <row r="36" customFormat="false" ht="15" hidden="false" customHeight="false" outlineLevel="0" collapsed="false">
      <c r="A36" s="15" t="n">
        <v>46126</v>
      </c>
      <c r="B36" s="16" t="s">
        <v>75</v>
      </c>
      <c r="C36" s="16" t="s">
        <v>47</v>
      </c>
      <c r="D36" s="16" t="s">
        <v>43</v>
      </c>
      <c r="E36" s="16" t="s">
        <v>48</v>
      </c>
      <c r="F36" s="17" t="n">
        <v>5</v>
      </c>
      <c r="G36" s="18" t="n">
        <f aca="false">IF($D36="Pedro Domecq",$F36,0)</f>
        <v>5</v>
      </c>
      <c r="H36" s="18" t="n">
        <f aca="false">IF($D36="Nicolás Bustamante",$F36,0)</f>
        <v>0</v>
      </c>
      <c r="I36" s="18" t="n">
        <f aca="false">IF($D36="Domingo de Guzmán",$F36,0)</f>
        <v>0</v>
      </c>
    </row>
    <row r="37" customFormat="false" ht="15" hidden="false" customHeight="false" outlineLevel="0" collapsed="false">
      <c r="A37" s="15" t="n">
        <v>46126</v>
      </c>
      <c r="B37" s="16" t="s">
        <v>75</v>
      </c>
      <c r="C37" s="16" t="s">
        <v>47</v>
      </c>
      <c r="D37" s="16" t="s">
        <v>43</v>
      </c>
      <c r="E37" s="16" t="s">
        <v>48</v>
      </c>
      <c r="F37" s="17" t="n">
        <v>5</v>
      </c>
      <c r="G37" s="18" t="n">
        <f aca="false">IF($D37="Pedro Domecq",$F37,0)</f>
        <v>5</v>
      </c>
      <c r="H37" s="18" t="n">
        <f aca="false">IF($D37="Nicolás Bustamante",$F37,0)</f>
        <v>0</v>
      </c>
      <c r="I37" s="18" t="n">
        <f aca="false">IF($D37="Domingo de Guzmán",$F37,0)</f>
        <v>0</v>
      </c>
    </row>
    <row r="38" customFormat="false" ht="15" hidden="false" customHeight="false" outlineLevel="0" collapsed="false">
      <c r="A38" s="15" t="n">
        <v>46131</v>
      </c>
      <c r="B38" s="16" t="s">
        <v>76</v>
      </c>
      <c r="C38" s="16" t="s">
        <v>53</v>
      </c>
      <c r="D38" s="16" t="s">
        <v>45</v>
      </c>
      <c r="E38" s="16" t="s">
        <v>70</v>
      </c>
      <c r="F38" s="17" t="n">
        <v>40</v>
      </c>
      <c r="G38" s="18" t="n">
        <f aca="false">IF($D38="Pedro Domecq",$F38,0)</f>
        <v>0</v>
      </c>
      <c r="H38" s="18" t="n">
        <f aca="false">IF($D38="Nicolás Bustamante",$F38,0)</f>
        <v>0</v>
      </c>
      <c r="I38" s="18" t="n">
        <f aca="false">IF($D38="Domingo de Guzmán",$F38,0)</f>
        <v>40</v>
      </c>
    </row>
    <row r="39" customFormat="false" ht="15" hidden="false" customHeight="false" outlineLevel="0" collapsed="false">
      <c r="A39" s="15" t="n">
        <v>46132</v>
      </c>
      <c r="B39" s="16" t="s">
        <v>77</v>
      </c>
      <c r="C39" s="16" t="s">
        <v>53</v>
      </c>
      <c r="D39" s="16" t="s">
        <v>45</v>
      </c>
      <c r="E39" s="16" t="s">
        <v>70</v>
      </c>
      <c r="F39" s="17" t="n">
        <v>14.89</v>
      </c>
      <c r="G39" s="18" t="n">
        <f aca="false">IF($D39="Pedro Domecq",$F39,0)</f>
        <v>0</v>
      </c>
      <c r="H39" s="18" t="n">
        <f aca="false">IF($D39="Nicolás Bustamante",$F39,0)</f>
        <v>0</v>
      </c>
      <c r="I39" s="18" t="n">
        <f aca="false">IF($D39="Domingo de Guzmán",$F39,0)</f>
        <v>14.89</v>
      </c>
    </row>
    <row r="40" customFormat="false" ht="15" hidden="false" customHeight="false" outlineLevel="0" collapsed="false">
      <c r="A40" s="15" t="n">
        <v>46132</v>
      </c>
      <c r="B40" s="16" t="s">
        <v>77</v>
      </c>
      <c r="C40" s="16" t="s">
        <v>53</v>
      </c>
      <c r="D40" s="16" t="s">
        <v>45</v>
      </c>
      <c r="E40" s="16" t="s">
        <v>70</v>
      </c>
      <c r="F40" s="17" t="n">
        <v>4.4</v>
      </c>
      <c r="G40" s="18" t="n">
        <f aca="false">IF($D40="Pedro Domecq",$F40,0)</f>
        <v>0</v>
      </c>
      <c r="H40" s="18" t="n">
        <f aca="false">IF($D40="Nicolás Bustamante",$F40,0)</f>
        <v>0</v>
      </c>
      <c r="I40" s="18" t="n">
        <f aca="false">IF($D40="Domingo de Guzmán",$F40,0)</f>
        <v>4.4</v>
      </c>
    </row>
    <row r="41" customFormat="false" ht="15" hidden="false" customHeight="false" outlineLevel="0" collapsed="false">
      <c r="A41" s="15" t="n">
        <v>46133</v>
      </c>
      <c r="B41" s="16" t="s">
        <v>77</v>
      </c>
      <c r="C41" s="16" t="s">
        <v>53</v>
      </c>
      <c r="D41" s="16" t="s">
        <v>45</v>
      </c>
      <c r="E41" s="16" t="s">
        <v>70</v>
      </c>
      <c r="F41" s="17" t="n">
        <v>4.9</v>
      </c>
      <c r="G41" s="18" t="n">
        <f aca="false">IF($D41="Pedro Domecq",$F41,0)</f>
        <v>0</v>
      </c>
      <c r="H41" s="18" t="n">
        <f aca="false">IF($D41="Nicolás Bustamante",$F41,0)</f>
        <v>0</v>
      </c>
      <c r="I41" s="18" t="n">
        <f aca="false">IF($D41="Domingo de Guzmán",$F41,0)</f>
        <v>4.9</v>
      </c>
    </row>
    <row r="42" customFormat="false" ht="15" hidden="false" customHeight="false" outlineLevel="0" collapsed="false">
      <c r="A42" s="15" t="n">
        <v>46133</v>
      </c>
      <c r="B42" s="16" t="s">
        <v>75</v>
      </c>
      <c r="C42" s="16" t="s">
        <v>47</v>
      </c>
      <c r="D42" s="16" t="s">
        <v>43</v>
      </c>
      <c r="E42" s="16" t="s">
        <v>48</v>
      </c>
      <c r="F42" s="17" t="n">
        <v>5</v>
      </c>
      <c r="G42" s="18" t="n">
        <f aca="false">IF($D42="Pedro Domecq",$F42,0)</f>
        <v>5</v>
      </c>
      <c r="H42" s="18" t="n">
        <f aca="false">IF($D42="Nicolás Bustamante",$F42,0)</f>
        <v>0</v>
      </c>
      <c r="I42" s="18" t="n">
        <f aca="false">IF($D42="Domingo de Guzmán",$F42,0)</f>
        <v>0</v>
      </c>
    </row>
    <row r="43" customFormat="false" ht="15" hidden="false" customHeight="false" outlineLevel="0" collapsed="false">
      <c r="A43" s="15" t="n">
        <v>46136</v>
      </c>
      <c r="B43" s="16" t="s">
        <v>78</v>
      </c>
      <c r="C43" s="16" t="s">
        <v>74</v>
      </c>
      <c r="D43" s="16" t="s">
        <v>44</v>
      </c>
      <c r="E43" s="16" t="s">
        <v>48</v>
      </c>
      <c r="F43" s="17" t="n">
        <v>213.95</v>
      </c>
      <c r="G43" s="18" t="n">
        <f aca="false">IF($D43="Pedro Domecq",$F43,0)</f>
        <v>0</v>
      </c>
      <c r="H43" s="18" t="n">
        <f aca="false">IF($D43="Nicolás Bustamante",$F43,0)</f>
        <v>213.95</v>
      </c>
      <c r="I43" s="18" t="n">
        <f aca="false">IF($D43="Domingo de Guzmán",$F43,0)</f>
        <v>0</v>
      </c>
    </row>
    <row r="44" customFormat="false" ht="15" hidden="false" customHeight="false" outlineLevel="0" collapsed="false">
      <c r="A44" s="15" t="n">
        <v>46136</v>
      </c>
      <c r="B44" s="16" t="s">
        <v>79</v>
      </c>
      <c r="C44" s="16" t="s">
        <v>53</v>
      </c>
      <c r="D44" s="16" t="s">
        <v>45</v>
      </c>
      <c r="E44" s="16" t="s">
        <v>48</v>
      </c>
      <c r="F44" s="17" t="n">
        <v>8.68</v>
      </c>
      <c r="G44" s="18" t="n">
        <f aca="false">IF($D44="Pedro Domecq",$F44,0)</f>
        <v>0</v>
      </c>
      <c r="H44" s="18" t="n">
        <f aca="false">IF($D44="Nicolás Bustamante",$F44,0)</f>
        <v>0</v>
      </c>
      <c r="I44" s="18" t="n">
        <f aca="false">IF($D44="Domingo de Guzmán",$F44,0)</f>
        <v>8.68</v>
      </c>
    </row>
    <row r="45" customFormat="false" ht="15" hidden="false" customHeight="false" outlineLevel="0" collapsed="false">
      <c r="A45" s="15" t="n">
        <v>46136</v>
      </c>
      <c r="B45" s="16" t="s">
        <v>80</v>
      </c>
      <c r="C45" s="16" t="s">
        <v>53</v>
      </c>
      <c r="D45" s="16" t="s">
        <v>45</v>
      </c>
      <c r="E45" s="16" t="s">
        <v>48</v>
      </c>
      <c r="F45" s="17" t="n">
        <v>82.74</v>
      </c>
      <c r="G45" s="18" t="n">
        <f aca="false">IF($D45="Pedro Domecq",$F45,0)</f>
        <v>0</v>
      </c>
      <c r="H45" s="18" t="n">
        <f aca="false">IF($D45="Nicolás Bustamante",$F45,0)</f>
        <v>0</v>
      </c>
      <c r="I45" s="18" t="n">
        <f aca="false">IF($D45="Domingo de Guzmán",$F45,0)</f>
        <v>82.74</v>
      </c>
    </row>
    <row r="46" customFormat="false" ht="15" hidden="false" customHeight="false" outlineLevel="0" collapsed="false">
      <c r="A46" s="15" t="n">
        <v>46136</v>
      </c>
      <c r="B46" s="16" t="s">
        <v>81</v>
      </c>
      <c r="C46" s="16" t="s">
        <v>53</v>
      </c>
      <c r="D46" s="16" t="s">
        <v>44</v>
      </c>
      <c r="E46" s="16" t="s">
        <v>48</v>
      </c>
      <c r="F46" s="17" t="n">
        <v>37.39</v>
      </c>
      <c r="G46" s="18" t="n">
        <f aca="false">IF($D46="Pedro Domecq",$F46,0)</f>
        <v>0</v>
      </c>
      <c r="H46" s="18" t="n">
        <f aca="false">IF($D46="Nicolás Bustamante",$F46,0)</f>
        <v>37.39</v>
      </c>
      <c r="I46" s="18" t="n">
        <f aca="false">IF($D46="Domingo de Guzmán",$F46,0)</f>
        <v>0</v>
      </c>
    </row>
    <row r="47" customFormat="false" ht="15" hidden="false" customHeight="false" outlineLevel="0" collapsed="false">
      <c r="A47" s="15" t="n">
        <v>46137</v>
      </c>
      <c r="B47" s="16" t="s">
        <v>82</v>
      </c>
      <c r="C47" s="16" t="s">
        <v>74</v>
      </c>
      <c r="D47" s="16" t="s">
        <v>45</v>
      </c>
      <c r="E47" s="16" t="s">
        <v>48</v>
      </c>
      <c r="F47" s="17" t="n">
        <v>14.99</v>
      </c>
      <c r="G47" s="18" t="n">
        <f aca="false">IF($D47="Pedro Domecq",$F47,0)</f>
        <v>0</v>
      </c>
      <c r="H47" s="18" t="n">
        <f aca="false">IF($D47="Nicolás Bustamante",$F47,0)</f>
        <v>0</v>
      </c>
      <c r="I47" s="18" t="n">
        <f aca="false">IF($D47="Domingo de Guzmán",$F47,0)</f>
        <v>14.99</v>
      </c>
    </row>
    <row r="48" customFormat="false" ht="15" hidden="false" customHeight="false" outlineLevel="0" collapsed="false">
      <c r="A48" s="15" t="n">
        <v>46137</v>
      </c>
      <c r="B48" s="16" t="s">
        <v>71</v>
      </c>
      <c r="C48" s="16" t="s">
        <v>53</v>
      </c>
      <c r="D48" s="16" t="s">
        <v>44</v>
      </c>
      <c r="E48" s="16" t="s">
        <v>70</v>
      </c>
      <c r="F48" s="17" t="n">
        <v>113.19</v>
      </c>
      <c r="G48" s="18" t="n">
        <f aca="false">IF($D48="Pedro Domecq",$F48,0)</f>
        <v>0</v>
      </c>
      <c r="H48" s="18" t="n">
        <f aca="false">IF($D48="Nicolás Bustamante",$F48,0)</f>
        <v>113.19</v>
      </c>
      <c r="I48" s="18" t="n">
        <f aca="false">IF($D48="Domingo de Guzmán",$F48,0)</f>
        <v>0</v>
      </c>
    </row>
    <row r="49" customFormat="false" ht="15" hidden="false" customHeight="false" outlineLevel="0" collapsed="false">
      <c r="A49" s="15" t="n">
        <v>46137</v>
      </c>
      <c r="B49" s="16" t="s">
        <v>83</v>
      </c>
      <c r="C49" s="16" t="s">
        <v>74</v>
      </c>
      <c r="D49" s="16" t="s">
        <v>44</v>
      </c>
      <c r="E49" s="16" t="s">
        <v>48</v>
      </c>
      <c r="F49" s="17" t="n">
        <v>99.95</v>
      </c>
      <c r="G49" s="18" t="n">
        <f aca="false">IF($D49="Pedro Domecq",$F49,0)</f>
        <v>0</v>
      </c>
      <c r="H49" s="18" t="n">
        <f aca="false">IF($D49="Nicolás Bustamante",$F49,0)</f>
        <v>99.95</v>
      </c>
      <c r="I49" s="18" t="n">
        <f aca="false">IF($D49="Domingo de Guzmán",$F49,0)</f>
        <v>0</v>
      </c>
    </row>
    <row r="50" customFormat="false" ht="15" hidden="false" customHeight="false" outlineLevel="0" collapsed="false">
      <c r="A50" s="15" t="n">
        <v>46139</v>
      </c>
      <c r="B50" s="16" t="s">
        <v>58</v>
      </c>
      <c r="C50" s="16" t="s">
        <v>47</v>
      </c>
      <c r="D50" s="16" t="s">
        <v>43</v>
      </c>
      <c r="E50" s="16" t="s">
        <v>48</v>
      </c>
      <c r="F50" s="17" t="n">
        <v>18</v>
      </c>
      <c r="G50" s="18" t="n">
        <f aca="false">IF($D50="Pedro Domecq",$F50,0)</f>
        <v>18</v>
      </c>
      <c r="H50" s="18" t="n">
        <f aca="false">IF($D50="Nicolás Bustamante",$F50,0)</f>
        <v>0</v>
      </c>
      <c r="I50" s="18" t="n">
        <f aca="false">IF($D50="Domingo de Guzmán",$F50,0)</f>
        <v>0</v>
      </c>
    </row>
    <row r="51" customFormat="false" ht="15" hidden="false" customHeight="false" outlineLevel="0" collapsed="false">
      <c r="A51" s="15" t="n">
        <v>46142</v>
      </c>
      <c r="B51" s="16" t="s">
        <v>75</v>
      </c>
      <c r="C51" s="16" t="s">
        <v>47</v>
      </c>
      <c r="D51" s="16" t="s">
        <v>43</v>
      </c>
      <c r="E51" s="16" t="s">
        <v>48</v>
      </c>
      <c r="F51" s="17" t="n">
        <v>5</v>
      </c>
      <c r="G51" s="18" t="n">
        <f aca="false">IF($D51="Pedro Domecq",$F51,0)</f>
        <v>5</v>
      </c>
      <c r="H51" s="18" t="n">
        <f aca="false">IF($D51="Nicolás Bustamante",$F51,0)</f>
        <v>0</v>
      </c>
      <c r="I51" s="18" t="n">
        <f aca="false">IF($D51="Domingo de Guzmán",$F51,0)</f>
        <v>0</v>
      </c>
    </row>
    <row r="52" customFormat="false" ht="15" hidden="false" customHeight="false" outlineLevel="0" collapsed="false">
      <c r="A52" s="15" t="n">
        <v>46145</v>
      </c>
      <c r="B52" s="16" t="s">
        <v>84</v>
      </c>
      <c r="C52" s="16" t="s">
        <v>84</v>
      </c>
      <c r="D52" s="16" t="s">
        <v>44</v>
      </c>
      <c r="E52" s="16" t="s">
        <v>48</v>
      </c>
      <c r="F52" s="17" t="n">
        <v>88.56</v>
      </c>
      <c r="G52" s="18" t="n">
        <f aca="false">IF($D52="Pedro Domecq",$F52,0)</f>
        <v>0</v>
      </c>
      <c r="H52" s="18" t="n">
        <f aca="false">IF($D52="Nicolás Bustamante",$F52,0)</f>
        <v>88.56</v>
      </c>
      <c r="I52" s="18" t="n">
        <f aca="false">IF($D52="Domingo de Guzmán",$F52,0)</f>
        <v>0</v>
      </c>
    </row>
    <row r="53" customFormat="false" ht="15" hidden="false" customHeight="false" outlineLevel="0" collapsed="false">
      <c r="A53" s="15" t="n">
        <v>46146</v>
      </c>
      <c r="B53" s="16" t="s">
        <v>85</v>
      </c>
      <c r="C53" s="16" t="s">
        <v>50</v>
      </c>
      <c r="D53" s="16" t="s">
        <v>51</v>
      </c>
      <c r="E53" s="16" t="s">
        <v>48</v>
      </c>
      <c r="F53" s="17" t="n">
        <v>547.61</v>
      </c>
      <c r="G53" s="17" t="n">
        <v>182.53</v>
      </c>
      <c r="H53" s="17" t="n">
        <v>182.53</v>
      </c>
      <c r="I53" s="17" t="n">
        <v>182.55</v>
      </c>
    </row>
    <row r="54" customFormat="false" ht="15" hidden="false" customHeight="false" outlineLevel="0" collapsed="false">
      <c r="A54" s="15" t="n">
        <v>46146</v>
      </c>
      <c r="B54" s="16" t="s">
        <v>75</v>
      </c>
      <c r="C54" s="16" t="s">
        <v>47</v>
      </c>
      <c r="D54" s="16" t="s">
        <v>43</v>
      </c>
      <c r="E54" s="16" t="s">
        <v>48</v>
      </c>
      <c r="F54" s="17" t="n">
        <v>5</v>
      </c>
      <c r="G54" s="18" t="n">
        <f aca="false">IF($D54="Pedro Domecq",$F54,0)</f>
        <v>5</v>
      </c>
      <c r="H54" s="18" t="n">
        <f aca="false">IF($D54="Nicolás Bustamante",$F54,0)</f>
        <v>0</v>
      </c>
      <c r="I54" s="18" t="n">
        <f aca="false">IF($D54="Domingo de Guzmán",$F54,0)</f>
        <v>0</v>
      </c>
    </row>
    <row r="55" customFormat="false" ht="15" hidden="false" customHeight="false" outlineLevel="0" collapsed="false">
      <c r="A55" s="15" t="n">
        <v>46146</v>
      </c>
      <c r="B55" s="16" t="s">
        <v>86</v>
      </c>
      <c r="C55" s="16" t="s">
        <v>74</v>
      </c>
      <c r="D55" s="16" t="s">
        <v>43</v>
      </c>
      <c r="E55" s="16" t="s">
        <v>48</v>
      </c>
      <c r="F55" s="17" t="n">
        <v>7.41</v>
      </c>
      <c r="G55" s="18" t="n">
        <f aca="false">IF($D55="Pedro Domecq",$F55,0)</f>
        <v>7.41</v>
      </c>
      <c r="H55" s="18" t="n">
        <f aca="false">IF($D55="Nicolás Bustamante",$F55,0)</f>
        <v>0</v>
      </c>
      <c r="I55" s="18" t="n">
        <f aca="false">IF($D55="Domingo de Guzmán",$F55,0)</f>
        <v>0</v>
      </c>
    </row>
    <row r="56" customFormat="false" ht="15" hidden="false" customHeight="false" outlineLevel="0" collapsed="false">
      <c r="A56" s="15" t="n">
        <v>46147</v>
      </c>
      <c r="B56" s="16" t="s">
        <v>87</v>
      </c>
      <c r="C56" s="16" t="s">
        <v>50</v>
      </c>
      <c r="D56" s="16" t="s">
        <v>51</v>
      </c>
      <c r="E56" s="16" t="s">
        <v>48</v>
      </c>
      <c r="F56" s="17" t="n">
        <v>635.25</v>
      </c>
      <c r="G56" s="17" t="n">
        <v>211.75</v>
      </c>
      <c r="H56" s="17" t="n">
        <v>211.75</v>
      </c>
      <c r="I56" s="17" t="n">
        <v>211.75</v>
      </c>
    </row>
    <row r="57" customFormat="false" ht="15" hidden="false" customHeight="false" outlineLevel="0" collapsed="false">
      <c r="A57" s="15" t="n">
        <v>46147</v>
      </c>
      <c r="B57" s="16" t="s">
        <v>75</v>
      </c>
      <c r="C57" s="16" t="s">
        <v>47</v>
      </c>
      <c r="D57" s="16" t="s">
        <v>43</v>
      </c>
      <c r="E57" s="16" t="s">
        <v>48</v>
      </c>
      <c r="F57" s="17" t="n">
        <v>5</v>
      </c>
      <c r="G57" s="18" t="n">
        <f aca="false">IF($D57="Pedro Domecq",$F57,0)</f>
        <v>5</v>
      </c>
      <c r="H57" s="18" t="n">
        <f aca="false">IF($D57="Nicolás Bustamante",$F57,0)</f>
        <v>0</v>
      </c>
      <c r="I57" s="18" t="n">
        <f aca="false">IF($D57="Domingo de Guzmán",$F57,0)</f>
        <v>0</v>
      </c>
    </row>
    <row r="58" customFormat="false" ht="15" hidden="false" customHeight="false" outlineLevel="0" collapsed="false">
      <c r="A58" s="15" t="n">
        <v>46147</v>
      </c>
      <c r="B58" s="16" t="s">
        <v>75</v>
      </c>
      <c r="C58" s="16" t="s">
        <v>47</v>
      </c>
      <c r="D58" s="16" t="s">
        <v>43</v>
      </c>
      <c r="E58" s="16" t="s">
        <v>48</v>
      </c>
      <c r="F58" s="17" t="n">
        <v>5</v>
      </c>
      <c r="G58" s="18" t="n">
        <f aca="false">IF($D58="Pedro Domecq",$F58,0)</f>
        <v>5</v>
      </c>
      <c r="H58" s="18" t="n">
        <f aca="false">IF($D58="Nicolás Bustamante",$F58,0)</f>
        <v>0</v>
      </c>
      <c r="I58" s="18" t="n">
        <f aca="false">IF($D58="Domingo de Guzmán",$F58,0)</f>
        <v>0</v>
      </c>
    </row>
    <row r="59" customFormat="false" ht="15" hidden="false" customHeight="false" outlineLevel="0" collapsed="false">
      <c r="A59" s="15" t="n">
        <v>46148</v>
      </c>
      <c r="B59" s="16" t="s">
        <v>75</v>
      </c>
      <c r="C59" s="16" t="s">
        <v>47</v>
      </c>
      <c r="D59" s="16" t="s">
        <v>43</v>
      </c>
      <c r="E59" s="16" t="s">
        <v>48</v>
      </c>
      <c r="F59" s="17" t="n">
        <v>5</v>
      </c>
      <c r="G59" s="18" t="n">
        <f aca="false">IF($D59="Pedro Domecq",$F59,0)</f>
        <v>5</v>
      </c>
      <c r="H59" s="18" t="n">
        <f aca="false">IF($D59="Nicolás Bustamante",$F59,0)</f>
        <v>0</v>
      </c>
      <c r="I59" s="18" t="n">
        <f aca="false">IF($D59="Domingo de Guzmán",$F59,0)</f>
        <v>0</v>
      </c>
    </row>
    <row r="60" customFormat="false" ht="15" hidden="false" customHeight="false" outlineLevel="0" collapsed="false">
      <c r="A60" s="15" t="n">
        <v>46149</v>
      </c>
      <c r="B60" s="16" t="s">
        <v>88</v>
      </c>
      <c r="C60" s="16" t="s">
        <v>53</v>
      </c>
      <c r="D60" s="16" t="s">
        <v>43</v>
      </c>
      <c r="E60" s="16" t="s">
        <v>48</v>
      </c>
      <c r="F60" s="17" t="n">
        <v>4.26</v>
      </c>
      <c r="G60" s="18" t="n">
        <f aca="false">IF($D60="Pedro Domecq",$F60,0)</f>
        <v>4.26</v>
      </c>
      <c r="H60" s="18" t="n">
        <f aca="false">IF($D60="Nicolás Bustamante",$F60,0)</f>
        <v>0</v>
      </c>
      <c r="I60" s="18" t="n">
        <f aca="false">IF($D60="Domingo de Guzmán",$F60,0)</f>
        <v>0</v>
      </c>
    </row>
    <row r="61" customFormat="false" ht="15" hidden="false" customHeight="false" outlineLevel="0" collapsed="false">
      <c r="A61" s="15" t="n">
        <v>46149</v>
      </c>
      <c r="B61" s="16" t="s">
        <v>89</v>
      </c>
      <c r="C61" s="16" t="s">
        <v>53</v>
      </c>
      <c r="D61" s="16" t="s">
        <v>43</v>
      </c>
      <c r="E61" s="16" t="s">
        <v>48</v>
      </c>
      <c r="F61" s="17" t="n">
        <v>10.5</v>
      </c>
      <c r="G61" s="18" t="n">
        <f aca="false">IF($D61="Pedro Domecq",$F61,0)</f>
        <v>10.5</v>
      </c>
      <c r="H61" s="18" t="n">
        <f aca="false">IF($D61="Nicolás Bustamante",$F61,0)</f>
        <v>0</v>
      </c>
      <c r="I61" s="18" t="n">
        <f aca="false">IF($D61="Domingo de Guzmán",$F61,0)</f>
        <v>0</v>
      </c>
    </row>
    <row r="62" customFormat="false" ht="15" hidden="false" customHeight="false" outlineLevel="0" collapsed="false">
      <c r="A62" s="15" t="n">
        <v>46149</v>
      </c>
      <c r="B62" s="16" t="s">
        <v>71</v>
      </c>
      <c r="C62" s="16" t="s">
        <v>53</v>
      </c>
      <c r="D62" s="16" t="s">
        <v>44</v>
      </c>
      <c r="E62" s="16" t="s">
        <v>48</v>
      </c>
      <c r="F62" s="17" t="n">
        <v>127.36</v>
      </c>
      <c r="G62" s="18" t="n">
        <f aca="false">IF($D62="Pedro Domecq",$F62,0)</f>
        <v>0</v>
      </c>
      <c r="H62" s="18" t="n">
        <f aca="false">IF($D62="Nicolás Bustamante",$F62,0)</f>
        <v>127.36</v>
      </c>
      <c r="I62" s="18" t="n">
        <f aca="false">IF($D62="Domingo de Guzmán",$F62,0)</f>
        <v>0</v>
      </c>
    </row>
    <row r="63" customFormat="false" ht="15" hidden="false" customHeight="false" outlineLevel="0" collapsed="false">
      <c r="A63" s="15" t="n">
        <v>46155</v>
      </c>
      <c r="B63" s="16" t="s">
        <v>90</v>
      </c>
      <c r="C63" s="16" t="s">
        <v>53</v>
      </c>
      <c r="D63" s="16" t="s">
        <v>44</v>
      </c>
      <c r="E63" s="16" t="s">
        <v>48</v>
      </c>
      <c r="F63" s="17" t="n">
        <v>126.28</v>
      </c>
      <c r="G63" s="18" t="n">
        <f aca="false">IF($D63="Pedro Domecq",$F63,0)</f>
        <v>0</v>
      </c>
      <c r="H63" s="18" t="n">
        <f aca="false">IF($D63="Nicolás Bustamante",$F63,0)</f>
        <v>126.28</v>
      </c>
      <c r="I63" s="18" t="n">
        <f aca="false">IF($D63="Domingo de Guzmán",$F63,0)</f>
        <v>0</v>
      </c>
    </row>
    <row r="64" customFormat="false" ht="15" hidden="false" customHeight="false" outlineLevel="0" collapsed="false">
      <c r="A64" s="15" t="n">
        <v>46155</v>
      </c>
      <c r="B64" s="16" t="s">
        <v>75</v>
      </c>
      <c r="C64" s="16" t="s">
        <v>47</v>
      </c>
      <c r="D64" s="16" t="s">
        <v>43</v>
      </c>
      <c r="E64" s="16" t="s">
        <v>48</v>
      </c>
      <c r="F64" s="17" t="n">
        <v>5</v>
      </c>
      <c r="G64" s="18" t="n">
        <f aca="false">IF($D64="Pedro Domecq",$F64,0)</f>
        <v>5</v>
      </c>
      <c r="H64" s="18" t="n">
        <f aca="false">IF($D64="Nicolás Bustamante",$F64,0)</f>
        <v>0</v>
      </c>
      <c r="I64" s="18" t="n">
        <f aca="false">IF($D64="Domingo de Guzmán",$F64,0)</f>
        <v>0</v>
      </c>
    </row>
    <row r="65" customFormat="false" ht="15" hidden="false" customHeight="false" outlineLevel="0" collapsed="false">
      <c r="A65" s="15" t="n">
        <v>46155</v>
      </c>
      <c r="B65" s="16" t="s">
        <v>91</v>
      </c>
      <c r="C65" s="16" t="s">
        <v>50</v>
      </c>
      <c r="D65" s="16" t="s">
        <v>43</v>
      </c>
      <c r="E65" s="16" t="s">
        <v>48</v>
      </c>
      <c r="F65" s="17" t="n">
        <v>34.18</v>
      </c>
      <c r="G65" s="18" t="n">
        <f aca="false">IF($D65="Pedro Domecq",$F65,0)</f>
        <v>34.18</v>
      </c>
      <c r="H65" s="18" t="n">
        <f aca="false">IF($D65="Nicolás Bustamante",$F65,0)</f>
        <v>0</v>
      </c>
      <c r="I65" s="18" t="n">
        <f aca="false">IF($D65="Domingo de Guzmán",$F65,0)</f>
        <v>0</v>
      </c>
    </row>
    <row r="66" customFormat="false" ht="15" hidden="false" customHeight="false" outlineLevel="0" collapsed="false">
      <c r="A66" s="15" t="n">
        <v>46156</v>
      </c>
      <c r="B66" s="16" t="s">
        <v>92</v>
      </c>
      <c r="C66" s="16" t="s">
        <v>53</v>
      </c>
      <c r="D66" s="16" t="s">
        <v>44</v>
      </c>
      <c r="E66" s="16" t="s">
        <v>48</v>
      </c>
      <c r="F66" s="17" t="n">
        <v>124.48</v>
      </c>
      <c r="G66" s="18" t="n">
        <f aca="false">IF($D66="Pedro Domecq",$F66,0)</f>
        <v>0</v>
      </c>
      <c r="H66" s="18" t="n">
        <f aca="false">IF($D66="Nicolás Bustamante",$F66,0)</f>
        <v>124.48</v>
      </c>
      <c r="I66" s="18" t="n">
        <f aca="false">IF($D66="Domingo de Guzmán",$F66,0)</f>
        <v>0</v>
      </c>
    </row>
    <row r="67" customFormat="false" ht="15" hidden="false" customHeight="false" outlineLevel="0" collapsed="false">
      <c r="A67" s="15" t="n">
        <v>46156</v>
      </c>
      <c r="B67" s="16" t="s">
        <v>93</v>
      </c>
      <c r="C67" s="16" t="s">
        <v>53</v>
      </c>
      <c r="D67" s="16" t="s">
        <v>44</v>
      </c>
      <c r="E67" s="16" t="s">
        <v>70</v>
      </c>
      <c r="F67" s="17" t="n">
        <v>25.22</v>
      </c>
      <c r="G67" s="18" t="n">
        <f aca="false">IF($D67="Pedro Domecq",$F67,0)</f>
        <v>0</v>
      </c>
      <c r="H67" s="18" t="n">
        <f aca="false">IF($D67="Nicolás Bustamante",$F67,0)</f>
        <v>25.22</v>
      </c>
      <c r="I67" s="18" t="n">
        <f aca="false">IF($D67="Domingo de Guzmán",$F67,0)</f>
        <v>0</v>
      </c>
    </row>
    <row r="68" customFormat="false" ht="15" hidden="false" customHeight="false" outlineLevel="0" collapsed="false">
      <c r="A68" s="15" t="n">
        <v>46157</v>
      </c>
      <c r="B68" s="16" t="s">
        <v>94</v>
      </c>
      <c r="C68" s="16" t="s">
        <v>74</v>
      </c>
      <c r="D68" s="16" t="s">
        <v>44</v>
      </c>
      <c r="E68" s="16" t="s">
        <v>48</v>
      </c>
      <c r="F68" s="17" t="n">
        <v>5.99</v>
      </c>
      <c r="G68" s="18" t="n">
        <f aca="false">IF($D68="Pedro Domecq",$F68,0)</f>
        <v>0</v>
      </c>
      <c r="H68" s="18" t="n">
        <f aca="false">IF($D68="Nicolás Bustamante",$F68,0)</f>
        <v>5.99</v>
      </c>
      <c r="I68" s="18" t="n">
        <f aca="false">IF($D68="Domingo de Guzmán",$F68,0)</f>
        <v>0</v>
      </c>
    </row>
    <row r="69" customFormat="false" ht="15" hidden="false" customHeight="false" outlineLevel="0" collapsed="false">
      <c r="A69" s="15" t="n">
        <v>46160</v>
      </c>
      <c r="B69" s="16" t="s">
        <v>95</v>
      </c>
      <c r="C69" s="16" t="s">
        <v>53</v>
      </c>
      <c r="D69" s="16" t="s">
        <v>45</v>
      </c>
      <c r="E69" s="16" t="s">
        <v>70</v>
      </c>
      <c r="F69" s="17" t="n">
        <v>25</v>
      </c>
      <c r="G69" s="18" t="n">
        <f aca="false">IF($D69="Pedro Domecq",$F69,0)</f>
        <v>0</v>
      </c>
      <c r="H69" s="18" t="n">
        <f aca="false">IF($D69="Nicolás Bustamante",$F69,0)</f>
        <v>0</v>
      </c>
      <c r="I69" s="18" t="n">
        <f aca="false">IF($D69="Domingo de Guzmán",$F69,0)</f>
        <v>25</v>
      </c>
    </row>
    <row r="70" customFormat="false" ht="15" hidden="false" customHeight="false" outlineLevel="0" collapsed="false">
      <c r="A70" s="15" t="n">
        <v>46161</v>
      </c>
      <c r="B70" s="16" t="s">
        <v>96</v>
      </c>
      <c r="C70" s="16" t="s">
        <v>53</v>
      </c>
      <c r="D70" s="16" t="s">
        <v>44</v>
      </c>
      <c r="E70" s="16" t="s">
        <v>48</v>
      </c>
      <c r="F70" s="17" t="n">
        <v>274</v>
      </c>
      <c r="G70" s="18" t="n">
        <f aca="false">IF($D70="Pedro Domecq",$F70,0)</f>
        <v>0</v>
      </c>
      <c r="H70" s="18" t="n">
        <f aca="false">IF($D70="Nicolás Bustamante",$F70,0)</f>
        <v>274</v>
      </c>
      <c r="I70" s="18" t="n">
        <f aca="false">IF($D70="Domingo de Guzmán",$F70,0)</f>
        <v>0</v>
      </c>
    </row>
    <row r="71" customFormat="false" ht="15" hidden="false" customHeight="false" outlineLevel="0" collapsed="false">
      <c r="A71" s="15" t="n">
        <v>46161</v>
      </c>
      <c r="B71" s="16" t="s">
        <v>97</v>
      </c>
      <c r="C71" s="16" t="s">
        <v>53</v>
      </c>
      <c r="D71" s="16" t="s">
        <v>44</v>
      </c>
      <c r="E71" s="16" t="s">
        <v>48</v>
      </c>
      <c r="F71" s="17" t="n">
        <v>12.59</v>
      </c>
      <c r="G71" s="18" t="n">
        <f aca="false">IF($D71="Pedro Domecq",$F71,0)</f>
        <v>0</v>
      </c>
      <c r="H71" s="18" t="n">
        <f aca="false">IF($D71="Nicolás Bustamante",$F71,0)</f>
        <v>12.59</v>
      </c>
      <c r="I71" s="18" t="n">
        <f aca="false">IF($D71="Domingo de Guzmán",$F71,0)</f>
        <v>0</v>
      </c>
    </row>
    <row r="72" customFormat="false" ht="15" hidden="false" customHeight="false" outlineLevel="0" collapsed="false">
      <c r="A72" s="15" t="n">
        <v>46162</v>
      </c>
      <c r="B72" s="16" t="s">
        <v>98</v>
      </c>
      <c r="C72" s="16" t="s">
        <v>53</v>
      </c>
      <c r="D72" s="16" t="s">
        <v>44</v>
      </c>
      <c r="E72" s="16" t="s">
        <v>70</v>
      </c>
      <c r="F72" s="17" t="n">
        <v>50</v>
      </c>
      <c r="G72" s="18" t="n">
        <f aca="false">IF($D72="Pedro Domecq",$F72,0)</f>
        <v>0</v>
      </c>
      <c r="H72" s="18" t="n">
        <f aca="false">IF($D72="Nicolás Bustamante",$F72,0)</f>
        <v>50</v>
      </c>
      <c r="I72" s="18" t="n">
        <f aca="false">IF($D72="Domingo de Guzmán",$F72,0)</f>
        <v>0</v>
      </c>
    </row>
    <row r="73" customFormat="false" ht="15" hidden="false" customHeight="false" outlineLevel="0" collapsed="false">
      <c r="A73" s="15" t="n">
        <v>46162</v>
      </c>
      <c r="B73" s="16" t="s">
        <v>99</v>
      </c>
      <c r="C73" s="16" t="s">
        <v>53</v>
      </c>
      <c r="D73" s="16" t="s">
        <v>44</v>
      </c>
      <c r="E73" s="16" t="s">
        <v>70</v>
      </c>
      <c r="F73" s="17" t="n">
        <v>40.31</v>
      </c>
      <c r="G73" s="18" t="n">
        <f aca="false">IF($D73="Pedro Domecq",$F73,0)</f>
        <v>0</v>
      </c>
      <c r="H73" s="18" t="n">
        <f aca="false">IF($D73="Nicolás Bustamante",$F73,0)</f>
        <v>40.31</v>
      </c>
      <c r="I73" s="18" t="n">
        <f aca="false">IF($D73="Domingo de Guzmán",$F73,0)</f>
        <v>0</v>
      </c>
    </row>
    <row r="74" customFormat="false" ht="15" hidden="false" customHeight="false" outlineLevel="0" collapsed="false">
      <c r="A74" s="15" t="n">
        <v>46174</v>
      </c>
      <c r="B74" s="16" t="s">
        <v>71</v>
      </c>
      <c r="C74" s="16" t="s">
        <v>53</v>
      </c>
      <c r="D74" s="16" t="s">
        <v>44</v>
      </c>
      <c r="E74" s="16" t="s">
        <v>48</v>
      </c>
      <c r="F74" s="17" t="n">
        <v>78.1</v>
      </c>
      <c r="G74" s="18" t="n">
        <f aca="false">IF($D74="Pedro Domecq",$F74,0)</f>
        <v>0</v>
      </c>
      <c r="H74" s="18" t="n">
        <f aca="false">IF($D74="Nicolás Bustamante",$F74,0)</f>
        <v>78.1</v>
      </c>
      <c r="I74" s="18" t="n">
        <f aca="false">IF($D74="Domingo de Guzmán",$F74,0)</f>
        <v>0</v>
      </c>
    </row>
    <row r="75" customFormat="false" ht="15" hidden="false" customHeight="false" outlineLevel="0" collapsed="false">
      <c r="A75" s="15" t="n">
        <v>46176</v>
      </c>
      <c r="B75" s="16" t="s">
        <v>84</v>
      </c>
      <c r="C75" s="16" t="s">
        <v>84</v>
      </c>
      <c r="D75" s="16" t="s">
        <v>44</v>
      </c>
      <c r="E75" s="16" t="s">
        <v>48</v>
      </c>
      <c r="F75" s="17" t="n">
        <v>88.56</v>
      </c>
      <c r="G75" s="18" t="n">
        <f aca="false">IF($D75="Pedro Domecq",$F75,0)</f>
        <v>0</v>
      </c>
      <c r="H75" s="18" t="n">
        <f aca="false">IF($D75="Nicolás Bustamante",$F75,0)</f>
        <v>88.56</v>
      </c>
      <c r="I75" s="18" t="n">
        <f aca="false">IF($D75="Domingo de Guzmán",$F75,0)</f>
        <v>0</v>
      </c>
    </row>
    <row r="76" customFormat="false" ht="15" hidden="false" customHeight="false" outlineLevel="0" collapsed="false">
      <c r="A76" s="15" t="n">
        <v>46206</v>
      </c>
      <c r="B76" s="16" t="s">
        <v>84</v>
      </c>
      <c r="C76" s="16" t="s">
        <v>84</v>
      </c>
      <c r="D76" s="16" t="s">
        <v>44</v>
      </c>
      <c r="E76" s="16" t="s">
        <v>48</v>
      </c>
      <c r="F76" s="17" t="n">
        <v>88.56</v>
      </c>
      <c r="G76" s="18" t="n">
        <f aca="false">IF($D76="Pedro Domecq",$F76,0)</f>
        <v>0</v>
      </c>
      <c r="H76" s="18" t="n">
        <f aca="false">IF($D76="Nicolás Bustamante",$F76,0)</f>
        <v>88.56</v>
      </c>
      <c r="I76" s="18" t="n">
        <f aca="false">IF($D76="Domingo de Guzmán",$F76,0)</f>
        <v>0</v>
      </c>
    </row>
    <row r="77" customFormat="false" ht="15" hidden="false" customHeight="false" outlineLevel="0" collapsed="false">
      <c r="A77" s="15" t="n">
        <v>46237</v>
      </c>
      <c r="B77" s="16" t="s">
        <v>84</v>
      </c>
      <c r="C77" s="16" t="s">
        <v>84</v>
      </c>
      <c r="D77" s="16" t="s">
        <v>44</v>
      </c>
      <c r="E77" s="16" t="s">
        <v>48</v>
      </c>
      <c r="F77" s="17" t="n">
        <v>88.56</v>
      </c>
      <c r="G77" s="18" t="n">
        <f aca="false">IF($D77="Pedro Domecq",$F77,0)</f>
        <v>0</v>
      </c>
      <c r="H77" s="18" t="n">
        <f aca="false">IF($D77="Nicolás Bustamante",$F77,0)</f>
        <v>88.56</v>
      </c>
      <c r="I77" s="18" t="n">
        <f aca="false">IF($D77="Domingo de Guzmán",$F77,0)</f>
        <v>0</v>
      </c>
    </row>
    <row r="78" customFormat="false" ht="15" hidden="false" customHeight="false" outlineLevel="0" collapsed="false">
      <c r="A78" s="15" t="n">
        <v>46268</v>
      </c>
      <c r="B78" s="16" t="s">
        <v>100</v>
      </c>
      <c r="C78" s="16" t="s">
        <v>53</v>
      </c>
      <c r="D78" s="16" t="s">
        <v>45</v>
      </c>
      <c r="E78" s="16" t="s">
        <v>48</v>
      </c>
      <c r="F78" s="17" t="n">
        <v>93.29</v>
      </c>
      <c r="G78" s="18" t="n">
        <f aca="false">IF($D78="Pedro Domecq",$F78,0)</f>
        <v>0</v>
      </c>
      <c r="H78" s="18" t="n">
        <f aca="false">IF($D78="Nicolás Bustamante",$F78,0)</f>
        <v>0</v>
      </c>
      <c r="I78" s="18" t="n">
        <f aca="false">IF($D78="Domingo de Guzmán",$F78,0)</f>
        <v>93.29</v>
      </c>
    </row>
    <row r="79" customFormat="false" ht="15" hidden="false" customHeight="false" outlineLevel="0" collapsed="false">
      <c r="A79" s="15" t="n">
        <v>46269</v>
      </c>
      <c r="B79" s="16" t="s">
        <v>84</v>
      </c>
      <c r="C79" s="16" t="s">
        <v>84</v>
      </c>
      <c r="D79" s="16" t="s">
        <v>44</v>
      </c>
      <c r="E79" s="16" t="s">
        <v>48</v>
      </c>
      <c r="F79" s="17" t="n">
        <v>2.95</v>
      </c>
      <c r="G79" s="18" t="n">
        <f aca="false">IF($D79="Pedro Domecq",$F79,0)</f>
        <v>0</v>
      </c>
      <c r="H79" s="18" t="n">
        <f aca="false">IF($D79="Nicolás Bustamante",$F79,0)</f>
        <v>2.95</v>
      </c>
      <c r="I79" s="18" t="n">
        <f aca="false">IF($D79="Domingo de Guzmán",$F79,0)</f>
        <v>0</v>
      </c>
    </row>
    <row r="80" customFormat="false" ht="15" hidden="false" customHeight="false" outlineLevel="0" collapsed="false">
      <c r="A80" s="15" t="n">
        <v>46295</v>
      </c>
      <c r="B80" s="16" t="s">
        <v>84</v>
      </c>
      <c r="C80" s="16" t="s">
        <v>84</v>
      </c>
      <c r="D80" s="16" t="s">
        <v>44</v>
      </c>
      <c r="E80" s="16" t="s">
        <v>48</v>
      </c>
      <c r="F80" s="17" t="n">
        <v>88.56</v>
      </c>
      <c r="G80" s="18" t="n">
        <f aca="false">IF($D80="Pedro Domecq",$F80,0)</f>
        <v>0</v>
      </c>
      <c r="H80" s="18" t="n">
        <f aca="false">IF($D80="Nicolás Bustamante",$F80,0)</f>
        <v>88.56</v>
      </c>
      <c r="I80" s="18" t="n">
        <f aca="false">IF($D80="Domingo de Guzmán",$F80,0)</f>
        <v>0</v>
      </c>
    </row>
    <row r="81" customFormat="false" ht="15" hidden="false" customHeight="false" outlineLevel="0" collapsed="false">
      <c r="A81" s="15" t="n">
        <v>46299</v>
      </c>
      <c r="B81" s="16" t="s">
        <v>101</v>
      </c>
      <c r="C81" s="16" t="s">
        <v>102</v>
      </c>
      <c r="D81" s="16" t="s">
        <v>44</v>
      </c>
      <c r="E81" s="16" t="s">
        <v>48</v>
      </c>
      <c r="F81" s="17" t="n">
        <v>221</v>
      </c>
      <c r="G81" s="18" t="n">
        <f aca="false">IF($D81="Pedro Domecq",$F81,0)</f>
        <v>0</v>
      </c>
      <c r="H81" s="18" t="n">
        <f aca="false">IF($D81="Nicolás Bustamante",$F81,0)</f>
        <v>221</v>
      </c>
      <c r="I81" s="18" t="n">
        <f aca="false">IF($D81="Domingo de Guzmán",$F81,0)</f>
        <v>0</v>
      </c>
    </row>
    <row r="82" customFormat="false" ht="15" hidden="false" customHeight="false" outlineLevel="0" collapsed="false">
      <c r="B82" s="19" t="s">
        <v>103</v>
      </c>
      <c r="F82" s="20" t="n">
        <f aca="false">SUM(F5:F81)</f>
        <v>5934.45</v>
      </c>
      <c r="G82" s="20" t="n">
        <f aca="false">SUM(G5:G81)</f>
        <v>1132.31</v>
      </c>
      <c r="H82" s="20" t="n">
        <f aca="false">SUM(H5:H81)</f>
        <v>3548.06</v>
      </c>
      <c r="I82" s="20" t="n">
        <f aca="false">SUM(I5:I81)</f>
        <v>1254.08</v>
      </c>
    </row>
    <row r="83" customFormat="false" ht="15" hidden="false" customHeight="false" outlineLevel="0" collapsed="false">
      <c r="B83" s="16" t="s">
        <v>104</v>
      </c>
      <c r="F83" s="21" t="n">
        <f aca="false">ROUND(F82-G82-H82-I82,2)</f>
        <v>0</v>
      </c>
    </row>
  </sheetData>
  <autoFilter ref="A4:I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0" hidden="false" customHeight="true" outlineLevel="0" collapsed="false">
      <c r="A4" s="14" t="s">
        <v>37</v>
      </c>
      <c r="B4" s="14" t="s">
        <v>107</v>
      </c>
      <c r="C4" s="14" t="s">
        <v>42</v>
      </c>
      <c r="D4" s="14" t="s">
        <v>108</v>
      </c>
    </row>
    <row r="5" customFormat="false" ht="15" hidden="false" customHeight="false" outlineLevel="0" collapsed="false">
      <c r="A5" s="15" t="n">
        <v>46154</v>
      </c>
      <c r="B5" s="16" t="s">
        <v>45</v>
      </c>
      <c r="C5" s="17" t="n">
        <v>500</v>
      </c>
      <c r="D5" s="16"/>
    </row>
    <row r="6" customFormat="false" ht="15" hidden="false" customHeight="false" outlineLevel="0" collapsed="false">
      <c r="A6" s="15" t="n">
        <v>46154</v>
      </c>
      <c r="B6" s="16" t="s">
        <v>43</v>
      </c>
      <c r="C6" s="17" t="n">
        <v>500</v>
      </c>
      <c r="D6" s="16"/>
    </row>
    <row r="7" customFormat="false" ht="15" hidden="false" customHeight="false" outlineLevel="0" collapsed="false">
      <c r="A7" s="15" t="n">
        <v>46160</v>
      </c>
      <c r="B7" s="16" t="s">
        <v>44</v>
      </c>
      <c r="C7" s="17" t="n">
        <v>500</v>
      </c>
      <c r="D7" s="16"/>
    </row>
    <row r="8" customFormat="false" ht="15" hidden="false" customHeight="false" outlineLevel="0" collapsed="false">
      <c r="A8" s="15" t="n">
        <v>46171</v>
      </c>
      <c r="B8" s="16" t="s">
        <v>44</v>
      </c>
      <c r="C8" s="17" t="n">
        <v>500</v>
      </c>
      <c r="D8" s="16"/>
    </row>
    <row r="9" customFormat="false" ht="15" hidden="false" customHeight="false" outlineLevel="0" collapsed="false">
      <c r="A9" s="15" t="n">
        <v>46171</v>
      </c>
      <c r="B9" s="16" t="s">
        <v>43</v>
      </c>
      <c r="C9" s="17" t="n">
        <v>500</v>
      </c>
      <c r="D9" s="16"/>
    </row>
    <row r="10" customFormat="false" ht="15" hidden="false" customHeight="false" outlineLevel="0" collapsed="false">
      <c r="A10" s="15" t="n">
        <v>46182</v>
      </c>
      <c r="B10" s="16" t="s">
        <v>45</v>
      </c>
      <c r="C10" s="17" t="n">
        <v>500</v>
      </c>
      <c r="D10" s="16"/>
    </row>
    <row r="11" customFormat="false" ht="15" hidden="false" customHeight="false" outlineLevel="0" collapsed="false">
      <c r="A11" s="15" t="n">
        <v>46206</v>
      </c>
      <c r="B11" s="16" t="s">
        <v>43</v>
      </c>
      <c r="C11" s="17" t="n">
        <v>400</v>
      </c>
      <c r="D11" s="16" t="s">
        <v>109</v>
      </c>
    </row>
    <row r="12" customFormat="false" ht="15" hidden="false" customHeight="false" outlineLevel="0" collapsed="false">
      <c r="A12" s="15" t="n">
        <v>46206</v>
      </c>
      <c r="B12" s="16" t="s">
        <v>44</v>
      </c>
      <c r="C12" s="17" t="n">
        <v>400</v>
      </c>
      <c r="D12" s="16"/>
    </row>
    <row r="13" customFormat="false" ht="15" hidden="false" customHeight="false" outlineLevel="0" collapsed="false">
      <c r="A13" s="15" t="n">
        <v>46220</v>
      </c>
      <c r="B13" s="16" t="s">
        <v>45</v>
      </c>
      <c r="C13" s="17" t="n">
        <v>150</v>
      </c>
      <c r="D13" s="16"/>
    </row>
    <row r="14" customFormat="false" ht="15" hidden="false" customHeight="false" outlineLevel="0" collapsed="false">
      <c r="A14" s="15" t="n">
        <v>46220</v>
      </c>
      <c r="B14" s="16" t="s">
        <v>43</v>
      </c>
      <c r="C14" s="17" t="n">
        <v>150</v>
      </c>
      <c r="D14" s="16" t="s">
        <v>110</v>
      </c>
    </row>
    <row r="15" customFormat="false" ht="15" hidden="false" customHeight="false" outlineLevel="0" collapsed="false">
      <c r="A15" s="15" t="n">
        <v>46237</v>
      </c>
      <c r="B15" s="16" t="s">
        <v>43</v>
      </c>
      <c r="C15" s="17" t="n">
        <v>300</v>
      </c>
      <c r="D15" s="16"/>
    </row>
    <row r="16" customFormat="false" ht="15" hidden="false" customHeight="false" outlineLevel="0" collapsed="false">
      <c r="A16" s="15" t="n">
        <v>46237</v>
      </c>
      <c r="B16" s="16" t="s">
        <v>45</v>
      </c>
      <c r="C16" s="17" t="n">
        <v>150</v>
      </c>
      <c r="D16" s="16"/>
    </row>
    <row r="17" customFormat="false" ht="15" hidden="false" customHeight="false" outlineLevel="0" collapsed="false">
      <c r="A17" s="15" t="n">
        <v>46243</v>
      </c>
      <c r="B17" s="16" t="s">
        <v>45</v>
      </c>
      <c r="C17" s="17" t="n">
        <v>150</v>
      </c>
      <c r="D17" s="16"/>
    </row>
    <row r="18" customFormat="false" ht="15" hidden="false" customHeight="false" outlineLevel="0" collapsed="false">
      <c r="A18" s="15" t="n">
        <v>46265</v>
      </c>
      <c r="B18" s="16" t="s">
        <v>43</v>
      </c>
      <c r="C18" s="17" t="n">
        <v>426</v>
      </c>
      <c r="D18" s="16" t="s">
        <v>111</v>
      </c>
    </row>
    <row r="19" customFormat="false" ht="15" hidden="false" customHeight="false" outlineLevel="0" collapsed="false">
      <c r="A19" s="15" t="n">
        <v>46265</v>
      </c>
      <c r="B19" s="16" t="s">
        <v>45</v>
      </c>
      <c r="C19" s="17" t="n">
        <v>400</v>
      </c>
      <c r="D19" s="16"/>
    </row>
    <row r="20" customFormat="false" ht="15" hidden="false" customHeight="false" outlineLevel="0" collapsed="false">
      <c r="A20" s="15" t="n">
        <v>46296</v>
      </c>
      <c r="B20" s="16" t="s">
        <v>45</v>
      </c>
      <c r="C20" s="17" t="n">
        <v>400</v>
      </c>
      <c r="D20" s="16"/>
    </row>
    <row r="21" customFormat="false" ht="15" hidden="false" customHeight="false" outlineLevel="0" collapsed="false">
      <c r="A21" s="15" t="n">
        <v>46300</v>
      </c>
      <c r="B21" s="16" t="s">
        <v>45</v>
      </c>
      <c r="C21" s="17" t="n">
        <v>100</v>
      </c>
      <c r="D21" s="16"/>
    </row>
    <row r="22" customFormat="false" ht="15" hidden="false" customHeight="false" outlineLevel="0" collapsed="false">
      <c r="A22" s="15" t="n">
        <v>46300</v>
      </c>
      <c r="B22" s="16" t="s">
        <v>43</v>
      </c>
      <c r="C22" s="17" t="n">
        <v>500</v>
      </c>
      <c r="D22" s="16" t="s">
        <v>112</v>
      </c>
    </row>
    <row r="23" customFormat="false" ht="15" hidden="false" customHeight="false" outlineLevel="0" collapsed="false">
      <c r="B23" s="19" t="s">
        <v>113</v>
      </c>
      <c r="C23" s="20" t="n">
        <f aca="false">SUM(C5:C22)</f>
        <v>6526</v>
      </c>
    </row>
    <row r="25" customFormat="false" ht="15" hidden="false" customHeight="false" outlineLevel="0" collapsed="false">
      <c r="B25" s="16" t="s">
        <v>43</v>
      </c>
      <c r="C25" s="21" t="n">
        <f aca="false">SUMIFS($C$5:$C$22,$B$5:$B$22,B25)</f>
        <v>2776</v>
      </c>
    </row>
    <row r="26" customFormat="false" ht="15" hidden="false" customHeight="false" outlineLevel="0" collapsed="false">
      <c r="B26" s="16" t="s">
        <v>44</v>
      </c>
      <c r="C26" s="21" t="n">
        <f aca="false">SUMIFS($C$5:$C$22,$B$5:$B$22,B26)</f>
        <v>1400</v>
      </c>
    </row>
    <row r="27" customFormat="false" ht="15" hidden="false" customHeight="false" outlineLevel="0" collapsed="false">
      <c r="B27" s="16" t="s">
        <v>45</v>
      </c>
      <c r="C27" s="21" t="n">
        <f aca="false">SUMIFS($C$5:$C$22,$B$5:$B$22,B27)</f>
        <v>2350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30" hidden="false" customHeight="true" outlineLevel="0" collapsed="false">
      <c r="A4" s="14" t="s">
        <v>37</v>
      </c>
      <c r="B4" s="14" t="s">
        <v>116</v>
      </c>
      <c r="C4" s="14" t="s">
        <v>38</v>
      </c>
      <c r="D4" s="14" t="s">
        <v>42</v>
      </c>
      <c r="E4" s="14" t="s">
        <v>117</v>
      </c>
      <c r="F4" s="14" t="s">
        <v>118</v>
      </c>
    </row>
    <row r="5" customFormat="false" ht="15" hidden="false" customHeight="false" outlineLevel="0" collapsed="false">
      <c r="A5" s="15" t="n">
        <v>46295</v>
      </c>
      <c r="B5" s="16" t="s">
        <v>119</v>
      </c>
      <c r="C5" s="16" t="s">
        <v>120</v>
      </c>
      <c r="D5" s="17" t="n">
        <v>535.5</v>
      </c>
      <c r="E5" s="15" t="n">
        <v>46300</v>
      </c>
      <c r="F5" s="16" t="s">
        <v>121</v>
      </c>
    </row>
    <row r="6" customFormat="false" ht="15" hidden="false" customHeight="false" outlineLevel="0" collapsed="false">
      <c r="A6" s="15" t="n">
        <v>46295</v>
      </c>
      <c r="B6" s="16" t="s">
        <v>119</v>
      </c>
      <c r="C6" s="16" t="s">
        <v>122</v>
      </c>
      <c r="D6" s="17" t="n">
        <v>137.51</v>
      </c>
      <c r="E6" s="15" t="n">
        <v>46300</v>
      </c>
      <c r="F6" s="16" t="s">
        <v>123</v>
      </c>
    </row>
    <row r="7" customFormat="false" ht="15" hidden="false" customHeight="false" outlineLevel="0" collapsed="false">
      <c r="A7" s="15" t="n">
        <v>46295</v>
      </c>
      <c r="B7" s="16" t="s">
        <v>119</v>
      </c>
      <c r="C7" s="16" t="s">
        <v>124</v>
      </c>
      <c r="D7" s="17" t="n">
        <v>30.71</v>
      </c>
      <c r="E7" s="15" t="n">
        <v>46300</v>
      </c>
      <c r="F7" s="16"/>
    </row>
    <row r="8" customFormat="false" ht="15" hidden="false" customHeight="false" outlineLevel="0" collapsed="false">
      <c r="C8" s="19" t="s">
        <v>125</v>
      </c>
      <c r="D8" s="20" t="n">
        <f aca="false">SUM(D5:D7)</f>
        <v>703.72</v>
      </c>
    </row>
    <row r="9" customFormat="false" ht="15" hidden="false" customHeight="false" outlineLevel="0" collapsed="false">
      <c r="F9" s="22" t="s">
        <v>126</v>
      </c>
    </row>
    <row r="11" customFormat="false" ht="15" hidden="false" customHeight="false" outlineLevel="0" collapsed="false">
      <c r="A11" s="19" t="s">
        <v>127</v>
      </c>
    </row>
    <row r="12" customFormat="false" ht="30" hidden="false" customHeight="true" outlineLevel="0" collapsed="false">
      <c r="A12" s="14" t="s">
        <v>128</v>
      </c>
      <c r="B12" s="14" t="s">
        <v>129</v>
      </c>
      <c r="C12" s="14" t="s">
        <v>130</v>
      </c>
      <c r="D12" s="14" t="s">
        <v>131</v>
      </c>
      <c r="E12" s="14" t="s">
        <v>132</v>
      </c>
      <c r="F12" s="14" t="s">
        <v>118</v>
      </c>
    </row>
    <row r="13" customFormat="false" ht="15" hidden="false" customHeight="false" outlineLevel="0" collapsed="false">
      <c r="A13" s="15" t="n">
        <v>46231</v>
      </c>
      <c r="B13" s="16" t="s">
        <v>119</v>
      </c>
      <c r="C13" s="16" t="s">
        <v>133</v>
      </c>
      <c r="D13" s="17" t="n">
        <v>99.75</v>
      </c>
      <c r="E13" s="15" t="n">
        <v>46315</v>
      </c>
      <c r="F13" s="16" t="s">
        <v>134</v>
      </c>
    </row>
    <row r="14" customFormat="false" ht="15" hidden="false" customHeight="false" outlineLevel="0" collapsed="false">
      <c r="A14" s="15" t="n">
        <v>46265</v>
      </c>
      <c r="B14" s="16" t="s">
        <v>119</v>
      </c>
      <c r="C14" s="16" t="s">
        <v>135</v>
      </c>
      <c r="D14" s="17" t="n">
        <v>99.75</v>
      </c>
      <c r="E14" s="15" t="n">
        <v>46315</v>
      </c>
      <c r="F14" s="16" t="s">
        <v>134</v>
      </c>
    </row>
    <row r="15" customFormat="false" ht="15" hidden="false" customHeight="false" outlineLevel="0" collapsed="false">
      <c r="A15" s="15" t="n">
        <v>46295</v>
      </c>
      <c r="B15" s="16" t="s">
        <v>119</v>
      </c>
      <c r="C15" s="16" t="s">
        <v>136</v>
      </c>
      <c r="D15" s="17" t="n">
        <v>99.75</v>
      </c>
      <c r="E15" s="15" t="n">
        <v>46407</v>
      </c>
      <c r="F15" s="16" t="s">
        <v>137</v>
      </c>
    </row>
    <row r="16" customFormat="false" ht="15" hidden="false" customHeight="false" outlineLevel="0" collapsed="false">
      <c r="A16" s="15" t="n">
        <v>46295</v>
      </c>
      <c r="B16" s="16" t="s">
        <v>119</v>
      </c>
      <c r="C16" s="16" t="s">
        <v>138</v>
      </c>
      <c r="D16" s="17" t="n">
        <v>25.62</v>
      </c>
      <c r="E16" s="15" t="n">
        <v>46407</v>
      </c>
      <c r="F16" s="16" t="s">
        <v>137</v>
      </c>
    </row>
    <row r="17" customFormat="false" ht="15" hidden="false" customHeight="false" outlineLevel="0" collapsed="false">
      <c r="C17" s="19" t="s">
        <v>139</v>
      </c>
      <c r="D17" s="20" t="n">
        <f aca="false">SUM(D13:D16)</f>
        <v>324.87</v>
      </c>
    </row>
    <row r="19" customFormat="false" ht="15" hidden="false" customHeight="false" outlineLevel="0" collapsed="false">
      <c r="A19" s="2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2026-10-07T16:40:22Z</dcterms:created>
  <dc:creator>openpyxl</dc:creator>
  <dc:description/>
  <dc:language>en-US</dc:language>
  <cp:lastModifiedBy/>
  <dcterms:modified xsi:type="dcterms:W3CDTF">2026-10-07T16:40:22Z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